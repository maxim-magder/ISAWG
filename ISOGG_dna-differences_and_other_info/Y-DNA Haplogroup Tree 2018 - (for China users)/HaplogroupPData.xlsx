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<sst xmlns="http://schemas.openxmlformats.org/spreadsheetml/2006/main" count="1270" uniqueCount="696">
  <si>
    <t>Y-DNA Haplogroup P and its Subclades - 2018</t>
  </si>
  <si>
    <t xml:space="preserve">           Downloading this spreadsheet as Excel retains format better than copying.  Links to other sites may not copy.</t>
  </si>
  <si>
    <t xml:space="preserve">The entire work is identified by the Version Number and date given on  </t>
  </si>
  <si>
    <t>Main Page.</t>
  </si>
  <si>
    <t xml:space="preserve">Directions for citing the document are listed on </t>
  </si>
  <si>
    <t>Version History</t>
  </si>
  <si>
    <t>Last revision date for this specific page: 1 January 2018</t>
  </si>
  <si>
    <t>Because of continuing research, structure of the Y-DNA Haplogroup Tree changes,  ISOGG does its best to update it.</t>
  </si>
  <si>
    <t>If the differences need clarification or if you find any broken links on this page, then:</t>
  </si>
  <si>
    <t>Email Ray Banks</t>
  </si>
  <si>
    <t>LINKS:</t>
  </si>
  <si>
    <t>Papers/Presentations Cited</t>
  </si>
  <si>
    <t>Y-DNA Tree Trunk</t>
  </si>
  <si>
    <t>Glossary</t>
  </si>
  <si>
    <t>FONT COLORS:</t>
  </si>
  <si>
    <t xml:space="preserve">      Newly confirmed in 2018 within subclade   </t>
  </si>
  <si>
    <t xml:space="preserve">Confirmed within subclade  </t>
  </si>
  <si>
    <t xml:space="preserve">      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</si>
  <si>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</si>
  <si>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</si>
  <si>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</si>
  <si>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</si>
  <si>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t xml:space="preserve">The criteria for a representative SNP printed in </t>
    </r>
    <r>
      <rPr>
        <b/>
      </rPr>
      <t>bold</t>
    </r>
    <r>
      <t xml:space="preserve"> for a subclade is:  traditional usage, testing done in multiple labs, and/or being found in the area of the chromosome used in recent research studies.</t>
    </r>
  </si>
  <si>
    <r>
      <t xml:space="preserve">SNPs listed below in </t>
    </r>
    <r>
      <rPr>
        <i/>
      </rPr>
      <t>italics</t>
    </r>
    <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</si>
  <si>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</si>
  <si>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 xml:space="preserve">      Contact Person, Haplogroup P:</t>
  </si>
  <si>
    <t>Ray Banks</t>
  </si>
  <si>
    <t xml:space="preserve"> </t>
  </si>
  <si>
    <t>P or K2b2</t>
  </si>
  <si>
    <r>
      <t xml:space="preserve">P295/PF5866/S8, </t>
    </r>
    <r>
      <rPr/>
      <t>F91/PF5862/V231</t>
    </r>
  </si>
  <si>
    <t>P~ or K2b2~</t>
  </si>
  <si>
    <t>CTS196/PF5845, CTS216/M1184/PF5846, CTS655/M5586/PF5858, CTS1907/M1204/PF5894/YSC0001257, CTS3135/M1206/PF5898, CTS3358/M1210/PF5900, CTS3446/M1211/PF5902, CTS3697/M1212/PF5904, CTS3736/M1213/PF5905, CTS3775/M1214/PF5906, CTS3813/M1215/PF5491, CTS3861, CTS4437/M1109, CTS4944/M1218/PF5909, CTS5418/M1222/PF5912, CTS5673/M1225/PF5497/YSC0001285, CTS5808/M1226/PF5915, CTS5884/M1228/PF5917, CTS6948/M1231/PF5922, CTS7194/M1232/PF5923, CTS7244/M1233/PF5924, CTS7481/M1234/PF5926, CTS7604/M1235/PF5928, CTS7886/M1236/PF5929, CTS8356/M1237/PF5931, CTS8626/M1239/PF5934, CTS9162/L1185/M1241/PF5937, CTS9604/M1244/PF5942, CTS10081/M1249/PF5947, CTS10085/M1250/PF5948, CTS10168/M1149, CTS10348/M1252/PF5950, CTS10454/M1253, CTS10859/M1269, CTS12028/M1272/PF5977, CTS12524/PF5988, CTS12648/M1276/PF5512, F4/M1183/PF5991, F29/L821/M5579/PF5857, F83/M1185/PF5861, F115/M1189/PF5870, F180/M1196/PF5881, F212/M1198/PF5885, F313/M1219, F332/M1224/PF5914, F344/M1227/PF5916, F359/M1229/PF5920, F506/M1243/PF5940, F521/M1247/PF5944, F521/M1247/PF5944, F524/M1248/PF5945, F536/M1251/PF5949, F556/PF5951, F640/M1271/PF5975, F647/M1273/PF5978, F671/M1274/PF5981, F680/M1275/PF5984, F1660/PF5889, FGC285, L82/PF5972, M1160/PF5958, M1186/PF5864, M1187/PF5865, M1188/PF5869, M1190/PF5871, M1191/Y474, M1192/PF5872, M1193/PF5876, M1194/PF5878, M1195/PF5880, M1197/PF5883, M1199/PF5886, M1207/Y44, M1216/PF5908, M1240/PF5936, M1246/PF5943, M1254/PF6062, M1255/PF5952, M1256/PF5954, M1257/PF5955, M1258/PF6066, M1259/PF5956, M1260/PF5957, M1261/PF5959, M1262/PF5961, M1263/PF5964, M1264, M1265/PF5965, M1267/Y507, PF5481, PF5483, PF5511, PF5867, PF5882, PF5887, PF5888, PF5935, PF5982, PF5985</t>
  </si>
  <si>
    <t>P1 or K2b2a</t>
  </si>
  <si>
    <r>
      <rPr>
        <b/>
      </rPr>
      <t>M45/PF5962</t>
    </r>
    <r>
      <t>, F1857/P337/Page83/PF5901, M74/N12/PF5963, P226/PF5879, P228/PF5927, P230/PF5925, P235/PF5946, P237/PF5873, P239/PF5930, P243/PF5874, P244/PF5896, P281/PF5941, P282/PF5932, P283/PF5966, P284</t>
    </r>
  </si>
  <si>
    <t>P1~ or K2b2a~</t>
  </si>
  <si>
    <t>L138, L268/PF5983, L405/PF5990, L471/PF5989, L536/PF5860, L721/PF6020, L741/PF5960/YSC0000297, L768/PF5976/YSC0000274, L779/PF5907/YSC0000251, L781/PF5875/YSC0000255</t>
  </si>
  <si>
    <t>P2~</t>
  </si>
  <si>
    <t>B253, Z33760, Z33761, Z33762, Z33763</t>
  </si>
  <si>
    <t>Q or K2b2a1</t>
  </si>
  <si>
    <r>
      <t>M242,</t>
    </r>
    <r>
      <rPr/>
      <t xml:space="preserve"> etc</t>
    </r>
  </si>
  <si>
    <t>R or K2b2a2</t>
  </si>
  <si>
    <r>
      <t xml:space="preserve">M207/Page37/UTY2, </t>
    </r>
    <r>
      <rPr/>
      <t>etc</t>
    </r>
    <r>
      <t>.</t>
    </r>
  </si>
  <si>
    <t>MUTATION INFORMATION AT VERY BOTTOM HERE</t>
  </si>
  <si>
    <t>NOTES:</t>
  </si>
  <si>
    <t>Identical SNPs that were discovered separately are listed in alphabetical order, not necessarily in the order of discovery, and separated by "/". Examples: M74/N12, P27.1/P207, M207/UTY2, M306/S1.</t>
  </si>
  <si>
    <r>
      <rPr>
        <b/>
      </rPr>
      <t>Y-DNA haplogroup P</t>
    </r>
    <r>
      <t>, an offshoot of Haplogroup K2b, originated in Central or Eastern Asia some 35,000 years ago. Haplogroup P is best represented by its two immediate subclades, haplogroups Q and R, which expanded to become the dominant haplogroups in, respectively, the Americas and Europe.</t>
    </r>
  </si>
  <si>
    <r>
      <rPr>
        <b/>
      </rPr>
      <t>P1-M45</t>
    </r>
    <r>
      <t xml:space="preserve"> has been found in n. Philippines, India, China (Maks, Ai Cham, Biao, Then, Uygurs, Tibetans, Hans), Taiwan (Pyuma), Indonesia (Batak, Malay, Minangkabau, Kaili, Alor), Iran (Bakhtiari, Arabs) Pakistan (Burushos), Melanesia, Jordan, Croatia, Romania (Szeklers), Scandinavia,</t>
    </r>
  </si>
  <si>
    <t>(It is not clear that all these men were verified negative for the haplogroup Q subgroup).</t>
  </si>
  <si>
    <r>
      <rPr>
        <b/>
      </rPr>
      <t>P2-B253</t>
    </r>
    <r>
      <t xml:space="preserve"> was identified in the Philippines (Agtas)</t>
    </r>
  </si>
  <si>
    <t>References:</t>
  </si>
  <si>
    <t>Behar et al, Contrasting Patterns of Y Chromosome Variation in Ashkenazi Jewish and Host Non-Jewish European Populations. (pdf) Hum Genet 114:354-365, 2004.</t>
  </si>
  <si>
    <t>Behar et al, Genome-Wide Structure of the Jewish People. Nature, 446:238-42, 2010.</t>
  </si>
  <si>
    <t>Bortolini et al, Y-Chromosome Evidence for Differing Ancient Demographic Histories in the Americas. American Journal of Human Genetics, 73:524-539, 2003.</t>
  </si>
  <si>
    <t>Capelli et al, Population Structure in the Mediterranean Basin: A Y Chromosome Perspective. (pdf) Annals of Human Genetics, 2005.</t>
  </si>
  <si>
    <t>Dein et al, The Y Chromosome Landscape of the Philippines: Extensive Heterogeneity and Varying Genetic Affinities of Negrito and Non-Negrito Groups. (abstract) European Journal of Human Genetics, 19:224-30, 2011.</t>
  </si>
  <si>
    <t>Deng et al, Evolution and Migration History of the Chinese Population Inferred from the Chinese Y-chromosome Evidence. (pdf) Journal of Human Genetics, 49:339-348, 2004.</t>
  </si>
  <si>
    <t>Derenko et al, Contrasting patterns of Y-Chromosome variation in South Siberian populations from Baikal and Altai-Sayan regions, Human Genetics 118: 591-604, 2006.</t>
  </si>
  <si>
    <t>Flores et al, Reduced Genetic Structure of the Iberian Peninsula Revealed by Y-chromosome Analysis: Implications for Population Demography. (pdf) European Journal of Human Genetics, 12:855-863, 2004.</t>
  </si>
  <si>
    <t>Karafet et al, Improved Phylogenetic Resolution and Rapid Diversification of Y-chromosome Haplogroup K-M526 in Southeast Asia. European Journal of Human Genetics, 1-5, 2014.</t>
  </si>
  <si>
    <t>Kayser et al. Reduced Y-Chromosome, but Not Mitochondrial DNA, Diversity in Human Populations from West New Guinea. American Journal of Human Genetics, 72:281-302, 2003.</t>
  </si>
  <si>
    <t>Kivisild et al, The Genetic Heritage of the Earliest Settlers Persists in Both Indian Tribal and Caste Populations. (pdf) American Journal of Human Genetics, 72:313-332, 2003.</t>
  </si>
  <si>
    <t>Nasidze et al, MtDNA and Y-chromosome Variation in Kurdish Groups. (abstract) Annals of Human Genetics, 69:401-412, 2005.</t>
  </si>
  <si>
    <t>Rootsi et al, Phylogenetic Applications of Whole Y-chromosome Sequences and the Near Eastern Origin of Ashkenazi Levites. Nature Communications 4, Article number: 2928, doi:10.1038/ncomms3928, 2013.</t>
  </si>
  <si>
    <t>Rozen et al, Remarkably Little Variation in Proteins Encoded by the Y Chromosome's Single-Copy Genes, Implying Effective Purifying Selection. American Journal of Human Genetics. 2009 December 11; 85(6): 923-928.</t>
  </si>
  <si>
    <t>Shen et al, Reconstruction of Patrilineages and Matrilineages of Samaritans and other Israeli Populations from Y-Chromosome and Mitochondrial DNA Sequence Variation. (pdf) Human Mutation, 24:248-260, 2004.</t>
  </si>
  <si>
    <t>Su et al, Y-chromosome Evidence for a Northward Migration of Modern Humans into Eastern Asia during the Last Ice Age. (pdf) American Journal of Human Genetics, 65:1718-1724, 1999.</t>
  </si>
  <si>
    <t>Thangaraj et al, Genetic Affinities of the Andaman Islanders, a Vanishing Human Population. (pdf) Current Biology, 13:86-93, 2003.</t>
  </si>
  <si>
    <t>Xue et al, A Spatial Analysis of Genetic Structure of Human Populations in China Reveals Distinct Difference between Maternal and Paternal Lineages. European Journal of Human Genetics, 16:705-17, 2008.</t>
  </si>
  <si>
    <t>Additional Resources:</t>
  </si>
  <si>
    <t>ISOGG Wiki</t>
  </si>
  <si>
    <t>- What you need to know about Genetic Genealogy.</t>
  </si>
  <si>
    <t>Corrections/Additions made since 1 January 2018:</t>
  </si>
  <si>
    <t>None.</t>
  </si>
  <si>
    <t>Back to:</t>
  </si>
  <si>
    <t>Copyright 2018, International Society of Genetic Genealogy. All Rights Reserved.</t>
  </si>
  <si>
    <t>MUTATION INFORMATION</t>
  </si>
  <si>
    <t>If copying this section just below, choose Paste Special, then Values, otherwise the haplogroup contents will not copy</t>
  </si>
  <si>
    <t>Name</t>
  </si>
  <si>
    <t>Haplogroup</t>
  </si>
  <si>
    <t>Other Names</t>
  </si>
  <si>
    <t>rs #</t>
  </si>
  <si>
    <t>Build 37 #</t>
  </si>
  <si>
    <t>Build 38 #</t>
  </si>
  <si>
    <t>Mutation info</t>
  </si>
  <si>
    <t>P295</t>
  </si>
  <si>
    <t>PF5866; S8</t>
  </si>
  <si>
    <t>rs895530</t>
  </si>
  <si>
    <t>T-&gt;G</t>
  </si>
  <si>
    <t>PF5866</t>
  </si>
  <si>
    <t>P295; S8</t>
  </si>
  <si>
    <t>S8</t>
  </si>
  <si>
    <t>P295; PF5866</t>
  </si>
  <si>
    <t>F91</t>
  </si>
  <si>
    <t>PF5862; V231</t>
  </si>
  <si>
    <t>rs7892927</t>
  </si>
  <si>
    <t>G-&gt;A</t>
  </si>
  <si>
    <t>PF5862</t>
  </si>
  <si>
    <t>F91; V231</t>
  </si>
  <si>
    <t>V231</t>
  </si>
  <si>
    <t>F91; PF5862</t>
  </si>
  <si>
    <t>CTS196</t>
  </si>
  <si>
    <t>PF5845</t>
  </si>
  <si>
    <t>rs1270119</t>
  </si>
  <si>
    <t>C-&gt;T</t>
  </si>
  <si>
    <t>CTS216</t>
  </si>
  <si>
    <t>M1184; PF5846</t>
  </si>
  <si>
    <t>rs1270123</t>
  </si>
  <si>
    <t>C-&gt;G</t>
  </si>
  <si>
    <t>M1184</t>
  </si>
  <si>
    <t>CTS216; PF5846</t>
  </si>
  <si>
    <t>PF5846</t>
  </si>
  <si>
    <t>CTS216; M1184</t>
  </si>
  <si>
    <t>CTS655</t>
  </si>
  <si>
    <t>M5586; PF5858</t>
  </si>
  <si>
    <t>rs72617693</t>
  </si>
  <si>
    <t>M5586</t>
  </si>
  <si>
    <t>CTS655; PF5858</t>
  </si>
  <si>
    <t>PF5858</t>
  </si>
  <si>
    <t>CTS655; M5586</t>
  </si>
  <si>
    <t>CTS1907</t>
  </si>
  <si>
    <t>M1204; PF5894; YSC0001257</t>
  </si>
  <si>
    <t>rs67744606</t>
  </si>
  <si>
    <t>M1204</t>
  </si>
  <si>
    <t>CTS1907; PF5894; YSC0001257</t>
  </si>
  <si>
    <t>PF5894</t>
  </si>
  <si>
    <t>CTS1907; M1204; YSC0001257</t>
  </si>
  <si>
    <t>YSC0001257</t>
  </si>
  <si>
    <t>CTS1907; M1204; PF5894</t>
  </si>
  <si>
    <t>CTS3135</t>
  </si>
  <si>
    <t>M1206; PF5898</t>
  </si>
  <si>
    <t>rs13303504</t>
  </si>
  <si>
    <t>C-&gt;A</t>
  </si>
  <si>
    <t>M1206</t>
  </si>
  <si>
    <t>CTS3135; PF5898</t>
  </si>
  <si>
    <t>PF5898</t>
  </si>
  <si>
    <t>CTS3135; M1206</t>
  </si>
  <si>
    <t>CTS3358</t>
  </si>
  <si>
    <t>M1210; PF5900</t>
  </si>
  <si>
    <t>rs7893052</t>
  </si>
  <si>
    <t>T-&gt;C</t>
  </si>
  <si>
    <t>M1210</t>
  </si>
  <si>
    <t>CTS3358; PF5900</t>
  </si>
  <si>
    <t>PF5900</t>
  </si>
  <si>
    <t>CT33538; M1210</t>
  </si>
  <si>
    <t>CTS3446</t>
  </si>
  <si>
    <t>M1211; PF5902</t>
  </si>
  <si>
    <t>rs34630819</t>
  </si>
  <si>
    <t>M1211</t>
  </si>
  <si>
    <t>CTS3446; PF5902</t>
  </si>
  <si>
    <t>PF5902</t>
  </si>
  <si>
    <t>CTS3446; M1211</t>
  </si>
  <si>
    <t>CTS3697</t>
  </si>
  <si>
    <t>M1212; PF5904</t>
  </si>
  <si>
    <t>rs34083601</t>
  </si>
  <si>
    <t>G-&gt;C</t>
  </si>
  <si>
    <t>M1212</t>
  </si>
  <si>
    <t>CTS3697; PF5904</t>
  </si>
  <si>
    <t>PF5904</t>
  </si>
  <si>
    <t>CTS3697; M1212</t>
  </si>
  <si>
    <t>CTS3736</t>
  </si>
  <si>
    <t>M1213; PF5905</t>
  </si>
  <si>
    <t>rs11799153</t>
  </si>
  <si>
    <t>M1213</t>
  </si>
  <si>
    <t>CTS3736; PF5905</t>
  </si>
  <si>
    <t>PF5905</t>
  </si>
  <si>
    <t>CTS3736; M1213</t>
  </si>
  <si>
    <t>CTS3775</t>
  </si>
  <si>
    <t>M1214; PF5906</t>
  </si>
  <si>
    <t>rs11799198</t>
  </si>
  <si>
    <t>M1214</t>
  </si>
  <si>
    <t>CTS3775; PF5906</t>
  </si>
  <si>
    <t>PF5906</t>
  </si>
  <si>
    <t>CTS3775; M1214</t>
  </si>
  <si>
    <t>CTS3813</t>
  </si>
  <si>
    <t>M1215; PF5491</t>
  </si>
  <si>
    <t>rs2191146</t>
  </si>
  <si>
    <t>M1215</t>
  </si>
  <si>
    <t>CTS3813; PF5491</t>
  </si>
  <si>
    <t>PF5491</t>
  </si>
  <si>
    <t>M1215; CTS3813</t>
  </si>
  <si>
    <t>CTS3861</t>
  </si>
  <si>
    <t>rs13305846</t>
  </si>
  <si>
    <t>CTS4437</t>
  </si>
  <si>
    <t>M1109</t>
  </si>
  <si>
    <t>rs7067513</t>
  </si>
  <si>
    <t>CTS4944</t>
  </si>
  <si>
    <t>M1218; PF5909</t>
  </si>
  <si>
    <t>rs28641196</t>
  </si>
  <si>
    <t>M1218</t>
  </si>
  <si>
    <t>CTS4944; PF5909</t>
  </si>
  <si>
    <t>PF5909</t>
  </si>
  <si>
    <t>CTS4944; M1218</t>
  </si>
  <si>
    <t>CTS5418</t>
  </si>
  <si>
    <t>M1222; PF5912</t>
  </si>
  <si>
    <t>rs9786869</t>
  </si>
  <si>
    <t>M1222</t>
  </si>
  <si>
    <t>CTS5418; PF5912</t>
  </si>
  <si>
    <t>PF5912</t>
  </si>
  <si>
    <t>CTS5418; M1222</t>
  </si>
  <si>
    <t>CTS5673</t>
  </si>
  <si>
    <t>M1225; PF5497; YSC0001285</t>
  </si>
  <si>
    <t>rs9786131</t>
  </si>
  <si>
    <t>M1225</t>
  </si>
  <si>
    <t>CTS5673; PF5497; YSC0001285</t>
  </si>
  <si>
    <t>PF5497</t>
  </si>
  <si>
    <t>CTS5673; M1225; YSC000125</t>
  </si>
  <si>
    <t>YSC0001285</t>
  </si>
  <si>
    <t>CTS5673; PF5497; M1225</t>
  </si>
  <si>
    <t>CTS5808</t>
  </si>
  <si>
    <t>M1226; PF5915</t>
  </si>
  <si>
    <t>rs9786560</t>
  </si>
  <si>
    <t>G-&gt;T</t>
  </si>
  <si>
    <t>M1226</t>
  </si>
  <si>
    <t>CTS5808; PF5915</t>
  </si>
  <si>
    <t>PF5915</t>
  </si>
  <si>
    <t>CTS5808; M1226</t>
  </si>
  <si>
    <t>CTS5884</t>
  </si>
  <si>
    <t>M1228; PF5917</t>
  </si>
  <si>
    <t>rs7893059</t>
  </si>
  <si>
    <t>A-&gt;G</t>
  </si>
  <si>
    <t>M1228</t>
  </si>
  <si>
    <t>CTS5884; PF5917</t>
  </si>
  <si>
    <t>PF5917</t>
  </si>
  <si>
    <t>CTS5884; M1228</t>
  </si>
  <si>
    <t>CTS6948</t>
  </si>
  <si>
    <t>M1231; PF5922</t>
  </si>
  <si>
    <t>rs9785736</t>
  </si>
  <si>
    <t>M1231</t>
  </si>
  <si>
    <t>CTS6948; PF5922</t>
  </si>
  <si>
    <t>PF5922</t>
  </si>
  <si>
    <t>CTS6948; M1231</t>
  </si>
  <si>
    <t>CTS7194</t>
  </si>
  <si>
    <t>M1232; PF5923</t>
  </si>
  <si>
    <t>rs9786620</t>
  </si>
  <si>
    <t>M1232</t>
  </si>
  <si>
    <t>CTS7194; PF5923</t>
  </si>
  <si>
    <t>PF5923</t>
  </si>
  <si>
    <t>CTS7194; M1232</t>
  </si>
  <si>
    <t>CTS7244</t>
  </si>
  <si>
    <t>M1233; PF5924</t>
  </si>
  <si>
    <t>rs67223617</t>
  </si>
  <si>
    <t>M1233</t>
  </si>
  <si>
    <t>CTS7244; PF5924</t>
  </si>
  <si>
    <t>PF5924</t>
  </si>
  <si>
    <t>CTS7244; M1233</t>
  </si>
  <si>
    <t>CTS7481</t>
  </si>
  <si>
    <t>M1234; PF5926</t>
  </si>
  <si>
    <t>rs9786435</t>
  </si>
  <si>
    <t>M1234</t>
  </si>
  <si>
    <t>CTS7481; PF5926</t>
  </si>
  <si>
    <t>PF5926</t>
  </si>
  <si>
    <t>CTS7481; M1234</t>
  </si>
  <si>
    <t>CTS7604</t>
  </si>
  <si>
    <t>M1235; PF5928</t>
  </si>
  <si>
    <t>rs7067512</t>
  </si>
  <si>
    <t>M1235</t>
  </si>
  <si>
    <t>CTS7604; PF5928</t>
  </si>
  <si>
    <t>PF5928</t>
  </si>
  <si>
    <t>CTS7604; M1235</t>
  </si>
  <si>
    <t>CTS7886</t>
  </si>
  <si>
    <t>M1236; PF5929</t>
  </si>
  <si>
    <t>rs9786693</t>
  </si>
  <si>
    <t>M1236</t>
  </si>
  <si>
    <t>CTS7886; PF5929</t>
  </si>
  <si>
    <t>PF5929</t>
  </si>
  <si>
    <t>CTS7886; M1236</t>
  </si>
  <si>
    <t>CTS8356</t>
  </si>
  <si>
    <t>M1237; PF5931</t>
  </si>
  <si>
    <t>rs75088938</t>
  </si>
  <si>
    <t>M1237</t>
  </si>
  <si>
    <t>CTS8356; PF5931</t>
  </si>
  <si>
    <t>PF5931</t>
  </si>
  <si>
    <t>CTS8356; M1237</t>
  </si>
  <si>
    <t>CTS8626</t>
  </si>
  <si>
    <t>M1239; PF5934</t>
  </si>
  <si>
    <t>rs9785917</t>
  </si>
  <si>
    <t>M1239</t>
  </si>
  <si>
    <t>CTS8626; PF5934</t>
  </si>
  <si>
    <t>PF5934</t>
  </si>
  <si>
    <t>M1239; CTS8626</t>
  </si>
  <si>
    <t>CTS9162</t>
  </si>
  <si>
    <t>L1185; M1241; PF5937</t>
  </si>
  <si>
    <t>rs9786307</t>
  </si>
  <si>
    <t>L1185</t>
  </si>
  <si>
    <t>CTS9162; M1241; PF5937</t>
  </si>
  <si>
    <t>M1241</t>
  </si>
  <si>
    <t>CTS9162; L1185; PF5937</t>
  </si>
  <si>
    <t>PF5937</t>
  </si>
  <si>
    <t>CTS9162; L1185; M1241</t>
  </si>
  <si>
    <t>CTS9604</t>
  </si>
  <si>
    <t>M1244; PF5942</t>
  </si>
  <si>
    <t>rs9785698</t>
  </si>
  <si>
    <t>M1244</t>
  </si>
  <si>
    <t>CTS9604; PF5942</t>
  </si>
  <si>
    <t>PF5942</t>
  </si>
  <si>
    <t>CTS9604; M1244</t>
  </si>
  <si>
    <t>CTS10081</t>
  </si>
  <si>
    <t>M1249; PF5947</t>
  </si>
  <si>
    <t>rs11096430</t>
  </si>
  <si>
    <t>M1249</t>
  </si>
  <si>
    <t>CTS10081; PF5947</t>
  </si>
  <si>
    <t>PF5947</t>
  </si>
  <si>
    <t>CTS10081; M1249</t>
  </si>
  <si>
    <t>CTS10085</t>
  </si>
  <si>
    <t>M1250; PF5948</t>
  </si>
  <si>
    <t>rs66522835</t>
  </si>
  <si>
    <t>M1250</t>
  </si>
  <si>
    <t>CTS10085; PF5948</t>
  </si>
  <si>
    <t>PF5948</t>
  </si>
  <si>
    <t>CTS10085; M1250</t>
  </si>
  <si>
    <t>CTS10168</t>
  </si>
  <si>
    <t>M1149</t>
  </si>
  <si>
    <t>rs56875535</t>
  </si>
  <si>
    <t>A-&gt;C</t>
  </si>
  <si>
    <t>CTS10348</t>
  </si>
  <si>
    <t>M1252; PF5950</t>
  </si>
  <si>
    <t>rs4354487</t>
  </si>
  <si>
    <t>M1252</t>
  </si>
  <si>
    <t>CTS10348; PF5950</t>
  </si>
  <si>
    <t>PF5950</t>
  </si>
  <si>
    <t>CTS10348; M1252</t>
  </si>
  <si>
    <t>CTS10454</t>
  </si>
  <si>
    <t>M1253</t>
  </si>
  <si>
    <t>rs9786839</t>
  </si>
  <si>
    <t>CTS10859</t>
  </si>
  <si>
    <t>M1269</t>
  </si>
  <si>
    <t>rs9786351</t>
  </si>
  <si>
    <t>CTS12028</t>
  </si>
  <si>
    <t>M1272; PF5977</t>
  </si>
  <si>
    <t>rs7892923</t>
  </si>
  <si>
    <t>PF5977</t>
  </si>
  <si>
    <t>M1272; CTS12028</t>
  </si>
  <si>
    <t>M1272</t>
  </si>
  <si>
    <t>PF5977; CTS12028</t>
  </si>
  <si>
    <t>CTS12524</t>
  </si>
  <si>
    <t>PF5988</t>
  </si>
  <si>
    <t>rs9786818</t>
  </si>
  <si>
    <t>CTS12648</t>
  </si>
  <si>
    <t>M1276; PF5512</t>
  </si>
  <si>
    <t>rs9786217</t>
  </si>
  <si>
    <t>M1276</t>
  </si>
  <si>
    <t>CTS12648; PF5512</t>
  </si>
  <si>
    <t>PF5512</t>
  </si>
  <si>
    <t>CTS12648; M1276</t>
  </si>
  <si>
    <t>F4</t>
  </si>
  <si>
    <t>M1183; PF5991</t>
  </si>
  <si>
    <t>rs67960559</t>
  </si>
  <si>
    <t>M1183</t>
  </si>
  <si>
    <t>F4; PF5991</t>
  </si>
  <si>
    <t>PF5991</t>
  </si>
  <si>
    <t>F4; M1183</t>
  </si>
  <si>
    <t>F29</t>
  </si>
  <si>
    <t>L821; M5579; PF5857</t>
  </si>
  <si>
    <t>rs9785983</t>
  </si>
  <si>
    <t>L821</t>
  </si>
  <si>
    <t>F29; M5579; PF5857</t>
  </si>
  <si>
    <t>M5579</t>
  </si>
  <si>
    <t>F29; L821; PF5857</t>
  </si>
  <si>
    <t>PF5857</t>
  </si>
  <si>
    <t>F29; L821; M5579</t>
  </si>
  <si>
    <t>F83</t>
  </si>
  <si>
    <t>M1185; PF5861</t>
  </si>
  <si>
    <t>rs9786518</t>
  </si>
  <si>
    <t>T-&gt;A</t>
  </si>
  <si>
    <t>M1185</t>
  </si>
  <si>
    <t>F83; PF5861</t>
  </si>
  <si>
    <t>PF5861</t>
  </si>
  <si>
    <t>F83; M1185</t>
  </si>
  <si>
    <t>F115</t>
  </si>
  <si>
    <t>M1189; PF5870</t>
  </si>
  <si>
    <t>rs7893084</t>
  </si>
  <si>
    <t>M1189</t>
  </si>
  <si>
    <t>F115; PF5870</t>
  </si>
  <si>
    <t>PF5870</t>
  </si>
  <si>
    <t>F115; M1189</t>
  </si>
  <si>
    <t>F180</t>
  </si>
  <si>
    <t>M1196; PF5881</t>
  </si>
  <si>
    <t>rs67144031</t>
  </si>
  <si>
    <t>M1196</t>
  </si>
  <si>
    <t>F180; PF5881</t>
  </si>
  <si>
    <t>PF5881</t>
  </si>
  <si>
    <t>F180; M1196</t>
  </si>
  <si>
    <t>F212</t>
  </si>
  <si>
    <t>M1198; PF5885</t>
  </si>
  <si>
    <t>rs17221468</t>
  </si>
  <si>
    <t>M1198</t>
  </si>
  <si>
    <t>F212; PF5885</t>
  </si>
  <si>
    <t>PF5885</t>
  </si>
  <si>
    <t>F212; M1198</t>
  </si>
  <si>
    <t>F313</t>
  </si>
  <si>
    <t>M1219</t>
  </si>
  <si>
    <t>rs9785839</t>
  </si>
  <si>
    <t>F332</t>
  </si>
  <si>
    <t>M1224; PF5914</t>
  </si>
  <si>
    <t>rs7067253</t>
  </si>
  <si>
    <t>M1224</t>
  </si>
  <si>
    <t>F332; PF5914</t>
  </si>
  <si>
    <t>PF5914</t>
  </si>
  <si>
    <t>F332; M1224</t>
  </si>
  <si>
    <t>F344</t>
  </si>
  <si>
    <t>M1227; PF5916</t>
  </si>
  <si>
    <t>rs67103600</t>
  </si>
  <si>
    <t>M1227</t>
  </si>
  <si>
    <t>F344; PF5916</t>
  </si>
  <si>
    <t>PF5916</t>
  </si>
  <si>
    <t>M1227; F344</t>
  </si>
  <si>
    <t>F359</t>
  </si>
  <si>
    <t>M1229; PF5920</t>
  </si>
  <si>
    <t>rs17222251</t>
  </si>
  <si>
    <t>M1229</t>
  </si>
  <si>
    <t>F359; PF5920</t>
  </si>
  <si>
    <t>PF5920</t>
  </si>
  <si>
    <t>F359; M1229</t>
  </si>
  <si>
    <t>F506</t>
  </si>
  <si>
    <t>M1243; PF5940</t>
  </si>
  <si>
    <t>rs9645174</t>
  </si>
  <si>
    <t>M1243</t>
  </si>
  <si>
    <t>F506; PF5940</t>
  </si>
  <si>
    <t>PF5940</t>
  </si>
  <si>
    <t>F506; M1243</t>
  </si>
  <si>
    <t>F521</t>
  </si>
  <si>
    <t>M1247; PF5944</t>
  </si>
  <si>
    <t>rs7067366</t>
  </si>
  <si>
    <t>M1247</t>
  </si>
  <si>
    <t>F521; PF5944</t>
  </si>
  <si>
    <t>PF5944</t>
  </si>
  <si>
    <t>F521; M1247</t>
  </si>
  <si>
    <t>F524</t>
  </si>
  <si>
    <t>M1248; PF5945</t>
  </si>
  <si>
    <t>rs9306840</t>
  </si>
  <si>
    <t>M1248</t>
  </si>
  <si>
    <t>F524; PF5945</t>
  </si>
  <si>
    <t>PF5945</t>
  </si>
  <si>
    <t>F524; M1248</t>
  </si>
  <si>
    <t>F536</t>
  </si>
  <si>
    <t>M1251; PF5949</t>
  </si>
  <si>
    <t>rs7067354</t>
  </si>
  <si>
    <t>A-&gt;T</t>
  </si>
  <si>
    <t>M1251</t>
  </si>
  <si>
    <t>F536; PF5949</t>
  </si>
  <si>
    <t>PF5949</t>
  </si>
  <si>
    <t>F536; M1251</t>
  </si>
  <si>
    <t>F556</t>
  </si>
  <si>
    <t>PF5951</t>
  </si>
  <si>
    <t>rs7067517</t>
  </si>
  <si>
    <t>F640</t>
  </si>
  <si>
    <t>M1271; PF5975</t>
  </si>
  <si>
    <t>rs9785677</t>
  </si>
  <si>
    <t>M1271</t>
  </si>
  <si>
    <t>F640; PF5975</t>
  </si>
  <si>
    <t>PF5975</t>
  </si>
  <si>
    <t>F640; M1271</t>
  </si>
  <si>
    <t>F647</t>
  </si>
  <si>
    <t>M1273; PF5978</t>
  </si>
  <si>
    <t>rs9786245</t>
  </si>
  <si>
    <t>M1273</t>
  </si>
  <si>
    <t>F647; PF5978</t>
  </si>
  <si>
    <t>PF5978</t>
  </si>
  <si>
    <t>F647; M1273</t>
  </si>
  <si>
    <t>F671</t>
  </si>
  <si>
    <t>M1274; PF5981</t>
  </si>
  <si>
    <t>rs1276035</t>
  </si>
  <si>
    <t>M1274</t>
  </si>
  <si>
    <t>F671; PF5981</t>
  </si>
  <si>
    <t>PF5981</t>
  </si>
  <si>
    <t>F671; M1274</t>
  </si>
  <si>
    <t>F680</t>
  </si>
  <si>
    <t>M1275; PF5984</t>
  </si>
  <si>
    <t>rs28542474</t>
  </si>
  <si>
    <t>M1275</t>
  </si>
  <si>
    <t>F680; PF5984</t>
  </si>
  <si>
    <t>PF5984</t>
  </si>
  <si>
    <t>F680; M1275</t>
  </si>
  <si>
    <t>F1660</t>
  </si>
  <si>
    <t>PF5889</t>
  </si>
  <si>
    <t>FGC285</t>
  </si>
  <si>
    <t>rs9786741</t>
  </si>
  <si>
    <t xml:space="preserve">L82  </t>
  </si>
  <si>
    <t>PF5972</t>
  </si>
  <si>
    <t>rs3906452</t>
  </si>
  <si>
    <t>L82</t>
  </si>
  <si>
    <t>M1160</t>
  </si>
  <si>
    <t>PF5958</t>
  </si>
  <si>
    <t>rs9786369</t>
  </si>
  <si>
    <t>M1186</t>
  </si>
  <si>
    <t>PF5864</t>
  </si>
  <si>
    <t>rs9792835</t>
  </si>
  <si>
    <t>PF5764</t>
  </si>
  <si>
    <t>M1187</t>
  </si>
  <si>
    <t>PF5865</t>
  </si>
  <si>
    <t>rs9786743</t>
  </si>
  <si>
    <t>M1188</t>
  </si>
  <si>
    <t>PF5869</t>
  </si>
  <si>
    <t>rs9306847</t>
  </si>
  <si>
    <t>M1190</t>
  </si>
  <si>
    <t>PF5871</t>
  </si>
  <si>
    <t>rs66524666</t>
  </si>
  <si>
    <t>M1191</t>
  </si>
  <si>
    <t>Y474</t>
  </si>
  <si>
    <t>rs7067460</t>
  </si>
  <si>
    <t>M1192</t>
  </si>
  <si>
    <t>PF5872</t>
  </si>
  <si>
    <t>rs9786205</t>
  </si>
  <si>
    <t>M1193</t>
  </si>
  <si>
    <t>PF5876</t>
  </si>
  <si>
    <t>rs9786428</t>
  </si>
  <si>
    <t>M1194</t>
  </si>
  <si>
    <t>PF5878</t>
  </si>
  <si>
    <t>rs61504446</t>
  </si>
  <si>
    <t>M1195</t>
  </si>
  <si>
    <t>PF5880</t>
  </si>
  <si>
    <t>rs7067233</t>
  </si>
  <si>
    <t>M1197</t>
  </si>
  <si>
    <t>PF5883</t>
  </si>
  <si>
    <t>rs67750138</t>
  </si>
  <si>
    <t>M1199</t>
  </si>
  <si>
    <t>PF5886</t>
  </si>
  <si>
    <t>rs9786691</t>
  </si>
  <si>
    <t>M1207</t>
  </si>
  <si>
    <t>Y44</t>
  </si>
  <si>
    <t>rs373628562</t>
  </si>
  <si>
    <t>M1216</t>
  </si>
  <si>
    <t>PF5908</t>
  </si>
  <si>
    <t>rs9786251</t>
  </si>
  <si>
    <t>M1240</t>
  </si>
  <si>
    <t>PF5936</t>
  </si>
  <si>
    <t>rs9786233</t>
  </si>
  <si>
    <t>M1246</t>
  </si>
  <si>
    <t>PF5943</t>
  </si>
  <si>
    <t>rs7067524</t>
  </si>
  <si>
    <t>M1254</t>
  </si>
  <si>
    <t>PF6062</t>
  </si>
  <si>
    <t>rs66540167</t>
  </si>
  <si>
    <t>M1255</t>
  </si>
  <si>
    <t>PF5952</t>
  </si>
  <si>
    <t>rs4336788</t>
  </si>
  <si>
    <t>M1256</t>
  </si>
  <si>
    <t>PF5954</t>
  </si>
  <si>
    <t>rs67002177</t>
  </si>
  <si>
    <t>M1257</t>
  </si>
  <si>
    <t>PF5955</t>
  </si>
  <si>
    <t>rs66709083</t>
  </si>
  <si>
    <t>M1258</t>
  </si>
  <si>
    <t>PF6066</t>
  </si>
  <si>
    <t>rs72613033</t>
  </si>
  <si>
    <t>M1259</t>
  </si>
  <si>
    <t>PF5956</t>
  </si>
  <si>
    <t>rs9786577</t>
  </si>
  <si>
    <t>M1260</t>
  </si>
  <si>
    <t>PF5957</t>
  </si>
  <si>
    <t>rs9785843</t>
  </si>
  <si>
    <t>M1261</t>
  </si>
  <si>
    <t>PF5959</t>
  </si>
  <si>
    <t>rs2217169</t>
  </si>
  <si>
    <t>M1262</t>
  </si>
  <si>
    <t>PF5961</t>
  </si>
  <si>
    <t>rs67055410</t>
  </si>
  <si>
    <t>M1263</t>
  </si>
  <si>
    <t>PF5964</t>
  </si>
  <si>
    <t>rs7067297</t>
  </si>
  <si>
    <t>M1264</t>
  </si>
  <si>
    <t>rs9786678</t>
  </si>
  <si>
    <t>M1265</t>
  </si>
  <si>
    <t>PF5965</t>
  </si>
  <si>
    <t>rs9786052</t>
  </si>
  <si>
    <t>M1267</t>
  </si>
  <si>
    <t>Y507</t>
  </si>
  <si>
    <t>rs9786190</t>
  </si>
  <si>
    <t>PF5481</t>
  </si>
  <si>
    <t>rs9786742</t>
  </si>
  <si>
    <t>PF5483</t>
  </si>
  <si>
    <t>rs56170734</t>
  </si>
  <si>
    <t>PF5511</t>
  </si>
  <si>
    <t>rs7067421</t>
  </si>
  <si>
    <t>PF5867</t>
  </si>
  <si>
    <t>rs9785776</t>
  </si>
  <si>
    <t>PF5882</t>
  </si>
  <si>
    <t>rs7893095</t>
  </si>
  <si>
    <t>PF5887</t>
  </si>
  <si>
    <t>rs9786314</t>
  </si>
  <si>
    <t>PF5888</t>
  </si>
  <si>
    <t>PF5935</t>
  </si>
  <si>
    <t>rs7893068</t>
  </si>
  <si>
    <t>PF5982</t>
  </si>
  <si>
    <t>rs1276032</t>
  </si>
  <si>
    <t>PF5985</t>
  </si>
  <si>
    <t>rs61019150</t>
  </si>
  <si>
    <t>M45</t>
  </si>
  <si>
    <t>PF5962</t>
  </si>
  <si>
    <t>rs2032631</t>
  </si>
  <si>
    <t>F1857</t>
  </si>
  <si>
    <t>P337; Page83; PF5901</t>
  </si>
  <si>
    <t>rs13305774</t>
  </si>
  <si>
    <t>P337</t>
  </si>
  <si>
    <t>F1857; Page83; PF5901</t>
  </si>
  <si>
    <t>Page83</t>
  </si>
  <si>
    <t>F1857; PF5901; P337</t>
  </si>
  <si>
    <t>PF5901</t>
  </si>
  <si>
    <t>F1857; Page83; P337</t>
  </si>
  <si>
    <t>M74</t>
  </si>
  <si>
    <t>N12; PF5963</t>
  </si>
  <si>
    <t>rs2032635</t>
  </si>
  <si>
    <t>N12</t>
  </si>
  <si>
    <t>M74; PF5963</t>
  </si>
  <si>
    <t>PF5963</t>
  </si>
  <si>
    <t>M74; N12</t>
  </si>
  <si>
    <t>P226</t>
  </si>
  <si>
    <t>PF5879</t>
  </si>
  <si>
    <t>rs17250992</t>
  </si>
  <si>
    <t>P228</t>
  </si>
  <si>
    <t>PF5927</t>
  </si>
  <si>
    <t>rs17222419</t>
  </si>
  <si>
    <t>P230</t>
  </si>
  <si>
    <t>PF5925</t>
  </si>
  <si>
    <t>rs9786781</t>
  </si>
  <si>
    <t>P235</t>
  </si>
  <si>
    <t>PF5946</t>
  </si>
  <si>
    <t>rs9786119</t>
  </si>
  <si>
    <t>P237</t>
  </si>
  <si>
    <t>PF5873</t>
  </si>
  <si>
    <t>rs9785740</t>
  </si>
  <si>
    <t>P239</t>
  </si>
  <si>
    <t>PF5930</t>
  </si>
  <si>
    <t>rs8181264</t>
  </si>
  <si>
    <t>P243</t>
  </si>
  <si>
    <t>PF5874</t>
  </si>
  <si>
    <t>rs4141564</t>
  </si>
  <si>
    <t>P244</t>
  </si>
  <si>
    <t>PF5896</t>
  </si>
  <si>
    <t>rs2740981</t>
  </si>
  <si>
    <t>P281</t>
  </si>
  <si>
    <t>PF5941</t>
  </si>
  <si>
    <t>rs17315758</t>
  </si>
  <si>
    <t>P282</t>
  </si>
  <si>
    <t>PF5932</t>
  </si>
  <si>
    <t>rs17307656</t>
  </si>
  <si>
    <t>P283</t>
  </si>
  <si>
    <t>PF5966</t>
  </si>
  <si>
    <t>rs3865828</t>
  </si>
  <si>
    <t>P284</t>
  </si>
  <si>
    <t>rs4116821</t>
  </si>
  <si>
    <t>L138</t>
  </si>
  <si>
    <t>rs9786091</t>
  </si>
  <si>
    <t>L268</t>
  </si>
  <si>
    <t>PF5983</t>
  </si>
  <si>
    <t>rs9786514</t>
  </si>
  <si>
    <t>L405</t>
  </si>
  <si>
    <t>PF5990</t>
  </si>
  <si>
    <t>rs9786602</t>
  </si>
  <si>
    <t>L471</t>
  </si>
  <si>
    <t>PF5989</t>
  </si>
  <si>
    <t>rs4141927</t>
  </si>
  <si>
    <t>L536</t>
  </si>
  <si>
    <t>PF5860</t>
  </si>
  <si>
    <t>rs66784623</t>
  </si>
  <si>
    <t>L721</t>
  </si>
  <si>
    <t>PF6020</t>
  </si>
  <si>
    <t>rs9786124</t>
  </si>
  <si>
    <t>L741</t>
  </si>
  <si>
    <t>PF5960; YSC0000297</t>
  </si>
  <si>
    <t>rs9786789</t>
  </si>
  <si>
    <t>PF5960</t>
  </si>
  <si>
    <t>L741; YSC0000297</t>
  </si>
  <si>
    <t>YSC0000297</t>
  </si>
  <si>
    <t>L741; PF5960</t>
  </si>
  <si>
    <t>L768</t>
  </si>
  <si>
    <t>PF5976; YSC0000274</t>
  </si>
  <si>
    <t>rs9785894</t>
  </si>
  <si>
    <t>PF5976</t>
  </si>
  <si>
    <t>L768; YSC0000274</t>
  </si>
  <si>
    <t>YSC0000274</t>
  </si>
  <si>
    <t>L768; PF5976</t>
  </si>
  <si>
    <t>L779</t>
  </si>
  <si>
    <t>PF5907; YSC0000251</t>
  </si>
  <si>
    <t>rs9306837</t>
  </si>
  <si>
    <t>PF5907</t>
  </si>
  <si>
    <t>L779; YSC0000251</t>
  </si>
  <si>
    <t>YSC0000251</t>
  </si>
  <si>
    <t>L779; PF5907</t>
  </si>
  <si>
    <t>L781</t>
  </si>
  <si>
    <t>PF5875; YSC0000255</t>
  </si>
  <si>
    <t>rs3853055</t>
  </si>
  <si>
    <t>PF5875</t>
  </si>
  <si>
    <t>L781; YSC0000255</t>
  </si>
  <si>
    <t>YSC0000255</t>
  </si>
  <si>
    <t>L781; PF5875</t>
  </si>
  <si>
    <t>B253</t>
  </si>
  <si>
    <t>rs1003790053</t>
  </si>
  <si>
    <t>Z33760</t>
  </si>
  <si>
    <t>rs891891264</t>
  </si>
  <si>
    <t>Z33761</t>
  </si>
  <si>
    <t>rs977297628</t>
  </si>
  <si>
    <t>Z33762</t>
  </si>
  <si>
    <t>rs980415074</t>
  </si>
  <si>
    <t>Z33763</t>
  </si>
  <si>
    <t>mutation information found for haplogroups Q &amp; R on their tree pages</t>
  </si>
</sst>
</file>

<file path=xl/styles.xml><?xml version="1.0" encoding="utf-8"?>
<styleSheet xmlns="http://schemas.openxmlformats.org/spreadsheetml/2006/main" xmlns:x14ac="http://schemas.microsoft.com/office/spreadsheetml/2009/9/ac" xmlns:mc="http://schemas.openxmlformats.org/markup-compatibility/2006">
  <fonts count="34">
    <font>
      <sz val="10.0"/>
      <color rgb="FF000000"/>
      <name val="Arial"/>
    </font>
    <font>
      <name val="Arial"/>
    </font>
    <font>
      <b/>
      <sz val="24.0"/>
      <color rgb="FF000000"/>
      <name val="Times New Roman"/>
    </font>
    <font>
      <b/>
      <i/>
      <color rgb="FFCC0000"/>
      <name val="Arial"/>
    </font>
    <font/>
    <font>
      <u/>
      <sz val="12.0"/>
      <color rgb="FF0066CC"/>
      <name val="Times New Roman"/>
    </font>
    <font>
      <u/>
      <sz val="12.0"/>
      <color rgb="FF0066CC"/>
      <name val="Times New Roman"/>
    </font>
    <font>
      <sz val="12.0"/>
      <color rgb="FF000000"/>
      <name val="Times New Roman"/>
    </font>
    <font>
      <sz val="12.0"/>
      <name val="Times New Roman"/>
    </font>
    <font>
      <u/>
      <sz val="12.0"/>
      <color rgb="FF0066CC"/>
      <name val="Times New Roman"/>
    </font>
    <font>
      <b/>
      <sz val="12.0"/>
      <name val="Times New Roman"/>
    </font>
    <font>
      <u/>
      <sz val="12.0"/>
      <color rgb="FF0000FF"/>
      <name val="Times New Roman"/>
    </font>
    <font>
      <u/>
      <sz val="12.0"/>
      <color rgb="FF0066CC"/>
      <name val="Times New Roman"/>
    </font>
    <font>
      <u/>
      <sz val="12.0"/>
      <color rgb="FF1155CC"/>
      <name val="Times New Roman"/>
    </font>
    <font>
      <b/>
      <sz val="12.0"/>
      <color rgb="FF000000"/>
      <name val="Times New Roman"/>
    </font>
    <font>
      <sz val="12.0"/>
      <color rgb="FFCC0000"/>
      <name val="Times New Roman"/>
    </font>
    <font>
      <sz val="12.0"/>
      <color rgb="FF999999"/>
      <name val="Times New Roman"/>
    </font>
    <font>
      <u/>
      <sz val="12.0"/>
      <color rgb="FF0066CC"/>
      <name val="Times New Roman"/>
    </font>
    <font>
      <b/>
      <u/>
      <sz val="12.0"/>
      <color rgb="FFFFFFFF"/>
      <name val="Times New Roman"/>
    </font>
    <font>
      <b/>
      <color rgb="FF000000"/>
      <name val="Arial"/>
    </font>
    <font>
      <b/>
      <sz val="12.0"/>
      <color rgb="FFFFFFFF"/>
      <name val="Times New Roman"/>
    </font>
    <font>
      <color rgb="FF999999"/>
    </font>
    <font>
      <sz val="10.0"/>
      <color rgb="FF999999"/>
      <name val="Arial"/>
    </font>
    <font>
      <b/>
    </font>
    <font>
      <u/>
      <sz val="12.0"/>
      <color rgb="FF0000FF"/>
      <name val="Times New Roman"/>
    </font>
    <font>
      <color rgb="FF0000FF"/>
    </font>
    <font>
      <u/>
      <sz val="12.0"/>
      <color rgb="FF0000FF"/>
      <name val="Times New Roman"/>
    </font>
    <font>
      <u/>
      <sz val="12.0"/>
      <color rgb="FF0000FF"/>
      <name val="Times New Roman"/>
    </font>
    <font>
      <b/>
      <sz val="14.0"/>
    </font>
    <font>
      <color rgb="FFCC0000"/>
    </font>
    <font>
      <u/>
      <color rgb="FF0000FF"/>
    </font>
    <font>
      <sz val="11.0"/>
      <color rgb="FF000000"/>
      <name val="Calibri"/>
    </font>
    <font>
      <sz val="12.0"/>
      <name val="&quot;Calibri&quot;"/>
    </font>
    <font>
      <sz val="11.0"/>
      <name val="Calibri"/>
    </font>
  </fonts>
  <fills count="8">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FFFFFF"/>
        <bgColor rgb="FFFFFFFF"/>
      </patternFill>
    </fill>
    <fill>
      <patternFill patternType="solid">
        <fgColor rgb="FF339999"/>
        <bgColor rgb="FF339999"/>
      </patternFill>
    </fill>
    <fill>
      <patternFill patternType="solid">
        <fgColor rgb="FFC0C0C0"/>
        <bgColor rgb="FFC0C0C0"/>
      </patternFill>
    </fill>
    <fill>
      <patternFill patternType="solid">
        <fgColor rgb="FFFFF2CC"/>
        <bgColor rgb="FFFFF2CC"/>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border>
    <border>
      <bottom style="thin">
        <color rgb="FFD9D9D9"/>
      </bottom>
    </border>
    <border>
      <right style="thin">
        <color rgb="FFD9D9D9"/>
      </right>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readingOrder="0" vertical="bottom"/>
    </xf>
    <xf borderId="1" fillId="0" fontId="3" numFmtId="0" xfId="0" applyAlignment="1" applyBorder="1" applyFont="1">
      <alignment horizontal="center" readingOrder="0" shrinkToFit="0" vertical="bottom" wrapText="0"/>
    </xf>
    <xf borderId="2" fillId="0" fontId="4" numFmtId="0" xfId="0" applyBorder="1" applyFont="1"/>
    <xf borderId="3" fillId="0" fontId="4" numFmtId="0" xfId="0" applyBorder="1" applyFont="1"/>
    <xf borderId="4" fillId="0" fontId="1" numFmtId="0" xfId="0" applyAlignment="1" applyBorder="1" applyFont="1">
      <alignment vertical="bottom"/>
    </xf>
    <xf borderId="4" fillId="0" fontId="1" numFmtId="0" xfId="0" applyAlignment="1" applyBorder="1" applyFont="1">
      <alignment shrinkToFit="0" vertical="bottom" wrapText="0"/>
    </xf>
    <xf borderId="0" fillId="0" fontId="5" numFmtId="0" xfId="0" applyAlignment="1" applyFont="1">
      <alignment horizontal="left" readingOrder="0"/>
    </xf>
    <xf borderId="4" fillId="0" fontId="6" numFmtId="0" xfId="0" applyAlignment="1" applyBorder="1" applyFont="1">
      <alignment horizontal="center" shrinkToFit="0" vertical="bottom" wrapText="0"/>
    </xf>
    <xf borderId="4" fillId="0" fontId="7" numFmtId="0" xfId="0" applyAlignment="1" applyBorder="1" applyFont="1">
      <alignment horizontal="center" shrinkToFit="0" vertical="bottom" wrapText="0"/>
    </xf>
    <xf borderId="0" fillId="3" fontId="8" numFmtId="0" xfId="0" applyAlignment="1" applyFill="1" applyFont="1">
      <alignment vertical="bottom"/>
    </xf>
    <xf borderId="0" fillId="4" fontId="8" numFmtId="0" xfId="0" applyAlignment="1" applyFill="1" applyFont="1">
      <alignment vertical="bottom"/>
    </xf>
    <xf borderId="4" fillId="3" fontId="7" numFmtId="0" xfId="0" applyAlignment="1" applyBorder="1" applyFont="1">
      <alignment shrinkToFit="0" vertical="bottom" wrapText="0"/>
    </xf>
    <xf borderId="4" fillId="3" fontId="1" numFmtId="0" xfId="0" applyAlignment="1" applyBorder="1" applyFont="1">
      <alignment vertical="bottom"/>
    </xf>
    <xf borderId="0" fillId="3" fontId="1" numFmtId="0" xfId="0" applyAlignment="1" applyFont="1">
      <alignment vertical="bottom"/>
    </xf>
    <xf borderId="4" fillId="0" fontId="9" numFmtId="0" xfId="0" applyAlignment="1" applyBorder="1" applyFont="1">
      <alignment shrinkToFit="0" vertical="bottom" wrapText="0"/>
    </xf>
    <xf borderId="4" fillId="0" fontId="10" numFmtId="0" xfId="0" applyAlignment="1" applyBorder="1" applyFont="1">
      <alignment shrinkToFit="0" vertical="bottom" wrapText="0"/>
    </xf>
    <xf borderId="4" fillId="0" fontId="11" numFmtId="0" xfId="0" applyAlignment="1" applyBorder="1" applyFont="1">
      <alignment shrinkToFit="0" vertical="bottom" wrapText="0"/>
    </xf>
    <xf borderId="0" fillId="0" fontId="12" numFmtId="0" xfId="0" applyAlignment="1" applyFont="1">
      <alignment horizontal="center" vertical="bottom"/>
    </xf>
    <xf borderId="0" fillId="0" fontId="13" numFmtId="0" xfId="0" applyAlignment="1" applyFont="1">
      <alignment vertical="bottom"/>
    </xf>
    <xf borderId="4" fillId="0" fontId="14" numFmtId="0" xfId="0" applyAlignment="1" applyBorder="1" applyFont="1">
      <alignment shrinkToFit="0" vertical="bottom" wrapText="0"/>
    </xf>
    <xf borderId="4" fillId="0" fontId="15" numFmtId="0" xfId="0" applyAlignment="1" applyBorder="1" applyFont="1">
      <alignment horizontal="center" shrinkToFit="0" vertical="bottom" wrapText="0"/>
    </xf>
    <xf borderId="4" fillId="0" fontId="7" numFmtId="0" xfId="0" applyAlignment="1" applyBorder="1" applyFont="1">
      <alignment shrinkToFit="0" vertical="bottom" wrapText="0"/>
    </xf>
    <xf borderId="4" fillId="0" fontId="16" numFmtId="0" xfId="0" applyAlignment="1" applyBorder="1" applyFont="1">
      <alignment horizontal="center" shrinkToFit="0" vertical="bottom" wrapText="0"/>
    </xf>
    <xf borderId="5" fillId="0" fontId="1" numFmtId="0" xfId="0" applyAlignment="1" applyBorder="1" applyFont="1">
      <alignment vertical="bottom"/>
    </xf>
    <xf borderId="6" fillId="0" fontId="1" numFmtId="0" xfId="0" applyAlignment="1" applyBorder="1" applyFont="1">
      <alignment vertical="bottom"/>
    </xf>
    <xf borderId="0" fillId="3" fontId="8" numFmtId="0" xfId="0" applyAlignment="1" applyFont="1">
      <alignment readingOrder="0" shrinkToFit="0" vertical="bottom" wrapText="1"/>
    </xf>
    <xf borderId="5" fillId="3" fontId="8" numFmtId="0" xfId="0" applyAlignment="1" applyBorder="1" applyFont="1">
      <alignment readingOrder="0" shrinkToFit="0" vertical="bottom" wrapText="1"/>
    </xf>
    <xf borderId="5" fillId="0" fontId="4" numFmtId="0" xfId="0" applyBorder="1" applyFont="1"/>
    <xf borderId="4" fillId="0" fontId="7" numFmtId="0" xfId="0" applyAlignment="1" applyBorder="1" applyFont="1">
      <alignment readingOrder="0" shrinkToFit="0" vertical="bottom" wrapText="0"/>
    </xf>
    <xf borderId="0" fillId="0" fontId="17" numFmtId="0" xfId="0" applyAlignment="1" applyFont="1">
      <alignment horizontal="center" readingOrder="0"/>
    </xf>
    <xf borderId="4" fillId="0" fontId="1" numFmtId="0" xfId="0" applyAlignment="1" applyBorder="1" applyFont="1">
      <alignment readingOrder="0" shrinkToFit="0" vertical="bottom" wrapText="0"/>
    </xf>
    <xf borderId="0" fillId="4" fontId="1" numFmtId="0" xfId="0" applyAlignment="1" applyFont="1">
      <alignment vertical="bottom"/>
    </xf>
    <xf borderId="0" fillId="5" fontId="18" numFmtId="0" xfId="0" applyAlignment="1" applyFill="1" applyFont="1">
      <alignment horizontal="left" readingOrder="0"/>
    </xf>
    <xf borderId="0" fillId="4" fontId="19" numFmtId="0" xfId="0" applyAlignment="1" applyFont="1">
      <alignment readingOrder="0" shrinkToFit="0" vertical="bottom" wrapText="1"/>
    </xf>
    <xf borderId="0" fillId="6" fontId="20" numFmtId="0" xfId="0" applyAlignment="1" applyFill="1" applyFont="1">
      <alignment horizontal="left" readingOrder="0" vertical="center"/>
    </xf>
    <xf borderId="0" fillId="0" fontId="21" numFmtId="0" xfId="0" applyAlignment="1" applyFont="1">
      <alignment readingOrder="0" shrinkToFit="0" wrapText="1"/>
    </xf>
    <xf borderId="0" fillId="5" fontId="20" numFmtId="0" xfId="0" applyAlignment="1" applyFont="1">
      <alignment horizontal="left" readingOrder="0"/>
    </xf>
    <xf borderId="0" fillId="0" fontId="4" numFmtId="0" xfId="0" applyAlignment="1" applyFont="1">
      <alignment readingOrder="0" shrinkToFit="0" vertical="center" wrapText="1"/>
    </xf>
    <xf borderId="0" fillId="0" fontId="22" numFmtId="0" xfId="0" applyAlignment="1" applyFont="1">
      <alignment horizontal="left" readingOrder="0"/>
    </xf>
    <xf borderId="0" fillId="0" fontId="14" numFmtId="0" xfId="0" applyAlignment="1" applyFont="1">
      <alignment horizontal="left" readingOrder="0"/>
    </xf>
    <xf borderId="0" fillId="7" fontId="23" numFmtId="0" xfId="0" applyAlignment="1" applyFill="1" applyFont="1">
      <alignment readingOrder="0"/>
    </xf>
    <xf borderId="0" fillId="7" fontId="4" numFmtId="0" xfId="0" applyFont="1"/>
    <xf borderId="0" fillId="0" fontId="7" numFmtId="0" xfId="0" applyAlignment="1" applyFont="1">
      <alignment horizontal="left" readingOrder="0" shrinkToFit="0" wrapText="1"/>
    </xf>
    <xf borderId="0" fillId="0" fontId="7" numFmtId="0" xfId="0" applyAlignment="1" applyFont="1">
      <alignment horizontal="left" readingOrder="0" shrinkToFit="0" wrapText="1"/>
    </xf>
    <xf quotePrefix="1" borderId="0" fillId="0" fontId="7" numFmtId="0" xfId="0" applyAlignment="1" applyFont="1">
      <alignment horizontal="left" readingOrder="0"/>
    </xf>
    <xf borderId="0" fillId="0" fontId="7" numFmtId="0" xfId="0" applyAlignment="1" applyFont="1">
      <alignment horizontal="left" readingOrder="0"/>
    </xf>
    <xf borderId="0" fillId="0" fontId="24" numFmtId="0" xfId="0" applyAlignment="1" applyFont="1">
      <alignment horizontal="left" readingOrder="0"/>
    </xf>
    <xf borderId="0" fillId="0" fontId="25" numFmtId="0" xfId="0" applyFont="1"/>
    <xf borderId="0" fillId="0" fontId="26" numFmtId="0" xfId="0" applyAlignment="1" applyFont="1">
      <alignment horizontal="left" readingOrder="0"/>
    </xf>
    <xf borderId="0" fillId="4" fontId="7" numFmtId="0" xfId="0" applyAlignment="1" applyFont="1">
      <alignment readingOrder="0"/>
    </xf>
    <xf borderId="0" fillId="0" fontId="8" numFmtId="0" xfId="0" applyFont="1"/>
    <xf borderId="0" fillId="0" fontId="8" numFmtId="0" xfId="0" applyAlignment="1" applyFont="1">
      <alignment readingOrder="0"/>
    </xf>
    <xf borderId="0" fillId="0" fontId="27" numFmtId="0" xfId="0" applyAlignment="1" applyFont="1">
      <alignment readingOrder="0"/>
    </xf>
    <xf borderId="0" fillId="7" fontId="28" numFmtId="0" xfId="0" applyAlignment="1" applyFont="1">
      <alignment readingOrder="0"/>
    </xf>
    <xf borderId="0" fillId="4" fontId="23" numFmtId="0" xfId="0" applyAlignment="1" applyFont="1">
      <alignment readingOrder="0"/>
    </xf>
    <xf borderId="0" fillId="4" fontId="4" numFmtId="0" xfId="0" applyAlignment="1" applyFont="1">
      <alignment readingOrder="0"/>
    </xf>
    <xf borderId="0" fillId="4" fontId="4" numFmtId="0" xfId="0" applyFont="1"/>
    <xf borderId="0" fillId="0" fontId="29" numFmtId="0" xfId="0" applyAlignment="1" applyFont="1">
      <alignment readingOrder="0"/>
    </xf>
    <xf borderId="0" fillId="0" fontId="23" numFmtId="0" xfId="0" applyFont="1"/>
    <xf borderId="0" fillId="0" fontId="23" numFmtId="0" xfId="0" applyAlignment="1" applyFont="1">
      <alignment readingOrder="0"/>
    </xf>
    <xf borderId="0" fillId="0" fontId="4" numFmtId="0" xfId="0" applyAlignment="1" applyFont="1">
      <alignment readingOrder="0"/>
    </xf>
    <xf borderId="0" fillId="0" fontId="30" numFmtId="0" xfId="0" applyFont="1"/>
    <xf borderId="0" fillId="0" fontId="31" numFmtId="0" xfId="0" applyAlignment="1" applyFont="1">
      <alignment readingOrder="0" shrinkToFit="0" vertical="bottom" wrapText="0"/>
    </xf>
    <xf borderId="0" fillId="0" fontId="31" numFmtId="0" xfId="0" applyAlignment="1" applyFont="1">
      <alignment horizontal="right" readingOrder="0" shrinkToFit="0" vertical="bottom" wrapText="0"/>
    </xf>
    <xf borderId="0" fillId="0" fontId="32" numFmtId="0" xfId="0" applyFont="1"/>
    <xf borderId="0" fillId="4" fontId="1" numFmtId="0" xfId="0" applyAlignment="1" applyFont="1">
      <alignment readingOrder="0" vertical="bottom"/>
    </xf>
    <xf borderId="0" fillId="4" fontId="3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dr:oneCellAnchor>
    <xdr:from>
      <xdr:col>7</xdr:col>
      <xdr:colOff>590550</xdr:colOff>
      <xdr:row>80</xdr:row>
      <xdr:rowOff>152400</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20" Type="http://schemas.openxmlformats.org/officeDocument/2006/relationships/hyperlink" Target="http://hpgl.stanford.edu/publications/AJHG_2003_v72_p281-302.pdf" TargetMode="External"/><Relationship Id="rId22" Type="http://schemas.openxmlformats.org/officeDocument/2006/relationships/hyperlink" Target="http://www.blackwell-synergy.com/doi/abs/10.1046/j.1529-8817.2005.00174.x" TargetMode="External"/><Relationship Id="rId21" Type="http://schemas.openxmlformats.org/officeDocument/2006/relationships/hyperlink" Target="http://hpgl.stanford.edu/publications/AJHG_2003_v72_p313-332.pdf" TargetMode="External"/><Relationship Id="rId24" Type="http://schemas.openxmlformats.org/officeDocument/2006/relationships/hyperlink" Target="http://www.ncbi.nlm.nih.gov/pmc/articles/PMC2790577/?tool=pubmed" TargetMode="External"/><Relationship Id="rId23" Type="http://schemas.openxmlformats.org/officeDocument/2006/relationships/hyperlink" Target="http://www.nature.com/ncomms/2013/131217/ncomms3928/full/ncomms3928.html" TargetMode="External"/><Relationship Id="rId1" Type="http://schemas.openxmlformats.org/officeDocument/2006/relationships/hyperlink" Target="http://www.isogg.org/tree/index.html" TargetMode="External"/><Relationship Id="rId2" Type="http://schemas.openxmlformats.org/officeDocument/2006/relationships/hyperlink" Target="http://www.isogg.org/tree/index.html" TargetMode="External"/><Relationship Id="rId3" Type="http://schemas.openxmlformats.org/officeDocument/2006/relationships/hyperlink" Target="http://www.isogg.org/tree/ISOGG_YDNA_Version_History.html" TargetMode="External"/><Relationship Id="rId4" Type="http://schemas.openxmlformats.org/officeDocument/2006/relationships/hyperlink" Target="http://www.isogg.org/tree/index.html" TargetMode="External"/><Relationship Id="rId9" Type="http://schemas.openxmlformats.org/officeDocument/2006/relationships/hyperlink" Target="https://isogg.org/tree/ISOGG_HapgrpK.html" TargetMode="External"/><Relationship Id="rId26" Type="http://schemas.openxmlformats.org/officeDocument/2006/relationships/hyperlink" Target="http://hpgl.stanford.edu/publications/AJHG_1999_v65_p1718.pdf" TargetMode="External"/><Relationship Id="rId25" Type="http://schemas.openxmlformats.org/officeDocument/2006/relationships/hyperlink" Target="http://evolutsioon.ut.ee/publications/Shen2004.pdf" TargetMode="External"/><Relationship Id="rId28" Type="http://schemas.openxmlformats.org/officeDocument/2006/relationships/hyperlink" Target="http://www.nature.com/ejhg/journal/v16/n6/pdf/5201998a.pdf" TargetMode="External"/><Relationship Id="rId27" Type="http://schemas.openxmlformats.org/officeDocument/2006/relationships/hyperlink" Target="http://hpgl.stanford.edu/publications/CB_2002_p1-18.pdf" TargetMode="External"/><Relationship Id="rId5" Type="http://schemas.openxmlformats.org/officeDocument/2006/relationships/hyperlink" Target="http://www.isogg.org/tree/ISOGG_All_Papers.html" TargetMode="External"/><Relationship Id="rId6" Type="http://schemas.openxmlformats.org/officeDocument/2006/relationships/hyperlink" Target="http://www.isogg.org/tree/ISOGG_YDNATreeTrunk.html" TargetMode="External"/><Relationship Id="rId29" Type="http://schemas.openxmlformats.org/officeDocument/2006/relationships/hyperlink" Target="http://www.isogg.org/wiki/Wiki_Welcome_Page" TargetMode="External"/><Relationship Id="rId7" Type="http://schemas.openxmlformats.org/officeDocument/2006/relationships/hyperlink" Target="http://www.isogg.org/tree/ISOGG_Glossary.html" TargetMode="External"/><Relationship Id="rId8" Type="http://schemas.openxmlformats.org/officeDocument/2006/relationships/hyperlink" Target="mailto:dnagrouper2@gmail.com" TargetMode="External"/><Relationship Id="rId30" Type="http://schemas.openxmlformats.org/officeDocument/2006/relationships/drawing" Target="../drawings/drawing1.xml"/><Relationship Id="rId11" Type="http://schemas.openxmlformats.org/officeDocument/2006/relationships/hyperlink" Target="http://www.familytreedna.com/pdf/Behar_contrasting.pdf" TargetMode="External"/><Relationship Id="rId10" Type="http://schemas.openxmlformats.org/officeDocument/2006/relationships/hyperlink" Target="https://isogg.org/tree/ISOGG_HapgrpQ.html" TargetMode="External"/><Relationship Id="rId13" Type="http://schemas.openxmlformats.org/officeDocument/2006/relationships/hyperlink" Target="http://www.pubmedcentral.nih.gov/articlerender.fcgi?artid=1180678" TargetMode="External"/><Relationship Id="rId12" Type="http://schemas.openxmlformats.org/officeDocument/2006/relationships/hyperlink" Target="http://www.nature.com/nature/journal/v466/n7303/abs/nature09103.html" TargetMode="External"/><Relationship Id="rId15" Type="http://schemas.openxmlformats.org/officeDocument/2006/relationships/hyperlink" Target="http://www.nature.com/ejhg/journal/v19/n2/full/ejhg2010162a.html" TargetMode="External"/><Relationship Id="rId14" Type="http://schemas.openxmlformats.org/officeDocument/2006/relationships/hyperlink" Target="http://www.familytreedna.com/pdf/capelli2005.pdf" TargetMode="External"/><Relationship Id="rId17" Type="http://schemas.openxmlformats.org/officeDocument/2006/relationships/hyperlink" Target="http://www.springerlink.com/content/l4625753377x621t/" TargetMode="External"/><Relationship Id="rId16" Type="http://schemas.openxmlformats.org/officeDocument/2006/relationships/hyperlink" Target="http://library.ibp.ac.cn/html/slwj/000222645600001.pdf" TargetMode="External"/><Relationship Id="rId19" Type="http://schemas.openxmlformats.org/officeDocument/2006/relationships/hyperlink" Target="http://www.nature.com/ejhg/journal/vaop/ncurrent/full/ejhg2014106a.html" TargetMode="External"/><Relationship Id="rId18" Type="http://schemas.openxmlformats.org/officeDocument/2006/relationships/hyperlink" Target="http://hpgl.stanford.edu/publications/EJHG_2004_v12_p855.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75"/>
  <cols>
    <col customWidth="1" min="1" max="1" width="13.29"/>
    <col customWidth="1" min="2" max="2" width="14.86"/>
    <col customWidth="1" min="3" max="3" width="14.0"/>
    <col customWidth="1" min="4" max="4" width="17.86"/>
    <col customWidth="1" min="5" max="5" width="15.57"/>
    <col customWidth="1" min="6" max="6" width="28.0"/>
    <col customWidth="1" min="7" max="7" width="13.71"/>
    <col customWidth="1" min="8" max="8" width="10.29"/>
    <col customWidth="1" min="9" max="9" width="11.43"/>
    <col customWidth="1" min="10" max="10" width="12.14"/>
  </cols>
  <sheetData>
    <row r="1">
      <c r="A1" s="1"/>
      <c r="B1" s="2" t="s">
        <v>0</v>
      </c>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B4" s="3" t="s">
        <v>1</v>
      </c>
      <c r="C4" s="4"/>
      <c r="D4" s="4"/>
      <c r="E4" s="4"/>
      <c r="F4" s="4"/>
      <c r="G4" s="4"/>
      <c r="H4" s="4"/>
      <c r="I4" s="4"/>
      <c r="J4" s="4"/>
      <c r="K4" s="5"/>
      <c r="L4" s="1"/>
      <c r="M4" s="1"/>
      <c r="N4" s="1"/>
      <c r="O4" s="1"/>
      <c r="P4" s="1"/>
      <c r="Q4" s="1"/>
      <c r="R4" s="1"/>
      <c r="S4" s="1"/>
      <c r="T4" s="1"/>
      <c r="U4" s="1"/>
      <c r="V4" s="1"/>
      <c r="W4" s="1"/>
      <c r="X4" s="1"/>
      <c r="Y4" s="1"/>
      <c r="Z4" s="1"/>
    </row>
    <row r="5">
      <c r="A5" s="1"/>
      <c r="B5" s="1"/>
      <c r="C5" s="6"/>
      <c r="D5" s="1"/>
      <c r="E5" s="1"/>
      <c r="F5" s="1"/>
      <c r="G5" s="1"/>
      <c r="H5" s="1"/>
      <c r="I5" s="1"/>
      <c r="J5" s="1"/>
      <c r="K5" s="1"/>
      <c r="L5" s="1"/>
      <c r="M5" s="1"/>
      <c r="N5" s="1"/>
      <c r="O5" s="1"/>
      <c r="P5" s="1"/>
      <c r="Q5" s="1"/>
      <c r="R5" s="1"/>
      <c r="S5" s="1"/>
      <c r="T5" s="1"/>
      <c r="U5" s="1"/>
      <c r="V5" s="1"/>
      <c r="W5" s="1"/>
      <c r="X5" s="1"/>
      <c r="Y5" s="1"/>
      <c r="Z5" s="1"/>
    </row>
    <row r="6">
      <c r="A6" s="1"/>
      <c r="B6" s="7" t="s">
        <v>2</v>
      </c>
      <c r="C6" s="6"/>
      <c r="D6" s="6"/>
      <c r="E6" s="6"/>
      <c r="F6" s="8" t="s">
        <v>3</v>
      </c>
      <c r="G6" s="1"/>
      <c r="L6" s="1"/>
      <c r="M6" s="1"/>
      <c r="N6" s="1"/>
      <c r="O6" s="1"/>
      <c r="P6" s="1"/>
      <c r="Q6" s="1"/>
      <c r="R6" s="1"/>
      <c r="S6" s="1"/>
      <c r="T6" s="1"/>
      <c r="U6" s="1"/>
      <c r="V6" s="1"/>
      <c r="W6" s="1"/>
      <c r="X6" s="1"/>
      <c r="Y6" s="1"/>
      <c r="Z6" s="1"/>
    </row>
    <row r="7">
      <c r="A7" s="1"/>
      <c r="B7" s="7" t="s">
        <v>4</v>
      </c>
      <c r="C7" s="6"/>
      <c r="D7" s="6"/>
      <c r="E7" s="8" t="s">
        <v>3</v>
      </c>
      <c r="F7" s="1"/>
      <c r="I7" s="1"/>
      <c r="J7" s="1"/>
      <c r="L7" s="1"/>
      <c r="M7" s="1"/>
      <c r="N7" s="1"/>
      <c r="O7" s="1"/>
      <c r="P7" s="1"/>
      <c r="Q7" s="1"/>
      <c r="R7" s="1"/>
      <c r="S7" s="1"/>
      <c r="T7" s="1"/>
      <c r="U7" s="1"/>
      <c r="V7" s="1"/>
      <c r="W7" s="1"/>
      <c r="X7" s="1"/>
      <c r="Y7" s="1"/>
      <c r="Z7" s="1"/>
    </row>
    <row r="8">
      <c r="A8" s="1"/>
      <c r="B8" s="6"/>
      <c r="C8" s="9" t="s">
        <v>5</v>
      </c>
      <c r="D8" s="6"/>
      <c r="E8" s="6"/>
      <c r="F8" s="6"/>
      <c r="G8" s="6"/>
      <c r="H8" s="10" t="s">
        <v>6</v>
      </c>
      <c r="I8" s="6"/>
      <c r="J8" s="1"/>
      <c r="L8" s="1"/>
      <c r="M8" s="1"/>
      <c r="N8" s="1"/>
      <c r="O8" s="1"/>
      <c r="P8" s="1"/>
      <c r="Q8" s="1"/>
      <c r="R8" s="1"/>
      <c r="S8" s="1"/>
      <c r="T8" s="1"/>
      <c r="U8" s="1"/>
      <c r="V8" s="1"/>
      <c r="W8" s="1"/>
      <c r="X8" s="1"/>
      <c r="Y8" s="1"/>
      <c r="Z8" s="1"/>
    </row>
    <row r="9">
      <c r="A9" s="1"/>
      <c r="B9" s="1"/>
      <c r="C9" s="1"/>
      <c r="D9" s="1"/>
      <c r="E9" s="1"/>
      <c r="F9" s="1"/>
      <c r="G9" s="1"/>
      <c r="H9" s="1"/>
      <c r="I9" s="1"/>
      <c r="J9" s="1"/>
      <c r="L9" s="1"/>
      <c r="M9" s="1"/>
      <c r="N9" s="1"/>
      <c r="O9" s="1"/>
      <c r="P9" s="1"/>
      <c r="Q9" s="1"/>
      <c r="R9" s="1"/>
      <c r="S9" s="1"/>
      <c r="T9" s="1"/>
      <c r="U9" s="1"/>
      <c r="V9" s="1"/>
      <c r="W9" s="1"/>
      <c r="X9" s="1"/>
      <c r="Y9" s="1"/>
      <c r="Z9" s="1"/>
    </row>
    <row r="10">
      <c r="A10" s="1"/>
      <c r="B10" s="11" t="s">
        <v>7</v>
      </c>
      <c r="L10" s="12"/>
      <c r="M10" s="1"/>
      <c r="N10" s="1"/>
      <c r="O10" s="1"/>
      <c r="P10" s="1"/>
      <c r="Q10" s="1"/>
      <c r="R10" s="1"/>
      <c r="S10" s="1"/>
      <c r="T10" s="1"/>
      <c r="U10" s="1"/>
      <c r="V10" s="1"/>
      <c r="W10" s="1"/>
      <c r="X10" s="1"/>
      <c r="Y10" s="1"/>
      <c r="Z10" s="1"/>
    </row>
    <row r="11">
      <c r="A11" s="1"/>
      <c r="B11" s="13" t="s">
        <v>8</v>
      </c>
      <c r="C11" s="14"/>
      <c r="D11" s="14"/>
      <c r="E11" s="14"/>
      <c r="F11" s="14"/>
      <c r="G11" s="14"/>
      <c r="H11" s="14"/>
      <c r="I11" s="15"/>
      <c r="J11" s="16" t="s">
        <v>9</v>
      </c>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B13" s="17" t="s">
        <v>10</v>
      </c>
      <c r="C13" s="8" t="s">
        <v>3</v>
      </c>
      <c r="D13" s="18" t="str">
        <f>HYPERLINK("https://docs.google.com/spreadsheets/d/1bYiTv-Zo2N2eynFJkhs8SRPMWWYMSBD4zwsRzagtp-c/edit#gid=0","Listing Criteria")</f>
        <v>Listing Criteria</v>
      </c>
      <c r="F13" s="6"/>
      <c r="G13" s="9" t="s">
        <v>11</v>
      </c>
      <c r="H13" s="1"/>
      <c r="I13" s="16" t="s">
        <v>12</v>
      </c>
      <c r="J13" s="1"/>
      <c r="M13" s="1"/>
      <c r="N13" s="1"/>
      <c r="O13" s="1"/>
      <c r="P13" s="1"/>
      <c r="Q13" s="1"/>
      <c r="R13" s="1"/>
      <c r="S13" s="1"/>
      <c r="T13" s="1"/>
      <c r="U13" s="1"/>
      <c r="V13" s="1"/>
      <c r="W13" s="1"/>
      <c r="X13" s="1"/>
      <c r="Y13" s="1"/>
      <c r="Z13" s="1"/>
    </row>
    <row r="14">
      <c r="A14" s="1"/>
      <c r="B14" s="1"/>
      <c r="C14" s="1"/>
      <c r="D14" s="1"/>
      <c r="E14" s="19" t="s">
        <v>13</v>
      </c>
      <c r="F14" s="1"/>
      <c r="G14" s="20" t="str">
        <f>HYPERLINK("https://isogg.org/tree/ISOGG_YDNA_SNP_Index.html","SNP Index")</f>
        <v>SNP Index</v>
      </c>
      <c r="H14" s="1"/>
      <c r="J14" s="1"/>
      <c r="K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B16" s="21" t="s">
        <v>14</v>
      </c>
      <c r="C16" s="6"/>
      <c r="D16" s="22" t="s">
        <v>15</v>
      </c>
      <c r="E16" s="6"/>
      <c r="F16" s="1"/>
      <c r="G16" s="23" t="s">
        <v>16</v>
      </c>
      <c r="H16" s="6"/>
      <c r="J16" s="24" t="s">
        <v>17</v>
      </c>
      <c r="L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B18" s="21" t="s">
        <v>18</v>
      </c>
      <c r="C18" s="7" t="s">
        <v>19</v>
      </c>
      <c r="E18" s="6"/>
      <c r="F18" s="6"/>
      <c r="G18" s="6"/>
      <c r="H18" s="6"/>
      <c r="I18" s="6"/>
      <c r="J18" s="6"/>
      <c r="K18" s="6"/>
      <c r="L18" s="6"/>
      <c r="M18" s="1"/>
      <c r="N18" s="1"/>
      <c r="O18" s="1"/>
      <c r="P18" s="1"/>
      <c r="Q18" s="1"/>
      <c r="R18" s="1"/>
      <c r="S18" s="1"/>
      <c r="T18" s="1"/>
      <c r="U18" s="1"/>
      <c r="V18" s="1"/>
      <c r="W18" s="1"/>
      <c r="X18" s="1"/>
      <c r="Y18" s="1"/>
      <c r="Z18" s="1"/>
    </row>
    <row r="19">
      <c r="A19" s="1"/>
      <c r="B19" s="1"/>
      <c r="C19" s="7" t="s">
        <v>20</v>
      </c>
      <c r="E19" s="6"/>
      <c r="F19" s="6"/>
      <c r="G19" s="6"/>
      <c r="H19" s="6"/>
      <c r="I19" s="6"/>
      <c r="J19" s="1"/>
      <c r="K19" s="1"/>
      <c r="L19" s="1"/>
      <c r="M19" s="1"/>
      <c r="N19" s="1"/>
      <c r="O19" s="1"/>
      <c r="P19" s="1"/>
      <c r="Q19" s="1"/>
      <c r="R19" s="1"/>
      <c r="S19" s="1"/>
      <c r="T19" s="1"/>
      <c r="U19" s="1"/>
      <c r="V19" s="1"/>
      <c r="W19" s="1"/>
      <c r="X19" s="1"/>
      <c r="Y19" s="1"/>
      <c r="Z19" s="1"/>
    </row>
    <row r="20">
      <c r="A20" s="1"/>
      <c r="B20" s="1"/>
      <c r="C20" s="7" t="s">
        <v>21</v>
      </c>
      <c r="E20" s="6"/>
      <c r="F20" s="6"/>
      <c r="G20" s="6"/>
      <c r="H20" s="6"/>
      <c r="I20" s="1"/>
      <c r="J20" s="1"/>
      <c r="K20" s="1"/>
      <c r="L20" s="1"/>
      <c r="M20" s="1"/>
      <c r="N20" s="1"/>
      <c r="O20" s="1"/>
      <c r="P20" s="1"/>
      <c r="Q20" s="1"/>
      <c r="R20" s="1"/>
      <c r="S20" s="1"/>
      <c r="T20" s="1"/>
      <c r="U20" s="1"/>
      <c r="V20" s="1"/>
      <c r="W20" s="1"/>
      <c r="X20" s="1"/>
      <c r="Y20" s="1"/>
      <c r="Z20" s="1"/>
    </row>
    <row r="21">
      <c r="A21" s="1"/>
      <c r="B21" s="25"/>
      <c r="C21" s="25"/>
      <c r="D21" s="25"/>
      <c r="E21" s="25"/>
      <c r="F21" s="25"/>
      <c r="G21" s="25"/>
      <c r="H21" s="25"/>
      <c r="I21" s="25"/>
      <c r="J21" s="25"/>
      <c r="K21" s="25"/>
      <c r="L21" s="1"/>
      <c r="M21" s="1"/>
      <c r="N21" s="1"/>
      <c r="O21" s="1"/>
      <c r="P21" s="1"/>
      <c r="Q21" s="1"/>
      <c r="R21" s="1"/>
      <c r="S21" s="1"/>
      <c r="T21" s="1"/>
      <c r="U21" s="1"/>
      <c r="V21" s="1"/>
      <c r="W21" s="1"/>
      <c r="X21" s="1"/>
      <c r="Y21" s="1"/>
      <c r="Z21" s="1"/>
    </row>
    <row r="22">
      <c r="A22" s="26"/>
      <c r="B22" s="27" t="s">
        <v>22</v>
      </c>
      <c r="L22" s="1"/>
      <c r="M22" s="1"/>
      <c r="N22" s="1"/>
      <c r="O22" s="1"/>
      <c r="P22" s="1"/>
      <c r="Q22" s="1"/>
      <c r="R22" s="1"/>
      <c r="S22" s="1"/>
      <c r="T22" s="1"/>
      <c r="U22" s="1"/>
      <c r="V22" s="1"/>
      <c r="W22" s="1"/>
      <c r="X22" s="1"/>
      <c r="Y22" s="1"/>
      <c r="Z22" s="1"/>
    </row>
    <row r="23">
      <c r="A23" s="26"/>
      <c r="B23" s="28" t="s">
        <v>23</v>
      </c>
      <c r="C23" s="29"/>
      <c r="D23" s="29"/>
      <c r="E23" s="29"/>
      <c r="F23" s="29"/>
      <c r="G23" s="29"/>
      <c r="H23" s="29"/>
      <c r="I23" s="29"/>
      <c r="J23" s="29"/>
      <c r="K23" s="29"/>
      <c r="L23" s="1"/>
      <c r="M23" s="1"/>
      <c r="N23" s="1"/>
      <c r="O23" s="1"/>
      <c r="P23" s="1"/>
      <c r="Q23" s="1"/>
      <c r="R23" s="1"/>
      <c r="S23" s="1"/>
      <c r="T23" s="1"/>
      <c r="U23" s="1"/>
      <c r="V23" s="1"/>
      <c r="W23" s="1"/>
      <c r="X23" s="1"/>
      <c r="Y23" s="1"/>
      <c r="Z23" s="1"/>
    </row>
    <row r="24">
      <c r="A24" s="1"/>
      <c r="B24" s="27" t="s">
        <v>24</v>
      </c>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30" t="s">
        <v>25</v>
      </c>
      <c r="D26" s="6"/>
      <c r="E26" s="31" t="s">
        <v>26</v>
      </c>
      <c r="G26" s="1"/>
      <c r="J26" s="32" t="s">
        <v>27</v>
      </c>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33"/>
      <c r="F28" s="1"/>
      <c r="G28" s="1"/>
      <c r="H28" s="1"/>
      <c r="I28" s="1"/>
      <c r="J28" s="1"/>
      <c r="K28" s="1"/>
      <c r="L28" s="1"/>
      <c r="M28" s="1"/>
      <c r="N28" s="1"/>
      <c r="O28" s="1"/>
      <c r="P28" s="1"/>
      <c r="Q28" s="1"/>
      <c r="R28" s="1"/>
      <c r="S28" s="1"/>
      <c r="T28" s="1"/>
      <c r="U28" s="1"/>
      <c r="V28" s="1"/>
      <c r="W28" s="1"/>
      <c r="X28" s="1"/>
      <c r="Y28" s="1"/>
      <c r="Z28" s="1"/>
    </row>
    <row r="29">
      <c r="A29" s="1"/>
      <c r="B29" s="1" t="s">
        <v>27</v>
      </c>
      <c r="C29" s="1" t="s">
        <v>27</v>
      </c>
      <c r="D29" s="1" t="s">
        <v>27</v>
      </c>
      <c r="E29" s="33"/>
      <c r="F29" s="1"/>
      <c r="G29" s="1"/>
      <c r="H29" s="1"/>
      <c r="I29" s="1"/>
      <c r="J29" s="1"/>
      <c r="K29" s="1"/>
      <c r="L29" s="1"/>
      <c r="M29" s="1"/>
      <c r="N29" s="1"/>
      <c r="O29" s="1"/>
      <c r="P29" s="1"/>
      <c r="Q29" s="1"/>
      <c r="R29" s="1"/>
      <c r="S29" s="1"/>
      <c r="T29" s="1"/>
      <c r="U29" s="1"/>
      <c r="V29" s="1"/>
      <c r="W29" s="1"/>
      <c r="X29" s="1"/>
      <c r="Y29" s="1"/>
      <c r="Z29" s="1"/>
    </row>
    <row r="30">
      <c r="A30" s="34" t="s">
        <v>28</v>
      </c>
      <c r="B30" s="35" t="s">
        <v>29</v>
      </c>
      <c r="P30" s="1"/>
      <c r="Q30" s="1"/>
      <c r="R30" s="1"/>
      <c r="S30" s="1"/>
      <c r="T30" s="1"/>
      <c r="U30" s="1"/>
      <c r="V30" s="1"/>
      <c r="W30" s="1"/>
      <c r="X30" s="1"/>
      <c r="Y30" s="1"/>
      <c r="Z30" s="1"/>
    </row>
    <row r="31">
      <c r="A31" s="36" t="s">
        <v>30</v>
      </c>
      <c r="B31" s="37" t="s">
        <v>31</v>
      </c>
    </row>
    <row r="32">
      <c r="B32" s="38" t="s">
        <v>32</v>
      </c>
      <c r="C32" s="39" t="s">
        <v>33</v>
      </c>
    </row>
    <row r="33">
      <c r="B33" s="36" t="s">
        <v>34</v>
      </c>
      <c r="C33" s="37" t="s">
        <v>35</v>
      </c>
    </row>
    <row r="34">
      <c r="B34" s="36" t="s">
        <v>36</v>
      </c>
      <c r="C34" s="40" t="s">
        <v>37</v>
      </c>
    </row>
    <row r="35">
      <c r="C35" s="34" t="s">
        <v>38</v>
      </c>
      <c r="D35" s="41" t="s">
        <v>39</v>
      </c>
    </row>
    <row r="36">
      <c r="C36" s="38" t="s">
        <v>40</v>
      </c>
      <c r="D36" s="41" t="s">
        <v>41</v>
      </c>
    </row>
    <row r="39">
      <c r="B39" s="42" t="s">
        <v>42</v>
      </c>
      <c r="C39" s="43"/>
      <c r="D39" s="43"/>
      <c r="E39" s="43"/>
      <c r="F39" s="43"/>
    </row>
    <row r="40">
      <c r="A40" s="41"/>
    </row>
    <row r="41">
      <c r="A41" s="41" t="s">
        <v>43</v>
      </c>
    </row>
    <row r="43">
      <c r="A43" s="44" t="s">
        <v>44</v>
      </c>
    </row>
    <row r="45">
      <c r="A45" s="45" t="s">
        <v>45</v>
      </c>
    </row>
    <row r="46">
      <c r="A46" s="44" t="s">
        <v>46</v>
      </c>
    </row>
    <row r="47">
      <c r="A47" s="46" t="s">
        <v>47</v>
      </c>
    </row>
    <row r="48">
      <c r="A48" s="47" t="s">
        <v>48</v>
      </c>
    </row>
    <row r="50">
      <c r="A50" s="41" t="s">
        <v>49</v>
      </c>
    </row>
    <row r="52">
      <c r="A52" s="48" t="s">
        <v>50</v>
      </c>
      <c r="B52" s="49"/>
    </row>
    <row r="53">
      <c r="A53" s="48" t="s">
        <v>51</v>
      </c>
      <c r="B53" s="49"/>
    </row>
    <row r="54">
      <c r="A54" s="48" t="s">
        <v>52</v>
      </c>
      <c r="B54" s="49"/>
    </row>
    <row r="55">
      <c r="A55" s="48" t="s">
        <v>53</v>
      </c>
      <c r="B55" s="49"/>
    </row>
    <row r="56">
      <c r="A56" s="48" t="s">
        <v>54</v>
      </c>
      <c r="B56" s="49"/>
    </row>
    <row r="57">
      <c r="A57" s="48" t="s">
        <v>55</v>
      </c>
      <c r="B57" s="49"/>
    </row>
    <row r="58">
      <c r="A58" s="48" t="s">
        <v>56</v>
      </c>
      <c r="B58" s="49"/>
    </row>
    <row r="59">
      <c r="A59" s="48" t="s">
        <v>57</v>
      </c>
      <c r="B59" s="49"/>
    </row>
    <row r="60">
      <c r="A60" s="48" t="s">
        <v>58</v>
      </c>
      <c r="B60" s="49"/>
    </row>
    <row r="61">
      <c r="A61" s="50" t="str">
        <f>HYPERLINK("https://genome.cshlp.org/content/18/5/830.long","Karafet et al, New Binary Polymorphisms Reshape and Increase Resolution of the Human Y-Chromosomal Haplogroup Tree. Abstract. Genome Research, published online April 2, 2008. Supplementary Material.")</f>
        <v>Karafet et al, New Binary Polymorphisms Reshape and Increase Resolution of the Human Y-Chromosomal Haplogroup Tree. Abstract. Genome Research, published online April 2, 2008. Supplementary Material.</v>
      </c>
      <c r="B61" s="49"/>
    </row>
    <row r="62">
      <c r="A62" s="50" t="str">
        <f>HYPERLINK("https://www.ncbi.nlm.nih.gov/pmc/articles/PMC4381518/","Karmin et al, A Recent Bottleneck of Y chromosome Diversity Coincides with a Global Change in Culture. Genome Research, doi: 10.1101/gr.186684.114, published online March 13, 2015.")</f>
        <v>Karmin et al, A Recent Bottleneck of Y chromosome Diversity Coincides with a Global Change in Culture. Genome Research, doi: 10.1101/gr.186684.114, published online March 13, 2015.</v>
      </c>
      <c r="B62" s="49"/>
    </row>
    <row r="63">
      <c r="A63" s="48" t="s">
        <v>59</v>
      </c>
      <c r="B63" s="49"/>
    </row>
    <row r="64">
      <c r="A64" s="48" t="s">
        <v>60</v>
      </c>
      <c r="B64" s="49"/>
    </row>
    <row r="65">
      <c r="A65" s="48" t="s">
        <v>61</v>
      </c>
      <c r="B65" s="49"/>
    </row>
    <row r="66">
      <c r="A66" s="48" t="s">
        <v>62</v>
      </c>
      <c r="B66" s="49"/>
    </row>
    <row r="67">
      <c r="A67" s="48" t="s">
        <v>63</v>
      </c>
      <c r="B67" s="49"/>
    </row>
    <row r="68">
      <c r="A68" s="48" t="s">
        <v>64</v>
      </c>
      <c r="B68" s="49"/>
    </row>
    <row r="69">
      <c r="A69" s="48" t="s">
        <v>65</v>
      </c>
      <c r="B69" s="49"/>
    </row>
    <row r="70">
      <c r="A70" s="48" t="s">
        <v>66</v>
      </c>
      <c r="B70" s="49"/>
    </row>
    <row r="71">
      <c r="A71" s="48" t="s">
        <v>67</v>
      </c>
      <c r="B71" s="49"/>
    </row>
    <row r="72">
      <c r="A72" s="49"/>
      <c r="B72" s="49"/>
    </row>
    <row r="73">
      <c r="A73" s="41" t="s">
        <v>68</v>
      </c>
    </row>
    <row r="74">
      <c r="A74" s="8" t="s">
        <v>69</v>
      </c>
      <c r="B74" s="51" t="s">
        <v>70</v>
      </c>
      <c r="C74" s="52"/>
      <c r="D74" s="52"/>
      <c r="E74" s="52"/>
      <c r="F74" s="52"/>
    </row>
    <row r="76">
      <c r="A76" s="41" t="s">
        <v>71</v>
      </c>
    </row>
    <row r="78">
      <c r="A78" s="47" t="s">
        <v>72</v>
      </c>
    </row>
    <row r="80">
      <c r="A80" s="53" t="s">
        <v>73</v>
      </c>
    </row>
    <row r="81">
      <c r="B81" s="54" t="str">
        <f>HYPERLINK("https://isogg.org/tree/index.html","Main Page")</f>
        <v>Main Page</v>
      </c>
    </row>
    <row r="82">
      <c r="B82" s="54" t="str">
        <f>HYPERLINK("https://isogg.org/tree/ISOGG_YDNATreeTrunk.html","Y-DNA Tree Trunk")</f>
        <v>Y-DNA Tree Trunk</v>
      </c>
    </row>
    <row r="83">
      <c r="B83" s="54" t="str">
        <f>HYPERLINK("https://isogg.org/tree/ISOGG_YDNA_SNP_Index.html","SNP Index")</f>
        <v>SNP Index</v>
      </c>
    </row>
    <row r="84">
      <c r="B84" s="54" t="str">
        <f>HYPERLINK("https://isogg.org/tree/ISOGG_All_Papers.html","Papers/Presentations Cited")</f>
        <v>Papers/Presentations Cited</v>
      </c>
    </row>
    <row r="85">
      <c r="B85" s="54" t="str">
        <f>HYPERLINK("https://isogg.org/tree/ISOGG_Glossary.html","Glossary")</f>
        <v>Glossary</v>
      </c>
    </row>
    <row r="86">
      <c r="B86" s="54" t="str">
        <f>HYPERLINK("https://docs.google.com/spreadsheets/d/1bYiTv-Zo2N2eynFJkhs8SRPMWWYMSBD4zwsRzagtp-c/edit#gid=0","Listing Criteria")</f>
        <v>Listing Criteria</v>
      </c>
    </row>
    <row r="88">
      <c r="A88" s="53" t="s">
        <v>74</v>
      </c>
      <c r="B88" s="52"/>
      <c r="C88" s="52"/>
      <c r="D88" s="52"/>
      <c r="E88" s="52"/>
      <c r="F88" s="52"/>
      <c r="G88" s="52"/>
      <c r="H88" s="52"/>
      <c r="I88" s="52"/>
    </row>
    <row r="91">
      <c r="E91" s="55" t="s">
        <v>75</v>
      </c>
      <c r="F91" s="43"/>
      <c r="G91" s="43"/>
    </row>
    <row r="92">
      <c r="A92" s="56"/>
      <c r="B92" s="57" t="s">
        <v>27</v>
      </c>
      <c r="C92" s="58"/>
      <c r="D92" s="58"/>
    </row>
    <row r="93">
      <c r="D93" s="59" t="s">
        <v>76</v>
      </c>
    </row>
    <row r="94">
      <c r="A94" s="60"/>
      <c r="D94" s="61" t="s">
        <v>77</v>
      </c>
      <c r="E94" s="61" t="s">
        <v>78</v>
      </c>
      <c r="F94" s="61" t="s">
        <v>79</v>
      </c>
      <c r="G94" s="61" t="s">
        <v>80</v>
      </c>
      <c r="H94" s="61" t="s">
        <v>81</v>
      </c>
      <c r="I94" s="61" t="s">
        <v>82</v>
      </c>
      <c r="J94" s="61" t="s">
        <v>83</v>
      </c>
      <c r="K94" s="60"/>
      <c r="L94" s="60"/>
      <c r="M94" s="60"/>
      <c r="N94" s="60"/>
      <c r="O94" s="60"/>
      <c r="P94" s="60"/>
      <c r="Q94" s="60"/>
      <c r="R94" s="60"/>
      <c r="S94" s="60"/>
      <c r="T94" s="60"/>
      <c r="U94" s="60"/>
      <c r="V94" s="60"/>
      <c r="W94" s="60"/>
      <c r="X94" s="60"/>
      <c r="Y94" s="60"/>
    </row>
    <row r="95">
      <c r="D95" s="62" t="s">
        <v>84</v>
      </c>
      <c r="E95" s="63" t="str">
        <f>A30</f>
        <v>P or K2b2</v>
      </c>
      <c r="F95" s="62" t="s">
        <v>85</v>
      </c>
      <c r="G95" s="64" t="s">
        <v>86</v>
      </c>
      <c r="H95" s="65">
        <v>7963031.0</v>
      </c>
      <c r="I95" s="65">
        <v>8094990.0</v>
      </c>
      <c r="J95" s="64" t="s">
        <v>87</v>
      </c>
    </row>
    <row r="96">
      <c r="D96" s="62" t="s">
        <v>88</v>
      </c>
      <c r="E96" s="63" t="str">
        <f>A30</f>
        <v>P or K2b2</v>
      </c>
      <c r="F96" s="62" t="s">
        <v>89</v>
      </c>
      <c r="G96" s="64" t="s">
        <v>86</v>
      </c>
      <c r="H96" s="65">
        <v>7963031.0</v>
      </c>
      <c r="I96" s="65">
        <v>8094990.0</v>
      </c>
      <c r="J96" s="64" t="s">
        <v>87</v>
      </c>
    </row>
    <row r="97">
      <c r="D97" s="62" t="s">
        <v>90</v>
      </c>
      <c r="E97" s="63" t="str">
        <f>A30</f>
        <v>P or K2b2</v>
      </c>
      <c r="F97" s="62" t="s">
        <v>91</v>
      </c>
      <c r="G97" s="64" t="s">
        <v>86</v>
      </c>
      <c r="H97" s="65">
        <v>7963031.0</v>
      </c>
      <c r="I97" s="65">
        <v>8094990.0</v>
      </c>
      <c r="J97" s="64" t="s">
        <v>87</v>
      </c>
    </row>
    <row r="98">
      <c r="D98" s="62" t="s">
        <v>92</v>
      </c>
      <c r="E98" s="63" t="str">
        <f>A30</f>
        <v>P or K2b2</v>
      </c>
      <c r="F98" s="62" t="s">
        <v>93</v>
      </c>
      <c r="G98" s="64" t="s">
        <v>94</v>
      </c>
      <c r="H98" s="65">
        <v>7628900.0</v>
      </c>
      <c r="I98" s="65">
        <v>7760859.0</v>
      </c>
      <c r="J98" s="64" t="s">
        <v>95</v>
      </c>
    </row>
    <row r="99">
      <c r="D99" s="62" t="s">
        <v>96</v>
      </c>
      <c r="E99" s="63" t="str">
        <f>A30</f>
        <v>P or K2b2</v>
      </c>
      <c r="F99" s="62" t="s">
        <v>97</v>
      </c>
      <c r="G99" s="64" t="s">
        <v>94</v>
      </c>
      <c r="H99" s="65">
        <v>7628900.0</v>
      </c>
      <c r="I99" s="65">
        <v>7760859.0</v>
      </c>
      <c r="J99" s="64" t="s">
        <v>95</v>
      </c>
    </row>
    <row r="100">
      <c r="D100" s="62" t="s">
        <v>98</v>
      </c>
      <c r="E100" s="63" t="str">
        <f t="shared" ref="E100:E101" si="1">A30</f>
        <v>P or K2b2</v>
      </c>
      <c r="F100" s="62" t="s">
        <v>99</v>
      </c>
      <c r="G100" s="64" t="s">
        <v>94</v>
      </c>
      <c r="H100" s="65">
        <v>7628900.0</v>
      </c>
      <c r="I100" s="65">
        <v>7760859.0</v>
      </c>
      <c r="J100" s="64" t="s">
        <v>95</v>
      </c>
    </row>
    <row r="101">
      <c r="D101" s="62" t="s">
        <v>100</v>
      </c>
      <c r="E101" t="str">
        <f t="shared" si="1"/>
        <v>P~ or K2b2~</v>
      </c>
      <c r="F101" s="62" t="s">
        <v>101</v>
      </c>
      <c r="G101" s="33" t="s">
        <v>102</v>
      </c>
      <c r="H101" s="65">
        <v>2803717.0</v>
      </c>
      <c r="I101" s="65">
        <v>2935676.0</v>
      </c>
      <c r="J101" s="64" t="s">
        <v>103</v>
      </c>
    </row>
    <row r="102">
      <c r="D102" s="62" t="s">
        <v>101</v>
      </c>
      <c r="E102" t="str">
        <f>A31</f>
        <v>P~ or K2b2~</v>
      </c>
      <c r="F102" s="62" t="s">
        <v>100</v>
      </c>
      <c r="G102" s="33" t="s">
        <v>102</v>
      </c>
      <c r="H102" s="65">
        <v>2803717.0</v>
      </c>
      <c r="I102" s="65">
        <v>2935676.0</v>
      </c>
      <c r="J102" s="64" t="s">
        <v>103</v>
      </c>
    </row>
    <row r="103">
      <c r="D103" s="62" t="s">
        <v>104</v>
      </c>
      <c r="E103" t="str">
        <f>A31</f>
        <v>P~ or K2b2~</v>
      </c>
      <c r="F103" s="62" t="s">
        <v>105</v>
      </c>
      <c r="G103" s="33" t="s">
        <v>106</v>
      </c>
      <c r="H103" s="65">
        <v>2817429.0</v>
      </c>
      <c r="I103" s="65">
        <v>2949388.0</v>
      </c>
      <c r="J103" s="64" t="s">
        <v>107</v>
      </c>
    </row>
    <row r="104">
      <c r="D104" s="62" t="s">
        <v>108</v>
      </c>
      <c r="E104" t="str">
        <f>A31</f>
        <v>P~ or K2b2~</v>
      </c>
      <c r="F104" s="62" t="s">
        <v>109</v>
      </c>
      <c r="G104" s="33" t="s">
        <v>106</v>
      </c>
      <c r="H104" s="65">
        <v>2817429.0</v>
      </c>
      <c r="I104" s="65">
        <v>2949388.0</v>
      </c>
      <c r="J104" s="64" t="s">
        <v>107</v>
      </c>
    </row>
    <row r="105">
      <c r="D105" s="62" t="s">
        <v>110</v>
      </c>
      <c r="E105" t="str">
        <f>A31</f>
        <v>P~ or K2b2~</v>
      </c>
      <c r="F105" s="62" t="s">
        <v>111</v>
      </c>
      <c r="G105" s="33" t="s">
        <v>106</v>
      </c>
      <c r="H105" s="65">
        <v>2817429.0</v>
      </c>
      <c r="I105" s="65">
        <v>2949388.0</v>
      </c>
      <c r="J105" s="64" t="s">
        <v>107</v>
      </c>
    </row>
    <row r="106">
      <c r="D106" s="62" t="s">
        <v>112</v>
      </c>
      <c r="E106" t="str">
        <f>A31</f>
        <v>P~ or K2b2~</v>
      </c>
      <c r="F106" s="62" t="s">
        <v>113</v>
      </c>
      <c r="G106" s="33" t="s">
        <v>114</v>
      </c>
      <c r="H106" s="65">
        <v>6931040.0</v>
      </c>
      <c r="I106" s="65">
        <v>7062999.0</v>
      </c>
      <c r="J106" s="64" t="s">
        <v>107</v>
      </c>
    </row>
    <row r="107">
      <c r="D107" s="62" t="s">
        <v>115</v>
      </c>
      <c r="E107" t="str">
        <f>A31</f>
        <v>P~ or K2b2~</v>
      </c>
      <c r="F107" s="62" t="s">
        <v>116</v>
      </c>
      <c r="G107" s="33" t="s">
        <v>114</v>
      </c>
      <c r="H107" s="65">
        <v>6931040.0</v>
      </c>
      <c r="I107" s="65">
        <v>7062999.0</v>
      </c>
      <c r="J107" s="64" t="s">
        <v>107</v>
      </c>
    </row>
    <row r="108">
      <c r="D108" s="62" t="s">
        <v>117</v>
      </c>
      <c r="E108" t="str">
        <f>A31</f>
        <v>P~ or K2b2~</v>
      </c>
      <c r="F108" s="62" t="s">
        <v>118</v>
      </c>
      <c r="G108" s="33" t="s">
        <v>114</v>
      </c>
      <c r="H108" s="65">
        <v>6931040.0</v>
      </c>
      <c r="I108" s="65">
        <v>7062999.0</v>
      </c>
      <c r="J108" s="64" t="s">
        <v>107</v>
      </c>
    </row>
    <row r="109">
      <c r="D109" s="62" t="s">
        <v>119</v>
      </c>
      <c r="E109" s="66" t="str">
        <f>A31</f>
        <v>P~ or K2b2~</v>
      </c>
      <c r="F109" s="62" t="s">
        <v>120</v>
      </c>
      <c r="G109" s="33" t="s">
        <v>121</v>
      </c>
      <c r="H109" s="65">
        <v>1.411781E7</v>
      </c>
      <c r="I109" s="65">
        <v>1.1997104E7</v>
      </c>
      <c r="J109" s="64" t="s">
        <v>103</v>
      </c>
    </row>
    <row r="110">
      <c r="D110" s="62" t="s">
        <v>122</v>
      </c>
      <c r="E110" s="66" t="str">
        <f>A31</f>
        <v>P~ or K2b2~</v>
      </c>
      <c r="F110" s="62" t="s">
        <v>123</v>
      </c>
      <c r="G110" s="33" t="s">
        <v>121</v>
      </c>
      <c r="H110" s="65">
        <v>1.411781E7</v>
      </c>
      <c r="I110" s="65">
        <v>1.1997104E7</v>
      </c>
      <c r="J110" s="64" t="s">
        <v>103</v>
      </c>
    </row>
    <row r="111">
      <c r="D111" s="62" t="s">
        <v>124</v>
      </c>
      <c r="E111" s="66" t="str">
        <f>A31</f>
        <v>P~ or K2b2~</v>
      </c>
      <c r="F111" s="62" t="s">
        <v>125</v>
      </c>
      <c r="G111" s="33" t="s">
        <v>121</v>
      </c>
      <c r="H111" s="65">
        <v>1.411781E7</v>
      </c>
      <c r="I111" s="65">
        <v>1.1997104E7</v>
      </c>
      <c r="J111" s="64" t="s">
        <v>103</v>
      </c>
    </row>
    <row r="112">
      <c r="D112" s="62" t="s">
        <v>126</v>
      </c>
      <c r="E112" s="66" t="str">
        <f>A31</f>
        <v>P~ or K2b2~</v>
      </c>
      <c r="F112" s="62" t="s">
        <v>127</v>
      </c>
      <c r="G112" s="33" t="s">
        <v>121</v>
      </c>
      <c r="H112" s="65">
        <v>1.411781E7</v>
      </c>
      <c r="I112" s="65">
        <v>1.1997104E7</v>
      </c>
      <c r="J112" s="64" t="s">
        <v>103</v>
      </c>
    </row>
    <row r="113">
      <c r="D113" s="62" t="s">
        <v>128</v>
      </c>
      <c r="E113" s="66" t="str">
        <f>A31</f>
        <v>P~ or K2b2~</v>
      </c>
      <c r="F113" s="62" t="s">
        <v>129</v>
      </c>
      <c r="G113" s="33" t="s">
        <v>130</v>
      </c>
      <c r="H113" s="65">
        <v>1.4679362E7</v>
      </c>
      <c r="I113" s="65">
        <v>1.2567428E7</v>
      </c>
      <c r="J113" s="64" t="s">
        <v>131</v>
      </c>
    </row>
    <row r="114">
      <c r="D114" s="62" t="s">
        <v>132</v>
      </c>
      <c r="E114" s="66" t="str">
        <f>A31</f>
        <v>P~ or K2b2~</v>
      </c>
      <c r="F114" s="62" t="s">
        <v>133</v>
      </c>
      <c r="G114" s="33" t="s">
        <v>130</v>
      </c>
      <c r="H114" s="65">
        <v>1.4679362E7</v>
      </c>
      <c r="I114" s="65">
        <v>1.2567428E7</v>
      </c>
      <c r="J114" s="64" t="s">
        <v>131</v>
      </c>
    </row>
    <row r="115">
      <c r="D115" s="62" t="s">
        <v>134</v>
      </c>
      <c r="E115" s="66" t="str">
        <f>A31</f>
        <v>P~ or K2b2~</v>
      </c>
      <c r="F115" s="62" t="s">
        <v>135</v>
      </c>
      <c r="G115" s="33" t="s">
        <v>130</v>
      </c>
      <c r="H115" s="65">
        <v>1.4679362E7</v>
      </c>
      <c r="I115" s="65">
        <v>1.2567428E7</v>
      </c>
      <c r="J115" s="64" t="s">
        <v>131</v>
      </c>
    </row>
    <row r="116">
      <c r="D116" s="62" t="s">
        <v>136</v>
      </c>
      <c r="E116" s="66" t="str">
        <f>A31</f>
        <v>P~ or K2b2~</v>
      </c>
      <c r="F116" s="62" t="s">
        <v>137</v>
      </c>
      <c r="G116" s="33" t="s">
        <v>138</v>
      </c>
      <c r="H116" s="65">
        <v>1.4864191E7</v>
      </c>
      <c r="I116" s="65">
        <v>1.2752257E7</v>
      </c>
      <c r="J116" s="64" t="s">
        <v>139</v>
      </c>
    </row>
    <row r="117">
      <c r="D117" s="62" t="s">
        <v>140</v>
      </c>
      <c r="E117" s="66" t="str">
        <f>A31</f>
        <v>P~ or K2b2~</v>
      </c>
      <c r="F117" s="62" t="s">
        <v>141</v>
      </c>
      <c r="G117" s="33" t="s">
        <v>138</v>
      </c>
      <c r="H117" s="65">
        <v>1.4864191E7</v>
      </c>
      <c r="I117" s="65">
        <v>1.2752257E7</v>
      </c>
      <c r="J117" s="64" t="s">
        <v>139</v>
      </c>
    </row>
    <row r="118">
      <c r="D118" s="62" t="s">
        <v>142</v>
      </c>
      <c r="E118" s="66" t="str">
        <f>A31</f>
        <v>P~ or K2b2~</v>
      </c>
      <c r="F118" s="62" t="s">
        <v>143</v>
      </c>
      <c r="G118" s="33" t="s">
        <v>138</v>
      </c>
      <c r="H118" s="65">
        <v>1.4864191E7</v>
      </c>
      <c r="I118" s="65">
        <v>1.2752257E7</v>
      </c>
      <c r="J118" s="64" t="s">
        <v>139</v>
      </c>
    </row>
    <row r="119">
      <c r="D119" s="62" t="s">
        <v>144</v>
      </c>
      <c r="E119" s="66" t="str">
        <f>A31</f>
        <v>P~ or K2b2~</v>
      </c>
      <c r="F119" s="62" t="s">
        <v>145</v>
      </c>
      <c r="G119" s="33" t="s">
        <v>146</v>
      </c>
      <c r="H119" s="65">
        <v>1.4933671E7</v>
      </c>
      <c r="I119" s="65">
        <v>1.2821736E7</v>
      </c>
      <c r="J119" s="64" t="s">
        <v>131</v>
      </c>
    </row>
    <row r="120">
      <c r="D120" s="62" t="s">
        <v>147</v>
      </c>
      <c r="E120" s="66" t="str">
        <f>A31</f>
        <v>P~ or K2b2~</v>
      </c>
      <c r="F120" s="62" t="s">
        <v>148</v>
      </c>
      <c r="G120" s="33" t="s">
        <v>146</v>
      </c>
      <c r="H120" s="65">
        <v>1.4933671E7</v>
      </c>
      <c r="I120" s="65">
        <v>1.2821736E7</v>
      </c>
      <c r="J120" s="64" t="s">
        <v>131</v>
      </c>
    </row>
    <row r="121">
      <c r="D121" s="62" t="s">
        <v>149</v>
      </c>
      <c r="E121" s="66" t="str">
        <f>A31</f>
        <v>P~ or K2b2~</v>
      </c>
      <c r="F121" s="62" t="s">
        <v>150</v>
      </c>
      <c r="G121" s="33" t="s">
        <v>146</v>
      </c>
      <c r="H121" s="65">
        <v>1.4933671E7</v>
      </c>
      <c r="I121" s="65">
        <v>1.2821736E7</v>
      </c>
      <c r="J121" s="64" t="s">
        <v>131</v>
      </c>
    </row>
    <row r="122">
      <c r="D122" s="62" t="s">
        <v>151</v>
      </c>
      <c r="E122" s="66" t="str">
        <f>A31</f>
        <v>P~ or K2b2~</v>
      </c>
      <c r="F122" s="62" t="s">
        <v>152</v>
      </c>
      <c r="G122" s="33" t="s">
        <v>153</v>
      </c>
      <c r="H122" s="65">
        <v>1.5111148E7</v>
      </c>
      <c r="I122" s="65">
        <v>1.2999235E7</v>
      </c>
      <c r="J122" s="64" t="s">
        <v>154</v>
      </c>
    </row>
    <row r="123">
      <c r="D123" s="62" t="s">
        <v>155</v>
      </c>
      <c r="E123" s="66" t="str">
        <f>A31</f>
        <v>P~ or K2b2~</v>
      </c>
      <c r="F123" s="62" t="s">
        <v>156</v>
      </c>
      <c r="G123" s="33" t="s">
        <v>153</v>
      </c>
      <c r="H123" s="65">
        <v>1.5111148E7</v>
      </c>
      <c r="I123" s="65">
        <v>1.2999235E7</v>
      </c>
      <c r="J123" s="64" t="s">
        <v>154</v>
      </c>
    </row>
    <row r="124">
      <c r="D124" s="62" t="s">
        <v>157</v>
      </c>
      <c r="E124" s="66" t="str">
        <f>A31</f>
        <v>P~ or K2b2~</v>
      </c>
      <c r="F124" s="62" t="s">
        <v>158</v>
      </c>
      <c r="G124" s="33" t="s">
        <v>153</v>
      </c>
      <c r="H124" s="65">
        <v>1.5111148E7</v>
      </c>
      <c r="I124" s="65">
        <v>1.2999235E7</v>
      </c>
      <c r="J124" s="64" t="s">
        <v>154</v>
      </c>
    </row>
    <row r="125">
      <c r="D125" s="62" t="s">
        <v>159</v>
      </c>
      <c r="E125" s="66" t="str">
        <f>A31</f>
        <v>P~ or K2b2~</v>
      </c>
      <c r="F125" s="62" t="s">
        <v>160</v>
      </c>
      <c r="G125" s="33" t="s">
        <v>161</v>
      </c>
      <c r="H125" s="65">
        <v>1.514233E7</v>
      </c>
      <c r="I125" s="65">
        <v>1.3030417E7</v>
      </c>
      <c r="J125" s="64" t="s">
        <v>139</v>
      </c>
    </row>
    <row r="126">
      <c r="D126" s="62" t="s">
        <v>162</v>
      </c>
      <c r="E126" s="66" t="str">
        <f>A31</f>
        <v>P~ or K2b2~</v>
      </c>
      <c r="F126" s="62" t="s">
        <v>163</v>
      </c>
      <c r="G126" s="33" t="s">
        <v>161</v>
      </c>
      <c r="H126" s="65">
        <v>1.514233E7</v>
      </c>
      <c r="I126" s="65">
        <v>1.3030417E7</v>
      </c>
      <c r="J126" s="64" t="s">
        <v>139</v>
      </c>
    </row>
    <row r="127">
      <c r="D127" s="62" t="s">
        <v>164</v>
      </c>
      <c r="E127" s="66" t="str">
        <f>A31</f>
        <v>P~ or K2b2~</v>
      </c>
      <c r="F127" s="62" t="s">
        <v>165</v>
      </c>
      <c r="G127" s="33" t="s">
        <v>161</v>
      </c>
      <c r="H127" s="65">
        <v>1.514233E7</v>
      </c>
      <c r="I127" s="65">
        <v>1.3030417E7</v>
      </c>
      <c r="J127" s="64" t="s">
        <v>139</v>
      </c>
    </row>
    <row r="128">
      <c r="D128" s="62" t="s">
        <v>166</v>
      </c>
      <c r="E128" s="66" t="str">
        <f>A31</f>
        <v>P~ or K2b2~</v>
      </c>
      <c r="F128" s="62" t="s">
        <v>167</v>
      </c>
      <c r="G128" s="33" t="s">
        <v>168</v>
      </c>
      <c r="H128" s="65">
        <v>1.5172515E7</v>
      </c>
      <c r="I128" s="65">
        <v>1.3060601E7</v>
      </c>
      <c r="J128" s="64" t="s">
        <v>107</v>
      </c>
    </row>
    <row r="129">
      <c r="D129" s="62" t="s">
        <v>169</v>
      </c>
      <c r="E129" s="66" t="str">
        <f>A31</f>
        <v>P~ or K2b2~</v>
      </c>
      <c r="F129" s="62" t="s">
        <v>170</v>
      </c>
      <c r="G129" s="33" t="s">
        <v>168</v>
      </c>
      <c r="H129" s="65">
        <v>1.5172515E7</v>
      </c>
      <c r="I129" s="65">
        <v>1.3060601E7</v>
      </c>
      <c r="J129" s="64" t="s">
        <v>107</v>
      </c>
    </row>
    <row r="130">
      <c r="D130" s="62" t="s">
        <v>171</v>
      </c>
      <c r="E130" s="66" t="str">
        <f>A31</f>
        <v>P~ or K2b2~</v>
      </c>
      <c r="F130" s="62" t="s">
        <v>172</v>
      </c>
      <c r="G130" s="33" t="s">
        <v>168</v>
      </c>
      <c r="H130" s="65">
        <v>1.5172515E7</v>
      </c>
      <c r="I130" s="65">
        <v>1.3060601E7</v>
      </c>
      <c r="J130" s="64" t="s">
        <v>107</v>
      </c>
    </row>
    <row r="131">
      <c r="D131" s="62" t="s">
        <v>173</v>
      </c>
      <c r="E131" s="66" t="str">
        <f>A31</f>
        <v>P~ or K2b2~</v>
      </c>
      <c r="F131" s="62" t="s">
        <v>174</v>
      </c>
      <c r="G131" s="33" t="s">
        <v>175</v>
      </c>
      <c r="H131" s="65">
        <v>1.5202608E7</v>
      </c>
      <c r="I131" s="65">
        <v>1.3090694E7</v>
      </c>
      <c r="J131" s="64" t="s">
        <v>154</v>
      </c>
    </row>
    <row r="132">
      <c r="D132" s="62" t="s">
        <v>176</v>
      </c>
      <c r="E132" s="66" t="str">
        <f>A31</f>
        <v>P~ or K2b2~</v>
      </c>
      <c r="F132" s="62" t="s">
        <v>177</v>
      </c>
      <c r="G132" s="33" t="s">
        <v>175</v>
      </c>
      <c r="H132" s="65">
        <v>1.5202608E7</v>
      </c>
      <c r="I132" s="65">
        <v>1.3090694E7</v>
      </c>
      <c r="J132" s="64" t="s">
        <v>154</v>
      </c>
    </row>
    <row r="133">
      <c r="D133" s="62" t="s">
        <v>178</v>
      </c>
      <c r="E133" s="66" t="str">
        <f>A31</f>
        <v>P~ or K2b2~</v>
      </c>
      <c r="F133" s="62" t="s">
        <v>179</v>
      </c>
      <c r="G133" s="33" t="s">
        <v>175</v>
      </c>
      <c r="H133" s="65">
        <v>1.5202608E7</v>
      </c>
      <c r="I133" s="65">
        <v>1.3090694E7</v>
      </c>
      <c r="J133" s="64" t="s">
        <v>154</v>
      </c>
    </row>
    <row r="134">
      <c r="D134" s="62" t="s">
        <v>180</v>
      </c>
      <c r="E134" s="66" t="str">
        <f>A31</f>
        <v>P~ or K2b2~</v>
      </c>
      <c r="G134" s="67" t="s">
        <v>181</v>
      </c>
      <c r="H134" s="65">
        <v>1.5230964E7</v>
      </c>
      <c r="I134" s="65">
        <v>1.311905E7</v>
      </c>
      <c r="J134" s="64" t="s">
        <v>87</v>
      </c>
    </row>
    <row r="135">
      <c r="D135" s="62" t="s">
        <v>182</v>
      </c>
      <c r="E135" s="66" t="str">
        <f>A31</f>
        <v>P~ or K2b2~</v>
      </c>
      <c r="F135" s="62" t="s">
        <v>183</v>
      </c>
      <c r="G135" s="33" t="s">
        <v>184</v>
      </c>
      <c r="H135" s="65">
        <v>1.5648415E7</v>
      </c>
      <c r="I135" s="65">
        <v>1.3536535E7</v>
      </c>
      <c r="J135" s="64" t="s">
        <v>103</v>
      </c>
    </row>
    <row r="136">
      <c r="D136" s="62" t="s">
        <v>183</v>
      </c>
      <c r="E136" s="66" t="str">
        <f>A31</f>
        <v>P~ or K2b2~</v>
      </c>
      <c r="F136" s="62" t="s">
        <v>182</v>
      </c>
      <c r="G136" s="33" t="s">
        <v>184</v>
      </c>
      <c r="H136" s="65">
        <v>1.5648415E7</v>
      </c>
      <c r="I136" s="65">
        <v>1.3536535E7</v>
      </c>
      <c r="J136" s="64" t="s">
        <v>103</v>
      </c>
    </row>
    <row r="137">
      <c r="D137" s="62" t="s">
        <v>185</v>
      </c>
      <c r="E137" s="66" t="str">
        <f>A31</f>
        <v>P~ or K2b2~</v>
      </c>
      <c r="F137" s="62" t="s">
        <v>186</v>
      </c>
      <c r="G137" s="33" t="s">
        <v>187</v>
      </c>
      <c r="H137" s="65">
        <v>1.5918592E7</v>
      </c>
      <c r="I137" s="65">
        <v>1.3806712E7</v>
      </c>
      <c r="J137" s="64" t="s">
        <v>139</v>
      </c>
    </row>
    <row r="138">
      <c r="D138" s="62" t="s">
        <v>188</v>
      </c>
      <c r="E138" s="66" t="str">
        <f>A31</f>
        <v>P~ or K2b2~</v>
      </c>
      <c r="F138" s="62" t="s">
        <v>189</v>
      </c>
      <c r="G138" s="33" t="s">
        <v>187</v>
      </c>
      <c r="H138" s="65">
        <v>1.5918592E7</v>
      </c>
      <c r="I138" s="65">
        <v>1.3806712E7</v>
      </c>
      <c r="J138" s="64" t="s">
        <v>139</v>
      </c>
    </row>
    <row r="139">
      <c r="D139" s="62" t="s">
        <v>190</v>
      </c>
      <c r="E139" s="66" t="str">
        <f>A31</f>
        <v>P~ or K2b2~</v>
      </c>
      <c r="F139" s="62" t="s">
        <v>191</v>
      </c>
      <c r="G139" s="33" t="s">
        <v>187</v>
      </c>
      <c r="H139" s="65">
        <v>1.5918592E7</v>
      </c>
      <c r="I139" s="65">
        <v>1.3806712E7</v>
      </c>
      <c r="J139" s="64" t="s">
        <v>139</v>
      </c>
    </row>
    <row r="140">
      <c r="D140" s="62" t="s">
        <v>192</v>
      </c>
      <c r="E140" s="66" t="str">
        <f>A31</f>
        <v>P~ or K2b2~</v>
      </c>
      <c r="F140" s="62" t="s">
        <v>193</v>
      </c>
      <c r="G140" s="33" t="s">
        <v>194</v>
      </c>
      <c r="H140" s="65">
        <v>1.6263188E7</v>
      </c>
      <c r="I140" s="65">
        <v>1.4151308E7</v>
      </c>
      <c r="J140" s="64" t="s">
        <v>139</v>
      </c>
    </row>
    <row r="141">
      <c r="D141" s="62" t="s">
        <v>195</v>
      </c>
      <c r="E141" s="66" t="str">
        <f>A31</f>
        <v>P~ or K2b2~</v>
      </c>
      <c r="F141" s="62" t="s">
        <v>196</v>
      </c>
      <c r="G141" s="33" t="s">
        <v>194</v>
      </c>
      <c r="H141" s="65">
        <v>1.6263188E7</v>
      </c>
      <c r="I141" s="65">
        <v>1.4151308E7</v>
      </c>
      <c r="J141" s="64" t="s">
        <v>139</v>
      </c>
    </row>
    <row r="142">
      <c r="D142" s="62" t="s">
        <v>197</v>
      </c>
      <c r="E142" s="66" t="str">
        <f>A31</f>
        <v>P~ or K2b2~</v>
      </c>
      <c r="F142" s="62" t="s">
        <v>198</v>
      </c>
      <c r="G142" s="33" t="s">
        <v>194</v>
      </c>
      <c r="H142" s="65">
        <v>1.6263188E7</v>
      </c>
      <c r="I142" s="65">
        <v>1.4151308E7</v>
      </c>
      <c r="J142" s="64" t="s">
        <v>139</v>
      </c>
    </row>
    <row r="143">
      <c r="D143" s="62" t="s">
        <v>199</v>
      </c>
      <c r="E143" s="66" t="str">
        <f>A31</f>
        <v>P~ or K2b2~</v>
      </c>
      <c r="F143" s="62" t="s">
        <v>200</v>
      </c>
      <c r="G143" s="33" t="s">
        <v>201</v>
      </c>
      <c r="H143" s="65">
        <v>1.6425449E7</v>
      </c>
      <c r="I143" s="65">
        <v>1.4313569E7</v>
      </c>
      <c r="J143" s="64" t="s">
        <v>103</v>
      </c>
    </row>
    <row r="144">
      <c r="D144" s="62" t="s">
        <v>202</v>
      </c>
      <c r="E144" s="66" t="str">
        <f>A31</f>
        <v>P~ or K2b2~</v>
      </c>
      <c r="F144" s="62" t="s">
        <v>203</v>
      </c>
      <c r="G144" s="33" t="s">
        <v>201</v>
      </c>
      <c r="H144" s="65">
        <v>1.6425449E7</v>
      </c>
      <c r="I144" s="65">
        <v>1.4313569E7</v>
      </c>
      <c r="J144" s="64" t="s">
        <v>103</v>
      </c>
    </row>
    <row r="145">
      <c r="D145" s="62" t="s">
        <v>204</v>
      </c>
      <c r="E145" s="66" t="str">
        <f>A31</f>
        <v>P~ or K2b2~</v>
      </c>
      <c r="F145" s="62" t="s">
        <v>205</v>
      </c>
      <c r="G145" s="33" t="s">
        <v>201</v>
      </c>
      <c r="H145" s="65">
        <v>1.6425449E7</v>
      </c>
      <c r="I145" s="65">
        <v>1.4313569E7</v>
      </c>
      <c r="J145" s="64" t="s">
        <v>103</v>
      </c>
    </row>
    <row r="146">
      <c r="D146" s="62" t="s">
        <v>206</v>
      </c>
      <c r="E146" s="66" t="str">
        <f>A31</f>
        <v>P~ or K2b2~</v>
      </c>
      <c r="F146" s="62" t="s">
        <v>207</v>
      </c>
      <c r="G146" s="33" t="s">
        <v>201</v>
      </c>
      <c r="H146" s="65">
        <v>1.6425449E7</v>
      </c>
      <c r="I146" s="65">
        <v>1.4313569E7</v>
      </c>
      <c r="J146" s="64" t="s">
        <v>103</v>
      </c>
    </row>
    <row r="147">
      <c r="D147" s="62" t="s">
        <v>208</v>
      </c>
      <c r="E147" s="66" t="str">
        <f>A31</f>
        <v>P~ or K2b2~</v>
      </c>
      <c r="F147" s="62" t="s">
        <v>209</v>
      </c>
      <c r="G147" s="33" t="s">
        <v>210</v>
      </c>
      <c r="H147" s="65">
        <v>1.6489668E7</v>
      </c>
      <c r="I147" s="65">
        <v>1.4377788E7</v>
      </c>
      <c r="J147" s="64" t="s">
        <v>211</v>
      </c>
    </row>
    <row r="148">
      <c r="D148" s="62" t="s">
        <v>212</v>
      </c>
      <c r="E148" s="66" t="str">
        <f>A31</f>
        <v>P~ or K2b2~</v>
      </c>
      <c r="F148" s="62" t="s">
        <v>213</v>
      </c>
      <c r="G148" s="33" t="s">
        <v>210</v>
      </c>
      <c r="H148" s="65">
        <v>1.6489668E7</v>
      </c>
      <c r="I148" s="65">
        <v>1.4377788E7</v>
      </c>
      <c r="J148" s="64" t="s">
        <v>211</v>
      </c>
    </row>
    <row r="149">
      <c r="D149" s="62" t="s">
        <v>214</v>
      </c>
      <c r="E149" s="66" t="str">
        <f>A31</f>
        <v>P~ or K2b2~</v>
      </c>
      <c r="F149" s="62" t="s">
        <v>215</v>
      </c>
      <c r="G149" s="33" t="s">
        <v>210</v>
      </c>
      <c r="H149" s="65">
        <v>1.6489668E7</v>
      </c>
      <c r="I149" s="65">
        <v>1.4377788E7</v>
      </c>
      <c r="J149" s="64" t="s">
        <v>211</v>
      </c>
    </row>
    <row r="150">
      <c r="D150" s="62" t="s">
        <v>216</v>
      </c>
      <c r="E150" s="66" t="str">
        <f>A31</f>
        <v>P~ or K2b2~</v>
      </c>
      <c r="F150" s="62" t="s">
        <v>217</v>
      </c>
      <c r="G150" s="33" t="s">
        <v>218</v>
      </c>
      <c r="H150" s="65">
        <v>1.6535034E7</v>
      </c>
      <c r="I150" s="65">
        <v>1.4423154E7</v>
      </c>
      <c r="J150" s="64" t="s">
        <v>219</v>
      </c>
    </row>
    <row r="151">
      <c r="D151" s="62" t="s">
        <v>220</v>
      </c>
      <c r="E151" s="66" t="str">
        <f>A31</f>
        <v>P~ or K2b2~</v>
      </c>
      <c r="F151" s="62" t="s">
        <v>221</v>
      </c>
      <c r="G151" s="33" t="s">
        <v>218</v>
      </c>
      <c r="H151" s="65">
        <v>1.6535034E7</v>
      </c>
      <c r="I151" s="65">
        <v>1.4423154E7</v>
      </c>
      <c r="J151" s="64" t="s">
        <v>219</v>
      </c>
    </row>
    <row r="152">
      <c r="D152" s="62" t="s">
        <v>222</v>
      </c>
      <c r="E152" s="66" t="str">
        <f>A31</f>
        <v>P~ or K2b2~</v>
      </c>
      <c r="F152" s="62" t="s">
        <v>223</v>
      </c>
      <c r="G152" s="33" t="s">
        <v>218</v>
      </c>
      <c r="H152" s="65">
        <v>1.6535034E7</v>
      </c>
      <c r="I152" s="65">
        <v>1.4423154E7</v>
      </c>
      <c r="J152" s="64" t="s">
        <v>219</v>
      </c>
    </row>
    <row r="153">
      <c r="D153" s="62" t="s">
        <v>224</v>
      </c>
      <c r="E153" s="66" t="str">
        <f>A31</f>
        <v>P~ or K2b2~</v>
      </c>
      <c r="F153" s="62" t="s">
        <v>225</v>
      </c>
      <c r="G153" s="33" t="s">
        <v>226</v>
      </c>
      <c r="H153" s="65">
        <v>1.720635E7</v>
      </c>
      <c r="I153" s="65">
        <v>1.509447E7</v>
      </c>
      <c r="J153" s="64" t="s">
        <v>211</v>
      </c>
    </row>
    <row r="154">
      <c r="D154" s="62" t="s">
        <v>227</v>
      </c>
      <c r="E154" s="66" t="str">
        <f>A31</f>
        <v>P~ or K2b2~</v>
      </c>
      <c r="F154" s="62" t="s">
        <v>228</v>
      </c>
      <c r="G154" s="33" t="s">
        <v>226</v>
      </c>
      <c r="H154" s="65">
        <v>1.720635E7</v>
      </c>
      <c r="I154" s="65">
        <v>1.509447E7</v>
      </c>
      <c r="J154" s="64" t="s">
        <v>211</v>
      </c>
    </row>
    <row r="155">
      <c r="D155" s="62" t="s">
        <v>229</v>
      </c>
      <c r="E155" s="66" t="str">
        <f>A31</f>
        <v>P~ or K2b2~</v>
      </c>
      <c r="F155" s="62" t="s">
        <v>230</v>
      </c>
      <c r="G155" s="33" t="s">
        <v>226</v>
      </c>
      <c r="H155" s="65">
        <v>1.720635E7</v>
      </c>
      <c r="I155" s="65">
        <v>1.509447E7</v>
      </c>
      <c r="J155" s="64" t="s">
        <v>211</v>
      </c>
    </row>
    <row r="156">
      <c r="D156" s="62" t="s">
        <v>231</v>
      </c>
      <c r="E156" s="66" t="str">
        <f>A31</f>
        <v>P~ or K2b2~</v>
      </c>
      <c r="F156" s="62" t="s">
        <v>232</v>
      </c>
      <c r="G156" s="33" t="s">
        <v>233</v>
      </c>
      <c r="H156" s="65">
        <v>1.7341676E7</v>
      </c>
      <c r="I156" s="65">
        <v>1.5229796E7</v>
      </c>
      <c r="J156" s="64" t="s">
        <v>219</v>
      </c>
    </row>
    <row r="157">
      <c r="D157" s="62" t="s">
        <v>234</v>
      </c>
      <c r="E157" s="66" t="str">
        <f>A31</f>
        <v>P~ or K2b2~</v>
      </c>
      <c r="F157" s="62" t="s">
        <v>235</v>
      </c>
      <c r="G157" s="33" t="s">
        <v>233</v>
      </c>
      <c r="H157" s="65">
        <v>1.7341676E7</v>
      </c>
      <c r="I157" s="65">
        <v>1.5229796E7</v>
      </c>
      <c r="J157" s="64" t="s">
        <v>219</v>
      </c>
    </row>
    <row r="158">
      <c r="D158" s="62" t="s">
        <v>236</v>
      </c>
      <c r="E158" s="66" t="str">
        <f>A31</f>
        <v>P~ or K2b2~</v>
      </c>
      <c r="F158" s="62" t="s">
        <v>237</v>
      </c>
      <c r="G158" s="33" t="s">
        <v>233</v>
      </c>
      <c r="H158" s="65">
        <v>1.7341676E7</v>
      </c>
      <c r="I158" s="65">
        <v>1.5229796E7</v>
      </c>
      <c r="J158" s="64" t="s">
        <v>219</v>
      </c>
    </row>
    <row r="159">
      <c r="D159" s="62" t="s">
        <v>238</v>
      </c>
      <c r="E159" s="66" t="str">
        <f>A31</f>
        <v>P~ or K2b2~</v>
      </c>
      <c r="F159" s="62" t="s">
        <v>239</v>
      </c>
      <c r="G159" s="33" t="s">
        <v>240</v>
      </c>
      <c r="H159" s="65">
        <v>1.7374007E7</v>
      </c>
      <c r="I159" s="65">
        <v>1.5262127E7</v>
      </c>
      <c r="J159" s="64" t="s">
        <v>211</v>
      </c>
    </row>
    <row r="160">
      <c r="D160" s="62" t="s">
        <v>241</v>
      </c>
      <c r="E160" s="66" t="str">
        <f>A31</f>
        <v>P~ or K2b2~</v>
      </c>
      <c r="F160" s="62" t="s">
        <v>242</v>
      </c>
      <c r="G160" s="33" t="s">
        <v>240</v>
      </c>
      <c r="H160" s="65">
        <v>1.7374007E7</v>
      </c>
      <c r="I160" s="65">
        <v>1.5262127E7</v>
      </c>
      <c r="J160" s="64" t="s">
        <v>211</v>
      </c>
    </row>
    <row r="161">
      <c r="D161" s="62" t="s">
        <v>243</v>
      </c>
      <c r="E161" s="66" t="str">
        <f>A31</f>
        <v>P~ or K2b2~</v>
      </c>
      <c r="F161" s="62" t="s">
        <v>244</v>
      </c>
      <c r="G161" s="33" t="s">
        <v>240</v>
      </c>
      <c r="H161" s="65">
        <v>1.7374007E7</v>
      </c>
      <c r="I161" s="65">
        <v>1.5262127E7</v>
      </c>
      <c r="J161" s="64" t="s">
        <v>211</v>
      </c>
    </row>
    <row r="162">
      <c r="D162" s="62" t="s">
        <v>245</v>
      </c>
      <c r="E162" s="66" t="str">
        <f>A31</f>
        <v>P~ or K2b2~</v>
      </c>
      <c r="F162" s="62" t="s">
        <v>246</v>
      </c>
      <c r="G162" s="33" t="s">
        <v>247</v>
      </c>
      <c r="H162" s="65">
        <v>1.7502468E7</v>
      </c>
      <c r="I162" s="65">
        <v>1.5390588E7</v>
      </c>
      <c r="J162" s="64" t="s">
        <v>103</v>
      </c>
    </row>
    <row r="163">
      <c r="D163" s="62" t="s">
        <v>248</v>
      </c>
      <c r="E163" s="66" t="str">
        <f>A31</f>
        <v>P~ or K2b2~</v>
      </c>
      <c r="F163" s="62" t="s">
        <v>249</v>
      </c>
      <c r="G163" s="33" t="s">
        <v>247</v>
      </c>
      <c r="H163" s="65">
        <v>1.7502468E7</v>
      </c>
      <c r="I163" s="65">
        <v>1.5390588E7</v>
      </c>
      <c r="J163" s="64" t="s">
        <v>103</v>
      </c>
    </row>
    <row r="164">
      <c r="D164" s="62" t="s">
        <v>250</v>
      </c>
      <c r="E164" s="66" t="str">
        <f>A31</f>
        <v>P~ or K2b2~</v>
      </c>
      <c r="F164" s="62" t="s">
        <v>251</v>
      </c>
      <c r="G164" s="33" t="s">
        <v>247</v>
      </c>
      <c r="H164" s="65">
        <v>1.7502468E7</v>
      </c>
      <c r="I164" s="65">
        <v>1.5390588E7</v>
      </c>
      <c r="J164" s="64" t="s">
        <v>103</v>
      </c>
    </row>
    <row r="165">
      <c r="D165" s="62" t="s">
        <v>252</v>
      </c>
      <c r="E165" s="66" t="str">
        <f>A31</f>
        <v>P~ or K2b2~</v>
      </c>
      <c r="F165" s="62" t="s">
        <v>253</v>
      </c>
      <c r="G165" s="33" t="s">
        <v>254</v>
      </c>
      <c r="H165" s="65">
        <v>1.7559652E7</v>
      </c>
      <c r="I165" s="65">
        <v>1.5447772E7</v>
      </c>
      <c r="J165" s="64" t="s">
        <v>139</v>
      </c>
    </row>
    <row r="166">
      <c r="D166" s="62" t="s">
        <v>255</v>
      </c>
      <c r="E166" s="66" t="str">
        <f>A31</f>
        <v>P~ or K2b2~</v>
      </c>
      <c r="F166" s="62" t="s">
        <v>256</v>
      </c>
      <c r="G166" s="33" t="s">
        <v>254</v>
      </c>
      <c r="H166" s="65">
        <v>1.7559652E7</v>
      </c>
      <c r="I166" s="65">
        <v>1.5447772E7</v>
      </c>
      <c r="J166" s="64" t="s">
        <v>139</v>
      </c>
    </row>
    <row r="167">
      <c r="D167" s="62" t="s">
        <v>257</v>
      </c>
      <c r="E167" s="66" t="str">
        <f>A31</f>
        <v>P~ or K2b2~</v>
      </c>
      <c r="F167" s="62" t="s">
        <v>258</v>
      </c>
      <c r="G167" s="33" t="s">
        <v>254</v>
      </c>
      <c r="H167" s="65">
        <v>1.7559652E7</v>
      </c>
      <c r="I167" s="65">
        <v>1.5447772E7</v>
      </c>
      <c r="J167" s="64" t="s">
        <v>139</v>
      </c>
    </row>
    <row r="168">
      <c r="D168" s="62" t="s">
        <v>259</v>
      </c>
      <c r="E168" s="66" t="str">
        <f>A31</f>
        <v>P~ or K2b2~</v>
      </c>
      <c r="F168" s="62" t="s">
        <v>260</v>
      </c>
      <c r="G168" s="33" t="s">
        <v>261</v>
      </c>
      <c r="H168" s="65">
        <v>1.772625E7</v>
      </c>
      <c r="I168" s="65">
        <v>1.561437E7</v>
      </c>
      <c r="J168" s="64" t="s">
        <v>87</v>
      </c>
    </row>
    <row r="169">
      <c r="D169" s="62" t="s">
        <v>262</v>
      </c>
      <c r="E169" s="66" t="str">
        <f>A31</f>
        <v>P~ or K2b2~</v>
      </c>
      <c r="F169" s="62" t="s">
        <v>263</v>
      </c>
      <c r="G169" s="33" t="s">
        <v>261</v>
      </c>
      <c r="H169" s="65">
        <v>1.772625E7</v>
      </c>
      <c r="I169" s="65">
        <v>1.561437E7</v>
      </c>
      <c r="J169" s="64" t="s">
        <v>87</v>
      </c>
    </row>
    <row r="170">
      <c r="D170" s="62" t="s">
        <v>264</v>
      </c>
      <c r="E170" s="66" t="str">
        <f>A31</f>
        <v>P~ or K2b2~</v>
      </c>
      <c r="F170" s="62" t="s">
        <v>265</v>
      </c>
      <c r="G170" s="33" t="s">
        <v>261</v>
      </c>
      <c r="H170" s="65">
        <v>1.772625E7</v>
      </c>
      <c r="I170" s="65">
        <v>1.561437E7</v>
      </c>
      <c r="J170" s="64" t="s">
        <v>87</v>
      </c>
    </row>
    <row r="171">
      <c r="D171" s="62" t="s">
        <v>266</v>
      </c>
      <c r="E171" s="66" t="str">
        <f>A31</f>
        <v>P~ or K2b2~</v>
      </c>
      <c r="F171" s="62" t="s">
        <v>267</v>
      </c>
      <c r="G171" s="33" t="s">
        <v>268</v>
      </c>
      <c r="H171" s="65">
        <v>1.7954035E7</v>
      </c>
      <c r="I171" s="65">
        <v>1.5842155E7</v>
      </c>
      <c r="J171" s="64" t="s">
        <v>139</v>
      </c>
    </row>
    <row r="172">
      <c r="D172" s="62" t="s">
        <v>269</v>
      </c>
      <c r="E172" s="66" t="str">
        <f>A31</f>
        <v>P~ or K2b2~</v>
      </c>
      <c r="F172" s="62" t="s">
        <v>270</v>
      </c>
      <c r="G172" s="33" t="s">
        <v>268</v>
      </c>
      <c r="H172" s="65">
        <v>1.7954035E7</v>
      </c>
      <c r="I172" s="65">
        <v>1.5842155E7</v>
      </c>
      <c r="J172" s="64" t="s">
        <v>139</v>
      </c>
    </row>
    <row r="173">
      <c r="D173" s="62" t="s">
        <v>271</v>
      </c>
      <c r="E173" s="66" t="str">
        <f>A31</f>
        <v>P~ or K2b2~</v>
      </c>
      <c r="F173" s="62" t="s">
        <v>272</v>
      </c>
      <c r="G173" s="33" t="s">
        <v>268</v>
      </c>
      <c r="H173" s="65">
        <v>1.7954035E7</v>
      </c>
      <c r="I173" s="65">
        <v>1.5842155E7</v>
      </c>
      <c r="J173" s="64" t="s">
        <v>139</v>
      </c>
    </row>
    <row r="174">
      <c r="D174" s="62" t="s">
        <v>273</v>
      </c>
      <c r="E174" s="66" t="str">
        <f>A31</f>
        <v>P~ or K2b2~</v>
      </c>
      <c r="F174" s="62" t="s">
        <v>274</v>
      </c>
      <c r="G174" s="33" t="s">
        <v>275</v>
      </c>
      <c r="H174" s="65">
        <v>1.8116596E7</v>
      </c>
      <c r="I174" s="65">
        <v>1.6004716E7</v>
      </c>
      <c r="J174" s="64" t="s">
        <v>103</v>
      </c>
    </row>
    <row r="175">
      <c r="D175" s="62" t="s">
        <v>276</v>
      </c>
      <c r="E175" s="66" t="str">
        <f>A31</f>
        <v>P~ or K2b2~</v>
      </c>
      <c r="F175" s="62" t="s">
        <v>277</v>
      </c>
      <c r="G175" s="33" t="s">
        <v>275</v>
      </c>
      <c r="H175" s="65">
        <v>1.8116596E7</v>
      </c>
      <c r="I175" s="65">
        <v>1.6004716E7</v>
      </c>
      <c r="J175" s="64" t="s">
        <v>103</v>
      </c>
    </row>
    <row r="176">
      <c r="D176" s="62" t="s">
        <v>278</v>
      </c>
      <c r="E176" s="66" t="str">
        <f>A31</f>
        <v>P~ or K2b2~</v>
      </c>
      <c r="F176" s="62" t="s">
        <v>279</v>
      </c>
      <c r="G176" s="33" t="s">
        <v>275</v>
      </c>
      <c r="H176" s="65">
        <v>1.8116596E7</v>
      </c>
      <c r="I176" s="65">
        <v>1.6004716E7</v>
      </c>
      <c r="J176" s="64" t="s">
        <v>103</v>
      </c>
    </row>
    <row r="177">
      <c r="D177" s="62" t="s">
        <v>280</v>
      </c>
      <c r="E177" s="66" t="str">
        <f>A31</f>
        <v>P~ or K2b2~</v>
      </c>
      <c r="F177" s="62" t="s">
        <v>281</v>
      </c>
      <c r="G177" s="33" t="s">
        <v>282</v>
      </c>
      <c r="H177" s="65">
        <v>1.8720028E7</v>
      </c>
      <c r="I177" s="65">
        <v>1.6608148E7</v>
      </c>
      <c r="J177" s="64" t="s">
        <v>103</v>
      </c>
    </row>
    <row r="178">
      <c r="D178" s="62" t="s">
        <v>283</v>
      </c>
      <c r="E178" s="66" t="str">
        <f>A31</f>
        <v>P~ or K2b2~</v>
      </c>
      <c r="F178" s="62" t="s">
        <v>284</v>
      </c>
      <c r="G178" s="33" t="s">
        <v>282</v>
      </c>
      <c r="H178" s="65">
        <v>1.8720028E7</v>
      </c>
      <c r="I178" s="65">
        <v>1.6608148E7</v>
      </c>
      <c r="J178" s="64" t="s">
        <v>103</v>
      </c>
    </row>
    <row r="179">
      <c r="D179" s="62" t="s">
        <v>285</v>
      </c>
      <c r="E179" s="66" t="str">
        <f>A31</f>
        <v>P~ or K2b2~</v>
      </c>
      <c r="F179" s="62" t="s">
        <v>286</v>
      </c>
      <c r="G179" s="33" t="s">
        <v>282</v>
      </c>
      <c r="H179" s="65">
        <v>1.8720028E7</v>
      </c>
      <c r="I179" s="65">
        <v>1.6608148E7</v>
      </c>
      <c r="J179" s="64" t="s">
        <v>103</v>
      </c>
    </row>
    <row r="180">
      <c r="D180" s="62" t="s">
        <v>287</v>
      </c>
      <c r="E180" s="66" t="str">
        <f>A31</f>
        <v>P~ or K2b2~</v>
      </c>
      <c r="F180" s="62" t="s">
        <v>288</v>
      </c>
      <c r="G180" s="33" t="s">
        <v>282</v>
      </c>
      <c r="H180" s="65">
        <v>1.8720028E7</v>
      </c>
      <c r="I180" s="65">
        <v>1.6608148E7</v>
      </c>
      <c r="J180" s="64" t="s">
        <v>103</v>
      </c>
    </row>
    <row r="181">
      <c r="D181" s="62" t="s">
        <v>289</v>
      </c>
      <c r="E181" s="66" t="str">
        <f>A31</f>
        <v>P~ or K2b2~</v>
      </c>
      <c r="F181" s="62" t="s">
        <v>290</v>
      </c>
      <c r="G181" s="33" t="s">
        <v>291</v>
      </c>
      <c r="H181" s="65">
        <v>1.8986087E7</v>
      </c>
      <c r="I181" s="65">
        <v>1.6874207E7</v>
      </c>
      <c r="J181" s="64" t="s">
        <v>95</v>
      </c>
    </row>
    <row r="182">
      <c r="D182" s="62" t="s">
        <v>292</v>
      </c>
      <c r="E182" s="66" t="str">
        <f>A31</f>
        <v>P~ or K2b2~</v>
      </c>
      <c r="F182" s="62" t="s">
        <v>293</v>
      </c>
      <c r="G182" s="33" t="s">
        <v>291</v>
      </c>
      <c r="H182" s="65">
        <v>1.8986087E7</v>
      </c>
      <c r="I182" s="65">
        <v>1.6874207E7</v>
      </c>
      <c r="J182" s="64" t="s">
        <v>95</v>
      </c>
    </row>
    <row r="183">
      <c r="D183" s="62" t="s">
        <v>294</v>
      </c>
      <c r="E183" s="66" t="str">
        <f>A31</f>
        <v>P~ or K2b2~</v>
      </c>
      <c r="F183" s="62" t="s">
        <v>295</v>
      </c>
      <c r="G183" s="33" t="s">
        <v>291</v>
      </c>
      <c r="H183" s="65">
        <v>1.8986087E7</v>
      </c>
      <c r="I183" s="65">
        <v>1.6874207E7</v>
      </c>
      <c r="J183" s="64" t="s">
        <v>95</v>
      </c>
    </row>
    <row r="184">
      <c r="D184" s="62" t="s">
        <v>296</v>
      </c>
      <c r="E184" s="66" t="str">
        <f>A31</f>
        <v>P~ or K2b2~</v>
      </c>
      <c r="F184" s="62" t="s">
        <v>297</v>
      </c>
      <c r="G184" s="33" t="s">
        <v>298</v>
      </c>
      <c r="H184" s="65">
        <v>1.9245417E7</v>
      </c>
      <c r="I184" s="65">
        <v>1.7133537E7</v>
      </c>
      <c r="J184" s="64" t="s">
        <v>131</v>
      </c>
    </row>
    <row r="185">
      <c r="D185" s="62" t="s">
        <v>299</v>
      </c>
      <c r="E185" s="66" t="str">
        <f>A31</f>
        <v>P~ or K2b2~</v>
      </c>
      <c r="F185" s="62" t="s">
        <v>300</v>
      </c>
      <c r="G185" s="33" t="s">
        <v>298</v>
      </c>
      <c r="H185" s="65">
        <v>1.9245417E7</v>
      </c>
      <c r="I185" s="65">
        <v>1.7133537E7</v>
      </c>
      <c r="J185" s="64" t="s">
        <v>131</v>
      </c>
    </row>
    <row r="186">
      <c r="D186" s="62" t="s">
        <v>301</v>
      </c>
      <c r="E186" s="66" t="str">
        <f>A31</f>
        <v>P~ or K2b2~</v>
      </c>
      <c r="F186" s="62" t="s">
        <v>302</v>
      </c>
      <c r="G186" s="33" t="s">
        <v>298</v>
      </c>
      <c r="H186" s="65">
        <v>1.9245417E7</v>
      </c>
      <c r="I186" s="65">
        <v>1.7133537E7</v>
      </c>
      <c r="J186" s="64" t="s">
        <v>131</v>
      </c>
    </row>
    <row r="187">
      <c r="D187" s="62" t="s">
        <v>303</v>
      </c>
      <c r="E187" s="66" t="str">
        <f>A31</f>
        <v>P~ or K2b2~</v>
      </c>
      <c r="F187" s="62" t="s">
        <v>304</v>
      </c>
      <c r="G187" s="33" t="s">
        <v>305</v>
      </c>
      <c r="H187" s="65">
        <v>1.9246561E7</v>
      </c>
      <c r="I187" s="65">
        <v>1.7134681E7</v>
      </c>
      <c r="J187" s="64" t="s">
        <v>219</v>
      </c>
    </row>
    <row r="188">
      <c r="D188" s="62" t="s">
        <v>306</v>
      </c>
      <c r="E188" s="66" t="str">
        <f>A31</f>
        <v>P~ or K2b2~</v>
      </c>
      <c r="F188" s="62" t="s">
        <v>307</v>
      </c>
      <c r="G188" s="33" t="s">
        <v>305</v>
      </c>
      <c r="H188" s="65">
        <v>1.9246561E7</v>
      </c>
      <c r="I188" s="65">
        <v>1.7134681E7</v>
      </c>
      <c r="J188" s="64" t="s">
        <v>219</v>
      </c>
    </row>
    <row r="189">
      <c r="D189" s="62" t="s">
        <v>308</v>
      </c>
      <c r="E189" s="66" t="str">
        <f>A31</f>
        <v>P~ or K2b2~</v>
      </c>
      <c r="F189" s="62" t="s">
        <v>309</v>
      </c>
      <c r="G189" s="33" t="s">
        <v>305</v>
      </c>
      <c r="H189" s="65">
        <v>1.9246561E7</v>
      </c>
      <c r="I189" s="65">
        <v>1.7134681E7</v>
      </c>
      <c r="J189" s="64" t="s">
        <v>219</v>
      </c>
    </row>
    <row r="190">
      <c r="D190" s="62" t="s">
        <v>310</v>
      </c>
      <c r="E190" s="66" t="str">
        <f>A31</f>
        <v>P~ or K2b2~</v>
      </c>
      <c r="F190" s="62" t="s">
        <v>311</v>
      </c>
      <c r="G190" s="33" t="s">
        <v>312</v>
      </c>
      <c r="H190" s="65">
        <v>1.9303108E7</v>
      </c>
      <c r="I190" s="65">
        <v>1.7191228E7</v>
      </c>
      <c r="J190" s="64" t="s">
        <v>313</v>
      </c>
    </row>
    <row r="191">
      <c r="D191" s="62" t="s">
        <v>311</v>
      </c>
      <c r="E191" s="66" t="str">
        <f>A31</f>
        <v>P~ or K2b2~</v>
      </c>
      <c r="F191" s="62" t="s">
        <v>310</v>
      </c>
      <c r="G191" s="33" t="s">
        <v>312</v>
      </c>
      <c r="H191" s="65">
        <v>1.9303108E7</v>
      </c>
      <c r="I191" s="65">
        <v>1.7191228E7</v>
      </c>
      <c r="J191" s="64" t="s">
        <v>313</v>
      </c>
    </row>
    <row r="192">
      <c r="D192" s="62" t="s">
        <v>314</v>
      </c>
      <c r="E192" s="66" t="str">
        <f>A31</f>
        <v>P~ or K2b2~</v>
      </c>
      <c r="F192" s="62" t="s">
        <v>315</v>
      </c>
      <c r="G192" s="33" t="s">
        <v>316</v>
      </c>
      <c r="H192" s="65">
        <v>1.9417241E7</v>
      </c>
      <c r="I192" s="65">
        <v>1.7305361E7</v>
      </c>
      <c r="J192" s="64" t="s">
        <v>95</v>
      </c>
    </row>
    <row r="193">
      <c r="D193" s="62" t="s">
        <v>317</v>
      </c>
      <c r="E193" s="66" t="str">
        <f>A31</f>
        <v>P~ or K2b2~</v>
      </c>
      <c r="F193" s="62" t="s">
        <v>318</v>
      </c>
      <c r="G193" s="33" t="s">
        <v>316</v>
      </c>
      <c r="H193" s="65">
        <v>1.9417241E7</v>
      </c>
      <c r="I193" s="65">
        <v>1.7305361E7</v>
      </c>
      <c r="J193" s="64" t="s">
        <v>95</v>
      </c>
    </row>
    <row r="194">
      <c r="D194" s="62" t="s">
        <v>319</v>
      </c>
      <c r="E194" s="66" t="str">
        <f>A31</f>
        <v>P~ or K2b2~</v>
      </c>
      <c r="F194" s="62" t="s">
        <v>320</v>
      </c>
      <c r="G194" s="33" t="s">
        <v>316</v>
      </c>
      <c r="H194" s="65">
        <v>1.9417241E7</v>
      </c>
      <c r="I194" s="65">
        <v>1.7305361E7</v>
      </c>
      <c r="J194" s="64" t="s">
        <v>95</v>
      </c>
    </row>
    <row r="195">
      <c r="D195" s="62" t="s">
        <v>321</v>
      </c>
      <c r="E195" s="66" t="str">
        <f>A31</f>
        <v>P~ or K2b2~</v>
      </c>
      <c r="F195" s="62" t="s">
        <v>322</v>
      </c>
      <c r="G195" s="33" t="s">
        <v>323</v>
      </c>
      <c r="H195" s="65">
        <v>1.9463273E7</v>
      </c>
      <c r="I195" s="65">
        <v>1.7351393E7</v>
      </c>
      <c r="J195" s="64" t="s">
        <v>139</v>
      </c>
    </row>
    <row r="196">
      <c r="D196" s="62" t="s">
        <v>322</v>
      </c>
      <c r="E196" s="66" t="str">
        <f>A31</f>
        <v>P~ or K2b2~</v>
      </c>
      <c r="F196" s="62" t="s">
        <v>321</v>
      </c>
      <c r="G196" s="33" t="s">
        <v>323</v>
      </c>
      <c r="H196" s="65">
        <v>1.9463273E7</v>
      </c>
      <c r="I196" s="65">
        <v>1.7351393E7</v>
      </c>
      <c r="J196" s="64" t="s">
        <v>139</v>
      </c>
    </row>
    <row r="197">
      <c r="D197" s="62" t="s">
        <v>324</v>
      </c>
      <c r="E197" s="66" t="str">
        <f>A31</f>
        <v>P~ or K2b2~</v>
      </c>
      <c r="F197" s="62" t="s">
        <v>325</v>
      </c>
      <c r="G197" s="33" t="s">
        <v>326</v>
      </c>
      <c r="H197" s="65">
        <v>2.280837E7</v>
      </c>
      <c r="I197" s="65">
        <v>2.0646484E7</v>
      </c>
      <c r="J197" s="64" t="s">
        <v>103</v>
      </c>
    </row>
    <row r="198">
      <c r="D198" s="62" t="s">
        <v>325</v>
      </c>
      <c r="E198" s="66" t="str">
        <f>A31</f>
        <v>P~ or K2b2~</v>
      </c>
      <c r="F198" s="62" t="s">
        <v>324</v>
      </c>
      <c r="G198" s="33" t="s">
        <v>326</v>
      </c>
      <c r="H198" s="65">
        <v>2.280837E7</v>
      </c>
      <c r="I198" s="65">
        <v>2.0646484E7</v>
      </c>
      <c r="J198" s="64" t="s">
        <v>103</v>
      </c>
    </row>
    <row r="199">
      <c r="D199" s="62" t="s">
        <v>327</v>
      </c>
      <c r="E199" s="66" t="str">
        <f>A31</f>
        <v>P~ or K2b2~</v>
      </c>
      <c r="F199" s="62" t="s">
        <v>328</v>
      </c>
      <c r="G199" s="33" t="s">
        <v>329</v>
      </c>
      <c r="H199" s="65">
        <v>2.3431541E7</v>
      </c>
      <c r="I199" s="65">
        <v>2.1269655E7</v>
      </c>
      <c r="J199" s="64" t="s">
        <v>219</v>
      </c>
    </row>
    <row r="200">
      <c r="D200" s="62" t="s">
        <v>330</v>
      </c>
      <c r="E200" s="66" t="str">
        <f>A31</f>
        <v>P~ or K2b2~</v>
      </c>
      <c r="F200" s="62" t="s">
        <v>331</v>
      </c>
      <c r="G200" s="33" t="s">
        <v>329</v>
      </c>
      <c r="H200" s="65">
        <v>2.3431541E7</v>
      </c>
      <c r="I200" s="65">
        <v>2.1269655E7</v>
      </c>
      <c r="J200" s="64" t="s">
        <v>219</v>
      </c>
    </row>
    <row r="201">
      <c r="D201" s="62" t="s">
        <v>332</v>
      </c>
      <c r="E201" s="66" t="str">
        <f>A31</f>
        <v>P~ or K2b2~</v>
      </c>
      <c r="F201" s="62" t="s">
        <v>333</v>
      </c>
      <c r="G201" s="33" t="s">
        <v>329</v>
      </c>
      <c r="H201" s="65">
        <v>2.3431541E7</v>
      </c>
      <c r="I201" s="65">
        <v>2.1269655E7</v>
      </c>
      <c r="J201" s="64" t="s">
        <v>219</v>
      </c>
    </row>
    <row r="202">
      <c r="D202" s="62" t="s">
        <v>334</v>
      </c>
      <c r="E202" s="66" t="str">
        <f>A31</f>
        <v>P~ or K2b2~</v>
      </c>
      <c r="F202" s="62" t="s">
        <v>335</v>
      </c>
      <c r="G202" s="33" t="s">
        <v>336</v>
      </c>
      <c r="H202" s="65">
        <v>2.8601975E7</v>
      </c>
      <c r="I202" s="65">
        <v>2.6455828E7</v>
      </c>
      <c r="J202" s="64" t="s">
        <v>95</v>
      </c>
    </row>
    <row r="203">
      <c r="D203" s="62" t="s">
        <v>335</v>
      </c>
      <c r="E203" s="66" t="str">
        <f>A31</f>
        <v>P~ or K2b2~</v>
      </c>
      <c r="F203" s="62" t="s">
        <v>334</v>
      </c>
      <c r="G203" s="33" t="s">
        <v>336</v>
      </c>
      <c r="H203" s="65">
        <v>2.8601975E7</v>
      </c>
      <c r="I203" s="65">
        <v>2.6455828E7</v>
      </c>
      <c r="J203" s="64" t="s">
        <v>95</v>
      </c>
    </row>
    <row r="204">
      <c r="D204" s="62" t="s">
        <v>337</v>
      </c>
      <c r="E204" s="66" t="str">
        <f>A31</f>
        <v>P~ or K2b2~</v>
      </c>
      <c r="F204" s="62" t="s">
        <v>338</v>
      </c>
      <c r="G204" s="33" t="s">
        <v>339</v>
      </c>
      <c r="H204" s="65">
        <v>2.8655471E7</v>
      </c>
      <c r="I204" s="65">
        <v>2.6509324E7</v>
      </c>
      <c r="J204" s="64" t="s">
        <v>313</v>
      </c>
    </row>
    <row r="205">
      <c r="D205" s="62" t="s">
        <v>340</v>
      </c>
      <c r="E205" s="66" t="str">
        <f>A31</f>
        <v>P~ or K2b2~</v>
      </c>
      <c r="F205" s="62" t="s">
        <v>341</v>
      </c>
      <c r="G205" s="33" t="s">
        <v>339</v>
      </c>
      <c r="H205" s="65">
        <v>2.8655471E7</v>
      </c>
      <c r="I205" s="65">
        <v>2.6509324E7</v>
      </c>
      <c r="J205" s="64" t="s">
        <v>313</v>
      </c>
    </row>
    <row r="206">
      <c r="D206" s="62" t="s">
        <v>342</v>
      </c>
      <c r="E206" s="66" t="str">
        <f>A31</f>
        <v>P~ or K2b2~</v>
      </c>
      <c r="F206" s="62" t="s">
        <v>343</v>
      </c>
      <c r="G206" s="33" t="s">
        <v>339</v>
      </c>
      <c r="H206" s="65">
        <v>2.8655471E7</v>
      </c>
      <c r="I206" s="65">
        <v>2.6509324E7</v>
      </c>
      <c r="J206" s="64" t="s">
        <v>313</v>
      </c>
    </row>
    <row r="207">
      <c r="D207" s="62" t="s">
        <v>344</v>
      </c>
      <c r="E207" s="66" t="str">
        <f>A31</f>
        <v>P~ or K2b2~</v>
      </c>
      <c r="F207" s="62" t="s">
        <v>345</v>
      </c>
      <c r="G207" s="33" t="s">
        <v>346</v>
      </c>
      <c r="H207" s="65">
        <v>2686727.0</v>
      </c>
      <c r="I207" s="65">
        <v>2818686.0</v>
      </c>
      <c r="J207" s="64" t="s">
        <v>95</v>
      </c>
    </row>
    <row r="208">
      <c r="D208" s="62" t="s">
        <v>347</v>
      </c>
      <c r="E208" s="66" t="str">
        <f>A31</f>
        <v>P~ or K2b2~</v>
      </c>
      <c r="F208" s="62" t="s">
        <v>348</v>
      </c>
      <c r="G208" s="33" t="s">
        <v>346</v>
      </c>
      <c r="H208" s="65">
        <v>2686727.0</v>
      </c>
      <c r="I208" s="65">
        <v>2818686.0</v>
      </c>
      <c r="J208" s="64" t="s">
        <v>95</v>
      </c>
    </row>
    <row r="209">
      <c r="D209" s="62" t="s">
        <v>349</v>
      </c>
      <c r="E209" s="66" t="str">
        <f>A31</f>
        <v>P~ or K2b2~</v>
      </c>
      <c r="F209" s="62" t="s">
        <v>350</v>
      </c>
      <c r="G209" s="33" t="s">
        <v>346</v>
      </c>
      <c r="H209" s="65">
        <v>2686727.0</v>
      </c>
      <c r="I209" s="65">
        <v>2818686.0</v>
      </c>
      <c r="J209" s="64" t="s">
        <v>95</v>
      </c>
    </row>
    <row r="210">
      <c r="D210" s="62" t="s">
        <v>351</v>
      </c>
      <c r="E210" s="66" t="str">
        <f>A31</f>
        <v>P~ or K2b2~</v>
      </c>
      <c r="F210" s="62" t="s">
        <v>352</v>
      </c>
      <c r="G210" s="33" t="s">
        <v>353</v>
      </c>
      <c r="H210" s="65">
        <v>6630931.0</v>
      </c>
      <c r="I210" s="65">
        <v>6762890.0</v>
      </c>
      <c r="J210" s="64" t="s">
        <v>219</v>
      </c>
    </row>
    <row r="211">
      <c r="D211" s="62" t="s">
        <v>354</v>
      </c>
      <c r="E211" s="66" t="str">
        <f>A31</f>
        <v>P~ or K2b2~</v>
      </c>
      <c r="F211" s="62" t="s">
        <v>355</v>
      </c>
      <c r="G211" s="33" t="s">
        <v>353</v>
      </c>
      <c r="H211" s="65">
        <v>6630931.0</v>
      </c>
      <c r="I211" s="65">
        <v>6762890.0</v>
      </c>
      <c r="J211" s="64" t="s">
        <v>219</v>
      </c>
    </row>
    <row r="212">
      <c r="D212" s="62" t="s">
        <v>356</v>
      </c>
      <c r="E212" s="66" t="str">
        <f>A31</f>
        <v>P~ or K2b2~</v>
      </c>
      <c r="F212" s="62" t="s">
        <v>357</v>
      </c>
      <c r="G212" s="33" t="s">
        <v>353</v>
      </c>
      <c r="H212" s="65">
        <v>6630931.0</v>
      </c>
      <c r="I212" s="65">
        <v>6762890.0</v>
      </c>
      <c r="J212" s="64" t="s">
        <v>219</v>
      </c>
    </row>
    <row r="213">
      <c r="D213" s="62" t="s">
        <v>358</v>
      </c>
      <c r="E213" s="66" t="str">
        <f>A31</f>
        <v>P~ or K2b2~</v>
      </c>
      <c r="F213" s="62" t="s">
        <v>359</v>
      </c>
      <c r="G213" s="33" t="s">
        <v>353</v>
      </c>
      <c r="H213" s="65">
        <v>6630931.0</v>
      </c>
      <c r="I213" s="65">
        <v>6762890.0</v>
      </c>
      <c r="J213" s="64" t="s">
        <v>219</v>
      </c>
    </row>
    <row r="214">
      <c r="D214" s="62" t="s">
        <v>360</v>
      </c>
      <c r="E214" s="66" t="str">
        <f>A31</f>
        <v>P~ or K2b2~</v>
      </c>
      <c r="F214" s="62" t="s">
        <v>361</v>
      </c>
      <c r="G214" s="33" t="s">
        <v>362</v>
      </c>
      <c r="H214" s="65">
        <v>7549445.0</v>
      </c>
      <c r="I214" s="65">
        <v>7681404.0</v>
      </c>
      <c r="J214" s="64" t="s">
        <v>363</v>
      </c>
    </row>
    <row r="215">
      <c r="D215" s="62" t="s">
        <v>364</v>
      </c>
      <c r="E215" s="66" t="str">
        <f>A31</f>
        <v>P~ or K2b2~</v>
      </c>
      <c r="F215" s="62" t="s">
        <v>365</v>
      </c>
      <c r="G215" s="33" t="s">
        <v>362</v>
      </c>
      <c r="H215" s="65">
        <v>7549445.0</v>
      </c>
      <c r="I215" s="65">
        <v>7681404.0</v>
      </c>
      <c r="J215" s="64" t="s">
        <v>363</v>
      </c>
    </row>
    <row r="216">
      <c r="D216" s="62" t="s">
        <v>366</v>
      </c>
      <c r="E216" s="66" t="str">
        <f>A31</f>
        <v>P~ or K2b2~</v>
      </c>
      <c r="F216" s="62" t="s">
        <v>367</v>
      </c>
      <c r="G216" s="33" t="s">
        <v>362</v>
      </c>
      <c r="H216" s="65">
        <v>7549445.0</v>
      </c>
      <c r="I216" s="65">
        <v>7681404.0</v>
      </c>
      <c r="J216" s="64" t="s">
        <v>363</v>
      </c>
    </row>
    <row r="217">
      <c r="D217" s="62" t="s">
        <v>368</v>
      </c>
      <c r="E217" s="66" t="str">
        <f>A31</f>
        <v>P~ or K2b2~</v>
      </c>
      <c r="F217" s="62" t="s">
        <v>369</v>
      </c>
      <c r="G217" s="33" t="s">
        <v>370</v>
      </c>
      <c r="H217" s="65">
        <v>8134704.0</v>
      </c>
      <c r="I217" s="65">
        <v>8266663.0</v>
      </c>
      <c r="J217" s="64" t="s">
        <v>363</v>
      </c>
    </row>
    <row r="218">
      <c r="D218" s="62" t="s">
        <v>371</v>
      </c>
      <c r="E218" s="66" t="str">
        <f>A31</f>
        <v>P~ or K2b2~</v>
      </c>
      <c r="F218" s="62" t="s">
        <v>372</v>
      </c>
      <c r="G218" s="33" t="s">
        <v>370</v>
      </c>
      <c r="H218" s="65">
        <v>8134704.0</v>
      </c>
      <c r="I218" s="65">
        <v>8266663.0</v>
      </c>
      <c r="J218" s="64" t="s">
        <v>363</v>
      </c>
    </row>
    <row r="219">
      <c r="D219" s="62" t="s">
        <v>373</v>
      </c>
      <c r="E219" s="66" t="str">
        <f>A31</f>
        <v>P~ or K2b2~</v>
      </c>
      <c r="F219" s="62" t="s">
        <v>374</v>
      </c>
      <c r="G219" s="33" t="s">
        <v>370</v>
      </c>
      <c r="H219" s="65">
        <v>8134704.0</v>
      </c>
      <c r="I219" s="65">
        <v>8266663.0</v>
      </c>
      <c r="J219" s="64" t="s">
        <v>363</v>
      </c>
    </row>
    <row r="220">
      <c r="D220" s="62" t="s">
        <v>375</v>
      </c>
      <c r="E220" t="str">
        <f>A31</f>
        <v>P~ or K2b2~</v>
      </c>
      <c r="F220" s="62" t="s">
        <v>376</v>
      </c>
      <c r="G220" s="33" t="s">
        <v>377</v>
      </c>
      <c r="H220" s="65">
        <v>9098922.0</v>
      </c>
      <c r="I220" s="65">
        <v>9261313.0</v>
      </c>
      <c r="J220" s="64" t="s">
        <v>103</v>
      </c>
    </row>
    <row r="221">
      <c r="D221" s="62" t="s">
        <v>378</v>
      </c>
      <c r="E221" s="66" t="str">
        <f>A31</f>
        <v>P~ or K2b2~</v>
      </c>
      <c r="F221" s="62" t="s">
        <v>379</v>
      </c>
      <c r="G221" s="33" t="s">
        <v>377</v>
      </c>
      <c r="H221" s="65">
        <v>9098922.0</v>
      </c>
      <c r="I221" s="65">
        <v>9261313.0</v>
      </c>
      <c r="J221" s="64" t="s">
        <v>103</v>
      </c>
    </row>
    <row r="222">
      <c r="D222" s="62" t="s">
        <v>380</v>
      </c>
      <c r="E222" s="66" t="str">
        <f>A31</f>
        <v>P~ or K2b2~</v>
      </c>
      <c r="F222" s="62" t="s">
        <v>381</v>
      </c>
      <c r="G222" s="33" t="s">
        <v>377</v>
      </c>
      <c r="H222" s="65">
        <v>9098922.0</v>
      </c>
      <c r="I222" s="65">
        <v>9261313.0</v>
      </c>
      <c r="J222" s="64" t="s">
        <v>103</v>
      </c>
    </row>
    <row r="223">
      <c r="D223" s="62" t="s">
        <v>382</v>
      </c>
      <c r="E223" s="66" t="str">
        <f>A31</f>
        <v>P~ or K2b2~</v>
      </c>
      <c r="F223" s="62" t="s">
        <v>383</v>
      </c>
      <c r="G223" s="33" t="s">
        <v>384</v>
      </c>
      <c r="H223" s="65">
        <v>9841700.0</v>
      </c>
      <c r="I223" s="65">
        <v>1.0004091E7</v>
      </c>
      <c r="J223" s="64" t="s">
        <v>154</v>
      </c>
    </row>
    <row r="224">
      <c r="D224" s="62" t="s">
        <v>385</v>
      </c>
      <c r="E224" s="66" t="str">
        <f>A31</f>
        <v>P~ or K2b2~</v>
      </c>
      <c r="F224" s="62" t="s">
        <v>386</v>
      </c>
      <c r="G224" s="33" t="s">
        <v>384</v>
      </c>
      <c r="H224" s="65">
        <v>9841700.0</v>
      </c>
      <c r="I224" s="65">
        <v>1.0004091E7</v>
      </c>
      <c r="J224" s="64" t="s">
        <v>154</v>
      </c>
    </row>
    <row r="225">
      <c r="D225" s="62" t="s">
        <v>387</v>
      </c>
      <c r="E225" s="66" t="str">
        <f>A31</f>
        <v>P~ or K2b2~</v>
      </c>
      <c r="F225" s="62" t="s">
        <v>388</v>
      </c>
      <c r="G225" s="33" t="s">
        <v>384</v>
      </c>
      <c r="H225" s="65">
        <v>9841700.0</v>
      </c>
      <c r="I225" s="65">
        <v>1.0004091E7</v>
      </c>
      <c r="J225" s="64" t="s">
        <v>154</v>
      </c>
    </row>
    <row r="226">
      <c r="D226" s="62" t="s">
        <v>389</v>
      </c>
      <c r="E226" s="66" t="str">
        <f>A31</f>
        <v>P~ or K2b2~</v>
      </c>
      <c r="F226" s="62" t="s">
        <v>390</v>
      </c>
      <c r="G226" s="33" t="s">
        <v>391</v>
      </c>
      <c r="H226" s="65">
        <v>1.5944828E7</v>
      </c>
      <c r="I226" s="65">
        <v>1.3832948E7</v>
      </c>
      <c r="J226" s="64" t="s">
        <v>154</v>
      </c>
    </row>
    <row r="227">
      <c r="D227" s="62" t="s">
        <v>390</v>
      </c>
      <c r="E227" s="66" t="str">
        <f>A31</f>
        <v>P~ or K2b2~</v>
      </c>
      <c r="F227" s="62" t="s">
        <v>389</v>
      </c>
      <c r="G227" s="33" t="s">
        <v>391</v>
      </c>
      <c r="H227" s="65">
        <v>1.5944828E7</v>
      </c>
      <c r="I227" s="65">
        <v>1.3832948E7</v>
      </c>
      <c r="J227" s="64" t="s">
        <v>154</v>
      </c>
    </row>
    <row r="228">
      <c r="D228" s="62" t="s">
        <v>392</v>
      </c>
      <c r="E228" s="66" t="str">
        <f>A31</f>
        <v>P~ or K2b2~</v>
      </c>
      <c r="F228" s="62" t="s">
        <v>393</v>
      </c>
      <c r="G228" s="33" t="s">
        <v>394</v>
      </c>
      <c r="H228" s="65">
        <v>1.6331558E7</v>
      </c>
      <c r="I228" s="65">
        <v>1.4219678E7</v>
      </c>
      <c r="J228" s="64" t="s">
        <v>95</v>
      </c>
    </row>
    <row r="229">
      <c r="D229" s="62" t="s">
        <v>395</v>
      </c>
      <c r="E229" s="66" t="str">
        <f>A31</f>
        <v>P~ or K2b2~</v>
      </c>
      <c r="F229" s="62" t="s">
        <v>396</v>
      </c>
      <c r="G229" s="33" t="s">
        <v>394</v>
      </c>
      <c r="H229" s="65">
        <v>1.6331558E7</v>
      </c>
      <c r="I229" s="65">
        <v>1.4219678E7</v>
      </c>
      <c r="J229" s="64" t="s">
        <v>95</v>
      </c>
    </row>
    <row r="230">
      <c r="D230" s="62" t="s">
        <v>397</v>
      </c>
      <c r="E230" s="66" t="str">
        <f>A31</f>
        <v>P~ or K2b2~</v>
      </c>
      <c r="F230" s="62" t="s">
        <v>398</v>
      </c>
      <c r="G230" s="33" t="s">
        <v>394</v>
      </c>
      <c r="H230" s="65">
        <v>1.6331558E7</v>
      </c>
      <c r="I230" s="65">
        <v>1.4219678E7</v>
      </c>
      <c r="J230" s="64" t="s">
        <v>95</v>
      </c>
    </row>
    <row r="231">
      <c r="D231" s="62" t="s">
        <v>399</v>
      </c>
      <c r="E231" s="66" t="str">
        <f>A31</f>
        <v>P~ or K2b2~</v>
      </c>
      <c r="F231" s="62" t="s">
        <v>400</v>
      </c>
      <c r="G231" s="33" t="s">
        <v>401</v>
      </c>
      <c r="H231" s="65">
        <v>1.649702E7</v>
      </c>
      <c r="I231" s="65">
        <v>1.438514E7</v>
      </c>
      <c r="J231" s="64" t="s">
        <v>139</v>
      </c>
    </row>
    <row r="232">
      <c r="D232" s="62" t="s">
        <v>402</v>
      </c>
      <c r="E232" s="66" t="str">
        <f>A31</f>
        <v>P~ or K2b2~</v>
      </c>
      <c r="F232" s="62" t="s">
        <v>403</v>
      </c>
      <c r="G232" s="33" t="s">
        <v>401</v>
      </c>
      <c r="H232" s="65">
        <v>1.649702E7</v>
      </c>
      <c r="I232" s="65">
        <v>1.438514E7</v>
      </c>
      <c r="J232" s="64" t="s">
        <v>139</v>
      </c>
    </row>
    <row r="233">
      <c r="D233" s="62" t="s">
        <v>404</v>
      </c>
      <c r="E233" s="66" t="str">
        <f>A31</f>
        <v>P~ or K2b2~</v>
      </c>
      <c r="F233" s="62" t="s">
        <v>405</v>
      </c>
      <c r="G233" s="33" t="s">
        <v>401</v>
      </c>
      <c r="H233" s="65">
        <v>1.649702E7</v>
      </c>
      <c r="I233" s="65">
        <v>1.438514E7</v>
      </c>
      <c r="J233" s="64" t="s">
        <v>139</v>
      </c>
    </row>
    <row r="234">
      <c r="D234" s="62" t="s">
        <v>406</v>
      </c>
      <c r="E234" s="66" t="str">
        <f>A31</f>
        <v>P~ or K2b2~</v>
      </c>
      <c r="F234" s="62" t="s">
        <v>407</v>
      </c>
      <c r="G234" s="33" t="s">
        <v>408</v>
      </c>
      <c r="H234" s="65">
        <v>1.6713287E7</v>
      </c>
      <c r="I234" s="65">
        <v>1.4601407E7</v>
      </c>
      <c r="J234" s="64" t="s">
        <v>95</v>
      </c>
    </row>
    <row r="235">
      <c r="D235" s="62" t="s">
        <v>409</v>
      </c>
      <c r="E235" s="66" t="str">
        <f>A31</f>
        <v>P~ or K2b2~</v>
      </c>
      <c r="F235" s="62" t="s">
        <v>410</v>
      </c>
      <c r="G235" s="33" t="s">
        <v>408</v>
      </c>
      <c r="H235" s="65">
        <v>1.6713287E7</v>
      </c>
      <c r="I235" s="65">
        <v>1.4601407E7</v>
      </c>
      <c r="J235" s="64" t="s">
        <v>95</v>
      </c>
    </row>
    <row r="236">
      <c r="D236" s="62" t="s">
        <v>411</v>
      </c>
      <c r="E236" s="66" t="str">
        <f>A31</f>
        <v>P~ or K2b2~</v>
      </c>
      <c r="F236" s="62" t="s">
        <v>412</v>
      </c>
      <c r="G236" s="33" t="s">
        <v>408</v>
      </c>
      <c r="H236" s="65">
        <v>1.6713287E7</v>
      </c>
      <c r="I236" s="65">
        <v>1.4601407E7</v>
      </c>
      <c r="J236" s="64" t="s">
        <v>95</v>
      </c>
    </row>
    <row r="237">
      <c r="D237" s="62" t="s">
        <v>413</v>
      </c>
      <c r="E237" s="66" t="str">
        <f>A31</f>
        <v>P~ or K2b2~</v>
      </c>
      <c r="F237" s="62" t="s">
        <v>414</v>
      </c>
      <c r="G237" s="33" t="s">
        <v>415</v>
      </c>
      <c r="H237" s="65">
        <v>1.8831084E7</v>
      </c>
      <c r="I237" s="65">
        <v>1.6719204E7</v>
      </c>
      <c r="J237" s="64" t="s">
        <v>219</v>
      </c>
    </row>
    <row r="238">
      <c r="D238" s="62" t="s">
        <v>416</v>
      </c>
      <c r="E238" s="66" t="str">
        <f>A31</f>
        <v>P~ or K2b2~</v>
      </c>
      <c r="F238" s="62" t="s">
        <v>417</v>
      </c>
      <c r="G238" s="33" t="s">
        <v>415</v>
      </c>
      <c r="H238" s="65">
        <v>1.8831084E7</v>
      </c>
      <c r="I238" s="65">
        <v>1.6719204E7</v>
      </c>
      <c r="J238" s="64" t="s">
        <v>219</v>
      </c>
    </row>
    <row r="239">
      <c r="D239" s="62" t="s">
        <v>418</v>
      </c>
      <c r="E239" s="66" t="str">
        <f>A31</f>
        <v>P~ or K2b2~</v>
      </c>
      <c r="F239" s="62" t="s">
        <v>419</v>
      </c>
      <c r="G239" s="33" t="s">
        <v>415</v>
      </c>
      <c r="H239" s="65">
        <v>1.8831084E7</v>
      </c>
      <c r="I239" s="65">
        <v>1.6719204E7</v>
      </c>
      <c r="J239" s="64" t="s">
        <v>219</v>
      </c>
    </row>
    <row r="240">
      <c r="D240" s="62" t="s">
        <v>420</v>
      </c>
      <c r="E240" s="66" t="str">
        <f>A31</f>
        <v>P~ or K2b2~</v>
      </c>
      <c r="F240" s="62" t="s">
        <v>421</v>
      </c>
      <c r="G240" s="33" t="s">
        <v>422</v>
      </c>
      <c r="H240" s="65">
        <v>1.9095285E7</v>
      </c>
      <c r="I240" s="65">
        <v>1.6983405E7</v>
      </c>
      <c r="J240" s="64" t="s">
        <v>95</v>
      </c>
    </row>
    <row r="241">
      <c r="D241" s="62" t="s">
        <v>423</v>
      </c>
      <c r="E241" s="66" t="str">
        <f>A31</f>
        <v>P~ or K2b2~</v>
      </c>
      <c r="F241" s="62" t="s">
        <v>424</v>
      </c>
      <c r="G241" s="33" t="s">
        <v>422</v>
      </c>
      <c r="H241" s="65">
        <v>1.9095285E7</v>
      </c>
      <c r="I241" s="65">
        <v>1.6983405E7</v>
      </c>
      <c r="J241" s="64" t="s">
        <v>95</v>
      </c>
    </row>
    <row r="242">
      <c r="D242" s="62" t="s">
        <v>425</v>
      </c>
      <c r="E242" s="66" t="str">
        <f>A31</f>
        <v>P~ or K2b2~</v>
      </c>
      <c r="F242" s="62" t="s">
        <v>426</v>
      </c>
      <c r="G242" s="33" t="s">
        <v>422</v>
      </c>
      <c r="H242" s="65">
        <v>1.9095285E7</v>
      </c>
      <c r="I242" s="65">
        <v>1.6983405E7</v>
      </c>
      <c r="J242" s="64" t="s">
        <v>95</v>
      </c>
    </row>
    <row r="243">
      <c r="D243" s="62" t="s">
        <v>427</v>
      </c>
      <c r="E243" s="66" t="str">
        <f>A31</f>
        <v>P~ or K2b2~</v>
      </c>
      <c r="F243" s="62" t="s">
        <v>428</v>
      </c>
      <c r="G243" s="33" t="s">
        <v>429</v>
      </c>
      <c r="H243" s="65">
        <v>1.9144375E7</v>
      </c>
      <c r="I243" s="65">
        <v>1.7032495E7</v>
      </c>
      <c r="J243" s="64" t="s">
        <v>103</v>
      </c>
    </row>
    <row r="244">
      <c r="D244" s="62" t="s">
        <v>430</v>
      </c>
      <c r="E244" s="66" t="str">
        <f>A31</f>
        <v>P~ or K2b2~</v>
      </c>
      <c r="F244" s="62" t="s">
        <v>431</v>
      </c>
      <c r="G244" s="33" t="s">
        <v>429</v>
      </c>
      <c r="H244" s="65">
        <v>1.9144375E7</v>
      </c>
      <c r="I244" s="65">
        <v>1.7032495E7</v>
      </c>
      <c r="J244" s="64" t="s">
        <v>103</v>
      </c>
    </row>
    <row r="245">
      <c r="D245" s="62" t="s">
        <v>432</v>
      </c>
      <c r="E245" s="66" t="str">
        <f>A31</f>
        <v>P~ or K2b2~</v>
      </c>
      <c r="F245" s="62" t="s">
        <v>433</v>
      </c>
      <c r="G245" s="33" t="s">
        <v>429</v>
      </c>
      <c r="H245" s="65">
        <v>1.9144375E7</v>
      </c>
      <c r="I245" s="65">
        <v>1.7032495E7</v>
      </c>
      <c r="J245" s="64" t="s">
        <v>103</v>
      </c>
    </row>
    <row r="246">
      <c r="D246" s="62" t="s">
        <v>434</v>
      </c>
      <c r="E246" s="66" t="str">
        <f>A31</f>
        <v>P~ or K2b2~</v>
      </c>
      <c r="F246" s="62" t="s">
        <v>435</v>
      </c>
      <c r="G246" s="33" t="s">
        <v>436</v>
      </c>
      <c r="H246" s="65">
        <v>1.9315988E7</v>
      </c>
      <c r="I246" s="65">
        <v>1.7204108E7</v>
      </c>
      <c r="J246" s="64" t="s">
        <v>437</v>
      </c>
    </row>
    <row r="247">
      <c r="D247" s="62" t="s">
        <v>438</v>
      </c>
      <c r="E247" s="66" t="str">
        <f>A31</f>
        <v>P~ or K2b2~</v>
      </c>
      <c r="F247" s="62" t="s">
        <v>439</v>
      </c>
      <c r="G247" s="33" t="s">
        <v>436</v>
      </c>
      <c r="H247" s="65">
        <v>1.9315988E7</v>
      </c>
      <c r="I247" s="65">
        <v>1.7204108E7</v>
      </c>
      <c r="J247" s="64" t="s">
        <v>437</v>
      </c>
    </row>
    <row r="248">
      <c r="D248" s="62" t="s">
        <v>440</v>
      </c>
      <c r="E248" s="66" t="str">
        <f>A31</f>
        <v>P~ or K2b2~</v>
      </c>
      <c r="F248" s="62" t="s">
        <v>441</v>
      </c>
      <c r="G248" s="33" t="s">
        <v>436</v>
      </c>
      <c r="H248" s="65">
        <v>1.9315988E7</v>
      </c>
      <c r="I248" s="65">
        <v>1.7204108E7</v>
      </c>
      <c r="J248" s="64" t="s">
        <v>437</v>
      </c>
    </row>
    <row r="249">
      <c r="D249" s="62" t="s">
        <v>442</v>
      </c>
      <c r="E249" s="66" t="str">
        <f>A31</f>
        <v>P~ or K2b2~</v>
      </c>
      <c r="F249" s="62" t="s">
        <v>443</v>
      </c>
      <c r="G249" s="33" t="s">
        <v>444</v>
      </c>
      <c r="H249" s="65">
        <v>2.0812228E7</v>
      </c>
      <c r="I249" s="65">
        <v>1.8650342E7</v>
      </c>
      <c r="J249" s="64" t="s">
        <v>139</v>
      </c>
    </row>
    <row r="250">
      <c r="D250" s="62" t="s">
        <v>443</v>
      </c>
      <c r="E250" s="66" t="str">
        <f>A31</f>
        <v>P~ or K2b2~</v>
      </c>
      <c r="F250" s="62" t="s">
        <v>442</v>
      </c>
      <c r="G250" s="33" t="s">
        <v>444</v>
      </c>
      <c r="H250" s="65">
        <v>2.0812228E7</v>
      </c>
      <c r="I250" s="65">
        <v>1.8650342E7</v>
      </c>
      <c r="J250" s="64" t="s">
        <v>139</v>
      </c>
    </row>
    <row r="251">
      <c r="D251" s="62" t="s">
        <v>445</v>
      </c>
      <c r="E251" s="66" t="str">
        <f>A31</f>
        <v>P~ or K2b2~</v>
      </c>
      <c r="F251" s="62" t="s">
        <v>446</v>
      </c>
      <c r="G251" s="33" t="s">
        <v>447</v>
      </c>
      <c r="H251" s="65">
        <v>2.3257819E7</v>
      </c>
      <c r="I251" s="65">
        <v>2.1095933E7</v>
      </c>
      <c r="J251" s="64" t="s">
        <v>211</v>
      </c>
    </row>
    <row r="252">
      <c r="D252" s="62" t="s">
        <v>448</v>
      </c>
      <c r="E252" s="66" t="str">
        <f>A31</f>
        <v>P~ or K2b2~</v>
      </c>
      <c r="F252" s="62" t="s">
        <v>449</v>
      </c>
      <c r="G252" s="33" t="s">
        <v>447</v>
      </c>
      <c r="H252" s="65">
        <v>2.3257819E7</v>
      </c>
      <c r="I252" s="65">
        <v>2.1095933E7</v>
      </c>
      <c r="J252" s="64" t="s">
        <v>211</v>
      </c>
    </row>
    <row r="253">
      <c r="D253" s="62" t="s">
        <v>450</v>
      </c>
      <c r="E253" s="66" t="str">
        <f>A31</f>
        <v>P~ or K2b2~</v>
      </c>
      <c r="F253" s="62" t="s">
        <v>451</v>
      </c>
      <c r="G253" s="33" t="s">
        <v>447</v>
      </c>
      <c r="H253" s="65">
        <v>2.3257819E7</v>
      </c>
      <c r="I253" s="65">
        <v>2.1095933E7</v>
      </c>
      <c r="J253" s="64" t="s">
        <v>211</v>
      </c>
    </row>
    <row r="254">
      <c r="D254" s="62" t="s">
        <v>452</v>
      </c>
      <c r="E254" s="66" t="str">
        <f>A31</f>
        <v>P~ or K2b2~</v>
      </c>
      <c r="F254" s="62" t="s">
        <v>453</v>
      </c>
      <c r="G254" s="33" t="s">
        <v>454</v>
      </c>
      <c r="H254" s="65">
        <v>2.3489203E7</v>
      </c>
      <c r="I254" s="65">
        <v>2.1327317E7</v>
      </c>
      <c r="J254" s="64" t="s">
        <v>103</v>
      </c>
    </row>
    <row r="255">
      <c r="D255" s="62" t="s">
        <v>455</v>
      </c>
      <c r="E255" s="66" t="str">
        <f>A31</f>
        <v>P~ or K2b2~</v>
      </c>
      <c r="F255" s="62" t="s">
        <v>456</v>
      </c>
      <c r="G255" s="33" t="s">
        <v>454</v>
      </c>
      <c r="H255" s="65">
        <v>2.3489203E7</v>
      </c>
      <c r="I255" s="65">
        <v>2.1327317E7</v>
      </c>
      <c r="J255" s="64" t="s">
        <v>103</v>
      </c>
    </row>
    <row r="256">
      <c r="D256" s="62" t="s">
        <v>457</v>
      </c>
      <c r="E256" s="66" t="str">
        <f>A31</f>
        <v>P~ or K2b2~</v>
      </c>
      <c r="F256" s="62" t="s">
        <v>458</v>
      </c>
      <c r="G256" s="33" t="s">
        <v>454</v>
      </c>
      <c r="H256" s="65">
        <v>2.3489203E7</v>
      </c>
      <c r="I256" s="65">
        <v>2.1327317E7</v>
      </c>
      <c r="J256" s="64" t="s">
        <v>103</v>
      </c>
    </row>
    <row r="257">
      <c r="D257" s="62" t="s">
        <v>459</v>
      </c>
      <c r="E257" s="66" t="str">
        <f>A31</f>
        <v>P~ or K2b2~</v>
      </c>
      <c r="F257" s="62" t="s">
        <v>460</v>
      </c>
      <c r="G257" s="33" t="s">
        <v>461</v>
      </c>
      <c r="H257" s="65">
        <v>2.3979899E7</v>
      </c>
      <c r="I257" s="65">
        <v>2.1833752E7</v>
      </c>
      <c r="J257" s="64" t="s">
        <v>103</v>
      </c>
    </row>
    <row r="258">
      <c r="D258" s="62" t="s">
        <v>462</v>
      </c>
      <c r="E258" s="66" t="str">
        <f>A31</f>
        <v>P~ or K2b2~</v>
      </c>
      <c r="F258" s="62" t="s">
        <v>463</v>
      </c>
      <c r="G258" s="33" t="s">
        <v>461</v>
      </c>
      <c r="H258" s="65">
        <v>2.3979899E7</v>
      </c>
      <c r="I258" s="65">
        <v>2.1833752E7</v>
      </c>
      <c r="J258" s="64" t="s">
        <v>103</v>
      </c>
    </row>
    <row r="259">
      <c r="D259" s="62" t="s">
        <v>464</v>
      </c>
      <c r="E259" s="66" t="str">
        <f>A31</f>
        <v>P~ or K2b2~</v>
      </c>
      <c r="F259" s="62" t="s">
        <v>465</v>
      </c>
      <c r="G259" s="33" t="s">
        <v>461</v>
      </c>
      <c r="H259" s="65">
        <v>2.3979899E7</v>
      </c>
      <c r="I259" s="65">
        <v>2.1833752E7</v>
      </c>
      <c r="J259" s="64" t="s">
        <v>103</v>
      </c>
    </row>
    <row r="260">
      <c r="D260" s="62" t="s">
        <v>466</v>
      </c>
      <c r="E260" s="66" t="str">
        <f>A31</f>
        <v>P~ or K2b2~</v>
      </c>
      <c r="F260" s="62" t="s">
        <v>467</v>
      </c>
      <c r="G260" s="33" t="s">
        <v>468</v>
      </c>
      <c r="H260" s="65">
        <v>2.4443836E7</v>
      </c>
      <c r="I260" s="65">
        <v>2.2297689E7</v>
      </c>
      <c r="J260" s="64" t="s">
        <v>211</v>
      </c>
    </row>
    <row r="261">
      <c r="D261" s="62" t="s">
        <v>469</v>
      </c>
      <c r="E261" s="66" t="str">
        <f>A31</f>
        <v>P~ or K2b2~</v>
      </c>
      <c r="F261" s="62" t="s">
        <v>470</v>
      </c>
      <c r="G261" s="33" t="s">
        <v>468</v>
      </c>
      <c r="H261" s="65">
        <v>2.4443836E7</v>
      </c>
      <c r="I261" s="65">
        <v>2.2297689E7</v>
      </c>
      <c r="J261" s="64" t="s">
        <v>211</v>
      </c>
    </row>
    <row r="262">
      <c r="D262" s="62" t="s">
        <v>471</v>
      </c>
      <c r="E262" s="66" t="str">
        <f>A31</f>
        <v>P~ or K2b2~</v>
      </c>
      <c r="F262" s="62" t="s">
        <v>472</v>
      </c>
      <c r="G262" s="33" t="s">
        <v>468</v>
      </c>
      <c r="H262" s="65">
        <v>2.4443836E7</v>
      </c>
      <c r="I262" s="65">
        <v>2.2297689E7</v>
      </c>
      <c r="J262" s="64" t="s">
        <v>211</v>
      </c>
    </row>
    <row r="263">
      <c r="D263" s="62" t="s">
        <v>473</v>
      </c>
      <c r="E263" s="66" t="str">
        <f>A31</f>
        <v>P~ or K2b2~</v>
      </c>
      <c r="F263" s="62" t="s">
        <v>474</v>
      </c>
      <c r="H263" s="65">
        <v>1.3220892E7</v>
      </c>
      <c r="I263" s="65">
        <v>1.1065216E7</v>
      </c>
      <c r="J263" s="64" t="s">
        <v>103</v>
      </c>
    </row>
    <row r="264">
      <c r="D264" s="62" t="s">
        <v>474</v>
      </c>
      <c r="E264" s="66" t="str">
        <f>A31</f>
        <v>P~ or K2b2~</v>
      </c>
      <c r="F264" s="62" t="s">
        <v>473</v>
      </c>
      <c r="H264" s="65">
        <v>1.3220892E7</v>
      </c>
      <c r="I264" s="65">
        <v>1.1065216E7</v>
      </c>
      <c r="J264" s="64" t="s">
        <v>103</v>
      </c>
    </row>
    <row r="265">
      <c r="D265" s="62" t="s">
        <v>475</v>
      </c>
      <c r="E265" s="66" t="str">
        <f>A31</f>
        <v>P~ or K2b2~</v>
      </c>
      <c r="G265" s="33" t="s">
        <v>476</v>
      </c>
      <c r="H265" s="65">
        <v>1.0035664E7</v>
      </c>
      <c r="I265" s="65">
        <v>1.0198055E7</v>
      </c>
      <c r="J265" s="64" t="s">
        <v>154</v>
      </c>
    </row>
    <row r="266">
      <c r="D266" s="62" t="s">
        <v>477</v>
      </c>
      <c r="E266" s="66" t="str">
        <f>A31</f>
        <v>P~ or K2b2~</v>
      </c>
      <c r="F266" s="62" t="s">
        <v>478</v>
      </c>
      <c r="G266" s="33" t="s">
        <v>479</v>
      </c>
      <c r="H266" s="65">
        <v>2.2514081E7</v>
      </c>
      <c r="I266" s="65">
        <v>2.0352195E7</v>
      </c>
      <c r="J266" s="64" t="s">
        <v>211</v>
      </c>
    </row>
    <row r="267">
      <c r="D267" s="62" t="s">
        <v>478</v>
      </c>
      <c r="E267" s="66" t="str">
        <f>A31</f>
        <v>P~ or K2b2~</v>
      </c>
      <c r="F267" s="62" t="s">
        <v>480</v>
      </c>
      <c r="G267" s="33" t="s">
        <v>479</v>
      </c>
      <c r="H267" s="65">
        <v>2.2514081E7</v>
      </c>
      <c r="I267" s="65">
        <v>2.0352195E7</v>
      </c>
      <c r="J267" s="64" t="s">
        <v>211</v>
      </c>
    </row>
    <row r="268">
      <c r="D268" s="62" t="s">
        <v>481</v>
      </c>
      <c r="E268" s="66" t="str">
        <f>A31</f>
        <v>P~ or K2b2~</v>
      </c>
      <c r="F268" s="62" t="s">
        <v>482</v>
      </c>
      <c r="G268" s="33" t="s">
        <v>483</v>
      </c>
      <c r="H268" s="65">
        <v>2.1603164E7</v>
      </c>
      <c r="I268" s="65">
        <v>1.9441278E7</v>
      </c>
      <c r="J268" s="64" t="s">
        <v>87</v>
      </c>
    </row>
    <row r="269">
      <c r="D269" s="62" t="s">
        <v>482</v>
      </c>
      <c r="E269" s="66" t="str">
        <f>A31</f>
        <v>P~ or K2b2~</v>
      </c>
      <c r="F269" s="62" t="s">
        <v>481</v>
      </c>
      <c r="G269" s="33" t="s">
        <v>483</v>
      </c>
      <c r="H269" s="65">
        <v>2.1603164E7</v>
      </c>
      <c r="I269" s="65">
        <v>1.9441278E7</v>
      </c>
      <c r="J269" s="64" t="s">
        <v>87</v>
      </c>
    </row>
    <row r="270">
      <c r="D270" s="62" t="s">
        <v>484</v>
      </c>
      <c r="E270" s="66" t="str">
        <f>A31</f>
        <v>P~ or K2b2~</v>
      </c>
      <c r="F270" s="62" t="s">
        <v>485</v>
      </c>
      <c r="G270" s="33" t="s">
        <v>486</v>
      </c>
      <c r="H270" s="65">
        <v>7848043.0</v>
      </c>
      <c r="I270" s="65">
        <v>7980002.0</v>
      </c>
      <c r="J270" s="64" t="s">
        <v>107</v>
      </c>
    </row>
    <row r="271">
      <c r="D271" s="62" t="s">
        <v>487</v>
      </c>
      <c r="E271" s="66" t="str">
        <f>A31</f>
        <v>P~ or K2b2~</v>
      </c>
      <c r="F271" s="62" t="s">
        <v>484</v>
      </c>
      <c r="G271" s="33" t="s">
        <v>486</v>
      </c>
      <c r="H271" s="65">
        <v>7848043.0</v>
      </c>
      <c r="I271" s="65">
        <v>7980002.0</v>
      </c>
      <c r="J271" s="64" t="s">
        <v>107</v>
      </c>
    </row>
    <row r="272">
      <c r="D272" s="62" t="s">
        <v>488</v>
      </c>
      <c r="E272" s="66" t="str">
        <f>A31</f>
        <v>P~ or K2b2~</v>
      </c>
      <c r="F272" s="62" t="s">
        <v>489</v>
      </c>
      <c r="G272" s="33" t="s">
        <v>490</v>
      </c>
      <c r="H272" s="65">
        <v>7917959.0</v>
      </c>
      <c r="I272" s="65">
        <v>8049918.0</v>
      </c>
      <c r="J272" s="64" t="s">
        <v>219</v>
      </c>
    </row>
    <row r="273">
      <c r="D273" s="62" t="s">
        <v>489</v>
      </c>
      <c r="E273" s="66" t="str">
        <f>A31</f>
        <v>P~ or K2b2~</v>
      </c>
      <c r="F273" s="62" t="s">
        <v>488</v>
      </c>
      <c r="G273" s="33" t="s">
        <v>490</v>
      </c>
      <c r="H273" s="65">
        <v>7917959.0</v>
      </c>
      <c r="I273" s="65">
        <v>8049918.0</v>
      </c>
      <c r="J273" s="64" t="s">
        <v>219</v>
      </c>
    </row>
    <row r="274">
      <c r="D274" s="62" t="s">
        <v>491</v>
      </c>
      <c r="E274" s="66" t="str">
        <f>A31</f>
        <v>P~ or K2b2~</v>
      </c>
      <c r="F274" s="62" t="s">
        <v>492</v>
      </c>
      <c r="G274" s="33" t="s">
        <v>493</v>
      </c>
      <c r="H274" s="65">
        <v>8096754.0</v>
      </c>
      <c r="I274" s="65">
        <v>8228713.0</v>
      </c>
      <c r="J274" s="64" t="s">
        <v>139</v>
      </c>
    </row>
    <row r="275">
      <c r="D275" s="62" t="s">
        <v>492</v>
      </c>
      <c r="E275" s="66" t="str">
        <f>A31</f>
        <v>P~ or K2b2~</v>
      </c>
      <c r="F275" s="62" t="s">
        <v>491</v>
      </c>
      <c r="G275" s="33" t="s">
        <v>493</v>
      </c>
      <c r="H275" s="65">
        <v>8096754.0</v>
      </c>
      <c r="I275" s="65">
        <v>8228713.0</v>
      </c>
      <c r="J275" s="64" t="s">
        <v>139</v>
      </c>
    </row>
    <row r="276">
      <c r="D276" s="62" t="s">
        <v>494</v>
      </c>
      <c r="E276" s="66" t="str">
        <f>A31</f>
        <v>P~ or K2b2~</v>
      </c>
      <c r="F276" s="62" t="s">
        <v>495</v>
      </c>
      <c r="G276" s="33" t="s">
        <v>496</v>
      </c>
      <c r="H276" s="65">
        <v>8257661.0</v>
      </c>
      <c r="I276" s="65">
        <v>8389620.0</v>
      </c>
      <c r="J276" s="64" t="s">
        <v>219</v>
      </c>
    </row>
    <row r="277">
      <c r="D277" s="62" t="s">
        <v>495</v>
      </c>
      <c r="E277" s="66" t="str">
        <f>A31</f>
        <v>P~ or K2b2~</v>
      </c>
      <c r="F277" s="62" t="s">
        <v>494</v>
      </c>
      <c r="G277" s="33" t="s">
        <v>496</v>
      </c>
      <c r="H277" s="65">
        <v>8257661.0</v>
      </c>
      <c r="I277" s="65">
        <v>8389620.0</v>
      </c>
      <c r="J277" s="64" t="s">
        <v>219</v>
      </c>
    </row>
    <row r="278">
      <c r="D278" s="62" t="s">
        <v>497</v>
      </c>
      <c r="E278" s="66" t="str">
        <f>A31</f>
        <v>P~ or K2b2~</v>
      </c>
      <c r="F278" s="62" t="s">
        <v>498</v>
      </c>
      <c r="G278" s="33" t="s">
        <v>499</v>
      </c>
      <c r="H278" s="65">
        <v>8290951.0</v>
      </c>
      <c r="I278" s="65">
        <v>8422910.0</v>
      </c>
      <c r="J278" s="64" t="s">
        <v>437</v>
      </c>
    </row>
    <row r="279">
      <c r="D279" s="62" t="s">
        <v>498</v>
      </c>
      <c r="E279" s="66" t="str">
        <f>A31</f>
        <v>P~ or K2b2~</v>
      </c>
      <c r="F279" s="62" t="s">
        <v>497</v>
      </c>
      <c r="G279" s="33" t="s">
        <v>499</v>
      </c>
      <c r="H279" s="65">
        <v>8290951.0</v>
      </c>
      <c r="I279" s="65">
        <v>8422910.0</v>
      </c>
      <c r="J279" s="64" t="s">
        <v>437</v>
      </c>
    </row>
    <row r="280">
      <c r="D280" s="62" t="s">
        <v>500</v>
      </c>
      <c r="E280" s="66" t="str">
        <f>A31</f>
        <v>P~ or K2b2~</v>
      </c>
      <c r="F280" s="62" t="s">
        <v>501</v>
      </c>
      <c r="G280" s="33" t="s">
        <v>502</v>
      </c>
      <c r="H280" s="65">
        <v>8326618.0</v>
      </c>
      <c r="I280" s="65">
        <v>8458577.0</v>
      </c>
      <c r="J280" s="64" t="s">
        <v>103</v>
      </c>
    </row>
    <row r="281">
      <c r="D281" s="62" t="s">
        <v>501</v>
      </c>
      <c r="E281" s="66" t="str">
        <f>A31</f>
        <v>P~ or K2b2~</v>
      </c>
      <c r="F281" s="62" t="s">
        <v>500</v>
      </c>
      <c r="G281" s="33" t="s">
        <v>502</v>
      </c>
      <c r="H281" s="65">
        <v>8326618.0</v>
      </c>
      <c r="I281" s="65">
        <v>8458577.0</v>
      </c>
      <c r="J281" s="64" t="s">
        <v>103</v>
      </c>
    </row>
    <row r="282">
      <c r="D282" s="62" t="s">
        <v>503</v>
      </c>
      <c r="E282" s="66" t="str">
        <f>A31</f>
        <v>P~ or K2b2~</v>
      </c>
      <c r="F282" s="62" t="s">
        <v>504</v>
      </c>
      <c r="G282" s="33" t="s">
        <v>505</v>
      </c>
      <c r="H282" s="65">
        <v>8705980.0</v>
      </c>
      <c r="I282" s="65">
        <v>8837939.0</v>
      </c>
      <c r="J282" s="64" t="s">
        <v>103</v>
      </c>
    </row>
    <row r="283">
      <c r="D283" s="62" t="s">
        <v>504</v>
      </c>
      <c r="E283" s="66" t="str">
        <f>A31</f>
        <v>P~ or K2b2~</v>
      </c>
      <c r="F283" s="62" t="s">
        <v>503</v>
      </c>
      <c r="G283" s="33" t="s">
        <v>505</v>
      </c>
      <c r="H283" s="65">
        <v>8705980.0</v>
      </c>
      <c r="I283" s="65">
        <v>8837939.0</v>
      </c>
      <c r="J283" s="64" t="s">
        <v>103</v>
      </c>
    </row>
    <row r="284">
      <c r="D284" s="62" t="s">
        <v>506</v>
      </c>
      <c r="E284" s="66" t="str">
        <f>A31</f>
        <v>P~ or K2b2~</v>
      </c>
      <c r="F284" s="62" t="s">
        <v>507</v>
      </c>
      <c r="G284" s="33" t="s">
        <v>508</v>
      </c>
      <c r="H284" s="65">
        <v>8811466.0</v>
      </c>
      <c r="I284" s="65">
        <v>8943425.0</v>
      </c>
      <c r="J284" s="64" t="s">
        <v>139</v>
      </c>
    </row>
    <row r="285">
      <c r="D285" s="62" t="s">
        <v>507</v>
      </c>
      <c r="E285" s="66" t="str">
        <f>A31</f>
        <v>P~ or K2b2~</v>
      </c>
      <c r="F285" s="62" t="s">
        <v>506</v>
      </c>
      <c r="G285" s="33" t="s">
        <v>508</v>
      </c>
      <c r="H285" s="65">
        <v>8811466.0</v>
      </c>
      <c r="I285" s="65">
        <v>8943425.0</v>
      </c>
      <c r="J285" s="64" t="s">
        <v>139</v>
      </c>
    </row>
    <row r="286">
      <c r="D286" s="62" t="s">
        <v>509</v>
      </c>
      <c r="E286" s="66" t="str">
        <f>A31</f>
        <v>P~ or K2b2~</v>
      </c>
      <c r="F286" s="62" t="s">
        <v>510</v>
      </c>
      <c r="G286" s="33" t="s">
        <v>511</v>
      </c>
      <c r="H286" s="65">
        <v>9093383.0</v>
      </c>
      <c r="I286" s="65">
        <v>9255774.0</v>
      </c>
      <c r="J286" s="64" t="s">
        <v>154</v>
      </c>
    </row>
    <row r="287">
      <c r="D287" s="62" t="s">
        <v>510</v>
      </c>
      <c r="E287" t="str">
        <f>A31</f>
        <v>P~ or K2b2~</v>
      </c>
      <c r="F287" s="62" t="s">
        <v>509</v>
      </c>
      <c r="G287" s="33" t="s">
        <v>511</v>
      </c>
      <c r="H287" s="65">
        <v>9093383.0</v>
      </c>
      <c r="I287" s="65">
        <v>9255774.0</v>
      </c>
      <c r="J287" s="64" t="s">
        <v>154</v>
      </c>
    </row>
    <row r="288">
      <c r="D288" s="62" t="s">
        <v>512</v>
      </c>
      <c r="E288" s="66" t="str">
        <f>A31</f>
        <v>P~ or K2b2~</v>
      </c>
      <c r="F288" s="62" t="s">
        <v>513</v>
      </c>
      <c r="G288" s="33" t="s">
        <v>514</v>
      </c>
      <c r="H288" s="65">
        <v>9410828.0</v>
      </c>
      <c r="I288" s="65">
        <v>9573219.0</v>
      </c>
      <c r="J288" s="64" t="s">
        <v>103</v>
      </c>
    </row>
    <row r="289">
      <c r="D289" s="62" t="s">
        <v>513</v>
      </c>
      <c r="E289" s="66" t="str">
        <f>A31</f>
        <v>P~ or K2b2~</v>
      </c>
      <c r="F289" s="62" t="s">
        <v>512</v>
      </c>
      <c r="G289" s="33" t="s">
        <v>514</v>
      </c>
      <c r="H289" s="65">
        <v>9410828.0</v>
      </c>
      <c r="I289" s="65">
        <v>9573219.0</v>
      </c>
      <c r="J289" s="64" t="s">
        <v>103</v>
      </c>
    </row>
    <row r="290">
      <c r="D290" s="62" t="s">
        <v>515</v>
      </c>
      <c r="E290" s="66" t="str">
        <f>A31</f>
        <v>P~ or K2b2~</v>
      </c>
      <c r="F290" s="62" t="s">
        <v>516</v>
      </c>
      <c r="G290" s="33" t="s">
        <v>517</v>
      </c>
      <c r="H290" s="65">
        <v>9885733.0</v>
      </c>
      <c r="I290" s="65">
        <v>1.0048124E7</v>
      </c>
      <c r="J290" s="64" t="s">
        <v>219</v>
      </c>
    </row>
    <row r="291">
      <c r="D291" s="62" t="s">
        <v>516</v>
      </c>
      <c r="E291" s="66" t="str">
        <f>A31</f>
        <v>P~ or K2b2~</v>
      </c>
      <c r="F291" s="62" t="s">
        <v>515</v>
      </c>
      <c r="G291" s="33" t="s">
        <v>517</v>
      </c>
      <c r="H291" s="65">
        <v>9885733.0</v>
      </c>
      <c r="I291" s="65">
        <v>1.0048124E7</v>
      </c>
      <c r="J291" s="64" t="s">
        <v>219</v>
      </c>
    </row>
    <row r="292">
      <c r="D292" s="62" t="s">
        <v>518</v>
      </c>
      <c r="E292" s="66" t="str">
        <f>A31</f>
        <v>P~ or K2b2~</v>
      </c>
      <c r="F292" s="62" t="s">
        <v>519</v>
      </c>
      <c r="G292" s="33" t="s">
        <v>520</v>
      </c>
      <c r="H292" s="65">
        <v>1.4725821E7</v>
      </c>
      <c r="I292" s="65">
        <v>1.2613889E7</v>
      </c>
      <c r="J292" s="64" t="s">
        <v>363</v>
      </c>
    </row>
    <row r="293">
      <c r="D293" s="62" t="s">
        <v>519</v>
      </c>
      <c r="E293" s="66" t="str">
        <f>A31</f>
        <v>P~ or K2b2~</v>
      </c>
      <c r="F293" s="62" t="s">
        <v>518</v>
      </c>
      <c r="G293" s="33" t="s">
        <v>520</v>
      </c>
      <c r="H293" s="65">
        <v>1.4725821E7</v>
      </c>
      <c r="I293" s="65">
        <v>1.2613889E7</v>
      </c>
      <c r="J293" s="64" t="s">
        <v>363</v>
      </c>
    </row>
    <row r="294">
      <c r="D294" s="62" t="s">
        <v>521</v>
      </c>
      <c r="E294" s="66" t="str">
        <f>A31</f>
        <v>P~ or K2b2~</v>
      </c>
      <c r="F294" s="62" t="s">
        <v>522</v>
      </c>
      <c r="G294" s="33" t="s">
        <v>523</v>
      </c>
      <c r="H294" s="65">
        <v>1.5497285E7</v>
      </c>
      <c r="I294" s="65">
        <v>1.3385405E7</v>
      </c>
      <c r="J294" s="64" t="s">
        <v>154</v>
      </c>
    </row>
    <row r="295">
      <c r="D295" s="62" t="s">
        <v>522</v>
      </c>
      <c r="E295" s="66" t="str">
        <f>A31</f>
        <v>P~ or K2b2~</v>
      </c>
      <c r="F295" s="62" t="s">
        <v>521</v>
      </c>
      <c r="G295" s="33" t="s">
        <v>523</v>
      </c>
      <c r="H295" s="65">
        <v>1.5497285E7</v>
      </c>
      <c r="I295" s="65">
        <v>1.3385405E7</v>
      </c>
      <c r="J295" s="64" t="s">
        <v>154</v>
      </c>
    </row>
    <row r="296">
      <c r="D296" s="62" t="s">
        <v>524</v>
      </c>
      <c r="E296" s="66" t="str">
        <f>A31</f>
        <v>P~ or K2b2~</v>
      </c>
      <c r="F296" s="62" t="s">
        <v>525</v>
      </c>
      <c r="G296" s="33" t="s">
        <v>526</v>
      </c>
      <c r="H296" s="65">
        <v>1.8647146E7</v>
      </c>
      <c r="I296" s="65">
        <v>1.6535266E7</v>
      </c>
      <c r="J296" s="64" t="s">
        <v>313</v>
      </c>
    </row>
    <row r="297">
      <c r="D297" s="62" t="s">
        <v>525</v>
      </c>
      <c r="E297" s="66" t="str">
        <f>A31</f>
        <v>P~ or K2b2~</v>
      </c>
      <c r="F297" s="62" t="s">
        <v>524</v>
      </c>
      <c r="G297" s="33" t="s">
        <v>526</v>
      </c>
      <c r="H297" s="65">
        <v>1.8647146E7</v>
      </c>
      <c r="I297" s="65">
        <v>1.6535266E7</v>
      </c>
      <c r="J297" s="64" t="s">
        <v>313</v>
      </c>
    </row>
    <row r="298">
      <c r="D298" s="62" t="s">
        <v>527</v>
      </c>
      <c r="E298" s="66" t="str">
        <f>A31</f>
        <v>P~ or K2b2~</v>
      </c>
      <c r="F298" s="62" t="s">
        <v>528</v>
      </c>
      <c r="G298" s="33" t="s">
        <v>529</v>
      </c>
      <c r="H298" s="65">
        <v>1.9067469E7</v>
      </c>
      <c r="I298" s="65">
        <v>1.6955589E7</v>
      </c>
      <c r="J298" s="64" t="s">
        <v>103</v>
      </c>
    </row>
    <row r="299">
      <c r="D299" s="62" t="s">
        <v>528</v>
      </c>
      <c r="E299" s="66" t="str">
        <f>A31</f>
        <v>P~ or K2b2~</v>
      </c>
      <c r="F299" s="62" t="s">
        <v>527</v>
      </c>
      <c r="G299" s="33" t="s">
        <v>529</v>
      </c>
      <c r="H299" s="65">
        <v>1.9067469E7</v>
      </c>
      <c r="I299" s="65">
        <v>1.6955589E7</v>
      </c>
      <c r="J299" s="64" t="s">
        <v>103</v>
      </c>
    </row>
    <row r="300">
      <c r="D300" s="62" t="s">
        <v>530</v>
      </c>
      <c r="E300" s="66" t="str">
        <f>A31</f>
        <v>P~ or K2b2~</v>
      </c>
      <c r="F300" s="62" t="s">
        <v>531</v>
      </c>
      <c r="G300" s="33" t="s">
        <v>532</v>
      </c>
      <c r="H300" s="65">
        <v>2.1121986E7</v>
      </c>
      <c r="I300" s="65">
        <v>1.89601E7</v>
      </c>
      <c r="J300" s="64" t="s">
        <v>437</v>
      </c>
    </row>
    <row r="301">
      <c r="D301" s="62" t="s">
        <v>531</v>
      </c>
      <c r="E301" s="66" t="str">
        <f>A31</f>
        <v>P~ or K2b2~</v>
      </c>
      <c r="F301" s="62" t="s">
        <v>530</v>
      </c>
      <c r="G301" s="33" t="s">
        <v>532</v>
      </c>
      <c r="H301" s="65">
        <v>2.1121986E7</v>
      </c>
      <c r="I301" s="65">
        <v>1.89601E7</v>
      </c>
      <c r="J301" s="64" t="s">
        <v>437</v>
      </c>
    </row>
    <row r="302">
      <c r="D302" s="62" t="s">
        <v>533</v>
      </c>
      <c r="E302" s="66" t="str">
        <f>A31</f>
        <v>P~ or K2b2~</v>
      </c>
      <c r="F302" s="62" t="s">
        <v>534</v>
      </c>
      <c r="G302" s="33" t="s">
        <v>535</v>
      </c>
      <c r="H302" s="65">
        <v>2.1139399E7</v>
      </c>
      <c r="I302" s="65">
        <v>1.8977513E7</v>
      </c>
      <c r="J302" s="64" t="s">
        <v>131</v>
      </c>
    </row>
    <row r="303">
      <c r="D303" s="62" t="s">
        <v>534</v>
      </c>
      <c r="E303" s="66" t="str">
        <f>A31</f>
        <v>P~ or K2b2~</v>
      </c>
      <c r="F303" s="62" t="s">
        <v>533</v>
      </c>
      <c r="G303" s="33" t="s">
        <v>535</v>
      </c>
      <c r="H303" s="65">
        <v>2.1139399E7</v>
      </c>
      <c r="I303" s="65">
        <v>1.8977513E7</v>
      </c>
      <c r="J303" s="64" t="s">
        <v>131</v>
      </c>
    </row>
    <row r="304">
      <c r="D304" s="62" t="s">
        <v>536</v>
      </c>
      <c r="E304" s="66" t="str">
        <f>A31</f>
        <v>P~ or K2b2~</v>
      </c>
      <c r="F304" s="62" t="s">
        <v>537</v>
      </c>
      <c r="G304" s="33" t="s">
        <v>538</v>
      </c>
      <c r="H304" s="65">
        <v>2.1298239E7</v>
      </c>
      <c r="I304" s="65">
        <v>1.9136353E7</v>
      </c>
      <c r="J304" s="64" t="s">
        <v>107</v>
      </c>
    </row>
    <row r="305">
      <c r="D305" s="62" t="s">
        <v>537</v>
      </c>
      <c r="E305" s="66" t="str">
        <f>A31</f>
        <v>P~ or K2b2~</v>
      </c>
      <c r="F305" s="62" t="s">
        <v>536</v>
      </c>
      <c r="G305" s="33" t="s">
        <v>538</v>
      </c>
      <c r="H305" s="65">
        <v>2.1298239E7</v>
      </c>
      <c r="I305" s="65">
        <v>1.9136353E7</v>
      </c>
      <c r="J305" s="64" t="s">
        <v>107</v>
      </c>
    </row>
    <row r="306">
      <c r="D306" s="62" t="s">
        <v>539</v>
      </c>
      <c r="E306" s="66" t="str">
        <f>A31</f>
        <v>P~ or K2b2~</v>
      </c>
      <c r="F306" s="62" t="s">
        <v>540</v>
      </c>
      <c r="G306" s="33" t="s">
        <v>541</v>
      </c>
      <c r="H306" s="65">
        <v>2.1456883E7</v>
      </c>
      <c r="I306" s="65">
        <v>1.9294997E7</v>
      </c>
      <c r="J306" s="64" t="s">
        <v>95</v>
      </c>
    </row>
    <row r="307">
      <c r="D307" s="62" t="s">
        <v>540</v>
      </c>
      <c r="E307" s="66" t="str">
        <f>A31</f>
        <v>P~ or K2b2~</v>
      </c>
      <c r="F307" s="62" t="s">
        <v>539</v>
      </c>
      <c r="G307" s="33" t="s">
        <v>541</v>
      </c>
      <c r="H307" s="65">
        <v>2.1456883E7</v>
      </c>
      <c r="I307" s="65">
        <v>1.9294997E7</v>
      </c>
      <c r="J307" s="64" t="s">
        <v>95</v>
      </c>
    </row>
    <row r="308">
      <c r="D308" s="62" t="s">
        <v>542</v>
      </c>
      <c r="E308" s="66" t="str">
        <f>A31</f>
        <v>P~ or K2b2~</v>
      </c>
      <c r="F308" s="62" t="s">
        <v>543</v>
      </c>
      <c r="G308" s="33" t="s">
        <v>544</v>
      </c>
      <c r="H308" s="65">
        <v>2.1513607E7</v>
      </c>
      <c r="I308" s="65">
        <v>1.9351721E7</v>
      </c>
      <c r="J308" s="64" t="s">
        <v>139</v>
      </c>
    </row>
    <row r="309">
      <c r="D309" s="62" t="s">
        <v>543</v>
      </c>
      <c r="E309" s="66" t="str">
        <f>A31</f>
        <v>P~ or K2b2~</v>
      </c>
      <c r="F309" s="62" t="s">
        <v>542</v>
      </c>
      <c r="G309" s="33" t="s">
        <v>544</v>
      </c>
      <c r="H309" s="65">
        <v>2.1513607E7</v>
      </c>
      <c r="I309" s="65">
        <v>1.9351721E7</v>
      </c>
      <c r="J309" s="64" t="s">
        <v>139</v>
      </c>
    </row>
    <row r="310">
      <c r="D310" s="62" t="s">
        <v>545</v>
      </c>
      <c r="E310" s="66" t="str">
        <f>A31</f>
        <v>P~ or K2b2~</v>
      </c>
      <c r="F310" s="62" t="s">
        <v>546</v>
      </c>
      <c r="G310" s="33" t="s">
        <v>547</v>
      </c>
      <c r="H310" s="65">
        <v>2.1560146E7</v>
      </c>
      <c r="I310" s="65">
        <v>1.939826E7</v>
      </c>
      <c r="J310" s="64" t="s">
        <v>103</v>
      </c>
    </row>
    <row r="311">
      <c r="D311" s="62" t="s">
        <v>546</v>
      </c>
      <c r="E311" s="66" t="str">
        <f>A31</f>
        <v>P~ or K2b2~</v>
      </c>
      <c r="F311" s="62" t="s">
        <v>545</v>
      </c>
      <c r="G311" s="33" t="s">
        <v>547</v>
      </c>
      <c r="H311" s="65">
        <v>2.1560146E7</v>
      </c>
      <c r="I311" s="65">
        <v>1.939826E7</v>
      </c>
      <c r="J311" s="64" t="s">
        <v>103</v>
      </c>
    </row>
    <row r="312">
      <c r="D312" s="62" t="s">
        <v>548</v>
      </c>
      <c r="E312" s="66" t="str">
        <f>A31</f>
        <v>P~ or K2b2~</v>
      </c>
      <c r="F312" s="62" t="s">
        <v>549</v>
      </c>
      <c r="G312" s="33" t="s">
        <v>550</v>
      </c>
      <c r="H312" s="65">
        <v>2.1570974E7</v>
      </c>
      <c r="I312" s="65">
        <v>1.9409088E7</v>
      </c>
      <c r="J312" s="64" t="s">
        <v>95</v>
      </c>
    </row>
    <row r="313">
      <c r="D313" s="62" t="s">
        <v>549</v>
      </c>
      <c r="E313" s="66" t="str">
        <f>A31</f>
        <v>P~ or K2b2~</v>
      </c>
      <c r="F313" s="62" t="s">
        <v>548</v>
      </c>
      <c r="G313" s="33" t="s">
        <v>550</v>
      </c>
      <c r="H313" s="65">
        <v>2.1570974E7</v>
      </c>
      <c r="I313" s="65">
        <v>1.9409088E7</v>
      </c>
      <c r="J313" s="64" t="s">
        <v>95</v>
      </c>
    </row>
    <row r="314">
      <c r="D314" s="62" t="s">
        <v>551</v>
      </c>
      <c r="E314" s="66" t="str">
        <f>A31</f>
        <v>P~ or K2b2~</v>
      </c>
      <c r="F314" s="62" t="s">
        <v>552</v>
      </c>
      <c r="G314" s="33" t="s">
        <v>553</v>
      </c>
      <c r="H314" s="65">
        <v>2.1804435E7</v>
      </c>
      <c r="I314" s="65">
        <v>1.9642549E7</v>
      </c>
      <c r="J314" s="64" t="s">
        <v>103</v>
      </c>
    </row>
    <row r="315">
      <c r="D315" s="62" t="s">
        <v>552</v>
      </c>
      <c r="E315" s="66" t="str">
        <f>A31</f>
        <v>P~ or K2b2~</v>
      </c>
      <c r="F315" s="62" t="s">
        <v>551</v>
      </c>
      <c r="G315" s="33" t="s">
        <v>553</v>
      </c>
      <c r="H315" s="65">
        <v>2.1804435E7</v>
      </c>
      <c r="I315" s="65">
        <v>1.9642549E7</v>
      </c>
      <c r="J315" s="64" t="s">
        <v>103</v>
      </c>
    </row>
    <row r="316">
      <c r="D316" s="62" t="s">
        <v>554</v>
      </c>
      <c r="E316" s="66" t="str">
        <f>A31</f>
        <v>P~ or K2b2~</v>
      </c>
      <c r="F316" s="62" t="s">
        <v>555</v>
      </c>
      <c r="G316" s="33" t="s">
        <v>556</v>
      </c>
      <c r="H316" s="65">
        <v>2.1848764E7</v>
      </c>
      <c r="I316" s="65">
        <v>1.9686878E7</v>
      </c>
      <c r="J316" s="64" t="s">
        <v>313</v>
      </c>
    </row>
    <row r="317">
      <c r="D317" s="62" t="s">
        <v>555</v>
      </c>
      <c r="E317" s="66" t="str">
        <f>A31</f>
        <v>P~ or K2b2~</v>
      </c>
      <c r="F317" s="62" t="s">
        <v>554</v>
      </c>
      <c r="G317" s="33" t="s">
        <v>556</v>
      </c>
      <c r="H317" s="65">
        <v>2.1848764E7</v>
      </c>
      <c r="I317" s="65">
        <v>1.9686878E7</v>
      </c>
      <c r="J317" s="64" t="s">
        <v>313</v>
      </c>
    </row>
    <row r="318">
      <c r="D318" s="62" t="s">
        <v>557</v>
      </c>
      <c r="E318" t="str">
        <f>A31</f>
        <v>P~ or K2b2~</v>
      </c>
      <c r="F318" s="62" t="s">
        <v>558</v>
      </c>
      <c r="G318" s="33" t="s">
        <v>559</v>
      </c>
      <c r="H318" s="65">
        <v>2.1990257E7</v>
      </c>
      <c r="I318" s="65">
        <v>1.9828371E7</v>
      </c>
      <c r="J318" s="64" t="s">
        <v>103</v>
      </c>
    </row>
    <row r="319">
      <c r="D319" s="62" t="s">
        <v>558</v>
      </c>
      <c r="E319" s="66" t="str">
        <f>A31</f>
        <v>P~ or K2b2~</v>
      </c>
      <c r="F319" s="62" t="s">
        <v>557</v>
      </c>
      <c r="G319" s="33" t="s">
        <v>559</v>
      </c>
      <c r="H319" s="65">
        <v>2.1990257E7</v>
      </c>
      <c r="I319" s="65">
        <v>1.9828371E7</v>
      </c>
      <c r="J319" s="64" t="s">
        <v>103</v>
      </c>
    </row>
    <row r="320">
      <c r="D320" s="62" t="s">
        <v>560</v>
      </c>
      <c r="E320" s="66" t="str">
        <f>A31</f>
        <v>P~ or K2b2~</v>
      </c>
      <c r="G320" s="33" t="s">
        <v>561</v>
      </c>
      <c r="H320" s="65">
        <v>2.200377E7</v>
      </c>
      <c r="I320" s="65">
        <v>1.9841884E7</v>
      </c>
      <c r="J320" s="64" t="s">
        <v>95</v>
      </c>
    </row>
    <row r="321">
      <c r="D321" s="62" t="s">
        <v>562</v>
      </c>
      <c r="E321" s="66" t="str">
        <f>A31</f>
        <v>P~ or K2b2~</v>
      </c>
      <c r="F321" s="62" t="s">
        <v>563</v>
      </c>
      <c r="G321" s="33" t="s">
        <v>564</v>
      </c>
      <c r="H321" s="65">
        <v>2.2040221E7</v>
      </c>
      <c r="I321" s="65">
        <v>1.9878335E7</v>
      </c>
      <c r="J321" s="64" t="s">
        <v>154</v>
      </c>
    </row>
    <row r="322">
      <c r="D322" s="62" t="s">
        <v>563</v>
      </c>
      <c r="E322" s="66" t="str">
        <f>A31</f>
        <v>P~ or K2b2~</v>
      </c>
      <c r="F322" s="62" t="s">
        <v>562</v>
      </c>
      <c r="G322" s="33" t="s">
        <v>564</v>
      </c>
      <c r="H322" s="65">
        <v>2.2040221E7</v>
      </c>
      <c r="I322" s="65">
        <v>1.9878335E7</v>
      </c>
      <c r="J322" s="64" t="s">
        <v>154</v>
      </c>
    </row>
    <row r="323">
      <c r="D323" s="62" t="s">
        <v>565</v>
      </c>
      <c r="E323" s="66" t="str">
        <f>A31</f>
        <v>P~ or K2b2~</v>
      </c>
      <c r="F323" s="62" t="s">
        <v>566</v>
      </c>
      <c r="G323" s="33" t="s">
        <v>567</v>
      </c>
      <c r="H323" s="65">
        <v>2.2164441E7</v>
      </c>
      <c r="I323" s="65">
        <v>2.0002555E7</v>
      </c>
      <c r="J323" s="64" t="s">
        <v>95</v>
      </c>
    </row>
    <row r="324">
      <c r="D324" s="62" t="s">
        <v>566</v>
      </c>
      <c r="E324" s="66" t="str">
        <f>A31</f>
        <v>P~ or K2b2~</v>
      </c>
      <c r="F324" s="62" t="s">
        <v>565</v>
      </c>
      <c r="G324" s="33" t="s">
        <v>567</v>
      </c>
      <c r="H324" s="65">
        <v>2.2164441E7</v>
      </c>
      <c r="I324" s="65">
        <v>2.0002555E7</v>
      </c>
      <c r="J324" s="64" t="s">
        <v>95</v>
      </c>
    </row>
    <row r="325">
      <c r="D325" s="62" t="s">
        <v>568</v>
      </c>
      <c r="E325" s="66" t="str">
        <f>A31</f>
        <v>P~ or K2b2~</v>
      </c>
      <c r="G325" s="33" t="s">
        <v>569</v>
      </c>
      <c r="H325" s="65">
        <v>9921064.0</v>
      </c>
      <c r="I325" s="65">
        <v>1.0083455E7</v>
      </c>
      <c r="J325" s="64" t="s">
        <v>95</v>
      </c>
    </row>
    <row r="326">
      <c r="D326" s="62" t="s">
        <v>570</v>
      </c>
      <c r="E326" s="66" t="str">
        <f>A31</f>
        <v>P~ or K2b2~</v>
      </c>
      <c r="G326" s="33" t="s">
        <v>571</v>
      </c>
      <c r="H326" s="65">
        <v>1.006032E7</v>
      </c>
      <c r="I326" s="65">
        <v>1.0222711E7</v>
      </c>
      <c r="J326" s="64" t="s">
        <v>139</v>
      </c>
    </row>
    <row r="327">
      <c r="D327" s="62" t="s">
        <v>572</v>
      </c>
      <c r="E327" s="66" t="str">
        <f>A31</f>
        <v>P~ or K2b2~</v>
      </c>
      <c r="G327" s="33" t="s">
        <v>573</v>
      </c>
      <c r="H327" s="65">
        <v>2.3568995E7</v>
      </c>
      <c r="I327" s="65">
        <v>2.1407109E7</v>
      </c>
      <c r="J327" s="64" t="s">
        <v>95</v>
      </c>
    </row>
    <row r="328">
      <c r="D328" s="62" t="s">
        <v>574</v>
      </c>
      <c r="E328" s="66" t="str">
        <f>A31</f>
        <v>P~ or K2b2~</v>
      </c>
      <c r="G328" s="33" t="s">
        <v>575</v>
      </c>
      <c r="H328" s="65">
        <v>7996768.0</v>
      </c>
      <c r="I328" s="65">
        <v>8128727.0</v>
      </c>
      <c r="J328" s="64" t="s">
        <v>95</v>
      </c>
    </row>
    <row r="329">
      <c r="D329" s="62" t="s">
        <v>576</v>
      </c>
      <c r="E329" s="66" t="str">
        <f>A31</f>
        <v>P~ or K2b2~</v>
      </c>
      <c r="G329" s="33" t="s">
        <v>577</v>
      </c>
      <c r="H329" s="65">
        <v>9171956.0</v>
      </c>
      <c r="I329" s="65">
        <v>9334347.0</v>
      </c>
      <c r="J329" s="64" t="s">
        <v>363</v>
      </c>
    </row>
    <row r="330">
      <c r="D330" s="62" t="s">
        <v>578</v>
      </c>
      <c r="E330" s="66" t="str">
        <f>A31</f>
        <v>P~ or K2b2~</v>
      </c>
      <c r="G330" s="33" t="s">
        <v>579</v>
      </c>
      <c r="H330" s="65">
        <v>1.007746E7</v>
      </c>
      <c r="I330" s="65">
        <v>1.0239851E7</v>
      </c>
      <c r="J330" s="64" t="s">
        <v>219</v>
      </c>
    </row>
    <row r="331">
      <c r="D331" s="62" t="s">
        <v>580</v>
      </c>
      <c r="E331" s="66" t="str">
        <f>A31</f>
        <v>P~ or K2b2~</v>
      </c>
      <c r="H331" s="65">
        <v>1.3211699E7</v>
      </c>
      <c r="I331" s="65">
        <v>1.1056023E7</v>
      </c>
      <c r="J331" s="64" t="s">
        <v>437</v>
      </c>
    </row>
    <row r="332">
      <c r="D332" s="62" t="s">
        <v>581</v>
      </c>
      <c r="E332" s="66" t="str">
        <f>A31</f>
        <v>P~ or K2b2~</v>
      </c>
      <c r="G332" s="33" t="s">
        <v>582</v>
      </c>
      <c r="H332" s="65">
        <v>1.8408935E7</v>
      </c>
      <c r="I332" s="65">
        <v>1.6297055E7</v>
      </c>
      <c r="J332" s="64" t="s">
        <v>154</v>
      </c>
    </row>
    <row r="333">
      <c r="D333" s="62" t="s">
        <v>583</v>
      </c>
      <c r="E333" s="66" t="str">
        <f>A31</f>
        <v>P~ or K2b2~</v>
      </c>
      <c r="G333" s="33" t="s">
        <v>584</v>
      </c>
      <c r="H333" s="65">
        <v>2.3993156E7</v>
      </c>
      <c r="I333" s="65">
        <v>2.1847009E7</v>
      </c>
      <c r="J333" s="64" t="s">
        <v>313</v>
      </c>
    </row>
    <row r="334">
      <c r="D334" s="62" t="s">
        <v>585</v>
      </c>
      <c r="E334" s="66" t="str">
        <f>A31</f>
        <v>P~ or K2b2~</v>
      </c>
      <c r="G334" s="33" t="s">
        <v>586</v>
      </c>
      <c r="H334" s="65">
        <v>2.4485562E7</v>
      </c>
      <c r="I334" s="65">
        <v>2.2339415E7</v>
      </c>
      <c r="J334" s="64" t="s">
        <v>95</v>
      </c>
    </row>
    <row r="335">
      <c r="D335" s="62" t="s">
        <v>587</v>
      </c>
      <c r="E335" s="66" t="str">
        <f>B32</f>
        <v>P1 or K2b2a</v>
      </c>
      <c r="F335" s="62" t="s">
        <v>588</v>
      </c>
      <c r="G335" s="64" t="s">
        <v>589</v>
      </c>
      <c r="H335" s="65">
        <v>2.1867787E7</v>
      </c>
      <c r="I335" s="65">
        <v>1.9705901E7</v>
      </c>
      <c r="J335" s="64" t="s">
        <v>95</v>
      </c>
      <c r="K335" s="64"/>
    </row>
    <row r="336">
      <c r="D336" s="62" t="s">
        <v>588</v>
      </c>
      <c r="E336" s="66" t="str">
        <f>B32</f>
        <v>P1 or K2b2a</v>
      </c>
      <c r="F336" s="62" t="s">
        <v>587</v>
      </c>
      <c r="G336" s="64" t="s">
        <v>589</v>
      </c>
      <c r="H336" s="65">
        <v>2.1867787E7</v>
      </c>
      <c r="I336" s="65">
        <v>1.9705901E7</v>
      </c>
      <c r="J336" s="64" t="s">
        <v>95</v>
      </c>
    </row>
    <row r="337">
      <c r="D337" s="62" t="s">
        <v>590</v>
      </c>
      <c r="E337" s="66" t="str">
        <f>B32</f>
        <v>P1 or K2b2a</v>
      </c>
      <c r="F337" s="62" t="s">
        <v>591</v>
      </c>
      <c r="G337" s="64" t="s">
        <v>592</v>
      </c>
      <c r="H337" s="65">
        <v>1.4898094E7</v>
      </c>
      <c r="I337" s="65">
        <v>1.278616E7</v>
      </c>
      <c r="J337" s="64" t="s">
        <v>219</v>
      </c>
    </row>
    <row r="338">
      <c r="D338" s="62" t="s">
        <v>593</v>
      </c>
      <c r="E338" s="66" t="str">
        <f>B32</f>
        <v>P1 or K2b2a</v>
      </c>
      <c r="F338" s="62" t="s">
        <v>594</v>
      </c>
      <c r="G338" s="64" t="s">
        <v>592</v>
      </c>
      <c r="H338" s="65">
        <v>1.4898094E7</v>
      </c>
      <c r="I338" s="65">
        <v>1.278616E7</v>
      </c>
      <c r="J338" s="64" t="s">
        <v>219</v>
      </c>
    </row>
    <row r="339">
      <c r="D339" s="62" t="s">
        <v>595</v>
      </c>
      <c r="E339" s="66" t="str">
        <f>B32</f>
        <v>P1 or K2b2a</v>
      </c>
      <c r="F339" s="62" t="s">
        <v>596</v>
      </c>
      <c r="G339" s="64" t="s">
        <v>592</v>
      </c>
      <c r="H339" s="65">
        <v>1.4898094E7</v>
      </c>
      <c r="I339" s="65">
        <v>1.278616E7</v>
      </c>
      <c r="J339" s="64" t="s">
        <v>219</v>
      </c>
    </row>
    <row r="340">
      <c r="D340" s="62" t="s">
        <v>597</v>
      </c>
      <c r="E340" s="66" t="str">
        <f>B32</f>
        <v>P1 or K2b2a</v>
      </c>
      <c r="F340" s="62" t="s">
        <v>598</v>
      </c>
      <c r="G340" s="64" t="s">
        <v>592</v>
      </c>
      <c r="H340" s="65">
        <v>1.4898094E7</v>
      </c>
      <c r="I340" s="65">
        <v>1.278616E7</v>
      </c>
      <c r="J340" s="64" t="s">
        <v>219</v>
      </c>
    </row>
    <row r="341">
      <c r="D341" s="62" t="s">
        <v>599</v>
      </c>
      <c r="E341" s="66" t="str">
        <f>B32</f>
        <v>P1 or K2b2a</v>
      </c>
      <c r="F341" s="62" t="s">
        <v>600</v>
      </c>
      <c r="G341" s="64" t="s">
        <v>601</v>
      </c>
      <c r="H341" s="65">
        <v>2.1889767E7</v>
      </c>
      <c r="I341" s="65">
        <v>1.9727881E7</v>
      </c>
      <c r="J341" s="64" t="s">
        <v>95</v>
      </c>
    </row>
    <row r="342">
      <c r="D342" s="62" t="s">
        <v>602</v>
      </c>
      <c r="E342" s="66" t="str">
        <f>B32</f>
        <v>P1 or K2b2a</v>
      </c>
      <c r="F342" s="62" t="s">
        <v>603</v>
      </c>
      <c r="G342" s="64" t="s">
        <v>601</v>
      </c>
      <c r="H342" s="65">
        <v>2.1889767E7</v>
      </c>
      <c r="I342" s="65">
        <v>1.9727881E7</v>
      </c>
      <c r="J342" s="64" t="s">
        <v>95</v>
      </c>
    </row>
    <row r="343">
      <c r="D343" s="62" t="s">
        <v>604</v>
      </c>
      <c r="E343" s="66" t="str">
        <f>B32</f>
        <v>P1 or K2b2a</v>
      </c>
      <c r="F343" s="62" t="s">
        <v>605</v>
      </c>
      <c r="G343" s="64" t="s">
        <v>601</v>
      </c>
      <c r="H343" s="65">
        <v>2.1889767E7</v>
      </c>
      <c r="I343" s="65">
        <v>1.9727881E7</v>
      </c>
      <c r="J343" s="64" t="s">
        <v>95</v>
      </c>
    </row>
    <row r="344">
      <c r="D344" s="62" t="s">
        <v>606</v>
      </c>
      <c r="E344" s="66" t="str">
        <f>B32</f>
        <v>P1 or K2b2a</v>
      </c>
      <c r="F344" s="62" t="s">
        <v>607</v>
      </c>
      <c r="G344" s="64" t="s">
        <v>608</v>
      </c>
      <c r="H344" s="65">
        <v>8845380.0</v>
      </c>
      <c r="I344" s="65">
        <v>8977339.0</v>
      </c>
      <c r="J344" s="64" t="s">
        <v>103</v>
      </c>
    </row>
    <row r="345">
      <c r="D345" s="62" t="s">
        <v>607</v>
      </c>
      <c r="E345" s="66" t="str">
        <f>B32</f>
        <v>P1 or K2b2a</v>
      </c>
      <c r="F345" s="62" t="s">
        <v>606</v>
      </c>
      <c r="G345" s="64" t="s">
        <v>608</v>
      </c>
      <c r="H345" s="65">
        <v>8845380.0</v>
      </c>
      <c r="I345" s="65">
        <v>8977339.0</v>
      </c>
      <c r="J345" s="64" t="s">
        <v>103</v>
      </c>
    </row>
    <row r="346">
      <c r="D346" s="62" t="s">
        <v>609</v>
      </c>
      <c r="E346" s="66" t="str">
        <f>B32</f>
        <v>P1 or K2b2a</v>
      </c>
      <c r="F346" s="62" t="s">
        <v>610</v>
      </c>
      <c r="G346" s="64" t="s">
        <v>611</v>
      </c>
      <c r="H346" s="65">
        <v>1.7508337E7</v>
      </c>
      <c r="I346" s="65">
        <v>1.5396457E7</v>
      </c>
      <c r="J346" s="64" t="s">
        <v>103</v>
      </c>
    </row>
    <row r="347">
      <c r="D347" s="62" t="s">
        <v>610</v>
      </c>
      <c r="E347" s="66" t="str">
        <f>B32</f>
        <v>P1 or K2b2a</v>
      </c>
      <c r="F347" s="62" t="s">
        <v>609</v>
      </c>
      <c r="G347" s="64" t="s">
        <v>611</v>
      </c>
      <c r="H347" s="65">
        <v>1.7508337E7</v>
      </c>
      <c r="I347" s="65">
        <v>1.5396457E7</v>
      </c>
      <c r="J347" s="64" t="s">
        <v>103</v>
      </c>
    </row>
    <row r="348">
      <c r="D348" s="62" t="s">
        <v>612</v>
      </c>
      <c r="E348" s="66" t="str">
        <f>B32</f>
        <v>P1 or K2b2a</v>
      </c>
      <c r="F348" s="62" t="s">
        <v>613</v>
      </c>
      <c r="G348" s="64" t="s">
        <v>614</v>
      </c>
      <c r="H348" s="65">
        <v>1.7470112E7</v>
      </c>
      <c r="I348" s="65">
        <v>1.5358232E7</v>
      </c>
      <c r="J348" s="64" t="s">
        <v>95</v>
      </c>
    </row>
    <row r="349">
      <c r="D349" s="62" t="s">
        <v>613</v>
      </c>
      <c r="E349" s="66" t="str">
        <f>B32</f>
        <v>P1 or K2b2a</v>
      </c>
      <c r="F349" s="62" t="s">
        <v>612</v>
      </c>
      <c r="G349" s="64" t="s">
        <v>614</v>
      </c>
      <c r="H349" s="65">
        <v>1.7470112E7</v>
      </c>
      <c r="I349" s="65">
        <v>1.5358232E7</v>
      </c>
      <c r="J349" s="64" t="s">
        <v>95</v>
      </c>
    </row>
    <row r="350">
      <c r="D350" s="62" t="s">
        <v>615</v>
      </c>
      <c r="E350" s="66" t="str">
        <f>B32</f>
        <v>P1 or K2b2a</v>
      </c>
      <c r="F350" s="62" t="s">
        <v>616</v>
      </c>
      <c r="G350" s="64" t="s">
        <v>617</v>
      </c>
      <c r="H350" s="65">
        <v>1.9198212E7</v>
      </c>
      <c r="I350" s="65">
        <v>1.7086332E7</v>
      </c>
      <c r="J350" s="64" t="s">
        <v>219</v>
      </c>
    </row>
    <row r="351">
      <c r="D351" s="62" t="s">
        <v>616</v>
      </c>
      <c r="E351" s="66" t="str">
        <f>B32</f>
        <v>P1 or K2b2a</v>
      </c>
      <c r="F351" s="62" t="s">
        <v>615</v>
      </c>
      <c r="G351" s="64" t="s">
        <v>617</v>
      </c>
      <c r="H351" s="65">
        <v>1.9198212E7</v>
      </c>
      <c r="I351" s="65">
        <v>1.7086332E7</v>
      </c>
      <c r="J351" s="64" t="s">
        <v>219</v>
      </c>
    </row>
    <row r="352">
      <c r="D352" s="62" t="s">
        <v>618</v>
      </c>
      <c r="E352" s="66" t="str">
        <f>B32</f>
        <v>P1 or K2b2a</v>
      </c>
      <c r="F352" s="62" t="s">
        <v>619</v>
      </c>
      <c r="G352" s="64" t="s">
        <v>620</v>
      </c>
      <c r="H352" s="65">
        <v>8334875.0</v>
      </c>
      <c r="I352" s="65">
        <v>8466834.0</v>
      </c>
      <c r="J352" s="64" t="s">
        <v>219</v>
      </c>
    </row>
    <row r="353">
      <c r="D353" s="62" t="s">
        <v>619</v>
      </c>
      <c r="E353" s="66" t="str">
        <f>B32</f>
        <v>P1 or K2b2a</v>
      </c>
      <c r="F353" s="62" t="s">
        <v>618</v>
      </c>
      <c r="G353" s="64" t="s">
        <v>620</v>
      </c>
      <c r="H353" s="65">
        <v>8334875.0</v>
      </c>
      <c r="I353" s="65">
        <v>8466834.0</v>
      </c>
      <c r="J353" s="64" t="s">
        <v>219</v>
      </c>
    </row>
    <row r="354">
      <c r="D354" s="62" t="s">
        <v>621</v>
      </c>
      <c r="E354" s="66" t="str">
        <f>B32</f>
        <v>P1 or K2b2a</v>
      </c>
      <c r="F354" s="62" t="s">
        <v>622</v>
      </c>
      <c r="G354" s="64" t="s">
        <v>623</v>
      </c>
      <c r="H354" s="65">
        <v>1.788123E7</v>
      </c>
      <c r="I354" s="65">
        <v>1.576935E7</v>
      </c>
      <c r="J354" s="64" t="s">
        <v>154</v>
      </c>
    </row>
    <row r="355">
      <c r="D355" s="62" t="s">
        <v>622</v>
      </c>
      <c r="E355" s="66" t="str">
        <f>B32</f>
        <v>P1 or K2b2a</v>
      </c>
      <c r="F355" s="62" t="s">
        <v>621</v>
      </c>
      <c r="G355" s="64" t="s">
        <v>623</v>
      </c>
      <c r="H355" s="65">
        <v>1.788123E7</v>
      </c>
      <c r="I355" s="65">
        <v>1.576935E7</v>
      </c>
      <c r="J355" s="64" t="s">
        <v>154</v>
      </c>
    </row>
    <row r="356">
      <c r="D356" s="62" t="s">
        <v>624</v>
      </c>
      <c r="E356" s="66" t="str">
        <f>B32</f>
        <v>P1 or K2b2a</v>
      </c>
      <c r="F356" s="62" t="s">
        <v>625</v>
      </c>
      <c r="G356" s="64" t="s">
        <v>626</v>
      </c>
      <c r="H356" s="65">
        <v>8685083.0</v>
      </c>
      <c r="I356" s="65">
        <v>8817042.0</v>
      </c>
      <c r="J356" s="64" t="s">
        <v>219</v>
      </c>
    </row>
    <row r="357">
      <c r="D357" s="62" t="s">
        <v>625</v>
      </c>
      <c r="E357" s="66" t="str">
        <f>B32</f>
        <v>P1 or K2b2a</v>
      </c>
      <c r="F357" s="62" t="s">
        <v>624</v>
      </c>
      <c r="G357" s="64" t="s">
        <v>626</v>
      </c>
      <c r="H357" s="65">
        <v>8685083.0</v>
      </c>
      <c r="I357" s="65">
        <v>8817042.0</v>
      </c>
      <c r="J357" s="64" t="s">
        <v>219</v>
      </c>
    </row>
    <row r="358">
      <c r="D358" s="62" t="s">
        <v>627</v>
      </c>
      <c r="E358" s="66" t="str">
        <f>B32</f>
        <v>P1 or K2b2a</v>
      </c>
      <c r="F358" s="62" t="s">
        <v>628</v>
      </c>
      <c r="G358" s="64" t="s">
        <v>629</v>
      </c>
      <c r="H358" s="65">
        <v>1.44331E7</v>
      </c>
      <c r="I358" s="65">
        <v>1.2312373E7</v>
      </c>
      <c r="J358" s="64" t="s">
        <v>95</v>
      </c>
    </row>
    <row r="359">
      <c r="D359" s="62" t="s">
        <v>628</v>
      </c>
      <c r="E359" s="66" t="str">
        <f>B32</f>
        <v>P1 or K2b2a</v>
      </c>
      <c r="F359" s="62" t="s">
        <v>627</v>
      </c>
      <c r="G359" s="64" t="s">
        <v>629</v>
      </c>
      <c r="H359" s="65">
        <v>1.44331E7</v>
      </c>
      <c r="I359" s="65">
        <v>1.2312373E7</v>
      </c>
      <c r="J359" s="64" t="s">
        <v>95</v>
      </c>
    </row>
    <row r="360">
      <c r="D360" s="62" t="s">
        <v>630</v>
      </c>
      <c r="E360" s="66" t="str">
        <f>B32</f>
        <v>P1 or K2b2a</v>
      </c>
      <c r="F360" s="62" t="s">
        <v>631</v>
      </c>
      <c r="G360" s="64" t="s">
        <v>632</v>
      </c>
      <c r="H360" s="65">
        <v>1.8964263E7</v>
      </c>
      <c r="I360" s="65">
        <v>1.6852383E7</v>
      </c>
      <c r="J360" s="64" t="s">
        <v>219</v>
      </c>
    </row>
    <row r="361">
      <c r="D361" s="62" t="s">
        <v>631</v>
      </c>
      <c r="E361" s="66" t="str">
        <f>B32</f>
        <v>P1 or K2b2a</v>
      </c>
      <c r="F361" s="62" t="s">
        <v>630</v>
      </c>
      <c r="G361" s="64" t="s">
        <v>632</v>
      </c>
      <c r="H361" s="65">
        <v>1.8964263E7</v>
      </c>
      <c r="I361" s="65">
        <v>1.6852383E7</v>
      </c>
      <c r="J361" s="64" t="s">
        <v>219</v>
      </c>
    </row>
    <row r="362">
      <c r="D362" s="62" t="s">
        <v>633</v>
      </c>
      <c r="E362" s="66" t="str">
        <f>B32</f>
        <v>P1 or K2b2a</v>
      </c>
      <c r="F362" s="62" t="s">
        <v>634</v>
      </c>
      <c r="G362" s="64" t="s">
        <v>635</v>
      </c>
      <c r="H362" s="65">
        <v>1.8028661E7</v>
      </c>
      <c r="I362" s="65">
        <v>1.5916781E7</v>
      </c>
      <c r="J362" s="64" t="s">
        <v>219</v>
      </c>
    </row>
    <row r="363">
      <c r="D363" s="62" t="s">
        <v>634</v>
      </c>
      <c r="E363" s="66" t="str">
        <f>B32</f>
        <v>P1 or K2b2a</v>
      </c>
      <c r="F363" s="62" t="s">
        <v>633</v>
      </c>
      <c r="G363" s="64" t="s">
        <v>635</v>
      </c>
      <c r="H363" s="65">
        <v>1.8028661E7</v>
      </c>
      <c r="I363" s="65">
        <v>1.5916781E7</v>
      </c>
      <c r="J363" s="64" t="s">
        <v>219</v>
      </c>
    </row>
    <row r="364">
      <c r="D364" s="62" t="s">
        <v>636</v>
      </c>
      <c r="E364" s="66" t="str">
        <f>B32</f>
        <v>P1 or K2b2a</v>
      </c>
      <c r="F364" s="62" t="s">
        <v>637</v>
      </c>
      <c r="G364" s="64" t="s">
        <v>638</v>
      </c>
      <c r="H364" s="65">
        <v>2.2094491E7</v>
      </c>
      <c r="I364" s="65">
        <v>1.9932605E7</v>
      </c>
      <c r="J364" s="64" t="s">
        <v>103</v>
      </c>
    </row>
    <row r="365">
      <c r="D365" s="62" t="s">
        <v>637</v>
      </c>
      <c r="E365" s="66" t="str">
        <f>B32</f>
        <v>P1 or K2b2a</v>
      </c>
      <c r="F365" s="62" t="s">
        <v>636</v>
      </c>
      <c r="G365" s="64" t="s">
        <v>638</v>
      </c>
      <c r="H365" s="65">
        <v>2.2094491E7</v>
      </c>
      <c r="I365" s="65">
        <v>1.9932605E7</v>
      </c>
      <c r="J365" s="64" t="s">
        <v>103</v>
      </c>
    </row>
    <row r="366">
      <c r="D366" s="62" t="s">
        <v>639</v>
      </c>
      <c r="E366" s="66" t="str">
        <f t="shared" ref="E366:E367" si="2">B32</f>
        <v>P1 or K2b2a</v>
      </c>
      <c r="G366" s="64" t="s">
        <v>640</v>
      </c>
      <c r="H366" s="65">
        <v>2.207234E7</v>
      </c>
      <c r="I366" s="65">
        <v>1.9910454E7</v>
      </c>
      <c r="J366" s="64" t="s">
        <v>107</v>
      </c>
    </row>
    <row r="367">
      <c r="D367" s="62" t="s">
        <v>641</v>
      </c>
      <c r="E367" s="66" t="str">
        <f t="shared" si="2"/>
        <v>P1~ or K2b2a~</v>
      </c>
      <c r="G367" s="64" t="s">
        <v>642</v>
      </c>
      <c r="H367" s="65">
        <v>2842214.0</v>
      </c>
      <c r="I367" s="65">
        <v>2974173.0</v>
      </c>
      <c r="J367" s="64" t="s">
        <v>437</v>
      </c>
    </row>
    <row r="368">
      <c r="D368" s="62" t="s">
        <v>643</v>
      </c>
      <c r="E368" s="66" t="str">
        <f>B33</f>
        <v>P1~ or K2b2a~</v>
      </c>
      <c r="F368" s="62" t="s">
        <v>644</v>
      </c>
      <c r="G368" s="64" t="s">
        <v>645</v>
      </c>
      <c r="H368" s="65">
        <v>2.4370605E7</v>
      </c>
      <c r="I368" s="65">
        <v>2.2224458E7</v>
      </c>
      <c r="J368" s="64" t="s">
        <v>219</v>
      </c>
    </row>
    <row r="369">
      <c r="D369" s="62" t="s">
        <v>644</v>
      </c>
      <c r="E369" s="66" t="str">
        <f>B33</f>
        <v>P1~ or K2b2a~</v>
      </c>
      <c r="F369" s="62" t="s">
        <v>643</v>
      </c>
      <c r="G369" s="64" t="s">
        <v>645</v>
      </c>
      <c r="H369" s="65">
        <v>2.4370605E7</v>
      </c>
      <c r="I369" s="65">
        <v>2.2224458E7</v>
      </c>
      <c r="J369" s="64" t="s">
        <v>219</v>
      </c>
    </row>
    <row r="370">
      <c r="D370" s="62" t="s">
        <v>646</v>
      </c>
      <c r="E370" s="66" t="str">
        <f>B33</f>
        <v>P1~ or K2b2a~</v>
      </c>
      <c r="F370" s="62" t="s">
        <v>647</v>
      </c>
      <c r="G370" s="62" t="s">
        <v>648</v>
      </c>
      <c r="H370" s="62">
        <v>2.8731917E7</v>
      </c>
      <c r="I370" s="62">
        <v>2.658577E7</v>
      </c>
      <c r="J370" s="62" t="s">
        <v>313</v>
      </c>
    </row>
    <row r="371">
      <c r="D371" s="62" t="s">
        <v>647</v>
      </c>
      <c r="E371" s="66" t="str">
        <f>B33</f>
        <v>P1~ or K2b2a~</v>
      </c>
      <c r="F371" s="62" t="s">
        <v>646</v>
      </c>
      <c r="G371" s="62" t="s">
        <v>648</v>
      </c>
      <c r="H371" s="62">
        <v>2.8731917E7</v>
      </c>
      <c r="I371" s="62">
        <v>2.658577E7</v>
      </c>
      <c r="J371" s="62" t="s">
        <v>313</v>
      </c>
    </row>
    <row r="372">
      <c r="D372" s="62" t="s">
        <v>649</v>
      </c>
      <c r="E372" s="66" t="str">
        <f>B33</f>
        <v>P1~ or K2b2a~</v>
      </c>
      <c r="F372" s="62" t="s">
        <v>650</v>
      </c>
      <c r="G372" s="64" t="s">
        <v>651</v>
      </c>
      <c r="H372" s="65">
        <v>2.8612323E7</v>
      </c>
      <c r="I372" s="65">
        <v>2.6466176E7</v>
      </c>
      <c r="J372" s="64" t="s">
        <v>219</v>
      </c>
    </row>
    <row r="373">
      <c r="D373" s="62" t="s">
        <v>650</v>
      </c>
      <c r="E373" s="66" t="str">
        <f>B33</f>
        <v>P1~ or K2b2a~</v>
      </c>
      <c r="F373" s="62" t="s">
        <v>649</v>
      </c>
      <c r="G373" s="64" t="s">
        <v>651</v>
      </c>
      <c r="H373" s="65">
        <v>2.8612323E7</v>
      </c>
      <c r="I373" s="65">
        <v>2.6466176E7</v>
      </c>
      <c r="J373" s="64" t="s">
        <v>219</v>
      </c>
    </row>
    <row r="374">
      <c r="D374" s="62" t="s">
        <v>652</v>
      </c>
      <c r="E374" s="66" t="str">
        <f>B33</f>
        <v>P1~ or K2b2a~</v>
      </c>
      <c r="F374" s="62" t="s">
        <v>653</v>
      </c>
      <c r="G374" s="64" t="s">
        <v>654</v>
      </c>
      <c r="H374" s="65">
        <v>7340314.0</v>
      </c>
      <c r="I374" s="65">
        <v>7472273.0</v>
      </c>
      <c r="J374" s="64" t="s">
        <v>139</v>
      </c>
    </row>
    <row r="375">
      <c r="D375" s="62" t="s">
        <v>653</v>
      </c>
      <c r="E375" s="66" t="str">
        <f>B33</f>
        <v>P1~ or K2b2a~</v>
      </c>
      <c r="F375" s="62" t="s">
        <v>652</v>
      </c>
      <c r="G375" s="64" t="s">
        <v>654</v>
      </c>
      <c r="H375" s="65">
        <v>7340314.0</v>
      </c>
      <c r="I375" s="65">
        <v>7472273.0</v>
      </c>
      <c r="J375" s="64" t="s">
        <v>139</v>
      </c>
    </row>
    <row r="376">
      <c r="D376" s="62" t="s">
        <v>655</v>
      </c>
      <c r="E376" s="66" t="str">
        <f>B33</f>
        <v>P1~ or K2b2a~</v>
      </c>
      <c r="F376" s="62" t="s">
        <v>656</v>
      </c>
      <c r="G376" s="64" t="s">
        <v>657</v>
      </c>
      <c r="H376" s="65">
        <v>8516929.0</v>
      </c>
      <c r="I376" s="65">
        <v>8648888.0</v>
      </c>
      <c r="J376" s="64" t="s">
        <v>95</v>
      </c>
    </row>
    <row r="377">
      <c r="D377" s="62" t="s">
        <v>656</v>
      </c>
      <c r="E377" s="66" t="str">
        <f>B33</f>
        <v>P1~ or K2b2a~</v>
      </c>
      <c r="F377" s="62" t="s">
        <v>655</v>
      </c>
      <c r="G377" s="64" t="s">
        <v>657</v>
      </c>
      <c r="H377" s="65">
        <v>8516929.0</v>
      </c>
      <c r="I377" s="65">
        <v>8648888.0</v>
      </c>
      <c r="J377" s="64" t="s">
        <v>95</v>
      </c>
    </row>
    <row r="378">
      <c r="D378" s="62" t="s">
        <v>658</v>
      </c>
      <c r="E378" s="66" t="str">
        <f>B33</f>
        <v>P1~ or K2b2a~</v>
      </c>
      <c r="F378" s="62" t="s">
        <v>659</v>
      </c>
      <c r="G378" s="64" t="s">
        <v>660</v>
      </c>
      <c r="H378" s="65">
        <v>2.1811108E7</v>
      </c>
      <c r="I378" s="65">
        <v>1.9649222E7</v>
      </c>
      <c r="J378" s="64" t="s">
        <v>211</v>
      </c>
      <c r="K378" s="64" t="s">
        <v>27</v>
      </c>
    </row>
    <row r="379">
      <c r="D379" s="62" t="s">
        <v>661</v>
      </c>
      <c r="E379" s="66" t="str">
        <f>B33</f>
        <v>P1~ or K2b2a~</v>
      </c>
      <c r="F379" s="62" t="s">
        <v>662</v>
      </c>
      <c r="G379" s="64" t="s">
        <v>660</v>
      </c>
      <c r="H379" s="65">
        <v>2.1811108E7</v>
      </c>
      <c r="I379" s="65">
        <v>1.9649222E7</v>
      </c>
      <c r="J379" s="64" t="s">
        <v>211</v>
      </c>
    </row>
    <row r="380">
      <c r="D380" s="62" t="s">
        <v>663</v>
      </c>
      <c r="E380" s="66" t="str">
        <f>B33</f>
        <v>P1~ or K2b2a~</v>
      </c>
      <c r="F380" s="62" t="s">
        <v>664</v>
      </c>
      <c r="G380" s="64" t="s">
        <v>660</v>
      </c>
      <c r="H380" s="65">
        <v>2.1811108E7</v>
      </c>
      <c r="I380" s="65">
        <v>1.9649222E7</v>
      </c>
      <c r="J380" s="64" t="s">
        <v>211</v>
      </c>
      <c r="K380" s="64" t="s">
        <v>27</v>
      </c>
    </row>
    <row r="381">
      <c r="D381" s="62" t="s">
        <v>665</v>
      </c>
      <c r="E381" s="66" t="str">
        <f>B33</f>
        <v>P1~ or K2b2a~</v>
      </c>
      <c r="F381" s="62" t="s">
        <v>666</v>
      </c>
      <c r="G381" s="64" t="s">
        <v>667</v>
      </c>
      <c r="H381" s="65">
        <v>2.3342709E7</v>
      </c>
      <c r="I381" s="65">
        <v>2.1180823E7</v>
      </c>
      <c r="J381" s="64" t="s">
        <v>131</v>
      </c>
      <c r="K381" s="64" t="s">
        <v>27</v>
      </c>
    </row>
    <row r="382">
      <c r="D382" s="62" t="s">
        <v>668</v>
      </c>
      <c r="E382" s="66" t="str">
        <f>B33</f>
        <v>P1~ or K2b2a~</v>
      </c>
      <c r="F382" s="62" t="s">
        <v>669</v>
      </c>
      <c r="G382" s="64" t="s">
        <v>667</v>
      </c>
      <c r="H382" s="65">
        <v>2.3342709E7</v>
      </c>
      <c r="I382" s="65">
        <v>2.1180823E7</v>
      </c>
      <c r="J382" s="64" t="s">
        <v>131</v>
      </c>
    </row>
    <row r="383">
      <c r="D383" s="62" t="s">
        <v>670</v>
      </c>
      <c r="E383" s="66" t="str">
        <f>B33</f>
        <v>P1~ or K2b2a~</v>
      </c>
      <c r="F383" s="62" t="s">
        <v>671</v>
      </c>
      <c r="G383" s="64" t="s">
        <v>667</v>
      </c>
      <c r="H383" s="65">
        <v>2.3342709E7</v>
      </c>
      <c r="I383" s="65">
        <v>2.1180823E7</v>
      </c>
      <c r="J383" s="64" t="s">
        <v>131</v>
      </c>
    </row>
    <row r="384">
      <c r="D384" s="62" t="s">
        <v>672</v>
      </c>
      <c r="E384" s="66" t="str">
        <f>B33</f>
        <v>P1~ or K2b2a~</v>
      </c>
      <c r="F384" s="62" t="s">
        <v>673</v>
      </c>
      <c r="G384" s="64" t="s">
        <v>674</v>
      </c>
      <c r="H384" s="65">
        <v>1.5480547E7</v>
      </c>
      <c r="I384" s="65">
        <v>1.3368667E7</v>
      </c>
      <c r="J384" s="64" t="s">
        <v>107</v>
      </c>
    </row>
    <row r="385">
      <c r="D385" s="62" t="s">
        <v>675</v>
      </c>
      <c r="E385" s="66" t="str">
        <f>B33</f>
        <v>P1~ or K2b2a~</v>
      </c>
      <c r="F385" s="62" t="s">
        <v>676</v>
      </c>
      <c r="G385" s="64" t="s">
        <v>674</v>
      </c>
      <c r="H385" s="65">
        <v>1.5480547E7</v>
      </c>
      <c r="I385" s="65">
        <v>1.3368667E7</v>
      </c>
      <c r="J385" s="64" t="s">
        <v>107</v>
      </c>
    </row>
    <row r="386">
      <c r="D386" s="62" t="s">
        <v>677</v>
      </c>
      <c r="E386" s="66" t="str">
        <f>B33</f>
        <v>P1~ or K2b2a~</v>
      </c>
      <c r="F386" s="62" t="s">
        <v>678</v>
      </c>
      <c r="G386" s="64" t="s">
        <v>674</v>
      </c>
      <c r="H386" s="65">
        <v>1.5480547E7</v>
      </c>
      <c r="I386" s="65">
        <v>1.3368667E7</v>
      </c>
      <c r="J386" s="64" t="s">
        <v>107</v>
      </c>
    </row>
    <row r="387">
      <c r="D387" s="62" t="s">
        <v>679</v>
      </c>
      <c r="E387" s="66" t="str">
        <f>B33</f>
        <v>P1~ or K2b2a~</v>
      </c>
      <c r="F387" s="62" t="s">
        <v>680</v>
      </c>
      <c r="G387" s="64" t="s">
        <v>681</v>
      </c>
      <c r="H387" s="65">
        <v>8696594.0</v>
      </c>
      <c r="I387" s="65">
        <v>8828553.0</v>
      </c>
      <c r="J387" s="64" t="s">
        <v>95</v>
      </c>
    </row>
    <row r="388">
      <c r="D388" s="62" t="s">
        <v>682</v>
      </c>
      <c r="E388" s="66" t="str">
        <f>B33</f>
        <v>P1~ or K2b2a~</v>
      </c>
      <c r="F388" s="62" t="s">
        <v>683</v>
      </c>
      <c r="G388" s="64" t="s">
        <v>681</v>
      </c>
      <c r="H388" s="65">
        <v>8696594.0</v>
      </c>
      <c r="I388" s="65">
        <v>8828553.0</v>
      </c>
      <c r="J388" s="64" t="s">
        <v>95</v>
      </c>
    </row>
    <row r="389">
      <c r="D389" s="62" t="s">
        <v>684</v>
      </c>
      <c r="E389" s="66" t="str">
        <f t="shared" ref="E389:E390" si="3">B33</f>
        <v>P1~ or K2b2a~</v>
      </c>
      <c r="F389" s="62" t="s">
        <v>685</v>
      </c>
      <c r="G389" s="64" t="s">
        <v>681</v>
      </c>
      <c r="H389" s="65">
        <v>8696594.0</v>
      </c>
      <c r="I389" s="65">
        <v>8828553.0</v>
      </c>
      <c r="J389" s="64" t="s">
        <v>95</v>
      </c>
    </row>
    <row r="390">
      <c r="D390" s="62" t="s">
        <v>686</v>
      </c>
      <c r="E390" s="66" t="str">
        <f t="shared" si="3"/>
        <v>P2~</v>
      </c>
      <c r="G390" s="68" t="s">
        <v>687</v>
      </c>
      <c r="H390" s="65">
        <v>2745533.0</v>
      </c>
      <c r="I390" s="65">
        <v>2877492.0</v>
      </c>
      <c r="J390" s="64" t="s">
        <v>219</v>
      </c>
    </row>
    <row r="391">
      <c r="D391" s="62" t="s">
        <v>688</v>
      </c>
      <c r="E391" s="66" t="str">
        <f>B34</f>
        <v>P2~</v>
      </c>
      <c r="G391" s="68" t="s">
        <v>689</v>
      </c>
      <c r="H391" s="65">
        <v>2755530.0</v>
      </c>
      <c r="I391" s="65">
        <v>2887489.0</v>
      </c>
      <c r="J391" s="64" t="s">
        <v>87</v>
      </c>
    </row>
    <row r="392">
      <c r="D392" s="62" t="s">
        <v>690</v>
      </c>
      <c r="E392" s="66" t="str">
        <f>B34</f>
        <v>P2~</v>
      </c>
      <c r="G392" s="68" t="s">
        <v>691</v>
      </c>
      <c r="H392" s="65">
        <v>2771648.0</v>
      </c>
      <c r="I392" s="65">
        <v>2903607.0</v>
      </c>
      <c r="J392" s="64" t="s">
        <v>95</v>
      </c>
    </row>
    <row r="393">
      <c r="D393" s="62" t="s">
        <v>692</v>
      </c>
      <c r="E393" s="66" t="str">
        <f>B34</f>
        <v>P2~</v>
      </c>
      <c r="G393" s="68" t="s">
        <v>693</v>
      </c>
      <c r="H393" s="65">
        <v>2793425.0</v>
      </c>
      <c r="I393" s="65">
        <v>2925384.0</v>
      </c>
      <c r="J393" s="64" t="s">
        <v>313</v>
      </c>
    </row>
    <row r="394">
      <c r="D394" s="62" t="s">
        <v>694</v>
      </c>
      <c r="E394" s="66" t="str">
        <f>B34</f>
        <v>P2~</v>
      </c>
      <c r="H394" s="65">
        <v>2888941.0</v>
      </c>
      <c r="I394" s="65">
        <v>3020900.0</v>
      </c>
      <c r="J394" s="64" t="s">
        <v>139</v>
      </c>
    </row>
    <row r="396">
      <c r="D396" s="62" t="s">
        <v>695</v>
      </c>
    </row>
  </sheetData>
  <mergeCells count="14">
    <mergeCell ref="A45:K45"/>
    <mergeCell ref="A46:I46"/>
    <mergeCell ref="A48:D48"/>
    <mergeCell ref="B22:K22"/>
    <mergeCell ref="B23:K23"/>
    <mergeCell ref="B31:L31"/>
    <mergeCell ref="B24:K24"/>
    <mergeCell ref="B30:O30"/>
    <mergeCell ref="A43:J43"/>
    <mergeCell ref="C32:M32"/>
    <mergeCell ref="C33:M33"/>
    <mergeCell ref="B4:K4"/>
    <mergeCell ref="B10:K10"/>
    <mergeCell ref="B1:K1"/>
  </mergeCells>
  <hyperlinks>
    <hyperlink r:id="rId1" ref="F6"/>
    <hyperlink r:id="rId2" ref="E7"/>
    <hyperlink r:id="rId3" ref="C8"/>
    <hyperlink r:id="rId4" ref="C13"/>
    <hyperlink r:id="rId5" ref="G13"/>
    <hyperlink r:id="rId6" ref="I13"/>
    <hyperlink r:id="rId7" ref="E14"/>
    <hyperlink r:id="rId8" ref="E26"/>
    <hyperlink r:id="rId9" ref="A30"/>
    <hyperlink r:id="rId10" ref="C35"/>
    <hyperlink r:id="rId11" ref="A52"/>
    <hyperlink r:id="rId12" ref="A53"/>
    <hyperlink r:id="rId13" ref="A54"/>
    <hyperlink r:id="rId14" ref="A55"/>
    <hyperlink r:id="rId15" ref="A56"/>
    <hyperlink r:id="rId16" ref="A57"/>
    <hyperlink r:id="rId17" ref="A58"/>
    <hyperlink r:id="rId18" ref="A59"/>
    <hyperlink r:id="rId19" ref="A60"/>
    <hyperlink r:id="rId20" ref="A63"/>
    <hyperlink r:id="rId21" ref="A64"/>
    <hyperlink r:id="rId22" ref="A65"/>
    <hyperlink r:id="rId23" ref="A66"/>
    <hyperlink r:id="rId24" ref="A67"/>
    <hyperlink r:id="rId25" ref="A68"/>
    <hyperlink r:id="rId26" ref="A69"/>
    <hyperlink r:id="rId27" ref="A70"/>
    <hyperlink r:id="rId28" ref="A71"/>
    <hyperlink r:id="rId29" ref="A74"/>
  </hyperlinks>
  <drawing r:id="rId30"/>
</worksheet>
</file>