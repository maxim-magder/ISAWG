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<sst xmlns="http://schemas.openxmlformats.org/spreadsheetml/2006/main" count="821" uniqueCount="472">
  <si>
    <t xml:space="preserve"> </t>
  </si>
  <si>
    <t xml:space="preserve">Could you adopt this page by donating your time to maintain it?    Details at: </t>
  </si>
  <si>
    <t>Y-DNA Haplogroup F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</si>
  <si>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</si>
  <si>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</si>
  <si>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</si>
  <si>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</si>
  <si>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</si>
  <si>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 January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</si>
  <si>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</si>
  <si>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</si>
  <si>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</si>
  <si>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</si>
  <si>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</si>
  <si>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</si>
  <si>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</si>
  <si>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</si>
  <si>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</si>
  <si>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</si>
  <si>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</si>
  <si>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</si>
  <si>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</si>
  <si>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</si>
  <si>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</si>
  <si>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</si>
  <si>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</si>
  <si>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</si>
  <si>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SNPs listed below in</t>
    </r>
    <r>
      <rPr>
        <i/>
      </rPr>
      <t xml:space="preserve"> 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</si>
  <si>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</si>
  <si>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F:</t>
  </si>
  <si>
    <t>Whit Athey</t>
  </si>
  <si>
    <t>F</t>
  </si>
  <si>
    <r>
      <rPr>
        <b/>
      </rPr>
      <t>M89/PF2746</t>
    </r>
    <r>
      <t xml:space="preserve">, CTS3536/M3688/PF2666, CTS3654/M3689/PF2667, CTS3996/M3692/PF2671, CTS4443/M3696/PF2677, CTS6135/M3708/PF2693, CTS12632/M3771/PF2775, F719/IMS-JST00305/M3636/S8235, F1046/M3646/PF2610/YSC0001295, F1209/M3654/YSC0001297, F1320/M3657/PF2621, F1329/M3658/PF2622/YSC0001299, F1704/M3675/PF2651, F1714/M3677/PF2653, F1753/M3681/PF2658, F1767/M3683/PF2660, F2048/M3701/PF2683/V3268, F2075/PF2685, F2142/PF2688, F2155/M3704/PF2690, F2402/M3714/PF2700, F2587/M3719/PF2709/YSC0001308, F2688/M3722/PF2716, F2837/M3726/PF2722, F2985/M3736/PF2731, F2993/M3737/PF2732/V3940, F3111/M3740/PF2736, F3136/M3741/PF2737, F3335/M3754/PF2758, F3692/M3650, L132.1, L468/M3703/PF2689, L470/M3735/PF2730, L882/M3749/PF2745, </t>
    </r>
    <r>
      <rPr/>
      <t xml:space="preserve">M213/P137/Page38/PF2673, M235/Page80/PF2665, </t>
    </r>
    <r>
      <t>M3637/PF2589/V186, M3638/PF2590/V205, M3639/PF2591, M3647/PF2611, M3652/PF2615, M3750/PF2747, M3751/PF2748, M3752/PF2749</t>
    </r>
    <r>
      <rPr/>
      <t>, P14/PF2704, P134/PF2606, P135/PF2741, P136/PF2762, P138/PF2655, P139/PF2698, P140/PF2703, P141/PF2602, P145/PF2617, P146/PF2623, P148/PF2734, P149/PF2720, P151/PF2625, P157/PF2771, P158/PF2706, P159/PF2717, P160/PF2618, P161/PF2719, P163/PF2696, P166/PF2702, P187/PF2632, P316/PF2696</t>
    </r>
    <r>
      <t>, PF2608, PF2669</t>
    </r>
  </si>
  <si>
    <t>F1</t>
  </si>
  <si>
    <r>
      <rPr>
        <b/>
      </rPr>
      <t>P91</t>
    </r>
    <r>
      <t>, P104</t>
    </r>
  </si>
  <si>
    <t>F2</t>
  </si>
  <si>
    <r>
      <rPr>
        <b/>
      </rPr>
      <t>M427</t>
    </r>
    <r>
      <t>, M428</t>
    </r>
  </si>
  <si>
    <t>F3</t>
  </si>
  <si>
    <t>M481</t>
  </si>
  <si>
    <t>F4~</t>
  </si>
  <si>
    <t>Z40733, Z40734, Z40735, Z40736, Z40737</t>
  </si>
  <si>
    <t>GHIJK</t>
  </si>
  <si>
    <t xml:space="preserve"> F1329/M3658/PF2622/YSC0001299  etc.</t>
  </si>
  <si>
    <t xml:space="preserve">* The listed F1 &amp; F3 subgroups here are from rare samples that have never been subjected to full Y next-generation sequencing to determine if they might instead share some of the newer mutations discovered downstream of F. </t>
  </si>
  <si>
    <t>MUTATION INFORMATION AT VERY BOTTOM HERE</t>
  </si>
  <si>
    <t>NOTES:</t>
  </si>
  <si>
    <t>Identical SNPs that were discovered separately are listed in alphabetical order, not necessarily in the order of discovery, and separated by "/". Example: M213/P137.</t>
  </si>
  <si>
    <t>The SNPs defining F3 (L279, L281, L284, L285, L286, M282, P96) were moved to H2 on 24 February 2014. See Magoon et al (2013).</t>
  </si>
  <si>
    <t>Mutations previously on tree but found so far only in one man or in closely related men:</t>
  </si>
  <si>
    <t>S86 is downstream from M89.</t>
  </si>
  <si>
    <r>
      <rPr>
        <b/>
      </rPr>
      <t>Geographical distribution</t>
    </r>
    <r>
      <t xml:space="preserve"> so far of haplogroup F subgroups (not complete): 
F1 - P91
       Sri Lanka
F2 - M427
       China (Lahu, Yi), s.e. Asia
F3 - M481
       s.e. India
F4 - Z40733
       Vietnam</t>
    </r>
  </si>
  <si>
    <t>References:</t>
  </si>
  <si>
    <t>Alonso et al, The Place of the Basques in the European Y-chromosome Diversity Landscape. (available by subscription) European Journal of Human Genetics, 13:1293-1302, 2005.</t>
  </si>
  <si>
    <t>Behar et al, Contrasting Patterns of Y Chromosome Variation in Ashkenazi Jewish and Host Non-Jewish European populations. (pdf) Hum Genet 114:354-365, 2004.</t>
  </si>
  <si>
    <t>Behar et al, Genome-Wide Structure of the Jewish People. Nature, 446:238-42, 2010.</t>
  </si>
  <si>
    <t>Biro et al, A Y-Chromosomal Comparison of the Madjars (Kazakhstan) and the Magyars (Hungary), American Journal of Physical Anthropology, 139(3): 305-10, 2009. (abstract)</t>
  </si>
  <si>
    <t>Cruciani et al, A Back Migration from Asia to Sub-Saharan Africa Is Supported by High-Resolution Analysis of Human Y-Chromosome Haplotypes. American Journal of Human Genetics, 70:1197-1214, 2002.</t>
  </si>
  <si>
    <t>Deng et al, Evolution and Migration History of the Chinese Population Inferred from the Chinese Y-chromosome Evidence. (pdf) Journal of Human Genetics, 49:339-348, 2004.</t>
  </si>
  <si>
    <t>Eaaswarkhanth et al, Traces of Sub-Saharan and Middle Eastern Lineages in Indian Muslim Populations. European Journal of Human Genetics, 18, 354-363, 2010.</t>
  </si>
  <si>
    <t>Flores et al, Reduced Genetic Structure of the Iberian Peninsula Revealed by Y-chromosome Analysis: Implications for Population Demography. (pdf) European Journal of Human Genetics, 12:855-863, 2004.</t>
  </si>
  <si>
    <t>Fornarino et al, Mitochondrial and Y-chromosome Diversity of the Tharus (Nepal): A Reservoir of Genetic Variation. BMC Evol Biol. 2009; 9: 154. Published online 2009 July 2. doi: 10.1186/1471-2148-9-154, 2009.</t>
  </si>
  <si>
    <t>Francalacci et al, Low-Pass DNA Sequencing of 1200 Sardinians Reconstructs European Y-Chromosome Phylogeny. Science: Vol. 341 no. 6145, pp. 565-569, DOI: 10.1126/science.1237947, 2 August 2013.</t>
  </si>
  <si>
    <t>Hudajashov et al, Revealing the Prehistoric Settlement of Australia by Y chromosome and mtDNA Analysis. PNAS, 104:21, 2007.</t>
  </si>
  <si>
    <t>Karafet et al, New Binary Polymorphisms Reshape and Increase Resolution of the Human Y-Chromosomal Haplogroup Tree. Abstract. Genome Research, published online April 2, 2008. Supplementary Material.</t>
  </si>
  <si>
    <t>Kayser et al. Reduced Y-Chromosome, but Not Mitochondrial DNA, Diversity in Human Populations from West New Guinea. American Journal of Human Genetics, 72:281-302, 2003.</t>
  </si>
  <si>
    <t>Kivisild et al, The Genetic Heritage of the Earliest Settlers Persists in Both Indian Tribal and Caste Populations. (pdf) American Journal of Human Genetics, 72:313-332, 2003.</t>
  </si>
  <si>
    <t>Li et al, Paternal Genetic Affinity between Western Austronesians and Daic Populations BMC Evolutionary Biology, Vo. 15(8), p. 146, 2008.</t>
  </si>
  <si>
    <t>Nasidze et al, MtDNA and Y-chromosome Variation in Kurdish Groups. (abstract) Annals of Human Genetics, 69:401-412, 2005.</t>
  </si>
  <si>
    <t>Nasidze et al, Testing Hypotheses of Language Replacement in the Caucasus: Evidence from the Y-chromosome, Human Genetics 112 (3): 255-61, 2003.</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</si>
  <si>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</si>
  <si>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</si>
  <si>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</si>
  <si>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</si>
  <si>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</si>
  <si>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Underhill et al, New Phylogenetic Relationships for Y-chromosome Haplogroup I: Reappraising its Phylogeography and Prehistory. in Rethinking the Human Evolution, Mellars P, Boyle K, Bar-Yosef O, Stringer C, Eds. McDonald Institute for Archaeological Research, Cambridge, UK, pp. 33-42, 2007b.</t>
  </si>
  <si>
    <t>Underhill et al, Use of Y Chromosome and Mitochondrial DNA Population Structure in Tracing Human Migrations. (abstract) Annual Review Genetics, 41:539-564, December 1, 2007(a).</t>
  </si>
  <si>
    <t>Xue et al, A Spatial Analysis of Genetic Structure of Human Populations in China Reveals Distinct Difference between Maternal and Paternal Lineages. European Journal of Human Genetics, 16:705-17, 2008.</t>
  </si>
  <si>
    <t>Zhao et al, Presence of Three Different Paternal Lineages among North Indians: A Study of 560 Y Chromosomes. (abstract) Annals of Human Biology, 36(1):46-59, 2009.</t>
  </si>
  <si>
    <t>Additional Resources:</t>
  </si>
  <si>
    <t>ISOGG Wiki</t>
  </si>
  <si>
    <t>What you need to know about Genetic Genealogy.</t>
  </si>
  <si>
    <t>The Haplogroup F Y-DNA Project,</t>
  </si>
  <si>
    <t>Garland Boyette.</t>
  </si>
  <si>
    <t>Corrections/Additions made since 1 January 2018:</t>
  </si>
  <si>
    <t>None.</t>
  </si>
  <si>
    <t>Back to:</t>
  </si>
  <si>
    <t>Y-DNA Tree Trunk</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</si>
  <si>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</si>
  <si>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</si>
  <si>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</si>
  <si>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</si>
  <si>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</si>
  <si>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</si>
  <si>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</si>
  <si>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</si>
  <si>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</si>
  <si>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M89</t>
  </si>
  <si>
    <t>PF2746</t>
  </si>
  <si>
    <t>rs2032652</t>
  </si>
  <si>
    <t>C-&gt;T</t>
  </si>
  <si>
    <t>CTS3536</t>
  </si>
  <si>
    <t>M3688; PF2666</t>
  </si>
  <si>
    <t>rs73621765</t>
  </si>
  <si>
    <t>A-&gt;G</t>
  </si>
  <si>
    <t>M3688</t>
  </si>
  <si>
    <t>CTS3536; PF2666</t>
  </si>
  <si>
    <t>PF2666</t>
  </si>
  <si>
    <t>CTS3536; M3688</t>
  </si>
  <si>
    <t>CTS3654</t>
  </si>
  <si>
    <t>M3689; PF2667</t>
  </si>
  <si>
    <t>rs9785670</t>
  </si>
  <si>
    <t>M3689</t>
  </si>
  <si>
    <t>CTS3654; PF2667</t>
  </si>
  <si>
    <t>PF2667</t>
  </si>
  <si>
    <t>CTS3654; M3689</t>
  </si>
  <si>
    <t>CTS3996</t>
  </si>
  <si>
    <t>M3692; PF2671</t>
  </si>
  <si>
    <t>rs73621771</t>
  </si>
  <si>
    <t>M3692</t>
  </si>
  <si>
    <t>CTS3996; PF2671</t>
  </si>
  <si>
    <t>PF2671</t>
  </si>
  <si>
    <t>M3692; CTS3996</t>
  </si>
  <si>
    <t>CTS4443</t>
  </si>
  <si>
    <t>M3696; PF2677</t>
  </si>
  <si>
    <t>rs9785935</t>
  </si>
  <si>
    <t>A-&gt;T</t>
  </si>
  <si>
    <t>M3696</t>
  </si>
  <si>
    <t>CTS4443; PF2677</t>
  </si>
  <si>
    <t>PF2677</t>
  </si>
  <si>
    <t>CTS4443; M3696</t>
  </si>
  <si>
    <t>CTS6135</t>
  </si>
  <si>
    <t>M3708; PF2693</t>
  </si>
  <si>
    <t>rs9786236</t>
  </si>
  <si>
    <t>T-&gt;C</t>
  </si>
  <si>
    <t>M3708</t>
  </si>
  <si>
    <t>CTS6135; PF2693</t>
  </si>
  <si>
    <t>PF2693</t>
  </si>
  <si>
    <t>CTS6135; M3708</t>
  </si>
  <si>
    <t>CTS12632</t>
  </si>
  <si>
    <t>M3771; PF2775</t>
  </si>
  <si>
    <t>rs9786795</t>
  </si>
  <si>
    <t>C-&gt;G</t>
  </si>
  <si>
    <t>M3771</t>
  </si>
  <si>
    <t>CTS12632; PF2775</t>
  </si>
  <si>
    <t>PF2775</t>
  </si>
  <si>
    <t>CTS12632; M3771</t>
  </si>
  <si>
    <t>F719</t>
  </si>
  <si>
    <t>IMS-JST00305; M3636; S8235</t>
  </si>
  <si>
    <t>rs2075640</t>
  </si>
  <si>
    <t>G-&gt;A</t>
  </si>
  <si>
    <t>IMS-JST00305</t>
  </si>
  <si>
    <t>F719; M3636; S8235</t>
  </si>
  <si>
    <t>M3636</t>
  </si>
  <si>
    <t>F719; IMS-JST00305; S8235</t>
  </si>
  <si>
    <t>S8235</t>
  </si>
  <si>
    <t>F719; IMS-JST00305; M3636</t>
  </si>
  <si>
    <t>F1046</t>
  </si>
  <si>
    <t>M3646; PF2610; YSC0001295</t>
  </si>
  <si>
    <t>rs55825011</t>
  </si>
  <si>
    <t>M3646</t>
  </si>
  <si>
    <t>F1046; PF2610; YSC0001295</t>
  </si>
  <si>
    <t>PF2610</t>
  </si>
  <si>
    <t>F1046; M3646; YSC0001295</t>
  </si>
  <si>
    <t>YSC0001295</t>
  </si>
  <si>
    <t>F1046; M3646; PF2610</t>
  </si>
  <si>
    <t>F1209</t>
  </si>
  <si>
    <t>M3654; YSC0001297</t>
  </si>
  <si>
    <t>rs9786897</t>
  </si>
  <si>
    <t>M3654</t>
  </si>
  <si>
    <t>F1209; YSC0001297</t>
  </si>
  <si>
    <t>YSC0001297</t>
  </si>
  <si>
    <t>F1209; M3654</t>
  </si>
  <si>
    <t>F1320</t>
  </si>
  <si>
    <t>M3657; PF2621</t>
  </si>
  <si>
    <t>rs73614831</t>
  </si>
  <si>
    <t>M3657</t>
  </si>
  <si>
    <t>F1320; PF2621</t>
  </si>
  <si>
    <t>PF2621</t>
  </si>
  <si>
    <t>M3657; F1320</t>
  </si>
  <si>
    <t>F1329</t>
  </si>
  <si>
    <t>M3658; PF2622; YSC0001299</t>
  </si>
  <si>
    <t>rs9786482</t>
  </si>
  <si>
    <t>M3658</t>
  </si>
  <si>
    <t>PF2622; F1329; YSC0001299</t>
  </si>
  <si>
    <t>PF2622</t>
  </si>
  <si>
    <t>M3658; F1329; YSC0001299</t>
  </si>
  <si>
    <t>YSC0001299</t>
  </si>
  <si>
    <t>M3658; F1329; PF2622</t>
  </si>
  <si>
    <t>F1704</t>
  </si>
  <si>
    <t>M3675; PF2651</t>
  </si>
  <si>
    <t>rs9786325</t>
  </si>
  <si>
    <t>M3675</t>
  </si>
  <si>
    <t>F1704; PF2651</t>
  </si>
  <si>
    <t>PF2651</t>
  </si>
  <si>
    <t>F1704; M3675</t>
  </si>
  <si>
    <t>F1714</t>
  </si>
  <si>
    <t>M3677; PF2653</t>
  </si>
  <si>
    <t>rs9786290</t>
  </si>
  <si>
    <t>PF2653</t>
  </si>
  <si>
    <t>F1714; M3677</t>
  </si>
  <si>
    <t>M3677</t>
  </si>
  <si>
    <t>PF2653; F1714</t>
  </si>
  <si>
    <t>F1753</t>
  </si>
  <si>
    <t>M3681; PF2658</t>
  </si>
  <si>
    <t>rs9786181</t>
  </si>
  <si>
    <t>T-&gt;G</t>
  </si>
  <si>
    <t>M3681</t>
  </si>
  <si>
    <t>F1753; PF2658</t>
  </si>
  <si>
    <t>PF2658</t>
  </si>
  <si>
    <t>F1753; M3681</t>
  </si>
  <si>
    <t>F1767</t>
  </si>
  <si>
    <t>M3683; PF2660</t>
  </si>
  <si>
    <t>rs9786475</t>
  </si>
  <si>
    <t>G-&gt;T</t>
  </si>
  <si>
    <t>M3683</t>
  </si>
  <si>
    <t>F1767; PF2660</t>
  </si>
  <si>
    <t>PF2660</t>
  </si>
  <si>
    <t>F1767; M3683</t>
  </si>
  <si>
    <t>F2048</t>
  </si>
  <si>
    <t>M3701; PF2683; V3268</t>
  </si>
  <si>
    <t>rs9786303</t>
  </si>
  <si>
    <t>M3701</t>
  </si>
  <si>
    <t>F2048; PF2683; V3268</t>
  </si>
  <si>
    <t>PF2683</t>
  </si>
  <si>
    <t>F2048; M3701; V3268</t>
  </si>
  <si>
    <t>V3268</t>
  </si>
  <si>
    <t>F2048; M3701; PF2683</t>
  </si>
  <si>
    <t>F2075</t>
  </si>
  <si>
    <t>PF2685</t>
  </si>
  <si>
    <t>rs7067308</t>
  </si>
  <si>
    <t>F2142</t>
  </si>
  <si>
    <t>PF2688</t>
  </si>
  <si>
    <t>rs73621788</t>
  </si>
  <si>
    <t>C-&gt;A</t>
  </si>
  <si>
    <t>F2155</t>
  </si>
  <si>
    <t>M3704; PF2690</t>
  </si>
  <si>
    <t>rs12116413</t>
  </si>
  <si>
    <t>M3704</t>
  </si>
  <si>
    <t>F2155; PF2690</t>
  </si>
  <si>
    <t>PF2690</t>
  </si>
  <si>
    <t>F2155; M3704</t>
  </si>
  <si>
    <t>F2402</t>
  </si>
  <si>
    <t>M3714; PF2700</t>
  </si>
  <si>
    <t>rs9785853</t>
  </si>
  <si>
    <t>M3714</t>
  </si>
  <si>
    <t>F2402; PF2700</t>
  </si>
  <si>
    <t>PF2700</t>
  </si>
  <si>
    <t>F2402; M3714</t>
  </si>
  <si>
    <t>F2587</t>
  </si>
  <si>
    <t>M3719; PF2709; YSC0001308</t>
  </si>
  <si>
    <t>rs2191902</t>
  </si>
  <si>
    <t>M3719</t>
  </si>
  <si>
    <t>F2587; PF2709; YSC0001308</t>
  </si>
  <si>
    <t>PF2709</t>
  </si>
  <si>
    <t>M3719; F2587; YSC0001308</t>
  </si>
  <si>
    <t>YSC0001308</t>
  </si>
  <si>
    <t>M3719; F2587; PF2709</t>
  </si>
  <si>
    <t>F2688</t>
  </si>
  <si>
    <t>M3722; PF2716</t>
  </si>
  <si>
    <t>rs9786315</t>
  </si>
  <si>
    <t>M3722</t>
  </si>
  <si>
    <t>F2688; PF2716</t>
  </si>
  <si>
    <t>PF2716</t>
  </si>
  <si>
    <t>F2688; M3722</t>
  </si>
  <si>
    <t>F2837</t>
  </si>
  <si>
    <t>M3726; PF2722</t>
  </si>
  <si>
    <t>rs9786082</t>
  </si>
  <si>
    <t>M3726</t>
  </si>
  <si>
    <t>F2837; PF2722</t>
  </si>
  <si>
    <t>PF2722</t>
  </si>
  <si>
    <t>F2837; M3726</t>
  </si>
  <si>
    <t>F2985</t>
  </si>
  <si>
    <t>M3736; PF2731</t>
  </si>
  <si>
    <t>rs73626917</t>
  </si>
  <si>
    <t>M3736</t>
  </si>
  <si>
    <t>F2985; PF2731</t>
  </si>
  <si>
    <t>PF2731</t>
  </si>
  <si>
    <t>F2985; M3736</t>
  </si>
  <si>
    <t>F2993</t>
  </si>
  <si>
    <t>M3737; PF2732; V3940</t>
  </si>
  <si>
    <t>rs73626919</t>
  </si>
  <si>
    <t>M3737</t>
  </si>
  <si>
    <t>F2993; PF2732; V3940</t>
  </si>
  <si>
    <t>PF2732</t>
  </si>
  <si>
    <t>F2993; M3737; V3940</t>
  </si>
  <si>
    <t>V3940</t>
  </si>
  <si>
    <t>F2993; M3737; PF2732</t>
  </si>
  <si>
    <t>F3111</t>
  </si>
  <si>
    <t>M3740; PF2736</t>
  </si>
  <si>
    <t>rs9786247</t>
  </si>
  <si>
    <t>M3740</t>
  </si>
  <si>
    <t>F3111; PF2736</t>
  </si>
  <si>
    <t>PF2736</t>
  </si>
  <si>
    <t>F3111; M3740</t>
  </si>
  <si>
    <t>F3136</t>
  </si>
  <si>
    <t>M3741; PF2737</t>
  </si>
  <si>
    <t>rs35249440</t>
  </si>
  <si>
    <t>M3741</t>
  </si>
  <si>
    <t>F3136; PF2737</t>
  </si>
  <si>
    <t>PF2737</t>
  </si>
  <si>
    <t>F3136; M3741</t>
  </si>
  <si>
    <t>F3335</t>
  </si>
  <si>
    <t>M3754; PF2758</t>
  </si>
  <si>
    <t>rs73626976</t>
  </si>
  <si>
    <t>M3754</t>
  </si>
  <si>
    <t>F3335; PF2658</t>
  </si>
  <si>
    <t>PF2758</t>
  </si>
  <si>
    <t>F3335; M3754</t>
  </si>
  <si>
    <t>F3692</t>
  </si>
  <si>
    <t>M3650</t>
  </si>
  <si>
    <t>rs9785858</t>
  </si>
  <si>
    <t>L132.1</t>
  </si>
  <si>
    <t>rs7893044</t>
  </si>
  <si>
    <t>L468</t>
  </si>
  <si>
    <t>M3703; PF2689</t>
  </si>
  <si>
    <t>rs9786510</t>
  </si>
  <si>
    <t>M3703</t>
  </si>
  <si>
    <t>L468; PF2689</t>
  </si>
  <si>
    <t>PF2689</t>
  </si>
  <si>
    <t>L468; M3703</t>
  </si>
  <si>
    <t>L470</t>
  </si>
  <si>
    <t>M3735; PF2730</t>
  </si>
  <si>
    <t>rs9786293</t>
  </si>
  <si>
    <t>M3735</t>
  </si>
  <si>
    <t>L470; PF2730</t>
  </si>
  <si>
    <t>PF2730</t>
  </si>
  <si>
    <t>L470; M3735</t>
  </si>
  <si>
    <t>L882</t>
  </si>
  <si>
    <t>M3749; PF2745</t>
  </si>
  <si>
    <t>rs9786158</t>
  </si>
  <si>
    <t>M3749</t>
  </si>
  <si>
    <t>L882; PF2745</t>
  </si>
  <si>
    <t>PF2745</t>
  </si>
  <si>
    <t>L882; M3749</t>
  </si>
  <si>
    <t>M213</t>
  </si>
  <si>
    <t>P137; Page38; PF2673</t>
  </si>
  <si>
    <t>rs2032665</t>
  </si>
  <si>
    <t>P137</t>
  </si>
  <si>
    <t>M213; Page38; PF2673</t>
  </si>
  <si>
    <t>Page38</t>
  </si>
  <si>
    <t>M213; P137; PF2673</t>
  </si>
  <si>
    <t>PF2673</t>
  </si>
  <si>
    <t>M213; P137; Page38</t>
  </si>
  <si>
    <t>M235</t>
  </si>
  <si>
    <t>Page80; PF2665</t>
  </si>
  <si>
    <t>rs7067496</t>
  </si>
  <si>
    <t>Page80</t>
  </si>
  <si>
    <t>M235; PF2665</t>
  </si>
  <si>
    <t>PF2665</t>
  </si>
  <si>
    <t>Page80; M235</t>
  </si>
  <si>
    <t>M3637</t>
  </si>
  <si>
    <t>PF2589; V186</t>
  </si>
  <si>
    <t>rs9785784</t>
  </si>
  <si>
    <t>PF2589</t>
  </si>
  <si>
    <t>M3637; V186</t>
  </si>
  <si>
    <t>V186</t>
  </si>
  <si>
    <t>M3637; PF2589</t>
  </si>
  <si>
    <t>M3638</t>
  </si>
  <si>
    <t>PF2590; V205</t>
  </si>
  <si>
    <t>rs7892924</t>
  </si>
  <si>
    <t>PF2590</t>
  </si>
  <si>
    <t>M3638; V205</t>
  </si>
  <si>
    <t>V205</t>
  </si>
  <si>
    <t>M3638; PF2590</t>
  </si>
  <si>
    <t>M3639</t>
  </si>
  <si>
    <t>PF2591</t>
  </si>
  <si>
    <t>rs9786491</t>
  </si>
  <si>
    <t>M3647</t>
  </si>
  <si>
    <t>PF2611</t>
  </si>
  <si>
    <t>rs73614817</t>
  </si>
  <si>
    <t>M3652</t>
  </si>
  <si>
    <t>PF2615</t>
  </si>
  <si>
    <t>rs9786433</t>
  </si>
  <si>
    <t>M3750</t>
  </si>
  <si>
    <t>PF2747</t>
  </si>
  <si>
    <t>rs9785880</t>
  </si>
  <si>
    <t>M3751</t>
  </si>
  <si>
    <t>PF2748</t>
  </si>
  <si>
    <t>rs9786884</t>
  </si>
  <si>
    <t>M3752</t>
  </si>
  <si>
    <t>PF2749</t>
  </si>
  <si>
    <t>rs9785864</t>
  </si>
  <si>
    <t>P14</t>
  </si>
  <si>
    <t>PF2704</t>
  </si>
  <si>
    <t>rs9786420</t>
  </si>
  <si>
    <t>P134</t>
  </si>
  <si>
    <t>PF2606</t>
  </si>
  <si>
    <t>rs9786877</t>
  </si>
  <si>
    <t>P135</t>
  </si>
  <si>
    <t>PF2741</t>
  </si>
  <si>
    <t>rs9786502</t>
  </si>
  <si>
    <t>P136</t>
  </si>
  <si>
    <t>PF2762</t>
  </si>
  <si>
    <t>rs9785908</t>
  </si>
  <si>
    <t>P138</t>
  </si>
  <si>
    <t>PF2655</t>
  </si>
  <si>
    <t>rs16980478</t>
  </si>
  <si>
    <t>P139</t>
  </si>
  <si>
    <t>PF2698</t>
  </si>
  <si>
    <t>rs16980459</t>
  </si>
  <si>
    <t>P140</t>
  </si>
  <si>
    <t>PF2703</t>
  </si>
  <si>
    <t>rs9786636</t>
  </si>
  <si>
    <t>G-&gt;C</t>
  </si>
  <si>
    <t>P141</t>
  </si>
  <si>
    <t>PF2602</t>
  </si>
  <si>
    <t>rs9306845</t>
  </si>
  <si>
    <t>P145</t>
  </si>
  <si>
    <t>PF2617</t>
  </si>
  <si>
    <t>rs17842387</t>
  </si>
  <si>
    <t>P146</t>
  </si>
  <si>
    <t>PF2623</t>
  </si>
  <si>
    <t>rs16981340</t>
  </si>
  <si>
    <t>P148</t>
  </si>
  <si>
    <t>PF2734</t>
  </si>
  <si>
    <t>rs16980396</t>
  </si>
  <si>
    <t>P149</t>
  </si>
  <si>
    <t>PF2720</t>
  </si>
  <si>
    <t>rs16980391</t>
  </si>
  <si>
    <t>P151</t>
  </si>
  <si>
    <t>PF2625</t>
  </si>
  <si>
    <t>rs9786707</t>
  </si>
  <si>
    <t>P157</t>
  </si>
  <si>
    <t>PF2771</t>
  </si>
  <si>
    <t>rs9786095</t>
  </si>
  <si>
    <t>P158</t>
  </si>
  <si>
    <t>PF2706</t>
  </si>
  <si>
    <t>rs9785913</t>
  </si>
  <si>
    <t>P159</t>
  </si>
  <si>
    <t>PF2717</t>
  </si>
  <si>
    <t>rs9785905</t>
  </si>
  <si>
    <t>P160</t>
  </si>
  <si>
    <t>PF2618</t>
  </si>
  <si>
    <t>rs9306848</t>
  </si>
  <si>
    <t>A-&gt;C</t>
  </si>
  <si>
    <t>P161</t>
  </si>
  <si>
    <t>PF2719</t>
  </si>
  <si>
    <t>rs16980495</t>
  </si>
  <si>
    <t>P163</t>
  </si>
  <si>
    <t>PF2686</t>
  </si>
  <si>
    <t>rs4589047</t>
  </si>
  <si>
    <t>P166</t>
  </si>
  <si>
    <t>PF2702</t>
  </si>
  <si>
    <t>rs16980499</t>
  </si>
  <si>
    <t>P187</t>
  </si>
  <si>
    <t>PF2632</t>
  </si>
  <si>
    <t>rs17174528</t>
  </si>
  <si>
    <t>P316</t>
  </si>
  <si>
    <t>PF2696</t>
  </si>
  <si>
    <t>rs57194840</t>
  </si>
  <si>
    <t>PF2608</t>
  </si>
  <si>
    <t>rs9786664</t>
  </si>
  <si>
    <t>PF2669</t>
  </si>
  <si>
    <t>rs9786728</t>
  </si>
  <si>
    <t>P91</t>
  </si>
  <si>
    <t>P104</t>
  </si>
  <si>
    <t>rs796137944</t>
  </si>
  <si>
    <t>M427</t>
  </si>
  <si>
    <t>M428</t>
  </si>
  <si>
    <t>rs868549836</t>
  </si>
  <si>
    <t>rs867443824</t>
  </si>
  <si>
    <t>Z40733</t>
  </si>
  <si>
    <t>rs756108361</t>
  </si>
  <si>
    <t>Z40734</t>
  </si>
  <si>
    <t>rs1193304108</t>
  </si>
  <si>
    <t>Z40735</t>
  </si>
  <si>
    <t>rs759129817</t>
  </si>
  <si>
    <t>Z40736</t>
  </si>
  <si>
    <t>rs1434224114</t>
  </si>
  <si>
    <t>Z40737</t>
  </si>
  <si>
    <t>rs1372854614</t>
  </si>
  <si>
    <t>GHIJK Mutations found in that section</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</si>
</sst>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name val="Arial"/>
    </font>
    <font>
      <b/>
    </font>
    <font>
      <b/>
      <sz val="10.0"/>
      <color rgb="FFFFFFFF"/>
      <name val="Arial"/>
    </font>
    <font>
      <color rgb="FF999999"/>
    </font>
    <font>
      <b/>
      <sz val="12.0"/>
      <color rgb="FF000000"/>
      <name val="Times New Roman"/>
    </font>
    <font>
      <sz val="12.0"/>
      <color rgb="FF000000"/>
      <name val="Times New Roman"/>
    </font>
    <font>
      <u/>
      <sz val="12.0"/>
      <color rgb="FF000000"/>
      <name val="Times New Roman"/>
    </font>
    <font>
      <u/>
      <sz val="12.0"/>
      <color rgb="FF0066CC"/>
      <name val="Times New Roman"/>
    </font>
    <font>
      <u/>
      <sz val="12.0"/>
      <color rgb="FF0066CC"/>
      <name val="Times New Roman"/>
    </font>
    <font>
      <b/>
      <sz val="12.0"/>
    </font>
    <font>
      <color rgb="FFCC0000"/>
    </font>
    <font>
      <sz val="12.0"/>
      <name val="&quot;Calibri&quot;"/>
    </font>
    <font>
      <color rgb="FF000000"/>
      <name val="Arial"/>
    </font>
    <font>
      <sz val="11.0"/>
      <color rgb="FF000000"/>
      <name val="Calibri"/>
    </font>
    <font>
      <color rgb="FF000000"/>
      <name val="Sans-serif"/>
    </font>
    <font>
      <sz val="12.0"/>
      <name val="Calibri"/>
    </font>
    <font>
      <sz val="11.0"/>
      <name val="Calibri"/>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1C232"/>
        <bgColor rgb="FFF1C232"/>
      </patternFill>
    </fill>
    <fill>
      <patternFill patternType="solid">
        <fgColor rgb="FFFFFFFF"/>
        <bgColor rgb="FFFFFFFF"/>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vertical="bottom"/>
    </xf>
    <xf borderId="0" fillId="0" fontId="1" numFmtId="0" xfId="0" applyAlignment="1" applyFont="1">
      <alignment vertical="bottom"/>
    </xf>
    <xf borderId="1" fillId="2" fontId="2" numFmtId="0" xfId="0" applyAlignment="1" applyBorder="1" applyFont="1">
      <alignment readingOrder="0" shrinkToFit="0" vertical="bottom" wrapText="0"/>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3" fontId="4" numFmtId="0" xfId="0" applyAlignment="1" applyFill="1" applyFont="1">
      <alignment horizontal="center" readingOrder="0"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1" fillId="0" fontId="1" numFmtId="0" xfId="0" applyAlignment="1" applyBorder="1" applyFont="1">
      <alignment shrinkToFit="0" vertical="bottom" wrapText="0"/>
    </xf>
    <xf borderId="1" fillId="0" fontId="1" numFmtId="0" xfId="0" applyAlignment="1" applyBorder="1" applyFont="1">
      <alignment vertical="bottom"/>
    </xf>
    <xf borderId="0" fillId="0" fontId="7" numFmtId="0" xfId="0" applyAlignment="1" applyFont="1">
      <alignment vertical="bottom"/>
    </xf>
    <xf borderId="1" fillId="0" fontId="8" numFmtId="0" xfId="0" applyAlignment="1" applyBorder="1" applyFont="1">
      <alignment horizontal="center" shrinkToFit="0" vertical="bottom" wrapText="0"/>
    </xf>
    <xf borderId="1" fillId="0" fontId="1" numFmtId="0" xfId="0" applyAlignment="1" applyBorder="1" applyFont="1">
      <alignment readingOrder="0" shrinkToFit="0" vertical="bottom" wrapText="0"/>
    </xf>
    <xf borderId="0" fillId="4" fontId="9" numFmtId="0" xfId="0" applyAlignment="1" applyFill="1" applyFont="1">
      <alignment vertical="bottom"/>
    </xf>
    <xf borderId="1" fillId="0" fontId="10" numFmtId="0" xfId="0" applyAlignment="1" applyBorder="1" applyFont="1">
      <alignment shrinkToFit="0" vertical="bottom" wrapText="0"/>
    </xf>
    <xf borderId="1" fillId="0" fontId="11" numFmtId="0" xfId="0" applyAlignment="1" applyBorder="1" applyFont="1">
      <alignment shrinkToFit="0" vertical="bottom" wrapText="0"/>
    </xf>
    <xf borderId="1" fillId="0" fontId="12" numFmtId="0" xfId="0" applyAlignment="1" applyBorder="1" applyFont="1">
      <alignment horizontal="center" shrinkToFit="0" vertical="bottom" wrapText="0"/>
    </xf>
    <xf borderId="1" fillId="0" fontId="13" numFmtId="0" xfId="0" applyAlignment="1" applyBorder="1" applyFont="1">
      <alignment horizontal="center" shrinkToFit="0" vertical="bottom" wrapText="0"/>
    </xf>
    <xf borderId="0" fillId="0" fontId="14" numFmtId="0" xfId="0" applyAlignment="1" applyFont="1">
      <alignment vertical="bottom"/>
    </xf>
    <xf borderId="1" fillId="0" fontId="15" numFmtId="0" xfId="0" applyAlignment="1" applyBorder="1" applyFont="1">
      <alignment shrinkToFit="0" vertical="bottom" wrapText="0"/>
    </xf>
    <xf borderId="0" fillId="0" fontId="15" numFmtId="0" xfId="0" applyAlignment="1" applyFont="1">
      <alignment vertical="bottom"/>
    </xf>
    <xf borderId="1" fillId="0" fontId="16" numFmtId="0" xfId="0" applyAlignment="1" applyBorder="1" applyFont="1">
      <alignment shrinkToFit="0" vertical="bottom" wrapText="0"/>
    </xf>
    <xf borderId="1" fillId="0" fontId="9" numFmtId="0" xfId="0" applyAlignment="1" applyBorder="1" applyFont="1">
      <alignment shrinkToFit="0" vertical="bottom" wrapText="0"/>
    </xf>
    <xf borderId="1" fillId="0" fontId="17" numFmtId="0" xfId="0" applyAlignment="1" applyBorder="1" applyFont="1">
      <alignment shrinkToFit="0" vertical="bottom" wrapText="0"/>
    </xf>
    <xf borderId="0" fillId="4" fontId="9" numFmtId="0" xfId="0" applyAlignment="1" applyFont="1">
      <alignment readingOrder="0" shrinkToFit="0" vertical="bottom" wrapText="1"/>
    </xf>
    <xf borderId="1" fillId="0" fontId="9" numFmtId="0" xfId="0" applyAlignment="1" applyBorder="1" applyFont="1">
      <alignment readingOrder="0" shrinkToFit="0" vertical="bottom" wrapText="0"/>
    </xf>
    <xf borderId="0" fillId="0" fontId="18" numFmtId="0" xfId="0" applyAlignment="1" applyFont="1">
      <alignment horizontal="center" readingOrder="0"/>
    </xf>
    <xf borderId="0" fillId="5" fontId="19" numFmtId="0" xfId="0" applyAlignment="1" applyFill="1" applyFont="1">
      <alignment readingOrder="0" vertical="center"/>
    </xf>
    <xf borderId="0" fillId="0" fontId="20" numFmtId="0" xfId="0" applyAlignment="1" applyFont="1">
      <alignment readingOrder="0" shrinkToFit="0" vertical="bottom" wrapText="1"/>
    </xf>
    <xf borderId="0" fillId="0" fontId="6" numFmtId="0" xfId="0" applyAlignment="1" applyFont="1">
      <alignment readingOrder="0"/>
    </xf>
    <xf borderId="0" fillId="0" fontId="21" numFmtId="0" xfId="0" applyAlignment="1" applyFont="1">
      <alignment readingOrder="0"/>
    </xf>
    <xf borderId="0" fillId="6" fontId="22" numFmtId="0" xfId="0" applyAlignment="1" applyFill="1" applyFont="1">
      <alignment horizontal="left" readingOrder="0"/>
    </xf>
    <xf borderId="0" fillId="0" fontId="23" numFmtId="0" xfId="0" applyAlignment="1" applyFont="1">
      <alignment readingOrder="0"/>
    </xf>
    <xf borderId="0" fillId="0" fontId="21" numFmtId="0" xfId="0" applyAlignment="1" applyFont="1">
      <alignment readingOrder="0" shrinkToFit="0" wrapText="1"/>
    </xf>
    <xf borderId="0" fillId="7" fontId="6" numFmtId="0" xfId="0" applyAlignment="1" applyFill="1" applyFont="1">
      <alignment readingOrder="0"/>
    </xf>
    <xf borderId="0" fillId="7" fontId="6" numFmtId="0" xfId="0" applyFont="1"/>
    <xf borderId="0" fillId="0" fontId="24" numFmtId="0" xfId="0" applyAlignment="1" applyFont="1">
      <alignment horizontal="left" readingOrder="0"/>
    </xf>
    <xf borderId="0" fillId="0" fontId="25" numFmtId="0" xfId="0" applyAlignment="1" applyFont="1">
      <alignment horizontal="left" readingOrder="0" shrinkToFit="0" wrapText="1"/>
    </xf>
    <xf borderId="0" fillId="0" fontId="25" numFmtId="0" xfId="0" applyAlignment="1" applyFont="1">
      <alignment horizontal="left" readingOrder="0"/>
    </xf>
    <xf borderId="0" fillId="0" fontId="26" numFmtId="0" xfId="0" applyAlignment="1" applyFont="1">
      <alignment horizontal="left" readingOrder="0"/>
    </xf>
    <xf borderId="0" fillId="0" fontId="24" numFmtId="0" xfId="0" applyAlignment="1" applyFont="1">
      <alignment horizontal="left" readingOrder="0"/>
    </xf>
    <xf borderId="0" fillId="0" fontId="27" numFmtId="0" xfId="0" applyAlignment="1" applyFont="1">
      <alignment horizontal="left" readingOrder="0"/>
    </xf>
    <xf borderId="0" fillId="0" fontId="9" numFmtId="0" xfId="0" applyAlignment="1" applyFont="1">
      <alignment readingOrder="0"/>
    </xf>
    <xf borderId="0" fillId="0" fontId="28" numFmtId="0" xfId="0" applyAlignment="1" applyFont="1">
      <alignment horizontal="left" readingOrder="0"/>
    </xf>
    <xf borderId="0" fillId="8" fontId="29" numFmtId="0" xfId="0" applyAlignment="1" applyFill="1" applyFont="1">
      <alignment readingOrder="0"/>
    </xf>
    <xf borderId="0" fillId="8" fontId="29" numFmtId="0" xfId="0" applyFont="1"/>
    <xf borderId="0" fillId="0" fontId="30" numFmtId="0" xfId="0" applyAlignment="1" applyFont="1">
      <alignment readingOrder="0"/>
    </xf>
    <xf borderId="0" fillId="0" fontId="31" numFmtId="0" xfId="0" applyFont="1"/>
    <xf borderId="0" fillId="0" fontId="1" numFmtId="0" xfId="0" applyAlignment="1" applyFont="1">
      <alignment vertical="bottom"/>
    </xf>
    <xf borderId="0" fillId="0" fontId="31" numFmtId="0" xfId="0" applyFont="1"/>
    <xf borderId="0" fillId="0" fontId="32" numFmtId="0" xfId="0" applyAlignment="1" applyFont="1">
      <alignment horizontal="right" readingOrder="0"/>
    </xf>
    <xf borderId="0" fillId="9" fontId="6" numFmtId="0" xfId="0" applyAlignment="1" applyFill="1" applyFont="1">
      <alignment readingOrder="0"/>
    </xf>
    <xf borderId="0" fillId="0" fontId="33" numFmtId="0" xfId="0" applyAlignment="1" applyFont="1">
      <alignment horizontal="right" vertical="bottom"/>
    </xf>
    <xf borderId="0" fillId="0" fontId="33" numFmtId="0" xfId="0" applyAlignment="1" applyFont="1">
      <alignment vertical="bottom"/>
    </xf>
    <xf borderId="0" fillId="9" fontId="33" numFmtId="0" xfId="0" applyAlignment="1" applyFont="1">
      <alignment horizontal="right" vertical="bottom"/>
    </xf>
    <xf borderId="0" fillId="9" fontId="34" numFmtId="0" xfId="0" applyAlignment="1" applyFont="1">
      <alignment readingOrder="0" vertical="top"/>
    </xf>
    <xf borderId="0" fillId="0" fontId="33" numFmtId="0" xfId="0" applyAlignment="1" applyFont="1">
      <alignment horizontal="right" readingOrder="0"/>
    </xf>
    <xf borderId="0" fillId="0" fontId="33" numFmtId="0" xfId="0" applyAlignment="1" applyFont="1">
      <alignment horizontal="right" readingOrder="0" vertical="bottom"/>
    </xf>
    <xf borderId="0" fillId="0" fontId="33" numFmtId="0" xfId="0" applyAlignment="1" applyFont="1">
      <alignment readingOrder="0" vertical="bottom"/>
    </xf>
    <xf borderId="0" fillId="9" fontId="33" numFmtId="0" xfId="0" applyAlignment="1" applyFont="1">
      <alignment vertical="bottom"/>
    </xf>
    <xf borderId="0" fillId="9" fontId="34" numFmtId="0" xfId="0" applyAlignment="1" applyFont="1">
      <alignment readingOrder="0"/>
    </xf>
    <xf borderId="0" fillId="9" fontId="32" numFmtId="0" xfId="0" applyAlignment="1" applyFont="1">
      <alignment horizontal="right" readingOrder="0"/>
    </xf>
    <xf borderId="0" fillId="0" fontId="1" numFmtId="0" xfId="0" applyAlignment="1" applyFont="1">
      <alignment readingOrder="0" vertical="bottom"/>
    </xf>
    <xf borderId="0" fillId="0" fontId="35" numFmtId="0" xfId="0" applyAlignment="1" applyFont="1">
      <alignment vertical="bottom"/>
    </xf>
    <xf borderId="0" fillId="0" fontId="1" numFmtId="0" xfId="0" applyAlignment="1" applyFont="1">
      <alignment horizontal="right" vertical="bottom"/>
    </xf>
    <xf borderId="0" fillId="0" fontId="3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152400</xdr:colOff>
      <xdr:row>7</xdr:row>
      <xdr:rowOff>152400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isogg.org/tree/ISOGG_Glossary.html" TargetMode="External"/><Relationship Id="rId20" Type="http://schemas.openxmlformats.org/officeDocument/2006/relationships/hyperlink" Target="http://www.pnas.org/content/104/21/8726.full.pdf" TargetMode="External"/><Relationship Id="rId41" Type="http://schemas.openxmlformats.org/officeDocument/2006/relationships/drawing" Target="../drawings/drawing1.xml"/><Relationship Id="rId22" Type="http://schemas.openxmlformats.org/officeDocument/2006/relationships/hyperlink" Target="http://hpgl.stanford.edu/publications/AJHG_2003_v72_p313-332.pdf" TargetMode="External"/><Relationship Id="rId21" Type="http://schemas.openxmlformats.org/officeDocument/2006/relationships/hyperlink" Target="http://hpgl.stanford.edu/publications/AJHG_2003_v72_p281-302.pdf" TargetMode="External"/><Relationship Id="rId24" Type="http://schemas.openxmlformats.org/officeDocument/2006/relationships/hyperlink" Target="http://www.blackwell-synergy.com/doi/abs/10.1046/j.1529-8817.2005.00174.x" TargetMode="External"/><Relationship Id="rId23" Type="http://schemas.openxmlformats.org/officeDocument/2006/relationships/hyperlink" Target="http://www.ncbi.nlm.nih.gov/pmc/articles/PMC2408594/"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wathey@hprg.com" TargetMode="External"/><Relationship Id="rId26" Type="http://schemas.openxmlformats.org/officeDocument/2006/relationships/hyperlink" Target="http://www.ncbi.nlm.nih.gov/pubmed/16770078" TargetMode="External"/><Relationship Id="rId25" Type="http://schemas.openxmlformats.org/officeDocument/2006/relationships/hyperlink" Target="http://www.familytreedna.com/pdf/Nasidze_2003.pdf" TargetMode="External"/><Relationship Id="rId28" Type="http://schemas.openxmlformats.org/officeDocument/2006/relationships/hyperlink" Target="http://hpgl.stanford.edu/publications/AJHG_2006_v78_p202-221.pdf" TargetMode="External"/><Relationship Id="rId27" Type="http://schemas.openxmlformats.org/officeDocument/2006/relationships/hyperlink" Target="http://hpgl.stanford.edu/publications/AJHG_2002_v70_p265-268.pdf"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29" Type="http://schemas.openxmlformats.org/officeDocument/2006/relationships/hyperlink" Target="http://evolutsioon.ut.ee/publications/Shen2004.pdf"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www.mcdonald.cam.ac.uk/publications/monographs/new-titles/" TargetMode="External"/><Relationship Id="rId30" Type="http://schemas.openxmlformats.org/officeDocument/2006/relationships/hyperlink" Target="http://hpgl.stanford.edu/publications/AJHG_1999_v65_p1718.pdf" TargetMode="External"/><Relationship Id="rId11" Type="http://schemas.openxmlformats.org/officeDocument/2006/relationships/hyperlink" Target="http://www.familytreedna.com/pdf/Behar_contrasting.pdf" TargetMode="External"/><Relationship Id="rId33" Type="http://schemas.openxmlformats.org/officeDocument/2006/relationships/hyperlink" Target="http://www.nature.com/ejhg/journal/v16/n6/pdf/5201998a.pdf" TargetMode="External"/><Relationship Id="rId10" Type="http://schemas.openxmlformats.org/officeDocument/2006/relationships/hyperlink" Target="http://www.ncbi.nlm.nih.gov/pubmed/16094307" TargetMode="External"/><Relationship Id="rId32" Type="http://schemas.openxmlformats.org/officeDocument/2006/relationships/hyperlink" Target="http://dienekes.blogspot.com/2007/12/tracing-human-migrations-with-y.html" TargetMode="External"/><Relationship Id="rId13" Type="http://schemas.openxmlformats.org/officeDocument/2006/relationships/hyperlink" Target="http://onlinelibrary.wiley.com/doi/10.1002/ajpa.20984/abstract" TargetMode="External"/><Relationship Id="rId35" Type="http://schemas.openxmlformats.org/officeDocument/2006/relationships/hyperlink" Target="http://www.isogg.org/wiki/Wiki_Welcome_Page" TargetMode="External"/><Relationship Id="rId12" Type="http://schemas.openxmlformats.org/officeDocument/2006/relationships/hyperlink" Target="http://www.nature.com/nature/journal/v466/n7303/abs/nature09103.html" TargetMode="External"/><Relationship Id="rId34" Type="http://schemas.openxmlformats.org/officeDocument/2006/relationships/hyperlink" Target="http://www.ncbi.nlm.nih.gov/pubmed/19058044" TargetMode="External"/><Relationship Id="rId15" Type="http://schemas.openxmlformats.org/officeDocument/2006/relationships/hyperlink" Target="http://library.ibp.ac.cn/html/slwj/000222645600001.pdf" TargetMode="External"/><Relationship Id="rId37" Type="http://schemas.openxmlformats.org/officeDocument/2006/relationships/hyperlink" Target="http://www.isogg.org/tree/ISOGG_YDNATreeTrunk.html" TargetMode="External"/><Relationship Id="rId14" Type="http://schemas.openxmlformats.org/officeDocument/2006/relationships/hyperlink" Target="http://www.ncbi.nlm.nih.gov/pubmed/11910562" TargetMode="External"/><Relationship Id="rId36" Type="http://schemas.openxmlformats.org/officeDocument/2006/relationships/hyperlink" Target="http://www.familytreedna.com/public/F-YDNA/default.aspx" TargetMode="External"/><Relationship Id="rId17" Type="http://schemas.openxmlformats.org/officeDocument/2006/relationships/hyperlink" Target="http://hpgl.stanford.edu/publications/EJHG_2004_v12_p855.pdf" TargetMode="External"/><Relationship Id="rId39" Type="http://schemas.openxmlformats.org/officeDocument/2006/relationships/hyperlink" Target="http://www.isogg.org/tree/ISOGG_All_Papers.html" TargetMode="External"/><Relationship Id="rId16" Type="http://schemas.openxmlformats.org/officeDocument/2006/relationships/hyperlink" Target="http://www.nature.com/ejhg/journal/v18/n3/abs/ejhg2009168a.html" TargetMode="External"/><Relationship Id="rId38" Type="http://schemas.openxmlformats.org/officeDocument/2006/relationships/hyperlink" Target="http://www.isogg.org/tree/ISOGG_YDNA_SNP_Index.html" TargetMode="External"/><Relationship Id="rId19" Type="http://schemas.openxmlformats.org/officeDocument/2006/relationships/hyperlink" Target="http://www.sciencemag.org/content/341/6145/565" TargetMode="External"/><Relationship Id="rId18" Type="http://schemas.openxmlformats.org/officeDocument/2006/relationships/hyperlink" Target="http://www.ncbi.nlm.nih.gov/pubmed/1957323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6.71"/>
    <col customWidth="1" min="2" max="2" width="6.14"/>
    <col customWidth="1" min="3" max="3" width="7.29"/>
    <col customWidth="1" min="4" max="4" width="6.57"/>
    <col customWidth="1" min="5" max="5" width="7.29"/>
    <col customWidth="1" min="6" max="6" width="8.86"/>
    <col customWidth="1" min="7" max="7" width="11.43"/>
    <col customWidth="1" min="8" max="8" width="13.29"/>
    <col customWidth="1" min="9" max="9" width="21.14"/>
    <col customWidth="1" min="10" max="10" width="13.29"/>
  </cols>
  <sheetData>
    <row r="1">
      <c r="A1" s="1"/>
      <c r="B1" s="1"/>
      <c r="C1" s="2"/>
      <c r="D1" s="2"/>
      <c r="E1" s="2"/>
      <c r="F1" s="2"/>
      <c r="G1" s="2"/>
      <c r="H1" s="2"/>
      <c r="I1" s="2"/>
      <c r="J1" s="2"/>
      <c r="K1" s="2"/>
      <c r="L1" s="2"/>
      <c r="M1" s="1"/>
      <c r="N1" s="3"/>
      <c r="O1" s="3"/>
      <c r="P1" s="3"/>
      <c r="Q1" s="3"/>
      <c r="R1" s="3"/>
      <c r="S1" s="3"/>
      <c r="T1" s="3"/>
      <c r="U1" s="3"/>
      <c r="V1" s="3"/>
      <c r="W1" s="3"/>
      <c r="X1" s="3"/>
      <c r="Y1" s="3"/>
      <c r="Z1" s="3"/>
      <c r="AA1" s="3"/>
    </row>
    <row r="2">
      <c r="A2" s="1"/>
      <c r="B2" s="4" t="s">
        <v>0</v>
      </c>
      <c r="C2" s="5" t="s">
        <v>1</v>
      </c>
      <c r="D2" s="2"/>
      <c r="E2" s="6"/>
      <c r="F2" s="6"/>
      <c r="G2" s="6"/>
      <c r="H2" s="6"/>
      <c r="I2" s="6"/>
      <c r="J2" s="6"/>
      <c r="K2" s="7" t="str">
        <f>HYPERLINK("https://docs.google.com/document/d/14H-GcOivKmVTygAlbVeGDYouCGU5tDpvhrppbbqiRKM/","Adoption Page")</f>
        <v>Adoption Page</v>
      </c>
      <c r="L2" s="1"/>
      <c r="M2" s="1"/>
      <c r="N2" s="3"/>
      <c r="O2" s="3"/>
      <c r="P2" s="3"/>
      <c r="Q2" s="3"/>
      <c r="R2" s="3"/>
      <c r="S2" s="3"/>
      <c r="T2" s="3"/>
      <c r="U2" s="3"/>
      <c r="V2" s="3"/>
      <c r="W2" s="3"/>
      <c r="X2" s="3"/>
      <c r="Y2" s="3"/>
      <c r="Z2" s="3"/>
      <c r="AA2" s="3"/>
    </row>
    <row r="3">
      <c r="A3" s="1"/>
      <c r="B3" s="1"/>
      <c r="C3" s="2"/>
      <c r="D3" s="2"/>
      <c r="E3" s="2"/>
      <c r="F3" s="2"/>
      <c r="G3" s="2"/>
      <c r="H3" s="2"/>
      <c r="I3" s="2"/>
      <c r="J3" s="2"/>
      <c r="K3" s="2"/>
      <c r="L3" s="2"/>
      <c r="M3" s="1"/>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8" t="s">
        <v>2</v>
      </c>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9"/>
      <c r="D7" s="9"/>
      <c r="E7" s="9"/>
      <c r="F7" s="9"/>
      <c r="G7" s="9"/>
      <c r="H7" s="9"/>
      <c r="I7" s="9"/>
      <c r="J7" s="9"/>
      <c r="K7" s="9"/>
      <c r="L7" s="9"/>
      <c r="M7" s="3"/>
      <c r="N7" s="3"/>
      <c r="O7" s="3"/>
      <c r="P7" s="3"/>
      <c r="Q7" s="3"/>
      <c r="R7" s="3"/>
      <c r="S7" s="3"/>
      <c r="T7" s="3"/>
      <c r="U7" s="3"/>
      <c r="V7" s="3"/>
      <c r="W7" s="3"/>
      <c r="X7" s="3"/>
      <c r="Y7" s="3"/>
      <c r="Z7" s="3"/>
      <c r="AA7" s="3"/>
    </row>
    <row r="8">
      <c r="A8" s="3"/>
      <c r="B8" s="10"/>
      <c r="C8" s="11" t="s">
        <v>3</v>
      </c>
      <c r="D8" s="12"/>
      <c r="E8" s="12"/>
      <c r="F8" s="12"/>
      <c r="G8" s="12"/>
      <c r="H8" s="12"/>
      <c r="I8" s="12"/>
      <c r="J8" s="12"/>
      <c r="K8" s="12"/>
      <c r="L8" s="1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14" t="s">
        <v>4</v>
      </c>
      <c r="D10" s="15"/>
      <c r="E10" s="15"/>
      <c r="F10" s="15"/>
      <c r="G10" s="15"/>
      <c r="H10" s="15"/>
      <c r="I10" s="3"/>
      <c r="J10" s="16" t="s">
        <v>5</v>
      </c>
      <c r="K10" s="3"/>
      <c r="L10" s="3"/>
      <c r="M10" s="3"/>
      <c r="N10" s="3"/>
      <c r="O10" s="3"/>
      <c r="P10" s="3"/>
      <c r="Q10" s="3"/>
      <c r="R10" s="3"/>
      <c r="S10" s="3"/>
      <c r="T10" s="3"/>
      <c r="U10" s="3"/>
      <c r="V10" s="3"/>
      <c r="W10" s="3"/>
      <c r="X10" s="3"/>
      <c r="Y10" s="3"/>
      <c r="Z10" s="3"/>
      <c r="AA10" s="3"/>
    </row>
    <row r="11">
      <c r="A11" s="3"/>
      <c r="B11" s="3"/>
      <c r="C11" s="14" t="s">
        <v>6</v>
      </c>
      <c r="D11" s="15"/>
      <c r="E11" s="15"/>
      <c r="F11" s="15"/>
      <c r="G11" s="3"/>
      <c r="H11" s="16" t="s">
        <v>5</v>
      </c>
      <c r="I11" s="3"/>
      <c r="J11" s="3"/>
      <c r="K11" s="3"/>
      <c r="L11" s="3"/>
      <c r="M11" s="3"/>
      <c r="N11" s="3"/>
      <c r="O11" s="3"/>
      <c r="P11" s="3"/>
      <c r="Q11" s="3"/>
      <c r="R11" s="3"/>
      <c r="S11" s="3"/>
      <c r="T11" s="3"/>
      <c r="U11" s="3"/>
      <c r="V11" s="3"/>
      <c r="W11" s="3"/>
      <c r="X11" s="3"/>
      <c r="Y11" s="3"/>
      <c r="Z11" s="3"/>
      <c r="AA11" s="3"/>
    </row>
    <row r="12">
      <c r="A12" s="3"/>
      <c r="B12" s="3"/>
      <c r="C12" s="3"/>
      <c r="D12" s="3"/>
      <c r="E12" s="15"/>
      <c r="F12" s="17" t="s">
        <v>7</v>
      </c>
      <c r="G12" s="3"/>
      <c r="H12" s="18" t="s">
        <v>8</v>
      </c>
      <c r="I12" s="15"/>
      <c r="J12" s="15"/>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19" t="s">
        <v>9</v>
      </c>
      <c r="M14" s="3"/>
      <c r="N14" s="3"/>
      <c r="O14" s="3"/>
      <c r="P14" s="3"/>
      <c r="Q14" s="3"/>
      <c r="R14" s="3"/>
      <c r="S14" s="3"/>
      <c r="T14" s="3"/>
      <c r="U14" s="3"/>
      <c r="V14" s="3"/>
      <c r="W14" s="3"/>
      <c r="X14" s="3"/>
      <c r="Y14" s="3"/>
      <c r="Z14" s="3"/>
      <c r="AA14" s="3"/>
    </row>
    <row r="15">
      <c r="A15" s="3"/>
      <c r="B15" s="19" t="s">
        <v>10</v>
      </c>
      <c r="K15" s="16" t="s">
        <v>11</v>
      </c>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20" t="s">
        <v>12</v>
      </c>
      <c r="B17" s="3"/>
      <c r="C17" s="21" t="s">
        <v>5</v>
      </c>
      <c r="D17" s="3"/>
      <c r="E17" s="15"/>
      <c r="F17" s="22" t="str">
        <f>HYPERLINK("https://docs.google.com/spreadsheets/d/1bYiTv-Zo2N2eynFJkhs8SRPMWWYMSBD4zwsRzagtp-c/edit#gid=0","Listing Criteria")</f>
        <v>Listing Criteria</v>
      </c>
      <c r="G17" s="3"/>
      <c r="H17" s="15"/>
      <c r="I17" s="23" t="s">
        <v>13</v>
      </c>
      <c r="J17" s="15"/>
      <c r="K17" s="22" t="str">
        <f>HYPERLINK("https://docs.google.com/spreadsheets/d/1fyWMHOYKcR-t77kV-cN79A6B5-aBpQS8Y7W5juVKLV8/edit#gid=1904113265","Y-DNA Tree Trunk")</f>
        <v>Y-DNA Tree Trunk</v>
      </c>
      <c r="L17" s="3"/>
      <c r="M17" s="3"/>
      <c r="N17" s="3"/>
      <c r="O17" s="3"/>
      <c r="P17" s="3"/>
      <c r="Q17" s="3"/>
      <c r="R17" s="3"/>
      <c r="S17" s="3"/>
      <c r="T17" s="3"/>
      <c r="U17" s="3"/>
      <c r="V17" s="3"/>
      <c r="W17" s="3"/>
      <c r="X17" s="3"/>
      <c r="Y17" s="3"/>
      <c r="Z17" s="3"/>
      <c r="AA17" s="3"/>
    </row>
    <row r="18">
      <c r="A18" s="3"/>
      <c r="B18" s="3"/>
      <c r="C18" s="3"/>
      <c r="D18" s="3"/>
      <c r="E18" s="3"/>
      <c r="F18" s="3"/>
      <c r="G18" s="24" t="s">
        <v>14</v>
      </c>
      <c r="H18" s="3"/>
      <c r="I18" s="24" t="s">
        <v>15</v>
      </c>
      <c r="J18" s="3"/>
      <c r="K18" s="3"/>
      <c r="L18" s="3"/>
      <c r="M18" s="25" t="s">
        <v>16</v>
      </c>
      <c r="N18" s="15"/>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26" t="s">
        <v>17</v>
      </c>
      <c r="O19" s="3"/>
      <c r="P19" s="3"/>
      <c r="Q19" s="3"/>
      <c r="R19" s="3"/>
      <c r="S19" s="3"/>
      <c r="T19" s="3"/>
      <c r="U19" s="3"/>
      <c r="V19" s="3"/>
      <c r="W19" s="3"/>
      <c r="X19" s="3"/>
      <c r="Y19" s="3"/>
      <c r="Z19" s="3"/>
      <c r="AA19" s="3"/>
    </row>
    <row r="20">
      <c r="A20" s="20" t="s">
        <v>18</v>
      </c>
      <c r="B20" s="15"/>
      <c r="C20" s="3"/>
      <c r="D20" s="27" t="s">
        <v>19</v>
      </c>
      <c r="E20" s="15"/>
      <c r="F20" s="15"/>
      <c r="G20" s="15"/>
      <c r="H20" s="3"/>
      <c r="I20" s="28" t="s">
        <v>20</v>
      </c>
      <c r="J20" s="3"/>
      <c r="K20" s="29" t="s">
        <v>21</v>
      </c>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20" t="s">
        <v>22</v>
      </c>
      <c r="B22" s="3"/>
      <c r="C22" s="3"/>
      <c r="D22" s="14" t="s">
        <v>23</v>
      </c>
      <c r="E22" s="15"/>
      <c r="F22" s="15"/>
      <c r="G22" s="15"/>
      <c r="H22" s="15"/>
      <c r="I22" s="15"/>
      <c r="J22" s="15"/>
      <c r="K22" s="15"/>
      <c r="L22" s="15"/>
      <c r="M22" s="3"/>
      <c r="N22" s="3"/>
      <c r="O22" s="3"/>
      <c r="P22" s="3"/>
      <c r="Q22" s="3"/>
      <c r="R22" s="3"/>
      <c r="S22" s="3"/>
      <c r="T22" s="3"/>
      <c r="U22" s="3"/>
      <c r="V22" s="3"/>
      <c r="W22" s="3"/>
      <c r="X22" s="3"/>
      <c r="Y22" s="3"/>
      <c r="Z22" s="3"/>
      <c r="AA22" s="3"/>
    </row>
    <row r="23">
      <c r="A23" s="3"/>
      <c r="B23" s="3"/>
      <c r="C23" s="3"/>
      <c r="D23" s="14" t="s">
        <v>24</v>
      </c>
      <c r="E23" s="15"/>
      <c r="F23" s="15"/>
      <c r="G23" s="15"/>
      <c r="H23" s="15"/>
      <c r="I23" s="15"/>
      <c r="J23" s="3"/>
      <c r="K23" s="3"/>
      <c r="L23" s="3"/>
      <c r="M23" s="3"/>
      <c r="N23" s="3"/>
      <c r="O23" s="3"/>
      <c r="P23" s="3"/>
      <c r="Q23" s="3"/>
      <c r="R23" s="3"/>
      <c r="S23" s="3"/>
      <c r="T23" s="3"/>
      <c r="U23" s="3"/>
      <c r="V23" s="3"/>
      <c r="W23" s="3"/>
      <c r="X23" s="3"/>
      <c r="Y23" s="3"/>
      <c r="Z23" s="3"/>
      <c r="AA23" s="3"/>
    </row>
    <row r="24">
      <c r="A24" s="3"/>
      <c r="B24" s="3"/>
      <c r="C24" s="3"/>
      <c r="D24" s="14" t="s">
        <v>25</v>
      </c>
      <c r="E24" s="15"/>
      <c r="F24" s="15"/>
      <c r="G24" s="15"/>
      <c r="H24" s="15"/>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0" t="s">
        <v>26</v>
      </c>
      <c r="M26" s="3"/>
      <c r="N26" s="3"/>
      <c r="O26" s="3"/>
      <c r="P26" s="3"/>
      <c r="Q26" s="3"/>
      <c r="R26" s="3"/>
      <c r="S26" s="3"/>
      <c r="T26" s="3"/>
      <c r="U26" s="3"/>
      <c r="V26" s="3"/>
      <c r="W26" s="3"/>
      <c r="X26" s="3"/>
      <c r="Y26" s="3"/>
      <c r="Z26" s="3"/>
      <c r="AA26" s="3"/>
    </row>
    <row r="27">
      <c r="A27" s="3"/>
      <c r="B27" s="30" t="s">
        <v>27</v>
      </c>
      <c r="M27" s="3"/>
      <c r="N27" s="3"/>
      <c r="O27" s="3"/>
      <c r="P27" s="3"/>
      <c r="Q27" s="3"/>
      <c r="R27" s="3"/>
      <c r="S27" s="3"/>
      <c r="T27" s="3"/>
      <c r="U27" s="3"/>
      <c r="V27" s="3"/>
      <c r="W27" s="3"/>
      <c r="X27" s="3"/>
      <c r="Y27" s="3"/>
      <c r="Z27" s="3"/>
      <c r="AA27" s="3"/>
    </row>
    <row r="28">
      <c r="A28" s="3"/>
      <c r="B28" s="30" t="s">
        <v>28</v>
      </c>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1" t="s">
        <v>29</v>
      </c>
      <c r="D30" s="15"/>
      <c r="E30" s="15"/>
      <c r="F30" s="3"/>
      <c r="G30" s="32" t="s">
        <v>30</v>
      </c>
      <c r="H30" s="3"/>
      <c r="I30" s="3"/>
      <c r="J30" s="3" t="s">
        <v>0</v>
      </c>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3" t="s">
        <v>31</v>
      </c>
      <c r="B33" s="34" t="s">
        <v>32</v>
      </c>
      <c r="N33" s="3"/>
      <c r="O33" s="3"/>
      <c r="P33" s="3"/>
      <c r="Q33" s="3"/>
      <c r="R33" s="3"/>
      <c r="S33" s="3"/>
      <c r="T33" s="3"/>
      <c r="U33" s="3"/>
      <c r="V33" s="3"/>
      <c r="W33" s="3"/>
      <c r="X33" s="3"/>
      <c r="Y33" s="3"/>
      <c r="Z33" s="3"/>
      <c r="AA33" s="3"/>
    </row>
    <row r="34">
      <c r="B34" s="33" t="s">
        <v>33</v>
      </c>
      <c r="C34" s="35" t="s">
        <v>34</v>
      </c>
    </row>
    <row r="35">
      <c r="B35" s="33" t="s">
        <v>35</v>
      </c>
      <c r="C35" s="35" t="s">
        <v>36</v>
      </c>
    </row>
    <row r="36">
      <c r="B36" s="33" t="s">
        <v>37</v>
      </c>
      <c r="C36" s="36" t="s">
        <v>38</v>
      </c>
    </row>
    <row r="37">
      <c r="B37" s="37" t="s">
        <v>39</v>
      </c>
      <c r="C37" s="38" t="s">
        <v>40</v>
      </c>
    </row>
    <row r="38">
      <c r="B38" s="33" t="s">
        <v>41</v>
      </c>
      <c r="C38" s="36" t="s">
        <v>42</v>
      </c>
    </row>
    <row r="40">
      <c r="A40" s="39" t="s">
        <v>43</v>
      </c>
    </row>
    <row r="42">
      <c r="B42" s="40" t="s">
        <v>44</v>
      </c>
      <c r="C42" s="41"/>
      <c r="D42" s="41"/>
      <c r="E42" s="41"/>
      <c r="F42" s="41"/>
      <c r="G42" s="41"/>
    </row>
    <row r="44">
      <c r="A44" s="42" t="s">
        <v>45</v>
      </c>
    </row>
    <row r="46">
      <c r="A46" s="43" t="s">
        <v>46</v>
      </c>
    </row>
    <row r="47">
      <c r="A47" s="44" t="s">
        <v>47</v>
      </c>
    </row>
    <row r="48">
      <c r="A48" s="45" t="s">
        <v>48</v>
      </c>
    </row>
    <row r="49">
      <c r="B49" s="44" t="s">
        <v>49</v>
      </c>
    </row>
    <row r="51">
      <c r="A51" s="35" t="s">
        <v>50</v>
      </c>
    </row>
    <row r="53">
      <c r="A53" s="46" t="s">
        <v>51</v>
      </c>
    </row>
    <row r="55">
      <c r="A55" s="47" t="s">
        <v>52</v>
      </c>
    </row>
    <row r="56">
      <c r="A56" s="47" t="s">
        <v>53</v>
      </c>
    </row>
    <row r="57">
      <c r="A57" s="47" t="s">
        <v>54</v>
      </c>
    </row>
    <row r="58">
      <c r="A58" s="47" t="s">
        <v>55</v>
      </c>
    </row>
    <row r="59">
      <c r="A59" s="47" t="s">
        <v>56</v>
      </c>
    </row>
    <row r="60">
      <c r="A60" s="47" t="s">
        <v>57</v>
      </c>
    </row>
    <row r="61">
      <c r="A61" s="47" t="s">
        <v>58</v>
      </c>
    </row>
    <row r="62">
      <c r="A62" s="47" t="s">
        <v>59</v>
      </c>
    </row>
    <row r="63">
      <c r="A63" s="47" t="s">
        <v>60</v>
      </c>
    </row>
    <row r="64">
      <c r="A64" s="47" t="s">
        <v>61</v>
      </c>
    </row>
    <row r="65">
      <c r="A65" s="47" t="s">
        <v>62</v>
      </c>
    </row>
    <row r="66">
      <c r="A66" s="47" t="s">
        <v>63</v>
      </c>
    </row>
    <row r="67">
      <c r="A67" s="47" t="s">
        <v>64</v>
      </c>
    </row>
    <row r="68">
      <c r="A68" s="47" t="s">
        <v>65</v>
      </c>
    </row>
    <row r="69">
      <c r="A69" s="47" t="s">
        <v>66</v>
      </c>
    </row>
    <row r="70">
      <c r="A70" s="47" t="s">
        <v>67</v>
      </c>
    </row>
    <row r="71">
      <c r="A71" s="47" t="s">
        <v>68</v>
      </c>
    </row>
    <row r="72">
      <c r="A72" s="47" t="s">
        <v>69</v>
      </c>
    </row>
    <row r="73">
      <c r="A73" s="47" t="s">
        <v>70</v>
      </c>
    </row>
    <row r="74">
      <c r="A74" s="47" t="s">
        <v>71</v>
      </c>
    </row>
    <row r="75">
      <c r="A75" s="47" t="s">
        <v>72</v>
      </c>
    </row>
    <row r="76">
      <c r="A76" s="47" t="s">
        <v>73</v>
      </c>
    </row>
    <row r="77">
      <c r="A77" s="47" t="s">
        <v>74</v>
      </c>
    </row>
    <row r="78">
      <c r="A78" s="47" t="s">
        <v>75</v>
      </c>
    </row>
    <row r="79">
      <c r="A79" s="47" t="s">
        <v>76</v>
      </c>
    </row>
    <row r="80">
      <c r="A80" s="47" t="s">
        <v>77</v>
      </c>
    </row>
    <row r="82">
      <c r="A82" s="42" t="s">
        <v>78</v>
      </c>
    </row>
    <row r="83">
      <c r="A83" s="47" t="s">
        <v>79</v>
      </c>
      <c r="C83" s="44" t="s">
        <v>80</v>
      </c>
    </row>
    <row r="84">
      <c r="A84" s="47" t="s">
        <v>81</v>
      </c>
      <c r="F84" s="44" t="s">
        <v>82</v>
      </c>
    </row>
    <row r="86">
      <c r="A86" s="42" t="s">
        <v>83</v>
      </c>
    </row>
    <row r="88">
      <c r="A88" s="44" t="s">
        <v>84</v>
      </c>
    </row>
    <row r="90">
      <c r="A90" s="48" t="s">
        <v>85</v>
      </c>
    </row>
    <row r="91">
      <c r="B91" s="49" t="str">
        <f>HYPERLINK("https://docs.google.com/spreadsheets/d/1fyWMHOYKcR-t77kV-cN79A6B5-aBpQS8Y7W5juVKLV8/edit#gid=1904113265","Main Page")</f>
        <v>Main Page</v>
      </c>
    </row>
    <row r="92">
      <c r="B92" s="47" t="s">
        <v>86</v>
      </c>
    </row>
    <row r="93">
      <c r="B93" s="47" t="s">
        <v>15</v>
      </c>
    </row>
    <row r="94">
      <c r="B94" s="47" t="s">
        <v>13</v>
      </c>
    </row>
    <row r="95">
      <c r="B95" s="47" t="s">
        <v>14</v>
      </c>
    </row>
    <row r="96">
      <c r="B96" s="49" t="str">
        <f>HYPERLINK("https://docs.google.com/spreadsheets/d/1bYiTv-Zo2N2eynFJkhs8SRPMWWYMSBD4zwsRzagtp-c/edit#gid=0","Listing Criteria")</f>
        <v>Listing Criteria</v>
      </c>
    </row>
    <row r="99">
      <c r="A99" s="50" t="s">
        <v>87</v>
      </c>
      <c r="B99" s="51"/>
      <c r="C99" s="51"/>
      <c r="D99" s="51"/>
      <c r="E99" s="51"/>
    </row>
    <row r="101">
      <c r="F101" s="52" t="s">
        <v>0</v>
      </c>
      <c r="G101" s="52" t="s">
        <v>88</v>
      </c>
    </row>
    <row r="102">
      <c r="G102" s="35" t="s">
        <v>89</v>
      </c>
      <c r="H102" s="35" t="s">
        <v>90</v>
      </c>
      <c r="I102" s="35" t="s">
        <v>91</v>
      </c>
      <c r="J102" s="35" t="s">
        <v>92</v>
      </c>
      <c r="K102" s="35" t="s">
        <v>93</v>
      </c>
      <c r="L102" s="35" t="s">
        <v>94</v>
      </c>
      <c r="M102" s="35" t="s">
        <v>95</v>
      </c>
    </row>
    <row r="103">
      <c r="G103" s="35" t="s">
        <v>96</v>
      </c>
      <c r="H103" s="53" t="str">
        <f>A33</f>
        <v>F</v>
      </c>
      <c r="I103" s="35" t="s">
        <v>97</v>
      </c>
      <c r="J103" s="35" t="s">
        <v>98</v>
      </c>
      <c r="K103" s="35">
        <v>2.1917313E7</v>
      </c>
      <c r="L103" s="35">
        <v>1.9755427E7</v>
      </c>
      <c r="M103" s="35" t="s">
        <v>99</v>
      </c>
    </row>
    <row r="104">
      <c r="G104" s="35" t="s">
        <v>97</v>
      </c>
      <c r="H104" s="53" t="str">
        <f>A33</f>
        <v>F</v>
      </c>
      <c r="I104" s="35" t="s">
        <v>96</v>
      </c>
      <c r="J104" s="35" t="s">
        <v>98</v>
      </c>
      <c r="K104" s="35">
        <v>2.1917313E7</v>
      </c>
      <c r="L104" s="35">
        <v>1.9755427E7</v>
      </c>
      <c r="M104" s="35" t="s">
        <v>99</v>
      </c>
    </row>
    <row r="105">
      <c r="G105" s="35" t="s">
        <v>100</v>
      </c>
      <c r="H105" s="53" t="str">
        <f>A33</f>
        <v>F</v>
      </c>
      <c r="I105" s="35" t="s">
        <v>101</v>
      </c>
      <c r="J105" s="54" t="s">
        <v>102</v>
      </c>
      <c r="K105" s="35">
        <v>1.499696E7</v>
      </c>
      <c r="L105" s="35">
        <v>1.2885045E7</v>
      </c>
      <c r="M105" s="35" t="s">
        <v>103</v>
      </c>
    </row>
    <row r="106">
      <c r="G106" s="35" t="s">
        <v>104</v>
      </c>
      <c r="H106" s="53" t="str">
        <f>A33</f>
        <v>F</v>
      </c>
      <c r="I106" s="35" t="s">
        <v>105</v>
      </c>
      <c r="J106" s="54" t="s">
        <v>102</v>
      </c>
      <c r="K106" s="35">
        <v>1.499696E7</v>
      </c>
      <c r="L106" s="35">
        <v>1.2885045E7</v>
      </c>
      <c r="M106" s="35" t="s">
        <v>103</v>
      </c>
    </row>
    <row r="107">
      <c r="G107" s="35" t="s">
        <v>106</v>
      </c>
      <c r="H107" s="53" t="str">
        <f>A33</f>
        <v>F</v>
      </c>
      <c r="I107" s="35" t="s">
        <v>107</v>
      </c>
      <c r="J107" s="54" t="s">
        <v>102</v>
      </c>
      <c r="K107" s="35">
        <v>1.499696E7</v>
      </c>
      <c r="L107" s="35">
        <v>1.2885045E7</v>
      </c>
      <c r="M107" s="35" t="s">
        <v>103</v>
      </c>
    </row>
    <row r="108">
      <c r="G108" s="35" t="s">
        <v>108</v>
      </c>
      <c r="H108" s="53" t="str">
        <f>A33</f>
        <v>F</v>
      </c>
      <c r="I108" s="35" t="s">
        <v>109</v>
      </c>
      <c r="J108" s="3" t="s">
        <v>110</v>
      </c>
      <c r="K108" s="35">
        <v>1.5095345E7</v>
      </c>
      <c r="L108" s="35">
        <v>1.2983433E7</v>
      </c>
      <c r="M108" s="35" t="s">
        <v>103</v>
      </c>
    </row>
    <row r="109">
      <c r="G109" s="35" t="s">
        <v>111</v>
      </c>
      <c r="H109" s="53" t="str">
        <f>A33</f>
        <v>F</v>
      </c>
      <c r="I109" s="35" t="s">
        <v>112</v>
      </c>
      <c r="J109" s="3" t="s">
        <v>110</v>
      </c>
      <c r="K109" s="35">
        <v>1.5095345E7</v>
      </c>
      <c r="L109" s="35">
        <v>1.2983433E7</v>
      </c>
      <c r="M109" s="35" t="s">
        <v>103</v>
      </c>
    </row>
    <row r="110">
      <c r="G110" s="35" t="s">
        <v>113</v>
      </c>
      <c r="H110" s="53" t="str">
        <f>A33</f>
        <v>F</v>
      </c>
      <c r="I110" s="35" t="s">
        <v>114</v>
      </c>
      <c r="J110" s="3" t="s">
        <v>110</v>
      </c>
      <c r="K110" s="35">
        <v>1.5095345E7</v>
      </c>
      <c r="L110" s="35">
        <v>1.2983433E7</v>
      </c>
      <c r="M110" s="35" t="s">
        <v>103</v>
      </c>
    </row>
    <row r="111">
      <c r="G111" s="35" t="s">
        <v>115</v>
      </c>
      <c r="H111" s="53" t="str">
        <f>A33</f>
        <v>F</v>
      </c>
      <c r="I111" s="35" t="s">
        <v>116</v>
      </c>
      <c r="J111" s="3" t="s">
        <v>117</v>
      </c>
      <c r="K111" s="35">
        <v>1.5323154E7</v>
      </c>
      <c r="L111" s="35">
        <v>1.3211272E7</v>
      </c>
      <c r="M111" s="35" t="s">
        <v>103</v>
      </c>
    </row>
    <row r="112">
      <c r="G112" s="35" t="s">
        <v>118</v>
      </c>
      <c r="H112" s="55" t="str">
        <f>A33</f>
        <v>F</v>
      </c>
      <c r="I112" s="35" t="s">
        <v>119</v>
      </c>
      <c r="J112" s="3" t="s">
        <v>117</v>
      </c>
      <c r="K112" s="35">
        <v>1.5323154E7</v>
      </c>
      <c r="L112" s="35">
        <v>1.3211272E7</v>
      </c>
      <c r="M112" s="35" t="s">
        <v>103</v>
      </c>
    </row>
    <row r="113">
      <c r="G113" s="35" t="s">
        <v>120</v>
      </c>
      <c r="H113" s="53" t="str">
        <f>A33</f>
        <v>F</v>
      </c>
      <c r="I113" s="35" t="s">
        <v>121</v>
      </c>
      <c r="J113" s="3" t="s">
        <v>117</v>
      </c>
      <c r="K113" s="35">
        <v>1.5323154E7</v>
      </c>
      <c r="L113" s="35">
        <v>1.3211272E7</v>
      </c>
      <c r="M113" s="35" t="s">
        <v>103</v>
      </c>
    </row>
    <row r="114">
      <c r="G114" s="35" t="s">
        <v>122</v>
      </c>
      <c r="H114" s="53" t="str">
        <f>A33</f>
        <v>F</v>
      </c>
      <c r="I114" s="35" t="s">
        <v>123</v>
      </c>
      <c r="J114" s="35" t="s">
        <v>124</v>
      </c>
      <c r="K114" s="56">
        <v>1.5651438E7</v>
      </c>
      <c r="L114" s="35">
        <v>1.3539558E7</v>
      </c>
      <c r="M114" s="35" t="s">
        <v>125</v>
      </c>
    </row>
    <row r="115">
      <c r="G115" s="57" t="s">
        <v>126</v>
      </c>
      <c r="H115" s="53" t="str">
        <f>A33</f>
        <v>F</v>
      </c>
      <c r="I115" s="35" t="s">
        <v>127</v>
      </c>
      <c r="J115" s="35" t="s">
        <v>124</v>
      </c>
      <c r="K115" s="56">
        <v>1.5651438E7</v>
      </c>
      <c r="L115" s="35">
        <v>1.3539558E7</v>
      </c>
      <c r="M115" s="35" t="s">
        <v>125</v>
      </c>
    </row>
    <row r="116">
      <c r="G116" s="35" t="s">
        <v>128</v>
      </c>
      <c r="H116" s="53" t="str">
        <f>A33</f>
        <v>F</v>
      </c>
      <c r="I116" s="35" t="s">
        <v>129</v>
      </c>
      <c r="J116" s="35" t="s">
        <v>124</v>
      </c>
      <c r="K116" s="56">
        <v>1.5651438E7</v>
      </c>
      <c r="L116" s="35">
        <v>1.3539558E7</v>
      </c>
      <c r="M116" s="35" t="s">
        <v>125</v>
      </c>
    </row>
    <row r="117">
      <c r="G117" s="35" t="s">
        <v>130</v>
      </c>
      <c r="H117" s="53" t="str">
        <f>A33</f>
        <v>F</v>
      </c>
      <c r="I117" s="35" t="s">
        <v>131</v>
      </c>
      <c r="J117" s="3" t="s">
        <v>132</v>
      </c>
      <c r="K117" s="35">
        <v>1.669078E7</v>
      </c>
      <c r="L117" s="35">
        <v>1.45789E7</v>
      </c>
      <c r="M117" s="35" t="s">
        <v>133</v>
      </c>
    </row>
    <row r="118">
      <c r="G118" s="35" t="s">
        <v>134</v>
      </c>
      <c r="H118" s="53" t="str">
        <f>A33</f>
        <v>F</v>
      </c>
      <c r="I118" s="35" t="s">
        <v>135</v>
      </c>
      <c r="J118" s="3" t="s">
        <v>132</v>
      </c>
      <c r="K118" s="35">
        <v>1.669078E7</v>
      </c>
      <c r="L118" s="35">
        <v>1.45789E7</v>
      </c>
      <c r="M118" s="35" t="s">
        <v>133</v>
      </c>
    </row>
    <row r="119">
      <c r="G119" s="35" t="s">
        <v>136</v>
      </c>
      <c r="H119" s="53" t="str">
        <f>A33</f>
        <v>F</v>
      </c>
      <c r="I119" s="35" t="s">
        <v>137</v>
      </c>
      <c r="J119" s="3" t="s">
        <v>132</v>
      </c>
      <c r="K119" s="35">
        <v>1.669078E7</v>
      </c>
      <c r="L119" s="35">
        <v>1.45789E7</v>
      </c>
      <c r="M119" s="35" t="s">
        <v>133</v>
      </c>
    </row>
    <row r="120">
      <c r="G120" s="35" t="s">
        <v>138</v>
      </c>
      <c r="H120" s="53" t="str">
        <f>A33</f>
        <v>F</v>
      </c>
      <c r="I120" s="35" t="s">
        <v>139</v>
      </c>
      <c r="J120" s="3" t="s">
        <v>140</v>
      </c>
      <c r="K120" s="35">
        <v>2.8650343E7</v>
      </c>
      <c r="L120" s="35">
        <v>2.6504196E7</v>
      </c>
      <c r="M120" s="35" t="s">
        <v>141</v>
      </c>
    </row>
    <row r="121">
      <c r="G121" s="35" t="s">
        <v>142</v>
      </c>
      <c r="H121" s="53" t="str">
        <f>A33</f>
        <v>F</v>
      </c>
      <c r="I121" s="35" t="s">
        <v>143</v>
      </c>
      <c r="J121" s="3" t="s">
        <v>140</v>
      </c>
      <c r="K121" s="35">
        <v>2.8650343E7</v>
      </c>
      <c r="L121" s="35">
        <v>2.6504196E7</v>
      </c>
      <c r="M121" s="35" t="s">
        <v>141</v>
      </c>
    </row>
    <row r="122">
      <c r="G122" s="35" t="s">
        <v>144</v>
      </c>
      <c r="H122" s="53" t="str">
        <f>A33</f>
        <v>F</v>
      </c>
      <c r="I122" s="35" t="s">
        <v>145</v>
      </c>
      <c r="J122" s="3" t="s">
        <v>140</v>
      </c>
      <c r="K122" s="35">
        <v>2.8650343E7</v>
      </c>
      <c r="L122" s="35">
        <v>2.6504196E7</v>
      </c>
      <c r="M122" s="35" t="s">
        <v>141</v>
      </c>
    </row>
    <row r="123">
      <c r="G123" s="35" t="s">
        <v>146</v>
      </c>
      <c r="H123" s="53" t="str">
        <f>A33</f>
        <v>F</v>
      </c>
      <c r="I123" s="35" t="s">
        <v>147</v>
      </c>
      <c r="J123" s="3" t="s">
        <v>148</v>
      </c>
      <c r="K123" s="35">
        <v>2722506.0</v>
      </c>
      <c r="L123" s="35">
        <v>2854465.0</v>
      </c>
      <c r="M123" s="35" t="s">
        <v>149</v>
      </c>
    </row>
    <row r="124">
      <c r="G124" s="35" t="s">
        <v>150</v>
      </c>
      <c r="H124" s="53" t="str">
        <f>A33</f>
        <v>F</v>
      </c>
      <c r="I124" s="35" t="s">
        <v>151</v>
      </c>
      <c r="J124" s="3" t="s">
        <v>148</v>
      </c>
      <c r="K124" s="35">
        <v>2722506.0</v>
      </c>
      <c r="L124" s="35">
        <v>2854465.0</v>
      </c>
      <c r="M124" s="35" t="s">
        <v>149</v>
      </c>
    </row>
    <row r="125">
      <c r="G125" s="35" t="s">
        <v>152</v>
      </c>
      <c r="H125" s="53" t="str">
        <f>A33</f>
        <v>F</v>
      </c>
      <c r="I125" s="35" t="s">
        <v>153</v>
      </c>
      <c r="J125" s="3" t="s">
        <v>148</v>
      </c>
      <c r="K125" s="35">
        <v>2722506.0</v>
      </c>
      <c r="L125" s="35">
        <v>2854465.0</v>
      </c>
      <c r="M125" s="35" t="s">
        <v>149</v>
      </c>
    </row>
    <row r="126">
      <c r="G126" s="35" t="s">
        <v>154</v>
      </c>
      <c r="H126" s="53" t="str">
        <f>A33</f>
        <v>F</v>
      </c>
      <c r="I126" s="35" t="s">
        <v>155</v>
      </c>
      <c r="J126" s="3" t="s">
        <v>148</v>
      </c>
      <c r="K126" s="35">
        <v>2722506.0</v>
      </c>
      <c r="L126" s="35">
        <v>2854465.0</v>
      </c>
      <c r="M126" s="35" t="s">
        <v>149</v>
      </c>
    </row>
    <row r="127">
      <c r="G127" s="35" t="s">
        <v>156</v>
      </c>
      <c r="H127" s="53" t="str">
        <f>A33</f>
        <v>F</v>
      </c>
      <c r="I127" s="35" t="s">
        <v>157</v>
      </c>
      <c r="J127" s="3" t="s">
        <v>158</v>
      </c>
      <c r="K127" s="35">
        <v>7671530.0</v>
      </c>
      <c r="L127" s="35">
        <v>7803489.0</v>
      </c>
      <c r="M127" s="35" t="s">
        <v>149</v>
      </c>
    </row>
    <row r="128">
      <c r="G128" s="35" t="s">
        <v>159</v>
      </c>
      <c r="H128" s="53" t="str">
        <f>A33</f>
        <v>F</v>
      </c>
      <c r="I128" s="35" t="s">
        <v>160</v>
      </c>
      <c r="J128" s="3" t="s">
        <v>158</v>
      </c>
      <c r="K128" s="35">
        <v>7671530.0</v>
      </c>
      <c r="L128" s="35">
        <v>7803489.0</v>
      </c>
      <c r="M128" s="35" t="s">
        <v>149</v>
      </c>
    </row>
    <row r="129">
      <c r="G129" s="35" t="s">
        <v>161</v>
      </c>
      <c r="H129" s="53" t="str">
        <f>A33</f>
        <v>F</v>
      </c>
      <c r="I129" s="35" t="s">
        <v>162</v>
      </c>
      <c r="J129" s="3" t="s">
        <v>158</v>
      </c>
      <c r="K129" s="35">
        <v>7671530.0</v>
      </c>
      <c r="L129" s="35">
        <v>7803489.0</v>
      </c>
      <c r="M129" s="35" t="s">
        <v>149</v>
      </c>
    </row>
    <row r="130">
      <c r="G130" s="35" t="s">
        <v>163</v>
      </c>
      <c r="H130" s="53" t="str">
        <f>A33</f>
        <v>F</v>
      </c>
      <c r="I130" s="35" t="s">
        <v>164</v>
      </c>
      <c r="J130" s="3" t="s">
        <v>158</v>
      </c>
      <c r="K130" s="35">
        <v>7671530.0</v>
      </c>
      <c r="L130" s="35">
        <v>7803489.0</v>
      </c>
      <c r="M130" s="35" t="s">
        <v>149</v>
      </c>
    </row>
    <row r="131">
      <c r="G131" s="35" t="s">
        <v>165</v>
      </c>
      <c r="H131" s="53" t="str">
        <f>A33</f>
        <v>F</v>
      </c>
      <c r="I131" s="35" t="s">
        <v>166</v>
      </c>
      <c r="J131" s="3" t="s">
        <v>167</v>
      </c>
      <c r="K131" s="35">
        <v>8442341.0</v>
      </c>
      <c r="L131" s="35">
        <v>8574300.0</v>
      </c>
      <c r="M131" s="35" t="s">
        <v>103</v>
      </c>
    </row>
    <row r="132">
      <c r="G132" s="35" t="s">
        <v>168</v>
      </c>
      <c r="H132" s="53" t="str">
        <f>A33</f>
        <v>F</v>
      </c>
      <c r="I132" s="35" t="s">
        <v>169</v>
      </c>
      <c r="J132" s="3" t="s">
        <v>167</v>
      </c>
      <c r="K132" s="35">
        <v>8442341.0</v>
      </c>
      <c r="L132" s="35">
        <v>8574300.0</v>
      </c>
      <c r="M132" s="35" t="s">
        <v>103</v>
      </c>
    </row>
    <row r="133">
      <c r="G133" s="35" t="s">
        <v>170</v>
      </c>
      <c r="H133" s="53" t="str">
        <f>A33</f>
        <v>F</v>
      </c>
      <c r="I133" s="35" t="s">
        <v>171</v>
      </c>
      <c r="J133" s="3" t="s">
        <v>167</v>
      </c>
      <c r="K133" s="35">
        <v>8442341.0</v>
      </c>
      <c r="L133" s="35">
        <v>8574300.0</v>
      </c>
      <c r="M133" s="35" t="s">
        <v>103</v>
      </c>
    </row>
    <row r="134">
      <c r="G134" s="35" t="s">
        <v>172</v>
      </c>
      <c r="H134" s="53" t="str">
        <f>A33</f>
        <v>F</v>
      </c>
      <c r="I134" s="35" t="s">
        <v>173</v>
      </c>
      <c r="J134" s="3" t="s">
        <v>174</v>
      </c>
      <c r="K134" s="35">
        <v>8572150.0</v>
      </c>
      <c r="L134" s="35">
        <v>8704109.0</v>
      </c>
      <c r="M134" s="35" t="s">
        <v>149</v>
      </c>
    </row>
    <row r="135">
      <c r="G135" s="35" t="s">
        <v>175</v>
      </c>
      <c r="H135" s="53" t="str">
        <f>A33</f>
        <v>F</v>
      </c>
      <c r="I135" s="35" t="s">
        <v>176</v>
      </c>
      <c r="J135" s="3" t="s">
        <v>174</v>
      </c>
      <c r="K135" s="35">
        <v>8572150.0</v>
      </c>
      <c r="L135" s="35">
        <v>8704109.0</v>
      </c>
      <c r="M135" s="35" t="s">
        <v>149</v>
      </c>
    </row>
    <row r="136">
      <c r="G136" s="35" t="s">
        <v>177</v>
      </c>
      <c r="H136" s="53" t="str">
        <f>A33</f>
        <v>F</v>
      </c>
      <c r="I136" s="35" t="s">
        <v>178</v>
      </c>
      <c r="J136" s="3" t="s">
        <v>174</v>
      </c>
      <c r="K136" s="35">
        <v>8572150.0</v>
      </c>
      <c r="L136" s="35">
        <v>8704109.0</v>
      </c>
      <c r="M136" s="35" t="s">
        <v>149</v>
      </c>
    </row>
    <row r="137">
      <c r="G137" s="35" t="s">
        <v>179</v>
      </c>
      <c r="H137" s="53" t="str">
        <f>A33</f>
        <v>F</v>
      </c>
      <c r="I137" s="35" t="s">
        <v>180</v>
      </c>
      <c r="J137" s="3" t="s">
        <v>181</v>
      </c>
      <c r="K137" s="35">
        <v>8589031.0</v>
      </c>
      <c r="L137" s="35">
        <v>8720990.0</v>
      </c>
      <c r="M137" s="35" t="s">
        <v>99</v>
      </c>
    </row>
    <row r="138">
      <c r="G138" s="35" t="s">
        <v>182</v>
      </c>
      <c r="H138" s="53" t="str">
        <f>A33</f>
        <v>F</v>
      </c>
      <c r="I138" s="35" t="s">
        <v>183</v>
      </c>
      <c r="J138" s="3" t="s">
        <v>181</v>
      </c>
      <c r="K138" s="35">
        <v>8589031.0</v>
      </c>
      <c r="L138" s="35">
        <v>8720990.0</v>
      </c>
      <c r="M138" s="35" t="s">
        <v>99</v>
      </c>
    </row>
    <row r="139">
      <c r="G139" s="35" t="s">
        <v>184</v>
      </c>
      <c r="H139" s="53" t="str">
        <f>A33</f>
        <v>F</v>
      </c>
      <c r="I139" s="35" t="s">
        <v>185</v>
      </c>
      <c r="J139" s="3" t="s">
        <v>181</v>
      </c>
      <c r="K139" s="35">
        <v>8589031.0</v>
      </c>
      <c r="L139" s="35">
        <v>8720990.0</v>
      </c>
      <c r="M139" s="35" t="s">
        <v>99</v>
      </c>
    </row>
    <row r="140">
      <c r="G140" s="35" t="s">
        <v>186</v>
      </c>
      <c r="H140" s="53" t="str">
        <f>A33</f>
        <v>F</v>
      </c>
      <c r="I140" s="35" t="s">
        <v>187</v>
      </c>
      <c r="J140" s="3" t="s">
        <v>181</v>
      </c>
      <c r="K140" s="35">
        <v>8589031.0</v>
      </c>
      <c r="L140" s="35">
        <v>8720990.0</v>
      </c>
      <c r="M140" s="35" t="s">
        <v>99</v>
      </c>
    </row>
    <row r="141">
      <c r="G141" s="35" t="s">
        <v>188</v>
      </c>
      <c r="H141" s="53" t="str">
        <f>A33</f>
        <v>F</v>
      </c>
      <c r="I141" s="35" t="s">
        <v>189</v>
      </c>
      <c r="J141" s="3" t="s">
        <v>190</v>
      </c>
      <c r="K141" s="35">
        <v>1.4149772E7</v>
      </c>
      <c r="L141" s="35">
        <v>1.2029066E7</v>
      </c>
      <c r="M141" s="35" t="s">
        <v>99</v>
      </c>
    </row>
    <row r="142">
      <c r="G142" s="35" t="s">
        <v>191</v>
      </c>
      <c r="H142" s="53" t="str">
        <f>A33</f>
        <v>F</v>
      </c>
      <c r="I142" s="35" t="s">
        <v>192</v>
      </c>
      <c r="J142" s="3" t="s">
        <v>190</v>
      </c>
      <c r="K142" s="35">
        <v>1.4149772E7</v>
      </c>
      <c r="L142" s="35">
        <v>1.2029066E7</v>
      </c>
      <c r="M142" s="35" t="s">
        <v>99</v>
      </c>
    </row>
    <row r="143">
      <c r="G143" s="35" t="s">
        <v>193</v>
      </c>
      <c r="H143" s="53" t="str">
        <f>A33</f>
        <v>F</v>
      </c>
      <c r="I143" s="35" t="s">
        <v>194</v>
      </c>
      <c r="J143" s="3" t="s">
        <v>190</v>
      </c>
      <c r="K143" s="35">
        <v>1.4149772E7</v>
      </c>
      <c r="L143" s="35">
        <v>1.2029066E7</v>
      </c>
      <c r="M143" s="35" t="s">
        <v>99</v>
      </c>
    </row>
    <row r="144">
      <c r="G144" s="35" t="s">
        <v>195</v>
      </c>
      <c r="H144" s="53" t="str">
        <f>A33</f>
        <v>F</v>
      </c>
      <c r="I144" s="35" t="s">
        <v>196</v>
      </c>
      <c r="J144" s="3" t="s">
        <v>197</v>
      </c>
      <c r="K144" s="35">
        <v>1.4171665E7</v>
      </c>
      <c r="L144" s="35">
        <v>1.2050959E7</v>
      </c>
      <c r="M144" s="35" t="s">
        <v>99</v>
      </c>
    </row>
    <row r="145">
      <c r="G145" s="35" t="s">
        <v>198</v>
      </c>
      <c r="H145" s="53" t="str">
        <f>A33</f>
        <v>F</v>
      </c>
      <c r="I145" s="35" t="s">
        <v>199</v>
      </c>
      <c r="J145" s="3" t="s">
        <v>197</v>
      </c>
      <c r="K145" s="35">
        <v>1.4171665E7</v>
      </c>
      <c r="L145" s="35">
        <v>1.2050959E7</v>
      </c>
      <c r="M145" s="35" t="s">
        <v>99</v>
      </c>
    </row>
    <row r="146">
      <c r="G146" s="35" t="s">
        <v>200</v>
      </c>
      <c r="H146" s="53" t="str">
        <f>A33</f>
        <v>F</v>
      </c>
      <c r="I146" s="35" t="s">
        <v>201</v>
      </c>
      <c r="J146" s="3" t="s">
        <v>197</v>
      </c>
      <c r="K146" s="35">
        <v>1.4171665E7</v>
      </c>
      <c r="L146" s="35">
        <v>1.2050959E7</v>
      </c>
      <c r="M146" s="35" t="s">
        <v>99</v>
      </c>
    </row>
    <row r="147">
      <c r="G147" s="35" t="s">
        <v>202</v>
      </c>
      <c r="H147" s="53" t="str">
        <f>A33</f>
        <v>F</v>
      </c>
      <c r="I147" s="35" t="s">
        <v>203</v>
      </c>
      <c r="J147" s="3" t="s">
        <v>204</v>
      </c>
      <c r="K147" s="35">
        <v>1.4294504E7</v>
      </c>
      <c r="L147" s="35">
        <v>1.2173798E7</v>
      </c>
      <c r="M147" s="35" t="s">
        <v>205</v>
      </c>
    </row>
    <row r="148">
      <c r="G148" s="35" t="s">
        <v>206</v>
      </c>
      <c r="H148" s="55" t="str">
        <f>A33</f>
        <v>F</v>
      </c>
      <c r="I148" s="35" t="s">
        <v>207</v>
      </c>
      <c r="J148" s="3" t="s">
        <v>204</v>
      </c>
      <c r="K148" s="35">
        <v>1.4294504E7</v>
      </c>
      <c r="L148" s="35">
        <v>1.2173798E7</v>
      </c>
      <c r="M148" s="35" t="s">
        <v>205</v>
      </c>
    </row>
    <row r="149">
      <c r="G149" s="35" t="s">
        <v>208</v>
      </c>
      <c r="H149" s="53" t="str">
        <f>A33</f>
        <v>F</v>
      </c>
      <c r="I149" s="35" t="s">
        <v>209</v>
      </c>
      <c r="J149" s="3" t="s">
        <v>204</v>
      </c>
      <c r="K149" s="35">
        <v>1.4294504E7</v>
      </c>
      <c r="L149" s="35">
        <v>1.2173798E7</v>
      </c>
      <c r="M149" s="35" t="s">
        <v>205</v>
      </c>
    </row>
    <row r="150">
      <c r="G150" s="35" t="s">
        <v>210</v>
      </c>
      <c r="H150" s="53" t="str">
        <f>A33</f>
        <v>F</v>
      </c>
      <c r="I150" s="35" t="s">
        <v>211</v>
      </c>
      <c r="J150" s="3" t="s">
        <v>212</v>
      </c>
      <c r="K150" s="35">
        <v>1.4334396E7</v>
      </c>
      <c r="L150" s="35">
        <v>1.2213691E7</v>
      </c>
      <c r="M150" s="35" t="s">
        <v>213</v>
      </c>
    </row>
    <row r="151">
      <c r="G151" s="35" t="s">
        <v>214</v>
      </c>
      <c r="H151" s="53" t="str">
        <f>A33</f>
        <v>F</v>
      </c>
      <c r="I151" s="35" t="s">
        <v>215</v>
      </c>
      <c r="J151" s="3" t="s">
        <v>212</v>
      </c>
      <c r="K151" s="35">
        <v>1.4334396E7</v>
      </c>
      <c r="L151" s="35">
        <v>1.2213691E7</v>
      </c>
      <c r="M151" s="35" t="s">
        <v>213</v>
      </c>
    </row>
    <row r="152">
      <c r="G152" s="35" t="s">
        <v>216</v>
      </c>
      <c r="H152" s="53" t="str">
        <f>A33</f>
        <v>F</v>
      </c>
      <c r="I152" s="35" t="s">
        <v>217</v>
      </c>
      <c r="J152" s="3" t="s">
        <v>212</v>
      </c>
      <c r="K152" s="35">
        <v>1.4334396E7</v>
      </c>
      <c r="L152" s="35">
        <v>1.2213691E7</v>
      </c>
      <c r="M152" s="35" t="s">
        <v>213</v>
      </c>
    </row>
    <row r="153">
      <c r="G153" s="35" t="s">
        <v>218</v>
      </c>
      <c r="H153" s="53" t="str">
        <f>A33</f>
        <v>F</v>
      </c>
      <c r="I153" s="35" t="s">
        <v>219</v>
      </c>
      <c r="J153" s="3" t="s">
        <v>220</v>
      </c>
      <c r="K153" s="35">
        <v>1.5955432E7</v>
      </c>
      <c r="L153" s="35">
        <v>1.3843552E7</v>
      </c>
      <c r="M153" s="35" t="s">
        <v>125</v>
      </c>
    </row>
    <row r="154">
      <c r="G154" s="35" t="s">
        <v>221</v>
      </c>
      <c r="H154" s="53" t="str">
        <f>A33</f>
        <v>F</v>
      </c>
      <c r="I154" s="35" t="s">
        <v>222</v>
      </c>
      <c r="J154" s="3" t="s">
        <v>220</v>
      </c>
      <c r="K154" s="35">
        <v>1.5955432E7</v>
      </c>
      <c r="L154" s="35">
        <v>1.3843552E7</v>
      </c>
      <c r="M154" s="35" t="s">
        <v>125</v>
      </c>
    </row>
    <row r="155">
      <c r="G155" s="35" t="s">
        <v>223</v>
      </c>
      <c r="H155" s="53" t="str">
        <f>A33</f>
        <v>F</v>
      </c>
      <c r="I155" s="35" t="s">
        <v>224</v>
      </c>
      <c r="J155" s="3" t="s">
        <v>220</v>
      </c>
      <c r="K155" s="35">
        <v>1.5955432E7</v>
      </c>
      <c r="L155" s="35">
        <v>1.3843552E7</v>
      </c>
      <c r="M155" s="35" t="s">
        <v>125</v>
      </c>
    </row>
    <row r="156">
      <c r="G156" s="35" t="s">
        <v>225</v>
      </c>
      <c r="H156" s="53" t="str">
        <f>A33</f>
        <v>F</v>
      </c>
      <c r="I156" s="35" t="s">
        <v>226</v>
      </c>
      <c r="J156" s="3" t="s">
        <v>220</v>
      </c>
      <c r="K156" s="35">
        <v>1.5955432E7</v>
      </c>
      <c r="L156" s="35">
        <v>1.3843552E7</v>
      </c>
      <c r="M156" s="35" t="s">
        <v>125</v>
      </c>
    </row>
    <row r="157">
      <c r="G157" s="35" t="s">
        <v>227</v>
      </c>
      <c r="H157" s="53" t="str">
        <f>A33</f>
        <v>F</v>
      </c>
      <c r="I157" s="35" t="s">
        <v>228</v>
      </c>
      <c r="J157" s="3" t="s">
        <v>229</v>
      </c>
      <c r="K157" s="35">
        <v>1.6178042E7</v>
      </c>
      <c r="L157" s="35">
        <v>1.4066162E7</v>
      </c>
      <c r="M157" s="35" t="s">
        <v>125</v>
      </c>
    </row>
    <row r="158">
      <c r="G158" s="35" t="s">
        <v>228</v>
      </c>
      <c r="H158" s="53" t="str">
        <f>A33</f>
        <v>F</v>
      </c>
      <c r="I158" s="35" t="s">
        <v>227</v>
      </c>
      <c r="J158" s="3" t="s">
        <v>229</v>
      </c>
      <c r="K158" s="35">
        <v>1.6178042E7</v>
      </c>
      <c r="L158" s="35">
        <v>1.4066162E7</v>
      </c>
      <c r="M158" s="35" t="s">
        <v>125</v>
      </c>
    </row>
    <row r="159">
      <c r="G159" s="35" t="s">
        <v>230</v>
      </c>
      <c r="H159" s="53" t="str">
        <f>A33</f>
        <v>F</v>
      </c>
      <c r="I159" s="35" t="s">
        <v>231</v>
      </c>
      <c r="J159" s="3" t="s">
        <v>232</v>
      </c>
      <c r="K159" s="35">
        <v>1.6364286E7</v>
      </c>
      <c r="L159" s="35">
        <v>1.4252406E7</v>
      </c>
      <c r="M159" s="35" t="s">
        <v>233</v>
      </c>
    </row>
    <row r="160">
      <c r="G160" s="35" t="s">
        <v>231</v>
      </c>
      <c r="H160" s="53" t="str">
        <f>A33</f>
        <v>F</v>
      </c>
      <c r="I160" s="35" t="s">
        <v>230</v>
      </c>
      <c r="J160" s="3" t="s">
        <v>232</v>
      </c>
      <c r="K160" s="35">
        <v>1.6364286E7</v>
      </c>
      <c r="L160" s="35">
        <v>1.4252406E7</v>
      </c>
      <c r="M160" s="35" t="s">
        <v>233</v>
      </c>
    </row>
    <row r="161">
      <c r="G161" s="35" t="s">
        <v>234</v>
      </c>
      <c r="H161" s="53" t="str">
        <f>A33</f>
        <v>F</v>
      </c>
      <c r="I161" s="35" t="s">
        <v>235</v>
      </c>
      <c r="J161" s="3" t="s">
        <v>236</v>
      </c>
      <c r="K161" s="35">
        <v>1.6401339E7</v>
      </c>
      <c r="L161" s="35">
        <v>1.4289459E7</v>
      </c>
      <c r="M161" s="35" t="s">
        <v>99</v>
      </c>
    </row>
    <row r="162">
      <c r="G162" s="35" t="s">
        <v>237</v>
      </c>
      <c r="H162" s="53" t="str">
        <f>A33</f>
        <v>F</v>
      </c>
      <c r="I162" s="35" t="s">
        <v>238</v>
      </c>
      <c r="J162" s="3" t="s">
        <v>236</v>
      </c>
      <c r="K162" s="35">
        <v>1.6401339E7</v>
      </c>
      <c r="L162" s="35">
        <v>1.4289459E7</v>
      </c>
      <c r="M162" s="35" t="s">
        <v>99</v>
      </c>
    </row>
    <row r="163">
      <c r="G163" s="35" t="s">
        <v>239</v>
      </c>
      <c r="H163" s="53" t="str">
        <f>A33</f>
        <v>F</v>
      </c>
      <c r="I163" s="35" t="s">
        <v>240</v>
      </c>
      <c r="J163" s="3" t="s">
        <v>236</v>
      </c>
      <c r="K163" s="35">
        <v>1.6401339E7</v>
      </c>
      <c r="L163" s="35">
        <v>1.4289459E7</v>
      </c>
      <c r="M163" s="35" t="s">
        <v>99</v>
      </c>
    </row>
    <row r="164">
      <c r="G164" s="35" t="s">
        <v>241</v>
      </c>
      <c r="H164" s="53" t="str">
        <f>A33</f>
        <v>F</v>
      </c>
      <c r="I164" s="35" t="s">
        <v>242</v>
      </c>
      <c r="J164" s="3" t="s">
        <v>243</v>
      </c>
      <c r="K164" s="35">
        <v>1.7152659E7</v>
      </c>
      <c r="L164" s="35">
        <v>1.5040779E7</v>
      </c>
      <c r="M164" s="35" t="s">
        <v>133</v>
      </c>
    </row>
    <row r="165">
      <c r="G165" s="35" t="s">
        <v>244</v>
      </c>
      <c r="H165" s="53" t="str">
        <f>A33</f>
        <v>F</v>
      </c>
      <c r="I165" s="35" t="s">
        <v>245</v>
      </c>
      <c r="J165" s="3" t="s">
        <v>243</v>
      </c>
      <c r="K165" s="35">
        <v>1.7152659E7</v>
      </c>
      <c r="L165" s="35">
        <v>1.5040779E7</v>
      </c>
      <c r="M165" s="35" t="s">
        <v>133</v>
      </c>
    </row>
    <row r="166">
      <c r="G166" s="35" t="s">
        <v>246</v>
      </c>
      <c r="H166" s="53" t="str">
        <f>A33</f>
        <v>F</v>
      </c>
      <c r="I166" s="35" t="s">
        <v>247</v>
      </c>
      <c r="J166" s="3" t="s">
        <v>243</v>
      </c>
      <c r="K166" s="35">
        <v>1.7152659E7</v>
      </c>
      <c r="L166" s="35">
        <v>1.5040779E7</v>
      </c>
      <c r="M166" s="35" t="s">
        <v>133</v>
      </c>
    </row>
    <row r="167">
      <c r="G167" s="35" t="s">
        <v>248</v>
      </c>
      <c r="H167" s="53" t="str">
        <f>A33</f>
        <v>F</v>
      </c>
      <c r="I167" s="35" t="s">
        <v>249</v>
      </c>
      <c r="J167" s="3" t="s">
        <v>250</v>
      </c>
      <c r="K167" s="35">
        <v>1.7762668E7</v>
      </c>
      <c r="L167" s="35">
        <v>1.5650788E7</v>
      </c>
      <c r="M167" s="35" t="s">
        <v>133</v>
      </c>
    </row>
    <row r="168">
      <c r="G168" s="35" t="s">
        <v>251</v>
      </c>
      <c r="H168" s="53" t="str">
        <f>A33</f>
        <v>F</v>
      </c>
      <c r="I168" s="35" t="s">
        <v>252</v>
      </c>
      <c r="J168" s="3" t="s">
        <v>250</v>
      </c>
      <c r="K168" s="35">
        <v>1.7762668E7</v>
      </c>
      <c r="L168" s="35">
        <v>1.5650788E7</v>
      </c>
      <c r="M168" s="35" t="s">
        <v>133</v>
      </c>
    </row>
    <row r="169">
      <c r="G169" s="35" t="s">
        <v>253</v>
      </c>
      <c r="H169" s="53" t="str">
        <f>A33</f>
        <v>F</v>
      </c>
      <c r="I169" s="35" t="s">
        <v>254</v>
      </c>
      <c r="J169" s="3" t="s">
        <v>250</v>
      </c>
      <c r="K169" s="35">
        <v>1.7762668E7</v>
      </c>
      <c r="L169" s="35">
        <v>1.5650788E7</v>
      </c>
      <c r="M169" s="35" t="s">
        <v>133</v>
      </c>
    </row>
    <row r="170">
      <c r="G170" s="35" t="s">
        <v>255</v>
      </c>
      <c r="H170" s="53" t="str">
        <f>A33</f>
        <v>F</v>
      </c>
      <c r="I170" s="35" t="s">
        <v>256</v>
      </c>
      <c r="J170" s="3" t="s">
        <v>250</v>
      </c>
      <c r="K170" s="35">
        <v>1.7762668E7</v>
      </c>
      <c r="L170" s="35">
        <v>1.5650788E7</v>
      </c>
      <c r="M170" s="35" t="s">
        <v>133</v>
      </c>
    </row>
    <row r="171">
      <c r="G171" s="35" t="s">
        <v>257</v>
      </c>
      <c r="H171" s="53" t="str">
        <f>A33</f>
        <v>F</v>
      </c>
      <c r="I171" s="35" t="s">
        <v>258</v>
      </c>
      <c r="J171" s="3" t="s">
        <v>259</v>
      </c>
      <c r="K171" s="35">
        <v>1.8051289E7</v>
      </c>
      <c r="L171" s="35">
        <v>1.5939409E7</v>
      </c>
      <c r="M171" s="35" t="s">
        <v>141</v>
      </c>
    </row>
    <row r="172">
      <c r="G172" s="35" t="s">
        <v>260</v>
      </c>
      <c r="H172" s="53" t="str">
        <f>A33</f>
        <v>F</v>
      </c>
      <c r="I172" s="35" t="s">
        <v>261</v>
      </c>
      <c r="J172" s="3" t="s">
        <v>259</v>
      </c>
      <c r="K172" s="35">
        <v>1.8051289E7</v>
      </c>
      <c r="L172" s="35">
        <v>1.5939409E7</v>
      </c>
      <c r="M172" s="35" t="s">
        <v>141</v>
      </c>
    </row>
    <row r="173">
      <c r="G173" s="35" t="s">
        <v>262</v>
      </c>
      <c r="H173" s="53" t="str">
        <f>A33</f>
        <v>F</v>
      </c>
      <c r="I173" s="35" t="s">
        <v>263</v>
      </c>
      <c r="J173" s="3" t="s">
        <v>259</v>
      </c>
      <c r="K173" s="35">
        <v>1.8051289E7</v>
      </c>
      <c r="L173" s="35">
        <v>1.5939409E7</v>
      </c>
      <c r="M173" s="35" t="s">
        <v>141</v>
      </c>
    </row>
    <row r="174">
      <c r="G174" s="35" t="s">
        <v>264</v>
      </c>
      <c r="H174" s="53" t="str">
        <f>A33</f>
        <v>F</v>
      </c>
      <c r="I174" s="35" t="s">
        <v>265</v>
      </c>
      <c r="J174" s="3" t="s">
        <v>266</v>
      </c>
      <c r="K174" s="35">
        <v>1.8765649E7</v>
      </c>
      <c r="L174" s="35">
        <v>1.6653769E7</v>
      </c>
      <c r="M174" s="35" t="s">
        <v>133</v>
      </c>
    </row>
    <row r="175">
      <c r="G175" s="35" t="s">
        <v>267</v>
      </c>
      <c r="H175" s="53" t="str">
        <f>A33</f>
        <v>F</v>
      </c>
      <c r="I175" s="35" t="s">
        <v>268</v>
      </c>
      <c r="J175" s="3" t="s">
        <v>266</v>
      </c>
      <c r="K175" s="35">
        <v>1.8765649E7</v>
      </c>
      <c r="L175" s="35">
        <v>1.6653769E7</v>
      </c>
      <c r="M175" s="35" t="s">
        <v>133</v>
      </c>
    </row>
    <row r="176">
      <c r="G176" s="35" t="s">
        <v>269</v>
      </c>
      <c r="H176" s="53" t="str">
        <f>A33</f>
        <v>F</v>
      </c>
      <c r="I176" s="35" t="s">
        <v>270</v>
      </c>
      <c r="J176" s="3" t="s">
        <v>266</v>
      </c>
      <c r="K176" s="35">
        <v>1.8765649E7</v>
      </c>
      <c r="L176" s="35">
        <v>1.6653769E7</v>
      </c>
      <c r="M176" s="35" t="s">
        <v>133</v>
      </c>
    </row>
    <row r="177">
      <c r="G177" s="35" t="s">
        <v>271</v>
      </c>
      <c r="H177" s="53" t="str">
        <f>A33</f>
        <v>F</v>
      </c>
      <c r="I177" s="35" t="s">
        <v>272</v>
      </c>
      <c r="J177" s="3" t="s">
        <v>273</v>
      </c>
      <c r="K177" s="35">
        <v>1.9220444E7</v>
      </c>
      <c r="L177" s="35">
        <v>1.7108564E7</v>
      </c>
      <c r="M177" s="35" t="s">
        <v>103</v>
      </c>
    </row>
    <row r="178">
      <c r="G178" s="35" t="s">
        <v>274</v>
      </c>
      <c r="H178" s="53" t="str">
        <f>A33</f>
        <v>F</v>
      </c>
      <c r="I178" s="35" t="s">
        <v>275</v>
      </c>
      <c r="J178" s="3" t="s">
        <v>273</v>
      </c>
      <c r="K178" s="35">
        <v>1.9220444E7</v>
      </c>
      <c r="L178" s="35">
        <v>1.7108564E7</v>
      </c>
      <c r="M178" s="35" t="s">
        <v>103</v>
      </c>
    </row>
    <row r="179">
      <c r="G179" s="35" t="s">
        <v>276</v>
      </c>
      <c r="H179" s="53" t="str">
        <f>A33</f>
        <v>F</v>
      </c>
      <c r="I179" s="35" t="s">
        <v>277</v>
      </c>
      <c r="J179" s="3" t="s">
        <v>273</v>
      </c>
      <c r="K179" s="35">
        <v>1.9220444E7</v>
      </c>
      <c r="L179" s="35">
        <v>1.7108564E7</v>
      </c>
      <c r="M179" s="35" t="s">
        <v>103</v>
      </c>
    </row>
    <row r="180">
      <c r="G180" s="35" t="s">
        <v>278</v>
      </c>
      <c r="H180" s="53" t="str">
        <f>A33</f>
        <v>F</v>
      </c>
      <c r="I180" s="35" t="s">
        <v>279</v>
      </c>
      <c r="J180" s="3" t="s">
        <v>280</v>
      </c>
      <c r="K180" s="35">
        <v>1.9237093E7</v>
      </c>
      <c r="L180" s="35">
        <v>1.7125213E7</v>
      </c>
      <c r="M180" s="35" t="s">
        <v>213</v>
      </c>
    </row>
    <row r="181">
      <c r="G181" s="35" t="s">
        <v>281</v>
      </c>
      <c r="H181" s="53" t="str">
        <f>A33</f>
        <v>F</v>
      </c>
      <c r="I181" s="35" t="s">
        <v>282</v>
      </c>
      <c r="J181" s="3" t="s">
        <v>280</v>
      </c>
      <c r="K181" s="35">
        <v>1.9237093E7</v>
      </c>
      <c r="L181" s="35">
        <v>1.7125213E7</v>
      </c>
      <c r="M181" s="35" t="s">
        <v>213</v>
      </c>
    </row>
    <row r="182">
      <c r="G182" s="35" t="s">
        <v>283</v>
      </c>
      <c r="H182" s="53" t="str">
        <f>A33</f>
        <v>F</v>
      </c>
      <c r="I182" s="35" t="s">
        <v>284</v>
      </c>
      <c r="J182" s="3" t="s">
        <v>280</v>
      </c>
      <c r="K182" s="35">
        <v>1.9237093E7</v>
      </c>
      <c r="L182" s="35">
        <v>1.7125213E7</v>
      </c>
      <c r="M182" s="35" t="s">
        <v>213</v>
      </c>
    </row>
    <row r="183">
      <c r="G183" s="35" t="s">
        <v>285</v>
      </c>
      <c r="H183" s="53" t="str">
        <f>A33</f>
        <v>F</v>
      </c>
      <c r="I183" s="35" t="s">
        <v>286</v>
      </c>
      <c r="J183" s="3" t="s">
        <v>280</v>
      </c>
      <c r="K183" s="35">
        <v>1.9237093E7</v>
      </c>
      <c r="L183" s="35">
        <v>1.7125213E7</v>
      </c>
      <c r="M183" s="35" t="s">
        <v>213</v>
      </c>
    </row>
    <row r="184">
      <c r="G184" s="35" t="s">
        <v>287</v>
      </c>
      <c r="H184" s="53" t="str">
        <f>A33</f>
        <v>F</v>
      </c>
      <c r="I184" s="35" t="s">
        <v>288</v>
      </c>
      <c r="J184" s="3" t="s">
        <v>289</v>
      </c>
      <c r="K184" s="35">
        <v>2.1080707E7</v>
      </c>
      <c r="L184" s="35">
        <v>1.8918821E7</v>
      </c>
      <c r="M184" s="35" t="s">
        <v>103</v>
      </c>
    </row>
    <row r="185">
      <c r="G185" s="35" t="s">
        <v>290</v>
      </c>
      <c r="H185" s="53" t="str">
        <f>A33</f>
        <v>F</v>
      </c>
      <c r="I185" s="35" t="s">
        <v>291</v>
      </c>
      <c r="J185" s="3" t="s">
        <v>289</v>
      </c>
      <c r="K185" s="35">
        <v>2.1080707E7</v>
      </c>
      <c r="L185" s="35">
        <v>1.8918821E7</v>
      </c>
      <c r="M185" s="35" t="s">
        <v>103</v>
      </c>
    </row>
    <row r="186">
      <c r="G186" s="35" t="s">
        <v>292</v>
      </c>
      <c r="H186" s="53" t="str">
        <f>A33</f>
        <v>F</v>
      </c>
      <c r="I186" s="35" t="s">
        <v>293</v>
      </c>
      <c r="J186" s="3" t="s">
        <v>289</v>
      </c>
      <c r="K186" s="35">
        <v>2.1080707E7</v>
      </c>
      <c r="L186" s="35">
        <v>1.8918821E7</v>
      </c>
      <c r="M186" s="35" t="s">
        <v>103</v>
      </c>
    </row>
    <row r="187">
      <c r="G187" s="35" t="s">
        <v>294</v>
      </c>
      <c r="H187" s="53" t="str">
        <f>A33</f>
        <v>F</v>
      </c>
      <c r="I187" s="35" t="s">
        <v>295</v>
      </c>
      <c r="J187" s="3" t="s">
        <v>296</v>
      </c>
      <c r="K187" s="35">
        <v>2.1147336E7</v>
      </c>
      <c r="L187" s="35">
        <v>1.898545E7</v>
      </c>
      <c r="M187" s="35" t="s">
        <v>133</v>
      </c>
    </row>
    <row r="188">
      <c r="G188" s="35" t="s">
        <v>297</v>
      </c>
      <c r="H188" s="53" t="str">
        <f>A33</f>
        <v>F</v>
      </c>
      <c r="I188" s="35" t="s">
        <v>298</v>
      </c>
      <c r="J188" s="3" t="s">
        <v>296</v>
      </c>
      <c r="K188" s="35">
        <v>2.1147336E7</v>
      </c>
      <c r="L188" s="35">
        <v>1.898545E7</v>
      </c>
      <c r="M188" s="35" t="s">
        <v>133</v>
      </c>
    </row>
    <row r="189">
      <c r="G189" s="35" t="s">
        <v>299</v>
      </c>
      <c r="H189" s="53" t="str">
        <f>A33</f>
        <v>F</v>
      </c>
      <c r="I189" s="35" t="s">
        <v>300</v>
      </c>
      <c r="J189" s="3" t="s">
        <v>296</v>
      </c>
      <c r="K189" s="35">
        <v>2.1147336E7</v>
      </c>
      <c r="L189" s="35">
        <v>1.898545E7</v>
      </c>
      <c r="M189" s="35" t="s">
        <v>133</v>
      </c>
    </row>
    <row r="190">
      <c r="G190" s="35" t="s">
        <v>301</v>
      </c>
      <c r="H190" s="53" t="str">
        <f>A33</f>
        <v>F</v>
      </c>
      <c r="I190" s="35" t="s">
        <v>302</v>
      </c>
      <c r="J190" s="3" t="s">
        <v>303</v>
      </c>
      <c r="K190" s="35">
        <v>2.2673903E7</v>
      </c>
      <c r="L190" s="35">
        <v>2.0512017E7</v>
      </c>
      <c r="M190" s="35" t="s">
        <v>205</v>
      </c>
    </row>
    <row r="191">
      <c r="G191" s="35" t="s">
        <v>304</v>
      </c>
      <c r="H191" s="53" t="str">
        <f>A33</f>
        <v>F</v>
      </c>
      <c r="I191" s="35" t="s">
        <v>305</v>
      </c>
      <c r="J191" s="3" t="s">
        <v>303</v>
      </c>
      <c r="K191" s="35">
        <v>2.2673903E7</v>
      </c>
      <c r="L191" s="35">
        <v>2.0512017E7</v>
      </c>
      <c r="M191" s="35" t="s">
        <v>205</v>
      </c>
    </row>
    <row r="192">
      <c r="G192" s="35" t="s">
        <v>306</v>
      </c>
      <c r="H192" s="53" t="str">
        <f>A33</f>
        <v>F</v>
      </c>
      <c r="I192" s="35" t="s">
        <v>307</v>
      </c>
      <c r="J192" s="3" t="s">
        <v>303</v>
      </c>
      <c r="K192" s="35">
        <v>2.2673903E7</v>
      </c>
      <c r="L192" s="35">
        <v>2.0512017E7</v>
      </c>
      <c r="M192" s="35" t="s">
        <v>205</v>
      </c>
    </row>
    <row r="193">
      <c r="G193" s="35" t="s">
        <v>308</v>
      </c>
      <c r="H193" s="53" t="str">
        <f>A33</f>
        <v>F</v>
      </c>
      <c r="I193" s="35" t="s">
        <v>309</v>
      </c>
      <c r="J193" s="3" t="s">
        <v>310</v>
      </c>
      <c r="K193" s="35">
        <v>8131538.0</v>
      </c>
      <c r="L193" s="35">
        <v>8263497.0</v>
      </c>
      <c r="M193" s="35" t="s">
        <v>213</v>
      </c>
    </row>
    <row r="194">
      <c r="G194" s="35" t="s">
        <v>309</v>
      </c>
      <c r="H194" s="53" t="str">
        <f>A33</f>
        <v>F</v>
      </c>
      <c r="I194" s="35" t="s">
        <v>308</v>
      </c>
      <c r="J194" s="3" t="s">
        <v>310</v>
      </c>
      <c r="K194" s="35">
        <v>8131538.0</v>
      </c>
      <c r="L194" s="35">
        <v>8263497.0</v>
      </c>
      <c r="M194" s="35" t="s">
        <v>213</v>
      </c>
    </row>
    <row r="195">
      <c r="G195" s="35" t="s">
        <v>311</v>
      </c>
      <c r="H195" s="53" t="str">
        <f>A33</f>
        <v>F</v>
      </c>
      <c r="J195" s="35" t="s">
        <v>312</v>
      </c>
      <c r="K195" s="35">
        <v>1.7464197E7</v>
      </c>
      <c r="L195" s="35">
        <v>1.5352317E7</v>
      </c>
      <c r="M195" s="35" t="s">
        <v>133</v>
      </c>
    </row>
    <row r="196">
      <c r="G196" s="35" t="s">
        <v>313</v>
      </c>
      <c r="H196" s="53" t="str">
        <f>A33</f>
        <v>F</v>
      </c>
      <c r="I196" s="35" t="s">
        <v>314</v>
      </c>
      <c r="J196" s="3" t="s">
        <v>315</v>
      </c>
      <c r="K196" s="35">
        <v>1.636831E7</v>
      </c>
      <c r="L196" s="35">
        <v>1.425643E7</v>
      </c>
      <c r="M196" s="35" t="s">
        <v>103</v>
      </c>
    </row>
    <row r="197">
      <c r="G197" s="35" t="s">
        <v>316</v>
      </c>
      <c r="H197" s="53" t="str">
        <f>A33</f>
        <v>F</v>
      </c>
      <c r="I197" s="35" t="s">
        <v>317</v>
      </c>
      <c r="J197" s="3" t="s">
        <v>315</v>
      </c>
      <c r="K197" s="35">
        <v>1.636831E7</v>
      </c>
      <c r="L197" s="35">
        <v>1.425643E7</v>
      </c>
      <c r="M197" s="35" t="s">
        <v>103</v>
      </c>
    </row>
    <row r="198">
      <c r="G198" s="35" t="s">
        <v>318</v>
      </c>
      <c r="H198" s="53" t="str">
        <f>A33</f>
        <v>F</v>
      </c>
      <c r="I198" s="35" t="s">
        <v>319</v>
      </c>
      <c r="J198" s="3" t="s">
        <v>315</v>
      </c>
      <c r="K198" s="35">
        <v>1.636831E7</v>
      </c>
      <c r="L198" s="35">
        <v>1.425643E7</v>
      </c>
      <c r="M198" s="35" t="s">
        <v>103</v>
      </c>
    </row>
    <row r="199">
      <c r="G199" s="35" t="s">
        <v>320</v>
      </c>
      <c r="H199" s="53" t="str">
        <f>A33</f>
        <v>F</v>
      </c>
      <c r="I199" s="35" t="s">
        <v>321</v>
      </c>
      <c r="J199" s="3" t="s">
        <v>322</v>
      </c>
      <c r="K199" s="58">
        <v>1.9205814E7</v>
      </c>
      <c r="L199" s="58">
        <v>1.7093934E7</v>
      </c>
      <c r="M199" s="59" t="s">
        <v>125</v>
      </c>
    </row>
    <row r="200">
      <c r="G200" s="35" t="s">
        <v>323</v>
      </c>
      <c r="H200" s="53" t="str">
        <f>A33</f>
        <v>F</v>
      </c>
      <c r="I200" s="35" t="s">
        <v>324</v>
      </c>
      <c r="J200" s="3" t="s">
        <v>322</v>
      </c>
      <c r="K200" s="58">
        <v>1.9205814E7</v>
      </c>
      <c r="L200" s="58">
        <v>1.7093934E7</v>
      </c>
      <c r="M200" s="59" t="s">
        <v>125</v>
      </c>
    </row>
    <row r="201">
      <c r="G201" s="35" t="s">
        <v>325</v>
      </c>
      <c r="H201" s="53" t="str">
        <f>A33</f>
        <v>F</v>
      </c>
      <c r="I201" s="35" t="s">
        <v>326</v>
      </c>
      <c r="J201" s="3" t="s">
        <v>322</v>
      </c>
      <c r="K201" s="58">
        <v>1.9205814E7</v>
      </c>
      <c r="L201" s="58">
        <v>1.7093934E7</v>
      </c>
      <c r="M201" s="59" t="s">
        <v>125</v>
      </c>
    </row>
    <row r="202">
      <c r="G202" s="35" t="s">
        <v>327</v>
      </c>
      <c r="H202" s="53" t="str">
        <f>A33</f>
        <v>F</v>
      </c>
      <c r="I202" s="35" t="s">
        <v>328</v>
      </c>
      <c r="J202" s="3" t="s">
        <v>329</v>
      </c>
      <c r="K202" s="58">
        <v>2.1811276E7</v>
      </c>
      <c r="L202" s="58">
        <v>1.964939E7</v>
      </c>
      <c r="M202" s="59" t="s">
        <v>99</v>
      </c>
    </row>
    <row r="203">
      <c r="G203" s="35" t="s">
        <v>330</v>
      </c>
      <c r="H203" s="53" t="str">
        <f>A33</f>
        <v>F</v>
      </c>
      <c r="I203" s="35" t="s">
        <v>331</v>
      </c>
      <c r="J203" s="3" t="s">
        <v>329</v>
      </c>
      <c r="K203" s="58">
        <v>2.1811276E7</v>
      </c>
      <c r="L203" s="58">
        <v>1.964939E7</v>
      </c>
      <c r="M203" s="59" t="s">
        <v>99</v>
      </c>
    </row>
    <row r="204">
      <c r="G204" s="35" t="s">
        <v>332</v>
      </c>
      <c r="H204" s="53" t="str">
        <f>A33</f>
        <v>F</v>
      </c>
      <c r="I204" s="35" t="s">
        <v>333</v>
      </c>
      <c r="J204" s="3" t="s">
        <v>329</v>
      </c>
      <c r="K204" s="58">
        <v>2.1811276E7</v>
      </c>
      <c r="L204" s="58">
        <v>1.964939E7</v>
      </c>
      <c r="M204" s="59" t="s">
        <v>99</v>
      </c>
    </row>
    <row r="205">
      <c r="G205" s="35" t="s">
        <v>334</v>
      </c>
      <c r="H205" s="53" t="str">
        <f>A33</f>
        <v>F</v>
      </c>
      <c r="I205" s="35" t="s">
        <v>335</v>
      </c>
      <c r="J205" s="59" t="s">
        <v>336</v>
      </c>
      <c r="K205" s="58">
        <v>1.5526751E7</v>
      </c>
      <c r="L205" s="58">
        <v>1.3414871E7</v>
      </c>
      <c r="M205" s="59" t="s">
        <v>133</v>
      </c>
    </row>
    <row r="206">
      <c r="G206" s="35" t="s">
        <v>337</v>
      </c>
      <c r="H206" s="53" t="str">
        <f>A33</f>
        <v>F</v>
      </c>
      <c r="I206" s="35" t="s">
        <v>338</v>
      </c>
      <c r="J206" s="59" t="s">
        <v>336</v>
      </c>
      <c r="K206" s="58">
        <v>1.5526751E7</v>
      </c>
      <c r="L206" s="58">
        <v>1.3414871E7</v>
      </c>
      <c r="M206" s="59" t="s">
        <v>133</v>
      </c>
    </row>
    <row r="207">
      <c r="G207" s="35" t="s">
        <v>339</v>
      </c>
      <c r="H207" s="53" t="str">
        <f>A33</f>
        <v>F</v>
      </c>
      <c r="I207" s="35" t="s">
        <v>340</v>
      </c>
      <c r="J207" s="59" t="s">
        <v>336</v>
      </c>
      <c r="K207" s="58">
        <v>1.5526751E7</v>
      </c>
      <c r="L207" s="58">
        <v>1.3414871E7</v>
      </c>
      <c r="M207" s="59" t="s">
        <v>133</v>
      </c>
    </row>
    <row r="208">
      <c r="G208" s="35" t="s">
        <v>341</v>
      </c>
      <c r="H208" s="53" t="str">
        <f>A33</f>
        <v>F</v>
      </c>
      <c r="I208" s="35" t="s">
        <v>342</v>
      </c>
      <c r="J208" s="59" t="s">
        <v>336</v>
      </c>
      <c r="K208" s="58">
        <v>1.5526751E7</v>
      </c>
      <c r="L208" s="58">
        <v>1.3414871E7</v>
      </c>
      <c r="M208" s="59" t="s">
        <v>133</v>
      </c>
    </row>
    <row r="209">
      <c r="G209" s="35" t="s">
        <v>343</v>
      </c>
      <c r="H209" s="53" t="str">
        <f>A33</f>
        <v>F</v>
      </c>
      <c r="I209" s="35" t="s">
        <v>344</v>
      </c>
      <c r="J209" s="59" t="s">
        <v>345</v>
      </c>
      <c r="K209" s="58">
        <v>1.483262E7</v>
      </c>
      <c r="L209" s="58">
        <v>1.2720687E7</v>
      </c>
      <c r="M209" s="59" t="s">
        <v>205</v>
      </c>
    </row>
    <row r="210">
      <c r="G210" s="35" t="s">
        <v>346</v>
      </c>
      <c r="H210" s="53" t="str">
        <f>A33</f>
        <v>F</v>
      </c>
      <c r="I210" s="35" t="s">
        <v>347</v>
      </c>
      <c r="J210" s="59" t="s">
        <v>345</v>
      </c>
      <c r="K210" s="58">
        <v>1.483262E7</v>
      </c>
      <c r="L210" s="58">
        <v>1.2720687E7</v>
      </c>
      <c r="M210" s="59" t="s">
        <v>205</v>
      </c>
    </row>
    <row r="211">
      <c r="G211" s="35" t="s">
        <v>348</v>
      </c>
      <c r="H211" s="53" t="str">
        <f>A33</f>
        <v>F</v>
      </c>
      <c r="I211" s="35" t="s">
        <v>349</v>
      </c>
      <c r="J211" s="59" t="s">
        <v>345</v>
      </c>
      <c r="K211" s="58">
        <v>1.483262E7</v>
      </c>
      <c r="L211" s="58">
        <v>1.2720687E7</v>
      </c>
      <c r="M211" s="59" t="s">
        <v>205</v>
      </c>
    </row>
    <row r="212">
      <c r="G212" s="35" t="s">
        <v>350</v>
      </c>
      <c r="H212" s="53" t="str">
        <f>A33</f>
        <v>F</v>
      </c>
      <c r="I212" s="35" t="s">
        <v>351</v>
      </c>
      <c r="J212" s="3" t="s">
        <v>352</v>
      </c>
      <c r="K212" s="58">
        <v>2756471.0</v>
      </c>
      <c r="L212" s="58">
        <v>2888430.0</v>
      </c>
      <c r="M212" s="59" t="s">
        <v>125</v>
      </c>
    </row>
    <row r="213">
      <c r="G213" s="35" t="s">
        <v>353</v>
      </c>
      <c r="H213" s="53" t="str">
        <f>A33</f>
        <v>F</v>
      </c>
      <c r="I213" s="35" t="s">
        <v>354</v>
      </c>
      <c r="J213" s="3" t="s">
        <v>352</v>
      </c>
      <c r="K213" s="58">
        <v>2756471.0</v>
      </c>
      <c r="L213" s="58">
        <v>2888430.0</v>
      </c>
      <c r="M213" s="59" t="s">
        <v>125</v>
      </c>
    </row>
    <row r="214">
      <c r="G214" s="35" t="s">
        <v>355</v>
      </c>
      <c r="H214" s="53" t="str">
        <f>A33</f>
        <v>F</v>
      </c>
      <c r="I214" s="35" t="s">
        <v>356</v>
      </c>
      <c r="J214" s="3" t="s">
        <v>352</v>
      </c>
      <c r="K214" s="58">
        <v>2756471.0</v>
      </c>
      <c r="L214" s="58">
        <v>2888430.0</v>
      </c>
      <c r="M214" s="59" t="s">
        <v>125</v>
      </c>
    </row>
    <row r="215">
      <c r="G215" s="35" t="s">
        <v>357</v>
      </c>
      <c r="H215" s="53" t="str">
        <f>A33</f>
        <v>F</v>
      </c>
      <c r="I215" s="35" t="s">
        <v>358</v>
      </c>
      <c r="J215" s="3" t="s">
        <v>359</v>
      </c>
      <c r="K215" s="60">
        <v>2863665.0</v>
      </c>
      <c r="L215" s="58">
        <v>2995624.0</v>
      </c>
      <c r="M215" s="59" t="s">
        <v>103</v>
      </c>
    </row>
    <row r="216">
      <c r="G216" s="35" t="s">
        <v>360</v>
      </c>
      <c r="H216" s="53" t="str">
        <f>A33</f>
        <v>F</v>
      </c>
      <c r="I216" s="35" t="s">
        <v>361</v>
      </c>
      <c r="J216" s="3" t="s">
        <v>359</v>
      </c>
      <c r="K216" s="60">
        <v>2863665.0</v>
      </c>
      <c r="L216" s="58">
        <v>2995624.0</v>
      </c>
      <c r="M216" s="59" t="s">
        <v>103</v>
      </c>
    </row>
    <row r="217">
      <c r="G217" s="35" t="s">
        <v>362</v>
      </c>
      <c r="H217" s="53" t="str">
        <f>A33</f>
        <v>F</v>
      </c>
      <c r="I217" s="35" t="s">
        <v>363</v>
      </c>
      <c r="J217" s="3" t="s">
        <v>359</v>
      </c>
      <c r="K217" s="60">
        <v>2863665.0</v>
      </c>
      <c r="L217" s="58">
        <v>2995624.0</v>
      </c>
      <c r="M217" s="59" t="s">
        <v>103</v>
      </c>
    </row>
    <row r="218">
      <c r="G218" s="35" t="s">
        <v>364</v>
      </c>
      <c r="H218" s="53" t="str">
        <f>A33</f>
        <v>F</v>
      </c>
      <c r="I218" s="35" t="s">
        <v>365</v>
      </c>
      <c r="J218" s="3" t="s">
        <v>366</v>
      </c>
      <c r="K218" s="60">
        <v>2912385.0</v>
      </c>
      <c r="L218" s="58">
        <v>3044344.0</v>
      </c>
      <c r="M218" s="59" t="s">
        <v>133</v>
      </c>
    </row>
    <row r="219">
      <c r="G219" s="35" t="s">
        <v>365</v>
      </c>
      <c r="H219" s="53" t="str">
        <f>A33</f>
        <v>F</v>
      </c>
      <c r="I219" s="35" t="s">
        <v>364</v>
      </c>
      <c r="J219" s="3" t="s">
        <v>366</v>
      </c>
      <c r="K219" s="60">
        <v>2912385.0</v>
      </c>
      <c r="L219" s="58">
        <v>3044344.0</v>
      </c>
      <c r="M219" s="59" t="s">
        <v>133</v>
      </c>
    </row>
    <row r="220">
      <c r="G220" s="35" t="s">
        <v>367</v>
      </c>
      <c r="H220" s="53" t="str">
        <f>A33</f>
        <v>F</v>
      </c>
      <c r="I220" s="35" t="s">
        <v>368</v>
      </c>
      <c r="J220" s="3" t="s">
        <v>369</v>
      </c>
      <c r="K220" s="60">
        <v>7726849.0</v>
      </c>
      <c r="L220" s="58">
        <v>7858808.0</v>
      </c>
      <c r="M220" s="59" t="s">
        <v>103</v>
      </c>
    </row>
    <row r="221">
      <c r="G221" s="35" t="s">
        <v>368</v>
      </c>
      <c r="H221" s="53" t="str">
        <f>A33</f>
        <v>F</v>
      </c>
      <c r="I221" s="35" t="s">
        <v>367</v>
      </c>
      <c r="J221" s="3" t="s">
        <v>369</v>
      </c>
      <c r="K221" s="60">
        <v>7726849.0</v>
      </c>
      <c r="L221" s="58">
        <v>7858808.0</v>
      </c>
      <c r="M221" s="59" t="s">
        <v>103</v>
      </c>
    </row>
    <row r="222">
      <c r="G222" s="35" t="s">
        <v>370</v>
      </c>
      <c r="H222" s="53" t="str">
        <f>A33</f>
        <v>F</v>
      </c>
      <c r="I222" s="35" t="s">
        <v>371</v>
      </c>
      <c r="J222" s="3" t="s">
        <v>372</v>
      </c>
      <c r="K222" s="60">
        <v>8227605.0</v>
      </c>
      <c r="L222" s="58">
        <v>8359564.0</v>
      </c>
      <c r="M222" s="59" t="s">
        <v>103</v>
      </c>
    </row>
    <row r="223">
      <c r="G223" s="35" t="s">
        <v>371</v>
      </c>
      <c r="H223" s="53" t="str">
        <f>A33</f>
        <v>F</v>
      </c>
      <c r="I223" s="35" t="s">
        <v>370</v>
      </c>
      <c r="J223" s="3" t="s">
        <v>372</v>
      </c>
      <c r="K223" s="60">
        <v>8227605.0</v>
      </c>
      <c r="L223" s="58">
        <v>8359564.0</v>
      </c>
      <c r="M223" s="59" t="s">
        <v>103</v>
      </c>
    </row>
    <row r="224">
      <c r="G224" s="35" t="s">
        <v>373</v>
      </c>
      <c r="H224" s="53" t="str">
        <f>A33</f>
        <v>F</v>
      </c>
      <c r="I224" s="35" t="s">
        <v>374</v>
      </c>
      <c r="J224" s="3" t="s">
        <v>375</v>
      </c>
      <c r="K224" s="60">
        <v>2.1937573E7</v>
      </c>
      <c r="L224" s="58">
        <v>1.9775687E7</v>
      </c>
      <c r="M224" s="59" t="s">
        <v>103</v>
      </c>
    </row>
    <row r="225">
      <c r="G225" s="35" t="s">
        <v>374</v>
      </c>
      <c r="H225" s="53" t="str">
        <f>A33</f>
        <v>F</v>
      </c>
      <c r="I225" s="35" t="s">
        <v>373</v>
      </c>
      <c r="J225" s="3" t="s">
        <v>375</v>
      </c>
      <c r="K225" s="60">
        <v>2.1937573E7</v>
      </c>
      <c r="L225" s="58">
        <v>1.9775687E7</v>
      </c>
      <c r="M225" s="59" t="s">
        <v>103</v>
      </c>
    </row>
    <row r="226">
      <c r="G226" s="57" t="s">
        <v>376</v>
      </c>
      <c r="H226" s="53" t="str">
        <f>A33</f>
        <v>F</v>
      </c>
      <c r="I226" s="35" t="s">
        <v>377</v>
      </c>
      <c r="J226" s="61" t="s">
        <v>378</v>
      </c>
      <c r="K226" s="60">
        <v>2.2108101E7</v>
      </c>
      <c r="L226" s="58">
        <v>1.9946215E7</v>
      </c>
      <c r="M226" s="59" t="s">
        <v>149</v>
      </c>
    </row>
    <row r="227">
      <c r="G227" s="35" t="s">
        <v>377</v>
      </c>
      <c r="H227" s="53" t="str">
        <f>A33</f>
        <v>F</v>
      </c>
      <c r="I227" s="35" t="s">
        <v>376</v>
      </c>
      <c r="J227" s="61" t="s">
        <v>378</v>
      </c>
      <c r="K227" s="60">
        <v>2.2108101E7</v>
      </c>
      <c r="L227" s="58">
        <v>1.9946215E7</v>
      </c>
      <c r="M227" s="59" t="s">
        <v>149</v>
      </c>
    </row>
    <row r="228">
      <c r="G228" s="35" t="s">
        <v>379</v>
      </c>
      <c r="H228" s="53" t="str">
        <f>A33</f>
        <v>F</v>
      </c>
      <c r="I228" s="35" t="s">
        <v>380</v>
      </c>
      <c r="J228" s="61" t="s">
        <v>381</v>
      </c>
      <c r="K228" s="62">
        <v>2.2156498E7</v>
      </c>
      <c r="L228" s="63">
        <v>1.9994612E7</v>
      </c>
      <c r="M228" s="64" t="s">
        <v>233</v>
      </c>
    </row>
    <row r="229">
      <c r="G229" s="35" t="s">
        <v>380</v>
      </c>
      <c r="H229" s="53" t="str">
        <f>A33</f>
        <v>F</v>
      </c>
      <c r="I229" s="35" t="s">
        <v>379</v>
      </c>
      <c r="J229" s="61" t="s">
        <v>381</v>
      </c>
      <c r="K229" s="62">
        <v>2.2156498E7</v>
      </c>
      <c r="L229" s="63">
        <v>1.9994612E7</v>
      </c>
      <c r="M229" s="64" t="s">
        <v>233</v>
      </c>
    </row>
    <row r="230">
      <c r="G230" s="35" t="s">
        <v>382</v>
      </c>
      <c r="H230" s="53" t="str">
        <f>A33</f>
        <v>F</v>
      </c>
      <c r="I230" s="35" t="s">
        <v>383</v>
      </c>
      <c r="J230" s="65" t="s">
        <v>384</v>
      </c>
      <c r="K230" s="58">
        <v>1.7398598E7</v>
      </c>
      <c r="L230" s="58">
        <v>1.5286718E7</v>
      </c>
      <c r="M230" s="59" t="s">
        <v>99</v>
      </c>
    </row>
    <row r="231">
      <c r="G231" s="35" t="s">
        <v>383</v>
      </c>
      <c r="H231" s="53" t="str">
        <f>A33</f>
        <v>F</v>
      </c>
      <c r="I231" s="35" t="s">
        <v>382</v>
      </c>
      <c r="J231" s="65" t="s">
        <v>384</v>
      </c>
      <c r="K231" s="58">
        <v>1.7398598E7</v>
      </c>
      <c r="L231" s="58">
        <v>1.5286718E7</v>
      </c>
      <c r="M231" s="59" t="s">
        <v>99</v>
      </c>
    </row>
    <row r="232">
      <c r="G232" s="35" t="s">
        <v>385</v>
      </c>
      <c r="H232" s="53" t="str">
        <f>A33</f>
        <v>F</v>
      </c>
      <c r="I232" s="35" t="s">
        <v>386</v>
      </c>
      <c r="J232" s="66" t="s">
        <v>387</v>
      </c>
      <c r="K232" s="67">
        <v>7395806.0</v>
      </c>
      <c r="L232" s="63">
        <v>7527765.0</v>
      </c>
      <c r="M232" s="64" t="s">
        <v>141</v>
      </c>
    </row>
    <row r="233">
      <c r="G233" s="35" t="s">
        <v>386</v>
      </c>
      <c r="H233" s="53" t="str">
        <f>A33</f>
        <v>F</v>
      </c>
      <c r="I233" s="35" t="s">
        <v>385</v>
      </c>
      <c r="J233" s="66" t="s">
        <v>387</v>
      </c>
      <c r="K233" s="67">
        <v>7395806.0</v>
      </c>
      <c r="L233" s="63">
        <v>7527765.0</v>
      </c>
      <c r="M233" s="64" t="s">
        <v>141</v>
      </c>
    </row>
    <row r="234">
      <c r="G234" s="35" t="s">
        <v>388</v>
      </c>
      <c r="H234" s="53" t="str">
        <f>A33</f>
        <v>F</v>
      </c>
      <c r="I234" s="35" t="s">
        <v>389</v>
      </c>
      <c r="J234" s="59" t="s">
        <v>390</v>
      </c>
      <c r="K234" s="60">
        <v>2.1618856E7</v>
      </c>
      <c r="L234" s="58">
        <v>1.945697E7</v>
      </c>
      <c r="M234" s="59" t="s">
        <v>99</v>
      </c>
    </row>
    <row r="235">
      <c r="G235" s="35" t="s">
        <v>389</v>
      </c>
      <c r="H235" s="53" t="str">
        <f>A33</f>
        <v>F</v>
      </c>
      <c r="I235" s="35" t="s">
        <v>388</v>
      </c>
      <c r="J235" s="59" t="s">
        <v>390</v>
      </c>
      <c r="K235" s="60">
        <v>2.1618856E7</v>
      </c>
      <c r="L235" s="58">
        <v>1.945697E7</v>
      </c>
      <c r="M235" s="59" t="s">
        <v>99</v>
      </c>
    </row>
    <row r="236">
      <c r="G236" s="35" t="s">
        <v>391</v>
      </c>
      <c r="H236" s="53" t="str">
        <f>A33</f>
        <v>F</v>
      </c>
      <c r="I236" s="35" t="s">
        <v>392</v>
      </c>
      <c r="J236" s="59" t="s">
        <v>393</v>
      </c>
      <c r="K236" s="60">
        <v>2.3040647E7</v>
      </c>
      <c r="L236" s="58">
        <v>2.0878761E7</v>
      </c>
      <c r="M236" s="59" t="s">
        <v>205</v>
      </c>
    </row>
    <row r="237">
      <c r="G237" s="35" t="s">
        <v>392</v>
      </c>
      <c r="H237" s="53" t="str">
        <f>A33</f>
        <v>F</v>
      </c>
      <c r="I237" s="35" t="s">
        <v>391</v>
      </c>
      <c r="J237" s="59" t="s">
        <v>393</v>
      </c>
      <c r="K237" s="60">
        <v>2.3040647E7</v>
      </c>
      <c r="L237" s="58">
        <v>2.0878761E7</v>
      </c>
      <c r="M237" s="59" t="s">
        <v>205</v>
      </c>
    </row>
    <row r="238">
      <c r="G238" s="35" t="s">
        <v>394</v>
      </c>
      <c r="H238" s="53" t="str">
        <f>A33</f>
        <v>F</v>
      </c>
      <c r="I238" s="35" t="s">
        <v>395</v>
      </c>
      <c r="J238" s="59" t="s">
        <v>396</v>
      </c>
      <c r="K238" s="60">
        <v>1.4199284E7</v>
      </c>
      <c r="L238" s="58">
        <v>1.2078578E7</v>
      </c>
      <c r="M238" s="59" t="s">
        <v>133</v>
      </c>
    </row>
    <row r="239">
      <c r="G239" s="35" t="s">
        <v>395</v>
      </c>
      <c r="H239" s="53" t="str">
        <f>A33</f>
        <v>F</v>
      </c>
      <c r="I239" s="35" t="s">
        <v>394</v>
      </c>
      <c r="J239" s="59" t="s">
        <v>396</v>
      </c>
      <c r="K239" s="60">
        <v>1.4199284E7</v>
      </c>
      <c r="L239" s="58">
        <v>1.2078578E7</v>
      </c>
      <c r="M239" s="59" t="s">
        <v>133</v>
      </c>
    </row>
    <row r="240">
      <c r="G240" s="35" t="s">
        <v>397</v>
      </c>
      <c r="H240" s="53" t="str">
        <f>A33</f>
        <v>F</v>
      </c>
      <c r="I240" s="35" t="s">
        <v>398</v>
      </c>
      <c r="J240" s="59" t="s">
        <v>399</v>
      </c>
      <c r="K240" s="60">
        <v>1.6906683E7</v>
      </c>
      <c r="L240" s="58">
        <v>1.4794803E7</v>
      </c>
      <c r="M240" s="59" t="s">
        <v>149</v>
      </c>
    </row>
    <row r="241">
      <c r="G241" s="35" t="s">
        <v>398</v>
      </c>
      <c r="H241" s="53" t="str">
        <f>A33</f>
        <v>F</v>
      </c>
      <c r="I241" s="35" t="s">
        <v>397</v>
      </c>
      <c r="J241" s="59" t="s">
        <v>399</v>
      </c>
      <c r="K241" s="60">
        <v>1.6906683E7</v>
      </c>
      <c r="L241" s="58">
        <v>1.4794803E7</v>
      </c>
      <c r="M241" s="59" t="s">
        <v>149</v>
      </c>
    </row>
    <row r="242">
      <c r="G242" s="35" t="s">
        <v>400</v>
      </c>
      <c r="H242" s="53" t="str">
        <f>A33</f>
        <v>F</v>
      </c>
      <c r="I242" s="35" t="s">
        <v>401</v>
      </c>
      <c r="J242" s="59" t="s">
        <v>402</v>
      </c>
      <c r="K242" s="60">
        <v>1.7311975E7</v>
      </c>
      <c r="L242" s="58">
        <v>1.5200095E7</v>
      </c>
      <c r="M242" s="59" t="s">
        <v>403</v>
      </c>
    </row>
    <row r="243">
      <c r="G243" s="35" t="s">
        <v>401</v>
      </c>
      <c r="H243" s="53" t="str">
        <f>A33</f>
        <v>F</v>
      </c>
      <c r="I243" s="35" t="s">
        <v>400</v>
      </c>
      <c r="J243" s="59" t="s">
        <v>402</v>
      </c>
      <c r="K243" s="60">
        <v>1.7311975E7</v>
      </c>
      <c r="L243" s="58">
        <v>1.5200095E7</v>
      </c>
      <c r="M243" s="59" t="s">
        <v>403</v>
      </c>
    </row>
    <row r="244">
      <c r="G244" s="35" t="s">
        <v>404</v>
      </c>
      <c r="H244" s="53" t="str">
        <f>A33</f>
        <v>F</v>
      </c>
      <c r="I244" s="35" t="s">
        <v>405</v>
      </c>
      <c r="J244" s="59" t="s">
        <v>406</v>
      </c>
      <c r="K244" s="60">
        <v>6941218.0</v>
      </c>
      <c r="L244" s="58">
        <v>7073177.0</v>
      </c>
      <c r="M244" s="59" t="s">
        <v>149</v>
      </c>
    </row>
    <row r="245">
      <c r="G245" s="35" t="s">
        <v>405</v>
      </c>
      <c r="H245" s="53" t="str">
        <f>A33</f>
        <v>F</v>
      </c>
      <c r="I245" s="35" t="s">
        <v>404</v>
      </c>
      <c r="J245" s="59" t="s">
        <v>406</v>
      </c>
      <c r="K245" s="60">
        <v>6941218.0</v>
      </c>
      <c r="L245" s="58">
        <v>7073177.0</v>
      </c>
      <c r="M245" s="59" t="s">
        <v>149</v>
      </c>
    </row>
    <row r="246">
      <c r="G246" s="35" t="s">
        <v>407</v>
      </c>
      <c r="H246" s="53" t="str">
        <f>A33</f>
        <v>F</v>
      </c>
      <c r="I246" s="35" t="s">
        <v>408</v>
      </c>
      <c r="J246" s="59" t="s">
        <v>409</v>
      </c>
      <c r="K246" s="60">
        <v>8424089.0</v>
      </c>
      <c r="L246" s="58">
        <v>8556048.0</v>
      </c>
      <c r="M246" s="59" t="s">
        <v>149</v>
      </c>
    </row>
    <row r="247">
      <c r="G247" s="35" t="s">
        <v>408</v>
      </c>
      <c r="H247" s="53" t="str">
        <f>A33</f>
        <v>F</v>
      </c>
      <c r="I247" s="35" t="s">
        <v>407</v>
      </c>
      <c r="J247" s="59" t="s">
        <v>409</v>
      </c>
      <c r="K247" s="60">
        <v>8424089.0</v>
      </c>
      <c r="L247" s="58">
        <v>8556048.0</v>
      </c>
      <c r="M247" s="59" t="s">
        <v>149</v>
      </c>
    </row>
    <row r="248">
      <c r="G248" s="35" t="s">
        <v>410</v>
      </c>
      <c r="H248" s="53" t="str">
        <f>A33</f>
        <v>F</v>
      </c>
      <c r="I248" s="35" t="s">
        <v>411</v>
      </c>
      <c r="J248" s="59" t="s">
        <v>412</v>
      </c>
      <c r="K248" s="60">
        <v>8602415.0</v>
      </c>
      <c r="L248" s="58">
        <v>8734374.0</v>
      </c>
      <c r="M248" s="59" t="s">
        <v>99</v>
      </c>
    </row>
    <row r="249">
      <c r="G249" s="35" t="s">
        <v>411</v>
      </c>
      <c r="H249" s="53" t="str">
        <f>A33</f>
        <v>F</v>
      </c>
      <c r="I249" s="35" t="s">
        <v>410</v>
      </c>
      <c r="J249" s="59" t="s">
        <v>412</v>
      </c>
      <c r="K249" s="60">
        <v>8602415.0</v>
      </c>
      <c r="L249" s="58">
        <v>8734374.0</v>
      </c>
      <c r="M249" s="59" t="s">
        <v>99</v>
      </c>
    </row>
    <row r="250">
      <c r="G250" s="35" t="s">
        <v>413</v>
      </c>
      <c r="H250" s="53" t="str">
        <f>A33</f>
        <v>F</v>
      </c>
      <c r="I250" s="35" t="s">
        <v>414</v>
      </c>
      <c r="J250" s="59" t="s">
        <v>415</v>
      </c>
      <c r="K250" s="60">
        <v>1.9349615E7</v>
      </c>
      <c r="L250" s="58">
        <v>1.7237735E7</v>
      </c>
      <c r="M250" s="59" t="s">
        <v>99</v>
      </c>
    </row>
    <row r="251">
      <c r="G251" s="35" t="s">
        <v>414</v>
      </c>
      <c r="H251" s="53" t="str">
        <f>A33</f>
        <v>F</v>
      </c>
      <c r="I251" s="35" t="s">
        <v>413</v>
      </c>
      <c r="J251" s="59" t="s">
        <v>415</v>
      </c>
      <c r="K251" s="60">
        <v>1.9349615E7</v>
      </c>
      <c r="L251" s="58">
        <v>1.7237735E7</v>
      </c>
      <c r="M251" s="59" t="s">
        <v>99</v>
      </c>
    </row>
    <row r="252">
      <c r="G252" s="35" t="s">
        <v>416</v>
      </c>
      <c r="H252" s="53" t="str">
        <f>A33</f>
        <v>F</v>
      </c>
      <c r="I252" s="35" t="s">
        <v>417</v>
      </c>
      <c r="J252" s="59" t="s">
        <v>418</v>
      </c>
      <c r="K252" s="60">
        <v>1.8578476E7</v>
      </c>
      <c r="L252" s="58">
        <v>1.6466596E7</v>
      </c>
      <c r="M252" s="59" t="s">
        <v>149</v>
      </c>
    </row>
    <row r="253">
      <c r="G253" s="35" t="s">
        <v>417</v>
      </c>
      <c r="H253" s="53" t="str">
        <f>A33</f>
        <v>F</v>
      </c>
      <c r="I253" s="35" t="s">
        <v>400</v>
      </c>
      <c r="J253" s="59" t="s">
        <v>418</v>
      </c>
      <c r="K253" s="60">
        <v>1.8578476E7</v>
      </c>
      <c r="L253" s="58">
        <v>1.6466596E7</v>
      </c>
      <c r="M253" s="59" t="s">
        <v>149</v>
      </c>
    </row>
    <row r="254">
      <c r="G254" s="35" t="s">
        <v>419</v>
      </c>
      <c r="H254" s="53" t="str">
        <f>A33</f>
        <v>F</v>
      </c>
      <c r="I254" s="35" t="s">
        <v>420</v>
      </c>
      <c r="J254" s="59" t="s">
        <v>421</v>
      </c>
      <c r="K254" s="60">
        <v>8680661.0</v>
      </c>
      <c r="L254" s="58">
        <v>8812620.0</v>
      </c>
      <c r="M254" s="59" t="s">
        <v>133</v>
      </c>
    </row>
    <row r="255">
      <c r="G255" s="35" t="s">
        <v>420</v>
      </c>
      <c r="H255" s="53" t="str">
        <f>A33</f>
        <v>F</v>
      </c>
      <c r="I255" s="35" t="s">
        <v>419</v>
      </c>
      <c r="J255" s="59" t="s">
        <v>421</v>
      </c>
      <c r="K255" s="60">
        <v>8680661.0</v>
      </c>
      <c r="L255" s="58">
        <v>8812620.0</v>
      </c>
      <c r="M255" s="59" t="s">
        <v>133</v>
      </c>
    </row>
    <row r="256">
      <c r="G256" s="35" t="s">
        <v>422</v>
      </c>
      <c r="H256" s="53" t="str">
        <f>A33</f>
        <v>F</v>
      </c>
      <c r="I256" s="35" t="s">
        <v>423</v>
      </c>
      <c r="J256" s="59" t="s">
        <v>424</v>
      </c>
      <c r="K256" s="60">
        <v>2.4359931E7</v>
      </c>
      <c r="L256" s="58">
        <v>2.2213784E7</v>
      </c>
      <c r="M256" s="59" t="s">
        <v>133</v>
      </c>
    </row>
    <row r="257">
      <c r="G257" s="35" t="s">
        <v>423</v>
      </c>
      <c r="H257" s="53" t="str">
        <f>A33</f>
        <v>F</v>
      </c>
      <c r="I257" s="35" t="s">
        <v>422</v>
      </c>
      <c r="J257" s="59" t="s">
        <v>424</v>
      </c>
      <c r="K257" s="60">
        <v>2.4359931E7</v>
      </c>
      <c r="L257" s="58">
        <v>2.2213784E7</v>
      </c>
      <c r="M257" s="59" t="s">
        <v>133</v>
      </c>
    </row>
    <row r="258">
      <c r="G258" s="35" t="s">
        <v>425</v>
      </c>
      <c r="H258" s="53" t="str">
        <f>A33</f>
        <v>F</v>
      </c>
      <c r="I258" s="35" t="s">
        <v>426</v>
      </c>
      <c r="J258" s="59" t="s">
        <v>427</v>
      </c>
      <c r="K258" s="60">
        <v>1.7493513E7</v>
      </c>
      <c r="L258" s="58">
        <v>1.5381633E7</v>
      </c>
      <c r="M258" s="59" t="s">
        <v>99</v>
      </c>
    </row>
    <row r="259">
      <c r="G259" s="35" t="s">
        <v>426</v>
      </c>
      <c r="H259" s="53" t="str">
        <f>A33</f>
        <v>F</v>
      </c>
      <c r="I259" s="35" t="s">
        <v>425</v>
      </c>
      <c r="J259" s="59" t="s">
        <v>427</v>
      </c>
      <c r="K259" s="60">
        <v>1.7493513E7</v>
      </c>
      <c r="L259" s="58">
        <v>1.5381633E7</v>
      </c>
      <c r="M259" s="59" t="s">
        <v>99</v>
      </c>
    </row>
    <row r="260">
      <c r="G260" s="35" t="s">
        <v>428</v>
      </c>
      <c r="H260" s="53" t="str">
        <f>A33</f>
        <v>F</v>
      </c>
      <c r="I260" s="35" t="s">
        <v>429</v>
      </c>
      <c r="J260" s="59" t="s">
        <v>430</v>
      </c>
      <c r="K260" s="60">
        <v>1.8097251E7</v>
      </c>
      <c r="L260" s="58">
        <v>1.5985371E7</v>
      </c>
      <c r="M260" s="59" t="s">
        <v>233</v>
      </c>
    </row>
    <row r="261">
      <c r="G261" s="35" t="s">
        <v>429</v>
      </c>
      <c r="H261" s="53" t="str">
        <f>A33</f>
        <v>F</v>
      </c>
      <c r="I261" s="35" t="s">
        <v>428</v>
      </c>
      <c r="J261" s="59" t="s">
        <v>430</v>
      </c>
      <c r="K261" s="60">
        <v>1.8097251E7</v>
      </c>
      <c r="L261" s="58">
        <v>1.5985371E7</v>
      </c>
      <c r="M261" s="59" t="s">
        <v>233</v>
      </c>
    </row>
    <row r="262">
      <c r="G262" s="35" t="s">
        <v>431</v>
      </c>
      <c r="H262" s="53" t="str">
        <f>A33</f>
        <v>F</v>
      </c>
      <c r="I262" s="35" t="s">
        <v>432</v>
      </c>
      <c r="J262" s="59" t="s">
        <v>433</v>
      </c>
      <c r="K262" s="60">
        <v>8474189.0</v>
      </c>
      <c r="L262" s="58">
        <v>8606148.0</v>
      </c>
      <c r="M262" s="59" t="s">
        <v>434</v>
      </c>
    </row>
    <row r="263">
      <c r="G263" s="35" t="s">
        <v>432</v>
      </c>
      <c r="H263" s="53" t="str">
        <f>A33</f>
        <v>F</v>
      </c>
      <c r="I263" s="35" t="s">
        <v>431</v>
      </c>
      <c r="J263" s="59" t="s">
        <v>433</v>
      </c>
      <c r="K263" s="60">
        <v>8474189.0</v>
      </c>
      <c r="L263" s="58">
        <v>8606148.0</v>
      </c>
      <c r="M263" s="59" t="s">
        <v>434</v>
      </c>
    </row>
    <row r="264">
      <c r="G264" s="35" t="s">
        <v>435</v>
      </c>
      <c r="H264" s="53" t="str">
        <f>A33</f>
        <v>F</v>
      </c>
      <c r="I264" s="35" t="s">
        <v>436</v>
      </c>
      <c r="J264" s="59" t="s">
        <v>437</v>
      </c>
      <c r="K264" s="60">
        <v>1.8178091E7</v>
      </c>
      <c r="L264" s="58">
        <v>1.6066211E7</v>
      </c>
      <c r="M264" s="59" t="s">
        <v>149</v>
      </c>
    </row>
    <row r="265">
      <c r="G265" s="35" t="s">
        <v>436</v>
      </c>
      <c r="H265" s="53" t="str">
        <f>A33</f>
        <v>F</v>
      </c>
      <c r="I265" s="35" t="s">
        <v>435</v>
      </c>
      <c r="J265" s="59" t="s">
        <v>437</v>
      </c>
      <c r="K265" s="60">
        <v>1.8178091E7</v>
      </c>
      <c r="L265" s="58">
        <v>1.6066211E7</v>
      </c>
      <c r="M265" s="59" t="s">
        <v>149</v>
      </c>
    </row>
    <row r="266">
      <c r="G266" s="35" t="s">
        <v>438</v>
      </c>
      <c r="H266" s="53" t="str">
        <f>A33</f>
        <v>F</v>
      </c>
      <c r="I266" s="35" t="s">
        <v>439</v>
      </c>
      <c r="J266" s="59" t="s">
        <v>440</v>
      </c>
      <c r="K266" s="60">
        <v>1.6242316E7</v>
      </c>
      <c r="L266" s="58">
        <v>1.4130436E7</v>
      </c>
      <c r="M266" s="59" t="s">
        <v>125</v>
      </c>
    </row>
    <row r="267">
      <c r="G267" s="35" t="s">
        <v>439</v>
      </c>
      <c r="H267" s="53" t="str">
        <f>A33</f>
        <v>F</v>
      </c>
      <c r="I267" s="35" t="s">
        <v>438</v>
      </c>
      <c r="J267" s="59" t="s">
        <v>440</v>
      </c>
      <c r="K267" s="60">
        <v>1.6242316E7</v>
      </c>
      <c r="L267" s="58">
        <v>1.4130436E7</v>
      </c>
      <c r="M267" s="59" t="s">
        <v>125</v>
      </c>
    </row>
    <row r="268">
      <c r="G268" s="35" t="s">
        <v>441</v>
      </c>
      <c r="H268" s="53" t="str">
        <f>A33</f>
        <v>F</v>
      </c>
      <c r="I268" s="35" t="s">
        <v>442</v>
      </c>
      <c r="J268" s="59" t="s">
        <v>443</v>
      </c>
      <c r="K268" s="60">
        <v>1.7256018E7</v>
      </c>
      <c r="L268" s="58">
        <v>1.5144138E7</v>
      </c>
      <c r="M268" s="59" t="s">
        <v>99</v>
      </c>
    </row>
    <row r="269">
      <c r="G269" s="35" t="s">
        <v>442</v>
      </c>
      <c r="H269" s="53" t="str">
        <f>A33</f>
        <v>F</v>
      </c>
      <c r="I269" s="35" t="s">
        <v>441</v>
      </c>
      <c r="J269" s="59" t="s">
        <v>443</v>
      </c>
      <c r="K269" s="60">
        <v>1.7256018E7</v>
      </c>
      <c r="L269" s="58">
        <v>1.5144138E7</v>
      </c>
      <c r="M269" s="59" t="s">
        <v>99</v>
      </c>
    </row>
    <row r="270">
      <c r="G270" s="35" t="s">
        <v>444</v>
      </c>
      <c r="H270" s="53" t="str">
        <f>A33</f>
        <v>F</v>
      </c>
      <c r="I270" s="35" t="s">
        <v>445</v>
      </c>
      <c r="J270" s="59" t="s">
        <v>446</v>
      </c>
      <c r="K270" s="58">
        <v>9108252.0</v>
      </c>
      <c r="L270" s="58">
        <v>9270643.0</v>
      </c>
      <c r="M270" s="59" t="s">
        <v>213</v>
      </c>
    </row>
    <row r="271">
      <c r="G271" s="35" t="s">
        <v>445</v>
      </c>
      <c r="H271" s="53" t="str">
        <f>A33</f>
        <v>F</v>
      </c>
      <c r="I271" s="35" t="s">
        <v>444</v>
      </c>
      <c r="J271" s="59" t="s">
        <v>446</v>
      </c>
      <c r="K271" s="58">
        <v>9108252.0</v>
      </c>
      <c r="L271" s="58">
        <v>9270643.0</v>
      </c>
      <c r="M271" s="59" t="s">
        <v>213</v>
      </c>
    </row>
    <row r="272">
      <c r="G272" s="35" t="s">
        <v>447</v>
      </c>
      <c r="H272" s="53" t="str">
        <f>A33</f>
        <v>F</v>
      </c>
      <c r="I272" s="35" t="s">
        <v>448</v>
      </c>
      <c r="J272" s="59" t="s">
        <v>449</v>
      </c>
      <c r="K272" s="58">
        <v>1.6839641E7</v>
      </c>
      <c r="L272" s="58">
        <v>1.4727761E7</v>
      </c>
      <c r="M272" s="59" t="s">
        <v>125</v>
      </c>
    </row>
    <row r="273">
      <c r="G273" s="35" t="s">
        <v>448</v>
      </c>
      <c r="H273" s="53" t="str">
        <f>A33</f>
        <v>F</v>
      </c>
      <c r="I273" s="35" t="s">
        <v>447</v>
      </c>
      <c r="J273" s="59" t="s">
        <v>449</v>
      </c>
      <c r="K273" s="58">
        <v>1.6839641E7</v>
      </c>
      <c r="L273" s="58">
        <v>1.4727761E7</v>
      </c>
      <c r="M273" s="59" t="s">
        <v>125</v>
      </c>
    </row>
    <row r="274">
      <c r="G274" s="35" t="s">
        <v>450</v>
      </c>
      <c r="H274" s="53" t="str">
        <f>A33</f>
        <v>F</v>
      </c>
      <c r="J274" s="35" t="s">
        <v>451</v>
      </c>
      <c r="K274" s="60">
        <v>7517055.0</v>
      </c>
      <c r="L274" s="58">
        <v>7649014.0</v>
      </c>
      <c r="M274" s="59" t="s">
        <v>403</v>
      </c>
    </row>
    <row r="275">
      <c r="G275" s="68" t="s">
        <v>452</v>
      </c>
      <c r="H275" s="69" t="str">
        <f>A33</f>
        <v>F</v>
      </c>
      <c r="I275" s="3"/>
      <c r="J275" s="3" t="s">
        <v>453</v>
      </c>
      <c r="K275" s="70">
        <v>1.523483E7</v>
      </c>
      <c r="L275" s="70">
        <v>1.3122916E7</v>
      </c>
      <c r="M275" s="68" t="s">
        <v>125</v>
      </c>
    </row>
    <row r="276">
      <c r="G276" s="35" t="s">
        <v>454</v>
      </c>
      <c r="H276" t="str">
        <f>B34</f>
        <v>F1</v>
      </c>
      <c r="K276" s="58">
        <v>1.4850599E7</v>
      </c>
      <c r="L276" s="58">
        <v>1.2738665E7</v>
      </c>
      <c r="M276" s="59" t="s">
        <v>99</v>
      </c>
    </row>
    <row r="277">
      <c r="G277" s="35" t="s">
        <v>455</v>
      </c>
      <c r="H277" t="str">
        <f t="shared" ref="H277:H278" si="1">B34</f>
        <v>F1</v>
      </c>
      <c r="J277" s="35" t="s">
        <v>456</v>
      </c>
      <c r="K277" s="58">
        <v>1.5477825E7</v>
      </c>
      <c r="L277" s="58">
        <v>1.3365945E7</v>
      </c>
      <c r="M277" s="59" t="s">
        <v>99</v>
      </c>
    </row>
    <row r="278">
      <c r="G278" s="35" t="s">
        <v>457</v>
      </c>
      <c r="H278" t="str">
        <f t="shared" si="1"/>
        <v>F2</v>
      </c>
      <c r="K278" s="60">
        <v>1.9092597E7</v>
      </c>
      <c r="L278" s="58">
        <v>1.6980717E7</v>
      </c>
      <c r="M278" s="59" t="s">
        <v>149</v>
      </c>
    </row>
    <row r="279">
      <c r="G279" s="35" t="s">
        <v>458</v>
      </c>
      <c r="H279" t="str">
        <f t="shared" ref="H279:H281" si="2">B35</f>
        <v>F2</v>
      </c>
      <c r="J279" s="3" t="s">
        <v>459</v>
      </c>
      <c r="K279" s="60">
        <v>1.9092559E7</v>
      </c>
      <c r="L279" s="58">
        <v>1.6980679E7</v>
      </c>
      <c r="M279" s="59" t="s">
        <v>99</v>
      </c>
    </row>
    <row r="280">
      <c r="G280" s="35" t="s">
        <v>38</v>
      </c>
      <c r="H280" t="str">
        <f t="shared" si="2"/>
        <v>F3</v>
      </c>
      <c r="J280" s="3" t="s">
        <v>460</v>
      </c>
      <c r="K280" s="58">
        <v>1.4496387E7</v>
      </c>
      <c r="L280" s="58">
        <v>1.2384592E7</v>
      </c>
      <c r="M280" s="59" t="s">
        <v>99</v>
      </c>
    </row>
    <row r="281">
      <c r="G281" s="35" t="s">
        <v>461</v>
      </c>
      <c r="H281" t="str">
        <f t="shared" si="2"/>
        <v>F4~</v>
      </c>
      <c r="J281" s="66" t="s">
        <v>462</v>
      </c>
      <c r="K281" s="63">
        <v>6958933.0</v>
      </c>
      <c r="L281" s="71">
        <v>6826974.0</v>
      </c>
      <c r="M281" s="64" t="s">
        <v>149</v>
      </c>
    </row>
    <row r="282">
      <c r="G282" s="35" t="s">
        <v>463</v>
      </c>
      <c r="H282" t="str">
        <f>B37</f>
        <v>F4~</v>
      </c>
      <c r="J282" s="3" t="s">
        <v>464</v>
      </c>
      <c r="K282" s="58">
        <v>1.3816606E7</v>
      </c>
      <c r="L282" s="58">
        <v>1.16959E7</v>
      </c>
      <c r="M282" s="59" t="s">
        <v>125</v>
      </c>
    </row>
    <row r="283">
      <c r="G283" s="35" t="s">
        <v>465</v>
      </c>
      <c r="H283" t="str">
        <f>B37</f>
        <v>F4~</v>
      </c>
      <c r="J283" s="3" t="s">
        <v>466</v>
      </c>
      <c r="K283" s="58">
        <v>1.628746E7</v>
      </c>
      <c r="L283" s="58">
        <v>1.417558E7</v>
      </c>
      <c r="M283" s="59" t="s">
        <v>99</v>
      </c>
    </row>
    <row r="284">
      <c r="G284" s="35" t="s">
        <v>467</v>
      </c>
      <c r="H284" t="str">
        <f>B37</f>
        <v>F4~</v>
      </c>
      <c r="J284" s="3" t="s">
        <v>468</v>
      </c>
      <c r="K284" s="58">
        <v>1.7177469E7</v>
      </c>
      <c r="L284" s="58">
        <v>1.5065589E7</v>
      </c>
      <c r="M284" s="59" t="s">
        <v>434</v>
      </c>
    </row>
    <row r="285">
      <c r="G285" s="35" t="s">
        <v>469</v>
      </c>
      <c r="H285" t="str">
        <f>B37</f>
        <v>F4~</v>
      </c>
      <c r="J285" s="3" t="s">
        <v>470</v>
      </c>
      <c r="K285" s="58">
        <v>1.788096E7</v>
      </c>
      <c r="L285" s="58">
        <v>1.576908E7</v>
      </c>
      <c r="M285" s="59" t="s">
        <v>133</v>
      </c>
    </row>
    <row r="287">
      <c r="H287" s="35" t="s">
        <v>471</v>
      </c>
    </row>
  </sheetData>
  <mergeCells count="12">
    <mergeCell ref="C8:L8"/>
    <mergeCell ref="C5:L5"/>
    <mergeCell ref="A46:L46"/>
    <mergeCell ref="A40:J40"/>
    <mergeCell ref="A51:J51"/>
    <mergeCell ref="A100:C100"/>
    <mergeCell ref="B14:L14"/>
    <mergeCell ref="B15:J15"/>
    <mergeCell ref="B27:L27"/>
    <mergeCell ref="B33:M33"/>
    <mergeCell ref="B28:L28"/>
    <mergeCell ref="B26:L26"/>
  </mergeCells>
  <hyperlinks>
    <hyperlink r:id="rId1" ref="J10"/>
    <hyperlink r:id="rId2" ref="H11"/>
    <hyperlink r:id="rId3" ref="F12"/>
    <hyperlink r:id="rId4" ref="K15"/>
    <hyperlink r:id="rId5" ref="C17"/>
    <hyperlink r:id="rId6" ref="I17"/>
    <hyperlink r:id="rId7" ref="G18"/>
    <hyperlink r:id="rId8" ref="I18"/>
    <hyperlink r:id="rId9" ref="G30"/>
    <hyperlink r:id="rId10" ref="A55"/>
    <hyperlink r:id="rId11" ref="A56"/>
    <hyperlink r:id="rId12" ref="A57"/>
    <hyperlink r:id="rId13" ref="A58"/>
    <hyperlink r:id="rId14" ref="A59"/>
    <hyperlink r:id="rId15" ref="A60"/>
    <hyperlink r:id="rId16" ref="A61"/>
    <hyperlink r:id="rId17" ref="A62"/>
    <hyperlink r:id="rId18" ref="A63"/>
    <hyperlink r:id="rId19" ref="A64"/>
    <hyperlink r:id="rId20" ref="A65"/>
    <hyperlink r:id="rId21" ref="A67"/>
    <hyperlink r:id="rId22" ref="A68"/>
    <hyperlink r:id="rId23" ref="A69"/>
    <hyperlink r:id="rId24" ref="A70"/>
    <hyperlink r:id="rId25" ref="A71"/>
    <hyperlink r:id="rId26" ref="A72"/>
    <hyperlink r:id="rId27" ref="A73"/>
    <hyperlink r:id="rId28" ref="A74"/>
    <hyperlink r:id="rId29" ref="A75"/>
    <hyperlink r:id="rId30" ref="A76"/>
    <hyperlink r:id="rId31" ref="A77"/>
    <hyperlink r:id="rId32" ref="A78"/>
    <hyperlink r:id="rId33" ref="A79"/>
    <hyperlink r:id="rId34" ref="A80"/>
    <hyperlink r:id="rId35" ref="A83"/>
    <hyperlink r:id="rId36" ref="A84"/>
    <hyperlink r:id="rId37" ref="B92"/>
    <hyperlink r:id="rId38" ref="B93"/>
    <hyperlink r:id="rId39" ref="B94"/>
    <hyperlink r:id="rId40" ref="B95"/>
  </hyperlinks>
  <drawing r:id="rId41"/>
</worksheet>
</file>