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definedName hidden="1" localSheetId="0" name="_xlnm._FilterDatabase">Sheet1!$K$265:$Z$3406</definedName>
  </definedNames>
  <calcPr/>
</workbook>
</file>

<file path=xl/sharedStrings.xml><?xml version="1.0" encoding="utf-8"?>
<sst xmlns="http://schemas.openxmlformats.org/spreadsheetml/2006/main" count="10053" uniqueCount="5998">
  <si>
    <t xml:space="preserve">Could you adopt this page by donating your time to maintain it?    Details at: </t>
  </si>
  <si>
    <t>Y-DNA Haplogroup H and its Subclades - 2018</t>
  </si>
  <si>
    <t xml:space="preserve">                Downloading this spreadsheet as Excel retains format.  Links may not copy to new sheet.</t>
  </si>
  <si>
    <t>The entire work is identified by the Version Number and date given on</t>
  </si>
  <si>
    <t>Directions for citing the document are listed:</t>
  </si>
  <si>
    <t>Last revision date for this specific page: 1 January 2018</t>
  </si>
  <si>
    <t>Because of continuing research, structure of the Y-DNA Haplogroup Tree changes,  ISOGG does its best to update it.</t>
  </si>
  <si>
    <t>If differences need clarification or if you find  broken links on this page, e-mail:</t>
  </si>
  <si>
    <t>Ray Banks</t>
  </si>
  <si>
    <t>LINKS:</t>
  </si>
  <si>
    <t>Glossary</t>
  </si>
  <si>
    <t>Copyright 2018, International Society of Genetic Genealogy.</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</si>
  <si>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</si>
  <si>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</si>
  <si>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</si>
  <si>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</si>
  <si>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</si>
  <si>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</si>
  <si>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</si>
  <si>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</si>
  <si>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</si>
  <si>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</si>
  <si>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</si>
  <si>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Haplogroup H:</t>
  </si>
  <si>
    <t>Whit Athey</t>
  </si>
  <si>
    <t xml:space="preserve"> </t>
  </si>
  <si>
    <t>H</t>
  </si>
  <si>
    <r>
      <rPr>
        <rFont val="Arial"/>
        <b/>
        <i/>
      </rPr>
      <t>L901/M2939</t>
    </r>
    <r>
      <rPr>
        <rFont val="Arial"/>
        <i/>
      </rPr>
      <t>, M2713/Z4171, M2920/Z4265, M2936/Z4273, M2942/Z4276, M2945/Z4278, M2955/Z4282, M2966/Z4292, M2992/Z4307, M3004/Z18968, M3010/Z4318, M3052/Z4336, M3058/Z4338, M3062/Z4340, M3070/Z4346, M3095, Z4205, Z4309, Z13964</t>
    </r>
  </si>
  <si>
    <t>H~</t>
  </si>
  <si>
    <t>M2826/Z4221, M2856/Z18886, M2896/Z4251, M3035/Z4329, M3076/Z4354, Z13965</t>
  </si>
  <si>
    <t>H1</t>
  </si>
  <si>
    <r>
      <rPr>
        <b/>
        <i/>
      </rPr>
      <t>L902/M3061</t>
    </r>
    <r>
      <rPr>
        <i/>
      </rPr>
      <t>, M2707, M2721/Z4176, M2731, M2753/Z4193, M2761/Z4198, M2762/Z4199, M2763, M2774/ZS4028, M2806/Z4318, M2834/Z4225, M2835/Z4226, M2877/Z4245, M2913/Z4260, M2927/Z4269, M3000/Z4655, M3006/Z4315, M3008/Z4317, M3011/Z4319, M3031/Z4326, M3071/Z4347, Z4175, Z4203, Z4210, Z4211, Z4289, Z4314, Z4328</t>
    </r>
  </si>
  <si>
    <t>H1~</t>
  </si>
  <si>
    <t>M2730, M2821/Z4220, M2871, M2919/Z4264, M2962/Z4290, M3027/Z4325, M3030, M3059/Z4339, M3081, Y2587/Z18626</t>
  </si>
  <si>
    <t>H1a</t>
  </si>
  <si>
    <r>
      <rPr>
        <b/>
        <i/>
      </rPr>
      <t>M69/Page45,</t>
    </r>
    <r>
      <rPr>
        <i/>
      </rPr>
      <t xml:space="preserve"> M370</t>
    </r>
    <r>
      <rPr>
        <i/>
      </rPr>
      <t>, M2764/Z4200, M2701/Z4162, M2712/Z4170, M2757/Z4196, M2812, M2817, M2822, M2861, M2900/Z4253, M2951/Z4280, M2954/Z4281, M2956/Z4283, M2991/Z4306, M2998/Z4311, M3033/Z4327, M3036, M3045/Z4334, M3067/Z4344, M3069/Z4345, M3086, M3087, Y2582, Z4213, Z4252, Z4350</t>
    </r>
  </si>
  <si>
    <t>H1a1</t>
  </si>
  <si>
    <r>
      <rPr>
        <b/>
        <i/>
      </rPr>
      <t>M52</t>
    </r>
    <r>
      <rPr>
        <i/>
      </rPr>
      <t xml:space="preserve">, AM00833/Z4349, FGC19084/M2754/Z4194, FGC23606/Z18692, FGC23611/Y8594/Z18711,  FGC23612/Z18690, FGC23615/Z18686, FGC23616/Z18714, FGC23618/Z18708, FGC23626/Y8591/Z18691, FGC23629/Y8592/Z18696, FGC23638/Y8587/Z18670, FGC23640/Z18681, L182/M3034, L898/M2700, L900/M2879, M52, M2704/Z4163, M2705/Z4167, M2709, M2710, M2711/Z4169, M2714, M2717/Z4172, M2719/Z4173, M2720/Z4174, M2723, M2724/Z4178, M2725/Z4179, M2726/Z4180, M2734/Z4182, M2736, M2738/V1638/Z4183, M2739, M2740/Z4184, M2742, M2743/Z4186, M2744/Z4188, M2748/Z4190, M2749/Z4191, M2751/Z4192, M2756/Z4195, M2758, M2759/Z4197, M2766/Z4546, M2770, M2786/Z4206, M2790, M2791/Z4215, M2795, M2796, M2797, M2798, M2799, M2802, M2804, M2805, M2809, M2816, M2818, M2820/Z4219, M2828, M2829/Z4222, M2830, M2831/Z4223, M2832/Z4224, M2836, M2839/Z4228, M2840, M2841/Z4229, M2843/Z4230, M2844, M2845/Z4231, M2847, M2849/Z4233, M2857/Z4234, M2860/Z4235, M2863/Z4236, M2864/Z4237, M2865/Z4238, M2868/Z4239, M2870/Z4241, M2872/Z4242, M2874/Z4243, M2875/Z4244, M2878/Z4246, M2883, M2885/Z4247, M2886/Z4248, M2889, M2891/Z4249, M2895/Z4250, M2899, M2902/Z4254, M2904/Z4255, M2905/Z4256, M2909/Z4257, M2911/Z4258, M2912/Z4259, M2915/Z4261, M2916/Z4262, M2917/Z4263, M2921/Z4266, M2922, M2923/Z4267, M2926/Z4268, M2928/Z4270, M2929/Z4271, M2937/Z4274, M2941/Z4275, M2943/Z4277, M2946, M2950, M2961, M2964, M2965/Z4291, M2967, M2968/Z4293, M2971/Z4295, M2973/Z4296, M2974/Z4297, M2978, M2979, M2980/Z4299, M2981/Z4300, M2982/Z4301, M2984, M2985/Z4302, M2986/Z4303, M2989/Z4304, M2990, M2993/Z4308, M2996, M2999/Z4312, M3002/Z4313, M3007/Z4316, M3013/Z4320, M3016, M3019/Z4321, M3021/Z4322, M3022/Z4323, M3024/Z4324, M3026, M3039/Z4330, M3041/Z4333, M3044, M3050, M3051/Z4335, M3057/Z4337, M3063/Z4341, M3064/Z4342, M3065/Z4343, M3072/Z4351, M3073/Z4352, M3075/Z4353,  M3077/Z4355, M3080, M3083/Z4356, M3088/Z4357, M3089/Z4358, M3092, M3096, M3097, Page22, Z4177, Z4185, Z4187, Z4201, Z4202, Z4204, Z4209, Z4212, Z4214, Z4217, Z4227, Z4232, Z4272, Z4279, Z4284, Z4285, Z4287, Z4298,  Z4305, Z4310, Z4332, Z4348, Z4631, Z18673, Z18674, Z18680, Z18684, Z18685, Z18688, Z18689, Z18693, Z18694 </t>
    </r>
  </si>
  <si>
    <t>H1a1a</t>
  </si>
  <si>
    <r>
      <rPr>
        <b/>
        <i/>
      </rPr>
      <t>M82</t>
    </r>
    <r>
      <rPr>
        <i/>
      </rPr>
      <t>, M2718, M2833, M2953, M2970/Z4393, M2976/Z4394, M3015, M3043/Z4676, M3079, Z4360, Z4385</t>
    </r>
  </si>
  <si>
    <t>H1a1a1</t>
  </si>
  <si>
    <t>Z14668</t>
  </si>
  <si>
    <t>H1a1a1a</t>
  </si>
  <si>
    <r>
      <rPr>
        <b/>
      </rPr>
      <t>M36</t>
    </r>
    <r>
      <t>, M197</t>
    </r>
  </si>
  <si>
    <t>H1a1a1b</t>
  </si>
  <si>
    <r>
      <rPr>
        <b/>
        <i/>
      </rPr>
      <t>L683</t>
    </r>
    <r>
      <rPr>
        <i/>
      </rPr>
      <t>, L684</t>
    </r>
  </si>
  <si>
    <t>H1a1a1b~</t>
  </si>
  <si>
    <t>CTS5358/M8772, CTS8235, SK1216, Z34503, Z34504</t>
  </si>
  <si>
    <t>H1a1a1c~</t>
  </si>
  <si>
    <t>Z34618, Z34620, Z34621, Z34622</t>
  </si>
  <si>
    <t>H1a1a2~</t>
  </si>
  <si>
    <t>M97</t>
  </si>
  <si>
    <t>H1a1a3~</t>
  </si>
  <si>
    <t>M39, M138</t>
  </si>
  <si>
    <t>H1a1a4</t>
  </si>
  <si>
    <r>
      <rPr>
        <b/>
        <i/>
      </rPr>
      <t>M2914/Z4382</t>
    </r>
    <r>
      <rPr>
        <i/>
      </rPr>
      <t>, M2745/Z4367</t>
    </r>
  </si>
  <si>
    <t>H1a1a4a</t>
  </si>
  <si>
    <r>
      <rPr>
        <b/>
        <i/>
      </rPr>
      <t>Z14588</t>
    </r>
    <r>
      <rPr>
        <i/>
      </rPr>
      <t>, FGC8022/Z14616, FGC20822/Z14624, Z14553, Z14554, Z14555, Z14556, Z14557, Z14558, Z14559, Z14560, Z14561, Z14562, Z14563, Z14564, Z14565, Z14566, Z14567, Z14568, Z14569, Z14571, Z14573, Z14575, Z14582, Z14583, Z14584, Z14585, Z14586, Z14589, Z14590, Z14591, Z14592, Z14593, Z14594, Z14595, Z14597, Z14598, Z14599, Z14600, Z14601, Z14602, Z14603, Z14604, Z14605, Z14606, Z14607, Z14608, Z14609, Z14610, Z14611, Z14612, Z14613, Z14614, Z14615, Z14617, Z14618, Z14619, Z14620, Z14621, Z14622, Z14623, Z14625, Z14626, Z14627, Z14628, Z14629, Z14630, Z14631, Z14632, Z14633, Z14634, Z14635, Z14636, Z14637, Z14638, Z14639, Z14640, Z14642, Z14643, Z14644, Z14645, Z14646, Z14647, Z14648, Z14649, Z14650, Z14651, Z14652,  Z14659, Z14660, Z14661, Z14662, Z14663, Z14664, Z14665</t>
    </r>
  </si>
  <si>
    <t>H1a1a4a1~</t>
  </si>
  <si>
    <t>Z34624, Z34625, Z34626, Z34627</t>
  </si>
  <si>
    <t>H1a1a4a2~</t>
  </si>
  <si>
    <t>Z34628, Z34629, Z34630, Z34631, Z34632</t>
  </si>
  <si>
    <t>H1a1a4b</t>
  </si>
  <si>
    <r>
      <rPr>
        <b/>
        <i/>
      </rPr>
      <t>Z4361</t>
    </r>
    <r>
      <rPr>
        <i/>
      </rPr>
      <t>, M2706/Z4362, M2716, M2722/Z4520, M2732/Z4531, M2733/Z4365, M2737, M2741/Z4366,  M2760/Z4369, M2772, M2785, M2792, M2793/Z4372, M2801, M2807/Z4373, M2823/Z4374, M2827/Z4375, M2846/Z4376, M2850/Z4377, M2851, M2858, M2859, M2862/Z4378, M2876/Z4593, M2880, M2881/Z4598, M2884/Z4379, M2894, M2897, M2901, M2903/Z4380, M2908/Z4381, M2918, M2925/Z4618, M2932/Z4383, M2933, M2934, M2940/Z4384, M2947/Z4386, M2949/Z4387, M2952, M2975, M2977/Z4635, M2987/Z4395, M2997/Z4398, M3009/Z4399, M3012/Z4400, M3014/Z4465, M3017, M3020, M3028/Z4402, M3029/Z4404, M3032/Z4405, M3037/Z4406, M3042/Z4407, M3047, M3048/Z4409, M3074/Z4411, Z4364, Z4370, Z4371, Z4388, Z4389, Z4391, Z4392, Z4396, Z4397, Z4403, Z4408, Z4410,  Z14526</t>
    </r>
  </si>
  <si>
    <t>H1a1a4b1</t>
  </si>
  <si>
    <r>
      <rPr>
        <b/>
        <i/>
      </rPr>
      <t>Z5873</t>
    </r>
    <r>
      <rPr>
        <i/>
      </rPr>
      <t>, Z14497, Z14498, Z14499, Z14500</t>
    </r>
  </si>
  <si>
    <t>H1a1a4b1a~</t>
  </si>
  <si>
    <t>A1079.2, Z34633, Z34634, Z34636</t>
  </si>
  <si>
    <t>H1a1a4b1b~</t>
  </si>
  <si>
    <t>Z34637, Z34638, Z34639, Z34640, Z34641</t>
  </si>
  <si>
    <t>H1a1a4b2</t>
  </si>
  <si>
    <r>
      <rPr>
        <b/>
        <i/>
      </rPr>
      <t>M2972/Z5875</t>
    </r>
    <r>
      <rPr>
        <i/>
      </rPr>
      <t>, M2853, M2854, M2867</t>
    </r>
  </si>
  <si>
    <t>H1a1a4b2a</t>
  </si>
  <si>
    <r>
      <rPr>
        <b/>
        <i/>
      </rPr>
      <t>Z5876,</t>
    </r>
    <r>
      <rPr>
        <i/>
      </rPr>
      <t xml:space="preserve"> Z14447, Z14448, Z14449, Z14450, Z14451, Z14452, Z14453</t>
    </r>
  </si>
  <si>
    <t>H1a1a4b2a1</t>
  </si>
  <si>
    <r>
      <rPr>
        <b/>
        <i/>
      </rPr>
      <t>Z5877</t>
    </r>
    <r>
      <rPr>
        <i/>
      </rPr>
      <t>, Z14454</t>
    </r>
  </si>
  <si>
    <t>H1a1a4b2a1a~</t>
  </si>
  <si>
    <t>Z34652, Z34653, Z34654, Z34655, Z34656</t>
  </si>
  <si>
    <t>H1a1a4b2a1b~</t>
  </si>
  <si>
    <t>Z34657, Z34659, Z34660, Z34661</t>
  </si>
  <si>
    <t>H1a1a4b2a2~</t>
  </si>
  <si>
    <t>Z34662, Z34663, Z34664, Z34665, Z34666</t>
  </si>
  <si>
    <t>H1a1a4b2b</t>
  </si>
  <si>
    <r>
      <rPr>
        <b/>
        <i/>
      </rPr>
      <t>Z5878</t>
    </r>
    <r>
      <rPr>
        <i/>
      </rPr>
      <t>, Z14456, Z14457, Z14458, Z14459, Z14460</t>
    </r>
  </si>
  <si>
    <t>H1a1a4b2b1</t>
  </si>
  <si>
    <r>
      <rPr>
        <b/>
        <i/>
      </rPr>
      <t>Z5879</t>
    </r>
    <r>
      <rPr>
        <i/>
      </rPr>
      <t>, Z553.2, Z14466, Z14467, Z14468, Z14469, Z14470, Z14471, Z14472, Z14475, Z14476, Z14477, Z14478, Z14480, Z14481, Z14482, Z14483, Z14484, Z14485, Z14486, Z14487,  Z14492, Z14493, Z14494, Z14495</t>
    </r>
  </si>
  <si>
    <t>H1a1a4b2b1a~</t>
  </si>
  <si>
    <t>Z34672, Z34673, Z34674, Z34675</t>
  </si>
  <si>
    <t>H1a1a4b2b1b~</t>
  </si>
  <si>
    <t>Z34676, Z34677, Z34678, Z34680</t>
  </si>
  <si>
    <t>H1a1a4b2b2~</t>
  </si>
  <si>
    <t>Z34667, Z34668, Z34669, Z34670, Z34671</t>
  </si>
  <si>
    <t>H1a1a4b2c</t>
  </si>
  <si>
    <t>M3038</t>
  </si>
  <si>
    <t>H1a1a4b2c1</t>
  </si>
  <si>
    <r>
      <rPr>
        <b/>
        <i/>
      </rPr>
      <t>Z5881</t>
    </r>
    <r>
      <rPr>
        <i/>
      </rPr>
      <t>, Z14441, Z14442</t>
    </r>
  </si>
  <si>
    <t>H1a1a4b2c1a</t>
  </si>
  <si>
    <r>
      <rPr>
        <b/>
        <i/>
      </rPr>
      <t>Z5882</t>
    </r>
    <r>
      <rPr>
        <i/>
      </rPr>
      <t>, Z14433, Z14434, Z14435, Z14436, Z14437, Z14438, Z14439, Z14440</t>
    </r>
  </si>
  <si>
    <t>H1a1a4b2c1a1</t>
  </si>
  <si>
    <r>
      <rPr>
        <b/>
        <i/>
      </rPr>
      <t xml:space="preserve"> Z5883</t>
    </r>
    <r>
      <rPr>
        <i/>
      </rPr>
      <t>, Z14415, Z14416, Z14417, Z14428, Z14429, Z14430</t>
    </r>
  </si>
  <si>
    <t>H1a1a4b2c1a1a</t>
  </si>
  <si>
    <r>
      <rPr>
        <b/>
        <i/>
      </rPr>
      <t>Z5884</t>
    </r>
    <r>
      <rPr>
        <i/>
      </rPr>
      <t>, Z14405, Z14406, Z14408, Z14411, Z14412</t>
    </r>
  </si>
  <si>
    <t>H1a1a4b2c1a1a1~</t>
  </si>
  <si>
    <t>Z34712, Z34713, Z34714, Z34715, Z34716</t>
  </si>
  <si>
    <t>H1a1a4b2c1a1a2~</t>
  </si>
  <si>
    <t>Z34717, Z34718, Z34719, Z34720, Z34721</t>
  </si>
  <si>
    <t>H1a1a4b2c1a1b~</t>
  </si>
  <si>
    <t>Z34707, Z34708, Z34710, Z34711</t>
  </si>
  <si>
    <t>H1a1a4b2c1a2~</t>
  </si>
  <si>
    <t>Z34702, Z34702, Z34704, Z34705, Z34706</t>
  </si>
  <si>
    <t>H1a1a4b2c1a3~</t>
  </si>
  <si>
    <t>B109, Z34880, Z34881, Z34882, Z34883</t>
  </si>
  <si>
    <t>H1a1a4b2c1b~</t>
  </si>
  <si>
    <t>Z34697, Z34698, Z34699, Z34701</t>
  </si>
  <si>
    <t>H1a1a4b2c2~</t>
  </si>
  <si>
    <t>Z34681, Z34682, Z34683, Z34684, Z34685</t>
  </si>
  <si>
    <t>H1a1a4b2c3~</t>
  </si>
  <si>
    <t>Z34692, Z34693, Z34694, Z34695, Z34696</t>
  </si>
  <si>
    <t>H1a1a4b2c4~</t>
  </si>
  <si>
    <t>M2728, Z34876, Z34878, Z34879</t>
  </si>
  <si>
    <t>H1a1a4b2d~</t>
  </si>
  <si>
    <t>Z34647, Z34648, Z34649, Z34650, Z34651</t>
  </si>
  <si>
    <t>H1a1a4b3</t>
  </si>
  <si>
    <r>
      <rPr>
        <b/>
        <i/>
      </rPr>
      <t>Z4507</t>
    </r>
    <r>
      <rPr>
        <i/>
      </rPr>
      <t>, FGC23660/Z12590, Z4654, Z4695, Z12588, Z12591</t>
    </r>
  </si>
  <si>
    <t>H1a1a4b3a</t>
  </si>
  <si>
    <r>
      <rPr>
        <b/>
        <i/>
      </rPr>
      <t>Z5886</t>
    </r>
    <r>
      <rPr>
        <i/>
      </rPr>
      <t>, F1616.2, Z12552, Z12553, Z12554, Z12555, Z12556, Z12557, Z12558, Z12559, Z12560, Z12561, Z12562, Z12563, Z12564, Z12565, Z12566, Z12567, Z12568,  Z12570, Z12571, Z12572, Z12573, Z12574, Z12575, Z12576, Z12577, Z12578, Z12579, Z12580, Z12586, Z12587</t>
    </r>
  </si>
  <si>
    <t>H1a1a4b3a1</t>
  </si>
  <si>
    <r>
      <rPr>
        <rFont val="Arial"/>
        <b/>
        <i/>
        <color rgb="FF000000"/>
        <sz val="10.0"/>
      </rPr>
      <t>Z5887</t>
    </r>
    <r>
      <rPr>
        <rFont val="Arial"/>
        <i/>
        <color rgb="FF000000"/>
        <sz val="10.0"/>
      </rPr>
      <t>, Z12541, Z12542, Z12544, Z12548, Z12549</t>
    </r>
  </si>
  <si>
    <t>H1a1a4b3a1a~</t>
  </si>
  <si>
    <t>MC13.2, Z34565, Z34566, Z34567</t>
  </si>
  <si>
    <t>H1a1a4b3a1b~</t>
  </si>
  <si>
    <t>Z34569, Z34571, Z34572</t>
  </si>
  <si>
    <t>H1a1a4b3a2~</t>
  </si>
  <si>
    <t>Z34723, Z34724, Z34725, Z34726</t>
  </si>
  <si>
    <t>H1a1a4b3b</t>
  </si>
  <si>
    <t>Z5888</t>
  </si>
  <si>
    <t>H1a1a4b3b1</t>
  </si>
  <si>
    <t>Z5889, FGC12548/Z12536</t>
  </si>
  <si>
    <t>H1a1a4b3b1a</t>
  </si>
  <si>
    <r>
      <rPr>
        <b/>
        <i/>
      </rPr>
      <t xml:space="preserve"> Z5890</t>
    </r>
    <r>
      <rPr>
        <i/>
      </rPr>
      <t>, Z12533, Z12534</t>
    </r>
  </si>
  <si>
    <t>H1a1a4b3b1a1~</t>
  </si>
  <si>
    <t>Z34505, Z34506, Z34507, Z34508</t>
  </si>
  <si>
    <t>H1a1a4b3b1a2~</t>
  </si>
  <si>
    <t>Z98.2, Z34509, Z34510, Z34511</t>
  </si>
  <si>
    <t>H1a1a4b3b1a3~</t>
  </si>
  <si>
    <t>CTS9919, CTS10219, M11249, Z34513</t>
  </si>
  <si>
    <t>H1a1a4b3b1a4~</t>
  </si>
  <si>
    <t>M8356, Z34514, Z34515, Z34516, Z34517</t>
  </si>
  <si>
    <t>H1a1a4b3b1a5~</t>
  </si>
  <si>
    <t>CTS2576, Z34518, Z34519, Z34520</t>
  </si>
  <si>
    <t>H1a1a4b3b1a6~</t>
  </si>
  <si>
    <t>Z34523, Z34524, Z34525, Z34526, Z34527</t>
  </si>
  <si>
    <t>H1a1a4b3b1a7~</t>
  </si>
  <si>
    <t>CTS2750/M1592, CTS3576.2/V2778.2, Z34528, Z34529, Z34530</t>
  </si>
  <si>
    <t>H1a1a4b3b1a8~</t>
  </si>
  <si>
    <t>Z34531, Z34532, Z34533, Z34534, Z34535</t>
  </si>
  <si>
    <t>H1a1a4b3b1a9~</t>
  </si>
  <si>
    <t>CTS11089, Z34536, Z34537, Z34538, Z34539</t>
  </si>
  <si>
    <t>H1a1a4b3b1a10~</t>
  </si>
  <si>
    <t>Z34540, Z34541, Z34542, Z34543, Z34544</t>
  </si>
  <si>
    <t>H1a1a4b3b1a11~</t>
  </si>
  <si>
    <t>B372, Z34884, Z34885, Z34886, Z34887</t>
  </si>
  <si>
    <t>H1a1a4b3b1a12~</t>
  </si>
  <si>
    <t>B371, Z34888, Z34889, Z34890, Z34891</t>
  </si>
  <si>
    <t>H1a1a4b3b1b~</t>
  </si>
  <si>
    <t>Z34578, Z34579, Z34580, Z34581</t>
  </si>
  <si>
    <t>H1a1a4b3b1c~</t>
  </si>
  <si>
    <t>Z34583, Z34585, Z34586, Z34587</t>
  </si>
  <si>
    <t>H1a1a4b3b2~</t>
  </si>
  <si>
    <t>M6003, Z34574, Z34575, Z34576, Z34577</t>
  </si>
  <si>
    <t>H1a1a4b4</t>
  </si>
  <si>
    <r>
      <rPr>
        <b/>
        <i/>
      </rPr>
      <t>Z4489,</t>
    </r>
    <r>
      <rPr>
        <i/>
      </rPr>
      <t xml:space="preserve"> F3564.2/M5824.2, Z4525, Z4526, Z4538, Z4539, Z4550, Z4561, Z4574, Z4615, Z4622, Z4624, Z4625, Z4643, Z4649, Z4680, Z4684, Z4685, Z4692, Z12600, Z12601, Z12610, Z12612, Z12613, Z12614, Z12617, Z12622, Z12623, Z12624, Z12625, Z12626, Z12627, Z12628, Z12629, Z12630,  Z12634, Z12635, Z12636, Z12637</t>
    </r>
  </si>
  <si>
    <t>H1a1a4b4a</t>
  </si>
  <si>
    <r>
      <rPr>
        <b/>
        <i/>
      </rPr>
      <t>Z4542,</t>
    </r>
    <r>
      <rPr>
        <i/>
      </rPr>
      <t xml:space="preserve"> CTS2016.2/M3509.2/PF2934.2, Z4543, Z4591, Z4616, Z4678, Z4679, Z4691, Z4698, Z12597, Z12598, Z12599</t>
    </r>
  </si>
  <si>
    <t>H1a1a4b4a~</t>
  </si>
  <si>
    <t>Z4543, Z4616, Z4678, Z4698, Z12597, Z12599</t>
  </si>
  <si>
    <t>H1a1a4b4a1~</t>
  </si>
  <si>
    <t>FGC23805.2, Z6593.2, Z21872.2, Z31719.2</t>
  </si>
  <si>
    <t>H1a1a4b4a2~</t>
  </si>
  <si>
    <t>Z34545, Z34546, Z34547, Z34548, Z34549</t>
  </si>
  <si>
    <t>H1a1a4b4b~</t>
  </si>
  <si>
    <t>Z34550, Z34551, Z34552, Z46376</t>
  </si>
  <si>
    <t>H1a1a4b5~</t>
  </si>
  <si>
    <t>Z34554, Z34557, Z34558</t>
  </si>
  <si>
    <t>H1a1a4b6~</t>
  </si>
  <si>
    <t>Z34560, Z34561, Z34562, Z34563, Z34564</t>
  </si>
  <si>
    <t>H1a1a4b7~</t>
  </si>
  <si>
    <t>Z34642, Z34643, Z34644, Z34645, Z34646</t>
  </si>
  <si>
    <t>H1a1a5~</t>
  </si>
  <si>
    <t>F2072</t>
  </si>
  <si>
    <t>H1a1a6~</t>
  </si>
  <si>
    <t>PF3430.2</t>
  </si>
  <si>
    <t>H1a1b</t>
  </si>
  <si>
    <r>
      <rPr>
        <b/>
        <i/>
      </rPr>
      <t>Z4469</t>
    </r>
    <r>
      <rPr>
        <i/>
      </rPr>
      <t>, Z14674</t>
    </r>
  </si>
  <si>
    <t>H1a1b1</t>
  </si>
  <si>
    <r>
      <rPr>
        <b/>
        <i/>
      </rPr>
      <t>Z4487</t>
    </r>
    <r>
      <rPr>
        <i/>
      </rPr>
      <t>, Z4419, Z4422, Z4432, Z4451, Z4452, Z4468, Z4471, Z4475, Z4476, Z4477, Z14679, Z14680, Z14681, Z14683</t>
    </r>
  </si>
  <si>
    <t>H1a1b1a</t>
  </si>
  <si>
    <r>
      <rPr>
        <b/>
        <i/>
      </rPr>
      <t>Z4417</t>
    </r>
    <r>
      <rPr>
        <i/>
      </rPr>
      <t>, Page75, Z4414, Z4420, Z4421, Z4423, Z4424, Z4425, Z4426, Z4427, Z4429, Z4433, Z4434, Z4435, Z4437, Z4438, Z4440, Z4441, Z4442, Z4444, Z4445, Z4446, Z4447, Z4448, Z4449, Z4450, Z4453, Z4455, Z4456, Z4457, Z4459, Z4460, Z4461, Z4463, Z4466, Z4467, Z4470, Z4473, Z4474, Z4478, Z4480, Z4481, Z4664, Z14718, Z14721, Z14722, Z14724,  Z14727, Z14728, Z14729, Z14732, Z14733,  Z14739, Z14742, Z14743, Z14744, Z14745, Z14746, Z14747, Z14748, Z14749, Z14750, Z14751, Z14752, Z14753, Z14754, Z14755, Z14756, Z14757, Z14759, Z14760, Z14762, Z14763, Z14766, Z14767, Z14768</t>
    </r>
  </si>
  <si>
    <t>H1a1b1a~</t>
  </si>
  <si>
    <t>Z14764, Z14765</t>
  </si>
  <si>
    <t>H1a1b1a1</t>
  </si>
  <si>
    <r>
      <rPr>
        <b/>
        <i/>
      </rPr>
      <t>Z14686</t>
    </r>
    <r>
      <rPr>
        <i/>
      </rPr>
      <t>, Z4540, Z14690, Z14691</t>
    </r>
  </si>
  <si>
    <t>H1a1b1a1a~</t>
  </si>
  <si>
    <t>Z34595, Z40928, Z40929, Z40930</t>
  </si>
  <si>
    <t>H1a1b1a1b~</t>
  </si>
  <si>
    <t>Z34597, Z34598, Z34600</t>
  </si>
  <si>
    <t>H1a1b1a2~</t>
  </si>
  <si>
    <t>FGC20902.2/ZS3748.2, Z34602, Z40931, Z40932</t>
  </si>
  <si>
    <t>H1a1b1b</t>
  </si>
  <si>
    <r>
      <rPr>
        <b/>
        <i/>
      </rPr>
      <t>Z40935</t>
    </r>
    <r>
      <rPr>
        <i/>
      </rPr>
      <t>, Z40936, Z40937, Z40938, Z40939, Z40940, Z40941, Z40942, Z40943, Z40944, Z40945, Z40946</t>
    </r>
  </si>
  <si>
    <t>H1a1b1b1~</t>
  </si>
  <si>
    <t>CTS341, Z34607, Z40933, Z40934</t>
  </si>
  <si>
    <t>H1a1b1b2~</t>
  </si>
  <si>
    <t>Z34871, Z34873, Z34874, Z34875</t>
  </si>
  <si>
    <t>H1a1b2~</t>
  </si>
  <si>
    <t>Z34591, Z34592, Z40947, Z40948, Z40949</t>
  </si>
  <si>
    <t>H1a1c~</t>
  </si>
  <si>
    <t>L592</t>
  </si>
  <si>
    <t>H1a2</t>
  </si>
  <si>
    <t>Z5867^^</t>
  </si>
  <si>
    <t>H1a2a</t>
  </si>
  <si>
    <r>
      <rPr>
        <b/>
        <i/>
      </rPr>
      <t>Apt</t>
    </r>
    <r>
      <rPr>
        <i/>
      </rPr>
      <t>, Z13966, Z13967, Z13968, Z13969, Z13995, Z13996, Z13997, Z13998, Z13999, Z14000, Z14001, Z14002, Z14003, Z14004, Z14005, Z14006, Z14007, Z14008, Z14009, Z14010, Z14011, Z14012, Z14013, Z14014, Z14015, Z14016, Z14017, Z14018, Z14019, Z14020, Z14021, Z14022, Z14023, Z14024, Z14025, Z14026, Z14027, Z14029, Z14031, Z14032, Z14033, Z14034, Z14041, Z14045, Z14047, Z14048, Z14049, Z14050, Z14051, Z14052, Z14053, Z14054, Z14055, Z14056, Z14058, Z14059, Z14060, Z14061, Z14062, Z14064, Z14066, Z14067, Z14068, Z14069, Z14070, Z14071, Z14072, Z14073, Z14074, Z14075, Z14076, Z14077, Z14079, Z14080, Z14081, Z14082, Z14083, Z14084, Z14085, Z14086, Z14087, Z14088, Z14089, Z14090, Z14091, Z14093, Z14094, Z14095, Z14096, Z14097, Z14098, Z14099, Z14100, Z14101, Z14102, Z14103, Z14104, Z14105, Z14106, Z14107, Z14108, Z14109, Z14113, Z14115, Z14116, Z14117, Z14118, Z14119, Z14120, Z14121, Z14122, Z14126, Z14127, Z14128, Z14129, Z14130, Z14131, Z14132, Z14133, Z14134, Z14135, Z14137, Z14138, Z14139, Z14140, Z14141, Z14142, Z14143, Z14144, Z14145, Z14147, Z14148, Z14149, Z14150, Z14151, Z14152, Z14153, Z14154, Z14155, Z14156,  Z14164, Z14165, Z14166, Z14167, Z14168, Z14169, Z14170, Z14171, Z14172, Z14173, Z14174, Z14175, Z14176, Z14177, Z14178, Z14180, Z14181, Z14182, Z14183, Z14184, Z14185, Z14186, Z14187, Z14188, Z14189, Z14190, Z14191, Z14192, Z14193, Z14196, Z14197, Z14198</t>
    </r>
  </si>
  <si>
    <t>H1a2a1~</t>
  </si>
  <si>
    <t>P80, P314.1/S220.1</t>
  </si>
  <si>
    <t>H1a2a2~</t>
  </si>
  <si>
    <t>Z34487, Z34488, Z34489</t>
  </si>
  <si>
    <t>H1a2a3~</t>
  </si>
  <si>
    <t>M2646, M6765, M10291, Z34491</t>
  </si>
  <si>
    <t>H1a2a4~</t>
  </si>
  <si>
    <t xml:space="preserve">P194 </t>
  </si>
  <si>
    <t>H1a2b</t>
  </si>
  <si>
    <r>
      <rPr>
        <b/>
        <i/>
      </rPr>
      <t>Z14258</t>
    </r>
    <r>
      <rPr>
        <i/>
      </rPr>
      <t>, FGC3219/Z14282, Y2579/Z14270, Y2583/Z14276, Y2584/Z14278, Y2586/Z14289, Y2589/Z14300, Y2590/Z14304, Y2591/Z14305, Z14259, Z14266, Z14267, Z14268, Z14269, Z14271, Z14277, Z14279, Z14280, Z14283, Z14284, Z14285, Z14286, Z14287, Z14288, Z14290, Z14291,  Z14296, Z14297, Z14298, Z14299, Z14301, Z14302,  Z14306, Z34841</t>
    </r>
  </si>
  <si>
    <t>H1a2b~</t>
  </si>
  <si>
    <t>Y2581/Z14273</t>
  </si>
  <si>
    <t>H1a2b1</t>
  </si>
  <si>
    <t>Z14308</t>
  </si>
  <si>
    <t>H1a2b1a</t>
  </si>
  <si>
    <r>
      <rPr>
        <b/>
        <i/>
      </rPr>
      <t>Z5868</t>
    </r>
    <r>
      <rPr>
        <i/>
      </rPr>
      <t>, Z14315, Z14316, Z14317, Z14318, Z14319, Z14320, Z14321, Z14322, Z14323, Z14324, Z14325, Z14326, Z14330, Z14331, Z14332, Z14333, Z14334, Z14335, Z14336, Z14337, Z14338, Z14339, Z14340, Z14341, Z14342, Z14344, Z14345, Z14346, Z14348, Z14349, Z14350, Z14351, Z14352, Z14353, Z14354, Z14355, Z14356, Z14357, Z14358, Z14359, Z14360, Z14361, Z14362, Z14363, Z14364, Z14366, Z14367, Z14368, Z14369, Z14370, Z14371, Z14372, Z14373, Z14374, Z14375, Z14376, Z14377, Z14378, Z14379, Z14380, Z14381, Z14382, Z14390, Z14391, Z14392, Z14393, Z14394, Z14395, Z14396, Z14397, Z14398, Z14399, Z14400, Z14402</t>
    </r>
  </si>
  <si>
    <t>H1a2b1a1~</t>
  </si>
  <si>
    <t>F3547, L1303.2, M11083/V1270, Z34495, Z34496, Z34497</t>
  </si>
  <si>
    <t>H1a2b1a2~</t>
  </si>
  <si>
    <t>Z34498, Z34499, Z34500, Z34501</t>
  </si>
  <si>
    <t>H1a2b1b</t>
  </si>
  <si>
    <r>
      <rPr>
        <b/>
        <i/>
      </rPr>
      <t>Z34492</t>
    </r>
    <r>
      <rPr>
        <i/>
      </rPr>
      <t>, Y29437, Z34493, Z34729, Z34730, Z34731, Z34732, Z34733, Z34734, Z34735, Z34736, Z34738, Z34740, Z34741, Z34743, Z34744, Z34745, Z34747, Z34748, Z34749, Z34750, Z34752, Z34755, Z34761, Z34762, Z34763, Z34764, Z34765, Z34766, Z34767, Z34769, Z34770, Z34771, Z34772, Z34773, Z34774, Z34775, Z34776, Z34777, Z34778, Z34779, Z34780, Z34781, Z34782, Z34783, Z34784, Z34785, Z34786, Z34788, Z34789, Z34790, Z34791, Z34792, Z34793, Z34794, Z34795, Z34796, Z34797, Z34798, Z34800, Z34801, Z34802, Z34803, Z34805, Z34809, Z34811, Z34812, Z34813, Z34815, Z34816, Z34817, Z34818, Z34819, Z34820, Z34821, Z34822, Z34823, Z34824, Z34825, Z34826, Z34827, Z34828, Z34829, Z34830, Z34831, Z34832, Z34833, Z34834, Z34835, Z34836, Z34837, Z34840, ZS5892.2, ZS6060.2</t>
    </r>
  </si>
  <si>
    <t>H1a2b1b~</t>
  </si>
  <si>
    <t>Z34737, Z34739, Z34742</t>
  </si>
  <si>
    <t>H1a2b1b1~</t>
  </si>
  <si>
    <t>Z34494, Z34844, Z41073, Z41074</t>
  </si>
  <si>
    <t>H1a2b1b2~</t>
  </si>
  <si>
    <t>B367, Z34846, Z34847, Z34848, Z34849</t>
  </si>
  <si>
    <t>H1a2b1c</t>
  </si>
  <si>
    <r>
      <rPr>
        <b/>
        <i/>
      </rPr>
      <t>B368</t>
    </r>
    <r>
      <rPr>
        <i/>
      </rPr>
      <t>, Z34850, Z34851, Z34852, Z34853, Z34854, Z34855, Z34857, Z34858, Z34859, Z34860, Z34861, Z34862</t>
    </r>
  </si>
  <si>
    <t>H1a2b1c1~</t>
  </si>
  <si>
    <t>B370, Z34863, Z34864, Z34865, Z34866</t>
  </si>
  <si>
    <t>H1a2b1c2~</t>
  </si>
  <si>
    <t>B369, Z34867, Z34868, Z34869</t>
  </si>
  <si>
    <t>H1b~</t>
  </si>
  <si>
    <t>B108, Z34961, Z34962, Z34963, Z34964</t>
  </si>
  <si>
    <t>H2</t>
  </si>
  <si>
    <r>
      <rPr>
        <b/>
        <i/>
      </rPr>
      <t>P96,</t>
    </r>
    <r>
      <rPr>
        <i/>
      </rPr>
      <t xml:space="preserve">  E370/M1668, </t>
    </r>
    <r>
      <rPr>
        <i/>
      </rPr>
      <t xml:space="preserve">L279, L281, L284, L285, L286, M282, </t>
    </r>
    <r>
      <rPr>
        <i/>
      </rPr>
      <t xml:space="preserve">GG300.2/Z18978.2, SK1174/Z18825, SK1178/Z18984, SK1181/Z19005,  SK1183/Z18981, SK1184/Z18930, SK1185/Z18923, SK1187/Z18983, Y21140/Z18970, YP5329/Z18945, Z18827, Z18829, Z18830, Z18831, Z18832, Z18839, Z18840, Z18841, Z18849, Z18853, Z18854, Z18855, Z18857, Z18859, Z18863, Z18864, Z18865, Z18867, Z18868, Z18869, Z18870, Z18872, Z18873, Z18875, Z18876, Z18877, Z18878, Z18879, Z18880, Z18881, Z18882, Z18883, Z18884, Z18885, Z18887, Z18890, Z18891, Z18894, Z18895, Z18897, Z18899, Z18901, Z18906, Z18910, Z18913, Z18915, Z18918, Z18925, Z18927, Z18928, Z18932, Z18933, Z18934, Z18935, Z18936, Z18937, Z18939, Z18940, Z18941, Z18944, Z18946, Z18947, Z18949, Z18951. Z18953, Z18955, Z18956, Z18957, Z18958, Z18959, Z18960, Z18961, Z18963, Z18964, Z18973, Z18975, Z18976, Z18977, Z18980, Z18982, Z18985, Z18986, Z18991, Z18992, Z18994, Z18995, Z18996, Z18997, Z18999, Z19001, Z19002, Z19006, Z19008, Z19009, Z19011, Z19013, Z19014, Z19015, Z19021, Z19022, Z19023, Z19024, Z19025, Z19029, Z19032, </t>
    </r>
    <r>
      <rPr>
        <i/>
      </rPr>
      <t>[H2 formerly called F3]</t>
    </r>
  </si>
  <si>
    <t>H2~</t>
  </si>
  <si>
    <t>FGC17422, FGC30702, M9893, SK1189, Y19963, Y19664, Y19955, Y20186, Y20188, Y20189, Y20193, Y20231, Y20232, Y20234, Y21584, Y21585, Y21586, Y21588, Y21593, Y21594, Y21595, Y21596, Y21599, Y21601, Y21608, Y21615,  Y21621, Y21629, Y21631, Y21638, Y21646, Y21648, Y21650, Y21652, Y21653, Y21655, Y21659, Y21661, Y21662, Y20230, Z18828, Z18834, Z18846, Z18862, Z18898, Z18900, Z18907, Z18912, Z18942, Z18943, Z18989, Z18998, Z19000, Z41268, Z41269, Z41270, Z41271, Z41272</t>
  </si>
  <si>
    <t>H2a</t>
  </si>
  <si>
    <r>
      <rPr>
        <b/>
        <i/>
      </rPr>
      <t>Z19067</t>
    </r>
    <r>
      <rPr>
        <i/>
      </rPr>
      <t xml:space="preserve">, SK1186/Z19115, SK1190/Z19088, Z18852, Z18896, Z18908, Z18938, Z18987, Z19065, Z19066, Z19068, Z19070, Z19071, Z19074, Z19077, Z19078, Z19079, Z19081, Z19082, Z19083, Z19084, Z19085, Z19086, Z19087, Z19089, Z19090, Z19091, Z19092, Z19093, Z19094, Z19095, Z19096, Z19097, Z19098, Z19100, Z19103, Z19106, Z19107, Z19109, Z19111, Z19114, Z19117, Z19118, Z19119, Z19120 </t>
    </r>
  </si>
  <si>
    <t>H2a~</t>
  </si>
  <si>
    <t>Z19069, Z19072, Z19073, Z19075, Z19076, Z19101, Z19102, Z19104, Z19105, Z19108, Z19110,  Z19112, Z19116, Z19121</t>
  </si>
  <si>
    <t>H2a1~</t>
  </si>
  <si>
    <t>FGC3846, M9313, Z18824, Z18826, Z18833, Z18835, Z18836, Z18838, Z18845, Z18847, Z18848, Z18850, Z18851, Z18856, Z18858, Z18860, Z18861, Z18866, Z18871, Z18874,  Z18889, Z18892, Z18893,  Z18902, Z18903, Z18904, Z18905, Z18909, Z18911, Z18914, Z18916, Z18917, Z18919, Z18920, Z18921, Z18922, Z18926, Z18929, Z18931, Z18950, Z18952, Z18954, Z18967, Z18969, Z18971, Z18972, Z18973, Z18967, Z18969, Z18971, Z18972, Z18974,  Z18979, Z18988, Z18990, Z19003, Z19004, Z19010,  Z19016, Z19017, Z19026, Z19028, Z19030, Z19031</t>
  </si>
  <si>
    <t>H2a1a</t>
  </si>
  <si>
    <r>
      <rPr>
        <b/>
        <i/>
      </rPr>
      <t>Z19049</t>
    </r>
    <r>
      <rPr>
        <i/>
      </rPr>
      <t>, Z19052</t>
    </r>
  </si>
  <si>
    <t>H2a1a~</t>
  </si>
  <si>
    <t>Z19045, Z19046, Z19047, Z19048, Z19050, Z19051, Z19054, Z19055, Z19056, Z19057, Z19058, Z19059, Z19060, Z19061, Z19062, Z19063, Z19064</t>
  </si>
  <si>
    <t>H2a1a1~</t>
  </si>
  <si>
    <t>M10063/Z19042, Z19039, Z19041, Z19043, Z19044</t>
  </si>
  <si>
    <t>H2a1a1a~</t>
  </si>
  <si>
    <t>Z19033, Z19034, Z19035, Z19036, Z19037, Z19038</t>
  </si>
  <si>
    <t>H2b~</t>
  </si>
  <si>
    <t>Z41290</t>
  </si>
  <si>
    <t>H2b1</t>
  </si>
  <si>
    <r>
      <rPr>
        <b/>
        <i/>
      </rPr>
      <t>Y21600</t>
    </r>
    <r>
      <rPr>
        <i/>
      </rPr>
      <t xml:space="preserve">, Z15373.2, Z41277, Z41278, Z41279, Z41280, Z41281, Z41282, Z41283, Z41284, Z41285, Z41286, Z31287, Z41288, Z41291, Z41293, Z41294, Z41295, Z41296, Z41297, Z41298, Z41301, Z41302, Z41304 </t>
    </r>
  </si>
  <si>
    <t>H2b1~</t>
  </si>
  <si>
    <t>Z41289, Z41292, Z41299, Z42303</t>
  </si>
  <si>
    <t>H2b1a~</t>
  </si>
  <si>
    <t>Z41305, Z41306, Z41307, Z41308, Z41309</t>
  </si>
  <si>
    <t>H2b1b~</t>
  </si>
  <si>
    <t>Z41310, Z41311, Z41312, Z41313, Z41314</t>
  </si>
  <si>
    <t>H2b2~</t>
  </si>
  <si>
    <t>Z44607. Z44608, Z44609, Z44610, Z44611</t>
  </si>
  <si>
    <t>H2c~</t>
  </si>
  <si>
    <t>Y21618, Z19080</t>
  </si>
  <si>
    <t>H2c1~</t>
  </si>
  <si>
    <t xml:space="preserve">FGC55057 </t>
  </si>
  <si>
    <t>H2c1a~</t>
  </si>
  <si>
    <t>SK1180, SK1192, SK1193, Y19065, Y19962, Y20191, Y20233, Y21591, Y21592, Y21589, Y21604, Y21618, Y21620, Y21621, Y21623, Y21625, Y21628, Y21634, Y21649, Y21651, Y21663, Z19111, Z19116</t>
  </si>
  <si>
    <t>H2c1a1~</t>
  </si>
  <si>
    <t xml:space="preserve">SK1182, Y21633, Y20837, Y20838, Y20840, Y21597, Y21603, Y21624, Y21627, Y21635, Y21636, Y21640, Y21644, Y21647, Y21673 </t>
  </si>
  <si>
    <t>H2c1a1a~</t>
  </si>
  <si>
    <t>Y20839, Y21598, Y21602, Y21609, Y21630, Y21639, Y21641, Y21665, Y21666</t>
  </si>
  <si>
    <t>H2c1a1a1~</t>
  </si>
  <si>
    <t>Z41315, Z41316</t>
  </si>
  <si>
    <t>H2c2~</t>
  </si>
  <si>
    <t>Z44663, Z44664, Z44665, Z44666, Z44667</t>
  </si>
  <si>
    <t>H3</t>
  </si>
  <si>
    <r>
      <rPr>
        <b/>
        <i/>
      </rPr>
      <t>Z5857</t>
    </r>
    <r>
      <rPr>
        <i/>
      </rPr>
      <t xml:space="preserve">, A188.1/Z13583.1, M6886.2/S7655.2, Y3009/Z16814, Y3011/Z16815, Y6718.2/Z4077.2, Y11987, Z13449, Z13450,  Z13472, Z13474, Z13475, Z13476, Z13484, Z13486, Z13487, Z13488, Z13489, Z13490, Z13491, Z13492, Z13493, Z13494,  Z13498, Z13501, Z13502, Z13503, Z13505, Z13507, Z13508, Z13509, Z13511, Z13520, Z13521, Z13522, Z13524, Z13525, Z13526, Z13534, Z13535, Z13536, Z13538, Z13540, Z13543, Z13544, Z13546, Z13547, Z13548, Z13549, Z13550, Z13553, Z13554, Z13555, Z13556, Z13557, Z13558, Z13560, Z13561, Z13562, Z13563, Z13566, Z13567, Z13568, Z13571, Z13573, Z13574, Z13575, Z13577, Z13578, Z13579, Z13581, Z13582, Z13586, Z13587, Z13588, Z13590, Z13591, Z13592, Z13595, Z13598, Z13599, Z13600, Z13601, Z13609, Z13610, Z13612, Z13614, Z13615, Z13618, Z13621, Z13622, Z13623, Z13624, Z13625, Z13626, Z13627, Z16816, Z16818 </t>
    </r>
  </si>
  <si>
    <t>H3~</t>
  </si>
  <si>
    <t>Z13473, Z13495, Z13496, Z13497, Z13500, Z13506, Z13516, Z13530, Z13531, Z13532, Z13533, Z13539, Z13541, Z13542, Z13559,  Z13572, Z13584, Z13585, Z13596, Z13597, Z13608, Z13611, Z13619</t>
  </si>
  <si>
    <t>H3a</t>
  </si>
  <si>
    <r>
      <rPr>
        <b/>
        <i/>
      </rPr>
      <t>Z5866</t>
    </r>
    <r>
      <rPr>
        <i/>
      </rPr>
      <t>, Y3002/Z16830, Y3003/Z16823, Y3005/Z16820, Y3012/Z16824, Y3013/Z16817, Y11989/Z16819, Z9469.2, Z13321, Z13341, Z13342, Z13343, Z13344, Z13345, Z13346, Z13347, Z13348, Z13349, Z13350, Z13351, Z13352, Z13353, Z13356, Z13357, Z13360, Z13362, Z13363, Z13365, Z13367, Z13369, Z13370, Z13371, Z13372, Z13373, Z13379, Z13381, Z13382, Z13383, Z13384, Z13385, Z13386, Z13387, Z13388, Z13391, Z13392, Z13393, Z13395, Z13396, Z13397, Z13398, Z13399, Z13400, Z13401, Z13403, Z13404, Z13405, Z13406, Z13407, Z13408, Z13409, Z13410, Z13411, Z13412, Z13413, Z13414, Z13415, Z13416, Z13417, Z13418, Z13420, Z13421, Z13422, Z13423, Z13424, Z13425, Z13426, Z13427, Z13428, Z13429, Z13430,  Z13436, Z13438, Z13440, Z13441, Z13442, Z13444, Z13445, Z13446, Z13447, Z13448, Z16822</t>
    </r>
  </si>
  <si>
    <t>H3a1</t>
  </si>
  <si>
    <r>
      <rPr>
        <b/>
        <i/>
      </rPr>
      <t>Z5864</t>
    </r>
    <r>
      <rPr>
        <i/>
      </rPr>
      <t>, F14484/Z13114, Y2820/Z13133, Z6463.2, Z12981, Z12984, Z12985, Z13017, Z13018, Z13019, Z13020, Z13021, Z13022, Z13023, Z13024, Z13026, Z13027, Z13028.1, Z13029, Z13030, Z13031, Z13032, Z13033, Z13034, Z13035, Z13037, Z13038, Z13039, Z13040, Z13041, Z13042, Z13043, Z13044, Z13045, Z13046,  Z13047, Z13051, Z13052, Z13055, Z13057, Z13060, Z13061, Z13063, Z13065, Z13066, Z13067, Z13068, Z13069, Z13070, Z13072, Z13073, Z13074, Z13075, Z13076, Z13077, Z13078, Z13079, Z13080, Z13081, Z13082, Z13083, Z13084, Z13086, Z13087, Z13088, Z13090, Z13091, Z13092, Z13093, Z13094, Z13096, Z13099, Z13100, Z13101, Z13102, Z13103, Z13104, Z13105, Z13106, Z13107, Z13109, Z13110, Z13111, Z13112, Z13113, Z13115, Z13116, Z13117,  Z13119, Z13120, Z13122, Z13125, Z13126, Z13127, Z13128, Z13129, Z13130, Z13131, Z13132, Z13134, Z13135, Z13136, Z13137, Z13138, Z13139, Z13140, Z13141, Z13142, Z13143, Z13144, Z13145, Z13146, Z13148, Z13149, Z13150, Z13151, Z13152, Z13153, Z13154, Z13155, Z13156, Z13157, Z13158, Z13159, Z13161, Z13163, Z13164, Z13165, Z13166, Z13167, Z13168, Z13175, Z13176, Z13177, Z13181, Z13182, Z13183, Z13184, Z13185, Z13186, Z13187, Z13188, Z13189, Z13190, Z13192, Z13194, Z13195, Z13196, Z13197, Z13199, Z13202, Z13203</t>
    </r>
  </si>
  <si>
    <t>H3a1~</t>
  </si>
  <si>
    <t>Z12983. Z13016, Z13036, Z13054, Z13085, Z13118, Z13160, Z13162, Z13174</t>
  </si>
  <si>
    <t>H3a1a~</t>
  </si>
  <si>
    <t>Z34892, Z34894, Z34896, Z41191, Z41192</t>
  </si>
  <si>
    <t>H3a1b~</t>
  </si>
  <si>
    <t>Z34897, Z41186, Z41187, Z41188, Z41189</t>
  </si>
  <si>
    <t>H3a1c~</t>
  </si>
  <si>
    <t>Z34902, Z34903, Z39404, Z41190</t>
  </si>
  <si>
    <t>H3a2</t>
  </si>
  <si>
    <r>
      <rPr>
        <b/>
        <i/>
      </rPr>
      <t>Z5863</t>
    </r>
    <r>
      <rPr>
        <i/>
      </rPr>
      <t>, Y11985/Z16821, Z12766, Z12767, Z12768, Z12769, Z12770, Z12771, Z12772, Z12773, Z12774, Z12775, Z12778, Z12779, Z12780, Z12781, Z12782, Z12786, Z12787, Z12788, Z12789, Z12791, Z12792, Z12793, Z12794, Z12797</t>
    </r>
  </si>
  <si>
    <t>H3a2a</t>
  </si>
  <si>
    <r>
      <rPr>
        <b/>
        <i/>
      </rPr>
      <t>Z5865</t>
    </r>
    <r>
      <rPr>
        <i/>
      </rPr>
      <t xml:space="preserve">, Z12704, Z12705, Z12706, Z12707, Z12708, Z12709, Z12710, Z12712, Z12713,  Z12716, Z12717, Z12718, Z12719, Z12720, Z12721, Z12722, Z12723, Z12724, Z12725, Z12726, Z12727, Z12728, Z12729, Z12730, Z12731, Z12732, Z12733, Z12735, Z12736, Z12737, Z12739, Z12740, Z12741, Z12742, Z12743, Z12746, Z12747, Z12748, Z12749, Z12750, Z12751, Z12752, Z12753, Z12754, Z12755, Z16825, Z16826 </t>
    </r>
  </si>
  <si>
    <t>H3a2a~</t>
  </si>
  <si>
    <t>Z12711</t>
  </si>
  <si>
    <t>H3a2a1</t>
  </si>
  <si>
    <r>
      <rPr>
        <b/>
        <i/>
      </rPr>
      <t>Z12646</t>
    </r>
    <r>
      <rPr>
        <i/>
      </rPr>
      <t>, Z12694, Z16828</t>
    </r>
  </si>
  <si>
    <t>H3a2a1a</t>
  </si>
  <si>
    <r>
      <rPr>
        <b/>
        <i/>
      </rPr>
      <t>Y11965/Z16780</t>
    </r>
    <r>
      <rPr>
        <i/>
      </rPr>
      <t xml:space="preserve">, Y8906/Z16779, Y8907/Z16781, Y8909/Z16782, Y8910/Z16784, Y8911/Z16785, Y8913/Z16787, Y8914/Z16788, Y8915/Z16789, Y8916/Z16790, Y8918/Z16791, Y8919/Z16792, Y8920/Z16794, Y8922/Z16795, Y8923/Z16797, Y8924/Z16799, Y8925/Z16800, Y8926/Z16801, Y8927/Z16802, Y8928/Z16804, Y8929/Z16805, Y8930/Z16809, Y8931/Z16812, Y11964/Z16806, Y11967/Z16786, Y11969/Z16810,  Y11970/Z16783, Y11978/Z16796, Y11980/Z16798, Y11981/Z16811, Y11982/Z16793, Y11983/Z16813, Y11984/Z16803 </t>
    </r>
  </si>
  <si>
    <t>H3a2a1a1~</t>
  </si>
  <si>
    <t>Y8932, Y11257, Y11258, Y11968, ZS2874</t>
  </si>
  <si>
    <t>H3a2a1a1a~</t>
  </si>
  <si>
    <t>Y8905.2, Y11259.2, Z34958, Z34959</t>
  </si>
  <si>
    <t>H3a2a1a1b~</t>
  </si>
  <si>
    <t>FGC43156, FGC43158, FGC43159, FGC43160, FGC43161</t>
  </si>
  <si>
    <t>H3a2a1a2~</t>
  </si>
  <si>
    <t>Z34953, Z34954, Z34955, Z34956, Z34957</t>
  </si>
  <si>
    <t>H3a2a1b~</t>
  </si>
  <si>
    <t xml:space="preserve"> Z34907, Z34908, Z34909, Z34910</t>
  </si>
  <si>
    <t>H3a2a2</t>
  </si>
  <si>
    <r>
      <rPr>
        <b/>
        <i/>
      </rPr>
      <t>Z5862</t>
    </r>
    <r>
      <rPr>
        <i/>
      </rPr>
      <t>, A155.1/Z12652.1, CTS9292, S6493/Z12654, Z12651, Z12656, Z12657, Z12658, Z12660, Z12662, Z12664, Z12665, Z12666, Z12667, Z12668, Z12670, Z12671, Z12672, Z12673, Z12674, Z12675.1, Z12676, Z12677, Z12678, Z12679, Z12680/ZS8509, Z12681.1, Z12682, Z12683, Z12684, Z12685, Z12686, Z12687, Z12688, Z12689, Z12691, Z12692, Z12696, Z12697, Z12698</t>
    </r>
  </si>
  <si>
    <t>H3a2a2a~</t>
  </si>
  <si>
    <t>Z34912, Z34913</t>
  </si>
  <si>
    <t>H3a2a2b~</t>
  </si>
  <si>
    <t>Z34917, Z34918, Z34919, Z34920</t>
  </si>
  <si>
    <t>H3a2b</t>
  </si>
  <si>
    <r>
      <rPr>
        <b/>
        <i/>
      </rPr>
      <t>Z5858,</t>
    </r>
    <r>
      <rPr>
        <i/>
      </rPr>
      <t xml:space="preserve"> Z5667.2, Z12800, Z12801, Z12831, Z12832, Z12833, Z12834, Z12835, Z12838, Z12839, Z12840, Z12841, Z12842, Z12843, Z12844, Z12846, Z12848, Z12849, Z12850, Z12851, Z12852, Z12853, Z12855, Z12857, Z12858, Z12859, Z12865, Z12868, Z12869, Z12870, Z12871, Z12872, Z12874, Z12878, Z12879, Z12880, Z12881, Z12882, Z12883, Z12884, Z12885, Z12886, Z12887, Z12888, Z12889, Z12890, Z12891, Z12892, Z12893, Z12894, Z12895, Z12896, Z12897, Z12899, Z12902, Z12903, Z12904, Z12905, Z12906, Z12907, Z12908, Z12909, Z12910, Z12911, Z12912, Z12913, Z12914, Z12915, Z12916, Z12917, Z12918, Z12919, Z12920, Z12921, Z12922, Z12923, Z12924, Z12925, Z12926, Z12927, Z12928, Z12929, Z12930, Z12931, Z12932, Z12933, Z12934, Z12935, Z12936, Z12937, Z12939, Z12940, Z12941, Z12942, Z12943, Z12944, Z12945, Z12946, Z12947, Z12948, Z12949, Z12958, Z12959, Z12960, Z12961, Z12962, Z12963, Z12964, Z12966, Z12967, Z12968, Z12969, Z12970, Z12973, Z12974, Z12975, Z12976, Z12977, Z12979, Z12980</t>
    </r>
  </si>
  <si>
    <t>H3a2b1~</t>
  </si>
  <si>
    <t>Z34922, Z34924, Z34925, Z41203</t>
  </si>
  <si>
    <t>H3a2b2~</t>
  </si>
  <si>
    <t>Z34930, Z41204, Z41205, Z41206</t>
  </si>
  <si>
    <t>H3b</t>
  </si>
  <si>
    <r>
      <rPr>
        <b/>
        <i/>
      </rPr>
      <t>Z13871</t>
    </r>
    <r>
      <rPr>
        <i/>
      </rPr>
      <t>, PH4709, PH4751, PH5081, Y989.2/ZS332.2, Z13768, Z13872, Z13886, Z13887, Z13888.1, Z13889, Z13890, Z13891, Z13892, Z13893, Z13894, Z13895, Z13897, Z13898, Z13899, Z13903, Z13904, Z13905, Z13906, Z13907, Z13909, Z13910, Z13911, Z13912, Z13913, Z13914, Z13915, Z13917, Z13919, Z13920, Z13922, Z13923, Z13924, Z13925, Z13926, Z13927, Z13928, Z13929, Z13930, Z13931, Z13932, Z13933, Z13935, Z13937, Z13939, Z13945, Z13947, Z13948, Z13949, Z13951, Z13952, Z13956, Z13957</t>
    </r>
  </si>
  <si>
    <t>H3b~</t>
  </si>
  <si>
    <t>Z13946</t>
  </si>
  <si>
    <t>H3b1</t>
  </si>
  <si>
    <r>
      <rPr>
        <b/>
        <i/>
      </rPr>
      <t>Z5859</t>
    </r>
    <r>
      <rPr>
        <i/>
      </rPr>
      <t>, M8081, Z13657, Z13658, Z13659, Z13660, Z13661, Z13662, Z13663, Z13664, Z13665, Z13666, Z13667, Z13668, Z13669, Z13670, Z13671, Z13672, Z13673, Z13674, Z13675, Z13676, Z13677, Z13678, Z13679, Z13680, Z13681, Z13682, Z13684, Z13685, Z13686, Z13687, Z13688, Z13689, Z13690, Z13691, Z13692, Z13693, Z13694, Z13695, Z13696, Z13697, Z13698, Z13699, Z13700, Z13701, Z13703, Z13704, Z13708, Z13710, Z13711, Z13712, Z13714, Z13715, Z13718, Z13719, Z13721, Z13722, Z13723, Z13725, Z13726, Z13727, Z13728, Z13729, Z13730, Z13731, Z13732, Z13733, Z13734, Z13735, Z13736, Z13737, Z13738, Z13739, Z13740, Z13741, Z13742, Z13743, Z13745, Z13746, Z13747, Z13748, Z13749, Z13750, Z13751, Z13752, Z13753, Z13754, Z13755, Z13756, Z13757, Z13758, Z13760, Z13761, Z13762, Z13763, Z13764, Z13765, Z13766, Z13767, Z13769, Z13772, Z13773, Z13774, Z13775, Z13776, Z13777, Z13778, Z13779, Z13780, Z13781, Z13782, Z13783, Z13784, Z13785, Z13786, Z13788, Z13789, Z13790, Z13791, Z13792, Z13793, Z13794, Z13795, Z13796, Z13797, Z13798, Z13799, Z13801, Z13802, Z13803, Z13804, Z13805, Z13806, Z13807, Z13808, Z13809, Z13810, Z13811, Z13812, Z13813, Z13814, Z13815, Z13817, Z13819, Z13820, Z13821, Z13822, Z13823, Z13824, Z13826, Z13827, Z13828, Z13837, Z13838, Z13841, Z13842, Z13843, Z13844, Z13846, Z13847, Z13848, Z13849, Z13850, Z13854, Z13855, Z13858, Z13859, Z13860, Z13861, Z13862, Z13864, Z13866, Z13869, Z13870</t>
    </r>
  </si>
  <si>
    <t>H3b1a~</t>
  </si>
  <si>
    <t>YP4002/Z34932/ZS8491, Z34936, Z41251, Z41252, Z41253</t>
  </si>
  <si>
    <t>H3b1b~</t>
  </si>
  <si>
    <t>BY6829/Z34941, Z34939, Z41254, Z41255, Z41256</t>
  </si>
  <si>
    <t>H3b1c~</t>
  </si>
  <si>
    <t>Z44668, Z44669, Z44670, Z44671</t>
  </si>
  <si>
    <t>H3b2</t>
  </si>
  <si>
    <r>
      <rPr>
        <b/>
        <i/>
      </rPr>
      <t>PH24,</t>
    </r>
    <r>
      <rPr>
        <i/>
      </rPr>
      <t xml:space="preserve"> PH660, Z34942, Z34943</t>
    </r>
  </si>
  <si>
    <t>H3b2a~</t>
  </si>
  <si>
    <t>PH262, Z34944, Z34945, Z34947</t>
  </si>
  <si>
    <t>H3b2b~</t>
  </si>
  <si>
    <t>Z34948, Z34949, Z34950, Z34951, Z34952</t>
  </si>
  <si>
    <t>MUTATION INFORMATION AT BOTTOM HERE</t>
  </si>
  <si>
    <t>NOTES:</t>
  </si>
  <si>
    <t xml:space="preserve">Identical SNPs that were discovered separately are listed in alphabetical order, not necessarily in the order of discovery, </t>
  </si>
  <si>
    <t>and separated by "/". Example: M213/P137.</t>
  </si>
  <si>
    <t>On 24 Feb 2014 Haplogroup H was redefined slightly from its traditional definition. The new Haplogroup H is</t>
  </si>
  <si>
    <t>defined by the SNPs L901/M2939 and M3035/Z4329 and this newly discovered node is one  higher in the tree</t>
  </si>
  <si>
    <t>than is the M69 node, the previous node defining H. The old Haplogroup H-M69 becomes Haplogroup</t>
  </si>
  <si>
    <t xml:space="preserve">H1-M69 in the new scheme. The former Haplogroup F3-P96 is also under the new H, as is a newly discovered subgroup </t>
  </si>
  <si>
    <t>defined by Z5857 that will be named H3. This renaming will simplify the nomenclature for the early branches within Haplogroup F,</t>
  </si>
  <si>
    <t>and it will unify the major haplogroups of south Asia into the same overall haplogroup. It is important to</t>
  </si>
  <si>
    <t>emphasize that the former Haplogroup F3 has not been found to be a subgroup of the previous Haplogroup H-M69,</t>
  </si>
  <si>
    <t>nor has the new subgroup defined by Z5857, which would have been reported earlier as F*. There are a few other minor F</t>
  </si>
  <si>
    <t>haplogroups (e.g., F1, F2, F4) that have not been tested with respect to L901, so it is not known if their position in the tree will</t>
  </si>
  <si>
    <t>change. Listed 25 February 2014</t>
  </si>
  <si>
    <t xml:space="preserve">P266 as listed in Karafet et al. 2008 has incorrect mutation information and is withdrawn until correct information is </t>
  </si>
  <si>
    <t>available.  It was listed as a subgroup of Apt. Listed 15 June 2016.</t>
  </si>
  <si>
    <r>
      <rPr>
        <rFont val="Times New Roman"/>
        <b/>
        <sz val="12.0"/>
      </rPr>
      <t>Y-DNA haplogroup H</t>
    </r>
    <r>
      <rPr>
        <rFont val="Times New Roman"/>
        <sz val="12.0"/>
      </rPr>
      <t>: The founder of haplogroup H probably lived about 30,000-40,000 years ago. This haplogroup has not yet been studied in a comprehensive manner. Today, nearly all members of haplogroup H live in the southern Asia subcontinent area. The Romani (also known as Gypsy) people, who apparently originated in India, are the main source of haplogroup H in western Europe.  H2 is unusually common in Sardinia</t>
    </r>
  </si>
  <si>
    <r>
      <rPr>
        <rFont val="Times New Roman"/>
        <b/>
        <color rgb="FF000000"/>
        <sz val="12.0"/>
      </rPr>
      <t>Geographic distribution</t>
    </r>
    <r>
      <rPr>
        <rFont val="Times New Roman"/>
        <color rgb="FF000000"/>
        <sz val="12.0"/>
      </rPr>
      <t xml:space="preserve"> so far of ancestry of modern-day haplogroup H subgroup men (not complete):</t>
    </r>
  </si>
  <si>
    <t xml:space="preserve">H1a1a1   
       M36         Pakistan
       L683        Sri Lanka
       Z34618    Bangladesh
H1a1a2 
       M97        India, Pakistan 
H1a1a4a 
       Z14588   Cambodia, Laos   
H1a1a4b1
       Z5873     India, Pakistan
H1a1a4b2a
       Z5876     India, Bangladesh
H1a1a4b2b
       Z5878     Sri Lanka, India
H1a1a4b2c
       M3038    India, Bangladesh, Sri Lanka, Bangladesh
H1a1a4b2d     
       Z34647    India
H1a1a4b3a
       Z5886      India
H1a1a4b3b
       Z5888      Bangladesh, India, Sri Lanka
H1a1a4b4
      Z4489       India, Parkistan
H1a1b1a
      Z4417       India
H1a1b1b
      Z40935     Bangladesh, Myanmar
H1a1b2
      Z34591     Bangladesh
H1a2a
      Apt           India
H1a2b
       Z14258    Sri Lanka, Bangladesh, India
H1b
       B108        Myanmar
</t>
  </si>
  <si>
    <t>H2
      P96           Sardinian Italy, Romania, Ukraine, Armenia, Kuwait
H3a1                 
      Z5864       India
H3a2       
      Z5863       India, Sri Lanka, Bahrain
H3b1
      Z5859       Sri Lanka
H3b2
      PH24        Pakistan, India (Malayans)</t>
  </si>
  <si>
    <t>References:</t>
  </si>
  <si>
    <t>Behar et al, Genome-Wide Structure of the Jewish People. Nature, 446:238-42, 2010.</t>
  </si>
  <si>
    <t>Bosch et al, Paternal and Maternal Lineages in the Balkans Show a Homogeneous Landscape over Linguistis Barriers except for the Isolated Aromuns. Annals of Human Genetics, 70:459-87, (2006).</t>
  </si>
  <si>
    <t>Cinnioglu et al, Excavating Y-chromosome Haplotype Strata in Anatolia. (pdf) Human Genetics. 114:127-148, 2004.</t>
  </si>
  <si>
    <t>Francalacci et al, Low-Pass DNA Sequencing of 1200 Sardinians Reconstructs European Y-Chromosome Phylogeny. Science: Vol. 341 no. 6145, pp. 565-569, DOI: 10.1126/science.1237947, 2 August 2013.</t>
  </si>
  <si>
    <t>Karafet et al, New Binary Polymorphisms Reshape and Increase Resolution of the Human Y-Chromosomal Haplogroup Tree. Abstract. Genome Research, published online April 2, 2008. Supplementary Material.</t>
  </si>
  <si>
    <t>Karmin et al, A Recent Bottleneck of Y chromosome Diversity Coincides with a Global Change in Culture. Genome Research, doi: 10.1101/gr.186684.114, published online March 13, 2015.</t>
  </si>
  <si>
    <t>Kivisild et al, The Genetic Heritage of the Earliest Settlers Persists in Both Indian Tribal and Caste Populations. (pdf) American Journal of Human Genetics, 72:313-332, 2003.</t>
  </si>
  <si>
    <t>Regueiro et al, Iran: Tricontinental Nexus for Y-Chromosome Driven Migration. (abstract) Human Heredity, Vol. 61, No 3, 132-143, 2006.</t>
  </si>
  <si>
    <t>Sengupta et al, Polarity and Temporality of High Resolution Y-chromosome Distributions in India Identify Both Indigenous and Exogenous Expansions and Reveal Minor Genetic Influence of Central Asian Pastoralists. (pdf) American Journal of Human Genetics, 78:202-221, 2006.</t>
  </si>
  <si>
    <t>Zhao et al, Presence of Three Different Paternal Lineages among North Indians: A Study of 560 Y Chromosomes. (abstract) Annals of Human Biology, 36(1):46-59, 2009.</t>
  </si>
  <si>
    <t>Additional Resources:</t>
  </si>
  <si>
    <t>ISOGG Wiki</t>
  </si>
  <si>
    <t>What you need to know about Genetic Genealogy.</t>
  </si>
  <si>
    <t>H Haplogroup Project</t>
  </si>
  <si>
    <t>Donald Locke.</t>
  </si>
  <si>
    <t>Corrections/Additions made since 1 January 2018:</t>
  </si>
  <si>
    <t>None</t>
  </si>
  <si>
    <t>Back to</t>
  </si>
  <si>
    <t>MUTATION INFORMATION --&gt;&gt;</t>
  </si>
  <si>
    <t>If copying this section just below, choose Paste Special, then Values, otherwise the haplogroup contents will not copy</t>
  </si>
  <si>
    <t>Name</t>
  </si>
  <si>
    <t>Haplogroup</t>
  </si>
  <si>
    <t>Other Names in Tree</t>
  </si>
  <si>
    <t>rs #</t>
  </si>
  <si>
    <t>Build 37 #</t>
  </si>
  <si>
    <t>Build 38 #</t>
  </si>
  <si>
    <t>Mutation info</t>
  </si>
  <si>
    <t>L901</t>
  </si>
  <si>
    <t>M2939</t>
  </si>
  <si>
    <t>rs567848586</t>
  </si>
  <si>
    <t>C-&gt;T</t>
  </si>
  <si>
    <t>M2713</t>
  </si>
  <si>
    <t>Z4171</t>
  </si>
  <si>
    <t>rs535517908</t>
  </si>
  <si>
    <t>G-&gt;A</t>
  </si>
  <si>
    <t>M2920</t>
  </si>
  <si>
    <t>Z4265</t>
  </si>
  <si>
    <t>rs576940616</t>
  </si>
  <si>
    <t>G-&gt;T</t>
  </si>
  <si>
    <t>M2936</t>
  </si>
  <si>
    <t>Z4273</t>
  </si>
  <si>
    <t>rs543507836</t>
  </si>
  <si>
    <t>T-&gt;C</t>
  </si>
  <si>
    <t>M2942</t>
  </si>
  <si>
    <t>Z4276</t>
  </si>
  <si>
    <t>rs538408703</t>
  </si>
  <si>
    <t>A-&gt;G</t>
  </si>
  <si>
    <t>M2945</t>
  </si>
  <si>
    <t>Z4278</t>
  </si>
  <si>
    <t>rs527438348</t>
  </si>
  <si>
    <t>M2955</t>
  </si>
  <si>
    <t>Z4282</t>
  </si>
  <si>
    <t>rs577725980</t>
  </si>
  <si>
    <t>M2966</t>
  </si>
  <si>
    <t>Z4292</t>
  </si>
  <si>
    <t>rs552207635</t>
  </si>
  <si>
    <t>M2992</t>
  </si>
  <si>
    <t>Z4307</t>
  </si>
  <si>
    <t>rs547132672</t>
  </si>
  <si>
    <t>A-&gt;T</t>
  </si>
  <si>
    <t>M3004</t>
  </si>
  <si>
    <t>Z18968</t>
  </si>
  <si>
    <t>rs573675809</t>
  </si>
  <si>
    <t>T-&gt;A</t>
  </si>
  <si>
    <t>M3010</t>
  </si>
  <si>
    <t>Z4318</t>
  </si>
  <si>
    <t>rs532165928</t>
  </si>
  <si>
    <t>M3052</t>
  </si>
  <si>
    <t>Z4336</t>
  </si>
  <si>
    <t>rs549250995</t>
  </si>
  <si>
    <t>C-&gt;G</t>
  </si>
  <si>
    <t>M3058</t>
  </si>
  <si>
    <t>Z4338</t>
  </si>
  <si>
    <t>rs575963070</t>
  </si>
  <si>
    <t>M3062</t>
  </si>
  <si>
    <t>Z4340</t>
  </si>
  <si>
    <t>rs564450276</t>
  </si>
  <si>
    <t>M3070</t>
  </si>
  <si>
    <t>Z4346</t>
  </si>
  <si>
    <t>rs559766668</t>
  </si>
  <si>
    <t>M3095</t>
  </si>
  <si>
    <t>rs534510313</t>
  </si>
  <si>
    <t>Z4205</t>
  </si>
  <si>
    <t>rs560134074</t>
  </si>
  <si>
    <t>T-&gt;G</t>
  </si>
  <si>
    <t>Z4309</t>
  </si>
  <si>
    <t>rs540339958</t>
  </si>
  <si>
    <t>G-&gt;C</t>
  </si>
  <si>
    <t>Z13964</t>
  </si>
  <si>
    <t>rs544245658</t>
  </si>
  <si>
    <t>M2826</t>
  </si>
  <si>
    <t>Z4221</t>
  </si>
  <si>
    <t>rs545513401</t>
  </si>
  <si>
    <t>M2856</t>
  </si>
  <si>
    <t>Z18886</t>
  </si>
  <si>
    <t>rs531701702</t>
  </si>
  <si>
    <t>M2896</t>
  </si>
  <si>
    <t>Z4251</t>
  </si>
  <si>
    <t>rs561284926</t>
  </si>
  <si>
    <t>M3035</t>
  </si>
  <si>
    <t>Z4329</t>
  </si>
  <si>
    <t>rs530492982</t>
  </si>
  <si>
    <t>M3076</t>
  </si>
  <si>
    <t>Z4354</t>
  </si>
  <si>
    <t>rs533445636</t>
  </si>
  <si>
    <t>Z13965</t>
  </si>
  <si>
    <t>rs556591187</t>
  </si>
  <si>
    <t>L902</t>
  </si>
  <si>
    <t>M3061</t>
  </si>
  <si>
    <t>rs549888349</t>
  </si>
  <si>
    <t>M2707</t>
  </si>
  <si>
    <t>rs529804951</t>
  </si>
  <si>
    <t>M2721</t>
  </si>
  <si>
    <t>Z4176</t>
  </si>
  <si>
    <t>rs545418326</t>
  </si>
  <si>
    <t>M2731</t>
  </si>
  <si>
    <t>rs552802066</t>
  </si>
  <si>
    <t>M2753</t>
  </si>
  <si>
    <t>Z4193</t>
  </si>
  <si>
    <t>rs549463561</t>
  </si>
  <si>
    <t>M2761</t>
  </si>
  <si>
    <t>Z4198</t>
  </si>
  <si>
    <t>rs541669548</t>
  </si>
  <si>
    <t>M2762</t>
  </si>
  <si>
    <t>Z4199</t>
  </si>
  <si>
    <t>rs536156104</t>
  </si>
  <si>
    <t>M2763</t>
  </si>
  <si>
    <t>rs377382810</t>
  </si>
  <si>
    <t>M2774</t>
  </si>
  <si>
    <t>ZS4028</t>
  </si>
  <si>
    <t>rs529728974</t>
  </si>
  <si>
    <t>M2806</t>
  </si>
  <si>
    <t>rs549459156</t>
  </si>
  <si>
    <t>M2834</t>
  </si>
  <si>
    <t>Z4225</t>
  </si>
  <si>
    <t>rs574505712</t>
  </si>
  <si>
    <t>C-&gt;A</t>
  </si>
  <si>
    <t>M2835</t>
  </si>
  <si>
    <t>Z4226</t>
  </si>
  <si>
    <t>rs560774670</t>
  </si>
  <si>
    <t>M2877</t>
  </si>
  <si>
    <t>Z4245</t>
  </si>
  <si>
    <t>rs554606875</t>
  </si>
  <si>
    <t>M2913</t>
  </si>
  <si>
    <t>Z4260</t>
  </si>
  <si>
    <t>rs571355653</t>
  </si>
  <si>
    <t>M2927</t>
  </si>
  <si>
    <t>Z4269</t>
  </si>
  <si>
    <t>rs543693151</t>
  </si>
  <si>
    <t>M3000</t>
  </si>
  <si>
    <t>Z4655</t>
  </si>
  <si>
    <t>rs375654754</t>
  </si>
  <si>
    <t>M3006</t>
  </si>
  <si>
    <t>Z4315</t>
  </si>
  <si>
    <t>rs553032062</t>
  </si>
  <si>
    <t>M3008</t>
  </si>
  <si>
    <t>Z4317</t>
  </si>
  <si>
    <t>rs552530391</t>
  </si>
  <si>
    <t>M3011</t>
  </si>
  <si>
    <t>Z4319</t>
  </si>
  <si>
    <t>rs369393861</t>
  </si>
  <si>
    <t>M3031</t>
  </si>
  <si>
    <t>Z4326</t>
  </si>
  <si>
    <t>rs549093206</t>
  </si>
  <si>
    <t>A-&gt;C</t>
  </si>
  <si>
    <t>M3071</t>
  </si>
  <si>
    <t>Z4347</t>
  </si>
  <si>
    <t>rs570712327</t>
  </si>
  <si>
    <t>Z4175</t>
  </si>
  <si>
    <t>rs537613752</t>
  </si>
  <si>
    <t>Z4203</t>
  </si>
  <si>
    <t>rs548386517</t>
  </si>
  <si>
    <t>Z4210</t>
  </si>
  <si>
    <t>rs564476061</t>
  </si>
  <si>
    <t>Z4211</t>
  </si>
  <si>
    <t>rs568453117</t>
  </si>
  <si>
    <t>Z4289</t>
  </si>
  <si>
    <t>rs562919452</t>
  </si>
  <si>
    <t>Z4314</t>
  </si>
  <si>
    <t>rs547259512</t>
  </si>
  <si>
    <t>Z4328</t>
  </si>
  <si>
    <t>rs544755113</t>
  </si>
  <si>
    <t>M2730</t>
  </si>
  <si>
    <t>rs565489974</t>
  </si>
  <si>
    <t>M2821</t>
  </si>
  <si>
    <t>Z4220</t>
  </si>
  <si>
    <t>rs548627167</t>
  </si>
  <si>
    <t>M2871</t>
  </si>
  <si>
    <t>rs553812388</t>
  </si>
  <si>
    <t>M2919</t>
  </si>
  <si>
    <t>Z4264</t>
  </si>
  <si>
    <t>rs534349756</t>
  </si>
  <si>
    <t>M2962</t>
  </si>
  <si>
    <t>Z4290</t>
  </si>
  <si>
    <t>rs535114817</t>
  </si>
  <si>
    <t>M3027</t>
  </si>
  <si>
    <t>Z4325</t>
  </si>
  <si>
    <t>rs548075005</t>
  </si>
  <si>
    <t>M3030</t>
  </si>
  <si>
    <t>rs535421662</t>
  </si>
  <si>
    <t>M3059</t>
  </si>
  <si>
    <t>Z4339</t>
  </si>
  <si>
    <t>rs529924140</t>
  </si>
  <si>
    <t>M3081</t>
  </si>
  <si>
    <t>rs531623037</t>
  </si>
  <si>
    <t>Y2587</t>
  </si>
  <si>
    <t>Z18626</t>
  </si>
  <si>
    <t>rs573145440</t>
  </si>
  <si>
    <t>M69</t>
  </si>
  <si>
    <t>Page45</t>
  </si>
  <si>
    <t>rs2032673</t>
  </si>
  <si>
    <t>M370</t>
  </si>
  <si>
    <t>rs386419969</t>
  </si>
  <si>
    <t>M2764</t>
  </si>
  <si>
    <t>Z4200</t>
  </si>
  <si>
    <t>rs567305789</t>
  </si>
  <si>
    <t>M2701</t>
  </si>
  <si>
    <t>Z4162</t>
  </si>
  <si>
    <t>rs572065528</t>
  </si>
  <si>
    <t>M2712</t>
  </si>
  <si>
    <t>Z4170</t>
  </si>
  <si>
    <t>rs549973673</t>
  </si>
  <si>
    <t>M2757</t>
  </si>
  <si>
    <t>Z4196</t>
  </si>
  <si>
    <t>rs567772285</t>
  </si>
  <si>
    <t>M2812</t>
  </si>
  <si>
    <t>rs540819120</t>
  </si>
  <si>
    <t>M2817</t>
  </si>
  <si>
    <t>rs538653589</t>
  </si>
  <si>
    <t>M2822</t>
  </si>
  <si>
    <t>rs527939184</t>
  </si>
  <si>
    <t>M2861</t>
  </si>
  <si>
    <t>rs577203531</t>
  </si>
  <si>
    <t>M2900</t>
  </si>
  <si>
    <t>Z4253</t>
  </si>
  <si>
    <t>rs528939174</t>
  </si>
  <si>
    <t>M2951</t>
  </si>
  <si>
    <t>Z4280</t>
  </si>
  <si>
    <t>rs568954541</t>
  </si>
  <si>
    <t>M2954</t>
  </si>
  <si>
    <t>Z4281</t>
  </si>
  <si>
    <t>rs564056636</t>
  </si>
  <si>
    <t>M2956</t>
  </si>
  <si>
    <t>Z4283</t>
  </si>
  <si>
    <t>rs573380109</t>
  </si>
  <si>
    <t>M2991</t>
  </si>
  <si>
    <t>Z4306</t>
  </si>
  <si>
    <t>rs568187603</t>
  </si>
  <si>
    <t>M2998</t>
  </si>
  <si>
    <t>Z4311</t>
  </si>
  <si>
    <t>rs373545317</t>
  </si>
  <si>
    <t>M3033</t>
  </si>
  <si>
    <t>Z4327</t>
  </si>
  <si>
    <t>rs564768370</t>
  </si>
  <si>
    <t>M3036</t>
  </si>
  <si>
    <t>rs560505152</t>
  </si>
  <si>
    <t>M3045</t>
  </si>
  <si>
    <t>Z4334</t>
  </si>
  <si>
    <t>rs561876441</t>
  </si>
  <si>
    <t>M3067</t>
  </si>
  <si>
    <t>Z4344</t>
  </si>
  <si>
    <t>rs529751304</t>
  </si>
  <si>
    <t>M3069</t>
  </si>
  <si>
    <t>Z4345</t>
  </si>
  <si>
    <t>rs577821941</t>
  </si>
  <si>
    <t>M3086</t>
  </si>
  <si>
    <t>rs541764528</t>
  </si>
  <si>
    <t>M3087</t>
  </si>
  <si>
    <t>rs555599334</t>
  </si>
  <si>
    <t>Y2582</t>
  </si>
  <si>
    <t>rs567372874</t>
  </si>
  <si>
    <t>Z4213</t>
  </si>
  <si>
    <t>rs563428629</t>
  </si>
  <si>
    <t>Z4252</t>
  </si>
  <si>
    <t>rs542587603</t>
  </si>
  <si>
    <t>Z4350</t>
  </si>
  <si>
    <t>rs535412217</t>
  </si>
  <si>
    <t>M52</t>
  </si>
  <si>
    <t>rs376769460</t>
  </si>
  <si>
    <t>AM00833</t>
  </si>
  <si>
    <t>Z4349</t>
  </si>
  <si>
    <t>rs372456692</t>
  </si>
  <si>
    <t>FGC19084</t>
  </si>
  <si>
    <t>M2754; Z4194</t>
  </si>
  <si>
    <t>rs571900274</t>
  </si>
  <si>
    <t>M2754</t>
  </si>
  <si>
    <t>FGC19084; Z4194</t>
  </si>
  <si>
    <t>Z4194</t>
  </si>
  <si>
    <t>FGC19084; M2754</t>
  </si>
  <si>
    <t>FGC23606</t>
  </si>
  <si>
    <t>Z18692</t>
  </si>
  <si>
    <t>rs577809573</t>
  </si>
  <si>
    <t>FGC23611</t>
  </si>
  <si>
    <t>Y8594; Z18711</t>
  </si>
  <si>
    <t>rs546278697</t>
  </si>
  <si>
    <t>Y8594</t>
  </si>
  <si>
    <t>FGC23611; Z18711</t>
  </si>
  <si>
    <t>Z18711</t>
  </si>
  <si>
    <t>FGC23611; Y8594</t>
  </si>
  <si>
    <t>FGC23612</t>
  </si>
  <si>
    <t>Z18690</t>
  </si>
  <si>
    <t>rs567441491</t>
  </si>
  <si>
    <t>FGC23615</t>
  </si>
  <si>
    <t>Z18686</t>
  </si>
  <si>
    <t>rs552023697</t>
  </si>
  <si>
    <t>FGC23616</t>
  </si>
  <si>
    <t>Z18714</t>
  </si>
  <si>
    <t>rs535338799</t>
  </si>
  <si>
    <t>FGC23618</t>
  </si>
  <si>
    <t>Z18708</t>
  </si>
  <si>
    <t>rs557313182</t>
  </si>
  <si>
    <t>FGC23626</t>
  </si>
  <si>
    <t>Y8591; Z18691</t>
  </si>
  <si>
    <t>rs536278416</t>
  </si>
  <si>
    <t>Y8591</t>
  </si>
  <si>
    <t>FGC23626; Z18691</t>
  </si>
  <si>
    <t>Z18691</t>
  </si>
  <si>
    <t>FGC23626; Y8591</t>
  </si>
  <si>
    <t>FGC23629</t>
  </si>
  <si>
    <t>Y8592; Z18696</t>
  </si>
  <si>
    <t>rs534100104</t>
  </si>
  <si>
    <t>Y8592</t>
  </si>
  <si>
    <t>FGC23629; Z18696</t>
  </si>
  <si>
    <t>Z18696</t>
  </si>
  <si>
    <t>FGC23629; Y8592</t>
  </si>
  <si>
    <t>FGC23638</t>
  </si>
  <si>
    <t>Y8587; Z18670</t>
  </si>
  <si>
    <t>rs542023791</t>
  </si>
  <si>
    <t>Y8587</t>
  </si>
  <si>
    <t>FGC23638; Z18670</t>
  </si>
  <si>
    <t>Z18670</t>
  </si>
  <si>
    <t>FGC23638; Y8587</t>
  </si>
  <si>
    <t>FGC23640</t>
  </si>
  <si>
    <t>Z18681</t>
  </si>
  <si>
    <t>L182</t>
  </si>
  <si>
    <t>M3034</t>
  </si>
  <si>
    <t>rs530409574</t>
  </si>
  <si>
    <t>L898</t>
  </si>
  <si>
    <t>M2700</t>
  </si>
  <si>
    <t>rs577532713</t>
  </si>
  <si>
    <t>L900</t>
  </si>
  <si>
    <t>M2879</t>
  </si>
  <si>
    <t>rs528197157</t>
  </si>
  <si>
    <t>M2704</t>
  </si>
  <si>
    <t>Z4163</t>
  </si>
  <si>
    <t>rs565862363</t>
  </si>
  <si>
    <t>M2705</t>
  </si>
  <si>
    <t>Z4167</t>
  </si>
  <si>
    <t>rs565753776</t>
  </si>
  <si>
    <t>M2709</t>
  </si>
  <si>
    <t>rs537769838</t>
  </si>
  <si>
    <t>M2710</t>
  </si>
  <si>
    <t>rs559505350</t>
  </si>
  <si>
    <t>M2711</t>
  </si>
  <si>
    <t>Z4169</t>
  </si>
  <si>
    <t>rs543564811</t>
  </si>
  <si>
    <t>M2714</t>
  </si>
  <si>
    <t>rs529309083</t>
  </si>
  <si>
    <t>M2717</t>
  </si>
  <si>
    <t>Z4172</t>
  </si>
  <si>
    <t>rs563091981</t>
  </si>
  <si>
    <t>M2719</t>
  </si>
  <si>
    <t>Z4173</t>
  </si>
  <si>
    <t>rs546118198</t>
  </si>
  <si>
    <t>M2720</t>
  </si>
  <si>
    <t>Z4174</t>
  </si>
  <si>
    <t>rs535782993</t>
  </si>
  <si>
    <t>M2723</t>
  </si>
  <si>
    <t>rs552426259</t>
  </si>
  <si>
    <t>M2724</t>
  </si>
  <si>
    <t>Z4178</t>
  </si>
  <si>
    <t>rs576106624</t>
  </si>
  <si>
    <t>M2725</t>
  </si>
  <si>
    <t>Z4179</t>
  </si>
  <si>
    <t>rs553982046</t>
  </si>
  <si>
    <t>M2726</t>
  </si>
  <si>
    <t>Z4180</t>
  </si>
  <si>
    <t>rs531343313</t>
  </si>
  <si>
    <t>M2734</t>
  </si>
  <si>
    <t>Z4182</t>
  </si>
  <si>
    <t>rs569409219</t>
  </si>
  <si>
    <t>M2736</t>
  </si>
  <si>
    <t>rs563225305</t>
  </si>
  <si>
    <t>M2738</t>
  </si>
  <si>
    <t>V1638; Z4183</t>
  </si>
  <si>
    <t>rs568898303</t>
  </si>
  <si>
    <t>V1638</t>
  </si>
  <si>
    <t>M2738; Z4183</t>
  </si>
  <si>
    <t>Z4183</t>
  </si>
  <si>
    <t>M2738; V1638</t>
  </si>
  <si>
    <t>M2739</t>
  </si>
  <si>
    <t>rs553925585</t>
  </si>
  <si>
    <t>M2740</t>
  </si>
  <si>
    <t>Z4184</t>
  </si>
  <si>
    <t>rs538030952</t>
  </si>
  <si>
    <t>M2742</t>
  </si>
  <si>
    <t>rs553416969</t>
  </si>
  <si>
    <t>M2743</t>
  </si>
  <si>
    <t>Z4186</t>
  </si>
  <si>
    <t>rs573300336</t>
  </si>
  <si>
    <t>M2744</t>
  </si>
  <si>
    <t>Z4188</t>
  </si>
  <si>
    <t>rs576402121</t>
  </si>
  <si>
    <t>M2748</t>
  </si>
  <si>
    <t>Z4190</t>
  </si>
  <si>
    <t>rs538869885</t>
  </si>
  <si>
    <t>M2749</t>
  </si>
  <si>
    <t>Z4191</t>
  </si>
  <si>
    <t>rs562839012</t>
  </si>
  <si>
    <t>M2751</t>
  </si>
  <si>
    <t>Z4192</t>
  </si>
  <si>
    <t>rs562075277</t>
  </si>
  <si>
    <t>M2756</t>
  </si>
  <si>
    <t>Z4195</t>
  </si>
  <si>
    <t>rs566419797</t>
  </si>
  <si>
    <t>M2758</t>
  </si>
  <si>
    <t>rs573899041</t>
  </si>
  <si>
    <t>M2759</t>
  </si>
  <si>
    <t>Z4197</t>
  </si>
  <si>
    <t>rs532396647</t>
  </si>
  <si>
    <t>M2766</t>
  </si>
  <si>
    <t>Z4546</t>
  </si>
  <si>
    <t>rs546669858</t>
  </si>
  <si>
    <t>M2770</t>
  </si>
  <si>
    <t>rs537158951</t>
  </si>
  <si>
    <t>M2786</t>
  </si>
  <si>
    <t>Z4206</t>
  </si>
  <si>
    <t>rs528249259</t>
  </si>
  <si>
    <t>M2790</t>
  </si>
  <si>
    <t>rs549968865</t>
  </si>
  <si>
    <t>M2791</t>
  </si>
  <si>
    <t>Z4215</t>
  </si>
  <si>
    <t>rs537354014</t>
  </si>
  <si>
    <t>M2795</t>
  </si>
  <si>
    <t>rs552761677</t>
  </si>
  <si>
    <t>M2796</t>
  </si>
  <si>
    <t>rs533247559</t>
  </si>
  <si>
    <t>M2797</t>
  </si>
  <si>
    <t>rs543669981</t>
  </si>
  <si>
    <t>M2798</t>
  </si>
  <si>
    <t>rs543434085</t>
  </si>
  <si>
    <t>M2799</t>
  </si>
  <si>
    <t>rs535250456</t>
  </si>
  <si>
    <t>M2802</t>
  </si>
  <si>
    <t>rs530270719</t>
  </si>
  <si>
    <t>M2804</t>
  </si>
  <si>
    <t>rs536072769</t>
  </si>
  <si>
    <t>M2805</t>
  </si>
  <si>
    <t>rs565888855</t>
  </si>
  <si>
    <t>M2809</t>
  </si>
  <si>
    <t>rs555278961</t>
  </si>
  <si>
    <t>M2816</t>
  </si>
  <si>
    <t>rs545728547</t>
  </si>
  <si>
    <t>M2818</t>
  </si>
  <si>
    <t>rs577268394</t>
  </si>
  <si>
    <t>M2820</t>
  </si>
  <si>
    <t>Z4219</t>
  </si>
  <si>
    <t>rs562517570</t>
  </si>
  <si>
    <t>M2828</t>
  </si>
  <si>
    <t>rs539245835</t>
  </si>
  <si>
    <t>M2829</t>
  </si>
  <si>
    <t>Z4222</t>
  </si>
  <si>
    <t>rs562542021</t>
  </si>
  <si>
    <t>M2830</t>
  </si>
  <si>
    <t>rs574171682</t>
  </si>
  <si>
    <t>M2831</t>
  </si>
  <si>
    <t>Z4223</t>
  </si>
  <si>
    <t>rs567068759</t>
  </si>
  <si>
    <t>M2832</t>
  </si>
  <si>
    <t>Z4224</t>
  </si>
  <si>
    <t>rs567105051</t>
  </si>
  <si>
    <t>M2836</t>
  </si>
  <si>
    <t>rs564397291</t>
  </si>
  <si>
    <t>M2839</t>
  </si>
  <si>
    <t>Z4228</t>
  </si>
  <si>
    <t>rs546037630</t>
  </si>
  <si>
    <t>M2840</t>
  </si>
  <si>
    <t>rs562731381</t>
  </si>
  <si>
    <t>M2841</t>
  </si>
  <si>
    <t>Z4229</t>
  </si>
  <si>
    <t>rs546879193</t>
  </si>
  <si>
    <t>M2843</t>
  </si>
  <si>
    <t>Z4230</t>
  </si>
  <si>
    <t>rs553531150</t>
  </si>
  <si>
    <t>M2844</t>
  </si>
  <si>
    <t>rs547450824</t>
  </si>
  <si>
    <t>M2845</t>
  </si>
  <si>
    <t>Z4231</t>
  </si>
  <si>
    <t>rs563663927</t>
  </si>
  <si>
    <t>M2847</t>
  </si>
  <si>
    <t>rs528805976</t>
  </si>
  <si>
    <t>M2849</t>
  </si>
  <si>
    <t>Z4233</t>
  </si>
  <si>
    <t>rs531222867</t>
  </si>
  <si>
    <t>M2857</t>
  </si>
  <si>
    <t>Z4234</t>
  </si>
  <si>
    <t>rs530012980</t>
  </si>
  <si>
    <t>M2860</t>
  </si>
  <si>
    <t>Z4235</t>
  </si>
  <si>
    <t>rs556471609</t>
  </si>
  <si>
    <t>M2863</t>
  </si>
  <si>
    <t>Z4236</t>
  </si>
  <si>
    <t>rs539723235</t>
  </si>
  <si>
    <t>M2864</t>
  </si>
  <si>
    <t>Z4237</t>
  </si>
  <si>
    <t>rs570232254</t>
  </si>
  <si>
    <t>M2865</t>
  </si>
  <si>
    <t>Z4238</t>
  </si>
  <si>
    <t>rs566264488</t>
  </si>
  <si>
    <t>M2868</t>
  </si>
  <si>
    <t>Z4239</t>
  </si>
  <si>
    <t>rs543349257</t>
  </si>
  <si>
    <t>M2870</t>
  </si>
  <si>
    <t>Z4241</t>
  </si>
  <si>
    <t>rs537211985</t>
  </si>
  <si>
    <t>M2872</t>
  </si>
  <si>
    <t>Z4242</t>
  </si>
  <si>
    <t>rs544526265</t>
  </si>
  <si>
    <t>M2874</t>
  </si>
  <si>
    <t>Z4243</t>
  </si>
  <si>
    <t>rs534680275</t>
  </si>
  <si>
    <t>M2875</t>
  </si>
  <si>
    <t>Z4244</t>
  </si>
  <si>
    <t>rs543312429</t>
  </si>
  <si>
    <t>M2878</t>
  </si>
  <si>
    <t>Z4246</t>
  </si>
  <si>
    <t>rs531170255</t>
  </si>
  <si>
    <t>M2883</t>
  </si>
  <si>
    <t>rs550179323</t>
  </si>
  <si>
    <t>M2885</t>
  </si>
  <si>
    <t>Z4247</t>
  </si>
  <si>
    <t>rs548963399</t>
  </si>
  <si>
    <t>M2886</t>
  </si>
  <si>
    <t>Z4248</t>
  </si>
  <si>
    <t>rs549967189</t>
  </si>
  <si>
    <t>M2889</t>
  </si>
  <si>
    <t>rs532593641</t>
  </si>
  <si>
    <t>M2891</t>
  </si>
  <si>
    <t>Z4249</t>
  </si>
  <si>
    <t>rs539459676</t>
  </si>
  <si>
    <t>M2895</t>
  </si>
  <si>
    <t>Z4250</t>
  </si>
  <si>
    <t>rs573975142</t>
  </si>
  <si>
    <t>M2899</t>
  </si>
  <si>
    <t>rs566355167</t>
  </si>
  <si>
    <t>M2902</t>
  </si>
  <si>
    <t>Z4254</t>
  </si>
  <si>
    <t>rs544424390</t>
  </si>
  <si>
    <t>M2904</t>
  </si>
  <si>
    <t>Z4255</t>
  </si>
  <si>
    <t>rs566584009</t>
  </si>
  <si>
    <t>M2905</t>
  </si>
  <si>
    <t>Z4256</t>
  </si>
  <si>
    <t>rs576559866</t>
  </si>
  <si>
    <t>M2909</t>
  </si>
  <si>
    <t>Z4257</t>
  </si>
  <si>
    <t>rs542164295</t>
  </si>
  <si>
    <t>M2911</t>
  </si>
  <si>
    <t>Z4258</t>
  </si>
  <si>
    <t>rs549118202</t>
  </si>
  <si>
    <t>M2912</t>
  </si>
  <si>
    <t>Z4259</t>
  </si>
  <si>
    <t>rs551440654</t>
  </si>
  <si>
    <t>M2915</t>
  </si>
  <si>
    <t>Z4261</t>
  </si>
  <si>
    <t>rs566977845</t>
  </si>
  <si>
    <t>M2916</t>
  </si>
  <si>
    <t>Z4262</t>
  </si>
  <si>
    <t>rs538076793</t>
  </si>
  <si>
    <t>M2917</t>
  </si>
  <si>
    <t>Z4263</t>
  </si>
  <si>
    <t>rs575070695</t>
  </si>
  <si>
    <t>M2921</t>
  </si>
  <si>
    <t>Z4266</t>
  </si>
  <si>
    <t>rs561693051</t>
  </si>
  <si>
    <t>M2922</t>
  </si>
  <si>
    <t>rs542896983</t>
  </si>
  <si>
    <t>M2923</t>
  </si>
  <si>
    <t>Z4267</t>
  </si>
  <si>
    <t>rs573363479</t>
  </si>
  <si>
    <t>M2926</t>
  </si>
  <si>
    <t>Z4268</t>
  </si>
  <si>
    <t>rs559527510</t>
  </si>
  <si>
    <t>M2928</t>
  </si>
  <si>
    <t>Z4270</t>
  </si>
  <si>
    <t>rs565260744</t>
  </si>
  <si>
    <t>M2929</t>
  </si>
  <si>
    <t>Z4271</t>
  </si>
  <si>
    <t>rs529045070</t>
  </si>
  <si>
    <t>M2937</t>
  </si>
  <si>
    <t>Z4274</t>
  </si>
  <si>
    <t>rs551681683</t>
  </si>
  <si>
    <t>M2941</t>
  </si>
  <si>
    <t>Z4275</t>
  </si>
  <si>
    <t>rs573890012</t>
  </si>
  <si>
    <t>M2943</t>
  </si>
  <si>
    <t>Z4277</t>
  </si>
  <si>
    <t>rs548655595</t>
  </si>
  <si>
    <t>M2946</t>
  </si>
  <si>
    <t>rs578105126</t>
  </si>
  <si>
    <t>M2950</t>
  </si>
  <si>
    <t>rs527646384</t>
  </si>
  <si>
    <t>M2961</t>
  </si>
  <si>
    <t>rs572481777</t>
  </si>
  <si>
    <t>M2964</t>
  </si>
  <si>
    <t>rs552130792</t>
  </si>
  <si>
    <t>M2965</t>
  </si>
  <si>
    <t>Z4291</t>
  </si>
  <si>
    <t>rs530703871</t>
  </si>
  <si>
    <t>M2967</t>
  </si>
  <si>
    <t>rs561064426</t>
  </si>
  <si>
    <t>M2968</t>
  </si>
  <si>
    <t>Z4293</t>
  </si>
  <si>
    <t>rs548152006</t>
  </si>
  <si>
    <t>M2971</t>
  </si>
  <si>
    <t>Z4295</t>
  </si>
  <si>
    <t>rs551800226</t>
  </si>
  <si>
    <t>M2973</t>
  </si>
  <si>
    <t>Z4296</t>
  </si>
  <si>
    <t>rs543250394</t>
  </si>
  <si>
    <t>M2974</t>
  </si>
  <si>
    <t>Z4297</t>
  </si>
  <si>
    <t>rs528603125</t>
  </si>
  <si>
    <t>M2978</t>
  </si>
  <si>
    <t>rs540609604</t>
  </si>
  <si>
    <t>M2979</t>
  </si>
  <si>
    <t>rs535196161</t>
  </si>
  <si>
    <t>M2980</t>
  </si>
  <si>
    <t>Z4299</t>
  </si>
  <si>
    <t>rs574315365</t>
  </si>
  <si>
    <t>M2981</t>
  </si>
  <si>
    <t>Z4300</t>
  </si>
  <si>
    <t>rs573446277</t>
  </si>
  <si>
    <t>M2982</t>
  </si>
  <si>
    <t>Z4301</t>
  </si>
  <si>
    <t>rs545561105</t>
  </si>
  <si>
    <t>M2984</t>
  </si>
  <si>
    <t>rs567137591</t>
  </si>
  <si>
    <t>M2985</t>
  </si>
  <si>
    <t>Z4302</t>
  </si>
  <si>
    <t>rs531825557</t>
  </si>
  <si>
    <t>M2986</t>
  </si>
  <si>
    <t>Z4303</t>
  </si>
  <si>
    <t>rs533228565</t>
  </si>
  <si>
    <t>M2989</t>
  </si>
  <si>
    <t>Z4304</t>
  </si>
  <si>
    <t>rs528193901</t>
  </si>
  <si>
    <t>M2990</t>
  </si>
  <si>
    <t>rs554500780</t>
  </si>
  <si>
    <t>M2993</t>
  </si>
  <si>
    <t>Z4308</t>
  </si>
  <si>
    <t>rs570271429</t>
  </si>
  <si>
    <t>M2996</t>
  </si>
  <si>
    <t>rs532962988</t>
  </si>
  <si>
    <t>M2999</t>
  </si>
  <si>
    <t>Z4312</t>
  </si>
  <si>
    <t>rs566707861</t>
  </si>
  <si>
    <t>M3002</t>
  </si>
  <si>
    <t>Z4313</t>
  </si>
  <si>
    <t>rs541455246</t>
  </si>
  <si>
    <t>M3007</t>
  </si>
  <si>
    <t>Z4316</t>
  </si>
  <si>
    <t>rs532444932</t>
  </si>
  <si>
    <t>M3013</t>
  </si>
  <si>
    <t>Z4320</t>
  </si>
  <si>
    <t>rs565170223</t>
  </si>
  <si>
    <t>M3016</t>
  </si>
  <si>
    <t>rs544497037</t>
  </si>
  <si>
    <t>M3019</t>
  </si>
  <si>
    <t>Z4321</t>
  </si>
  <si>
    <t>rs548157304</t>
  </si>
  <si>
    <t>M3021</t>
  </si>
  <si>
    <t>Z4322</t>
  </si>
  <si>
    <t>rs539358268</t>
  </si>
  <si>
    <t>M3022</t>
  </si>
  <si>
    <t>Z4323</t>
  </si>
  <si>
    <t>rs567301006</t>
  </si>
  <si>
    <t>M3024</t>
  </si>
  <si>
    <t>Z4324</t>
  </si>
  <si>
    <t>rs548034629</t>
  </si>
  <si>
    <t>M3026</t>
  </si>
  <si>
    <t>rs552788142</t>
  </si>
  <si>
    <t>M3039</t>
  </si>
  <si>
    <t>Z4330</t>
  </si>
  <si>
    <t>rs536385560</t>
  </si>
  <si>
    <t>M3041</t>
  </si>
  <si>
    <t>Z4333</t>
  </si>
  <si>
    <t>rs568710636</t>
  </si>
  <si>
    <t>M3044</t>
  </si>
  <si>
    <t>rs577601695</t>
  </si>
  <si>
    <t>M3050</t>
  </si>
  <si>
    <t>rs547924713</t>
  </si>
  <si>
    <t>M3051</t>
  </si>
  <si>
    <t>Z4335</t>
  </si>
  <si>
    <t>rs571625336</t>
  </si>
  <si>
    <t>M3057</t>
  </si>
  <si>
    <t>Z4337</t>
  </si>
  <si>
    <t>rs538223647</t>
  </si>
  <si>
    <t>M3063</t>
  </si>
  <si>
    <t>Z4341</t>
  </si>
  <si>
    <t>rs557330331</t>
  </si>
  <si>
    <t>M3064</t>
  </si>
  <si>
    <t>Z4342</t>
  </si>
  <si>
    <t>rs529187933</t>
  </si>
  <si>
    <t>M3065</t>
  </si>
  <si>
    <t>Z4343</t>
  </si>
  <si>
    <t>rs530551710</t>
  </si>
  <si>
    <t>M3072</t>
  </si>
  <si>
    <t>Z4351</t>
  </si>
  <si>
    <t>rs563885901</t>
  </si>
  <si>
    <t>M3073</t>
  </si>
  <si>
    <t>Z4352</t>
  </si>
  <si>
    <t>rs559856247</t>
  </si>
  <si>
    <t>M3075</t>
  </si>
  <si>
    <t>Z4353</t>
  </si>
  <si>
    <t>rs552773847</t>
  </si>
  <si>
    <t>M3077</t>
  </si>
  <si>
    <t>Z4355</t>
  </si>
  <si>
    <t>rs563588463</t>
  </si>
  <si>
    <t>M3080</t>
  </si>
  <si>
    <t>rs572513429</t>
  </si>
  <si>
    <t>M3083</t>
  </si>
  <si>
    <t>Z4356</t>
  </si>
  <si>
    <t>rs563004695</t>
  </si>
  <si>
    <t>M3088</t>
  </si>
  <si>
    <t>Z4357</t>
  </si>
  <si>
    <t>rs536642057</t>
  </si>
  <si>
    <t>M3089</t>
  </si>
  <si>
    <t>Z4358</t>
  </si>
  <si>
    <t>rs553152946</t>
  </si>
  <si>
    <t>M3092</t>
  </si>
  <si>
    <t>rs548220843</t>
  </si>
  <si>
    <t>M3096</t>
  </si>
  <si>
    <t>rs559231548</t>
  </si>
  <si>
    <t>M3097</t>
  </si>
  <si>
    <t>rs560209006</t>
  </si>
  <si>
    <t>Page22</t>
  </si>
  <si>
    <t>rs34160750</t>
  </si>
  <si>
    <t>Z4177</t>
  </si>
  <si>
    <t>rs539405644</t>
  </si>
  <si>
    <t>Z4185</t>
  </si>
  <si>
    <t>rs571605423</t>
  </si>
  <si>
    <t>Z4187</t>
  </si>
  <si>
    <t>rs569037529</t>
  </si>
  <si>
    <t>Z4201</t>
  </si>
  <si>
    <t>rs541273116</t>
  </si>
  <si>
    <t>Z4202</t>
  </si>
  <si>
    <t>rs549577888</t>
  </si>
  <si>
    <t>Z4204</t>
  </si>
  <si>
    <t>rs531968219</t>
  </si>
  <si>
    <t>Z4209</t>
  </si>
  <si>
    <t>rs548374442</t>
  </si>
  <si>
    <t>Z4212</t>
  </si>
  <si>
    <t>rs576824327</t>
  </si>
  <si>
    <t>Z4214</t>
  </si>
  <si>
    <t>rs570696458</t>
  </si>
  <si>
    <t>Z4217</t>
  </si>
  <si>
    <t>rs548677022</t>
  </si>
  <si>
    <t>Z4227</t>
  </si>
  <si>
    <t>rs555107132</t>
  </si>
  <si>
    <t>Z4232</t>
  </si>
  <si>
    <t>rs552123717</t>
  </si>
  <si>
    <t>Z4272</t>
  </si>
  <si>
    <t>rs536846413</t>
  </si>
  <si>
    <t>Z4279</t>
  </si>
  <si>
    <t>rs529970868</t>
  </si>
  <si>
    <t>Z4284</t>
  </si>
  <si>
    <t>rs557341858</t>
  </si>
  <si>
    <t>Z4285</t>
  </si>
  <si>
    <t>rs548205211</t>
  </si>
  <si>
    <t>Z4287</t>
  </si>
  <si>
    <t>rs566551047</t>
  </si>
  <si>
    <t>Z4298</t>
  </si>
  <si>
    <t>rs568276062</t>
  </si>
  <si>
    <t>Z4305</t>
  </si>
  <si>
    <t>rs575064044</t>
  </si>
  <si>
    <t>Z4310</t>
  </si>
  <si>
    <t>rs536084062</t>
  </si>
  <si>
    <t>Z4332</t>
  </si>
  <si>
    <t>rs551454702</t>
  </si>
  <si>
    <t>Z4348</t>
  </si>
  <si>
    <t>rs527906202</t>
  </si>
  <si>
    <t>Z4631</t>
  </si>
  <si>
    <t>rs569576593</t>
  </si>
  <si>
    <t>Z18673</t>
  </si>
  <si>
    <t>Z18674</t>
  </si>
  <si>
    <t>Z18680</t>
  </si>
  <si>
    <t>rs77503426</t>
  </si>
  <si>
    <t>Z18684</t>
  </si>
  <si>
    <t>rs559781362</t>
  </si>
  <si>
    <t>Z18685</t>
  </si>
  <si>
    <t>rs62602615</t>
  </si>
  <si>
    <t>Z18688</t>
  </si>
  <si>
    <t>Z18689</t>
  </si>
  <si>
    <t>rs983099463</t>
  </si>
  <si>
    <t>Z18693</t>
  </si>
  <si>
    <t>rs571314766</t>
  </si>
  <si>
    <t>Z18694</t>
  </si>
  <si>
    <t>rs563235389</t>
  </si>
  <si>
    <t>M82</t>
  </si>
  <si>
    <t>ins-&gt;del -2bp</t>
  </si>
  <si>
    <t>M2718</t>
  </si>
  <si>
    <t>rs574017365</t>
  </si>
  <si>
    <t>M2833</t>
  </si>
  <si>
    <t>rs537859326</t>
  </si>
  <si>
    <t>M2953</t>
  </si>
  <si>
    <t>rs542077168</t>
  </si>
  <si>
    <t>M2970</t>
  </si>
  <si>
    <t>Z4393</t>
  </si>
  <si>
    <t>rs533455335</t>
  </si>
  <si>
    <t>M2976</t>
  </si>
  <si>
    <t>Z4394</t>
  </si>
  <si>
    <t>rs576911087</t>
  </si>
  <si>
    <t>M3015</t>
  </si>
  <si>
    <t>rs546720783</t>
  </si>
  <si>
    <t>M3043</t>
  </si>
  <si>
    <t>Z4676</t>
  </si>
  <si>
    <t>rs532317777</t>
  </si>
  <si>
    <t>M3079</t>
  </si>
  <si>
    <t>rs528154872</t>
  </si>
  <si>
    <t>Z4360</t>
  </si>
  <si>
    <t>2737995..2737998</t>
  </si>
  <si>
    <t>2869954..2869957</t>
  </si>
  <si>
    <t>ATT-&gt;ATTT</t>
  </si>
  <si>
    <t>Z4385</t>
  </si>
  <si>
    <t>rs575851277</t>
  </si>
  <si>
    <t>rs530226418</t>
  </si>
  <si>
    <t>M36</t>
  </si>
  <si>
    <t>rs796639491</t>
  </si>
  <si>
    <t>M197</t>
  </si>
  <si>
    <t>rs2032610</t>
  </si>
  <si>
    <t>L683</t>
  </si>
  <si>
    <t>L684</t>
  </si>
  <si>
    <t>rs375785055</t>
  </si>
  <si>
    <t>CTS5358</t>
  </si>
  <si>
    <t>M8772</t>
  </si>
  <si>
    <t>rs111775100</t>
  </si>
  <si>
    <t>CTS8235</t>
  </si>
  <si>
    <t>rs778020108</t>
  </si>
  <si>
    <t>SK1216</t>
  </si>
  <si>
    <t>rs568839642</t>
  </si>
  <si>
    <t>Z34503</t>
  </si>
  <si>
    <t>rs563473332</t>
  </si>
  <si>
    <t>Z34504</t>
  </si>
  <si>
    <t>rs534274986</t>
  </si>
  <si>
    <t>Z34618</t>
  </si>
  <si>
    <t>rs776982627</t>
  </si>
  <si>
    <t>Z34620</t>
  </si>
  <si>
    <t>rs753251660</t>
  </si>
  <si>
    <t>Z34621</t>
  </si>
  <si>
    <t>rs757346605</t>
  </si>
  <si>
    <t>Z34622</t>
  </si>
  <si>
    <t>rs771209376</t>
  </si>
  <si>
    <t>rs370347490</t>
  </si>
  <si>
    <t>M39</t>
  </si>
  <si>
    <t>C-&gt;del</t>
  </si>
  <si>
    <t>M138</t>
  </si>
  <si>
    <t>rs373238951</t>
  </si>
  <si>
    <t>M2914</t>
  </si>
  <si>
    <t>Z4382</t>
  </si>
  <si>
    <t>rs530722645</t>
  </si>
  <si>
    <t>M2745</t>
  </si>
  <si>
    <t>Z4367</t>
  </si>
  <si>
    <t>rs541488878</t>
  </si>
  <si>
    <t>Z14588</t>
  </si>
  <si>
    <t>rs779168112</t>
  </si>
  <si>
    <t>FGC8022</t>
  </si>
  <si>
    <t>Z14616</t>
  </si>
  <si>
    <t>rs775697293</t>
  </si>
  <si>
    <t>FGC20822</t>
  </si>
  <si>
    <t>Z14624</t>
  </si>
  <si>
    <t>rs754027954</t>
  </si>
  <si>
    <t>Z14553</t>
  </si>
  <si>
    <t>rs756904546</t>
  </si>
  <si>
    <t>Z14554</t>
  </si>
  <si>
    <t>rs747119728</t>
  </si>
  <si>
    <t>Z14555</t>
  </si>
  <si>
    <t>rs774285685</t>
  </si>
  <si>
    <t>Z14556</t>
  </si>
  <si>
    <t>rs766988433</t>
  </si>
  <si>
    <t>Z14557</t>
  </si>
  <si>
    <t>rs779322426</t>
  </si>
  <si>
    <t>Z14558</t>
  </si>
  <si>
    <t>rs759401151</t>
  </si>
  <si>
    <t>Z14559</t>
  </si>
  <si>
    <t>rs754194295</t>
  </si>
  <si>
    <t>Z14560</t>
  </si>
  <si>
    <t>rs759752595</t>
  </si>
  <si>
    <t>Z14561</t>
  </si>
  <si>
    <t>rs760455592</t>
  </si>
  <si>
    <t>Z14562</t>
  </si>
  <si>
    <t>rs774196117</t>
  </si>
  <si>
    <t>Z14563</t>
  </si>
  <si>
    <t>rs755045347</t>
  </si>
  <si>
    <t>Z14564</t>
  </si>
  <si>
    <t>rs763246316</t>
  </si>
  <si>
    <t>Z14565</t>
  </si>
  <si>
    <t>rs754134931</t>
  </si>
  <si>
    <t>Z14566</t>
  </si>
  <si>
    <t>rs765886624</t>
  </si>
  <si>
    <t>Z14567</t>
  </si>
  <si>
    <t>rs755746825</t>
  </si>
  <si>
    <t>Z14568</t>
  </si>
  <si>
    <t>rs780887319</t>
  </si>
  <si>
    <t>Z14569</t>
  </si>
  <si>
    <t>rs754272580</t>
  </si>
  <si>
    <t>Z14571</t>
  </si>
  <si>
    <t>rs766912291</t>
  </si>
  <si>
    <t>Z14573</t>
  </si>
  <si>
    <t>rs758174974</t>
  </si>
  <si>
    <t>Z14575</t>
  </si>
  <si>
    <t>rs755869881</t>
  </si>
  <si>
    <t>Z14582</t>
  </si>
  <si>
    <t>Z14583</t>
  </si>
  <si>
    <t>rs993612206</t>
  </si>
  <si>
    <t>Z14584</t>
  </si>
  <si>
    <t>rs1006830175</t>
  </si>
  <si>
    <t>Z14585</t>
  </si>
  <si>
    <t>Z14586</t>
  </si>
  <si>
    <t>rs887442671</t>
  </si>
  <si>
    <t>Z14589</t>
  </si>
  <si>
    <t>rs768532625</t>
  </si>
  <si>
    <t>Z14590</t>
  </si>
  <si>
    <t>rs764948045</t>
  </si>
  <si>
    <t>Z14591</t>
  </si>
  <si>
    <t>rs754211591</t>
  </si>
  <si>
    <t>Z14592</t>
  </si>
  <si>
    <t>rs760747111</t>
  </si>
  <si>
    <t>Z14593</t>
  </si>
  <si>
    <t>rs759253227</t>
  </si>
  <si>
    <t>Z14594</t>
  </si>
  <si>
    <t>rs779311784</t>
  </si>
  <si>
    <t>Z14595</t>
  </si>
  <si>
    <t>rs752609337</t>
  </si>
  <si>
    <t>Z14597</t>
  </si>
  <si>
    <t>rs767006524</t>
  </si>
  <si>
    <t>Z14598</t>
  </si>
  <si>
    <t>rs777459037</t>
  </si>
  <si>
    <t>Z14599</t>
  </si>
  <si>
    <t>rs749254298</t>
  </si>
  <si>
    <t>Z14600</t>
  </si>
  <si>
    <t>rs748944473</t>
  </si>
  <si>
    <t>Z14601</t>
  </si>
  <si>
    <t>rs767780896</t>
  </si>
  <si>
    <t>Z14602</t>
  </si>
  <si>
    <t>rs768822545</t>
  </si>
  <si>
    <t>Z14603</t>
  </si>
  <si>
    <t>rs757095652</t>
  </si>
  <si>
    <t>Z14604</t>
  </si>
  <si>
    <t>rs773853577</t>
  </si>
  <si>
    <t>Z14605</t>
  </si>
  <si>
    <t>rs750807914</t>
  </si>
  <si>
    <t>Z14606</t>
  </si>
  <si>
    <t>15857341..15857343</t>
  </si>
  <si>
    <t>13745461..13745463</t>
  </si>
  <si>
    <t>ATT-&gt;AT</t>
  </si>
  <si>
    <t>Z14607</t>
  </si>
  <si>
    <t>rs762581663</t>
  </si>
  <si>
    <t>Z14608</t>
  </si>
  <si>
    <t>rs762513486</t>
  </si>
  <si>
    <t>Z14609</t>
  </si>
  <si>
    <t>rs765810384</t>
  </si>
  <si>
    <t>Z14610</t>
  </si>
  <si>
    <t>rs776679885</t>
  </si>
  <si>
    <t>Z14611</t>
  </si>
  <si>
    <t>rs757202624</t>
  </si>
  <si>
    <t>Z14612</t>
  </si>
  <si>
    <t>rs771466044</t>
  </si>
  <si>
    <t>Z14613</t>
  </si>
  <si>
    <t>rs773594342</t>
  </si>
  <si>
    <t>Z14614</t>
  </si>
  <si>
    <t>rs758994788</t>
  </si>
  <si>
    <t>Z14615</t>
  </si>
  <si>
    <t>rs758881206</t>
  </si>
  <si>
    <t>Z14617</t>
  </si>
  <si>
    <t>rs745318669</t>
  </si>
  <si>
    <t>Z14618</t>
  </si>
  <si>
    <t>rs766600435</t>
  </si>
  <si>
    <t>Z14619</t>
  </si>
  <si>
    <t>rs767647174</t>
  </si>
  <si>
    <t>Z14620</t>
  </si>
  <si>
    <t>rs770587655</t>
  </si>
  <si>
    <t>Z14621</t>
  </si>
  <si>
    <t>rs761820049</t>
  </si>
  <si>
    <t>Z14622</t>
  </si>
  <si>
    <t>rs765687909</t>
  </si>
  <si>
    <t>Z14623</t>
  </si>
  <si>
    <t>rs764268163</t>
  </si>
  <si>
    <t>Z14625</t>
  </si>
  <si>
    <t>rs763404870</t>
  </si>
  <si>
    <t>Z14626</t>
  </si>
  <si>
    <t>rs751147276</t>
  </si>
  <si>
    <t>Z14627</t>
  </si>
  <si>
    <t>rs765035534</t>
  </si>
  <si>
    <t>Z14628</t>
  </si>
  <si>
    <t>rs750157782</t>
  </si>
  <si>
    <t>Z14629</t>
  </si>
  <si>
    <t>rs759715672</t>
  </si>
  <si>
    <t>Z14630</t>
  </si>
  <si>
    <t>rs775879992</t>
  </si>
  <si>
    <t>Z14631</t>
  </si>
  <si>
    <t>rs752738361</t>
  </si>
  <si>
    <t>Z14632</t>
  </si>
  <si>
    <t>rs753247207</t>
  </si>
  <si>
    <t>Z14633</t>
  </si>
  <si>
    <t>rs763949992</t>
  </si>
  <si>
    <t>Z14634</t>
  </si>
  <si>
    <t>rs773864757</t>
  </si>
  <si>
    <t>Z14635</t>
  </si>
  <si>
    <t>rs755623202</t>
  </si>
  <si>
    <t>Z14636</t>
  </si>
  <si>
    <t>rs903997242</t>
  </si>
  <si>
    <t>Z14637</t>
  </si>
  <si>
    <t>rs749411493</t>
  </si>
  <si>
    <t>Z14638</t>
  </si>
  <si>
    <t>rs751688906</t>
  </si>
  <si>
    <t>Z14639</t>
  </si>
  <si>
    <t>rs902011333</t>
  </si>
  <si>
    <t>Z14640</t>
  </si>
  <si>
    <t>rs764054661</t>
  </si>
  <si>
    <t>Z14642</t>
  </si>
  <si>
    <t>rs752987123</t>
  </si>
  <si>
    <t>Z14643</t>
  </si>
  <si>
    <t>rs780929097</t>
  </si>
  <si>
    <t>Z14644</t>
  </si>
  <si>
    <t>rs747084322</t>
  </si>
  <si>
    <t>Z14645</t>
  </si>
  <si>
    <t>rs773219441</t>
  </si>
  <si>
    <t>Z14646</t>
  </si>
  <si>
    <t>rs776262813</t>
  </si>
  <si>
    <t>Z14647</t>
  </si>
  <si>
    <t>rs766993527</t>
  </si>
  <si>
    <t>Z14648</t>
  </si>
  <si>
    <t>rs747230017</t>
  </si>
  <si>
    <t>Z14649</t>
  </si>
  <si>
    <t>rs756056694</t>
  </si>
  <si>
    <t>Z14650</t>
  </si>
  <si>
    <t>rs781025239</t>
  </si>
  <si>
    <t>Z14651</t>
  </si>
  <si>
    <t>rs762316811</t>
  </si>
  <si>
    <t>Z14652</t>
  </si>
  <si>
    <t>rs763707992</t>
  </si>
  <si>
    <t>Z14659</t>
  </si>
  <si>
    <t>rs771632837</t>
  </si>
  <si>
    <t>Z14660</t>
  </si>
  <si>
    <t>rs751088842</t>
  </si>
  <si>
    <t>Z14661</t>
  </si>
  <si>
    <t>rs757824225</t>
  </si>
  <si>
    <t>Z14662</t>
  </si>
  <si>
    <t>rs768095829</t>
  </si>
  <si>
    <t>Z14663</t>
  </si>
  <si>
    <t>rs768402932</t>
  </si>
  <si>
    <t>Z14664</t>
  </si>
  <si>
    <t>rs775377979</t>
  </si>
  <si>
    <t>Z14665</t>
  </si>
  <si>
    <t>rs747202556</t>
  </si>
  <si>
    <t>Z34624</t>
  </si>
  <si>
    <t>rs746980487</t>
  </si>
  <si>
    <t>Z34625</t>
  </si>
  <si>
    <t>G-&gt;H</t>
  </si>
  <si>
    <t>Z34626</t>
  </si>
  <si>
    <t>rs756054480</t>
  </si>
  <si>
    <t>Z34627</t>
  </si>
  <si>
    <t>rs757315649</t>
  </si>
  <si>
    <t>Z34628</t>
  </si>
  <si>
    <t>rs756809595</t>
  </si>
  <si>
    <t>Z34629</t>
  </si>
  <si>
    <t>rs763632859</t>
  </si>
  <si>
    <t>Z34630</t>
  </si>
  <si>
    <t>rs780304209</t>
  </si>
  <si>
    <t>Z34631</t>
  </si>
  <si>
    <t>Z34632</t>
  </si>
  <si>
    <t>rs765652117</t>
  </si>
  <si>
    <t>Z4361</t>
  </si>
  <si>
    <t>rs575195945</t>
  </si>
  <si>
    <t>M2706</t>
  </si>
  <si>
    <t>Z4362</t>
  </si>
  <si>
    <t>rs559459509</t>
  </si>
  <si>
    <t>M2716</t>
  </si>
  <si>
    <t>rs564333556</t>
  </si>
  <si>
    <t>M2722</t>
  </si>
  <si>
    <t>Z4520</t>
  </si>
  <si>
    <t>rs544970239</t>
  </si>
  <si>
    <t>M2732</t>
  </si>
  <si>
    <t>Z4531</t>
  </si>
  <si>
    <t>rs545902622</t>
  </si>
  <si>
    <t>M2733</t>
  </si>
  <si>
    <t>Z4365</t>
  </si>
  <si>
    <t>rs545532587</t>
  </si>
  <si>
    <t>M2737</t>
  </si>
  <si>
    <t>rs567957164</t>
  </si>
  <si>
    <t>M2741</t>
  </si>
  <si>
    <t>Z4366</t>
  </si>
  <si>
    <t>rs537631455</t>
  </si>
  <si>
    <t>M2760</t>
  </si>
  <si>
    <t>Z4369</t>
  </si>
  <si>
    <t>rs550476867</t>
  </si>
  <si>
    <t>M2772</t>
  </si>
  <si>
    <t>rs540743138</t>
  </si>
  <si>
    <t>M2785</t>
  </si>
  <si>
    <t>rs534725182</t>
  </si>
  <si>
    <t>M2792</t>
  </si>
  <si>
    <t>rs573025844</t>
  </si>
  <si>
    <t>M2793</t>
  </si>
  <si>
    <t>Z4372</t>
  </si>
  <si>
    <t>rs558870857</t>
  </si>
  <si>
    <t>M2801</t>
  </si>
  <si>
    <t>rs528954096</t>
  </si>
  <si>
    <t>M2807</t>
  </si>
  <si>
    <t>Z4373</t>
  </si>
  <si>
    <t>rs545339013</t>
  </si>
  <si>
    <t>M2823</t>
  </si>
  <si>
    <t>Z4374</t>
  </si>
  <si>
    <t>rs570750668</t>
  </si>
  <si>
    <t>M2827</t>
  </si>
  <si>
    <t>Z4375</t>
  </si>
  <si>
    <t>rs530910947</t>
  </si>
  <si>
    <t>M2846</t>
  </si>
  <si>
    <t>Z4376</t>
  </si>
  <si>
    <t>rs543928258</t>
  </si>
  <si>
    <t>M2850</t>
  </si>
  <si>
    <t>Z4377</t>
  </si>
  <si>
    <t>rs544906686</t>
  </si>
  <si>
    <t>M2851</t>
  </si>
  <si>
    <t>rs561378588</t>
  </si>
  <si>
    <t>M2858</t>
  </si>
  <si>
    <t>rs554255261</t>
  </si>
  <si>
    <t>M2859</t>
  </si>
  <si>
    <t>rs542255401</t>
  </si>
  <si>
    <t>M2862</t>
  </si>
  <si>
    <t>Z4378</t>
  </si>
  <si>
    <t>rs570850214</t>
  </si>
  <si>
    <t>M2876</t>
  </si>
  <si>
    <t>Z4593</t>
  </si>
  <si>
    <t>rs545301173</t>
  </si>
  <si>
    <t>M2880</t>
  </si>
  <si>
    <t>rs568537394</t>
  </si>
  <si>
    <t>M2881</t>
  </si>
  <si>
    <t>Z4598</t>
  </si>
  <si>
    <t>rs558792039</t>
  </si>
  <si>
    <t>M2884</t>
  </si>
  <si>
    <t>Z4379</t>
  </si>
  <si>
    <t>rs562471042</t>
  </si>
  <si>
    <t>M2894</t>
  </si>
  <si>
    <t>rs531125673</t>
  </si>
  <si>
    <t>M2897</t>
  </si>
  <si>
    <t>rs554492957</t>
  </si>
  <si>
    <t>M2901</t>
  </si>
  <si>
    <t>rs565235408</t>
  </si>
  <si>
    <t>M2903</t>
  </si>
  <si>
    <t>Z4380</t>
  </si>
  <si>
    <t>rs531715560</t>
  </si>
  <si>
    <t>M2908</t>
  </si>
  <si>
    <t>Z4381</t>
  </si>
  <si>
    <t>rs572490854</t>
  </si>
  <si>
    <t>M2918</t>
  </si>
  <si>
    <t>rs538564270</t>
  </si>
  <si>
    <t>M2925</t>
  </si>
  <si>
    <t>Z4618</t>
  </si>
  <si>
    <t>rs548932050</t>
  </si>
  <si>
    <t>M2932</t>
  </si>
  <si>
    <t>Z4383</t>
  </si>
  <si>
    <t>rs563593615</t>
  </si>
  <si>
    <t>M2933</t>
  </si>
  <si>
    <t>rs568778354</t>
  </si>
  <si>
    <t>M2934</t>
  </si>
  <si>
    <t>rs533944174</t>
  </si>
  <si>
    <t>M2940</t>
  </si>
  <si>
    <t>Z4384</t>
  </si>
  <si>
    <t>rs553518378</t>
  </si>
  <si>
    <t>M2947</t>
  </si>
  <si>
    <t>Z4386</t>
  </si>
  <si>
    <t>rs536121929</t>
  </si>
  <si>
    <t>M2949</t>
  </si>
  <si>
    <t>Z4387</t>
  </si>
  <si>
    <t>rs577386236</t>
  </si>
  <si>
    <t>M2952</t>
  </si>
  <si>
    <t>rs562742753</t>
  </si>
  <si>
    <t>M2975</t>
  </si>
  <si>
    <t>rs528369347</t>
  </si>
  <si>
    <t>M2977</t>
  </si>
  <si>
    <t>Z4635</t>
  </si>
  <si>
    <t>rs544462154</t>
  </si>
  <si>
    <t>M2987</t>
  </si>
  <si>
    <t>Z4395</t>
  </si>
  <si>
    <t>rs558206228</t>
  </si>
  <si>
    <t>M2997</t>
  </si>
  <si>
    <t>Z4398</t>
  </si>
  <si>
    <t>rs552252957</t>
  </si>
  <si>
    <t>M3009</t>
  </si>
  <si>
    <t>Z4399</t>
  </si>
  <si>
    <t>rs554887112</t>
  </si>
  <si>
    <t>M3012</t>
  </si>
  <si>
    <t>Z4400</t>
  </si>
  <si>
    <t>rs532914383</t>
  </si>
  <si>
    <t>M3014</t>
  </si>
  <si>
    <t>Z4465</t>
  </si>
  <si>
    <t>rs577353852</t>
  </si>
  <si>
    <t>M3017</t>
  </si>
  <si>
    <t>rs529940446</t>
  </si>
  <si>
    <t>M3020</t>
  </si>
  <si>
    <t>rs564797576</t>
  </si>
  <si>
    <t>M3028</t>
  </si>
  <si>
    <t>Z4402</t>
  </si>
  <si>
    <t>rs562355851</t>
  </si>
  <si>
    <t>M3029</t>
  </si>
  <si>
    <t>Z4404</t>
  </si>
  <si>
    <t>rs549958524</t>
  </si>
  <si>
    <t>M3032</t>
  </si>
  <si>
    <t>Z4405</t>
  </si>
  <si>
    <t>rs539085406</t>
  </si>
  <si>
    <t>M3037</t>
  </si>
  <si>
    <t>Z4406</t>
  </si>
  <si>
    <t>rs534175302</t>
  </si>
  <si>
    <t>M3042</t>
  </si>
  <si>
    <t>Z4407</t>
  </si>
  <si>
    <t>rs556834866</t>
  </si>
  <si>
    <t>M3047</t>
  </si>
  <si>
    <t>rs530210003</t>
  </si>
  <si>
    <t>M3048</t>
  </si>
  <si>
    <t>Z4409</t>
  </si>
  <si>
    <t>rs552607786</t>
  </si>
  <si>
    <t>M3074</t>
  </si>
  <si>
    <t>Z4411</t>
  </si>
  <si>
    <t>rs530516000</t>
  </si>
  <si>
    <t>Z4364</t>
  </si>
  <si>
    <t>rs574999329</t>
  </si>
  <si>
    <t>Z4370</t>
  </si>
  <si>
    <t>rs564251353</t>
  </si>
  <si>
    <t>Z4371</t>
  </si>
  <si>
    <t>rs577267109</t>
  </si>
  <si>
    <t>Z4388</t>
  </si>
  <si>
    <t>rs544517586</t>
  </si>
  <si>
    <t>Z4389</t>
  </si>
  <si>
    <t>rs562846645</t>
  </si>
  <si>
    <t>Z4391</t>
  </si>
  <si>
    <t>18695717..18695719</t>
  </si>
  <si>
    <t>16583837..16583839</t>
  </si>
  <si>
    <t>AGG-&gt;AG</t>
  </si>
  <si>
    <t>Z4392</t>
  </si>
  <si>
    <t>rs571244308</t>
  </si>
  <si>
    <t>Z4396</t>
  </si>
  <si>
    <t>rs533803921</t>
  </si>
  <si>
    <t>Z4397</t>
  </si>
  <si>
    <t>rs540425190</t>
  </si>
  <si>
    <t>Z4403</t>
  </si>
  <si>
    <t>rs575556088</t>
  </si>
  <si>
    <t>Z4408</t>
  </si>
  <si>
    <t>rs527830713</t>
  </si>
  <si>
    <t>Z4410</t>
  </si>
  <si>
    <t>23075550..23075553</t>
  </si>
  <si>
    <t>20913664..20913669</t>
  </si>
  <si>
    <t>GTTT-&gt;GTT</t>
  </si>
  <si>
    <t>Z14526</t>
  </si>
  <si>
    <t>rs565708510</t>
  </si>
  <si>
    <t>Z5873</t>
  </si>
  <si>
    <t>rs773418761</t>
  </si>
  <si>
    <t>Z14497</t>
  </si>
  <si>
    <t>Z14498</t>
  </si>
  <si>
    <t>rs767260605</t>
  </si>
  <si>
    <t>Z14499</t>
  </si>
  <si>
    <t>rs753721221</t>
  </si>
  <si>
    <t>Z14500</t>
  </si>
  <si>
    <t>rs765452812</t>
  </si>
  <si>
    <t>A1079.2</t>
  </si>
  <si>
    <t>rs759244240</t>
  </si>
  <si>
    <t>Z34633</t>
  </si>
  <si>
    <t>rs751495095</t>
  </si>
  <si>
    <t>Z34634</t>
  </si>
  <si>
    <t>rs758929880</t>
  </si>
  <si>
    <t>Z34636</t>
  </si>
  <si>
    <t>rs750520569</t>
  </si>
  <si>
    <t>Z34637</t>
  </si>
  <si>
    <t>Z34638</t>
  </si>
  <si>
    <t>Z34639</t>
  </si>
  <si>
    <t>Z34640</t>
  </si>
  <si>
    <t>Z34641</t>
  </si>
  <si>
    <t>M2972</t>
  </si>
  <si>
    <t>Z5875</t>
  </si>
  <si>
    <t>rs564046746</t>
  </si>
  <si>
    <t>M2853</t>
  </si>
  <si>
    <t>rs545914151</t>
  </si>
  <si>
    <t>M2854</t>
  </si>
  <si>
    <t>rs531605799</t>
  </si>
  <si>
    <t>M2867</t>
  </si>
  <si>
    <t>rs565545817</t>
  </si>
  <si>
    <t>Z5876</t>
  </si>
  <si>
    <t>rs531588985</t>
  </si>
  <si>
    <t>Z14447</t>
  </si>
  <si>
    <t>rs530194461</t>
  </si>
  <si>
    <t>Z14448</t>
  </si>
  <si>
    <t>rs542110690</t>
  </si>
  <si>
    <t>Z14449</t>
  </si>
  <si>
    <t>rs572908497</t>
  </si>
  <si>
    <t>Z14450</t>
  </si>
  <si>
    <t>rs537878002</t>
  </si>
  <si>
    <t>Z14451</t>
  </si>
  <si>
    <t>rs549651119</t>
  </si>
  <si>
    <t>Z14452</t>
  </si>
  <si>
    <t>rs533657741</t>
  </si>
  <si>
    <t>Z14453</t>
  </si>
  <si>
    <t>rs551859344</t>
  </si>
  <si>
    <t>Z5877</t>
  </si>
  <si>
    <t>rs756024073</t>
  </si>
  <si>
    <t>Z14454</t>
  </si>
  <si>
    <t>rs749947494</t>
  </si>
  <si>
    <t>Z34652</t>
  </si>
  <si>
    <t>Z34653</t>
  </si>
  <si>
    <t>Z34654</t>
  </si>
  <si>
    <t>Z34655</t>
  </si>
  <si>
    <t>Z34656</t>
  </si>
  <si>
    <t>Z34657</t>
  </si>
  <si>
    <t>Z34659</t>
  </si>
  <si>
    <t>Z34660</t>
  </si>
  <si>
    <t>rs771255491</t>
  </si>
  <si>
    <t>Z34661</t>
  </si>
  <si>
    <t>Z34662</t>
  </si>
  <si>
    <t>Z34663</t>
  </si>
  <si>
    <t>rs747846673</t>
  </si>
  <si>
    <t>Z34664</t>
  </si>
  <si>
    <t>rs757953240</t>
  </si>
  <si>
    <t>Z34665</t>
  </si>
  <si>
    <t>rs753614033</t>
  </si>
  <si>
    <t>Z34666</t>
  </si>
  <si>
    <t>rs763188100</t>
  </si>
  <si>
    <t>Z5878</t>
  </si>
  <si>
    <t>rs778803752</t>
  </si>
  <si>
    <t>Z14456</t>
  </si>
  <si>
    <t>rs756777676</t>
  </si>
  <si>
    <t>Z14457</t>
  </si>
  <si>
    <t>rs760054474</t>
  </si>
  <si>
    <t>Z14458</t>
  </si>
  <si>
    <t>rs770504903</t>
  </si>
  <si>
    <t>Z14459</t>
  </si>
  <si>
    <t>rs767708289</t>
  </si>
  <si>
    <t>Z14460</t>
  </si>
  <si>
    <t>rs753205614</t>
  </si>
  <si>
    <t>Z5879</t>
  </si>
  <si>
    <t>rs762117346</t>
  </si>
  <si>
    <t>Z553.2</t>
  </si>
  <si>
    <t>rs369326435</t>
  </si>
  <si>
    <t>Z14466</t>
  </si>
  <si>
    <t>rs755180150</t>
  </si>
  <si>
    <t>Z14467</t>
  </si>
  <si>
    <t>rs772292280</t>
  </si>
  <si>
    <t>Z14468</t>
  </si>
  <si>
    <t>rs758131214</t>
  </si>
  <si>
    <t>Z14469</t>
  </si>
  <si>
    <t>rs778276139</t>
  </si>
  <si>
    <t>Z14470</t>
  </si>
  <si>
    <t>rs773405674</t>
  </si>
  <si>
    <t>Z14471</t>
  </si>
  <si>
    <t>Z14472</t>
  </si>
  <si>
    <t>Z14475</t>
  </si>
  <si>
    <t>rs762553763</t>
  </si>
  <si>
    <t>Z14476</t>
  </si>
  <si>
    <t>rs776993096</t>
  </si>
  <si>
    <t>Z14477</t>
  </si>
  <si>
    <t>Z14478</t>
  </si>
  <si>
    <t>Z14480</t>
  </si>
  <si>
    <t>rs746402849</t>
  </si>
  <si>
    <t>Z14481</t>
  </si>
  <si>
    <t>rs779648508</t>
  </si>
  <si>
    <t>Z14482</t>
  </si>
  <si>
    <t>Z14483</t>
  </si>
  <si>
    <t>rs752929218</t>
  </si>
  <si>
    <t>Z14484</t>
  </si>
  <si>
    <t>rs762825895</t>
  </si>
  <si>
    <t>Z14485</t>
  </si>
  <si>
    <t>rs750879722</t>
  </si>
  <si>
    <t>Z14486</t>
  </si>
  <si>
    <t>rs759829037</t>
  </si>
  <si>
    <t>Z14487</t>
  </si>
  <si>
    <t>rs753947638</t>
  </si>
  <si>
    <t>Z14492</t>
  </si>
  <si>
    <t>rs775549893</t>
  </si>
  <si>
    <t>Z14493</t>
  </si>
  <si>
    <t>rs763039785</t>
  </si>
  <si>
    <t>Z14494</t>
  </si>
  <si>
    <t>rs762388601</t>
  </si>
  <si>
    <t>Z14495</t>
  </si>
  <si>
    <t>Z34672</t>
  </si>
  <si>
    <t>Z34673</t>
  </si>
  <si>
    <t>rs763063023</t>
  </si>
  <si>
    <t>Z34674</t>
  </si>
  <si>
    <t>Z34675</t>
  </si>
  <si>
    <t>rs754881628</t>
  </si>
  <si>
    <t>Z34676</t>
  </si>
  <si>
    <t>Z34677</t>
  </si>
  <si>
    <t>Z34678</t>
  </si>
  <si>
    <t>rs768808252</t>
  </si>
  <si>
    <t>Z34680</t>
  </si>
  <si>
    <t>rs770100032</t>
  </si>
  <si>
    <t>Z34667</t>
  </si>
  <si>
    <t>rs776492700</t>
  </si>
  <si>
    <t>Z34668</t>
  </si>
  <si>
    <t>rs758720424</t>
  </si>
  <si>
    <t>Z34669</t>
  </si>
  <si>
    <t>rs770553910</t>
  </si>
  <si>
    <t>Z34670</t>
  </si>
  <si>
    <t>rs778774261</t>
  </si>
  <si>
    <t>Z34671</t>
  </si>
  <si>
    <t>rs768715021</t>
  </si>
  <si>
    <t>rs548938582</t>
  </si>
  <si>
    <t>Z5881</t>
  </si>
  <si>
    <t>rs760151656</t>
  </si>
  <si>
    <t>Z14441</t>
  </si>
  <si>
    <t>rs760746297</t>
  </si>
  <si>
    <t>Z14442</t>
  </si>
  <si>
    <t>rs760111258</t>
  </si>
  <si>
    <t>Z5882</t>
  </si>
  <si>
    <t>rs766879815</t>
  </si>
  <si>
    <t>Z14433</t>
  </si>
  <si>
    <t>rs1042781483</t>
  </si>
  <si>
    <t>Z14434</t>
  </si>
  <si>
    <t>rs755466197</t>
  </si>
  <si>
    <t>Z14435</t>
  </si>
  <si>
    <t>rs765133045</t>
  </si>
  <si>
    <t>Z14436</t>
  </si>
  <si>
    <t>rs748484533</t>
  </si>
  <si>
    <t>Z14437</t>
  </si>
  <si>
    <t>rs865995832</t>
  </si>
  <si>
    <t>Z14438</t>
  </si>
  <si>
    <t>rs780029477</t>
  </si>
  <si>
    <t>Z14439</t>
  </si>
  <si>
    <t>rs771732499</t>
  </si>
  <si>
    <t>Z14440</t>
  </si>
  <si>
    <t>rs746349034</t>
  </si>
  <si>
    <t>Z5883</t>
  </si>
  <si>
    <t>rs759566093</t>
  </si>
  <si>
    <t>Z14415</t>
  </si>
  <si>
    <t>rs769097354</t>
  </si>
  <si>
    <t>Z14416</t>
  </si>
  <si>
    <t>rs765497508</t>
  </si>
  <si>
    <t>Z14417</t>
  </si>
  <si>
    <t>rs772547135</t>
  </si>
  <si>
    <t>Z14428</t>
  </si>
  <si>
    <t>rs767770448</t>
  </si>
  <si>
    <t>Z14429</t>
  </si>
  <si>
    <t>rs748629469</t>
  </si>
  <si>
    <t>Z14430</t>
  </si>
  <si>
    <t>rs752118590</t>
  </si>
  <si>
    <t>Z5884</t>
  </si>
  <si>
    <t>rs759062691</t>
  </si>
  <si>
    <t>Z14405</t>
  </si>
  <si>
    <t>rs755358398</t>
  </si>
  <si>
    <t>Z14406</t>
  </si>
  <si>
    <t>rs758789718</t>
  </si>
  <si>
    <t>Z14408</t>
  </si>
  <si>
    <t>Z14411</t>
  </si>
  <si>
    <t>rs769955831</t>
  </si>
  <si>
    <t>Z14412</t>
  </si>
  <si>
    <t>rs777372488</t>
  </si>
  <si>
    <t>Z34712</t>
  </si>
  <si>
    <t>rs765511649</t>
  </si>
  <si>
    <t>Z34713</t>
  </si>
  <si>
    <t>rs775269751</t>
  </si>
  <si>
    <t>Z34714</t>
  </si>
  <si>
    <t>Z34715</t>
  </si>
  <si>
    <t>rs79266226</t>
  </si>
  <si>
    <t>Z34716</t>
  </si>
  <si>
    <t>Z34717</t>
  </si>
  <si>
    <t>rs761777128</t>
  </si>
  <si>
    <t>Z34718</t>
  </si>
  <si>
    <t>rs750612827</t>
  </si>
  <si>
    <t>Z34719</t>
  </si>
  <si>
    <t>rs763132817</t>
  </si>
  <si>
    <t>Z34720</t>
  </si>
  <si>
    <t>rs776738718</t>
  </si>
  <si>
    <t>Z34721</t>
  </si>
  <si>
    <t>rs750776304</t>
  </si>
  <si>
    <t>Z34707</t>
  </si>
  <si>
    <t>rs760180789</t>
  </si>
  <si>
    <t>Z34708</t>
  </si>
  <si>
    <t>Z34710</t>
  </si>
  <si>
    <t>rs755254064</t>
  </si>
  <si>
    <t>Z34711</t>
  </si>
  <si>
    <t>rs755714049</t>
  </si>
  <si>
    <t>Z34702</t>
  </si>
  <si>
    <t>rs751977646</t>
  </si>
  <si>
    <t>Z34704</t>
  </si>
  <si>
    <t>rs748702345</t>
  </si>
  <si>
    <t>Z34705</t>
  </si>
  <si>
    <t>rs758113367</t>
  </si>
  <si>
    <t>Z34706</t>
  </si>
  <si>
    <t>rs755631869</t>
  </si>
  <si>
    <t>B109</t>
  </si>
  <si>
    <t>Z34880</t>
  </si>
  <si>
    <t>Z34881</t>
  </si>
  <si>
    <t>Z34882</t>
  </si>
  <si>
    <t>Z34883</t>
  </si>
  <si>
    <t>Z34697</t>
  </si>
  <si>
    <t>rs766416019</t>
  </si>
  <si>
    <t>Z34698</t>
  </si>
  <si>
    <t>rs763974922</t>
  </si>
  <si>
    <t>Z34699</t>
  </si>
  <si>
    <t>rs749843213</t>
  </si>
  <si>
    <t>Z34701</t>
  </si>
  <si>
    <t>rs751972979</t>
  </si>
  <si>
    <t>Z34681</t>
  </si>
  <si>
    <t>rs763622911</t>
  </si>
  <si>
    <t>Z34682</t>
  </si>
  <si>
    <t>rs757898338</t>
  </si>
  <si>
    <t>Z34683</t>
  </si>
  <si>
    <t>rs781535735</t>
  </si>
  <si>
    <t>Z34684</t>
  </si>
  <si>
    <t>rs770071827</t>
  </si>
  <si>
    <t>Z34685</t>
  </si>
  <si>
    <t>rs774444062</t>
  </si>
  <si>
    <t>Z34692</t>
  </si>
  <si>
    <t>rs762443433</t>
  </si>
  <si>
    <t>Z34693</t>
  </si>
  <si>
    <t>rs779596212</t>
  </si>
  <si>
    <t>Z34694</t>
  </si>
  <si>
    <t>rs773717765</t>
  </si>
  <si>
    <t>Z34695</t>
  </si>
  <si>
    <t>rs777615255</t>
  </si>
  <si>
    <t>Z34696</t>
  </si>
  <si>
    <t>rs773049886</t>
  </si>
  <si>
    <t>M2728</t>
  </si>
  <si>
    <t>rs551798238</t>
  </si>
  <si>
    <t>Z34876</t>
  </si>
  <si>
    <t>Z34878</t>
  </si>
  <si>
    <t>Z34879</t>
  </si>
  <si>
    <t>Z34647</t>
  </si>
  <si>
    <t>rs768910310</t>
  </si>
  <si>
    <t>Z34648</t>
  </si>
  <si>
    <t>rs772699780</t>
  </si>
  <si>
    <t>Z34649</t>
  </si>
  <si>
    <t>rs756682201</t>
  </si>
  <si>
    <t>Z34650</t>
  </si>
  <si>
    <t>Z34651</t>
  </si>
  <si>
    <t>rs764379893</t>
  </si>
  <si>
    <t>Z4507</t>
  </si>
  <si>
    <t>rs565879601</t>
  </si>
  <si>
    <t>FGC23660</t>
  </si>
  <si>
    <t>Z12590</t>
  </si>
  <si>
    <t>rs533223367</t>
  </si>
  <si>
    <t>Z4654</t>
  </si>
  <si>
    <t>rs531657744</t>
  </si>
  <si>
    <t>Z4695</t>
  </si>
  <si>
    <t>rs541195267</t>
  </si>
  <si>
    <t>Z12588</t>
  </si>
  <si>
    <t>rs540544047</t>
  </si>
  <si>
    <t>2958292..2958293</t>
  </si>
  <si>
    <t>3090251..3090252</t>
  </si>
  <si>
    <t>AG-&gt;A</t>
  </si>
  <si>
    <t>Z12591</t>
  </si>
  <si>
    <t>rs542874896</t>
  </si>
  <si>
    <t>Z5886</t>
  </si>
  <si>
    <t>rs780074667</t>
  </si>
  <si>
    <t>F1616.2</t>
  </si>
  <si>
    <t>rs780241976</t>
  </si>
  <si>
    <t>Z12552</t>
  </si>
  <si>
    <t>rs774523489</t>
  </si>
  <si>
    <t>Z12553</t>
  </si>
  <si>
    <t>rs747978919</t>
  </si>
  <si>
    <t>Z12554</t>
  </si>
  <si>
    <t>rs749462181</t>
  </si>
  <si>
    <t>Z12555</t>
  </si>
  <si>
    <t>rs768728596</t>
  </si>
  <si>
    <t>Z12556</t>
  </si>
  <si>
    <t>rs780480255</t>
  </si>
  <si>
    <t>Z12557</t>
  </si>
  <si>
    <t>rs780945128</t>
  </si>
  <si>
    <t>Z12558</t>
  </si>
  <si>
    <t>rs756739879</t>
  </si>
  <si>
    <t>Z12559</t>
  </si>
  <si>
    <t>Z12560</t>
  </si>
  <si>
    <t>rs770398248</t>
  </si>
  <si>
    <t>Z12561</t>
  </si>
  <si>
    <t>rs751536351</t>
  </si>
  <si>
    <t>Z12562</t>
  </si>
  <si>
    <t>rs752842684</t>
  </si>
  <si>
    <t>Z12563</t>
  </si>
  <si>
    <t>rs773300852</t>
  </si>
  <si>
    <t>Z12564</t>
  </si>
  <si>
    <t>rs754814545</t>
  </si>
  <si>
    <t>Z12565</t>
  </si>
  <si>
    <t>rs749384347</t>
  </si>
  <si>
    <t>Z12566</t>
  </si>
  <si>
    <t>rs765518098</t>
  </si>
  <si>
    <t>Z12567</t>
  </si>
  <si>
    <t>rs780595335</t>
  </si>
  <si>
    <t>Z12568</t>
  </si>
  <si>
    <t>rs753390842</t>
  </si>
  <si>
    <t>Z12570</t>
  </si>
  <si>
    <t>rs761111877</t>
  </si>
  <si>
    <t>Z12571</t>
  </si>
  <si>
    <t>rs771704954</t>
  </si>
  <si>
    <t>Z12572</t>
  </si>
  <si>
    <t>Z12573</t>
  </si>
  <si>
    <t>rs761364309</t>
  </si>
  <si>
    <t>Z12574</t>
  </si>
  <si>
    <t>rs779542003</t>
  </si>
  <si>
    <t>Z12575</t>
  </si>
  <si>
    <t>rs748912370</t>
  </si>
  <si>
    <t>Z12576</t>
  </si>
  <si>
    <t>rs769388990</t>
  </si>
  <si>
    <t>Z12577</t>
  </si>
  <si>
    <t>rs770697690</t>
  </si>
  <si>
    <t>Z12578</t>
  </si>
  <si>
    <t>rs758975777</t>
  </si>
  <si>
    <t>Z12579</t>
  </si>
  <si>
    <t>rs773340627</t>
  </si>
  <si>
    <t>Z12580</t>
  </si>
  <si>
    <t>rs770575549</t>
  </si>
  <si>
    <t>Z12586</t>
  </si>
  <si>
    <t>Z12587</t>
  </si>
  <si>
    <t>Z5887</t>
  </si>
  <si>
    <t>rs765565835</t>
  </si>
  <si>
    <t>Z12541</t>
  </si>
  <si>
    <t>rs779944854</t>
  </si>
  <si>
    <t>Z12542</t>
  </si>
  <si>
    <t>rs924778893</t>
  </si>
  <si>
    <t>Z12544</t>
  </si>
  <si>
    <t>rs769224320</t>
  </si>
  <si>
    <t>Z12548</t>
  </si>
  <si>
    <t>rs775623864</t>
  </si>
  <si>
    <t>Z12549</t>
  </si>
  <si>
    <t>rs751327799</t>
  </si>
  <si>
    <t>MC13.2</t>
  </si>
  <si>
    <t>rs772965916</t>
  </si>
  <si>
    <t>Z34565</t>
  </si>
  <si>
    <t>rs759385499</t>
  </si>
  <si>
    <t>Z34566</t>
  </si>
  <si>
    <t>rs761861551</t>
  </si>
  <si>
    <t>Z34567</t>
  </si>
  <si>
    <t>rs757957223</t>
  </si>
  <si>
    <t>Z34569</t>
  </si>
  <si>
    <t>rs751663817</t>
  </si>
  <si>
    <t>Z34571</t>
  </si>
  <si>
    <t>rs749891087</t>
  </si>
  <si>
    <t>Z34572</t>
  </si>
  <si>
    <t>rs776762865</t>
  </si>
  <si>
    <t>Z34723</t>
  </si>
  <si>
    <t>rs775129578</t>
  </si>
  <si>
    <t>Z34724</t>
  </si>
  <si>
    <t>rs749473412</t>
  </si>
  <si>
    <t>Z34725</t>
  </si>
  <si>
    <t>Z34726</t>
  </si>
  <si>
    <t>rs753820119</t>
  </si>
  <si>
    <t>rs574811115</t>
  </si>
  <si>
    <t>Z5889</t>
  </si>
  <si>
    <t>rs574435438</t>
  </si>
  <si>
    <t>FGC12548</t>
  </si>
  <si>
    <t>Z12536</t>
  </si>
  <si>
    <t>rs527644882</t>
  </si>
  <si>
    <t>Z5890</t>
  </si>
  <si>
    <t>rs566992580</t>
  </si>
  <si>
    <t>Z12533</t>
  </si>
  <si>
    <t>rs574486942</t>
  </si>
  <si>
    <t>Z12534</t>
  </si>
  <si>
    <t>rs568756103</t>
  </si>
  <si>
    <t>Z34505</t>
  </si>
  <si>
    <t>rs773360045</t>
  </si>
  <si>
    <t>Z34506</t>
  </si>
  <si>
    <t>rs759109428</t>
  </si>
  <si>
    <t>Z34507</t>
  </si>
  <si>
    <t>rs749568715</t>
  </si>
  <si>
    <t>Z34508</t>
  </si>
  <si>
    <t>rs772247757</t>
  </si>
  <si>
    <t>Z98.2</t>
  </si>
  <si>
    <t>rs1015741406</t>
  </si>
  <si>
    <t>Z34509</t>
  </si>
  <si>
    <t>Z34510</t>
  </si>
  <si>
    <t>rs1042594750</t>
  </si>
  <si>
    <t>Z34511</t>
  </si>
  <si>
    <t>rs778233244</t>
  </si>
  <si>
    <t>CTS9919</t>
  </si>
  <si>
    <t>CTS10219</t>
  </si>
  <si>
    <t>rs756593507</t>
  </si>
  <si>
    <t>M11249</t>
  </si>
  <si>
    <t>Z34513</t>
  </si>
  <si>
    <t>M8356</t>
  </si>
  <si>
    <t>rs371774994</t>
  </si>
  <si>
    <t>Z34514</t>
  </si>
  <si>
    <t>rs771056200</t>
  </si>
  <si>
    <t>Z34515</t>
  </si>
  <si>
    <t>rs766548637</t>
  </si>
  <si>
    <t>Z34516</t>
  </si>
  <si>
    <t>rs778759337</t>
  </si>
  <si>
    <t>Z34517</t>
  </si>
  <si>
    <t>rs773634166</t>
  </si>
  <si>
    <t>CTS2576</t>
  </si>
  <si>
    <t>rs745479094</t>
  </si>
  <si>
    <t>Z34518</t>
  </si>
  <si>
    <t>rs763432155</t>
  </si>
  <si>
    <t>Z34519</t>
  </si>
  <si>
    <t>rs752907140</t>
  </si>
  <si>
    <t>Z34520</t>
  </si>
  <si>
    <t>rs761853237</t>
  </si>
  <si>
    <t>Z34523</t>
  </si>
  <si>
    <t>Z34524</t>
  </si>
  <si>
    <t>rs764931948</t>
  </si>
  <si>
    <t>Z34525</t>
  </si>
  <si>
    <t>Z34526</t>
  </si>
  <si>
    <t>Z34527</t>
  </si>
  <si>
    <t>rs762384005</t>
  </si>
  <si>
    <t>CTS2750</t>
  </si>
  <si>
    <t>M1592</t>
  </si>
  <si>
    <t>rs558273460</t>
  </si>
  <si>
    <t>CTS3576.2</t>
  </si>
  <si>
    <t>V2778.2</t>
  </si>
  <si>
    <t>rs16980483</t>
  </si>
  <si>
    <t>Z34528</t>
  </si>
  <si>
    <t>Z34529</t>
  </si>
  <si>
    <t>rs766335961</t>
  </si>
  <si>
    <t>Z34530</t>
  </si>
  <si>
    <t>Z34531</t>
  </si>
  <si>
    <t>rs767826452</t>
  </si>
  <si>
    <t>Z34532</t>
  </si>
  <si>
    <t>rs754751025</t>
  </si>
  <si>
    <t>Z34533</t>
  </si>
  <si>
    <t>rs765351939</t>
  </si>
  <si>
    <t>Z34534</t>
  </si>
  <si>
    <t>rs779474003</t>
  </si>
  <si>
    <t>Z34535</t>
  </si>
  <si>
    <t>rs774362867</t>
  </si>
  <si>
    <t>CTS11089</t>
  </si>
  <si>
    <t>Z34536</t>
  </si>
  <si>
    <t>rs761094443</t>
  </si>
  <si>
    <t>Z34537</t>
  </si>
  <si>
    <t>rs763178936</t>
  </si>
  <si>
    <t>Z34538</t>
  </si>
  <si>
    <t>rs772832076</t>
  </si>
  <si>
    <t>Z34539</t>
  </si>
  <si>
    <t>rs747312185</t>
  </si>
  <si>
    <t>Z34540</t>
  </si>
  <si>
    <t>rs767181808</t>
  </si>
  <si>
    <t>Z34541</t>
  </si>
  <si>
    <t>rs761727366</t>
  </si>
  <si>
    <t>Z34542</t>
  </si>
  <si>
    <t>rs766474478</t>
  </si>
  <si>
    <t>Z34543</t>
  </si>
  <si>
    <t>rs760386638</t>
  </si>
  <si>
    <t>Z34544</t>
  </si>
  <si>
    <t>rs754247221</t>
  </si>
  <si>
    <t>B372</t>
  </si>
  <si>
    <t>Z34884</t>
  </si>
  <si>
    <t>Z34885</t>
  </si>
  <si>
    <t>Z34886</t>
  </si>
  <si>
    <t>Z34887</t>
  </si>
  <si>
    <t>B371</t>
  </si>
  <si>
    <t>Z34888</t>
  </si>
  <si>
    <t>Z34889</t>
  </si>
  <si>
    <t>Z34890</t>
  </si>
  <si>
    <t>Z34891</t>
  </si>
  <si>
    <t>Z34578</t>
  </si>
  <si>
    <t>rs763566350</t>
  </si>
  <si>
    <t>Z34579</t>
  </si>
  <si>
    <t>rs753681361</t>
  </si>
  <si>
    <t>Z34580</t>
  </si>
  <si>
    <t>rs772798114</t>
  </si>
  <si>
    <t>Z34581</t>
  </si>
  <si>
    <t>rs376013263</t>
  </si>
  <si>
    <t>Z34583</t>
  </si>
  <si>
    <t>rs766696620</t>
  </si>
  <si>
    <t>Z34585</t>
  </si>
  <si>
    <t>rs772501980</t>
  </si>
  <si>
    <t>Z34586</t>
  </si>
  <si>
    <t>Z34587</t>
  </si>
  <si>
    <t>rs772955539</t>
  </si>
  <si>
    <t>M6003</t>
  </si>
  <si>
    <t>rs535869046</t>
  </si>
  <si>
    <t>Z34574</t>
  </si>
  <si>
    <t>rs866619397</t>
  </si>
  <si>
    <t>Z34575</t>
  </si>
  <si>
    <t>rs758462527</t>
  </si>
  <si>
    <t>Z34576</t>
  </si>
  <si>
    <t>rs762226887</t>
  </si>
  <si>
    <t>Z34577</t>
  </si>
  <si>
    <t>rs749737687</t>
  </si>
  <si>
    <t>Z4489</t>
  </si>
  <si>
    <t>rs780140520</t>
  </si>
  <si>
    <t>F3564.2</t>
  </si>
  <si>
    <t>M5824.2</t>
  </si>
  <si>
    <t>rs113647226</t>
  </si>
  <si>
    <t>Z4525</t>
  </si>
  <si>
    <t>rs762689319</t>
  </si>
  <si>
    <t>Z4526</t>
  </si>
  <si>
    <t>rs766752726</t>
  </si>
  <si>
    <t>Z4538</t>
  </si>
  <si>
    <t>rs760903165</t>
  </si>
  <si>
    <t>Z4539</t>
  </si>
  <si>
    <t>rs755017556</t>
  </si>
  <si>
    <t>Z4550</t>
  </si>
  <si>
    <t>rs772541057</t>
  </si>
  <si>
    <t>Z4561</t>
  </si>
  <si>
    <t>Z4574</t>
  </si>
  <si>
    <t>Z4615</t>
  </si>
  <si>
    <t>rs749199241</t>
  </si>
  <si>
    <t>Z4622</t>
  </si>
  <si>
    <t>Z4624</t>
  </si>
  <si>
    <t>rs767514953</t>
  </si>
  <si>
    <t>Z4625</t>
  </si>
  <si>
    <t>rs781035119</t>
  </si>
  <si>
    <t>Z4643</t>
  </si>
  <si>
    <t>rs774314939</t>
  </si>
  <si>
    <t>Z4649</t>
  </si>
  <si>
    <t>rs756683331</t>
  </si>
  <si>
    <t>Z4680</t>
  </si>
  <si>
    <t>rs749308361</t>
  </si>
  <si>
    <t>Z4684</t>
  </si>
  <si>
    <t>rs777308400</t>
  </si>
  <si>
    <t>Z4685</t>
  </si>
  <si>
    <t>rs756702489</t>
  </si>
  <si>
    <t>Z4692</t>
  </si>
  <si>
    <t>rs756373913</t>
  </si>
  <si>
    <t>Z12600</t>
  </si>
  <si>
    <t>rs781465011</t>
  </si>
  <si>
    <t>Z12601</t>
  </si>
  <si>
    <t>rs747852776</t>
  </si>
  <si>
    <t>Z12610</t>
  </si>
  <si>
    <t>6057628..6057630</t>
  </si>
  <si>
    <t>6189587..6189589</t>
  </si>
  <si>
    <t>GT-&gt;GTT</t>
  </si>
  <si>
    <t>Z12612</t>
  </si>
  <si>
    <t>rs770780864</t>
  </si>
  <si>
    <t>Z12613</t>
  </si>
  <si>
    <t>rs748389642</t>
  </si>
  <si>
    <t>Z12614</t>
  </si>
  <si>
    <t>rs773946494</t>
  </si>
  <si>
    <t>Z12617</t>
  </si>
  <si>
    <t>rs765497462</t>
  </si>
  <si>
    <t>Z12622</t>
  </si>
  <si>
    <t>rs777250273</t>
  </si>
  <si>
    <t>Z12623</t>
  </si>
  <si>
    <t>rs765912119</t>
  </si>
  <si>
    <t>Z12624</t>
  </si>
  <si>
    <t>rs778367300</t>
  </si>
  <si>
    <t>Z12625</t>
  </si>
  <si>
    <t>rs775845007</t>
  </si>
  <si>
    <t>Z12626</t>
  </si>
  <si>
    <t>rs769842317</t>
  </si>
  <si>
    <t>Z12627</t>
  </si>
  <si>
    <t>rs756184775</t>
  </si>
  <si>
    <t>Z12628</t>
  </si>
  <si>
    <t>rs748534878</t>
  </si>
  <si>
    <t>Z12629</t>
  </si>
  <si>
    <t>rs776924485</t>
  </si>
  <si>
    <t>Z12630</t>
  </si>
  <si>
    <t>rs778840491</t>
  </si>
  <si>
    <t>Z12634</t>
  </si>
  <si>
    <t>rs750709554</t>
  </si>
  <si>
    <t>Z12635</t>
  </si>
  <si>
    <t>rs761750287</t>
  </si>
  <si>
    <t>Z12636</t>
  </si>
  <si>
    <t>rs765778814</t>
  </si>
  <si>
    <t>Z12637</t>
  </si>
  <si>
    <t>Z4542</t>
  </si>
  <si>
    <t>rs766274986</t>
  </si>
  <si>
    <t>CTS2016.2</t>
  </si>
  <si>
    <t>M3509.2; PF2934.2</t>
  </si>
  <si>
    <t>rs572913015</t>
  </si>
  <si>
    <t>M3509.2</t>
  </si>
  <si>
    <t>CTS2016.2; PF2934.2</t>
  </si>
  <si>
    <t>PF2934.2</t>
  </si>
  <si>
    <t>CTS2016.2; M3509.2</t>
  </si>
  <si>
    <t>Z4543</t>
  </si>
  <si>
    <t>rs748566907</t>
  </si>
  <si>
    <t>Z4591</t>
  </si>
  <si>
    <t>rs757017488</t>
  </si>
  <si>
    <t>Z4616</t>
  </si>
  <si>
    <t>rs769495435</t>
  </si>
  <si>
    <t>Z4678</t>
  </si>
  <si>
    <t>Z4679</t>
  </si>
  <si>
    <t>rs772363278</t>
  </si>
  <si>
    <t>Z4691</t>
  </si>
  <si>
    <t>rs768945192</t>
  </si>
  <si>
    <t>Z4698</t>
  </si>
  <si>
    <t>rs757374180</t>
  </si>
  <si>
    <t>Z12597</t>
  </si>
  <si>
    <t>rs775492647</t>
  </si>
  <si>
    <t>Z12598</t>
  </si>
  <si>
    <t>rs756312273</t>
  </si>
  <si>
    <t>Z12599</t>
  </si>
  <si>
    <t>rs747561453</t>
  </si>
  <si>
    <t>FGC23805.2</t>
  </si>
  <si>
    <t>rs746745151</t>
  </si>
  <si>
    <t>Z6593.2</t>
  </si>
  <si>
    <t>rs956960887</t>
  </si>
  <si>
    <t>Z21872.2</t>
  </si>
  <si>
    <t>rs756059644</t>
  </si>
  <si>
    <t>Z31719.2</t>
  </si>
  <si>
    <t>Z34545</t>
  </si>
  <si>
    <t>Z34546</t>
  </si>
  <si>
    <t>Z34547</t>
  </si>
  <si>
    <t>Z34548</t>
  </si>
  <si>
    <t>Z34549</t>
  </si>
  <si>
    <t>rs777886182</t>
  </si>
  <si>
    <t>Z34550</t>
  </si>
  <si>
    <t>Z34551</t>
  </si>
  <si>
    <t>rs768939916</t>
  </si>
  <si>
    <t>Z34552</t>
  </si>
  <si>
    <t>rs756129676</t>
  </si>
  <si>
    <t>Z46376</t>
  </si>
  <si>
    <t>Z34554</t>
  </si>
  <si>
    <t>rs760315656</t>
  </si>
  <si>
    <t>Z34557</t>
  </si>
  <si>
    <t>rs767472728</t>
  </si>
  <si>
    <t>Z34558</t>
  </si>
  <si>
    <t>Z34560</t>
  </si>
  <si>
    <t>Z34561</t>
  </si>
  <si>
    <t>rs769299623</t>
  </si>
  <si>
    <t>Z34562</t>
  </si>
  <si>
    <t>rs780915431</t>
  </si>
  <si>
    <t>Z34563</t>
  </si>
  <si>
    <t>Z34564</t>
  </si>
  <si>
    <t>Z34642</t>
  </si>
  <si>
    <t>Z34643</t>
  </si>
  <si>
    <t>rs781435110</t>
  </si>
  <si>
    <t>Z34644</t>
  </si>
  <si>
    <t>rs778499621</t>
  </si>
  <si>
    <t>Z34645</t>
  </si>
  <si>
    <t>rs776244385</t>
  </si>
  <si>
    <t>Z34646</t>
  </si>
  <si>
    <t>rs866110972</t>
  </si>
  <si>
    <t>Z4469</t>
  </si>
  <si>
    <t>rs753615977</t>
  </si>
  <si>
    <t>Z14674</t>
  </si>
  <si>
    <t>rs776071896</t>
  </si>
  <si>
    <t>Z4487</t>
  </si>
  <si>
    <t>rs753352736</t>
  </si>
  <si>
    <t>Z4419</t>
  </si>
  <si>
    <t>rs753065305</t>
  </si>
  <si>
    <t>Z4422</t>
  </si>
  <si>
    <t>rs751378317</t>
  </si>
  <si>
    <t>Z4432</t>
  </si>
  <si>
    <t>rs747190651</t>
  </si>
  <si>
    <t>Z4451</t>
  </si>
  <si>
    <t>rs778173394</t>
  </si>
  <si>
    <t>Z4452</t>
  </si>
  <si>
    <t>rs768306147</t>
  </si>
  <si>
    <t>Z4468</t>
  </si>
  <si>
    <t>rs762225799</t>
  </si>
  <si>
    <t>Z4471</t>
  </si>
  <si>
    <t>rs755242332</t>
  </si>
  <si>
    <t>Z4475</t>
  </si>
  <si>
    <t>rs561043261</t>
  </si>
  <si>
    <t>Z4476</t>
  </si>
  <si>
    <t>rs748880408</t>
  </si>
  <si>
    <t>Z4477</t>
  </si>
  <si>
    <t>rs745951295</t>
  </si>
  <si>
    <t>Z14679</t>
  </si>
  <si>
    <t>rs746681207</t>
  </si>
  <si>
    <t>Z14680</t>
  </si>
  <si>
    <t>rs980896908</t>
  </si>
  <si>
    <t>Z14681</t>
  </si>
  <si>
    <t>rs772471659</t>
  </si>
  <si>
    <t>Z14683</t>
  </si>
  <si>
    <t>rs765084661</t>
  </si>
  <si>
    <t>Z4417</t>
  </si>
  <si>
    <t>rs779986889</t>
  </si>
  <si>
    <t>Page75</t>
  </si>
  <si>
    <t>rs34559651</t>
  </si>
  <si>
    <t>Z4414</t>
  </si>
  <si>
    <t>rs771953618</t>
  </si>
  <si>
    <t>Z4420</t>
  </si>
  <si>
    <t>rs775950959</t>
  </si>
  <si>
    <t>Z4421</t>
  </si>
  <si>
    <t>rs773463766</t>
  </si>
  <si>
    <t>Z4423</t>
  </si>
  <si>
    <t>rs758335363</t>
  </si>
  <si>
    <t>Z4424</t>
  </si>
  <si>
    <t>rs753883056</t>
  </si>
  <si>
    <t>Z4425</t>
  </si>
  <si>
    <t>rs759858260</t>
  </si>
  <si>
    <t>Z4426</t>
  </si>
  <si>
    <t>rs765080147</t>
  </si>
  <si>
    <t>Z4427</t>
  </si>
  <si>
    <t>rs765649619</t>
  </si>
  <si>
    <t>Z4429</t>
  </si>
  <si>
    <t>rs756603901</t>
  </si>
  <si>
    <t>Z4433</t>
  </si>
  <si>
    <t>rs769410953</t>
  </si>
  <si>
    <t>Z4434</t>
  </si>
  <si>
    <t>rs776127787</t>
  </si>
  <si>
    <t>Z4435</t>
  </si>
  <si>
    <t>rs780047357</t>
  </si>
  <si>
    <t>Z4437</t>
  </si>
  <si>
    <t>rs1056719718</t>
  </si>
  <si>
    <t>Z4438</t>
  </si>
  <si>
    <t>Z4440</t>
  </si>
  <si>
    <t>rs750790561</t>
  </si>
  <si>
    <t>Z4441</t>
  </si>
  <si>
    <t>rs752334077</t>
  </si>
  <si>
    <t>Z4442</t>
  </si>
  <si>
    <t>rs779379012</t>
  </si>
  <si>
    <t>Z4444</t>
  </si>
  <si>
    <t>rs754792314</t>
  </si>
  <si>
    <t>Z4445</t>
  </si>
  <si>
    <t>rs781503962</t>
  </si>
  <si>
    <t>Z4446</t>
  </si>
  <si>
    <t>rs755529016</t>
  </si>
  <si>
    <t>Z4447</t>
  </si>
  <si>
    <t>rs774748465</t>
  </si>
  <si>
    <t>Z4448</t>
  </si>
  <si>
    <t>rs758748311</t>
  </si>
  <si>
    <t>Z4449</t>
  </si>
  <si>
    <t>rs764495557</t>
  </si>
  <si>
    <t>Z4450</t>
  </si>
  <si>
    <t>rs771130423</t>
  </si>
  <si>
    <t>Z4453</t>
  </si>
  <si>
    <t>rs745531139</t>
  </si>
  <si>
    <t>Z4455</t>
  </si>
  <si>
    <t>rs773443046</t>
  </si>
  <si>
    <t>Z4456</t>
  </si>
  <si>
    <t>rs751057612</t>
  </si>
  <si>
    <t>Z4457</t>
  </si>
  <si>
    <t>rs988683298</t>
  </si>
  <si>
    <t>Z4459</t>
  </si>
  <si>
    <t>rs762163230</t>
  </si>
  <si>
    <t>Z4460</t>
  </si>
  <si>
    <t>rs777896543</t>
  </si>
  <si>
    <t>Z4461</t>
  </si>
  <si>
    <t>rs757489124</t>
  </si>
  <si>
    <t>Z4463</t>
  </si>
  <si>
    <t>rs780981130</t>
  </si>
  <si>
    <t>Z4466</t>
  </si>
  <si>
    <t>rs747064585</t>
  </si>
  <si>
    <t>Z4467</t>
  </si>
  <si>
    <t>21852096..21852097</t>
  </si>
  <si>
    <t>19690210..19690211</t>
  </si>
  <si>
    <t>CT-&gt;C</t>
  </si>
  <si>
    <t>Z4470</t>
  </si>
  <si>
    <t>rs769079940</t>
  </si>
  <si>
    <t>Z4473</t>
  </si>
  <si>
    <t>rs777084839</t>
  </si>
  <si>
    <t>Z4474</t>
  </si>
  <si>
    <t>rs771253118</t>
  </si>
  <si>
    <t>Z4478</t>
  </si>
  <si>
    <t>rs776486380</t>
  </si>
  <si>
    <t>Z4480</t>
  </si>
  <si>
    <t>rs776569911</t>
  </si>
  <si>
    <t>Z4481</t>
  </si>
  <si>
    <t>rs763624164</t>
  </si>
  <si>
    <t>Z4664</t>
  </si>
  <si>
    <t>rs767756609</t>
  </si>
  <si>
    <t>Z14718</t>
  </si>
  <si>
    <t>rs773451052</t>
  </si>
  <si>
    <t>Z14721</t>
  </si>
  <si>
    <t>rs749747523</t>
  </si>
  <si>
    <t>Z14722</t>
  </si>
  <si>
    <t>rs760140442</t>
  </si>
  <si>
    <t>Z14724</t>
  </si>
  <si>
    <t>rs754530454</t>
  </si>
  <si>
    <t>Z14727</t>
  </si>
  <si>
    <t>rs757658939</t>
  </si>
  <si>
    <t>Z14728</t>
  </si>
  <si>
    <t>rs969930512</t>
  </si>
  <si>
    <t>Z14729</t>
  </si>
  <si>
    <t>Z14732</t>
  </si>
  <si>
    <t>rs373776673</t>
  </si>
  <si>
    <t>Z14733</t>
  </si>
  <si>
    <t>Z14739</t>
  </si>
  <si>
    <t>rs750505315</t>
  </si>
  <si>
    <t>Z14742</t>
  </si>
  <si>
    <t>rs751504581</t>
  </si>
  <si>
    <t>Z14743</t>
  </si>
  <si>
    <t>rs772053795</t>
  </si>
  <si>
    <t>Z14744</t>
  </si>
  <si>
    <t>rs778952491</t>
  </si>
  <si>
    <t>Z14745</t>
  </si>
  <si>
    <t>rs770327081</t>
  </si>
  <si>
    <t>Z14746</t>
  </si>
  <si>
    <t>rs751466885</t>
  </si>
  <si>
    <t>Z14747</t>
  </si>
  <si>
    <t>rs748046028</t>
  </si>
  <si>
    <t>Z14748</t>
  </si>
  <si>
    <t>rs777560940</t>
  </si>
  <si>
    <t>Z14749</t>
  </si>
  <si>
    <t>rs750698285</t>
  </si>
  <si>
    <t>Z14750</t>
  </si>
  <si>
    <t>rs762028450</t>
  </si>
  <si>
    <t>Z14751</t>
  </si>
  <si>
    <t>rs770770620</t>
  </si>
  <si>
    <t>Z14752</t>
  </si>
  <si>
    <t>rs760864209</t>
  </si>
  <si>
    <t>Z14753</t>
  </si>
  <si>
    <t>rs771760505</t>
  </si>
  <si>
    <t>Z14754</t>
  </si>
  <si>
    <t>rs765663015</t>
  </si>
  <si>
    <t>Z14755</t>
  </si>
  <si>
    <t>rs751879871</t>
  </si>
  <si>
    <t>Z14756</t>
  </si>
  <si>
    <t>rs752496926</t>
  </si>
  <si>
    <t>Z14757</t>
  </si>
  <si>
    <t>rs760345172</t>
  </si>
  <si>
    <t>Z14759</t>
  </si>
  <si>
    <t>rs781204949</t>
  </si>
  <si>
    <t>Z14760</t>
  </si>
  <si>
    <t>rs751764697</t>
  </si>
  <si>
    <t>Z14762</t>
  </si>
  <si>
    <t>rs975155750</t>
  </si>
  <si>
    <t>Z14763</t>
  </si>
  <si>
    <t>rs776115074</t>
  </si>
  <si>
    <t>Z14766</t>
  </si>
  <si>
    <t>rs758330820</t>
  </si>
  <si>
    <t>Z14767</t>
  </si>
  <si>
    <t>rs759236285</t>
  </si>
  <si>
    <t>Z14768</t>
  </si>
  <si>
    <t>rs746038494</t>
  </si>
  <si>
    <t>Z14764</t>
  </si>
  <si>
    <t>rs767411291</t>
  </si>
  <si>
    <t>Z14765</t>
  </si>
  <si>
    <t>rs772738959</t>
  </si>
  <si>
    <t>Z14686</t>
  </si>
  <si>
    <t>rs745628044</t>
  </si>
  <si>
    <t>Z4540</t>
  </si>
  <si>
    <t>rs778323800</t>
  </si>
  <si>
    <t>Z14690</t>
  </si>
  <si>
    <t>rs770293181</t>
  </si>
  <si>
    <t>Z14691</t>
  </si>
  <si>
    <t>rs753882671</t>
  </si>
  <si>
    <t>Z34595</t>
  </si>
  <si>
    <t>rs770539272</t>
  </si>
  <si>
    <t>Z40928</t>
  </si>
  <si>
    <t>rs774397789</t>
  </si>
  <si>
    <t>Z40929</t>
  </si>
  <si>
    <t>rs760639246</t>
  </si>
  <si>
    <t>Z40930</t>
  </si>
  <si>
    <t>rs764576571</t>
  </si>
  <si>
    <t>Z34597</t>
  </si>
  <si>
    <t>rs772942990</t>
  </si>
  <si>
    <t>Z34598</t>
  </si>
  <si>
    <t>rs755190351</t>
  </si>
  <si>
    <t>Z34600</t>
  </si>
  <si>
    <t>rs761426316</t>
  </si>
  <si>
    <t>FGC20902.2</t>
  </si>
  <si>
    <t>ZS3748.2</t>
  </si>
  <si>
    <t>rs367922575</t>
  </si>
  <si>
    <t>Z34602</t>
  </si>
  <si>
    <t>Z40931</t>
  </si>
  <si>
    <t>rs777908077</t>
  </si>
  <si>
    <t>Z40932</t>
  </si>
  <si>
    <t>Z40935</t>
  </si>
  <si>
    <t>rs766833015</t>
  </si>
  <si>
    <t>Z40936</t>
  </si>
  <si>
    <t>rs756358487</t>
  </si>
  <si>
    <t>Z40937</t>
  </si>
  <si>
    <t>rs779952392</t>
  </si>
  <si>
    <t>Z40938</t>
  </si>
  <si>
    <t>rs759251234</t>
  </si>
  <si>
    <t>Z40939</t>
  </si>
  <si>
    <t>rs762217621</t>
  </si>
  <si>
    <t>Z40940</t>
  </si>
  <si>
    <t>rs759495455</t>
  </si>
  <si>
    <t>Z40941</t>
  </si>
  <si>
    <t>rs767566913</t>
  </si>
  <si>
    <t>Z40942</t>
  </si>
  <si>
    <t>rs765383737</t>
  </si>
  <si>
    <t>Z40943</t>
  </si>
  <si>
    <t>rs773408217</t>
  </si>
  <si>
    <t>Z40944</t>
  </si>
  <si>
    <t>rs776727829</t>
  </si>
  <si>
    <t>Z40945</t>
  </si>
  <si>
    <t>rs775085257</t>
  </si>
  <si>
    <t>Z40946</t>
  </si>
  <si>
    <t>rs748951330</t>
  </si>
  <si>
    <t>CTS341</t>
  </si>
  <si>
    <t>rs766723048</t>
  </si>
  <si>
    <t>Z34607</t>
  </si>
  <si>
    <t>Z40933</t>
  </si>
  <si>
    <t>rs763341376</t>
  </si>
  <si>
    <t>Z40934</t>
  </si>
  <si>
    <t>rs748241690</t>
  </si>
  <si>
    <t>Z34871</t>
  </si>
  <si>
    <t>Z34873</t>
  </si>
  <si>
    <t>rs916841790</t>
  </si>
  <si>
    <t>Z34874</t>
  </si>
  <si>
    <t>Z34875</t>
  </si>
  <si>
    <t>Z34591</t>
  </si>
  <si>
    <t>rs756045480</t>
  </si>
  <si>
    <t>Z34592</t>
  </si>
  <si>
    <t>rs755896907</t>
  </si>
  <si>
    <t>Z40947</t>
  </si>
  <si>
    <t>rs747919265</t>
  </si>
  <si>
    <t>Z40948</t>
  </si>
  <si>
    <t>rs757013197</t>
  </si>
  <si>
    <t>Z40949</t>
  </si>
  <si>
    <t>rs757483880</t>
  </si>
  <si>
    <t>rs771834822</t>
  </si>
  <si>
    <t>Apt</t>
  </si>
  <si>
    <t>rs376563811</t>
  </si>
  <si>
    <t>Z13966</t>
  </si>
  <si>
    <t>rs773307113</t>
  </si>
  <si>
    <t>Z13967</t>
  </si>
  <si>
    <t>rs776270781</t>
  </si>
  <si>
    <t>Z13968</t>
  </si>
  <si>
    <t>rs751578202</t>
  </si>
  <si>
    <t>Z13969</t>
  </si>
  <si>
    <t>rs763296294</t>
  </si>
  <si>
    <t>Z13995</t>
  </si>
  <si>
    <t>rs763275319</t>
  </si>
  <si>
    <t>Z13996</t>
  </si>
  <si>
    <t>rs751203489</t>
  </si>
  <si>
    <t>Z13997</t>
  </si>
  <si>
    <t>rs767939259</t>
  </si>
  <si>
    <t>Z13998</t>
  </si>
  <si>
    <t>rs777794072</t>
  </si>
  <si>
    <t>Z13999</t>
  </si>
  <si>
    <t>rs776928899</t>
  </si>
  <si>
    <t>Z14000</t>
  </si>
  <si>
    <t>rs750072807</t>
  </si>
  <si>
    <t>Z14001</t>
  </si>
  <si>
    <t>rs370861668</t>
  </si>
  <si>
    <t>Z14002</t>
  </si>
  <si>
    <t>rs754983122</t>
  </si>
  <si>
    <t>Z14003</t>
  </si>
  <si>
    <t>rs775596295</t>
  </si>
  <si>
    <t>Z14004</t>
  </si>
  <si>
    <t>rs372736413</t>
  </si>
  <si>
    <t>Z14005</t>
  </si>
  <si>
    <t>rs778563893</t>
  </si>
  <si>
    <t>Z14006</t>
  </si>
  <si>
    <t>rs765535985</t>
  </si>
  <si>
    <t>Z14007</t>
  </si>
  <si>
    <t>rs776146991</t>
  </si>
  <si>
    <t>Z14008</t>
  </si>
  <si>
    <t>rs774590139</t>
  </si>
  <si>
    <t>Z14009</t>
  </si>
  <si>
    <t>rs747674100</t>
  </si>
  <si>
    <t>Z14010</t>
  </si>
  <si>
    <t>rs748398209</t>
  </si>
  <si>
    <t>Z14011</t>
  </si>
  <si>
    <t>rs778890620</t>
  </si>
  <si>
    <t>Z14012</t>
  </si>
  <si>
    <t>rs765832744</t>
  </si>
  <si>
    <t>Z14013</t>
  </si>
  <si>
    <t>rs749174772</t>
  </si>
  <si>
    <t>Z14014</t>
  </si>
  <si>
    <t>rs778854469</t>
  </si>
  <si>
    <t>Z14015</t>
  </si>
  <si>
    <t>rs754642143</t>
  </si>
  <si>
    <t>Z14016</t>
  </si>
  <si>
    <t>rs772948496</t>
  </si>
  <si>
    <t>Z14017</t>
  </si>
  <si>
    <t>rs369078644</t>
  </si>
  <si>
    <t>Z14018</t>
  </si>
  <si>
    <t>rs776222183</t>
  </si>
  <si>
    <t>Z14019</t>
  </si>
  <si>
    <t>rs778670156</t>
  </si>
  <si>
    <t>Z14020</t>
  </si>
  <si>
    <t>rs778421539</t>
  </si>
  <si>
    <t>Z14021</t>
  </si>
  <si>
    <t>rs377363618</t>
  </si>
  <si>
    <t>Z14022</t>
  </si>
  <si>
    <t>rs752591111</t>
  </si>
  <si>
    <t>Z14023</t>
  </si>
  <si>
    <t>rs761007549</t>
  </si>
  <si>
    <t>Z14024</t>
  </si>
  <si>
    <t>rs775701325</t>
  </si>
  <si>
    <t>Z14025</t>
  </si>
  <si>
    <t>rs749971336</t>
  </si>
  <si>
    <t>Z14026</t>
  </si>
  <si>
    <t>rs767559257</t>
  </si>
  <si>
    <t>Z14027</t>
  </si>
  <si>
    <t>8908637..8908640</t>
  </si>
  <si>
    <t>9040596..9040599</t>
  </si>
  <si>
    <t>TCCC-&gt;TCC</t>
  </si>
  <si>
    <t>Z14029</t>
  </si>
  <si>
    <t>rs767080890</t>
  </si>
  <si>
    <t>Z14031</t>
  </si>
  <si>
    <t>Z14032</t>
  </si>
  <si>
    <t>Z14033</t>
  </si>
  <si>
    <t>Z14034</t>
  </si>
  <si>
    <t>Z14041</t>
  </si>
  <si>
    <t>Z14045</t>
  </si>
  <si>
    <t>Z14047</t>
  </si>
  <si>
    <t>Z14048</t>
  </si>
  <si>
    <t>rs1291464904</t>
  </si>
  <si>
    <t>Z14049</t>
  </si>
  <si>
    <t>Z14050</t>
  </si>
  <si>
    <t>rs762527998</t>
  </si>
  <si>
    <t>Z14051</t>
  </si>
  <si>
    <t>Z14052</t>
  </si>
  <si>
    <t>rs778499504</t>
  </si>
  <si>
    <t>Z14053</t>
  </si>
  <si>
    <t>rs752512764</t>
  </si>
  <si>
    <t>Z14054</t>
  </si>
  <si>
    <t>rs763879400</t>
  </si>
  <si>
    <t>Z14055</t>
  </si>
  <si>
    <t>rs374338236</t>
  </si>
  <si>
    <t>Z14056</t>
  </si>
  <si>
    <t>rs746488726</t>
  </si>
  <si>
    <t>Z14058</t>
  </si>
  <si>
    <t>rs763267661</t>
  </si>
  <si>
    <t>Z14059</t>
  </si>
  <si>
    <t>rs780946875</t>
  </si>
  <si>
    <t>Z14060</t>
  </si>
  <si>
    <t>rs776255502</t>
  </si>
  <si>
    <t>Z14061</t>
  </si>
  <si>
    <t>rs752897674</t>
  </si>
  <si>
    <t>Z14062</t>
  </si>
  <si>
    <t>rs751386995</t>
  </si>
  <si>
    <t>Z14064</t>
  </si>
  <si>
    <t>rs747439035</t>
  </si>
  <si>
    <t>Z14066</t>
  </si>
  <si>
    <t>rs753858536</t>
  </si>
  <si>
    <t>Z14067</t>
  </si>
  <si>
    <t>rs770343974</t>
  </si>
  <si>
    <t>Z14068</t>
  </si>
  <si>
    <t>rs374932565</t>
  </si>
  <si>
    <t>Z14069</t>
  </si>
  <si>
    <t>rs761920360</t>
  </si>
  <si>
    <t>Z14070</t>
  </si>
  <si>
    <t>rs756356281</t>
  </si>
  <si>
    <t>Z14071</t>
  </si>
  <si>
    <t>Z14072</t>
  </si>
  <si>
    <t>rs763877432</t>
  </si>
  <si>
    <t>Z14073</t>
  </si>
  <si>
    <t>rs776261094</t>
  </si>
  <si>
    <t>Z14074</t>
  </si>
  <si>
    <t>rs750194508</t>
  </si>
  <si>
    <t>Z14075</t>
  </si>
  <si>
    <t>rs759129794</t>
  </si>
  <si>
    <t>Z14076</t>
  </si>
  <si>
    <t>rs768046678</t>
  </si>
  <si>
    <t>Z14077</t>
  </si>
  <si>
    <t>rs764662927</t>
  </si>
  <si>
    <t>Z14079</t>
  </si>
  <si>
    <t>Z14080</t>
  </si>
  <si>
    <t>rs765690692</t>
  </si>
  <si>
    <t>Z14081</t>
  </si>
  <si>
    <t>rs754891879</t>
  </si>
  <si>
    <t>Z14082</t>
  </si>
  <si>
    <t>rs771675657</t>
  </si>
  <si>
    <t>Z14083</t>
  </si>
  <si>
    <t>rs759385608</t>
  </si>
  <si>
    <t>Z14084</t>
  </si>
  <si>
    <t>rs772388700</t>
  </si>
  <si>
    <t>Z14085</t>
  </si>
  <si>
    <t>rs779902097</t>
  </si>
  <si>
    <t>Z14086</t>
  </si>
  <si>
    <t>rs746673297</t>
  </si>
  <si>
    <t>Z14087</t>
  </si>
  <si>
    <t>rs762864527</t>
  </si>
  <si>
    <t>Z14088</t>
  </si>
  <si>
    <t>rs773485576</t>
  </si>
  <si>
    <t>Z14089</t>
  </si>
  <si>
    <t>rs771330606</t>
  </si>
  <si>
    <t>Z14090</t>
  </si>
  <si>
    <t>rs767386246</t>
  </si>
  <si>
    <t>Z14091</t>
  </si>
  <si>
    <t>rs781491682</t>
  </si>
  <si>
    <t>Z14093</t>
  </si>
  <si>
    <t>rs772876680</t>
  </si>
  <si>
    <t>Z14094</t>
  </si>
  <si>
    <t>rs767205461</t>
  </si>
  <si>
    <t>Z14095</t>
  </si>
  <si>
    <t>rs753580165</t>
  </si>
  <si>
    <t>Z14096</t>
  </si>
  <si>
    <t>rs753952601</t>
  </si>
  <si>
    <t>Z14097</t>
  </si>
  <si>
    <t>rs767428221</t>
  </si>
  <si>
    <t>Z14098</t>
  </si>
  <si>
    <t>rs772365869</t>
  </si>
  <si>
    <t>Z14099</t>
  </si>
  <si>
    <t>rs755369205</t>
  </si>
  <si>
    <t>Z14100</t>
  </si>
  <si>
    <t>rs776814639</t>
  </si>
  <si>
    <t>Z14101</t>
  </si>
  <si>
    <t>rs759615276</t>
  </si>
  <si>
    <t>Z14102</t>
  </si>
  <si>
    <t>rs752033466</t>
  </si>
  <si>
    <t>Z14103</t>
  </si>
  <si>
    <t>Z14104</t>
  </si>
  <si>
    <t>rs776492997</t>
  </si>
  <si>
    <t>Z14105</t>
  </si>
  <si>
    <t>rs775302762</t>
  </si>
  <si>
    <t>Z14106</t>
  </si>
  <si>
    <t>rs776990545</t>
  </si>
  <si>
    <t>Z14107</t>
  </si>
  <si>
    <t>rs748993292</t>
  </si>
  <si>
    <t>Z14108</t>
  </si>
  <si>
    <t>rs752539348</t>
  </si>
  <si>
    <t>Z14109</t>
  </si>
  <si>
    <t>rs771382772</t>
  </si>
  <si>
    <t>Z14113</t>
  </si>
  <si>
    <t>rs749648734</t>
  </si>
  <si>
    <t>Z14115</t>
  </si>
  <si>
    <t>rs772680735</t>
  </si>
  <si>
    <t>Z14116</t>
  </si>
  <si>
    <t>rs776118854</t>
  </si>
  <si>
    <t>Z14117</t>
  </si>
  <si>
    <t>rs768027052</t>
  </si>
  <si>
    <t>Z14118</t>
  </si>
  <si>
    <t>rs759845030</t>
  </si>
  <si>
    <t>Z14119</t>
  </si>
  <si>
    <t>rs763864255</t>
  </si>
  <si>
    <t>Z14120</t>
  </si>
  <si>
    <t>rs376318187</t>
  </si>
  <si>
    <t>Z14121</t>
  </si>
  <si>
    <t>rs756010651</t>
  </si>
  <si>
    <t>Z14122</t>
  </si>
  <si>
    <t>Z14126</t>
  </si>
  <si>
    <t>rs773804472</t>
  </si>
  <si>
    <t>Z14127</t>
  </si>
  <si>
    <t>rs757046087</t>
  </si>
  <si>
    <t>Z14128</t>
  </si>
  <si>
    <t>rs766210829</t>
  </si>
  <si>
    <t>Z14129</t>
  </si>
  <si>
    <t>rs765919925</t>
  </si>
  <si>
    <t>Z14130</t>
  </si>
  <si>
    <t>rs769903146</t>
  </si>
  <si>
    <t>Z14131</t>
  </si>
  <si>
    <t>rs767120578</t>
  </si>
  <si>
    <t>Z14132</t>
  </si>
  <si>
    <t>rs762920416</t>
  </si>
  <si>
    <t>Z14133</t>
  </si>
  <si>
    <t>rs766251713</t>
  </si>
  <si>
    <t>Z14134</t>
  </si>
  <si>
    <t>rs750027830</t>
  </si>
  <si>
    <t>Z14135</t>
  </si>
  <si>
    <t>rs770352666</t>
  </si>
  <si>
    <t>Z14137</t>
  </si>
  <si>
    <t>rs746672831</t>
  </si>
  <si>
    <t>Z14138</t>
  </si>
  <si>
    <t>rs758883076</t>
  </si>
  <si>
    <t>Z14139</t>
  </si>
  <si>
    <t>rs771585202</t>
  </si>
  <si>
    <t>Z14140</t>
  </si>
  <si>
    <t>rs766318416</t>
  </si>
  <si>
    <t>Z14141</t>
  </si>
  <si>
    <t>rs778352580</t>
  </si>
  <si>
    <t>Z14142</t>
  </si>
  <si>
    <t>rs762777792</t>
  </si>
  <si>
    <t>Z14143</t>
  </si>
  <si>
    <t>rs772237522</t>
  </si>
  <si>
    <t>Z14144</t>
  </si>
  <si>
    <t>rs769213139</t>
  </si>
  <si>
    <t>Z14145</t>
  </si>
  <si>
    <t>rs760381286</t>
  </si>
  <si>
    <t>Z14147</t>
  </si>
  <si>
    <t>rs747566395</t>
  </si>
  <si>
    <t>Z14148</t>
  </si>
  <si>
    <t>rs772647241</t>
  </si>
  <si>
    <t>Z14149</t>
  </si>
  <si>
    <t>rs767081498</t>
  </si>
  <si>
    <t>Z14150</t>
  </si>
  <si>
    <t>rs745863771</t>
  </si>
  <si>
    <t>Z14151</t>
  </si>
  <si>
    <t>rs781523307</t>
  </si>
  <si>
    <t>Z14152</t>
  </si>
  <si>
    <t>rs770070565</t>
  </si>
  <si>
    <t>Z14153</t>
  </si>
  <si>
    <t>rs749356617</t>
  </si>
  <si>
    <t>Z14154</t>
  </si>
  <si>
    <t>rs767898579</t>
  </si>
  <si>
    <t>Z14155</t>
  </si>
  <si>
    <t>rs762243779</t>
  </si>
  <si>
    <t>Z14156</t>
  </si>
  <si>
    <t>rs754319026</t>
  </si>
  <si>
    <t>Z14164</t>
  </si>
  <si>
    <t>Z14165</t>
  </si>
  <si>
    <t>rs759429801</t>
  </si>
  <si>
    <t>Z14166</t>
  </si>
  <si>
    <t>Z14167</t>
  </si>
  <si>
    <t>Z14168</t>
  </si>
  <si>
    <t>rs752498092</t>
  </si>
  <si>
    <t>Z14169</t>
  </si>
  <si>
    <t>rs756950999</t>
  </si>
  <si>
    <t>Z14170</t>
  </si>
  <si>
    <t>rs749446014</t>
  </si>
  <si>
    <t>Z14171</t>
  </si>
  <si>
    <t>rs766735109</t>
  </si>
  <si>
    <t>Z14172</t>
  </si>
  <si>
    <t>rs750112788</t>
  </si>
  <si>
    <t>Z14173</t>
  </si>
  <si>
    <t>rs76548384</t>
  </si>
  <si>
    <t>Z14174</t>
  </si>
  <si>
    <t>rs766795156</t>
  </si>
  <si>
    <t>Z14175</t>
  </si>
  <si>
    <t>rs776507860</t>
  </si>
  <si>
    <t>Z14176</t>
  </si>
  <si>
    <t>rs747126163</t>
  </si>
  <si>
    <t>Z14177</t>
  </si>
  <si>
    <t>Z14178</t>
  </si>
  <si>
    <t>Z14180</t>
  </si>
  <si>
    <t>rs778016415</t>
  </si>
  <si>
    <t>Z14181</t>
  </si>
  <si>
    <t>rs748257045</t>
  </si>
  <si>
    <t>Z14182</t>
  </si>
  <si>
    <t>rs780150297</t>
  </si>
  <si>
    <t>Z14183</t>
  </si>
  <si>
    <t>rs768371317</t>
  </si>
  <si>
    <t>Z14184</t>
  </si>
  <si>
    <t>rs780056543</t>
  </si>
  <si>
    <t>Z14185</t>
  </si>
  <si>
    <t>rs771977083</t>
  </si>
  <si>
    <t>Z14186</t>
  </si>
  <si>
    <t>rs776849727</t>
  </si>
  <si>
    <t>Z14187</t>
  </si>
  <si>
    <t>rs769966212</t>
  </si>
  <si>
    <t>Z14188</t>
  </si>
  <si>
    <t>rs756928289</t>
  </si>
  <si>
    <t>Z14189</t>
  </si>
  <si>
    <t>rs768988706</t>
  </si>
  <si>
    <t>Z14190</t>
  </si>
  <si>
    <t>rs759698516</t>
  </si>
  <si>
    <t>Z14191</t>
  </si>
  <si>
    <t>rs376479191</t>
  </si>
  <si>
    <t>Z14192</t>
  </si>
  <si>
    <t>Z14193</t>
  </si>
  <si>
    <t>rs766648227</t>
  </si>
  <si>
    <t>Z14196</t>
  </si>
  <si>
    <t>rs762104045</t>
  </si>
  <si>
    <t>Z14197</t>
  </si>
  <si>
    <t>Z14198</t>
  </si>
  <si>
    <t>P80</t>
  </si>
  <si>
    <t>P314.1</t>
  </si>
  <si>
    <t>S220.1</t>
  </si>
  <si>
    <t>rs368505307</t>
  </si>
  <si>
    <t>Z34487</t>
  </si>
  <si>
    <t>rs781623259</t>
  </si>
  <si>
    <t>Z34488</t>
  </si>
  <si>
    <t>rs776580894</t>
  </si>
  <si>
    <t>Z34489</t>
  </si>
  <si>
    <t>rs760406600</t>
  </si>
  <si>
    <t>M2646</t>
  </si>
  <si>
    <t>rs376625969</t>
  </si>
  <si>
    <t>M6765</t>
  </si>
  <si>
    <t>rs538104194</t>
  </si>
  <si>
    <t>M10291</t>
  </si>
  <si>
    <t>rs550859215</t>
  </si>
  <si>
    <t>Z34491</t>
  </si>
  <si>
    <t>rs765250186</t>
  </si>
  <si>
    <t>P194</t>
  </si>
  <si>
    <t>rs16980363</t>
  </si>
  <si>
    <t>Z14258</t>
  </si>
  <si>
    <t>rs747730726</t>
  </si>
  <si>
    <t>FGC3219</t>
  </si>
  <si>
    <t>Z14282</t>
  </si>
  <si>
    <t>rs749436982</t>
  </si>
  <si>
    <t>Y2579</t>
  </si>
  <si>
    <t>Z14270</t>
  </si>
  <si>
    <t>rs751720580</t>
  </si>
  <si>
    <t>Y2583</t>
  </si>
  <si>
    <t>Z14276</t>
  </si>
  <si>
    <t>rs764191301</t>
  </si>
  <si>
    <t>Y2584</t>
  </si>
  <si>
    <t>Z14278</t>
  </si>
  <si>
    <t>rs779186989</t>
  </si>
  <si>
    <t>Y2586</t>
  </si>
  <si>
    <t>Z14289</t>
  </si>
  <si>
    <t>rs757413868</t>
  </si>
  <si>
    <t>Y2589</t>
  </si>
  <si>
    <t>Z14300</t>
  </si>
  <si>
    <t>rs768611717</t>
  </si>
  <si>
    <t>Y2590</t>
  </si>
  <si>
    <t>Z14304</t>
  </si>
  <si>
    <t>rs778315677</t>
  </si>
  <si>
    <t>Y2591</t>
  </si>
  <si>
    <t>Z14305</t>
  </si>
  <si>
    <t>rs761120755</t>
  </si>
  <si>
    <t>Z14259</t>
  </si>
  <si>
    <t>rs867185003</t>
  </si>
  <si>
    <t>Z14266</t>
  </si>
  <si>
    <t>rs752379341</t>
  </si>
  <si>
    <t>Z14267</t>
  </si>
  <si>
    <t>rs762837354</t>
  </si>
  <si>
    <t>Z14268</t>
  </si>
  <si>
    <t>rs772852512</t>
  </si>
  <si>
    <t>Z14269</t>
  </si>
  <si>
    <t>rs760606022</t>
  </si>
  <si>
    <t>Z14271</t>
  </si>
  <si>
    <t>rs749362034</t>
  </si>
  <si>
    <t>Z14277</t>
  </si>
  <si>
    <t>rs755872887</t>
  </si>
  <si>
    <t>Z14279</t>
  </si>
  <si>
    <t>rs778580539</t>
  </si>
  <si>
    <t>Z14280</t>
  </si>
  <si>
    <t>rs750869612</t>
  </si>
  <si>
    <t>Z14283</t>
  </si>
  <si>
    <t>rs753735625</t>
  </si>
  <si>
    <t>Z14284</t>
  </si>
  <si>
    <t>rs780356253</t>
  </si>
  <si>
    <t>Z14285</t>
  </si>
  <si>
    <t>rs773692625</t>
  </si>
  <si>
    <t>Z14286</t>
  </si>
  <si>
    <t>rs770539141</t>
  </si>
  <si>
    <t>Z14287</t>
  </si>
  <si>
    <t>rs777034551</t>
  </si>
  <si>
    <t>Z14288</t>
  </si>
  <si>
    <t>rs764349590</t>
  </si>
  <si>
    <t>Z14290</t>
  </si>
  <si>
    <t>rs765577755</t>
  </si>
  <si>
    <t>Z14291</t>
  </si>
  <si>
    <t>rs774207733</t>
  </si>
  <si>
    <t>Z14296</t>
  </si>
  <si>
    <t>rs763218090</t>
  </si>
  <si>
    <t>Z14297</t>
  </si>
  <si>
    <t>rs746687471</t>
  </si>
  <si>
    <t>Z14298</t>
  </si>
  <si>
    <t>rs770004155</t>
  </si>
  <si>
    <t>Z14299</t>
  </si>
  <si>
    <t>rs758406859</t>
  </si>
  <si>
    <t>Z14301</t>
  </si>
  <si>
    <t>rs756694602</t>
  </si>
  <si>
    <t>Z14302</t>
  </si>
  <si>
    <t>rs778285568</t>
  </si>
  <si>
    <t>Z14306</t>
  </si>
  <si>
    <t>rs752665693</t>
  </si>
  <si>
    <t>Z34841</t>
  </si>
  <si>
    <t>rs754858374</t>
  </si>
  <si>
    <t>Y2581</t>
  </si>
  <si>
    <t>Z14273</t>
  </si>
  <si>
    <t>rs756031237</t>
  </si>
  <si>
    <t>Z5868</t>
  </si>
  <si>
    <t>rs767313157</t>
  </si>
  <si>
    <t>Z14315</t>
  </si>
  <si>
    <t>rs753100090</t>
  </si>
  <si>
    <t>Z14316</t>
  </si>
  <si>
    <t>rs373604208</t>
  </si>
  <si>
    <t>Z14317</t>
  </si>
  <si>
    <t>rs764339225</t>
  </si>
  <si>
    <t>Z14318</t>
  </si>
  <si>
    <t>Z14319</t>
  </si>
  <si>
    <t>rs777291533</t>
  </si>
  <si>
    <t>Z14320</t>
  </si>
  <si>
    <t>rs754896612</t>
  </si>
  <si>
    <t>Z14321</t>
  </si>
  <si>
    <t>rs775625122</t>
  </si>
  <si>
    <t>Z14322</t>
  </si>
  <si>
    <t>rs767117385</t>
  </si>
  <si>
    <t>Z14323</t>
  </si>
  <si>
    <t>rs779102182</t>
  </si>
  <si>
    <t>Z14324</t>
  </si>
  <si>
    <t>rs758109464</t>
  </si>
  <si>
    <t>Z14325</t>
  </si>
  <si>
    <t>rs750415154</t>
  </si>
  <si>
    <t>Z14326</t>
  </si>
  <si>
    <t>Z14330</t>
  </si>
  <si>
    <t>Z14331</t>
  </si>
  <si>
    <t>Z14332</t>
  </si>
  <si>
    <t>rs994664455</t>
  </si>
  <si>
    <t>Z14333</t>
  </si>
  <si>
    <t>Z14334</t>
  </si>
  <si>
    <t>rs755326339</t>
  </si>
  <si>
    <t>Z14335</t>
  </si>
  <si>
    <t>rs761429803</t>
  </si>
  <si>
    <t>Z14336</t>
  </si>
  <si>
    <t>rs748253049</t>
  </si>
  <si>
    <t>Z14337</t>
  </si>
  <si>
    <t>rs745535129</t>
  </si>
  <si>
    <t>Z14338</t>
  </si>
  <si>
    <t>rs751821944</t>
  </si>
  <si>
    <t>Z14339</t>
  </si>
  <si>
    <t>rs755406900</t>
  </si>
  <si>
    <t>Z14340</t>
  </si>
  <si>
    <t>rs771616941</t>
  </si>
  <si>
    <t>Z14341</t>
  </si>
  <si>
    <t>Z14342</t>
  </si>
  <si>
    <t>rs764854859</t>
  </si>
  <si>
    <t>Z14344</t>
  </si>
  <si>
    <t>rs753977143</t>
  </si>
  <si>
    <t>Z14345</t>
  </si>
  <si>
    <t>rs746146349</t>
  </si>
  <si>
    <t>Z14346</t>
  </si>
  <si>
    <t>rs759013446</t>
  </si>
  <si>
    <t>Z14348</t>
  </si>
  <si>
    <t>rs762149024</t>
  </si>
  <si>
    <t>Z14349</t>
  </si>
  <si>
    <t>rs777741904</t>
  </si>
  <si>
    <t>Z14350</t>
  </si>
  <si>
    <t>rs768123583</t>
  </si>
  <si>
    <t>Z14351</t>
  </si>
  <si>
    <t>rs777759842</t>
  </si>
  <si>
    <t>Z14352</t>
  </si>
  <si>
    <t>rs763433483</t>
  </si>
  <si>
    <t>Z14353</t>
  </si>
  <si>
    <t>rs771020209</t>
  </si>
  <si>
    <t>Z14354</t>
  </si>
  <si>
    <t>rs761076287</t>
  </si>
  <si>
    <t>Z14355</t>
  </si>
  <si>
    <t>rs761757674</t>
  </si>
  <si>
    <t>Z14356</t>
  </si>
  <si>
    <t>rs755395181</t>
  </si>
  <si>
    <t>Z14357</t>
  </si>
  <si>
    <t>rs768341788</t>
  </si>
  <si>
    <t>Z14358</t>
  </si>
  <si>
    <t>rs755666832</t>
  </si>
  <si>
    <t>Z14359</t>
  </si>
  <si>
    <t>rs746352503</t>
  </si>
  <si>
    <t>Z14360</t>
  </si>
  <si>
    <t>rs747433779</t>
  </si>
  <si>
    <t>Z14361</t>
  </si>
  <si>
    <t>rs779943258</t>
  </si>
  <si>
    <t>Z14362</t>
  </si>
  <si>
    <t>rs777785661</t>
  </si>
  <si>
    <t>Z14363</t>
  </si>
  <si>
    <t>rs762357075</t>
  </si>
  <si>
    <t>Z14364</t>
  </si>
  <si>
    <t>rs774151562</t>
  </si>
  <si>
    <t>Z14366</t>
  </si>
  <si>
    <t>rs773566055</t>
  </si>
  <si>
    <t>Z14367</t>
  </si>
  <si>
    <t>rs775086313</t>
  </si>
  <si>
    <t>Z14368</t>
  </si>
  <si>
    <t>rs749780794</t>
  </si>
  <si>
    <t>Z14369</t>
  </si>
  <si>
    <t>rs760749784</t>
  </si>
  <si>
    <t>Z14370</t>
  </si>
  <si>
    <t>rs769859729</t>
  </si>
  <si>
    <t>Z14371</t>
  </si>
  <si>
    <t>rs760743802</t>
  </si>
  <si>
    <t>Z14372</t>
  </si>
  <si>
    <t>Z14373</t>
  </si>
  <si>
    <t>rs765281815</t>
  </si>
  <si>
    <t>Z14374</t>
  </si>
  <si>
    <t>Z14375</t>
  </si>
  <si>
    <t>Z14376</t>
  </si>
  <si>
    <t>rs768305772</t>
  </si>
  <si>
    <t>Z14377</t>
  </si>
  <si>
    <t>rs752788392</t>
  </si>
  <si>
    <t>Z14378</t>
  </si>
  <si>
    <t>rs752902794</t>
  </si>
  <si>
    <t>Z14379</t>
  </si>
  <si>
    <t>Z14380</t>
  </si>
  <si>
    <t>rs754177350</t>
  </si>
  <si>
    <t>Z14381</t>
  </si>
  <si>
    <t>rs776599113</t>
  </si>
  <si>
    <t>Z14382</t>
  </si>
  <si>
    <t>rs750389494</t>
  </si>
  <si>
    <t>Z14390</t>
  </si>
  <si>
    <t>Z14391</t>
  </si>
  <si>
    <t>rs776238129</t>
  </si>
  <si>
    <t>Z14392</t>
  </si>
  <si>
    <t>rs780530700</t>
  </si>
  <si>
    <t>Z14393</t>
  </si>
  <si>
    <t>rs767431788</t>
  </si>
  <si>
    <t>Z14394</t>
  </si>
  <si>
    <t>rs776688497</t>
  </si>
  <si>
    <t>Z14395</t>
  </si>
  <si>
    <t>rs766300339</t>
  </si>
  <si>
    <t>Z14396</t>
  </si>
  <si>
    <t>rs779543189</t>
  </si>
  <si>
    <t>Z14397</t>
  </si>
  <si>
    <t>rs753848055</t>
  </si>
  <si>
    <t>Z14398</t>
  </si>
  <si>
    <t>rs746186208</t>
  </si>
  <si>
    <t>Z14399</t>
  </si>
  <si>
    <t>rs750287986</t>
  </si>
  <si>
    <t>Z14400</t>
  </si>
  <si>
    <t>Z14402</t>
  </si>
  <si>
    <t>rs773190730</t>
  </si>
  <si>
    <t>F3547</t>
  </si>
  <si>
    <t>rs758477101</t>
  </si>
  <si>
    <t>L1303.2</t>
  </si>
  <si>
    <t>rs755491361</t>
  </si>
  <si>
    <t>M11083</t>
  </si>
  <si>
    <t>V1270</t>
  </si>
  <si>
    <t>rs537254918</t>
  </si>
  <si>
    <t>Z34495</t>
  </si>
  <si>
    <t>rs778240397</t>
  </si>
  <si>
    <t>Z34496</t>
  </si>
  <si>
    <t>rs762282613</t>
  </si>
  <si>
    <t>Z34497</t>
  </si>
  <si>
    <t>rs754888650</t>
  </si>
  <si>
    <t>Z34498</t>
  </si>
  <si>
    <t>rs750567175</t>
  </si>
  <si>
    <t>Z34499</t>
  </si>
  <si>
    <t>rs774091886</t>
  </si>
  <si>
    <t>Z34500</t>
  </si>
  <si>
    <t>rs751579665</t>
  </si>
  <si>
    <t>Z34501</t>
  </si>
  <si>
    <t>rs758506358</t>
  </si>
  <si>
    <t>Z34492</t>
  </si>
  <si>
    <t>rs746813672</t>
  </si>
  <si>
    <t>Y29437</t>
  </si>
  <si>
    <t>rs759137853</t>
  </si>
  <si>
    <t>Z34493</t>
  </si>
  <si>
    <t>rs750593216</t>
  </si>
  <si>
    <t>Z34729</t>
  </si>
  <si>
    <t>rs751283640</t>
  </si>
  <si>
    <t>Z34730</t>
  </si>
  <si>
    <t>rs745829528</t>
  </si>
  <si>
    <t>Z34731</t>
  </si>
  <si>
    <t>rs779948875</t>
  </si>
  <si>
    <t>Z34732</t>
  </si>
  <si>
    <t>rs745667143</t>
  </si>
  <si>
    <t>Z34733</t>
  </si>
  <si>
    <t>rs750490824</t>
  </si>
  <si>
    <t>Z34734</t>
  </si>
  <si>
    <t>rs761352531</t>
  </si>
  <si>
    <t>Z34735</t>
  </si>
  <si>
    <t>Z34736</t>
  </si>
  <si>
    <t>rs930787885</t>
  </si>
  <si>
    <t>Z34738</t>
  </si>
  <si>
    <t>rs781183038</t>
  </si>
  <si>
    <t>Z34740</t>
  </si>
  <si>
    <t>rs762329441</t>
  </si>
  <si>
    <t>Z34741</t>
  </si>
  <si>
    <t>rs778352699</t>
  </si>
  <si>
    <t>Z34743</t>
  </si>
  <si>
    <t>rs753294987</t>
  </si>
  <si>
    <t>Z34744</t>
  </si>
  <si>
    <t>rs779052857</t>
  </si>
  <si>
    <t>Z34745</t>
  </si>
  <si>
    <t>rs779965009</t>
  </si>
  <si>
    <t>Z34747</t>
  </si>
  <si>
    <t>rs752005087</t>
  </si>
  <si>
    <t>Z34748</t>
  </si>
  <si>
    <t>rs760508558</t>
  </si>
  <si>
    <t>Z34749</t>
  </si>
  <si>
    <t>rs766111681</t>
  </si>
  <si>
    <t>Z34750</t>
  </si>
  <si>
    <t>rs748321014</t>
  </si>
  <si>
    <t>Z34752</t>
  </si>
  <si>
    <t>rs755663909</t>
  </si>
  <si>
    <t>Z34755</t>
  </si>
  <si>
    <t>rs766998803</t>
  </si>
  <si>
    <t>Z34761</t>
  </si>
  <si>
    <t>rs777112888</t>
  </si>
  <si>
    <t>Z34762</t>
  </si>
  <si>
    <t>rs766882368</t>
  </si>
  <si>
    <t>Z34763</t>
  </si>
  <si>
    <t>rs757097384</t>
  </si>
  <si>
    <t>Z34764</t>
  </si>
  <si>
    <t>rs774848659</t>
  </si>
  <si>
    <t>Z34765</t>
  </si>
  <si>
    <t>rs769375383</t>
  </si>
  <si>
    <t>Z34766</t>
  </si>
  <si>
    <t>rs752303935</t>
  </si>
  <si>
    <t>Z34767</t>
  </si>
  <si>
    <t>rs771873848</t>
  </si>
  <si>
    <t>Z34769</t>
  </si>
  <si>
    <t>rs761010287</t>
  </si>
  <si>
    <t>Z34770</t>
  </si>
  <si>
    <t>rs773481960</t>
  </si>
  <si>
    <t>Z34771</t>
  </si>
  <si>
    <t>rs763834911</t>
  </si>
  <si>
    <t>Z34772</t>
  </si>
  <si>
    <t>rs753888943</t>
  </si>
  <si>
    <t>Z34773</t>
  </si>
  <si>
    <t>rs759996636</t>
  </si>
  <si>
    <t>Z34774</t>
  </si>
  <si>
    <t>rs770352753</t>
  </si>
  <si>
    <t>Z34775</t>
  </si>
  <si>
    <t>rs775433282</t>
  </si>
  <si>
    <t>Z34776</t>
  </si>
  <si>
    <t>rs752894051</t>
  </si>
  <si>
    <t>Z34777</t>
  </si>
  <si>
    <t>rs763718700</t>
  </si>
  <si>
    <t>Z34778</t>
  </si>
  <si>
    <t>rs745594212</t>
  </si>
  <si>
    <t>Z34779</t>
  </si>
  <si>
    <t>rs780141145</t>
  </si>
  <si>
    <t>Z34780</t>
  </si>
  <si>
    <t>rs773850691</t>
  </si>
  <si>
    <t>Z34781</t>
  </si>
  <si>
    <t>rs769093509</t>
  </si>
  <si>
    <t>Z34782</t>
  </si>
  <si>
    <t>rs747926633</t>
  </si>
  <si>
    <t>Z34783</t>
  </si>
  <si>
    <t>rs746831782</t>
  </si>
  <si>
    <t>Z34784</t>
  </si>
  <si>
    <t>rs759736545</t>
  </si>
  <si>
    <t>Z34785</t>
  </si>
  <si>
    <t>rs760129249</t>
  </si>
  <si>
    <t>Z34786</t>
  </si>
  <si>
    <t>rs766581673</t>
  </si>
  <si>
    <t>Z34788</t>
  </si>
  <si>
    <t>rs761885613</t>
  </si>
  <si>
    <t>Z34789</t>
  </si>
  <si>
    <t>rs767269144</t>
  </si>
  <si>
    <t>Z34790</t>
  </si>
  <si>
    <t>rs776553080</t>
  </si>
  <si>
    <t>Z34791</t>
  </si>
  <si>
    <t>rs778821593</t>
  </si>
  <si>
    <t>Z34792</t>
  </si>
  <si>
    <t>rs779023732</t>
  </si>
  <si>
    <t>Z34793</t>
  </si>
  <si>
    <t>rs766474398</t>
  </si>
  <si>
    <t>Z34794</t>
  </si>
  <si>
    <t>rs747331875</t>
  </si>
  <si>
    <t>Z34795</t>
  </si>
  <si>
    <t>rs776480590</t>
  </si>
  <si>
    <t>Z34796</t>
  </si>
  <si>
    <t>rs756681200</t>
  </si>
  <si>
    <t>Z34797</t>
  </si>
  <si>
    <t>rs773877822</t>
  </si>
  <si>
    <t>Z34798</t>
  </si>
  <si>
    <t>rs780950770</t>
  </si>
  <si>
    <t>Z34800</t>
  </si>
  <si>
    <t>rs771948914</t>
  </si>
  <si>
    <t>Z34801</t>
  </si>
  <si>
    <t>rs775797951</t>
  </si>
  <si>
    <t>Z34802</t>
  </si>
  <si>
    <t>rs759739874</t>
  </si>
  <si>
    <t>Z34803</t>
  </si>
  <si>
    <t>rs772117828</t>
  </si>
  <si>
    <t>Z34805</t>
  </si>
  <si>
    <t>rs753888715</t>
  </si>
  <si>
    <t>Z34809</t>
  </si>
  <si>
    <t>rs768389722</t>
  </si>
  <si>
    <t>Z34811</t>
  </si>
  <si>
    <t>rs749277862</t>
  </si>
  <si>
    <t>Z34812</t>
  </si>
  <si>
    <t>rs777492194</t>
  </si>
  <si>
    <t>Z34813</t>
  </si>
  <si>
    <t>rs750029120</t>
  </si>
  <si>
    <t>Z34815</t>
  </si>
  <si>
    <t>rs773020465</t>
  </si>
  <si>
    <t>Z34816</t>
  </si>
  <si>
    <t>rs1053545677</t>
  </si>
  <si>
    <t>Z34817</t>
  </si>
  <si>
    <t>rs763340359</t>
  </si>
  <si>
    <t>Z34818</t>
  </si>
  <si>
    <t>rs753789490</t>
  </si>
  <si>
    <t>Z34819</t>
  </si>
  <si>
    <t>rs765538719</t>
  </si>
  <si>
    <t>Z34820</t>
  </si>
  <si>
    <t>rs770340278</t>
  </si>
  <si>
    <t>Z34821</t>
  </si>
  <si>
    <t>Z34822</t>
  </si>
  <si>
    <t>rs774673585</t>
  </si>
  <si>
    <t>Z34823</t>
  </si>
  <si>
    <t>rs761782611</t>
  </si>
  <si>
    <t>Z34824</t>
  </si>
  <si>
    <t>rs775633311</t>
  </si>
  <si>
    <t>Z34825</t>
  </si>
  <si>
    <t>rs746750167</t>
  </si>
  <si>
    <t>Z34826</t>
  </si>
  <si>
    <t>rs766600224</t>
  </si>
  <si>
    <t>Z34827</t>
  </si>
  <si>
    <t>rs769575513</t>
  </si>
  <si>
    <t>Z34828</t>
  </si>
  <si>
    <t>rs1030365916</t>
  </si>
  <si>
    <t>Z34829</t>
  </si>
  <si>
    <t>rs763922048</t>
  </si>
  <si>
    <t>Z34830</t>
  </si>
  <si>
    <t>rs771061233</t>
  </si>
  <si>
    <t>Z34831</t>
  </si>
  <si>
    <t>rs757389462</t>
  </si>
  <si>
    <t>Z34832</t>
  </si>
  <si>
    <t>rs751336219</t>
  </si>
  <si>
    <t>Z34833</t>
  </si>
  <si>
    <t>rs750376330</t>
  </si>
  <si>
    <t>Z34834</t>
  </si>
  <si>
    <t>rs758077011</t>
  </si>
  <si>
    <t>Z34835</t>
  </si>
  <si>
    <t>Z34836</t>
  </si>
  <si>
    <t>Z34837</t>
  </si>
  <si>
    <t>rs777569456</t>
  </si>
  <si>
    <t>Z34840</t>
  </si>
  <si>
    <t>rs751394303</t>
  </si>
  <si>
    <t>ZS5892.2</t>
  </si>
  <si>
    <t>rs761965205</t>
  </si>
  <si>
    <t>ZS6060.2</t>
  </si>
  <si>
    <t>rs746909130</t>
  </si>
  <si>
    <t>Z34737</t>
  </si>
  <si>
    <t>rs779019950</t>
  </si>
  <si>
    <t>Z34739</t>
  </si>
  <si>
    <t>rs889666098</t>
  </si>
  <si>
    <t>Z34742</t>
  </si>
  <si>
    <t>rs1003360418</t>
  </si>
  <si>
    <t>Z34494</t>
  </si>
  <si>
    <t>rs761181061</t>
  </si>
  <si>
    <t>Z34844</t>
  </si>
  <si>
    <t>rs774716619</t>
  </si>
  <si>
    <t>Z41073</t>
  </si>
  <si>
    <t>rs781346719</t>
  </si>
  <si>
    <t>Z41074</t>
  </si>
  <si>
    <t>rs767633034</t>
  </si>
  <si>
    <t>B367</t>
  </si>
  <si>
    <t>rs964300900</t>
  </si>
  <si>
    <t>Z34846</t>
  </si>
  <si>
    <t>rs1021628702</t>
  </si>
  <si>
    <t>Z34847</t>
  </si>
  <si>
    <t>rs924140296</t>
  </si>
  <si>
    <t>Z34848</t>
  </si>
  <si>
    <t>Z34849</t>
  </si>
  <si>
    <t>rs963616994</t>
  </si>
  <si>
    <t>B368</t>
  </si>
  <si>
    <t>Z34850</t>
  </si>
  <si>
    <t>Z34851</t>
  </si>
  <si>
    <t>Z34852</t>
  </si>
  <si>
    <t>Z34853</t>
  </si>
  <si>
    <t>Z34854</t>
  </si>
  <si>
    <t>Z34855</t>
  </si>
  <si>
    <t>Z34857</t>
  </si>
  <si>
    <t>Z34858</t>
  </si>
  <si>
    <t>Z34859</t>
  </si>
  <si>
    <t>Z34860</t>
  </si>
  <si>
    <t>Z34861</t>
  </si>
  <si>
    <t>Z34862</t>
  </si>
  <si>
    <t>B370</t>
  </si>
  <si>
    <t>Z34863</t>
  </si>
  <si>
    <t>Z34864</t>
  </si>
  <si>
    <t>Z34865</t>
  </si>
  <si>
    <t>Z34866</t>
  </si>
  <si>
    <t>B369</t>
  </si>
  <si>
    <t>Z34867</t>
  </si>
  <si>
    <t>Z34868</t>
  </si>
  <si>
    <t>Z34869</t>
  </si>
  <si>
    <t>B108</t>
  </si>
  <si>
    <t>Z34961</t>
  </si>
  <si>
    <t>Z34962</t>
  </si>
  <si>
    <t>Z34963</t>
  </si>
  <si>
    <t>Z34964</t>
  </si>
  <si>
    <t>P96</t>
  </si>
  <si>
    <t>rs1027017284</t>
  </si>
  <si>
    <t>E370</t>
  </si>
  <si>
    <t>M1668</t>
  </si>
  <si>
    <t>rs539136679</t>
  </si>
  <si>
    <t>L279</t>
  </si>
  <si>
    <t>L281</t>
  </si>
  <si>
    <t>rs980302038</t>
  </si>
  <si>
    <t>L284</t>
  </si>
  <si>
    <t>rs935509604</t>
  </si>
  <si>
    <t>L285</t>
  </si>
  <si>
    <t>rs199572451</t>
  </si>
  <si>
    <t>L286</t>
  </si>
  <si>
    <t>rs1025376288</t>
  </si>
  <si>
    <t>M282</t>
  </si>
  <si>
    <t>rs13447371</t>
  </si>
  <si>
    <t>GG300.2</t>
  </si>
  <si>
    <t>Z18978.2</t>
  </si>
  <si>
    <t>rs964212812</t>
  </si>
  <si>
    <t>SK1174</t>
  </si>
  <si>
    <t>Z18825</t>
  </si>
  <si>
    <t>rs1050036992</t>
  </si>
  <si>
    <t>SK1178</t>
  </si>
  <si>
    <t>Z18984</t>
  </si>
  <si>
    <t>rs375220554</t>
  </si>
  <si>
    <t>SK1181</t>
  </si>
  <si>
    <t>Z19005</t>
  </si>
  <si>
    <t>rs941572500</t>
  </si>
  <si>
    <t>SK1183</t>
  </si>
  <si>
    <t>Z18981</t>
  </si>
  <si>
    <t>rs934075167</t>
  </si>
  <si>
    <t>SK1184</t>
  </si>
  <si>
    <t>Z18930</t>
  </si>
  <si>
    <t>rs1023534194</t>
  </si>
  <si>
    <t>SK1185</t>
  </si>
  <si>
    <t>Z18923</t>
  </si>
  <si>
    <t>rs966294686</t>
  </si>
  <si>
    <t>SK1187</t>
  </si>
  <si>
    <t>Z18983</t>
  </si>
  <si>
    <t>rs1049757291</t>
  </si>
  <si>
    <t>Y21140</t>
  </si>
  <si>
    <t>Z18970</t>
  </si>
  <si>
    <t>rs948444561</t>
  </si>
  <si>
    <t>YP5329</t>
  </si>
  <si>
    <t>Z18945</t>
  </si>
  <si>
    <t>rs962808004</t>
  </si>
  <si>
    <t>Z18827</t>
  </si>
  <si>
    <t>rs973125538</t>
  </si>
  <si>
    <t>Z18829</t>
  </si>
  <si>
    <t>rs1007310855</t>
  </si>
  <si>
    <t>Z18830</t>
  </si>
  <si>
    <t>rs1057082578</t>
  </si>
  <si>
    <t>Z18831</t>
  </si>
  <si>
    <t>rs1043687267</t>
  </si>
  <si>
    <t>Z18832</t>
  </si>
  <si>
    <t>rs1012213489</t>
  </si>
  <si>
    <t>Z18839</t>
  </si>
  <si>
    <t>rs964277380</t>
  </si>
  <si>
    <t>Z18840</t>
  </si>
  <si>
    <t>rs906358759</t>
  </si>
  <si>
    <t>Z18841</t>
  </si>
  <si>
    <t>Z18849</t>
  </si>
  <si>
    <t>rs927597620</t>
  </si>
  <si>
    <t>Z18853</t>
  </si>
  <si>
    <t>rs986181364</t>
  </si>
  <si>
    <t>Z18854</t>
  </si>
  <si>
    <t>Z18855</t>
  </si>
  <si>
    <t>Z18857</t>
  </si>
  <si>
    <t>rs1057409417</t>
  </si>
  <si>
    <t>Z18859</t>
  </si>
  <si>
    <t>rs982674903</t>
  </si>
  <si>
    <t>Z18863</t>
  </si>
  <si>
    <t>rs930334886</t>
  </si>
  <si>
    <t>Z18864</t>
  </si>
  <si>
    <t>rs950026815</t>
  </si>
  <si>
    <t>Z18865</t>
  </si>
  <si>
    <t>rs916420644</t>
  </si>
  <si>
    <t>Z18867</t>
  </si>
  <si>
    <t>rs972520737</t>
  </si>
  <si>
    <t>Z18868</t>
  </si>
  <si>
    <t>rs1051283508</t>
  </si>
  <si>
    <t>Z18869</t>
  </si>
  <si>
    <t>Z18870</t>
  </si>
  <si>
    <t>rs984075308</t>
  </si>
  <si>
    <t>Z18872</t>
  </si>
  <si>
    <t>rs1023343917</t>
  </si>
  <si>
    <t>Z18873</t>
  </si>
  <si>
    <t>rs969562213</t>
  </si>
  <si>
    <t>Z18875</t>
  </si>
  <si>
    <t>rs988300364</t>
  </si>
  <si>
    <t>Z18876</t>
  </si>
  <si>
    <t>rs1029080216</t>
  </si>
  <si>
    <t>Z18877</t>
  </si>
  <si>
    <t>rs967641761</t>
  </si>
  <si>
    <t>Z18878</t>
  </si>
  <si>
    <t>rs1038989692</t>
  </si>
  <si>
    <t>Z18879</t>
  </si>
  <si>
    <t>rs888632435</t>
  </si>
  <si>
    <t>Z18880</t>
  </si>
  <si>
    <t>rs906155399</t>
  </si>
  <si>
    <t>Z18881</t>
  </si>
  <si>
    <t>rs1026992380</t>
  </si>
  <si>
    <t>Z18882</t>
  </si>
  <si>
    <t>rs1052918856</t>
  </si>
  <si>
    <t>Z18883</t>
  </si>
  <si>
    <t>rs920655498</t>
  </si>
  <si>
    <t>Z18884</t>
  </si>
  <si>
    <t>rs942593319</t>
  </si>
  <si>
    <t>Z18885</t>
  </si>
  <si>
    <t>rs988859043</t>
  </si>
  <si>
    <t>Z18887</t>
  </si>
  <si>
    <t>rs946122699</t>
  </si>
  <si>
    <t>Z18890</t>
  </si>
  <si>
    <t>rs916558126</t>
  </si>
  <si>
    <t>Z18891</t>
  </si>
  <si>
    <t>rs924485620</t>
  </si>
  <si>
    <t>Z18894</t>
  </si>
  <si>
    <t>rs895767696</t>
  </si>
  <si>
    <t>Z18895</t>
  </si>
  <si>
    <t>rs968670632</t>
  </si>
  <si>
    <t>Z18897</t>
  </si>
  <si>
    <t>rs1043993878</t>
  </si>
  <si>
    <t>Z18899</t>
  </si>
  <si>
    <t>rs1002570541</t>
  </si>
  <si>
    <t>Z18901</t>
  </si>
  <si>
    <t>rs948678116</t>
  </si>
  <si>
    <t>Z18906</t>
  </si>
  <si>
    <t>rs1055576588</t>
  </si>
  <si>
    <t>Z18910</t>
  </si>
  <si>
    <t>rs926200898</t>
  </si>
  <si>
    <t>Z18913</t>
  </si>
  <si>
    <t>rs964189089</t>
  </si>
  <si>
    <t>Z18915</t>
  </si>
  <si>
    <t>rs902721479</t>
  </si>
  <si>
    <t>Z18918</t>
  </si>
  <si>
    <t>rs976988093</t>
  </si>
  <si>
    <t>Z18925</t>
  </si>
  <si>
    <t>rs986820476</t>
  </si>
  <si>
    <t>Z18927</t>
  </si>
  <si>
    <t>rs921668267</t>
  </si>
  <si>
    <t>Z18928</t>
  </si>
  <si>
    <t>rs1006371588</t>
  </si>
  <si>
    <t>Z18932</t>
  </si>
  <si>
    <t>rs756463268</t>
  </si>
  <si>
    <t>Z18933</t>
  </si>
  <si>
    <t>rs1040661541</t>
  </si>
  <si>
    <t>Z18934</t>
  </si>
  <si>
    <t>rs993721099</t>
  </si>
  <si>
    <t>Z18935</t>
  </si>
  <si>
    <t>rs970023800</t>
  </si>
  <si>
    <t>Z18936</t>
  </si>
  <si>
    <t>Z18937</t>
  </si>
  <si>
    <t>rs1043268045</t>
  </si>
  <si>
    <t>Z18939</t>
  </si>
  <si>
    <t>rs919566576</t>
  </si>
  <si>
    <t>Z18940</t>
  </si>
  <si>
    <t>rs910794143</t>
  </si>
  <si>
    <t>Z18941</t>
  </si>
  <si>
    <t>rs900022908</t>
  </si>
  <si>
    <t>Z18944</t>
  </si>
  <si>
    <t>rs958960260</t>
  </si>
  <si>
    <t>Z18946</t>
  </si>
  <si>
    <t>rs995847108</t>
  </si>
  <si>
    <t>Z18947</t>
  </si>
  <si>
    <t>rs944766954</t>
  </si>
  <si>
    <t>Z18949</t>
  </si>
  <si>
    <t>rs965946124</t>
  </si>
  <si>
    <t>Z18951</t>
  </si>
  <si>
    <t>rs922073522</t>
  </si>
  <si>
    <t>Z18953</t>
  </si>
  <si>
    <t>rs891797363</t>
  </si>
  <si>
    <t>Z18955</t>
  </si>
  <si>
    <t>rs977310883</t>
  </si>
  <si>
    <t>Z18956</t>
  </si>
  <si>
    <t>rs890047547</t>
  </si>
  <si>
    <t>Z18957</t>
  </si>
  <si>
    <t>rs901360392</t>
  </si>
  <si>
    <t>Z18958</t>
  </si>
  <si>
    <t>rs974078493</t>
  </si>
  <si>
    <t>Z18959</t>
  </si>
  <si>
    <t>rs943629595</t>
  </si>
  <si>
    <t>Z18960</t>
  </si>
  <si>
    <t>rs909840685</t>
  </si>
  <si>
    <t>Z18961</t>
  </si>
  <si>
    <t>rs939604642</t>
  </si>
  <si>
    <t>Z18963</t>
  </si>
  <si>
    <t>rs1017433845</t>
  </si>
  <si>
    <t>Z18964</t>
  </si>
  <si>
    <t>rs1009714956</t>
  </si>
  <si>
    <t>Z18973</t>
  </si>
  <si>
    <t>rs1003371573</t>
  </si>
  <si>
    <t>Z18975</t>
  </si>
  <si>
    <t>Z18976</t>
  </si>
  <si>
    <t>rs908173985</t>
  </si>
  <si>
    <t>Z18977</t>
  </si>
  <si>
    <t>rs890823158</t>
  </si>
  <si>
    <t>Z18980</t>
  </si>
  <si>
    <t>rs1040139642</t>
  </si>
  <si>
    <t>Z18982</t>
  </si>
  <si>
    <t>rs765286242</t>
  </si>
  <si>
    <t>Z18985</t>
  </si>
  <si>
    <t>rs977451965</t>
  </si>
  <si>
    <t>Z18986</t>
  </si>
  <si>
    <t>rs1017406412</t>
  </si>
  <si>
    <t>Z18991</t>
  </si>
  <si>
    <t>rs754150786</t>
  </si>
  <si>
    <t>Z18992</t>
  </si>
  <si>
    <t>rs930907584</t>
  </si>
  <si>
    <t>Z18994</t>
  </si>
  <si>
    <t>rs931430698</t>
  </si>
  <si>
    <t>Z18995</t>
  </si>
  <si>
    <t>rs920384874</t>
  </si>
  <si>
    <t>Z18996</t>
  </si>
  <si>
    <t>rs1009474327</t>
  </si>
  <si>
    <t>Z18997</t>
  </si>
  <si>
    <t>rs983725044</t>
  </si>
  <si>
    <t>Z18999</t>
  </si>
  <si>
    <t>rs1005511423</t>
  </si>
  <si>
    <t>Z19001</t>
  </si>
  <si>
    <t>rs1000887766</t>
  </si>
  <si>
    <t>Z19002</t>
  </si>
  <si>
    <t>rs1055556598</t>
  </si>
  <si>
    <t>Z19006</t>
  </si>
  <si>
    <t>rs894453721</t>
  </si>
  <si>
    <t>Z19008</t>
  </si>
  <si>
    <t>rs1035979132</t>
  </si>
  <si>
    <t>Z19009</t>
  </si>
  <si>
    <t>rs887412663</t>
  </si>
  <si>
    <t>Z19011</t>
  </si>
  <si>
    <t>rs986035799</t>
  </si>
  <si>
    <t>Z19013</t>
  </si>
  <si>
    <t>rs984600473</t>
  </si>
  <si>
    <t>Z19014</t>
  </si>
  <si>
    <t>rs1055187663</t>
  </si>
  <si>
    <t>Z19015</t>
  </si>
  <si>
    <t>rs955672103</t>
  </si>
  <si>
    <t>Z19021</t>
  </si>
  <si>
    <t>rs967126900</t>
  </si>
  <si>
    <t>Z19022</t>
  </si>
  <si>
    <t>rs897958457</t>
  </si>
  <si>
    <t>Z19023</t>
  </si>
  <si>
    <t>rs1006950566</t>
  </si>
  <si>
    <t>Z19024</t>
  </si>
  <si>
    <t>Z19025</t>
  </si>
  <si>
    <t>Z19029</t>
  </si>
  <si>
    <t>Z19032</t>
  </si>
  <si>
    <t>rs368060806</t>
  </si>
  <si>
    <t>FGC17422</t>
  </si>
  <si>
    <t>rs902113087</t>
  </si>
  <si>
    <t>FGC30702</t>
  </si>
  <si>
    <t>rs974235666</t>
  </si>
  <si>
    <t>M9893</t>
  </si>
  <si>
    <t>rs537088090</t>
  </si>
  <si>
    <t>SK1189</t>
  </si>
  <si>
    <t>rs1010785978</t>
  </si>
  <si>
    <t>Y19963</t>
  </si>
  <si>
    <t>rs926149522</t>
  </si>
  <si>
    <t>Y19664</t>
  </si>
  <si>
    <t>Y19955</t>
  </si>
  <si>
    <t>Y20186</t>
  </si>
  <si>
    <t>rs891530120</t>
  </si>
  <si>
    <t>Y20188</t>
  </si>
  <si>
    <t>rs1015181196</t>
  </si>
  <si>
    <t>Y20189</t>
  </si>
  <si>
    <t>Y20193</t>
  </si>
  <si>
    <t>rs1007566998</t>
  </si>
  <si>
    <t>Y20231</t>
  </si>
  <si>
    <t>Y20232</t>
  </si>
  <si>
    <t>rs943091367</t>
  </si>
  <si>
    <t>Y20234</t>
  </si>
  <si>
    <t>rs1027998400</t>
  </si>
  <si>
    <t>Y21584</t>
  </si>
  <si>
    <t>rs956822874</t>
  </si>
  <si>
    <t>Y21585</t>
  </si>
  <si>
    <t>rs961844189</t>
  </si>
  <si>
    <t>Y21586</t>
  </si>
  <si>
    <t>rs1036432165</t>
  </si>
  <si>
    <t>Y21588</t>
  </si>
  <si>
    <t>rs983761932</t>
  </si>
  <si>
    <t>Y21593</t>
  </si>
  <si>
    <t>rs968301654</t>
  </si>
  <si>
    <t>Y21594</t>
  </si>
  <si>
    <t>rs892160758</t>
  </si>
  <si>
    <t>Y21595</t>
  </si>
  <si>
    <t>Y21596</t>
  </si>
  <si>
    <t>rs935271671</t>
  </si>
  <si>
    <t>Y21599</t>
  </si>
  <si>
    <t>rs1002949239</t>
  </si>
  <si>
    <t>Y21601</t>
  </si>
  <si>
    <t>rs1047709251</t>
  </si>
  <si>
    <t>Y21608</t>
  </si>
  <si>
    <t>rs985464352</t>
  </si>
  <si>
    <t>Y21615</t>
  </si>
  <si>
    <t>rs1021751735</t>
  </si>
  <si>
    <t>Y21621</t>
  </si>
  <si>
    <t>Y21629</t>
  </si>
  <si>
    <t>Y21631</t>
  </si>
  <si>
    <t>rs1035406640</t>
  </si>
  <si>
    <t>Y21638</t>
  </si>
  <si>
    <t>rs1033582557</t>
  </si>
  <si>
    <t>Y21646</t>
  </si>
  <si>
    <t>Y21648</t>
  </si>
  <si>
    <t>Y21650</t>
  </si>
  <si>
    <t>Y21652</t>
  </si>
  <si>
    <t>Y21653</t>
  </si>
  <si>
    <t>Y21655</t>
  </si>
  <si>
    <t>Y21659</t>
  </si>
  <si>
    <t>rs900180173</t>
  </si>
  <si>
    <t>Y21661</t>
  </si>
  <si>
    <t>Y21662</t>
  </si>
  <si>
    <t>rs886248600</t>
  </si>
  <si>
    <t>Y20230</t>
  </si>
  <si>
    <t>Z18828</t>
  </si>
  <si>
    <t>rs1055271934</t>
  </si>
  <si>
    <t>Z18834</t>
  </si>
  <si>
    <t>Z18846</t>
  </si>
  <si>
    <t>Z18862</t>
  </si>
  <si>
    <t>rs909991725</t>
  </si>
  <si>
    <t>Z18898</t>
  </si>
  <si>
    <t>rs940987413</t>
  </si>
  <si>
    <t>Z18900</t>
  </si>
  <si>
    <t>rs910861263</t>
  </si>
  <si>
    <t>Z18907</t>
  </si>
  <si>
    <t>Z18912</t>
  </si>
  <si>
    <t>Z18942</t>
  </si>
  <si>
    <t>rs910608025</t>
  </si>
  <si>
    <t>Z18943</t>
  </si>
  <si>
    <t>rs935021298</t>
  </si>
  <si>
    <t>Z18989</t>
  </si>
  <si>
    <t>rs929577449</t>
  </si>
  <si>
    <t>Z18998</t>
  </si>
  <si>
    <t>rs962700985</t>
  </si>
  <si>
    <t>Z19000</t>
  </si>
  <si>
    <t>rs964666792</t>
  </si>
  <si>
    <t>Z41268</t>
  </si>
  <si>
    <t>Z41269</t>
  </si>
  <si>
    <t>Z41270</t>
  </si>
  <si>
    <t>rs959264397</t>
  </si>
  <si>
    <t>Z41271</t>
  </si>
  <si>
    <t>rs993376263</t>
  </si>
  <si>
    <t>Z41272</t>
  </si>
  <si>
    <t>Z19067</t>
  </si>
  <si>
    <t>rs916107755</t>
  </si>
  <si>
    <t>SK1186</t>
  </si>
  <si>
    <t>Z19115</t>
  </si>
  <si>
    <t>rs928508641</t>
  </si>
  <si>
    <t>SK1190</t>
  </si>
  <si>
    <t>Z19088</t>
  </si>
  <si>
    <t>rs901812262</t>
  </si>
  <si>
    <t>Z18852</t>
  </si>
  <si>
    <t>rs917318283</t>
  </si>
  <si>
    <t>Z18896</t>
  </si>
  <si>
    <t>rs1054425366</t>
  </si>
  <si>
    <t>Z18908</t>
  </si>
  <si>
    <t>rs927658063</t>
  </si>
  <si>
    <t>Z18938</t>
  </si>
  <si>
    <t>rs963724181</t>
  </si>
  <si>
    <t>Z18987</t>
  </si>
  <si>
    <t>rs926159891</t>
  </si>
  <si>
    <t>Z19065</t>
  </si>
  <si>
    <t>rs1003297610</t>
  </si>
  <si>
    <t>Z19066</t>
  </si>
  <si>
    <t>rs1003634346</t>
  </si>
  <si>
    <t>Z19068</t>
  </si>
  <si>
    <t>Z19070</t>
  </si>
  <si>
    <t>rs971550625</t>
  </si>
  <si>
    <t>Z19071</t>
  </si>
  <si>
    <t>Z19074</t>
  </si>
  <si>
    <t>Z19077</t>
  </si>
  <si>
    <t>Z19078</t>
  </si>
  <si>
    <t>rs985403314</t>
  </si>
  <si>
    <t>Z19079</t>
  </si>
  <si>
    <t>rs903902049</t>
  </si>
  <si>
    <t>Z19081</t>
  </si>
  <si>
    <t>Z19082</t>
  </si>
  <si>
    <t>rs925342501</t>
  </si>
  <si>
    <t>Z19083</t>
  </si>
  <si>
    <t>rs989856399</t>
  </si>
  <si>
    <t>Z19084</t>
  </si>
  <si>
    <t>rs1004655620</t>
  </si>
  <si>
    <t>Z19085</t>
  </si>
  <si>
    <t>rs981915558</t>
  </si>
  <si>
    <t>Z19086</t>
  </si>
  <si>
    <t>rs963441591</t>
  </si>
  <si>
    <t>Z19087</t>
  </si>
  <si>
    <t>rs978683730</t>
  </si>
  <si>
    <t>Z19089</t>
  </si>
  <si>
    <t>Z19090</t>
  </si>
  <si>
    <t>rs1008844630</t>
  </si>
  <si>
    <t>Z19091</t>
  </si>
  <si>
    <t>rs1035951736</t>
  </si>
  <si>
    <t>Z19092</t>
  </si>
  <si>
    <t>rs928134395</t>
  </si>
  <si>
    <t>Z19093</t>
  </si>
  <si>
    <t>rs918498611</t>
  </si>
  <si>
    <t>Z19094</t>
  </si>
  <si>
    <t>rs916844405</t>
  </si>
  <si>
    <t>Z19095</t>
  </si>
  <si>
    <t>rs986761843</t>
  </si>
  <si>
    <t>Z19096</t>
  </si>
  <si>
    <t>rs936465156</t>
  </si>
  <si>
    <t>Z19097</t>
  </si>
  <si>
    <t>rs888613455</t>
  </si>
  <si>
    <t>Z19098</t>
  </si>
  <si>
    <t>rs1040838954</t>
  </si>
  <si>
    <t>Z19100</t>
  </si>
  <si>
    <t>rs953103128</t>
  </si>
  <si>
    <t>Z19103</t>
  </si>
  <si>
    <t>rs1014773414</t>
  </si>
  <si>
    <t>Z19106</t>
  </si>
  <si>
    <t>rs1055678196</t>
  </si>
  <si>
    <t>Z19107</t>
  </si>
  <si>
    <t>rs1019825832</t>
  </si>
  <si>
    <t>Z19109</t>
  </si>
  <si>
    <t>rs1035039203</t>
  </si>
  <si>
    <t>Z19111</t>
  </si>
  <si>
    <t>rs895602587</t>
  </si>
  <si>
    <t>Z19114</t>
  </si>
  <si>
    <t>rs1032390500</t>
  </si>
  <si>
    <t>Z19117</t>
  </si>
  <si>
    <t>rs1036255377</t>
  </si>
  <si>
    <t>Z19118</t>
  </si>
  <si>
    <t>rs987665167</t>
  </si>
  <si>
    <t>Z19119</t>
  </si>
  <si>
    <t>rs978665302</t>
  </si>
  <si>
    <t>Z19120</t>
  </si>
  <si>
    <t>rs753363263</t>
  </si>
  <si>
    <t>Z19069</t>
  </si>
  <si>
    <t>Z19072</t>
  </si>
  <si>
    <t>Z19073</t>
  </si>
  <si>
    <t>Z19075</t>
  </si>
  <si>
    <t>Z19076</t>
  </si>
  <si>
    <t>Z19101</t>
  </si>
  <si>
    <t>rs889574324</t>
  </si>
  <si>
    <t>Z19102</t>
  </si>
  <si>
    <t>Z19104</t>
  </si>
  <si>
    <t>Z19105</t>
  </si>
  <si>
    <t>Z19108</t>
  </si>
  <si>
    <t>Z19110</t>
  </si>
  <si>
    <t>rs941734727</t>
  </si>
  <si>
    <t>Z19112</t>
  </si>
  <si>
    <t>rs902338916</t>
  </si>
  <si>
    <t>Z19116</t>
  </si>
  <si>
    <t>rs1018385383</t>
  </si>
  <si>
    <t>Z19121</t>
  </si>
  <si>
    <t>FGC3846</t>
  </si>
  <si>
    <t>M9313</t>
  </si>
  <si>
    <t>rs201237763</t>
  </si>
  <si>
    <t>Z18824</t>
  </si>
  <si>
    <t>rs998172463</t>
  </si>
  <si>
    <t>Z18826</t>
  </si>
  <si>
    <t>Z18833</t>
  </si>
  <si>
    <t>rs921862700</t>
  </si>
  <si>
    <t>Z18835</t>
  </si>
  <si>
    <t>Z18836</t>
  </si>
  <si>
    <t>Z18838</t>
  </si>
  <si>
    <t>Z18845</t>
  </si>
  <si>
    <t>rs904473565</t>
  </si>
  <si>
    <t>Z18847</t>
  </si>
  <si>
    <t>rs1036153417</t>
  </si>
  <si>
    <t>Z18848</t>
  </si>
  <si>
    <t>rs934137561</t>
  </si>
  <si>
    <t>Z18850</t>
  </si>
  <si>
    <t>rs1017421501</t>
  </si>
  <si>
    <t>Z18851</t>
  </si>
  <si>
    <t>rs946673853</t>
  </si>
  <si>
    <t>Z18856</t>
  </si>
  <si>
    <t>rs1018845109</t>
  </si>
  <si>
    <t>Z18858</t>
  </si>
  <si>
    <t>Z18860</t>
  </si>
  <si>
    <t>rs1013647393</t>
  </si>
  <si>
    <t>Z18861</t>
  </si>
  <si>
    <t>rs1016302903</t>
  </si>
  <si>
    <t>Z18866</t>
  </si>
  <si>
    <t>rs935620565</t>
  </si>
  <si>
    <t>Z18871</t>
  </si>
  <si>
    <t>rs1023972676</t>
  </si>
  <si>
    <t>Z18874</t>
  </si>
  <si>
    <t>rs1014109280</t>
  </si>
  <si>
    <t>Z18889</t>
  </si>
  <si>
    <t>rs1009302738</t>
  </si>
  <si>
    <t>Z18892</t>
  </si>
  <si>
    <t>rs904152722</t>
  </si>
  <si>
    <t>Z18893</t>
  </si>
  <si>
    <t>rs1042621388</t>
  </si>
  <si>
    <t>Z18902</t>
  </si>
  <si>
    <t>rs1007563025</t>
  </si>
  <si>
    <t>Z18903</t>
  </si>
  <si>
    <t>rs967942154</t>
  </si>
  <si>
    <t>Z18904</t>
  </si>
  <si>
    <t>rs1046232314</t>
  </si>
  <si>
    <t>Z18905</t>
  </si>
  <si>
    <t>rs915966487</t>
  </si>
  <si>
    <t>Z18909</t>
  </si>
  <si>
    <t>rs1018135427</t>
  </si>
  <si>
    <t>Z18911</t>
  </si>
  <si>
    <t>Z18914</t>
  </si>
  <si>
    <t>rs1007708639</t>
  </si>
  <si>
    <t>Z18916</t>
  </si>
  <si>
    <t>rs1031275197</t>
  </si>
  <si>
    <t>Z18917</t>
  </si>
  <si>
    <t>rs958308548</t>
  </si>
  <si>
    <t>Z18919</t>
  </si>
  <si>
    <t>rs939865360</t>
  </si>
  <si>
    <t>Z18920</t>
  </si>
  <si>
    <t>rs913427510</t>
  </si>
  <si>
    <t>Z18921</t>
  </si>
  <si>
    <t>rs948334868</t>
  </si>
  <si>
    <t>Z18922</t>
  </si>
  <si>
    <t>rs1029582545</t>
  </si>
  <si>
    <t>Z18926</t>
  </si>
  <si>
    <t>rs1009871680</t>
  </si>
  <si>
    <t>Z18929</t>
  </si>
  <si>
    <t>rs1038946380</t>
  </si>
  <si>
    <t>Z18931</t>
  </si>
  <si>
    <t>rs1044819468</t>
  </si>
  <si>
    <t>Z18950</t>
  </si>
  <si>
    <t>rs946912596</t>
  </si>
  <si>
    <t>Z18952</t>
  </si>
  <si>
    <t>rs1027732618</t>
  </si>
  <si>
    <t>Z18954</t>
  </si>
  <si>
    <t>Z18967</t>
  </si>
  <si>
    <t>rs914968019</t>
  </si>
  <si>
    <t>Z18969</t>
  </si>
  <si>
    <t>rs950643120</t>
  </si>
  <si>
    <t>Z18971</t>
  </si>
  <si>
    <t>rs1057431102</t>
  </si>
  <si>
    <t>Z18972</t>
  </si>
  <si>
    <t>rs940634257</t>
  </si>
  <si>
    <t>Z18974</t>
  </si>
  <si>
    <t>rs943739781</t>
  </si>
  <si>
    <t>Z18979</t>
  </si>
  <si>
    <t>rs777706552</t>
  </si>
  <si>
    <t>Z18988</t>
  </si>
  <si>
    <t>rs935961655</t>
  </si>
  <si>
    <t>Z18990</t>
  </si>
  <si>
    <t>rs1014996344</t>
  </si>
  <si>
    <t>Z19003</t>
  </si>
  <si>
    <t>rs988653499</t>
  </si>
  <si>
    <t>Z19004</t>
  </si>
  <si>
    <t>rs1030576879</t>
  </si>
  <si>
    <t>Z19010</t>
  </si>
  <si>
    <t>rs939485612</t>
  </si>
  <si>
    <t>Z19016</t>
  </si>
  <si>
    <t>rs1034687619</t>
  </si>
  <si>
    <t>Z19017</t>
  </si>
  <si>
    <t>rs1045501803</t>
  </si>
  <si>
    <t>Z19026</t>
  </si>
  <si>
    <t>Z19028</t>
  </si>
  <si>
    <t>Z19030</t>
  </si>
  <si>
    <t>Z19031</t>
  </si>
  <si>
    <t>rs930660120</t>
  </si>
  <si>
    <t>Z19049</t>
  </si>
  <si>
    <t>Z19052</t>
  </si>
  <si>
    <t>Z19045</t>
  </si>
  <si>
    <t>Z19046</t>
  </si>
  <si>
    <t>Z19047</t>
  </si>
  <si>
    <t>Z19048</t>
  </si>
  <si>
    <t>Z19050</t>
  </si>
  <si>
    <t>Z19051</t>
  </si>
  <si>
    <t>Z19054</t>
  </si>
  <si>
    <t>Z19055</t>
  </si>
  <si>
    <t>Z19056</t>
  </si>
  <si>
    <t>Z19057</t>
  </si>
  <si>
    <t>rs773250695</t>
  </si>
  <si>
    <t>Z19058</t>
  </si>
  <si>
    <t>Z19059</t>
  </si>
  <si>
    <t>Z19060</t>
  </si>
  <si>
    <t>Z19061</t>
  </si>
  <si>
    <t>Z19062</t>
  </si>
  <si>
    <t>Z19063</t>
  </si>
  <si>
    <t>Z19064</t>
  </si>
  <si>
    <t>M10063</t>
  </si>
  <si>
    <t>Z19042</t>
  </si>
  <si>
    <t>rs369394065</t>
  </si>
  <si>
    <t>Z19039</t>
  </si>
  <si>
    <t>Z19041</t>
  </si>
  <si>
    <t>Z19043</t>
  </si>
  <si>
    <t>rs1482526705</t>
  </si>
  <si>
    <t>Z19044</t>
  </si>
  <si>
    <t>Z19033</t>
  </si>
  <si>
    <t>Z19034</t>
  </si>
  <si>
    <t>Z19035</t>
  </si>
  <si>
    <t>Z19036</t>
  </si>
  <si>
    <t>Z19037</t>
  </si>
  <si>
    <t>Z19038</t>
  </si>
  <si>
    <t>rs954214606</t>
  </si>
  <si>
    <t>Y21600</t>
  </si>
  <si>
    <t>rs989400041</t>
  </si>
  <si>
    <t>Z15373.2</t>
  </si>
  <si>
    <t>rs749399892</t>
  </si>
  <si>
    <t>Z41277</t>
  </si>
  <si>
    <t>Z41278</t>
  </si>
  <si>
    <t>rs952237741</t>
  </si>
  <si>
    <t>Z41279</t>
  </si>
  <si>
    <t>Z41280</t>
  </si>
  <si>
    <t>Z41281</t>
  </si>
  <si>
    <t>Z41282</t>
  </si>
  <si>
    <t>Z41283</t>
  </si>
  <si>
    <t>Z41284</t>
  </si>
  <si>
    <t>rs775126496</t>
  </si>
  <si>
    <t>Z41285</t>
  </si>
  <si>
    <t>Z41286</t>
  </si>
  <si>
    <t>Z31287</t>
  </si>
  <si>
    <t>Z41288</t>
  </si>
  <si>
    <t>Z41291</t>
  </si>
  <si>
    <t>Z41293</t>
  </si>
  <si>
    <t>Z41294</t>
  </si>
  <si>
    <t>Z41295</t>
  </si>
  <si>
    <t>Z41296</t>
  </si>
  <si>
    <t>Z41297</t>
  </si>
  <si>
    <t>Z41298</t>
  </si>
  <si>
    <t>Z41301</t>
  </si>
  <si>
    <t>rs1002762860</t>
  </si>
  <si>
    <t>Z41302</t>
  </si>
  <si>
    <t>Z41304</t>
  </si>
  <si>
    <t>Z41289</t>
  </si>
  <si>
    <t>Z41292</t>
  </si>
  <si>
    <t>Z41299</t>
  </si>
  <si>
    <t>Z42303</t>
  </si>
  <si>
    <t>Z41305</t>
  </si>
  <si>
    <t>Z41306</t>
  </si>
  <si>
    <t>Z41307</t>
  </si>
  <si>
    <t>Z41308</t>
  </si>
  <si>
    <t>Z41309</t>
  </si>
  <si>
    <t>Z41310</t>
  </si>
  <si>
    <t>Z41311</t>
  </si>
  <si>
    <t>Z41312</t>
  </si>
  <si>
    <t>Z41313</t>
  </si>
  <si>
    <t>Z41314</t>
  </si>
  <si>
    <t>Z44607</t>
  </si>
  <si>
    <t>Z44608</t>
  </si>
  <si>
    <t>Z44609</t>
  </si>
  <si>
    <t>Z44610</t>
  </si>
  <si>
    <t>Z44611</t>
  </si>
  <si>
    <t>Y21618</t>
  </si>
  <si>
    <t>Z19080</t>
  </si>
  <si>
    <t>rs1014191575</t>
  </si>
  <si>
    <t>FGC55057</t>
  </si>
  <si>
    <t>rs1036239468</t>
  </si>
  <si>
    <t>SK1180</t>
  </si>
  <si>
    <t>rs953808990</t>
  </si>
  <si>
    <t>SK1192</t>
  </si>
  <si>
    <t>rs933040089</t>
  </si>
  <si>
    <t>SK1193</t>
  </si>
  <si>
    <t>rs886460568</t>
  </si>
  <si>
    <t>Y19065</t>
  </si>
  <si>
    <t>Y19962</t>
  </si>
  <si>
    <t>rs1008837831</t>
  </si>
  <si>
    <t>Y20191</t>
  </si>
  <si>
    <t>rs1026315238</t>
  </si>
  <si>
    <t>Y20233</t>
  </si>
  <si>
    <t>rs1002218243</t>
  </si>
  <si>
    <t>Y21591</t>
  </si>
  <si>
    <t>rs907744030</t>
  </si>
  <si>
    <t>Y21592</t>
  </si>
  <si>
    <t>rs909256669</t>
  </si>
  <si>
    <t>Y21589</t>
  </si>
  <si>
    <t>rs899672532</t>
  </si>
  <si>
    <t>Y21604</t>
  </si>
  <si>
    <t>rs968573056</t>
  </si>
  <si>
    <t>Y21620</t>
  </si>
  <si>
    <t>Y21623</t>
  </si>
  <si>
    <t>rs1034497170</t>
  </si>
  <si>
    <t>Y21625</t>
  </si>
  <si>
    <t>rs943917288</t>
  </si>
  <si>
    <t>Y21628</t>
  </si>
  <si>
    <t>rs979718505</t>
  </si>
  <si>
    <t>Y21634</t>
  </si>
  <si>
    <t>rs983614036</t>
  </si>
  <si>
    <t>Y21649</t>
  </si>
  <si>
    <t>rs1002185533</t>
  </si>
  <si>
    <t>Y21651</t>
  </si>
  <si>
    <t>Y21663</t>
  </si>
  <si>
    <t>rs978647177</t>
  </si>
  <si>
    <t>SK1182</t>
  </si>
  <si>
    <t>rs932356526</t>
  </si>
  <si>
    <t>Y21633</t>
  </si>
  <si>
    <t>rs970386184</t>
  </si>
  <si>
    <t>Y20837</t>
  </si>
  <si>
    <t>rs995506640</t>
  </si>
  <si>
    <t>Y20838</t>
  </si>
  <si>
    <t>rs904176851</t>
  </si>
  <si>
    <t>Y20840</t>
  </si>
  <si>
    <t>rs946856273</t>
  </si>
  <si>
    <t>Y21597</t>
  </si>
  <si>
    <t>rs988489850</t>
  </si>
  <si>
    <t>Y21603</t>
  </si>
  <si>
    <t>rs930351710</t>
  </si>
  <si>
    <t>Y21624</t>
  </si>
  <si>
    <t>rs1003210108</t>
  </si>
  <si>
    <t>Y21627</t>
  </si>
  <si>
    <t>Y21635</t>
  </si>
  <si>
    <t>rs947233561</t>
  </si>
  <si>
    <t>Y21636</t>
  </si>
  <si>
    <t>rs1018236786</t>
  </si>
  <si>
    <t>Y21640</t>
  </si>
  <si>
    <t>rs906309681</t>
  </si>
  <si>
    <t>Y21644</t>
  </si>
  <si>
    <t>rs1032953240</t>
  </si>
  <si>
    <t>Y21647</t>
  </si>
  <si>
    <t>Y21673</t>
  </si>
  <si>
    <t>rs889064854</t>
  </si>
  <si>
    <t>Y20839</t>
  </si>
  <si>
    <t>rs1044563753</t>
  </si>
  <si>
    <t>Y21598</t>
  </si>
  <si>
    <t>rs962672086</t>
  </si>
  <si>
    <t>Y21602</t>
  </si>
  <si>
    <t>rs917971414</t>
  </si>
  <si>
    <t>Y21609</t>
  </si>
  <si>
    <t>Y21630</t>
  </si>
  <si>
    <t>rs912161755</t>
  </si>
  <si>
    <t>Y21639</t>
  </si>
  <si>
    <t>rs969463303</t>
  </si>
  <si>
    <t>Y21641</t>
  </si>
  <si>
    <t>rs929758790</t>
  </si>
  <si>
    <t>Y21665</t>
  </si>
  <si>
    <t>Y21666</t>
  </si>
  <si>
    <t>Z41315</t>
  </si>
  <si>
    <t>Z41316</t>
  </si>
  <si>
    <t>Z44663</t>
  </si>
  <si>
    <t>Z44664</t>
  </si>
  <si>
    <t>Z44665</t>
  </si>
  <si>
    <t>Z44666</t>
  </si>
  <si>
    <t>Z44667</t>
  </si>
  <si>
    <t>Z5857</t>
  </si>
  <si>
    <t>rs569006329</t>
  </si>
  <si>
    <t>A188.1</t>
  </si>
  <si>
    <t>Z13583.1</t>
  </si>
  <si>
    <t>rs527440117</t>
  </si>
  <si>
    <t>M6886.2</t>
  </si>
  <si>
    <t>S7655.2</t>
  </si>
  <si>
    <t>rs529068678</t>
  </si>
  <si>
    <t>Y3009</t>
  </si>
  <si>
    <t>Z16814</t>
  </si>
  <si>
    <t>rs539835231</t>
  </si>
  <si>
    <t>Y3011</t>
  </si>
  <si>
    <t>Z16815</t>
  </si>
  <si>
    <t>rs564264748</t>
  </si>
  <si>
    <t>Y6718.2</t>
  </si>
  <si>
    <t>Z4077.2</t>
  </si>
  <si>
    <t>rs534506259</t>
  </si>
  <si>
    <t>Y11987</t>
  </si>
  <si>
    <t>rs574726329</t>
  </si>
  <si>
    <t>Z13449</t>
  </si>
  <si>
    <t>rs571461370</t>
  </si>
  <si>
    <t>Z13450</t>
  </si>
  <si>
    <t>rs554650914</t>
  </si>
  <si>
    <t>Z13472</t>
  </si>
  <si>
    <t>rs549162545</t>
  </si>
  <si>
    <t>Z13474</t>
  </si>
  <si>
    <t>rs564918589</t>
  </si>
  <si>
    <t>Z13475</t>
  </si>
  <si>
    <t>rs550459117</t>
  </si>
  <si>
    <t>Z13476</t>
  </si>
  <si>
    <t>rs529603847</t>
  </si>
  <si>
    <t>Z13484</t>
  </si>
  <si>
    <t>rs528648599</t>
  </si>
  <si>
    <t>Z13486</t>
  </si>
  <si>
    <t>rs528648143</t>
  </si>
  <si>
    <t>Z13487</t>
  </si>
  <si>
    <t>rs560541149</t>
  </si>
  <si>
    <t>Z13488</t>
  </si>
  <si>
    <t>rs534438246</t>
  </si>
  <si>
    <t>Z13489</t>
  </si>
  <si>
    <t>rs543895758</t>
  </si>
  <si>
    <t>Z13490</t>
  </si>
  <si>
    <t>rs530532543</t>
  </si>
  <si>
    <t>Z13491</t>
  </si>
  <si>
    <t>rs529433160</t>
  </si>
  <si>
    <t>Z13492</t>
  </si>
  <si>
    <t>rs540134301</t>
  </si>
  <si>
    <t>Z13493</t>
  </si>
  <si>
    <t>rs537562489</t>
  </si>
  <si>
    <t>Z13494</t>
  </si>
  <si>
    <t>rs528169033</t>
  </si>
  <si>
    <t>Z13498</t>
  </si>
  <si>
    <t>rs556521359</t>
  </si>
  <si>
    <t>Z13501</t>
  </si>
  <si>
    <t>rs550171612</t>
  </si>
  <si>
    <t>Z13502</t>
  </si>
  <si>
    <t>rs557987790</t>
  </si>
  <si>
    <t>Z13503</t>
  </si>
  <si>
    <t>rs773616486</t>
  </si>
  <si>
    <t>Z13505</t>
  </si>
  <si>
    <t>rs552483085</t>
  </si>
  <si>
    <t>Z13507</t>
  </si>
  <si>
    <t>rs574252624</t>
  </si>
  <si>
    <t>Z13508</t>
  </si>
  <si>
    <t>rs571714867</t>
  </si>
  <si>
    <t>Z13509</t>
  </si>
  <si>
    <t>rs569217367</t>
  </si>
  <si>
    <t>Z13511</t>
  </si>
  <si>
    <t>rs569475125</t>
  </si>
  <si>
    <t>Z13520</t>
  </si>
  <si>
    <t>rs560448494</t>
  </si>
  <si>
    <t>Z13521</t>
  </si>
  <si>
    <t>rs531780637</t>
  </si>
  <si>
    <t>Z13522</t>
  </si>
  <si>
    <t>rs576762274</t>
  </si>
  <si>
    <t>Z13524</t>
  </si>
  <si>
    <t>rs569261504</t>
  </si>
  <si>
    <t>Z13525</t>
  </si>
  <si>
    <t>rs568359762</t>
  </si>
  <si>
    <t>Z13526</t>
  </si>
  <si>
    <t>rs546176065</t>
  </si>
  <si>
    <t>Z13534</t>
  </si>
  <si>
    <t>rs531528971</t>
  </si>
  <si>
    <t>Z13535</t>
  </si>
  <si>
    <t>rs540944033</t>
  </si>
  <si>
    <t>Z13536</t>
  </si>
  <si>
    <t>rs537584238</t>
  </si>
  <si>
    <t>Z13538</t>
  </si>
  <si>
    <t>rs552778682</t>
  </si>
  <si>
    <t>Z13540</t>
  </si>
  <si>
    <t>rs536200650</t>
  </si>
  <si>
    <t>Z13543</t>
  </si>
  <si>
    <t>rs568748913</t>
  </si>
  <si>
    <t>Z13544</t>
  </si>
  <si>
    <t>rs532477346</t>
  </si>
  <si>
    <t>Z13546</t>
  </si>
  <si>
    <t>rs537356334</t>
  </si>
  <si>
    <t>Z13547</t>
  </si>
  <si>
    <t>rs551000905</t>
  </si>
  <si>
    <t>Z13548</t>
  </si>
  <si>
    <t>rs560240618</t>
  </si>
  <si>
    <t>Z13549</t>
  </si>
  <si>
    <t>rs549954986</t>
  </si>
  <si>
    <t>Z13550</t>
  </si>
  <si>
    <t>rs559543919</t>
  </si>
  <si>
    <t>Z13553</t>
  </si>
  <si>
    <t>rs541237474</t>
  </si>
  <si>
    <t>Z13554</t>
  </si>
  <si>
    <t>rs565643516</t>
  </si>
  <si>
    <t>Z13555</t>
  </si>
  <si>
    <t>rs550004793</t>
  </si>
  <si>
    <t>Z13556</t>
  </si>
  <si>
    <t>rs567767217</t>
  </si>
  <si>
    <t>Z13557</t>
  </si>
  <si>
    <t>rs568776121</t>
  </si>
  <si>
    <t>Z13558</t>
  </si>
  <si>
    <t>rs529855059</t>
  </si>
  <si>
    <t>Z13560</t>
  </si>
  <si>
    <t>rs568423192</t>
  </si>
  <si>
    <t>Z13561</t>
  </si>
  <si>
    <t>rs529556326</t>
  </si>
  <si>
    <t>Z13562</t>
  </si>
  <si>
    <t>rs539198887</t>
  </si>
  <si>
    <t>Z13563</t>
  </si>
  <si>
    <t>rs565906218</t>
  </si>
  <si>
    <t>Z13566</t>
  </si>
  <si>
    <t>rs554535839</t>
  </si>
  <si>
    <t>Z13567</t>
  </si>
  <si>
    <t>rs570776230</t>
  </si>
  <si>
    <t>Z13568</t>
  </si>
  <si>
    <t>rs576694294</t>
  </si>
  <si>
    <t>Z13571</t>
  </si>
  <si>
    <t>rs528353000</t>
  </si>
  <si>
    <t>Z13573</t>
  </si>
  <si>
    <t>rs570917880</t>
  </si>
  <si>
    <t>Z13574</t>
  </si>
  <si>
    <t>rs549985456</t>
  </si>
  <si>
    <t>Z13575</t>
  </si>
  <si>
    <t>rs565025995</t>
  </si>
  <si>
    <t>Z13577</t>
  </si>
  <si>
    <t>rs537865881</t>
  </si>
  <si>
    <t>Z13578</t>
  </si>
  <si>
    <t>rs570630030</t>
  </si>
  <si>
    <t>Z13579</t>
  </si>
  <si>
    <t>rs536774003</t>
  </si>
  <si>
    <t>Z13581</t>
  </si>
  <si>
    <t>rs576514101</t>
  </si>
  <si>
    <t>Z13582</t>
  </si>
  <si>
    <t>rs544288387</t>
  </si>
  <si>
    <t>Z13586</t>
  </si>
  <si>
    <t>rs571032266</t>
  </si>
  <si>
    <t>Z13587</t>
  </si>
  <si>
    <t>rs554232047</t>
  </si>
  <si>
    <t>Z13588</t>
  </si>
  <si>
    <t>rs529189173</t>
  </si>
  <si>
    <t>Z13590</t>
  </si>
  <si>
    <t>rs566121783</t>
  </si>
  <si>
    <t>Z13591</t>
  </si>
  <si>
    <t>rs568756410</t>
  </si>
  <si>
    <t>Z13592</t>
  </si>
  <si>
    <t>rs566017535</t>
  </si>
  <si>
    <t>Z13595</t>
  </si>
  <si>
    <t>rs546795663</t>
  </si>
  <si>
    <t>Z13598</t>
  </si>
  <si>
    <t>rs544669203</t>
  </si>
  <si>
    <t>Z13599</t>
  </si>
  <si>
    <t>rs547426683</t>
  </si>
  <si>
    <t>Z13600</t>
  </si>
  <si>
    <t>rs532045786</t>
  </si>
  <si>
    <t>Z13601</t>
  </si>
  <si>
    <t>rs535818970</t>
  </si>
  <si>
    <t>Z13609</t>
  </si>
  <si>
    <t>rs575137695</t>
  </si>
  <si>
    <t>Z13610</t>
  </si>
  <si>
    <t>rs569739865</t>
  </si>
  <si>
    <t>Z13612</t>
  </si>
  <si>
    <t>rs576010275</t>
  </si>
  <si>
    <t>Z13614</t>
  </si>
  <si>
    <t>rs573044475</t>
  </si>
  <si>
    <t>Z13615</t>
  </si>
  <si>
    <t>rs572566256</t>
  </si>
  <si>
    <t>Z13618</t>
  </si>
  <si>
    <t>rs552061964</t>
  </si>
  <si>
    <t>Z13621</t>
  </si>
  <si>
    <t>rs561263038</t>
  </si>
  <si>
    <t>Z13622</t>
  </si>
  <si>
    <t>rs562336907</t>
  </si>
  <si>
    <t>Z13623</t>
  </si>
  <si>
    <t>rs560052141</t>
  </si>
  <si>
    <t>Z13624</t>
  </si>
  <si>
    <t>rs549906274</t>
  </si>
  <si>
    <t>Z13625</t>
  </si>
  <si>
    <t>rs559166781</t>
  </si>
  <si>
    <t>Z13626</t>
  </si>
  <si>
    <t>rs539352591</t>
  </si>
  <si>
    <t>Z13627</t>
  </si>
  <si>
    <t>rs564406603</t>
  </si>
  <si>
    <t>Z16816</t>
  </si>
  <si>
    <t>rs540602495</t>
  </si>
  <si>
    <t>Z16818</t>
  </si>
  <si>
    <t>rs559389166</t>
  </si>
  <si>
    <t>Z13473</t>
  </si>
  <si>
    <t>rs554640416</t>
  </si>
  <si>
    <t>Z13495</t>
  </si>
  <si>
    <t>rs561661686</t>
  </si>
  <si>
    <t>Z13496</t>
  </si>
  <si>
    <t>rs562357608</t>
  </si>
  <si>
    <t>Z13497</t>
  </si>
  <si>
    <t>rs573522240</t>
  </si>
  <si>
    <t>Z13500</t>
  </si>
  <si>
    <t>rs564266146</t>
  </si>
  <si>
    <t>Z13506</t>
  </si>
  <si>
    <t>rs538675710</t>
  </si>
  <si>
    <t>Z13516</t>
  </si>
  <si>
    <t>rs556951985</t>
  </si>
  <si>
    <t>Z13530</t>
  </si>
  <si>
    <t>rs564981822</t>
  </si>
  <si>
    <t>Z13531</t>
  </si>
  <si>
    <t>rs571432688</t>
  </si>
  <si>
    <t>Z13532</t>
  </si>
  <si>
    <t>rs577402397</t>
  </si>
  <si>
    <t>Z13533</t>
  </si>
  <si>
    <t>rs535210144</t>
  </si>
  <si>
    <t>Z13539</t>
  </si>
  <si>
    <t>rs557028494</t>
  </si>
  <si>
    <t>Z13541</t>
  </si>
  <si>
    <t>rs542111147</t>
  </si>
  <si>
    <t>Z13542</t>
  </si>
  <si>
    <t>rs562371019</t>
  </si>
  <si>
    <t>Z13559</t>
  </si>
  <si>
    <t>rs537854473</t>
  </si>
  <si>
    <t>Z13572</t>
  </si>
  <si>
    <t>rs575324733</t>
  </si>
  <si>
    <t>Z13584</t>
  </si>
  <si>
    <t>rs535540153</t>
  </si>
  <si>
    <t>Z13585</t>
  </si>
  <si>
    <t>rs544543514</t>
  </si>
  <si>
    <t>Z13596</t>
  </si>
  <si>
    <t>rs545724418</t>
  </si>
  <si>
    <t>Z13597</t>
  </si>
  <si>
    <t>rs557136263</t>
  </si>
  <si>
    <t>Z13608</t>
  </si>
  <si>
    <t>rs539514470</t>
  </si>
  <si>
    <t>Z13611</t>
  </si>
  <si>
    <t>rs572624695</t>
  </si>
  <si>
    <t>Z13619</t>
  </si>
  <si>
    <t>Z5866</t>
  </si>
  <si>
    <t>Y3002</t>
  </si>
  <si>
    <t>Z16830</t>
  </si>
  <si>
    <t>rs772736785</t>
  </si>
  <si>
    <t>Y3003</t>
  </si>
  <si>
    <t>Z16823</t>
  </si>
  <si>
    <t>rs746210161</t>
  </si>
  <si>
    <t>Y3005</t>
  </si>
  <si>
    <t>Z16820</t>
  </si>
  <si>
    <t>rs770873758</t>
  </si>
  <si>
    <t>Y3012</t>
  </si>
  <si>
    <t>Z16824</t>
  </si>
  <si>
    <t>rs756018143</t>
  </si>
  <si>
    <t>Y3013</t>
  </si>
  <si>
    <t>Z16817</t>
  </si>
  <si>
    <t>rs747075097</t>
  </si>
  <si>
    <t>Y11989</t>
  </si>
  <si>
    <t>Z16819</t>
  </si>
  <si>
    <t>rs765819042</t>
  </si>
  <si>
    <t>Z9469.2</t>
  </si>
  <si>
    <t>rs762847495</t>
  </si>
  <si>
    <t>Z13321</t>
  </si>
  <si>
    <t>rs745765028</t>
  </si>
  <si>
    <t>Z13341</t>
  </si>
  <si>
    <t>rs777813100</t>
  </si>
  <si>
    <t>6817651..6817652</t>
  </si>
  <si>
    <t>6949610..6949611</t>
  </si>
  <si>
    <t>TG-&gt;T</t>
  </si>
  <si>
    <t>Z13342</t>
  </si>
  <si>
    <t>rs772477677</t>
  </si>
  <si>
    <t>Z13343</t>
  </si>
  <si>
    <t>rs765232688</t>
  </si>
  <si>
    <t>Z13344</t>
  </si>
  <si>
    <t>rs771330538</t>
  </si>
  <si>
    <t>Z13345</t>
  </si>
  <si>
    <t>rs753330842</t>
  </si>
  <si>
    <t>Z13346</t>
  </si>
  <si>
    <t>Z13347</t>
  </si>
  <si>
    <t>rs780104035</t>
  </si>
  <si>
    <t>Z13348</t>
  </si>
  <si>
    <t>rs756975891</t>
  </si>
  <si>
    <t>Z13349</t>
  </si>
  <si>
    <t>rs760434618</t>
  </si>
  <si>
    <t>Z13350</t>
  </si>
  <si>
    <t>rs770409958</t>
  </si>
  <si>
    <t>Z13351</t>
  </si>
  <si>
    <t>rs768630473</t>
  </si>
  <si>
    <t>Z13352</t>
  </si>
  <si>
    <t>rs764666064</t>
  </si>
  <si>
    <t>Z13353</t>
  </si>
  <si>
    <t>rs761439841</t>
  </si>
  <si>
    <t>Z13356</t>
  </si>
  <si>
    <t>rs777800594</t>
  </si>
  <si>
    <t>Z13357</t>
  </si>
  <si>
    <t>rs751522141</t>
  </si>
  <si>
    <t>Z13360</t>
  </si>
  <si>
    <t>rs776640231</t>
  </si>
  <si>
    <t>Z13362</t>
  </si>
  <si>
    <t>rs757928305</t>
  </si>
  <si>
    <t>Z13363</t>
  </si>
  <si>
    <t>rs748453968</t>
  </si>
  <si>
    <t>Z13365</t>
  </si>
  <si>
    <t>rs746274276</t>
  </si>
  <si>
    <t>Z13367</t>
  </si>
  <si>
    <t>rs771541215</t>
  </si>
  <si>
    <t>Z13369</t>
  </si>
  <si>
    <t>rs753068360</t>
  </si>
  <si>
    <t>Z13370</t>
  </si>
  <si>
    <t>Z13371</t>
  </si>
  <si>
    <t>Z13372</t>
  </si>
  <si>
    <t>rs996426320</t>
  </si>
  <si>
    <t>Z13373</t>
  </si>
  <si>
    <t>rs993247532</t>
  </si>
  <si>
    <t>Z13379</t>
  </si>
  <si>
    <t>rs904432934</t>
  </si>
  <si>
    <t>Z13381</t>
  </si>
  <si>
    <t>rs200712634</t>
  </si>
  <si>
    <t>Z13382</t>
  </si>
  <si>
    <t>rs752860657</t>
  </si>
  <si>
    <t>Z13383</t>
  </si>
  <si>
    <t>rs750484459</t>
  </si>
  <si>
    <t>Z13384</t>
  </si>
  <si>
    <t>rs772652849</t>
  </si>
  <si>
    <t>Z13385</t>
  </si>
  <si>
    <t>rs747311408</t>
  </si>
  <si>
    <t>Z13386</t>
  </si>
  <si>
    <t>rs781581695</t>
  </si>
  <si>
    <t>Z13387</t>
  </si>
  <si>
    <t>rs756087854</t>
  </si>
  <si>
    <t>Z13388</t>
  </si>
  <si>
    <t>rs751484999</t>
  </si>
  <si>
    <t>Z13391</t>
  </si>
  <si>
    <t>rs747285863</t>
  </si>
  <si>
    <t>Z13392</t>
  </si>
  <si>
    <t>rs776413825</t>
  </si>
  <si>
    <t>Z13393</t>
  </si>
  <si>
    <t>rs761139456</t>
  </si>
  <si>
    <t>Z13395</t>
  </si>
  <si>
    <t>rs765408143</t>
  </si>
  <si>
    <t>Z13396</t>
  </si>
  <si>
    <t>rs761635627</t>
  </si>
  <si>
    <t>Z13397</t>
  </si>
  <si>
    <t>rs754063755</t>
  </si>
  <si>
    <t>Z13398</t>
  </si>
  <si>
    <t>rs752011422</t>
  </si>
  <si>
    <t>Z13399</t>
  </si>
  <si>
    <t>rs758784627</t>
  </si>
  <si>
    <t>Z13400</t>
  </si>
  <si>
    <t>rs758114575</t>
  </si>
  <si>
    <t>Z13401</t>
  </si>
  <si>
    <t>rs774524977</t>
  </si>
  <si>
    <t>Z13403</t>
  </si>
  <si>
    <t>rs778179667</t>
  </si>
  <si>
    <t>Z13404</t>
  </si>
  <si>
    <t>rs751067957</t>
  </si>
  <si>
    <t>Z13405</t>
  </si>
  <si>
    <t>rs772261583</t>
  </si>
  <si>
    <t>Z13406</t>
  </si>
  <si>
    <t>rs763310278</t>
  </si>
  <si>
    <t>Z13407</t>
  </si>
  <si>
    <t>rs761599520</t>
  </si>
  <si>
    <t>Z13408</t>
  </si>
  <si>
    <t>rs775399262</t>
  </si>
  <si>
    <t>Z13409</t>
  </si>
  <si>
    <t>rs760833118</t>
  </si>
  <si>
    <t>Z13410</t>
  </si>
  <si>
    <t>rs750821625</t>
  </si>
  <si>
    <t>Z13411</t>
  </si>
  <si>
    <t>rs750350352</t>
  </si>
  <si>
    <t>Z13412</t>
  </si>
  <si>
    <t>rs777070025</t>
  </si>
  <si>
    <t>Z13413</t>
  </si>
  <si>
    <t>rs762336226</t>
  </si>
  <si>
    <t>Z13414</t>
  </si>
  <si>
    <t>rs769193126</t>
  </si>
  <si>
    <t>Z13415</t>
  </si>
  <si>
    <t>rs765112851</t>
  </si>
  <si>
    <t>Z13416</t>
  </si>
  <si>
    <t>rs897408474</t>
  </si>
  <si>
    <t>Z13417</t>
  </si>
  <si>
    <t>rs748948329</t>
  </si>
  <si>
    <t>Z13418</t>
  </si>
  <si>
    <t>rs779209906</t>
  </si>
  <si>
    <t>Z13420</t>
  </si>
  <si>
    <t>rs764399850</t>
  </si>
  <si>
    <t>Z13421</t>
  </si>
  <si>
    <t>rs754971197</t>
  </si>
  <si>
    <t>Z13422</t>
  </si>
  <si>
    <t>rs763856217</t>
  </si>
  <si>
    <t>Z13423</t>
  </si>
  <si>
    <t>rs758628233</t>
  </si>
  <si>
    <t>Z13424</t>
  </si>
  <si>
    <t>rs769724941</t>
  </si>
  <si>
    <t>Z13425</t>
  </si>
  <si>
    <t>rs780772301</t>
  </si>
  <si>
    <t>Z13426</t>
  </si>
  <si>
    <t>rs757523657</t>
  </si>
  <si>
    <t>Z13427</t>
  </si>
  <si>
    <t>rs769835745</t>
  </si>
  <si>
    <t>Z13428</t>
  </si>
  <si>
    <t>rs747764669</t>
  </si>
  <si>
    <t>Z13429</t>
  </si>
  <si>
    <t>rs775907164</t>
  </si>
  <si>
    <t>Z13430</t>
  </si>
  <si>
    <t>rs746727703</t>
  </si>
  <si>
    <t>Z13436</t>
  </si>
  <si>
    <t>rs775612528</t>
  </si>
  <si>
    <t>Z13438</t>
  </si>
  <si>
    <t>rs764449394</t>
  </si>
  <si>
    <t>Z13440</t>
  </si>
  <si>
    <t>rs1032108190</t>
  </si>
  <si>
    <t>Z13441</t>
  </si>
  <si>
    <t>rs752279094</t>
  </si>
  <si>
    <t>Z13442</t>
  </si>
  <si>
    <t>rs758504025</t>
  </si>
  <si>
    <t>Z13444</t>
  </si>
  <si>
    <t>rs750369435</t>
  </si>
  <si>
    <t>Z13445</t>
  </si>
  <si>
    <t>Z13446</t>
  </si>
  <si>
    <t>rs749777035</t>
  </si>
  <si>
    <t>Z13447</t>
  </si>
  <si>
    <t>rs778118838</t>
  </si>
  <si>
    <t>Z13448</t>
  </si>
  <si>
    <t>rs768515087</t>
  </si>
  <si>
    <t>Z16822</t>
  </si>
  <si>
    <t>Z5864</t>
  </si>
  <si>
    <t>F14484</t>
  </si>
  <si>
    <t>Z13114</t>
  </si>
  <si>
    <t>rs766660027</t>
  </si>
  <si>
    <t>Y2820</t>
  </si>
  <si>
    <t>Z13133</t>
  </si>
  <si>
    <t>rs762223022</t>
  </si>
  <si>
    <t>Z6463.2</t>
  </si>
  <si>
    <t>rs866348796</t>
  </si>
  <si>
    <t>Z12981</t>
  </si>
  <si>
    <t>rs754684158</t>
  </si>
  <si>
    <t>Z12984</t>
  </si>
  <si>
    <t>rs751493608</t>
  </si>
  <si>
    <t>Z12985</t>
  </si>
  <si>
    <t>rs747527023</t>
  </si>
  <si>
    <t>Z13017</t>
  </si>
  <si>
    <t>rs749063623</t>
  </si>
  <si>
    <t>Z13018</t>
  </si>
  <si>
    <t>rs749714378</t>
  </si>
  <si>
    <t>Z13019</t>
  </si>
  <si>
    <t>rs754688390</t>
  </si>
  <si>
    <t>Z13020</t>
  </si>
  <si>
    <t>rs769094269</t>
  </si>
  <si>
    <t>Z13021</t>
  </si>
  <si>
    <t>rs750807925</t>
  </si>
  <si>
    <t>Z13022</t>
  </si>
  <si>
    <t>rs780604024</t>
  </si>
  <si>
    <t>Z13023</t>
  </si>
  <si>
    <t>rs776806119</t>
  </si>
  <si>
    <t>Z13024</t>
  </si>
  <si>
    <t>rs747006009</t>
  </si>
  <si>
    <t>Z13026</t>
  </si>
  <si>
    <t>rs759672727</t>
  </si>
  <si>
    <t>Z13027</t>
  </si>
  <si>
    <t>rs769824359</t>
  </si>
  <si>
    <t>Z13028.1</t>
  </si>
  <si>
    <t>rs779031646</t>
  </si>
  <si>
    <t>Z13029</t>
  </si>
  <si>
    <t>rs780493208</t>
  </si>
  <si>
    <t>Z13030</t>
  </si>
  <si>
    <t>rs778720361</t>
  </si>
  <si>
    <t>Z13031</t>
  </si>
  <si>
    <t>rs755489222</t>
  </si>
  <si>
    <t>Z13032</t>
  </si>
  <si>
    <t>rs775276800</t>
  </si>
  <si>
    <t>Z13033</t>
  </si>
  <si>
    <t>rs778445048</t>
  </si>
  <si>
    <t>Z13034</t>
  </si>
  <si>
    <t>rs762345448</t>
  </si>
  <si>
    <t>Z13035</t>
  </si>
  <si>
    <t>rs780002967</t>
  </si>
  <si>
    <t>Z13037</t>
  </si>
  <si>
    <t>rs763243953</t>
  </si>
  <si>
    <t>Z13038</t>
  </si>
  <si>
    <t>rs770844378</t>
  </si>
  <si>
    <t>Z13039</t>
  </si>
  <si>
    <t>rs766967230</t>
  </si>
  <si>
    <t>Z13040</t>
  </si>
  <si>
    <t>rs780667743</t>
  </si>
  <si>
    <t>Z13041</t>
  </si>
  <si>
    <t>rs749485467</t>
  </si>
  <si>
    <t>Z13042</t>
  </si>
  <si>
    <t>rs763606307</t>
  </si>
  <si>
    <t>Z13043</t>
  </si>
  <si>
    <t>rs757315639</t>
  </si>
  <si>
    <t>Z13044</t>
  </si>
  <si>
    <t>rs774613014</t>
  </si>
  <si>
    <t>Z13045</t>
  </si>
  <si>
    <t>rs764033141</t>
  </si>
  <si>
    <t>Z13046</t>
  </si>
  <si>
    <t>rs751471568</t>
  </si>
  <si>
    <t>Z13047</t>
  </si>
  <si>
    <t>rs749657606</t>
  </si>
  <si>
    <t>Z13051</t>
  </si>
  <si>
    <t>rs1463476339</t>
  </si>
  <si>
    <t>Z13052</t>
  </si>
  <si>
    <t>Z13055</t>
  </si>
  <si>
    <t>Z13057</t>
  </si>
  <si>
    <t>Z13060</t>
  </si>
  <si>
    <t>Z13061</t>
  </si>
  <si>
    <t>rs1036131949</t>
  </si>
  <si>
    <t>Z13063</t>
  </si>
  <si>
    <t>rs965261272</t>
  </si>
  <si>
    <t>Z13065</t>
  </si>
  <si>
    <t>rs753244503</t>
  </si>
  <si>
    <t>Z13066</t>
  </si>
  <si>
    <t>rs755908107</t>
  </si>
  <si>
    <t>Z13067</t>
  </si>
  <si>
    <t>rs772490764</t>
  </si>
  <si>
    <t>Z13068</t>
  </si>
  <si>
    <t>rs760108320</t>
  </si>
  <si>
    <t>Z13069</t>
  </si>
  <si>
    <t>rs752193320</t>
  </si>
  <si>
    <t>Z13070</t>
  </si>
  <si>
    <t>rs748365067</t>
  </si>
  <si>
    <t>Z13072</t>
  </si>
  <si>
    <t>rs759238326</t>
  </si>
  <si>
    <t>Z13073</t>
  </si>
  <si>
    <t>rs745633275</t>
  </si>
  <si>
    <t>Z13074</t>
  </si>
  <si>
    <t>rs757697153</t>
  </si>
  <si>
    <t>Z13075</t>
  </si>
  <si>
    <t>rs774817772</t>
  </si>
  <si>
    <t>Z13076</t>
  </si>
  <si>
    <t>rs750727214</t>
  </si>
  <si>
    <t>Z13077</t>
  </si>
  <si>
    <t>rs753227497</t>
  </si>
  <si>
    <t>Z13078</t>
  </si>
  <si>
    <t>rs756994199</t>
  </si>
  <si>
    <t>Z13079</t>
  </si>
  <si>
    <t>rs768335987</t>
  </si>
  <si>
    <t>Z13080</t>
  </si>
  <si>
    <t>rs748124551</t>
  </si>
  <si>
    <t>Z13081</t>
  </si>
  <si>
    <t>rs756451318</t>
  </si>
  <si>
    <t>Z13082</t>
  </si>
  <si>
    <t>rs753742412</t>
  </si>
  <si>
    <t>Z13083</t>
  </si>
  <si>
    <t>rs775876010</t>
  </si>
  <si>
    <t>Z13084</t>
  </si>
  <si>
    <t>rs774929291</t>
  </si>
  <si>
    <t>Z13086</t>
  </si>
  <si>
    <t>rs753666320</t>
  </si>
  <si>
    <t>Z13087</t>
  </si>
  <si>
    <t>rs754724390</t>
  </si>
  <si>
    <t>Z13088</t>
  </si>
  <si>
    <t>rs763956726</t>
  </si>
  <si>
    <t>Z13090</t>
  </si>
  <si>
    <t>rs755465862</t>
  </si>
  <si>
    <t>Z13091</t>
  </si>
  <si>
    <t>rs764385564</t>
  </si>
  <si>
    <t>Z13092</t>
  </si>
  <si>
    <t>rs765239357</t>
  </si>
  <si>
    <t>Z13093</t>
  </si>
  <si>
    <t>rs778103848</t>
  </si>
  <si>
    <t>Z13094</t>
  </si>
  <si>
    <t>rs746590088</t>
  </si>
  <si>
    <t>Z13096</t>
  </si>
  <si>
    <t>rs776143873</t>
  </si>
  <si>
    <t>Z13099</t>
  </si>
  <si>
    <t>Z13100</t>
  </si>
  <si>
    <t>rs756938581</t>
  </si>
  <si>
    <t>Z13101</t>
  </si>
  <si>
    <t>rs759902529</t>
  </si>
  <si>
    <t>Z13102</t>
  </si>
  <si>
    <t>rs765058642</t>
  </si>
  <si>
    <t>Z13103</t>
  </si>
  <si>
    <t>rs765746661</t>
  </si>
  <si>
    <t>Z13104</t>
  </si>
  <si>
    <t>rs753379858</t>
  </si>
  <si>
    <t>Z13105</t>
  </si>
  <si>
    <t>rs750225327</t>
  </si>
  <si>
    <t>Z13106</t>
  </si>
  <si>
    <t>rs759158135</t>
  </si>
  <si>
    <t>Z13107</t>
  </si>
  <si>
    <t>rs769146993</t>
  </si>
  <si>
    <t>Z13109</t>
  </si>
  <si>
    <t>rs776346678</t>
  </si>
  <si>
    <t>Z13110</t>
  </si>
  <si>
    <t>rs772491767</t>
  </si>
  <si>
    <t>Z13111</t>
  </si>
  <si>
    <t>rs766576652</t>
  </si>
  <si>
    <t>Z13112</t>
  </si>
  <si>
    <t>rs764689153</t>
  </si>
  <si>
    <t>Z13113</t>
  </si>
  <si>
    <t>rs760418557</t>
  </si>
  <si>
    <t>Z13115</t>
  </si>
  <si>
    <t>rs752179459</t>
  </si>
  <si>
    <t>Z13116</t>
  </si>
  <si>
    <t>rs751590594</t>
  </si>
  <si>
    <t>Z13117</t>
  </si>
  <si>
    <t>rs766093821</t>
  </si>
  <si>
    <t>Z13119</t>
  </si>
  <si>
    <t>rs758880707</t>
  </si>
  <si>
    <t>Z13120</t>
  </si>
  <si>
    <t>rs768916915</t>
  </si>
  <si>
    <t>Z13122</t>
  </si>
  <si>
    <t>rs767999978</t>
  </si>
  <si>
    <t>Z13125</t>
  </si>
  <si>
    <t>rs751459598</t>
  </si>
  <si>
    <t>Z13126</t>
  </si>
  <si>
    <t>rs759483635</t>
  </si>
  <si>
    <t>Z13127</t>
  </si>
  <si>
    <t>rs760177896</t>
  </si>
  <si>
    <t>Z13128</t>
  </si>
  <si>
    <t>rs757554179</t>
  </si>
  <si>
    <t>Z13129</t>
  </si>
  <si>
    <t>rs749296921</t>
  </si>
  <si>
    <t>Z13130</t>
  </si>
  <si>
    <t>rs772356494</t>
  </si>
  <si>
    <t>Z13131</t>
  </si>
  <si>
    <t>rs890549773</t>
  </si>
  <si>
    <t>Z13132</t>
  </si>
  <si>
    <t>rs916341297</t>
  </si>
  <si>
    <t>Z13134</t>
  </si>
  <si>
    <t>rs770201912</t>
  </si>
  <si>
    <t>Z13135</t>
  </si>
  <si>
    <t>rs765860122</t>
  </si>
  <si>
    <t>Z13136</t>
  </si>
  <si>
    <t>rs758131350</t>
  </si>
  <si>
    <t>Z13137</t>
  </si>
  <si>
    <t>rs754828921</t>
  </si>
  <si>
    <t>Z13138</t>
  </si>
  <si>
    <t>rs781552194</t>
  </si>
  <si>
    <t>Z13139</t>
  </si>
  <si>
    <t>rs748426107</t>
  </si>
  <si>
    <t>Z13140</t>
  </si>
  <si>
    <t>rs778396967</t>
  </si>
  <si>
    <t>Z13141</t>
  </si>
  <si>
    <t>rs772218592</t>
  </si>
  <si>
    <t>Z13142</t>
  </si>
  <si>
    <t>rs767404364</t>
  </si>
  <si>
    <t>Z13143</t>
  </si>
  <si>
    <t>rs774753864</t>
  </si>
  <si>
    <t>Z13144</t>
  </si>
  <si>
    <t>rs764424575</t>
  </si>
  <si>
    <t>Z13145</t>
  </si>
  <si>
    <t>rs767981969</t>
  </si>
  <si>
    <t>Z13146</t>
  </si>
  <si>
    <t>rs780264392</t>
  </si>
  <si>
    <t>Z13148</t>
  </si>
  <si>
    <t>rs773296725</t>
  </si>
  <si>
    <t>Z13149</t>
  </si>
  <si>
    <t>rs750547140</t>
  </si>
  <si>
    <t>Z13150</t>
  </si>
  <si>
    <t>rs767935402</t>
  </si>
  <si>
    <t>Z13151</t>
  </si>
  <si>
    <t>rs1000747495</t>
  </si>
  <si>
    <t>Z13152</t>
  </si>
  <si>
    <t>19565723..19565724</t>
  </si>
  <si>
    <t>17453843..17453844</t>
  </si>
  <si>
    <t>GT-&gt;G</t>
  </si>
  <si>
    <t>Z13153</t>
  </si>
  <si>
    <t>rs998614899</t>
  </si>
  <si>
    <t>Z13154</t>
  </si>
  <si>
    <t>rs748002856</t>
  </si>
  <si>
    <t>Z13155</t>
  </si>
  <si>
    <t>rs771549374</t>
  </si>
  <si>
    <t>Z13156</t>
  </si>
  <si>
    <t>rs764248915</t>
  </si>
  <si>
    <t>Z13157</t>
  </si>
  <si>
    <t>rs770299174</t>
  </si>
  <si>
    <t>Z13158</t>
  </si>
  <si>
    <t>rs770026048</t>
  </si>
  <si>
    <t>Z13159</t>
  </si>
  <si>
    <t>rs765703961</t>
  </si>
  <si>
    <t>Z13161</t>
  </si>
  <si>
    <t>rs761015924</t>
  </si>
  <si>
    <t>Z13163</t>
  </si>
  <si>
    <t>rs777826525</t>
  </si>
  <si>
    <t>Z13164</t>
  </si>
  <si>
    <t>21886559..21886560</t>
  </si>
  <si>
    <t>19724673..19724674</t>
  </si>
  <si>
    <t>Z13165</t>
  </si>
  <si>
    <t>rs770589514</t>
  </si>
  <si>
    <t>Z13166</t>
  </si>
  <si>
    <t>rs778998871</t>
  </si>
  <si>
    <t>Z13167</t>
  </si>
  <si>
    <t>rs760970559</t>
  </si>
  <si>
    <t>Z13168</t>
  </si>
  <si>
    <t>rs775449910</t>
  </si>
  <si>
    <t>Z13175</t>
  </si>
  <si>
    <t>rs962466086</t>
  </si>
  <si>
    <t>Z13176</t>
  </si>
  <si>
    <t>rs751084912</t>
  </si>
  <si>
    <t>Z13177</t>
  </si>
  <si>
    <t>rs774869460</t>
  </si>
  <si>
    <t>Z13181</t>
  </si>
  <si>
    <t>rs769050852</t>
  </si>
  <si>
    <t>Z13182</t>
  </si>
  <si>
    <t>rs775936703</t>
  </si>
  <si>
    <t>Z13183</t>
  </si>
  <si>
    <t>rs770556401</t>
  </si>
  <si>
    <t>Z13184</t>
  </si>
  <si>
    <t>rs751901338</t>
  </si>
  <si>
    <t>Z13185</t>
  </si>
  <si>
    <t>rs749925845</t>
  </si>
  <si>
    <t>Z13186</t>
  </si>
  <si>
    <t>rs778912535</t>
  </si>
  <si>
    <t>Z13187</t>
  </si>
  <si>
    <t>rs748803915</t>
  </si>
  <si>
    <t>Z13188</t>
  </si>
  <si>
    <t>rs747332971</t>
  </si>
  <si>
    <t>Z13189</t>
  </si>
  <si>
    <t>rs777531063</t>
  </si>
  <si>
    <t>Z13190</t>
  </si>
  <si>
    <t>rs771199412</t>
  </si>
  <si>
    <t>Z13192</t>
  </si>
  <si>
    <t>rs768506580</t>
  </si>
  <si>
    <t>Z13194</t>
  </si>
  <si>
    <t>rs948969920</t>
  </si>
  <si>
    <t>Z13195</t>
  </si>
  <si>
    <t>rs757148019</t>
  </si>
  <si>
    <t>Z13196</t>
  </si>
  <si>
    <t>rs770710769</t>
  </si>
  <si>
    <t>Z13197</t>
  </si>
  <si>
    <t>Z13199</t>
  </si>
  <si>
    <t>Z13202</t>
  </si>
  <si>
    <t>rs750154457</t>
  </si>
  <si>
    <t>Z13203</t>
  </si>
  <si>
    <t>Z12983</t>
  </si>
  <si>
    <t>rs764390464</t>
  </si>
  <si>
    <t>Z13016</t>
  </si>
  <si>
    <t>rs745648548</t>
  </si>
  <si>
    <t>Z13036</t>
  </si>
  <si>
    <t>rs769999976</t>
  </si>
  <si>
    <t>Z13054</t>
  </si>
  <si>
    <t>rs757894335</t>
  </si>
  <si>
    <t>Z13085</t>
  </si>
  <si>
    <t>rs762069337</t>
  </si>
  <si>
    <t>Z13118</t>
  </si>
  <si>
    <t>rs761002703</t>
  </si>
  <si>
    <t>Z13160</t>
  </si>
  <si>
    <t>rs781610672</t>
  </si>
  <si>
    <t>Z13162</t>
  </si>
  <si>
    <t>rs751720381</t>
  </si>
  <si>
    <t>Z13174</t>
  </si>
  <si>
    <t>rs976222581</t>
  </si>
  <si>
    <t>Z34892</t>
  </si>
  <si>
    <t>rs753360338</t>
  </si>
  <si>
    <t>Z34894</t>
  </si>
  <si>
    <t>rs760564283</t>
  </si>
  <si>
    <t>Z34896</t>
  </si>
  <si>
    <t>rs781415279</t>
  </si>
  <si>
    <t>Z41191</t>
  </si>
  <si>
    <t>rs754783955</t>
  </si>
  <si>
    <t>Z41192</t>
  </si>
  <si>
    <t>rs772884298</t>
  </si>
  <si>
    <t>Z34897</t>
  </si>
  <si>
    <t>rs747642225</t>
  </si>
  <si>
    <t>Z41186</t>
  </si>
  <si>
    <t>rs747405989</t>
  </si>
  <si>
    <t>Z41187</t>
  </si>
  <si>
    <t>rs749160689</t>
  </si>
  <si>
    <t>Z41188</t>
  </si>
  <si>
    <t>rs755338910</t>
  </si>
  <si>
    <t>Z41189</t>
  </si>
  <si>
    <t>Z34902</t>
  </si>
  <si>
    <t>rs769934737</t>
  </si>
  <si>
    <t>Z34903</t>
  </si>
  <si>
    <t>rs773285098</t>
  </si>
  <si>
    <t>Z39404</t>
  </si>
  <si>
    <t>Z41190</t>
  </si>
  <si>
    <t>rs751124989</t>
  </si>
  <si>
    <t>Z5863</t>
  </si>
  <si>
    <t>rs778165674</t>
  </si>
  <si>
    <t>Y11985</t>
  </si>
  <si>
    <t>Z16821</t>
  </si>
  <si>
    <t>rs746862434</t>
  </si>
  <si>
    <t>Z12766</t>
  </si>
  <si>
    <t>rs760304592</t>
  </si>
  <si>
    <t>Z12767</t>
  </si>
  <si>
    <t>Z12768</t>
  </si>
  <si>
    <t>rs772683497</t>
  </si>
  <si>
    <t>Z12769</t>
  </si>
  <si>
    <t>rs770856155</t>
  </si>
  <si>
    <t>Z12770</t>
  </si>
  <si>
    <t>rs112491573</t>
  </si>
  <si>
    <t>Z12771</t>
  </si>
  <si>
    <t>13590420..13590422</t>
  </si>
  <si>
    <t>11434744..11434746</t>
  </si>
  <si>
    <t>TA-&gt;TAA</t>
  </si>
  <si>
    <t>Z12772</t>
  </si>
  <si>
    <t>Z12773</t>
  </si>
  <si>
    <t>Z12774</t>
  </si>
  <si>
    <t>Z12775</t>
  </si>
  <si>
    <t>rs777683084</t>
  </si>
  <si>
    <t>Z12778</t>
  </si>
  <si>
    <t>rs762484780</t>
  </si>
  <si>
    <t>Z12779</t>
  </si>
  <si>
    <t>rs771513512</t>
  </si>
  <si>
    <t>Z12780</t>
  </si>
  <si>
    <t>rs748453603</t>
  </si>
  <si>
    <t>Z12781</t>
  </si>
  <si>
    <t>rs754342727</t>
  </si>
  <si>
    <t>Z12782</t>
  </si>
  <si>
    <t>rs746560639</t>
  </si>
  <si>
    <t>Z12786</t>
  </si>
  <si>
    <t>rs763993160</t>
  </si>
  <si>
    <t>Z12787</t>
  </si>
  <si>
    <t>rs759407966</t>
  </si>
  <si>
    <t>Z12788</t>
  </si>
  <si>
    <t>rs772358744</t>
  </si>
  <si>
    <t>Z12789</t>
  </si>
  <si>
    <t>rs761608498</t>
  </si>
  <si>
    <t>Z12791</t>
  </si>
  <si>
    <t>rs750780532</t>
  </si>
  <si>
    <t>Z12792</t>
  </si>
  <si>
    <t>rs764437498</t>
  </si>
  <si>
    <t>Z12793</t>
  </si>
  <si>
    <t>rs778454970</t>
  </si>
  <si>
    <t>Z12794</t>
  </si>
  <si>
    <t>rs752704844</t>
  </si>
  <si>
    <t>Z12797</t>
  </si>
  <si>
    <t>rs775606009</t>
  </si>
  <si>
    <t>Z5865</t>
  </si>
  <si>
    <t>rs763178036</t>
  </si>
  <si>
    <t>Z12704</t>
  </si>
  <si>
    <t>rs765465045</t>
  </si>
  <si>
    <t>Z12705</t>
  </si>
  <si>
    <t>rs746099409</t>
  </si>
  <si>
    <t>Z12706</t>
  </si>
  <si>
    <t>rs745896439</t>
  </si>
  <si>
    <t>Z12707</t>
  </si>
  <si>
    <t>rs754133486</t>
  </si>
  <si>
    <t>Z12708</t>
  </si>
  <si>
    <t>rs751126125</t>
  </si>
  <si>
    <t>Z12709</t>
  </si>
  <si>
    <t>rs775044092</t>
  </si>
  <si>
    <t>Z12710</t>
  </si>
  <si>
    <t>rs769147712</t>
  </si>
  <si>
    <t>Z12712</t>
  </si>
  <si>
    <t>rs770820899</t>
  </si>
  <si>
    <t>Z12713</t>
  </si>
  <si>
    <t>rs768734654</t>
  </si>
  <si>
    <t>Z12716</t>
  </si>
  <si>
    <t>rs1055070224</t>
  </si>
  <si>
    <t>Z12717</t>
  </si>
  <si>
    <t>Z12718</t>
  </si>
  <si>
    <t>rs775903218</t>
  </si>
  <si>
    <t>Z12719</t>
  </si>
  <si>
    <t>rs781205571</t>
  </si>
  <si>
    <t>Z12720</t>
  </si>
  <si>
    <t>rs767368801</t>
  </si>
  <si>
    <t>Z12721</t>
  </si>
  <si>
    <t>rs746678797</t>
  </si>
  <si>
    <t>Z12722</t>
  </si>
  <si>
    <t>rs759183990</t>
  </si>
  <si>
    <t>Z12723</t>
  </si>
  <si>
    <t>rs766064877</t>
  </si>
  <si>
    <t>Z12724</t>
  </si>
  <si>
    <t>rs774425139</t>
  </si>
  <si>
    <t>Z12725</t>
  </si>
  <si>
    <t>rs777188137</t>
  </si>
  <si>
    <t>Z12726</t>
  </si>
  <si>
    <t>rs776808917</t>
  </si>
  <si>
    <t>Z12727</t>
  </si>
  <si>
    <t>rs773363224</t>
  </si>
  <si>
    <t>Z12728</t>
  </si>
  <si>
    <t>rs779158080</t>
  </si>
  <si>
    <t>Z12729</t>
  </si>
  <si>
    <t>rs750385774</t>
  </si>
  <si>
    <t>Z12730</t>
  </si>
  <si>
    <t>rs747464777</t>
  </si>
  <si>
    <t>Z12731</t>
  </si>
  <si>
    <t>rs758701144</t>
  </si>
  <si>
    <t>Z12732</t>
  </si>
  <si>
    <t>rs753924942</t>
  </si>
  <si>
    <t>Z12733</t>
  </si>
  <si>
    <t>Z12735</t>
  </si>
  <si>
    <t>rs746069065</t>
  </si>
  <si>
    <t>Z12736</t>
  </si>
  <si>
    <t>rs746013222</t>
  </si>
  <si>
    <t>Z12737</t>
  </si>
  <si>
    <t>rs778532794</t>
  </si>
  <si>
    <t>Z12739</t>
  </si>
  <si>
    <t>rs769985491</t>
  </si>
  <si>
    <t>Z12740</t>
  </si>
  <si>
    <t>Z12741</t>
  </si>
  <si>
    <t>rs752492728</t>
  </si>
  <si>
    <t>Z12742</t>
  </si>
  <si>
    <t>rs749280432</t>
  </si>
  <si>
    <t>Z12743</t>
  </si>
  <si>
    <t>rs776843064</t>
  </si>
  <si>
    <t>Z12746</t>
  </si>
  <si>
    <t>Z12747</t>
  </si>
  <si>
    <t>rs764617681</t>
  </si>
  <si>
    <t>Z12748</t>
  </si>
  <si>
    <t>rs761605785</t>
  </si>
  <si>
    <t>Z12749</t>
  </si>
  <si>
    <t>rs757128039</t>
  </si>
  <si>
    <t>Z12750</t>
  </si>
  <si>
    <t>Z12751</t>
  </si>
  <si>
    <t>rs779807199</t>
  </si>
  <si>
    <t>Z12752</t>
  </si>
  <si>
    <t>Z12753</t>
  </si>
  <si>
    <t>rs764953859</t>
  </si>
  <si>
    <t>Z12754</t>
  </si>
  <si>
    <t>Z12755</t>
  </si>
  <si>
    <t>Z16825</t>
  </si>
  <si>
    <t>Y11988</t>
  </si>
  <si>
    <t>rs755125620</t>
  </si>
  <si>
    <t>Z16826</t>
  </si>
  <si>
    <t>Y3004</t>
  </si>
  <si>
    <t>rs764880006</t>
  </si>
  <si>
    <t>rs768081831</t>
  </si>
  <si>
    <t>Z12646</t>
  </si>
  <si>
    <t>rs747713949</t>
  </si>
  <si>
    <t>Z12694</t>
  </si>
  <si>
    <t>rs750668537</t>
  </si>
  <si>
    <t>Z16828</t>
  </si>
  <si>
    <t>rs145659959</t>
  </si>
  <si>
    <t>Y11965</t>
  </si>
  <si>
    <t>Z16780</t>
  </si>
  <si>
    <t>rs757549539</t>
  </si>
  <si>
    <t>Y8906</t>
  </si>
  <si>
    <t>Z16779</t>
  </si>
  <si>
    <t>rs751416867</t>
  </si>
  <si>
    <t>Y8907</t>
  </si>
  <si>
    <t>Z16781</t>
  </si>
  <si>
    <t>rs748404529</t>
  </si>
  <si>
    <t>Y8909</t>
  </si>
  <si>
    <t>Z16782</t>
  </si>
  <si>
    <t>Y8910</t>
  </si>
  <si>
    <t>Z16784</t>
  </si>
  <si>
    <t>rs750160121</t>
  </si>
  <si>
    <t>Y8911</t>
  </si>
  <si>
    <t>Z16785</t>
  </si>
  <si>
    <t>rs777798613</t>
  </si>
  <si>
    <t>Y8913</t>
  </si>
  <si>
    <t>Z16787</t>
  </si>
  <si>
    <t>rs769851974</t>
  </si>
  <si>
    <t>Y8914</t>
  </si>
  <si>
    <t>Z16788</t>
  </si>
  <si>
    <t>rs778202320</t>
  </si>
  <si>
    <t>Y8915</t>
  </si>
  <si>
    <t>Z16789</t>
  </si>
  <si>
    <t>rs776853528</t>
  </si>
  <si>
    <t>Y8916</t>
  </si>
  <si>
    <t>Z16790</t>
  </si>
  <si>
    <t>rs772462963</t>
  </si>
  <si>
    <t>Y8918</t>
  </si>
  <si>
    <t>Z16791</t>
  </si>
  <si>
    <t>rs767124015</t>
  </si>
  <si>
    <t>Y8919</t>
  </si>
  <si>
    <t>Z16792</t>
  </si>
  <si>
    <t>rs764031792</t>
  </si>
  <si>
    <t>Y8920</t>
  </si>
  <si>
    <t>Z16794</t>
  </si>
  <si>
    <t>rs764839336</t>
  </si>
  <si>
    <t>Y8922</t>
  </si>
  <si>
    <t>Z16795</t>
  </si>
  <si>
    <t>rs750347281</t>
  </si>
  <si>
    <t>Y8923</t>
  </si>
  <si>
    <t>Z16797</t>
  </si>
  <si>
    <t>rs781352727</t>
  </si>
  <si>
    <t>Y8924</t>
  </si>
  <si>
    <t>Z16799</t>
  </si>
  <si>
    <t>rs751346598</t>
  </si>
  <si>
    <t>Y8925</t>
  </si>
  <si>
    <t>Z16800</t>
  </si>
  <si>
    <t>rs756953807</t>
  </si>
  <si>
    <t>Y8926</t>
  </si>
  <si>
    <t>Z16801</t>
  </si>
  <si>
    <t>rs762322155</t>
  </si>
  <si>
    <t>Y8927</t>
  </si>
  <si>
    <t>Z16802</t>
  </si>
  <si>
    <t>Y8928</t>
  </si>
  <si>
    <t>Z16804</t>
  </si>
  <si>
    <t>rs778360526</t>
  </si>
  <si>
    <t>Y8929</t>
  </si>
  <si>
    <t>Z16805</t>
  </si>
  <si>
    <t>rs755992581</t>
  </si>
  <si>
    <t>Y8930</t>
  </si>
  <si>
    <t>Z16809</t>
  </si>
  <si>
    <t>rs750554762</t>
  </si>
  <si>
    <t>Y8931</t>
  </si>
  <si>
    <t>Z16812</t>
  </si>
  <si>
    <t>rs767458881</t>
  </si>
  <si>
    <t>Y11964</t>
  </si>
  <si>
    <t>Z16806</t>
  </si>
  <si>
    <t>rs761348103</t>
  </si>
  <si>
    <t>Y11967</t>
  </si>
  <si>
    <t>Z16786</t>
  </si>
  <si>
    <t>rs753353964</t>
  </si>
  <si>
    <t>Y11969</t>
  </si>
  <si>
    <t>Z16810</t>
  </si>
  <si>
    <t>rs779466344</t>
  </si>
  <si>
    <t>Y11970</t>
  </si>
  <si>
    <t>Z16783</t>
  </si>
  <si>
    <t>rs774080782</t>
  </si>
  <si>
    <t>Y11978</t>
  </si>
  <si>
    <t>Z16796</t>
  </si>
  <si>
    <t>rs778792938</t>
  </si>
  <si>
    <t>Y11980</t>
  </si>
  <si>
    <t>Z16798</t>
  </si>
  <si>
    <t>rs753308458</t>
  </si>
  <si>
    <t>Y11981</t>
  </si>
  <si>
    <t>Z16811</t>
  </si>
  <si>
    <t>rs768081360</t>
  </si>
  <si>
    <t>Y11982</t>
  </si>
  <si>
    <t>Z16793</t>
  </si>
  <si>
    <t>rs777937689</t>
  </si>
  <si>
    <t>Y11983</t>
  </si>
  <si>
    <t>Z16813</t>
  </si>
  <si>
    <t>rs780880408</t>
  </si>
  <si>
    <t>Y11984</t>
  </si>
  <si>
    <t>Z16803</t>
  </si>
  <si>
    <t>rs754053574</t>
  </si>
  <si>
    <t>Y8932</t>
  </si>
  <si>
    <t>rs760493976</t>
  </si>
  <si>
    <t>Y11257</t>
  </si>
  <si>
    <t>rs770240651</t>
  </si>
  <si>
    <t>Y11258</t>
  </si>
  <si>
    <t>Y11968</t>
  </si>
  <si>
    <t>rs781125344</t>
  </si>
  <si>
    <t>ZS2874</t>
  </si>
  <si>
    <t>rs748447103</t>
  </si>
  <si>
    <t>Y8905.2</t>
  </si>
  <si>
    <t>rs764281955</t>
  </si>
  <si>
    <t>Y11259.2</t>
  </si>
  <si>
    <t>rs767369582</t>
  </si>
  <si>
    <t>Z34958</t>
  </si>
  <si>
    <t>rs766382159</t>
  </si>
  <si>
    <t>Z34959</t>
  </si>
  <si>
    <t>rs781486325</t>
  </si>
  <si>
    <t>FGC43156</t>
  </si>
  <si>
    <t>FGC43158</t>
  </si>
  <si>
    <t>FGC43159</t>
  </si>
  <si>
    <t>FGC43160</t>
  </si>
  <si>
    <t>FGC43161</t>
  </si>
  <si>
    <t>Z34953</t>
  </si>
  <si>
    <t>Z34954</t>
  </si>
  <si>
    <t>Z34955</t>
  </si>
  <si>
    <t>Z34956</t>
  </si>
  <si>
    <t>rs1044747506</t>
  </si>
  <si>
    <t>Z34957</t>
  </si>
  <si>
    <t>Z34907</t>
  </si>
  <si>
    <t>rs749655199</t>
  </si>
  <si>
    <t>Z34908</t>
  </si>
  <si>
    <t>rs749355872</t>
  </si>
  <si>
    <t>Z34909</t>
  </si>
  <si>
    <t>rs754459564</t>
  </si>
  <si>
    <t>Z34910</t>
  </si>
  <si>
    <t>rs760051179</t>
  </si>
  <si>
    <t>Z5862</t>
  </si>
  <si>
    <t>rs760469821</t>
  </si>
  <si>
    <t>A155.1</t>
  </si>
  <si>
    <t>Z12652.1</t>
  </si>
  <si>
    <t>rs767314366</t>
  </si>
  <si>
    <t>CTS9292</t>
  </si>
  <si>
    <t>rs771241406</t>
  </si>
  <si>
    <t>S6493</t>
  </si>
  <si>
    <t>Z12654</t>
  </si>
  <si>
    <t>rs751298278</t>
  </si>
  <si>
    <t>Z12651</t>
  </si>
  <si>
    <t>rs779302465</t>
  </si>
  <si>
    <t>Z12656</t>
  </si>
  <si>
    <t>rs534624521</t>
  </si>
  <si>
    <t>Z12657</t>
  </si>
  <si>
    <t>rs769448866</t>
  </si>
  <si>
    <t>Z12658</t>
  </si>
  <si>
    <t>rs779295473</t>
  </si>
  <si>
    <t>Z12660</t>
  </si>
  <si>
    <t>Z12662</t>
  </si>
  <si>
    <t>Z12664</t>
  </si>
  <si>
    <t>rs778862722</t>
  </si>
  <si>
    <t>Z12665</t>
  </si>
  <si>
    <t>Z12666</t>
  </si>
  <si>
    <t>rs753951867</t>
  </si>
  <si>
    <t>Z12667</t>
  </si>
  <si>
    <t>rs751433089</t>
  </si>
  <si>
    <t>Z12668</t>
  </si>
  <si>
    <t>rs759263164</t>
  </si>
  <si>
    <t>Z12670</t>
  </si>
  <si>
    <t>rs780662410</t>
  </si>
  <si>
    <t>Z12671</t>
  </si>
  <si>
    <t>rs771641762</t>
  </si>
  <si>
    <t>Z12672</t>
  </si>
  <si>
    <t>rs767756730</t>
  </si>
  <si>
    <t>Z12673</t>
  </si>
  <si>
    <t>rs748926596</t>
  </si>
  <si>
    <t>Z12674</t>
  </si>
  <si>
    <t>rs768142307</t>
  </si>
  <si>
    <t>Z12675.1</t>
  </si>
  <si>
    <t>rs774084715</t>
  </si>
  <si>
    <t>Z12676</t>
  </si>
  <si>
    <t>rs752403885</t>
  </si>
  <si>
    <t>Z12677</t>
  </si>
  <si>
    <t>Z12678</t>
  </si>
  <si>
    <t>rs747650475</t>
  </si>
  <si>
    <t>Z12679</t>
  </si>
  <si>
    <t>rs771342257</t>
  </si>
  <si>
    <t>Z12680</t>
  </si>
  <si>
    <t>ZS8509</t>
  </si>
  <si>
    <t>rs753903576</t>
  </si>
  <si>
    <t>Z12681.1</t>
  </si>
  <si>
    <t>rs780428859</t>
  </si>
  <si>
    <t>Z12682</t>
  </si>
  <si>
    <t>rs775151413</t>
  </si>
  <si>
    <t>Z12683</t>
  </si>
  <si>
    <t>rs780491918</t>
  </si>
  <si>
    <t>Z12684</t>
  </si>
  <si>
    <t>rs766725383</t>
  </si>
  <si>
    <t>Z12685</t>
  </si>
  <si>
    <t>rs754214478</t>
  </si>
  <si>
    <t>Z12686</t>
  </si>
  <si>
    <t>rs755345758</t>
  </si>
  <si>
    <t>Z12687</t>
  </si>
  <si>
    <t>rs755798319</t>
  </si>
  <si>
    <t>Z12688</t>
  </si>
  <si>
    <t>rs780768520</t>
  </si>
  <si>
    <t>Z12689</t>
  </si>
  <si>
    <t>rs757817149</t>
  </si>
  <si>
    <t>Z12691</t>
  </si>
  <si>
    <t>rs746127640</t>
  </si>
  <si>
    <t>Z12692</t>
  </si>
  <si>
    <t>rs760787109</t>
  </si>
  <si>
    <t>Z12696</t>
  </si>
  <si>
    <t>rs756585170</t>
  </si>
  <si>
    <t>Z12697</t>
  </si>
  <si>
    <t>Z12698</t>
  </si>
  <si>
    <t>rs1351896609</t>
  </si>
  <si>
    <t>Z34912</t>
  </si>
  <si>
    <t>rs749851035</t>
  </si>
  <si>
    <t>Z34913</t>
  </si>
  <si>
    <t>rs747468221</t>
  </si>
  <si>
    <t>Z34917</t>
  </si>
  <si>
    <t>rs777783130</t>
  </si>
  <si>
    <t>Z34918</t>
  </si>
  <si>
    <t>rs763187497</t>
  </si>
  <si>
    <t>Z34919</t>
  </si>
  <si>
    <t>rs745813255</t>
  </si>
  <si>
    <t>Z34920</t>
  </si>
  <si>
    <t>rs747857188</t>
  </si>
  <si>
    <t>Z5858</t>
  </si>
  <si>
    <t>rs755102273</t>
  </si>
  <si>
    <t>Z5667.2</t>
  </si>
  <si>
    <t>rs761506400</t>
  </si>
  <si>
    <t>Z12800</t>
  </si>
  <si>
    <t>rs752519083</t>
  </si>
  <si>
    <t>Z12801</t>
  </si>
  <si>
    <t>rs773586497</t>
  </si>
  <si>
    <t>Z12831</t>
  </si>
  <si>
    <t>rs748715861</t>
  </si>
  <si>
    <t>Z12832</t>
  </si>
  <si>
    <t>rs772345318</t>
  </si>
  <si>
    <t>Z12833</t>
  </si>
  <si>
    <t>rs779999779</t>
  </si>
  <si>
    <t>Z12834</t>
  </si>
  <si>
    <t>rs770759338</t>
  </si>
  <si>
    <t>Z12835</t>
  </si>
  <si>
    <t>rs778895498</t>
  </si>
  <si>
    <t>Z12838</t>
  </si>
  <si>
    <t>rs776994051</t>
  </si>
  <si>
    <t>Z12839</t>
  </si>
  <si>
    <t>Z12840</t>
  </si>
  <si>
    <t>rs746878344</t>
  </si>
  <si>
    <t>Z12841</t>
  </si>
  <si>
    <t>rs775777367</t>
  </si>
  <si>
    <t>Z12842</t>
  </si>
  <si>
    <t>rs768901422</t>
  </si>
  <si>
    <t>Z12843</t>
  </si>
  <si>
    <t>rs767336557</t>
  </si>
  <si>
    <t>Z12844</t>
  </si>
  <si>
    <t>rs774886769</t>
  </si>
  <si>
    <t>Z12846</t>
  </si>
  <si>
    <t>rs781483147</t>
  </si>
  <si>
    <t>Z12848</t>
  </si>
  <si>
    <t>rs763965691</t>
  </si>
  <si>
    <t>Z12849</t>
  </si>
  <si>
    <t>rs765535809</t>
  </si>
  <si>
    <t>Z12850</t>
  </si>
  <si>
    <t>rs765981035</t>
  </si>
  <si>
    <t>Z12851</t>
  </si>
  <si>
    <t>rs748533538</t>
  </si>
  <si>
    <t>Z12852</t>
  </si>
  <si>
    <t>rs746052200</t>
  </si>
  <si>
    <t>Z12853</t>
  </si>
  <si>
    <t>rs753580534</t>
  </si>
  <si>
    <t>Z12855</t>
  </si>
  <si>
    <t>rs762954712</t>
  </si>
  <si>
    <t>Z12857</t>
  </si>
  <si>
    <t>Z12858</t>
  </si>
  <si>
    <t>Z12859</t>
  </si>
  <si>
    <t>Z12865</t>
  </si>
  <si>
    <t>Z12868</t>
  </si>
  <si>
    <t>rs79910977</t>
  </si>
  <si>
    <t>Z12869</t>
  </si>
  <si>
    <t>Z12870</t>
  </si>
  <si>
    <t>rs967794600</t>
  </si>
  <si>
    <t>Z12871</t>
  </si>
  <si>
    <t>Z12872</t>
  </si>
  <si>
    <t>Z12874</t>
  </si>
  <si>
    <t>rs995024559</t>
  </si>
  <si>
    <t>Z12878</t>
  </si>
  <si>
    <t>rs760410305</t>
  </si>
  <si>
    <t>Z12879</t>
  </si>
  <si>
    <t>rs750765199</t>
  </si>
  <si>
    <t>Z12880</t>
  </si>
  <si>
    <t>rs762186404</t>
  </si>
  <si>
    <t>Z12881</t>
  </si>
  <si>
    <t>rs778530714</t>
  </si>
  <si>
    <t>Z12882</t>
  </si>
  <si>
    <t>rs773898730</t>
  </si>
  <si>
    <t>Z12883</t>
  </si>
  <si>
    <t>rs751288233</t>
  </si>
  <si>
    <t>Z12884</t>
  </si>
  <si>
    <t>rs758278338</t>
  </si>
  <si>
    <t>Z12885</t>
  </si>
  <si>
    <t>rs748524750</t>
  </si>
  <si>
    <t>Z12886</t>
  </si>
  <si>
    <t>rs763741661</t>
  </si>
  <si>
    <t>Z12887</t>
  </si>
  <si>
    <t>rs775311585</t>
  </si>
  <si>
    <t>Z12888</t>
  </si>
  <si>
    <t>Z12889</t>
  </si>
  <si>
    <t>rs752154269</t>
  </si>
  <si>
    <t>Z12890</t>
  </si>
  <si>
    <t>rs777090853</t>
  </si>
  <si>
    <t>Z12891</t>
  </si>
  <si>
    <t>rs754993443</t>
  </si>
  <si>
    <t>Z12892</t>
  </si>
  <si>
    <t>rs762548787</t>
  </si>
  <si>
    <t>Z12893</t>
  </si>
  <si>
    <t>rs751260328</t>
  </si>
  <si>
    <t>Z12894</t>
  </si>
  <si>
    <t>rs772350205</t>
  </si>
  <si>
    <t>Z12895</t>
  </si>
  <si>
    <t>rs749019342</t>
  </si>
  <si>
    <t>Z12896</t>
  </si>
  <si>
    <t>rs777010860</t>
  </si>
  <si>
    <t>Z12897</t>
  </si>
  <si>
    <t>rs771601023</t>
  </si>
  <si>
    <t>Z12899</t>
  </si>
  <si>
    <t>rs761067499</t>
  </si>
  <si>
    <t>Z12902</t>
  </si>
  <si>
    <t>rs753058592</t>
  </si>
  <si>
    <t>Z12903</t>
  </si>
  <si>
    <t>rs763845006</t>
  </si>
  <si>
    <t>Z12904</t>
  </si>
  <si>
    <t>rs757211868</t>
  </si>
  <si>
    <t>Z12905</t>
  </si>
  <si>
    <t>rs770213727</t>
  </si>
  <si>
    <t>Z12906</t>
  </si>
  <si>
    <t>rs756927653</t>
  </si>
  <si>
    <t>Z12907</t>
  </si>
  <si>
    <t>rs750420277</t>
  </si>
  <si>
    <t>Z12908</t>
  </si>
  <si>
    <t>rs757408550</t>
  </si>
  <si>
    <t>Z12909</t>
  </si>
  <si>
    <t>Z12910</t>
  </si>
  <si>
    <t>rs757875838</t>
  </si>
  <si>
    <t>Z12911</t>
  </si>
  <si>
    <t>rs747899099</t>
  </si>
  <si>
    <t>Z12912</t>
  </si>
  <si>
    <t>rs780839940</t>
  </si>
  <si>
    <t>Z12913</t>
  </si>
  <si>
    <t>rs755843864</t>
  </si>
  <si>
    <t>Z12914</t>
  </si>
  <si>
    <t>rs745840752</t>
  </si>
  <si>
    <t>Z12915</t>
  </si>
  <si>
    <t>rs778597975</t>
  </si>
  <si>
    <t>Z12916</t>
  </si>
  <si>
    <t>rs761959402</t>
  </si>
  <si>
    <t>Z12917</t>
  </si>
  <si>
    <t>rs764124484</t>
  </si>
  <si>
    <t>Z12918</t>
  </si>
  <si>
    <t>rs756990268</t>
  </si>
  <si>
    <t>Z12919</t>
  </si>
  <si>
    <t>rs769051721</t>
  </si>
  <si>
    <t>Z12920</t>
  </si>
  <si>
    <t>Z12921</t>
  </si>
  <si>
    <t>rs763554862</t>
  </si>
  <si>
    <t>Z12922</t>
  </si>
  <si>
    <t>rs778997544</t>
  </si>
  <si>
    <t>Z12923</t>
  </si>
  <si>
    <t>Z12924</t>
  </si>
  <si>
    <t>Z12925</t>
  </si>
  <si>
    <t>rs768517281</t>
  </si>
  <si>
    <t>Z12926</t>
  </si>
  <si>
    <t>rs763290236</t>
  </si>
  <si>
    <t>Z12927</t>
  </si>
  <si>
    <t>rs760557430</t>
  </si>
  <si>
    <t>Z12928</t>
  </si>
  <si>
    <t>rs766951334</t>
  </si>
  <si>
    <t>Z12929</t>
  </si>
  <si>
    <t>rs757578842</t>
  </si>
  <si>
    <t>Z12930</t>
  </si>
  <si>
    <t>rs780056606</t>
  </si>
  <si>
    <t>Z12931</t>
  </si>
  <si>
    <t>rs746784184</t>
  </si>
  <si>
    <t>Z12932</t>
  </si>
  <si>
    <t>rs773751279</t>
  </si>
  <si>
    <t>Z12933</t>
  </si>
  <si>
    <t>rs748526641</t>
  </si>
  <si>
    <t>Z12934</t>
  </si>
  <si>
    <t>rs764759692</t>
  </si>
  <si>
    <t>Z12935</t>
  </si>
  <si>
    <t>rs764927364</t>
  </si>
  <si>
    <t>Z12936</t>
  </si>
  <si>
    <t>rs763513644</t>
  </si>
  <si>
    <t>Z12937</t>
  </si>
  <si>
    <t>rs749116695</t>
  </si>
  <si>
    <t>Z12939</t>
  </si>
  <si>
    <t>rs780733340</t>
  </si>
  <si>
    <t>Z12940</t>
  </si>
  <si>
    <t>rs762600694</t>
  </si>
  <si>
    <t>Z12941</t>
  </si>
  <si>
    <t>rs769782937</t>
  </si>
  <si>
    <t>Z12942</t>
  </si>
  <si>
    <t>Z12943</t>
  </si>
  <si>
    <t>rs759459018</t>
  </si>
  <si>
    <t>Z12944</t>
  </si>
  <si>
    <t>rs752789125</t>
  </si>
  <si>
    <t>Z12945</t>
  </si>
  <si>
    <t>rs753355545</t>
  </si>
  <si>
    <t>Z12946</t>
  </si>
  <si>
    <t>rs758997782</t>
  </si>
  <si>
    <t>Z12947</t>
  </si>
  <si>
    <t>rs759995078</t>
  </si>
  <si>
    <t>Z12948</t>
  </si>
  <si>
    <t>rs747543162</t>
  </si>
  <si>
    <t>Z12949</t>
  </si>
  <si>
    <t>rs764778523</t>
  </si>
  <si>
    <t>Z12958</t>
  </si>
  <si>
    <t>rs780459970</t>
  </si>
  <si>
    <t>Z12959</t>
  </si>
  <si>
    <t>rs750748824</t>
  </si>
  <si>
    <t>Z12960</t>
  </si>
  <si>
    <t>rs767474824</t>
  </si>
  <si>
    <t>Z12961</t>
  </si>
  <si>
    <t>rs750502152</t>
  </si>
  <si>
    <t>Z12962</t>
  </si>
  <si>
    <t>rs758528021</t>
  </si>
  <si>
    <t>Z12963</t>
  </si>
  <si>
    <t>Z12964</t>
  </si>
  <si>
    <t>rs757174165</t>
  </si>
  <si>
    <t>Z12966</t>
  </si>
  <si>
    <t>rs753189746</t>
  </si>
  <si>
    <t>Z12967</t>
  </si>
  <si>
    <t>rs779469468</t>
  </si>
  <si>
    <t>Z12968</t>
  </si>
  <si>
    <t>rs754173812</t>
  </si>
  <si>
    <t>Z12969</t>
  </si>
  <si>
    <t>rs759978431</t>
  </si>
  <si>
    <t>Z12970</t>
  </si>
  <si>
    <t>rs774532804</t>
  </si>
  <si>
    <t>Z12973</t>
  </si>
  <si>
    <t>Z12974</t>
  </si>
  <si>
    <t>rs754322233</t>
  </si>
  <si>
    <t>Z12975</t>
  </si>
  <si>
    <t>Z12976</t>
  </si>
  <si>
    <t>rs775652450</t>
  </si>
  <si>
    <t>Z12977</t>
  </si>
  <si>
    <t>rs767054655</t>
  </si>
  <si>
    <t>Z12979</t>
  </si>
  <si>
    <t>rs764668640</t>
  </si>
  <si>
    <t>Z12980</t>
  </si>
  <si>
    <t>rs775763835</t>
  </si>
  <si>
    <t>Z34922</t>
  </si>
  <si>
    <t>rs748551707</t>
  </si>
  <si>
    <t>Z34924</t>
  </si>
  <si>
    <t>rs747431049</t>
  </si>
  <si>
    <t>Z34925</t>
  </si>
  <si>
    <t>rs752128698</t>
  </si>
  <si>
    <t>Z41203</t>
  </si>
  <si>
    <t>rs775545548</t>
  </si>
  <si>
    <t>Z34930</t>
  </si>
  <si>
    <t>rs775372359</t>
  </si>
  <si>
    <t>Z41204</t>
  </si>
  <si>
    <t>rs768660107</t>
  </si>
  <si>
    <t>Z41205</t>
  </si>
  <si>
    <t>rs758982795</t>
  </si>
  <si>
    <t>Z41206</t>
  </si>
  <si>
    <t>Z13871</t>
  </si>
  <si>
    <t>rs763218831</t>
  </si>
  <si>
    <t>PH4709</t>
  </si>
  <si>
    <t>rs745356643</t>
  </si>
  <si>
    <t>PH4751</t>
  </si>
  <si>
    <t>rs781009516</t>
  </si>
  <si>
    <t>PH5081</t>
  </si>
  <si>
    <t>rs759650933</t>
  </si>
  <si>
    <t>Y989.2</t>
  </si>
  <si>
    <t>ZS332.2</t>
  </si>
  <si>
    <t>rs866541334</t>
  </si>
  <si>
    <t>Z13768</t>
  </si>
  <si>
    <t>rs778199987</t>
  </si>
  <si>
    <t>Z13872</t>
  </si>
  <si>
    <t>rs868377142</t>
  </si>
  <si>
    <t>Z13886</t>
  </si>
  <si>
    <t>rs539786723</t>
  </si>
  <si>
    <t>Z13887</t>
  </si>
  <si>
    <t>rs748088334</t>
  </si>
  <si>
    <t>Z13888.1</t>
  </si>
  <si>
    <t>rs755814165</t>
  </si>
  <si>
    <t>Z13889</t>
  </si>
  <si>
    <t>rs747248753</t>
  </si>
  <si>
    <t>Z13890</t>
  </si>
  <si>
    <t>rs748661178</t>
  </si>
  <si>
    <t>Z13891</t>
  </si>
  <si>
    <t>rs774497153</t>
  </si>
  <si>
    <t>Z13892</t>
  </si>
  <si>
    <t>rs547731583</t>
  </si>
  <si>
    <t>Z13893</t>
  </si>
  <si>
    <t>8263591..8263593</t>
  </si>
  <si>
    <t>8395550..8395552</t>
  </si>
  <si>
    <t>ACC-&gt;AC</t>
  </si>
  <si>
    <t>Z13894</t>
  </si>
  <si>
    <t>rs752424347</t>
  </si>
  <si>
    <t>Z13895</t>
  </si>
  <si>
    <t>rs754465725</t>
  </si>
  <si>
    <t>Z13897</t>
  </si>
  <si>
    <t>rs768124529</t>
  </si>
  <si>
    <t>Z13898</t>
  </si>
  <si>
    <t>Z13899</t>
  </si>
  <si>
    <t>Z13903</t>
  </si>
  <si>
    <t>Z13904</t>
  </si>
  <si>
    <t>rs1014229529</t>
  </si>
  <si>
    <t>Z13905</t>
  </si>
  <si>
    <t>rs545128095</t>
  </si>
  <si>
    <t>Z13906</t>
  </si>
  <si>
    <t>Z13907</t>
  </si>
  <si>
    <t>rs570957203</t>
  </si>
  <si>
    <t>Z13909</t>
  </si>
  <si>
    <t>rs772586366</t>
  </si>
  <si>
    <t>Z13910</t>
  </si>
  <si>
    <t>rs774515565</t>
  </si>
  <si>
    <t>Z13911</t>
  </si>
  <si>
    <t>rs531526780</t>
  </si>
  <si>
    <t>Z13912</t>
  </si>
  <si>
    <t>rs759326099</t>
  </si>
  <si>
    <t>Z13913</t>
  </si>
  <si>
    <t>rs762698609</t>
  </si>
  <si>
    <t>Z13914</t>
  </si>
  <si>
    <t>rs757776671</t>
  </si>
  <si>
    <t>Z13915</t>
  </si>
  <si>
    <t>rs576981439</t>
  </si>
  <si>
    <t>Z13917</t>
  </si>
  <si>
    <t>rs775910052</t>
  </si>
  <si>
    <t>Z13919</t>
  </si>
  <si>
    <t>rs766070592</t>
  </si>
  <si>
    <t>Z13920</t>
  </si>
  <si>
    <t>rs757096608</t>
  </si>
  <si>
    <t>Z13922</t>
  </si>
  <si>
    <t>rs753703834</t>
  </si>
  <si>
    <t>Z13923</t>
  </si>
  <si>
    <t>rs764101786</t>
  </si>
  <si>
    <t>Z13924</t>
  </si>
  <si>
    <t>rs752443744</t>
  </si>
  <si>
    <t>Z13925</t>
  </si>
  <si>
    <t>rs540559892</t>
  </si>
  <si>
    <t>Z13926</t>
  </si>
  <si>
    <t>rs771705904</t>
  </si>
  <si>
    <t>Z13927</t>
  </si>
  <si>
    <t>rs771743750</t>
  </si>
  <si>
    <t>Z13928</t>
  </si>
  <si>
    <t>rs749155816</t>
  </si>
  <si>
    <t>Z13929</t>
  </si>
  <si>
    <t>rs538539171</t>
  </si>
  <si>
    <t>Z13930</t>
  </si>
  <si>
    <t>rs539649461</t>
  </si>
  <si>
    <t>Z13931</t>
  </si>
  <si>
    <t>rs577263630</t>
  </si>
  <si>
    <t>Z13932</t>
  </si>
  <si>
    <t>rs754391240</t>
  </si>
  <si>
    <t>Z13933</t>
  </si>
  <si>
    <t>Z13935</t>
  </si>
  <si>
    <t>rs757610422</t>
  </si>
  <si>
    <t>Z13937</t>
  </si>
  <si>
    <t>rs545327832</t>
  </si>
  <si>
    <t>Z13939</t>
  </si>
  <si>
    <t>rs754332284</t>
  </si>
  <si>
    <t>Z13945</t>
  </si>
  <si>
    <t>rs531420634</t>
  </si>
  <si>
    <t>Z13947</t>
  </si>
  <si>
    <t>rs769973786</t>
  </si>
  <si>
    <t>Z13948</t>
  </si>
  <si>
    <t>rs771278458</t>
  </si>
  <si>
    <t>Z13949</t>
  </si>
  <si>
    <t>rs749742131</t>
  </si>
  <si>
    <t>Z13951</t>
  </si>
  <si>
    <t>rs535797407</t>
  </si>
  <si>
    <t>Z13952</t>
  </si>
  <si>
    <t>rs764237775</t>
  </si>
  <si>
    <t>Z13956</t>
  </si>
  <si>
    <t>Z13957</t>
  </si>
  <si>
    <t>rs763687666</t>
  </si>
  <si>
    <t>Z5859</t>
  </si>
  <si>
    <t>rs768270651</t>
  </si>
  <si>
    <t>M8081</t>
  </si>
  <si>
    <t>rs530033561</t>
  </si>
  <si>
    <t>Z13657</t>
  </si>
  <si>
    <t>rs760298485</t>
  </si>
  <si>
    <t>Z13658</t>
  </si>
  <si>
    <t>rs750615751</t>
  </si>
  <si>
    <t>Z13659</t>
  </si>
  <si>
    <t>rs773115469</t>
  </si>
  <si>
    <t>Z13660</t>
  </si>
  <si>
    <t>rs771942342</t>
  </si>
  <si>
    <t>Z13661</t>
  </si>
  <si>
    <t>rs754882493</t>
  </si>
  <si>
    <t>Z13662</t>
  </si>
  <si>
    <t>rs748169741</t>
  </si>
  <si>
    <t>Z13663</t>
  </si>
  <si>
    <t>rs752486341</t>
  </si>
  <si>
    <t>Z13664</t>
  </si>
  <si>
    <t>rs761247045</t>
  </si>
  <si>
    <t>Z13665</t>
  </si>
  <si>
    <t>rs771951573</t>
  </si>
  <si>
    <t>Z13666</t>
  </si>
  <si>
    <t>rs772754294</t>
  </si>
  <si>
    <t>Z13667</t>
  </si>
  <si>
    <t>rs750576688</t>
  </si>
  <si>
    <t>Z13668</t>
  </si>
  <si>
    <t>rs766569706</t>
  </si>
  <si>
    <t>Z13669</t>
  </si>
  <si>
    <t>rs772309802</t>
  </si>
  <si>
    <t>Z13670</t>
  </si>
  <si>
    <t>rs755973974</t>
  </si>
  <si>
    <t>Z13671</t>
  </si>
  <si>
    <t>rs767009735</t>
  </si>
  <si>
    <t>Z13672</t>
  </si>
  <si>
    <t>rs773810169</t>
  </si>
  <si>
    <t>Z13673</t>
  </si>
  <si>
    <t>rs775329511</t>
  </si>
  <si>
    <t>Z13674</t>
  </si>
  <si>
    <t>rs772775008</t>
  </si>
  <si>
    <t>Z13675</t>
  </si>
  <si>
    <t>rs775078227</t>
  </si>
  <si>
    <t>Z13676</t>
  </si>
  <si>
    <t>rs768870716</t>
  </si>
  <si>
    <t>Z13677</t>
  </si>
  <si>
    <t>rs760259271</t>
  </si>
  <si>
    <t>Z13678</t>
  </si>
  <si>
    <t>rs776124545</t>
  </si>
  <si>
    <t>Z13679</t>
  </si>
  <si>
    <t>rs775016921</t>
  </si>
  <si>
    <t>Z13680</t>
  </si>
  <si>
    <t>rs772629309</t>
  </si>
  <si>
    <t>Z13681</t>
  </si>
  <si>
    <t>rs763580219</t>
  </si>
  <si>
    <t>Z13682</t>
  </si>
  <si>
    <t>rs777136978</t>
  </si>
  <si>
    <t>Z13684</t>
  </si>
  <si>
    <t>rs747163068</t>
  </si>
  <si>
    <t>Z13685</t>
  </si>
  <si>
    <t>rs765254052</t>
  </si>
  <si>
    <t>Z13686</t>
  </si>
  <si>
    <t>rs769670816</t>
  </si>
  <si>
    <t>Z13687</t>
  </si>
  <si>
    <t>rs779062705</t>
  </si>
  <si>
    <t>Z13688</t>
  </si>
  <si>
    <t>rs759854158</t>
  </si>
  <si>
    <t>Z13689</t>
  </si>
  <si>
    <t>rs779899241</t>
  </si>
  <si>
    <t>Z13690</t>
  </si>
  <si>
    <t>rs750161967</t>
  </si>
  <si>
    <t>Z13691</t>
  </si>
  <si>
    <t>rs748131375</t>
  </si>
  <si>
    <t>Z13692</t>
  </si>
  <si>
    <t>rs774711652</t>
  </si>
  <si>
    <t>Z13693</t>
  </si>
  <si>
    <t>rs754722918</t>
  </si>
  <si>
    <t>Z13694</t>
  </si>
  <si>
    <t>rs779062584</t>
  </si>
  <si>
    <t>Z13695</t>
  </si>
  <si>
    <t>rs759989613</t>
  </si>
  <si>
    <t>Z13696</t>
  </si>
  <si>
    <t>rs749158938</t>
  </si>
  <si>
    <t>Z13697</t>
  </si>
  <si>
    <t>rs778935192</t>
  </si>
  <si>
    <t>Z13698</t>
  </si>
  <si>
    <t>rs766363713</t>
  </si>
  <si>
    <t>Z13699</t>
  </si>
  <si>
    <t>Z13700</t>
  </si>
  <si>
    <t>rs750233170</t>
  </si>
  <si>
    <t>Z13701</t>
  </si>
  <si>
    <t>rs747131418</t>
  </si>
  <si>
    <t>Z13703</t>
  </si>
  <si>
    <t>Z13704</t>
  </si>
  <si>
    <t>rs1480028592</t>
  </si>
  <si>
    <t>Z13708</t>
  </si>
  <si>
    <t>Z13710</t>
  </si>
  <si>
    <t>Z13711</t>
  </si>
  <si>
    <t>Z13712</t>
  </si>
  <si>
    <t>Z13714</t>
  </si>
  <si>
    <t>rs764447940</t>
  </si>
  <si>
    <t>Z13715</t>
  </si>
  <si>
    <t>rs780396601</t>
  </si>
  <si>
    <t>Z13718</t>
  </si>
  <si>
    <t>rs748251286</t>
  </si>
  <si>
    <t>Z13719</t>
  </si>
  <si>
    <t>rs760503468</t>
  </si>
  <si>
    <t>Z13721</t>
  </si>
  <si>
    <t>rs772951573</t>
  </si>
  <si>
    <t>Z13722</t>
  </si>
  <si>
    <t>rs754220407</t>
  </si>
  <si>
    <t>Z13723</t>
  </si>
  <si>
    <t>rs757384253</t>
  </si>
  <si>
    <t>Z13725</t>
  </si>
  <si>
    <t>rs776338466</t>
  </si>
  <si>
    <t>Z13726</t>
  </si>
  <si>
    <t>rs779791675</t>
  </si>
  <si>
    <t>Z13727</t>
  </si>
  <si>
    <t>rs763954379</t>
  </si>
  <si>
    <t>Z13728</t>
  </si>
  <si>
    <t>rs776021118</t>
  </si>
  <si>
    <t>Z13729</t>
  </si>
  <si>
    <t>rs758219195</t>
  </si>
  <si>
    <t>Z13730</t>
  </si>
  <si>
    <t>rs746931044</t>
  </si>
  <si>
    <t>Z13731</t>
  </si>
  <si>
    <t>rs753476713</t>
  </si>
  <si>
    <t>Z13732</t>
  </si>
  <si>
    <t>rs753999626</t>
  </si>
  <si>
    <t>Z13733</t>
  </si>
  <si>
    <t>rs768001494</t>
  </si>
  <si>
    <t>Z13734</t>
  </si>
  <si>
    <t>rs749607733</t>
  </si>
  <si>
    <t>Z13735</t>
  </si>
  <si>
    <t>rs747909393</t>
  </si>
  <si>
    <t>Z13736</t>
  </si>
  <si>
    <t>rs778671291</t>
  </si>
  <si>
    <t>Z13737</t>
  </si>
  <si>
    <t>rs779370400</t>
  </si>
  <si>
    <t>Z13738</t>
  </si>
  <si>
    <t>rs764443537</t>
  </si>
  <si>
    <t>Z13739</t>
  </si>
  <si>
    <t>rs750705591</t>
  </si>
  <si>
    <t>Z13740</t>
  </si>
  <si>
    <t>rs746160972</t>
  </si>
  <si>
    <t>Z13741</t>
  </si>
  <si>
    <t>rs761017141</t>
  </si>
  <si>
    <t>Z13742</t>
  </si>
  <si>
    <t>rs779138831</t>
  </si>
  <si>
    <t>Z13743</t>
  </si>
  <si>
    <t>rs757005483</t>
  </si>
  <si>
    <t>Z13745</t>
  </si>
  <si>
    <t>Z13746</t>
  </si>
  <si>
    <t>rs750000935</t>
  </si>
  <si>
    <t>Z13747</t>
  </si>
  <si>
    <t>rs755261293</t>
  </si>
  <si>
    <t>Z13748</t>
  </si>
  <si>
    <t>rs781186981</t>
  </si>
  <si>
    <t>Z13749</t>
  </si>
  <si>
    <t>rs780559706</t>
  </si>
  <si>
    <t>Z13750</t>
  </si>
  <si>
    <t>rs746428694</t>
  </si>
  <si>
    <t>Z13751</t>
  </si>
  <si>
    <t>rs767066927</t>
  </si>
  <si>
    <t>Z13752</t>
  </si>
  <si>
    <t>rs746740574</t>
  </si>
  <si>
    <t>Z13753</t>
  </si>
  <si>
    <t>rs755661760</t>
  </si>
  <si>
    <t>Z13754</t>
  </si>
  <si>
    <t>rs769842065</t>
  </si>
  <si>
    <t>Z13755</t>
  </si>
  <si>
    <t>rs771305817</t>
  </si>
  <si>
    <t>Z13756</t>
  </si>
  <si>
    <t>rs768783717</t>
  </si>
  <si>
    <t>Z13757</t>
  </si>
  <si>
    <t>rs764089949</t>
  </si>
  <si>
    <t>Z13758</t>
  </si>
  <si>
    <t>rs773676160</t>
  </si>
  <si>
    <t>Z13760</t>
  </si>
  <si>
    <t>rs771409427</t>
  </si>
  <si>
    <t>Z13761</t>
  </si>
  <si>
    <t>rs765894959</t>
  </si>
  <si>
    <t>Z13762</t>
  </si>
  <si>
    <t>rs751027796</t>
  </si>
  <si>
    <t>Z13763</t>
  </si>
  <si>
    <t>rs746568915</t>
  </si>
  <si>
    <t>Z13764</t>
  </si>
  <si>
    <t>rs768641211</t>
  </si>
  <si>
    <t>Z13765</t>
  </si>
  <si>
    <t>rs752131114</t>
  </si>
  <si>
    <t>Z13766</t>
  </si>
  <si>
    <t>rs769204096</t>
  </si>
  <si>
    <t>Z13767</t>
  </si>
  <si>
    <t>rs775269057</t>
  </si>
  <si>
    <t>Z13769</t>
  </si>
  <si>
    <t>rs758139792</t>
  </si>
  <si>
    <t>Z13772</t>
  </si>
  <si>
    <t>rs751482307</t>
  </si>
  <si>
    <t>Z13773</t>
  </si>
  <si>
    <t>rs762753257</t>
  </si>
  <si>
    <t>Z13774</t>
  </si>
  <si>
    <t>rs762266317</t>
  </si>
  <si>
    <t>Z13775</t>
  </si>
  <si>
    <t>rs756323554</t>
  </si>
  <si>
    <t>Z13776</t>
  </si>
  <si>
    <t>rs746419016</t>
  </si>
  <si>
    <t>Z13777</t>
  </si>
  <si>
    <t>rs773662188</t>
  </si>
  <si>
    <t>Z13778</t>
  </si>
  <si>
    <t>rs749839544</t>
  </si>
  <si>
    <t>Z13779</t>
  </si>
  <si>
    <t>rs746382716</t>
  </si>
  <si>
    <t>Z13780</t>
  </si>
  <si>
    <t>rs765111994</t>
  </si>
  <si>
    <t>Z13781</t>
  </si>
  <si>
    <t>rs773575726</t>
  </si>
  <si>
    <t>Z13782</t>
  </si>
  <si>
    <t>rs751936338</t>
  </si>
  <si>
    <t>Z13783</t>
  </si>
  <si>
    <t>rs761642385</t>
  </si>
  <si>
    <t>Z13784</t>
  </si>
  <si>
    <t>Z13785</t>
  </si>
  <si>
    <t>Z13786</t>
  </si>
  <si>
    <t>Z13788</t>
  </si>
  <si>
    <t>rs769893940</t>
  </si>
  <si>
    <t>Z13789</t>
  </si>
  <si>
    <t>rs753538320</t>
  </si>
  <si>
    <t>Z13790</t>
  </si>
  <si>
    <t>rs781644278</t>
  </si>
  <si>
    <t>Z13791</t>
  </si>
  <si>
    <t>rs772406313</t>
  </si>
  <si>
    <t>Z13792</t>
  </si>
  <si>
    <t>rs753168677</t>
  </si>
  <si>
    <t>Z13793</t>
  </si>
  <si>
    <t>rs759151069</t>
  </si>
  <si>
    <t>Z13794</t>
  </si>
  <si>
    <t>rs780531270</t>
  </si>
  <si>
    <t>Z13795</t>
  </si>
  <si>
    <t>rs755211696</t>
  </si>
  <si>
    <t>Z13796</t>
  </si>
  <si>
    <t>rs762170022</t>
  </si>
  <si>
    <t>Z13797</t>
  </si>
  <si>
    <t>rs748053299</t>
  </si>
  <si>
    <t>Z13798</t>
  </si>
  <si>
    <t>rs757367170</t>
  </si>
  <si>
    <t>Z13799</t>
  </si>
  <si>
    <t>rs748801481</t>
  </si>
  <si>
    <t>Z13801</t>
  </si>
  <si>
    <t>rs751537223</t>
  </si>
  <si>
    <t>Z13802</t>
  </si>
  <si>
    <t>rs746440667</t>
  </si>
  <si>
    <t>Z13803</t>
  </si>
  <si>
    <t>rs764819317</t>
  </si>
  <si>
    <t>Z13804</t>
  </si>
  <si>
    <t>Z13805</t>
  </si>
  <si>
    <t>rs753045268</t>
  </si>
  <si>
    <t>Z13806</t>
  </si>
  <si>
    <t>rs755770166</t>
  </si>
  <si>
    <t>Z13807</t>
  </si>
  <si>
    <t>rs766297484</t>
  </si>
  <si>
    <t>Z13808</t>
  </si>
  <si>
    <t>rs779995754</t>
  </si>
  <si>
    <t>Z13809</t>
  </si>
  <si>
    <t>rs781769336</t>
  </si>
  <si>
    <t>Z13810</t>
  </si>
  <si>
    <t>rs749801472</t>
  </si>
  <si>
    <t>Z13811</t>
  </si>
  <si>
    <t>rs764330006</t>
  </si>
  <si>
    <t>Z13812</t>
  </si>
  <si>
    <t>rs760933702</t>
  </si>
  <si>
    <t>Z13813</t>
  </si>
  <si>
    <t>rs745679866</t>
  </si>
  <si>
    <t>Z13814</t>
  </si>
  <si>
    <t>rs770058411</t>
  </si>
  <si>
    <t>Z13815</t>
  </si>
  <si>
    <t>rs760167354</t>
  </si>
  <si>
    <t>Z13817</t>
  </si>
  <si>
    <t>rs770793289</t>
  </si>
  <si>
    <t>Z13819</t>
  </si>
  <si>
    <t>rs770434810</t>
  </si>
  <si>
    <t>Z13820</t>
  </si>
  <si>
    <t>rs769548123</t>
  </si>
  <si>
    <t>Z13821</t>
  </si>
  <si>
    <t>rs768150533</t>
  </si>
  <si>
    <t>Z13822</t>
  </si>
  <si>
    <t>rs776458940</t>
  </si>
  <si>
    <t>Z13823</t>
  </si>
  <si>
    <t>Z13824</t>
  </si>
  <si>
    <t>rs767641837</t>
  </si>
  <si>
    <t>Z13826</t>
  </si>
  <si>
    <t>rs775070674</t>
  </si>
  <si>
    <t>Z13827</t>
  </si>
  <si>
    <t>rs773234623</t>
  </si>
  <si>
    <t>Z13828</t>
  </si>
  <si>
    <t>rs764776653</t>
  </si>
  <si>
    <t>Z13837</t>
  </si>
  <si>
    <t>Z13838</t>
  </si>
  <si>
    <t>Z13841</t>
  </si>
  <si>
    <t>rs763351834</t>
  </si>
  <si>
    <t>Z13842</t>
  </si>
  <si>
    <t>rs775281317</t>
  </si>
  <si>
    <t>Z13843</t>
  </si>
  <si>
    <t>rs768730951</t>
  </si>
  <si>
    <t>Z13844</t>
  </si>
  <si>
    <t>rs757273462</t>
  </si>
  <si>
    <t>Z13846</t>
  </si>
  <si>
    <t>rs978016177</t>
  </si>
  <si>
    <t>Z13847</t>
  </si>
  <si>
    <t>Z13848</t>
  </si>
  <si>
    <t>rs770378465</t>
  </si>
  <si>
    <t>Z13849</t>
  </si>
  <si>
    <t>rs766035721</t>
  </si>
  <si>
    <t>Z13850</t>
  </si>
  <si>
    <t>rs765787194</t>
  </si>
  <si>
    <t>Z13854</t>
  </si>
  <si>
    <t>rs768905468</t>
  </si>
  <si>
    <t>Z13855</t>
  </si>
  <si>
    <t>rs745413679</t>
  </si>
  <si>
    <t>Z13858</t>
  </si>
  <si>
    <t>rs769505250</t>
  </si>
  <si>
    <t>Z13859</t>
  </si>
  <si>
    <t>Z13860</t>
  </si>
  <si>
    <t>rs770148392</t>
  </si>
  <si>
    <t>Z13861</t>
  </si>
  <si>
    <t>rs781217679</t>
  </si>
  <si>
    <t>Z13862</t>
  </si>
  <si>
    <t>rs750176123</t>
  </si>
  <si>
    <t>Z13864</t>
  </si>
  <si>
    <t>Z13866</t>
  </si>
  <si>
    <t>rs780460448</t>
  </si>
  <si>
    <t>Z13869</t>
  </si>
  <si>
    <t>rs755518334</t>
  </si>
  <si>
    <t>Z13870</t>
  </si>
  <si>
    <t>rs754210599</t>
  </si>
  <si>
    <t>YP4002</t>
  </si>
  <si>
    <t>Z34932; ZS8491</t>
  </si>
  <si>
    <t>rs750216580</t>
  </si>
  <si>
    <t>Z34932</t>
  </si>
  <si>
    <t>YP4002; ZS8491</t>
  </si>
  <si>
    <t>ZS8491</t>
  </si>
  <si>
    <t>YP4002; Z34932</t>
  </si>
  <si>
    <t>Z34936</t>
  </si>
  <si>
    <t>rs747688655</t>
  </si>
  <si>
    <t>Z41251</t>
  </si>
  <si>
    <t>rs758877415</t>
  </si>
  <si>
    <t>Z41252</t>
  </si>
  <si>
    <t>rs756739378</t>
  </si>
  <si>
    <t>Z41253</t>
  </si>
  <si>
    <t>BY6829</t>
  </si>
  <si>
    <t>Z34941</t>
  </si>
  <si>
    <t>rs777878279</t>
  </si>
  <si>
    <t>Z34939</t>
  </si>
  <si>
    <t>rs747482918</t>
  </si>
  <si>
    <t>Z41254</t>
  </si>
  <si>
    <t>rs777091416</t>
  </si>
  <si>
    <t>Z41255</t>
  </si>
  <si>
    <t>Z41256</t>
  </si>
  <si>
    <t>rs757083393</t>
  </si>
  <si>
    <t>Z44668</t>
  </si>
  <si>
    <t>Z44669</t>
  </si>
  <si>
    <t>Z44670</t>
  </si>
  <si>
    <t>Z44671</t>
  </si>
  <si>
    <t>rs976254054</t>
  </si>
  <si>
    <t>PH24</t>
  </si>
  <si>
    <t>rs754423165</t>
  </si>
  <si>
    <t>PH660</t>
  </si>
  <si>
    <t>rs768773885</t>
  </si>
  <si>
    <t>Z34942</t>
  </si>
  <si>
    <t>rs750834603</t>
  </si>
  <si>
    <t>Z34943</t>
  </si>
  <si>
    <t>rs768872492</t>
  </si>
  <si>
    <t>PH262</t>
  </si>
  <si>
    <t>rs757686764</t>
  </si>
  <si>
    <t>Z34944</t>
  </si>
  <si>
    <t>rs780498495</t>
  </si>
  <si>
    <t>Z34945</t>
  </si>
  <si>
    <t>rs766982644</t>
  </si>
  <si>
    <t>Z34947</t>
  </si>
  <si>
    <t>rs766208126</t>
  </si>
  <si>
    <t>Z34948</t>
  </si>
  <si>
    <t>Z34949</t>
  </si>
  <si>
    <t>Z34950</t>
  </si>
  <si>
    <t>Z34951</t>
  </si>
  <si>
    <t>Z34952</t>
  </si>
</sst>
</file>

<file path=xl/styles.xml><?xml version="1.0" encoding="utf-8"?>
<styleSheet xmlns="http://schemas.openxmlformats.org/spreadsheetml/2006/main" xmlns:x14ac="http://schemas.microsoft.com/office/spreadsheetml/2009/9/ac" xmlns:mc="http://schemas.openxmlformats.org/markup-compatibility/2006">
  <fonts count="39">
    <font>
      <sz val="10.0"/>
      <color rgb="FF000000"/>
      <name val="Arial"/>
    </font>
    <font>
      <name val="Arial"/>
    </font>
    <font>
      <sz val="14.0"/>
      <color rgb="FFFFFFFF"/>
      <name val="Arial"/>
    </font>
    <font>
      <b/>
      <u/>
      <sz val="12.0"/>
      <color rgb="FFFFFFFF"/>
      <name val="Arial"/>
    </font>
    <font>
      <b/>
      <sz val="24.0"/>
      <name val="Times New Roman"/>
    </font>
    <font>
      <b/>
      <i/>
      <color rgb="FFE06666"/>
      <name val="Arial"/>
    </font>
    <font/>
    <font>
      <u/>
      <sz val="12.0"/>
      <color rgb="FF0066CC"/>
      <name val="Times New Roman"/>
    </font>
    <font>
      <u/>
      <sz val="12.0"/>
      <color rgb="FF0066CC"/>
      <name val="Times New Roman"/>
    </font>
    <font>
      <u/>
      <sz val="12.0"/>
      <color rgb="FF0066CC"/>
      <name val="Times New Roman"/>
    </font>
    <font>
      <sz val="12.0"/>
      <name val="Times New Roman"/>
    </font>
    <font>
      <u/>
      <sz val="12.0"/>
      <color rgb="FF0066CC"/>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u/>
      <sz val="12.0"/>
      <color rgb="FF0066CC"/>
      <name val="Times New Roman"/>
    </font>
    <font>
      <color rgb="FFFFFFFF"/>
      <name val="Arial"/>
    </font>
    <font>
      <i/>
      <name val="Arial"/>
    </font>
    <font>
      <color rgb="FF999999"/>
    </font>
    <font>
      <i/>
    </font>
    <font>
      <b/>
      <i/>
    </font>
    <font>
      <i/>
      <sz val="10.0"/>
      <color rgb="FF000000"/>
      <name val="Arial"/>
    </font>
    <font>
      <sz val="10.0"/>
      <color rgb="FF999999"/>
      <name val="Arial"/>
    </font>
    <font>
      <color rgb="FFB7B7B7"/>
    </font>
    <font>
      <b/>
      <sz val="12.0"/>
    </font>
    <font>
      <b/>
      <sz val="12.0"/>
      <color rgb="FF000000"/>
      <name val="Times New Roman"/>
    </font>
    <font>
      <sz val="12.0"/>
      <color rgb="FF000000"/>
      <name val="Times New Roman"/>
    </font>
    <font>
      <color rgb="FF000000"/>
      <name val="Arial"/>
    </font>
    <font>
      <u/>
      <sz val="12.0"/>
      <color rgb="FF0066CC"/>
      <name val="Times New Roman"/>
    </font>
    <font>
      <u/>
      <sz val="12.0"/>
      <color rgb="FF0066CC"/>
      <name val="Times New Roman"/>
    </font>
    <font>
      <b/>
      <sz val="12.0"/>
      <name val="Arial"/>
    </font>
    <font>
      <color rgb="FFCC0000"/>
      <name val="Arial"/>
    </font>
    <font>
      <sz val="11.0"/>
      <color rgb="FF000000"/>
      <name val="Calibri"/>
    </font>
    <font>
      <color rgb="FF000000"/>
      <name val="Sans-serif"/>
    </font>
  </fonts>
  <fills count="11">
    <fill>
      <patternFill patternType="none"/>
    </fill>
    <fill>
      <patternFill patternType="lightGray"/>
    </fill>
    <fill>
      <patternFill patternType="solid">
        <fgColor rgb="FF1155CC"/>
        <bgColor rgb="FF1155CC"/>
      </patternFill>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00"/>
        <bgColor rgb="FFFFFF00"/>
      </patternFill>
    </fill>
    <fill>
      <patternFill patternType="solid">
        <fgColor rgb="FFFFFFFF"/>
        <bgColor rgb="FFFFFFFF"/>
      </patternFill>
    </fill>
    <fill>
      <patternFill patternType="solid">
        <fgColor rgb="FFFF9900"/>
        <bgColor rgb="FFFF9900"/>
      </patternFill>
    </fill>
    <fill>
      <patternFill patternType="solid">
        <fgColor rgb="FFF3F3F3"/>
        <bgColor rgb="FFF3F3F3"/>
      </patternFill>
    </fill>
  </fills>
  <borders count="5">
    <border/>
    <border>
      <right/>
    </border>
    <border>
      <bottom style="thin">
        <color rgb="FFCC0000"/>
      </bottom>
    </border>
    <border>
      <right style="thin">
        <color rgb="FFCC0000"/>
      </right>
    </border>
    <border>
      <right style="thin">
        <color rgb="FFCC0000"/>
      </right>
      <bottom style="thin">
        <color rgb="FFCC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2" fontId="1" numFmtId="0" xfId="0" applyAlignment="1" applyFill="1" applyFont="1">
      <alignment vertical="bottom"/>
    </xf>
    <xf borderId="1" fillId="2" fontId="2" numFmtId="0" xfId="0" applyAlignment="1" applyBorder="1" applyFont="1">
      <alignment shrinkToFit="0" vertical="bottom" wrapText="0"/>
    </xf>
    <xf borderId="1" fillId="2" fontId="1" numFmtId="0" xfId="0" applyAlignment="1" applyBorder="1" applyFont="1">
      <alignment vertical="bottom"/>
    </xf>
    <xf borderId="1" fillId="2" fontId="3" numFmtId="0" xfId="0" applyAlignment="1" applyBorder="1" applyFont="1">
      <alignment shrinkToFit="0" vertical="bottom" wrapText="0"/>
    </xf>
    <xf borderId="0" fillId="0" fontId="1" numFmtId="0" xfId="0" applyAlignment="1" applyFont="1">
      <alignment vertical="bottom"/>
    </xf>
    <xf borderId="0" fillId="3" fontId="4" numFmtId="0" xfId="0" applyAlignment="1" applyFill="1" applyFont="1">
      <alignment horizontal="center" vertical="bottom"/>
    </xf>
    <xf borderId="2" fillId="0" fontId="1" numFmtId="0" xfId="0" applyAlignment="1" applyBorder="1" applyFont="1">
      <alignment vertical="bottom"/>
    </xf>
    <xf borderId="3" fillId="0" fontId="1" numFmtId="0" xfId="0" applyAlignment="1" applyBorder="1" applyFont="1">
      <alignment vertical="bottom"/>
    </xf>
    <xf borderId="2" fillId="0" fontId="5" numFmtId="0" xfId="0" applyAlignment="1" applyBorder="1" applyFont="1">
      <alignment vertical="bottom"/>
    </xf>
    <xf borderId="2" fillId="0" fontId="6" numFmtId="0" xfId="0" applyBorder="1" applyFont="1"/>
    <xf borderId="4" fillId="0" fontId="6" numFmtId="0" xfId="0" applyBorder="1" applyFont="1"/>
    <xf borderId="0" fillId="0" fontId="1" numFmtId="0" xfId="0" applyAlignment="1" applyFont="1">
      <alignment shrinkToFit="0" vertical="bottom" wrapText="0"/>
    </xf>
    <xf borderId="0" fillId="0" fontId="7" numFmtId="0" xfId="0" applyAlignment="1" applyFont="1">
      <alignment vertical="bottom"/>
    </xf>
    <xf borderId="0" fillId="0" fontId="8" numFmtId="0" xfId="0" applyAlignment="1" applyFont="1">
      <alignment shrinkToFit="0" vertical="bottom" wrapText="0"/>
    </xf>
    <xf borderId="0" fillId="0" fontId="9" numFmtId="0" xfId="0" applyAlignment="1" applyFont="1">
      <alignment horizontal="center" shrinkToFit="0" vertical="bottom" wrapText="0"/>
    </xf>
    <xf borderId="0" fillId="4" fontId="10" numFmtId="0" xfId="0" applyAlignment="1" applyFill="1" applyFont="1">
      <alignment vertical="bottom"/>
    </xf>
    <xf borderId="0" fillId="0" fontId="11" numFmtId="0" xfId="0" applyAlignment="1" applyFont="1">
      <alignment vertical="bottom"/>
    </xf>
    <xf borderId="0" fillId="0" fontId="12" numFmtId="0" xfId="0" applyAlignment="1" applyFont="1">
      <alignment shrinkToFit="0" vertical="bottom" wrapText="0"/>
    </xf>
    <xf borderId="0" fillId="0" fontId="13" numFmtId="0" xfId="0" applyAlignment="1" applyFont="1">
      <alignment shrinkToFit="0" vertical="bottom" wrapText="0"/>
    </xf>
    <xf borderId="0" fillId="0" fontId="14" numFmtId="0" xfId="0" applyAlignment="1" applyFont="1">
      <alignment horizontal="center" shrinkToFit="0" vertical="bottom" wrapText="0"/>
    </xf>
    <xf borderId="0" fillId="0" fontId="15" numFmtId="0" xfId="0" applyAlignment="1" applyFont="1">
      <alignment vertical="bottom"/>
    </xf>
    <xf borderId="0" fillId="0" fontId="16" numFmtId="0" xfId="0" applyAlignment="1" applyFont="1">
      <alignment vertical="bottom"/>
    </xf>
    <xf borderId="0" fillId="0" fontId="17" numFmtId="0" xfId="0" applyAlignment="1" applyFont="1">
      <alignment shrinkToFit="0" vertical="bottom" wrapText="0"/>
    </xf>
    <xf borderId="0" fillId="0" fontId="18" numFmtId="0" xfId="0" applyAlignment="1" applyFont="1">
      <alignment shrinkToFit="0" vertical="bottom" wrapText="0"/>
    </xf>
    <xf borderId="0" fillId="0" fontId="10" numFmtId="0" xfId="0" applyAlignment="1" applyFont="1">
      <alignment shrinkToFit="0" vertical="bottom" wrapText="0"/>
    </xf>
    <xf borderId="0" fillId="0" fontId="19" numFmtId="0" xfId="0" applyAlignment="1" applyFont="1">
      <alignment horizontal="right" shrinkToFit="0" vertical="bottom" wrapText="0"/>
    </xf>
    <xf borderId="0" fillId="4" fontId="10" numFmtId="0" xfId="0" applyAlignment="1" applyFont="1">
      <alignment shrinkToFit="0" vertical="bottom" wrapText="1"/>
    </xf>
    <xf borderId="0" fillId="0" fontId="20" numFmtId="0" xfId="0" applyAlignment="1" applyFont="1">
      <alignment horizontal="center"/>
    </xf>
    <xf borderId="0" fillId="5" fontId="21" numFmtId="0" xfId="0" applyAlignment="1" applyFill="1" applyFont="1">
      <alignment vertical="center"/>
    </xf>
    <xf borderId="0" fillId="0" fontId="22" numFmtId="0" xfId="0" applyAlignment="1" applyFont="1">
      <alignment shrinkToFit="0" vertical="bottom" wrapText="1"/>
    </xf>
    <xf borderId="0" fillId="6" fontId="21" numFmtId="0" xfId="0" applyAlignment="1" applyFill="1" applyFont="1">
      <alignment vertical="center"/>
    </xf>
    <xf borderId="0" fillId="0" fontId="23" numFmtId="0" xfId="0" applyFont="1"/>
    <xf borderId="0" fillId="0" fontId="24" numFmtId="0" xfId="0" applyAlignment="1" applyFont="1">
      <alignment readingOrder="0" shrinkToFit="0" wrapText="1"/>
    </xf>
    <xf borderId="0" fillId="0" fontId="24" numFmtId="0" xfId="0" applyAlignment="1" applyFont="1">
      <alignment horizontal="left" shrinkToFit="0" wrapText="1"/>
    </xf>
    <xf borderId="0" fillId="0" fontId="24" numFmtId="0" xfId="0" applyFont="1"/>
    <xf borderId="0" fillId="0" fontId="25" numFmtId="0" xfId="0" applyFont="1"/>
    <xf borderId="0" fillId="0" fontId="24" numFmtId="0" xfId="0" applyAlignment="1" applyFont="1">
      <alignment shrinkToFit="0" wrapText="1"/>
    </xf>
    <xf borderId="0" fillId="0" fontId="26" numFmtId="0" xfId="0" applyAlignment="1" applyFont="1">
      <alignment horizontal="left"/>
    </xf>
    <xf borderId="0" fillId="0" fontId="23" numFmtId="0" xfId="0" applyAlignment="1" applyFont="1">
      <alignment readingOrder="0"/>
    </xf>
    <xf borderId="0" fillId="0" fontId="27" numFmtId="0" xfId="0" applyAlignment="1" applyFont="1">
      <alignment horizontal="left"/>
    </xf>
    <xf borderId="0" fillId="0" fontId="23" numFmtId="0" xfId="0" applyAlignment="1" applyFont="1">
      <alignment readingOrder="0" shrinkToFit="0" wrapText="1"/>
    </xf>
    <xf borderId="0" fillId="0" fontId="23" numFmtId="0" xfId="0" applyAlignment="1" applyFont="1">
      <alignment shrinkToFit="0" wrapText="1"/>
    </xf>
    <xf borderId="0" fillId="0" fontId="28" numFmtId="0" xfId="0" applyFont="1"/>
    <xf borderId="0" fillId="7" fontId="29" numFmtId="0" xfId="0" applyAlignment="1" applyFill="1" applyFont="1">
      <alignment readingOrder="0"/>
    </xf>
    <xf borderId="0" fillId="7" fontId="29" numFmtId="0" xfId="0" applyFont="1"/>
    <xf borderId="0" fillId="7" fontId="6" numFmtId="0" xfId="0" applyFont="1"/>
    <xf borderId="0" fillId="0" fontId="30" numFmtId="0" xfId="0" applyAlignment="1" applyFont="1">
      <alignment horizontal="left"/>
    </xf>
    <xf borderId="0" fillId="0" fontId="31" numFmtId="0" xfId="0" applyAlignment="1" applyFont="1">
      <alignment horizontal="left"/>
    </xf>
    <xf borderId="0" fillId="0" fontId="6" numFmtId="0" xfId="0" applyAlignment="1" applyFont="1">
      <alignment shrinkToFit="0" wrapText="1"/>
    </xf>
    <xf borderId="0" fillId="8" fontId="32" numFmtId="0" xfId="0" applyFill="1" applyFont="1"/>
    <xf borderId="0" fillId="0" fontId="10" numFmtId="0" xfId="0" applyAlignment="1" applyFont="1">
      <alignment shrinkToFit="0" wrapText="1"/>
    </xf>
    <xf borderId="0" fillId="0" fontId="33" numFmtId="0" xfId="0" applyAlignment="1" applyFont="1">
      <alignment horizontal="left"/>
    </xf>
    <xf borderId="0" fillId="0" fontId="10" numFmtId="0" xfId="0" applyFont="1"/>
    <xf borderId="0" fillId="0" fontId="34" numFmtId="0" xfId="0" applyAlignment="1" applyFont="1">
      <alignment horizontal="left"/>
    </xf>
    <xf borderId="1" fillId="9" fontId="35" numFmtId="0" xfId="0" applyAlignment="1" applyBorder="1" applyFill="1" applyFont="1">
      <alignment shrinkToFit="0" vertical="bottom" wrapText="0"/>
    </xf>
    <xf borderId="1" fillId="9" fontId="1" numFmtId="0" xfId="0" applyAlignment="1" applyBorder="1" applyFont="1">
      <alignment vertical="bottom"/>
    </xf>
    <xf borderId="0" fillId="9" fontId="1" numFmtId="0" xfId="0" applyAlignment="1" applyFont="1">
      <alignment vertical="bottom"/>
    </xf>
    <xf borderId="0" fillId="0" fontId="36" numFmtId="0" xfId="0" applyAlignment="1" applyFont="1">
      <alignment vertical="bottom"/>
    </xf>
    <xf borderId="0" fillId="0" fontId="36" numFmtId="0" xfId="0" applyAlignment="1" applyFont="1">
      <alignment shrinkToFit="0" vertical="bottom" wrapText="0"/>
    </xf>
    <xf borderId="0" fillId="0" fontId="12" numFmtId="0" xfId="0" applyAlignment="1" applyFont="1">
      <alignment shrinkToFit="0" vertical="bottom" wrapText="1"/>
    </xf>
    <xf borderId="0" fillId="0" fontId="12" numFmtId="0" xfId="0" applyAlignment="1" applyFont="1">
      <alignment horizontal="right" shrinkToFit="0" vertical="bottom" wrapText="1"/>
    </xf>
    <xf borderId="0" fillId="8" fontId="1" numFmtId="0" xfId="0" applyAlignment="1" applyFont="1">
      <alignment vertical="bottom"/>
    </xf>
    <xf borderId="0" fillId="8" fontId="37" numFmtId="0" xfId="0" applyAlignment="1" applyFont="1">
      <alignment vertical="bottom"/>
    </xf>
    <xf borderId="0" fillId="8" fontId="37" numFmtId="0" xfId="0" applyAlignment="1" applyFont="1">
      <alignment horizontal="right" vertical="bottom"/>
    </xf>
    <xf borderId="0" fillId="8" fontId="1" numFmtId="0" xfId="0" applyAlignment="1" applyFont="1">
      <alignment horizontal="right" vertical="bottom"/>
    </xf>
    <xf borderId="0" fillId="0" fontId="6" numFmtId="0" xfId="0" applyAlignment="1" applyFont="1">
      <alignment readingOrder="0"/>
    </xf>
    <xf borderId="0" fillId="8" fontId="6" numFmtId="0" xfId="0" applyAlignment="1" applyFont="1">
      <alignment readingOrder="0"/>
    </xf>
    <xf borderId="0" fillId="8" fontId="6" numFmtId="0" xfId="0" applyFont="1"/>
    <xf borderId="0" fillId="8" fontId="38" numFmtId="0" xfId="0" applyAlignment="1" applyFont="1">
      <alignment readingOrder="0" vertical="bottom"/>
    </xf>
    <xf borderId="0" fillId="10" fontId="6" numFmtId="0" xfId="0" applyAlignment="1" applyFill="1" applyFont="1">
      <alignment readingOrder="0"/>
    </xf>
    <xf borderId="0" fillId="1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123825</xdr:colOff>
      <xdr:row>6</xdr:row>
      <xdr:rowOff>57150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1" Type="http://schemas.openxmlformats.org/officeDocument/2006/relationships/hyperlink" Target="http://hpgl.stanford.edu/publications/AJHG_2006_v78_p202-221.pdf" TargetMode="External"/><Relationship Id="rId10" Type="http://schemas.openxmlformats.org/officeDocument/2006/relationships/hyperlink" Target="http://www.ncbi.nlm.nih.gov/pubmed/16770078" TargetMode="External"/><Relationship Id="rId13" Type="http://schemas.openxmlformats.org/officeDocument/2006/relationships/hyperlink" Target="http://www.isogg.org/wiki/Wiki_Welcome_Page" TargetMode="External"/><Relationship Id="rId12" Type="http://schemas.openxmlformats.org/officeDocument/2006/relationships/hyperlink" Target="http://www.ncbi.nlm.nih.gov/pubmed/19058044" TargetMode="External"/><Relationship Id="rId1" Type="http://schemas.openxmlformats.org/officeDocument/2006/relationships/hyperlink" Target="mailto:dnagrouper2@gmail.com" TargetMode="External"/><Relationship Id="rId2" Type="http://schemas.openxmlformats.org/officeDocument/2006/relationships/hyperlink" Target="http://www.isogg.org/tree/ISOGG_Glossary.html" TargetMode="External"/><Relationship Id="rId3" Type="http://schemas.openxmlformats.org/officeDocument/2006/relationships/hyperlink" Target="mailto:wathey@hprg.com" TargetMode="External"/><Relationship Id="rId4" Type="http://schemas.openxmlformats.org/officeDocument/2006/relationships/hyperlink" Target="http://www.nature.com/nature/journal/v466/n7303/abs/nature09103.html" TargetMode="External"/><Relationship Id="rId9" Type="http://schemas.openxmlformats.org/officeDocument/2006/relationships/hyperlink" Target="http://hpgl.stanford.edu/publications/AJHG_2003_v72_p313-332.pdf" TargetMode="External"/><Relationship Id="rId15" Type="http://schemas.openxmlformats.org/officeDocument/2006/relationships/drawing" Target="../drawings/drawing1.xml"/><Relationship Id="rId14" Type="http://schemas.openxmlformats.org/officeDocument/2006/relationships/hyperlink" Target="http://www.familytreedna.com/public/YHaploGroupH" TargetMode="External"/><Relationship Id="rId5" Type="http://schemas.openxmlformats.org/officeDocument/2006/relationships/hyperlink" Target="http://onlinelibrary.wiley.com/doi/10.1111/j.1469-1809.2005.00251.x/pdf" TargetMode="External"/><Relationship Id="rId6" Type="http://schemas.openxmlformats.org/officeDocument/2006/relationships/hyperlink" Target="http://hpgl.stanford.edu/publications/HG_2004_v114_p127-148.pdf" TargetMode="External"/><Relationship Id="rId7" Type="http://schemas.openxmlformats.org/officeDocument/2006/relationships/hyperlink" Target="http://www.sciencemag.org/content/341/6145/565" TargetMode="External"/><Relationship Id="rId8" Type="http://schemas.openxmlformats.org/officeDocument/2006/relationships/hyperlink" Target="http://genome.cshlp.org/content/early/2015/03/13/gr.186684.114.abstrac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5.5"/>
    <col customWidth="1" min="2" max="2" width="5.63"/>
    <col customWidth="1" min="3" max="3" width="5.5"/>
    <col customWidth="1" min="4" max="4" width="5.88"/>
    <col customWidth="1" min="5" max="5" width="6.25"/>
    <col customWidth="1" min="6" max="6" width="7.25"/>
    <col customWidth="1" min="7" max="7" width="9.0"/>
    <col customWidth="1" min="8" max="8" width="9.25"/>
    <col customWidth="1" min="9" max="9" width="10.13"/>
    <col customWidth="1" min="10" max="10" width="11.63"/>
    <col customWidth="1" min="11" max="11" width="12.38"/>
    <col customWidth="1" min="12" max="13" width="13.88"/>
    <col customWidth="1" min="14" max="14" width="14.88"/>
  </cols>
  <sheetData>
    <row r="1" ht="15.75" customHeight="1">
      <c r="B1" s="1"/>
      <c r="C1" s="1"/>
      <c r="D1" s="1"/>
      <c r="E1" s="1"/>
      <c r="F1" s="1"/>
      <c r="G1" s="1"/>
      <c r="H1" s="1"/>
      <c r="I1" s="1"/>
      <c r="J1" s="1"/>
      <c r="K1" s="1"/>
      <c r="L1" s="1"/>
      <c r="M1" s="1"/>
    </row>
    <row r="2" ht="15.75" customHeight="1">
      <c r="B2" s="1"/>
      <c r="C2" s="2" t="s">
        <v>0</v>
      </c>
      <c r="D2" s="1"/>
      <c r="E2" s="3"/>
      <c r="F2" s="3"/>
      <c r="G2" s="3"/>
      <c r="H2" s="3"/>
      <c r="I2" s="3"/>
      <c r="J2" s="3"/>
      <c r="K2" s="3"/>
      <c r="L2" s="4" t="str">
        <f>HYPERLINK("https://docs.google.com/document/d/14H-GcOivKmVTygAlbVeGDYouCGU5tDpvhrppbbqiRKM/","Adoption Page")</f>
        <v>Adoption Page</v>
      </c>
      <c r="M2" s="1"/>
    </row>
    <row r="3" ht="15.75" customHeight="1">
      <c r="B3" s="1"/>
      <c r="C3" s="1"/>
      <c r="D3" s="1"/>
      <c r="E3" s="1"/>
      <c r="F3" s="1"/>
      <c r="G3" s="1"/>
      <c r="H3" s="1"/>
      <c r="I3" s="1"/>
      <c r="J3" s="1"/>
      <c r="K3" s="1"/>
      <c r="L3" s="1"/>
      <c r="M3" s="1"/>
    </row>
    <row r="4" ht="15.75" customHeight="1">
      <c r="A4" s="5"/>
      <c r="B4" s="5"/>
      <c r="C4" s="5"/>
      <c r="D4" s="5"/>
      <c r="E4" s="5"/>
      <c r="F4" s="5"/>
      <c r="G4" s="5"/>
      <c r="H4" s="5"/>
      <c r="I4" s="5"/>
      <c r="J4" s="5"/>
      <c r="K4" s="5"/>
      <c r="L4" s="5"/>
      <c r="M4" s="5"/>
    </row>
    <row r="5" ht="15.75" customHeight="1">
      <c r="A5" s="5"/>
      <c r="B5" s="5"/>
      <c r="C5" s="6" t="s">
        <v>1</v>
      </c>
      <c r="M5" s="5"/>
    </row>
    <row r="6" ht="15.75" customHeight="1">
      <c r="A6" s="5"/>
      <c r="B6" s="5"/>
      <c r="C6" s="5"/>
      <c r="D6" s="5"/>
      <c r="E6" s="5"/>
      <c r="F6" s="5"/>
      <c r="G6" s="5"/>
      <c r="H6" s="5"/>
      <c r="I6" s="5"/>
      <c r="J6" s="5"/>
      <c r="K6" s="5"/>
      <c r="L6" s="5"/>
      <c r="M6" s="5"/>
    </row>
    <row r="7" ht="15.75" customHeight="1">
      <c r="A7" s="5"/>
      <c r="B7" s="5"/>
      <c r="C7" s="7"/>
      <c r="D7" s="7"/>
      <c r="E7" s="7"/>
      <c r="F7" s="7"/>
      <c r="G7" s="7"/>
      <c r="H7" s="7"/>
      <c r="I7" s="7"/>
      <c r="J7" s="7"/>
      <c r="K7" s="7"/>
      <c r="L7" s="7"/>
      <c r="M7" s="5"/>
    </row>
    <row r="8" ht="15.75" customHeight="1">
      <c r="A8" s="5"/>
      <c r="B8" s="8"/>
      <c r="C8" s="9" t="s">
        <v>2</v>
      </c>
      <c r="D8" s="10"/>
      <c r="E8" s="10"/>
      <c r="F8" s="10"/>
      <c r="G8" s="10"/>
      <c r="H8" s="10"/>
      <c r="I8" s="10"/>
      <c r="J8" s="10"/>
      <c r="K8" s="10"/>
      <c r="L8" s="11"/>
      <c r="M8" s="5"/>
    </row>
    <row r="9" ht="15.75" customHeight="1">
      <c r="A9" s="5"/>
      <c r="B9" s="5"/>
      <c r="C9" s="5"/>
      <c r="D9" s="5"/>
      <c r="E9" s="5"/>
      <c r="F9" s="5"/>
      <c r="G9" s="5"/>
      <c r="H9" s="5"/>
      <c r="I9" s="5"/>
      <c r="J9" s="5"/>
      <c r="K9" s="5"/>
      <c r="L9" s="5"/>
      <c r="M9" s="5"/>
    </row>
    <row r="10" ht="15.75" customHeight="1">
      <c r="A10" s="5"/>
      <c r="B10" s="5"/>
      <c r="C10" s="12" t="s">
        <v>3</v>
      </c>
      <c r="D10" s="5"/>
      <c r="E10" s="5"/>
      <c r="F10" s="5"/>
      <c r="G10" s="5"/>
      <c r="H10" s="5"/>
      <c r="I10" s="5"/>
      <c r="J10" s="13" t="str">
        <f>HYPERLINK("https://isogg.org/tree/2018/index18.html","Main Page.")</f>
        <v>Main Page.</v>
      </c>
      <c r="K10" s="5"/>
      <c r="L10" s="5"/>
      <c r="M10" s="5"/>
    </row>
    <row r="11" ht="15.75" customHeight="1">
      <c r="A11" s="5"/>
      <c r="B11" s="5"/>
      <c r="C11" s="12" t="s">
        <v>4</v>
      </c>
      <c r="D11" s="5"/>
      <c r="E11" s="5"/>
      <c r="F11" s="5"/>
      <c r="G11" s="5"/>
      <c r="H11" s="14" t="str">
        <f>HYPERLINK("https://isogg.org/tree/2018/index18.html","Main Page.")</f>
        <v>Main Page.</v>
      </c>
      <c r="I11" s="5"/>
      <c r="J11" s="5"/>
      <c r="K11" s="5"/>
      <c r="L11" s="5"/>
      <c r="M11" s="5"/>
    </row>
    <row r="12" ht="15.75" customHeight="1">
      <c r="A12" s="5"/>
      <c r="B12" s="5"/>
      <c r="C12" s="5"/>
      <c r="D12" s="5"/>
      <c r="E12" s="5"/>
      <c r="F12" s="15" t="str">
        <f>HYPERLINK("https://isogg.org/tree/2018/ISOGG_YDNA_Version_History18.html","Version History")</f>
        <v>Version History</v>
      </c>
      <c r="G12" s="5"/>
      <c r="H12" s="12" t="s">
        <v>5</v>
      </c>
      <c r="I12" s="5"/>
      <c r="J12" s="5"/>
      <c r="K12" s="5"/>
      <c r="L12" s="5"/>
      <c r="M12" s="5"/>
    </row>
    <row r="13" ht="15.75" customHeight="1">
      <c r="A13" s="5"/>
      <c r="B13" s="5"/>
      <c r="C13" s="5"/>
      <c r="D13" s="5"/>
      <c r="E13" s="5"/>
      <c r="F13" s="5"/>
      <c r="G13" s="5"/>
      <c r="H13" s="5"/>
      <c r="I13" s="5"/>
      <c r="J13" s="5"/>
      <c r="K13" s="5"/>
      <c r="L13" s="5"/>
      <c r="M13" s="5"/>
    </row>
    <row r="14" ht="15.75" customHeight="1">
      <c r="A14" s="5"/>
      <c r="B14" s="16" t="s">
        <v>6</v>
      </c>
      <c r="M14" s="5"/>
    </row>
    <row r="15" ht="15.75" customHeight="1">
      <c r="A15" s="5"/>
      <c r="B15" s="16" t="s">
        <v>7</v>
      </c>
      <c r="K15" s="17" t="s">
        <v>8</v>
      </c>
      <c r="L15" s="5"/>
      <c r="M15" s="5"/>
    </row>
    <row r="16" ht="15.75" customHeight="1">
      <c r="A16" s="5"/>
      <c r="B16" s="5"/>
      <c r="C16" s="5"/>
      <c r="D16" s="5"/>
      <c r="E16" s="5"/>
      <c r="F16" s="5"/>
      <c r="G16" s="5"/>
      <c r="H16" s="5"/>
      <c r="I16" s="5"/>
      <c r="J16" s="5"/>
      <c r="K16" s="5"/>
      <c r="L16" s="5"/>
      <c r="M16" s="5"/>
    </row>
    <row r="17" ht="15.75" customHeight="1">
      <c r="A17" s="18" t="s">
        <v>9</v>
      </c>
      <c r="B17" s="5"/>
      <c r="C17" s="19" t="str">
        <f>HYPERLINK("https://isogg.org/tree/2018/index18.html","Main Page.")</f>
        <v>Main Page.</v>
      </c>
      <c r="D17" s="5"/>
      <c r="E17" s="5"/>
      <c r="F17" s="20" t="str">
        <f>HYPERLINK("https://docs.google.com/spreadsheets/d/1bYiTv-Zo2N2eynFJkhs8SRPMWWYMSBD4zwsRzagtp-c/edit#gid=0","Listing Criteria")</f>
        <v>Listing Criteria</v>
      </c>
      <c r="G17" s="5"/>
      <c r="H17" s="5"/>
      <c r="I17" s="20" t="str">
        <f>HYPERLINK("https://isogg.org/tree/2018/ISOGG_All_Papers18.html","Papers/Presentations Cited")</f>
        <v>Papers/Presentations Cited</v>
      </c>
      <c r="J17" s="5"/>
      <c r="K17" s="20" t="str">
        <f>HYPERLINK("https://docs.google.com/spreadsheets/d/1fyWMHOYKcR-t77kV-cN79A6B5-aBpQS8Y7W5juVKLV8/edit#gid=1904113265","Y-DNA Tree Trunk")</f>
        <v>Y-DNA Tree Trunk</v>
      </c>
      <c r="L17" s="5"/>
      <c r="M17" s="5"/>
    </row>
    <row r="18" ht="15.75" customHeight="1">
      <c r="A18" s="5"/>
      <c r="B18" s="5"/>
      <c r="C18" s="5"/>
      <c r="D18" s="5"/>
      <c r="E18" s="5"/>
      <c r="F18" s="5"/>
      <c r="G18" s="21" t="s">
        <v>10</v>
      </c>
      <c r="H18" s="5"/>
      <c r="I18" s="22" t="str">
        <f>HYPERLINK("https://isogg.org/tree/2018/ISOGG_YDNA_SNP_Index18.html","SNP Index")</f>
        <v>SNP Index</v>
      </c>
      <c r="J18" s="5"/>
      <c r="K18" s="5"/>
      <c r="L18" s="5"/>
      <c r="M18" s="23" t="s">
        <v>11</v>
      </c>
    </row>
    <row r="19" ht="15.75" customHeight="1">
      <c r="A19" s="5"/>
      <c r="B19" s="5"/>
      <c r="C19" s="5"/>
      <c r="D19" s="5"/>
      <c r="E19" s="5"/>
      <c r="F19" s="5"/>
      <c r="G19" s="5"/>
      <c r="H19" s="5"/>
      <c r="I19" s="5"/>
      <c r="J19" s="5"/>
      <c r="K19" s="5"/>
      <c r="L19" s="5"/>
      <c r="M19" s="5"/>
    </row>
    <row r="20" ht="15.75" customHeight="1">
      <c r="A20" s="18" t="s">
        <v>12</v>
      </c>
      <c r="B20" s="5"/>
      <c r="C20" s="5"/>
      <c r="D20" s="24" t="s">
        <v>13</v>
      </c>
      <c r="E20" s="5"/>
      <c r="F20" s="5"/>
      <c r="G20" s="5"/>
      <c r="H20" s="5"/>
      <c r="I20" s="25" t="s">
        <v>14</v>
      </c>
      <c r="J20" s="5"/>
      <c r="K20" s="5"/>
      <c r="L20" s="26" t="s">
        <v>15</v>
      </c>
      <c r="M20" s="5"/>
    </row>
    <row r="21" ht="15.75" customHeight="1">
      <c r="A21" s="5"/>
      <c r="B21" s="5"/>
      <c r="C21" s="5"/>
      <c r="D21" s="5"/>
      <c r="E21" s="5"/>
      <c r="F21" s="5"/>
      <c r="G21" s="5"/>
      <c r="H21" s="5"/>
      <c r="I21" s="5"/>
      <c r="J21" s="5"/>
      <c r="K21" s="5"/>
      <c r="L21" s="5"/>
      <c r="M21" s="5"/>
    </row>
    <row r="22" ht="15.75" customHeight="1">
      <c r="A22" s="18" t="s">
        <v>16</v>
      </c>
      <c r="B22" s="5"/>
      <c r="C22" s="5"/>
      <c r="D22" s="12" t="s">
        <v>17</v>
      </c>
      <c r="E22" s="5"/>
      <c r="F22" s="5"/>
      <c r="G22" s="5"/>
      <c r="H22" s="5"/>
      <c r="I22" s="5"/>
      <c r="J22" s="5"/>
      <c r="K22" s="5"/>
      <c r="L22" s="5"/>
      <c r="M22" s="5"/>
    </row>
    <row r="23" ht="15.75" customHeight="1">
      <c r="A23" s="5"/>
      <c r="B23" s="5"/>
      <c r="C23" s="5"/>
      <c r="D23" s="12" t="s">
        <v>18</v>
      </c>
      <c r="E23" s="5"/>
      <c r="F23" s="5"/>
      <c r="G23" s="5"/>
      <c r="H23" s="5"/>
      <c r="I23" s="5"/>
      <c r="J23" s="5"/>
      <c r="K23" s="5"/>
      <c r="L23" s="5"/>
      <c r="M23" s="5"/>
    </row>
    <row r="24" ht="15.75" customHeight="1">
      <c r="A24" s="5"/>
      <c r="B24" s="5"/>
      <c r="C24" s="5"/>
      <c r="D24" s="12" t="s">
        <v>19</v>
      </c>
      <c r="E24" s="5"/>
      <c r="F24" s="5"/>
      <c r="G24" s="5"/>
      <c r="H24" s="5"/>
      <c r="I24" s="5"/>
      <c r="J24" s="5"/>
      <c r="K24" s="5"/>
      <c r="L24" s="5"/>
      <c r="M24" s="5"/>
    </row>
    <row r="25" ht="15.75" customHeight="1">
      <c r="A25" s="5"/>
      <c r="B25" s="5"/>
      <c r="C25" s="5"/>
      <c r="D25" s="5"/>
      <c r="E25" s="5"/>
      <c r="F25" s="5"/>
      <c r="G25" s="5"/>
      <c r="H25" s="5"/>
      <c r="I25" s="5"/>
      <c r="J25" s="5"/>
      <c r="K25" s="5"/>
      <c r="L25" s="5"/>
      <c r="M25" s="5"/>
    </row>
    <row r="26" ht="15.75" customHeight="1">
      <c r="A26" s="5"/>
      <c r="B26" s="27" t="s">
        <v>20</v>
      </c>
      <c r="M26" s="5"/>
    </row>
    <row r="27" ht="15.75" customHeight="1">
      <c r="A27" s="5"/>
      <c r="B27" s="27" t="s">
        <v>21</v>
      </c>
      <c r="M27" s="5"/>
    </row>
    <row r="28" ht="15.75" customHeight="1">
      <c r="A28" s="5"/>
      <c r="B28" s="27" t="s">
        <v>22</v>
      </c>
      <c r="M28" s="5"/>
    </row>
    <row r="29" ht="15.75" customHeight="1">
      <c r="A29" s="5"/>
      <c r="B29" s="5"/>
      <c r="C29" s="5"/>
      <c r="D29" s="5"/>
      <c r="E29" s="5"/>
      <c r="F29" s="5"/>
      <c r="G29" s="5"/>
      <c r="H29" s="5"/>
      <c r="I29" s="5"/>
      <c r="J29" s="5"/>
      <c r="K29" s="5"/>
      <c r="L29" s="5"/>
      <c r="M29" s="5"/>
    </row>
    <row r="30" ht="15.75" customHeight="1">
      <c r="A30" s="5"/>
      <c r="B30" s="5"/>
      <c r="C30" s="25" t="s">
        <v>23</v>
      </c>
      <c r="D30" s="5"/>
      <c r="E30" s="5"/>
      <c r="F30" s="5"/>
      <c r="G30" s="5"/>
      <c r="H30" s="28" t="s">
        <v>24</v>
      </c>
      <c r="I30" s="5"/>
      <c r="J30" s="5" t="s">
        <v>25</v>
      </c>
      <c r="K30" s="5"/>
      <c r="L30" s="5"/>
      <c r="M30" s="5"/>
    </row>
    <row r="31" ht="15.75" customHeight="1">
      <c r="A31" s="5"/>
      <c r="B31" s="5"/>
      <c r="C31" s="5"/>
      <c r="D31" s="5"/>
      <c r="E31" s="5"/>
      <c r="F31" s="5"/>
      <c r="G31" s="5"/>
      <c r="H31" s="5"/>
      <c r="I31" s="5"/>
      <c r="J31" s="5"/>
      <c r="K31" s="5"/>
      <c r="L31" s="5"/>
      <c r="M31" s="5"/>
    </row>
    <row r="32" ht="15.75" customHeight="1">
      <c r="A32" s="5"/>
      <c r="B32" s="5"/>
      <c r="C32" s="5"/>
      <c r="D32" s="5"/>
      <c r="E32" s="5"/>
      <c r="F32" s="5"/>
      <c r="G32" s="5"/>
      <c r="H32" s="5"/>
      <c r="I32" s="5"/>
      <c r="J32" s="5"/>
      <c r="K32" s="5"/>
      <c r="L32" s="5"/>
      <c r="M32" s="5"/>
    </row>
    <row r="33" ht="15.75" customHeight="1">
      <c r="A33" s="29" t="s">
        <v>26</v>
      </c>
      <c r="B33" s="30" t="s">
        <v>27</v>
      </c>
    </row>
    <row r="34" ht="15.75" customHeight="1">
      <c r="A34" s="31" t="s">
        <v>28</v>
      </c>
      <c r="B34" s="32" t="s">
        <v>29</v>
      </c>
    </row>
    <row r="35" ht="15.75" customHeight="1">
      <c r="B35" s="29" t="s">
        <v>30</v>
      </c>
      <c r="C35" s="33" t="s">
        <v>31</v>
      </c>
    </row>
    <row r="36" ht="15.75" customHeight="1">
      <c r="B36" s="31" t="s">
        <v>32</v>
      </c>
      <c r="C36" s="32" t="s">
        <v>33</v>
      </c>
    </row>
    <row r="37" ht="15.75" customHeight="1">
      <c r="C37" s="29" t="s">
        <v>34</v>
      </c>
      <c r="D37" s="34" t="s">
        <v>35</v>
      </c>
    </row>
    <row r="38" ht="15.75" customHeight="1">
      <c r="D38" s="29" t="s">
        <v>36</v>
      </c>
      <c r="E38" s="33" t="s">
        <v>37</v>
      </c>
    </row>
    <row r="39" ht="15.75" customHeight="1">
      <c r="E39" s="29" t="s">
        <v>38</v>
      </c>
      <c r="F39" s="35" t="s">
        <v>39</v>
      </c>
    </row>
    <row r="40" ht="15.75" customHeight="1">
      <c r="F40" s="29" t="s">
        <v>40</v>
      </c>
      <c r="G40" s="36" t="s">
        <v>41</v>
      </c>
    </row>
    <row r="41" ht="15.75" customHeight="1">
      <c r="G41" s="29" t="s">
        <v>42</v>
      </c>
      <c r="H41" t="s">
        <v>43</v>
      </c>
    </row>
    <row r="42" ht="15.75" customHeight="1">
      <c r="G42" s="29" t="s">
        <v>44</v>
      </c>
      <c r="H42" s="35" t="s">
        <v>45</v>
      </c>
    </row>
    <row r="43" ht="15.75" customHeight="1">
      <c r="G43" s="31" t="s">
        <v>46</v>
      </c>
      <c r="H43" s="32" t="s">
        <v>47</v>
      </c>
    </row>
    <row r="44" ht="15.75" customHeight="1">
      <c r="G44" s="31" t="s">
        <v>48</v>
      </c>
      <c r="H44" s="32" t="s">
        <v>49</v>
      </c>
    </row>
    <row r="45" ht="15.75" customHeight="1">
      <c r="F45" s="31" t="s">
        <v>50</v>
      </c>
      <c r="G45" s="32" t="s">
        <v>51</v>
      </c>
    </row>
    <row r="46" ht="15.75" customHeight="1">
      <c r="F46" s="31" t="s">
        <v>52</v>
      </c>
      <c r="G46" s="32" t="s">
        <v>53</v>
      </c>
    </row>
    <row r="47" ht="15.75" customHeight="1">
      <c r="F47" s="29" t="s">
        <v>54</v>
      </c>
      <c r="G47" s="35" t="s">
        <v>55</v>
      </c>
    </row>
    <row r="48" ht="15.75" customHeight="1">
      <c r="G48" s="29" t="s">
        <v>56</v>
      </c>
      <c r="H48" s="37" t="s">
        <v>57</v>
      </c>
    </row>
    <row r="49" ht="15.75" customHeight="1">
      <c r="H49" s="31" t="s">
        <v>58</v>
      </c>
      <c r="I49" s="32" t="s">
        <v>59</v>
      </c>
    </row>
    <row r="50" ht="15.75" customHeight="1">
      <c r="H50" s="31" t="s">
        <v>60</v>
      </c>
      <c r="I50" s="32" t="s">
        <v>61</v>
      </c>
    </row>
    <row r="51" ht="15.75" customHeight="1">
      <c r="G51" s="29" t="s">
        <v>62</v>
      </c>
      <c r="H51" s="37" t="s">
        <v>63</v>
      </c>
    </row>
    <row r="52" ht="15.75" customHeight="1">
      <c r="H52" s="29" t="s">
        <v>64</v>
      </c>
      <c r="I52" s="35" t="s">
        <v>65</v>
      </c>
    </row>
    <row r="53" ht="15.75" customHeight="1">
      <c r="I53" s="31" t="s">
        <v>66</v>
      </c>
      <c r="J53" s="32" t="s">
        <v>67</v>
      </c>
    </row>
    <row r="54" ht="15.75" customHeight="1">
      <c r="I54" s="31" t="s">
        <v>68</v>
      </c>
      <c r="J54" s="32" t="s">
        <v>69</v>
      </c>
    </row>
    <row r="55" ht="15.75" customHeight="1">
      <c r="H55" s="29" t="s">
        <v>70</v>
      </c>
      <c r="I55" s="35" t="s">
        <v>71</v>
      </c>
    </row>
    <row r="56" ht="15.75" customHeight="1">
      <c r="I56" s="29" t="s">
        <v>72</v>
      </c>
      <c r="J56" s="35" t="s">
        <v>73</v>
      </c>
    </row>
    <row r="57" ht="15.75" customHeight="1">
      <c r="J57" s="29" t="s">
        <v>74</v>
      </c>
      <c r="K57" s="35" t="s">
        <v>75</v>
      </c>
    </row>
    <row r="58" ht="15.75" customHeight="1">
      <c r="K58" s="31" t="s">
        <v>76</v>
      </c>
      <c r="L58" s="32" t="s">
        <v>77</v>
      </c>
    </row>
    <row r="59" ht="15.75" customHeight="1">
      <c r="K59" s="31" t="s">
        <v>78</v>
      </c>
      <c r="L59" s="32" t="s">
        <v>79</v>
      </c>
    </row>
    <row r="60" ht="15.75" customHeight="1">
      <c r="J60" s="31" t="s">
        <v>80</v>
      </c>
      <c r="K60" s="32" t="s">
        <v>81</v>
      </c>
    </row>
    <row r="61" ht="15.75" customHeight="1">
      <c r="I61" s="29" t="s">
        <v>82</v>
      </c>
      <c r="J61" s="35" t="s">
        <v>83</v>
      </c>
    </row>
    <row r="62" ht="15.75" customHeight="1">
      <c r="J62" s="29" t="s">
        <v>84</v>
      </c>
      <c r="K62" s="37" t="s">
        <v>85</v>
      </c>
    </row>
    <row r="63" ht="15.75" customHeight="1">
      <c r="K63" s="31" t="s">
        <v>86</v>
      </c>
      <c r="L63" s="32" t="s">
        <v>87</v>
      </c>
    </row>
    <row r="64" ht="15.75" customHeight="1">
      <c r="K64" s="31" t="s">
        <v>88</v>
      </c>
      <c r="L64" s="32" t="s">
        <v>89</v>
      </c>
    </row>
    <row r="65" ht="15.75" customHeight="1">
      <c r="J65" s="31" t="s">
        <v>90</v>
      </c>
      <c r="K65" s="32" t="s">
        <v>91</v>
      </c>
    </row>
    <row r="66" ht="15.75" customHeight="1">
      <c r="I66" s="29" t="s">
        <v>92</v>
      </c>
      <c r="J66" s="36" t="s">
        <v>93</v>
      </c>
    </row>
    <row r="67" ht="15.75" customHeight="1">
      <c r="J67" s="29" t="s">
        <v>94</v>
      </c>
      <c r="K67" s="35" t="s">
        <v>95</v>
      </c>
    </row>
    <row r="68" ht="15.75" customHeight="1">
      <c r="K68" s="29" t="s">
        <v>96</v>
      </c>
      <c r="L68" s="35" t="s">
        <v>97</v>
      </c>
    </row>
    <row r="69" ht="15.75" customHeight="1">
      <c r="L69" s="29" t="s">
        <v>98</v>
      </c>
      <c r="M69" s="35" t="s">
        <v>99</v>
      </c>
    </row>
    <row r="70" ht="15.75" customHeight="1">
      <c r="M70" s="29" t="s">
        <v>100</v>
      </c>
      <c r="N70" s="35" t="s">
        <v>101</v>
      </c>
    </row>
    <row r="71" ht="15.75" customHeight="1">
      <c r="N71" s="31" t="s">
        <v>102</v>
      </c>
      <c r="O71" s="32" t="s">
        <v>103</v>
      </c>
    </row>
    <row r="72" ht="15.75" customHeight="1">
      <c r="N72" s="31" t="s">
        <v>104</v>
      </c>
      <c r="O72" s="32" t="s">
        <v>105</v>
      </c>
    </row>
    <row r="73" ht="15.75" customHeight="1">
      <c r="M73" s="31" t="s">
        <v>106</v>
      </c>
      <c r="N73" s="32" t="s">
        <v>107</v>
      </c>
    </row>
    <row r="74" ht="15.75" customHeight="1">
      <c r="L74" s="31" t="s">
        <v>108</v>
      </c>
      <c r="M74" s="32" t="s">
        <v>109</v>
      </c>
    </row>
    <row r="75" ht="15.75" customHeight="1">
      <c r="L75" s="31" t="s">
        <v>110</v>
      </c>
      <c r="M75" s="32" t="s">
        <v>111</v>
      </c>
    </row>
    <row r="76" ht="15.75" customHeight="1">
      <c r="K76" s="31" t="s">
        <v>112</v>
      </c>
      <c r="L76" s="32" t="s">
        <v>113</v>
      </c>
    </row>
    <row r="77" ht="15.75" customHeight="1">
      <c r="J77" s="31" t="s">
        <v>114</v>
      </c>
      <c r="K77" s="32" t="s">
        <v>115</v>
      </c>
    </row>
    <row r="78" ht="15.75" customHeight="1">
      <c r="J78" s="31" t="s">
        <v>116</v>
      </c>
      <c r="K78" s="32" t="s">
        <v>117</v>
      </c>
    </row>
    <row r="79" ht="15.75" customHeight="1">
      <c r="J79" s="31" t="s">
        <v>118</v>
      </c>
      <c r="K79" s="32" t="s">
        <v>119</v>
      </c>
    </row>
    <row r="80" ht="15.75" customHeight="1">
      <c r="I80" s="31" t="s">
        <v>120</v>
      </c>
      <c r="J80" s="32" t="s">
        <v>121</v>
      </c>
    </row>
    <row r="81" ht="15.75" customHeight="1">
      <c r="H81" s="29" t="s">
        <v>122</v>
      </c>
      <c r="I81" s="35" t="s">
        <v>123</v>
      </c>
    </row>
    <row r="82" ht="15.75" customHeight="1">
      <c r="I82" s="29" t="s">
        <v>124</v>
      </c>
      <c r="J82" s="37" t="s">
        <v>125</v>
      </c>
    </row>
    <row r="83" ht="15.75" customHeight="1">
      <c r="J83" s="29" t="s">
        <v>126</v>
      </c>
      <c r="K83" s="38" t="s">
        <v>127</v>
      </c>
    </row>
    <row r="84" ht="15.75" customHeight="1">
      <c r="K84" s="31" t="s">
        <v>128</v>
      </c>
      <c r="L84" s="32" t="s">
        <v>129</v>
      </c>
    </row>
    <row r="85" ht="15.75" customHeight="1">
      <c r="K85" s="31" t="s">
        <v>130</v>
      </c>
      <c r="L85" s="32" t="s">
        <v>131</v>
      </c>
    </row>
    <row r="86" ht="15.75" customHeight="1">
      <c r="J86" s="31" t="s">
        <v>132</v>
      </c>
      <c r="K86" s="32" t="s">
        <v>133</v>
      </c>
    </row>
    <row r="87" ht="15.75" customHeight="1">
      <c r="I87" s="29" t="s">
        <v>134</v>
      </c>
      <c r="J87" s="36" t="s">
        <v>135</v>
      </c>
    </row>
    <row r="88" ht="15.75" customHeight="1">
      <c r="J88" s="29" t="s">
        <v>136</v>
      </c>
      <c r="K88" s="36" t="s">
        <v>137</v>
      </c>
    </row>
    <row r="89" ht="15.75" customHeight="1">
      <c r="K89" s="29" t="s">
        <v>138</v>
      </c>
      <c r="L89" s="35" t="s">
        <v>139</v>
      </c>
    </row>
    <row r="90" ht="15.75" customHeight="1">
      <c r="L90" s="31" t="s">
        <v>140</v>
      </c>
      <c r="M90" s="32" t="s">
        <v>141</v>
      </c>
    </row>
    <row r="91" ht="15.75" customHeight="1">
      <c r="L91" s="31" t="s">
        <v>142</v>
      </c>
      <c r="M91" s="32" t="s">
        <v>143</v>
      </c>
    </row>
    <row r="92" ht="15.75" customHeight="1">
      <c r="L92" s="31" t="s">
        <v>144</v>
      </c>
      <c r="M92" s="32" t="s">
        <v>145</v>
      </c>
    </row>
    <row r="93" ht="15.75" customHeight="1">
      <c r="L93" s="31" t="s">
        <v>146</v>
      </c>
      <c r="M93" s="32" t="s">
        <v>147</v>
      </c>
    </row>
    <row r="94" ht="15.75" customHeight="1">
      <c r="L94" s="31" t="s">
        <v>148</v>
      </c>
      <c r="M94" s="32" t="s">
        <v>149</v>
      </c>
    </row>
    <row r="95" ht="15.75" customHeight="1">
      <c r="L95" s="31" t="s">
        <v>150</v>
      </c>
      <c r="M95" s="32" t="s">
        <v>151</v>
      </c>
    </row>
    <row r="96" ht="15.75" customHeight="1">
      <c r="L96" s="31" t="s">
        <v>152</v>
      </c>
      <c r="M96" s="39" t="s">
        <v>153</v>
      </c>
    </row>
    <row r="97" ht="15.75" customHeight="1">
      <c r="L97" s="31" t="s">
        <v>154</v>
      </c>
      <c r="M97" s="32" t="s">
        <v>155</v>
      </c>
    </row>
    <row r="98" ht="15.75" customHeight="1">
      <c r="L98" s="31" t="s">
        <v>156</v>
      </c>
      <c r="M98" s="32" t="s">
        <v>157</v>
      </c>
    </row>
    <row r="99" ht="15.75" customHeight="1">
      <c r="L99" s="31" t="s">
        <v>158</v>
      </c>
      <c r="M99" s="32" t="s">
        <v>159</v>
      </c>
    </row>
    <row r="100" ht="15.75" customHeight="1">
      <c r="L100" s="31" t="s">
        <v>160</v>
      </c>
      <c r="M100" s="32" t="s">
        <v>161</v>
      </c>
    </row>
    <row r="101" ht="15.75" customHeight="1">
      <c r="L101" s="31" t="s">
        <v>162</v>
      </c>
      <c r="M101" s="32" t="s">
        <v>163</v>
      </c>
    </row>
    <row r="102" ht="15.75" customHeight="1">
      <c r="K102" s="31" t="s">
        <v>164</v>
      </c>
      <c r="L102" s="32" t="s">
        <v>165</v>
      </c>
    </row>
    <row r="103" ht="15.75" customHeight="1">
      <c r="K103" s="31" t="s">
        <v>166</v>
      </c>
      <c r="L103" s="32" t="s">
        <v>167</v>
      </c>
    </row>
    <row r="104" ht="15.75" customHeight="1">
      <c r="J104" s="31" t="s">
        <v>168</v>
      </c>
      <c r="K104" s="32" t="s">
        <v>169</v>
      </c>
    </row>
    <row r="105" ht="15.75" customHeight="1">
      <c r="H105" s="29" t="s">
        <v>170</v>
      </c>
      <c r="I105" s="37" t="s">
        <v>171</v>
      </c>
    </row>
    <row r="106" ht="15.75" customHeight="1">
      <c r="I106" s="29" t="s">
        <v>172</v>
      </c>
      <c r="J106" s="35" t="s">
        <v>173</v>
      </c>
    </row>
    <row r="107" ht="15.75" customHeight="1">
      <c r="I107" s="31" t="s">
        <v>174</v>
      </c>
      <c r="J107" s="32" t="s">
        <v>175</v>
      </c>
    </row>
    <row r="108" ht="15.75" customHeight="1">
      <c r="J108" s="31" t="s">
        <v>176</v>
      </c>
      <c r="K108" s="32" t="s">
        <v>177</v>
      </c>
    </row>
    <row r="109" ht="15.75" customHeight="1">
      <c r="J109" s="31" t="s">
        <v>178</v>
      </c>
      <c r="K109" s="32" t="s">
        <v>179</v>
      </c>
    </row>
    <row r="110" ht="15.75" customHeight="1">
      <c r="I110" s="31" t="s">
        <v>180</v>
      </c>
      <c r="J110" s="39" t="s">
        <v>181</v>
      </c>
    </row>
    <row r="111" ht="15.75" customHeight="1">
      <c r="H111" s="31" t="s">
        <v>182</v>
      </c>
      <c r="I111" s="32" t="s">
        <v>183</v>
      </c>
    </row>
    <row r="112" ht="15.75" customHeight="1">
      <c r="H112" s="31" t="s">
        <v>184</v>
      </c>
      <c r="I112" s="32" t="s">
        <v>185</v>
      </c>
    </row>
    <row r="113" ht="15.75" customHeight="1">
      <c r="H113" s="31" t="s">
        <v>186</v>
      </c>
      <c r="I113" s="40" t="s">
        <v>187</v>
      </c>
    </row>
    <row r="114" ht="15.75" customHeight="1">
      <c r="F114" s="31" t="s">
        <v>188</v>
      </c>
      <c r="G114" s="32" t="s">
        <v>189</v>
      </c>
    </row>
    <row r="115" ht="15.75" customHeight="1">
      <c r="F115" s="31" t="s">
        <v>190</v>
      </c>
      <c r="G115" s="32" t="s">
        <v>191</v>
      </c>
    </row>
    <row r="116" ht="15.75" customHeight="1">
      <c r="E116" s="29" t="s">
        <v>192</v>
      </c>
      <c r="F116" s="35" t="s">
        <v>193</v>
      </c>
    </row>
    <row r="117" ht="15.75" customHeight="1">
      <c r="F117" s="29" t="s">
        <v>194</v>
      </c>
      <c r="G117" s="35" t="s">
        <v>195</v>
      </c>
    </row>
    <row r="118" ht="15.75" customHeight="1">
      <c r="G118" s="29" t="s">
        <v>196</v>
      </c>
      <c r="H118" s="37" t="s">
        <v>197</v>
      </c>
    </row>
    <row r="119" ht="15.75" customHeight="1">
      <c r="G119" s="31" t="s">
        <v>198</v>
      </c>
      <c r="H119" s="32" t="s">
        <v>199</v>
      </c>
    </row>
    <row r="120" ht="15.75" customHeight="1">
      <c r="H120" s="29" t="s">
        <v>200</v>
      </c>
      <c r="I120" s="35" t="s">
        <v>201</v>
      </c>
    </row>
    <row r="121" ht="15.75" customHeight="1">
      <c r="I121" s="31" t="s">
        <v>202</v>
      </c>
      <c r="J121" s="32" t="s">
        <v>203</v>
      </c>
    </row>
    <row r="122" ht="15.75" customHeight="1">
      <c r="I122" s="31" t="s">
        <v>204</v>
      </c>
      <c r="J122" s="32" t="s">
        <v>205</v>
      </c>
    </row>
    <row r="123" ht="15.75" customHeight="1">
      <c r="H123" s="31" t="s">
        <v>206</v>
      </c>
      <c r="I123" s="32" t="s">
        <v>207</v>
      </c>
    </row>
    <row r="124" ht="15.75" customHeight="1">
      <c r="G124" s="29" t="s">
        <v>208</v>
      </c>
      <c r="H124" s="35" t="s">
        <v>209</v>
      </c>
    </row>
    <row r="125" ht="15.75" customHeight="1">
      <c r="H125" s="31" t="s">
        <v>210</v>
      </c>
      <c r="I125" s="32" t="s">
        <v>211</v>
      </c>
    </row>
    <row r="126" ht="15.75" customHeight="1">
      <c r="H126" s="31" t="s">
        <v>212</v>
      </c>
      <c r="I126" s="32" t="s">
        <v>213</v>
      </c>
    </row>
    <row r="127" ht="15.75" customHeight="1">
      <c r="F127" s="31" t="s">
        <v>214</v>
      </c>
      <c r="G127" s="32" t="s">
        <v>215</v>
      </c>
    </row>
    <row r="128" ht="15.75" customHeight="1">
      <c r="E128" s="31" t="s">
        <v>216</v>
      </c>
      <c r="F128" s="32" t="s">
        <v>217</v>
      </c>
    </row>
    <row r="129" ht="15.75" customHeight="1">
      <c r="D129" s="29" t="s">
        <v>218</v>
      </c>
      <c r="E129" s="36" t="s">
        <v>219</v>
      </c>
    </row>
    <row r="130" ht="15.75" customHeight="1">
      <c r="E130" s="29" t="s">
        <v>220</v>
      </c>
      <c r="F130" s="37" t="s">
        <v>221</v>
      </c>
    </row>
    <row r="131" ht="15.75" customHeight="1">
      <c r="F131" s="31" t="s">
        <v>222</v>
      </c>
      <c r="G131" s="32" t="s">
        <v>223</v>
      </c>
    </row>
    <row r="132" ht="15.75" customHeight="1">
      <c r="F132" s="31" t="s">
        <v>224</v>
      </c>
      <c r="G132" s="39" t="s">
        <v>225</v>
      </c>
    </row>
    <row r="133" ht="15.75" customHeight="1">
      <c r="F133" s="31" t="s">
        <v>226</v>
      </c>
      <c r="G133" s="32" t="s">
        <v>227</v>
      </c>
    </row>
    <row r="134" ht="15.75" customHeight="1">
      <c r="F134" s="31" t="s">
        <v>228</v>
      </c>
      <c r="G134" s="32" t="s">
        <v>229</v>
      </c>
    </row>
    <row r="135" ht="15.75" customHeight="1">
      <c r="E135" s="29" t="s">
        <v>230</v>
      </c>
      <c r="F135" s="33" t="s">
        <v>231</v>
      </c>
    </row>
    <row r="136" ht="15.75" customHeight="1">
      <c r="E136" s="31" t="s">
        <v>232</v>
      </c>
      <c r="F136" s="32" t="s">
        <v>233</v>
      </c>
    </row>
    <row r="137" ht="15.75" customHeight="1">
      <c r="F137" s="29" t="s">
        <v>234</v>
      </c>
      <c r="G137" s="36" t="s">
        <v>235</v>
      </c>
    </row>
    <row r="138" ht="15.75" customHeight="1">
      <c r="G138" s="29" t="s">
        <v>236</v>
      </c>
      <c r="H138" s="37" t="s">
        <v>237</v>
      </c>
    </row>
    <row r="139" ht="15.75" customHeight="1">
      <c r="H139" s="31" t="s">
        <v>238</v>
      </c>
      <c r="I139" s="32" t="s">
        <v>239</v>
      </c>
    </row>
    <row r="140" ht="15.75" customHeight="1">
      <c r="H140" s="31" t="s">
        <v>240</v>
      </c>
      <c r="I140" s="32" t="s">
        <v>241</v>
      </c>
    </row>
    <row r="141" ht="15.75" customHeight="1">
      <c r="G141" s="29" t="s">
        <v>242</v>
      </c>
      <c r="H141" s="37" t="s">
        <v>243</v>
      </c>
    </row>
    <row r="142" ht="15.75" customHeight="1">
      <c r="G142" s="31" t="s">
        <v>244</v>
      </c>
      <c r="H142" s="32" t="s">
        <v>245</v>
      </c>
    </row>
    <row r="143" ht="15.75" customHeight="1">
      <c r="H143" s="31" t="s">
        <v>246</v>
      </c>
      <c r="I143" s="32" t="s">
        <v>247</v>
      </c>
    </row>
    <row r="144" ht="15.75" customHeight="1">
      <c r="H144" s="31" t="s">
        <v>248</v>
      </c>
      <c r="I144" s="32" t="s">
        <v>249</v>
      </c>
    </row>
    <row r="145" ht="15.75" customHeight="1">
      <c r="G145" s="29" t="s">
        <v>250</v>
      </c>
      <c r="H145" s="35" t="s">
        <v>251</v>
      </c>
    </row>
    <row r="146" ht="15.75" customHeight="1">
      <c r="H146" s="31" t="s">
        <v>252</v>
      </c>
      <c r="I146" s="32" t="s">
        <v>253</v>
      </c>
    </row>
    <row r="147" ht="15.75" customHeight="1">
      <c r="H147" s="31" t="s">
        <v>254</v>
      </c>
      <c r="I147" s="32" t="s">
        <v>255</v>
      </c>
    </row>
    <row r="148" ht="15.75" customHeight="1">
      <c r="C148" s="31" t="s">
        <v>256</v>
      </c>
      <c r="D148" s="32" t="s">
        <v>257</v>
      </c>
    </row>
    <row r="149" ht="15.75" customHeight="1">
      <c r="B149" s="29" t="s">
        <v>258</v>
      </c>
      <c r="C149" s="37" t="s">
        <v>259</v>
      </c>
    </row>
    <row r="150" ht="15.75" customHeight="1">
      <c r="B150" s="31" t="s">
        <v>260</v>
      </c>
      <c r="C150" s="41" t="s">
        <v>261</v>
      </c>
    </row>
    <row r="151" ht="15.75" customHeight="1">
      <c r="C151" s="29" t="s">
        <v>262</v>
      </c>
      <c r="D151" s="33" t="s">
        <v>263</v>
      </c>
    </row>
    <row r="152" ht="15.75" customHeight="1">
      <c r="C152" s="31" t="s">
        <v>264</v>
      </c>
      <c r="D152" s="32" t="s">
        <v>265</v>
      </c>
    </row>
    <row r="153" ht="15.75" customHeight="1">
      <c r="D153" s="31" t="s">
        <v>266</v>
      </c>
      <c r="E153" s="42" t="s">
        <v>267</v>
      </c>
    </row>
    <row r="154" ht="15.75" customHeight="1">
      <c r="E154" s="29" t="s">
        <v>268</v>
      </c>
      <c r="F154" s="35" t="s">
        <v>269</v>
      </c>
    </row>
    <row r="155" ht="15.75" customHeight="1">
      <c r="E155" s="31" t="s">
        <v>270</v>
      </c>
      <c r="F155" s="42" t="s">
        <v>271</v>
      </c>
    </row>
    <row r="156" ht="15.75" customHeight="1">
      <c r="F156" s="31" t="s">
        <v>272</v>
      </c>
      <c r="G156" s="32" t="s">
        <v>273</v>
      </c>
    </row>
    <row r="157" ht="15.75" customHeight="1">
      <c r="G157" s="31" t="s">
        <v>274</v>
      </c>
      <c r="H157" s="32" t="s">
        <v>275</v>
      </c>
    </row>
    <row r="158" ht="15.75" customHeight="1">
      <c r="C158" s="31" t="s">
        <v>276</v>
      </c>
      <c r="D158" s="32" t="s">
        <v>277</v>
      </c>
    </row>
    <row r="159" ht="15.75" customHeight="1">
      <c r="D159" s="29" t="s">
        <v>278</v>
      </c>
      <c r="E159" s="37" t="s">
        <v>279</v>
      </c>
    </row>
    <row r="160" ht="15.75" customHeight="1">
      <c r="D160" s="31" t="s">
        <v>280</v>
      </c>
      <c r="E160" s="32" t="s">
        <v>281</v>
      </c>
    </row>
    <row r="161" ht="15.75" customHeight="1">
      <c r="E161" s="31" t="s">
        <v>282</v>
      </c>
      <c r="F161" s="42" t="s">
        <v>283</v>
      </c>
    </row>
    <row r="162" ht="15.75" customHeight="1">
      <c r="E162" s="31" t="s">
        <v>284</v>
      </c>
      <c r="F162" s="32" t="s">
        <v>285</v>
      </c>
      <c r="G162" s="32"/>
    </row>
    <row r="163" ht="15.75" customHeight="1">
      <c r="D163" s="31" t="s">
        <v>286</v>
      </c>
      <c r="E163" s="32" t="s">
        <v>287</v>
      </c>
    </row>
    <row r="164" ht="15.75" customHeight="1">
      <c r="C164" s="31" t="s">
        <v>288</v>
      </c>
      <c r="D164" s="32" t="s">
        <v>289</v>
      </c>
    </row>
    <row r="165" ht="15.75" customHeight="1">
      <c r="D165" s="31" t="s">
        <v>290</v>
      </c>
      <c r="E165" s="32" t="s">
        <v>291</v>
      </c>
    </row>
    <row r="166" ht="15.75" customHeight="1">
      <c r="E166" s="31" t="s">
        <v>292</v>
      </c>
      <c r="F166" s="42" t="s">
        <v>293</v>
      </c>
    </row>
    <row r="167" ht="15.75" customHeight="1">
      <c r="F167" s="31" t="s">
        <v>294</v>
      </c>
      <c r="G167" s="42" t="s">
        <v>295</v>
      </c>
    </row>
    <row r="168" ht="15.75" customHeight="1">
      <c r="G168" s="31" t="s">
        <v>296</v>
      </c>
      <c r="H168" s="32" t="s">
        <v>297</v>
      </c>
    </row>
    <row r="169" ht="15.75" customHeight="1">
      <c r="H169" s="31" t="s">
        <v>298</v>
      </c>
      <c r="I169" s="32" t="s">
        <v>299</v>
      </c>
    </row>
    <row r="170" ht="15.75" customHeight="1">
      <c r="D170" s="31" t="s">
        <v>300</v>
      </c>
      <c r="E170" s="43" t="s">
        <v>301</v>
      </c>
    </row>
    <row r="171" ht="15.75" customHeight="1">
      <c r="B171" s="29" t="s">
        <v>302</v>
      </c>
      <c r="C171" s="33" t="s">
        <v>303</v>
      </c>
    </row>
    <row r="172" ht="15.75" customHeight="1">
      <c r="B172" s="31" t="s">
        <v>304</v>
      </c>
      <c r="C172" s="42" t="s">
        <v>305</v>
      </c>
    </row>
    <row r="173" ht="15.75" customHeight="1">
      <c r="C173" s="29" t="s">
        <v>306</v>
      </c>
      <c r="D173" s="37" t="s">
        <v>307</v>
      </c>
    </row>
    <row r="174" ht="15.75" customHeight="1">
      <c r="D174" s="29" t="s">
        <v>308</v>
      </c>
      <c r="E174" s="33" t="s">
        <v>309</v>
      </c>
    </row>
    <row r="175" ht="15.75" customHeight="1">
      <c r="D175" s="31" t="s">
        <v>310</v>
      </c>
      <c r="E175" s="32" t="s">
        <v>311</v>
      </c>
    </row>
    <row r="176" ht="15.75" customHeight="1">
      <c r="E176" s="31" t="s">
        <v>312</v>
      </c>
      <c r="F176" s="32" t="s">
        <v>313</v>
      </c>
    </row>
    <row r="177" ht="15.75" customHeight="1">
      <c r="E177" s="31" t="s">
        <v>314</v>
      </c>
      <c r="F177" s="32" t="s">
        <v>315</v>
      </c>
    </row>
    <row r="178" ht="15.75" customHeight="1">
      <c r="E178" s="31" t="s">
        <v>316</v>
      </c>
      <c r="F178" s="32" t="s">
        <v>317</v>
      </c>
    </row>
    <row r="179" ht="15.75" customHeight="1">
      <c r="D179" s="29" t="s">
        <v>318</v>
      </c>
      <c r="E179" s="37" t="s">
        <v>319</v>
      </c>
    </row>
    <row r="180" ht="15.75" customHeight="1">
      <c r="E180" s="29" t="s">
        <v>320</v>
      </c>
      <c r="F180" s="33" t="s">
        <v>321</v>
      </c>
    </row>
    <row r="181" ht="15.75" customHeight="1">
      <c r="E181" s="31" t="s">
        <v>322</v>
      </c>
      <c r="F181" s="32" t="s">
        <v>323</v>
      </c>
    </row>
    <row r="182" ht="15.75" customHeight="1">
      <c r="F182" s="29" t="s">
        <v>324</v>
      </c>
      <c r="G182" s="35" t="s">
        <v>325</v>
      </c>
    </row>
    <row r="183" ht="15.75" customHeight="1">
      <c r="G183" s="29" t="s">
        <v>326</v>
      </c>
      <c r="H183" s="37" t="s">
        <v>327</v>
      </c>
    </row>
    <row r="184" ht="15.75" customHeight="1">
      <c r="H184" s="31" t="s">
        <v>328</v>
      </c>
      <c r="I184" s="32" t="s">
        <v>329</v>
      </c>
    </row>
    <row r="185" ht="15.75" customHeight="1">
      <c r="I185" s="31" t="s">
        <v>330</v>
      </c>
      <c r="J185" s="32" t="s">
        <v>331</v>
      </c>
    </row>
    <row r="186" ht="15.75" customHeight="1">
      <c r="I186" s="31" t="s">
        <v>332</v>
      </c>
      <c r="J186" s="32" t="s">
        <v>333</v>
      </c>
    </row>
    <row r="187" ht="15.75" customHeight="1">
      <c r="H187" s="31" t="s">
        <v>334</v>
      </c>
      <c r="I187" s="32" t="s">
        <v>335</v>
      </c>
    </row>
    <row r="188" ht="15.75" customHeight="1">
      <c r="G188" s="31" t="s">
        <v>336</v>
      </c>
      <c r="H188" s="32" t="s">
        <v>337</v>
      </c>
    </row>
    <row r="189" ht="15.75" customHeight="1">
      <c r="F189" s="29" t="s">
        <v>338</v>
      </c>
      <c r="G189" s="37" t="s">
        <v>339</v>
      </c>
    </row>
    <row r="190" ht="15.75" customHeight="1">
      <c r="G190" s="31" t="s">
        <v>340</v>
      </c>
      <c r="H190" s="32" t="s">
        <v>341</v>
      </c>
    </row>
    <row r="191" ht="15.75" customHeight="1">
      <c r="G191" s="31" t="s">
        <v>342</v>
      </c>
      <c r="H191" s="32" t="s">
        <v>343</v>
      </c>
    </row>
    <row r="192" ht="15.75" customHeight="1">
      <c r="E192" s="29" t="s">
        <v>344</v>
      </c>
      <c r="F192" s="33" t="s">
        <v>345</v>
      </c>
    </row>
    <row r="193" ht="15.75" customHeight="1">
      <c r="F193" s="31" t="s">
        <v>346</v>
      </c>
      <c r="G193" s="32" t="s">
        <v>347</v>
      </c>
    </row>
    <row r="194" ht="15.75" customHeight="1">
      <c r="F194" s="31" t="s">
        <v>348</v>
      </c>
      <c r="G194" s="32" t="s">
        <v>349</v>
      </c>
    </row>
    <row r="195" ht="15.75" customHeight="1">
      <c r="C195" s="29" t="s">
        <v>350</v>
      </c>
      <c r="D195" s="37" t="s">
        <v>351</v>
      </c>
    </row>
    <row r="196" ht="15.75" customHeight="1">
      <c r="C196" s="31" t="s">
        <v>352</v>
      </c>
      <c r="D196" s="32" t="s">
        <v>353</v>
      </c>
    </row>
    <row r="197" ht="15.75" customHeight="1">
      <c r="D197" s="29" t="s">
        <v>354</v>
      </c>
      <c r="E197" s="37" t="s">
        <v>355</v>
      </c>
    </row>
    <row r="198" ht="15.75" customHeight="1">
      <c r="E198" s="31" t="s">
        <v>356</v>
      </c>
      <c r="F198" s="32" t="s">
        <v>357</v>
      </c>
    </row>
    <row r="199" ht="15.75" customHeight="1">
      <c r="E199" s="31" t="s">
        <v>358</v>
      </c>
      <c r="F199" s="39" t="s">
        <v>359</v>
      </c>
    </row>
    <row r="200" ht="15.75" customHeight="1">
      <c r="E200" s="31" t="s">
        <v>360</v>
      </c>
      <c r="F200" s="39" t="s">
        <v>361</v>
      </c>
    </row>
    <row r="201" ht="15.75" customHeight="1">
      <c r="D201" s="29" t="s">
        <v>362</v>
      </c>
      <c r="E201" s="35" t="s">
        <v>363</v>
      </c>
    </row>
    <row r="202" ht="15.75" customHeight="1">
      <c r="E202" s="31" t="s">
        <v>364</v>
      </c>
      <c r="F202" s="32" t="s">
        <v>365</v>
      </c>
    </row>
    <row r="203" ht="15.75" customHeight="1">
      <c r="E203" s="31" t="s">
        <v>366</v>
      </c>
      <c r="F203" s="32" t="s">
        <v>367</v>
      </c>
    </row>
    <row r="204" ht="15.75" customHeight="1"/>
    <row r="205" ht="15.75" customHeight="1">
      <c r="B205" s="44" t="s">
        <v>368</v>
      </c>
      <c r="C205" s="45"/>
      <c r="D205" s="45"/>
      <c r="E205" s="45"/>
      <c r="F205" s="45"/>
      <c r="G205" s="45"/>
      <c r="H205" s="46"/>
    </row>
    <row r="206" ht="15.75" customHeight="1"/>
    <row r="207" ht="15.75" customHeight="1">
      <c r="A207" s="47" t="s">
        <v>369</v>
      </c>
    </row>
    <row r="208" ht="15.75" customHeight="1"/>
    <row r="209" ht="15.75" customHeight="1">
      <c r="A209" s="48" t="s">
        <v>370</v>
      </c>
      <c r="B209" s="49"/>
      <c r="C209" s="49"/>
      <c r="D209" s="49"/>
      <c r="E209" s="49"/>
      <c r="F209" s="49"/>
      <c r="G209" s="49"/>
      <c r="H209" s="49"/>
      <c r="I209" s="49"/>
      <c r="J209" s="49"/>
      <c r="K209" s="49"/>
    </row>
    <row r="210" ht="15.75" customHeight="1">
      <c r="B210" s="50" t="s">
        <v>371</v>
      </c>
    </row>
    <row r="211" ht="15.75" customHeight="1">
      <c r="A211" s="48" t="s">
        <v>372</v>
      </c>
    </row>
    <row r="212" ht="15.75" customHeight="1">
      <c r="B212" s="48" t="s">
        <v>373</v>
      </c>
    </row>
    <row r="213" ht="15.75" customHeight="1">
      <c r="B213" s="48" t="s">
        <v>374</v>
      </c>
    </row>
    <row r="214" ht="15.75" customHeight="1">
      <c r="B214" s="48" t="s">
        <v>375</v>
      </c>
    </row>
    <row r="215" ht="15.75" customHeight="1">
      <c r="B215" s="48" t="s">
        <v>376</v>
      </c>
    </row>
    <row r="216" ht="15.75" customHeight="1">
      <c r="B216" s="48" t="s">
        <v>377</v>
      </c>
    </row>
    <row r="217" ht="15.75" customHeight="1">
      <c r="B217" s="48" t="s">
        <v>378</v>
      </c>
    </row>
    <row r="218" ht="15.75" customHeight="1">
      <c r="B218" s="48" t="s">
        <v>379</v>
      </c>
    </row>
    <row r="219" ht="15.75" customHeight="1">
      <c r="B219" s="48" t="s">
        <v>380</v>
      </c>
    </row>
    <row r="220" ht="15.75" customHeight="1">
      <c r="B220" s="48" t="s">
        <v>381</v>
      </c>
    </row>
    <row r="221" ht="15.75" customHeight="1">
      <c r="A221" s="48" t="s">
        <v>382</v>
      </c>
    </row>
    <row r="222" ht="15.75" customHeight="1">
      <c r="B222" s="48" t="s">
        <v>383</v>
      </c>
    </row>
    <row r="223" ht="15.75" customHeight="1"/>
    <row r="224" ht="15.75" customHeight="1">
      <c r="A224" s="51" t="s">
        <v>384</v>
      </c>
    </row>
    <row r="225" ht="15.75" customHeight="1"/>
    <row r="226" ht="15.75" customHeight="1">
      <c r="A226" s="48" t="s">
        <v>385</v>
      </c>
    </row>
    <row r="227" ht="15.75" customHeight="1"/>
    <row r="228" ht="15.75" customHeight="1">
      <c r="A228" s="49" t="s">
        <v>386</v>
      </c>
    </row>
    <row r="229" ht="15.75" customHeight="1">
      <c r="A229" s="49" t="s">
        <v>387</v>
      </c>
    </row>
    <row r="230" ht="15.75" customHeight="1"/>
    <row r="231" ht="15.75" customHeight="1"/>
    <row r="232" ht="15.75" customHeight="1">
      <c r="A232" s="47" t="s">
        <v>388</v>
      </c>
    </row>
    <row r="233" ht="15.75" customHeight="1"/>
    <row r="234" ht="15.75" customHeight="1">
      <c r="A234" s="52" t="s">
        <v>389</v>
      </c>
    </row>
    <row r="235" ht="15.75" customHeight="1">
      <c r="A235" s="52" t="s">
        <v>390</v>
      </c>
    </row>
    <row r="236" ht="15.75" customHeight="1">
      <c r="A236" s="52" t="s">
        <v>391</v>
      </c>
    </row>
    <row r="237" ht="15.75" customHeight="1">
      <c r="A237" s="52" t="s">
        <v>392</v>
      </c>
    </row>
    <row r="238" ht="15.75" customHeight="1">
      <c r="A238" s="52" t="s">
        <v>393</v>
      </c>
    </row>
    <row r="239" ht="15.75" customHeight="1">
      <c r="A239" s="52" t="s">
        <v>394</v>
      </c>
    </row>
    <row r="240" ht="15.75" customHeight="1">
      <c r="A240" s="52" t="s">
        <v>395</v>
      </c>
    </row>
    <row r="241" ht="15.75" customHeight="1">
      <c r="A241" s="52" t="s">
        <v>396</v>
      </c>
    </row>
    <row r="242" ht="15.75" customHeight="1">
      <c r="A242" s="52" t="s">
        <v>397</v>
      </c>
    </row>
    <row r="243" ht="15.75" customHeight="1">
      <c r="A243" s="52" t="s">
        <v>398</v>
      </c>
    </row>
    <row r="244" ht="15.75" customHeight="1"/>
    <row r="245" ht="15.75" customHeight="1">
      <c r="A245" s="47" t="s">
        <v>399</v>
      </c>
    </row>
    <row r="246" ht="15.75" customHeight="1"/>
    <row r="247" ht="15.75" customHeight="1">
      <c r="A247" s="52" t="s">
        <v>400</v>
      </c>
      <c r="D247" s="48" t="s">
        <v>401</v>
      </c>
    </row>
    <row r="248" ht="15.75" customHeight="1">
      <c r="A248" s="52" t="s">
        <v>402</v>
      </c>
      <c r="E248" s="48" t="s">
        <v>403</v>
      </c>
    </row>
    <row r="249" ht="15.75" customHeight="1"/>
    <row r="250" ht="15.75" customHeight="1">
      <c r="A250" s="47" t="s">
        <v>404</v>
      </c>
    </row>
    <row r="251" ht="15.75" customHeight="1"/>
    <row r="252" ht="15.75" customHeight="1">
      <c r="B252" s="53" t="s">
        <v>405</v>
      </c>
    </row>
    <row r="253" ht="15.75" customHeight="1"/>
    <row r="254" ht="15.75" customHeight="1">
      <c r="A254" s="53" t="s">
        <v>406</v>
      </c>
    </row>
    <row r="255" ht="15.75" customHeight="1">
      <c r="B255" s="54" t="str">
        <f>HYPERLINK("https://isogg.org/tree/2018/index18.html","Main Page")</f>
        <v>Main Page</v>
      </c>
    </row>
    <row r="256" ht="15.75" customHeight="1">
      <c r="B256" s="54" t="str">
        <f>HYPERLINK("https://docs.google.com/spreadsheets/d/1fyWMHOYKcR-t77kV-cN79A6B5-aBpQS8Y7W5juVKLV8/edit#gid=1904113265","Y-DNA Tree Trunk")</f>
        <v>Y-DNA Tree Trunk</v>
      </c>
    </row>
    <row r="257" ht="15.75" customHeight="1">
      <c r="B257" s="54" t="str">
        <f>HYPERLINK("https://isogg.org/tree/2018/ISOGG_YDNA_SNP_Index18.html","SNP Index")</f>
        <v>SNP Index</v>
      </c>
    </row>
    <row r="258" ht="15.75" customHeight="1">
      <c r="B258" s="54" t="str">
        <f>HYPERLINK("https://isogg.org/tree/2018/ISOGG_All_Papers18.html","Papers/Presentations Cited")</f>
        <v>Papers/Presentations Cited</v>
      </c>
    </row>
    <row r="259" ht="15.75" customHeight="1">
      <c r="B259" s="54" t="str">
        <f>HYPERLINK("https://isogg.org/tree/2018/ISOGG_Glossary18.html","Glossary")</f>
        <v>Glossary</v>
      </c>
    </row>
    <row r="260" ht="15.75" customHeight="1">
      <c r="B260" s="54" t="str">
        <f>HYPERLINK("https://docs.google.com/spreadsheets/d/1bYiTv-Zo2N2eynFJkhs8SRPMWWYMSBD4zwsRzagtp-c/edit#gid=0","Listing Criteria")</f>
        <v>Listing Criteria</v>
      </c>
    </row>
    <row r="261" ht="15.75" customHeight="1"/>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ht="15.75" customHeight="1">
      <c r="A263" s="55" t="s">
        <v>407</v>
      </c>
      <c r="B263" s="56"/>
      <c r="C263" s="56"/>
      <c r="D263" s="56"/>
      <c r="E263" s="56"/>
      <c r="F263" s="57"/>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ht="15.75" customHeight="1">
      <c r="A264" s="5"/>
      <c r="B264" s="5"/>
      <c r="C264" s="5"/>
      <c r="D264" s="5"/>
      <c r="E264" s="5"/>
      <c r="F264" s="5"/>
      <c r="G264" s="5"/>
      <c r="H264" s="5"/>
      <c r="I264" s="5"/>
      <c r="J264" s="58" t="s">
        <v>25</v>
      </c>
      <c r="K264" s="59" t="s">
        <v>408</v>
      </c>
      <c r="L264" s="5"/>
      <c r="M264" s="5"/>
      <c r="N264" s="5"/>
      <c r="O264" s="5"/>
      <c r="P264" s="5"/>
      <c r="Q264" s="5"/>
      <c r="R264" s="5"/>
      <c r="S264" s="5"/>
      <c r="T264" s="5"/>
      <c r="U264" s="5"/>
      <c r="V264" s="5"/>
      <c r="W264" s="5"/>
      <c r="X264" s="5"/>
      <c r="Y264" s="5"/>
      <c r="Z264" s="5"/>
      <c r="AA264" s="5"/>
      <c r="AB264" s="5"/>
      <c r="AC264" s="5"/>
      <c r="AD264" s="5"/>
      <c r="AE264" s="5"/>
      <c r="AF264" s="5"/>
      <c r="AG264" s="5"/>
    </row>
    <row r="265" ht="15.75" customHeight="1">
      <c r="A265" s="5"/>
      <c r="B265" s="5"/>
      <c r="C265" s="5"/>
      <c r="D265" s="5"/>
      <c r="E265" s="5"/>
      <c r="F265" s="5"/>
      <c r="G265" s="5"/>
      <c r="H265" s="5"/>
      <c r="I265" s="5"/>
      <c r="J265" s="5" t="s">
        <v>25</v>
      </c>
      <c r="K265" s="60" t="s">
        <v>409</v>
      </c>
      <c r="L265" s="60" t="s">
        <v>410</v>
      </c>
      <c r="M265" s="60" t="s">
        <v>411</v>
      </c>
      <c r="N265" s="60" t="s">
        <v>412</v>
      </c>
      <c r="O265" s="61" t="s">
        <v>413</v>
      </c>
      <c r="P265" s="61" t="s">
        <v>414</v>
      </c>
      <c r="Q265" s="60" t="s">
        <v>415</v>
      </c>
      <c r="R265" s="5"/>
      <c r="S265" s="5"/>
      <c r="T265" s="5"/>
      <c r="U265" s="5"/>
      <c r="V265" s="5"/>
      <c r="W265" s="5"/>
      <c r="X265" s="5"/>
      <c r="Y265" s="5"/>
      <c r="Z265" s="5"/>
      <c r="AA265" s="5"/>
      <c r="AB265" s="5"/>
      <c r="AC265" s="5"/>
      <c r="AD265" s="5"/>
      <c r="AE265" s="5"/>
      <c r="AF265" s="5"/>
      <c r="AG265" s="5"/>
    </row>
    <row r="266" ht="15.75" customHeight="1">
      <c r="A266" s="5"/>
      <c r="B266" s="5"/>
      <c r="C266" s="5" t="s">
        <v>25</v>
      </c>
      <c r="D266" s="5" t="s">
        <v>25</v>
      </c>
      <c r="E266" s="55" t="s">
        <v>407</v>
      </c>
      <c r="F266" s="56"/>
      <c r="G266" s="56"/>
      <c r="H266" s="56"/>
      <c r="I266" s="56"/>
      <c r="J266" s="57"/>
      <c r="K266" s="62" t="s">
        <v>416</v>
      </c>
      <c r="L266" s="62" t="str">
        <f>A33</f>
        <v>H</v>
      </c>
      <c r="M266" s="62" t="s">
        <v>417</v>
      </c>
      <c r="N266" s="63" t="s">
        <v>418</v>
      </c>
      <c r="O266" s="64">
        <v>1.7844304E7</v>
      </c>
      <c r="P266" s="64">
        <v>1.5732424E7</v>
      </c>
      <c r="Q266" s="62" t="s">
        <v>419</v>
      </c>
      <c r="R266" s="5"/>
      <c r="S266" s="5"/>
      <c r="T266" s="5"/>
      <c r="U266" s="5"/>
      <c r="V266" s="5"/>
      <c r="W266" s="5"/>
      <c r="X266" s="5"/>
      <c r="Y266" s="5"/>
      <c r="Z266" s="5"/>
      <c r="AA266" s="5"/>
      <c r="AB266" s="5"/>
      <c r="AC266" s="5"/>
      <c r="AD266" s="5"/>
      <c r="AE266" s="5"/>
      <c r="AF266" s="5"/>
      <c r="AG266" s="5"/>
    </row>
    <row r="267" ht="15.75" customHeight="1">
      <c r="A267" s="5"/>
      <c r="B267" s="5"/>
      <c r="C267" s="5"/>
      <c r="D267" s="5"/>
      <c r="E267" s="5"/>
      <c r="F267" s="5"/>
      <c r="G267" s="5"/>
      <c r="H267" s="5"/>
      <c r="I267" s="5"/>
      <c r="J267" s="5"/>
      <c r="K267" s="62" t="s">
        <v>417</v>
      </c>
      <c r="L267" s="62" t="str">
        <f>A33</f>
        <v>H</v>
      </c>
      <c r="M267" s="62" t="s">
        <v>416</v>
      </c>
      <c r="N267" s="62" t="s">
        <v>418</v>
      </c>
      <c r="O267" s="65">
        <v>1.7844304E7</v>
      </c>
      <c r="P267" s="65">
        <v>1.5732424E7</v>
      </c>
      <c r="Q267" s="62" t="s">
        <v>419</v>
      </c>
      <c r="R267" s="5"/>
      <c r="S267" s="5"/>
      <c r="T267" s="5"/>
      <c r="U267" s="5"/>
      <c r="V267" s="5"/>
      <c r="W267" s="5"/>
      <c r="X267" s="5"/>
      <c r="Y267" s="5"/>
      <c r="Z267" s="5"/>
      <c r="AA267" s="5"/>
      <c r="AB267" s="5"/>
      <c r="AC267" s="5"/>
      <c r="AD267" s="5"/>
      <c r="AE267" s="5"/>
      <c r="AF267" s="5"/>
      <c r="AG267" s="5"/>
    </row>
    <row r="268" ht="15.75" customHeight="1">
      <c r="K268" t="s">
        <v>420</v>
      </c>
      <c r="L268" t="str">
        <f>A33</f>
        <v>H</v>
      </c>
      <c r="M268" t="s">
        <v>421</v>
      </c>
      <c r="N268" t="s">
        <v>422</v>
      </c>
      <c r="O268">
        <v>6855809.0</v>
      </c>
      <c r="P268">
        <v>6987768.0</v>
      </c>
      <c r="Q268" t="s">
        <v>423</v>
      </c>
      <c r="R268" s="5"/>
      <c r="S268" s="5"/>
      <c r="T268" s="5"/>
      <c r="U268" s="5"/>
      <c r="V268" s="5"/>
      <c r="W268" s="5"/>
      <c r="X268" s="5"/>
      <c r="Y268" s="5"/>
      <c r="Z268" s="5"/>
      <c r="AA268" s="5"/>
      <c r="AB268" s="5"/>
      <c r="AC268" s="5"/>
      <c r="AD268" s="5"/>
      <c r="AE268" s="5"/>
      <c r="AF268" s="5"/>
      <c r="AG268" s="5"/>
    </row>
    <row r="269" ht="15.75" customHeight="1">
      <c r="K269" t="s">
        <v>421</v>
      </c>
      <c r="L269" t="str">
        <f>A33</f>
        <v>H</v>
      </c>
      <c r="M269" t="s">
        <v>420</v>
      </c>
      <c r="N269" t="s">
        <v>422</v>
      </c>
      <c r="O269">
        <v>6855809.0</v>
      </c>
      <c r="P269">
        <v>6987768.0</v>
      </c>
      <c r="Q269" t="s">
        <v>423</v>
      </c>
      <c r="R269" s="5"/>
      <c r="S269" s="5"/>
      <c r="T269" s="5"/>
      <c r="U269" s="5"/>
      <c r="V269" s="5"/>
      <c r="W269" s="5"/>
      <c r="X269" s="5"/>
      <c r="Y269" s="5"/>
      <c r="Z269" s="5"/>
      <c r="AA269" s="5"/>
      <c r="AB269" s="5"/>
      <c r="AC269" s="5"/>
      <c r="AD269" s="5"/>
      <c r="AE269" s="5"/>
      <c r="AF269" s="5"/>
      <c r="AG269" s="5"/>
    </row>
    <row r="270" ht="15.75" customHeight="1">
      <c r="K270" t="s">
        <v>424</v>
      </c>
      <c r="L270" t="str">
        <f>A33</f>
        <v>H</v>
      </c>
      <c r="M270" t="s">
        <v>425</v>
      </c>
      <c r="N270" t="s">
        <v>426</v>
      </c>
      <c r="O270">
        <v>1.7476211E7</v>
      </c>
      <c r="P270">
        <v>1.5364331E7</v>
      </c>
      <c r="Q270" t="s">
        <v>427</v>
      </c>
      <c r="R270" s="5"/>
      <c r="S270" s="5"/>
      <c r="T270" s="5"/>
      <c r="U270" s="5"/>
      <c r="V270" s="5"/>
      <c r="W270" s="5"/>
      <c r="X270" s="5"/>
      <c r="Y270" s="5"/>
      <c r="Z270" s="5"/>
      <c r="AA270" s="5"/>
      <c r="AB270" s="5"/>
      <c r="AC270" s="5"/>
      <c r="AD270" s="5"/>
      <c r="AE270" s="5"/>
      <c r="AF270" s="5"/>
      <c r="AG270" s="5"/>
    </row>
    <row r="271" ht="15.75" customHeight="1">
      <c r="K271" t="s">
        <v>425</v>
      </c>
      <c r="L271" t="str">
        <f>A33</f>
        <v>H</v>
      </c>
      <c r="M271" t="s">
        <v>424</v>
      </c>
      <c r="N271" t="s">
        <v>426</v>
      </c>
      <c r="O271">
        <v>1.7476211E7</v>
      </c>
      <c r="P271">
        <v>1.5364331E7</v>
      </c>
      <c r="Q271" t="s">
        <v>427</v>
      </c>
      <c r="R271" s="5"/>
      <c r="S271" s="5"/>
      <c r="T271" s="5"/>
      <c r="U271" s="5"/>
      <c r="V271" s="5"/>
      <c r="W271" s="5"/>
      <c r="X271" s="5"/>
      <c r="Y271" s="5"/>
      <c r="Z271" s="5"/>
      <c r="AA271" s="5"/>
      <c r="AB271" s="5"/>
      <c r="AC271" s="5"/>
      <c r="AD271" s="5"/>
      <c r="AE271" s="5"/>
      <c r="AF271" s="5"/>
      <c r="AG271" s="5"/>
    </row>
    <row r="272" ht="15.75" customHeight="1">
      <c r="K272" t="s">
        <v>428</v>
      </c>
      <c r="L272" t="str">
        <f>A33</f>
        <v>H</v>
      </c>
      <c r="M272" t="s">
        <v>429</v>
      </c>
      <c r="N272" t="s">
        <v>430</v>
      </c>
      <c r="O272">
        <v>1.7800761E7</v>
      </c>
      <c r="P272">
        <v>1.5688881E7</v>
      </c>
      <c r="Q272" t="s">
        <v>431</v>
      </c>
      <c r="R272" s="5"/>
      <c r="S272" s="5"/>
      <c r="T272" s="5"/>
      <c r="U272" s="5"/>
      <c r="V272" s="5"/>
      <c r="W272" s="5"/>
      <c r="X272" s="5"/>
      <c r="Y272" s="5"/>
      <c r="Z272" s="5"/>
      <c r="AA272" s="5"/>
      <c r="AB272" s="5"/>
      <c r="AC272" s="5"/>
      <c r="AD272" s="5"/>
      <c r="AE272" s="5"/>
      <c r="AF272" s="5"/>
      <c r="AG272" s="5"/>
    </row>
    <row r="273" ht="15.75" customHeight="1">
      <c r="K273" t="s">
        <v>429</v>
      </c>
      <c r="L273" t="str">
        <f>A33</f>
        <v>H</v>
      </c>
      <c r="M273" t="s">
        <v>428</v>
      </c>
      <c r="N273" t="s">
        <v>430</v>
      </c>
      <c r="O273">
        <v>1.7800761E7</v>
      </c>
      <c r="P273">
        <v>1.5688881E7</v>
      </c>
      <c r="Q273" t="s">
        <v>431</v>
      </c>
      <c r="R273" s="5"/>
      <c r="S273" s="5"/>
      <c r="T273" s="5"/>
      <c r="U273" s="5"/>
      <c r="V273" s="5"/>
      <c r="W273" s="5"/>
      <c r="X273" s="5"/>
      <c r="Y273" s="5"/>
      <c r="Z273" s="5"/>
      <c r="AA273" s="5"/>
      <c r="AB273" s="5"/>
      <c r="AC273" s="5"/>
      <c r="AD273" s="5"/>
      <c r="AE273" s="5"/>
      <c r="AF273" s="5"/>
      <c r="AG273" s="5"/>
    </row>
    <row r="274" ht="15.75" customHeight="1">
      <c r="K274" t="s">
        <v>432</v>
      </c>
      <c r="L274" t="str">
        <f>A33</f>
        <v>H</v>
      </c>
      <c r="M274" t="s">
        <v>433</v>
      </c>
      <c r="N274" t="s">
        <v>434</v>
      </c>
      <c r="O274">
        <v>1.7887908E7</v>
      </c>
      <c r="P274">
        <v>1.5776028E7</v>
      </c>
      <c r="Q274" t="s">
        <v>435</v>
      </c>
      <c r="R274" s="5"/>
      <c r="S274" s="5"/>
      <c r="T274" s="5"/>
      <c r="U274" s="5"/>
      <c r="V274" s="5"/>
      <c r="W274" s="5"/>
      <c r="X274" s="5"/>
      <c r="Y274" s="5"/>
      <c r="Z274" s="5"/>
      <c r="AA274" s="5"/>
      <c r="AB274" s="5"/>
      <c r="AC274" s="5"/>
      <c r="AD274" s="5"/>
      <c r="AE274" s="5"/>
      <c r="AF274" s="5"/>
      <c r="AG274" s="5"/>
    </row>
    <row r="275" ht="15.75" customHeight="1">
      <c r="K275" t="s">
        <v>433</v>
      </c>
      <c r="L275" t="str">
        <f>A33</f>
        <v>H</v>
      </c>
      <c r="M275" t="s">
        <v>432</v>
      </c>
      <c r="N275" t="s">
        <v>434</v>
      </c>
      <c r="O275">
        <v>1.7887908E7</v>
      </c>
      <c r="P275">
        <v>1.5776028E7</v>
      </c>
      <c r="Q275" t="s">
        <v>435</v>
      </c>
      <c r="R275" s="5"/>
      <c r="S275" s="5"/>
      <c r="T275" s="5"/>
      <c r="U275" s="5"/>
      <c r="V275" s="5"/>
      <c r="W275" s="5"/>
      <c r="X275" s="5"/>
      <c r="Y275" s="5"/>
      <c r="Z275" s="5"/>
      <c r="AA275" s="5"/>
      <c r="AB275" s="5"/>
      <c r="AC275" s="5"/>
      <c r="AD275" s="5"/>
      <c r="AE275" s="5"/>
      <c r="AF275" s="5"/>
      <c r="AG275" s="5"/>
    </row>
    <row r="276" ht="15.75" customHeight="1">
      <c r="K276" t="s">
        <v>436</v>
      </c>
      <c r="L276" t="str">
        <f>A33</f>
        <v>H</v>
      </c>
      <c r="M276" t="s">
        <v>437</v>
      </c>
      <c r="N276" t="s">
        <v>438</v>
      </c>
      <c r="O276">
        <v>1.7941203E7</v>
      </c>
      <c r="P276">
        <v>1.5829323E7</v>
      </c>
      <c r="Q276" t="s">
        <v>423</v>
      </c>
      <c r="R276" s="5"/>
      <c r="S276" s="5"/>
      <c r="T276" s="5"/>
      <c r="U276" s="5"/>
      <c r="V276" s="5"/>
      <c r="W276" s="5"/>
      <c r="X276" s="5"/>
      <c r="Y276" s="5"/>
      <c r="Z276" s="5"/>
      <c r="AA276" s="5"/>
      <c r="AB276" s="5"/>
      <c r="AC276" s="5"/>
      <c r="AD276" s="5"/>
      <c r="AE276" s="5"/>
      <c r="AF276" s="5"/>
      <c r="AG276" s="5"/>
    </row>
    <row r="277" ht="15.75" customHeight="1">
      <c r="K277" t="s">
        <v>437</v>
      </c>
      <c r="L277" t="str">
        <f>A33</f>
        <v>H</v>
      </c>
      <c r="M277" t="s">
        <v>436</v>
      </c>
      <c r="N277" t="s">
        <v>438</v>
      </c>
      <c r="O277">
        <v>1.7941203E7</v>
      </c>
      <c r="P277">
        <v>1.5829323E7</v>
      </c>
      <c r="Q277" t="s">
        <v>423</v>
      </c>
      <c r="R277" s="5"/>
      <c r="S277" s="5"/>
      <c r="T277" s="5"/>
      <c r="U277" s="5"/>
      <c r="V277" s="5"/>
      <c r="W277" s="5"/>
      <c r="X277" s="5"/>
      <c r="Y277" s="5"/>
      <c r="Z277" s="5"/>
      <c r="AA277" s="5"/>
      <c r="AB277" s="5"/>
      <c r="AC277" s="5"/>
      <c r="AD277" s="5"/>
      <c r="AE277" s="5"/>
      <c r="AF277" s="5"/>
      <c r="AG277" s="5"/>
    </row>
    <row r="278" ht="15.75" customHeight="1">
      <c r="K278" t="s">
        <v>439</v>
      </c>
      <c r="L278" t="str">
        <f>A33</f>
        <v>H</v>
      </c>
      <c r="M278" t="s">
        <v>440</v>
      </c>
      <c r="N278" t="s">
        <v>441</v>
      </c>
      <c r="O278">
        <v>1.8182848E7</v>
      </c>
      <c r="P278">
        <v>1.6070968E7</v>
      </c>
      <c r="Q278" t="s">
        <v>427</v>
      </c>
      <c r="R278" s="5"/>
      <c r="S278" s="5"/>
      <c r="T278" s="5"/>
      <c r="U278" s="5"/>
      <c r="V278" s="5"/>
      <c r="W278" s="5"/>
      <c r="X278" s="5"/>
      <c r="Y278" s="5"/>
      <c r="Z278" s="5"/>
      <c r="AA278" s="5"/>
      <c r="AB278" s="5"/>
      <c r="AC278" s="5"/>
      <c r="AD278" s="5"/>
      <c r="AE278" s="5"/>
      <c r="AF278" s="5"/>
      <c r="AG278" s="5"/>
    </row>
    <row r="279" ht="15.75" customHeight="1">
      <c r="K279" t="s">
        <v>440</v>
      </c>
      <c r="L279" t="str">
        <f>A33</f>
        <v>H</v>
      </c>
      <c r="M279" t="s">
        <v>439</v>
      </c>
      <c r="N279" t="s">
        <v>441</v>
      </c>
      <c r="O279">
        <v>1.8182848E7</v>
      </c>
      <c r="P279">
        <v>1.6070968E7</v>
      </c>
      <c r="Q279" t="s">
        <v>427</v>
      </c>
      <c r="R279" s="5"/>
      <c r="S279" s="5"/>
      <c r="T279" s="5"/>
      <c r="U279" s="5"/>
      <c r="V279" s="5"/>
      <c r="W279" s="5"/>
      <c r="X279" s="5"/>
      <c r="Y279" s="5"/>
      <c r="Z279" s="5"/>
      <c r="AA279" s="5"/>
      <c r="AB279" s="5"/>
      <c r="AC279" s="5"/>
      <c r="AD279" s="5"/>
      <c r="AE279" s="5"/>
      <c r="AF279" s="5"/>
      <c r="AG279" s="5"/>
    </row>
    <row r="280" ht="15.75" customHeight="1">
      <c r="K280" t="s">
        <v>442</v>
      </c>
      <c r="L280" t="str">
        <f>A33</f>
        <v>H</v>
      </c>
      <c r="M280" t="s">
        <v>443</v>
      </c>
      <c r="N280" t="s">
        <v>444</v>
      </c>
      <c r="O280">
        <v>1.8788668E7</v>
      </c>
      <c r="P280">
        <v>1.6676788E7</v>
      </c>
      <c r="Q280" t="s">
        <v>427</v>
      </c>
      <c r="R280" s="5"/>
      <c r="S280" s="5"/>
      <c r="T280" s="5"/>
      <c r="U280" s="5"/>
      <c r="V280" s="5"/>
      <c r="W280" s="5"/>
      <c r="X280" s="5"/>
      <c r="Y280" s="5"/>
      <c r="Z280" s="5"/>
      <c r="AA280" s="5"/>
      <c r="AB280" s="5"/>
      <c r="AC280" s="5"/>
      <c r="AD280" s="5"/>
      <c r="AE280" s="5"/>
      <c r="AF280" s="5"/>
      <c r="AG280" s="5"/>
    </row>
    <row r="281" ht="15.75" customHeight="1">
      <c r="K281" t="s">
        <v>443</v>
      </c>
      <c r="L281" t="str">
        <f>A33</f>
        <v>H</v>
      </c>
      <c r="M281" t="s">
        <v>442</v>
      </c>
      <c r="N281" t="s">
        <v>444</v>
      </c>
      <c r="O281">
        <v>1.8788668E7</v>
      </c>
      <c r="P281">
        <v>1.6676788E7</v>
      </c>
      <c r="Q281" t="s">
        <v>427</v>
      </c>
      <c r="R281" s="5"/>
      <c r="S281" s="5"/>
      <c r="T281" s="5"/>
      <c r="U281" s="5"/>
      <c r="V281" s="5"/>
      <c r="W281" s="5"/>
      <c r="X281" s="5"/>
      <c r="Y281" s="5"/>
      <c r="Z281" s="5"/>
      <c r="AA281" s="5"/>
      <c r="AB281" s="5"/>
      <c r="AC281" s="5"/>
      <c r="AD281" s="5"/>
      <c r="AE281" s="5"/>
      <c r="AF281" s="5"/>
      <c r="AG281" s="5"/>
    </row>
    <row r="282" ht="15.75" customHeight="1">
      <c r="K282" t="s">
        <v>445</v>
      </c>
      <c r="L282" t="str">
        <f>A33</f>
        <v>H</v>
      </c>
      <c r="M282" t="s">
        <v>446</v>
      </c>
      <c r="N282" t="s">
        <v>447</v>
      </c>
      <c r="O282">
        <v>1.953544E7</v>
      </c>
      <c r="P282">
        <v>1.742356E7</v>
      </c>
      <c r="Q282" t="s">
        <v>448</v>
      </c>
      <c r="R282" s="5"/>
      <c r="S282" s="5"/>
      <c r="T282" s="5"/>
      <c r="U282" s="5"/>
      <c r="V282" s="5"/>
      <c r="W282" s="5"/>
      <c r="X282" s="5"/>
      <c r="Y282" s="5"/>
      <c r="Z282" s="5"/>
      <c r="AA282" s="5"/>
      <c r="AB282" s="5"/>
      <c r="AC282" s="5"/>
      <c r="AD282" s="5"/>
      <c r="AE282" s="5"/>
      <c r="AF282" s="5"/>
      <c r="AG282" s="5"/>
    </row>
    <row r="283" ht="15.75" customHeight="1">
      <c r="K283" t="s">
        <v>446</v>
      </c>
      <c r="L283" t="str">
        <f>A33</f>
        <v>H</v>
      </c>
      <c r="M283" t="s">
        <v>445</v>
      </c>
      <c r="N283" t="s">
        <v>447</v>
      </c>
      <c r="O283">
        <v>1.953544E7</v>
      </c>
      <c r="P283">
        <v>1.742356E7</v>
      </c>
      <c r="Q283" t="s">
        <v>448</v>
      </c>
      <c r="R283" s="5"/>
      <c r="S283" s="5"/>
      <c r="T283" s="5"/>
      <c r="U283" s="5"/>
      <c r="V283" s="5"/>
      <c r="W283" s="5"/>
      <c r="X283" s="5"/>
      <c r="Y283" s="5"/>
      <c r="Z283" s="5"/>
      <c r="AA283" s="5"/>
      <c r="AB283" s="5"/>
      <c r="AC283" s="5"/>
      <c r="AD283" s="5"/>
      <c r="AE283" s="5"/>
      <c r="AF283" s="5"/>
      <c r="AG283" s="5"/>
    </row>
    <row r="284" ht="15.75" customHeight="1">
      <c r="K284" t="s">
        <v>449</v>
      </c>
      <c r="L284" t="str">
        <f>A33</f>
        <v>H</v>
      </c>
      <c r="M284" t="s">
        <v>450</v>
      </c>
      <c r="N284" t="s">
        <v>451</v>
      </c>
      <c r="O284">
        <v>2.1270517E7</v>
      </c>
      <c r="P284">
        <v>1.9108631E7</v>
      </c>
      <c r="Q284" t="s">
        <v>452</v>
      </c>
      <c r="R284" s="5"/>
      <c r="S284" s="5"/>
      <c r="T284" s="5"/>
      <c r="U284" s="5"/>
      <c r="V284" s="5"/>
      <c r="W284" s="5"/>
      <c r="X284" s="5"/>
      <c r="Y284" s="5"/>
      <c r="Z284" s="5"/>
      <c r="AA284" s="5"/>
      <c r="AB284" s="5"/>
      <c r="AC284" s="5"/>
      <c r="AD284" s="5"/>
      <c r="AE284" s="5"/>
      <c r="AF284" s="5"/>
      <c r="AG284" s="5"/>
    </row>
    <row r="285" ht="15.75" customHeight="1">
      <c r="K285" t="s">
        <v>450</v>
      </c>
      <c r="L285" t="str">
        <f>A33</f>
        <v>H</v>
      </c>
      <c r="M285" t="s">
        <v>449</v>
      </c>
      <c r="N285" t="s">
        <v>451</v>
      </c>
      <c r="O285">
        <v>2.1270517E7</v>
      </c>
      <c r="P285">
        <v>1.9108631E7</v>
      </c>
      <c r="Q285" t="s">
        <v>452</v>
      </c>
      <c r="R285" s="5"/>
      <c r="S285" s="5"/>
      <c r="T285" s="5"/>
      <c r="U285" s="5"/>
      <c r="V285" s="5"/>
      <c r="W285" s="5"/>
      <c r="X285" s="5"/>
      <c r="Y285" s="5"/>
      <c r="Z285" s="5"/>
      <c r="AA285" s="5"/>
      <c r="AB285" s="5"/>
      <c r="AC285" s="5"/>
      <c r="AD285" s="5"/>
      <c r="AE285" s="5"/>
      <c r="AF285" s="5"/>
      <c r="AG285" s="5"/>
    </row>
    <row r="286" ht="15.75" customHeight="1">
      <c r="K286" t="s">
        <v>453</v>
      </c>
      <c r="L286" t="str">
        <f>A33</f>
        <v>H</v>
      </c>
      <c r="M286" t="s">
        <v>454</v>
      </c>
      <c r="N286" t="s">
        <v>455</v>
      </c>
      <c r="O286">
        <v>2.1345124E7</v>
      </c>
      <c r="P286">
        <v>1.9183238E7</v>
      </c>
      <c r="Q286" t="s">
        <v>427</v>
      </c>
      <c r="R286" s="5"/>
      <c r="S286" s="5"/>
      <c r="T286" s="5"/>
      <c r="U286" s="5"/>
      <c r="V286" s="5"/>
      <c r="W286" s="5"/>
      <c r="X286" s="5"/>
      <c r="Y286" s="5"/>
      <c r="Z286" s="5"/>
      <c r="AA286" s="5"/>
      <c r="AB286" s="5"/>
      <c r="AC286" s="5"/>
      <c r="AD286" s="5"/>
      <c r="AE286" s="5"/>
      <c r="AF286" s="5"/>
      <c r="AG286" s="5"/>
    </row>
    <row r="287" ht="15.75" customHeight="1">
      <c r="K287" t="s">
        <v>454</v>
      </c>
      <c r="L287" t="str">
        <f>A33</f>
        <v>H</v>
      </c>
      <c r="M287" t="s">
        <v>453</v>
      </c>
      <c r="N287" t="s">
        <v>455</v>
      </c>
      <c r="O287">
        <v>2.1345124E7</v>
      </c>
      <c r="P287">
        <v>1.9183238E7</v>
      </c>
      <c r="Q287" t="s">
        <v>427</v>
      </c>
      <c r="R287" s="5"/>
      <c r="S287" s="5"/>
      <c r="T287" s="5"/>
      <c r="U287" s="5"/>
      <c r="V287" s="5"/>
      <c r="W287" s="5"/>
      <c r="X287" s="5"/>
      <c r="Y287" s="5"/>
      <c r="Z287" s="5"/>
      <c r="AA287" s="5"/>
      <c r="AB287" s="5"/>
      <c r="AC287" s="5"/>
      <c r="AD287" s="5"/>
      <c r="AE287" s="5"/>
      <c r="AF287" s="5"/>
      <c r="AG287" s="5"/>
    </row>
    <row r="288" ht="15.75" customHeight="1">
      <c r="K288" t="s">
        <v>456</v>
      </c>
      <c r="L288" t="str">
        <f>A33</f>
        <v>H</v>
      </c>
      <c r="M288" t="s">
        <v>457</v>
      </c>
      <c r="N288" t="s">
        <v>458</v>
      </c>
      <c r="O288">
        <v>2.2701876E7</v>
      </c>
      <c r="P288">
        <v>2.053999E7</v>
      </c>
      <c r="Q288" t="s">
        <v>459</v>
      </c>
      <c r="R288" s="5"/>
      <c r="S288" s="5"/>
      <c r="T288" s="5"/>
      <c r="U288" s="5"/>
      <c r="V288" s="5"/>
      <c r="W288" s="5"/>
      <c r="X288" s="5"/>
      <c r="Y288" s="5"/>
      <c r="Z288" s="5"/>
      <c r="AA288" s="5"/>
      <c r="AB288" s="5"/>
      <c r="AC288" s="5"/>
      <c r="AD288" s="5"/>
      <c r="AE288" s="5"/>
      <c r="AF288" s="5"/>
      <c r="AG288" s="5"/>
    </row>
    <row r="289" ht="15.75" customHeight="1">
      <c r="K289" t="s">
        <v>457</v>
      </c>
      <c r="L289" t="str">
        <f>A33</f>
        <v>H</v>
      </c>
      <c r="M289" t="s">
        <v>456</v>
      </c>
      <c r="N289" t="s">
        <v>458</v>
      </c>
      <c r="O289">
        <v>2.2701876E7</v>
      </c>
      <c r="P289">
        <v>2.053999E7</v>
      </c>
      <c r="Q289" t="s">
        <v>459</v>
      </c>
      <c r="R289" s="5"/>
      <c r="S289" s="5"/>
      <c r="T289" s="5"/>
      <c r="U289" s="5"/>
      <c r="V289" s="5"/>
      <c r="W289" s="5"/>
      <c r="X289" s="5"/>
      <c r="Y289" s="5"/>
      <c r="Z289" s="5"/>
      <c r="AA289" s="5"/>
      <c r="AB289" s="5"/>
      <c r="AC289" s="5"/>
      <c r="AD289" s="5"/>
      <c r="AE289" s="5"/>
      <c r="AF289" s="5"/>
      <c r="AG289" s="5"/>
    </row>
    <row r="290" ht="15.75" customHeight="1">
      <c r="K290" t="s">
        <v>460</v>
      </c>
      <c r="L290" t="str">
        <f>A33</f>
        <v>H</v>
      </c>
      <c r="M290" t="s">
        <v>461</v>
      </c>
      <c r="N290" t="s">
        <v>462</v>
      </c>
      <c r="O290">
        <v>2.2951796E7</v>
      </c>
      <c r="P290">
        <v>2.078991E7</v>
      </c>
      <c r="Q290" t="s">
        <v>423</v>
      </c>
      <c r="R290" s="5"/>
      <c r="S290" s="5"/>
      <c r="T290" s="5"/>
      <c r="U290" s="5"/>
      <c r="V290" s="5"/>
      <c r="W290" s="5"/>
      <c r="X290" s="5"/>
      <c r="Y290" s="5"/>
      <c r="Z290" s="5"/>
      <c r="AA290" s="5"/>
      <c r="AB290" s="5"/>
      <c r="AC290" s="5"/>
      <c r="AD290" s="5"/>
      <c r="AE290" s="5"/>
      <c r="AF290" s="5"/>
      <c r="AG290" s="5"/>
    </row>
    <row r="291" ht="15.75" customHeight="1">
      <c r="K291" t="s">
        <v>461</v>
      </c>
      <c r="L291" t="str">
        <f>A33</f>
        <v>H</v>
      </c>
      <c r="M291" t="s">
        <v>460</v>
      </c>
      <c r="N291" t="s">
        <v>462</v>
      </c>
      <c r="O291">
        <v>2.2951796E7</v>
      </c>
      <c r="P291">
        <v>2.078991E7</v>
      </c>
      <c r="Q291" t="s">
        <v>423</v>
      </c>
      <c r="R291" s="5"/>
      <c r="S291" s="5"/>
      <c r="T291" s="5"/>
      <c r="U291" s="5"/>
      <c r="V291" s="5"/>
      <c r="W291" s="5"/>
      <c r="X291" s="5"/>
      <c r="Y291" s="5"/>
      <c r="Z291" s="5"/>
      <c r="AA291" s="5"/>
      <c r="AB291" s="5"/>
      <c r="AC291" s="5"/>
      <c r="AD291" s="5"/>
      <c r="AE291" s="5"/>
      <c r="AF291" s="5"/>
      <c r="AG291" s="5"/>
    </row>
    <row r="292" ht="15.75" customHeight="1">
      <c r="K292" t="s">
        <v>463</v>
      </c>
      <c r="L292" t="str">
        <f>A33</f>
        <v>H</v>
      </c>
      <c r="M292" t="s">
        <v>464</v>
      </c>
      <c r="N292" t="s">
        <v>465</v>
      </c>
      <c r="O292">
        <v>2.3033176E7</v>
      </c>
      <c r="P292">
        <v>2.087129E7</v>
      </c>
      <c r="Q292" t="s">
        <v>423</v>
      </c>
      <c r="R292" s="5"/>
      <c r="S292" s="5"/>
      <c r="T292" s="5"/>
      <c r="U292" s="5"/>
      <c r="V292" s="5"/>
      <c r="W292" s="5"/>
      <c r="X292" s="5"/>
      <c r="Y292" s="5"/>
      <c r="Z292" s="5"/>
      <c r="AA292" s="5"/>
      <c r="AB292" s="5"/>
      <c r="AC292" s="5"/>
      <c r="AD292" s="5"/>
      <c r="AE292" s="5"/>
      <c r="AF292" s="5"/>
      <c r="AG292" s="5"/>
    </row>
    <row r="293" ht="15.75" customHeight="1">
      <c r="K293" t="s">
        <v>464</v>
      </c>
      <c r="L293" t="str">
        <f>A33</f>
        <v>H</v>
      </c>
      <c r="M293" t="s">
        <v>463</v>
      </c>
      <c r="N293" t="s">
        <v>465</v>
      </c>
      <c r="O293">
        <v>2.3033176E7</v>
      </c>
      <c r="P293">
        <v>2.087129E7</v>
      </c>
      <c r="Q293" t="s">
        <v>423</v>
      </c>
      <c r="R293" s="5"/>
      <c r="S293" s="5"/>
      <c r="T293" s="5"/>
      <c r="U293" s="5"/>
      <c r="V293" s="5"/>
      <c r="W293" s="5"/>
      <c r="X293" s="5"/>
      <c r="Y293" s="5"/>
      <c r="Z293" s="5"/>
      <c r="AA293" s="5"/>
      <c r="AB293" s="5"/>
      <c r="AC293" s="5"/>
      <c r="AD293" s="5"/>
      <c r="AE293" s="5"/>
      <c r="AF293" s="5"/>
      <c r="AG293" s="5"/>
    </row>
    <row r="294" ht="15.75" customHeight="1">
      <c r="K294" t="s">
        <v>466</v>
      </c>
      <c r="L294" t="str">
        <f>A33</f>
        <v>H</v>
      </c>
      <c r="M294" t="s">
        <v>467</v>
      </c>
      <c r="N294" t="s">
        <v>468</v>
      </c>
      <c r="O294">
        <v>2.3153863E7</v>
      </c>
      <c r="P294">
        <v>2.0991977E7</v>
      </c>
      <c r="Q294" t="s">
        <v>452</v>
      </c>
      <c r="R294" s="5"/>
      <c r="S294" s="5"/>
      <c r="T294" s="5"/>
      <c r="U294" s="5"/>
      <c r="V294" s="5"/>
      <c r="W294" s="5"/>
      <c r="X294" s="5"/>
      <c r="Y294" s="5"/>
      <c r="Z294" s="5"/>
      <c r="AA294" s="5"/>
      <c r="AB294" s="5"/>
      <c r="AC294" s="5"/>
      <c r="AD294" s="5"/>
      <c r="AE294" s="5"/>
      <c r="AF294" s="5"/>
      <c r="AG294" s="5"/>
    </row>
    <row r="295" ht="15.75" customHeight="1">
      <c r="K295" t="s">
        <v>467</v>
      </c>
      <c r="L295" t="str">
        <f>A33</f>
        <v>H</v>
      </c>
      <c r="M295" t="s">
        <v>466</v>
      </c>
      <c r="N295" t="s">
        <v>468</v>
      </c>
      <c r="O295">
        <v>2.3153863E7</v>
      </c>
      <c r="P295">
        <v>2.0991977E7</v>
      </c>
      <c r="Q295" t="s">
        <v>452</v>
      </c>
      <c r="R295" s="5"/>
      <c r="S295" s="5"/>
      <c r="T295" s="5"/>
      <c r="U295" s="5"/>
      <c r="V295" s="5"/>
      <c r="W295" s="5"/>
      <c r="X295" s="5"/>
      <c r="Y295" s="5"/>
      <c r="Z295" s="5"/>
      <c r="AA295" s="5"/>
      <c r="AB295" s="5"/>
      <c r="AC295" s="5"/>
      <c r="AD295" s="5"/>
      <c r="AE295" s="5"/>
      <c r="AF295" s="5"/>
      <c r="AG295" s="5"/>
    </row>
    <row r="296" ht="15.75" customHeight="1">
      <c r="K296" t="s">
        <v>469</v>
      </c>
      <c r="L296" t="str">
        <f>A33</f>
        <v>H</v>
      </c>
      <c r="N296" t="s">
        <v>470</v>
      </c>
      <c r="O296">
        <v>2.8659178E7</v>
      </c>
      <c r="P296">
        <v>2.6513031E7</v>
      </c>
      <c r="Q296" t="s">
        <v>423</v>
      </c>
      <c r="R296" s="5"/>
      <c r="S296" s="5"/>
      <c r="T296" s="5"/>
      <c r="U296" s="5"/>
      <c r="V296" s="5"/>
      <c r="W296" s="5"/>
      <c r="X296" s="5"/>
      <c r="Y296" s="5"/>
      <c r="Z296" s="5"/>
      <c r="AA296" s="5"/>
      <c r="AB296" s="5"/>
      <c r="AC296" s="5"/>
      <c r="AD296" s="5"/>
      <c r="AE296" s="5"/>
      <c r="AF296" s="5"/>
      <c r="AG296" s="5"/>
    </row>
    <row r="297" ht="15.75" customHeight="1">
      <c r="K297" t="s">
        <v>471</v>
      </c>
      <c r="L297" t="str">
        <f>A33</f>
        <v>H</v>
      </c>
      <c r="N297" t="s">
        <v>472</v>
      </c>
      <c r="O297">
        <v>9778243.0</v>
      </c>
      <c r="P297">
        <v>9940634.0</v>
      </c>
      <c r="Q297" t="s">
        <v>473</v>
      </c>
      <c r="R297" s="5"/>
      <c r="S297" s="5"/>
      <c r="T297" s="5"/>
      <c r="U297" s="5"/>
      <c r="V297" s="5"/>
      <c r="W297" s="5"/>
      <c r="X297" s="5"/>
      <c r="Y297" s="5"/>
      <c r="Z297" s="5"/>
      <c r="AA297" s="5"/>
      <c r="AB297" s="5"/>
      <c r="AC297" s="5"/>
      <c r="AD297" s="5"/>
      <c r="AE297" s="5"/>
      <c r="AF297" s="5"/>
      <c r="AG297" s="5"/>
    </row>
    <row r="298" ht="15.75" customHeight="1">
      <c r="K298" t="s">
        <v>474</v>
      </c>
      <c r="L298" t="str">
        <f>A33</f>
        <v>H</v>
      </c>
      <c r="N298" t="s">
        <v>475</v>
      </c>
      <c r="O298">
        <v>1.9563853E7</v>
      </c>
      <c r="P298">
        <v>1.7451973E7</v>
      </c>
      <c r="Q298" t="s">
        <v>476</v>
      </c>
      <c r="R298" s="5"/>
      <c r="S298" s="5"/>
      <c r="T298" s="5"/>
      <c r="U298" s="5"/>
      <c r="V298" s="5"/>
      <c r="W298" s="5"/>
      <c r="X298" s="5"/>
      <c r="Y298" s="5"/>
      <c r="Z298" s="5"/>
      <c r="AA298" s="5"/>
      <c r="AB298" s="5"/>
      <c r="AC298" s="5"/>
      <c r="AD298" s="5"/>
      <c r="AE298" s="5"/>
      <c r="AF298" s="5"/>
      <c r="AG298" s="5"/>
    </row>
    <row r="299" ht="15.75" customHeight="1">
      <c r="K299" t="s">
        <v>477</v>
      </c>
      <c r="L299" t="str">
        <f t="shared" ref="L299:L300" si="1">A33</f>
        <v>H</v>
      </c>
      <c r="N299" t="s">
        <v>478</v>
      </c>
      <c r="O299">
        <v>8781791.0</v>
      </c>
      <c r="P299">
        <v>8913750.0</v>
      </c>
      <c r="Q299" t="s">
        <v>423</v>
      </c>
      <c r="R299" s="5"/>
      <c r="S299" s="5"/>
      <c r="T299" s="5"/>
      <c r="U299" s="5"/>
      <c r="V299" s="5"/>
      <c r="W299" s="5"/>
      <c r="X299" s="5"/>
      <c r="Y299" s="5"/>
      <c r="Z299" s="5"/>
      <c r="AA299" s="5"/>
      <c r="AB299" s="5"/>
      <c r="AC299" s="5"/>
      <c r="AD299" s="5"/>
      <c r="AE299" s="5"/>
      <c r="AF299" s="5"/>
      <c r="AG299" s="5"/>
    </row>
    <row r="300" ht="15.75" customHeight="1">
      <c r="K300" t="s">
        <v>479</v>
      </c>
      <c r="L300" t="str">
        <f t="shared" si="1"/>
        <v>H~</v>
      </c>
      <c r="M300" t="s">
        <v>480</v>
      </c>
      <c r="N300" t="s">
        <v>481</v>
      </c>
      <c r="O300">
        <v>1.5006597E7</v>
      </c>
      <c r="P300">
        <v>1.2894682E7</v>
      </c>
      <c r="Q300" t="s">
        <v>423</v>
      </c>
      <c r="R300" s="5"/>
      <c r="S300" s="5"/>
      <c r="T300" s="5"/>
      <c r="U300" s="5"/>
      <c r="V300" s="5"/>
      <c r="W300" s="5"/>
      <c r="X300" s="5"/>
      <c r="Y300" s="5"/>
      <c r="Z300" s="5"/>
      <c r="AA300" s="5"/>
      <c r="AB300" s="5"/>
      <c r="AC300" s="5"/>
      <c r="AD300" s="5"/>
      <c r="AE300" s="5"/>
      <c r="AF300" s="5"/>
      <c r="AG300" s="5"/>
    </row>
    <row r="301" ht="15.75" customHeight="1">
      <c r="K301" t="s">
        <v>480</v>
      </c>
      <c r="L301" t="str">
        <f>A34</f>
        <v>H~</v>
      </c>
      <c r="M301" t="s">
        <v>479</v>
      </c>
      <c r="N301" t="s">
        <v>481</v>
      </c>
      <c r="O301">
        <v>1.5006597E7</v>
      </c>
      <c r="P301">
        <v>1.2894682E7</v>
      </c>
      <c r="Q301" t="s">
        <v>423</v>
      </c>
      <c r="R301" s="5"/>
      <c r="S301" s="5"/>
      <c r="T301" s="5"/>
      <c r="U301" s="5"/>
      <c r="V301" s="5"/>
      <c r="W301" s="5"/>
      <c r="X301" s="5"/>
      <c r="Y301" s="5"/>
      <c r="Z301" s="5"/>
      <c r="AA301" s="5"/>
      <c r="AB301" s="5"/>
      <c r="AC301" s="5"/>
      <c r="AD301" s="5"/>
      <c r="AE301" s="5"/>
      <c r="AF301" s="5"/>
      <c r="AG301" s="5"/>
    </row>
    <row r="302" ht="15.75" customHeight="1">
      <c r="K302" t="s">
        <v>482</v>
      </c>
      <c r="L302" t="str">
        <f>A34</f>
        <v>H~</v>
      </c>
      <c r="M302" t="s">
        <v>483</v>
      </c>
      <c r="N302" t="s">
        <v>484</v>
      </c>
      <c r="O302">
        <v>1.5920498E7</v>
      </c>
      <c r="P302">
        <v>1.3808618E7</v>
      </c>
      <c r="Q302" t="s">
        <v>452</v>
      </c>
      <c r="R302" s="5"/>
      <c r="S302" s="5"/>
      <c r="T302" s="5"/>
      <c r="U302" s="5"/>
      <c r="V302" s="5"/>
      <c r="W302" s="5"/>
      <c r="X302" s="5"/>
      <c r="Y302" s="5"/>
      <c r="Z302" s="5"/>
      <c r="AA302" s="5"/>
      <c r="AB302" s="5"/>
      <c r="AC302" s="5"/>
      <c r="AD302" s="5"/>
      <c r="AE302" s="5"/>
      <c r="AF302" s="5"/>
      <c r="AG302" s="5"/>
    </row>
    <row r="303" ht="15.75" customHeight="1">
      <c r="K303" t="s">
        <v>483</v>
      </c>
      <c r="L303" t="str">
        <f>A34</f>
        <v>H~</v>
      </c>
      <c r="M303" t="s">
        <v>482</v>
      </c>
      <c r="N303" t="s">
        <v>484</v>
      </c>
      <c r="O303">
        <v>1.5920498E7</v>
      </c>
      <c r="P303">
        <v>1.3808618E7</v>
      </c>
      <c r="Q303" t="s">
        <v>452</v>
      </c>
      <c r="R303" s="5"/>
      <c r="S303" s="5"/>
      <c r="T303" s="5"/>
      <c r="U303" s="5"/>
      <c r="V303" s="5"/>
      <c r="W303" s="5"/>
      <c r="X303" s="5"/>
      <c r="Y303" s="5"/>
      <c r="Z303" s="5"/>
      <c r="AA303" s="5"/>
      <c r="AB303" s="5"/>
      <c r="AC303" s="5"/>
      <c r="AD303" s="5"/>
      <c r="AE303" s="5"/>
      <c r="AF303" s="5"/>
      <c r="AG303" s="5"/>
    </row>
    <row r="304" ht="15.75" customHeight="1">
      <c r="K304" t="s">
        <v>485</v>
      </c>
      <c r="L304" t="str">
        <f>A34</f>
        <v>H~</v>
      </c>
      <c r="M304" t="s">
        <v>486</v>
      </c>
      <c r="N304" t="s">
        <v>487</v>
      </c>
      <c r="O304">
        <v>1.6919982E7</v>
      </c>
      <c r="P304">
        <v>1.4808102E7</v>
      </c>
      <c r="Q304" t="s">
        <v>419</v>
      </c>
      <c r="R304" s="5"/>
      <c r="S304" s="5"/>
      <c r="T304" s="5"/>
      <c r="U304" s="5"/>
      <c r="V304" s="5"/>
      <c r="W304" s="5"/>
      <c r="X304" s="5"/>
      <c r="Y304" s="5"/>
      <c r="Z304" s="5"/>
      <c r="AA304" s="5"/>
      <c r="AB304" s="5"/>
      <c r="AC304" s="5"/>
      <c r="AD304" s="5"/>
      <c r="AE304" s="5"/>
      <c r="AF304" s="5"/>
      <c r="AG304" s="5"/>
    </row>
    <row r="305" ht="15.75" customHeight="1">
      <c r="K305" t="s">
        <v>486</v>
      </c>
      <c r="L305" t="str">
        <f>A34</f>
        <v>H~</v>
      </c>
      <c r="M305" t="s">
        <v>485</v>
      </c>
      <c r="N305" t="s">
        <v>487</v>
      </c>
      <c r="O305">
        <v>1.6919982E7</v>
      </c>
      <c r="P305">
        <v>1.4808102E7</v>
      </c>
      <c r="Q305" t="s">
        <v>419</v>
      </c>
      <c r="R305" s="5"/>
      <c r="S305" s="5"/>
      <c r="T305" s="5"/>
      <c r="U305" s="5"/>
      <c r="V305" s="5"/>
      <c r="W305" s="5"/>
      <c r="X305" s="5"/>
      <c r="Y305" s="5"/>
      <c r="Z305" s="5"/>
      <c r="AA305" s="5"/>
      <c r="AB305" s="5"/>
      <c r="AC305" s="5"/>
      <c r="AD305" s="5"/>
      <c r="AE305" s="5"/>
      <c r="AF305" s="5"/>
      <c r="AG305" s="5"/>
    </row>
    <row r="306" ht="15.75" customHeight="1">
      <c r="K306" t="s">
        <v>488</v>
      </c>
      <c r="L306" t="str">
        <f>A34</f>
        <v>H~</v>
      </c>
      <c r="M306" t="s">
        <v>489</v>
      </c>
      <c r="N306" t="s">
        <v>490</v>
      </c>
      <c r="O306">
        <v>2.1940316E7</v>
      </c>
      <c r="P306">
        <v>1.977843E7</v>
      </c>
      <c r="Q306" t="s">
        <v>419</v>
      </c>
      <c r="R306" s="5"/>
      <c r="S306" s="5"/>
      <c r="T306" s="5"/>
      <c r="U306" s="5"/>
      <c r="V306" s="5"/>
      <c r="W306" s="5"/>
      <c r="X306" s="5"/>
      <c r="Y306" s="5"/>
      <c r="Z306" s="5"/>
      <c r="AA306" s="5"/>
      <c r="AB306" s="5"/>
      <c r="AC306" s="5"/>
      <c r="AD306" s="5"/>
      <c r="AE306" s="5"/>
      <c r="AF306" s="5"/>
      <c r="AG306" s="5"/>
    </row>
    <row r="307" ht="15.75" customHeight="1">
      <c r="K307" t="s">
        <v>489</v>
      </c>
      <c r="L307" t="str">
        <f>A34</f>
        <v>H~</v>
      </c>
      <c r="M307" t="s">
        <v>488</v>
      </c>
      <c r="N307" t="s">
        <v>490</v>
      </c>
      <c r="O307">
        <v>2.1940316E7</v>
      </c>
      <c r="P307">
        <v>1.977843E7</v>
      </c>
      <c r="Q307" t="s">
        <v>419</v>
      </c>
      <c r="R307" s="5"/>
      <c r="S307" s="5"/>
      <c r="T307" s="5"/>
      <c r="U307" s="5"/>
      <c r="V307" s="5"/>
      <c r="W307" s="5"/>
      <c r="X307" s="5"/>
      <c r="Y307" s="5"/>
      <c r="Z307" s="5"/>
      <c r="AA307" s="5"/>
      <c r="AB307" s="5"/>
      <c r="AC307" s="5"/>
      <c r="AD307" s="5"/>
      <c r="AE307" s="5"/>
      <c r="AF307" s="5"/>
      <c r="AG307" s="5"/>
    </row>
    <row r="308" ht="15.75" customHeight="1">
      <c r="K308" t="s">
        <v>491</v>
      </c>
      <c r="L308" t="str">
        <f>A34</f>
        <v>H~</v>
      </c>
      <c r="M308" t="s">
        <v>492</v>
      </c>
      <c r="N308" t="s">
        <v>493</v>
      </c>
      <c r="O308">
        <v>2.339575E7</v>
      </c>
      <c r="P308">
        <v>2.1233864E7</v>
      </c>
      <c r="Q308" t="s">
        <v>452</v>
      </c>
      <c r="R308" s="5"/>
      <c r="S308" s="5"/>
      <c r="T308" s="5"/>
      <c r="U308" s="5"/>
      <c r="V308" s="5"/>
      <c r="W308" s="5"/>
      <c r="X308" s="5"/>
      <c r="Y308" s="5"/>
      <c r="Z308" s="5"/>
      <c r="AA308" s="5"/>
      <c r="AB308" s="5"/>
      <c r="AC308" s="5"/>
      <c r="AD308" s="5"/>
      <c r="AE308" s="5"/>
      <c r="AF308" s="5"/>
      <c r="AG308" s="5"/>
    </row>
    <row r="309" ht="15.75" customHeight="1">
      <c r="K309" t="s">
        <v>492</v>
      </c>
      <c r="L309" t="str">
        <f>A34</f>
        <v>H~</v>
      </c>
      <c r="M309" t="s">
        <v>491</v>
      </c>
      <c r="N309" t="s">
        <v>493</v>
      </c>
      <c r="O309">
        <v>2.339575E7</v>
      </c>
      <c r="P309">
        <v>2.1233864E7</v>
      </c>
      <c r="Q309" t="s">
        <v>452</v>
      </c>
      <c r="R309" s="5"/>
      <c r="S309" s="5"/>
      <c r="T309" s="5"/>
      <c r="U309" s="5"/>
      <c r="V309" s="5"/>
      <c r="W309" s="5"/>
      <c r="X309" s="5"/>
      <c r="Y309" s="5"/>
      <c r="Z309" s="5"/>
      <c r="AA309" s="5"/>
      <c r="AB309" s="5"/>
      <c r="AC309" s="5"/>
      <c r="AD309" s="5"/>
      <c r="AE309" s="5"/>
      <c r="AF309" s="5"/>
      <c r="AG309" s="5"/>
    </row>
    <row r="310" ht="15.75" customHeight="1">
      <c r="K310" t="s">
        <v>494</v>
      </c>
      <c r="L310" t="str">
        <f>A34</f>
        <v>H~</v>
      </c>
      <c r="N310" t="s">
        <v>495</v>
      </c>
      <c r="O310">
        <v>2.4523481E7</v>
      </c>
      <c r="P310">
        <v>2.2377334E7</v>
      </c>
      <c r="Q310" t="s">
        <v>459</v>
      </c>
      <c r="R310" s="5"/>
      <c r="S310" s="5"/>
      <c r="T310" s="5"/>
      <c r="U310" s="5"/>
      <c r="V310" s="5"/>
      <c r="W310" s="5"/>
      <c r="X310" s="5"/>
      <c r="Y310" s="5"/>
      <c r="Z310" s="5"/>
      <c r="AA310" s="5"/>
      <c r="AB310" s="5"/>
      <c r="AC310" s="5"/>
      <c r="AD310" s="5"/>
      <c r="AE310" s="5"/>
      <c r="AF310" s="5"/>
      <c r="AG310" s="5"/>
    </row>
    <row r="311" ht="15.75" customHeight="1">
      <c r="K311" t="s">
        <v>496</v>
      </c>
      <c r="L311" t="str">
        <f>B35</f>
        <v>H1</v>
      </c>
      <c r="M311" t="s">
        <v>497</v>
      </c>
      <c r="N311" t="s">
        <v>498</v>
      </c>
      <c r="O311">
        <v>2.3009978E7</v>
      </c>
      <c r="P311">
        <v>2.0848092E7</v>
      </c>
      <c r="Q311" t="s">
        <v>419</v>
      </c>
      <c r="R311" s="5"/>
      <c r="S311" s="5"/>
      <c r="T311" s="5"/>
      <c r="U311" s="5"/>
      <c r="V311" s="5"/>
      <c r="W311" s="5"/>
      <c r="X311" s="5"/>
      <c r="Y311" s="5"/>
      <c r="Z311" s="5"/>
      <c r="AA311" s="5"/>
      <c r="AB311" s="5"/>
      <c r="AC311" s="5"/>
      <c r="AD311" s="5"/>
      <c r="AE311" s="5"/>
      <c r="AF311" s="5"/>
      <c r="AG311" s="5"/>
    </row>
    <row r="312" ht="15.75" customHeight="1">
      <c r="K312" t="s">
        <v>497</v>
      </c>
      <c r="L312" t="str">
        <f>B35</f>
        <v>H1</v>
      </c>
      <c r="M312" t="s">
        <v>496</v>
      </c>
      <c r="N312" t="s">
        <v>498</v>
      </c>
      <c r="O312">
        <v>2.3009978E7</v>
      </c>
      <c r="P312">
        <v>2.0848092E7</v>
      </c>
      <c r="Q312" t="s">
        <v>419</v>
      </c>
      <c r="R312" s="5"/>
      <c r="S312" s="5"/>
      <c r="T312" s="5"/>
      <c r="U312" s="5"/>
      <c r="V312" s="5"/>
      <c r="W312" s="5"/>
      <c r="X312" s="5"/>
      <c r="Y312" s="5"/>
      <c r="Z312" s="5"/>
      <c r="AA312" s="5"/>
      <c r="AB312" s="5"/>
      <c r="AC312" s="5"/>
      <c r="AD312" s="5"/>
      <c r="AE312" s="5"/>
      <c r="AF312" s="5"/>
      <c r="AG312" s="5"/>
    </row>
    <row r="313" ht="15.75" customHeight="1">
      <c r="K313" t="s">
        <v>499</v>
      </c>
      <c r="L313" t="str">
        <f>B35</f>
        <v>H1</v>
      </c>
      <c r="N313" t="s">
        <v>500</v>
      </c>
      <c r="O313">
        <v>6748773.0</v>
      </c>
      <c r="P313">
        <v>6880732.0</v>
      </c>
      <c r="Q313" t="s">
        <v>419</v>
      </c>
      <c r="R313" s="5"/>
      <c r="S313" s="5"/>
      <c r="T313" s="5"/>
      <c r="U313" s="5"/>
      <c r="V313" s="5"/>
      <c r="W313" s="5"/>
      <c r="X313" s="5"/>
      <c r="Y313" s="5"/>
      <c r="Z313" s="5"/>
      <c r="AA313" s="5"/>
      <c r="AB313" s="5"/>
      <c r="AC313" s="5"/>
      <c r="AD313" s="5"/>
      <c r="AE313" s="5"/>
      <c r="AF313" s="5"/>
      <c r="AG313" s="5"/>
    </row>
    <row r="314" ht="15.75" customHeight="1">
      <c r="K314" t="s">
        <v>501</v>
      </c>
      <c r="L314" t="str">
        <f>B35</f>
        <v>H1</v>
      </c>
      <c r="M314" t="s">
        <v>502</v>
      </c>
      <c r="N314" t="s">
        <v>503</v>
      </c>
      <c r="O314">
        <v>7548443.0</v>
      </c>
      <c r="P314">
        <v>7680402.0</v>
      </c>
      <c r="Q314" t="s">
        <v>423</v>
      </c>
      <c r="R314" s="5"/>
      <c r="S314" s="5"/>
      <c r="T314" s="5"/>
      <c r="U314" s="5"/>
      <c r="V314" s="5"/>
      <c r="W314" s="5"/>
      <c r="X314" s="5"/>
      <c r="Y314" s="5"/>
      <c r="Z314" s="5"/>
      <c r="AA314" s="5"/>
      <c r="AB314" s="5"/>
      <c r="AC314" s="5"/>
      <c r="AD314" s="5"/>
      <c r="AE314" s="5"/>
      <c r="AF314" s="5"/>
      <c r="AG314" s="5"/>
    </row>
    <row r="315" ht="15.75" customHeight="1">
      <c r="K315" t="s">
        <v>502</v>
      </c>
      <c r="L315" t="str">
        <f>B35</f>
        <v>H1</v>
      </c>
      <c r="M315" t="s">
        <v>501</v>
      </c>
      <c r="N315" t="s">
        <v>503</v>
      </c>
      <c r="O315">
        <v>7548443.0</v>
      </c>
      <c r="P315">
        <v>7680402.0</v>
      </c>
      <c r="Q315" t="s">
        <v>423</v>
      </c>
      <c r="R315" s="5"/>
      <c r="S315" s="5"/>
      <c r="T315" s="5"/>
      <c r="U315" s="5"/>
      <c r="V315" s="5"/>
      <c r="W315" s="5"/>
      <c r="X315" s="5"/>
      <c r="Y315" s="5"/>
      <c r="Z315" s="5"/>
      <c r="AA315" s="5"/>
      <c r="AB315" s="5"/>
      <c r="AC315" s="5"/>
      <c r="AD315" s="5"/>
      <c r="AE315" s="5"/>
      <c r="AF315" s="5"/>
      <c r="AG315" s="5"/>
    </row>
    <row r="316" ht="15.75" customHeight="1">
      <c r="K316" t="s">
        <v>504</v>
      </c>
      <c r="L316" t="str">
        <f>B35</f>
        <v>H1</v>
      </c>
      <c r="N316" t="s">
        <v>505</v>
      </c>
      <c r="O316">
        <v>7952043.0</v>
      </c>
      <c r="P316">
        <v>8084002.0</v>
      </c>
      <c r="Q316" t="s">
        <v>459</v>
      </c>
      <c r="R316" s="5"/>
      <c r="S316" s="5"/>
      <c r="T316" s="5"/>
      <c r="U316" s="5"/>
      <c r="V316" s="5"/>
      <c r="W316" s="5"/>
      <c r="X316" s="5"/>
      <c r="Y316" s="5"/>
      <c r="Z316" s="5"/>
      <c r="AA316" s="5"/>
      <c r="AB316" s="5"/>
      <c r="AC316" s="5"/>
      <c r="AD316" s="5"/>
      <c r="AE316" s="5"/>
      <c r="AF316" s="5"/>
      <c r="AG316" s="5"/>
    </row>
    <row r="317" ht="15.75" customHeight="1">
      <c r="K317" t="s">
        <v>506</v>
      </c>
      <c r="L317" t="str">
        <f>B35</f>
        <v>H1</v>
      </c>
      <c r="M317" t="s">
        <v>507</v>
      </c>
      <c r="N317" t="s">
        <v>508</v>
      </c>
      <c r="O317">
        <v>8604987.0</v>
      </c>
      <c r="P317">
        <v>8736946.0</v>
      </c>
      <c r="Q317" t="s">
        <v>452</v>
      </c>
      <c r="R317" s="5"/>
      <c r="S317" s="5"/>
      <c r="T317" s="5"/>
      <c r="U317" s="5"/>
      <c r="V317" s="5"/>
      <c r="W317" s="5"/>
      <c r="X317" s="5"/>
      <c r="Y317" s="5"/>
      <c r="Z317" s="5"/>
      <c r="AA317" s="5"/>
      <c r="AB317" s="5"/>
      <c r="AC317" s="5"/>
      <c r="AD317" s="5"/>
      <c r="AE317" s="5"/>
      <c r="AF317" s="5"/>
      <c r="AG317" s="5"/>
    </row>
    <row r="318" ht="15.75" customHeight="1">
      <c r="K318" t="s">
        <v>507</v>
      </c>
      <c r="L318" t="str">
        <f>B35</f>
        <v>H1</v>
      </c>
      <c r="M318" t="s">
        <v>506</v>
      </c>
      <c r="N318" t="s">
        <v>508</v>
      </c>
      <c r="O318">
        <v>8604987.0</v>
      </c>
      <c r="P318">
        <v>8736946.0</v>
      </c>
      <c r="Q318" t="s">
        <v>452</v>
      </c>
      <c r="R318" s="5"/>
      <c r="S318" s="5"/>
      <c r="T318" s="5"/>
      <c r="U318" s="5"/>
      <c r="V318" s="5"/>
      <c r="W318" s="5"/>
      <c r="X318" s="5"/>
      <c r="Y318" s="5"/>
      <c r="Z318" s="5"/>
      <c r="AA318" s="5"/>
      <c r="AB318" s="5"/>
      <c r="AC318" s="5"/>
      <c r="AD318" s="5"/>
      <c r="AE318" s="5"/>
      <c r="AF318" s="5"/>
      <c r="AG318" s="5"/>
    </row>
    <row r="319" ht="15.75" customHeight="1">
      <c r="K319" t="s">
        <v>509</v>
      </c>
      <c r="L319" t="str">
        <f>B35</f>
        <v>H1</v>
      </c>
      <c r="M319" t="s">
        <v>510</v>
      </c>
      <c r="N319" t="s">
        <v>511</v>
      </c>
      <c r="O319">
        <v>8793758.0</v>
      </c>
      <c r="P319">
        <v>8925717.0</v>
      </c>
      <c r="Q319" t="s">
        <v>435</v>
      </c>
      <c r="R319" s="5"/>
      <c r="S319" s="5"/>
      <c r="T319" s="5"/>
      <c r="U319" s="5"/>
      <c r="V319" s="5"/>
      <c r="W319" s="5"/>
      <c r="X319" s="5"/>
      <c r="Y319" s="5"/>
      <c r="Z319" s="5"/>
      <c r="AA319" s="5"/>
      <c r="AB319" s="5"/>
      <c r="AC319" s="5"/>
      <c r="AD319" s="5"/>
      <c r="AE319" s="5"/>
      <c r="AF319" s="5"/>
      <c r="AG319" s="5"/>
    </row>
    <row r="320" ht="15.75" customHeight="1">
      <c r="K320" t="s">
        <v>510</v>
      </c>
      <c r="L320" t="str">
        <f>B35</f>
        <v>H1</v>
      </c>
      <c r="M320" t="s">
        <v>509</v>
      </c>
      <c r="N320" t="s">
        <v>511</v>
      </c>
      <c r="O320">
        <v>8793758.0</v>
      </c>
      <c r="P320">
        <v>8925717.0</v>
      </c>
      <c r="Q320" t="s">
        <v>435</v>
      </c>
      <c r="R320" s="5"/>
      <c r="S320" s="5"/>
      <c r="T320" s="5"/>
      <c r="U320" s="5"/>
      <c r="V320" s="5"/>
      <c r="W320" s="5"/>
      <c r="X320" s="5"/>
      <c r="Y320" s="5"/>
      <c r="Z320" s="5"/>
      <c r="AA320" s="5"/>
      <c r="AB320" s="5"/>
      <c r="AC320" s="5"/>
      <c r="AD320" s="5"/>
      <c r="AE320" s="5"/>
      <c r="AF320" s="5"/>
      <c r="AG320" s="5"/>
    </row>
    <row r="321" ht="15.75" customHeight="1">
      <c r="K321" t="s">
        <v>512</v>
      </c>
      <c r="L321" t="str">
        <f>B35</f>
        <v>H1</v>
      </c>
      <c r="M321" t="s">
        <v>513</v>
      </c>
      <c r="N321" t="s">
        <v>514</v>
      </c>
      <c r="O321">
        <v>8798686.0</v>
      </c>
      <c r="P321">
        <v>8930645.0</v>
      </c>
      <c r="Q321" t="s">
        <v>419</v>
      </c>
      <c r="R321" s="5"/>
      <c r="S321" s="5"/>
      <c r="T321" s="5"/>
      <c r="U321" s="5"/>
      <c r="V321" s="5"/>
      <c r="W321" s="5"/>
      <c r="X321" s="5"/>
      <c r="Y321" s="5"/>
      <c r="Z321" s="5"/>
      <c r="AA321" s="5"/>
      <c r="AB321" s="5"/>
      <c r="AC321" s="5"/>
      <c r="AD321" s="5"/>
      <c r="AE321" s="5"/>
      <c r="AF321" s="5"/>
      <c r="AG321" s="5"/>
    </row>
    <row r="322" ht="15.75" customHeight="1">
      <c r="K322" t="s">
        <v>513</v>
      </c>
      <c r="L322" t="str">
        <f>B35</f>
        <v>H1</v>
      </c>
      <c r="M322" t="s">
        <v>512</v>
      </c>
      <c r="N322" t="s">
        <v>514</v>
      </c>
      <c r="O322">
        <v>8798686.0</v>
      </c>
      <c r="P322">
        <v>8930645.0</v>
      </c>
      <c r="Q322" t="s">
        <v>419</v>
      </c>
      <c r="R322" s="5"/>
      <c r="S322" s="5"/>
      <c r="T322" s="5"/>
      <c r="U322" s="5"/>
      <c r="V322" s="5"/>
      <c r="W322" s="5"/>
      <c r="X322" s="5"/>
      <c r="Y322" s="5"/>
      <c r="Z322" s="5"/>
      <c r="AA322" s="5"/>
      <c r="AB322" s="5"/>
      <c r="AC322" s="5"/>
      <c r="AD322" s="5"/>
      <c r="AE322" s="5"/>
      <c r="AF322" s="5"/>
      <c r="AG322" s="5"/>
    </row>
    <row r="323" ht="15.75" customHeight="1">
      <c r="K323" t="s">
        <v>515</v>
      </c>
      <c r="L323" t="str">
        <f>B35</f>
        <v>H1</v>
      </c>
      <c r="N323" t="s">
        <v>516</v>
      </c>
      <c r="O323">
        <v>8800961.0</v>
      </c>
      <c r="P323">
        <v>8932920.0</v>
      </c>
      <c r="Q323" t="s">
        <v>423</v>
      </c>
      <c r="R323" s="5"/>
      <c r="S323" s="5"/>
      <c r="T323" s="5"/>
      <c r="U323" s="5"/>
      <c r="V323" s="5"/>
      <c r="W323" s="5"/>
      <c r="X323" s="5"/>
      <c r="Y323" s="5"/>
      <c r="Z323" s="5"/>
      <c r="AA323" s="5"/>
      <c r="AB323" s="5"/>
      <c r="AC323" s="5"/>
      <c r="AD323" s="5"/>
      <c r="AE323" s="5"/>
      <c r="AF323" s="5"/>
      <c r="AG323" s="5"/>
    </row>
    <row r="324" ht="15.75" customHeight="1">
      <c r="K324" t="s">
        <v>517</v>
      </c>
      <c r="L324" t="str">
        <f>B35</f>
        <v>H1</v>
      </c>
      <c r="M324" t="s">
        <v>518</v>
      </c>
      <c r="N324" t="s">
        <v>519</v>
      </c>
      <c r="O324">
        <v>9398593.0</v>
      </c>
      <c r="P324">
        <v>9560984.0</v>
      </c>
      <c r="Q324" t="s">
        <v>476</v>
      </c>
      <c r="R324" s="5"/>
      <c r="S324" s="5"/>
      <c r="T324" s="5"/>
      <c r="U324" s="5"/>
      <c r="V324" s="5"/>
      <c r="W324" s="5"/>
      <c r="X324" s="5"/>
      <c r="Y324" s="5"/>
      <c r="Z324" s="5"/>
      <c r="AA324" s="5"/>
      <c r="AB324" s="5"/>
      <c r="AC324" s="5"/>
      <c r="AD324" s="5"/>
      <c r="AE324" s="5"/>
      <c r="AF324" s="5"/>
      <c r="AG324" s="5"/>
    </row>
    <row r="325" ht="15.75" customHeight="1">
      <c r="K325" t="s">
        <v>518</v>
      </c>
      <c r="L325" t="str">
        <f>B35</f>
        <v>H1</v>
      </c>
      <c r="M325" t="s">
        <v>517</v>
      </c>
      <c r="N325" t="s">
        <v>519</v>
      </c>
      <c r="O325">
        <v>9398593.0</v>
      </c>
      <c r="P325">
        <v>9560984.0</v>
      </c>
      <c r="Q325" t="s">
        <v>476</v>
      </c>
      <c r="R325" s="5"/>
      <c r="S325" s="5"/>
      <c r="T325" s="5"/>
      <c r="U325" s="5"/>
      <c r="V325" s="5"/>
      <c r="W325" s="5"/>
      <c r="X325" s="5"/>
      <c r="Y325" s="5"/>
      <c r="Z325" s="5"/>
      <c r="AA325" s="5"/>
      <c r="AB325" s="5"/>
      <c r="AC325" s="5"/>
      <c r="AD325" s="5"/>
      <c r="AE325" s="5"/>
      <c r="AF325" s="5"/>
      <c r="AG325" s="5"/>
    </row>
    <row r="326" ht="15.75" customHeight="1">
      <c r="K326" t="s">
        <v>520</v>
      </c>
      <c r="L326" t="str">
        <f>B35</f>
        <v>H1</v>
      </c>
      <c r="M326" t="s">
        <v>454</v>
      </c>
      <c r="N326" t="s">
        <v>521</v>
      </c>
      <c r="O326">
        <v>1.4366525E7</v>
      </c>
      <c r="P326">
        <v>1.224582E7</v>
      </c>
      <c r="Q326" t="s">
        <v>459</v>
      </c>
      <c r="R326" s="5"/>
      <c r="S326" s="5"/>
      <c r="T326" s="5"/>
      <c r="U326" s="5"/>
      <c r="V326" s="5"/>
      <c r="W326" s="5"/>
      <c r="X326" s="5"/>
      <c r="Y326" s="5"/>
      <c r="Z326" s="5"/>
      <c r="AA326" s="5"/>
      <c r="AB326" s="5"/>
      <c r="AC326" s="5"/>
      <c r="AD326" s="5"/>
      <c r="AE326" s="5"/>
      <c r="AF326" s="5"/>
      <c r="AG326" s="5"/>
    </row>
    <row r="327" ht="15.75" customHeight="1">
      <c r="K327" t="s">
        <v>454</v>
      </c>
      <c r="L327" t="str">
        <f>B35</f>
        <v>H1</v>
      </c>
      <c r="M327" t="s">
        <v>520</v>
      </c>
      <c r="N327" t="s">
        <v>455</v>
      </c>
      <c r="O327">
        <v>2.1345124E7</v>
      </c>
      <c r="P327">
        <v>1.9183238E7</v>
      </c>
      <c r="Q327" t="s">
        <v>427</v>
      </c>
      <c r="R327" s="5"/>
      <c r="S327" s="5"/>
      <c r="T327" s="5"/>
      <c r="U327" s="5"/>
      <c r="V327" s="5"/>
      <c r="W327" s="5"/>
      <c r="X327" s="5"/>
      <c r="Y327" s="5"/>
      <c r="Z327" s="5"/>
      <c r="AA327" s="5"/>
      <c r="AB327" s="5"/>
      <c r="AC327" s="5"/>
      <c r="AD327" s="5"/>
      <c r="AE327" s="5"/>
      <c r="AF327" s="5"/>
      <c r="AG327" s="5"/>
    </row>
    <row r="328" ht="15.75" customHeight="1">
      <c r="K328" t="s">
        <v>522</v>
      </c>
      <c r="L328" t="str">
        <f>B35</f>
        <v>H1</v>
      </c>
      <c r="M328" t="s">
        <v>523</v>
      </c>
      <c r="N328" t="s">
        <v>524</v>
      </c>
      <c r="O328">
        <v>1.5331027E7</v>
      </c>
      <c r="P328">
        <v>1.3219145E7</v>
      </c>
      <c r="Q328" t="s">
        <v>525</v>
      </c>
      <c r="R328" s="5"/>
      <c r="S328" s="5"/>
      <c r="T328" s="5"/>
      <c r="U328" s="5"/>
      <c r="V328" s="5"/>
      <c r="W328" s="5"/>
      <c r="X328" s="5"/>
      <c r="Y328" s="5"/>
      <c r="Z328" s="5"/>
      <c r="AA328" s="5"/>
      <c r="AB328" s="5"/>
      <c r="AC328" s="5"/>
      <c r="AD328" s="5"/>
      <c r="AE328" s="5"/>
      <c r="AF328" s="5"/>
      <c r="AG328" s="5"/>
    </row>
    <row r="329" ht="15.75" customHeight="1">
      <c r="K329" t="s">
        <v>523</v>
      </c>
      <c r="L329" t="str">
        <f>B35</f>
        <v>H1</v>
      </c>
      <c r="M329" t="s">
        <v>522</v>
      </c>
      <c r="N329" t="s">
        <v>524</v>
      </c>
      <c r="O329">
        <v>1.5331027E7</v>
      </c>
      <c r="P329">
        <v>1.3219145E7</v>
      </c>
      <c r="Q329" t="s">
        <v>525</v>
      </c>
      <c r="R329" s="5"/>
      <c r="S329" s="5"/>
      <c r="T329" s="5"/>
      <c r="U329" s="5"/>
      <c r="V329" s="5"/>
      <c r="W329" s="5"/>
      <c r="X329" s="5"/>
      <c r="Y329" s="5"/>
      <c r="Z329" s="5"/>
      <c r="AA329" s="5"/>
      <c r="AB329" s="5"/>
      <c r="AC329" s="5"/>
      <c r="AD329" s="5"/>
      <c r="AE329" s="5"/>
      <c r="AF329" s="5"/>
      <c r="AG329" s="5"/>
    </row>
    <row r="330" ht="15.75" customHeight="1">
      <c r="K330" t="s">
        <v>526</v>
      </c>
      <c r="L330" t="str">
        <f>B35</f>
        <v>H1</v>
      </c>
      <c r="M330" t="s">
        <v>527</v>
      </c>
      <c r="N330" t="s">
        <v>528</v>
      </c>
      <c r="O330">
        <v>1.5335347E7</v>
      </c>
      <c r="P330">
        <v>1.3223465E7</v>
      </c>
      <c r="Q330" t="s">
        <v>473</v>
      </c>
      <c r="R330" s="5"/>
      <c r="S330" s="5"/>
      <c r="T330" s="5"/>
      <c r="U330" s="5"/>
      <c r="V330" s="5"/>
      <c r="W330" s="5"/>
      <c r="X330" s="5"/>
      <c r="Y330" s="5"/>
      <c r="Z330" s="5"/>
      <c r="AA330" s="5"/>
      <c r="AB330" s="5"/>
      <c r="AC330" s="5"/>
      <c r="AD330" s="5"/>
      <c r="AE330" s="5"/>
      <c r="AF330" s="5"/>
      <c r="AG330" s="5"/>
    </row>
    <row r="331" ht="15.75" customHeight="1">
      <c r="K331" t="s">
        <v>527</v>
      </c>
      <c r="L331" t="str">
        <f>B35</f>
        <v>H1</v>
      </c>
      <c r="M331" t="s">
        <v>526</v>
      </c>
      <c r="N331" t="s">
        <v>528</v>
      </c>
      <c r="O331">
        <v>1.5335347E7</v>
      </c>
      <c r="P331">
        <v>1.3223465E7</v>
      </c>
      <c r="Q331" t="s">
        <v>473</v>
      </c>
      <c r="R331" s="5"/>
      <c r="S331" s="5"/>
      <c r="T331" s="5"/>
      <c r="U331" s="5"/>
      <c r="V331" s="5"/>
      <c r="W331" s="5"/>
      <c r="X331" s="5"/>
      <c r="Y331" s="5"/>
      <c r="Z331" s="5"/>
      <c r="AA331" s="5"/>
      <c r="AB331" s="5"/>
      <c r="AC331" s="5"/>
      <c r="AD331" s="5"/>
      <c r="AE331" s="5"/>
      <c r="AF331" s="5"/>
      <c r="AG331" s="5"/>
    </row>
    <row r="332" ht="15.75" customHeight="1">
      <c r="K332" t="s">
        <v>529</v>
      </c>
      <c r="L332" t="str">
        <f>B35</f>
        <v>H1</v>
      </c>
      <c r="M332" t="s">
        <v>530</v>
      </c>
      <c r="N332" t="s">
        <v>531</v>
      </c>
      <c r="O332">
        <v>1.6433666E7</v>
      </c>
      <c r="P332">
        <v>1.4321786E7</v>
      </c>
      <c r="Q332" t="s">
        <v>419</v>
      </c>
      <c r="R332" s="5"/>
      <c r="S332" s="5"/>
      <c r="T332" s="5"/>
      <c r="U332" s="5"/>
      <c r="V332" s="5"/>
      <c r="W332" s="5"/>
      <c r="X332" s="5"/>
      <c r="Y332" s="5"/>
      <c r="Z332" s="5"/>
      <c r="AA332" s="5"/>
      <c r="AB332" s="5"/>
      <c r="AC332" s="5"/>
      <c r="AD332" s="5"/>
      <c r="AE332" s="5"/>
      <c r="AF332" s="5"/>
      <c r="AG332" s="5"/>
    </row>
    <row r="333" ht="15.75" customHeight="1">
      <c r="K333" t="s">
        <v>530</v>
      </c>
      <c r="L333" t="str">
        <f>B35</f>
        <v>H1</v>
      </c>
      <c r="M333" t="s">
        <v>529</v>
      </c>
      <c r="N333" t="s">
        <v>531</v>
      </c>
      <c r="O333">
        <v>1.6433666E7</v>
      </c>
      <c r="P333">
        <v>1.4321786E7</v>
      </c>
      <c r="Q333" t="s">
        <v>419</v>
      </c>
      <c r="R333" s="5"/>
      <c r="S333" s="5"/>
      <c r="T333" s="5"/>
      <c r="U333" s="5"/>
      <c r="V333" s="5"/>
      <c r="W333" s="5"/>
      <c r="X333" s="5"/>
      <c r="Y333" s="5"/>
      <c r="Z333" s="5"/>
      <c r="AA333" s="5"/>
      <c r="AB333" s="5"/>
      <c r="AC333" s="5"/>
      <c r="AD333" s="5"/>
      <c r="AE333" s="5"/>
      <c r="AF333" s="5"/>
      <c r="AG333" s="5"/>
    </row>
    <row r="334" ht="15.75" customHeight="1">
      <c r="K334" s="66" t="s">
        <v>532</v>
      </c>
      <c r="L334" t="str">
        <f>B35</f>
        <v>H1</v>
      </c>
      <c r="M334" t="s">
        <v>533</v>
      </c>
      <c r="N334" t="s">
        <v>534</v>
      </c>
      <c r="O334">
        <v>1.7356119E7</v>
      </c>
      <c r="P334">
        <v>1.5244239E7</v>
      </c>
      <c r="Q334" t="s">
        <v>431</v>
      </c>
      <c r="R334" s="5"/>
      <c r="S334" s="5"/>
      <c r="T334" s="5"/>
      <c r="U334" s="5"/>
      <c r="V334" s="5"/>
      <c r="W334" s="5"/>
      <c r="X334" s="5"/>
      <c r="Y334" s="5"/>
      <c r="Z334" s="5"/>
      <c r="AA334" s="5"/>
      <c r="AB334" s="5"/>
      <c r="AC334" s="5"/>
      <c r="AD334" s="5"/>
      <c r="AE334" s="5"/>
      <c r="AF334" s="5"/>
      <c r="AG334" s="5"/>
    </row>
    <row r="335" ht="15.75" customHeight="1">
      <c r="K335" t="s">
        <v>533</v>
      </c>
      <c r="L335" t="str">
        <f>B35</f>
        <v>H1</v>
      </c>
      <c r="M335" s="66" t="s">
        <v>532</v>
      </c>
      <c r="N335" t="s">
        <v>534</v>
      </c>
      <c r="O335">
        <v>1.7356119E7</v>
      </c>
      <c r="P335">
        <v>1.5244239E7</v>
      </c>
      <c r="Q335" t="s">
        <v>431</v>
      </c>
      <c r="R335" s="5"/>
      <c r="S335" s="5"/>
      <c r="T335" s="5"/>
      <c r="U335" s="5"/>
      <c r="V335" s="5"/>
      <c r="W335" s="5"/>
      <c r="X335" s="5"/>
      <c r="Y335" s="5"/>
      <c r="Z335" s="5"/>
      <c r="AA335" s="5"/>
      <c r="AB335" s="5"/>
      <c r="AC335" s="5"/>
      <c r="AD335" s="5"/>
      <c r="AE335" s="5"/>
      <c r="AF335" s="5"/>
      <c r="AG335" s="5"/>
    </row>
    <row r="336" ht="15.75" customHeight="1">
      <c r="K336" t="s">
        <v>535</v>
      </c>
      <c r="L336" t="str">
        <f>B35</f>
        <v>H1</v>
      </c>
      <c r="M336" t="s">
        <v>536</v>
      </c>
      <c r="N336" t="s">
        <v>537</v>
      </c>
      <c r="O336">
        <v>1.767185E7</v>
      </c>
      <c r="P336">
        <v>1.555997E7</v>
      </c>
      <c r="Q336" t="s">
        <v>435</v>
      </c>
      <c r="R336" s="5"/>
      <c r="S336" s="5"/>
      <c r="T336" s="5"/>
      <c r="U336" s="5"/>
      <c r="V336" s="5"/>
      <c r="W336" s="5"/>
      <c r="X336" s="5"/>
      <c r="Y336" s="5"/>
      <c r="Z336" s="5"/>
      <c r="AA336" s="5"/>
      <c r="AB336" s="5"/>
      <c r="AC336" s="5"/>
      <c r="AD336" s="5"/>
      <c r="AE336" s="5"/>
      <c r="AF336" s="5"/>
      <c r="AG336" s="5"/>
    </row>
    <row r="337" ht="15.75" customHeight="1">
      <c r="K337" t="s">
        <v>536</v>
      </c>
      <c r="L337" t="str">
        <f>B35</f>
        <v>H1</v>
      </c>
      <c r="M337" t="s">
        <v>535</v>
      </c>
      <c r="N337" t="s">
        <v>537</v>
      </c>
      <c r="O337">
        <v>1.767185E7</v>
      </c>
      <c r="P337">
        <v>1.555997E7</v>
      </c>
      <c r="Q337" t="s">
        <v>435</v>
      </c>
      <c r="R337" s="5"/>
      <c r="S337" s="5"/>
      <c r="T337" s="5"/>
      <c r="U337" s="5"/>
      <c r="V337" s="5"/>
      <c r="W337" s="5"/>
      <c r="X337" s="5"/>
      <c r="Y337" s="5"/>
      <c r="Z337" s="5"/>
      <c r="AA337" s="5"/>
      <c r="AB337" s="5"/>
      <c r="AC337" s="5"/>
      <c r="AD337" s="5"/>
      <c r="AE337" s="5"/>
      <c r="AF337" s="5"/>
      <c r="AG337" s="5"/>
    </row>
    <row r="338" ht="15.75" customHeight="1">
      <c r="K338" t="s">
        <v>538</v>
      </c>
      <c r="L338" t="str">
        <f>B35</f>
        <v>H1</v>
      </c>
      <c r="M338" t="s">
        <v>539</v>
      </c>
      <c r="N338" t="s">
        <v>540</v>
      </c>
      <c r="O338">
        <v>2.1180053E7</v>
      </c>
      <c r="P338">
        <v>1.9018167E7</v>
      </c>
      <c r="Q338" t="s">
        <v>431</v>
      </c>
      <c r="R338" s="5"/>
      <c r="S338" s="5"/>
      <c r="T338" s="5"/>
      <c r="U338" s="5"/>
      <c r="V338" s="5"/>
      <c r="W338" s="5"/>
      <c r="X338" s="5"/>
      <c r="Y338" s="5"/>
      <c r="Z338" s="5"/>
      <c r="AA338" s="5"/>
      <c r="AB338" s="5"/>
      <c r="AC338" s="5"/>
      <c r="AD338" s="5"/>
      <c r="AE338" s="5"/>
      <c r="AF338" s="5"/>
      <c r="AG338" s="5"/>
    </row>
    <row r="339" ht="15.75" customHeight="1">
      <c r="K339" t="s">
        <v>539</v>
      </c>
      <c r="L339" t="str">
        <f>B35</f>
        <v>H1</v>
      </c>
      <c r="M339" t="s">
        <v>538</v>
      </c>
      <c r="N339" t="s">
        <v>540</v>
      </c>
      <c r="O339">
        <v>2.1180053E7</v>
      </c>
      <c r="P339">
        <v>1.9018167E7</v>
      </c>
      <c r="Q339" t="s">
        <v>431</v>
      </c>
      <c r="R339" s="5"/>
      <c r="S339" s="5"/>
      <c r="T339" s="5"/>
      <c r="U339" s="5"/>
      <c r="V339" s="5"/>
      <c r="W339" s="5"/>
      <c r="X339" s="5"/>
      <c r="Y339" s="5"/>
      <c r="Z339" s="5"/>
      <c r="AA339" s="5"/>
      <c r="AB339" s="5"/>
      <c r="AC339" s="5"/>
      <c r="AD339" s="5"/>
      <c r="AE339" s="5"/>
      <c r="AF339" s="5"/>
      <c r="AG339" s="5"/>
    </row>
    <row r="340" ht="15.75" customHeight="1">
      <c r="K340" t="s">
        <v>541</v>
      </c>
      <c r="L340" t="str">
        <f>B35</f>
        <v>H1</v>
      </c>
      <c r="M340" t="s">
        <v>542</v>
      </c>
      <c r="N340" t="s">
        <v>543</v>
      </c>
      <c r="O340">
        <v>2.1294913E7</v>
      </c>
      <c r="P340">
        <v>1.9133027E7</v>
      </c>
      <c r="Q340" t="s">
        <v>427</v>
      </c>
      <c r="R340" s="5"/>
      <c r="S340" s="5"/>
      <c r="T340" s="5"/>
      <c r="U340" s="5"/>
      <c r="V340" s="5"/>
      <c r="W340" s="5"/>
      <c r="X340" s="5"/>
      <c r="Y340" s="5"/>
      <c r="Z340" s="5"/>
      <c r="AA340" s="5"/>
      <c r="AB340" s="5"/>
      <c r="AC340" s="5"/>
      <c r="AD340" s="5"/>
      <c r="AE340" s="5"/>
      <c r="AF340" s="5"/>
      <c r="AG340" s="5"/>
    </row>
    <row r="341" ht="15.75" customHeight="1">
      <c r="K341" t="s">
        <v>542</v>
      </c>
      <c r="L341" t="str">
        <f>B35</f>
        <v>H1</v>
      </c>
      <c r="M341" t="s">
        <v>541</v>
      </c>
      <c r="N341" t="s">
        <v>543</v>
      </c>
      <c r="O341">
        <v>2.1294913E7</v>
      </c>
      <c r="P341">
        <v>1.9133027E7</v>
      </c>
      <c r="Q341" t="s">
        <v>427</v>
      </c>
      <c r="R341" s="5"/>
      <c r="S341" s="5"/>
      <c r="T341" s="5"/>
      <c r="U341" s="5"/>
      <c r="V341" s="5"/>
      <c r="W341" s="5"/>
      <c r="X341" s="5"/>
      <c r="Y341" s="5"/>
      <c r="Z341" s="5"/>
      <c r="AA341" s="5"/>
      <c r="AB341" s="5"/>
      <c r="AC341" s="5"/>
      <c r="AD341" s="5"/>
      <c r="AE341" s="5"/>
      <c r="AF341" s="5"/>
      <c r="AG341" s="5"/>
    </row>
    <row r="342" ht="15.75" customHeight="1">
      <c r="K342" t="s">
        <v>544</v>
      </c>
      <c r="L342" t="str">
        <f>B35</f>
        <v>H1</v>
      </c>
      <c r="M342" t="s">
        <v>545</v>
      </c>
      <c r="N342" t="s">
        <v>546</v>
      </c>
      <c r="O342">
        <v>2.1314063E7</v>
      </c>
      <c r="P342">
        <v>1.9152177E7</v>
      </c>
      <c r="Q342" t="s">
        <v>423</v>
      </c>
      <c r="R342" s="5"/>
      <c r="S342" s="5"/>
      <c r="T342" s="5"/>
      <c r="U342" s="5"/>
      <c r="V342" s="5"/>
      <c r="W342" s="5"/>
      <c r="X342" s="5"/>
      <c r="Y342" s="5"/>
      <c r="Z342" s="5"/>
      <c r="AA342" s="5"/>
      <c r="AB342" s="5"/>
      <c r="AC342" s="5"/>
      <c r="AD342" s="5"/>
      <c r="AE342" s="5"/>
      <c r="AF342" s="5"/>
      <c r="AG342" s="5"/>
    </row>
    <row r="343" ht="15.75" customHeight="1">
      <c r="K343" t="s">
        <v>545</v>
      </c>
      <c r="L343" t="str">
        <f>B35</f>
        <v>H1</v>
      </c>
      <c r="M343" t="s">
        <v>544</v>
      </c>
      <c r="N343" t="s">
        <v>546</v>
      </c>
      <c r="O343">
        <v>2.1314063E7</v>
      </c>
      <c r="P343">
        <v>1.9152177E7</v>
      </c>
      <c r="Q343" t="s">
        <v>423</v>
      </c>
      <c r="R343" s="5"/>
      <c r="S343" s="5"/>
      <c r="T343" s="5"/>
      <c r="U343" s="5"/>
      <c r="V343" s="5"/>
      <c r="W343" s="5"/>
      <c r="X343" s="5"/>
      <c r="Y343" s="5"/>
      <c r="Z343" s="5"/>
      <c r="AA343" s="5"/>
      <c r="AB343" s="5"/>
      <c r="AC343" s="5"/>
      <c r="AD343" s="5"/>
      <c r="AE343" s="5"/>
      <c r="AF343" s="5"/>
      <c r="AG343" s="5"/>
    </row>
    <row r="344" ht="15.75" customHeight="1">
      <c r="K344" t="s">
        <v>547</v>
      </c>
      <c r="L344" t="str">
        <f>B35</f>
        <v>H1</v>
      </c>
      <c r="M344" t="s">
        <v>548</v>
      </c>
      <c r="N344" t="s">
        <v>549</v>
      </c>
      <c r="O344">
        <v>2.1366831E7</v>
      </c>
      <c r="P344">
        <v>1.9204945E7</v>
      </c>
      <c r="Q344" t="s">
        <v>419</v>
      </c>
      <c r="R344" s="5"/>
      <c r="S344" s="5"/>
      <c r="T344" s="5"/>
      <c r="U344" s="5"/>
      <c r="V344" s="5"/>
      <c r="W344" s="5"/>
      <c r="X344" s="5"/>
      <c r="Y344" s="5"/>
      <c r="Z344" s="5"/>
      <c r="AA344" s="5"/>
      <c r="AB344" s="5"/>
      <c r="AC344" s="5"/>
      <c r="AD344" s="5"/>
      <c r="AE344" s="5"/>
      <c r="AF344" s="5"/>
      <c r="AG344" s="5"/>
    </row>
    <row r="345" ht="15.75" customHeight="1">
      <c r="K345" t="s">
        <v>548</v>
      </c>
      <c r="L345" t="str">
        <f>B35</f>
        <v>H1</v>
      </c>
      <c r="M345" t="s">
        <v>547</v>
      </c>
      <c r="N345" t="s">
        <v>549</v>
      </c>
      <c r="O345">
        <v>2.1366831E7</v>
      </c>
      <c r="P345">
        <v>1.9204945E7</v>
      </c>
      <c r="Q345" t="s">
        <v>419</v>
      </c>
      <c r="R345" s="5"/>
      <c r="S345" s="5"/>
      <c r="T345" s="5"/>
      <c r="U345" s="5"/>
      <c r="V345" s="5"/>
      <c r="W345" s="5"/>
      <c r="X345" s="5"/>
      <c r="Y345" s="5"/>
      <c r="Z345" s="5"/>
      <c r="AA345" s="5"/>
      <c r="AB345" s="5"/>
      <c r="AC345" s="5"/>
      <c r="AD345" s="5"/>
      <c r="AE345" s="5"/>
      <c r="AF345" s="5"/>
      <c r="AG345" s="5"/>
    </row>
    <row r="346" ht="15.75" customHeight="1">
      <c r="K346" t="s">
        <v>550</v>
      </c>
      <c r="L346" t="str">
        <f>B35</f>
        <v>H1</v>
      </c>
      <c r="M346" t="s">
        <v>551</v>
      </c>
      <c r="N346" t="s">
        <v>552</v>
      </c>
      <c r="O346">
        <v>2.1885851E7</v>
      </c>
      <c r="P346">
        <v>1.9723965E7</v>
      </c>
      <c r="Q346" t="s">
        <v>553</v>
      </c>
      <c r="R346" s="5"/>
      <c r="S346" s="5"/>
      <c r="T346" s="5"/>
      <c r="U346" s="5"/>
      <c r="V346" s="5"/>
      <c r="W346" s="5"/>
      <c r="X346" s="5"/>
      <c r="Y346" s="5"/>
      <c r="Z346" s="5"/>
      <c r="AA346" s="5"/>
      <c r="AB346" s="5"/>
      <c r="AC346" s="5"/>
      <c r="AD346" s="5"/>
      <c r="AE346" s="5"/>
      <c r="AF346" s="5"/>
      <c r="AG346" s="5"/>
    </row>
    <row r="347" ht="15.75" customHeight="1">
      <c r="K347" t="s">
        <v>551</v>
      </c>
      <c r="L347" t="str">
        <f>B35</f>
        <v>H1</v>
      </c>
      <c r="M347" t="s">
        <v>550</v>
      </c>
      <c r="N347" t="s">
        <v>552</v>
      </c>
      <c r="O347">
        <v>2.1885851E7</v>
      </c>
      <c r="P347">
        <v>1.9723965E7</v>
      </c>
      <c r="Q347" t="s">
        <v>553</v>
      </c>
      <c r="R347" s="5"/>
      <c r="S347" s="5"/>
      <c r="T347" s="5"/>
      <c r="U347" s="5"/>
      <c r="V347" s="5"/>
      <c r="W347" s="5"/>
      <c r="X347" s="5"/>
      <c r="Y347" s="5"/>
      <c r="Z347" s="5"/>
      <c r="AA347" s="5"/>
      <c r="AB347" s="5"/>
      <c r="AC347" s="5"/>
      <c r="AD347" s="5"/>
      <c r="AE347" s="5"/>
      <c r="AF347" s="5"/>
      <c r="AG347" s="5"/>
    </row>
    <row r="348" ht="15.75" customHeight="1">
      <c r="K348" t="s">
        <v>554</v>
      </c>
      <c r="L348" t="str">
        <f>B35</f>
        <v>H1</v>
      </c>
      <c r="M348" t="s">
        <v>555</v>
      </c>
      <c r="N348" t="s">
        <v>556</v>
      </c>
      <c r="O348">
        <v>2.3154612E7</v>
      </c>
      <c r="P348">
        <v>2.0992726E7</v>
      </c>
      <c r="Q348" t="s">
        <v>419</v>
      </c>
      <c r="R348" s="5"/>
      <c r="S348" s="5"/>
      <c r="T348" s="5"/>
      <c r="U348" s="5"/>
      <c r="V348" s="5"/>
      <c r="W348" s="5"/>
      <c r="X348" s="5"/>
      <c r="Y348" s="5"/>
      <c r="Z348" s="5"/>
      <c r="AA348" s="5"/>
      <c r="AB348" s="5"/>
      <c r="AC348" s="5"/>
      <c r="AD348" s="5"/>
      <c r="AE348" s="5"/>
      <c r="AF348" s="5"/>
      <c r="AG348" s="5"/>
    </row>
    <row r="349" ht="15.75" customHeight="1">
      <c r="K349" t="s">
        <v>555</v>
      </c>
      <c r="L349" t="str">
        <f>B35</f>
        <v>H1</v>
      </c>
      <c r="M349" t="s">
        <v>554</v>
      </c>
      <c r="N349" t="s">
        <v>556</v>
      </c>
      <c r="O349">
        <v>2.3154612E7</v>
      </c>
      <c r="P349">
        <v>2.0992726E7</v>
      </c>
      <c r="Q349" t="s">
        <v>419</v>
      </c>
      <c r="R349" s="5"/>
      <c r="S349" s="5"/>
      <c r="T349" s="5"/>
      <c r="U349" s="5"/>
      <c r="V349" s="5"/>
      <c r="W349" s="5"/>
      <c r="X349" s="5"/>
      <c r="Y349" s="5"/>
      <c r="Z349" s="5"/>
      <c r="AA349" s="5"/>
      <c r="AB349" s="5"/>
      <c r="AC349" s="5"/>
      <c r="AD349" s="5"/>
      <c r="AE349" s="5"/>
      <c r="AF349" s="5"/>
      <c r="AG349" s="5"/>
    </row>
    <row r="350" ht="15.75" customHeight="1">
      <c r="K350" t="s">
        <v>557</v>
      </c>
      <c r="L350" t="str">
        <f>B35</f>
        <v>H1</v>
      </c>
      <c r="N350" t="s">
        <v>558</v>
      </c>
      <c r="O350">
        <v>7511334.0</v>
      </c>
      <c r="P350">
        <v>7643293.0</v>
      </c>
      <c r="Q350" t="s">
        <v>431</v>
      </c>
      <c r="R350" s="5"/>
      <c r="S350" s="5"/>
      <c r="T350" s="5"/>
      <c r="U350" s="5"/>
      <c r="V350" s="5"/>
      <c r="W350" s="5"/>
      <c r="X350" s="5"/>
      <c r="Y350" s="5"/>
      <c r="Z350" s="5"/>
      <c r="AA350" s="5"/>
      <c r="AB350" s="5"/>
      <c r="AC350" s="5"/>
      <c r="AD350" s="5"/>
      <c r="AE350" s="5"/>
      <c r="AF350" s="5"/>
      <c r="AG350" s="5"/>
    </row>
    <row r="351" ht="15.75" customHeight="1">
      <c r="K351" t="s">
        <v>559</v>
      </c>
      <c r="L351" t="str">
        <f>B35</f>
        <v>H1</v>
      </c>
      <c r="N351" t="s">
        <v>560</v>
      </c>
      <c r="O351">
        <v>9416686.0</v>
      </c>
      <c r="P351">
        <v>9579077.0</v>
      </c>
      <c r="Q351" t="s">
        <v>423</v>
      </c>
      <c r="R351" s="5"/>
      <c r="S351" s="5"/>
      <c r="T351" s="5"/>
      <c r="U351" s="5"/>
      <c r="V351" s="5"/>
      <c r="W351" s="5"/>
      <c r="X351" s="5"/>
      <c r="Y351" s="5"/>
      <c r="Z351" s="5"/>
      <c r="AA351" s="5"/>
      <c r="AB351" s="5"/>
      <c r="AC351" s="5"/>
      <c r="AD351" s="5"/>
      <c r="AE351" s="5"/>
      <c r="AF351" s="5"/>
      <c r="AG351" s="5"/>
    </row>
    <row r="352" ht="15.75" customHeight="1">
      <c r="K352" t="s">
        <v>561</v>
      </c>
      <c r="L352" t="str">
        <f>B35</f>
        <v>H1</v>
      </c>
      <c r="N352" t="s">
        <v>562</v>
      </c>
      <c r="O352">
        <v>1.3218276E7</v>
      </c>
      <c r="P352">
        <v>1.10626E7</v>
      </c>
      <c r="Q352" t="s">
        <v>419</v>
      </c>
      <c r="R352" s="5"/>
      <c r="S352" s="5"/>
      <c r="T352" s="5"/>
      <c r="U352" s="5"/>
      <c r="V352" s="5"/>
      <c r="W352" s="5"/>
      <c r="X352" s="5"/>
      <c r="Y352" s="5"/>
      <c r="Z352" s="5"/>
      <c r="AA352" s="5"/>
      <c r="AB352" s="5"/>
      <c r="AC352" s="5"/>
      <c r="AD352" s="5"/>
      <c r="AE352" s="5"/>
      <c r="AF352" s="5"/>
      <c r="AG352" s="5"/>
    </row>
    <row r="353" ht="15.75" customHeight="1">
      <c r="K353" t="s">
        <v>563</v>
      </c>
      <c r="L353" t="str">
        <f>B35</f>
        <v>H1</v>
      </c>
      <c r="N353" t="s">
        <v>564</v>
      </c>
      <c r="O353">
        <v>1.3650172E7</v>
      </c>
      <c r="P353">
        <v>1.1494496E7</v>
      </c>
      <c r="Q353" t="s">
        <v>452</v>
      </c>
      <c r="R353" s="5"/>
      <c r="S353" s="5"/>
      <c r="T353" s="5"/>
      <c r="U353" s="5"/>
      <c r="V353" s="5"/>
      <c r="W353" s="5"/>
      <c r="X353" s="5"/>
      <c r="Y353" s="5"/>
      <c r="Z353" s="5"/>
      <c r="AA353" s="5"/>
      <c r="AB353" s="5"/>
      <c r="AC353" s="5"/>
      <c r="AD353" s="5"/>
      <c r="AE353" s="5"/>
      <c r="AF353" s="5"/>
      <c r="AG353" s="5"/>
    </row>
    <row r="354" ht="15.75" customHeight="1">
      <c r="K354" t="s">
        <v>565</v>
      </c>
      <c r="L354" t="str">
        <f>B35</f>
        <v>H1</v>
      </c>
      <c r="N354" t="s">
        <v>566</v>
      </c>
      <c r="O354">
        <v>1.8573748E7</v>
      </c>
      <c r="P354">
        <v>1.6461868E7</v>
      </c>
      <c r="Q354" t="s">
        <v>431</v>
      </c>
      <c r="R354" s="5"/>
      <c r="S354" s="5"/>
      <c r="T354" s="5"/>
      <c r="U354" s="5"/>
      <c r="V354" s="5"/>
      <c r="W354" s="5"/>
      <c r="X354" s="5"/>
      <c r="Y354" s="5"/>
      <c r="Z354" s="5"/>
      <c r="AA354" s="5"/>
      <c r="AB354" s="5"/>
      <c r="AC354" s="5"/>
      <c r="AD354" s="5"/>
      <c r="AE354" s="5"/>
      <c r="AF354" s="5"/>
      <c r="AG354" s="5"/>
    </row>
    <row r="355" ht="15.75" customHeight="1">
      <c r="K355" t="s">
        <v>567</v>
      </c>
      <c r="L355" t="str">
        <f>B35</f>
        <v>H1</v>
      </c>
      <c r="N355" t="s">
        <v>568</v>
      </c>
      <c r="O355">
        <v>2.1264393E7</v>
      </c>
      <c r="P355">
        <v>1.9102507E7</v>
      </c>
      <c r="Q355" t="s">
        <v>423</v>
      </c>
      <c r="R355" s="5"/>
      <c r="S355" s="5"/>
      <c r="T355" s="5"/>
      <c r="U355" s="5"/>
      <c r="V355" s="5"/>
      <c r="W355" s="5"/>
      <c r="X355" s="5"/>
      <c r="Y355" s="5"/>
      <c r="Z355" s="5"/>
      <c r="AA355" s="5"/>
      <c r="AB355" s="5"/>
      <c r="AC355" s="5"/>
      <c r="AD355" s="5"/>
      <c r="AE355" s="5"/>
      <c r="AF355" s="5"/>
      <c r="AG355" s="5"/>
    </row>
    <row r="356" ht="15.75" customHeight="1">
      <c r="K356" t="s">
        <v>569</v>
      </c>
      <c r="L356" t="str">
        <f t="shared" ref="L356:L357" si="2">B35</f>
        <v>H1</v>
      </c>
      <c r="N356" t="s">
        <v>570</v>
      </c>
      <c r="O356">
        <v>2.1921605E7</v>
      </c>
      <c r="P356">
        <v>1.9759719E7</v>
      </c>
      <c r="Q356" t="s">
        <v>473</v>
      </c>
      <c r="R356" s="5"/>
      <c r="S356" s="5"/>
      <c r="T356" s="5"/>
      <c r="U356" s="5"/>
      <c r="V356" s="5"/>
      <c r="W356" s="5"/>
      <c r="X356" s="5"/>
      <c r="Y356" s="5"/>
      <c r="Z356" s="5"/>
      <c r="AA356" s="5"/>
      <c r="AB356" s="5"/>
      <c r="AC356" s="5"/>
      <c r="AD356" s="5"/>
      <c r="AE356" s="5"/>
      <c r="AF356" s="5"/>
      <c r="AG356" s="5"/>
    </row>
    <row r="357" ht="15.75" customHeight="1">
      <c r="K357" t="s">
        <v>571</v>
      </c>
      <c r="L357" t="str">
        <f t="shared" si="2"/>
        <v>H1~</v>
      </c>
      <c r="N357" t="s">
        <v>572</v>
      </c>
      <c r="O357">
        <v>7896886.0</v>
      </c>
      <c r="P357">
        <v>8028845.0</v>
      </c>
      <c r="Q357" t="s">
        <v>427</v>
      </c>
      <c r="R357" s="5"/>
      <c r="S357" s="5"/>
      <c r="T357" s="5"/>
      <c r="U357" s="5"/>
      <c r="V357" s="5"/>
      <c r="W357" s="5"/>
      <c r="X357" s="5"/>
      <c r="Y357" s="5"/>
      <c r="Z357" s="5"/>
      <c r="AA357" s="5"/>
      <c r="AB357" s="5"/>
      <c r="AC357" s="5"/>
      <c r="AD357" s="5"/>
      <c r="AE357" s="5"/>
      <c r="AF357" s="5"/>
      <c r="AG357" s="5"/>
    </row>
    <row r="358" ht="15.75" customHeight="1">
      <c r="K358" t="s">
        <v>573</v>
      </c>
      <c r="L358" t="str">
        <f>B36</f>
        <v>H1~</v>
      </c>
      <c r="M358" t="s">
        <v>574</v>
      </c>
      <c r="N358" t="s">
        <v>575</v>
      </c>
      <c r="O358">
        <v>1.4909533E7</v>
      </c>
      <c r="P358">
        <v>1.27976E7</v>
      </c>
      <c r="Q358" t="s">
        <v>423</v>
      </c>
      <c r="R358" s="5"/>
      <c r="S358" s="5"/>
      <c r="T358" s="5"/>
      <c r="U358" s="5"/>
      <c r="V358" s="5"/>
      <c r="W358" s="5"/>
      <c r="X358" s="5"/>
      <c r="Y358" s="5"/>
      <c r="Z358" s="5"/>
      <c r="AA358" s="5"/>
      <c r="AB358" s="5"/>
      <c r="AC358" s="5"/>
      <c r="AD358" s="5"/>
      <c r="AE358" s="5"/>
      <c r="AF358" s="5"/>
      <c r="AG358" s="5"/>
    </row>
    <row r="359" ht="15.75" customHeight="1">
      <c r="K359" t="s">
        <v>574</v>
      </c>
      <c r="L359" t="str">
        <f>B36</f>
        <v>H1~</v>
      </c>
      <c r="M359" t="s">
        <v>573</v>
      </c>
      <c r="N359" t="s">
        <v>575</v>
      </c>
      <c r="O359">
        <v>1.4909533E7</v>
      </c>
      <c r="P359">
        <v>1.27976E7</v>
      </c>
      <c r="Q359" t="s">
        <v>423</v>
      </c>
      <c r="R359" s="5"/>
      <c r="S359" s="5"/>
      <c r="T359" s="5"/>
      <c r="U359" s="5"/>
      <c r="V359" s="5"/>
      <c r="W359" s="5"/>
      <c r="X359" s="5"/>
      <c r="Y359" s="5"/>
      <c r="Z359" s="5"/>
      <c r="AA359" s="5"/>
      <c r="AB359" s="5"/>
      <c r="AC359" s="5"/>
      <c r="AD359" s="5"/>
      <c r="AE359" s="5"/>
      <c r="AF359" s="5"/>
      <c r="AG359" s="5"/>
    </row>
    <row r="360" ht="15.75" customHeight="1">
      <c r="K360" t="s">
        <v>576</v>
      </c>
      <c r="L360" t="str">
        <f>B36</f>
        <v>H1~</v>
      </c>
      <c r="N360" t="s">
        <v>577</v>
      </c>
      <c r="O360">
        <v>1.6214694E7</v>
      </c>
      <c r="P360">
        <v>1.4102814E7</v>
      </c>
      <c r="Q360" t="s">
        <v>476</v>
      </c>
      <c r="R360" s="5"/>
      <c r="S360" s="5"/>
      <c r="T360" s="5"/>
      <c r="U360" s="5"/>
      <c r="V360" s="5"/>
      <c r="W360" s="5"/>
      <c r="X360" s="5"/>
      <c r="Y360" s="5"/>
      <c r="Z360" s="5"/>
      <c r="AA360" s="5"/>
      <c r="AB360" s="5"/>
      <c r="AC360" s="5"/>
      <c r="AD360" s="5"/>
      <c r="AE360" s="5"/>
      <c r="AF360" s="5"/>
      <c r="AG360" s="5"/>
    </row>
    <row r="361" ht="15.75" customHeight="1">
      <c r="K361" t="s">
        <v>578</v>
      </c>
      <c r="L361" t="str">
        <f>B36</f>
        <v>H1~</v>
      </c>
      <c r="M361" t="s">
        <v>579</v>
      </c>
      <c r="N361" t="s">
        <v>580</v>
      </c>
      <c r="O361">
        <v>1.7450998E7</v>
      </c>
      <c r="P361">
        <v>1.5339118E7</v>
      </c>
      <c r="Q361" t="s">
        <v>423</v>
      </c>
      <c r="R361" s="5"/>
      <c r="S361" s="5"/>
      <c r="T361" s="5"/>
      <c r="U361" s="5"/>
      <c r="V361" s="5"/>
      <c r="W361" s="5"/>
      <c r="X361" s="5"/>
      <c r="Y361" s="5"/>
      <c r="Z361" s="5"/>
      <c r="AA361" s="5"/>
      <c r="AB361" s="5"/>
      <c r="AC361" s="5"/>
      <c r="AD361" s="5"/>
      <c r="AE361" s="5"/>
      <c r="AF361" s="5"/>
      <c r="AG361" s="5"/>
    </row>
    <row r="362" ht="15.75" customHeight="1">
      <c r="K362" t="s">
        <v>579</v>
      </c>
      <c r="L362" t="str">
        <f>B36</f>
        <v>H1~</v>
      </c>
      <c r="M362" t="s">
        <v>578</v>
      </c>
      <c r="N362" t="s">
        <v>580</v>
      </c>
      <c r="O362">
        <v>1.7450998E7</v>
      </c>
      <c r="P362">
        <v>1.5339118E7</v>
      </c>
      <c r="Q362" t="s">
        <v>423</v>
      </c>
      <c r="R362" s="5"/>
      <c r="S362" s="5"/>
      <c r="T362" s="5"/>
      <c r="U362" s="5"/>
      <c r="V362" s="5"/>
      <c r="W362" s="5"/>
      <c r="X362" s="5"/>
      <c r="Y362" s="5"/>
      <c r="Z362" s="5"/>
      <c r="AA362" s="5"/>
      <c r="AB362" s="5"/>
      <c r="AC362" s="5"/>
      <c r="AD362" s="5"/>
      <c r="AE362" s="5"/>
      <c r="AF362" s="5"/>
      <c r="AG362" s="5"/>
    </row>
    <row r="363" ht="15.75" customHeight="1">
      <c r="K363" t="s">
        <v>581</v>
      </c>
      <c r="L363" t="str">
        <f>B36</f>
        <v>H1~</v>
      </c>
      <c r="M363" t="s">
        <v>582</v>
      </c>
      <c r="N363" t="s">
        <v>583</v>
      </c>
      <c r="O363">
        <v>1.865121E7</v>
      </c>
      <c r="P363">
        <v>1.653933E7</v>
      </c>
      <c r="Q363" t="s">
        <v>419</v>
      </c>
      <c r="R363" s="5"/>
      <c r="S363" s="5"/>
      <c r="T363" s="5"/>
      <c r="U363" s="5"/>
      <c r="V363" s="5"/>
      <c r="W363" s="5"/>
      <c r="X363" s="5"/>
      <c r="Y363" s="5"/>
      <c r="Z363" s="5"/>
      <c r="AA363" s="5"/>
      <c r="AB363" s="5"/>
      <c r="AC363" s="5"/>
      <c r="AD363" s="5"/>
      <c r="AE363" s="5"/>
      <c r="AF363" s="5"/>
      <c r="AG363" s="5"/>
    </row>
    <row r="364" ht="15.75" customHeight="1">
      <c r="K364" t="s">
        <v>582</v>
      </c>
      <c r="L364" t="str">
        <f>B36</f>
        <v>H1~</v>
      </c>
      <c r="M364" t="s">
        <v>581</v>
      </c>
      <c r="N364" t="s">
        <v>583</v>
      </c>
      <c r="O364">
        <v>1.865121E7</v>
      </c>
      <c r="P364">
        <v>1.653933E7</v>
      </c>
      <c r="Q364" t="s">
        <v>419</v>
      </c>
      <c r="R364" s="5"/>
      <c r="S364" s="5"/>
      <c r="T364" s="5"/>
      <c r="U364" s="5"/>
      <c r="V364" s="5"/>
      <c r="W364" s="5"/>
      <c r="X364" s="5"/>
      <c r="Y364" s="5"/>
      <c r="Z364" s="5"/>
      <c r="AA364" s="5"/>
      <c r="AB364" s="5"/>
      <c r="AC364" s="5"/>
      <c r="AD364" s="5"/>
      <c r="AE364" s="5"/>
      <c r="AF364" s="5"/>
      <c r="AG364" s="5"/>
    </row>
    <row r="365" ht="15.75" customHeight="1">
      <c r="K365" t="s">
        <v>584</v>
      </c>
      <c r="L365" t="str">
        <f>B36</f>
        <v>H1~</v>
      </c>
      <c r="M365" t="s">
        <v>585</v>
      </c>
      <c r="N365" t="s">
        <v>586</v>
      </c>
      <c r="O365">
        <v>2.1821013E7</v>
      </c>
      <c r="P365">
        <v>1.9659127E7</v>
      </c>
      <c r="Q365" t="s">
        <v>553</v>
      </c>
      <c r="R365" s="5"/>
      <c r="S365" s="5"/>
      <c r="T365" s="5"/>
      <c r="U365" s="5"/>
      <c r="V365" s="5"/>
      <c r="W365" s="5"/>
      <c r="X365" s="5"/>
      <c r="Y365" s="5"/>
      <c r="Z365" s="5"/>
      <c r="AA365" s="5"/>
      <c r="AB365" s="5"/>
      <c r="AC365" s="5"/>
      <c r="AD365" s="5"/>
      <c r="AE365" s="5"/>
      <c r="AF365" s="5"/>
      <c r="AG365" s="5"/>
    </row>
    <row r="366" ht="15.75" customHeight="1">
      <c r="K366" t="s">
        <v>585</v>
      </c>
      <c r="L366" t="str">
        <f>B36</f>
        <v>H1~</v>
      </c>
      <c r="M366" t="s">
        <v>584</v>
      </c>
      <c r="N366" t="s">
        <v>586</v>
      </c>
      <c r="O366">
        <v>2.1821013E7</v>
      </c>
      <c r="P366">
        <v>1.9659127E7</v>
      </c>
      <c r="Q366" t="s">
        <v>553</v>
      </c>
      <c r="R366" s="5"/>
      <c r="S366" s="5"/>
      <c r="T366" s="5"/>
      <c r="U366" s="5"/>
      <c r="V366" s="5"/>
      <c r="W366" s="5"/>
      <c r="X366" s="5"/>
      <c r="Y366" s="5"/>
      <c r="Z366" s="5"/>
      <c r="AA366" s="5"/>
      <c r="AB366" s="5"/>
      <c r="AC366" s="5"/>
      <c r="AD366" s="5"/>
      <c r="AE366" s="5"/>
      <c r="AF366" s="5"/>
      <c r="AG366" s="5"/>
    </row>
    <row r="367" ht="15.75" customHeight="1">
      <c r="K367" t="s">
        <v>587</v>
      </c>
      <c r="L367" t="str">
        <f>B36</f>
        <v>H1~</v>
      </c>
      <c r="N367" t="s">
        <v>588</v>
      </c>
      <c r="O367">
        <v>2.185061E7</v>
      </c>
      <c r="P367">
        <v>1.9688724E7</v>
      </c>
      <c r="Q367" t="s">
        <v>476</v>
      </c>
      <c r="R367" s="5"/>
      <c r="S367" s="5"/>
      <c r="T367" s="5"/>
      <c r="U367" s="5"/>
      <c r="V367" s="5"/>
      <c r="W367" s="5"/>
      <c r="X367" s="5"/>
      <c r="Y367" s="5"/>
      <c r="Z367" s="5"/>
      <c r="AA367" s="5"/>
      <c r="AB367" s="5"/>
      <c r="AC367" s="5"/>
      <c r="AD367" s="5"/>
      <c r="AE367" s="5"/>
      <c r="AF367" s="5"/>
      <c r="AG367" s="5"/>
    </row>
    <row r="368" ht="15.75" customHeight="1">
      <c r="K368" t="s">
        <v>589</v>
      </c>
      <c r="L368" t="str">
        <f>B36</f>
        <v>H1~</v>
      </c>
      <c r="M368" t="s">
        <v>590</v>
      </c>
      <c r="N368" t="s">
        <v>591</v>
      </c>
      <c r="O368">
        <v>2.297933E7</v>
      </c>
      <c r="P368">
        <v>2.0817444E7</v>
      </c>
      <c r="Q368" t="s">
        <v>431</v>
      </c>
      <c r="R368" s="5"/>
      <c r="S368" s="5"/>
      <c r="T368" s="5"/>
      <c r="U368" s="5"/>
      <c r="V368" s="5"/>
      <c r="W368" s="5"/>
      <c r="X368" s="5"/>
      <c r="Y368" s="5"/>
      <c r="Z368" s="5"/>
      <c r="AA368" s="5"/>
      <c r="AB368" s="5"/>
      <c r="AC368" s="5"/>
      <c r="AD368" s="5"/>
      <c r="AE368" s="5"/>
      <c r="AF368" s="5"/>
      <c r="AG368" s="5"/>
    </row>
    <row r="369" ht="15.75" customHeight="1">
      <c r="K369" t="s">
        <v>590</v>
      </c>
      <c r="L369" t="str">
        <f>B36</f>
        <v>H1~</v>
      </c>
      <c r="M369" t="s">
        <v>589</v>
      </c>
      <c r="N369" t="s">
        <v>591</v>
      </c>
      <c r="O369">
        <v>2.297933E7</v>
      </c>
      <c r="P369">
        <v>2.0817444E7</v>
      </c>
      <c r="Q369" t="s">
        <v>431</v>
      </c>
      <c r="R369" s="5"/>
      <c r="S369" s="5"/>
      <c r="T369" s="5"/>
      <c r="U369" s="5"/>
      <c r="V369" s="5"/>
      <c r="W369" s="5"/>
      <c r="X369" s="5"/>
      <c r="Y369" s="5"/>
      <c r="Z369" s="5"/>
      <c r="AA369" s="5"/>
      <c r="AB369" s="5"/>
      <c r="AC369" s="5"/>
      <c r="AD369" s="5"/>
      <c r="AE369" s="5"/>
      <c r="AF369" s="5"/>
      <c r="AG369" s="5"/>
    </row>
    <row r="370" ht="15.75" customHeight="1">
      <c r="K370" t="s">
        <v>592</v>
      </c>
      <c r="L370" t="str">
        <f>B36</f>
        <v>H1~</v>
      </c>
      <c r="N370" t="s">
        <v>593</v>
      </c>
      <c r="O370">
        <v>2.3601157E7</v>
      </c>
      <c r="P370">
        <v>2.1439271E7</v>
      </c>
      <c r="Q370" t="s">
        <v>431</v>
      </c>
      <c r="R370" s="5"/>
      <c r="S370" s="5"/>
      <c r="T370" s="5"/>
      <c r="U370" s="5"/>
      <c r="V370" s="5"/>
      <c r="W370" s="5"/>
      <c r="X370" s="5"/>
      <c r="Y370" s="5"/>
      <c r="Z370" s="5"/>
      <c r="AA370" s="5"/>
      <c r="AB370" s="5"/>
      <c r="AC370" s="5"/>
      <c r="AD370" s="5"/>
      <c r="AE370" s="5"/>
      <c r="AF370" s="5"/>
      <c r="AG370" s="5"/>
    </row>
    <row r="371" ht="15.75" customHeight="1">
      <c r="K371" t="s">
        <v>594</v>
      </c>
      <c r="L371" t="str">
        <f>B36</f>
        <v>H1~</v>
      </c>
      <c r="M371" t="s">
        <v>595</v>
      </c>
      <c r="N371" t="s">
        <v>596</v>
      </c>
      <c r="O371">
        <v>2.183369E7</v>
      </c>
      <c r="P371">
        <v>1.9671804E7</v>
      </c>
      <c r="Q371" t="s">
        <v>525</v>
      </c>
      <c r="R371" s="5"/>
      <c r="S371" s="5"/>
      <c r="T371" s="5"/>
      <c r="U371" s="5"/>
      <c r="V371" s="5"/>
      <c r="W371" s="5"/>
      <c r="X371" s="5"/>
      <c r="Y371" s="5"/>
      <c r="Z371" s="5"/>
      <c r="AA371" s="5"/>
      <c r="AB371" s="5"/>
      <c r="AC371" s="5"/>
      <c r="AD371" s="5"/>
      <c r="AE371" s="5"/>
      <c r="AF371" s="5"/>
      <c r="AG371" s="5"/>
    </row>
    <row r="372" ht="15.75" customHeight="1">
      <c r="K372" t="s">
        <v>595</v>
      </c>
      <c r="L372" t="str">
        <f>B36</f>
        <v>H1~</v>
      </c>
      <c r="M372" t="s">
        <v>594</v>
      </c>
      <c r="N372" t="s">
        <v>596</v>
      </c>
      <c r="O372">
        <v>2.183369E7</v>
      </c>
      <c r="P372">
        <v>1.9671804E7</v>
      </c>
      <c r="Q372" t="s">
        <v>525</v>
      </c>
      <c r="R372" s="5"/>
      <c r="S372" s="5"/>
      <c r="T372" s="5"/>
      <c r="U372" s="5"/>
      <c r="V372" s="5"/>
      <c r="W372" s="5"/>
      <c r="X372" s="5"/>
      <c r="Y372" s="5"/>
      <c r="Z372" s="5"/>
      <c r="AA372" s="5"/>
      <c r="AB372" s="5"/>
      <c r="AC372" s="5"/>
      <c r="AD372" s="5"/>
      <c r="AE372" s="5"/>
      <c r="AF372" s="5"/>
      <c r="AG372" s="5"/>
    </row>
    <row r="373" ht="15.75" customHeight="1">
      <c r="K373" t="s">
        <v>597</v>
      </c>
      <c r="L373" t="str">
        <f>C37</f>
        <v>H1a</v>
      </c>
      <c r="M373" t="s">
        <v>598</v>
      </c>
      <c r="N373" t="s">
        <v>599</v>
      </c>
      <c r="O373">
        <v>2.1894058E7</v>
      </c>
      <c r="P373">
        <v>1.9732172E7</v>
      </c>
      <c r="Q373" t="s">
        <v>431</v>
      </c>
      <c r="R373" s="5"/>
      <c r="S373" s="5"/>
      <c r="T373" s="5"/>
      <c r="U373" s="5"/>
      <c r="V373" s="5"/>
      <c r="W373" s="5"/>
      <c r="X373" s="5"/>
      <c r="Y373" s="5"/>
      <c r="Z373" s="5"/>
      <c r="AA373" s="5"/>
      <c r="AB373" s="5"/>
      <c r="AC373" s="5"/>
      <c r="AD373" s="5"/>
      <c r="AE373" s="5"/>
      <c r="AF373" s="5"/>
      <c r="AG373" s="5"/>
    </row>
    <row r="374" ht="15.75" customHeight="1">
      <c r="K374" t="s">
        <v>598</v>
      </c>
      <c r="L374" t="str">
        <f>C37</f>
        <v>H1a</v>
      </c>
      <c r="M374" t="s">
        <v>597</v>
      </c>
      <c r="N374" t="s">
        <v>599</v>
      </c>
      <c r="O374">
        <v>2.1894058E7</v>
      </c>
      <c r="P374">
        <v>1.9732172E7</v>
      </c>
      <c r="Q374" t="s">
        <v>431</v>
      </c>
      <c r="R374" s="5"/>
      <c r="S374" s="5"/>
      <c r="T374" s="5"/>
      <c r="U374" s="5"/>
      <c r="V374" s="5"/>
      <c r="W374" s="5"/>
      <c r="X374" s="5"/>
      <c r="Y374" s="5"/>
      <c r="Z374" s="5"/>
      <c r="AA374" s="5"/>
      <c r="AB374" s="5"/>
      <c r="AC374" s="5"/>
      <c r="AD374" s="5"/>
      <c r="AE374" s="5"/>
      <c r="AF374" s="5"/>
      <c r="AG374" s="5"/>
    </row>
    <row r="375" ht="15.75" customHeight="1">
      <c r="K375" t="s">
        <v>600</v>
      </c>
      <c r="L375" t="str">
        <f>C37</f>
        <v>H1a</v>
      </c>
      <c r="N375" t="s">
        <v>601</v>
      </c>
      <c r="O375">
        <v>2888598.0</v>
      </c>
      <c r="P375">
        <v>3020557.0</v>
      </c>
      <c r="Q375" t="s">
        <v>459</v>
      </c>
      <c r="R375" s="5"/>
      <c r="S375" s="5"/>
      <c r="T375" s="5"/>
      <c r="U375" s="5"/>
      <c r="V375" s="5"/>
      <c r="W375" s="5"/>
      <c r="X375" s="5"/>
      <c r="Y375" s="5"/>
      <c r="Z375" s="5"/>
      <c r="AA375" s="5"/>
      <c r="AB375" s="5"/>
      <c r="AC375" s="5"/>
      <c r="AD375" s="5"/>
      <c r="AE375" s="5"/>
      <c r="AF375" s="5"/>
      <c r="AG375" s="5"/>
    </row>
    <row r="376" ht="15.75" customHeight="1">
      <c r="K376" t="s">
        <v>602</v>
      </c>
      <c r="L376" t="str">
        <f>C37</f>
        <v>H1a</v>
      </c>
      <c r="M376" t="s">
        <v>603</v>
      </c>
      <c r="N376" t="s">
        <v>604</v>
      </c>
      <c r="O376">
        <v>8845931.0</v>
      </c>
      <c r="P376">
        <v>8977890.0</v>
      </c>
      <c r="Q376" t="s">
        <v>435</v>
      </c>
      <c r="R376" s="5"/>
      <c r="S376" s="5"/>
      <c r="T376" s="5"/>
      <c r="U376" s="5"/>
      <c r="V376" s="5"/>
      <c r="W376" s="5"/>
      <c r="X376" s="5"/>
      <c r="Y376" s="5"/>
      <c r="Z376" s="5"/>
      <c r="AA376" s="5"/>
      <c r="AB376" s="5"/>
      <c r="AC376" s="5"/>
      <c r="AD376" s="5"/>
      <c r="AE376" s="5"/>
      <c r="AF376" s="5"/>
      <c r="AG376" s="5"/>
    </row>
    <row r="377" ht="15.75" customHeight="1">
      <c r="K377" t="s">
        <v>603</v>
      </c>
      <c r="L377" t="str">
        <f>C37</f>
        <v>H1a</v>
      </c>
      <c r="M377" t="s">
        <v>602</v>
      </c>
      <c r="N377" t="s">
        <v>604</v>
      </c>
      <c r="O377">
        <v>8845931.0</v>
      </c>
      <c r="P377">
        <v>8977890.0</v>
      </c>
      <c r="Q377" t="s">
        <v>435</v>
      </c>
      <c r="R377" s="5"/>
      <c r="S377" s="5"/>
      <c r="T377" s="5"/>
      <c r="U377" s="5"/>
      <c r="V377" s="5"/>
      <c r="W377" s="5"/>
      <c r="X377" s="5"/>
      <c r="Y377" s="5"/>
      <c r="Z377" s="5"/>
      <c r="AA377" s="5"/>
      <c r="AB377" s="5"/>
      <c r="AC377" s="5"/>
      <c r="AD377" s="5"/>
      <c r="AE377" s="5"/>
      <c r="AF377" s="5"/>
      <c r="AG377" s="5"/>
    </row>
    <row r="378" ht="15.75" customHeight="1">
      <c r="K378" t="s">
        <v>605</v>
      </c>
      <c r="L378" t="str">
        <f>C37</f>
        <v>H1a</v>
      </c>
      <c r="M378" t="s">
        <v>606</v>
      </c>
      <c r="N378" t="s">
        <v>607</v>
      </c>
      <c r="O378">
        <v>2725617.0</v>
      </c>
      <c r="P378">
        <v>2857576.0</v>
      </c>
      <c r="Q378" t="s">
        <v>419</v>
      </c>
      <c r="R378" s="5"/>
      <c r="S378" s="5"/>
      <c r="T378" s="5"/>
      <c r="U378" s="5"/>
      <c r="V378" s="5"/>
      <c r="W378" s="5"/>
      <c r="X378" s="5"/>
      <c r="Y378" s="5"/>
      <c r="Z378" s="5"/>
      <c r="AA378" s="5"/>
      <c r="AB378" s="5"/>
      <c r="AC378" s="5"/>
      <c r="AD378" s="5"/>
      <c r="AE378" s="5"/>
      <c r="AF378" s="5"/>
      <c r="AG378" s="5"/>
    </row>
    <row r="379" ht="15.75" customHeight="1">
      <c r="K379" t="s">
        <v>606</v>
      </c>
      <c r="L379" t="str">
        <f>C37</f>
        <v>H1a</v>
      </c>
      <c r="M379" t="s">
        <v>605</v>
      </c>
      <c r="N379" t="s">
        <v>607</v>
      </c>
      <c r="O379">
        <v>2725617.0</v>
      </c>
      <c r="P379">
        <v>2857576.0</v>
      </c>
      <c r="Q379" t="s">
        <v>419</v>
      </c>
      <c r="R379" s="5"/>
      <c r="S379" s="5"/>
      <c r="T379" s="5"/>
      <c r="U379" s="5"/>
      <c r="V379" s="5"/>
      <c r="W379" s="5"/>
      <c r="X379" s="5"/>
      <c r="Y379" s="5"/>
      <c r="Z379" s="5"/>
      <c r="AA379" s="5"/>
      <c r="AB379" s="5"/>
      <c r="AC379" s="5"/>
      <c r="AD379" s="5"/>
      <c r="AE379" s="5"/>
      <c r="AF379" s="5"/>
      <c r="AG379" s="5"/>
    </row>
    <row r="380" ht="15.75" customHeight="1">
      <c r="K380" t="s">
        <v>608</v>
      </c>
      <c r="L380" t="str">
        <f>C37</f>
        <v>H1a</v>
      </c>
      <c r="M380" t="s">
        <v>609</v>
      </c>
      <c r="N380" t="s">
        <v>610</v>
      </c>
      <c r="O380">
        <v>6853560.0</v>
      </c>
      <c r="P380">
        <v>6985519.0</v>
      </c>
      <c r="Q380" t="s">
        <v>423</v>
      </c>
      <c r="R380" s="5"/>
      <c r="S380" s="5"/>
      <c r="T380" s="5"/>
      <c r="U380" s="5"/>
      <c r="V380" s="5"/>
      <c r="W380" s="5"/>
      <c r="X380" s="5"/>
      <c r="Y380" s="5"/>
      <c r="Z380" s="5"/>
      <c r="AA380" s="5"/>
      <c r="AB380" s="5"/>
      <c r="AC380" s="5"/>
      <c r="AD380" s="5"/>
      <c r="AE380" s="5"/>
      <c r="AF380" s="5"/>
      <c r="AG380" s="5"/>
    </row>
    <row r="381" ht="15.75" customHeight="1">
      <c r="K381" t="s">
        <v>609</v>
      </c>
      <c r="L381" t="str">
        <f>C37</f>
        <v>H1a</v>
      </c>
      <c r="M381" t="s">
        <v>608</v>
      </c>
      <c r="N381" t="s">
        <v>610</v>
      </c>
      <c r="O381">
        <v>6853560.0</v>
      </c>
      <c r="P381">
        <v>6985519.0</v>
      </c>
      <c r="Q381" t="s">
        <v>423</v>
      </c>
      <c r="R381" s="5"/>
      <c r="S381" s="5"/>
      <c r="T381" s="5"/>
      <c r="U381" s="5"/>
      <c r="V381" s="5"/>
      <c r="W381" s="5"/>
      <c r="X381" s="5"/>
      <c r="Y381" s="5"/>
      <c r="Z381" s="5"/>
      <c r="AA381" s="5"/>
      <c r="AB381" s="5"/>
      <c r="AC381" s="5"/>
      <c r="AD381" s="5"/>
      <c r="AE381" s="5"/>
      <c r="AF381" s="5"/>
      <c r="AG381" s="5"/>
    </row>
    <row r="382" ht="15.75" customHeight="1">
      <c r="K382" t="s">
        <v>611</v>
      </c>
      <c r="L382" t="str">
        <f>C37</f>
        <v>H1a</v>
      </c>
      <c r="M382" t="s">
        <v>612</v>
      </c>
      <c r="N382" t="s">
        <v>613</v>
      </c>
      <c r="O382">
        <v>8670565.0</v>
      </c>
      <c r="P382">
        <v>8802524.0</v>
      </c>
      <c r="Q382" t="s">
        <v>423</v>
      </c>
      <c r="R382" s="5"/>
      <c r="S382" s="5"/>
      <c r="T382" s="5"/>
      <c r="U382" s="5"/>
      <c r="V382" s="5"/>
      <c r="W382" s="5"/>
      <c r="X382" s="5"/>
      <c r="Y382" s="5"/>
      <c r="Z382" s="5"/>
      <c r="AA382" s="5"/>
      <c r="AB382" s="5"/>
      <c r="AC382" s="5"/>
      <c r="AD382" s="5"/>
      <c r="AE382" s="5"/>
      <c r="AF382" s="5"/>
      <c r="AG382" s="5"/>
    </row>
    <row r="383" ht="15.75" customHeight="1">
      <c r="K383" t="s">
        <v>612</v>
      </c>
      <c r="L383" t="str">
        <f>C37</f>
        <v>H1a</v>
      </c>
      <c r="M383" t="s">
        <v>611</v>
      </c>
      <c r="N383" t="s">
        <v>613</v>
      </c>
      <c r="O383">
        <v>8670565.0</v>
      </c>
      <c r="P383">
        <v>8802524.0</v>
      </c>
      <c r="Q383" t="s">
        <v>423</v>
      </c>
      <c r="R383" s="5"/>
      <c r="S383" s="5"/>
      <c r="T383" s="5"/>
      <c r="U383" s="5"/>
      <c r="V383" s="5"/>
      <c r="W383" s="5"/>
      <c r="X383" s="5"/>
      <c r="Y383" s="5"/>
      <c r="Z383" s="5"/>
      <c r="AA383" s="5"/>
      <c r="AB383" s="5"/>
      <c r="AC383" s="5"/>
      <c r="AD383" s="5"/>
      <c r="AE383" s="5"/>
      <c r="AF383" s="5"/>
      <c r="AG383" s="5"/>
    </row>
    <row r="384" ht="15.75" customHeight="1">
      <c r="K384" t="s">
        <v>614</v>
      </c>
      <c r="L384" t="str">
        <f>C37</f>
        <v>H1a</v>
      </c>
      <c r="N384" t="s">
        <v>615</v>
      </c>
      <c r="O384">
        <v>1.4572769E7</v>
      </c>
      <c r="P384">
        <v>1.2460969E7</v>
      </c>
      <c r="Q384" t="s">
        <v>419</v>
      </c>
      <c r="R384" s="5"/>
      <c r="S384" s="5"/>
      <c r="T384" s="5"/>
      <c r="U384" s="5"/>
      <c r="V384" s="5"/>
      <c r="W384" s="5"/>
      <c r="X384" s="5"/>
      <c r="Y384" s="5"/>
      <c r="Z384" s="5"/>
      <c r="AA384" s="5"/>
      <c r="AB384" s="5"/>
      <c r="AC384" s="5"/>
      <c r="AD384" s="5"/>
      <c r="AE384" s="5"/>
      <c r="AF384" s="5"/>
      <c r="AG384" s="5"/>
    </row>
    <row r="385" ht="15.75" customHeight="1">
      <c r="K385" t="s">
        <v>616</v>
      </c>
      <c r="L385" t="str">
        <f>C37</f>
        <v>H1a</v>
      </c>
      <c r="N385" t="s">
        <v>617</v>
      </c>
      <c r="O385">
        <v>1.4667241E7</v>
      </c>
      <c r="P385">
        <v>1.2555307E7</v>
      </c>
      <c r="Q385" t="s">
        <v>423</v>
      </c>
      <c r="R385" s="5"/>
      <c r="S385" s="5"/>
      <c r="T385" s="5"/>
      <c r="U385" s="5"/>
      <c r="V385" s="5"/>
      <c r="W385" s="5"/>
      <c r="X385" s="5"/>
      <c r="Y385" s="5"/>
      <c r="Z385" s="5"/>
      <c r="AA385" s="5"/>
      <c r="AB385" s="5"/>
      <c r="AC385" s="5"/>
      <c r="AD385" s="5"/>
      <c r="AE385" s="5"/>
      <c r="AF385" s="5"/>
      <c r="AG385" s="5"/>
    </row>
    <row r="386" ht="15.75" customHeight="1">
      <c r="K386" t="s">
        <v>618</v>
      </c>
      <c r="L386" t="str">
        <f>C37</f>
        <v>H1a</v>
      </c>
      <c r="N386" t="s">
        <v>619</v>
      </c>
      <c r="O386">
        <v>1.493408E7</v>
      </c>
      <c r="P386">
        <v>1.2822145E7</v>
      </c>
      <c r="Q386" t="s">
        <v>435</v>
      </c>
      <c r="R386" s="5"/>
      <c r="S386" s="5"/>
      <c r="T386" s="5"/>
      <c r="U386" s="5"/>
      <c r="V386" s="5"/>
      <c r="W386" s="5"/>
      <c r="X386" s="5"/>
      <c r="Y386" s="5"/>
      <c r="Z386" s="5"/>
      <c r="AA386" s="5"/>
      <c r="AB386" s="5"/>
      <c r="AC386" s="5"/>
      <c r="AD386" s="5"/>
      <c r="AE386" s="5"/>
      <c r="AF386" s="5"/>
      <c r="AG386" s="5"/>
    </row>
    <row r="387" ht="15.75" customHeight="1">
      <c r="K387" t="s">
        <v>620</v>
      </c>
      <c r="L387" t="str">
        <f>C37</f>
        <v>H1a</v>
      </c>
      <c r="N387" t="s">
        <v>621</v>
      </c>
      <c r="O387">
        <v>1.5959367E7</v>
      </c>
      <c r="P387">
        <v>1.3847487E7</v>
      </c>
      <c r="Q387" t="s">
        <v>476</v>
      </c>
      <c r="R387" s="5"/>
      <c r="S387" s="5"/>
      <c r="T387" s="5"/>
      <c r="U387" s="5"/>
      <c r="V387" s="5"/>
      <c r="W387" s="5"/>
      <c r="X387" s="5"/>
      <c r="Y387" s="5"/>
      <c r="Z387" s="5"/>
      <c r="AA387" s="5"/>
      <c r="AB387" s="5"/>
      <c r="AC387" s="5"/>
      <c r="AD387" s="5"/>
      <c r="AE387" s="5"/>
      <c r="AF387" s="5"/>
      <c r="AG387" s="5"/>
    </row>
    <row r="388" ht="15.75" customHeight="1">
      <c r="K388" t="s">
        <v>622</v>
      </c>
      <c r="L388" t="str">
        <f>C37</f>
        <v>H1a</v>
      </c>
      <c r="M388" t="s">
        <v>623</v>
      </c>
      <c r="N388" t="s">
        <v>624</v>
      </c>
      <c r="O388">
        <v>1.704221E7</v>
      </c>
      <c r="P388">
        <v>1.493033E7</v>
      </c>
      <c r="Q388" t="s">
        <v>476</v>
      </c>
      <c r="R388" s="5"/>
      <c r="S388" s="5"/>
      <c r="T388" s="5"/>
      <c r="U388" s="5"/>
      <c r="V388" s="5"/>
      <c r="W388" s="5"/>
      <c r="X388" s="5"/>
      <c r="Y388" s="5"/>
      <c r="Z388" s="5"/>
      <c r="AA388" s="5"/>
      <c r="AB388" s="5"/>
      <c r="AC388" s="5"/>
      <c r="AD388" s="5"/>
      <c r="AE388" s="5"/>
      <c r="AF388" s="5"/>
      <c r="AG388" s="5"/>
    </row>
    <row r="389" ht="15.75" customHeight="1">
      <c r="K389" t="s">
        <v>623</v>
      </c>
      <c r="L389" t="str">
        <f>C37</f>
        <v>H1a</v>
      </c>
      <c r="M389" t="s">
        <v>622</v>
      </c>
      <c r="N389" t="s">
        <v>624</v>
      </c>
      <c r="O389">
        <v>1.704221E7</v>
      </c>
      <c r="P389">
        <v>1.493033E7</v>
      </c>
      <c r="Q389" t="s">
        <v>476</v>
      </c>
      <c r="R389" s="5"/>
      <c r="S389" s="5"/>
      <c r="T389" s="5"/>
      <c r="U389" s="5"/>
      <c r="V389" s="5"/>
      <c r="W389" s="5"/>
      <c r="X389" s="5"/>
      <c r="Y389" s="5"/>
      <c r="Z389" s="5"/>
      <c r="AA389" s="5"/>
      <c r="AB389" s="5"/>
      <c r="AC389" s="5"/>
      <c r="AD389" s="5"/>
      <c r="AE389" s="5"/>
      <c r="AF389" s="5"/>
      <c r="AG389" s="5"/>
    </row>
    <row r="390" ht="15.75" customHeight="1">
      <c r="K390" t="s">
        <v>625</v>
      </c>
      <c r="L390" t="str">
        <f>C37</f>
        <v>H1a</v>
      </c>
      <c r="M390" t="s">
        <v>626</v>
      </c>
      <c r="N390" t="s">
        <v>627</v>
      </c>
      <c r="O390">
        <v>1.8107005E7</v>
      </c>
      <c r="P390">
        <v>1.5995125E7</v>
      </c>
      <c r="Q390" t="s">
        <v>423</v>
      </c>
      <c r="R390" s="5"/>
      <c r="S390" s="5"/>
      <c r="T390" s="5"/>
      <c r="U390" s="5"/>
      <c r="V390" s="5"/>
      <c r="W390" s="5"/>
      <c r="X390" s="5"/>
      <c r="Y390" s="5"/>
      <c r="Z390" s="5"/>
      <c r="AA390" s="5"/>
      <c r="AB390" s="5"/>
      <c r="AC390" s="5"/>
      <c r="AD390" s="5"/>
      <c r="AE390" s="5"/>
      <c r="AF390" s="5"/>
      <c r="AG390" s="5"/>
    </row>
    <row r="391" ht="15.75" customHeight="1">
      <c r="K391" t="s">
        <v>626</v>
      </c>
      <c r="L391" t="str">
        <f>C37</f>
        <v>H1a</v>
      </c>
      <c r="M391" t="s">
        <v>625</v>
      </c>
      <c r="N391" t="s">
        <v>627</v>
      </c>
      <c r="O391">
        <v>1.8107005E7</v>
      </c>
      <c r="P391">
        <v>1.5995125E7</v>
      </c>
      <c r="Q391" t="s">
        <v>423</v>
      </c>
      <c r="R391" s="5"/>
      <c r="S391" s="5"/>
      <c r="T391" s="5"/>
      <c r="U391" s="5"/>
      <c r="V391" s="5"/>
      <c r="W391" s="5"/>
      <c r="X391" s="5"/>
      <c r="Y391" s="5"/>
      <c r="Z391" s="5"/>
      <c r="AA391" s="5"/>
      <c r="AB391" s="5"/>
      <c r="AC391" s="5"/>
      <c r="AD391" s="5"/>
      <c r="AE391" s="5"/>
      <c r="AF391" s="5"/>
      <c r="AG391" s="5"/>
    </row>
    <row r="392" ht="15.75" customHeight="1">
      <c r="K392" t="s">
        <v>628</v>
      </c>
      <c r="L392" t="str">
        <f>C37</f>
        <v>H1a</v>
      </c>
      <c r="M392" t="s">
        <v>629</v>
      </c>
      <c r="N392" t="s">
        <v>630</v>
      </c>
      <c r="O392">
        <v>1.8150336E7</v>
      </c>
      <c r="P392">
        <v>1.6038456E7</v>
      </c>
      <c r="Q392" t="s">
        <v>423</v>
      </c>
      <c r="R392" s="5"/>
      <c r="S392" s="5"/>
      <c r="T392" s="5"/>
      <c r="U392" s="5"/>
      <c r="V392" s="5"/>
      <c r="W392" s="5"/>
      <c r="X392" s="5"/>
      <c r="Y392" s="5"/>
      <c r="Z392" s="5"/>
      <c r="AA392" s="5"/>
      <c r="AB392" s="5"/>
      <c r="AC392" s="5"/>
      <c r="AD392" s="5"/>
      <c r="AE392" s="5"/>
      <c r="AF392" s="5"/>
      <c r="AG392" s="5"/>
    </row>
    <row r="393" ht="15.75" customHeight="1">
      <c r="K393" t="s">
        <v>629</v>
      </c>
      <c r="L393" t="str">
        <f>C37</f>
        <v>H1a</v>
      </c>
      <c r="M393" t="s">
        <v>628</v>
      </c>
      <c r="N393" t="s">
        <v>630</v>
      </c>
      <c r="O393">
        <v>1.8150336E7</v>
      </c>
      <c r="P393">
        <v>1.6038456E7</v>
      </c>
      <c r="Q393" t="s">
        <v>423</v>
      </c>
      <c r="R393" s="5"/>
      <c r="S393" s="5"/>
      <c r="T393" s="5"/>
      <c r="U393" s="5"/>
      <c r="V393" s="5"/>
      <c r="W393" s="5"/>
      <c r="X393" s="5"/>
      <c r="Y393" s="5"/>
      <c r="Z393" s="5"/>
      <c r="AA393" s="5"/>
      <c r="AB393" s="5"/>
      <c r="AC393" s="5"/>
      <c r="AD393" s="5"/>
      <c r="AE393" s="5"/>
      <c r="AF393" s="5"/>
      <c r="AG393" s="5"/>
    </row>
    <row r="394" ht="15.75" customHeight="1">
      <c r="K394" t="s">
        <v>631</v>
      </c>
      <c r="L394" t="str">
        <f>C37</f>
        <v>H1a</v>
      </c>
      <c r="M394" t="s">
        <v>632</v>
      </c>
      <c r="N394" t="s">
        <v>633</v>
      </c>
      <c r="O394">
        <v>1.8186474E7</v>
      </c>
      <c r="P394">
        <v>1.6074594E7</v>
      </c>
      <c r="Q394" t="s">
        <v>435</v>
      </c>
      <c r="R394" s="5"/>
      <c r="S394" s="5"/>
      <c r="T394" s="5"/>
      <c r="U394" s="5"/>
      <c r="V394" s="5"/>
      <c r="W394" s="5"/>
      <c r="X394" s="5"/>
      <c r="Y394" s="5"/>
      <c r="Z394" s="5"/>
      <c r="AA394" s="5"/>
      <c r="AB394" s="5"/>
      <c r="AC394" s="5"/>
      <c r="AD394" s="5"/>
      <c r="AE394" s="5"/>
      <c r="AF394" s="5"/>
      <c r="AG394" s="5"/>
    </row>
    <row r="395" ht="15.75" customHeight="1">
      <c r="K395" t="s">
        <v>632</v>
      </c>
      <c r="L395" t="str">
        <f>C37</f>
        <v>H1a</v>
      </c>
      <c r="M395" t="s">
        <v>631</v>
      </c>
      <c r="N395" t="s">
        <v>633</v>
      </c>
      <c r="O395">
        <v>1.8186474E7</v>
      </c>
      <c r="P395">
        <v>1.6074594E7</v>
      </c>
      <c r="Q395" t="s">
        <v>435</v>
      </c>
      <c r="R395" s="5"/>
      <c r="S395" s="5"/>
      <c r="T395" s="5"/>
      <c r="U395" s="5"/>
      <c r="V395" s="5"/>
      <c r="W395" s="5"/>
      <c r="X395" s="5"/>
      <c r="Y395" s="5"/>
      <c r="Z395" s="5"/>
      <c r="AA395" s="5"/>
      <c r="AB395" s="5"/>
      <c r="AC395" s="5"/>
      <c r="AD395" s="5"/>
      <c r="AE395" s="5"/>
      <c r="AF395" s="5"/>
      <c r="AG395" s="5"/>
    </row>
    <row r="396" ht="15.75" customHeight="1">
      <c r="K396" t="s">
        <v>634</v>
      </c>
      <c r="L396" t="str">
        <f>C37</f>
        <v>H1a</v>
      </c>
      <c r="M396" t="s">
        <v>635</v>
      </c>
      <c r="N396" t="s">
        <v>636</v>
      </c>
      <c r="O396">
        <v>1.9334488E7</v>
      </c>
      <c r="P396">
        <v>1.7222608E7</v>
      </c>
      <c r="Q396" t="s">
        <v>431</v>
      </c>
      <c r="R396" s="5"/>
      <c r="S396" s="5"/>
      <c r="T396" s="5"/>
      <c r="U396" s="5"/>
      <c r="V396" s="5"/>
      <c r="W396" s="5"/>
      <c r="X396" s="5"/>
      <c r="Y396" s="5"/>
      <c r="Z396" s="5"/>
      <c r="AA396" s="5"/>
      <c r="AB396" s="5"/>
      <c r="AC396" s="5"/>
      <c r="AD396" s="5"/>
      <c r="AE396" s="5"/>
      <c r="AF396" s="5"/>
      <c r="AG396" s="5"/>
    </row>
    <row r="397" ht="15.75" customHeight="1">
      <c r="K397" t="s">
        <v>635</v>
      </c>
      <c r="L397" t="str">
        <f>C37</f>
        <v>H1a</v>
      </c>
      <c r="M397" t="s">
        <v>634</v>
      </c>
      <c r="N397" t="s">
        <v>636</v>
      </c>
      <c r="O397">
        <v>1.9334488E7</v>
      </c>
      <c r="P397">
        <v>1.7222608E7</v>
      </c>
      <c r="Q397" t="s">
        <v>431</v>
      </c>
      <c r="R397" s="5"/>
      <c r="S397" s="5"/>
      <c r="T397" s="5"/>
      <c r="U397" s="5"/>
      <c r="V397" s="5"/>
      <c r="W397" s="5"/>
      <c r="X397" s="5"/>
      <c r="Y397" s="5"/>
      <c r="Z397" s="5"/>
      <c r="AA397" s="5"/>
      <c r="AB397" s="5"/>
      <c r="AC397" s="5"/>
      <c r="AD397" s="5"/>
      <c r="AE397" s="5"/>
      <c r="AF397" s="5"/>
      <c r="AG397" s="5"/>
    </row>
    <row r="398" ht="15.75" customHeight="1">
      <c r="K398" t="s">
        <v>637</v>
      </c>
      <c r="L398" t="str">
        <f>C37</f>
        <v>H1a</v>
      </c>
      <c r="M398" t="s">
        <v>638</v>
      </c>
      <c r="N398" t="s">
        <v>639</v>
      </c>
      <c r="O398">
        <v>2.1170043E7</v>
      </c>
      <c r="P398">
        <v>1.9008157E7</v>
      </c>
      <c r="Q398" t="s">
        <v>431</v>
      </c>
      <c r="R398" s="5"/>
      <c r="S398" s="5"/>
      <c r="T398" s="5"/>
      <c r="U398" s="5"/>
      <c r="V398" s="5"/>
      <c r="W398" s="5"/>
      <c r="X398" s="5"/>
      <c r="Y398" s="5"/>
      <c r="Z398" s="5"/>
      <c r="AA398" s="5"/>
      <c r="AB398" s="5"/>
      <c r="AC398" s="5"/>
      <c r="AD398" s="5"/>
      <c r="AE398" s="5"/>
      <c r="AF398" s="5"/>
      <c r="AG398" s="5"/>
    </row>
    <row r="399" ht="15.75" customHeight="1">
      <c r="K399" t="s">
        <v>638</v>
      </c>
      <c r="L399" t="str">
        <f>C37</f>
        <v>H1a</v>
      </c>
      <c r="M399" t="s">
        <v>637</v>
      </c>
      <c r="N399" t="s">
        <v>639</v>
      </c>
      <c r="O399">
        <v>2.1170043E7</v>
      </c>
      <c r="P399">
        <v>1.9008157E7</v>
      </c>
      <c r="Q399" t="s">
        <v>431</v>
      </c>
      <c r="R399" s="5"/>
      <c r="S399" s="5"/>
      <c r="T399" s="5"/>
      <c r="U399" s="5"/>
      <c r="V399" s="5"/>
      <c r="W399" s="5"/>
      <c r="X399" s="5"/>
      <c r="Y399" s="5"/>
      <c r="Z399" s="5"/>
      <c r="AA399" s="5"/>
      <c r="AB399" s="5"/>
      <c r="AC399" s="5"/>
      <c r="AD399" s="5"/>
      <c r="AE399" s="5"/>
      <c r="AF399" s="5"/>
      <c r="AG399" s="5"/>
    </row>
    <row r="400" ht="15.75" customHeight="1">
      <c r="K400" t="s">
        <v>640</v>
      </c>
      <c r="L400" t="str">
        <f>C37</f>
        <v>H1a</v>
      </c>
      <c r="M400" t="s">
        <v>641</v>
      </c>
      <c r="N400" t="s">
        <v>642</v>
      </c>
      <c r="O400">
        <v>2.1916498E7</v>
      </c>
      <c r="P400">
        <v>1.9754612E7</v>
      </c>
      <c r="Q400" t="s">
        <v>476</v>
      </c>
      <c r="R400" s="5"/>
      <c r="S400" s="5"/>
      <c r="T400" s="5"/>
      <c r="U400" s="5"/>
      <c r="V400" s="5"/>
      <c r="W400" s="5"/>
      <c r="X400" s="5"/>
      <c r="Y400" s="5"/>
      <c r="Z400" s="5"/>
      <c r="AA400" s="5"/>
      <c r="AB400" s="5"/>
      <c r="AC400" s="5"/>
      <c r="AD400" s="5"/>
      <c r="AE400" s="5"/>
      <c r="AF400" s="5"/>
      <c r="AG400" s="5"/>
    </row>
    <row r="401" ht="15.75" customHeight="1">
      <c r="K401" t="s">
        <v>641</v>
      </c>
      <c r="L401" t="str">
        <f>C37</f>
        <v>H1a</v>
      </c>
      <c r="M401" t="s">
        <v>640</v>
      </c>
      <c r="N401" t="s">
        <v>642</v>
      </c>
      <c r="O401">
        <v>2.1916498E7</v>
      </c>
      <c r="P401">
        <v>1.9754612E7</v>
      </c>
      <c r="Q401" t="s">
        <v>476</v>
      </c>
      <c r="R401" s="5"/>
      <c r="S401" s="5"/>
      <c r="T401" s="5"/>
      <c r="U401" s="5"/>
      <c r="V401" s="5"/>
      <c r="W401" s="5"/>
      <c r="X401" s="5"/>
      <c r="Y401" s="5"/>
      <c r="Z401" s="5"/>
      <c r="AA401" s="5"/>
      <c r="AB401" s="5"/>
      <c r="AC401" s="5"/>
      <c r="AD401" s="5"/>
      <c r="AE401" s="5"/>
      <c r="AF401" s="5"/>
      <c r="AG401" s="5"/>
    </row>
    <row r="402" ht="15.75" customHeight="1">
      <c r="K402" t="s">
        <v>643</v>
      </c>
      <c r="L402" t="str">
        <f>C37</f>
        <v>H1a</v>
      </c>
      <c r="N402" t="s">
        <v>644</v>
      </c>
      <c r="O402">
        <v>2.1944665E7</v>
      </c>
      <c r="P402">
        <v>1.9782779E7</v>
      </c>
      <c r="Q402" t="s">
        <v>419</v>
      </c>
      <c r="R402" s="5"/>
      <c r="S402" s="5"/>
      <c r="T402" s="5"/>
      <c r="U402" s="5"/>
      <c r="V402" s="5"/>
      <c r="W402" s="5"/>
      <c r="X402" s="5"/>
      <c r="Y402" s="5"/>
      <c r="Z402" s="5"/>
      <c r="AA402" s="5"/>
      <c r="AB402" s="5"/>
      <c r="AC402" s="5"/>
      <c r="AD402" s="5"/>
      <c r="AE402" s="5"/>
      <c r="AF402" s="5"/>
      <c r="AG402" s="5"/>
    </row>
    <row r="403" ht="15.75" customHeight="1">
      <c r="K403" t="s">
        <v>645</v>
      </c>
      <c r="L403" t="str">
        <f>C37</f>
        <v>H1a</v>
      </c>
      <c r="M403" t="s">
        <v>646</v>
      </c>
      <c r="N403" t="s">
        <v>647</v>
      </c>
      <c r="O403">
        <v>2.2186309E7</v>
      </c>
      <c r="P403">
        <v>2.0024423E7</v>
      </c>
      <c r="Q403" t="s">
        <v>448</v>
      </c>
      <c r="R403" s="5"/>
      <c r="S403" s="5"/>
      <c r="T403" s="5"/>
      <c r="U403" s="5"/>
      <c r="V403" s="5"/>
      <c r="W403" s="5"/>
      <c r="X403" s="5"/>
      <c r="Y403" s="5"/>
      <c r="Z403" s="5"/>
      <c r="AA403" s="5"/>
      <c r="AB403" s="5"/>
      <c r="AC403" s="5"/>
      <c r="AD403" s="5"/>
      <c r="AE403" s="5"/>
      <c r="AF403" s="5"/>
      <c r="AG403" s="5"/>
    </row>
    <row r="404" ht="15.75" customHeight="1">
      <c r="K404" t="s">
        <v>646</v>
      </c>
      <c r="L404" t="str">
        <f>C37</f>
        <v>H1a</v>
      </c>
      <c r="M404" t="s">
        <v>645</v>
      </c>
      <c r="N404" t="s">
        <v>647</v>
      </c>
      <c r="O404">
        <v>2.2186309E7</v>
      </c>
      <c r="P404">
        <v>2.0024423E7</v>
      </c>
      <c r="Q404" t="s">
        <v>448</v>
      </c>
      <c r="R404" s="5"/>
      <c r="S404" s="5"/>
      <c r="T404" s="5"/>
      <c r="U404" s="5"/>
      <c r="V404" s="5"/>
      <c r="W404" s="5"/>
      <c r="X404" s="5"/>
      <c r="Y404" s="5"/>
      <c r="Z404" s="5"/>
      <c r="AA404" s="5"/>
      <c r="AB404" s="5"/>
      <c r="AC404" s="5"/>
      <c r="AD404" s="5"/>
      <c r="AE404" s="5"/>
      <c r="AF404" s="5"/>
      <c r="AG404" s="5"/>
    </row>
    <row r="405" ht="15.75" customHeight="1">
      <c r="K405" t="s">
        <v>648</v>
      </c>
      <c r="L405" t="str">
        <f>C37</f>
        <v>H1a</v>
      </c>
      <c r="M405" t="s">
        <v>649</v>
      </c>
      <c r="N405" t="s">
        <v>650</v>
      </c>
      <c r="O405">
        <v>2.3099078E7</v>
      </c>
      <c r="P405">
        <v>2.0937192E7</v>
      </c>
      <c r="Q405" t="s">
        <v>431</v>
      </c>
      <c r="R405" s="5"/>
      <c r="S405" s="5"/>
      <c r="T405" s="5"/>
      <c r="U405" s="5"/>
      <c r="V405" s="5"/>
      <c r="W405" s="5"/>
      <c r="X405" s="5"/>
      <c r="Y405" s="5"/>
      <c r="Z405" s="5"/>
      <c r="AA405" s="5"/>
      <c r="AB405" s="5"/>
      <c r="AC405" s="5"/>
      <c r="AD405" s="5"/>
      <c r="AE405" s="5"/>
      <c r="AF405" s="5"/>
      <c r="AG405" s="5"/>
    </row>
    <row r="406" ht="15.75" customHeight="1">
      <c r="K406" t="s">
        <v>649</v>
      </c>
      <c r="L406" t="str">
        <f>C37</f>
        <v>H1a</v>
      </c>
      <c r="M406" t="s">
        <v>648</v>
      </c>
      <c r="N406" t="s">
        <v>650</v>
      </c>
      <c r="O406">
        <v>2.3099078E7</v>
      </c>
      <c r="P406">
        <v>2.0937192E7</v>
      </c>
      <c r="Q406" t="s">
        <v>431</v>
      </c>
      <c r="R406" s="5"/>
      <c r="S406" s="5"/>
      <c r="T406" s="5"/>
      <c r="U406" s="5"/>
      <c r="V406" s="5"/>
      <c r="W406" s="5"/>
      <c r="X406" s="5"/>
      <c r="Y406" s="5"/>
      <c r="Z406" s="5"/>
      <c r="AA406" s="5"/>
      <c r="AB406" s="5"/>
      <c r="AC406" s="5"/>
      <c r="AD406" s="5"/>
      <c r="AE406" s="5"/>
      <c r="AF406" s="5"/>
      <c r="AG406" s="5"/>
    </row>
    <row r="407" ht="15.75" customHeight="1">
      <c r="K407" t="s">
        <v>651</v>
      </c>
      <c r="L407" t="str">
        <f>C37</f>
        <v>H1a</v>
      </c>
      <c r="M407" t="s">
        <v>652</v>
      </c>
      <c r="N407" t="s">
        <v>653</v>
      </c>
      <c r="O407">
        <v>2.3149791E7</v>
      </c>
      <c r="P407">
        <v>2.0987905E7</v>
      </c>
      <c r="Q407" t="s">
        <v>427</v>
      </c>
      <c r="R407" s="5"/>
      <c r="S407" s="5"/>
      <c r="T407" s="5"/>
      <c r="U407" s="5"/>
      <c r="V407" s="5"/>
      <c r="W407" s="5"/>
      <c r="X407" s="5"/>
      <c r="Y407" s="5"/>
      <c r="Z407" s="5"/>
      <c r="AA407" s="5"/>
      <c r="AB407" s="5"/>
      <c r="AC407" s="5"/>
      <c r="AD407" s="5"/>
      <c r="AE407" s="5"/>
      <c r="AF407" s="5"/>
      <c r="AG407" s="5"/>
    </row>
    <row r="408" ht="15.75" customHeight="1">
      <c r="K408" t="s">
        <v>652</v>
      </c>
      <c r="L408" t="str">
        <f>C37</f>
        <v>H1a</v>
      </c>
      <c r="M408" t="s">
        <v>651</v>
      </c>
      <c r="N408" t="s">
        <v>653</v>
      </c>
      <c r="O408">
        <v>2.3149791E7</v>
      </c>
      <c r="P408">
        <v>2.0987905E7</v>
      </c>
      <c r="Q408" t="s">
        <v>427</v>
      </c>
      <c r="R408" s="5"/>
      <c r="S408" s="5"/>
      <c r="T408" s="5"/>
      <c r="U408" s="5"/>
      <c r="V408" s="5"/>
      <c r="W408" s="5"/>
      <c r="X408" s="5"/>
      <c r="Y408" s="5"/>
      <c r="Z408" s="5"/>
      <c r="AA408" s="5"/>
      <c r="AB408" s="5"/>
      <c r="AC408" s="5"/>
      <c r="AD408" s="5"/>
      <c r="AE408" s="5"/>
      <c r="AF408" s="5"/>
      <c r="AG408" s="5"/>
    </row>
    <row r="409" ht="15.75" customHeight="1">
      <c r="K409" t="s">
        <v>654</v>
      </c>
      <c r="L409" t="str">
        <f>C37</f>
        <v>H1a</v>
      </c>
      <c r="N409" t="s">
        <v>655</v>
      </c>
      <c r="O409">
        <v>2.4385183E7</v>
      </c>
      <c r="P409">
        <v>2.2239036E7</v>
      </c>
      <c r="Q409" t="s">
        <v>419</v>
      </c>
      <c r="R409" s="5"/>
      <c r="S409" s="5"/>
      <c r="T409" s="5"/>
      <c r="U409" s="5"/>
      <c r="V409" s="5"/>
      <c r="W409" s="5"/>
      <c r="X409" s="5"/>
      <c r="Y409" s="5"/>
      <c r="Z409" s="5"/>
      <c r="AA409" s="5"/>
      <c r="AB409" s="5"/>
      <c r="AC409" s="5"/>
      <c r="AD409" s="5"/>
      <c r="AE409" s="5"/>
      <c r="AF409" s="5"/>
      <c r="AG409" s="5"/>
    </row>
    <row r="410" ht="15.75" customHeight="1">
      <c r="K410" t="s">
        <v>656</v>
      </c>
      <c r="L410" t="str">
        <f>C37</f>
        <v>H1a</v>
      </c>
      <c r="N410" t="s">
        <v>657</v>
      </c>
      <c r="O410">
        <v>2.4385268E7</v>
      </c>
      <c r="P410">
        <v>2.2239121E7</v>
      </c>
      <c r="Q410" t="s">
        <v>553</v>
      </c>
      <c r="R410" s="5"/>
      <c r="S410" s="5"/>
      <c r="T410" s="5"/>
      <c r="U410" s="5"/>
      <c r="V410" s="5"/>
      <c r="W410" s="5"/>
      <c r="X410" s="5"/>
      <c r="Y410" s="5"/>
      <c r="Z410" s="5"/>
      <c r="AA410" s="5"/>
      <c r="AB410" s="5"/>
      <c r="AC410" s="5"/>
      <c r="AD410" s="5"/>
      <c r="AE410" s="5"/>
      <c r="AF410" s="5"/>
      <c r="AG410" s="5"/>
    </row>
    <row r="411" ht="15.75" customHeight="1">
      <c r="K411" t="s">
        <v>658</v>
      </c>
      <c r="L411" t="str">
        <f>C37</f>
        <v>H1a</v>
      </c>
      <c r="N411" t="s">
        <v>659</v>
      </c>
      <c r="O411">
        <v>1.3666623E7</v>
      </c>
      <c r="P411">
        <v>1.1510947E7</v>
      </c>
      <c r="Q411" t="s">
        <v>553</v>
      </c>
      <c r="R411" s="5"/>
      <c r="S411" s="5"/>
      <c r="T411" s="5"/>
      <c r="U411" s="5"/>
      <c r="V411" s="5"/>
      <c r="W411" s="5"/>
      <c r="X411" s="5"/>
      <c r="Y411" s="5"/>
      <c r="Z411" s="5"/>
      <c r="AA411" s="5"/>
      <c r="AB411" s="5"/>
      <c r="AC411" s="5"/>
      <c r="AD411" s="5"/>
      <c r="AE411" s="5"/>
      <c r="AF411" s="5"/>
      <c r="AG411" s="5"/>
    </row>
    <row r="412" ht="15.75" customHeight="1">
      <c r="K412" t="s">
        <v>660</v>
      </c>
      <c r="L412" t="str">
        <f>C37</f>
        <v>H1a</v>
      </c>
      <c r="N412" t="s">
        <v>661</v>
      </c>
      <c r="O412">
        <v>1.3685009E7</v>
      </c>
      <c r="P412">
        <v>1.1529333E7</v>
      </c>
      <c r="Q412" t="s">
        <v>448</v>
      </c>
      <c r="R412" s="5"/>
      <c r="S412" s="5"/>
      <c r="T412" s="5"/>
      <c r="U412" s="5"/>
      <c r="V412" s="5"/>
      <c r="W412" s="5"/>
      <c r="X412" s="5"/>
      <c r="Y412" s="5"/>
      <c r="Z412" s="5"/>
      <c r="AA412" s="5"/>
      <c r="AB412" s="5"/>
      <c r="AC412" s="5"/>
      <c r="AD412" s="5"/>
      <c r="AE412" s="5"/>
      <c r="AF412" s="5"/>
      <c r="AG412" s="5"/>
    </row>
    <row r="413" ht="15.75" customHeight="1">
      <c r="K413" t="s">
        <v>662</v>
      </c>
      <c r="L413" t="str">
        <f>C37</f>
        <v>H1a</v>
      </c>
      <c r="N413" t="s">
        <v>663</v>
      </c>
      <c r="O413">
        <v>1.6948996E7</v>
      </c>
      <c r="P413">
        <v>1.4837116E7</v>
      </c>
      <c r="Q413" t="s">
        <v>427</v>
      </c>
      <c r="R413" s="5"/>
      <c r="S413" s="5"/>
      <c r="T413" s="5"/>
      <c r="U413" s="5"/>
      <c r="V413" s="5"/>
      <c r="W413" s="5"/>
      <c r="X413" s="5"/>
      <c r="Y413" s="5"/>
      <c r="Z413" s="5"/>
      <c r="AA413" s="5"/>
      <c r="AB413" s="5"/>
      <c r="AC413" s="5"/>
      <c r="AD413" s="5"/>
      <c r="AE413" s="5"/>
      <c r="AF413" s="5"/>
      <c r="AG413" s="5"/>
    </row>
    <row r="414" ht="15.75" customHeight="1">
      <c r="K414" t="s">
        <v>664</v>
      </c>
      <c r="L414" t="str">
        <f>C37</f>
        <v>H1a</v>
      </c>
      <c r="N414" t="s">
        <v>665</v>
      </c>
      <c r="O414">
        <v>2.3167765E7</v>
      </c>
      <c r="P414">
        <v>2.1005879E7</v>
      </c>
      <c r="Q414" t="s">
        <v>435</v>
      </c>
      <c r="R414" s="5"/>
      <c r="S414" s="5"/>
      <c r="T414" s="5"/>
      <c r="U414" s="5"/>
      <c r="V414" s="5"/>
      <c r="W414" s="5"/>
      <c r="X414" s="5"/>
      <c r="Y414" s="5"/>
      <c r="Z414" s="5"/>
      <c r="AA414" s="5"/>
      <c r="AB414" s="5"/>
      <c r="AC414" s="5"/>
      <c r="AD414" s="5"/>
      <c r="AE414" s="5"/>
      <c r="AF414" s="5"/>
      <c r="AG414" s="5"/>
    </row>
    <row r="415" ht="15.75" customHeight="1">
      <c r="K415" t="s">
        <v>666</v>
      </c>
      <c r="L415" t="str">
        <f>D38</f>
        <v>H1a1</v>
      </c>
      <c r="N415" t="s">
        <v>667</v>
      </c>
      <c r="O415">
        <v>2.1753199E7</v>
      </c>
      <c r="P415">
        <v>1.9591313E7</v>
      </c>
      <c r="Q415" t="s">
        <v>553</v>
      </c>
      <c r="R415" s="5"/>
      <c r="S415" s="5"/>
      <c r="T415" s="5"/>
      <c r="U415" s="5"/>
      <c r="V415" s="5"/>
      <c r="W415" s="5"/>
      <c r="X415" s="5"/>
      <c r="Y415" s="5"/>
      <c r="Z415" s="5"/>
      <c r="AA415" s="5"/>
      <c r="AB415" s="5"/>
      <c r="AC415" s="5"/>
      <c r="AD415" s="5"/>
      <c r="AE415" s="5"/>
      <c r="AF415" s="5"/>
      <c r="AG415" s="5"/>
    </row>
    <row r="416" ht="15.75" customHeight="1">
      <c r="K416" t="s">
        <v>668</v>
      </c>
      <c r="L416" t="str">
        <f>D38</f>
        <v>H1a1</v>
      </c>
      <c r="M416" t="s">
        <v>669</v>
      </c>
      <c r="N416" t="s">
        <v>670</v>
      </c>
      <c r="O416">
        <v>2.3158399E7</v>
      </c>
      <c r="P416">
        <v>2.0996513E7</v>
      </c>
      <c r="Q416" t="s">
        <v>419</v>
      </c>
      <c r="R416" s="5"/>
      <c r="S416" s="5"/>
      <c r="T416" s="5"/>
      <c r="U416" s="5"/>
      <c r="V416" s="5"/>
      <c r="W416" s="5"/>
      <c r="X416" s="5"/>
      <c r="Y416" s="5"/>
      <c r="Z416" s="5"/>
      <c r="AA416" s="5"/>
      <c r="AB416" s="5"/>
      <c r="AC416" s="5"/>
      <c r="AD416" s="5"/>
      <c r="AE416" s="5"/>
      <c r="AF416" s="5"/>
      <c r="AG416" s="5"/>
    </row>
    <row r="417" ht="15.75" customHeight="1">
      <c r="K417" t="s">
        <v>669</v>
      </c>
      <c r="L417" t="str">
        <f>D38</f>
        <v>H1a1</v>
      </c>
      <c r="M417" t="s">
        <v>668</v>
      </c>
      <c r="N417" t="s">
        <v>670</v>
      </c>
      <c r="O417">
        <v>2.3158399E7</v>
      </c>
      <c r="P417">
        <v>2.0996513E7</v>
      </c>
      <c r="Q417" t="s">
        <v>419</v>
      </c>
      <c r="R417" s="5"/>
      <c r="S417" s="5"/>
      <c r="T417" s="5"/>
      <c r="U417" s="5"/>
      <c r="V417" s="5"/>
      <c r="W417" s="5"/>
      <c r="X417" s="5"/>
      <c r="Y417" s="5"/>
      <c r="Z417" s="5"/>
      <c r="AA417" s="5"/>
      <c r="AB417" s="5"/>
      <c r="AC417" s="5"/>
      <c r="AD417" s="5"/>
      <c r="AE417" s="5"/>
      <c r="AF417" s="5"/>
      <c r="AG417" s="5"/>
    </row>
    <row r="418" ht="15.75" customHeight="1">
      <c r="K418" t="s">
        <v>671</v>
      </c>
      <c r="L418" t="str">
        <f>D38</f>
        <v>H1a1</v>
      </c>
      <c r="M418" t="s">
        <v>672</v>
      </c>
      <c r="N418" t="s">
        <v>673</v>
      </c>
      <c r="O418">
        <v>8616661.0</v>
      </c>
      <c r="P418">
        <v>8748620.0</v>
      </c>
      <c r="Q418" t="s">
        <v>427</v>
      </c>
      <c r="R418" s="5"/>
      <c r="S418" s="5"/>
      <c r="T418" s="5"/>
      <c r="U418" s="5"/>
      <c r="V418" s="5"/>
      <c r="W418" s="5"/>
      <c r="X418" s="5"/>
      <c r="Y418" s="5"/>
      <c r="Z418" s="5"/>
      <c r="AA418" s="5"/>
      <c r="AB418" s="5"/>
      <c r="AC418" s="5"/>
      <c r="AD418" s="5"/>
      <c r="AE418" s="5"/>
      <c r="AF418" s="5"/>
      <c r="AG418" s="5"/>
    </row>
    <row r="419" ht="15.75" customHeight="1">
      <c r="K419" t="s">
        <v>674</v>
      </c>
      <c r="L419" t="str">
        <f>D38</f>
        <v>H1a1</v>
      </c>
      <c r="M419" t="s">
        <v>675</v>
      </c>
      <c r="N419" t="s">
        <v>673</v>
      </c>
      <c r="O419">
        <v>8616661.0</v>
      </c>
      <c r="P419">
        <v>8748620.0</v>
      </c>
      <c r="Q419" t="s">
        <v>427</v>
      </c>
      <c r="R419" s="5"/>
      <c r="S419" s="5"/>
      <c r="T419" s="5"/>
      <c r="U419" s="5"/>
      <c r="V419" s="5"/>
      <c r="W419" s="5"/>
      <c r="X419" s="5"/>
      <c r="Y419" s="5"/>
      <c r="Z419" s="5"/>
      <c r="AA419" s="5"/>
      <c r="AB419" s="5"/>
      <c r="AC419" s="5"/>
      <c r="AD419" s="5"/>
      <c r="AE419" s="5"/>
      <c r="AF419" s="5"/>
      <c r="AG419" s="5"/>
    </row>
    <row r="420" ht="15.75" customHeight="1">
      <c r="K420" t="s">
        <v>676</v>
      </c>
      <c r="L420" t="str">
        <f>D38</f>
        <v>H1a1</v>
      </c>
      <c r="M420" t="s">
        <v>677</v>
      </c>
      <c r="N420" t="s">
        <v>673</v>
      </c>
      <c r="O420">
        <v>8616661.0</v>
      </c>
      <c r="P420">
        <v>8748620.0</v>
      </c>
      <c r="Q420" t="s">
        <v>427</v>
      </c>
      <c r="R420" s="5"/>
      <c r="S420" s="5"/>
      <c r="T420" s="5"/>
      <c r="U420" s="5"/>
      <c r="V420" s="5"/>
      <c r="W420" s="5"/>
      <c r="X420" s="5"/>
      <c r="Y420" s="5"/>
      <c r="Z420" s="5"/>
      <c r="AA420" s="5"/>
      <c r="AB420" s="5"/>
      <c r="AC420" s="5"/>
      <c r="AD420" s="5"/>
      <c r="AE420" s="5"/>
      <c r="AF420" s="5"/>
      <c r="AG420" s="5"/>
    </row>
    <row r="421" ht="15.75" customHeight="1">
      <c r="K421" t="s">
        <v>678</v>
      </c>
      <c r="L421" t="str">
        <f>D38</f>
        <v>H1a1</v>
      </c>
      <c r="M421" t="s">
        <v>679</v>
      </c>
      <c r="N421" t="s">
        <v>680</v>
      </c>
      <c r="O421">
        <v>1.5223751E7</v>
      </c>
      <c r="P421">
        <v>1.3111837E7</v>
      </c>
      <c r="Q421" t="s">
        <v>419</v>
      </c>
      <c r="R421" s="5"/>
      <c r="S421" s="5"/>
      <c r="T421" s="5"/>
      <c r="U421" s="5"/>
      <c r="V421" s="5"/>
      <c r="W421" s="5"/>
      <c r="X421" s="5"/>
      <c r="Y421" s="5"/>
      <c r="Z421" s="5"/>
      <c r="AA421" s="5"/>
      <c r="AB421" s="5"/>
      <c r="AC421" s="5"/>
      <c r="AD421" s="5"/>
      <c r="AE421" s="5"/>
      <c r="AF421" s="5"/>
      <c r="AG421" s="5"/>
    </row>
    <row r="422" ht="15.75" customHeight="1">
      <c r="K422" t="s">
        <v>679</v>
      </c>
      <c r="L422" t="str">
        <f>D38</f>
        <v>H1a1</v>
      </c>
      <c r="M422" t="s">
        <v>678</v>
      </c>
      <c r="N422" t="s">
        <v>680</v>
      </c>
      <c r="O422">
        <v>1.5223751E7</v>
      </c>
      <c r="P422">
        <v>1.3111837E7</v>
      </c>
      <c r="Q422" t="s">
        <v>419</v>
      </c>
      <c r="R422" s="5"/>
      <c r="S422" s="5"/>
      <c r="T422" s="5"/>
      <c r="U422" s="5"/>
      <c r="V422" s="5"/>
      <c r="W422" s="5"/>
      <c r="X422" s="5"/>
      <c r="Y422" s="5"/>
      <c r="Z422" s="5"/>
      <c r="AA422" s="5"/>
      <c r="AB422" s="5"/>
      <c r="AC422" s="5"/>
      <c r="AD422" s="5"/>
      <c r="AE422" s="5"/>
      <c r="AF422" s="5"/>
      <c r="AG422" s="5"/>
    </row>
    <row r="423" ht="15.75" customHeight="1">
      <c r="K423" t="s">
        <v>681</v>
      </c>
      <c r="L423" t="str">
        <f>D38</f>
        <v>H1a1</v>
      </c>
      <c r="M423" t="s">
        <v>682</v>
      </c>
      <c r="N423" t="s">
        <v>683</v>
      </c>
      <c r="O423">
        <v>2.4520019E7</v>
      </c>
      <c r="P423">
        <v>2.2373872E7</v>
      </c>
      <c r="Q423" t="s">
        <v>419</v>
      </c>
      <c r="R423" s="5"/>
      <c r="S423" s="5"/>
      <c r="T423" s="5"/>
      <c r="U423" s="5"/>
      <c r="V423" s="5"/>
      <c r="W423" s="5"/>
      <c r="X423" s="5"/>
      <c r="Y423" s="5"/>
      <c r="Z423" s="5"/>
      <c r="AA423" s="5"/>
      <c r="AB423" s="5"/>
      <c r="AC423" s="5"/>
      <c r="AD423" s="5"/>
      <c r="AE423" s="5"/>
      <c r="AF423" s="5"/>
      <c r="AG423" s="5"/>
    </row>
    <row r="424" ht="15.75" customHeight="1">
      <c r="K424" t="s">
        <v>684</v>
      </c>
      <c r="L424" t="str">
        <f>D38</f>
        <v>H1a1</v>
      </c>
      <c r="M424" t="s">
        <v>685</v>
      </c>
      <c r="N424" t="s">
        <v>683</v>
      </c>
      <c r="O424">
        <v>2.4520019E7</v>
      </c>
      <c r="P424">
        <v>2.2373872E7</v>
      </c>
      <c r="Q424" t="s">
        <v>419</v>
      </c>
      <c r="R424" s="5"/>
      <c r="S424" s="5"/>
      <c r="T424" s="5"/>
      <c r="U424" s="5"/>
      <c r="V424" s="5"/>
      <c r="W424" s="5"/>
      <c r="X424" s="5"/>
      <c r="Y424" s="5"/>
      <c r="Z424" s="5"/>
      <c r="AA424" s="5"/>
      <c r="AB424" s="5"/>
      <c r="AC424" s="5"/>
      <c r="AD424" s="5"/>
      <c r="AE424" s="5"/>
      <c r="AF424" s="5"/>
      <c r="AG424" s="5"/>
    </row>
    <row r="425" ht="15.75" customHeight="1">
      <c r="K425" t="s">
        <v>686</v>
      </c>
      <c r="L425" t="str">
        <f>D38</f>
        <v>H1a1</v>
      </c>
      <c r="M425" t="s">
        <v>687</v>
      </c>
      <c r="N425" t="s">
        <v>683</v>
      </c>
      <c r="O425">
        <v>2.4520019E7</v>
      </c>
      <c r="P425">
        <v>2.2373872E7</v>
      </c>
      <c r="Q425" t="s">
        <v>419</v>
      </c>
      <c r="R425" s="5"/>
      <c r="S425" s="5"/>
      <c r="T425" s="5"/>
      <c r="U425" s="5"/>
      <c r="V425" s="5"/>
      <c r="W425" s="5"/>
      <c r="X425" s="5"/>
      <c r="Y425" s="5"/>
      <c r="Z425" s="5"/>
      <c r="AA425" s="5"/>
      <c r="AB425" s="5"/>
      <c r="AC425" s="5"/>
      <c r="AD425" s="5"/>
      <c r="AE425" s="5"/>
      <c r="AF425" s="5"/>
      <c r="AG425" s="5"/>
    </row>
    <row r="426" ht="15.75" customHeight="1">
      <c r="K426" t="s">
        <v>688</v>
      </c>
      <c r="L426" t="str">
        <f>D38</f>
        <v>H1a1</v>
      </c>
      <c r="M426" t="s">
        <v>689</v>
      </c>
      <c r="N426" t="s">
        <v>690</v>
      </c>
      <c r="O426">
        <v>1.4245798E7</v>
      </c>
      <c r="P426">
        <v>1.2125092E7</v>
      </c>
      <c r="Q426" t="s">
        <v>423</v>
      </c>
      <c r="R426" s="5"/>
      <c r="S426" s="5"/>
      <c r="T426" s="5"/>
      <c r="U426" s="5"/>
      <c r="V426" s="5"/>
      <c r="W426" s="5"/>
      <c r="X426" s="5"/>
      <c r="Y426" s="5"/>
      <c r="Z426" s="5"/>
      <c r="AA426" s="5"/>
      <c r="AB426" s="5"/>
      <c r="AC426" s="5"/>
      <c r="AD426" s="5"/>
      <c r="AE426" s="5"/>
      <c r="AF426" s="5"/>
      <c r="AG426" s="5"/>
    </row>
    <row r="427" ht="15.75" customHeight="1">
      <c r="K427" t="s">
        <v>689</v>
      </c>
      <c r="L427" t="str">
        <f>D38</f>
        <v>H1a1</v>
      </c>
      <c r="M427" t="s">
        <v>688</v>
      </c>
      <c r="N427" t="s">
        <v>690</v>
      </c>
      <c r="O427">
        <v>1.4245798E7</v>
      </c>
      <c r="P427">
        <v>1.2125092E7</v>
      </c>
      <c r="Q427" t="s">
        <v>423</v>
      </c>
      <c r="R427" s="5"/>
      <c r="S427" s="5"/>
      <c r="T427" s="5"/>
      <c r="U427" s="5"/>
      <c r="V427" s="5"/>
      <c r="W427" s="5"/>
      <c r="X427" s="5"/>
      <c r="Y427" s="5"/>
      <c r="Z427" s="5"/>
      <c r="AA427" s="5"/>
      <c r="AB427" s="5"/>
      <c r="AC427" s="5"/>
      <c r="AD427" s="5"/>
      <c r="AE427" s="5"/>
      <c r="AF427" s="5"/>
      <c r="AG427" s="5"/>
    </row>
    <row r="428" ht="15.75" customHeight="1">
      <c r="K428" t="s">
        <v>691</v>
      </c>
      <c r="L428" t="str">
        <f>D38</f>
        <v>H1a1</v>
      </c>
      <c r="M428" t="s">
        <v>692</v>
      </c>
      <c r="N428" t="s">
        <v>693</v>
      </c>
      <c r="O428">
        <v>1.3684214E7</v>
      </c>
      <c r="P428">
        <v>1.1528538E7</v>
      </c>
      <c r="Q428" t="s">
        <v>419</v>
      </c>
      <c r="R428" s="5"/>
      <c r="S428" s="5"/>
      <c r="T428" s="5"/>
      <c r="U428" s="5"/>
      <c r="V428" s="5"/>
      <c r="W428" s="5"/>
      <c r="X428" s="5"/>
      <c r="Y428" s="5"/>
      <c r="Z428" s="5"/>
      <c r="AA428" s="5"/>
      <c r="AB428" s="5"/>
      <c r="AC428" s="5"/>
      <c r="AD428" s="5"/>
      <c r="AE428" s="5"/>
      <c r="AF428" s="5"/>
      <c r="AG428" s="5"/>
    </row>
    <row r="429" ht="15.75" customHeight="1">
      <c r="K429" t="s">
        <v>692</v>
      </c>
      <c r="L429" t="str">
        <f>D38</f>
        <v>H1a1</v>
      </c>
      <c r="M429" t="s">
        <v>691</v>
      </c>
      <c r="N429" t="s">
        <v>693</v>
      </c>
      <c r="O429">
        <v>1.3684214E7</v>
      </c>
      <c r="P429">
        <v>1.1528538E7</v>
      </c>
      <c r="Q429" t="s">
        <v>419</v>
      </c>
      <c r="R429" s="5"/>
      <c r="S429" s="5"/>
      <c r="T429" s="5"/>
      <c r="U429" s="5"/>
      <c r="V429" s="5"/>
      <c r="W429" s="5"/>
      <c r="X429" s="5"/>
      <c r="Y429" s="5"/>
      <c r="Z429" s="5"/>
      <c r="AA429" s="5"/>
      <c r="AB429" s="5"/>
      <c r="AC429" s="5"/>
      <c r="AD429" s="5"/>
      <c r="AE429" s="5"/>
      <c r="AF429" s="5"/>
      <c r="AG429" s="5"/>
    </row>
    <row r="430" ht="15.75" customHeight="1">
      <c r="K430" t="s">
        <v>694</v>
      </c>
      <c r="L430" t="str">
        <f>D38</f>
        <v>H1a1</v>
      </c>
      <c r="M430" t="s">
        <v>695</v>
      </c>
      <c r="N430" t="s">
        <v>696</v>
      </c>
      <c r="O430">
        <v>2.8592862E7</v>
      </c>
      <c r="P430">
        <v>2.6446715E7</v>
      </c>
      <c r="Q430" t="s">
        <v>419</v>
      </c>
      <c r="R430" s="5"/>
      <c r="S430" s="5"/>
      <c r="T430" s="5"/>
      <c r="U430" s="5"/>
      <c r="V430" s="5"/>
      <c r="W430" s="5"/>
      <c r="X430" s="5"/>
      <c r="Y430" s="5"/>
      <c r="Z430" s="5"/>
      <c r="AA430" s="5"/>
      <c r="AB430" s="5"/>
      <c r="AC430" s="5"/>
      <c r="AD430" s="5"/>
      <c r="AE430" s="5"/>
      <c r="AF430" s="5"/>
      <c r="AG430" s="5"/>
    </row>
    <row r="431" ht="15.75" customHeight="1">
      <c r="K431" t="s">
        <v>695</v>
      </c>
      <c r="L431" t="str">
        <f>D38</f>
        <v>H1a1</v>
      </c>
      <c r="M431" t="s">
        <v>694</v>
      </c>
      <c r="N431" t="s">
        <v>696</v>
      </c>
      <c r="O431">
        <v>2.8592862E7</v>
      </c>
      <c r="P431">
        <v>2.6446715E7</v>
      </c>
      <c r="Q431" t="s">
        <v>419</v>
      </c>
      <c r="R431" s="5"/>
      <c r="S431" s="5"/>
      <c r="T431" s="5"/>
      <c r="U431" s="5"/>
      <c r="V431" s="5"/>
      <c r="W431" s="5"/>
      <c r="X431" s="5"/>
      <c r="Y431" s="5"/>
      <c r="Z431" s="5"/>
      <c r="AA431" s="5"/>
      <c r="AB431" s="5"/>
      <c r="AC431" s="5"/>
      <c r="AD431" s="5"/>
      <c r="AE431" s="5"/>
      <c r="AF431" s="5"/>
      <c r="AG431" s="5"/>
    </row>
    <row r="432" ht="15.75" customHeight="1">
      <c r="K432" t="s">
        <v>697</v>
      </c>
      <c r="L432" t="str">
        <f>D38</f>
        <v>H1a1</v>
      </c>
      <c r="M432" t="s">
        <v>698</v>
      </c>
      <c r="N432" t="s">
        <v>699</v>
      </c>
      <c r="O432">
        <v>2.3084438E7</v>
      </c>
      <c r="P432">
        <v>2.0922552E7</v>
      </c>
      <c r="Q432" t="s">
        <v>427</v>
      </c>
      <c r="R432" s="5"/>
      <c r="S432" s="5"/>
      <c r="T432" s="5"/>
      <c r="U432" s="5"/>
      <c r="V432" s="5"/>
      <c r="W432" s="5"/>
      <c r="X432" s="5"/>
      <c r="Y432" s="5"/>
      <c r="Z432" s="5"/>
      <c r="AA432" s="5"/>
      <c r="AB432" s="5"/>
      <c r="AC432" s="5"/>
      <c r="AD432" s="5"/>
      <c r="AE432" s="5"/>
      <c r="AF432" s="5"/>
      <c r="AG432" s="5"/>
    </row>
    <row r="433" ht="15.75" customHeight="1">
      <c r="K433" t="s">
        <v>698</v>
      </c>
      <c r="L433" t="str">
        <f>D38</f>
        <v>H1a1</v>
      </c>
      <c r="M433" t="s">
        <v>697</v>
      </c>
      <c r="N433" t="s">
        <v>699</v>
      </c>
      <c r="O433">
        <v>2.3084438E7</v>
      </c>
      <c r="P433">
        <v>2.0922552E7</v>
      </c>
      <c r="Q433" t="s">
        <v>427</v>
      </c>
      <c r="R433" s="5"/>
      <c r="S433" s="5"/>
      <c r="T433" s="5"/>
      <c r="U433" s="5"/>
      <c r="V433" s="5"/>
      <c r="W433" s="5"/>
      <c r="X433" s="5"/>
      <c r="Y433" s="5"/>
      <c r="Z433" s="5"/>
      <c r="AA433" s="5"/>
      <c r="AB433" s="5"/>
      <c r="AC433" s="5"/>
      <c r="AD433" s="5"/>
      <c r="AE433" s="5"/>
      <c r="AF433" s="5"/>
      <c r="AG433" s="5"/>
    </row>
    <row r="434" ht="15.75" customHeight="1">
      <c r="K434" t="s">
        <v>700</v>
      </c>
      <c r="L434" t="str">
        <f>D38</f>
        <v>H1a1</v>
      </c>
      <c r="M434" t="s">
        <v>701</v>
      </c>
      <c r="N434" t="s">
        <v>702</v>
      </c>
      <c r="O434">
        <v>1.465379E7</v>
      </c>
      <c r="P434">
        <v>1.2541855E7</v>
      </c>
      <c r="Q434" t="s">
        <v>473</v>
      </c>
      <c r="R434" s="5"/>
      <c r="S434" s="5"/>
      <c r="T434" s="5"/>
      <c r="U434" s="5"/>
      <c r="V434" s="5"/>
      <c r="W434" s="5"/>
      <c r="X434" s="5"/>
      <c r="Y434" s="5"/>
      <c r="Z434" s="5"/>
      <c r="AA434" s="5"/>
      <c r="AB434" s="5"/>
      <c r="AC434" s="5"/>
      <c r="AD434" s="5"/>
      <c r="AE434" s="5"/>
      <c r="AF434" s="5"/>
      <c r="AG434" s="5"/>
    </row>
    <row r="435" ht="15.75" customHeight="1">
      <c r="K435" t="s">
        <v>703</v>
      </c>
      <c r="L435" t="str">
        <f>D38</f>
        <v>H1a1</v>
      </c>
      <c r="M435" t="s">
        <v>704</v>
      </c>
      <c r="N435" t="s">
        <v>702</v>
      </c>
      <c r="O435">
        <v>1.465379E7</v>
      </c>
      <c r="P435">
        <v>1.2541855E7</v>
      </c>
      <c r="Q435" t="s">
        <v>473</v>
      </c>
      <c r="R435" s="5"/>
      <c r="S435" s="5"/>
      <c r="T435" s="5"/>
      <c r="U435" s="5"/>
      <c r="V435" s="5"/>
      <c r="W435" s="5"/>
      <c r="X435" s="5"/>
      <c r="Y435" s="5"/>
      <c r="Z435" s="5"/>
      <c r="AA435" s="5"/>
      <c r="AB435" s="5"/>
      <c r="AC435" s="5"/>
      <c r="AD435" s="5"/>
      <c r="AE435" s="5"/>
      <c r="AF435" s="5"/>
      <c r="AG435" s="5"/>
    </row>
    <row r="436" ht="15.75" customHeight="1">
      <c r="K436" t="s">
        <v>705</v>
      </c>
      <c r="L436" t="str">
        <f>D38</f>
        <v>H1a1</v>
      </c>
      <c r="M436" t="s">
        <v>706</v>
      </c>
      <c r="N436" t="s">
        <v>702</v>
      </c>
      <c r="O436">
        <v>1.465379E7</v>
      </c>
      <c r="P436">
        <v>1.2541855E7</v>
      </c>
      <c r="Q436" t="s">
        <v>473</v>
      </c>
      <c r="R436" s="5"/>
      <c r="S436" s="5"/>
      <c r="T436" s="5"/>
      <c r="U436" s="5"/>
      <c r="V436" s="5"/>
      <c r="W436" s="5"/>
      <c r="X436" s="5"/>
      <c r="Y436" s="5"/>
      <c r="Z436" s="5"/>
      <c r="AA436" s="5"/>
      <c r="AB436" s="5"/>
      <c r="AC436" s="5"/>
      <c r="AD436" s="5"/>
      <c r="AE436" s="5"/>
      <c r="AF436" s="5"/>
      <c r="AG436" s="5"/>
    </row>
    <row r="437" ht="15.75" customHeight="1">
      <c r="K437" t="s">
        <v>707</v>
      </c>
      <c r="L437" t="str">
        <f>D38</f>
        <v>H1a1</v>
      </c>
      <c r="M437" t="s">
        <v>708</v>
      </c>
      <c r="N437" t="s">
        <v>709</v>
      </c>
      <c r="O437">
        <v>2.1035372E7</v>
      </c>
      <c r="P437">
        <v>1.8873486E7</v>
      </c>
      <c r="Q437" t="s">
        <v>431</v>
      </c>
      <c r="R437" s="5"/>
      <c r="S437" s="5"/>
      <c r="T437" s="5"/>
      <c r="U437" s="5"/>
      <c r="V437" s="5"/>
      <c r="W437" s="5"/>
      <c r="X437" s="5"/>
      <c r="Y437" s="5"/>
      <c r="Z437" s="5"/>
      <c r="AA437" s="5"/>
      <c r="AB437" s="5"/>
      <c r="AC437" s="5"/>
      <c r="AD437" s="5"/>
      <c r="AE437" s="5"/>
      <c r="AF437" s="5"/>
      <c r="AG437" s="5"/>
    </row>
    <row r="438" ht="15.75" customHeight="1">
      <c r="K438" t="s">
        <v>710</v>
      </c>
      <c r="L438" t="str">
        <f>D38</f>
        <v>H1a1</v>
      </c>
      <c r="M438" t="s">
        <v>711</v>
      </c>
      <c r="N438" t="s">
        <v>709</v>
      </c>
      <c r="O438">
        <v>2.1035372E7</v>
      </c>
      <c r="P438">
        <v>1.8873486E7</v>
      </c>
      <c r="Q438" t="s">
        <v>431</v>
      </c>
      <c r="R438" s="5"/>
      <c r="S438" s="5"/>
      <c r="T438" s="5"/>
      <c r="U438" s="5"/>
      <c r="V438" s="5"/>
      <c r="W438" s="5"/>
      <c r="X438" s="5"/>
      <c r="Y438" s="5"/>
      <c r="Z438" s="5"/>
      <c r="AA438" s="5"/>
      <c r="AB438" s="5"/>
      <c r="AC438" s="5"/>
      <c r="AD438" s="5"/>
      <c r="AE438" s="5"/>
      <c r="AF438" s="5"/>
      <c r="AG438" s="5"/>
    </row>
    <row r="439" ht="15.75" customHeight="1">
      <c r="K439" t="s">
        <v>712</v>
      </c>
      <c r="L439" t="str">
        <f>D38</f>
        <v>H1a1</v>
      </c>
      <c r="M439" t="s">
        <v>713</v>
      </c>
      <c r="N439" t="s">
        <v>709</v>
      </c>
      <c r="O439">
        <v>2.1035372E7</v>
      </c>
      <c r="P439">
        <v>1.8873486E7</v>
      </c>
      <c r="Q439" t="s">
        <v>431</v>
      </c>
      <c r="R439" s="5"/>
      <c r="S439" s="5"/>
      <c r="T439" s="5"/>
      <c r="U439" s="5"/>
      <c r="V439" s="5"/>
      <c r="W439" s="5"/>
      <c r="X439" s="5"/>
      <c r="Y439" s="5"/>
      <c r="Z439" s="5"/>
      <c r="AA439" s="5"/>
      <c r="AB439" s="5"/>
      <c r="AC439" s="5"/>
      <c r="AD439" s="5"/>
      <c r="AE439" s="5"/>
      <c r="AF439" s="5"/>
      <c r="AG439" s="5"/>
    </row>
    <row r="440" ht="15.75" customHeight="1">
      <c r="K440" t="s">
        <v>714</v>
      </c>
      <c r="L440" t="str">
        <f>D38</f>
        <v>H1a1</v>
      </c>
      <c r="M440" t="s">
        <v>715</v>
      </c>
      <c r="N440" t="s">
        <v>716</v>
      </c>
      <c r="O440">
        <v>9385555.0</v>
      </c>
      <c r="P440">
        <v>9547946.0</v>
      </c>
      <c r="Q440" t="s">
        <v>476</v>
      </c>
      <c r="R440" s="5"/>
      <c r="S440" s="5"/>
      <c r="T440" s="5"/>
      <c r="U440" s="5"/>
      <c r="V440" s="5"/>
      <c r="W440" s="5"/>
      <c r="X440" s="5"/>
      <c r="Y440" s="5"/>
      <c r="Z440" s="5"/>
      <c r="AA440" s="5"/>
      <c r="AB440" s="5"/>
      <c r="AC440" s="5"/>
      <c r="AD440" s="5"/>
      <c r="AE440" s="5"/>
      <c r="AF440" s="5"/>
      <c r="AG440" s="5"/>
    </row>
    <row r="441" ht="15.75" customHeight="1">
      <c r="K441" t="s">
        <v>717</v>
      </c>
      <c r="L441" t="str">
        <f>D38</f>
        <v>H1a1</v>
      </c>
      <c r="M441" t="s">
        <v>718</v>
      </c>
      <c r="N441" t="s">
        <v>716</v>
      </c>
      <c r="O441">
        <v>9385555.0</v>
      </c>
      <c r="P441">
        <v>9547946.0</v>
      </c>
      <c r="Q441" t="s">
        <v>476</v>
      </c>
      <c r="R441" s="5"/>
      <c r="S441" s="5"/>
      <c r="T441" s="5"/>
      <c r="U441" s="5"/>
      <c r="V441" s="5"/>
      <c r="W441" s="5"/>
      <c r="X441" s="5"/>
      <c r="Y441" s="5"/>
      <c r="Z441" s="5"/>
      <c r="AA441" s="5"/>
      <c r="AB441" s="5"/>
      <c r="AC441" s="5"/>
      <c r="AD441" s="5"/>
      <c r="AE441" s="5"/>
      <c r="AF441" s="5"/>
      <c r="AG441" s="5"/>
    </row>
    <row r="442" ht="15.75" customHeight="1">
      <c r="K442" t="s">
        <v>719</v>
      </c>
      <c r="L442" t="str">
        <f>D38</f>
        <v>H1a1</v>
      </c>
      <c r="M442" t="s">
        <v>720</v>
      </c>
      <c r="N442" t="s">
        <v>716</v>
      </c>
      <c r="O442">
        <v>9385555.0</v>
      </c>
      <c r="P442">
        <v>9547946.0</v>
      </c>
      <c r="Q442" t="s">
        <v>476</v>
      </c>
      <c r="R442" s="5"/>
      <c r="S442" s="5"/>
      <c r="T442" s="5"/>
      <c r="U442" s="5"/>
      <c r="V442" s="5"/>
      <c r="W442" s="5"/>
      <c r="X442" s="5"/>
      <c r="Y442" s="5"/>
      <c r="Z442" s="5"/>
      <c r="AA442" s="5"/>
      <c r="AB442" s="5"/>
      <c r="AC442" s="5"/>
      <c r="AD442" s="5"/>
      <c r="AE442" s="5"/>
      <c r="AF442" s="5"/>
      <c r="AG442" s="5"/>
    </row>
    <row r="443" ht="15.75" customHeight="1">
      <c r="K443" t="s">
        <v>721</v>
      </c>
      <c r="L443" t="str">
        <f>D38</f>
        <v>H1a1</v>
      </c>
      <c r="M443" t="s">
        <v>722</v>
      </c>
      <c r="O443">
        <v>1.3471428E7</v>
      </c>
      <c r="P443">
        <v>1.1315752E7</v>
      </c>
      <c r="Q443" t="s">
        <v>448</v>
      </c>
      <c r="R443" s="5"/>
      <c r="S443" s="5"/>
      <c r="T443" s="5"/>
      <c r="U443" s="5"/>
      <c r="V443" s="5"/>
      <c r="W443" s="5"/>
      <c r="X443" s="5"/>
      <c r="Y443" s="5"/>
      <c r="Z443" s="5"/>
      <c r="AA443" s="5"/>
      <c r="AB443" s="5"/>
      <c r="AC443" s="5"/>
      <c r="AD443" s="5"/>
      <c r="AE443" s="5"/>
      <c r="AF443" s="5"/>
      <c r="AG443" s="5"/>
    </row>
    <row r="444" ht="15.75" customHeight="1">
      <c r="K444" t="s">
        <v>722</v>
      </c>
      <c r="L444" t="str">
        <f>D38</f>
        <v>H1a1</v>
      </c>
      <c r="M444" t="s">
        <v>721</v>
      </c>
      <c r="O444">
        <v>1.3471428E7</v>
      </c>
      <c r="P444">
        <v>1.1315752E7</v>
      </c>
      <c r="Q444" t="s">
        <v>448</v>
      </c>
      <c r="R444" s="5"/>
      <c r="S444" s="5"/>
      <c r="T444" s="5"/>
      <c r="U444" s="5"/>
      <c r="V444" s="5"/>
      <c r="W444" s="5"/>
      <c r="X444" s="5"/>
      <c r="Y444" s="5"/>
      <c r="Z444" s="5"/>
      <c r="AA444" s="5"/>
      <c r="AB444" s="5"/>
      <c r="AC444" s="5"/>
      <c r="AD444" s="5"/>
      <c r="AE444" s="5"/>
      <c r="AF444" s="5"/>
      <c r="AG444" s="5"/>
    </row>
    <row r="445" ht="15.75" customHeight="1">
      <c r="K445" t="s">
        <v>723</v>
      </c>
      <c r="L445" t="str">
        <f>D38</f>
        <v>H1a1</v>
      </c>
      <c r="M445" t="s">
        <v>724</v>
      </c>
      <c r="N445" t="s">
        <v>725</v>
      </c>
      <c r="O445">
        <v>2.1917113E7</v>
      </c>
      <c r="P445">
        <v>1.9755227E7</v>
      </c>
      <c r="Q445" t="s">
        <v>435</v>
      </c>
      <c r="R445" s="5"/>
      <c r="S445" s="5"/>
      <c r="T445" s="5"/>
      <c r="U445" s="5"/>
      <c r="V445" s="5"/>
      <c r="W445" s="5"/>
      <c r="X445" s="5"/>
      <c r="Y445" s="5"/>
      <c r="Z445" s="5"/>
      <c r="AA445" s="5"/>
      <c r="AB445" s="5"/>
      <c r="AC445" s="5"/>
      <c r="AD445" s="5"/>
      <c r="AE445" s="5"/>
      <c r="AF445" s="5"/>
      <c r="AG445" s="5"/>
    </row>
    <row r="446" ht="15.75" customHeight="1">
      <c r="K446" t="s">
        <v>724</v>
      </c>
      <c r="L446" t="str">
        <f>D38</f>
        <v>H1a1</v>
      </c>
      <c r="M446" t="s">
        <v>723</v>
      </c>
      <c r="N446" t="s">
        <v>725</v>
      </c>
      <c r="O446">
        <v>2.1917113E7</v>
      </c>
      <c r="P446">
        <v>1.9755227E7</v>
      </c>
      <c r="Q446" t="s">
        <v>435</v>
      </c>
      <c r="R446" s="5"/>
      <c r="S446" s="5"/>
      <c r="T446" s="5"/>
      <c r="U446" s="5"/>
      <c r="V446" s="5"/>
      <c r="W446" s="5"/>
      <c r="X446" s="5"/>
      <c r="Y446" s="5"/>
      <c r="Z446" s="5"/>
      <c r="AA446" s="5"/>
      <c r="AB446" s="5"/>
      <c r="AC446" s="5"/>
      <c r="AD446" s="5"/>
      <c r="AE446" s="5"/>
      <c r="AF446" s="5"/>
      <c r="AG446" s="5"/>
    </row>
    <row r="447" ht="15.75" customHeight="1">
      <c r="K447" t="s">
        <v>726</v>
      </c>
      <c r="L447" t="str">
        <f>D38</f>
        <v>H1a1</v>
      </c>
      <c r="M447" t="s">
        <v>727</v>
      </c>
      <c r="N447" t="s">
        <v>728</v>
      </c>
      <c r="O447">
        <v>2661813.0</v>
      </c>
      <c r="P447">
        <v>2793772.0</v>
      </c>
      <c r="Q447" t="s">
        <v>553</v>
      </c>
      <c r="R447" s="5"/>
      <c r="S447" s="5"/>
      <c r="T447" s="5"/>
      <c r="U447" s="5"/>
      <c r="V447" s="5"/>
      <c r="W447" s="5"/>
      <c r="X447" s="5"/>
      <c r="Y447" s="5"/>
      <c r="Z447" s="5"/>
      <c r="AA447" s="5"/>
      <c r="AB447" s="5"/>
      <c r="AC447" s="5"/>
      <c r="AD447" s="5"/>
      <c r="AE447" s="5"/>
      <c r="AF447" s="5"/>
      <c r="AG447" s="5"/>
    </row>
    <row r="448" ht="15.75" customHeight="1">
      <c r="K448" t="s">
        <v>727</v>
      </c>
      <c r="L448" t="str">
        <f>D38</f>
        <v>H1a1</v>
      </c>
      <c r="M448" t="s">
        <v>726</v>
      </c>
      <c r="N448" t="s">
        <v>728</v>
      </c>
      <c r="O448">
        <v>2661813.0</v>
      </c>
      <c r="P448">
        <v>2793772.0</v>
      </c>
      <c r="Q448" t="s">
        <v>553</v>
      </c>
      <c r="R448" s="5"/>
      <c r="S448" s="5"/>
      <c r="T448" s="5"/>
      <c r="U448" s="5"/>
      <c r="V448" s="5"/>
      <c r="W448" s="5"/>
      <c r="X448" s="5"/>
      <c r="Y448" s="5"/>
      <c r="Z448" s="5"/>
      <c r="AA448" s="5"/>
      <c r="AB448" s="5"/>
      <c r="AC448" s="5"/>
      <c r="AD448" s="5"/>
      <c r="AE448" s="5"/>
      <c r="AF448" s="5"/>
      <c r="AG448" s="5"/>
    </row>
    <row r="449" ht="15.75" customHeight="1">
      <c r="K449" t="s">
        <v>729</v>
      </c>
      <c r="L449" t="str">
        <f>D38</f>
        <v>H1a1</v>
      </c>
      <c r="M449" t="s">
        <v>730</v>
      </c>
      <c r="N449" t="s">
        <v>731</v>
      </c>
      <c r="O449">
        <v>1.6512183E7</v>
      </c>
      <c r="P449">
        <v>1.4400303E7</v>
      </c>
      <c r="Q449" t="s">
        <v>459</v>
      </c>
      <c r="R449" s="5"/>
      <c r="S449" s="5"/>
      <c r="T449" s="5"/>
      <c r="U449" s="5"/>
      <c r="V449" s="5"/>
      <c r="W449" s="5"/>
      <c r="X449" s="5"/>
      <c r="Y449" s="5"/>
      <c r="Z449" s="5"/>
      <c r="AA449" s="5"/>
      <c r="AB449" s="5"/>
      <c r="AC449" s="5"/>
      <c r="AD449" s="5"/>
      <c r="AE449" s="5"/>
      <c r="AF449" s="5"/>
      <c r="AG449" s="5"/>
    </row>
    <row r="450" ht="15.75" customHeight="1">
      <c r="K450" t="s">
        <v>730</v>
      </c>
      <c r="L450" t="str">
        <f>D38</f>
        <v>H1a1</v>
      </c>
      <c r="M450" t="s">
        <v>729</v>
      </c>
      <c r="N450" t="s">
        <v>731</v>
      </c>
      <c r="O450">
        <v>1.6512183E7</v>
      </c>
      <c r="P450">
        <v>1.4400303E7</v>
      </c>
      <c r="Q450" t="s">
        <v>459</v>
      </c>
      <c r="R450" s="5"/>
      <c r="S450" s="5"/>
      <c r="T450" s="5"/>
      <c r="U450" s="5"/>
      <c r="V450" s="5"/>
      <c r="W450" s="5"/>
      <c r="X450" s="5"/>
      <c r="Y450" s="5"/>
      <c r="Z450" s="5"/>
      <c r="AA450" s="5"/>
      <c r="AB450" s="5"/>
      <c r="AC450" s="5"/>
      <c r="AD450" s="5"/>
      <c r="AE450" s="5"/>
      <c r="AF450" s="5"/>
      <c r="AG450" s="5"/>
    </row>
    <row r="451" ht="15.75" customHeight="1">
      <c r="K451" t="s">
        <v>666</v>
      </c>
      <c r="L451" t="str">
        <f>D38</f>
        <v>H1a1</v>
      </c>
      <c r="N451" t="s">
        <v>667</v>
      </c>
      <c r="O451">
        <v>2.1753199E7</v>
      </c>
      <c r="P451">
        <v>1.9591313E7</v>
      </c>
      <c r="Q451" t="s">
        <v>553</v>
      </c>
      <c r="R451" s="5"/>
      <c r="S451" s="5"/>
      <c r="T451" s="5"/>
      <c r="U451" s="5"/>
      <c r="V451" s="5"/>
      <c r="W451" s="5"/>
      <c r="X451" s="5"/>
      <c r="Y451" s="5"/>
      <c r="Z451" s="5"/>
      <c r="AA451" s="5"/>
      <c r="AB451" s="5"/>
      <c r="AC451" s="5"/>
      <c r="AD451" s="5"/>
      <c r="AE451" s="5"/>
      <c r="AF451" s="5"/>
      <c r="AG451" s="5"/>
    </row>
    <row r="452" ht="15.75" customHeight="1">
      <c r="K452" t="s">
        <v>732</v>
      </c>
      <c r="L452" t="str">
        <f>D38</f>
        <v>H1a1</v>
      </c>
      <c r="M452" t="s">
        <v>733</v>
      </c>
      <c r="N452" t="s">
        <v>734</v>
      </c>
      <c r="O452">
        <v>2774270.0</v>
      </c>
      <c r="P452">
        <v>2906229.0</v>
      </c>
      <c r="Q452" t="s">
        <v>431</v>
      </c>
      <c r="R452" s="5"/>
      <c r="S452" s="5"/>
      <c r="T452" s="5"/>
      <c r="U452" s="5"/>
      <c r="V452" s="5"/>
      <c r="W452" s="5"/>
      <c r="X452" s="5"/>
      <c r="Y452" s="5"/>
      <c r="Z452" s="5"/>
      <c r="AA452" s="5"/>
      <c r="AB452" s="5"/>
      <c r="AC452" s="5"/>
      <c r="AD452" s="5"/>
      <c r="AE452" s="5"/>
      <c r="AF452" s="5"/>
      <c r="AG452" s="5"/>
    </row>
    <row r="453" ht="15.75" customHeight="1">
      <c r="K453" t="s">
        <v>733</v>
      </c>
      <c r="L453" t="str">
        <f>D38</f>
        <v>H1a1</v>
      </c>
      <c r="M453" t="s">
        <v>732</v>
      </c>
      <c r="N453" t="s">
        <v>734</v>
      </c>
      <c r="O453">
        <v>2774270.0</v>
      </c>
      <c r="P453">
        <v>2906229.0</v>
      </c>
      <c r="Q453" t="s">
        <v>431</v>
      </c>
      <c r="R453" s="5"/>
      <c r="S453" s="5"/>
      <c r="T453" s="5"/>
      <c r="U453" s="5"/>
      <c r="V453" s="5"/>
      <c r="W453" s="5"/>
      <c r="X453" s="5"/>
      <c r="Y453" s="5"/>
      <c r="Z453" s="5"/>
      <c r="AA453" s="5"/>
      <c r="AB453" s="5"/>
      <c r="AC453" s="5"/>
      <c r="AD453" s="5"/>
      <c r="AE453" s="5"/>
      <c r="AF453" s="5"/>
      <c r="AG453" s="5"/>
    </row>
    <row r="454" ht="15.75" customHeight="1">
      <c r="K454" t="s">
        <v>735</v>
      </c>
      <c r="L454" t="str">
        <f>D38</f>
        <v>H1a1</v>
      </c>
      <c r="M454" t="s">
        <v>736</v>
      </c>
      <c r="N454" t="s">
        <v>737</v>
      </c>
      <c r="O454">
        <v>6620120.0</v>
      </c>
      <c r="P454">
        <v>6752079.0</v>
      </c>
      <c r="Q454" t="s">
        <v>459</v>
      </c>
      <c r="R454" s="5"/>
      <c r="S454" s="5"/>
      <c r="T454" s="5"/>
      <c r="U454" s="5"/>
      <c r="V454" s="5"/>
      <c r="W454" s="5"/>
      <c r="X454" s="5"/>
      <c r="Y454" s="5"/>
      <c r="Z454" s="5"/>
      <c r="AA454" s="5"/>
      <c r="AB454" s="5"/>
      <c r="AC454" s="5"/>
      <c r="AD454" s="5"/>
      <c r="AE454" s="5"/>
      <c r="AF454" s="5"/>
      <c r="AG454" s="5"/>
    </row>
    <row r="455" ht="15.75" customHeight="1">
      <c r="K455" t="s">
        <v>736</v>
      </c>
      <c r="L455" t="str">
        <f>D38</f>
        <v>H1a1</v>
      </c>
      <c r="M455" t="s">
        <v>735</v>
      </c>
      <c r="N455" t="s">
        <v>737</v>
      </c>
      <c r="O455">
        <v>6620120.0</v>
      </c>
      <c r="P455">
        <v>6752079.0</v>
      </c>
      <c r="Q455" t="s">
        <v>459</v>
      </c>
      <c r="R455" s="5"/>
      <c r="S455" s="5"/>
      <c r="T455" s="5"/>
      <c r="U455" s="5"/>
      <c r="V455" s="5"/>
      <c r="W455" s="5"/>
      <c r="X455" s="5"/>
      <c r="Y455" s="5"/>
      <c r="Z455" s="5"/>
      <c r="AA455" s="5"/>
      <c r="AB455" s="5"/>
      <c r="AC455" s="5"/>
      <c r="AD455" s="5"/>
      <c r="AE455" s="5"/>
      <c r="AF455" s="5"/>
      <c r="AG455" s="5"/>
    </row>
    <row r="456" ht="15.75" customHeight="1">
      <c r="K456" t="s">
        <v>738</v>
      </c>
      <c r="L456" t="str">
        <f>D38</f>
        <v>H1a1</v>
      </c>
      <c r="N456" t="s">
        <v>739</v>
      </c>
      <c r="O456">
        <v>6771572.0</v>
      </c>
      <c r="P456">
        <v>6903531.0</v>
      </c>
      <c r="Q456" t="s">
        <v>419</v>
      </c>
      <c r="R456" s="5"/>
      <c r="S456" s="5"/>
      <c r="T456" s="5"/>
      <c r="U456" s="5"/>
      <c r="V456" s="5"/>
      <c r="W456" s="5"/>
      <c r="X456" s="5"/>
      <c r="Y456" s="5"/>
      <c r="Z456" s="5"/>
      <c r="AA456" s="5"/>
      <c r="AB456" s="5"/>
      <c r="AC456" s="5"/>
      <c r="AD456" s="5"/>
      <c r="AE456" s="5"/>
      <c r="AF456" s="5"/>
      <c r="AG456" s="5"/>
    </row>
    <row r="457" ht="15.75" customHeight="1">
      <c r="K457" t="s">
        <v>740</v>
      </c>
      <c r="L457" t="str">
        <f>D38</f>
        <v>H1a1</v>
      </c>
      <c r="N457" t="s">
        <v>741</v>
      </c>
      <c r="O457">
        <v>6833188.0</v>
      </c>
      <c r="P457">
        <v>6965147.0</v>
      </c>
      <c r="Q457" t="s">
        <v>473</v>
      </c>
      <c r="R457" s="5"/>
      <c r="S457" s="5"/>
      <c r="T457" s="5"/>
      <c r="U457" s="5"/>
      <c r="V457" s="5"/>
      <c r="W457" s="5"/>
      <c r="X457" s="5"/>
      <c r="Y457" s="5"/>
      <c r="Z457" s="5"/>
      <c r="AA457" s="5"/>
      <c r="AB457" s="5"/>
      <c r="AC457" s="5"/>
      <c r="AD457" s="5"/>
      <c r="AE457" s="5"/>
      <c r="AF457" s="5"/>
      <c r="AG457" s="5"/>
    </row>
    <row r="458" ht="15.75" customHeight="1">
      <c r="K458" t="s">
        <v>742</v>
      </c>
      <c r="L458" t="str">
        <f>D38</f>
        <v>H1a1</v>
      </c>
      <c r="M458" s="66" t="s">
        <v>743</v>
      </c>
      <c r="N458" t="s">
        <v>744</v>
      </c>
      <c r="O458">
        <v>6845656.0</v>
      </c>
      <c r="P458">
        <v>6977615.0</v>
      </c>
      <c r="Q458" t="s">
        <v>419</v>
      </c>
      <c r="R458" s="5"/>
      <c r="S458" s="5"/>
      <c r="T458" s="5"/>
      <c r="U458" s="5"/>
      <c r="V458" s="5"/>
      <c r="W458" s="5"/>
      <c r="X458" s="5"/>
      <c r="Y458" s="5"/>
      <c r="Z458" s="5"/>
      <c r="AA458" s="5"/>
      <c r="AB458" s="5"/>
      <c r="AC458" s="5"/>
      <c r="AD458" s="5"/>
      <c r="AE458" s="5"/>
      <c r="AF458" s="5"/>
      <c r="AG458" s="5"/>
    </row>
    <row r="459" ht="15.75" customHeight="1">
      <c r="K459" s="67" t="s">
        <v>743</v>
      </c>
      <c r="L459" s="68" t="str">
        <f>D38</f>
        <v>H1a1</v>
      </c>
      <c r="M459" s="68" t="s">
        <v>742</v>
      </c>
      <c r="N459" t="s">
        <v>744</v>
      </c>
      <c r="O459">
        <v>6845656.0</v>
      </c>
      <c r="P459">
        <v>6977615.0</v>
      </c>
      <c r="Q459" t="s">
        <v>419</v>
      </c>
      <c r="R459" s="5"/>
      <c r="S459" s="5"/>
      <c r="T459" s="5"/>
      <c r="U459" s="5"/>
      <c r="V459" s="5"/>
      <c r="W459" s="5"/>
      <c r="X459" s="5"/>
      <c r="Y459" s="5"/>
      <c r="Z459" s="5"/>
      <c r="AA459" s="5"/>
      <c r="AB459" s="5"/>
      <c r="AC459" s="5"/>
      <c r="AD459" s="5"/>
      <c r="AE459" s="5"/>
      <c r="AF459" s="5"/>
      <c r="AG459" s="5"/>
    </row>
    <row r="460" ht="15.75" customHeight="1">
      <c r="K460" s="68" t="s">
        <v>745</v>
      </c>
      <c r="L460" s="68" t="str">
        <f>D38</f>
        <v>H1a1</v>
      </c>
      <c r="M460" s="68"/>
      <c r="N460" s="68" t="s">
        <v>746</v>
      </c>
      <c r="O460" s="68">
        <v>7006404.0</v>
      </c>
      <c r="P460" s="68">
        <v>7138363.0</v>
      </c>
      <c r="Q460" t="s">
        <v>423</v>
      </c>
      <c r="R460" s="5"/>
      <c r="S460" s="5"/>
      <c r="T460" s="5"/>
      <c r="U460" s="5"/>
      <c r="V460" s="5"/>
      <c r="W460" s="5"/>
      <c r="X460" s="5"/>
      <c r="Y460" s="5"/>
      <c r="Z460" s="5"/>
      <c r="AA460" s="5"/>
      <c r="AB460" s="5"/>
      <c r="AC460" s="5"/>
      <c r="AD460" s="5"/>
      <c r="AE460" s="5"/>
      <c r="AF460" s="5"/>
      <c r="AG460" s="5"/>
    </row>
    <row r="461" ht="15.75" customHeight="1">
      <c r="K461" s="68" t="s">
        <v>747</v>
      </c>
      <c r="L461" s="68" t="str">
        <f>D38</f>
        <v>H1a1</v>
      </c>
      <c r="M461" s="68" t="s">
        <v>748</v>
      </c>
      <c r="N461" s="68" t="s">
        <v>749</v>
      </c>
      <c r="O461" s="68">
        <v>7158854.0</v>
      </c>
      <c r="P461" s="68">
        <v>7290813.0</v>
      </c>
      <c r="Q461" t="s">
        <v>435</v>
      </c>
      <c r="R461" s="5"/>
      <c r="S461" s="5"/>
      <c r="T461" s="5"/>
      <c r="U461" s="5"/>
      <c r="V461" s="5"/>
      <c r="W461" s="5"/>
      <c r="X461" s="5"/>
      <c r="Y461" s="5"/>
      <c r="Z461" s="5"/>
      <c r="AA461" s="5"/>
      <c r="AB461" s="5"/>
      <c r="AC461" s="5"/>
      <c r="AD461" s="5"/>
      <c r="AE461" s="5"/>
      <c r="AF461" s="5"/>
      <c r="AG461" s="5"/>
    </row>
    <row r="462" ht="15.75" customHeight="1">
      <c r="K462" s="68" t="s">
        <v>748</v>
      </c>
      <c r="L462" s="68" t="str">
        <f>D38</f>
        <v>H1a1</v>
      </c>
      <c r="M462" s="68" t="s">
        <v>747</v>
      </c>
      <c r="N462" s="68" t="s">
        <v>749</v>
      </c>
      <c r="O462" s="68">
        <v>7158854.0</v>
      </c>
      <c r="P462" s="68">
        <v>7290813.0</v>
      </c>
      <c r="Q462" t="s">
        <v>435</v>
      </c>
      <c r="R462" s="5"/>
      <c r="S462" s="5"/>
      <c r="T462" s="5"/>
      <c r="U462" s="5"/>
      <c r="V462" s="5"/>
      <c r="W462" s="5"/>
      <c r="X462" s="5"/>
      <c r="Y462" s="5"/>
      <c r="Z462" s="5"/>
      <c r="AA462" s="5"/>
      <c r="AB462" s="5"/>
      <c r="AC462" s="5"/>
      <c r="AD462" s="5"/>
      <c r="AE462" s="5"/>
      <c r="AF462" s="5"/>
      <c r="AG462" s="5"/>
    </row>
    <row r="463" ht="15.75" customHeight="1">
      <c r="K463" t="s">
        <v>750</v>
      </c>
      <c r="L463" t="str">
        <f>D38</f>
        <v>H1a1</v>
      </c>
      <c r="M463" t="s">
        <v>751</v>
      </c>
      <c r="N463" t="s">
        <v>752</v>
      </c>
      <c r="O463">
        <v>7372740.0</v>
      </c>
      <c r="P463">
        <v>7504699.0</v>
      </c>
      <c r="Q463" t="s">
        <v>419</v>
      </c>
      <c r="R463" s="5"/>
      <c r="S463" s="5"/>
      <c r="T463" s="5"/>
      <c r="U463" s="5"/>
      <c r="V463" s="5"/>
      <c r="W463" s="5"/>
      <c r="X463" s="5"/>
      <c r="Y463" s="5"/>
      <c r="Z463" s="5"/>
      <c r="AA463" s="5"/>
      <c r="AB463" s="5"/>
      <c r="AC463" s="5"/>
      <c r="AD463" s="5"/>
      <c r="AE463" s="5"/>
      <c r="AF463" s="5"/>
      <c r="AG463" s="5"/>
    </row>
    <row r="464" ht="15.75" customHeight="1">
      <c r="K464" t="s">
        <v>751</v>
      </c>
      <c r="L464" t="str">
        <f>D38</f>
        <v>H1a1</v>
      </c>
      <c r="M464" t="s">
        <v>750</v>
      </c>
      <c r="N464" t="s">
        <v>752</v>
      </c>
      <c r="O464">
        <v>7372740.0</v>
      </c>
      <c r="P464">
        <v>7504699.0</v>
      </c>
      <c r="Q464" t="s">
        <v>419</v>
      </c>
      <c r="R464" s="5"/>
      <c r="S464" s="5"/>
      <c r="T464" s="5"/>
      <c r="U464" s="5"/>
      <c r="V464" s="5"/>
      <c r="W464" s="5"/>
      <c r="X464" s="5"/>
      <c r="Y464" s="5"/>
      <c r="Z464" s="5"/>
      <c r="AA464" s="5"/>
      <c r="AB464" s="5"/>
      <c r="AC464" s="5"/>
      <c r="AD464" s="5"/>
      <c r="AE464" s="5"/>
      <c r="AF464" s="5"/>
      <c r="AG464" s="5"/>
    </row>
    <row r="465" ht="15.75" customHeight="1">
      <c r="K465" t="s">
        <v>753</v>
      </c>
      <c r="L465" t="str">
        <f>D38</f>
        <v>H1a1</v>
      </c>
      <c r="M465" t="s">
        <v>754</v>
      </c>
      <c r="N465" t="s">
        <v>755</v>
      </c>
      <c r="O465">
        <v>7398390.0</v>
      </c>
      <c r="P465">
        <v>7530349.0</v>
      </c>
      <c r="Q465" t="s">
        <v>431</v>
      </c>
      <c r="R465" s="5"/>
      <c r="S465" s="5"/>
      <c r="T465" s="5"/>
      <c r="U465" s="5"/>
      <c r="V465" s="5"/>
      <c r="W465" s="5"/>
      <c r="X465" s="5"/>
      <c r="Y465" s="5"/>
      <c r="Z465" s="5"/>
      <c r="AA465" s="5"/>
      <c r="AB465" s="5"/>
      <c r="AC465" s="5"/>
      <c r="AD465" s="5"/>
      <c r="AE465" s="5"/>
      <c r="AF465" s="5"/>
      <c r="AG465" s="5"/>
    </row>
    <row r="466" ht="15.75" customHeight="1">
      <c r="K466" t="s">
        <v>754</v>
      </c>
      <c r="L466" t="str">
        <f>D38</f>
        <v>H1a1</v>
      </c>
      <c r="M466" t="s">
        <v>753</v>
      </c>
      <c r="N466" t="s">
        <v>755</v>
      </c>
      <c r="O466">
        <v>7398390.0</v>
      </c>
      <c r="P466">
        <v>7530349.0</v>
      </c>
      <c r="Q466" t="s">
        <v>431</v>
      </c>
      <c r="R466" s="5"/>
      <c r="S466" s="5"/>
      <c r="T466" s="5"/>
      <c r="U466" s="5"/>
      <c r="V466" s="5"/>
      <c r="W466" s="5"/>
      <c r="X466" s="5"/>
      <c r="Y466" s="5"/>
      <c r="Z466" s="5"/>
      <c r="AA466" s="5"/>
      <c r="AB466" s="5"/>
      <c r="AC466" s="5"/>
      <c r="AD466" s="5"/>
      <c r="AE466" s="5"/>
      <c r="AF466" s="5"/>
      <c r="AG466" s="5"/>
    </row>
    <row r="467" ht="15.75" customHeight="1">
      <c r="K467" t="s">
        <v>756</v>
      </c>
      <c r="L467" t="str">
        <f>D38</f>
        <v>H1a1</v>
      </c>
      <c r="N467" t="s">
        <v>757</v>
      </c>
      <c r="O467">
        <v>7631881.0</v>
      </c>
      <c r="P467">
        <v>7763840.0</v>
      </c>
      <c r="Q467" t="s">
        <v>431</v>
      </c>
      <c r="R467" s="5"/>
      <c r="S467" s="5"/>
      <c r="T467" s="5"/>
      <c r="U467" s="5"/>
      <c r="V467" s="5"/>
      <c r="W467" s="5"/>
      <c r="X467" s="5"/>
      <c r="Y467" s="5"/>
      <c r="Z467" s="5"/>
      <c r="AA467" s="5"/>
      <c r="AB467" s="5"/>
      <c r="AC467" s="5"/>
      <c r="AD467" s="5"/>
      <c r="AE467" s="5"/>
      <c r="AF467" s="5"/>
      <c r="AG467" s="5"/>
    </row>
    <row r="468" ht="15.75" customHeight="1">
      <c r="K468" t="s">
        <v>758</v>
      </c>
      <c r="L468" t="str">
        <f>D38</f>
        <v>H1a1</v>
      </c>
      <c r="M468" t="s">
        <v>759</v>
      </c>
      <c r="N468" t="s">
        <v>760</v>
      </c>
      <c r="O468">
        <v>7643637.0</v>
      </c>
      <c r="P468">
        <v>7775596.0</v>
      </c>
      <c r="Q468" t="s">
        <v>423</v>
      </c>
      <c r="R468" s="5"/>
      <c r="S468" s="5"/>
      <c r="T468" s="5"/>
      <c r="U468" s="5"/>
      <c r="V468" s="5"/>
      <c r="W468" s="5"/>
      <c r="X468" s="5"/>
      <c r="Y468" s="5"/>
      <c r="Z468" s="5"/>
      <c r="AA468" s="5"/>
      <c r="AB468" s="5"/>
      <c r="AC468" s="5"/>
      <c r="AD468" s="5"/>
      <c r="AE468" s="5"/>
      <c r="AF468" s="5"/>
      <c r="AG468" s="5"/>
    </row>
    <row r="469" ht="15.75" customHeight="1">
      <c r="K469" t="s">
        <v>759</v>
      </c>
      <c r="L469" t="str">
        <f>D38</f>
        <v>H1a1</v>
      </c>
      <c r="M469" t="s">
        <v>758</v>
      </c>
      <c r="N469" t="s">
        <v>760</v>
      </c>
      <c r="O469">
        <v>7643637.0</v>
      </c>
      <c r="P469">
        <v>7775596.0</v>
      </c>
      <c r="Q469" t="s">
        <v>423</v>
      </c>
      <c r="R469" s="5"/>
      <c r="S469" s="5"/>
      <c r="T469" s="5"/>
      <c r="U469" s="5"/>
      <c r="V469" s="5"/>
      <c r="W469" s="5"/>
      <c r="X469" s="5"/>
      <c r="Y469" s="5"/>
      <c r="Z469" s="5"/>
      <c r="AA469" s="5"/>
      <c r="AB469" s="5"/>
      <c r="AC469" s="5"/>
      <c r="AD469" s="5"/>
      <c r="AE469" s="5"/>
      <c r="AF469" s="5"/>
      <c r="AG469" s="5"/>
    </row>
    <row r="470" ht="15.75" customHeight="1">
      <c r="K470" t="s">
        <v>761</v>
      </c>
      <c r="L470" t="str">
        <f>D38</f>
        <v>H1a1</v>
      </c>
      <c r="M470" t="s">
        <v>762</v>
      </c>
      <c r="N470" t="s">
        <v>763</v>
      </c>
      <c r="O470">
        <v>7796638.0</v>
      </c>
      <c r="P470">
        <v>7928597.0</v>
      </c>
      <c r="Q470" t="s">
        <v>423</v>
      </c>
      <c r="R470" s="5"/>
      <c r="S470" s="5"/>
      <c r="T470" s="5"/>
      <c r="U470" s="5"/>
      <c r="V470" s="5"/>
      <c r="W470" s="5"/>
      <c r="X470" s="5"/>
      <c r="Y470" s="5"/>
      <c r="Z470" s="5"/>
      <c r="AA470" s="5"/>
      <c r="AB470" s="5"/>
      <c r="AC470" s="5"/>
      <c r="AD470" s="5"/>
      <c r="AE470" s="5"/>
      <c r="AF470" s="5"/>
      <c r="AG470" s="5"/>
    </row>
    <row r="471" ht="15.75" customHeight="1">
      <c r="K471" t="s">
        <v>762</v>
      </c>
      <c r="L471" t="str">
        <f>D38</f>
        <v>H1a1</v>
      </c>
      <c r="M471" t="s">
        <v>761</v>
      </c>
      <c r="N471" t="s">
        <v>763</v>
      </c>
      <c r="O471">
        <v>7796638.0</v>
      </c>
      <c r="P471">
        <v>7928597.0</v>
      </c>
      <c r="Q471" t="s">
        <v>423</v>
      </c>
      <c r="R471" s="5"/>
      <c r="S471" s="5"/>
      <c r="T471" s="5"/>
      <c r="U471" s="5"/>
      <c r="V471" s="5"/>
      <c r="W471" s="5"/>
      <c r="X471" s="5"/>
      <c r="Y471" s="5"/>
      <c r="Z471" s="5"/>
      <c r="AA471" s="5"/>
      <c r="AB471" s="5"/>
      <c r="AC471" s="5"/>
      <c r="AD471" s="5"/>
      <c r="AE471" s="5"/>
      <c r="AF471" s="5"/>
      <c r="AG471" s="5"/>
    </row>
    <row r="472" ht="15.75" customHeight="1">
      <c r="K472" t="s">
        <v>764</v>
      </c>
      <c r="L472" t="str">
        <f>D38</f>
        <v>H1a1</v>
      </c>
      <c r="M472" t="s">
        <v>765</v>
      </c>
      <c r="N472" t="s">
        <v>766</v>
      </c>
      <c r="O472">
        <v>7828408.0</v>
      </c>
      <c r="P472">
        <v>7960367.0</v>
      </c>
      <c r="Q472" t="s">
        <v>448</v>
      </c>
      <c r="R472" s="5"/>
      <c r="S472" s="5"/>
      <c r="T472" s="5"/>
      <c r="U472" s="5"/>
      <c r="V472" s="5"/>
      <c r="W472" s="5"/>
      <c r="X472" s="5"/>
      <c r="Y472" s="5"/>
      <c r="Z472" s="5"/>
      <c r="AA472" s="5"/>
      <c r="AB472" s="5"/>
      <c r="AC472" s="5"/>
      <c r="AD472" s="5"/>
      <c r="AE472" s="5"/>
      <c r="AF472" s="5"/>
      <c r="AG472" s="5"/>
    </row>
    <row r="473" ht="15.75" customHeight="1">
      <c r="K473" t="s">
        <v>765</v>
      </c>
      <c r="L473" t="str">
        <f>D38</f>
        <v>H1a1</v>
      </c>
      <c r="M473" t="s">
        <v>764</v>
      </c>
      <c r="N473" t="s">
        <v>766</v>
      </c>
      <c r="O473">
        <v>7828408.0</v>
      </c>
      <c r="P473">
        <v>7960367.0</v>
      </c>
      <c r="Q473" t="s">
        <v>448</v>
      </c>
      <c r="R473" s="5"/>
      <c r="S473" s="5"/>
      <c r="T473" s="5"/>
      <c r="U473" s="5"/>
      <c r="V473" s="5"/>
      <c r="W473" s="5"/>
      <c r="X473" s="5"/>
      <c r="Y473" s="5"/>
      <c r="Z473" s="5"/>
      <c r="AA473" s="5"/>
      <c r="AB473" s="5"/>
      <c r="AC473" s="5"/>
      <c r="AD473" s="5"/>
      <c r="AE473" s="5"/>
      <c r="AF473" s="5"/>
      <c r="AG473" s="5"/>
    </row>
    <row r="474" ht="15.75" customHeight="1">
      <c r="K474" t="s">
        <v>767</v>
      </c>
      <c r="L474" t="str">
        <f>D38</f>
        <v>H1a1</v>
      </c>
      <c r="M474" t="s">
        <v>768</v>
      </c>
      <c r="N474" t="s">
        <v>769</v>
      </c>
      <c r="O474">
        <v>8053065.0</v>
      </c>
      <c r="P474">
        <v>8185024.0</v>
      </c>
      <c r="Q474" t="s">
        <v>459</v>
      </c>
      <c r="R474" s="5"/>
      <c r="S474" s="5"/>
      <c r="T474" s="5"/>
      <c r="U474" s="5"/>
      <c r="V474" s="5"/>
      <c r="W474" s="5"/>
      <c r="X474" s="5"/>
      <c r="Y474" s="5"/>
      <c r="Z474" s="5"/>
      <c r="AA474" s="5"/>
      <c r="AB474" s="5"/>
      <c r="AC474" s="5"/>
      <c r="AD474" s="5"/>
      <c r="AE474" s="5"/>
      <c r="AF474" s="5"/>
      <c r="AG474" s="5"/>
    </row>
    <row r="475" ht="15.75" customHeight="1">
      <c r="K475" t="s">
        <v>768</v>
      </c>
      <c r="L475" t="str">
        <f>D38</f>
        <v>H1a1</v>
      </c>
      <c r="M475" t="s">
        <v>767</v>
      </c>
      <c r="N475" t="s">
        <v>769</v>
      </c>
      <c r="O475">
        <v>8053065.0</v>
      </c>
      <c r="P475">
        <v>8185024.0</v>
      </c>
      <c r="Q475" t="s">
        <v>459</v>
      </c>
      <c r="R475" s="5"/>
      <c r="S475" s="5"/>
      <c r="T475" s="5"/>
      <c r="U475" s="5"/>
      <c r="V475" s="5"/>
      <c r="W475" s="5"/>
      <c r="X475" s="5"/>
      <c r="Y475" s="5"/>
      <c r="Z475" s="5"/>
      <c r="AA475" s="5"/>
      <c r="AB475" s="5"/>
      <c r="AC475" s="5"/>
      <c r="AD475" s="5"/>
      <c r="AE475" s="5"/>
      <c r="AF475" s="5"/>
      <c r="AG475" s="5"/>
    </row>
    <row r="476" ht="15.75" customHeight="1">
      <c r="K476" t="s">
        <v>770</v>
      </c>
      <c r="L476" t="str">
        <f>D38</f>
        <v>H1a1</v>
      </c>
      <c r="N476" t="s">
        <v>771</v>
      </c>
      <c r="O476">
        <v>8112410.0</v>
      </c>
      <c r="P476">
        <v>8244369.0</v>
      </c>
      <c r="Q476" t="s">
        <v>452</v>
      </c>
      <c r="R476" s="5"/>
      <c r="S476" s="5"/>
      <c r="T476" s="5"/>
      <c r="U476" s="5"/>
      <c r="V476" s="5"/>
      <c r="W476" s="5"/>
      <c r="X476" s="5"/>
      <c r="Y476" s="5"/>
      <c r="Z476" s="5"/>
      <c r="AA476" s="5"/>
      <c r="AB476" s="5"/>
      <c r="AC476" s="5"/>
      <c r="AD476" s="5"/>
      <c r="AE476" s="5"/>
      <c r="AF476" s="5"/>
      <c r="AG476" s="5"/>
    </row>
    <row r="477" ht="15.75" customHeight="1">
      <c r="K477" t="s">
        <v>772</v>
      </c>
      <c r="L477" t="str">
        <f>D38</f>
        <v>H1a1</v>
      </c>
      <c r="M477" t="s">
        <v>773</v>
      </c>
      <c r="N477" t="s">
        <v>774</v>
      </c>
      <c r="O477">
        <v>8123160.0</v>
      </c>
      <c r="P477">
        <v>8255119.0</v>
      </c>
      <c r="Q477" t="s">
        <v>431</v>
      </c>
      <c r="R477" s="5"/>
      <c r="S477" s="5"/>
      <c r="T477" s="5"/>
      <c r="U477" s="5"/>
      <c r="V477" s="5"/>
      <c r="W477" s="5"/>
      <c r="X477" s="5"/>
      <c r="Y477" s="5"/>
      <c r="Z477" s="5"/>
      <c r="AA477" s="5"/>
      <c r="AB477" s="5"/>
      <c r="AC477" s="5"/>
      <c r="AD477" s="5"/>
      <c r="AE477" s="5"/>
      <c r="AF477" s="5"/>
      <c r="AG477" s="5"/>
    </row>
    <row r="478" ht="15.75" customHeight="1">
      <c r="K478" t="s">
        <v>775</v>
      </c>
      <c r="L478" t="str">
        <f>D38</f>
        <v>H1a1</v>
      </c>
      <c r="M478" t="s">
        <v>776</v>
      </c>
      <c r="N478" t="s">
        <v>774</v>
      </c>
      <c r="O478">
        <v>8123160.0</v>
      </c>
      <c r="P478">
        <v>8255119.0</v>
      </c>
      <c r="Q478" t="s">
        <v>431</v>
      </c>
      <c r="R478" s="5"/>
      <c r="S478" s="5"/>
      <c r="T478" s="5"/>
      <c r="U478" s="5"/>
      <c r="V478" s="5"/>
      <c r="W478" s="5"/>
      <c r="X478" s="5"/>
      <c r="Y478" s="5"/>
      <c r="Z478" s="5"/>
      <c r="AA478" s="5"/>
      <c r="AB478" s="5"/>
      <c r="AC478" s="5"/>
      <c r="AD478" s="5"/>
      <c r="AE478" s="5"/>
      <c r="AF478" s="5"/>
      <c r="AG478" s="5"/>
    </row>
    <row r="479" ht="15.75" customHeight="1">
      <c r="K479" t="s">
        <v>777</v>
      </c>
      <c r="L479" t="str">
        <f>D38</f>
        <v>H1a1</v>
      </c>
      <c r="M479" t="s">
        <v>778</v>
      </c>
      <c r="N479" t="s">
        <v>774</v>
      </c>
      <c r="O479">
        <v>8123160.0</v>
      </c>
      <c r="P479">
        <v>8255119.0</v>
      </c>
      <c r="Q479" t="s">
        <v>431</v>
      </c>
      <c r="R479" s="5"/>
      <c r="S479" s="5"/>
      <c r="T479" s="5"/>
      <c r="U479" s="5"/>
      <c r="V479" s="5"/>
      <c r="W479" s="5"/>
      <c r="X479" s="5"/>
      <c r="Y479" s="5"/>
      <c r="Z479" s="5"/>
      <c r="AA479" s="5"/>
      <c r="AB479" s="5"/>
      <c r="AC479" s="5"/>
      <c r="AD479" s="5"/>
      <c r="AE479" s="5"/>
      <c r="AF479" s="5"/>
      <c r="AG479" s="5"/>
    </row>
    <row r="480" ht="15.75" customHeight="1">
      <c r="K480" t="s">
        <v>779</v>
      </c>
      <c r="L480" t="str">
        <f>D38</f>
        <v>H1a1</v>
      </c>
      <c r="N480" t="s">
        <v>780</v>
      </c>
      <c r="O480">
        <v>8173765.0</v>
      </c>
      <c r="P480">
        <v>8305724.0</v>
      </c>
      <c r="Q480" t="s">
        <v>431</v>
      </c>
      <c r="R480" s="5"/>
      <c r="S480" s="5"/>
      <c r="T480" s="5"/>
      <c r="U480" s="5"/>
      <c r="V480" s="5"/>
      <c r="W480" s="5"/>
      <c r="X480" s="5"/>
      <c r="Y480" s="5"/>
      <c r="Z480" s="5"/>
      <c r="AA480" s="5"/>
      <c r="AB480" s="5"/>
      <c r="AC480" s="5"/>
      <c r="AD480" s="5"/>
      <c r="AE480" s="5"/>
      <c r="AF480" s="5"/>
      <c r="AG480" s="5"/>
    </row>
    <row r="481" ht="15.75" customHeight="1">
      <c r="K481" t="s">
        <v>781</v>
      </c>
      <c r="L481" t="str">
        <f>D38</f>
        <v>H1a1</v>
      </c>
      <c r="M481" t="s">
        <v>782</v>
      </c>
      <c r="N481" t="s">
        <v>783</v>
      </c>
      <c r="O481">
        <v>8203963.0</v>
      </c>
      <c r="P481">
        <v>8335922.0</v>
      </c>
      <c r="Q481" t="s">
        <v>419</v>
      </c>
      <c r="R481" s="5"/>
      <c r="S481" s="5"/>
      <c r="T481" s="5"/>
      <c r="U481" s="5"/>
      <c r="V481" s="5"/>
      <c r="W481" s="5"/>
      <c r="X481" s="5"/>
      <c r="Y481" s="5"/>
      <c r="Z481" s="5"/>
      <c r="AA481" s="5"/>
      <c r="AB481" s="5"/>
      <c r="AC481" s="5"/>
      <c r="AD481" s="5"/>
      <c r="AE481" s="5"/>
      <c r="AF481" s="5"/>
      <c r="AG481" s="5"/>
    </row>
    <row r="482" ht="15.75" customHeight="1">
      <c r="K482" t="s">
        <v>782</v>
      </c>
      <c r="L482" t="str">
        <f>D38</f>
        <v>H1a1</v>
      </c>
      <c r="M482" t="s">
        <v>781</v>
      </c>
      <c r="N482" t="s">
        <v>783</v>
      </c>
      <c r="O482">
        <v>8203963.0</v>
      </c>
      <c r="P482">
        <v>8335922.0</v>
      </c>
      <c r="Q482" t="s">
        <v>419</v>
      </c>
      <c r="R482" s="5"/>
      <c r="S482" s="5"/>
      <c r="T482" s="5"/>
      <c r="U482" s="5"/>
      <c r="V482" s="5"/>
      <c r="W482" s="5"/>
      <c r="X482" s="5"/>
      <c r="Y482" s="5"/>
      <c r="Z482" s="5"/>
      <c r="AA482" s="5"/>
      <c r="AB482" s="5"/>
      <c r="AC482" s="5"/>
      <c r="AD482" s="5"/>
      <c r="AE482" s="5"/>
      <c r="AF482" s="5"/>
      <c r="AG482" s="5"/>
    </row>
    <row r="483" ht="15.75" customHeight="1">
      <c r="K483" t="s">
        <v>784</v>
      </c>
      <c r="L483" t="str">
        <f>D38</f>
        <v>H1a1</v>
      </c>
      <c r="N483" t="s">
        <v>785</v>
      </c>
      <c r="O483">
        <v>8297619.0</v>
      </c>
      <c r="P483">
        <v>8429578.0</v>
      </c>
      <c r="Q483" t="s">
        <v>431</v>
      </c>
      <c r="R483" s="5"/>
      <c r="S483" s="5"/>
      <c r="T483" s="5"/>
      <c r="U483" s="5"/>
      <c r="V483" s="5"/>
      <c r="W483" s="5"/>
      <c r="X483" s="5"/>
      <c r="Y483" s="5"/>
      <c r="Z483" s="5"/>
      <c r="AA483" s="5"/>
      <c r="AB483" s="5"/>
      <c r="AC483" s="5"/>
      <c r="AD483" s="5"/>
      <c r="AE483" s="5"/>
      <c r="AF483" s="5"/>
      <c r="AG483" s="5"/>
    </row>
    <row r="484" ht="15.75" customHeight="1">
      <c r="K484" t="s">
        <v>786</v>
      </c>
      <c r="L484" t="str">
        <f>D38</f>
        <v>H1a1</v>
      </c>
      <c r="M484" t="s">
        <v>787</v>
      </c>
      <c r="N484" t="s">
        <v>788</v>
      </c>
      <c r="O484">
        <v>8299313.0</v>
      </c>
      <c r="P484">
        <v>8431272.0</v>
      </c>
      <c r="Q484" t="s">
        <v>431</v>
      </c>
      <c r="R484" s="5"/>
      <c r="S484" s="5"/>
      <c r="T484" s="5"/>
      <c r="U484" s="5"/>
      <c r="V484" s="5"/>
      <c r="W484" s="5"/>
      <c r="X484" s="5"/>
      <c r="Y484" s="5"/>
      <c r="Z484" s="5"/>
      <c r="AA484" s="5"/>
      <c r="AB484" s="5"/>
      <c r="AC484" s="5"/>
      <c r="AD484" s="5"/>
      <c r="AE484" s="5"/>
      <c r="AF484" s="5"/>
      <c r="AG484" s="5"/>
    </row>
    <row r="485" ht="15.75" customHeight="1">
      <c r="K485" t="s">
        <v>787</v>
      </c>
      <c r="L485" t="str">
        <f>D38</f>
        <v>H1a1</v>
      </c>
      <c r="M485" t="s">
        <v>786</v>
      </c>
      <c r="N485" t="s">
        <v>788</v>
      </c>
      <c r="O485">
        <v>8299313.0</v>
      </c>
      <c r="P485">
        <v>8431272.0</v>
      </c>
      <c r="Q485" t="s">
        <v>431</v>
      </c>
      <c r="R485" s="5"/>
      <c r="S485" s="5"/>
      <c r="T485" s="5"/>
      <c r="U485" s="5"/>
      <c r="V485" s="5"/>
      <c r="W485" s="5"/>
      <c r="X485" s="5"/>
      <c r="Y485" s="5"/>
      <c r="Z485" s="5"/>
      <c r="AA485" s="5"/>
      <c r="AB485" s="5"/>
      <c r="AC485" s="5"/>
      <c r="AD485" s="5"/>
      <c r="AE485" s="5"/>
      <c r="AF485" s="5"/>
      <c r="AG485" s="5"/>
    </row>
    <row r="486" ht="15.75" customHeight="1">
      <c r="K486" t="s">
        <v>789</v>
      </c>
      <c r="L486" t="str">
        <f>D38</f>
        <v>H1a1</v>
      </c>
      <c r="M486" t="s">
        <v>790</v>
      </c>
      <c r="N486" t="s">
        <v>791</v>
      </c>
      <c r="O486">
        <v>8410465.0</v>
      </c>
      <c r="P486">
        <v>8542424.0</v>
      </c>
      <c r="Q486" t="s">
        <v>431</v>
      </c>
      <c r="R486" s="5"/>
      <c r="S486" s="5"/>
      <c r="T486" s="5"/>
      <c r="U486" s="5"/>
      <c r="V486" s="5"/>
      <c r="W486" s="5"/>
      <c r="X486" s="5"/>
      <c r="Y486" s="5"/>
      <c r="Z486" s="5"/>
      <c r="AA486" s="5"/>
      <c r="AB486" s="5"/>
      <c r="AC486" s="5"/>
      <c r="AD486" s="5"/>
      <c r="AE486" s="5"/>
      <c r="AF486" s="5"/>
      <c r="AG486" s="5"/>
    </row>
    <row r="487" ht="15.75" customHeight="1">
      <c r="K487" t="s">
        <v>790</v>
      </c>
      <c r="L487" t="str">
        <f>D38</f>
        <v>H1a1</v>
      </c>
      <c r="M487" t="s">
        <v>789</v>
      </c>
      <c r="N487" t="s">
        <v>791</v>
      </c>
      <c r="O487">
        <v>8410465.0</v>
      </c>
      <c r="P487">
        <v>8542424.0</v>
      </c>
      <c r="Q487" t="s">
        <v>431</v>
      </c>
      <c r="R487" s="5"/>
      <c r="S487" s="5"/>
      <c r="T487" s="5"/>
      <c r="U487" s="5"/>
      <c r="V487" s="5"/>
      <c r="W487" s="5"/>
      <c r="X487" s="5"/>
      <c r="Y487" s="5"/>
      <c r="Z487" s="5"/>
      <c r="AA487" s="5"/>
      <c r="AB487" s="5"/>
      <c r="AC487" s="5"/>
      <c r="AD487" s="5"/>
      <c r="AE487" s="5"/>
      <c r="AF487" s="5"/>
      <c r="AG487" s="5"/>
    </row>
    <row r="488" ht="15.75" customHeight="1">
      <c r="K488" t="s">
        <v>792</v>
      </c>
      <c r="L488" t="str">
        <f>D38</f>
        <v>H1a1</v>
      </c>
      <c r="M488" t="s">
        <v>793</v>
      </c>
      <c r="N488" t="s">
        <v>794</v>
      </c>
      <c r="O488">
        <v>8520442.0</v>
      </c>
      <c r="P488">
        <v>8652401.0</v>
      </c>
      <c r="Q488" t="s">
        <v>553</v>
      </c>
      <c r="R488" s="5"/>
      <c r="S488" s="5"/>
      <c r="T488" s="5"/>
      <c r="U488" s="5"/>
      <c r="V488" s="5"/>
      <c r="W488" s="5"/>
      <c r="X488" s="5"/>
      <c r="Y488" s="5"/>
      <c r="Z488" s="5"/>
      <c r="AA488" s="5"/>
      <c r="AB488" s="5"/>
      <c r="AC488" s="5"/>
      <c r="AD488" s="5"/>
      <c r="AE488" s="5"/>
      <c r="AF488" s="5"/>
      <c r="AG488" s="5"/>
    </row>
    <row r="489" ht="15.75" customHeight="1">
      <c r="K489" t="s">
        <v>793</v>
      </c>
      <c r="L489" t="str">
        <f>D38</f>
        <v>H1a1</v>
      </c>
      <c r="M489" t="s">
        <v>792</v>
      </c>
      <c r="N489" t="s">
        <v>794</v>
      </c>
      <c r="O489">
        <v>8520442.0</v>
      </c>
      <c r="P489">
        <v>8652401.0</v>
      </c>
      <c r="Q489" t="s">
        <v>553</v>
      </c>
      <c r="R489" s="5"/>
      <c r="S489" s="5"/>
      <c r="T489" s="5"/>
      <c r="U489" s="5"/>
      <c r="V489" s="5"/>
      <c r="W489" s="5"/>
      <c r="X489" s="5"/>
      <c r="Y489" s="5"/>
      <c r="Z489" s="5"/>
      <c r="AA489" s="5"/>
      <c r="AB489" s="5"/>
      <c r="AC489" s="5"/>
      <c r="AD489" s="5"/>
      <c r="AE489" s="5"/>
      <c r="AF489" s="5"/>
      <c r="AG489" s="5"/>
    </row>
    <row r="490" ht="15.75" customHeight="1">
      <c r="K490" t="s">
        <v>795</v>
      </c>
      <c r="L490" t="str">
        <f>D38</f>
        <v>H1a1</v>
      </c>
      <c r="M490" t="s">
        <v>796</v>
      </c>
      <c r="N490" t="s">
        <v>797</v>
      </c>
      <c r="O490">
        <v>8537711.0</v>
      </c>
      <c r="P490">
        <v>8669670.0</v>
      </c>
      <c r="Q490" t="s">
        <v>448</v>
      </c>
      <c r="R490" s="5"/>
      <c r="S490" s="5"/>
      <c r="T490" s="5"/>
      <c r="U490" s="5"/>
      <c r="V490" s="5"/>
      <c r="W490" s="5"/>
      <c r="X490" s="5"/>
      <c r="Y490" s="5"/>
      <c r="Z490" s="5"/>
      <c r="AA490" s="5"/>
      <c r="AB490" s="5"/>
      <c r="AC490" s="5"/>
      <c r="AD490" s="5"/>
      <c r="AE490" s="5"/>
      <c r="AF490" s="5"/>
      <c r="AG490" s="5"/>
    </row>
    <row r="491" ht="15.75" customHeight="1">
      <c r="K491" t="s">
        <v>796</v>
      </c>
      <c r="L491" t="str">
        <f>D38</f>
        <v>H1a1</v>
      </c>
      <c r="M491" t="s">
        <v>795</v>
      </c>
      <c r="N491" t="s">
        <v>797</v>
      </c>
      <c r="O491">
        <v>8537711.0</v>
      </c>
      <c r="P491">
        <v>8669670.0</v>
      </c>
      <c r="Q491" t="s">
        <v>448</v>
      </c>
      <c r="R491" s="5"/>
      <c r="S491" s="5"/>
      <c r="T491" s="5"/>
      <c r="U491" s="5"/>
      <c r="V491" s="5"/>
      <c r="W491" s="5"/>
      <c r="X491" s="5"/>
      <c r="Y491" s="5"/>
      <c r="Z491" s="5"/>
      <c r="AA491" s="5"/>
      <c r="AB491" s="5"/>
      <c r="AC491" s="5"/>
      <c r="AD491" s="5"/>
      <c r="AE491" s="5"/>
      <c r="AF491" s="5"/>
      <c r="AG491" s="5"/>
    </row>
    <row r="492" ht="15.75" customHeight="1">
      <c r="K492" t="s">
        <v>798</v>
      </c>
      <c r="L492" t="str">
        <f>D38</f>
        <v>H1a1</v>
      </c>
      <c r="M492" t="s">
        <v>799</v>
      </c>
      <c r="N492" t="s">
        <v>800</v>
      </c>
      <c r="O492">
        <v>8551842.0</v>
      </c>
      <c r="P492">
        <v>8683801.0</v>
      </c>
      <c r="Q492" t="s">
        <v>423</v>
      </c>
      <c r="R492" s="5"/>
      <c r="S492" s="5"/>
      <c r="T492" s="5"/>
      <c r="U492" s="5"/>
      <c r="V492" s="5"/>
      <c r="W492" s="5"/>
      <c r="X492" s="5"/>
      <c r="Y492" s="5"/>
      <c r="Z492" s="5"/>
      <c r="AA492" s="5"/>
      <c r="AB492" s="5"/>
      <c r="AC492" s="5"/>
      <c r="AD492" s="5"/>
      <c r="AE492" s="5"/>
      <c r="AF492" s="5"/>
      <c r="AG492" s="5"/>
    </row>
    <row r="493" ht="15.75" customHeight="1">
      <c r="K493" t="s">
        <v>799</v>
      </c>
      <c r="L493" t="str">
        <f>D38</f>
        <v>H1a1</v>
      </c>
      <c r="M493" t="s">
        <v>798</v>
      </c>
      <c r="N493" t="s">
        <v>800</v>
      </c>
      <c r="O493">
        <v>8551842.0</v>
      </c>
      <c r="P493">
        <v>8683801.0</v>
      </c>
      <c r="Q493" t="s">
        <v>423</v>
      </c>
      <c r="R493" s="5"/>
      <c r="S493" s="5"/>
      <c r="T493" s="5"/>
      <c r="U493" s="5"/>
      <c r="V493" s="5"/>
      <c r="W493" s="5"/>
      <c r="X493" s="5"/>
      <c r="Y493" s="5"/>
      <c r="Z493" s="5"/>
      <c r="AA493" s="5"/>
      <c r="AB493" s="5"/>
      <c r="AC493" s="5"/>
      <c r="AD493" s="5"/>
      <c r="AE493" s="5"/>
      <c r="AF493" s="5"/>
      <c r="AG493" s="5"/>
    </row>
    <row r="494" ht="15.75" customHeight="1">
      <c r="K494" t="s">
        <v>801</v>
      </c>
      <c r="L494" t="str">
        <f>D38</f>
        <v>H1a1</v>
      </c>
      <c r="M494" t="s">
        <v>802</v>
      </c>
      <c r="N494" t="s">
        <v>803</v>
      </c>
      <c r="O494">
        <v>8621007.0</v>
      </c>
      <c r="P494">
        <v>8752966.0</v>
      </c>
      <c r="Q494" t="s">
        <v>419</v>
      </c>
      <c r="R494" s="5"/>
      <c r="S494" s="5"/>
      <c r="T494" s="5"/>
      <c r="U494" s="5"/>
      <c r="V494" s="5"/>
      <c r="W494" s="5"/>
      <c r="X494" s="5"/>
      <c r="Y494" s="5"/>
      <c r="Z494" s="5"/>
      <c r="AA494" s="5"/>
      <c r="AB494" s="5"/>
      <c r="AC494" s="5"/>
      <c r="AD494" s="5"/>
      <c r="AE494" s="5"/>
      <c r="AF494" s="5"/>
      <c r="AG494" s="5"/>
    </row>
    <row r="495" ht="15.75" customHeight="1">
      <c r="K495" t="s">
        <v>802</v>
      </c>
      <c r="L495" t="str">
        <f>D38</f>
        <v>H1a1</v>
      </c>
      <c r="M495" t="s">
        <v>801</v>
      </c>
      <c r="N495" t="s">
        <v>803</v>
      </c>
      <c r="O495">
        <v>8621007.0</v>
      </c>
      <c r="P495">
        <v>8752966.0</v>
      </c>
      <c r="Q495" t="s">
        <v>419</v>
      </c>
      <c r="R495" s="5"/>
      <c r="S495" s="5"/>
      <c r="T495" s="5"/>
      <c r="U495" s="5"/>
      <c r="V495" s="5"/>
      <c r="W495" s="5"/>
      <c r="X495" s="5"/>
      <c r="Y495" s="5"/>
      <c r="Z495" s="5"/>
      <c r="AA495" s="5"/>
      <c r="AB495" s="5"/>
      <c r="AC495" s="5"/>
      <c r="AD495" s="5"/>
      <c r="AE495" s="5"/>
      <c r="AF495" s="5"/>
      <c r="AG495" s="5"/>
    </row>
    <row r="496" ht="15.75" customHeight="1">
      <c r="K496" t="s">
        <v>804</v>
      </c>
      <c r="L496" t="str">
        <f>D38</f>
        <v>H1a1</v>
      </c>
      <c r="N496" t="s">
        <v>805</v>
      </c>
      <c r="O496">
        <v>8677412.0</v>
      </c>
      <c r="P496">
        <v>8809371.0</v>
      </c>
      <c r="Q496" t="s">
        <v>553</v>
      </c>
      <c r="R496" s="5"/>
      <c r="S496" s="5"/>
      <c r="T496" s="5"/>
      <c r="U496" s="5"/>
      <c r="V496" s="5"/>
      <c r="W496" s="5"/>
      <c r="X496" s="5"/>
      <c r="Y496" s="5"/>
      <c r="Z496" s="5"/>
      <c r="AA496" s="5"/>
      <c r="AB496" s="5"/>
      <c r="AC496" s="5"/>
      <c r="AD496" s="5"/>
      <c r="AE496" s="5"/>
      <c r="AF496" s="5"/>
      <c r="AG496" s="5"/>
    </row>
    <row r="497" ht="15.75" customHeight="1">
      <c r="K497" t="s">
        <v>806</v>
      </c>
      <c r="L497" t="str">
        <f>D38</f>
        <v>H1a1</v>
      </c>
      <c r="M497" t="s">
        <v>807</v>
      </c>
      <c r="N497" t="s">
        <v>808</v>
      </c>
      <c r="O497">
        <v>8684262.0</v>
      </c>
      <c r="P497">
        <v>8816221.0</v>
      </c>
      <c r="Q497" t="s">
        <v>448</v>
      </c>
      <c r="R497" s="5"/>
      <c r="S497" s="5"/>
      <c r="T497" s="5"/>
      <c r="U497" s="5"/>
      <c r="V497" s="5"/>
      <c r="W497" s="5"/>
      <c r="X497" s="5"/>
      <c r="Y497" s="5"/>
      <c r="Z497" s="5"/>
      <c r="AA497" s="5"/>
      <c r="AB497" s="5"/>
      <c r="AC497" s="5"/>
      <c r="AD497" s="5"/>
      <c r="AE497" s="5"/>
      <c r="AF497" s="5"/>
      <c r="AG497" s="5"/>
    </row>
    <row r="498" ht="15.75" customHeight="1">
      <c r="K498" t="s">
        <v>807</v>
      </c>
      <c r="L498" t="str">
        <f>D38</f>
        <v>H1a1</v>
      </c>
      <c r="M498" t="s">
        <v>806</v>
      </c>
      <c r="N498" t="s">
        <v>808</v>
      </c>
      <c r="O498">
        <v>8684262.0</v>
      </c>
      <c r="P498">
        <v>8816221.0</v>
      </c>
      <c r="Q498" t="s">
        <v>448</v>
      </c>
      <c r="R498" s="5"/>
      <c r="S498" s="5"/>
      <c r="T498" s="5"/>
      <c r="U498" s="5"/>
      <c r="V498" s="5"/>
      <c r="W498" s="5"/>
      <c r="X498" s="5"/>
      <c r="Y498" s="5"/>
      <c r="Z498" s="5"/>
      <c r="AA498" s="5"/>
      <c r="AB498" s="5"/>
      <c r="AC498" s="5"/>
      <c r="AD498" s="5"/>
      <c r="AE498" s="5"/>
      <c r="AF498" s="5"/>
      <c r="AG498" s="5"/>
    </row>
    <row r="499" ht="15.75" customHeight="1">
      <c r="K499" t="s">
        <v>809</v>
      </c>
      <c r="L499" t="str">
        <f>D38</f>
        <v>H1a1</v>
      </c>
      <c r="M499" t="s">
        <v>810</v>
      </c>
      <c r="N499" t="s">
        <v>811</v>
      </c>
      <c r="O499">
        <v>8891215.0</v>
      </c>
      <c r="P499">
        <v>9023174.0</v>
      </c>
      <c r="Q499" t="s">
        <v>525</v>
      </c>
      <c r="R499" s="5"/>
      <c r="S499" s="5"/>
      <c r="T499" s="5"/>
      <c r="U499" s="5"/>
      <c r="V499" s="5"/>
      <c r="W499" s="5"/>
      <c r="X499" s="5"/>
      <c r="Y499" s="5"/>
      <c r="Z499" s="5"/>
      <c r="AA499" s="5"/>
      <c r="AB499" s="5"/>
      <c r="AC499" s="5"/>
      <c r="AD499" s="5"/>
      <c r="AE499" s="5"/>
      <c r="AF499" s="5"/>
      <c r="AG499" s="5"/>
    </row>
    <row r="500" ht="15.75" customHeight="1">
      <c r="K500" t="s">
        <v>810</v>
      </c>
      <c r="L500" t="str">
        <f>D38</f>
        <v>H1a1</v>
      </c>
      <c r="M500" t="s">
        <v>809</v>
      </c>
      <c r="N500" t="s">
        <v>811</v>
      </c>
      <c r="O500">
        <v>8891215.0</v>
      </c>
      <c r="P500">
        <v>9023174.0</v>
      </c>
      <c r="Q500" t="s">
        <v>525</v>
      </c>
      <c r="R500" s="5"/>
      <c r="S500" s="5"/>
      <c r="T500" s="5"/>
      <c r="U500" s="5"/>
      <c r="V500" s="5"/>
      <c r="W500" s="5"/>
      <c r="X500" s="5"/>
      <c r="Y500" s="5"/>
      <c r="Z500" s="5"/>
      <c r="AA500" s="5"/>
      <c r="AB500" s="5"/>
      <c r="AC500" s="5"/>
      <c r="AD500" s="5"/>
      <c r="AE500" s="5"/>
      <c r="AF500" s="5"/>
      <c r="AG500" s="5"/>
    </row>
    <row r="501" ht="15.75" customHeight="1">
      <c r="K501" t="s">
        <v>812</v>
      </c>
      <c r="L501" t="str">
        <f>D38</f>
        <v>H1a1</v>
      </c>
      <c r="N501" t="s">
        <v>813</v>
      </c>
      <c r="O501">
        <v>9106620.0</v>
      </c>
      <c r="P501">
        <v>9269011.0</v>
      </c>
      <c r="Q501" t="s">
        <v>459</v>
      </c>
      <c r="R501" s="5"/>
      <c r="S501" s="5"/>
      <c r="T501" s="5"/>
      <c r="U501" s="5"/>
      <c r="V501" s="5"/>
      <c r="W501" s="5"/>
      <c r="X501" s="5"/>
      <c r="Y501" s="5"/>
      <c r="Z501" s="5"/>
      <c r="AA501" s="5"/>
      <c r="AB501" s="5"/>
      <c r="AC501" s="5"/>
      <c r="AD501" s="5"/>
      <c r="AE501" s="5"/>
      <c r="AF501" s="5"/>
      <c r="AG501" s="5"/>
    </row>
    <row r="502" ht="15.75" customHeight="1">
      <c r="K502" t="s">
        <v>814</v>
      </c>
      <c r="L502" t="str">
        <f>D38</f>
        <v>H1a1</v>
      </c>
      <c r="M502" t="s">
        <v>815</v>
      </c>
      <c r="N502" t="s">
        <v>816</v>
      </c>
      <c r="O502">
        <v>9872591.0</v>
      </c>
      <c r="P502">
        <v>1.0034982E7</v>
      </c>
      <c r="Q502" t="s">
        <v>431</v>
      </c>
      <c r="R502" s="5"/>
      <c r="S502" s="5"/>
      <c r="T502" s="5"/>
      <c r="U502" s="5"/>
      <c r="V502" s="5"/>
      <c r="W502" s="5"/>
      <c r="X502" s="5"/>
      <c r="Y502" s="5"/>
      <c r="Z502" s="5"/>
      <c r="AA502" s="5"/>
      <c r="AB502" s="5"/>
      <c r="AC502" s="5"/>
      <c r="AD502" s="5"/>
      <c r="AE502" s="5"/>
      <c r="AF502" s="5"/>
      <c r="AG502" s="5"/>
    </row>
    <row r="503" ht="15.75" customHeight="1">
      <c r="K503" t="s">
        <v>815</v>
      </c>
      <c r="L503" t="str">
        <f>D38</f>
        <v>H1a1</v>
      </c>
      <c r="M503" t="s">
        <v>814</v>
      </c>
      <c r="N503" t="s">
        <v>816</v>
      </c>
      <c r="O503">
        <v>9872591.0</v>
      </c>
      <c r="P503">
        <v>1.0034982E7</v>
      </c>
      <c r="Q503" t="s">
        <v>431</v>
      </c>
      <c r="R503" s="5"/>
      <c r="S503" s="5"/>
      <c r="T503" s="5"/>
      <c r="U503" s="5"/>
      <c r="V503" s="5"/>
      <c r="W503" s="5"/>
      <c r="X503" s="5"/>
      <c r="Y503" s="5"/>
      <c r="Z503" s="5"/>
      <c r="AA503" s="5"/>
      <c r="AB503" s="5"/>
      <c r="AC503" s="5"/>
      <c r="AD503" s="5"/>
      <c r="AE503" s="5"/>
      <c r="AF503" s="5"/>
      <c r="AG503" s="5"/>
    </row>
    <row r="504" ht="15.75" customHeight="1">
      <c r="K504" t="s">
        <v>817</v>
      </c>
      <c r="L504" t="str">
        <f>D38</f>
        <v>H1a1</v>
      </c>
      <c r="N504" t="s">
        <v>818</v>
      </c>
      <c r="O504">
        <v>1.394833E7</v>
      </c>
      <c r="P504">
        <v>1.1827624E7</v>
      </c>
      <c r="Q504" t="s">
        <v>553</v>
      </c>
      <c r="R504" s="5"/>
      <c r="S504" s="5"/>
      <c r="T504" s="5"/>
      <c r="U504" s="5"/>
      <c r="V504" s="5"/>
      <c r="W504" s="5"/>
      <c r="X504" s="5"/>
      <c r="Y504" s="5"/>
      <c r="Z504" s="5"/>
      <c r="AA504" s="5"/>
      <c r="AB504" s="5"/>
      <c r="AC504" s="5"/>
      <c r="AD504" s="5"/>
      <c r="AE504" s="5"/>
      <c r="AF504" s="5"/>
      <c r="AG504" s="5"/>
    </row>
    <row r="505" ht="15.75" customHeight="1">
      <c r="K505" t="s">
        <v>819</v>
      </c>
      <c r="L505" t="str">
        <f>D38</f>
        <v>H1a1</v>
      </c>
      <c r="M505" t="s">
        <v>820</v>
      </c>
      <c r="N505" t="s">
        <v>821</v>
      </c>
      <c r="O505">
        <v>1.4008471E7</v>
      </c>
      <c r="P505">
        <v>1.1887765E7</v>
      </c>
      <c r="Q505" t="s">
        <v>423</v>
      </c>
      <c r="R505" s="5"/>
      <c r="S505" s="5"/>
      <c r="T505" s="5"/>
      <c r="U505" s="5"/>
      <c r="V505" s="5"/>
      <c r="W505" s="5"/>
      <c r="X505" s="5"/>
      <c r="Y505" s="5"/>
      <c r="Z505" s="5"/>
      <c r="AA505" s="5"/>
      <c r="AB505" s="5"/>
      <c r="AC505" s="5"/>
      <c r="AD505" s="5"/>
      <c r="AE505" s="5"/>
      <c r="AF505" s="5"/>
      <c r="AG505" s="5"/>
    </row>
    <row r="506" ht="15.75" customHeight="1">
      <c r="K506" t="s">
        <v>820</v>
      </c>
      <c r="L506" t="str">
        <f>D38</f>
        <v>H1a1</v>
      </c>
      <c r="M506" t="s">
        <v>819</v>
      </c>
      <c r="N506" t="s">
        <v>821</v>
      </c>
      <c r="O506">
        <v>1.4008471E7</v>
      </c>
      <c r="P506">
        <v>1.1887765E7</v>
      </c>
      <c r="Q506" t="s">
        <v>423</v>
      </c>
      <c r="R506" s="5"/>
      <c r="S506" s="5"/>
      <c r="T506" s="5"/>
      <c r="U506" s="5"/>
      <c r="V506" s="5"/>
      <c r="W506" s="5"/>
      <c r="X506" s="5"/>
      <c r="Y506" s="5"/>
      <c r="Z506" s="5"/>
      <c r="AA506" s="5"/>
      <c r="AB506" s="5"/>
      <c r="AC506" s="5"/>
      <c r="AD506" s="5"/>
      <c r="AE506" s="5"/>
      <c r="AF506" s="5"/>
      <c r="AG506" s="5"/>
    </row>
    <row r="507" ht="15.75" customHeight="1">
      <c r="K507" t="s">
        <v>822</v>
      </c>
      <c r="L507" t="str">
        <f>D38</f>
        <v>H1a1</v>
      </c>
      <c r="N507" t="s">
        <v>823</v>
      </c>
      <c r="O507">
        <v>1.4053949E7</v>
      </c>
      <c r="P507">
        <v>1.1933243E7</v>
      </c>
      <c r="Q507" t="s">
        <v>419</v>
      </c>
      <c r="R507" s="5"/>
      <c r="S507" s="5"/>
      <c r="T507" s="5"/>
      <c r="U507" s="5"/>
      <c r="V507" s="5"/>
      <c r="W507" s="5"/>
      <c r="X507" s="5"/>
      <c r="Y507" s="5"/>
      <c r="Z507" s="5"/>
      <c r="AA507" s="5"/>
      <c r="AB507" s="5"/>
      <c r="AC507" s="5"/>
      <c r="AD507" s="5"/>
      <c r="AE507" s="5"/>
      <c r="AF507" s="5"/>
      <c r="AG507" s="5"/>
    </row>
    <row r="508" ht="15.75" customHeight="1">
      <c r="K508" t="s">
        <v>824</v>
      </c>
      <c r="L508" t="str">
        <f>D38</f>
        <v>H1a1</v>
      </c>
      <c r="N508" t="s">
        <v>825</v>
      </c>
      <c r="O508">
        <v>1.4131226E7</v>
      </c>
      <c r="P508">
        <v>1.201052E7</v>
      </c>
      <c r="Q508" t="s">
        <v>427</v>
      </c>
      <c r="R508" s="5"/>
      <c r="S508" s="5"/>
      <c r="T508" s="5"/>
      <c r="U508" s="5"/>
      <c r="V508" s="5"/>
      <c r="W508" s="5"/>
      <c r="X508" s="5"/>
      <c r="Y508" s="5"/>
      <c r="Z508" s="5"/>
      <c r="AA508" s="5"/>
      <c r="AB508" s="5"/>
      <c r="AC508" s="5"/>
      <c r="AD508" s="5"/>
      <c r="AE508" s="5"/>
      <c r="AF508" s="5"/>
      <c r="AG508" s="5"/>
    </row>
    <row r="509" ht="15.75" customHeight="1">
      <c r="K509" t="s">
        <v>826</v>
      </c>
      <c r="L509" t="str">
        <f>D38</f>
        <v>H1a1</v>
      </c>
      <c r="N509" t="s">
        <v>827</v>
      </c>
      <c r="O509">
        <v>1.4131239E7</v>
      </c>
      <c r="P509">
        <v>1.2010533E7</v>
      </c>
      <c r="Q509" t="s">
        <v>435</v>
      </c>
      <c r="R509" s="5"/>
      <c r="S509" s="5"/>
      <c r="T509" s="5"/>
      <c r="U509" s="5"/>
      <c r="V509" s="5"/>
      <c r="W509" s="5"/>
      <c r="X509" s="5"/>
      <c r="Y509" s="5"/>
      <c r="Z509" s="5"/>
      <c r="AA509" s="5"/>
      <c r="AB509" s="5"/>
      <c r="AC509" s="5"/>
      <c r="AD509" s="5"/>
      <c r="AE509" s="5"/>
      <c r="AF509" s="5"/>
      <c r="AG509" s="5"/>
    </row>
    <row r="510" ht="15.75" customHeight="1">
      <c r="K510" t="s">
        <v>828</v>
      </c>
      <c r="L510" t="str">
        <f>D38</f>
        <v>H1a1</v>
      </c>
      <c r="N510" t="s">
        <v>829</v>
      </c>
      <c r="O510">
        <v>1.4206996E7</v>
      </c>
      <c r="P510">
        <v>1.208629E7</v>
      </c>
      <c r="Q510" t="s">
        <v>435</v>
      </c>
      <c r="R510" s="5"/>
      <c r="S510" s="5"/>
      <c r="T510" s="5"/>
      <c r="U510" s="5"/>
      <c r="V510" s="5"/>
      <c r="W510" s="5"/>
      <c r="X510" s="5"/>
      <c r="Y510" s="5"/>
      <c r="Z510" s="5"/>
      <c r="AA510" s="5"/>
      <c r="AB510" s="5"/>
      <c r="AC510" s="5"/>
      <c r="AD510" s="5"/>
      <c r="AE510" s="5"/>
      <c r="AF510" s="5"/>
      <c r="AG510" s="5"/>
    </row>
    <row r="511" ht="15.75" customHeight="1">
      <c r="K511" t="s">
        <v>830</v>
      </c>
      <c r="L511" t="str">
        <f>D38</f>
        <v>H1a1</v>
      </c>
      <c r="N511" t="s">
        <v>831</v>
      </c>
      <c r="O511">
        <v>1.4214955E7</v>
      </c>
      <c r="P511">
        <v>1.2094249E7</v>
      </c>
      <c r="Q511" t="s">
        <v>431</v>
      </c>
      <c r="R511" s="5"/>
      <c r="S511" s="5"/>
      <c r="T511" s="5"/>
      <c r="U511" s="5"/>
      <c r="V511" s="5"/>
      <c r="W511" s="5"/>
      <c r="X511" s="5"/>
      <c r="Y511" s="5"/>
      <c r="Z511" s="5"/>
      <c r="AA511" s="5"/>
      <c r="AB511" s="5"/>
      <c r="AC511" s="5"/>
      <c r="AD511" s="5"/>
      <c r="AE511" s="5"/>
      <c r="AF511" s="5"/>
      <c r="AG511" s="5"/>
    </row>
    <row r="512" ht="15.75" customHeight="1">
      <c r="K512" t="s">
        <v>832</v>
      </c>
      <c r="L512" t="str">
        <f>D38</f>
        <v>H1a1</v>
      </c>
      <c r="N512" t="s">
        <v>833</v>
      </c>
      <c r="O512">
        <v>1.4283494E7</v>
      </c>
      <c r="P512">
        <v>1.2162788E7</v>
      </c>
      <c r="Q512" t="s">
        <v>476</v>
      </c>
      <c r="R512" s="5"/>
      <c r="S512" s="5"/>
      <c r="T512" s="5"/>
      <c r="U512" s="5"/>
      <c r="V512" s="5"/>
      <c r="W512" s="5"/>
      <c r="X512" s="5"/>
      <c r="Y512" s="5"/>
      <c r="Z512" s="5"/>
      <c r="AA512" s="5"/>
      <c r="AB512" s="5"/>
      <c r="AC512" s="5"/>
      <c r="AD512" s="5"/>
      <c r="AE512" s="5"/>
      <c r="AF512" s="5"/>
      <c r="AG512" s="5"/>
    </row>
    <row r="513" ht="15.75" customHeight="1">
      <c r="K513" t="s">
        <v>834</v>
      </c>
      <c r="L513" t="str">
        <f>D38</f>
        <v>H1a1</v>
      </c>
      <c r="N513" t="s">
        <v>835</v>
      </c>
      <c r="O513">
        <v>1.4334991E7</v>
      </c>
      <c r="P513">
        <v>1.2214286E7</v>
      </c>
      <c r="Q513" t="s">
        <v>431</v>
      </c>
      <c r="R513" s="5"/>
      <c r="S513" s="5"/>
      <c r="T513" s="5"/>
      <c r="U513" s="5"/>
      <c r="V513" s="5"/>
      <c r="W513" s="5"/>
      <c r="X513" s="5"/>
      <c r="Y513" s="5"/>
      <c r="Z513" s="5"/>
      <c r="AA513" s="5"/>
      <c r="AB513" s="5"/>
      <c r="AC513" s="5"/>
      <c r="AD513" s="5"/>
      <c r="AE513" s="5"/>
      <c r="AF513" s="5"/>
      <c r="AG513" s="5"/>
    </row>
    <row r="514" ht="15.75" customHeight="1">
      <c r="K514" t="s">
        <v>836</v>
      </c>
      <c r="L514" t="str">
        <f>D38</f>
        <v>H1a1</v>
      </c>
      <c r="N514" t="s">
        <v>837</v>
      </c>
      <c r="O514">
        <v>1.4349088E7</v>
      </c>
      <c r="P514">
        <v>1.2228383E7</v>
      </c>
      <c r="Q514" t="s">
        <v>431</v>
      </c>
      <c r="R514" s="5"/>
      <c r="S514" s="5"/>
      <c r="T514" s="5"/>
      <c r="U514" s="5"/>
      <c r="V514" s="5"/>
      <c r="W514" s="5"/>
      <c r="X514" s="5"/>
      <c r="Y514" s="5"/>
      <c r="Z514" s="5"/>
      <c r="AA514" s="5"/>
      <c r="AB514" s="5"/>
      <c r="AC514" s="5"/>
      <c r="AD514" s="5"/>
      <c r="AE514" s="5"/>
      <c r="AF514" s="5"/>
      <c r="AG514" s="5"/>
    </row>
    <row r="515" ht="15.75" customHeight="1">
      <c r="K515" t="s">
        <v>838</v>
      </c>
      <c r="L515" t="str">
        <f>D38</f>
        <v>H1a1</v>
      </c>
      <c r="N515" t="s">
        <v>839</v>
      </c>
      <c r="O515">
        <v>1.4467275E7</v>
      </c>
      <c r="P515">
        <v>1.2346544E7</v>
      </c>
      <c r="Q515" t="s">
        <v>423</v>
      </c>
      <c r="R515" s="5"/>
      <c r="S515" s="5"/>
      <c r="T515" s="5"/>
      <c r="U515" s="5"/>
      <c r="V515" s="5"/>
      <c r="W515" s="5"/>
      <c r="X515" s="5"/>
      <c r="Y515" s="5"/>
      <c r="Z515" s="5"/>
      <c r="AA515" s="5"/>
      <c r="AB515" s="5"/>
      <c r="AC515" s="5"/>
      <c r="AD515" s="5"/>
      <c r="AE515" s="5"/>
      <c r="AF515" s="5"/>
      <c r="AG515" s="5"/>
    </row>
    <row r="516" ht="15.75" customHeight="1">
      <c r="K516" t="s">
        <v>840</v>
      </c>
      <c r="L516" t="str">
        <f>D38</f>
        <v>H1a1</v>
      </c>
      <c r="N516" t="s">
        <v>841</v>
      </c>
      <c r="O516">
        <v>1.4627951E7</v>
      </c>
      <c r="P516">
        <v>1.2516019E7</v>
      </c>
      <c r="Q516" t="s">
        <v>431</v>
      </c>
      <c r="R516" s="5"/>
      <c r="S516" s="5"/>
      <c r="T516" s="5"/>
      <c r="U516" s="5"/>
      <c r="V516" s="5"/>
      <c r="W516" s="5"/>
      <c r="X516" s="5"/>
      <c r="Y516" s="5"/>
      <c r="Z516" s="5"/>
      <c r="AA516" s="5"/>
      <c r="AB516" s="5"/>
      <c r="AC516" s="5"/>
      <c r="AD516" s="5"/>
      <c r="AE516" s="5"/>
      <c r="AF516" s="5"/>
      <c r="AG516" s="5"/>
    </row>
    <row r="517" ht="15.75" customHeight="1">
      <c r="K517" t="s">
        <v>842</v>
      </c>
      <c r="L517" t="str">
        <f>D38</f>
        <v>H1a1</v>
      </c>
      <c r="N517" t="s">
        <v>843</v>
      </c>
      <c r="O517">
        <v>1.4688658E7</v>
      </c>
      <c r="P517">
        <v>1.2576724E7</v>
      </c>
      <c r="Q517" t="s">
        <v>423</v>
      </c>
      <c r="R517" s="5"/>
      <c r="S517" s="5"/>
      <c r="T517" s="5"/>
      <c r="U517" s="5"/>
      <c r="V517" s="5"/>
      <c r="W517" s="5"/>
      <c r="X517" s="5"/>
      <c r="Y517" s="5"/>
      <c r="Z517" s="5"/>
      <c r="AA517" s="5"/>
      <c r="AB517" s="5"/>
      <c r="AC517" s="5"/>
      <c r="AD517" s="5"/>
      <c r="AE517" s="5"/>
      <c r="AF517" s="5"/>
      <c r="AG517" s="5"/>
    </row>
    <row r="518" ht="15.75" customHeight="1">
      <c r="K518" t="s">
        <v>844</v>
      </c>
      <c r="L518" t="str">
        <f>D38</f>
        <v>H1a1</v>
      </c>
      <c r="M518" t="s">
        <v>845</v>
      </c>
      <c r="N518" t="s">
        <v>846</v>
      </c>
      <c r="O518">
        <v>1.4907616E7</v>
      </c>
      <c r="P518">
        <v>1.2795683E7</v>
      </c>
      <c r="Q518" t="s">
        <v>435</v>
      </c>
      <c r="R518" s="5"/>
      <c r="S518" s="5"/>
      <c r="T518" s="5"/>
      <c r="U518" s="5"/>
      <c r="V518" s="5"/>
      <c r="W518" s="5"/>
      <c r="X518" s="5"/>
      <c r="Y518" s="5"/>
      <c r="Z518" s="5"/>
      <c r="AA518" s="5"/>
      <c r="AB518" s="5"/>
      <c r="AC518" s="5"/>
      <c r="AD518" s="5"/>
      <c r="AE518" s="5"/>
      <c r="AF518" s="5"/>
      <c r="AG518" s="5"/>
    </row>
    <row r="519" ht="15.75" customHeight="1">
      <c r="K519" t="s">
        <v>845</v>
      </c>
      <c r="L519" t="str">
        <f>D38</f>
        <v>H1a1</v>
      </c>
      <c r="M519" t="s">
        <v>844</v>
      </c>
      <c r="N519" t="s">
        <v>846</v>
      </c>
      <c r="O519">
        <v>1.4907616E7</v>
      </c>
      <c r="P519">
        <v>1.2795683E7</v>
      </c>
      <c r="Q519" t="s">
        <v>435</v>
      </c>
      <c r="R519" s="5"/>
      <c r="S519" s="5"/>
      <c r="T519" s="5"/>
      <c r="U519" s="5"/>
      <c r="V519" s="5"/>
      <c r="W519" s="5"/>
      <c r="X519" s="5"/>
      <c r="Y519" s="5"/>
      <c r="Z519" s="5"/>
      <c r="AA519" s="5"/>
      <c r="AB519" s="5"/>
      <c r="AC519" s="5"/>
      <c r="AD519" s="5"/>
      <c r="AE519" s="5"/>
      <c r="AF519" s="5"/>
      <c r="AG519" s="5"/>
    </row>
    <row r="520" ht="15.75" customHeight="1">
      <c r="K520" t="s">
        <v>847</v>
      </c>
      <c r="L520" t="str">
        <f>D38</f>
        <v>H1a1</v>
      </c>
      <c r="N520" t="s">
        <v>848</v>
      </c>
      <c r="O520">
        <v>1.5044216E7</v>
      </c>
      <c r="P520">
        <v>1.2932306E7</v>
      </c>
      <c r="Q520" t="s">
        <v>448</v>
      </c>
      <c r="R520" s="5"/>
      <c r="S520" s="5"/>
      <c r="T520" s="5"/>
      <c r="U520" s="5"/>
      <c r="V520" s="5"/>
      <c r="W520" s="5"/>
      <c r="X520" s="5"/>
      <c r="Y520" s="5"/>
      <c r="Z520" s="5"/>
      <c r="AA520" s="5"/>
      <c r="AB520" s="5"/>
      <c r="AC520" s="5"/>
      <c r="AD520" s="5"/>
      <c r="AE520" s="5"/>
      <c r="AF520" s="5"/>
      <c r="AG520" s="5"/>
    </row>
    <row r="521" ht="15.75" customHeight="1">
      <c r="K521" t="s">
        <v>849</v>
      </c>
      <c r="L521" t="str">
        <f>D38</f>
        <v>H1a1</v>
      </c>
      <c r="M521" t="s">
        <v>850</v>
      </c>
      <c r="N521" t="s">
        <v>851</v>
      </c>
      <c r="O521">
        <v>1.5105367E7</v>
      </c>
      <c r="P521">
        <v>1.2993455E7</v>
      </c>
      <c r="Q521" t="s">
        <v>423</v>
      </c>
      <c r="R521" s="5"/>
      <c r="S521" s="5"/>
      <c r="T521" s="5"/>
      <c r="U521" s="5"/>
      <c r="V521" s="5"/>
      <c r="W521" s="5"/>
      <c r="X521" s="5"/>
      <c r="Y521" s="5"/>
      <c r="Z521" s="5"/>
      <c r="AA521" s="5"/>
      <c r="AB521" s="5"/>
      <c r="AC521" s="5"/>
      <c r="AD521" s="5"/>
      <c r="AE521" s="5"/>
      <c r="AF521" s="5"/>
      <c r="AG521" s="5"/>
    </row>
    <row r="522" ht="15.75" customHeight="1">
      <c r="K522" t="s">
        <v>850</v>
      </c>
      <c r="L522" t="str">
        <f>D38</f>
        <v>H1a1</v>
      </c>
      <c r="M522" t="s">
        <v>849</v>
      </c>
      <c r="N522" t="s">
        <v>851</v>
      </c>
      <c r="O522">
        <v>1.5105367E7</v>
      </c>
      <c r="P522">
        <v>1.2993455E7</v>
      </c>
      <c r="Q522" t="s">
        <v>423</v>
      </c>
      <c r="R522" s="5"/>
      <c r="S522" s="5"/>
      <c r="T522" s="5"/>
      <c r="U522" s="5"/>
      <c r="V522" s="5"/>
      <c r="W522" s="5"/>
      <c r="X522" s="5"/>
      <c r="Y522" s="5"/>
      <c r="Z522" s="5"/>
      <c r="AA522" s="5"/>
      <c r="AB522" s="5"/>
      <c r="AC522" s="5"/>
      <c r="AD522" s="5"/>
      <c r="AE522" s="5"/>
      <c r="AF522" s="5"/>
      <c r="AG522" s="5"/>
    </row>
    <row r="523" ht="15.75" customHeight="1">
      <c r="K523" t="s">
        <v>852</v>
      </c>
      <c r="L523" t="str">
        <f>D38</f>
        <v>H1a1</v>
      </c>
      <c r="N523" t="s">
        <v>853</v>
      </c>
      <c r="O523">
        <v>1.517247E7</v>
      </c>
      <c r="P523">
        <v>1.3060556E7</v>
      </c>
      <c r="Q523" t="s">
        <v>452</v>
      </c>
      <c r="R523" s="5"/>
      <c r="S523" s="5"/>
      <c r="T523" s="5"/>
      <c r="U523" s="5"/>
      <c r="V523" s="5"/>
      <c r="W523" s="5"/>
      <c r="X523" s="5"/>
      <c r="Y523" s="5"/>
      <c r="Z523" s="5"/>
      <c r="AA523" s="5"/>
      <c r="AB523" s="5"/>
      <c r="AC523" s="5"/>
      <c r="AD523" s="5"/>
      <c r="AE523" s="5"/>
      <c r="AF523" s="5"/>
      <c r="AG523" s="5"/>
    </row>
    <row r="524" ht="15.75" customHeight="1">
      <c r="K524" t="s">
        <v>854</v>
      </c>
      <c r="L524" t="str">
        <f>D38</f>
        <v>H1a1</v>
      </c>
      <c r="M524" t="s">
        <v>855</v>
      </c>
      <c r="N524" t="s">
        <v>856</v>
      </c>
      <c r="O524">
        <v>1.5260306E7</v>
      </c>
      <c r="P524">
        <v>1.314839E7</v>
      </c>
      <c r="Q524" t="s">
        <v>452</v>
      </c>
      <c r="R524" s="5"/>
      <c r="S524" s="5"/>
      <c r="T524" s="5"/>
      <c r="U524" s="5"/>
      <c r="V524" s="5"/>
      <c r="W524" s="5"/>
      <c r="X524" s="5"/>
      <c r="Y524" s="5"/>
      <c r="Z524" s="5"/>
      <c r="AA524" s="5"/>
      <c r="AB524" s="5"/>
      <c r="AC524" s="5"/>
      <c r="AD524" s="5"/>
      <c r="AE524" s="5"/>
      <c r="AF524" s="5"/>
      <c r="AG524" s="5"/>
    </row>
    <row r="525" ht="15.75" customHeight="1">
      <c r="K525" t="s">
        <v>855</v>
      </c>
      <c r="L525" t="str">
        <f>D38</f>
        <v>H1a1</v>
      </c>
      <c r="M525" t="s">
        <v>854</v>
      </c>
      <c r="N525" t="s">
        <v>856</v>
      </c>
      <c r="O525">
        <v>1.5260306E7</v>
      </c>
      <c r="P525">
        <v>1.314839E7</v>
      </c>
      <c r="Q525" t="s">
        <v>452</v>
      </c>
      <c r="R525" s="5"/>
      <c r="S525" s="5"/>
      <c r="T525" s="5"/>
      <c r="U525" s="5"/>
      <c r="V525" s="5"/>
      <c r="W525" s="5"/>
      <c r="X525" s="5"/>
      <c r="Y525" s="5"/>
      <c r="Z525" s="5"/>
      <c r="AA525" s="5"/>
      <c r="AB525" s="5"/>
      <c r="AC525" s="5"/>
      <c r="AD525" s="5"/>
      <c r="AE525" s="5"/>
      <c r="AF525" s="5"/>
      <c r="AG525" s="5"/>
    </row>
    <row r="526" ht="15.75" customHeight="1">
      <c r="K526" t="s">
        <v>857</v>
      </c>
      <c r="L526" t="str">
        <f>D38</f>
        <v>H1a1</v>
      </c>
      <c r="M526" t="s">
        <v>858</v>
      </c>
      <c r="N526" t="s">
        <v>859</v>
      </c>
      <c r="O526">
        <v>1.5280761E7</v>
      </c>
      <c r="P526">
        <v>1.316886E7</v>
      </c>
      <c r="Q526" t="s">
        <v>419</v>
      </c>
      <c r="R526" s="5"/>
      <c r="S526" s="5"/>
      <c r="T526" s="5"/>
      <c r="U526" s="5"/>
      <c r="V526" s="5"/>
      <c r="W526" s="5"/>
      <c r="X526" s="5"/>
      <c r="Y526" s="5"/>
      <c r="Z526" s="5"/>
      <c r="AA526" s="5"/>
      <c r="AB526" s="5"/>
      <c r="AC526" s="5"/>
      <c r="AD526" s="5"/>
      <c r="AE526" s="5"/>
      <c r="AF526" s="5"/>
      <c r="AG526" s="5"/>
    </row>
    <row r="527" ht="15.75" customHeight="1">
      <c r="K527" t="s">
        <v>858</v>
      </c>
      <c r="L527" t="str">
        <f>D38</f>
        <v>H1a1</v>
      </c>
      <c r="M527" t="s">
        <v>857</v>
      </c>
      <c r="N527" t="s">
        <v>859</v>
      </c>
      <c r="O527">
        <v>1.5280761E7</v>
      </c>
      <c r="P527">
        <v>1.316886E7</v>
      </c>
      <c r="Q527" t="s">
        <v>419</v>
      </c>
      <c r="R527" s="5"/>
      <c r="S527" s="5"/>
      <c r="T527" s="5"/>
      <c r="U527" s="5"/>
      <c r="V527" s="5"/>
      <c r="W527" s="5"/>
      <c r="X527" s="5"/>
      <c r="Y527" s="5"/>
      <c r="Z527" s="5"/>
      <c r="AA527" s="5"/>
      <c r="AB527" s="5"/>
      <c r="AC527" s="5"/>
      <c r="AD527" s="5"/>
      <c r="AE527" s="5"/>
      <c r="AF527" s="5"/>
      <c r="AG527" s="5"/>
    </row>
    <row r="528" ht="15.75" customHeight="1">
      <c r="K528" t="s">
        <v>860</v>
      </c>
      <c r="L528" t="str">
        <f>D38</f>
        <v>H1a1</v>
      </c>
      <c r="N528" t="s">
        <v>861</v>
      </c>
      <c r="O528">
        <v>1.5383492E7</v>
      </c>
      <c r="P528">
        <v>1.3271612E7</v>
      </c>
      <c r="Q528" t="s">
        <v>431</v>
      </c>
      <c r="R528" s="5"/>
      <c r="S528" s="5"/>
      <c r="T528" s="5"/>
      <c r="U528" s="5"/>
      <c r="V528" s="5"/>
      <c r="W528" s="5"/>
      <c r="X528" s="5"/>
      <c r="Y528" s="5"/>
      <c r="Z528" s="5"/>
      <c r="AA528" s="5"/>
      <c r="AB528" s="5"/>
      <c r="AC528" s="5"/>
      <c r="AD528" s="5"/>
      <c r="AE528" s="5"/>
      <c r="AF528" s="5"/>
      <c r="AG528" s="5"/>
    </row>
    <row r="529" ht="15.75" customHeight="1">
      <c r="K529" t="s">
        <v>862</v>
      </c>
      <c r="L529" t="str">
        <f>D38</f>
        <v>H1a1</v>
      </c>
      <c r="M529" t="s">
        <v>863</v>
      </c>
      <c r="N529" t="s">
        <v>864</v>
      </c>
      <c r="O529">
        <v>1.5553261E7</v>
      </c>
      <c r="P529">
        <v>1.3441381E7</v>
      </c>
      <c r="Q529" t="s">
        <v>452</v>
      </c>
      <c r="R529" s="5"/>
      <c r="S529" s="5"/>
      <c r="T529" s="5"/>
      <c r="U529" s="5"/>
      <c r="V529" s="5"/>
      <c r="W529" s="5"/>
      <c r="X529" s="5"/>
      <c r="Y529" s="5"/>
      <c r="Z529" s="5"/>
      <c r="AA529" s="5"/>
      <c r="AB529" s="5"/>
      <c r="AC529" s="5"/>
      <c r="AD529" s="5"/>
      <c r="AE529" s="5"/>
      <c r="AF529" s="5"/>
      <c r="AG529" s="5"/>
    </row>
    <row r="530" ht="15.75" customHeight="1">
      <c r="K530" t="s">
        <v>863</v>
      </c>
      <c r="L530" t="str">
        <f>D38</f>
        <v>H1a1</v>
      </c>
      <c r="M530" t="s">
        <v>862</v>
      </c>
      <c r="N530" t="s">
        <v>864</v>
      </c>
      <c r="O530">
        <v>1.5553261E7</v>
      </c>
      <c r="P530">
        <v>1.3441381E7</v>
      </c>
      <c r="Q530" t="s">
        <v>452</v>
      </c>
      <c r="R530" s="5"/>
      <c r="S530" s="5"/>
      <c r="T530" s="5"/>
      <c r="U530" s="5"/>
      <c r="V530" s="5"/>
      <c r="W530" s="5"/>
      <c r="X530" s="5"/>
      <c r="Y530" s="5"/>
      <c r="Z530" s="5"/>
      <c r="AA530" s="5"/>
      <c r="AB530" s="5"/>
      <c r="AC530" s="5"/>
      <c r="AD530" s="5"/>
      <c r="AE530" s="5"/>
      <c r="AF530" s="5"/>
      <c r="AG530" s="5"/>
    </row>
    <row r="531" ht="15.75" customHeight="1">
      <c r="K531" t="s">
        <v>865</v>
      </c>
      <c r="L531" t="str">
        <f>D38</f>
        <v>H1a1</v>
      </c>
      <c r="N531" t="s">
        <v>866</v>
      </c>
      <c r="O531">
        <v>1.5553285E7</v>
      </c>
      <c r="P531">
        <v>1.3441405E7</v>
      </c>
      <c r="Q531" t="s">
        <v>525</v>
      </c>
      <c r="R531" s="5"/>
      <c r="S531" s="5"/>
      <c r="T531" s="5"/>
      <c r="U531" s="5"/>
      <c r="V531" s="5"/>
      <c r="W531" s="5"/>
      <c r="X531" s="5"/>
      <c r="Y531" s="5"/>
      <c r="Z531" s="5"/>
      <c r="AA531" s="5"/>
      <c r="AB531" s="5"/>
      <c r="AC531" s="5"/>
      <c r="AD531" s="5"/>
      <c r="AE531" s="5"/>
      <c r="AF531" s="5"/>
      <c r="AG531" s="5"/>
    </row>
    <row r="532" ht="15.75" customHeight="1">
      <c r="K532" t="s">
        <v>867</v>
      </c>
      <c r="L532" t="str">
        <f>D38</f>
        <v>H1a1</v>
      </c>
      <c r="M532" t="s">
        <v>868</v>
      </c>
      <c r="N532" t="s">
        <v>869</v>
      </c>
      <c r="O532">
        <v>1.5558641E7</v>
      </c>
      <c r="P532">
        <v>1.3446761E7</v>
      </c>
      <c r="Q532" t="s">
        <v>423</v>
      </c>
      <c r="R532" s="5"/>
      <c r="S532" s="5"/>
      <c r="T532" s="5"/>
      <c r="U532" s="5"/>
      <c r="V532" s="5"/>
      <c r="W532" s="5"/>
      <c r="X532" s="5"/>
      <c r="Y532" s="5"/>
      <c r="Z532" s="5"/>
      <c r="AA532" s="5"/>
      <c r="AB532" s="5"/>
      <c r="AC532" s="5"/>
      <c r="AD532" s="5"/>
      <c r="AE532" s="5"/>
      <c r="AF532" s="5"/>
      <c r="AG532" s="5"/>
    </row>
    <row r="533" ht="15.75" customHeight="1">
      <c r="K533" t="s">
        <v>868</v>
      </c>
      <c r="L533" t="str">
        <f>D38</f>
        <v>H1a1</v>
      </c>
      <c r="M533" t="s">
        <v>867</v>
      </c>
      <c r="N533" t="s">
        <v>869</v>
      </c>
      <c r="O533">
        <v>1.5558641E7</v>
      </c>
      <c r="P533">
        <v>1.3446761E7</v>
      </c>
      <c r="Q533" t="s">
        <v>423</v>
      </c>
      <c r="R533" s="5"/>
      <c r="S533" s="5"/>
      <c r="T533" s="5"/>
      <c r="U533" s="5"/>
      <c r="V533" s="5"/>
      <c r="W533" s="5"/>
      <c r="X533" s="5"/>
      <c r="Y533" s="5"/>
      <c r="Z533" s="5"/>
      <c r="AA533" s="5"/>
      <c r="AB533" s="5"/>
      <c r="AC533" s="5"/>
      <c r="AD533" s="5"/>
      <c r="AE533" s="5"/>
      <c r="AF533" s="5"/>
      <c r="AG533" s="5"/>
    </row>
    <row r="534" ht="15.75" customHeight="1">
      <c r="K534" t="s">
        <v>870</v>
      </c>
      <c r="L534" t="str">
        <f>D38</f>
        <v>H1a1</v>
      </c>
      <c r="M534" t="s">
        <v>871</v>
      </c>
      <c r="N534" t="s">
        <v>872</v>
      </c>
      <c r="O534">
        <v>1.5585918E7</v>
      </c>
      <c r="P534">
        <v>1.3474038E7</v>
      </c>
      <c r="Q534" t="s">
        <v>525</v>
      </c>
      <c r="R534" s="5"/>
      <c r="S534" s="5"/>
      <c r="T534" s="5"/>
      <c r="U534" s="5"/>
      <c r="V534" s="5"/>
      <c r="W534" s="5"/>
      <c r="X534" s="5"/>
      <c r="Y534" s="5"/>
      <c r="Z534" s="5"/>
      <c r="AA534" s="5"/>
      <c r="AB534" s="5"/>
      <c r="AC534" s="5"/>
      <c r="AD534" s="5"/>
      <c r="AE534" s="5"/>
      <c r="AF534" s="5"/>
      <c r="AG534" s="5"/>
    </row>
    <row r="535" ht="15.75" customHeight="1">
      <c r="K535" t="s">
        <v>871</v>
      </c>
      <c r="L535" t="str">
        <f>D38</f>
        <v>H1a1</v>
      </c>
      <c r="M535" t="s">
        <v>870</v>
      </c>
      <c r="N535" t="s">
        <v>872</v>
      </c>
      <c r="O535">
        <v>1.5585918E7</v>
      </c>
      <c r="P535">
        <v>1.3474038E7</v>
      </c>
      <c r="Q535" t="s">
        <v>525</v>
      </c>
      <c r="R535" s="5"/>
      <c r="S535" s="5"/>
      <c r="T535" s="5"/>
      <c r="U535" s="5"/>
      <c r="V535" s="5"/>
      <c r="W535" s="5"/>
      <c r="X535" s="5"/>
      <c r="Y535" s="5"/>
      <c r="Z535" s="5"/>
      <c r="AA535" s="5"/>
      <c r="AB535" s="5"/>
      <c r="AC535" s="5"/>
      <c r="AD535" s="5"/>
      <c r="AE535" s="5"/>
      <c r="AF535" s="5"/>
      <c r="AG535" s="5"/>
    </row>
    <row r="536" ht="15.75" customHeight="1">
      <c r="K536" t="s">
        <v>873</v>
      </c>
      <c r="L536" t="str">
        <f>D38</f>
        <v>H1a1</v>
      </c>
      <c r="N536" t="s">
        <v>874</v>
      </c>
      <c r="O536">
        <v>1.5594947E7</v>
      </c>
      <c r="P536">
        <v>1.3483067E7</v>
      </c>
      <c r="Q536" t="s">
        <v>476</v>
      </c>
      <c r="R536" s="5"/>
      <c r="S536" s="5"/>
      <c r="T536" s="5"/>
      <c r="U536" s="5"/>
      <c r="V536" s="5"/>
      <c r="W536" s="5"/>
      <c r="X536" s="5"/>
      <c r="Y536" s="5"/>
      <c r="Z536" s="5"/>
      <c r="AA536" s="5"/>
      <c r="AB536" s="5"/>
      <c r="AC536" s="5"/>
      <c r="AD536" s="5"/>
      <c r="AE536" s="5"/>
      <c r="AF536" s="5"/>
      <c r="AG536" s="5"/>
    </row>
    <row r="537" ht="15.75" customHeight="1">
      <c r="K537" t="s">
        <v>875</v>
      </c>
      <c r="L537" t="str">
        <f>D38</f>
        <v>H1a1</v>
      </c>
      <c r="M537" t="s">
        <v>876</v>
      </c>
      <c r="N537" t="s">
        <v>877</v>
      </c>
      <c r="O537">
        <v>1.561255E7</v>
      </c>
      <c r="P537">
        <v>1.350067E7</v>
      </c>
      <c r="Q537" t="s">
        <v>419</v>
      </c>
      <c r="R537" s="5"/>
      <c r="S537" s="5"/>
      <c r="T537" s="5"/>
      <c r="U537" s="5"/>
      <c r="V537" s="5"/>
      <c r="W537" s="5"/>
      <c r="X537" s="5"/>
      <c r="Y537" s="5"/>
      <c r="Z537" s="5"/>
      <c r="AA537" s="5"/>
      <c r="AB537" s="5"/>
      <c r="AC537" s="5"/>
      <c r="AD537" s="5"/>
      <c r="AE537" s="5"/>
      <c r="AF537" s="5"/>
      <c r="AG537" s="5"/>
    </row>
    <row r="538" ht="15.75" customHeight="1">
      <c r="K538" t="s">
        <v>876</v>
      </c>
      <c r="L538" t="str">
        <f>D38</f>
        <v>H1a1</v>
      </c>
      <c r="M538" t="s">
        <v>875</v>
      </c>
      <c r="N538" t="s">
        <v>877</v>
      </c>
      <c r="O538">
        <v>1.561255E7</v>
      </c>
      <c r="P538">
        <v>1.350067E7</v>
      </c>
      <c r="Q538" t="s">
        <v>419</v>
      </c>
      <c r="R538" s="5"/>
      <c r="S538" s="5"/>
      <c r="T538" s="5"/>
      <c r="U538" s="5"/>
      <c r="V538" s="5"/>
      <c r="W538" s="5"/>
      <c r="X538" s="5"/>
      <c r="Y538" s="5"/>
      <c r="Z538" s="5"/>
      <c r="AA538" s="5"/>
      <c r="AB538" s="5"/>
      <c r="AC538" s="5"/>
      <c r="AD538" s="5"/>
      <c r="AE538" s="5"/>
      <c r="AF538" s="5"/>
      <c r="AG538" s="5"/>
    </row>
    <row r="539" ht="15.75" customHeight="1">
      <c r="K539" t="s">
        <v>878</v>
      </c>
      <c r="L539" t="str">
        <f>D38</f>
        <v>H1a1</v>
      </c>
      <c r="N539" t="s">
        <v>879</v>
      </c>
      <c r="O539">
        <v>1.5661036E7</v>
      </c>
      <c r="P539">
        <v>1.3549156E7</v>
      </c>
      <c r="Q539" t="s">
        <v>435</v>
      </c>
      <c r="R539" s="5"/>
      <c r="S539" s="5"/>
      <c r="T539" s="5"/>
      <c r="U539" s="5"/>
      <c r="V539" s="5"/>
      <c r="W539" s="5"/>
      <c r="X539" s="5"/>
      <c r="Y539" s="5"/>
      <c r="Z539" s="5"/>
      <c r="AA539" s="5"/>
      <c r="AB539" s="5"/>
      <c r="AC539" s="5"/>
      <c r="AD539" s="5"/>
      <c r="AE539" s="5"/>
      <c r="AF539" s="5"/>
      <c r="AG539" s="5"/>
    </row>
    <row r="540" ht="15.75" customHeight="1">
      <c r="K540" t="s">
        <v>880</v>
      </c>
      <c r="L540" t="str">
        <f>D38</f>
        <v>H1a1</v>
      </c>
      <c r="M540" t="s">
        <v>881</v>
      </c>
      <c r="N540" t="s">
        <v>882</v>
      </c>
      <c r="O540">
        <v>1.5704793E7</v>
      </c>
      <c r="P540">
        <v>1.3592913E7</v>
      </c>
      <c r="Q540" t="s">
        <v>431</v>
      </c>
      <c r="R540" s="5"/>
      <c r="S540" s="5"/>
      <c r="T540" s="5"/>
      <c r="U540" s="5"/>
      <c r="V540" s="5"/>
      <c r="W540" s="5"/>
      <c r="X540" s="5"/>
      <c r="Y540" s="5"/>
      <c r="Z540" s="5"/>
      <c r="AA540" s="5"/>
      <c r="AB540" s="5"/>
      <c r="AC540" s="5"/>
      <c r="AD540" s="5"/>
      <c r="AE540" s="5"/>
      <c r="AF540" s="5"/>
      <c r="AG540" s="5"/>
    </row>
    <row r="541" ht="15.75" customHeight="1">
      <c r="K541" t="s">
        <v>881</v>
      </c>
      <c r="L541" t="str">
        <f>D38</f>
        <v>H1a1</v>
      </c>
      <c r="M541" t="s">
        <v>880</v>
      </c>
      <c r="N541" t="s">
        <v>882</v>
      </c>
      <c r="O541">
        <v>1.5704793E7</v>
      </c>
      <c r="P541">
        <v>1.3592913E7</v>
      </c>
      <c r="Q541" t="s">
        <v>431</v>
      </c>
      <c r="R541" s="5"/>
      <c r="S541" s="5"/>
      <c r="T541" s="5"/>
      <c r="U541" s="5"/>
      <c r="V541" s="5"/>
      <c r="W541" s="5"/>
      <c r="X541" s="5"/>
      <c r="Y541" s="5"/>
      <c r="Z541" s="5"/>
      <c r="AA541" s="5"/>
      <c r="AB541" s="5"/>
      <c r="AC541" s="5"/>
      <c r="AD541" s="5"/>
      <c r="AE541" s="5"/>
      <c r="AF541" s="5"/>
      <c r="AG541" s="5"/>
    </row>
    <row r="542" ht="15.75" customHeight="1">
      <c r="K542" t="s">
        <v>883</v>
      </c>
      <c r="L542" t="str">
        <f>D38</f>
        <v>H1a1</v>
      </c>
      <c r="M542" t="s">
        <v>884</v>
      </c>
      <c r="N542" t="s">
        <v>885</v>
      </c>
      <c r="O542">
        <v>1.5928204E7</v>
      </c>
      <c r="P542">
        <v>1.3816324E7</v>
      </c>
      <c r="Q542" t="s">
        <v>423</v>
      </c>
      <c r="R542" s="5"/>
      <c r="S542" s="5"/>
      <c r="T542" s="5"/>
      <c r="U542" s="5"/>
      <c r="V542" s="5"/>
      <c r="W542" s="5"/>
      <c r="X542" s="5"/>
      <c r="Y542" s="5"/>
      <c r="Z542" s="5"/>
      <c r="AA542" s="5"/>
      <c r="AB542" s="5"/>
      <c r="AC542" s="5"/>
      <c r="AD542" s="5"/>
      <c r="AE542" s="5"/>
      <c r="AF542" s="5"/>
      <c r="AG542" s="5"/>
    </row>
    <row r="543" ht="15.75" customHeight="1">
      <c r="K543" t="s">
        <v>884</v>
      </c>
      <c r="L543" t="str">
        <f>D38</f>
        <v>H1a1</v>
      </c>
      <c r="M543" t="s">
        <v>883</v>
      </c>
      <c r="N543" t="s">
        <v>885</v>
      </c>
      <c r="O543">
        <v>1.5928204E7</v>
      </c>
      <c r="P543">
        <v>1.3816324E7</v>
      </c>
      <c r="Q543" t="s">
        <v>423</v>
      </c>
      <c r="R543" s="5"/>
      <c r="S543" s="5"/>
      <c r="T543" s="5"/>
      <c r="U543" s="5"/>
      <c r="V543" s="5"/>
      <c r="W543" s="5"/>
      <c r="X543" s="5"/>
      <c r="Y543" s="5"/>
      <c r="Z543" s="5"/>
      <c r="AA543" s="5"/>
      <c r="AB543" s="5"/>
      <c r="AC543" s="5"/>
      <c r="AD543" s="5"/>
      <c r="AE543" s="5"/>
      <c r="AF543" s="5"/>
      <c r="AG543" s="5"/>
    </row>
    <row r="544" ht="15.75" customHeight="1">
      <c r="K544" t="s">
        <v>886</v>
      </c>
      <c r="L544" t="str">
        <f>D38</f>
        <v>H1a1</v>
      </c>
      <c r="M544" t="s">
        <v>887</v>
      </c>
      <c r="N544" t="s">
        <v>888</v>
      </c>
      <c r="O544">
        <v>1.5947796E7</v>
      </c>
      <c r="P544">
        <v>1.3835916E7</v>
      </c>
      <c r="Q544" t="s">
        <v>431</v>
      </c>
      <c r="R544" s="5"/>
      <c r="S544" s="5"/>
      <c r="T544" s="5"/>
      <c r="U544" s="5"/>
      <c r="V544" s="5"/>
      <c r="W544" s="5"/>
      <c r="X544" s="5"/>
      <c r="Y544" s="5"/>
      <c r="Z544" s="5"/>
      <c r="AA544" s="5"/>
      <c r="AB544" s="5"/>
      <c r="AC544" s="5"/>
      <c r="AD544" s="5"/>
      <c r="AE544" s="5"/>
      <c r="AF544" s="5"/>
      <c r="AG544" s="5"/>
    </row>
    <row r="545" ht="15.75" customHeight="1">
      <c r="K545" t="s">
        <v>887</v>
      </c>
      <c r="L545" t="str">
        <f>D38</f>
        <v>H1a1</v>
      </c>
      <c r="M545" t="s">
        <v>886</v>
      </c>
      <c r="N545" t="s">
        <v>888</v>
      </c>
      <c r="O545">
        <v>1.5947796E7</v>
      </c>
      <c r="P545">
        <v>1.3835916E7</v>
      </c>
      <c r="Q545" t="s">
        <v>431</v>
      </c>
      <c r="R545" s="5"/>
      <c r="S545" s="5"/>
      <c r="T545" s="5"/>
      <c r="U545" s="5"/>
      <c r="V545" s="5"/>
      <c r="W545" s="5"/>
      <c r="X545" s="5"/>
      <c r="Y545" s="5"/>
      <c r="Z545" s="5"/>
      <c r="AA545" s="5"/>
      <c r="AB545" s="5"/>
      <c r="AC545" s="5"/>
      <c r="AD545" s="5"/>
      <c r="AE545" s="5"/>
      <c r="AF545" s="5"/>
      <c r="AG545" s="5"/>
    </row>
    <row r="546" ht="15.75" customHeight="1">
      <c r="K546" t="s">
        <v>889</v>
      </c>
      <c r="L546" t="str">
        <f>D38</f>
        <v>H1a1</v>
      </c>
      <c r="M546" t="s">
        <v>890</v>
      </c>
      <c r="N546" t="s">
        <v>891</v>
      </c>
      <c r="O546">
        <v>1.5965546E7</v>
      </c>
      <c r="P546">
        <v>1.3853666E7</v>
      </c>
      <c r="Q546" t="s">
        <v>476</v>
      </c>
      <c r="R546" s="5"/>
      <c r="S546" s="5"/>
      <c r="T546" s="5"/>
      <c r="U546" s="5"/>
      <c r="V546" s="5"/>
      <c r="W546" s="5"/>
      <c r="X546" s="5"/>
      <c r="Y546" s="5"/>
      <c r="Z546" s="5"/>
      <c r="AA546" s="5"/>
      <c r="AB546" s="5"/>
      <c r="AC546" s="5"/>
      <c r="AD546" s="5"/>
      <c r="AE546" s="5"/>
      <c r="AF546" s="5"/>
      <c r="AG546" s="5"/>
    </row>
    <row r="547" ht="15.75" customHeight="1">
      <c r="K547" t="s">
        <v>890</v>
      </c>
      <c r="L547" t="str">
        <f>D38</f>
        <v>H1a1</v>
      </c>
      <c r="M547" t="s">
        <v>889</v>
      </c>
      <c r="N547" t="s">
        <v>891</v>
      </c>
      <c r="O547">
        <v>1.5965546E7</v>
      </c>
      <c r="P547">
        <v>1.3853666E7</v>
      </c>
      <c r="Q547" t="s">
        <v>476</v>
      </c>
      <c r="R547" s="5"/>
      <c r="S547" s="5"/>
      <c r="T547" s="5"/>
      <c r="U547" s="5"/>
      <c r="V547" s="5"/>
      <c r="W547" s="5"/>
      <c r="X547" s="5"/>
      <c r="Y547" s="5"/>
      <c r="Z547" s="5"/>
      <c r="AA547" s="5"/>
      <c r="AB547" s="5"/>
      <c r="AC547" s="5"/>
      <c r="AD547" s="5"/>
      <c r="AE547" s="5"/>
      <c r="AF547" s="5"/>
      <c r="AG547" s="5"/>
    </row>
    <row r="548" ht="15.75" customHeight="1">
      <c r="K548" t="s">
        <v>892</v>
      </c>
      <c r="L548" t="str">
        <f>D38</f>
        <v>H1a1</v>
      </c>
      <c r="M548" t="s">
        <v>893</v>
      </c>
      <c r="N548" t="s">
        <v>894</v>
      </c>
      <c r="O548">
        <v>1.5986997E7</v>
      </c>
      <c r="P548">
        <v>1.3875117E7</v>
      </c>
      <c r="Q548" t="s">
        <v>427</v>
      </c>
      <c r="R548" s="5"/>
      <c r="S548" s="5"/>
      <c r="T548" s="5"/>
      <c r="U548" s="5"/>
      <c r="V548" s="5"/>
      <c r="W548" s="5"/>
      <c r="X548" s="5"/>
      <c r="Y548" s="5"/>
      <c r="Z548" s="5"/>
      <c r="AA548" s="5"/>
      <c r="AB548" s="5"/>
      <c r="AC548" s="5"/>
      <c r="AD548" s="5"/>
      <c r="AE548" s="5"/>
      <c r="AF548" s="5"/>
      <c r="AG548" s="5"/>
    </row>
    <row r="549" ht="15.75" customHeight="1">
      <c r="K549" t="s">
        <v>893</v>
      </c>
      <c r="L549" t="str">
        <f>D38</f>
        <v>H1a1</v>
      </c>
      <c r="M549" t="s">
        <v>892</v>
      </c>
      <c r="N549" t="s">
        <v>894</v>
      </c>
      <c r="O549">
        <v>1.5986997E7</v>
      </c>
      <c r="P549">
        <v>1.3875117E7</v>
      </c>
      <c r="Q549" t="s">
        <v>427</v>
      </c>
      <c r="R549" s="5"/>
      <c r="S549" s="5"/>
      <c r="T549" s="5"/>
      <c r="U549" s="5"/>
      <c r="V549" s="5"/>
      <c r="W549" s="5"/>
      <c r="X549" s="5"/>
      <c r="Y549" s="5"/>
      <c r="Z549" s="5"/>
      <c r="AA549" s="5"/>
      <c r="AB549" s="5"/>
      <c r="AC549" s="5"/>
      <c r="AD549" s="5"/>
      <c r="AE549" s="5"/>
      <c r="AF549" s="5"/>
      <c r="AG549" s="5"/>
    </row>
    <row r="550" ht="15.75" customHeight="1">
      <c r="K550" t="s">
        <v>895</v>
      </c>
      <c r="L550" t="str">
        <f>D38</f>
        <v>H1a1</v>
      </c>
      <c r="M550" t="s">
        <v>896</v>
      </c>
      <c r="N550" t="s">
        <v>897</v>
      </c>
      <c r="O550">
        <v>1.600623E7</v>
      </c>
      <c r="P550">
        <v>1.389435E7</v>
      </c>
      <c r="Q550" t="s">
        <v>423</v>
      </c>
      <c r="R550" s="5"/>
      <c r="S550" s="5"/>
      <c r="T550" s="5"/>
      <c r="U550" s="5"/>
      <c r="V550" s="5"/>
      <c r="W550" s="5"/>
      <c r="X550" s="5"/>
      <c r="Y550" s="5"/>
      <c r="Z550" s="5"/>
      <c r="AA550" s="5"/>
      <c r="AB550" s="5"/>
      <c r="AC550" s="5"/>
      <c r="AD550" s="5"/>
      <c r="AE550" s="5"/>
      <c r="AF550" s="5"/>
      <c r="AG550" s="5"/>
    </row>
    <row r="551" ht="15.75" customHeight="1">
      <c r="K551" t="s">
        <v>896</v>
      </c>
      <c r="L551" t="str">
        <f>D38</f>
        <v>H1a1</v>
      </c>
      <c r="M551" t="s">
        <v>895</v>
      </c>
      <c r="N551" t="s">
        <v>897</v>
      </c>
      <c r="O551">
        <v>1.600623E7</v>
      </c>
      <c r="P551">
        <v>1.389435E7</v>
      </c>
      <c r="Q551" t="s">
        <v>423</v>
      </c>
      <c r="R551" s="5"/>
      <c r="S551" s="5"/>
      <c r="T551" s="5"/>
      <c r="U551" s="5"/>
      <c r="V551" s="5"/>
      <c r="W551" s="5"/>
      <c r="X551" s="5"/>
      <c r="Y551" s="5"/>
      <c r="Z551" s="5"/>
      <c r="AA551" s="5"/>
      <c r="AB551" s="5"/>
      <c r="AC551" s="5"/>
      <c r="AD551" s="5"/>
      <c r="AE551" s="5"/>
      <c r="AF551" s="5"/>
      <c r="AG551" s="5"/>
    </row>
    <row r="552" ht="15.75" customHeight="1">
      <c r="K552" t="s">
        <v>898</v>
      </c>
      <c r="L552" t="str">
        <f>D38</f>
        <v>H1a1</v>
      </c>
      <c r="M552" t="s">
        <v>899</v>
      </c>
      <c r="N552" t="s">
        <v>900</v>
      </c>
      <c r="O552">
        <v>1.6039154E7</v>
      </c>
      <c r="P552">
        <v>1.3927274E7</v>
      </c>
      <c r="Q552" t="s">
        <v>435</v>
      </c>
      <c r="R552" s="5"/>
      <c r="S552" s="5"/>
      <c r="T552" s="5"/>
      <c r="U552" s="5"/>
      <c r="V552" s="5"/>
      <c r="W552" s="5"/>
      <c r="X552" s="5"/>
      <c r="Y552" s="5"/>
      <c r="Z552" s="5"/>
      <c r="AA552" s="5"/>
      <c r="AB552" s="5"/>
      <c r="AC552" s="5"/>
      <c r="AD552" s="5"/>
      <c r="AE552" s="5"/>
      <c r="AF552" s="5"/>
      <c r="AG552" s="5"/>
    </row>
    <row r="553" ht="15.75" customHeight="1">
      <c r="K553" t="s">
        <v>899</v>
      </c>
      <c r="L553" t="str">
        <f>D38</f>
        <v>H1a1</v>
      </c>
      <c r="M553" t="s">
        <v>898</v>
      </c>
      <c r="N553" t="s">
        <v>900</v>
      </c>
      <c r="O553">
        <v>1.6039154E7</v>
      </c>
      <c r="P553">
        <v>1.3927274E7</v>
      </c>
      <c r="Q553" t="s">
        <v>435</v>
      </c>
      <c r="R553" s="5"/>
      <c r="S553" s="5"/>
      <c r="T553" s="5"/>
      <c r="U553" s="5"/>
      <c r="V553" s="5"/>
      <c r="W553" s="5"/>
      <c r="X553" s="5"/>
      <c r="Y553" s="5"/>
      <c r="Z553" s="5"/>
      <c r="AA553" s="5"/>
      <c r="AB553" s="5"/>
      <c r="AC553" s="5"/>
      <c r="AD553" s="5"/>
      <c r="AE553" s="5"/>
      <c r="AF553" s="5"/>
      <c r="AG553" s="5"/>
    </row>
    <row r="554" ht="15.75" customHeight="1">
      <c r="K554" t="s">
        <v>901</v>
      </c>
      <c r="L554" t="str">
        <f>D38</f>
        <v>H1a1</v>
      </c>
      <c r="M554" t="s">
        <v>902</v>
      </c>
      <c r="N554" t="s">
        <v>903</v>
      </c>
      <c r="O554">
        <v>1.6188764E7</v>
      </c>
      <c r="P554">
        <v>1.4076884E7</v>
      </c>
      <c r="Q554" t="s">
        <v>448</v>
      </c>
      <c r="R554" s="5"/>
      <c r="S554" s="5"/>
      <c r="T554" s="5"/>
      <c r="U554" s="5"/>
      <c r="V554" s="5"/>
      <c r="W554" s="5"/>
      <c r="X554" s="5"/>
      <c r="Y554" s="5"/>
      <c r="Z554" s="5"/>
      <c r="AA554" s="5"/>
      <c r="AB554" s="5"/>
      <c r="AC554" s="5"/>
      <c r="AD554" s="5"/>
      <c r="AE554" s="5"/>
      <c r="AF554" s="5"/>
      <c r="AG554" s="5"/>
    </row>
    <row r="555" ht="15.75" customHeight="1">
      <c r="K555" t="s">
        <v>902</v>
      </c>
      <c r="L555" t="str">
        <f>D38</f>
        <v>H1a1</v>
      </c>
      <c r="M555" t="s">
        <v>901</v>
      </c>
      <c r="N555" t="s">
        <v>903</v>
      </c>
      <c r="O555">
        <v>1.6188764E7</v>
      </c>
      <c r="P555">
        <v>1.4076884E7</v>
      </c>
      <c r="Q555" t="s">
        <v>448</v>
      </c>
      <c r="R555" s="5"/>
      <c r="S555" s="5"/>
      <c r="T555" s="5"/>
      <c r="U555" s="5"/>
      <c r="V555" s="5"/>
      <c r="W555" s="5"/>
      <c r="X555" s="5"/>
      <c r="Y555" s="5"/>
      <c r="Z555" s="5"/>
      <c r="AA555" s="5"/>
      <c r="AB555" s="5"/>
      <c r="AC555" s="5"/>
      <c r="AD555" s="5"/>
      <c r="AE555" s="5"/>
      <c r="AF555" s="5"/>
      <c r="AG555" s="5"/>
    </row>
    <row r="556" ht="15.75" customHeight="1">
      <c r="K556" t="s">
        <v>904</v>
      </c>
      <c r="L556" t="str">
        <f>D38</f>
        <v>H1a1</v>
      </c>
      <c r="M556" t="s">
        <v>905</v>
      </c>
      <c r="N556" t="s">
        <v>906</v>
      </c>
      <c r="O556">
        <v>1.6240704E7</v>
      </c>
      <c r="P556">
        <v>1.4128824E7</v>
      </c>
      <c r="Q556" t="s">
        <v>431</v>
      </c>
      <c r="R556" s="5"/>
      <c r="S556" s="5"/>
      <c r="T556" s="5"/>
      <c r="U556" s="5"/>
      <c r="V556" s="5"/>
      <c r="W556" s="5"/>
      <c r="X556" s="5"/>
      <c r="Y556" s="5"/>
      <c r="Z556" s="5"/>
      <c r="AA556" s="5"/>
      <c r="AB556" s="5"/>
      <c r="AC556" s="5"/>
      <c r="AD556" s="5"/>
      <c r="AE556" s="5"/>
      <c r="AF556" s="5"/>
      <c r="AG556" s="5"/>
    </row>
    <row r="557" ht="15.75" customHeight="1">
      <c r="K557" t="s">
        <v>905</v>
      </c>
      <c r="L557" t="str">
        <f>D38</f>
        <v>H1a1</v>
      </c>
      <c r="M557" t="s">
        <v>904</v>
      </c>
      <c r="N557" t="s">
        <v>906</v>
      </c>
      <c r="O557">
        <v>1.6240704E7</v>
      </c>
      <c r="P557">
        <v>1.4128824E7</v>
      </c>
      <c r="Q557" t="s">
        <v>431</v>
      </c>
      <c r="R557" s="5"/>
      <c r="S557" s="5"/>
      <c r="T557" s="5"/>
      <c r="U557" s="5"/>
      <c r="V557" s="5"/>
      <c r="W557" s="5"/>
      <c r="X557" s="5"/>
      <c r="Y557" s="5"/>
      <c r="Z557" s="5"/>
      <c r="AA557" s="5"/>
      <c r="AB557" s="5"/>
      <c r="AC557" s="5"/>
      <c r="AD557" s="5"/>
      <c r="AE557" s="5"/>
      <c r="AF557" s="5"/>
      <c r="AG557" s="5"/>
    </row>
    <row r="558" ht="15.75" customHeight="1">
      <c r="K558" t="s">
        <v>907</v>
      </c>
      <c r="L558" t="str">
        <f>D38</f>
        <v>H1a1</v>
      </c>
      <c r="M558" t="s">
        <v>908</v>
      </c>
      <c r="N558" t="s">
        <v>909</v>
      </c>
      <c r="O558">
        <v>1.6314891E7</v>
      </c>
      <c r="P558">
        <v>1.4203011E7</v>
      </c>
      <c r="Q558" t="s">
        <v>448</v>
      </c>
      <c r="R558" s="5"/>
      <c r="S558" s="5"/>
      <c r="T558" s="5"/>
      <c r="U558" s="5"/>
      <c r="V558" s="5"/>
      <c r="W558" s="5"/>
      <c r="X558" s="5"/>
      <c r="Y558" s="5"/>
      <c r="Z558" s="5"/>
      <c r="AA558" s="5"/>
      <c r="AB558" s="5"/>
      <c r="AC558" s="5"/>
      <c r="AD558" s="5"/>
      <c r="AE558" s="5"/>
      <c r="AF558" s="5"/>
      <c r="AG558" s="5"/>
    </row>
    <row r="559" ht="15.75" customHeight="1">
      <c r="K559" t="s">
        <v>908</v>
      </c>
      <c r="L559" t="str">
        <f>D38</f>
        <v>H1a1</v>
      </c>
      <c r="M559" t="s">
        <v>907</v>
      </c>
      <c r="N559" t="s">
        <v>909</v>
      </c>
      <c r="O559">
        <v>1.6314891E7</v>
      </c>
      <c r="P559">
        <v>1.4203011E7</v>
      </c>
      <c r="Q559" t="s">
        <v>448</v>
      </c>
      <c r="R559" s="5"/>
      <c r="S559" s="5"/>
      <c r="T559" s="5"/>
      <c r="U559" s="5"/>
      <c r="V559" s="5"/>
      <c r="W559" s="5"/>
      <c r="X559" s="5"/>
      <c r="Y559" s="5"/>
      <c r="Z559" s="5"/>
      <c r="AA559" s="5"/>
      <c r="AB559" s="5"/>
      <c r="AC559" s="5"/>
      <c r="AD559" s="5"/>
      <c r="AE559" s="5"/>
      <c r="AF559" s="5"/>
      <c r="AG559" s="5"/>
    </row>
    <row r="560" ht="15.75" customHeight="1">
      <c r="K560" t="s">
        <v>910</v>
      </c>
      <c r="L560" t="str">
        <f>D38</f>
        <v>H1a1</v>
      </c>
      <c r="M560" t="s">
        <v>911</v>
      </c>
      <c r="N560" t="s">
        <v>912</v>
      </c>
      <c r="O560">
        <v>1.6339679E7</v>
      </c>
      <c r="P560">
        <v>1.4227799E7</v>
      </c>
      <c r="Q560" t="s">
        <v>435</v>
      </c>
      <c r="R560" s="5"/>
      <c r="S560" s="5"/>
      <c r="T560" s="5"/>
      <c r="U560" s="5"/>
      <c r="V560" s="5"/>
      <c r="W560" s="5"/>
      <c r="X560" s="5"/>
      <c r="Y560" s="5"/>
      <c r="Z560" s="5"/>
      <c r="AA560" s="5"/>
      <c r="AB560" s="5"/>
      <c r="AC560" s="5"/>
      <c r="AD560" s="5"/>
      <c r="AE560" s="5"/>
      <c r="AF560" s="5"/>
      <c r="AG560" s="5"/>
    </row>
    <row r="561" ht="15.75" customHeight="1">
      <c r="K561" t="s">
        <v>911</v>
      </c>
      <c r="L561" t="str">
        <f>D38</f>
        <v>H1a1</v>
      </c>
      <c r="M561" t="s">
        <v>910</v>
      </c>
      <c r="N561" t="s">
        <v>912</v>
      </c>
      <c r="O561">
        <v>1.6339679E7</v>
      </c>
      <c r="P561">
        <v>1.4227799E7</v>
      </c>
      <c r="Q561" t="s">
        <v>435</v>
      </c>
      <c r="R561" s="5"/>
      <c r="S561" s="5"/>
      <c r="T561" s="5"/>
      <c r="U561" s="5"/>
      <c r="V561" s="5"/>
      <c r="W561" s="5"/>
      <c r="X561" s="5"/>
      <c r="Y561" s="5"/>
      <c r="Z561" s="5"/>
      <c r="AA561" s="5"/>
      <c r="AB561" s="5"/>
      <c r="AC561" s="5"/>
      <c r="AD561" s="5"/>
      <c r="AE561" s="5"/>
      <c r="AF561" s="5"/>
      <c r="AG561" s="5"/>
    </row>
    <row r="562" ht="15.75" customHeight="1">
      <c r="K562" t="s">
        <v>913</v>
      </c>
      <c r="L562" t="str">
        <f>D38</f>
        <v>H1a1</v>
      </c>
      <c r="M562" t="s">
        <v>914</v>
      </c>
      <c r="N562" t="s">
        <v>915</v>
      </c>
      <c r="O562">
        <v>1.6437874E7</v>
      </c>
      <c r="P562">
        <v>1.4325994E7</v>
      </c>
      <c r="Q562" t="s">
        <v>427</v>
      </c>
      <c r="R562" s="5"/>
      <c r="S562" s="5"/>
      <c r="T562" s="5"/>
      <c r="U562" s="5"/>
      <c r="V562" s="5"/>
      <c r="W562" s="5"/>
      <c r="X562" s="5"/>
      <c r="Y562" s="5"/>
      <c r="Z562" s="5"/>
      <c r="AA562" s="5"/>
      <c r="AB562" s="5"/>
      <c r="AC562" s="5"/>
      <c r="AD562" s="5"/>
      <c r="AE562" s="5"/>
      <c r="AF562" s="5"/>
      <c r="AG562" s="5"/>
    </row>
    <row r="563" ht="15.75" customHeight="1">
      <c r="K563" t="s">
        <v>914</v>
      </c>
      <c r="L563" t="str">
        <f>D38</f>
        <v>H1a1</v>
      </c>
      <c r="M563" t="s">
        <v>913</v>
      </c>
      <c r="N563" t="s">
        <v>915</v>
      </c>
      <c r="O563">
        <v>1.6437874E7</v>
      </c>
      <c r="P563">
        <v>1.4325994E7</v>
      </c>
      <c r="Q563" t="s">
        <v>427</v>
      </c>
      <c r="R563" s="5"/>
      <c r="S563" s="5"/>
      <c r="T563" s="5"/>
      <c r="U563" s="5"/>
      <c r="V563" s="5"/>
      <c r="W563" s="5"/>
      <c r="X563" s="5"/>
      <c r="Y563" s="5"/>
      <c r="Z563" s="5"/>
      <c r="AA563" s="5"/>
      <c r="AB563" s="5"/>
      <c r="AC563" s="5"/>
      <c r="AD563" s="5"/>
      <c r="AE563" s="5"/>
      <c r="AF563" s="5"/>
      <c r="AG563" s="5"/>
    </row>
    <row r="564" ht="15.75" customHeight="1">
      <c r="K564" t="s">
        <v>916</v>
      </c>
      <c r="L564" t="str">
        <f>D38</f>
        <v>H1a1</v>
      </c>
      <c r="N564" t="s">
        <v>917</v>
      </c>
      <c r="O564">
        <v>1.6594048E7</v>
      </c>
      <c r="P564">
        <v>1.4482168E7</v>
      </c>
      <c r="Q564" t="s">
        <v>476</v>
      </c>
      <c r="R564" s="5"/>
      <c r="S564" s="5"/>
      <c r="T564" s="5"/>
      <c r="U564" s="5"/>
      <c r="V564" s="5"/>
      <c r="W564" s="5"/>
      <c r="X564" s="5"/>
      <c r="Y564" s="5"/>
      <c r="Z564" s="5"/>
      <c r="AA564" s="5"/>
      <c r="AB564" s="5"/>
      <c r="AC564" s="5"/>
      <c r="AD564" s="5"/>
      <c r="AE564" s="5"/>
      <c r="AF564" s="5"/>
      <c r="AG564" s="5"/>
    </row>
    <row r="565" ht="15.75" customHeight="1">
      <c r="K565" t="s">
        <v>918</v>
      </c>
      <c r="L565" t="str">
        <f>D38</f>
        <v>H1a1</v>
      </c>
      <c r="M565" t="s">
        <v>919</v>
      </c>
      <c r="N565" t="s">
        <v>920</v>
      </c>
      <c r="O565">
        <v>1.665555E7</v>
      </c>
      <c r="P565">
        <v>1.454367E7</v>
      </c>
      <c r="Q565" t="s">
        <v>419</v>
      </c>
      <c r="R565" s="5"/>
      <c r="S565" s="5"/>
      <c r="T565" s="5"/>
      <c r="U565" s="5"/>
      <c r="V565" s="5"/>
      <c r="W565" s="5"/>
      <c r="X565" s="5"/>
      <c r="Y565" s="5"/>
      <c r="Z565" s="5"/>
      <c r="AA565" s="5"/>
      <c r="AB565" s="5"/>
      <c r="AC565" s="5"/>
      <c r="AD565" s="5"/>
      <c r="AE565" s="5"/>
      <c r="AF565" s="5"/>
      <c r="AG565" s="5"/>
    </row>
    <row r="566" ht="15.75" customHeight="1">
      <c r="K566" t="s">
        <v>919</v>
      </c>
      <c r="L566" t="str">
        <f>D38</f>
        <v>H1a1</v>
      </c>
      <c r="M566" t="s">
        <v>918</v>
      </c>
      <c r="N566" t="s">
        <v>920</v>
      </c>
      <c r="O566">
        <v>1.665555E7</v>
      </c>
      <c r="P566">
        <v>1.454367E7</v>
      </c>
      <c r="Q566" t="s">
        <v>419</v>
      </c>
      <c r="R566" s="5"/>
      <c r="S566" s="5"/>
      <c r="T566" s="5"/>
      <c r="U566" s="5"/>
      <c r="V566" s="5"/>
      <c r="W566" s="5"/>
      <c r="X566" s="5"/>
      <c r="Y566" s="5"/>
      <c r="Z566" s="5"/>
      <c r="AA566" s="5"/>
      <c r="AB566" s="5"/>
      <c r="AC566" s="5"/>
      <c r="AD566" s="5"/>
      <c r="AE566" s="5"/>
      <c r="AF566" s="5"/>
      <c r="AG566" s="5"/>
    </row>
    <row r="567" ht="15.75" customHeight="1">
      <c r="K567" t="s">
        <v>921</v>
      </c>
      <c r="L567" t="str">
        <f>D38</f>
        <v>H1a1</v>
      </c>
      <c r="M567" t="s">
        <v>922</v>
      </c>
      <c r="N567" t="s">
        <v>923</v>
      </c>
      <c r="O567">
        <v>1.6668796E7</v>
      </c>
      <c r="P567">
        <v>1.4556916E7</v>
      </c>
      <c r="Q567" t="s">
        <v>423</v>
      </c>
      <c r="R567" s="5"/>
      <c r="S567" s="5"/>
      <c r="T567" s="5"/>
      <c r="U567" s="5"/>
      <c r="V567" s="5"/>
      <c r="W567" s="5"/>
      <c r="X567" s="5"/>
      <c r="Y567" s="5"/>
      <c r="Z567" s="5"/>
      <c r="AA567" s="5"/>
      <c r="AB567" s="5"/>
      <c r="AC567" s="5"/>
      <c r="AD567" s="5"/>
      <c r="AE567" s="5"/>
      <c r="AF567" s="5"/>
      <c r="AG567" s="5"/>
    </row>
    <row r="568" ht="15.75" customHeight="1">
      <c r="K568" t="s">
        <v>922</v>
      </c>
      <c r="L568" t="str">
        <f>D38</f>
        <v>H1a1</v>
      </c>
      <c r="M568" t="s">
        <v>921</v>
      </c>
      <c r="N568" t="s">
        <v>923</v>
      </c>
      <c r="O568">
        <v>1.6668796E7</v>
      </c>
      <c r="P568">
        <v>1.4556916E7</v>
      </c>
      <c r="Q568" t="s">
        <v>423</v>
      </c>
      <c r="R568" s="5"/>
      <c r="S568" s="5"/>
      <c r="T568" s="5"/>
      <c r="U568" s="5"/>
      <c r="V568" s="5"/>
      <c r="W568" s="5"/>
      <c r="X568" s="5"/>
      <c r="Y568" s="5"/>
      <c r="Z568" s="5"/>
      <c r="AA568" s="5"/>
      <c r="AB568" s="5"/>
      <c r="AC568" s="5"/>
      <c r="AD568" s="5"/>
      <c r="AE568" s="5"/>
      <c r="AF568" s="5"/>
      <c r="AG568" s="5"/>
    </row>
    <row r="569" ht="15.75" customHeight="1">
      <c r="K569" t="s">
        <v>924</v>
      </c>
      <c r="L569" t="str">
        <f>D38</f>
        <v>H1a1</v>
      </c>
      <c r="N569" t="s">
        <v>925</v>
      </c>
      <c r="O569">
        <v>1.6724402E7</v>
      </c>
      <c r="P569">
        <v>1.4612522E7</v>
      </c>
      <c r="Q569" t="s">
        <v>423</v>
      </c>
      <c r="R569" s="5"/>
      <c r="S569" s="5"/>
      <c r="T569" s="5"/>
      <c r="U569" s="5"/>
      <c r="V569" s="5"/>
      <c r="W569" s="5"/>
      <c r="X569" s="5"/>
      <c r="Y569" s="5"/>
      <c r="Z569" s="5"/>
      <c r="AA569" s="5"/>
      <c r="AB569" s="5"/>
      <c r="AC569" s="5"/>
      <c r="AD569" s="5"/>
      <c r="AE569" s="5"/>
      <c r="AF569" s="5"/>
      <c r="AG569" s="5"/>
    </row>
    <row r="570" ht="15.75" customHeight="1">
      <c r="K570" t="s">
        <v>926</v>
      </c>
      <c r="L570" t="str">
        <f>D38</f>
        <v>H1a1</v>
      </c>
      <c r="M570" t="s">
        <v>927</v>
      </c>
      <c r="N570" t="s">
        <v>928</v>
      </c>
      <c r="O570">
        <v>1.6805076E7</v>
      </c>
      <c r="P570">
        <v>1.4693196E7</v>
      </c>
      <c r="Q570" t="s">
        <v>427</v>
      </c>
      <c r="R570" s="5"/>
      <c r="S570" s="5"/>
      <c r="T570" s="5"/>
      <c r="U570" s="5"/>
      <c r="V570" s="5"/>
      <c r="W570" s="5"/>
      <c r="X570" s="5"/>
      <c r="Y570" s="5"/>
      <c r="Z570" s="5"/>
      <c r="AA570" s="5"/>
      <c r="AB570" s="5"/>
      <c r="AC570" s="5"/>
      <c r="AD570" s="5"/>
      <c r="AE570" s="5"/>
      <c r="AF570" s="5"/>
      <c r="AG570" s="5"/>
    </row>
    <row r="571" ht="15.75" customHeight="1">
      <c r="K571" t="s">
        <v>927</v>
      </c>
      <c r="L571" t="str">
        <f>D38</f>
        <v>H1a1</v>
      </c>
      <c r="M571" t="s">
        <v>926</v>
      </c>
      <c r="N571" t="s">
        <v>928</v>
      </c>
      <c r="O571">
        <v>1.6805076E7</v>
      </c>
      <c r="P571">
        <v>1.4693196E7</v>
      </c>
      <c r="Q571" t="s">
        <v>427</v>
      </c>
      <c r="R571" s="5"/>
      <c r="S571" s="5"/>
      <c r="T571" s="5"/>
      <c r="U571" s="5"/>
      <c r="V571" s="5"/>
      <c r="W571" s="5"/>
      <c r="X571" s="5"/>
      <c r="Y571" s="5"/>
      <c r="Z571" s="5"/>
      <c r="AA571" s="5"/>
      <c r="AB571" s="5"/>
      <c r="AC571" s="5"/>
      <c r="AD571" s="5"/>
      <c r="AE571" s="5"/>
      <c r="AF571" s="5"/>
      <c r="AG571" s="5"/>
    </row>
    <row r="572" ht="15.75" customHeight="1">
      <c r="K572" t="s">
        <v>929</v>
      </c>
      <c r="L572" t="str">
        <f>D38</f>
        <v>H1a1</v>
      </c>
      <c r="M572" t="s">
        <v>930</v>
      </c>
      <c r="N572" t="s">
        <v>931</v>
      </c>
      <c r="O572">
        <v>1.6910121E7</v>
      </c>
      <c r="P572">
        <v>1.4798241E7</v>
      </c>
      <c r="Q572" t="s">
        <v>419</v>
      </c>
      <c r="R572" s="5"/>
      <c r="S572" s="5"/>
      <c r="T572" s="5"/>
      <c r="U572" s="5"/>
      <c r="V572" s="5"/>
      <c r="W572" s="5"/>
      <c r="X572" s="5"/>
      <c r="Y572" s="5"/>
      <c r="Z572" s="5"/>
      <c r="AA572" s="5"/>
      <c r="AB572" s="5"/>
      <c r="AC572" s="5"/>
      <c r="AD572" s="5"/>
      <c r="AE572" s="5"/>
      <c r="AF572" s="5"/>
      <c r="AG572" s="5"/>
    </row>
    <row r="573" ht="15.75" customHeight="1">
      <c r="K573" t="s">
        <v>930</v>
      </c>
      <c r="L573" t="str">
        <f>D38</f>
        <v>H1a1</v>
      </c>
      <c r="M573" t="s">
        <v>929</v>
      </c>
      <c r="N573" t="s">
        <v>931</v>
      </c>
      <c r="O573">
        <v>1.6910121E7</v>
      </c>
      <c r="P573">
        <v>1.4798241E7</v>
      </c>
      <c r="Q573" t="s">
        <v>419</v>
      </c>
      <c r="R573" s="5"/>
      <c r="S573" s="5"/>
      <c r="T573" s="5"/>
      <c r="U573" s="5"/>
      <c r="V573" s="5"/>
      <c r="W573" s="5"/>
      <c r="X573" s="5"/>
      <c r="Y573" s="5"/>
      <c r="Z573" s="5"/>
      <c r="AA573" s="5"/>
      <c r="AB573" s="5"/>
      <c r="AC573" s="5"/>
      <c r="AD573" s="5"/>
      <c r="AE573" s="5"/>
      <c r="AF573" s="5"/>
      <c r="AG573" s="5"/>
    </row>
    <row r="574" ht="15.75" customHeight="1">
      <c r="K574" t="s">
        <v>932</v>
      </c>
      <c r="L574" t="str">
        <f>D38</f>
        <v>H1a1</v>
      </c>
      <c r="N574" t="s">
        <v>933</v>
      </c>
      <c r="O574">
        <v>1.7027767E7</v>
      </c>
      <c r="P574">
        <v>1.4915887E7</v>
      </c>
      <c r="Q574" t="s">
        <v>431</v>
      </c>
      <c r="R574" s="5"/>
      <c r="S574" s="5"/>
      <c r="T574" s="5"/>
      <c r="U574" s="5"/>
      <c r="V574" s="5"/>
      <c r="W574" s="5"/>
      <c r="X574" s="5"/>
      <c r="Y574" s="5"/>
      <c r="Z574" s="5"/>
      <c r="AA574" s="5"/>
      <c r="AB574" s="5"/>
      <c r="AC574" s="5"/>
      <c r="AD574" s="5"/>
      <c r="AE574" s="5"/>
      <c r="AF574" s="5"/>
      <c r="AG574" s="5"/>
    </row>
    <row r="575" ht="15.75" customHeight="1">
      <c r="K575" t="s">
        <v>934</v>
      </c>
      <c r="L575" t="str">
        <f>D38</f>
        <v>H1a1</v>
      </c>
      <c r="M575" t="s">
        <v>935</v>
      </c>
      <c r="N575" t="s">
        <v>936</v>
      </c>
      <c r="O575">
        <v>1.7081779E7</v>
      </c>
      <c r="P575">
        <v>1.4969899E7</v>
      </c>
      <c r="Q575" t="s">
        <v>431</v>
      </c>
      <c r="R575" s="5"/>
      <c r="S575" s="5"/>
      <c r="T575" s="5"/>
      <c r="U575" s="5"/>
      <c r="V575" s="5"/>
      <c r="W575" s="5"/>
      <c r="X575" s="5"/>
      <c r="Y575" s="5"/>
      <c r="Z575" s="5"/>
      <c r="AA575" s="5"/>
      <c r="AB575" s="5"/>
      <c r="AC575" s="5"/>
      <c r="AD575" s="5"/>
      <c r="AE575" s="5"/>
      <c r="AF575" s="5"/>
      <c r="AG575" s="5"/>
    </row>
    <row r="576" ht="15.75" customHeight="1">
      <c r="K576" t="s">
        <v>935</v>
      </c>
      <c r="L576" t="str">
        <f>D38</f>
        <v>H1a1</v>
      </c>
      <c r="M576" t="s">
        <v>934</v>
      </c>
      <c r="N576" t="s">
        <v>936</v>
      </c>
      <c r="O576">
        <v>1.7081779E7</v>
      </c>
      <c r="P576">
        <v>1.4969899E7</v>
      </c>
      <c r="Q576" t="s">
        <v>431</v>
      </c>
      <c r="R576" s="5"/>
      <c r="S576" s="5"/>
      <c r="T576" s="5"/>
      <c r="U576" s="5"/>
      <c r="V576" s="5"/>
      <c r="W576" s="5"/>
      <c r="X576" s="5"/>
      <c r="Y576" s="5"/>
      <c r="Z576" s="5"/>
      <c r="AA576" s="5"/>
      <c r="AB576" s="5"/>
      <c r="AC576" s="5"/>
      <c r="AD576" s="5"/>
      <c r="AE576" s="5"/>
      <c r="AF576" s="5"/>
      <c r="AG576" s="5"/>
    </row>
    <row r="577" ht="15.75" customHeight="1">
      <c r="K577" t="s">
        <v>937</v>
      </c>
      <c r="L577" t="str">
        <f>D38</f>
        <v>H1a1</v>
      </c>
      <c r="M577" t="s">
        <v>938</v>
      </c>
      <c r="N577" t="s">
        <v>939</v>
      </c>
      <c r="O577">
        <v>1.7119326E7</v>
      </c>
      <c r="P577">
        <v>1.5007446E7</v>
      </c>
      <c r="Q577" t="s">
        <v>435</v>
      </c>
      <c r="R577" s="5"/>
      <c r="S577" s="5"/>
      <c r="T577" s="5"/>
      <c r="U577" s="5"/>
      <c r="V577" s="5"/>
      <c r="W577" s="5"/>
      <c r="X577" s="5"/>
      <c r="Y577" s="5"/>
      <c r="Z577" s="5"/>
      <c r="AA577" s="5"/>
      <c r="AB577" s="5"/>
      <c r="AC577" s="5"/>
      <c r="AD577" s="5"/>
      <c r="AE577" s="5"/>
      <c r="AF577" s="5"/>
      <c r="AG577" s="5"/>
    </row>
    <row r="578" ht="15.75" customHeight="1">
      <c r="K578" t="s">
        <v>938</v>
      </c>
      <c r="L578" t="str">
        <f>D38</f>
        <v>H1a1</v>
      </c>
      <c r="M578" t="s">
        <v>937</v>
      </c>
      <c r="N578" t="s">
        <v>939</v>
      </c>
      <c r="O578">
        <v>1.7119326E7</v>
      </c>
      <c r="P578">
        <v>1.5007446E7</v>
      </c>
      <c r="Q578" t="s">
        <v>435</v>
      </c>
      <c r="R578" s="5"/>
      <c r="S578" s="5"/>
      <c r="T578" s="5"/>
      <c r="U578" s="5"/>
      <c r="V578" s="5"/>
      <c r="W578" s="5"/>
      <c r="X578" s="5"/>
      <c r="Y578" s="5"/>
      <c r="Z578" s="5"/>
      <c r="AA578" s="5"/>
      <c r="AB578" s="5"/>
      <c r="AC578" s="5"/>
      <c r="AD578" s="5"/>
      <c r="AE578" s="5"/>
      <c r="AF578" s="5"/>
      <c r="AG578" s="5"/>
    </row>
    <row r="579" ht="15.75" customHeight="1">
      <c r="K579" t="s">
        <v>940</v>
      </c>
      <c r="L579" t="str">
        <f>D38</f>
        <v>H1a1</v>
      </c>
      <c r="M579" t="s">
        <v>941</v>
      </c>
      <c r="N579" t="s">
        <v>942</v>
      </c>
      <c r="O579">
        <v>1.7125933E7</v>
      </c>
      <c r="P579">
        <v>1.5014053E7</v>
      </c>
      <c r="Q579" t="s">
        <v>423</v>
      </c>
      <c r="R579" s="5"/>
      <c r="S579" s="5"/>
      <c r="T579" s="5"/>
      <c r="U579" s="5"/>
      <c r="V579" s="5"/>
      <c r="W579" s="5"/>
      <c r="X579" s="5"/>
      <c r="Y579" s="5"/>
      <c r="Z579" s="5"/>
      <c r="AA579" s="5"/>
      <c r="AB579" s="5"/>
      <c r="AC579" s="5"/>
      <c r="AD579" s="5"/>
      <c r="AE579" s="5"/>
      <c r="AF579" s="5"/>
      <c r="AG579" s="5"/>
    </row>
    <row r="580" ht="15.75" customHeight="1">
      <c r="K580" t="s">
        <v>941</v>
      </c>
      <c r="L580" t="str">
        <f>D38</f>
        <v>H1a1</v>
      </c>
      <c r="M580" t="s">
        <v>940</v>
      </c>
      <c r="N580" t="s">
        <v>942</v>
      </c>
      <c r="O580">
        <v>1.7125933E7</v>
      </c>
      <c r="P580">
        <v>1.5014053E7</v>
      </c>
      <c r="Q580" t="s">
        <v>423</v>
      </c>
      <c r="R580" s="5"/>
      <c r="S580" s="5"/>
      <c r="T580" s="5"/>
      <c r="U580" s="5"/>
      <c r="V580" s="5"/>
      <c r="W580" s="5"/>
      <c r="X580" s="5"/>
      <c r="Y580" s="5"/>
      <c r="Z580" s="5"/>
      <c r="AA580" s="5"/>
      <c r="AB580" s="5"/>
      <c r="AC580" s="5"/>
      <c r="AD580" s="5"/>
      <c r="AE580" s="5"/>
      <c r="AF580" s="5"/>
      <c r="AG580" s="5"/>
    </row>
    <row r="581" ht="15.75" customHeight="1">
      <c r="K581" t="s">
        <v>943</v>
      </c>
      <c r="L581" t="str">
        <f>D38</f>
        <v>H1a1</v>
      </c>
      <c r="M581" t="s">
        <v>944</v>
      </c>
      <c r="N581" t="s">
        <v>945</v>
      </c>
      <c r="O581">
        <v>1.7294316E7</v>
      </c>
      <c r="P581">
        <v>1.5182436E7</v>
      </c>
      <c r="Q581" t="s">
        <v>448</v>
      </c>
      <c r="R581" s="5"/>
      <c r="S581" s="5"/>
      <c r="T581" s="5"/>
      <c r="U581" s="5"/>
      <c r="V581" s="5"/>
      <c r="W581" s="5"/>
      <c r="X581" s="5"/>
      <c r="Y581" s="5"/>
      <c r="Z581" s="5"/>
      <c r="AA581" s="5"/>
      <c r="AB581" s="5"/>
      <c r="AC581" s="5"/>
      <c r="AD581" s="5"/>
      <c r="AE581" s="5"/>
      <c r="AF581" s="5"/>
      <c r="AG581" s="5"/>
    </row>
    <row r="582" ht="15.75" customHeight="1">
      <c r="K582" t="s">
        <v>944</v>
      </c>
      <c r="L582" t="str">
        <f>D38</f>
        <v>H1a1</v>
      </c>
      <c r="M582" t="s">
        <v>943</v>
      </c>
      <c r="N582" t="s">
        <v>945</v>
      </c>
      <c r="O582">
        <v>1.7294316E7</v>
      </c>
      <c r="P582">
        <v>1.5182436E7</v>
      </c>
      <c r="Q582" t="s">
        <v>448</v>
      </c>
      <c r="R582" s="5"/>
      <c r="S582" s="5"/>
      <c r="T582" s="5"/>
      <c r="U582" s="5"/>
      <c r="V582" s="5"/>
      <c r="W582" s="5"/>
      <c r="X582" s="5"/>
      <c r="Y582" s="5"/>
      <c r="Z582" s="5"/>
      <c r="AA582" s="5"/>
      <c r="AB582" s="5"/>
      <c r="AC582" s="5"/>
      <c r="AD582" s="5"/>
      <c r="AE582" s="5"/>
      <c r="AF582" s="5"/>
      <c r="AG582" s="5"/>
    </row>
    <row r="583" ht="15.75" customHeight="1">
      <c r="K583" t="s">
        <v>946</v>
      </c>
      <c r="L583" t="str">
        <f>D38</f>
        <v>H1a1</v>
      </c>
      <c r="M583" t="s">
        <v>947</v>
      </c>
      <c r="N583" t="s">
        <v>948</v>
      </c>
      <c r="O583">
        <v>1.7352712E7</v>
      </c>
      <c r="P583">
        <v>1.5240832E7</v>
      </c>
      <c r="Q583" t="s">
        <v>431</v>
      </c>
      <c r="R583" s="5"/>
      <c r="S583" s="5"/>
      <c r="T583" s="5"/>
      <c r="U583" s="5"/>
      <c r="V583" s="5"/>
      <c r="W583" s="5"/>
      <c r="X583" s="5"/>
      <c r="Y583" s="5"/>
      <c r="Z583" s="5"/>
      <c r="AA583" s="5"/>
      <c r="AB583" s="5"/>
      <c r="AC583" s="5"/>
      <c r="AD583" s="5"/>
      <c r="AE583" s="5"/>
      <c r="AF583" s="5"/>
      <c r="AG583" s="5"/>
    </row>
    <row r="584" ht="15.75" customHeight="1">
      <c r="K584" t="s">
        <v>947</v>
      </c>
      <c r="L584" t="str">
        <f>D38</f>
        <v>H1a1</v>
      </c>
      <c r="M584" t="s">
        <v>946</v>
      </c>
      <c r="N584" t="s">
        <v>948</v>
      </c>
      <c r="O584">
        <v>1.7352712E7</v>
      </c>
      <c r="P584">
        <v>1.5240832E7</v>
      </c>
      <c r="Q584" t="s">
        <v>431</v>
      </c>
      <c r="R584" s="5"/>
      <c r="S584" s="5"/>
      <c r="T584" s="5"/>
      <c r="U584" s="5"/>
      <c r="V584" s="5"/>
      <c r="W584" s="5"/>
      <c r="X584" s="5"/>
      <c r="Y584" s="5"/>
      <c r="Z584" s="5"/>
      <c r="AA584" s="5"/>
      <c r="AB584" s="5"/>
      <c r="AC584" s="5"/>
      <c r="AD584" s="5"/>
      <c r="AE584" s="5"/>
      <c r="AF584" s="5"/>
      <c r="AG584" s="5"/>
    </row>
    <row r="585" ht="15.75" customHeight="1">
      <c r="K585" t="s">
        <v>949</v>
      </c>
      <c r="L585" t="str">
        <f>D38</f>
        <v>H1a1</v>
      </c>
      <c r="M585" t="s">
        <v>950</v>
      </c>
      <c r="N585" t="s">
        <v>951</v>
      </c>
      <c r="O585">
        <v>1.7355444E7</v>
      </c>
      <c r="P585">
        <v>1.5243564E7</v>
      </c>
      <c r="Q585" t="s">
        <v>423</v>
      </c>
      <c r="R585" s="5"/>
      <c r="S585" s="5"/>
      <c r="T585" s="5"/>
      <c r="U585" s="5"/>
      <c r="V585" s="5"/>
      <c r="W585" s="5"/>
      <c r="X585" s="5"/>
      <c r="Y585" s="5"/>
      <c r="Z585" s="5"/>
      <c r="AA585" s="5"/>
      <c r="AB585" s="5"/>
      <c r="AC585" s="5"/>
      <c r="AD585" s="5"/>
      <c r="AE585" s="5"/>
      <c r="AF585" s="5"/>
      <c r="AG585" s="5"/>
    </row>
    <row r="586" ht="15.75" customHeight="1">
      <c r="K586" t="s">
        <v>950</v>
      </c>
      <c r="L586" t="str">
        <f>D38</f>
        <v>H1a1</v>
      </c>
      <c r="M586" t="s">
        <v>949</v>
      </c>
      <c r="N586" t="s">
        <v>951</v>
      </c>
      <c r="O586">
        <v>1.7355444E7</v>
      </c>
      <c r="P586">
        <v>1.5243564E7</v>
      </c>
      <c r="Q586" t="s">
        <v>423</v>
      </c>
      <c r="R586" s="5"/>
      <c r="S586" s="5"/>
      <c r="T586" s="5"/>
      <c r="U586" s="5"/>
      <c r="V586" s="5"/>
      <c r="W586" s="5"/>
      <c r="X586" s="5"/>
      <c r="Y586" s="5"/>
      <c r="Z586" s="5"/>
      <c r="AA586" s="5"/>
      <c r="AB586" s="5"/>
      <c r="AC586" s="5"/>
      <c r="AD586" s="5"/>
      <c r="AE586" s="5"/>
      <c r="AF586" s="5"/>
      <c r="AG586" s="5"/>
    </row>
    <row r="587" ht="15.75" customHeight="1">
      <c r="K587" t="s">
        <v>952</v>
      </c>
      <c r="L587" t="str">
        <f>D38</f>
        <v>H1a1</v>
      </c>
      <c r="M587" t="s">
        <v>953</v>
      </c>
      <c r="N587" t="s">
        <v>954</v>
      </c>
      <c r="O587">
        <v>1.7408381E7</v>
      </c>
      <c r="P587">
        <v>1.5296501E7</v>
      </c>
      <c r="Q587" t="s">
        <v>423</v>
      </c>
      <c r="R587" s="5"/>
      <c r="S587" s="5"/>
      <c r="T587" s="5"/>
      <c r="U587" s="5"/>
      <c r="V587" s="5"/>
      <c r="W587" s="5"/>
      <c r="X587" s="5"/>
      <c r="Y587" s="5"/>
      <c r="Z587" s="5"/>
      <c r="AA587" s="5"/>
      <c r="AB587" s="5"/>
      <c r="AC587" s="5"/>
      <c r="AD587" s="5"/>
      <c r="AE587" s="5"/>
      <c r="AF587" s="5"/>
      <c r="AG587" s="5"/>
    </row>
    <row r="588" ht="15.75" customHeight="1">
      <c r="K588" t="s">
        <v>953</v>
      </c>
      <c r="L588" t="str">
        <f>D38</f>
        <v>H1a1</v>
      </c>
      <c r="M588" t="s">
        <v>952</v>
      </c>
      <c r="N588" t="s">
        <v>954</v>
      </c>
      <c r="O588">
        <v>1.7408381E7</v>
      </c>
      <c r="P588">
        <v>1.5296501E7</v>
      </c>
      <c r="Q588" t="s">
        <v>423</v>
      </c>
      <c r="R588" s="5"/>
      <c r="S588" s="5"/>
      <c r="T588" s="5"/>
      <c r="U588" s="5"/>
      <c r="V588" s="5"/>
      <c r="W588" s="5"/>
      <c r="X588" s="5"/>
      <c r="Y588" s="5"/>
      <c r="Z588" s="5"/>
      <c r="AA588" s="5"/>
      <c r="AB588" s="5"/>
      <c r="AC588" s="5"/>
      <c r="AD588" s="5"/>
      <c r="AE588" s="5"/>
      <c r="AF588" s="5"/>
      <c r="AG588" s="5"/>
    </row>
    <row r="589" ht="15.75" customHeight="1">
      <c r="K589" t="s">
        <v>955</v>
      </c>
      <c r="L589" t="str">
        <f>D38</f>
        <v>H1a1</v>
      </c>
      <c r="M589" t="s">
        <v>956</v>
      </c>
      <c r="N589" t="s">
        <v>957</v>
      </c>
      <c r="O589">
        <v>1.7434972E7</v>
      </c>
      <c r="P589">
        <v>1.5323092E7</v>
      </c>
      <c r="Q589" t="s">
        <v>423</v>
      </c>
      <c r="R589" s="5"/>
      <c r="S589" s="5"/>
      <c r="T589" s="5"/>
      <c r="U589" s="5"/>
      <c r="V589" s="5"/>
      <c r="W589" s="5"/>
      <c r="X589" s="5"/>
      <c r="Y589" s="5"/>
      <c r="Z589" s="5"/>
      <c r="AA589" s="5"/>
      <c r="AB589" s="5"/>
      <c r="AC589" s="5"/>
      <c r="AD589" s="5"/>
      <c r="AE589" s="5"/>
      <c r="AF589" s="5"/>
      <c r="AG589" s="5"/>
    </row>
    <row r="590" ht="15.75" customHeight="1">
      <c r="K590" t="s">
        <v>956</v>
      </c>
      <c r="L590" t="str">
        <f>D38</f>
        <v>H1a1</v>
      </c>
      <c r="M590" t="s">
        <v>955</v>
      </c>
      <c r="N590" t="s">
        <v>957</v>
      </c>
      <c r="O590">
        <v>1.7434972E7</v>
      </c>
      <c r="P590">
        <v>1.5323092E7</v>
      </c>
      <c r="Q590" t="s">
        <v>423</v>
      </c>
      <c r="R590" s="5"/>
      <c r="S590" s="5"/>
      <c r="T590" s="5"/>
      <c r="U590" s="5"/>
      <c r="V590" s="5"/>
      <c r="W590" s="5"/>
      <c r="X590" s="5"/>
      <c r="Y590" s="5"/>
      <c r="Z590" s="5"/>
      <c r="AA590" s="5"/>
      <c r="AB590" s="5"/>
      <c r="AC590" s="5"/>
      <c r="AD590" s="5"/>
      <c r="AE590" s="5"/>
      <c r="AF590" s="5"/>
      <c r="AG590" s="5"/>
    </row>
    <row r="591" ht="15.75" customHeight="1">
      <c r="K591" t="s">
        <v>958</v>
      </c>
      <c r="L591" t="str">
        <f>D38</f>
        <v>H1a1</v>
      </c>
      <c r="M591" t="s">
        <v>959</v>
      </c>
      <c r="N591" t="s">
        <v>960</v>
      </c>
      <c r="O591">
        <v>1.7437378E7</v>
      </c>
      <c r="P591">
        <v>1.5325498E7</v>
      </c>
      <c r="Q591" t="s">
        <v>423</v>
      </c>
      <c r="R591" s="5"/>
      <c r="S591" s="5"/>
      <c r="T591" s="5"/>
      <c r="U591" s="5"/>
      <c r="V591" s="5"/>
      <c r="W591" s="5"/>
      <c r="X591" s="5"/>
      <c r="Y591" s="5"/>
      <c r="Z591" s="5"/>
      <c r="AA591" s="5"/>
      <c r="AB591" s="5"/>
      <c r="AC591" s="5"/>
      <c r="AD591" s="5"/>
      <c r="AE591" s="5"/>
      <c r="AF591" s="5"/>
      <c r="AG591" s="5"/>
    </row>
    <row r="592" ht="15.75" customHeight="1">
      <c r="K592" t="s">
        <v>959</v>
      </c>
      <c r="L592" t="str">
        <f>D38</f>
        <v>H1a1</v>
      </c>
      <c r="M592" t="s">
        <v>958</v>
      </c>
      <c r="N592" t="s">
        <v>960</v>
      </c>
      <c r="O592">
        <v>1.7437378E7</v>
      </c>
      <c r="P592">
        <v>1.5325498E7</v>
      </c>
      <c r="Q592" t="s">
        <v>423</v>
      </c>
      <c r="R592" s="5"/>
      <c r="S592" s="5"/>
      <c r="T592" s="5"/>
      <c r="U592" s="5"/>
      <c r="V592" s="5"/>
      <c r="W592" s="5"/>
      <c r="X592" s="5"/>
      <c r="Y592" s="5"/>
      <c r="Z592" s="5"/>
      <c r="AA592" s="5"/>
      <c r="AB592" s="5"/>
      <c r="AC592" s="5"/>
      <c r="AD592" s="5"/>
      <c r="AE592" s="5"/>
      <c r="AF592" s="5"/>
      <c r="AG592" s="5"/>
    </row>
    <row r="593" ht="15.75" customHeight="1">
      <c r="K593" t="s">
        <v>961</v>
      </c>
      <c r="L593" t="str">
        <f>D38</f>
        <v>H1a1</v>
      </c>
      <c r="M593" t="s">
        <v>962</v>
      </c>
      <c r="N593" t="s">
        <v>963</v>
      </c>
      <c r="O593">
        <v>1.7492197E7</v>
      </c>
      <c r="P593">
        <v>1.5380317E7</v>
      </c>
      <c r="Q593" t="s">
        <v>553</v>
      </c>
      <c r="R593" s="5"/>
      <c r="S593" s="5"/>
      <c r="T593" s="5"/>
      <c r="U593" s="5"/>
      <c r="V593" s="5"/>
      <c r="W593" s="5"/>
      <c r="X593" s="5"/>
      <c r="Y593" s="5"/>
      <c r="Z593" s="5"/>
      <c r="AA593" s="5"/>
      <c r="AB593" s="5"/>
      <c r="AC593" s="5"/>
      <c r="AD593" s="5"/>
      <c r="AE593" s="5"/>
      <c r="AF593" s="5"/>
      <c r="AG593" s="5"/>
    </row>
    <row r="594" ht="15.75" customHeight="1">
      <c r="K594" t="s">
        <v>962</v>
      </c>
      <c r="L594" t="str">
        <f>D38</f>
        <v>H1a1</v>
      </c>
      <c r="M594" t="s">
        <v>961</v>
      </c>
      <c r="N594" t="s">
        <v>963</v>
      </c>
      <c r="O594">
        <v>1.7492197E7</v>
      </c>
      <c r="P594">
        <v>1.5380317E7</v>
      </c>
      <c r="Q594" t="s">
        <v>553</v>
      </c>
      <c r="R594" s="5"/>
      <c r="S594" s="5"/>
      <c r="T594" s="5"/>
      <c r="U594" s="5"/>
      <c r="V594" s="5"/>
      <c r="W594" s="5"/>
      <c r="X594" s="5"/>
      <c r="Y594" s="5"/>
      <c r="Z594" s="5"/>
      <c r="AA594" s="5"/>
      <c r="AB594" s="5"/>
      <c r="AC594" s="5"/>
      <c r="AD594" s="5"/>
      <c r="AE594" s="5"/>
      <c r="AF594" s="5"/>
      <c r="AG594" s="5"/>
    </row>
    <row r="595" ht="15.75" customHeight="1">
      <c r="K595" t="s">
        <v>964</v>
      </c>
      <c r="L595" t="str">
        <f>D38</f>
        <v>H1a1</v>
      </c>
      <c r="N595" t="s">
        <v>965</v>
      </c>
      <c r="O595">
        <v>1.7534745E7</v>
      </c>
      <c r="P595">
        <v>1.5422865E7</v>
      </c>
      <c r="Q595" t="s">
        <v>476</v>
      </c>
      <c r="R595" s="5"/>
      <c r="S595" s="5"/>
      <c r="T595" s="5"/>
      <c r="U595" s="5"/>
      <c r="V595" s="5"/>
      <c r="W595" s="5"/>
      <c r="X595" s="5"/>
      <c r="Y595" s="5"/>
      <c r="Z595" s="5"/>
      <c r="AA595" s="5"/>
      <c r="AB595" s="5"/>
      <c r="AC595" s="5"/>
      <c r="AD595" s="5"/>
      <c r="AE595" s="5"/>
      <c r="AF595" s="5"/>
      <c r="AG595" s="5"/>
    </row>
    <row r="596" ht="15.75" customHeight="1">
      <c r="K596" t="s">
        <v>966</v>
      </c>
      <c r="L596" t="str">
        <f>D38</f>
        <v>H1a1</v>
      </c>
      <c r="M596" t="s">
        <v>967</v>
      </c>
      <c r="N596" t="s">
        <v>968</v>
      </c>
      <c r="O596">
        <v>1.7548486E7</v>
      </c>
      <c r="P596">
        <v>1.5436606E7</v>
      </c>
      <c r="Q596" t="s">
        <v>419</v>
      </c>
      <c r="R596" s="5"/>
      <c r="S596" s="5"/>
      <c r="T596" s="5"/>
      <c r="U596" s="5"/>
      <c r="V596" s="5"/>
      <c r="W596" s="5"/>
      <c r="X596" s="5"/>
      <c r="Y596" s="5"/>
      <c r="Z596" s="5"/>
      <c r="AA596" s="5"/>
      <c r="AB596" s="5"/>
      <c r="AC596" s="5"/>
      <c r="AD596" s="5"/>
      <c r="AE596" s="5"/>
      <c r="AF596" s="5"/>
      <c r="AG596" s="5"/>
    </row>
    <row r="597" ht="15.75" customHeight="1">
      <c r="K597" t="s">
        <v>967</v>
      </c>
      <c r="L597" t="str">
        <f>D38</f>
        <v>H1a1</v>
      </c>
      <c r="M597" t="s">
        <v>966</v>
      </c>
      <c r="N597" t="s">
        <v>968</v>
      </c>
      <c r="O597">
        <v>1.7548486E7</v>
      </c>
      <c r="P597">
        <v>1.5436606E7</v>
      </c>
      <c r="Q597" t="s">
        <v>419</v>
      </c>
      <c r="R597" s="5"/>
      <c r="S597" s="5"/>
      <c r="T597" s="5"/>
      <c r="U597" s="5"/>
      <c r="V597" s="5"/>
      <c r="W597" s="5"/>
      <c r="X597" s="5"/>
      <c r="Y597" s="5"/>
      <c r="Z597" s="5"/>
      <c r="AA597" s="5"/>
      <c r="AB597" s="5"/>
      <c r="AC597" s="5"/>
      <c r="AD597" s="5"/>
      <c r="AE597" s="5"/>
      <c r="AF597" s="5"/>
      <c r="AG597" s="5"/>
    </row>
    <row r="598" ht="15.75" customHeight="1">
      <c r="K598" t="s">
        <v>969</v>
      </c>
      <c r="L598" t="str">
        <f>D38</f>
        <v>H1a1</v>
      </c>
      <c r="M598" t="s">
        <v>970</v>
      </c>
      <c r="N598" t="s">
        <v>971</v>
      </c>
      <c r="O598">
        <v>1.7664435E7</v>
      </c>
      <c r="P598">
        <v>1.5552555E7</v>
      </c>
      <c r="Q598" t="s">
        <v>525</v>
      </c>
      <c r="R598" s="5"/>
      <c r="S598" s="5"/>
      <c r="T598" s="5"/>
      <c r="U598" s="5"/>
      <c r="V598" s="5"/>
      <c r="W598" s="5"/>
      <c r="X598" s="5"/>
      <c r="Y598" s="5"/>
      <c r="Z598" s="5"/>
      <c r="AA598" s="5"/>
      <c r="AB598" s="5"/>
      <c r="AC598" s="5"/>
      <c r="AD598" s="5"/>
      <c r="AE598" s="5"/>
      <c r="AF598" s="5"/>
      <c r="AG598" s="5"/>
    </row>
    <row r="599" ht="15.75" customHeight="1">
      <c r="K599" t="s">
        <v>970</v>
      </c>
      <c r="L599" t="str">
        <f>D38</f>
        <v>H1a1</v>
      </c>
      <c r="M599" t="s">
        <v>969</v>
      </c>
      <c r="N599" t="s">
        <v>971</v>
      </c>
      <c r="O599">
        <v>1.7664435E7</v>
      </c>
      <c r="P599">
        <v>1.5552555E7</v>
      </c>
      <c r="Q599" t="s">
        <v>525</v>
      </c>
      <c r="R599" s="5"/>
      <c r="S599" s="5"/>
      <c r="T599" s="5"/>
      <c r="U599" s="5"/>
      <c r="V599" s="5"/>
      <c r="W599" s="5"/>
      <c r="X599" s="5"/>
      <c r="Y599" s="5"/>
      <c r="Z599" s="5"/>
      <c r="AA599" s="5"/>
      <c r="AB599" s="5"/>
      <c r="AC599" s="5"/>
      <c r="AD599" s="5"/>
      <c r="AE599" s="5"/>
      <c r="AF599" s="5"/>
      <c r="AG599" s="5"/>
    </row>
    <row r="600" ht="15.75" customHeight="1">
      <c r="K600" t="s">
        <v>972</v>
      </c>
      <c r="L600" t="str">
        <f>D38</f>
        <v>H1a1</v>
      </c>
      <c r="M600" t="s">
        <v>973</v>
      </c>
      <c r="N600" t="s">
        <v>974</v>
      </c>
      <c r="O600">
        <v>1.7679778E7</v>
      </c>
      <c r="P600">
        <v>1.5567898E7</v>
      </c>
      <c r="Q600" t="s">
        <v>419</v>
      </c>
      <c r="R600" s="5"/>
      <c r="S600" s="5"/>
      <c r="T600" s="5"/>
      <c r="U600" s="5"/>
      <c r="V600" s="5"/>
      <c r="W600" s="5"/>
      <c r="X600" s="5"/>
      <c r="Y600" s="5"/>
      <c r="Z600" s="5"/>
      <c r="AA600" s="5"/>
      <c r="AB600" s="5"/>
      <c r="AC600" s="5"/>
      <c r="AD600" s="5"/>
      <c r="AE600" s="5"/>
      <c r="AF600" s="5"/>
      <c r="AG600" s="5"/>
    </row>
    <row r="601" ht="15.75" customHeight="1">
      <c r="K601" t="s">
        <v>973</v>
      </c>
      <c r="L601" t="str">
        <f>D38</f>
        <v>H1a1</v>
      </c>
      <c r="M601" t="s">
        <v>972</v>
      </c>
      <c r="N601" t="s">
        <v>974</v>
      </c>
      <c r="O601">
        <v>1.7679778E7</v>
      </c>
      <c r="P601">
        <v>1.5567898E7</v>
      </c>
      <c r="Q601" t="s">
        <v>419</v>
      </c>
      <c r="R601" s="5"/>
      <c r="S601" s="5"/>
      <c r="T601" s="5"/>
      <c r="U601" s="5"/>
      <c r="V601" s="5"/>
      <c r="W601" s="5"/>
      <c r="X601" s="5"/>
      <c r="Y601" s="5"/>
      <c r="Z601" s="5"/>
      <c r="AA601" s="5"/>
      <c r="AB601" s="5"/>
      <c r="AC601" s="5"/>
      <c r="AD601" s="5"/>
      <c r="AE601" s="5"/>
      <c r="AF601" s="5"/>
      <c r="AG601" s="5"/>
    </row>
    <row r="602" ht="15.75" customHeight="1">
      <c r="K602" t="s">
        <v>975</v>
      </c>
      <c r="L602" t="str">
        <f>D38</f>
        <v>H1a1</v>
      </c>
      <c r="M602" t="s">
        <v>976</v>
      </c>
      <c r="N602" t="s">
        <v>977</v>
      </c>
      <c r="O602">
        <v>1.7683787E7</v>
      </c>
      <c r="P602">
        <v>1.5571907E7</v>
      </c>
      <c r="Q602" t="s">
        <v>419</v>
      </c>
      <c r="R602" s="5"/>
      <c r="S602" s="5"/>
      <c r="T602" s="5"/>
      <c r="U602" s="5"/>
      <c r="V602" s="5"/>
      <c r="W602" s="5"/>
      <c r="X602" s="5"/>
      <c r="Y602" s="5"/>
      <c r="Z602" s="5"/>
      <c r="AA602" s="5"/>
      <c r="AB602" s="5"/>
      <c r="AC602" s="5"/>
      <c r="AD602" s="5"/>
      <c r="AE602" s="5"/>
      <c r="AF602" s="5"/>
      <c r="AG602" s="5"/>
    </row>
    <row r="603" ht="15.75" customHeight="1">
      <c r="K603" t="s">
        <v>976</v>
      </c>
      <c r="L603" t="str">
        <f>D38</f>
        <v>H1a1</v>
      </c>
      <c r="M603" t="s">
        <v>975</v>
      </c>
      <c r="N603" t="s">
        <v>977</v>
      </c>
      <c r="O603">
        <v>1.7683787E7</v>
      </c>
      <c r="P603">
        <v>1.5571907E7</v>
      </c>
      <c r="Q603" t="s">
        <v>419</v>
      </c>
      <c r="R603" s="5"/>
      <c r="S603" s="5"/>
      <c r="T603" s="5"/>
      <c r="U603" s="5"/>
      <c r="V603" s="5"/>
      <c r="W603" s="5"/>
      <c r="X603" s="5"/>
      <c r="Y603" s="5"/>
      <c r="Z603" s="5"/>
      <c r="AA603" s="5"/>
      <c r="AB603" s="5"/>
      <c r="AC603" s="5"/>
      <c r="AD603" s="5"/>
      <c r="AE603" s="5"/>
      <c r="AF603" s="5"/>
      <c r="AG603" s="5"/>
    </row>
    <row r="604" ht="15.75" customHeight="1">
      <c r="K604" t="s">
        <v>978</v>
      </c>
      <c r="L604" t="str">
        <f>D38</f>
        <v>H1a1</v>
      </c>
      <c r="M604" t="s">
        <v>979</v>
      </c>
      <c r="N604" t="s">
        <v>980</v>
      </c>
      <c r="O604">
        <v>1.7833101E7</v>
      </c>
      <c r="P604">
        <v>1.5721221E7</v>
      </c>
      <c r="Q604" t="s">
        <v>452</v>
      </c>
      <c r="R604" s="5"/>
      <c r="S604" s="5"/>
      <c r="T604" s="5"/>
      <c r="U604" s="5"/>
      <c r="V604" s="5"/>
      <c r="W604" s="5"/>
      <c r="X604" s="5"/>
      <c r="Y604" s="5"/>
      <c r="Z604" s="5"/>
      <c r="AA604" s="5"/>
      <c r="AB604" s="5"/>
      <c r="AC604" s="5"/>
      <c r="AD604" s="5"/>
      <c r="AE604" s="5"/>
      <c r="AF604" s="5"/>
      <c r="AG604" s="5"/>
    </row>
    <row r="605" ht="15.75" customHeight="1">
      <c r="K605" t="s">
        <v>979</v>
      </c>
      <c r="L605" t="str">
        <f>D38</f>
        <v>H1a1</v>
      </c>
      <c r="M605" t="s">
        <v>978</v>
      </c>
      <c r="N605" t="s">
        <v>980</v>
      </c>
      <c r="O605">
        <v>1.7833101E7</v>
      </c>
      <c r="P605">
        <v>1.5721221E7</v>
      </c>
      <c r="Q605" t="s">
        <v>452</v>
      </c>
      <c r="R605" s="5"/>
      <c r="S605" s="5"/>
      <c r="T605" s="5"/>
      <c r="U605" s="5"/>
      <c r="V605" s="5"/>
      <c r="W605" s="5"/>
      <c r="X605" s="5"/>
      <c r="Y605" s="5"/>
      <c r="Z605" s="5"/>
      <c r="AA605" s="5"/>
      <c r="AB605" s="5"/>
      <c r="AC605" s="5"/>
      <c r="AD605" s="5"/>
      <c r="AE605" s="5"/>
      <c r="AF605" s="5"/>
      <c r="AG605" s="5"/>
    </row>
    <row r="606" ht="15.75" customHeight="1">
      <c r="K606" t="s">
        <v>981</v>
      </c>
      <c r="L606" t="str">
        <f>D38</f>
        <v>H1a1</v>
      </c>
      <c r="M606" t="s">
        <v>982</v>
      </c>
      <c r="N606" t="s">
        <v>983</v>
      </c>
      <c r="O606">
        <v>1.7865026E7</v>
      </c>
      <c r="P606">
        <v>1.5753146E7</v>
      </c>
      <c r="Q606" t="s">
        <v>431</v>
      </c>
      <c r="R606" s="5"/>
      <c r="S606" s="5"/>
      <c r="T606" s="5"/>
      <c r="U606" s="5"/>
      <c r="V606" s="5"/>
      <c r="W606" s="5"/>
      <c r="X606" s="5"/>
      <c r="Y606" s="5"/>
      <c r="Z606" s="5"/>
      <c r="AA606" s="5"/>
      <c r="AB606" s="5"/>
      <c r="AC606" s="5"/>
      <c r="AD606" s="5"/>
      <c r="AE606" s="5"/>
      <c r="AF606" s="5"/>
      <c r="AG606" s="5"/>
    </row>
    <row r="607" ht="15.75" customHeight="1">
      <c r="K607" t="s">
        <v>982</v>
      </c>
      <c r="L607" t="str">
        <f>D38</f>
        <v>H1a1</v>
      </c>
      <c r="M607" t="s">
        <v>981</v>
      </c>
      <c r="N607" t="s">
        <v>983</v>
      </c>
      <c r="O607">
        <v>1.7865026E7</v>
      </c>
      <c r="P607">
        <v>1.5753146E7</v>
      </c>
      <c r="Q607" t="s">
        <v>431</v>
      </c>
      <c r="R607" s="5"/>
      <c r="S607" s="5"/>
      <c r="T607" s="5"/>
      <c r="U607" s="5"/>
      <c r="V607" s="5"/>
      <c r="W607" s="5"/>
      <c r="X607" s="5"/>
      <c r="Y607" s="5"/>
      <c r="Z607" s="5"/>
      <c r="AA607" s="5"/>
      <c r="AB607" s="5"/>
      <c r="AC607" s="5"/>
      <c r="AD607" s="5"/>
      <c r="AE607" s="5"/>
      <c r="AF607" s="5"/>
      <c r="AG607" s="5"/>
    </row>
    <row r="608" ht="15.75" customHeight="1">
      <c r="K608" t="s">
        <v>984</v>
      </c>
      <c r="L608" t="str">
        <f>D38</f>
        <v>H1a1</v>
      </c>
      <c r="M608" t="s">
        <v>985</v>
      </c>
      <c r="N608" t="s">
        <v>986</v>
      </c>
      <c r="O608">
        <v>1.7894582E7</v>
      </c>
      <c r="P608">
        <v>1.5782702E7</v>
      </c>
      <c r="Q608" t="s">
        <v>435</v>
      </c>
      <c r="R608" s="5"/>
      <c r="S608" s="5"/>
      <c r="T608" s="5"/>
      <c r="U608" s="5"/>
      <c r="V608" s="5"/>
      <c r="W608" s="5"/>
      <c r="X608" s="5"/>
      <c r="Y608" s="5"/>
      <c r="Z608" s="5"/>
      <c r="AA608" s="5"/>
      <c r="AB608" s="5"/>
      <c r="AC608" s="5"/>
      <c r="AD608" s="5"/>
      <c r="AE608" s="5"/>
      <c r="AF608" s="5"/>
      <c r="AG608" s="5"/>
    </row>
    <row r="609" ht="15.75" customHeight="1">
      <c r="K609" t="s">
        <v>985</v>
      </c>
      <c r="L609" t="str">
        <f>D38</f>
        <v>H1a1</v>
      </c>
      <c r="M609" t="s">
        <v>984</v>
      </c>
      <c r="N609" t="s">
        <v>986</v>
      </c>
      <c r="O609">
        <v>1.7894582E7</v>
      </c>
      <c r="P609">
        <v>1.5782702E7</v>
      </c>
      <c r="Q609" t="s">
        <v>435</v>
      </c>
      <c r="R609" s="5"/>
      <c r="S609" s="5"/>
      <c r="T609" s="5"/>
      <c r="U609" s="5"/>
      <c r="V609" s="5"/>
      <c r="W609" s="5"/>
      <c r="X609" s="5"/>
      <c r="Y609" s="5"/>
      <c r="Z609" s="5"/>
      <c r="AA609" s="5"/>
      <c r="AB609" s="5"/>
      <c r="AC609" s="5"/>
      <c r="AD609" s="5"/>
      <c r="AE609" s="5"/>
      <c r="AF609" s="5"/>
      <c r="AG609" s="5"/>
    </row>
    <row r="610" ht="15.75" customHeight="1">
      <c r="K610" t="s">
        <v>987</v>
      </c>
      <c r="L610" t="str">
        <f>D38</f>
        <v>H1a1</v>
      </c>
      <c r="N610" t="s">
        <v>988</v>
      </c>
      <c r="O610">
        <v>1.7965457E7</v>
      </c>
      <c r="P610">
        <v>1.5853577E7</v>
      </c>
      <c r="Q610" t="s">
        <v>419</v>
      </c>
      <c r="R610" s="5"/>
      <c r="S610" s="5"/>
      <c r="T610" s="5"/>
      <c r="U610" s="5"/>
      <c r="V610" s="5"/>
      <c r="W610" s="5"/>
      <c r="X610" s="5"/>
      <c r="Y610" s="5"/>
      <c r="Z610" s="5"/>
      <c r="AA610" s="5"/>
      <c r="AB610" s="5"/>
      <c r="AC610" s="5"/>
      <c r="AD610" s="5"/>
      <c r="AE610" s="5"/>
      <c r="AF610" s="5"/>
      <c r="AG610" s="5"/>
    </row>
    <row r="611" ht="15.75" customHeight="1">
      <c r="K611" t="s">
        <v>989</v>
      </c>
      <c r="L611" t="str">
        <f>D38</f>
        <v>H1a1</v>
      </c>
      <c r="N611" t="s">
        <v>990</v>
      </c>
      <c r="O611">
        <v>1.8102123E7</v>
      </c>
      <c r="P611">
        <v>1.5990243E7</v>
      </c>
      <c r="Q611" t="s">
        <v>448</v>
      </c>
      <c r="R611" s="5"/>
      <c r="S611" s="5"/>
      <c r="T611" s="5"/>
      <c r="U611" s="5"/>
      <c r="V611" s="5"/>
      <c r="W611" s="5"/>
      <c r="X611" s="5"/>
      <c r="Y611" s="5"/>
      <c r="Z611" s="5"/>
      <c r="AA611" s="5"/>
      <c r="AB611" s="5"/>
      <c r="AC611" s="5"/>
      <c r="AD611" s="5"/>
      <c r="AE611" s="5"/>
      <c r="AF611" s="5"/>
      <c r="AG611" s="5"/>
    </row>
    <row r="612" ht="15.75" customHeight="1">
      <c r="K612" t="s">
        <v>991</v>
      </c>
      <c r="L612" t="str">
        <f>D38</f>
        <v>H1a1</v>
      </c>
      <c r="N612" t="s">
        <v>992</v>
      </c>
      <c r="O612">
        <v>1.8624865E7</v>
      </c>
      <c r="P612">
        <v>1.6512985E7</v>
      </c>
      <c r="Q612" t="s">
        <v>423</v>
      </c>
      <c r="R612" s="5"/>
      <c r="S612" s="5"/>
      <c r="T612" s="5"/>
      <c r="U612" s="5"/>
      <c r="V612" s="5"/>
      <c r="W612" s="5"/>
      <c r="X612" s="5"/>
      <c r="Y612" s="5"/>
      <c r="Z612" s="5"/>
      <c r="AA612" s="5"/>
      <c r="AB612" s="5"/>
      <c r="AC612" s="5"/>
      <c r="AD612" s="5"/>
      <c r="AE612" s="5"/>
      <c r="AF612" s="5"/>
      <c r="AG612" s="5"/>
    </row>
    <row r="613" ht="15.75" customHeight="1">
      <c r="K613" t="s">
        <v>993</v>
      </c>
      <c r="L613" t="str">
        <f>D38</f>
        <v>H1a1</v>
      </c>
      <c r="N613" t="s">
        <v>994</v>
      </c>
      <c r="O613">
        <v>1.8757023E7</v>
      </c>
      <c r="P613">
        <v>1.6645143E7</v>
      </c>
      <c r="Q613" t="s">
        <v>427</v>
      </c>
      <c r="R613" s="5"/>
      <c r="S613" s="5"/>
      <c r="T613" s="5"/>
      <c r="U613" s="5"/>
      <c r="V613" s="5"/>
      <c r="W613" s="5"/>
      <c r="X613" s="5"/>
      <c r="Y613" s="5"/>
      <c r="Z613" s="5"/>
      <c r="AA613" s="5"/>
      <c r="AB613" s="5"/>
      <c r="AC613" s="5"/>
      <c r="AD613" s="5"/>
      <c r="AE613" s="5"/>
      <c r="AF613" s="5"/>
      <c r="AG613" s="5"/>
    </row>
    <row r="614" ht="15.75" customHeight="1">
      <c r="K614" t="s">
        <v>995</v>
      </c>
      <c r="L614" t="str">
        <f>D38</f>
        <v>H1a1</v>
      </c>
      <c r="M614" t="s">
        <v>996</v>
      </c>
      <c r="N614" t="s">
        <v>997</v>
      </c>
      <c r="O614">
        <v>1.8761362E7</v>
      </c>
      <c r="P614">
        <v>1.6649482E7</v>
      </c>
      <c r="Q614" t="s">
        <v>525</v>
      </c>
      <c r="R614" s="5"/>
      <c r="S614" s="5"/>
      <c r="T614" s="5"/>
      <c r="U614" s="5"/>
      <c r="V614" s="5"/>
      <c r="W614" s="5"/>
      <c r="X614" s="5"/>
      <c r="Y614" s="5"/>
      <c r="Z614" s="5"/>
      <c r="AA614" s="5"/>
      <c r="AB614" s="5"/>
      <c r="AC614" s="5"/>
      <c r="AD614" s="5"/>
      <c r="AE614" s="5"/>
      <c r="AF614" s="5"/>
      <c r="AG614" s="5"/>
    </row>
    <row r="615" ht="15.75" customHeight="1">
      <c r="K615" t="s">
        <v>996</v>
      </c>
      <c r="L615" t="str">
        <f>D38</f>
        <v>H1a1</v>
      </c>
      <c r="M615" t="s">
        <v>995</v>
      </c>
      <c r="N615" t="s">
        <v>997</v>
      </c>
      <c r="O615">
        <v>1.8761362E7</v>
      </c>
      <c r="P615">
        <v>1.6649482E7</v>
      </c>
      <c r="Q615" t="s">
        <v>525</v>
      </c>
      <c r="R615" s="5"/>
      <c r="S615" s="5"/>
      <c r="T615" s="5"/>
      <c r="U615" s="5"/>
      <c r="V615" s="5"/>
      <c r="W615" s="5"/>
      <c r="X615" s="5"/>
      <c r="Y615" s="5"/>
      <c r="Z615" s="5"/>
      <c r="AA615" s="5"/>
      <c r="AB615" s="5"/>
      <c r="AC615" s="5"/>
      <c r="AD615" s="5"/>
      <c r="AE615" s="5"/>
      <c r="AF615" s="5"/>
      <c r="AG615" s="5"/>
    </row>
    <row r="616" ht="15.75" customHeight="1">
      <c r="K616" t="s">
        <v>998</v>
      </c>
      <c r="L616" t="str">
        <f>D38</f>
        <v>H1a1</v>
      </c>
      <c r="N616" t="s">
        <v>999</v>
      </c>
      <c r="O616">
        <v>1.8800113E7</v>
      </c>
      <c r="P616">
        <v>1.6688233E7</v>
      </c>
      <c r="Q616" t="s">
        <v>435</v>
      </c>
      <c r="R616" s="5"/>
      <c r="S616" s="5"/>
      <c r="T616" s="5"/>
      <c r="U616" s="5"/>
      <c r="V616" s="5"/>
      <c r="W616" s="5"/>
      <c r="X616" s="5"/>
      <c r="Y616" s="5"/>
      <c r="Z616" s="5"/>
      <c r="AA616" s="5"/>
      <c r="AB616" s="5"/>
      <c r="AC616" s="5"/>
      <c r="AD616" s="5"/>
      <c r="AE616" s="5"/>
      <c r="AF616" s="5"/>
      <c r="AG616" s="5"/>
    </row>
    <row r="617" ht="15.75" customHeight="1">
      <c r="K617" t="s">
        <v>1000</v>
      </c>
      <c r="L617" t="str">
        <f>D38</f>
        <v>H1a1</v>
      </c>
      <c r="M617" t="s">
        <v>1001</v>
      </c>
      <c r="N617" t="s">
        <v>1002</v>
      </c>
      <c r="O617">
        <v>1.8809367E7</v>
      </c>
      <c r="P617">
        <v>1.6697487E7</v>
      </c>
      <c r="Q617" t="s">
        <v>431</v>
      </c>
      <c r="R617" s="5"/>
      <c r="S617" s="5"/>
      <c r="T617" s="5"/>
      <c r="U617" s="5"/>
      <c r="V617" s="5"/>
      <c r="W617" s="5"/>
      <c r="X617" s="5"/>
      <c r="Y617" s="5"/>
      <c r="Z617" s="5"/>
      <c r="AA617" s="5"/>
      <c r="AB617" s="5"/>
      <c r="AC617" s="5"/>
      <c r="AD617" s="5"/>
      <c r="AE617" s="5"/>
      <c r="AF617" s="5"/>
      <c r="AG617" s="5"/>
    </row>
    <row r="618" ht="15.75" customHeight="1">
      <c r="K618" t="s">
        <v>1001</v>
      </c>
      <c r="L618" t="str">
        <f>D38</f>
        <v>H1a1</v>
      </c>
      <c r="M618" t="s">
        <v>1000</v>
      </c>
      <c r="N618" t="s">
        <v>1002</v>
      </c>
      <c r="O618">
        <v>1.8809367E7</v>
      </c>
      <c r="P618">
        <v>1.6697487E7</v>
      </c>
      <c r="Q618" t="s">
        <v>431</v>
      </c>
      <c r="R618" s="5"/>
      <c r="S618" s="5"/>
      <c r="T618" s="5"/>
      <c r="U618" s="5"/>
      <c r="V618" s="5"/>
      <c r="W618" s="5"/>
      <c r="X618" s="5"/>
      <c r="Y618" s="5"/>
      <c r="Z618" s="5"/>
      <c r="AA618" s="5"/>
      <c r="AB618" s="5"/>
      <c r="AC618" s="5"/>
      <c r="AD618" s="5"/>
      <c r="AE618" s="5"/>
      <c r="AF618" s="5"/>
      <c r="AG618" s="5"/>
    </row>
    <row r="619" ht="15.75" customHeight="1">
      <c r="K619" t="s">
        <v>1003</v>
      </c>
      <c r="L619" t="str">
        <f>D38</f>
        <v>H1a1</v>
      </c>
      <c r="M619" t="s">
        <v>1004</v>
      </c>
      <c r="N619" t="s">
        <v>1005</v>
      </c>
      <c r="O619">
        <v>1.8873447E7</v>
      </c>
      <c r="P619">
        <v>1.6761567E7</v>
      </c>
      <c r="Q619" t="s">
        <v>419</v>
      </c>
      <c r="R619" s="5"/>
      <c r="S619" s="5"/>
      <c r="T619" s="5"/>
      <c r="U619" s="5"/>
      <c r="V619" s="5"/>
      <c r="W619" s="5"/>
      <c r="X619" s="5"/>
      <c r="Y619" s="5"/>
      <c r="Z619" s="5"/>
      <c r="AA619" s="5"/>
      <c r="AB619" s="5"/>
      <c r="AC619" s="5"/>
      <c r="AD619" s="5"/>
      <c r="AE619" s="5"/>
      <c r="AF619" s="5"/>
      <c r="AG619" s="5"/>
    </row>
    <row r="620" ht="15.75" customHeight="1">
      <c r="K620" t="s">
        <v>1004</v>
      </c>
      <c r="L620" t="str">
        <f>D38</f>
        <v>H1a1</v>
      </c>
      <c r="M620" t="s">
        <v>1003</v>
      </c>
      <c r="N620" t="s">
        <v>1005</v>
      </c>
      <c r="O620">
        <v>1.8873447E7</v>
      </c>
      <c r="P620">
        <v>1.6761567E7</v>
      </c>
      <c r="Q620" t="s">
        <v>419</v>
      </c>
      <c r="R620" s="5"/>
      <c r="S620" s="5"/>
      <c r="T620" s="5"/>
      <c r="U620" s="5"/>
      <c r="V620" s="5"/>
      <c r="W620" s="5"/>
      <c r="X620" s="5"/>
      <c r="Y620" s="5"/>
      <c r="Z620" s="5"/>
      <c r="AA620" s="5"/>
      <c r="AB620" s="5"/>
      <c r="AC620" s="5"/>
      <c r="AD620" s="5"/>
      <c r="AE620" s="5"/>
      <c r="AF620" s="5"/>
      <c r="AG620" s="5"/>
    </row>
    <row r="621" ht="15.75" customHeight="1">
      <c r="K621" t="s">
        <v>1006</v>
      </c>
      <c r="L621" t="str">
        <f>D38</f>
        <v>H1a1</v>
      </c>
      <c r="M621" t="s">
        <v>1007</v>
      </c>
      <c r="N621" t="s">
        <v>1008</v>
      </c>
      <c r="O621">
        <v>1.8883803E7</v>
      </c>
      <c r="P621">
        <v>1.6771923E7</v>
      </c>
      <c r="Q621" t="s">
        <v>452</v>
      </c>
      <c r="R621" s="5"/>
      <c r="S621" s="5"/>
      <c r="T621" s="5"/>
      <c r="U621" s="5"/>
      <c r="V621" s="5"/>
      <c r="W621" s="5"/>
      <c r="X621" s="5"/>
      <c r="Y621" s="5"/>
      <c r="Z621" s="5"/>
      <c r="AA621" s="5"/>
      <c r="AB621" s="5"/>
      <c r="AC621" s="5"/>
      <c r="AD621" s="5"/>
      <c r="AE621" s="5"/>
      <c r="AF621" s="5"/>
      <c r="AG621" s="5"/>
    </row>
    <row r="622" ht="15.75" customHeight="1">
      <c r="K622" t="s">
        <v>1007</v>
      </c>
      <c r="L622" t="str">
        <f>D38</f>
        <v>H1a1</v>
      </c>
      <c r="M622" t="s">
        <v>1006</v>
      </c>
      <c r="N622" t="s">
        <v>1008</v>
      </c>
      <c r="O622">
        <v>1.8883803E7</v>
      </c>
      <c r="P622">
        <v>1.6771923E7</v>
      </c>
      <c r="Q622" t="s">
        <v>452</v>
      </c>
      <c r="R622" s="5"/>
      <c r="S622" s="5"/>
      <c r="T622" s="5"/>
      <c r="U622" s="5"/>
      <c r="V622" s="5"/>
      <c r="W622" s="5"/>
      <c r="X622" s="5"/>
      <c r="Y622" s="5"/>
      <c r="Z622" s="5"/>
      <c r="AA622" s="5"/>
      <c r="AB622" s="5"/>
      <c r="AC622" s="5"/>
      <c r="AD622" s="5"/>
      <c r="AE622" s="5"/>
      <c r="AF622" s="5"/>
      <c r="AG622" s="5"/>
    </row>
    <row r="623" ht="15.75" customHeight="1">
      <c r="K623" t="s">
        <v>1009</v>
      </c>
      <c r="L623" t="str">
        <f>D38</f>
        <v>H1a1</v>
      </c>
      <c r="M623" t="s">
        <v>1010</v>
      </c>
      <c r="N623" t="s">
        <v>1011</v>
      </c>
      <c r="O623">
        <v>1.8887101E7</v>
      </c>
      <c r="P623">
        <v>1.6775221E7</v>
      </c>
      <c r="Q623" t="s">
        <v>419</v>
      </c>
      <c r="R623" s="5"/>
      <c r="S623" s="5"/>
      <c r="T623" s="5"/>
      <c r="U623" s="5"/>
      <c r="V623" s="5"/>
      <c r="W623" s="5"/>
      <c r="X623" s="5"/>
      <c r="Y623" s="5"/>
      <c r="Z623" s="5"/>
      <c r="AA623" s="5"/>
      <c r="AB623" s="5"/>
      <c r="AC623" s="5"/>
      <c r="AD623" s="5"/>
      <c r="AE623" s="5"/>
      <c r="AF623" s="5"/>
      <c r="AG623" s="5"/>
    </row>
    <row r="624" ht="15.75" customHeight="1">
      <c r="K624" t="s">
        <v>1010</v>
      </c>
      <c r="L624" t="str">
        <f>D38</f>
        <v>H1a1</v>
      </c>
      <c r="M624" t="s">
        <v>1009</v>
      </c>
      <c r="N624" t="s">
        <v>1011</v>
      </c>
      <c r="O624">
        <v>1.8887101E7</v>
      </c>
      <c r="P624">
        <v>1.6775221E7</v>
      </c>
      <c r="Q624" t="s">
        <v>419</v>
      </c>
      <c r="R624" s="5"/>
      <c r="S624" s="5"/>
      <c r="T624" s="5"/>
      <c r="U624" s="5"/>
      <c r="V624" s="5"/>
      <c r="W624" s="5"/>
      <c r="X624" s="5"/>
      <c r="Y624" s="5"/>
      <c r="Z624" s="5"/>
      <c r="AA624" s="5"/>
      <c r="AB624" s="5"/>
      <c r="AC624" s="5"/>
      <c r="AD624" s="5"/>
      <c r="AE624" s="5"/>
      <c r="AF624" s="5"/>
      <c r="AG624" s="5"/>
    </row>
    <row r="625" ht="15.75" customHeight="1">
      <c r="K625" t="s">
        <v>1012</v>
      </c>
      <c r="L625" t="str">
        <f>D38</f>
        <v>H1a1</v>
      </c>
      <c r="N625" t="s">
        <v>1013</v>
      </c>
      <c r="O625">
        <v>1.9022399E7</v>
      </c>
      <c r="P625">
        <v>1.6910519E7</v>
      </c>
      <c r="Q625" t="s">
        <v>525</v>
      </c>
      <c r="R625" s="5"/>
      <c r="S625" s="5"/>
      <c r="T625" s="5"/>
      <c r="U625" s="5"/>
      <c r="V625" s="5"/>
      <c r="W625" s="5"/>
      <c r="X625" s="5"/>
      <c r="Y625" s="5"/>
      <c r="Z625" s="5"/>
      <c r="AA625" s="5"/>
      <c r="AB625" s="5"/>
      <c r="AC625" s="5"/>
      <c r="AD625" s="5"/>
      <c r="AE625" s="5"/>
      <c r="AF625" s="5"/>
      <c r="AG625" s="5"/>
    </row>
    <row r="626" ht="15.75" customHeight="1">
      <c r="K626" t="s">
        <v>1014</v>
      </c>
      <c r="L626" t="str">
        <f>D38</f>
        <v>H1a1</v>
      </c>
      <c r="N626" t="s">
        <v>1015</v>
      </c>
      <c r="O626">
        <v>1.9032583E7</v>
      </c>
      <c r="P626">
        <v>1.6920703E7</v>
      </c>
      <c r="Q626" t="s">
        <v>423</v>
      </c>
      <c r="R626" s="5"/>
      <c r="S626" s="5"/>
      <c r="T626" s="5"/>
      <c r="U626" s="5"/>
      <c r="V626" s="5"/>
      <c r="W626" s="5"/>
      <c r="X626" s="5"/>
      <c r="Y626" s="5"/>
      <c r="Z626" s="5"/>
      <c r="AA626" s="5"/>
      <c r="AB626" s="5"/>
      <c r="AC626" s="5"/>
      <c r="AD626" s="5"/>
      <c r="AE626" s="5"/>
      <c r="AF626" s="5"/>
      <c r="AG626" s="5"/>
    </row>
    <row r="627" ht="15.75" customHeight="1">
      <c r="K627" t="s">
        <v>1016</v>
      </c>
      <c r="L627" t="str">
        <f>D38</f>
        <v>H1a1</v>
      </c>
      <c r="M627" t="s">
        <v>1017</v>
      </c>
      <c r="N627" t="s">
        <v>1018</v>
      </c>
      <c r="O627">
        <v>1.9038504E7</v>
      </c>
      <c r="P627">
        <v>1.6926624E7</v>
      </c>
      <c r="Q627" t="s">
        <v>459</v>
      </c>
      <c r="R627" s="5"/>
      <c r="S627" s="5"/>
      <c r="T627" s="5"/>
      <c r="U627" s="5"/>
      <c r="V627" s="5"/>
      <c r="W627" s="5"/>
      <c r="X627" s="5"/>
      <c r="Y627" s="5"/>
      <c r="Z627" s="5"/>
      <c r="AA627" s="5"/>
      <c r="AB627" s="5"/>
      <c r="AC627" s="5"/>
      <c r="AD627" s="5"/>
      <c r="AE627" s="5"/>
      <c r="AF627" s="5"/>
      <c r="AG627" s="5"/>
    </row>
    <row r="628" ht="15.75" customHeight="1">
      <c r="K628" t="s">
        <v>1017</v>
      </c>
      <c r="L628" t="str">
        <f>D38</f>
        <v>H1a1</v>
      </c>
      <c r="M628" t="s">
        <v>1016</v>
      </c>
      <c r="N628" t="s">
        <v>1018</v>
      </c>
      <c r="O628">
        <v>1.9038504E7</v>
      </c>
      <c r="P628">
        <v>1.6926624E7</v>
      </c>
      <c r="Q628" t="s">
        <v>459</v>
      </c>
      <c r="R628" s="5"/>
      <c r="S628" s="5"/>
      <c r="T628" s="5"/>
      <c r="U628" s="5"/>
      <c r="V628" s="5"/>
      <c r="W628" s="5"/>
      <c r="X628" s="5"/>
      <c r="Y628" s="5"/>
      <c r="Z628" s="5"/>
      <c r="AA628" s="5"/>
      <c r="AB628" s="5"/>
      <c r="AC628" s="5"/>
      <c r="AD628" s="5"/>
      <c r="AE628" s="5"/>
      <c r="AF628" s="5"/>
      <c r="AG628" s="5"/>
    </row>
    <row r="629" ht="15.75" customHeight="1">
      <c r="K629" t="s">
        <v>1019</v>
      </c>
      <c r="L629" t="str">
        <f>D38</f>
        <v>H1a1</v>
      </c>
      <c r="M629" t="s">
        <v>1020</v>
      </c>
      <c r="N629" t="s">
        <v>1021</v>
      </c>
      <c r="O629">
        <v>1.9074794E7</v>
      </c>
      <c r="P629">
        <v>1.6962914E7</v>
      </c>
      <c r="Q629" t="s">
        <v>435</v>
      </c>
      <c r="R629" s="5"/>
      <c r="S629" s="5"/>
      <c r="T629" s="5"/>
      <c r="U629" s="5"/>
      <c r="V629" s="5"/>
      <c r="W629" s="5"/>
      <c r="X629" s="5"/>
      <c r="Y629" s="5"/>
      <c r="Z629" s="5"/>
      <c r="AA629" s="5"/>
      <c r="AB629" s="5"/>
      <c r="AC629" s="5"/>
      <c r="AD629" s="5"/>
      <c r="AE629" s="5"/>
      <c r="AF629" s="5"/>
      <c r="AG629" s="5"/>
    </row>
    <row r="630" ht="15.75" customHeight="1">
      <c r="K630" t="s">
        <v>1020</v>
      </c>
      <c r="L630" t="str">
        <f>D38</f>
        <v>H1a1</v>
      </c>
      <c r="M630" t="s">
        <v>1019</v>
      </c>
      <c r="N630" t="s">
        <v>1021</v>
      </c>
      <c r="O630">
        <v>1.9074794E7</v>
      </c>
      <c r="P630">
        <v>1.6962914E7</v>
      </c>
      <c r="Q630" t="s">
        <v>435</v>
      </c>
      <c r="R630" s="5"/>
      <c r="S630" s="5"/>
      <c r="T630" s="5"/>
      <c r="U630" s="5"/>
      <c r="V630" s="5"/>
      <c r="W630" s="5"/>
      <c r="X630" s="5"/>
      <c r="Y630" s="5"/>
      <c r="Z630" s="5"/>
      <c r="AA630" s="5"/>
      <c r="AB630" s="5"/>
      <c r="AC630" s="5"/>
      <c r="AD630" s="5"/>
      <c r="AE630" s="5"/>
      <c r="AF630" s="5"/>
      <c r="AG630" s="5"/>
    </row>
    <row r="631" ht="15.75" customHeight="1">
      <c r="K631" t="s">
        <v>1022</v>
      </c>
      <c r="L631" t="str">
        <f>D38</f>
        <v>H1a1</v>
      </c>
      <c r="M631" t="s">
        <v>1023</v>
      </c>
      <c r="N631" t="s">
        <v>1024</v>
      </c>
      <c r="O631">
        <v>1.907593E7</v>
      </c>
      <c r="P631">
        <v>1.696405E7</v>
      </c>
      <c r="Q631" t="s">
        <v>419</v>
      </c>
      <c r="R631" s="5"/>
      <c r="S631" s="5"/>
      <c r="T631" s="5"/>
      <c r="U631" s="5"/>
      <c r="V631" s="5"/>
      <c r="W631" s="5"/>
      <c r="X631" s="5"/>
      <c r="Y631" s="5"/>
      <c r="Z631" s="5"/>
      <c r="AA631" s="5"/>
      <c r="AB631" s="5"/>
      <c r="AC631" s="5"/>
      <c r="AD631" s="5"/>
      <c r="AE631" s="5"/>
      <c r="AF631" s="5"/>
      <c r="AG631" s="5"/>
    </row>
    <row r="632" ht="15.75" customHeight="1">
      <c r="K632" t="s">
        <v>1023</v>
      </c>
      <c r="L632" t="str">
        <f>D38</f>
        <v>H1a1</v>
      </c>
      <c r="M632" t="s">
        <v>1022</v>
      </c>
      <c r="N632" t="s">
        <v>1024</v>
      </c>
      <c r="O632">
        <v>1.907593E7</v>
      </c>
      <c r="P632">
        <v>1.696405E7</v>
      </c>
      <c r="Q632" t="s">
        <v>419</v>
      </c>
      <c r="R632" s="5"/>
      <c r="S632" s="5"/>
      <c r="T632" s="5"/>
      <c r="U632" s="5"/>
      <c r="V632" s="5"/>
      <c r="W632" s="5"/>
      <c r="X632" s="5"/>
      <c r="Y632" s="5"/>
      <c r="Z632" s="5"/>
      <c r="AA632" s="5"/>
      <c r="AB632" s="5"/>
      <c r="AC632" s="5"/>
      <c r="AD632" s="5"/>
      <c r="AE632" s="5"/>
      <c r="AF632" s="5"/>
      <c r="AG632" s="5"/>
    </row>
    <row r="633" ht="15.75" customHeight="1">
      <c r="K633" t="s">
        <v>1025</v>
      </c>
      <c r="L633" t="str">
        <f>D38</f>
        <v>H1a1</v>
      </c>
      <c r="N633" t="s">
        <v>1026</v>
      </c>
      <c r="O633">
        <v>1.9087144E7</v>
      </c>
      <c r="P633">
        <v>1.6975264E7</v>
      </c>
      <c r="Q633" t="s">
        <v>431</v>
      </c>
      <c r="R633" s="5"/>
      <c r="S633" s="5"/>
      <c r="T633" s="5"/>
      <c r="U633" s="5"/>
      <c r="V633" s="5"/>
      <c r="W633" s="5"/>
      <c r="X633" s="5"/>
      <c r="Y633" s="5"/>
      <c r="Z633" s="5"/>
      <c r="AA633" s="5"/>
      <c r="AB633" s="5"/>
      <c r="AC633" s="5"/>
      <c r="AD633" s="5"/>
      <c r="AE633" s="5"/>
      <c r="AF633" s="5"/>
      <c r="AG633" s="5"/>
    </row>
    <row r="634" ht="15.75" customHeight="1">
      <c r="K634" t="s">
        <v>1027</v>
      </c>
      <c r="L634" t="str">
        <f>D38</f>
        <v>H1a1</v>
      </c>
      <c r="M634" t="s">
        <v>1028</v>
      </c>
      <c r="N634" t="s">
        <v>1029</v>
      </c>
      <c r="O634">
        <v>1.9111138E7</v>
      </c>
      <c r="P634">
        <v>1.6999258E7</v>
      </c>
      <c r="Q634" t="s">
        <v>423</v>
      </c>
      <c r="R634" s="5"/>
      <c r="S634" s="5"/>
      <c r="T634" s="5"/>
      <c r="U634" s="5"/>
      <c r="V634" s="5"/>
      <c r="W634" s="5"/>
      <c r="X634" s="5"/>
      <c r="Y634" s="5"/>
      <c r="Z634" s="5"/>
      <c r="AA634" s="5"/>
      <c r="AB634" s="5"/>
      <c r="AC634" s="5"/>
      <c r="AD634" s="5"/>
      <c r="AE634" s="5"/>
      <c r="AF634" s="5"/>
      <c r="AG634" s="5"/>
    </row>
    <row r="635" ht="15.75" customHeight="1">
      <c r="K635" t="s">
        <v>1028</v>
      </c>
      <c r="L635" t="str">
        <f>D38</f>
        <v>H1a1</v>
      </c>
      <c r="M635" t="s">
        <v>1027</v>
      </c>
      <c r="N635" t="s">
        <v>1029</v>
      </c>
      <c r="O635">
        <v>1.9111138E7</v>
      </c>
      <c r="P635">
        <v>1.6999258E7</v>
      </c>
      <c r="Q635" t="s">
        <v>423</v>
      </c>
      <c r="R635" s="5"/>
      <c r="S635" s="5"/>
      <c r="T635" s="5"/>
      <c r="U635" s="5"/>
      <c r="V635" s="5"/>
      <c r="W635" s="5"/>
      <c r="X635" s="5"/>
      <c r="Y635" s="5"/>
      <c r="Z635" s="5"/>
      <c r="AA635" s="5"/>
      <c r="AB635" s="5"/>
      <c r="AC635" s="5"/>
      <c r="AD635" s="5"/>
      <c r="AE635" s="5"/>
      <c r="AF635" s="5"/>
      <c r="AG635" s="5"/>
    </row>
    <row r="636" ht="15.75" customHeight="1">
      <c r="K636" t="s">
        <v>1030</v>
      </c>
      <c r="L636" t="str">
        <f>D38</f>
        <v>H1a1</v>
      </c>
      <c r="M636" t="s">
        <v>1031</v>
      </c>
      <c r="N636" t="s">
        <v>1032</v>
      </c>
      <c r="O636">
        <v>1.9148538E7</v>
      </c>
      <c r="P636">
        <v>1.7036658E7</v>
      </c>
      <c r="Q636" t="s">
        <v>525</v>
      </c>
      <c r="R636" s="5"/>
      <c r="S636" s="5"/>
      <c r="T636" s="5"/>
      <c r="U636" s="5"/>
      <c r="V636" s="5"/>
      <c r="W636" s="5"/>
      <c r="X636" s="5"/>
      <c r="Y636" s="5"/>
      <c r="Z636" s="5"/>
      <c r="AA636" s="5"/>
      <c r="AB636" s="5"/>
      <c r="AC636" s="5"/>
      <c r="AD636" s="5"/>
      <c r="AE636" s="5"/>
      <c r="AF636" s="5"/>
      <c r="AG636" s="5"/>
    </row>
    <row r="637" ht="15.75" customHeight="1">
      <c r="K637" t="s">
        <v>1031</v>
      </c>
      <c r="L637" t="str">
        <f>D38</f>
        <v>H1a1</v>
      </c>
      <c r="M637" t="s">
        <v>1030</v>
      </c>
      <c r="N637" t="s">
        <v>1032</v>
      </c>
      <c r="O637">
        <v>1.9148538E7</v>
      </c>
      <c r="P637">
        <v>1.7036658E7</v>
      </c>
      <c r="Q637" t="s">
        <v>525</v>
      </c>
      <c r="R637" s="5"/>
      <c r="S637" s="5"/>
      <c r="T637" s="5"/>
      <c r="U637" s="5"/>
      <c r="V637" s="5"/>
      <c r="W637" s="5"/>
      <c r="X637" s="5"/>
      <c r="Y637" s="5"/>
      <c r="Z637" s="5"/>
      <c r="AA637" s="5"/>
      <c r="AB637" s="5"/>
      <c r="AC637" s="5"/>
      <c r="AD637" s="5"/>
      <c r="AE637" s="5"/>
      <c r="AF637" s="5"/>
      <c r="AG637" s="5"/>
    </row>
    <row r="638" ht="15.75" customHeight="1">
      <c r="K638" t="s">
        <v>1033</v>
      </c>
      <c r="L638" t="str">
        <f>D38</f>
        <v>H1a1</v>
      </c>
      <c r="M638" t="s">
        <v>1034</v>
      </c>
      <c r="N638" t="s">
        <v>1035</v>
      </c>
      <c r="O638">
        <v>1.9255563E7</v>
      </c>
      <c r="P638">
        <v>1.7143683E7</v>
      </c>
      <c r="Q638" t="s">
        <v>423</v>
      </c>
      <c r="R638" s="5"/>
      <c r="S638" s="5"/>
      <c r="T638" s="5"/>
      <c r="U638" s="5"/>
      <c r="V638" s="5"/>
      <c r="W638" s="5"/>
      <c r="X638" s="5"/>
      <c r="Y638" s="5"/>
      <c r="Z638" s="5"/>
      <c r="AA638" s="5"/>
      <c r="AB638" s="5"/>
      <c r="AC638" s="5"/>
      <c r="AD638" s="5"/>
      <c r="AE638" s="5"/>
      <c r="AF638" s="5"/>
      <c r="AG638" s="5"/>
    </row>
    <row r="639" ht="15.75" customHeight="1">
      <c r="K639" t="s">
        <v>1034</v>
      </c>
      <c r="L639" t="str">
        <f>D38</f>
        <v>H1a1</v>
      </c>
      <c r="M639" t="s">
        <v>1033</v>
      </c>
      <c r="N639" t="s">
        <v>1035</v>
      </c>
      <c r="O639">
        <v>1.9255563E7</v>
      </c>
      <c r="P639">
        <v>1.7143683E7</v>
      </c>
      <c r="Q639" t="s">
        <v>423</v>
      </c>
      <c r="R639" s="5"/>
      <c r="S639" s="5"/>
      <c r="T639" s="5"/>
      <c r="U639" s="5"/>
      <c r="V639" s="5"/>
      <c r="W639" s="5"/>
      <c r="X639" s="5"/>
      <c r="Y639" s="5"/>
      <c r="Z639" s="5"/>
      <c r="AA639" s="5"/>
      <c r="AB639" s="5"/>
      <c r="AC639" s="5"/>
      <c r="AD639" s="5"/>
      <c r="AE639" s="5"/>
      <c r="AF639" s="5"/>
      <c r="AG639" s="5"/>
    </row>
    <row r="640" ht="15.75" customHeight="1">
      <c r="K640" t="s">
        <v>1036</v>
      </c>
      <c r="L640" t="str">
        <f>D38</f>
        <v>H1a1</v>
      </c>
      <c r="N640" t="s">
        <v>1037</v>
      </c>
      <c r="O640">
        <v>1.9267648E7</v>
      </c>
      <c r="P640">
        <v>1.7155768E7</v>
      </c>
      <c r="Q640" t="s">
        <v>473</v>
      </c>
      <c r="R640" s="5"/>
      <c r="S640" s="5"/>
      <c r="T640" s="5"/>
      <c r="U640" s="5"/>
      <c r="V640" s="5"/>
      <c r="W640" s="5"/>
      <c r="X640" s="5"/>
      <c r="Y640" s="5"/>
      <c r="Z640" s="5"/>
      <c r="AA640" s="5"/>
      <c r="AB640" s="5"/>
      <c r="AC640" s="5"/>
      <c r="AD640" s="5"/>
      <c r="AE640" s="5"/>
      <c r="AF640" s="5"/>
      <c r="AG640" s="5"/>
    </row>
    <row r="641" ht="15.75" customHeight="1">
      <c r="K641" t="s">
        <v>1038</v>
      </c>
      <c r="L641" t="str">
        <f>D38</f>
        <v>H1a1</v>
      </c>
      <c r="M641" t="s">
        <v>1039</v>
      </c>
      <c r="N641" t="s">
        <v>1040</v>
      </c>
      <c r="O641">
        <v>1.9538017E7</v>
      </c>
      <c r="P641">
        <v>1.7426137E7</v>
      </c>
      <c r="Q641" t="s">
        <v>419</v>
      </c>
      <c r="R641" s="5"/>
      <c r="S641" s="5"/>
      <c r="T641" s="5"/>
      <c r="U641" s="5"/>
      <c r="V641" s="5"/>
      <c r="W641" s="5"/>
      <c r="X641" s="5"/>
      <c r="Y641" s="5"/>
      <c r="Z641" s="5"/>
      <c r="AA641" s="5"/>
      <c r="AB641" s="5"/>
      <c r="AC641" s="5"/>
      <c r="AD641" s="5"/>
      <c r="AE641" s="5"/>
      <c r="AF641" s="5"/>
      <c r="AG641" s="5"/>
    </row>
    <row r="642" ht="15.75" customHeight="1">
      <c r="K642" t="s">
        <v>1039</v>
      </c>
      <c r="L642" t="str">
        <f>D38</f>
        <v>H1a1</v>
      </c>
      <c r="M642" t="s">
        <v>1038</v>
      </c>
      <c r="N642" t="s">
        <v>1040</v>
      </c>
      <c r="O642">
        <v>1.9538017E7</v>
      </c>
      <c r="P642">
        <v>1.7426137E7</v>
      </c>
      <c r="Q642" t="s">
        <v>419</v>
      </c>
      <c r="R642" s="5"/>
      <c r="S642" s="5"/>
      <c r="T642" s="5"/>
      <c r="U642" s="5"/>
      <c r="V642" s="5"/>
      <c r="W642" s="5"/>
      <c r="X642" s="5"/>
      <c r="Y642" s="5"/>
      <c r="Z642" s="5"/>
      <c r="AA642" s="5"/>
      <c r="AB642" s="5"/>
      <c r="AC642" s="5"/>
      <c r="AD642" s="5"/>
      <c r="AE642" s="5"/>
      <c r="AF642" s="5"/>
      <c r="AG642" s="5"/>
    </row>
    <row r="643" ht="15.75" customHeight="1">
      <c r="K643" t="s">
        <v>1041</v>
      </c>
      <c r="L643" t="str">
        <f>D38</f>
        <v>H1a1</v>
      </c>
      <c r="N643" t="s">
        <v>1042</v>
      </c>
      <c r="O643">
        <v>2.1070765E7</v>
      </c>
      <c r="P643">
        <v>1.8908879E7</v>
      </c>
      <c r="Q643" t="s">
        <v>435</v>
      </c>
      <c r="R643" s="5"/>
      <c r="S643" s="5"/>
      <c r="T643" s="5"/>
      <c r="U643" s="5"/>
      <c r="V643" s="5"/>
      <c r="W643" s="5"/>
      <c r="X643" s="5"/>
      <c r="Y643" s="5"/>
      <c r="Z643" s="5"/>
      <c r="AA643" s="5"/>
      <c r="AB643" s="5"/>
      <c r="AC643" s="5"/>
      <c r="AD643" s="5"/>
      <c r="AE643" s="5"/>
      <c r="AF643" s="5"/>
      <c r="AG643" s="5"/>
    </row>
    <row r="644" ht="15.75" customHeight="1">
      <c r="K644" t="s">
        <v>1043</v>
      </c>
      <c r="L644" t="str">
        <f>D38</f>
        <v>H1a1</v>
      </c>
      <c r="M644" t="s">
        <v>1044</v>
      </c>
      <c r="N644" t="s">
        <v>1045</v>
      </c>
      <c r="O644">
        <v>2.1176466E7</v>
      </c>
      <c r="P644">
        <v>1.901458E7</v>
      </c>
      <c r="Q644" t="s">
        <v>476</v>
      </c>
      <c r="R644" s="5"/>
      <c r="S644" s="5"/>
      <c r="T644" s="5"/>
      <c r="U644" s="5"/>
      <c r="V644" s="5"/>
      <c r="W644" s="5"/>
      <c r="X644" s="5"/>
      <c r="Y644" s="5"/>
      <c r="Z644" s="5"/>
      <c r="AA644" s="5"/>
      <c r="AB644" s="5"/>
      <c r="AC644" s="5"/>
      <c r="AD644" s="5"/>
      <c r="AE644" s="5"/>
      <c r="AF644" s="5"/>
      <c r="AG644" s="5"/>
    </row>
    <row r="645" ht="15.75" customHeight="1">
      <c r="K645" t="s">
        <v>1044</v>
      </c>
      <c r="L645" t="str">
        <f>D38</f>
        <v>H1a1</v>
      </c>
      <c r="M645" t="s">
        <v>1043</v>
      </c>
      <c r="N645" t="s">
        <v>1045</v>
      </c>
      <c r="O645">
        <v>2.1176466E7</v>
      </c>
      <c r="P645">
        <v>1.901458E7</v>
      </c>
      <c r="Q645" t="s">
        <v>476</v>
      </c>
      <c r="R645" s="5"/>
      <c r="S645" s="5"/>
      <c r="T645" s="5"/>
      <c r="U645" s="5"/>
      <c r="V645" s="5"/>
      <c r="W645" s="5"/>
      <c r="X645" s="5"/>
      <c r="Y645" s="5"/>
      <c r="Z645" s="5"/>
      <c r="AA645" s="5"/>
      <c r="AB645" s="5"/>
      <c r="AC645" s="5"/>
      <c r="AD645" s="5"/>
      <c r="AE645" s="5"/>
      <c r="AF645" s="5"/>
      <c r="AG645" s="5"/>
    </row>
    <row r="646" ht="15.75" customHeight="1">
      <c r="K646" t="s">
        <v>1046</v>
      </c>
      <c r="L646" t="str">
        <f>D38</f>
        <v>H1a1</v>
      </c>
      <c r="M646" t="s">
        <v>1047</v>
      </c>
      <c r="N646" t="s">
        <v>1048</v>
      </c>
      <c r="O646">
        <v>2.1240635E7</v>
      </c>
      <c r="P646">
        <v>1.9078749E7</v>
      </c>
      <c r="Q646" t="s">
        <v>427</v>
      </c>
      <c r="R646" s="5"/>
      <c r="S646" s="5"/>
      <c r="T646" s="5"/>
      <c r="U646" s="5"/>
      <c r="V646" s="5"/>
      <c r="W646" s="5"/>
      <c r="X646" s="5"/>
      <c r="Y646" s="5"/>
      <c r="Z646" s="5"/>
      <c r="AA646" s="5"/>
      <c r="AB646" s="5"/>
      <c r="AC646" s="5"/>
      <c r="AD646" s="5"/>
      <c r="AE646" s="5"/>
      <c r="AF646" s="5"/>
      <c r="AG646" s="5"/>
    </row>
    <row r="647" ht="15.75" customHeight="1">
      <c r="K647" t="s">
        <v>1047</v>
      </c>
      <c r="L647" t="str">
        <f>D38</f>
        <v>H1a1</v>
      </c>
      <c r="M647" t="s">
        <v>1046</v>
      </c>
      <c r="N647" t="s">
        <v>1048</v>
      </c>
      <c r="O647">
        <v>2.1240635E7</v>
      </c>
      <c r="P647">
        <v>1.9078749E7</v>
      </c>
      <c r="Q647" t="s">
        <v>427</v>
      </c>
      <c r="R647" s="5"/>
      <c r="S647" s="5"/>
      <c r="T647" s="5"/>
      <c r="U647" s="5"/>
      <c r="V647" s="5"/>
      <c r="W647" s="5"/>
      <c r="X647" s="5"/>
      <c r="Y647" s="5"/>
      <c r="Z647" s="5"/>
      <c r="AA647" s="5"/>
      <c r="AB647" s="5"/>
      <c r="AC647" s="5"/>
      <c r="AD647" s="5"/>
      <c r="AE647" s="5"/>
      <c r="AF647" s="5"/>
      <c r="AG647" s="5"/>
    </row>
    <row r="648" ht="15.75" customHeight="1">
      <c r="K648" t="s">
        <v>1049</v>
      </c>
      <c r="L648" t="str">
        <f>D38</f>
        <v>H1a1</v>
      </c>
      <c r="M648" t="s">
        <v>1050</v>
      </c>
      <c r="N648" t="s">
        <v>1051</v>
      </c>
      <c r="O648">
        <v>2.1313788E7</v>
      </c>
      <c r="P648">
        <v>1.9151902E7</v>
      </c>
      <c r="Q648" t="s">
        <v>427</v>
      </c>
      <c r="R648" s="5"/>
      <c r="S648" s="5"/>
      <c r="T648" s="5"/>
      <c r="U648" s="5"/>
      <c r="V648" s="5"/>
      <c r="W648" s="5"/>
      <c r="X648" s="5"/>
      <c r="Y648" s="5"/>
      <c r="Z648" s="5"/>
      <c r="AA648" s="5"/>
      <c r="AB648" s="5"/>
      <c r="AC648" s="5"/>
      <c r="AD648" s="5"/>
      <c r="AE648" s="5"/>
      <c r="AF648" s="5"/>
      <c r="AG648" s="5"/>
    </row>
    <row r="649" ht="15.75" customHeight="1">
      <c r="K649" t="s">
        <v>1050</v>
      </c>
      <c r="L649" t="str">
        <f>D38</f>
        <v>H1a1</v>
      </c>
      <c r="M649" t="s">
        <v>1049</v>
      </c>
      <c r="N649" t="s">
        <v>1051</v>
      </c>
      <c r="O649">
        <v>2.1313788E7</v>
      </c>
      <c r="P649">
        <v>1.9151902E7</v>
      </c>
      <c r="Q649" t="s">
        <v>427</v>
      </c>
      <c r="R649" s="5"/>
      <c r="S649" s="5"/>
      <c r="T649" s="5"/>
      <c r="U649" s="5"/>
      <c r="V649" s="5"/>
      <c r="W649" s="5"/>
      <c r="X649" s="5"/>
      <c r="Y649" s="5"/>
      <c r="Z649" s="5"/>
      <c r="AA649" s="5"/>
      <c r="AB649" s="5"/>
      <c r="AC649" s="5"/>
      <c r="AD649" s="5"/>
      <c r="AE649" s="5"/>
      <c r="AF649" s="5"/>
      <c r="AG649" s="5"/>
    </row>
    <row r="650" ht="15.75" customHeight="1">
      <c r="K650" t="s">
        <v>1052</v>
      </c>
      <c r="L650" t="str">
        <f>D38</f>
        <v>H1a1</v>
      </c>
      <c r="M650" t="s">
        <v>1053</v>
      </c>
      <c r="N650" t="s">
        <v>1054</v>
      </c>
      <c r="O650">
        <v>2.1455655E7</v>
      </c>
      <c r="P650">
        <v>1.9293769E7</v>
      </c>
      <c r="Q650" t="s">
        <v>435</v>
      </c>
      <c r="R650" s="5"/>
      <c r="S650" s="5"/>
      <c r="T650" s="5"/>
      <c r="U650" s="5"/>
      <c r="V650" s="5"/>
      <c r="W650" s="5"/>
      <c r="X650" s="5"/>
      <c r="Y650" s="5"/>
      <c r="Z650" s="5"/>
      <c r="AA650" s="5"/>
      <c r="AB650" s="5"/>
      <c r="AC650" s="5"/>
      <c r="AD650" s="5"/>
      <c r="AE650" s="5"/>
      <c r="AF650" s="5"/>
      <c r="AG650" s="5"/>
    </row>
    <row r="651" ht="15.75" customHeight="1">
      <c r="K651" t="s">
        <v>1053</v>
      </c>
      <c r="L651" t="str">
        <f>D38</f>
        <v>H1a1</v>
      </c>
      <c r="M651" t="s">
        <v>1052</v>
      </c>
      <c r="N651" t="s">
        <v>1054</v>
      </c>
      <c r="O651">
        <v>2.1455655E7</v>
      </c>
      <c r="P651">
        <v>1.9293769E7</v>
      </c>
      <c r="Q651" t="s">
        <v>435</v>
      </c>
      <c r="R651" s="5"/>
      <c r="S651" s="5"/>
      <c r="T651" s="5"/>
      <c r="U651" s="5"/>
      <c r="V651" s="5"/>
      <c r="W651" s="5"/>
      <c r="X651" s="5"/>
      <c r="Y651" s="5"/>
      <c r="Z651" s="5"/>
      <c r="AA651" s="5"/>
      <c r="AB651" s="5"/>
      <c r="AC651" s="5"/>
      <c r="AD651" s="5"/>
      <c r="AE651" s="5"/>
      <c r="AF651" s="5"/>
      <c r="AG651" s="5"/>
    </row>
    <row r="652" ht="15.75" customHeight="1">
      <c r="K652" t="s">
        <v>1055</v>
      </c>
      <c r="L652" t="str">
        <f>D38</f>
        <v>H1a1</v>
      </c>
      <c r="N652" t="s">
        <v>1056</v>
      </c>
      <c r="O652">
        <v>2.1474682E7</v>
      </c>
      <c r="P652">
        <v>1.9312796E7</v>
      </c>
      <c r="Q652" t="s">
        <v>423</v>
      </c>
      <c r="R652" s="5"/>
      <c r="S652" s="5"/>
      <c r="T652" s="5"/>
      <c r="U652" s="5"/>
      <c r="V652" s="5"/>
      <c r="W652" s="5"/>
      <c r="X652" s="5"/>
      <c r="Y652" s="5"/>
      <c r="Z652" s="5"/>
      <c r="AA652" s="5"/>
      <c r="AB652" s="5"/>
      <c r="AC652" s="5"/>
      <c r="AD652" s="5"/>
      <c r="AE652" s="5"/>
      <c r="AF652" s="5"/>
      <c r="AG652" s="5"/>
    </row>
    <row r="653" ht="15.75" customHeight="1">
      <c r="K653" t="s">
        <v>1057</v>
      </c>
      <c r="L653" t="str">
        <f>D38</f>
        <v>H1a1</v>
      </c>
      <c r="M653" t="s">
        <v>1058</v>
      </c>
      <c r="N653" t="s">
        <v>1059</v>
      </c>
      <c r="O653">
        <v>2.1502426E7</v>
      </c>
      <c r="P653">
        <v>1.934054E7</v>
      </c>
      <c r="Q653" t="s">
        <v>431</v>
      </c>
      <c r="R653" s="5"/>
      <c r="S653" s="5"/>
      <c r="T653" s="5"/>
      <c r="U653" s="5"/>
      <c r="V653" s="5"/>
      <c r="W653" s="5"/>
      <c r="X653" s="5"/>
      <c r="Y653" s="5"/>
      <c r="Z653" s="5"/>
      <c r="AA653" s="5"/>
      <c r="AB653" s="5"/>
      <c r="AC653" s="5"/>
      <c r="AD653" s="5"/>
      <c r="AE653" s="5"/>
      <c r="AF653" s="5"/>
      <c r="AG653" s="5"/>
    </row>
    <row r="654" ht="15.75" customHeight="1">
      <c r="K654" t="s">
        <v>1058</v>
      </c>
      <c r="L654" t="str">
        <f>D38</f>
        <v>H1a1</v>
      </c>
      <c r="M654" t="s">
        <v>1057</v>
      </c>
      <c r="N654" t="s">
        <v>1059</v>
      </c>
      <c r="O654">
        <v>2.1502426E7</v>
      </c>
      <c r="P654">
        <v>1.934054E7</v>
      </c>
      <c r="Q654" t="s">
        <v>431</v>
      </c>
      <c r="R654" s="5"/>
      <c r="S654" s="5"/>
      <c r="T654" s="5"/>
      <c r="U654" s="5"/>
      <c r="V654" s="5"/>
      <c r="W654" s="5"/>
      <c r="X654" s="5"/>
      <c r="Y654" s="5"/>
      <c r="Z654" s="5"/>
      <c r="AA654" s="5"/>
      <c r="AB654" s="5"/>
      <c r="AC654" s="5"/>
      <c r="AD654" s="5"/>
      <c r="AE654" s="5"/>
      <c r="AF654" s="5"/>
      <c r="AG654" s="5"/>
    </row>
    <row r="655" ht="15.75" customHeight="1">
      <c r="K655" t="s">
        <v>1060</v>
      </c>
      <c r="L655" t="str">
        <f>D38</f>
        <v>H1a1</v>
      </c>
      <c r="M655" t="s">
        <v>1061</v>
      </c>
      <c r="N655" t="s">
        <v>1062</v>
      </c>
      <c r="O655">
        <v>2.1524767E7</v>
      </c>
      <c r="P655">
        <v>1.9362881E7</v>
      </c>
      <c r="Q655" t="s">
        <v>423</v>
      </c>
      <c r="R655" s="5"/>
      <c r="S655" s="5"/>
      <c r="T655" s="5"/>
      <c r="U655" s="5"/>
      <c r="V655" s="5"/>
      <c r="W655" s="5"/>
      <c r="X655" s="5"/>
      <c r="Y655" s="5"/>
      <c r="Z655" s="5"/>
      <c r="AA655" s="5"/>
      <c r="AB655" s="5"/>
      <c r="AC655" s="5"/>
      <c r="AD655" s="5"/>
      <c r="AE655" s="5"/>
      <c r="AF655" s="5"/>
      <c r="AG655" s="5"/>
    </row>
    <row r="656" ht="15.75" customHeight="1">
      <c r="K656" t="s">
        <v>1061</v>
      </c>
      <c r="L656" t="str">
        <f>D38</f>
        <v>H1a1</v>
      </c>
      <c r="M656" t="s">
        <v>1060</v>
      </c>
      <c r="N656" t="s">
        <v>1062</v>
      </c>
      <c r="O656">
        <v>2.1524767E7</v>
      </c>
      <c r="P656">
        <v>1.9362881E7</v>
      </c>
      <c r="Q656" t="s">
        <v>423</v>
      </c>
      <c r="R656" s="5"/>
      <c r="S656" s="5"/>
      <c r="T656" s="5"/>
      <c r="U656" s="5"/>
      <c r="V656" s="5"/>
      <c r="W656" s="5"/>
      <c r="X656" s="5"/>
      <c r="Y656" s="5"/>
      <c r="Z656" s="5"/>
      <c r="AA656" s="5"/>
      <c r="AB656" s="5"/>
      <c r="AC656" s="5"/>
      <c r="AD656" s="5"/>
      <c r="AE656" s="5"/>
      <c r="AF656" s="5"/>
      <c r="AG656" s="5"/>
    </row>
    <row r="657" ht="15.75" customHeight="1">
      <c r="K657" t="s">
        <v>1063</v>
      </c>
      <c r="L657" t="str">
        <f>D38</f>
        <v>H1a1</v>
      </c>
      <c r="M657" t="s">
        <v>1064</v>
      </c>
      <c r="N657" t="s">
        <v>1065</v>
      </c>
      <c r="O657">
        <v>2.1571938E7</v>
      </c>
      <c r="P657">
        <v>1.9410052E7</v>
      </c>
      <c r="Q657" t="s">
        <v>419</v>
      </c>
      <c r="R657" s="5"/>
      <c r="S657" s="5"/>
      <c r="T657" s="5"/>
      <c r="U657" s="5"/>
      <c r="V657" s="5"/>
      <c r="W657" s="5"/>
      <c r="X657" s="5"/>
      <c r="Y657" s="5"/>
      <c r="Z657" s="5"/>
      <c r="AA657" s="5"/>
      <c r="AB657" s="5"/>
      <c r="AC657" s="5"/>
      <c r="AD657" s="5"/>
      <c r="AE657" s="5"/>
      <c r="AF657" s="5"/>
      <c r="AG657" s="5"/>
    </row>
    <row r="658" ht="15.75" customHeight="1">
      <c r="K658" t="s">
        <v>1064</v>
      </c>
      <c r="L658" t="str">
        <f>D38</f>
        <v>H1a1</v>
      </c>
      <c r="M658" t="s">
        <v>1063</v>
      </c>
      <c r="N658" t="s">
        <v>1065</v>
      </c>
      <c r="O658">
        <v>2.1571938E7</v>
      </c>
      <c r="P658">
        <v>1.9410052E7</v>
      </c>
      <c r="Q658" t="s">
        <v>419</v>
      </c>
      <c r="R658" s="5"/>
      <c r="S658" s="5"/>
      <c r="T658" s="5"/>
      <c r="U658" s="5"/>
      <c r="V658" s="5"/>
      <c r="W658" s="5"/>
      <c r="X658" s="5"/>
      <c r="Y658" s="5"/>
      <c r="Z658" s="5"/>
      <c r="AA658" s="5"/>
      <c r="AB658" s="5"/>
      <c r="AC658" s="5"/>
      <c r="AD658" s="5"/>
      <c r="AE658" s="5"/>
      <c r="AF658" s="5"/>
      <c r="AG658" s="5"/>
    </row>
    <row r="659" ht="15.75" customHeight="1">
      <c r="K659" t="s">
        <v>1066</v>
      </c>
      <c r="L659" t="str">
        <f>D38</f>
        <v>H1a1</v>
      </c>
      <c r="M659" t="s">
        <v>1067</v>
      </c>
      <c r="N659" t="s">
        <v>1068</v>
      </c>
      <c r="O659">
        <v>2.1626807E7</v>
      </c>
      <c r="P659">
        <v>1.9464921E7</v>
      </c>
      <c r="Q659" t="s">
        <v>431</v>
      </c>
      <c r="R659" s="5"/>
      <c r="S659" s="5"/>
      <c r="T659" s="5"/>
      <c r="U659" s="5"/>
      <c r="V659" s="5"/>
      <c r="W659" s="5"/>
      <c r="X659" s="5"/>
      <c r="Y659" s="5"/>
      <c r="Z659" s="5"/>
      <c r="AA659" s="5"/>
      <c r="AB659" s="5"/>
      <c r="AC659" s="5"/>
      <c r="AD659" s="5"/>
      <c r="AE659" s="5"/>
      <c r="AF659" s="5"/>
      <c r="AG659" s="5"/>
    </row>
    <row r="660" ht="15.75" customHeight="1">
      <c r="K660" t="s">
        <v>1067</v>
      </c>
      <c r="L660" t="str">
        <f>D38</f>
        <v>H1a1</v>
      </c>
      <c r="M660" t="s">
        <v>1066</v>
      </c>
      <c r="N660" t="s">
        <v>1068</v>
      </c>
      <c r="O660">
        <v>2.1626807E7</v>
      </c>
      <c r="P660">
        <v>1.9464921E7</v>
      </c>
      <c r="Q660" t="s">
        <v>431</v>
      </c>
      <c r="R660" s="5"/>
      <c r="S660" s="5"/>
      <c r="T660" s="5"/>
      <c r="U660" s="5"/>
      <c r="V660" s="5"/>
      <c r="W660" s="5"/>
      <c r="X660" s="5"/>
      <c r="Y660" s="5"/>
      <c r="Z660" s="5"/>
      <c r="AA660" s="5"/>
      <c r="AB660" s="5"/>
      <c r="AC660" s="5"/>
      <c r="AD660" s="5"/>
      <c r="AE660" s="5"/>
      <c r="AF660" s="5"/>
      <c r="AG660" s="5"/>
    </row>
    <row r="661" ht="15.75" customHeight="1">
      <c r="K661" t="s">
        <v>1069</v>
      </c>
      <c r="L661" t="str">
        <f>D38</f>
        <v>H1a1</v>
      </c>
      <c r="N661" t="s">
        <v>1070</v>
      </c>
      <c r="O661">
        <v>2.1792864E7</v>
      </c>
      <c r="P661">
        <v>1.9630978E7</v>
      </c>
      <c r="Q661" t="s">
        <v>435</v>
      </c>
      <c r="R661" s="5"/>
      <c r="S661" s="5"/>
      <c r="T661" s="5"/>
      <c r="U661" s="5"/>
      <c r="V661" s="5"/>
      <c r="W661" s="5"/>
      <c r="X661" s="5"/>
      <c r="Y661" s="5"/>
      <c r="Z661" s="5"/>
      <c r="AA661" s="5"/>
      <c r="AB661" s="5"/>
      <c r="AC661" s="5"/>
      <c r="AD661" s="5"/>
      <c r="AE661" s="5"/>
      <c r="AF661" s="5"/>
      <c r="AG661" s="5"/>
    </row>
    <row r="662" ht="15.75" customHeight="1">
      <c r="K662" t="s">
        <v>1071</v>
      </c>
      <c r="L662" t="str">
        <f>D38</f>
        <v>H1a1</v>
      </c>
      <c r="M662" t="s">
        <v>1072</v>
      </c>
      <c r="N662" t="s">
        <v>1073</v>
      </c>
      <c r="O662">
        <v>2.2088034E7</v>
      </c>
      <c r="P662">
        <v>1.9926148E7</v>
      </c>
      <c r="Q662" t="s">
        <v>452</v>
      </c>
      <c r="R662" s="5"/>
      <c r="S662" s="5"/>
      <c r="T662" s="5"/>
      <c r="U662" s="5"/>
      <c r="V662" s="5"/>
      <c r="W662" s="5"/>
      <c r="X662" s="5"/>
      <c r="Y662" s="5"/>
      <c r="Z662" s="5"/>
      <c r="AA662" s="5"/>
      <c r="AB662" s="5"/>
      <c r="AC662" s="5"/>
      <c r="AD662" s="5"/>
      <c r="AE662" s="5"/>
      <c r="AF662" s="5"/>
      <c r="AG662" s="5"/>
    </row>
    <row r="663" ht="15.75" customHeight="1">
      <c r="K663" t="s">
        <v>1072</v>
      </c>
      <c r="L663" t="str">
        <f>D38</f>
        <v>H1a1</v>
      </c>
      <c r="M663" t="s">
        <v>1071</v>
      </c>
      <c r="N663" t="s">
        <v>1073</v>
      </c>
      <c r="O663">
        <v>2.2088034E7</v>
      </c>
      <c r="P663">
        <v>1.9926148E7</v>
      </c>
      <c r="Q663" t="s">
        <v>452</v>
      </c>
      <c r="R663" s="5"/>
      <c r="S663" s="5"/>
      <c r="T663" s="5"/>
      <c r="U663" s="5"/>
      <c r="V663" s="5"/>
      <c r="W663" s="5"/>
      <c r="X663" s="5"/>
      <c r="Y663" s="5"/>
      <c r="Z663" s="5"/>
      <c r="AA663" s="5"/>
      <c r="AB663" s="5"/>
      <c r="AC663" s="5"/>
      <c r="AD663" s="5"/>
      <c r="AE663" s="5"/>
      <c r="AF663" s="5"/>
      <c r="AG663" s="5"/>
    </row>
    <row r="664" ht="15.75" customHeight="1">
      <c r="K664" t="s">
        <v>1074</v>
      </c>
      <c r="L664" t="str">
        <f>D38</f>
        <v>H1a1</v>
      </c>
      <c r="M664" t="s">
        <v>1075</v>
      </c>
      <c r="N664" t="s">
        <v>1076</v>
      </c>
      <c r="O664">
        <v>2.216139E7</v>
      </c>
      <c r="P664">
        <v>1.9999504E7</v>
      </c>
      <c r="Q664" t="s">
        <v>435</v>
      </c>
      <c r="R664" s="5"/>
      <c r="S664" s="5"/>
      <c r="T664" s="5"/>
      <c r="U664" s="5"/>
      <c r="V664" s="5"/>
      <c r="W664" s="5"/>
      <c r="X664" s="5"/>
      <c r="Y664" s="5"/>
      <c r="Z664" s="5"/>
      <c r="AA664" s="5"/>
      <c r="AB664" s="5"/>
      <c r="AC664" s="5"/>
      <c r="AD664" s="5"/>
      <c r="AE664" s="5"/>
      <c r="AF664" s="5"/>
      <c r="AG664" s="5"/>
    </row>
    <row r="665" ht="15.75" customHeight="1">
      <c r="K665" t="s">
        <v>1075</v>
      </c>
      <c r="L665" t="str">
        <f>D38</f>
        <v>H1a1</v>
      </c>
      <c r="M665" t="s">
        <v>1074</v>
      </c>
      <c r="N665" t="s">
        <v>1076</v>
      </c>
      <c r="O665">
        <v>2.216139E7</v>
      </c>
      <c r="P665">
        <v>1.9999504E7</v>
      </c>
      <c r="Q665" t="s">
        <v>435</v>
      </c>
      <c r="R665" s="5"/>
      <c r="S665" s="5"/>
      <c r="T665" s="5"/>
      <c r="U665" s="5"/>
      <c r="V665" s="5"/>
      <c r="W665" s="5"/>
      <c r="X665" s="5"/>
      <c r="Y665" s="5"/>
      <c r="Z665" s="5"/>
      <c r="AA665" s="5"/>
      <c r="AB665" s="5"/>
      <c r="AC665" s="5"/>
      <c r="AD665" s="5"/>
      <c r="AE665" s="5"/>
      <c r="AF665" s="5"/>
      <c r="AG665" s="5"/>
    </row>
    <row r="666" ht="15.75" customHeight="1">
      <c r="K666" t="s">
        <v>1077</v>
      </c>
      <c r="L666" t="str">
        <f>D38</f>
        <v>H1a1</v>
      </c>
      <c r="N666" t="s">
        <v>1078</v>
      </c>
      <c r="O666">
        <v>2.218408E7</v>
      </c>
      <c r="P666">
        <v>2.0022194E7</v>
      </c>
      <c r="Q666" t="s">
        <v>553</v>
      </c>
      <c r="R666" s="5"/>
      <c r="S666" s="5"/>
      <c r="T666" s="5"/>
      <c r="U666" s="5"/>
      <c r="V666" s="5"/>
      <c r="W666" s="5"/>
      <c r="X666" s="5"/>
      <c r="Y666" s="5"/>
      <c r="Z666" s="5"/>
      <c r="AA666" s="5"/>
      <c r="AB666" s="5"/>
      <c r="AC666" s="5"/>
      <c r="AD666" s="5"/>
      <c r="AE666" s="5"/>
      <c r="AF666" s="5"/>
      <c r="AG666" s="5"/>
    </row>
    <row r="667" ht="15.75" customHeight="1">
      <c r="K667" t="s">
        <v>1079</v>
      </c>
      <c r="L667" t="str">
        <f>D38</f>
        <v>H1a1</v>
      </c>
      <c r="N667" t="s">
        <v>1080</v>
      </c>
      <c r="O667">
        <v>2.262479E7</v>
      </c>
      <c r="P667">
        <v>2.0462904E7</v>
      </c>
      <c r="Q667" t="s">
        <v>452</v>
      </c>
      <c r="R667" s="5"/>
      <c r="S667" s="5"/>
      <c r="T667" s="5"/>
      <c r="U667" s="5"/>
      <c r="V667" s="5"/>
      <c r="W667" s="5"/>
      <c r="X667" s="5"/>
      <c r="Y667" s="5"/>
      <c r="Z667" s="5"/>
      <c r="AA667" s="5"/>
      <c r="AB667" s="5"/>
      <c r="AC667" s="5"/>
      <c r="AD667" s="5"/>
      <c r="AE667" s="5"/>
      <c r="AF667" s="5"/>
      <c r="AG667" s="5"/>
    </row>
    <row r="668" ht="15.75" customHeight="1">
      <c r="K668" t="s">
        <v>1081</v>
      </c>
      <c r="L668" t="str">
        <f>D38</f>
        <v>H1a1</v>
      </c>
      <c r="M668" t="s">
        <v>1082</v>
      </c>
      <c r="N668" t="s">
        <v>1083</v>
      </c>
      <c r="O668">
        <v>2.2692149E7</v>
      </c>
      <c r="P668">
        <v>2.0530263E7</v>
      </c>
      <c r="Q668" t="s">
        <v>459</v>
      </c>
      <c r="R668" s="5"/>
      <c r="S668" s="5"/>
      <c r="T668" s="5"/>
      <c r="U668" s="5"/>
      <c r="V668" s="5"/>
      <c r="W668" s="5"/>
      <c r="X668" s="5"/>
      <c r="Y668" s="5"/>
      <c r="Z668" s="5"/>
      <c r="AA668" s="5"/>
      <c r="AB668" s="5"/>
      <c r="AC668" s="5"/>
      <c r="AD668" s="5"/>
      <c r="AE668" s="5"/>
      <c r="AF668" s="5"/>
      <c r="AG668" s="5"/>
    </row>
    <row r="669" ht="15.75" customHeight="1">
      <c r="K669" t="s">
        <v>1082</v>
      </c>
      <c r="L669" t="str">
        <f>D38</f>
        <v>H1a1</v>
      </c>
      <c r="M669" t="s">
        <v>1081</v>
      </c>
      <c r="N669" t="s">
        <v>1083</v>
      </c>
      <c r="O669">
        <v>2.2692149E7</v>
      </c>
      <c r="P669">
        <v>2.0530263E7</v>
      </c>
      <c r="Q669" t="s">
        <v>459</v>
      </c>
      <c r="R669" s="5"/>
      <c r="S669" s="5"/>
      <c r="T669" s="5"/>
      <c r="U669" s="5"/>
      <c r="V669" s="5"/>
      <c r="W669" s="5"/>
      <c r="X669" s="5"/>
      <c r="Y669" s="5"/>
      <c r="Z669" s="5"/>
      <c r="AA669" s="5"/>
      <c r="AB669" s="5"/>
      <c r="AC669" s="5"/>
      <c r="AD669" s="5"/>
      <c r="AE669" s="5"/>
      <c r="AF669" s="5"/>
      <c r="AG669" s="5"/>
    </row>
    <row r="670" ht="15.75" customHeight="1">
      <c r="K670" t="s">
        <v>1084</v>
      </c>
      <c r="L670" t="str">
        <f>D38</f>
        <v>H1a1</v>
      </c>
      <c r="M670" t="s">
        <v>1085</v>
      </c>
      <c r="N670" t="s">
        <v>1086</v>
      </c>
      <c r="O670">
        <v>2.2949373E7</v>
      </c>
      <c r="P670">
        <v>2.0787487E7</v>
      </c>
      <c r="Q670" t="s">
        <v>419</v>
      </c>
      <c r="R670" s="5"/>
      <c r="S670" s="5"/>
      <c r="T670" s="5"/>
      <c r="U670" s="5"/>
      <c r="V670" s="5"/>
      <c r="W670" s="5"/>
      <c r="X670" s="5"/>
      <c r="Y670" s="5"/>
      <c r="Z670" s="5"/>
      <c r="AA670" s="5"/>
      <c r="AB670" s="5"/>
      <c r="AC670" s="5"/>
      <c r="AD670" s="5"/>
      <c r="AE670" s="5"/>
      <c r="AF670" s="5"/>
      <c r="AG670" s="5"/>
    </row>
    <row r="671" ht="15.75" customHeight="1">
      <c r="K671" t="s">
        <v>1085</v>
      </c>
      <c r="L671" t="str">
        <f>D38</f>
        <v>H1a1</v>
      </c>
      <c r="M671" t="s">
        <v>1084</v>
      </c>
      <c r="N671" t="s">
        <v>1086</v>
      </c>
      <c r="O671">
        <v>2.2949373E7</v>
      </c>
      <c r="P671">
        <v>2.0787487E7</v>
      </c>
      <c r="Q671" t="s">
        <v>419</v>
      </c>
      <c r="R671" s="5"/>
      <c r="S671" s="5"/>
      <c r="T671" s="5"/>
      <c r="U671" s="5"/>
      <c r="V671" s="5"/>
      <c r="W671" s="5"/>
      <c r="X671" s="5"/>
      <c r="Y671" s="5"/>
      <c r="Z671" s="5"/>
      <c r="AA671" s="5"/>
      <c r="AB671" s="5"/>
      <c r="AC671" s="5"/>
      <c r="AD671" s="5"/>
      <c r="AE671" s="5"/>
      <c r="AF671" s="5"/>
      <c r="AG671" s="5"/>
    </row>
    <row r="672" ht="15.75" customHeight="1">
      <c r="K672" t="s">
        <v>1087</v>
      </c>
      <c r="L672" t="str">
        <f>D38</f>
        <v>H1a1</v>
      </c>
      <c r="M672" t="s">
        <v>1088</v>
      </c>
      <c r="N672" t="s">
        <v>1089</v>
      </c>
      <c r="O672">
        <v>2.3046363E7</v>
      </c>
      <c r="P672">
        <v>2.0884477E7</v>
      </c>
      <c r="Q672" t="s">
        <v>423</v>
      </c>
      <c r="R672" s="5"/>
      <c r="S672" s="5"/>
      <c r="T672" s="5"/>
      <c r="U672" s="5"/>
      <c r="V672" s="5"/>
      <c r="W672" s="5"/>
      <c r="X672" s="5"/>
      <c r="Y672" s="5"/>
      <c r="Z672" s="5"/>
      <c r="AA672" s="5"/>
      <c r="AB672" s="5"/>
      <c r="AC672" s="5"/>
      <c r="AD672" s="5"/>
      <c r="AE672" s="5"/>
      <c r="AF672" s="5"/>
      <c r="AG672" s="5"/>
    </row>
    <row r="673" ht="15.75" customHeight="1">
      <c r="K673" t="s">
        <v>1088</v>
      </c>
      <c r="L673" t="str">
        <f>D38</f>
        <v>H1a1</v>
      </c>
      <c r="M673" t="s">
        <v>1087</v>
      </c>
      <c r="N673" t="s">
        <v>1089</v>
      </c>
      <c r="O673">
        <v>2.3046363E7</v>
      </c>
      <c r="P673">
        <v>2.0884477E7</v>
      </c>
      <c r="Q673" t="s">
        <v>423</v>
      </c>
      <c r="R673" s="5"/>
      <c r="S673" s="5"/>
      <c r="T673" s="5"/>
      <c r="U673" s="5"/>
      <c r="V673" s="5"/>
      <c r="W673" s="5"/>
      <c r="X673" s="5"/>
      <c r="Y673" s="5"/>
      <c r="Z673" s="5"/>
      <c r="AA673" s="5"/>
      <c r="AB673" s="5"/>
      <c r="AC673" s="5"/>
      <c r="AD673" s="5"/>
      <c r="AE673" s="5"/>
      <c r="AF673" s="5"/>
      <c r="AG673" s="5"/>
    </row>
    <row r="674" ht="15.75" customHeight="1">
      <c r="K674" t="s">
        <v>1090</v>
      </c>
      <c r="L674" t="str">
        <f>D38</f>
        <v>H1a1</v>
      </c>
      <c r="M674" t="s">
        <v>1091</v>
      </c>
      <c r="N674" t="s">
        <v>1092</v>
      </c>
      <c r="O674">
        <v>2.3069431E7</v>
      </c>
      <c r="P674">
        <v>2.0907545E7</v>
      </c>
      <c r="Q674" t="s">
        <v>435</v>
      </c>
      <c r="R674" s="5"/>
      <c r="S674" s="5"/>
      <c r="T674" s="5"/>
      <c r="U674" s="5"/>
      <c r="V674" s="5"/>
      <c r="W674" s="5"/>
      <c r="X674" s="5"/>
      <c r="Y674" s="5"/>
      <c r="Z674" s="5"/>
      <c r="AA674" s="5"/>
      <c r="AB674" s="5"/>
      <c r="AC674" s="5"/>
      <c r="AD674" s="5"/>
      <c r="AE674" s="5"/>
      <c r="AF674" s="5"/>
      <c r="AG674" s="5"/>
    </row>
    <row r="675" ht="15.75" customHeight="1">
      <c r="K675" t="s">
        <v>1091</v>
      </c>
      <c r="L675" t="str">
        <f>D38</f>
        <v>H1a1</v>
      </c>
      <c r="M675" t="s">
        <v>1090</v>
      </c>
      <c r="N675" t="s">
        <v>1092</v>
      </c>
      <c r="O675">
        <v>2.3069431E7</v>
      </c>
      <c r="P675">
        <v>2.0907545E7</v>
      </c>
      <c r="Q675" t="s">
        <v>435</v>
      </c>
      <c r="R675" s="5"/>
      <c r="S675" s="5"/>
      <c r="T675" s="5"/>
      <c r="U675" s="5"/>
      <c r="V675" s="5"/>
      <c r="W675" s="5"/>
      <c r="X675" s="5"/>
      <c r="Y675" s="5"/>
      <c r="Z675" s="5"/>
      <c r="AA675" s="5"/>
      <c r="AB675" s="5"/>
      <c r="AC675" s="5"/>
      <c r="AD675" s="5"/>
      <c r="AE675" s="5"/>
      <c r="AF675" s="5"/>
      <c r="AG675" s="5"/>
    </row>
    <row r="676" ht="15.75" customHeight="1">
      <c r="K676" t="s">
        <v>1093</v>
      </c>
      <c r="L676" t="str">
        <f>D38</f>
        <v>H1a1</v>
      </c>
      <c r="M676" t="s">
        <v>1094</v>
      </c>
      <c r="N676" t="s">
        <v>1095</v>
      </c>
      <c r="O676">
        <v>2.3085931E7</v>
      </c>
      <c r="P676">
        <v>2.0924045E7</v>
      </c>
      <c r="Q676" t="s">
        <v>435</v>
      </c>
      <c r="R676" s="5"/>
      <c r="S676" s="5"/>
      <c r="T676" s="5"/>
      <c r="U676" s="5"/>
      <c r="V676" s="5"/>
      <c r="W676" s="5"/>
      <c r="X676" s="5"/>
      <c r="Y676" s="5"/>
      <c r="Z676" s="5"/>
      <c r="AA676" s="5"/>
      <c r="AB676" s="5"/>
      <c r="AC676" s="5"/>
      <c r="AD676" s="5"/>
      <c r="AE676" s="5"/>
      <c r="AF676" s="5"/>
      <c r="AG676" s="5"/>
    </row>
    <row r="677" ht="15.75" customHeight="1">
      <c r="K677" t="s">
        <v>1094</v>
      </c>
      <c r="L677" t="str">
        <f>D38</f>
        <v>H1a1</v>
      </c>
      <c r="M677" t="s">
        <v>1093</v>
      </c>
      <c r="N677" t="s">
        <v>1095</v>
      </c>
      <c r="O677">
        <v>2.3085931E7</v>
      </c>
      <c r="P677">
        <v>2.0924045E7</v>
      </c>
      <c r="Q677" t="s">
        <v>435</v>
      </c>
      <c r="R677" s="5"/>
      <c r="S677" s="5"/>
      <c r="T677" s="5"/>
      <c r="U677" s="5"/>
      <c r="V677" s="5"/>
      <c r="W677" s="5"/>
      <c r="X677" s="5"/>
      <c r="Y677" s="5"/>
      <c r="Z677" s="5"/>
      <c r="AA677" s="5"/>
      <c r="AB677" s="5"/>
      <c r="AC677" s="5"/>
      <c r="AD677" s="5"/>
      <c r="AE677" s="5"/>
      <c r="AF677" s="5"/>
      <c r="AG677" s="5"/>
    </row>
    <row r="678" ht="15.75" customHeight="1">
      <c r="K678" t="s">
        <v>1096</v>
      </c>
      <c r="L678" t="str">
        <f>D38</f>
        <v>H1a1</v>
      </c>
      <c r="M678" t="s">
        <v>1097</v>
      </c>
      <c r="N678" t="s">
        <v>1098</v>
      </c>
      <c r="O678">
        <v>2.3247207E7</v>
      </c>
      <c r="P678">
        <v>2.1085321E7</v>
      </c>
      <c r="Q678" t="s">
        <v>431</v>
      </c>
      <c r="R678" s="5"/>
      <c r="S678" s="5"/>
      <c r="T678" s="5"/>
      <c r="U678" s="5"/>
      <c r="V678" s="5"/>
      <c r="W678" s="5"/>
      <c r="X678" s="5"/>
      <c r="Y678" s="5"/>
      <c r="Z678" s="5"/>
      <c r="AA678" s="5"/>
      <c r="AB678" s="5"/>
      <c r="AC678" s="5"/>
      <c r="AD678" s="5"/>
      <c r="AE678" s="5"/>
      <c r="AF678" s="5"/>
      <c r="AG678" s="5"/>
    </row>
    <row r="679" ht="15.75" customHeight="1">
      <c r="K679" t="s">
        <v>1097</v>
      </c>
      <c r="L679" t="str">
        <f>D38</f>
        <v>H1a1</v>
      </c>
      <c r="M679" t="s">
        <v>1096</v>
      </c>
      <c r="N679" t="s">
        <v>1098</v>
      </c>
      <c r="O679">
        <v>2.3247207E7</v>
      </c>
      <c r="P679">
        <v>2.1085321E7</v>
      </c>
      <c r="Q679" t="s">
        <v>431</v>
      </c>
      <c r="R679" s="5"/>
      <c r="S679" s="5"/>
      <c r="T679" s="5"/>
      <c r="U679" s="5"/>
      <c r="V679" s="5"/>
      <c r="W679" s="5"/>
      <c r="X679" s="5"/>
      <c r="Y679" s="5"/>
      <c r="Z679" s="5"/>
      <c r="AA679" s="5"/>
      <c r="AB679" s="5"/>
      <c r="AC679" s="5"/>
      <c r="AD679" s="5"/>
      <c r="AE679" s="5"/>
      <c r="AF679" s="5"/>
      <c r="AG679" s="5"/>
    </row>
    <row r="680" ht="15.75" customHeight="1">
      <c r="K680" t="s">
        <v>1099</v>
      </c>
      <c r="L680" t="str">
        <f>D38</f>
        <v>H1a1</v>
      </c>
      <c r="M680" t="s">
        <v>1100</v>
      </c>
      <c r="N680" t="s">
        <v>1101</v>
      </c>
      <c r="O680">
        <v>2.3250893E7</v>
      </c>
      <c r="P680">
        <v>2.1089007E7</v>
      </c>
      <c r="Q680" t="s">
        <v>419</v>
      </c>
      <c r="R680" s="5"/>
      <c r="S680" s="5"/>
      <c r="T680" s="5"/>
      <c r="U680" s="5"/>
      <c r="V680" s="5"/>
      <c r="W680" s="5"/>
      <c r="X680" s="5"/>
      <c r="Y680" s="5"/>
      <c r="Z680" s="5"/>
      <c r="AA680" s="5"/>
      <c r="AB680" s="5"/>
      <c r="AC680" s="5"/>
      <c r="AD680" s="5"/>
      <c r="AE680" s="5"/>
      <c r="AF680" s="5"/>
      <c r="AG680" s="5"/>
    </row>
    <row r="681" ht="15.75" customHeight="1">
      <c r="K681" t="s">
        <v>1100</v>
      </c>
      <c r="L681" t="str">
        <f>D38</f>
        <v>H1a1</v>
      </c>
      <c r="M681" t="s">
        <v>1099</v>
      </c>
      <c r="N681" t="s">
        <v>1101</v>
      </c>
      <c r="O681">
        <v>2.3250893E7</v>
      </c>
      <c r="P681">
        <v>2.1089007E7</v>
      </c>
      <c r="Q681" t="s">
        <v>419</v>
      </c>
      <c r="R681" s="5"/>
      <c r="S681" s="5"/>
      <c r="T681" s="5"/>
      <c r="U681" s="5"/>
      <c r="V681" s="5"/>
      <c r="W681" s="5"/>
      <c r="X681" s="5"/>
      <c r="Y681" s="5"/>
      <c r="Z681" s="5"/>
      <c r="AA681" s="5"/>
      <c r="AB681" s="5"/>
      <c r="AC681" s="5"/>
      <c r="AD681" s="5"/>
      <c r="AE681" s="5"/>
      <c r="AF681" s="5"/>
      <c r="AG681" s="5"/>
    </row>
    <row r="682" ht="15.75" customHeight="1">
      <c r="K682" t="s">
        <v>1102</v>
      </c>
      <c r="L682" t="str">
        <f>D38</f>
        <v>H1a1</v>
      </c>
      <c r="M682" t="s">
        <v>1103</v>
      </c>
      <c r="N682" t="s">
        <v>1104</v>
      </c>
      <c r="O682">
        <v>2.3335394E7</v>
      </c>
      <c r="P682">
        <v>2.1173508E7</v>
      </c>
      <c r="Q682" t="s">
        <v>419</v>
      </c>
      <c r="R682" s="5"/>
      <c r="S682" s="5"/>
      <c r="T682" s="5"/>
      <c r="U682" s="5"/>
      <c r="V682" s="5"/>
      <c r="W682" s="5"/>
      <c r="X682" s="5"/>
      <c r="Y682" s="5"/>
      <c r="Z682" s="5"/>
      <c r="AA682" s="5"/>
      <c r="AB682" s="5"/>
      <c r="AC682" s="5"/>
      <c r="AD682" s="5"/>
      <c r="AE682" s="5"/>
      <c r="AF682" s="5"/>
      <c r="AG682" s="5"/>
    </row>
    <row r="683" ht="15.75" customHeight="1">
      <c r="K683" t="s">
        <v>1103</v>
      </c>
      <c r="L683" t="str">
        <f>D38</f>
        <v>H1a1</v>
      </c>
      <c r="M683" t="s">
        <v>1102</v>
      </c>
      <c r="N683" t="s">
        <v>1104</v>
      </c>
      <c r="O683">
        <v>2.3335394E7</v>
      </c>
      <c r="P683">
        <v>2.1173508E7</v>
      </c>
      <c r="Q683" t="s">
        <v>419</v>
      </c>
      <c r="R683" s="5"/>
      <c r="S683" s="5"/>
      <c r="T683" s="5"/>
      <c r="U683" s="5"/>
      <c r="V683" s="5"/>
      <c r="W683" s="5"/>
      <c r="X683" s="5"/>
      <c r="Y683" s="5"/>
      <c r="Z683" s="5"/>
      <c r="AA683" s="5"/>
      <c r="AB683" s="5"/>
      <c r="AC683" s="5"/>
      <c r="AD683" s="5"/>
      <c r="AE683" s="5"/>
      <c r="AF683" s="5"/>
      <c r="AG683" s="5"/>
    </row>
    <row r="684" ht="15.75" customHeight="1">
      <c r="K684" t="s">
        <v>1105</v>
      </c>
      <c r="L684" t="str">
        <f>D38</f>
        <v>H1a1</v>
      </c>
      <c r="M684" t="s">
        <v>1106</v>
      </c>
      <c r="N684" t="s">
        <v>1107</v>
      </c>
      <c r="O684">
        <v>2.3423294E7</v>
      </c>
      <c r="P684">
        <v>2.1261408E7</v>
      </c>
      <c r="Q684" t="s">
        <v>459</v>
      </c>
      <c r="R684" s="5"/>
      <c r="S684" s="5"/>
      <c r="T684" s="5"/>
      <c r="U684" s="5"/>
      <c r="V684" s="5"/>
      <c r="W684" s="5"/>
      <c r="X684" s="5"/>
      <c r="Y684" s="5"/>
      <c r="Z684" s="5"/>
      <c r="AA684" s="5"/>
      <c r="AB684" s="5"/>
      <c r="AC684" s="5"/>
      <c r="AD684" s="5"/>
      <c r="AE684" s="5"/>
      <c r="AF684" s="5"/>
      <c r="AG684" s="5"/>
    </row>
    <row r="685" ht="15.75" customHeight="1">
      <c r="K685" t="s">
        <v>1106</v>
      </c>
      <c r="L685" t="str">
        <f>D38</f>
        <v>H1a1</v>
      </c>
      <c r="M685" t="s">
        <v>1105</v>
      </c>
      <c r="N685" t="s">
        <v>1107</v>
      </c>
      <c r="O685">
        <v>2.3423294E7</v>
      </c>
      <c r="P685">
        <v>2.1261408E7</v>
      </c>
      <c r="Q685" t="s">
        <v>459</v>
      </c>
      <c r="R685" s="5"/>
      <c r="S685" s="5"/>
      <c r="T685" s="5"/>
      <c r="U685" s="5"/>
      <c r="V685" s="5"/>
      <c r="W685" s="5"/>
      <c r="X685" s="5"/>
      <c r="Y685" s="5"/>
      <c r="Z685" s="5"/>
      <c r="AA685" s="5"/>
      <c r="AB685" s="5"/>
      <c r="AC685" s="5"/>
      <c r="AD685" s="5"/>
      <c r="AE685" s="5"/>
      <c r="AF685" s="5"/>
      <c r="AG685" s="5"/>
    </row>
    <row r="686" ht="15.75" customHeight="1">
      <c r="K686" t="s">
        <v>1108</v>
      </c>
      <c r="L686" t="str">
        <f>D38</f>
        <v>H1a1</v>
      </c>
      <c r="N686" t="s">
        <v>1109</v>
      </c>
      <c r="O686">
        <v>2.3596913E7</v>
      </c>
      <c r="P686">
        <v>2.1435027E7</v>
      </c>
      <c r="Q686" t="s">
        <v>452</v>
      </c>
      <c r="R686" s="5"/>
      <c r="S686" s="5"/>
      <c r="T686" s="5"/>
      <c r="U686" s="5"/>
      <c r="V686" s="5"/>
      <c r="W686" s="5"/>
      <c r="X686" s="5"/>
      <c r="Y686" s="5"/>
      <c r="Z686" s="5"/>
      <c r="AA686" s="5"/>
      <c r="AB686" s="5"/>
      <c r="AC686" s="5"/>
      <c r="AD686" s="5"/>
      <c r="AE686" s="5"/>
      <c r="AF686" s="5"/>
      <c r="AG686" s="5"/>
    </row>
    <row r="687" ht="15.75" customHeight="1">
      <c r="K687" t="s">
        <v>1110</v>
      </c>
      <c r="L687" t="str">
        <f>D38</f>
        <v>H1a1</v>
      </c>
      <c r="M687" t="s">
        <v>1111</v>
      </c>
      <c r="N687" t="s">
        <v>1112</v>
      </c>
      <c r="O687">
        <v>2.375553E7</v>
      </c>
      <c r="P687">
        <v>2.1593644E7</v>
      </c>
      <c r="Q687" t="s">
        <v>419</v>
      </c>
      <c r="R687" s="5"/>
      <c r="S687" s="5"/>
      <c r="T687" s="5"/>
      <c r="U687" s="5"/>
      <c r="V687" s="5"/>
      <c r="W687" s="5"/>
      <c r="X687" s="5"/>
      <c r="Y687" s="5"/>
      <c r="Z687" s="5"/>
      <c r="AA687" s="5"/>
      <c r="AB687" s="5"/>
      <c r="AC687" s="5"/>
      <c r="AD687" s="5"/>
      <c r="AE687" s="5"/>
      <c r="AF687" s="5"/>
      <c r="AG687" s="5"/>
    </row>
    <row r="688" ht="15.75" customHeight="1">
      <c r="K688" t="s">
        <v>1111</v>
      </c>
      <c r="L688" t="str">
        <f>D38</f>
        <v>H1a1</v>
      </c>
      <c r="M688" t="s">
        <v>1110</v>
      </c>
      <c r="N688" t="s">
        <v>1112</v>
      </c>
      <c r="O688">
        <v>2.375553E7</v>
      </c>
      <c r="P688">
        <v>2.1593644E7</v>
      </c>
      <c r="Q688" t="s">
        <v>419</v>
      </c>
      <c r="R688" s="5"/>
      <c r="S688" s="5"/>
      <c r="T688" s="5"/>
      <c r="U688" s="5"/>
      <c r="V688" s="5"/>
      <c r="W688" s="5"/>
      <c r="X688" s="5"/>
      <c r="Y688" s="5"/>
      <c r="Z688" s="5"/>
      <c r="AA688" s="5"/>
      <c r="AB688" s="5"/>
      <c r="AC688" s="5"/>
      <c r="AD688" s="5"/>
      <c r="AE688" s="5"/>
      <c r="AF688" s="5"/>
      <c r="AG688" s="5"/>
    </row>
    <row r="689" ht="15.75" customHeight="1">
      <c r="K689" t="s">
        <v>1113</v>
      </c>
      <c r="L689" t="str">
        <f>D38</f>
        <v>H1a1</v>
      </c>
      <c r="M689" t="s">
        <v>1114</v>
      </c>
      <c r="N689" t="s">
        <v>1115</v>
      </c>
      <c r="O689">
        <v>2.4403996E7</v>
      </c>
      <c r="P689">
        <v>2.2257849E7</v>
      </c>
      <c r="Q689" t="s">
        <v>448</v>
      </c>
      <c r="R689" s="5"/>
      <c r="S689" s="5"/>
      <c r="T689" s="5"/>
      <c r="U689" s="5"/>
      <c r="V689" s="5"/>
      <c r="W689" s="5"/>
      <c r="X689" s="5"/>
      <c r="Y689" s="5"/>
      <c r="Z689" s="5"/>
      <c r="AA689" s="5"/>
      <c r="AB689" s="5"/>
      <c r="AC689" s="5"/>
      <c r="AD689" s="5"/>
      <c r="AE689" s="5"/>
      <c r="AF689" s="5"/>
      <c r="AG689" s="5"/>
    </row>
    <row r="690" ht="15.75" customHeight="1">
      <c r="K690" t="s">
        <v>1114</v>
      </c>
      <c r="L690" t="str">
        <f>D38</f>
        <v>H1a1</v>
      </c>
      <c r="M690" t="s">
        <v>1113</v>
      </c>
      <c r="N690" t="s">
        <v>1115</v>
      </c>
      <c r="O690">
        <v>2.4403996E7</v>
      </c>
      <c r="P690">
        <v>2.2257849E7</v>
      </c>
      <c r="Q690" t="s">
        <v>448</v>
      </c>
      <c r="R690" s="5"/>
      <c r="S690" s="5"/>
      <c r="T690" s="5"/>
      <c r="U690" s="5"/>
      <c r="V690" s="5"/>
      <c r="W690" s="5"/>
      <c r="X690" s="5"/>
      <c r="Y690" s="5"/>
      <c r="Z690" s="5"/>
      <c r="AA690" s="5"/>
      <c r="AB690" s="5"/>
      <c r="AC690" s="5"/>
      <c r="AD690" s="5"/>
      <c r="AE690" s="5"/>
      <c r="AF690" s="5"/>
      <c r="AG690" s="5"/>
    </row>
    <row r="691" ht="15.75" customHeight="1">
      <c r="K691" t="s">
        <v>1116</v>
      </c>
      <c r="L691" t="str">
        <f>D38</f>
        <v>H1a1</v>
      </c>
      <c r="M691" t="s">
        <v>1117</v>
      </c>
      <c r="N691" t="s">
        <v>1118</v>
      </c>
      <c r="O691">
        <v>2.4480557E7</v>
      </c>
      <c r="P691">
        <v>2.233441E7</v>
      </c>
      <c r="Q691" t="s">
        <v>419</v>
      </c>
      <c r="R691" s="5"/>
      <c r="S691" s="5"/>
      <c r="T691" s="5"/>
      <c r="U691" s="5"/>
      <c r="V691" s="5"/>
      <c r="W691" s="5"/>
      <c r="X691" s="5"/>
      <c r="Y691" s="5"/>
      <c r="Z691" s="5"/>
      <c r="AA691" s="5"/>
      <c r="AB691" s="5"/>
      <c r="AC691" s="5"/>
      <c r="AD691" s="5"/>
      <c r="AE691" s="5"/>
      <c r="AF691" s="5"/>
      <c r="AG691" s="5"/>
    </row>
    <row r="692" ht="15.75" customHeight="1">
      <c r="K692" t="s">
        <v>1117</v>
      </c>
      <c r="L692" t="str">
        <f>D38</f>
        <v>H1a1</v>
      </c>
      <c r="M692" t="s">
        <v>1116</v>
      </c>
      <c r="N692" t="s">
        <v>1118</v>
      </c>
      <c r="O692">
        <v>2.4480557E7</v>
      </c>
      <c r="P692">
        <v>2.233441E7</v>
      </c>
      <c r="Q692" t="s">
        <v>419</v>
      </c>
      <c r="R692" s="5"/>
      <c r="S692" s="5"/>
      <c r="T692" s="5"/>
      <c r="U692" s="5"/>
      <c r="V692" s="5"/>
      <c r="W692" s="5"/>
      <c r="X692" s="5"/>
      <c r="Y692" s="5"/>
      <c r="Z692" s="5"/>
      <c r="AA692" s="5"/>
      <c r="AB692" s="5"/>
      <c r="AC692" s="5"/>
      <c r="AD692" s="5"/>
      <c r="AE692" s="5"/>
      <c r="AF692" s="5"/>
      <c r="AG692" s="5"/>
    </row>
    <row r="693" ht="15.75" customHeight="1">
      <c r="K693" t="s">
        <v>1119</v>
      </c>
      <c r="L693" t="str">
        <f>D38</f>
        <v>H1a1</v>
      </c>
      <c r="N693" t="s">
        <v>1120</v>
      </c>
      <c r="O693">
        <v>2.8539344E7</v>
      </c>
      <c r="P693">
        <v>2.6393197E7</v>
      </c>
      <c r="Q693" t="s">
        <v>431</v>
      </c>
      <c r="R693" s="5"/>
      <c r="S693" s="5"/>
      <c r="T693" s="5"/>
      <c r="U693" s="5"/>
      <c r="V693" s="5"/>
      <c r="W693" s="5"/>
      <c r="X693" s="5"/>
      <c r="Y693" s="5"/>
      <c r="Z693" s="5"/>
      <c r="AA693" s="5"/>
      <c r="AB693" s="5"/>
      <c r="AC693" s="5"/>
      <c r="AD693" s="5"/>
      <c r="AE693" s="5"/>
      <c r="AF693" s="5"/>
      <c r="AG693" s="5"/>
    </row>
    <row r="694" ht="15.75" customHeight="1">
      <c r="K694" t="s">
        <v>1121</v>
      </c>
      <c r="L694" t="str">
        <f>D38</f>
        <v>H1a1</v>
      </c>
      <c r="N694" t="s">
        <v>1122</v>
      </c>
      <c r="O694">
        <v>2.8715255E7</v>
      </c>
      <c r="P694">
        <v>2.6569108E7</v>
      </c>
      <c r="Q694" t="s">
        <v>427</v>
      </c>
      <c r="R694" s="5"/>
      <c r="S694" s="5"/>
      <c r="T694" s="5"/>
      <c r="U694" s="5"/>
      <c r="V694" s="5"/>
      <c r="W694" s="5"/>
      <c r="X694" s="5"/>
      <c r="Y694" s="5"/>
      <c r="Z694" s="5"/>
      <c r="AA694" s="5"/>
      <c r="AB694" s="5"/>
      <c r="AC694" s="5"/>
      <c r="AD694" s="5"/>
      <c r="AE694" s="5"/>
      <c r="AF694" s="5"/>
      <c r="AG694" s="5"/>
    </row>
    <row r="695" ht="15.75" customHeight="1">
      <c r="K695" t="s">
        <v>1123</v>
      </c>
      <c r="L695" t="str">
        <f>D38</f>
        <v>H1a1</v>
      </c>
      <c r="N695" t="s">
        <v>1124</v>
      </c>
      <c r="O695">
        <v>2.8722107E7</v>
      </c>
      <c r="P695">
        <v>2.657596E7</v>
      </c>
      <c r="Q695" t="s">
        <v>473</v>
      </c>
      <c r="R695" s="5"/>
      <c r="S695" s="5"/>
      <c r="T695" s="5"/>
      <c r="U695" s="5"/>
      <c r="V695" s="5"/>
      <c r="W695" s="5"/>
      <c r="X695" s="5"/>
      <c r="Y695" s="5"/>
      <c r="Z695" s="5"/>
      <c r="AA695" s="5"/>
      <c r="AB695" s="5"/>
      <c r="AC695" s="5"/>
      <c r="AD695" s="5"/>
      <c r="AE695" s="5"/>
      <c r="AF695" s="5"/>
      <c r="AG695" s="5"/>
    </row>
    <row r="696" ht="15.75" customHeight="1">
      <c r="K696" t="s">
        <v>1125</v>
      </c>
      <c r="L696" t="str">
        <f>D38</f>
        <v>H1a1</v>
      </c>
      <c r="N696" t="s">
        <v>1126</v>
      </c>
      <c r="O696">
        <v>1.6020179E7</v>
      </c>
      <c r="P696">
        <v>1.3908299E7</v>
      </c>
      <c r="Q696" t="s">
        <v>419</v>
      </c>
      <c r="R696" s="5"/>
      <c r="S696" s="5"/>
      <c r="T696" s="5"/>
      <c r="U696" s="5"/>
      <c r="V696" s="5"/>
      <c r="W696" s="5"/>
      <c r="X696" s="5"/>
      <c r="Y696" s="5"/>
      <c r="Z696" s="5"/>
      <c r="AA696" s="5"/>
      <c r="AB696" s="5"/>
      <c r="AC696" s="5"/>
      <c r="AD696" s="5"/>
      <c r="AE696" s="5"/>
      <c r="AF696" s="5"/>
      <c r="AG696" s="5"/>
    </row>
    <row r="697" ht="15.75" customHeight="1">
      <c r="K697" t="s">
        <v>1127</v>
      </c>
      <c r="L697" t="str">
        <f>D38</f>
        <v>H1a1</v>
      </c>
      <c r="N697" t="s">
        <v>1128</v>
      </c>
      <c r="O697">
        <v>7568094.0</v>
      </c>
      <c r="P697">
        <v>7700053.0</v>
      </c>
      <c r="Q697" t="s">
        <v>419</v>
      </c>
      <c r="R697" s="5"/>
      <c r="S697" s="5"/>
      <c r="T697" s="5"/>
      <c r="U697" s="5"/>
      <c r="V697" s="5"/>
      <c r="W697" s="5"/>
      <c r="X697" s="5"/>
      <c r="Y697" s="5"/>
      <c r="Z697" s="5"/>
      <c r="AA697" s="5"/>
      <c r="AB697" s="5"/>
      <c r="AC697" s="5"/>
      <c r="AD697" s="5"/>
      <c r="AE697" s="5"/>
      <c r="AF697" s="5"/>
      <c r="AG697" s="5"/>
    </row>
    <row r="698" ht="15.75" customHeight="1">
      <c r="K698" t="s">
        <v>1129</v>
      </c>
      <c r="L698" t="str">
        <f>D38</f>
        <v>H1a1</v>
      </c>
      <c r="N698" t="s">
        <v>1130</v>
      </c>
      <c r="O698">
        <v>8296873.0</v>
      </c>
      <c r="P698">
        <v>8428832.0</v>
      </c>
      <c r="Q698" t="s">
        <v>459</v>
      </c>
      <c r="R698" s="5"/>
      <c r="S698" s="5"/>
      <c r="T698" s="5"/>
      <c r="U698" s="5"/>
      <c r="V698" s="5"/>
      <c r="W698" s="5"/>
      <c r="X698" s="5"/>
      <c r="Y698" s="5"/>
      <c r="Z698" s="5"/>
      <c r="AA698" s="5"/>
      <c r="AB698" s="5"/>
      <c r="AC698" s="5"/>
      <c r="AD698" s="5"/>
      <c r="AE698" s="5"/>
      <c r="AF698" s="5"/>
      <c r="AG698" s="5"/>
    </row>
    <row r="699" ht="15.75" customHeight="1">
      <c r="K699" t="s">
        <v>1131</v>
      </c>
      <c r="L699" t="str">
        <f>D38</f>
        <v>H1a1</v>
      </c>
      <c r="N699" t="s">
        <v>1132</v>
      </c>
      <c r="O699">
        <v>8336493.0</v>
      </c>
      <c r="P699">
        <v>8468452.0</v>
      </c>
      <c r="Q699" t="s">
        <v>419</v>
      </c>
      <c r="R699" s="5"/>
      <c r="S699" s="5"/>
      <c r="T699" s="5"/>
      <c r="U699" s="5"/>
      <c r="V699" s="5"/>
      <c r="W699" s="5"/>
      <c r="X699" s="5"/>
      <c r="Y699" s="5"/>
      <c r="Z699" s="5"/>
      <c r="AA699" s="5"/>
      <c r="AB699" s="5"/>
      <c r="AC699" s="5"/>
      <c r="AD699" s="5"/>
      <c r="AE699" s="5"/>
      <c r="AF699" s="5"/>
      <c r="AG699" s="5"/>
    </row>
    <row r="700" ht="15.75" customHeight="1">
      <c r="K700" t="s">
        <v>1133</v>
      </c>
      <c r="L700" t="str">
        <f>D38</f>
        <v>H1a1</v>
      </c>
      <c r="N700" t="s">
        <v>1134</v>
      </c>
      <c r="O700">
        <v>8896685.0</v>
      </c>
      <c r="P700">
        <v>9028644.0</v>
      </c>
      <c r="Q700" t="s">
        <v>459</v>
      </c>
      <c r="R700" s="5"/>
      <c r="S700" s="5"/>
      <c r="T700" s="5"/>
      <c r="U700" s="5"/>
      <c r="V700" s="5"/>
      <c r="W700" s="5"/>
      <c r="X700" s="5"/>
      <c r="Y700" s="5"/>
      <c r="Z700" s="5"/>
      <c r="AA700" s="5"/>
      <c r="AB700" s="5"/>
      <c r="AC700" s="5"/>
      <c r="AD700" s="5"/>
      <c r="AE700" s="5"/>
      <c r="AF700" s="5"/>
      <c r="AG700" s="5"/>
    </row>
    <row r="701" ht="15.75" customHeight="1">
      <c r="K701" t="s">
        <v>1135</v>
      </c>
      <c r="L701" t="str">
        <f>D38</f>
        <v>H1a1</v>
      </c>
      <c r="N701" t="s">
        <v>1136</v>
      </c>
      <c r="O701">
        <v>9388774.0</v>
      </c>
      <c r="P701">
        <v>9551165.0</v>
      </c>
      <c r="Q701" t="s">
        <v>525</v>
      </c>
      <c r="R701" s="5"/>
      <c r="S701" s="5"/>
      <c r="T701" s="5"/>
      <c r="U701" s="5"/>
      <c r="V701" s="5"/>
      <c r="W701" s="5"/>
      <c r="X701" s="5"/>
      <c r="Y701" s="5"/>
      <c r="Z701" s="5"/>
      <c r="AA701" s="5"/>
      <c r="AB701" s="5"/>
      <c r="AC701" s="5"/>
      <c r="AD701" s="5"/>
      <c r="AE701" s="5"/>
      <c r="AF701" s="5"/>
      <c r="AG701" s="5"/>
    </row>
    <row r="702" ht="15.75" customHeight="1">
      <c r="K702" t="s">
        <v>1137</v>
      </c>
      <c r="L702" t="str">
        <f>D38</f>
        <v>H1a1</v>
      </c>
      <c r="N702" t="s">
        <v>1138</v>
      </c>
      <c r="O702">
        <v>9644210.0</v>
      </c>
      <c r="P702">
        <v>9806601.0</v>
      </c>
      <c r="Q702" t="s">
        <v>452</v>
      </c>
      <c r="R702" s="5"/>
      <c r="S702" s="5"/>
      <c r="T702" s="5"/>
      <c r="U702" s="5"/>
      <c r="V702" s="5"/>
      <c r="W702" s="5"/>
      <c r="X702" s="5"/>
      <c r="Y702" s="5"/>
      <c r="Z702" s="5"/>
      <c r="AA702" s="5"/>
      <c r="AB702" s="5"/>
      <c r="AC702" s="5"/>
      <c r="AD702" s="5"/>
      <c r="AE702" s="5"/>
      <c r="AF702" s="5"/>
      <c r="AG702" s="5"/>
    </row>
    <row r="703" ht="15.75" customHeight="1">
      <c r="K703" t="s">
        <v>1139</v>
      </c>
      <c r="L703" t="str">
        <f>D38</f>
        <v>H1a1</v>
      </c>
      <c r="N703" t="s">
        <v>1140</v>
      </c>
      <c r="O703">
        <v>1.0080966E7</v>
      </c>
      <c r="P703">
        <v>1.0243357E7</v>
      </c>
      <c r="Q703" t="s">
        <v>423</v>
      </c>
      <c r="R703" s="5"/>
      <c r="S703" s="5"/>
      <c r="T703" s="5"/>
      <c r="U703" s="5"/>
      <c r="V703" s="5"/>
      <c r="W703" s="5"/>
      <c r="X703" s="5"/>
      <c r="Y703" s="5"/>
      <c r="Z703" s="5"/>
      <c r="AA703" s="5"/>
      <c r="AB703" s="5"/>
      <c r="AC703" s="5"/>
      <c r="AD703" s="5"/>
      <c r="AE703" s="5"/>
      <c r="AF703" s="5"/>
      <c r="AG703" s="5"/>
    </row>
    <row r="704" ht="15.75" customHeight="1">
      <c r="K704" t="s">
        <v>1141</v>
      </c>
      <c r="L704" t="str">
        <f>D38</f>
        <v>H1a1</v>
      </c>
      <c r="N704" t="s">
        <v>1142</v>
      </c>
      <c r="O704">
        <v>1.3675E7</v>
      </c>
      <c r="P704">
        <v>1.1519324E7</v>
      </c>
      <c r="Q704" t="s">
        <v>435</v>
      </c>
      <c r="R704" s="5"/>
      <c r="S704" s="5"/>
      <c r="T704" s="5"/>
      <c r="U704" s="5"/>
      <c r="V704" s="5"/>
      <c r="W704" s="5"/>
      <c r="X704" s="5"/>
      <c r="Y704" s="5"/>
      <c r="Z704" s="5"/>
      <c r="AA704" s="5"/>
      <c r="AB704" s="5"/>
      <c r="AC704" s="5"/>
      <c r="AD704" s="5"/>
      <c r="AE704" s="5"/>
      <c r="AF704" s="5"/>
      <c r="AG704" s="5"/>
    </row>
    <row r="705" ht="15.75" customHeight="1">
      <c r="K705" t="s">
        <v>1143</v>
      </c>
      <c r="L705" t="str">
        <f>D38</f>
        <v>H1a1</v>
      </c>
      <c r="N705" t="s">
        <v>1144</v>
      </c>
      <c r="O705">
        <v>1.3840663E7</v>
      </c>
      <c r="P705">
        <v>1.1719957E7</v>
      </c>
      <c r="Q705" t="s">
        <v>435</v>
      </c>
      <c r="R705" s="5"/>
      <c r="S705" s="5"/>
      <c r="T705" s="5"/>
      <c r="U705" s="5"/>
      <c r="V705" s="5"/>
      <c r="W705" s="5"/>
      <c r="X705" s="5"/>
      <c r="Y705" s="5"/>
      <c r="Z705" s="5"/>
      <c r="AA705" s="5"/>
      <c r="AB705" s="5"/>
      <c r="AC705" s="5"/>
      <c r="AD705" s="5"/>
      <c r="AE705" s="5"/>
      <c r="AF705" s="5"/>
      <c r="AG705" s="5"/>
    </row>
    <row r="706" ht="15.75" customHeight="1">
      <c r="K706" t="s">
        <v>1145</v>
      </c>
      <c r="L706" t="str">
        <f>D38</f>
        <v>H1a1</v>
      </c>
      <c r="N706" t="s">
        <v>1146</v>
      </c>
      <c r="O706">
        <v>1.4073765E7</v>
      </c>
      <c r="P706">
        <v>1.1953059E7</v>
      </c>
      <c r="Q706" t="s">
        <v>448</v>
      </c>
      <c r="R706" s="5"/>
      <c r="S706" s="5"/>
      <c r="T706" s="5"/>
      <c r="U706" s="5"/>
      <c r="V706" s="5"/>
      <c r="W706" s="5"/>
      <c r="X706" s="5"/>
      <c r="Y706" s="5"/>
      <c r="Z706" s="5"/>
      <c r="AA706" s="5"/>
      <c r="AB706" s="5"/>
      <c r="AC706" s="5"/>
      <c r="AD706" s="5"/>
      <c r="AE706" s="5"/>
      <c r="AF706" s="5"/>
      <c r="AG706" s="5"/>
    </row>
    <row r="707" ht="15.75" customHeight="1">
      <c r="K707" t="s">
        <v>1147</v>
      </c>
      <c r="L707" t="str">
        <f>D38</f>
        <v>H1a1</v>
      </c>
      <c r="N707" t="s">
        <v>1148</v>
      </c>
      <c r="O707">
        <v>1.5491651E7</v>
      </c>
      <c r="P707">
        <v>1.3379771E7</v>
      </c>
      <c r="Q707" t="s">
        <v>476</v>
      </c>
      <c r="R707" s="5"/>
      <c r="S707" s="5"/>
      <c r="T707" s="5"/>
      <c r="U707" s="5"/>
      <c r="V707" s="5"/>
      <c r="W707" s="5"/>
      <c r="X707" s="5"/>
      <c r="Y707" s="5"/>
      <c r="Z707" s="5"/>
      <c r="AA707" s="5"/>
      <c r="AB707" s="5"/>
      <c r="AC707" s="5"/>
      <c r="AD707" s="5"/>
      <c r="AE707" s="5"/>
      <c r="AF707" s="5"/>
      <c r="AG707" s="5"/>
    </row>
    <row r="708" ht="15.75" customHeight="1">
      <c r="K708" t="s">
        <v>1149</v>
      </c>
      <c r="L708" t="str">
        <f>D38</f>
        <v>H1a1</v>
      </c>
      <c r="N708" t="s">
        <v>1150</v>
      </c>
      <c r="O708">
        <v>1.5700044E7</v>
      </c>
      <c r="P708">
        <v>1.3588164E7</v>
      </c>
      <c r="Q708" t="s">
        <v>419</v>
      </c>
      <c r="R708" s="5"/>
      <c r="S708" s="5"/>
      <c r="T708" s="5"/>
      <c r="U708" s="5"/>
      <c r="V708" s="5"/>
      <c r="W708" s="5"/>
      <c r="X708" s="5"/>
      <c r="Y708" s="5"/>
      <c r="Z708" s="5"/>
      <c r="AA708" s="5"/>
      <c r="AB708" s="5"/>
      <c r="AC708" s="5"/>
      <c r="AD708" s="5"/>
      <c r="AE708" s="5"/>
      <c r="AF708" s="5"/>
      <c r="AG708" s="5"/>
    </row>
    <row r="709" ht="15.75" customHeight="1">
      <c r="K709" t="s">
        <v>1151</v>
      </c>
      <c r="L709" t="str">
        <f>D38</f>
        <v>H1a1</v>
      </c>
      <c r="N709" t="s">
        <v>1152</v>
      </c>
      <c r="O709">
        <v>1.7767131E7</v>
      </c>
      <c r="P709">
        <v>1.5655251E7</v>
      </c>
      <c r="Q709" t="s">
        <v>419</v>
      </c>
      <c r="R709" s="5"/>
      <c r="S709" s="5"/>
      <c r="T709" s="5"/>
      <c r="U709" s="5"/>
      <c r="V709" s="5"/>
      <c r="W709" s="5"/>
      <c r="X709" s="5"/>
      <c r="Y709" s="5"/>
      <c r="Z709" s="5"/>
      <c r="AA709" s="5"/>
      <c r="AB709" s="5"/>
      <c r="AC709" s="5"/>
      <c r="AD709" s="5"/>
      <c r="AE709" s="5"/>
      <c r="AF709" s="5"/>
      <c r="AG709" s="5"/>
    </row>
    <row r="710" ht="15.75" customHeight="1">
      <c r="K710" t="s">
        <v>1153</v>
      </c>
      <c r="L710" t="str">
        <f>D38</f>
        <v>H1a1</v>
      </c>
      <c r="N710" t="s">
        <v>1154</v>
      </c>
      <c r="O710">
        <v>1.8020173E7</v>
      </c>
      <c r="P710">
        <v>1.5908293E7</v>
      </c>
      <c r="Q710" t="s">
        <v>435</v>
      </c>
      <c r="R710" s="5"/>
      <c r="S710" s="5"/>
      <c r="T710" s="5"/>
      <c r="U710" s="5"/>
      <c r="V710" s="5"/>
      <c r="W710" s="5"/>
      <c r="X710" s="5"/>
      <c r="Y710" s="5"/>
      <c r="Z710" s="5"/>
      <c r="AA710" s="5"/>
      <c r="AB710" s="5"/>
      <c r="AC710" s="5"/>
      <c r="AD710" s="5"/>
      <c r="AE710" s="5"/>
      <c r="AF710" s="5"/>
      <c r="AG710" s="5"/>
    </row>
    <row r="711" ht="15.75" customHeight="1">
      <c r="K711" t="s">
        <v>1155</v>
      </c>
      <c r="L711" t="str">
        <f>D38</f>
        <v>H1a1</v>
      </c>
      <c r="N711" t="s">
        <v>1156</v>
      </c>
      <c r="O711">
        <v>1.8391337E7</v>
      </c>
      <c r="P711">
        <v>1.6279457E7</v>
      </c>
      <c r="Q711" t="s">
        <v>525</v>
      </c>
      <c r="R711" s="5"/>
      <c r="S711" s="5"/>
      <c r="T711" s="5"/>
      <c r="U711" s="5"/>
      <c r="V711" s="5"/>
      <c r="W711" s="5"/>
      <c r="X711" s="5"/>
      <c r="Y711" s="5"/>
      <c r="Z711" s="5"/>
      <c r="AA711" s="5"/>
      <c r="AB711" s="5"/>
      <c r="AC711" s="5"/>
      <c r="AD711" s="5"/>
      <c r="AE711" s="5"/>
      <c r="AF711" s="5"/>
      <c r="AG711" s="5"/>
    </row>
    <row r="712" ht="15.75" customHeight="1">
      <c r="K712" t="s">
        <v>1157</v>
      </c>
      <c r="L712" t="str">
        <f>D38</f>
        <v>H1a1</v>
      </c>
      <c r="N712" t="s">
        <v>1158</v>
      </c>
      <c r="O712">
        <v>1.8412979E7</v>
      </c>
      <c r="P712">
        <v>1.6301099E7</v>
      </c>
      <c r="Q712" t="s">
        <v>448</v>
      </c>
      <c r="R712" s="5"/>
      <c r="S712" s="5"/>
      <c r="T712" s="5"/>
      <c r="U712" s="5"/>
      <c r="V712" s="5"/>
      <c r="W712" s="5"/>
      <c r="X712" s="5"/>
      <c r="Y712" s="5"/>
      <c r="Z712" s="5"/>
      <c r="AA712" s="5"/>
      <c r="AB712" s="5"/>
      <c r="AC712" s="5"/>
      <c r="AD712" s="5"/>
      <c r="AE712" s="5"/>
      <c r="AF712" s="5"/>
      <c r="AG712" s="5"/>
    </row>
    <row r="713" ht="15.75" customHeight="1">
      <c r="K713" t="s">
        <v>1159</v>
      </c>
      <c r="L713" t="str">
        <f>D38</f>
        <v>H1a1</v>
      </c>
      <c r="N713" t="s">
        <v>1160</v>
      </c>
      <c r="O713">
        <v>1.8547818E7</v>
      </c>
      <c r="P713">
        <v>1.6435938E7</v>
      </c>
      <c r="Q713" t="s">
        <v>427</v>
      </c>
      <c r="R713" s="5"/>
      <c r="S713" s="5"/>
      <c r="T713" s="5"/>
      <c r="U713" s="5"/>
      <c r="V713" s="5"/>
      <c r="W713" s="5"/>
      <c r="X713" s="5"/>
      <c r="Y713" s="5"/>
      <c r="Z713" s="5"/>
      <c r="AA713" s="5"/>
      <c r="AB713" s="5"/>
      <c r="AC713" s="5"/>
      <c r="AD713" s="5"/>
      <c r="AE713" s="5"/>
      <c r="AF713" s="5"/>
      <c r="AG713" s="5"/>
    </row>
    <row r="714" ht="15.75" customHeight="1">
      <c r="K714" t="s">
        <v>1161</v>
      </c>
      <c r="L714" t="str">
        <f>D38</f>
        <v>H1a1</v>
      </c>
      <c r="N714" t="s">
        <v>1162</v>
      </c>
      <c r="O714">
        <v>1.898009E7</v>
      </c>
      <c r="P714">
        <v>1.686821E7</v>
      </c>
      <c r="Q714" t="s">
        <v>419</v>
      </c>
      <c r="R714" s="5"/>
      <c r="S714" s="5"/>
      <c r="T714" s="5"/>
      <c r="U714" s="5"/>
      <c r="V714" s="5"/>
      <c r="W714" s="5"/>
      <c r="X714" s="5"/>
      <c r="Y714" s="5"/>
      <c r="Z714" s="5"/>
      <c r="AA714" s="5"/>
      <c r="AB714" s="5"/>
      <c r="AC714" s="5"/>
      <c r="AD714" s="5"/>
      <c r="AE714" s="5"/>
      <c r="AF714" s="5"/>
      <c r="AG714" s="5"/>
    </row>
    <row r="715" ht="15.75" customHeight="1">
      <c r="K715" t="s">
        <v>1163</v>
      </c>
      <c r="L715" t="str">
        <f>D38</f>
        <v>H1a1</v>
      </c>
      <c r="N715" t="s">
        <v>1164</v>
      </c>
      <c r="O715">
        <v>1.9304414E7</v>
      </c>
      <c r="P715">
        <v>1.7192534E7</v>
      </c>
      <c r="Q715" t="s">
        <v>427</v>
      </c>
      <c r="R715" s="5"/>
      <c r="S715" s="5"/>
      <c r="T715" s="5"/>
      <c r="U715" s="5"/>
      <c r="V715" s="5"/>
      <c r="W715" s="5"/>
      <c r="X715" s="5"/>
      <c r="Y715" s="5"/>
      <c r="Z715" s="5"/>
      <c r="AA715" s="5"/>
      <c r="AB715" s="5"/>
      <c r="AC715" s="5"/>
      <c r="AD715" s="5"/>
      <c r="AE715" s="5"/>
      <c r="AF715" s="5"/>
      <c r="AG715" s="5"/>
    </row>
    <row r="716" ht="15.75" customHeight="1">
      <c r="K716" t="s">
        <v>1165</v>
      </c>
      <c r="L716" t="str">
        <f>D38</f>
        <v>H1a1</v>
      </c>
      <c r="N716" t="s">
        <v>1166</v>
      </c>
      <c r="O716">
        <v>2.083942E7</v>
      </c>
      <c r="P716">
        <v>1.8677534E7</v>
      </c>
      <c r="Q716" t="s">
        <v>431</v>
      </c>
      <c r="R716" s="5"/>
      <c r="S716" s="5"/>
      <c r="T716" s="5"/>
      <c r="U716" s="5"/>
      <c r="V716" s="5"/>
      <c r="W716" s="5"/>
      <c r="X716" s="5"/>
      <c r="Y716" s="5"/>
      <c r="Z716" s="5"/>
      <c r="AA716" s="5"/>
      <c r="AB716" s="5"/>
      <c r="AC716" s="5"/>
      <c r="AD716" s="5"/>
      <c r="AE716" s="5"/>
      <c r="AF716" s="5"/>
      <c r="AG716" s="5"/>
    </row>
    <row r="717" ht="15.75" customHeight="1">
      <c r="K717" t="s">
        <v>1167</v>
      </c>
      <c r="L717" t="str">
        <f>D38</f>
        <v>H1a1</v>
      </c>
      <c r="N717" t="s">
        <v>1168</v>
      </c>
      <c r="O717">
        <v>2.2093271E7</v>
      </c>
      <c r="P717">
        <v>1.9931385E7</v>
      </c>
      <c r="Q717" t="s">
        <v>525</v>
      </c>
      <c r="R717" s="5"/>
      <c r="S717" s="5"/>
      <c r="T717" s="5"/>
      <c r="U717" s="5"/>
      <c r="V717" s="5"/>
      <c r="W717" s="5"/>
      <c r="X717" s="5"/>
      <c r="Y717" s="5"/>
      <c r="Z717" s="5"/>
      <c r="AA717" s="5"/>
      <c r="AB717" s="5"/>
      <c r="AC717" s="5"/>
      <c r="AD717" s="5"/>
      <c r="AE717" s="5"/>
      <c r="AF717" s="5"/>
      <c r="AG717" s="5"/>
    </row>
    <row r="718" ht="15.75" customHeight="1">
      <c r="K718" t="s">
        <v>1169</v>
      </c>
      <c r="L718" t="str">
        <f>D38</f>
        <v>H1a1</v>
      </c>
      <c r="N718" t="s">
        <v>1170</v>
      </c>
      <c r="O718">
        <v>2.3156664E7</v>
      </c>
      <c r="P718">
        <v>2.0994778E7</v>
      </c>
      <c r="Q718" t="s">
        <v>525</v>
      </c>
      <c r="R718" s="5"/>
      <c r="S718" s="5"/>
      <c r="T718" s="5"/>
      <c r="U718" s="5"/>
      <c r="V718" s="5"/>
      <c r="W718" s="5"/>
      <c r="X718" s="5"/>
      <c r="Y718" s="5"/>
      <c r="Z718" s="5"/>
      <c r="AA718" s="5"/>
      <c r="AB718" s="5"/>
      <c r="AC718" s="5"/>
      <c r="AD718" s="5"/>
      <c r="AE718" s="5"/>
      <c r="AF718" s="5"/>
      <c r="AG718" s="5"/>
    </row>
    <row r="719" ht="15.75" customHeight="1">
      <c r="K719" t="s">
        <v>1171</v>
      </c>
      <c r="L719" t="str">
        <f>D38</f>
        <v>H1a1</v>
      </c>
      <c r="N719" t="s">
        <v>1172</v>
      </c>
      <c r="O719">
        <v>1.8541532E7</v>
      </c>
      <c r="P719">
        <v>1.6429652E7</v>
      </c>
      <c r="Q719" t="s">
        <v>525</v>
      </c>
      <c r="R719" s="5"/>
      <c r="S719" s="5"/>
      <c r="T719" s="5"/>
      <c r="U719" s="5"/>
      <c r="V719" s="5"/>
      <c r="W719" s="5"/>
      <c r="X719" s="5"/>
      <c r="Y719" s="5"/>
      <c r="Z719" s="5"/>
      <c r="AA719" s="5"/>
      <c r="AB719" s="5"/>
      <c r="AC719" s="5"/>
      <c r="AD719" s="5"/>
      <c r="AE719" s="5"/>
      <c r="AF719" s="5"/>
      <c r="AG719" s="5"/>
    </row>
    <row r="720" ht="15.75" customHeight="1">
      <c r="K720" t="s">
        <v>1173</v>
      </c>
      <c r="L720" t="str">
        <f>D38</f>
        <v>H1a1</v>
      </c>
      <c r="O720">
        <v>1.0004414E7</v>
      </c>
      <c r="P720">
        <v>1.0166805E7</v>
      </c>
      <c r="Q720" t="s">
        <v>419</v>
      </c>
      <c r="R720" s="5"/>
      <c r="S720" s="5"/>
      <c r="T720" s="5"/>
      <c r="U720" s="5"/>
      <c r="V720" s="5"/>
      <c r="W720" s="5"/>
      <c r="X720" s="5"/>
      <c r="Y720" s="5"/>
      <c r="Z720" s="5"/>
      <c r="AA720" s="5"/>
      <c r="AB720" s="5"/>
      <c r="AC720" s="5"/>
      <c r="AD720" s="5"/>
      <c r="AE720" s="5"/>
      <c r="AF720" s="5"/>
      <c r="AG720" s="5"/>
    </row>
    <row r="721" ht="15.75" customHeight="1">
      <c r="K721" t="s">
        <v>1174</v>
      </c>
      <c r="L721" t="str">
        <f>D38</f>
        <v>H1a1</v>
      </c>
      <c r="O721">
        <v>1.0044778E7</v>
      </c>
      <c r="P721">
        <v>1.0207169E7</v>
      </c>
      <c r="Q721" t="s">
        <v>423</v>
      </c>
      <c r="R721" s="5"/>
      <c r="S721" s="5"/>
      <c r="T721" s="5"/>
      <c r="U721" s="5"/>
      <c r="V721" s="5"/>
      <c r="W721" s="5"/>
      <c r="X721" s="5"/>
      <c r="Y721" s="5"/>
      <c r="Z721" s="5"/>
      <c r="AA721" s="5"/>
      <c r="AB721" s="5"/>
      <c r="AC721" s="5"/>
      <c r="AD721" s="5"/>
      <c r="AE721" s="5"/>
      <c r="AF721" s="5"/>
      <c r="AG721" s="5"/>
    </row>
    <row r="722" ht="15.75" customHeight="1">
      <c r="K722" t="s">
        <v>1175</v>
      </c>
      <c r="L722" t="str">
        <f>D38</f>
        <v>H1a1</v>
      </c>
      <c r="N722" t="s">
        <v>1176</v>
      </c>
      <c r="O722">
        <v>1.3460282E7</v>
      </c>
      <c r="P722">
        <v>1.1304606E7</v>
      </c>
      <c r="Q722" t="s">
        <v>435</v>
      </c>
      <c r="R722" s="5"/>
      <c r="S722" s="5"/>
      <c r="T722" s="5"/>
      <c r="U722" s="5"/>
      <c r="V722" s="5"/>
      <c r="W722" s="5"/>
      <c r="X722" s="5"/>
      <c r="Y722" s="5"/>
      <c r="Z722" s="5"/>
      <c r="AA722" s="5"/>
      <c r="AB722" s="5"/>
      <c r="AC722" s="5"/>
      <c r="AD722" s="5"/>
      <c r="AE722" s="5"/>
      <c r="AF722" s="5"/>
      <c r="AG722" s="5"/>
    </row>
    <row r="723" ht="15.75" customHeight="1">
      <c r="K723" t="s">
        <v>1177</v>
      </c>
      <c r="L723" t="str">
        <f>D38</f>
        <v>H1a1</v>
      </c>
      <c r="N723" t="s">
        <v>1178</v>
      </c>
      <c r="O723">
        <v>1.3670963E7</v>
      </c>
      <c r="P723">
        <v>1.1515287E7</v>
      </c>
      <c r="Q723" t="s">
        <v>423</v>
      </c>
      <c r="R723" s="5"/>
      <c r="S723" s="5"/>
      <c r="T723" s="5"/>
      <c r="U723" s="5"/>
      <c r="V723" s="5"/>
      <c r="W723" s="5"/>
      <c r="X723" s="5"/>
      <c r="Y723" s="5"/>
      <c r="Z723" s="5"/>
      <c r="AA723" s="5"/>
      <c r="AB723" s="5"/>
      <c r="AC723" s="5"/>
      <c r="AD723" s="5"/>
      <c r="AE723" s="5"/>
      <c r="AF723" s="5"/>
      <c r="AG723" s="5"/>
    </row>
    <row r="724" ht="15.75" customHeight="1">
      <c r="K724" t="s">
        <v>1179</v>
      </c>
      <c r="L724" t="str">
        <f>D38</f>
        <v>H1a1</v>
      </c>
      <c r="N724" t="s">
        <v>1180</v>
      </c>
      <c r="O724">
        <v>1.3680924E7</v>
      </c>
      <c r="P724">
        <v>1.1525248E7</v>
      </c>
      <c r="Q724" t="s">
        <v>419</v>
      </c>
      <c r="R724" s="5"/>
      <c r="S724" s="5"/>
      <c r="T724" s="5"/>
      <c r="U724" s="5"/>
      <c r="V724" s="5"/>
      <c r="W724" s="5"/>
      <c r="X724" s="5"/>
      <c r="Y724" s="5"/>
      <c r="Z724" s="5"/>
      <c r="AA724" s="5"/>
      <c r="AB724" s="5"/>
      <c r="AC724" s="5"/>
      <c r="AD724" s="5"/>
      <c r="AE724" s="5"/>
      <c r="AF724" s="5"/>
      <c r="AG724" s="5"/>
    </row>
    <row r="725" ht="15.75" customHeight="1">
      <c r="K725" t="s">
        <v>1181</v>
      </c>
      <c r="L725" t="str">
        <f>D38</f>
        <v>H1a1</v>
      </c>
      <c r="O725">
        <v>1.3847911E7</v>
      </c>
      <c r="P725">
        <v>1.1727205E7</v>
      </c>
      <c r="Q725" t="s">
        <v>435</v>
      </c>
      <c r="R725" s="5"/>
      <c r="S725" s="5"/>
      <c r="T725" s="5"/>
      <c r="U725" s="5"/>
      <c r="V725" s="5"/>
      <c r="W725" s="5"/>
      <c r="X725" s="5"/>
      <c r="Y725" s="5"/>
      <c r="Z725" s="5"/>
      <c r="AA725" s="5"/>
      <c r="AB725" s="5"/>
      <c r="AC725" s="5"/>
      <c r="AD725" s="5"/>
      <c r="AE725" s="5"/>
      <c r="AF725" s="5"/>
      <c r="AG725" s="5"/>
    </row>
    <row r="726" ht="15.75" customHeight="1">
      <c r="K726" t="s">
        <v>1182</v>
      </c>
      <c r="L726" t="str">
        <f>D38</f>
        <v>H1a1</v>
      </c>
      <c r="N726" t="s">
        <v>1183</v>
      </c>
      <c r="O726">
        <v>1.3853528E7</v>
      </c>
      <c r="P726">
        <v>1.1732822E7</v>
      </c>
      <c r="Q726" t="s">
        <v>423</v>
      </c>
      <c r="R726" s="5"/>
      <c r="S726" s="5"/>
      <c r="T726" s="5"/>
      <c r="U726" s="5"/>
      <c r="V726" s="5"/>
      <c r="W726" s="5"/>
      <c r="X726" s="5"/>
      <c r="Y726" s="5"/>
      <c r="Z726" s="5"/>
      <c r="AA726" s="5"/>
      <c r="AB726" s="5"/>
      <c r="AC726" s="5"/>
      <c r="AD726" s="5"/>
      <c r="AE726" s="5"/>
      <c r="AF726" s="5"/>
      <c r="AG726" s="5"/>
    </row>
    <row r="727" ht="15.75" customHeight="1">
      <c r="K727" t="s">
        <v>1184</v>
      </c>
      <c r="L727" t="str">
        <f>D38</f>
        <v>H1a1</v>
      </c>
      <c r="N727" t="s">
        <v>1185</v>
      </c>
      <c r="O727">
        <v>1.8770111E7</v>
      </c>
      <c r="P727">
        <v>1.6658231E7</v>
      </c>
      <c r="Q727" t="s">
        <v>431</v>
      </c>
      <c r="R727" s="5"/>
      <c r="S727" s="5"/>
      <c r="T727" s="5"/>
      <c r="U727" s="5"/>
      <c r="V727" s="5"/>
      <c r="W727" s="5"/>
      <c r="X727" s="5"/>
      <c r="Y727" s="5"/>
      <c r="Z727" s="5"/>
      <c r="AA727" s="5"/>
      <c r="AB727" s="5"/>
      <c r="AC727" s="5"/>
      <c r="AD727" s="5"/>
      <c r="AE727" s="5"/>
      <c r="AF727" s="5"/>
      <c r="AG727" s="5"/>
    </row>
    <row r="728" ht="15.75" customHeight="1">
      <c r="K728" t="s">
        <v>1186</v>
      </c>
      <c r="L728" t="str">
        <f>D38</f>
        <v>H1a1</v>
      </c>
      <c r="N728" t="s">
        <v>1187</v>
      </c>
      <c r="O728">
        <v>1.9495098E7</v>
      </c>
      <c r="P728">
        <v>1.7383218E7</v>
      </c>
      <c r="Q728" t="s">
        <v>448</v>
      </c>
      <c r="R728" s="5"/>
      <c r="S728" s="5"/>
      <c r="T728" s="5"/>
      <c r="U728" s="5"/>
      <c r="V728" s="5"/>
      <c r="W728" s="5"/>
      <c r="X728" s="5"/>
      <c r="Y728" s="5"/>
      <c r="Z728" s="5"/>
      <c r="AA728" s="5"/>
      <c r="AB728" s="5"/>
      <c r="AC728" s="5"/>
      <c r="AD728" s="5"/>
      <c r="AE728" s="5"/>
      <c r="AF728" s="5"/>
      <c r="AG728" s="5"/>
    </row>
    <row r="729" ht="15.75" customHeight="1">
      <c r="K729" t="s">
        <v>1188</v>
      </c>
      <c r="L729" t="str">
        <f>E39</f>
        <v>H1a1a</v>
      </c>
      <c r="O729">
        <v>2.1894174E7</v>
      </c>
      <c r="P729">
        <v>1.9732288E7</v>
      </c>
      <c r="Q729" t="s">
        <v>1189</v>
      </c>
      <c r="R729" s="5"/>
      <c r="S729" s="5"/>
      <c r="T729" s="5"/>
      <c r="U729" s="5"/>
      <c r="V729" s="5"/>
      <c r="W729" s="5"/>
      <c r="X729" s="5"/>
      <c r="Y729" s="5"/>
      <c r="Z729" s="5"/>
      <c r="AA729" s="5"/>
      <c r="AB729" s="5"/>
      <c r="AC729" s="5"/>
      <c r="AD729" s="5"/>
      <c r="AE729" s="5"/>
      <c r="AF729" s="5"/>
      <c r="AG729" s="5"/>
    </row>
    <row r="730" ht="15.75" customHeight="1">
      <c r="K730" t="s">
        <v>1190</v>
      </c>
      <c r="L730" t="str">
        <f>E39</f>
        <v>H1a1a</v>
      </c>
      <c r="N730" t="s">
        <v>1191</v>
      </c>
      <c r="O730">
        <v>7228187.0</v>
      </c>
      <c r="P730">
        <v>7360146.0</v>
      </c>
      <c r="Q730" t="s">
        <v>435</v>
      </c>
      <c r="R730" s="5"/>
      <c r="S730" s="5"/>
      <c r="T730" s="5"/>
      <c r="U730" s="5"/>
      <c r="V730" s="5"/>
      <c r="W730" s="5"/>
      <c r="X730" s="5"/>
      <c r="Y730" s="5"/>
      <c r="Z730" s="5"/>
      <c r="AA730" s="5"/>
      <c r="AB730" s="5"/>
      <c r="AC730" s="5"/>
      <c r="AD730" s="5"/>
      <c r="AE730" s="5"/>
      <c r="AF730" s="5"/>
      <c r="AG730" s="5"/>
    </row>
    <row r="731" ht="15.75" customHeight="1">
      <c r="K731" t="s">
        <v>1192</v>
      </c>
      <c r="L731" t="str">
        <f>E39</f>
        <v>H1a1a</v>
      </c>
      <c r="N731" t="s">
        <v>1193</v>
      </c>
      <c r="O731">
        <v>1.5282302E7</v>
      </c>
      <c r="P731">
        <v>1.3170401E7</v>
      </c>
      <c r="Q731" t="s">
        <v>473</v>
      </c>
      <c r="R731" s="5"/>
      <c r="S731" s="5"/>
      <c r="T731" s="5"/>
      <c r="U731" s="5"/>
      <c r="V731" s="5"/>
      <c r="W731" s="5"/>
      <c r="X731" s="5"/>
      <c r="Y731" s="5"/>
      <c r="Z731" s="5"/>
      <c r="AA731" s="5"/>
      <c r="AB731" s="5"/>
      <c r="AC731" s="5"/>
      <c r="AD731" s="5"/>
      <c r="AE731" s="5"/>
      <c r="AF731" s="5"/>
      <c r="AG731" s="5"/>
    </row>
    <row r="732" ht="15.75" customHeight="1">
      <c r="K732" t="s">
        <v>1194</v>
      </c>
      <c r="L732" t="str">
        <f>E39</f>
        <v>H1a1a</v>
      </c>
      <c r="N732" t="s">
        <v>1195</v>
      </c>
      <c r="O732">
        <v>1.8136386E7</v>
      </c>
      <c r="P732">
        <v>1.6024506E7</v>
      </c>
      <c r="Q732" t="s">
        <v>435</v>
      </c>
      <c r="R732" s="5"/>
      <c r="S732" s="5"/>
      <c r="T732" s="5"/>
      <c r="U732" s="5"/>
      <c r="V732" s="5"/>
      <c r="W732" s="5"/>
      <c r="X732" s="5"/>
      <c r="Y732" s="5"/>
      <c r="Z732" s="5"/>
      <c r="AA732" s="5"/>
      <c r="AB732" s="5"/>
      <c r="AC732" s="5"/>
      <c r="AD732" s="5"/>
      <c r="AE732" s="5"/>
      <c r="AF732" s="5"/>
      <c r="AG732" s="5"/>
    </row>
    <row r="733" ht="15.75" customHeight="1">
      <c r="K733" t="s">
        <v>1196</v>
      </c>
      <c r="L733" t="str">
        <f>E39</f>
        <v>H1a1a</v>
      </c>
      <c r="M733" t="s">
        <v>1197</v>
      </c>
      <c r="N733" t="s">
        <v>1198</v>
      </c>
      <c r="O733">
        <v>1.8870223E7</v>
      </c>
      <c r="P733">
        <v>1.6758343E7</v>
      </c>
      <c r="Q733" t="s">
        <v>473</v>
      </c>
      <c r="R733" s="5"/>
      <c r="S733" s="5"/>
      <c r="T733" s="5"/>
      <c r="U733" s="5"/>
      <c r="V733" s="5"/>
      <c r="W733" s="5"/>
      <c r="X733" s="5"/>
      <c r="Y733" s="5"/>
      <c r="Z733" s="5"/>
      <c r="AA733" s="5"/>
      <c r="AB733" s="5"/>
      <c r="AC733" s="5"/>
      <c r="AD733" s="5"/>
      <c r="AE733" s="5"/>
      <c r="AF733" s="5"/>
      <c r="AG733" s="5"/>
    </row>
    <row r="734" ht="15.75" customHeight="1">
      <c r="K734" t="s">
        <v>1197</v>
      </c>
      <c r="L734" t="str">
        <f>E39</f>
        <v>H1a1a</v>
      </c>
      <c r="M734" t="s">
        <v>1196</v>
      </c>
      <c r="N734" t="s">
        <v>1198</v>
      </c>
      <c r="O734">
        <v>1.8870223E7</v>
      </c>
      <c r="P734">
        <v>1.6758343E7</v>
      </c>
      <c r="Q734" t="s">
        <v>473</v>
      </c>
      <c r="R734" s="5"/>
      <c r="S734" s="5"/>
      <c r="T734" s="5"/>
      <c r="U734" s="5"/>
      <c r="V734" s="5"/>
      <c r="W734" s="5"/>
      <c r="X734" s="5"/>
      <c r="Y734" s="5"/>
      <c r="Z734" s="5"/>
      <c r="AA734" s="5"/>
      <c r="AB734" s="5"/>
      <c r="AC734" s="5"/>
      <c r="AD734" s="5"/>
      <c r="AE734" s="5"/>
      <c r="AF734" s="5"/>
      <c r="AG734" s="5"/>
    </row>
    <row r="735" ht="15.75" customHeight="1">
      <c r="K735" t="s">
        <v>1199</v>
      </c>
      <c r="L735" t="str">
        <f>E39</f>
        <v>H1a1a</v>
      </c>
      <c r="M735" t="s">
        <v>1200</v>
      </c>
      <c r="N735" t="s">
        <v>1201</v>
      </c>
      <c r="O735">
        <v>1.8979731E7</v>
      </c>
      <c r="P735">
        <v>1.6867851E7</v>
      </c>
      <c r="Q735" t="s">
        <v>419</v>
      </c>
      <c r="R735" s="5"/>
      <c r="S735" s="5"/>
      <c r="T735" s="5"/>
      <c r="U735" s="5"/>
      <c r="V735" s="5"/>
      <c r="W735" s="5"/>
      <c r="X735" s="5"/>
      <c r="Y735" s="5"/>
      <c r="Z735" s="5"/>
      <c r="AA735" s="5"/>
      <c r="AB735" s="5"/>
      <c r="AC735" s="5"/>
      <c r="AD735" s="5"/>
      <c r="AE735" s="5"/>
      <c r="AF735" s="5"/>
      <c r="AG735" s="5"/>
    </row>
    <row r="736" ht="15.75" customHeight="1">
      <c r="K736" t="s">
        <v>1200</v>
      </c>
      <c r="L736" t="str">
        <f>E39</f>
        <v>H1a1a</v>
      </c>
      <c r="M736" t="s">
        <v>1199</v>
      </c>
      <c r="N736" t="s">
        <v>1201</v>
      </c>
      <c r="O736">
        <v>1.8979731E7</v>
      </c>
      <c r="P736">
        <v>1.6867851E7</v>
      </c>
      <c r="Q736" t="s">
        <v>419</v>
      </c>
      <c r="R736" s="5"/>
      <c r="S736" s="5"/>
      <c r="T736" s="5"/>
      <c r="U736" s="5"/>
      <c r="V736" s="5"/>
      <c r="W736" s="5"/>
      <c r="X736" s="5"/>
      <c r="Y736" s="5"/>
      <c r="Z736" s="5"/>
      <c r="AA736" s="5"/>
      <c r="AB736" s="5"/>
      <c r="AC736" s="5"/>
      <c r="AD736" s="5"/>
      <c r="AE736" s="5"/>
      <c r="AF736" s="5"/>
      <c r="AG736" s="5"/>
    </row>
    <row r="737" ht="15.75" customHeight="1">
      <c r="K737" t="s">
        <v>1202</v>
      </c>
      <c r="L737" t="str">
        <f>E39</f>
        <v>H1a1a</v>
      </c>
      <c r="N737" t="s">
        <v>1203</v>
      </c>
      <c r="O737">
        <v>2.1467819E7</v>
      </c>
      <c r="P737">
        <v>1.9305933E7</v>
      </c>
      <c r="Q737" t="s">
        <v>431</v>
      </c>
      <c r="R737" s="5"/>
      <c r="S737" s="5"/>
      <c r="T737" s="5"/>
      <c r="U737" s="5"/>
      <c r="V737" s="5"/>
      <c r="W737" s="5"/>
      <c r="X737" s="5"/>
      <c r="Y737" s="5"/>
      <c r="Z737" s="5"/>
      <c r="AA737" s="5"/>
      <c r="AB737" s="5"/>
      <c r="AC737" s="5"/>
      <c r="AD737" s="5"/>
      <c r="AE737" s="5"/>
      <c r="AF737" s="5"/>
      <c r="AG737" s="5"/>
    </row>
    <row r="738" ht="15.75" customHeight="1">
      <c r="K738" t="s">
        <v>1204</v>
      </c>
      <c r="L738" t="str">
        <f>E39</f>
        <v>H1a1a</v>
      </c>
      <c r="M738" t="s">
        <v>1205</v>
      </c>
      <c r="N738" t="s">
        <v>1206</v>
      </c>
      <c r="O738">
        <v>2.2171661E7</v>
      </c>
      <c r="P738">
        <v>2.0009775E7</v>
      </c>
      <c r="Q738" t="s">
        <v>553</v>
      </c>
      <c r="R738" s="5"/>
      <c r="S738" s="5"/>
      <c r="T738" s="5"/>
      <c r="U738" s="5"/>
      <c r="V738" s="5"/>
      <c r="W738" s="5"/>
      <c r="X738" s="5"/>
      <c r="Y738" s="5"/>
      <c r="Z738" s="5"/>
      <c r="AA738" s="5"/>
      <c r="AB738" s="5"/>
      <c r="AC738" s="5"/>
      <c r="AD738" s="5"/>
      <c r="AE738" s="5"/>
      <c r="AF738" s="5"/>
      <c r="AG738" s="5"/>
    </row>
    <row r="739" ht="15.75" customHeight="1">
      <c r="K739" t="s">
        <v>1205</v>
      </c>
      <c r="L739" t="str">
        <f>E39</f>
        <v>H1a1a</v>
      </c>
      <c r="M739" t="s">
        <v>1204</v>
      </c>
      <c r="N739" t="s">
        <v>1206</v>
      </c>
      <c r="O739">
        <v>2.2171661E7</v>
      </c>
      <c r="P739">
        <v>2.0009775E7</v>
      </c>
      <c r="Q739" t="s">
        <v>553</v>
      </c>
      <c r="R739" s="5"/>
      <c r="S739" s="5"/>
      <c r="T739" s="5"/>
      <c r="U739" s="5"/>
      <c r="V739" s="5"/>
      <c r="W739" s="5"/>
      <c r="X739" s="5"/>
      <c r="Y739" s="5"/>
      <c r="Z739" s="5"/>
      <c r="AA739" s="5"/>
      <c r="AB739" s="5"/>
      <c r="AC739" s="5"/>
      <c r="AD739" s="5"/>
      <c r="AE739" s="5"/>
      <c r="AF739" s="5"/>
      <c r="AG739" s="5"/>
    </row>
    <row r="740" ht="15.75" customHeight="1">
      <c r="K740" t="s">
        <v>1207</v>
      </c>
      <c r="L740" t="str">
        <f>E39</f>
        <v>H1a1a</v>
      </c>
      <c r="N740" t="s">
        <v>1208</v>
      </c>
      <c r="O740">
        <v>2.3501491E7</v>
      </c>
      <c r="P740">
        <v>2.1339605E7</v>
      </c>
      <c r="Q740" t="s">
        <v>476</v>
      </c>
      <c r="R740" s="5"/>
      <c r="S740" s="5"/>
      <c r="T740" s="5"/>
      <c r="U740" s="5"/>
      <c r="V740" s="5"/>
      <c r="W740" s="5"/>
      <c r="X740" s="5"/>
      <c r="Y740" s="5"/>
      <c r="Z740" s="5"/>
      <c r="AA740" s="5"/>
      <c r="AB740" s="5"/>
      <c r="AC740" s="5"/>
      <c r="AD740" s="5"/>
      <c r="AE740" s="5"/>
      <c r="AF740" s="5"/>
      <c r="AG740" s="5"/>
    </row>
    <row r="741" ht="15.75" customHeight="1">
      <c r="K741" t="s">
        <v>1209</v>
      </c>
      <c r="L741" t="str">
        <f>E39</f>
        <v>H1a1a</v>
      </c>
      <c r="O741" t="s">
        <v>1210</v>
      </c>
      <c r="P741" t="s">
        <v>1211</v>
      </c>
      <c r="Q741" t="s">
        <v>1212</v>
      </c>
      <c r="R741" s="5"/>
      <c r="S741" s="5"/>
      <c r="T741" s="5"/>
      <c r="U741" s="5"/>
      <c r="V741" s="5"/>
      <c r="W741" s="5"/>
      <c r="X741" s="5"/>
      <c r="Y741" s="5"/>
      <c r="Z741" s="5"/>
      <c r="AA741" s="5"/>
      <c r="AB741" s="5"/>
      <c r="AC741" s="5"/>
      <c r="AD741" s="5"/>
      <c r="AE741" s="5"/>
      <c r="AF741" s="5"/>
      <c r="AG741" s="5"/>
    </row>
    <row r="742" ht="15.75" customHeight="1">
      <c r="K742" t="s">
        <v>1213</v>
      </c>
      <c r="L742" t="str">
        <f>E39</f>
        <v>H1a1a</v>
      </c>
      <c r="N742" t="s">
        <v>1214</v>
      </c>
      <c r="O742">
        <v>1.797667E7</v>
      </c>
      <c r="P742">
        <v>1.586479E7</v>
      </c>
      <c r="Q742" t="s">
        <v>459</v>
      </c>
      <c r="R742" s="5"/>
      <c r="S742" s="5"/>
      <c r="T742" s="5"/>
      <c r="U742" s="5"/>
      <c r="V742" s="5"/>
      <c r="W742" s="5"/>
      <c r="X742" s="5"/>
      <c r="Y742" s="5"/>
      <c r="Z742" s="5"/>
      <c r="AA742" s="5"/>
      <c r="AB742" s="5"/>
      <c r="AC742" s="5"/>
      <c r="AD742" s="5"/>
      <c r="AE742" s="5"/>
      <c r="AF742" s="5"/>
      <c r="AG742" s="5"/>
    </row>
    <row r="743" ht="15.75" customHeight="1">
      <c r="K743" t="s">
        <v>41</v>
      </c>
      <c r="L743" t="str">
        <f>F40</f>
        <v>H1a1a1</v>
      </c>
      <c r="N743" t="s">
        <v>1215</v>
      </c>
      <c r="O743">
        <v>2.1071131E7</v>
      </c>
      <c r="P743">
        <v>1.8909245E7</v>
      </c>
      <c r="Q743" t="s">
        <v>448</v>
      </c>
      <c r="R743" s="5"/>
      <c r="S743" s="5"/>
      <c r="T743" s="5"/>
      <c r="U743" s="5"/>
      <c r="V743" s="5"/>
      <c r="W743" s="5"/>
      <c r="X743" s="5"/>
      <c r="Y743" s="5"/>
      <c r="Z743" s="5"/>
      <c r="AA743" s="5"/>
      <c r="AB743" s="5"/>
      <c r="AC743" s="5"/>
      <c r="AD743" s="5"/>
      <c r="AE743" s="5"/>
      <c r="AF743" s="5"/>
      <c r="AG743" s="5"/>
    </row>
    <row r="744" ht="15.75" customHeight="1">
      <c r="K744" t="s">
        <v>1216</v>
      </c>
      <c r="L744" t="str">
        <f>G41</f>
        <v>H1a1a1a</v>
      </c>
      <c r="N744" t="s">
        <v>1217</v>
      </c>
      <c r="O744">
        <v>2.1751009E7</v>
      </c>
      <c r="P744">
        <v>1.9589123E7</v>
      </c>
      <c r="Q744" t="s">
        <v>473</v>
      </c>
      <c r="R744" s="5"/>
      <c r="S744" s="5"/>
      <c r="T744" s="5"/>
      <c r="U744" s="5"/>
      <c r="V744" s="5"/>
      <c r="W744" s="5"/>
      <c r="X744" s="5"/>
      <c r="Y744" s="5"/>
      <c r="Z744" s="5"/>
      <c r="AA744" s="5"/>
      <c r="AB744" s="5"/>
      <c r="AC744" s="5"/>
      <c r="AD744" s="5"/>
      <c r="AE744" s="5"/>
      <c r="AF744" s="5"/>
      <c r="AG744" s="5"/>
    </row>
    <row r="745" ht="15.75" customHeight="1">
      <c r="K745" t="s">
        <v>1218</v>
      </c>
      <c r="L745" t="str">
        <f t="shared" ref="L745:L746" si="3">G41</f>
        <v>H1a1a1a</v>
      </c>
      <c r="N745" t="s">
        <v>1219</v>
      </c>
      <c r="O745">
        <v>1.5025598E7</v>
      </c>
      <c r="P745">
        <v>1.2913686E7</v>
      </c>
      <c r="Q745" t="s">
        <v>431</v>
      </c>
      <c r="R745" s="5"/>
      <c r="S745" s="5"/>
      <c r="T745" s="5"/>
      <c r="U745" s="5"/>
      <c r="V745" s="5"/>
      <c r="W745" s="5"/>
      <c r="X745" s="5"/>
      <c r="Y745" s="5"/>
      <c r="Z745" s="5"/>
      <c r="AA745" s="5"/>
      <c r="AB745" s="5"/>
      <c r="AC745" s="5"/>
      <c r="AD745" s="5"/>
      <c r="AE745" s="5"/>
      <c r="AF745" s="5"/>
      <c r="AG745" s="5"/>
    </row>
    <row r="746" ht="15.75" customHeight="1">
      <c r="K746" t="s">
        <v>1220</v>
      </c>
      <c r="L746" t="str">
        <f t="shared" si="3"/>
        <v>H1a1a1b</v>
      </c>
      <c r="O746">
        <v>6753286.0</v>
      </c>
      <c r="P746">
        <v>6885245.0</v>
      </c>
      <c r="Q746" t="s">
        <v>419</v>
      </c>
      <c r="R746" s="5"/>
      <c r="S746" s="5"/>
      <c r="T746" s="5"/>
      <c r="U746" s="5"/>
      <c r="V746" s="5"/>
      <c r="W746" s="5"/>
      <c r="X746" s="5"/>
      <c r="Y746" s="5"/>
      <c r="Z746" s="5"/>
      <c r="AA746" s="5"/>
      <c r="AB746" s="5"/>
      <c r="AC746" s="5"/>
      <c r="AD746" s="5"/>
      <c r="AE746" s="5"/>
      <c r="AF746" s="5"/>
      <c r="AG746" s="5"/>
    </row>
    <row r="747" ht="15.75" customHeight="1">
      <c r="K747" t="s">
        <v>1221</v>
      </c>
      <c r="L747" t="str">
        <f t="shared" ref="L747:L748" si="4">G42</f>
        <v>H1a1a1b</v>
      </c>
      <c r="N747" t="s">
        <v>1222</v>
      </c>
      <c r="O747">
        <v>6753287.0</v>
      </c>
      <c r="P747">
        <v>6885246.0</v>
      </c>
      <c r="Q747" t="s">
        <v>435</v>
      </c>
      <c r="R747" s="5"/>
      <c r="S747" s="5"/>
      <c r="T747" s="5"/>
      <c r="U747" s="5"/>
      <c r="V747" s="5"/>
      <c r="W747" s="5"/>
      <c r="X747" s="5"/>
      <c r="Y747" s="5"/>
      <c r="Z747" s="5"/>
      <c r="AA747" s="5"/>
      <c r="AB747" s="5"/>
      <c r="AC747" s="5"/>
      <c r="AD747" s="5"/>
      <c r="AE747" s="5"/>
      <c r="AF747" s="5"/>
      <c r="AG747" s="5"/>
    </row>
    <row r="748" ht="15.75" customHeight="1">
      <c r="K748" t="s">
        <v>1223</v>
      </c>
      <c r="L748" t="str">
        <f t="shared" si="4"/>
        <v>H1a1a1b~</v>
      </c>
      <c r="M748" t="s">
        <v>1224</v>
      </c>
      <c r="N748" t="s">
        <v>1225</v>
      </c>
      <c r="O748">
        <v>1.6223181E7</v>
      </c>
      <c r="P748">
        <v>1.4111301E7</v>
      </c>
      <c r="Q748" t="s">
        <v>448</v>
      </c>
      <c r="R748" s="5"/>
      <c r="S748" s="5"/>
      <c r="T748" s="5"/>
      <c r="U748" s="5"/>
      <c r="V748" s="5"/>
      <c r="W748" s="5"/>
      <c r="X748" s="5"/>
      <c r="Y748" s="5"/>
      <c r="Z748" s="5"/>
      <c r="AA748" s="5"/>
      <c r="AB748" s="5"/>
      <c r="AC748" s="5"/>
      <c r="AD748" s="5"/>
      <c r="AE748" s="5"/>
      <c r="AF748" s="5"/>
      <c r="AG748" s="5"/>
    </row>
    <row r="749" ht="15.75" customHeight="1">
      <c r="K749" t="s">
        <v>1224</v>
      </c>
      <c r="L749" t="str">
        <f>G43</f>
        <v>H1a1a1b~</v>
      </c>
      <c r="M749" t="s">
        <v>1223</v>
      </c>
      <c r="N749" t="s">
        <v>1225</v>
      </c>
      <c r="O749">
        <v>1.6223181E7</v>
      </c>
      <c r="P749">
        <v>1.4111301E7</v>
      </c>
      <c r="Q749" t="s">
        <v>448</v>
      </c>
      <c r="R749" s="5"/>
      <c r="S749" s="5"/>
      <c r="T749" s="5"/>
      <c r="U749" s="5"/>
      <c r="V749" s="5"/>
      <c r="W749" s="5"/>
      <c r="X749" s="5"/>
      <c r="Y749" s="5"/>
      <c r="Z749" s="5"/>
      <c r="AA749" s="5"/>
      <c r="AB749" s="5"/>
      <c r="AC749" s="5"/>
      <c r="AD749" s="5"/>
      <c r="AE749" s="5"/>
      <c r="AF749" s="5"/>
      <c r="AG749" s="5"/>
    </row>
    <row r="750" ht="15.75" customHeight="1">
      <c r="K750" t="s">
        <v>1226</v>
      </c>
      <c r="L750" t="str">
        <f>G43</f>
        <v>H1a1a1b~</v>
      </c>
      <c r="N750" t="s">
        <v>1227</v>
      </c>
      <c r="O750">
        <v>1.7892508E7</v>
      </c>
      <c r="P750">
        <v>1.5780628E7</v>
      </c>
      <c r="Q750" t="s">
        <v>525</v>
      </c>
      <c r="R750" s="5"/>
      <c r="S750" s="5"/>
      <c r="T750" s="5"/>
      <c r="U750" s="5"/>
      <c r="V750" s="5"/>
      <c r="W750" s="5"/>
      <c r="X750" s="5"/>
      <c r="Y750" s="5"/>
      <c r="Z750" s="5"/>
      <c r="AA750" s="5"/>
      <c r="AB750" s="5"/>
      <c r="AC750" s="5"/>
      <c r="AD750" s="5"/>
      <c r="AE750" s="5"/>
      <c r="AF750" s="5"/>
      <c r="AG750" s="5"/>
    </row>
    <row r="751" ht="15.75" customHeight="1">
      <c r="K751" t="s">
        <v>1228</v>
      </c>
      <c r="L751" t="str">
        <f>G43</f>
        <v>H1a1a1b~</v>
      </c>
      <c r="N751" t="s">
        <v>1229</v>
      </c>
      <c r="O751">
        <v>2798037.0</v>
      </c>
      <c r="P751">
        <v>2929996.0</v>
      </c>
      <c r="Q751" t="s">
        <v>419</v>
      </c>
      <c r="R751" s="5"/>
      <c r="S751" s="5"/>
      <c r="T751" s="5"/>
      <c r="U751" s="5"/>
      <c r="V751" s="5"/>
      <c r="W751" s="5"/>
      <c r="X751" s="5"/>
      <c r="Y751" s="5"/>
      <c r="Z751" s="5"/>
      <c r="AA751" s="5"/>
      <c r="AB751" s="5"/>
      <c r="AC751" s="5"/>
      <c r="AD751" s="5"/>
      <c r="AE751" s="5"/>
      <c r="AF751" s="5"/>
      <c r="AG751" s="5"/>
    </row>
    <row r="752" ht="15.75" customHeight="1">
      <c r="K752" t="s">
        <v>1230</v>
      </c>
      <c r="L752" t="str">
        <f>G43</f>
        <v>H1a1a1b~</v>
      </c>
      <c r="N752" t="s">
        <v>1231</v>
      </c>
      <c r="O752">
        <v>2729051.0</v>
      </c>
      <c r="P752">
        <v>2861010.0</v>
      </c>
      <c r="Q752" t="s">
        <v>448</v>
      </c>
      <c r="R752" s="5"/>
      <c r="S752" s="5"/>
      <c r="T752" s="5"/>
      <c r="U752" s="5"/>
      <c r="V752" s="5"/>
      <c r="W752" s="5"/>
      <c r="X752" s="5"/>
      <c r="Y752" s="5"/>
      <c r="Z752" s="5"/>
      <c r="AA752" s="5"/>
      <c r="AB752" s="5"/>
      <c r="AC752" s="5"/>
      <c r="AD752" s="5"/>
      <c r="AE752" s="5"/>
      <c r="AF752" s="5"/>
      <c r="AG752" s="5"/>
    </row>
    <row r="753" ht="15.75" customHeight="1">
      <c r="K753" t="s">
        <v>1232</v>
      </c>
      <c r="L753" t="str">
        <f t="shared" ref="L753:L754" si="5">G43</f>
        <v>H1a1a1b~</v>
      </c>
      <c r="N753" t="s">
        <v>1233</v>
      </c>
      <c r="O753">
        <v>6769831.0</v>
      </c>
      <c r="P753">
        <v>6901790.0</v>
      </c>
      <c r="Q753" t="s">
        <v>435</v>
      </c>
      <c r="R753" s="5"/>
      <c r="S753" s="5"/>
      <c r="T753" s="5"/>
      <c r="U753" s="5"/>
      <c r="V753" s="5"/>
      <c r="W753" s="5"/>
      <c r="X753" s="5"/>
      <c r="Y753" s="5"/>
      <c r="Z753" s="5"/>
      <c r="AA753" s="5"/>
      <c r="AB753" s="5"/>
      <c r="AC753" s="5"/>
      <c r="AD753" s="5"/>
      <c r="AE753" s="5"/>
      <c r="AF753" s="5"/>
      <c r="AG753" s="5"/>
    </row>
    <row r="754" ht="15.75" customHeight="1">
      <c r="K754" t="s">
        <v>1234</v>
      </c>
      <c r="L754" t="str">
        <f t="shared" si="5"/>
        <v>H1a1a1c~</v>
      </c>
      <c r="N754" t="s">
        <v>1235</v>
      </c>
      <c r="O754">
        <v>2895044.0</v>
      </c>
      <c r="P754">
        <v>3027003.0</v>
      </c>
      <c r="Q754" t="s">
        <v>423</v>
      </c>
      <c r="R754" s="5"/>
      <c r="S754" s="5"/>
      <c r="T754" s="5"/>
      <c r="U754" s="5"/>
      <c r="V754" s="5"/>
      <c r="W754" s="5"/>
      <c r="X754" s="5"/>
      <c r="Y754" s="5"/>
      <c r="Z754" s="5"/>
      <c r="AA754" s="5"/>
      <c r="AB754" s="5"/>
      <c r="AC754" s="5"/>
      <c r="AD754" s="5"/>
      <c r="AE754" s="5"/>
      <c r="AF754" s="5"/>
      <c r="AG754" s="5"/>
    </row>
    <row r="755" ht="15.75" customHeight="1">
      <c r="K755" t="s">
        <v>1236</v>
      </c>
      <c r="L755" t="str">
        <f>G44</f>
        <v>H1a1a1c~</v>
      </c>
      <c r="N755" t="s">
        <v>1237</v>
      </c>
      <c r="O755">
        <v>6975375.0</v>
      </c>
      <c r="P755">
        <v>7107334.0</v>
      </c>
      <c r="Q755" t="s">
        <v>473</v>
      </c>
      <c r="R755" s="5"/>
      <c r="S755" s="5"/>
      <c r="T755" s="5"/>
      <c r="U755" s="5"/>
      <c r="V755" s="5"/>
      <c r="W755" s="5"/>
      <c r="X755" s="5"/>
      <c r="Y755" s="5"/>
      <c r="Z755" s="5"/>
      <c r="AA755" s="5"/>
      <c r="AB755" s="5"/>
      <c r="AC755" s="5"/>
      <c r="AD755" s="5"/>
      <c r="AE755" s="5"/>
      <c r="AF755" s="5"/>
      <c r="AG755" s="5"/>
    </row>
    <row r="756" ht="15.75" customHeight="1">
      <c r="K756" t="s">
        <v>1238</v>
      </c>
      <c r="L756" t="str">
        <f>G44</f>
        <v>H1a1a1c~</v>
      </c>
      <c r="N756" t="s">
        <v>1239</v>
      </c>
      <c r="O756">
        <v>6983542.0</v>
      </c>
      <c r="P756">
        <v>7115501.0</v>
      </c>
      <c r="Q756" t="s">
        <v>459</v>
      </c>
      <c r="R756" s="5"/>
      <c r="S756" s="5"/>
      <c r="T756" s="5"/>
      <c r="U756" s="5"/>
      <c r="V756" s="5"/>
      <c r="W756" s="5"/>
      <c r="X756" s="5"/>
      <c r="Y756" s="5"/>
      <c r="Z756" s="5"/>
      <c r="AA756" s="5"/>
      <c r="AB756" s="5"/>
      <c r="AC756" s="5"/>
      <c r="AD756" s="5"/>
      <c r="AE756" s="5"/>
      <c r="AF756" s="5"/>
      <c r="AG756" s="5"/>
    </row>
    <row r="757" ht="15.75" customHeight="1">
      <c r="K757" t="s">
        <v>1240</v>
      </c>
      <c r="L757" t="str">
        <f>G44</f>
        <v>H1a1a1c~</v>
      </c>
      <c r="N757" t="s">
        <v>1241</v>
      </c>
      <c r="O757">
        <v>7002854.0</v>
      </c>
      <c r="P757">
        <v>7134813.0</v>
      </c>
      <c r="Q757" t="s">
        <v>423</v>
      </c>
      <c r="R757" s="5"/>
      <c r="S757" s="5"/>
      <c r="T757" s="5"/>
      <c r="U757" s="5"/>
      <c r="V757" s="5"/>
      <c r="W757" s="5"/>
      <c r="X757" s="5"/>
      <c r="Y757" s="5"/>
      <c r="Z757" s="5"/>
      <c r="AA757" s="5"/>
      <c r="AB757" s="5"/>
      <c r="AC757" s="5"/>
      <c r="AD757" s="5"/>
      <c r="AE757" s="5"/>
      <c r="AF757" s="5"/>
      <c r="AG757" s="5"/>
    </row>
    <row r="758" ht="15.75" customHeight="1">
      <c r="K758" t="s">
        <v>51</v>
      </c>
      <c r="L758" t="str">
        <f t="shared" ref="L758:L759" si="6">F45</f>
        <v>H1a1a2~</v>
      </c>
      <c r="N758" t="s">
        <v>1242</v>
      </c>
      <c r="O758">
        <v>2.1778713E7</v>
      </c>
      <c r="P758">
        <v>1.9616827E7</v>
      </c>
      <c r="Q758" t="s">
        <v>553</v>
      </c>
      <c r="R758" s="5"/>
      <c r="S758" s="5"/>
      <c r="T758" s="5"/>
      <c r="U758" s="5"/>
      <c r="V758" s="5"/>
      <c r="W758" s="5"/>
      <c r="X758" s="5"/>
      <c r="Y758" s="5"/>
      <c r="Z758" s="5"/>
      <c r="AA758" s="5"/>
      <c r="AB758" s="5"/>
      <c r="AC758" s="5"/>
      <c r="AD758" s="5"/>
      <c r="AE758" s="5"/>
      <c r="AF758" s="5"/>
      <c r="AG758" s="5"/>
    </row>
    <row r="759" ht="15.75" customHeight="1">
      <c r="K759" t="s">
        <v>1243</v>
      </c>
      <c r="L759" t="str">
        <f t="shared" si="6"/>
        <v>H1a1a3~</v>
      </c>
      <c r="O759">
        <v>2.1742248E7</v>
      </c>
      <c r="P759">
        <v>1.9580362E7</v>
      </c>
      <c r="Q759" t="s">
        <v>1244</v>
      </c>
      <c r="R759" s="5"/>
      <c r="S759" s="5"/>
      <c r="T759" s="5"/>
      <c r="U759" s="5"/>
      <c r="V759" s="5"/>
      <c r="W759" s="5"/>
      <c r="X759" s="5"/>
      <c r="Y759" s="5"/>
      <c r="Z759" s="5"/>
      <c r="AA759" s="5"/>
      <c r="AB759" s="5"/>
      <c r="AC759" s="5"/>
      <c r="AD759" s="5"/>
      <c r="AE759" s="5"/>
      <c r="AF759" s="5"/>
      <c r="AG759" s="5"/>
    </row>
    <row r="760" ht="15.75" customHeight="1">
      <c r="K760" t="s">
        <v>1245</v>
      </c>
      <c r="L760" t="str">
        <f t="shared" ref="L760:L761" si="7">F46</f>
        <v>H1a1a3~</v>
      </c>
      <c r="N760" t="s">
        <v>1246</v>
      </c>
      <c r="O760">
        <v>2.1712855E7</v>
      </c>
      <c r="P760">
        <v>1.9550969E7</v>
      </c>
      <c r="Q760" t="s">
        <v>423</v>
      </c>
      <c r="R760" s="5"/>
      <c r="S760" s="5"/>
      <c r="T760" s="5"/>
      <c r="U760" s="5"/>
      <c r="V760" s="5"/>
      <c r="W760" s="5"/>
      <c r="X760" s="5"/>
      <c r="Y760" s="5"/>
      <c r="Z760" s="5"/>
      <c r="AA760" s="5"/>
      <c r="AB760" s="5"/>
      <c r="AC760" s="5"/>
      <c r="AD760" s="5"/>
      <c r="AE760" s="5"/>
      <c r="AF760" s="5"/>
      <c r="AG760" s="5"/>
    </row>
    <row r="761" ht="15.75" customHeight="1">
      <c r="K761" t="s">
        <v>1247</v>
      </c>
      <c r="L761" t="str">
        <f t="shared" si="7"/>
        <v>H1a1a4</v>
      </c>
      <c r="M761" t="s">
        <v>1248</v>
      </c>
      <c r="N761" t="s">
        <v>1249</v>
      </c>
      <c r="O761">
        <v>1.7405475E7</v>
      </c>
      <c r="P761">
        <v>1.5293595E7</v>
      </c>
      <c r="Q761" t="s">
        <v>525</v>
      </c>
      <c r="R761" s="5"/>
      <c r="S761" s="5"/>
      <c r="T761" s="5"/>
      <c r="U761" s="5"/>
      <c r="V761" s="5"/>
      <c r="W761" s="5"/>
      <c r="X761" s="5"/>
      <c r="Y761" s="5"/>
      <c r="Z761" s="5"/>
      <c r="AA761" s="5"/>
      <c r="AB761" s="5"/>
      <c r="AC761" s="5"/>
      <c r="AD761" s="5"/>
      <c r="AE761" s="5"/>
      <c r="AF761" s="5"/>
      <c r="AG761" s="5"/>
    </row>
    <row r="762" ht="15.75" customHeight="1">
      <c r="K762" t="s">
        <v>1248</v>
      </c>
      <c r="L762" t="str">
        <f>F47</f>
        <v>H1a1a4</v>
      </c>
      <c r="M762" t="s">
        <v>1247</v>
      </c>
      <c r="N762" t="s">
        <v>1249</v>
      </c>
      <c r="O762">
        <v>1.7405475E7</v>
      </c>
      <c r="P762">
        <v>1.5293595E7</v>
      </c>
      <c r="Q762" t="s">
        <v>525</v>
      </c>
      <c r="R762" s="5"/>
      <c r="S762" s="5"/>
      <c r="T762" s="5"/>
      <c r="U762" s="5"/>
      <c r="V762" s="5"/>
      <c r="W762" s="5"/>
      <c r="X762" s="5"/>
      <c r="Y762" s="5"/>
      <c r="Z762" s="5"/>
      <c r="AA762" s="5"/>
      <c r="AB762" s="5"/>
      <c r="AC762" s="5"/>
      <c r="AD762" s="5"/>
      <c r="AE762" s="5"/>
      <c r="AF762" s="5"/>
      <c r="AG762" s="5"/>
    </row>
    <row r="763" ht="15.75" customHeight="1">
      <c r="K763" t="s">
        <v>1250</v>
      </c>
      <c r="L763" t="str">
        <f>F47</f>
        <v>H1a1a4</v>
      </c>
      <c r="M763" t="s">
        <v>1251</v>
      </c>
      <c r="N763" t="s">
        <v>1252</v>
      </c>
      <c r="O763">
        <v>8416762.0</v>
      </c>
      <c r="P763">
        <v>8548721.0</v>
      </c>
      <c r="Q763" t="s">
        <v>419</v>
      </c>
      <c r="R763" s="5"/>
      <c r="S763" s="5"/>
      <c r="T763" s="5"/>
      <c r="U763" s="5"/>
      <c r="V763" s="5"/>
      <c r="W763" s="5"/>
      <c r="X763" s="5"/>
      <c r="Y763" s="5"/>
      <c r="Z763" s="5"/>
      <c r="AA763" s="5"/>
      <c r="AB763" s="5"/>
      <c r="AC763" s="5"/>
      <c r="AD763" s="5"/>
      <c r="AE763" s="5"/>
      <c r="AF763" s="5"/>
      <c r="AG763" s="5"/>
    </row>
    <row r="764" ht="15.75" customHeight="1">
      <c r="K764" t="s">
        <v>1251</v>
      </c>
      <c r="L764" t="str">
        <f>F47</f>
        <v>H1a1a4</v>
      </c>
      <c r="M764" t="s">
        <v>1250</v>
      </c>
      <c r="N764" t="s">
        <v>1252</v>
      </c>
      <c r="O764">
        <v>8416762.0</v>
      </c>
      <c r="P764">
        <v>8548721.0</v>
      </c>
      <c r="Q764" t="s">
        <v>419</v>
      </c>
      <c r="R764" s="5"/>
      <c r="S764" s="5"/>
      <c r="T764" s="5"/>
      <c r="U764" s="5"/>
      <c r="V764" s="5"/>
      <c r="W764" s="5"/>
      <c r="X764" s="5"/>
      <c r="Y764" s="5"/>
      <c r="Z764" s="5"/>
      <c r="AA764" s="5"/>
      <c r="AB764" s="5"/>
      <c r="AC764" s="5"/>
      <c r="AD764" s="5"/>
      <c r="AE764" s="5"/>
      <c r="AF764" s="5"/>
      <c r="AG764" s="5"/>
    </row>
    <row r="765" ht="15.75" customHeight="1">
      <c r="K765" t="s">
        <v>1253</v>
      </c>
      <c r="L765" t="str">
        <f>G48</f>
        <v>H1a1a4a</v>
      </c>
      <c r="N765" t="s">
        <v>1254</v>
      </c>
      <c r="O765">
        <v>1.4128698E7</v>
      </c>
      <c r="P765">
        <v>1.2007992E7</v>
      </c>
      <c r="Q765" t="s">
        <v>419</v>
      </c>
      <c r="R765" s="5"/>
      <c r="S765" s="5"/>
      <c r="T765" s="5"/>
      <c r="U765" s="5"/>
      <c r="V765" s="5"/>
      <c r="W765" s="5"/>
      <c r="X765" s="5"/>
      <c r="Y765" s="5"/>
      <c r="Z765" s="5"/>
      <c r="AA765" s="5"/>
      <c r="AB765" s="5"/>
      <c r="AC765" s="5"/>
      <c r="AD765" s="5"/>
      <c r="AE765" s="5"/>
      <c r="AF765" s="5"/>
      <c r="AG765" s="5"/>
    </row>
    <row r="766" ht="15.75" customHeight="1">
      <c r="K766" t="s">
        <v>1255</v>
      </c>
      <c r="L766" t="str">
        <f>G48</f>
        <v>H1a1a4a</v>
      </c>
      <c r="M766" t="s">
        <v>1256</v>
      </c>
      <c r="N766" t="s">
        <v>1257</v>
      </c>
      <c r="O766">
        <v>1.7060289E7</v>
      </c>
      <c r="P766">
        <v>1.4948409E7</v>
      </c>
      <c r="Q766" t="s">
        <v>419</v>
      </c>
      <c r="R766" s="5"/>
      <c r="S766" s="5"/>
      <c r="T766" s="5"/>
      <c r="U766" s="5"/>
      <c r="V766" s="5"/>
      <c r="W766" s="5"/>
      <c r="X766" s="5"/>
      <c r="Y766" s="5"/>
      <c r="Z766" s="5"/>
      <c r="AA766" s="5"/>
      <c r="AB766" s="5"/>
      <c r="AC766" s="5"/>
      <c r="AD766" s="5"/>
      <c r="AE766" s="5"/>
      <c r="AF766" s="5"/>
      <c r="AG766" s="5"/>
    </row>
    <row r="767" ht="15.75" customHeight="1">
      <c r="K767" t="s">
        <v>1256</v>
      </c>
      <c r="L767" t="str">
        <f>G48</f>
        <v>H1a1a4a</v>
      </c>
      <c r="M767" t="s">
        <v>1255</v>
      </c>
      <c r="N767" t="s">
        <v>1257</v>
      </c>
      <c r="O767">
        <v>1.7060289E7</v>
      </c>
      <c r="P767">
        <v>1.4948409E7</v>
      </c>
      <c r="Q767" t="s">
        <v>419</v>
      </c>
      <c r="R767" s="5"/>
      <c r="S767" s="5"/>
      <c r="T767" s="5"/>
      <c r="U767" s="5"/>
      <c r="V767" s="5"/>
      <c r="W767" s="5"/>
      <c r="X767" s="5"/>
      <c r="Y767" s="5"/>
      <c r="Z767" s="5"/>
      <c r="AA767" s="5"/>
      <c r="AB767" s="5"/>
      <c r="AC767" s="5"/>
      <c r="AD767" s="5"/>
      <c r="AE767" s="5"/>
      <c r="AF767" s="5"/>
      <c r="AG767" s="5"/>
    </row>
    <row r="768" ht="15.75" customHeight="1">
      <c r="K768" t="s">
        <v>1258</v>
      </c>
      <c r="L768" t="str">
        <f>G48</f>
        <v>H1a1a4a</v>
      </c>
      <c r="M768" t="s">
        <v>1259</v>
      </c>
      <c r="N768" t="s">
        <v>1260</v>
      </c>
      <c r="O768">
        <v>1.7574513E7</v>
      </c>
      <c r="P768">
        <v>1.5462633E7</v>
      </c>
      <c r="Q768" t="s">
        <v>419</v>
      </c>
      <c r="R768" s="5"/>
      <c r="S768" s="5"/>
      <c r="T768" s="5"/>
      <c r="U768" s="5"/>
      <c r="V768" s="5"/>
      <c r="W768" s="5"/>
      <c r="X768" s="5"/>
      <c r="Y768" s="5"/>
      <c r="Z768" s="5"/>
      <c r="AA768" s="5"/>
      <c r="AB768" s="5"/>
      <c r="AC768" s="5"/>
      <c r="AD768" s="5"/>
      <c r="AE768" s="5"/>
      <c r="AF768" s="5"/>
      <c r="AG768" s="5"/>
    </row>
    <row r="769" ht="15.75" customHeight="1">
      <c r="K769" t="s">
        <v>1259</v>
      </c>
      <c r="L769" t="str">
        <f>G48</f>
        <v>H1a1a4a</v>
      </c>
      <c r="M769" t="s">
        <v>1258</v>
      </c>
      <c r="N769" t="s">
        <v>1260</v>
      </c>
      <c r="O769">
        <v>1.7574513E7</v>
      </c>
      <c r="P769">
        <v>1.5462633E7</v>
      </c>
      <c r="Q769" t="s">
        <v>419</v>
      </c>
      <c r="R769" s="5"/>
      <c r="S769" s="5"/>
      <c r="T769" s="5"/>
      <c r="U769" s="5"/>
      <c r="V769" s="5"/>
      <c r="W769" s="5"/>
      <c r="X769" s="5"/>
      <c r="Y769" s="5"/>
      <c r="Z769" s="5"/>
      <c r="AA769" s="5"/>
      <c r="AB769" s="5"/>
      <c r="AC769" s="5"/>
      <c r="AD769" s="5"/>
      <c r="AE769" s="5"/>
      <c r="AF769" s="5"/>
      <c r="AG769" s="5"/>
    </row>
    <row r="770" ht="15.75" customHeight="1">
      <c r="K770" t="s">
        <v>1261</v>
      </c>
      <c r="L770" t="str">
        <f>G48</f>
        <v>H1a1a4a</v>
      </c>
      <c r="N770" t="s">
        <v>1262</v>
      </c>
      <c r="O770">
        <v>6675751.0</v>
      </c>
      <c r="P770">
        <v>6807710.0</v>
      </c>
      <c r="Q770" t="s">
        <v>435</v>
      </c>
      <c r="R770" s="5"/>
      <c r="S770" s="5"/>
      <c r="T770" s="5"/>
      <c r="U770" s="5"/>
      <c r="V770" s="5"/>
      <c r="W770" s="5"/>
      <c r="X770" s="5"/>
      <c r="Y770" s="5"/>
      <c r="Z770" s="5"/>
      <c r="AA770" s="5"/>
      <c r="AB770" s="5"/>
      <c r="AC770" s="5"/>
      <c r="AD770" s="5"/>
      <c r="AE770" s="5"/>
      <c r="AF770" s="5"/>
      <c r="AG770" s="5"/>
    </row>
    <row r="771" ht="15.75" customHeight="1">
      <c r="K771" t="s">
        <v>1263</v>
      </c>
      <c r="L771" t="str">
        <f>G48</f>
        <v>H1a1a4a</v>
      </c>
      <c r="N771" t="s">
        <v>1264</v>
      </c>
      <c r="O771">
        <v>6687725.0</v>
      </c>
      <c r="P771">
        <v>6819684.0</v>
      </c>
      <c r="Q771" t="s">
        <v>476</v>
      </c>
      <c r="R771" s="5"/>
      <c r="S771" s="5"/>
      <c r="T771" s="5"/>
      <c r="U771" s="5"/>
      <c r="V771" s="5"/>
      <c r="W771" s="5"/>
      <c r="X771" s="5"/>
      <c r="Y771" s="5"/>
      <c r="Z771" s="5"/>
      <c r="AA771" s="5"/>
      <c r="AB771" s="5"/>
      <c r="AC771" s="5"/>
      <c r="AD771" s="5"/>
      <c r="AE771" s="5"/>
      <c r="AF771" s="5"/>
      <c r="AG771" s="5"/>
    </row>
    <row r="772" ht="15.75" customHeight="1">
      <c r="K772" t="s">
        <v>1265</v>
      </c>
      <c r="L772" t="str">
        <f>G48</f>
        <v>H1a1a4a</v>
      </c>
      <c r="N772" t="s">
        <v>1266</v>
      </c>
      <c r="O772">
        <v>6807397.0</v>
      </c>
      <c r="P772">
        <v>6939356.0</v>
      </c>
      <c r="Q772" t="s">
        <v>419</v>
      </c>
      <c r="R772" s="5"/>
      <c r="S772" s="5"/>
      <c r="T772" s="5"/>
      <c r="U772" s="5"/>
      <c r="V772" s="5"/>
      <c r="W772" s="5"/>
      <c r="X772" s="5"/>
      <c r="Y772" s="5"/>
      <c r="Z772" s="5"/>
      <c r="AA772" s="5"/>
      <c r="AB772" s="5"/>
      <c r="AC772" s="5"/>
      <c r="AD772" s="5"/>
      <c r="AE772" s="5"/>
      <c r="AF772" s="5"/>
      <c r="AG772" s="5"/>
    </row>
    <row r="773" ht="15.75" customHeight="1">
      <c r="K773" t="s">
        <v>1267</v>
      </c>
      <c r="L773" t="str">
        <f>G48</f>
        <v>H1a1a4a</v>
      </c>
      <c r="N773" t="s">
        <v>1268</v>
      </c>
      <c r="O773">
        <v>6814775.0</v>
      </c>
      <c r="P773">
        <v>6946734.0</v>
      </c>
      <c r="Q773" t="s">
        <v>419</v>
      </c>
      <c r="R773" s="5"/>
      <c r="S773" s="5"/>
      <c r="T773" s="5"/>
      <c r="U773" s="5"/>
      <c r="V773" s="5"/>
      <c r="W773" s="5"/>
      <c r="X773" s="5"/>
      <c r="Y773" s="5"/>
      <c r="Z773" s="5"/>
      <c r="AA773" s="5"/>
      <c r="AB773" s="5"/>
      <c r="AC773" s="5"/>
      <c r="AD773" s="5"/>
      <c r="AE773" s="5"/>
      <c r="AF773" s="5"/>
      <c r="AG773" s="5"/>
    </row>
    <row r="774" ht="15.75" customHeight="1">
      <c r="K774" t="s">
        <v>1269</v>
      </c>
      <c r="L774" t="str">
        <f>G48</f>
        <v>H1a1a4a</v>
      </c>
      <c r="N774" t="s">
        <v>1270</v>
      </c>
      <c r="O774">
        <v>7627961.0</v>
      </c>
      <c r="P774">
        <v>7759920.0</v>
      </c>
      <c r="Q774" t="s">
        <v>553</v>
      </c>
      <c r="R774" s="5"/>
      <c r="S774" s="5"/>
      <c r="T774" s="5"/>
      <c r="U774" s="5"/>
      <c r="V774" s="5"/>
      <c r="W774" s="5"/>
      <c r="X774" s="5"/>
      <c r="Y774" s="5"/>
      <c r="Z774" s="5"/>
      <c r="AA774" s="5"/>
      <c r="AB774" s="5"/>
      <c r="AC774" s="5"/>
      <c r="AD774" s="5"/>
      <c r="AE774" s="5"/>
      <c r="AF774" s="5"/>
      <c r="AG774" s="5"/>
    </row>
    <row r="775" ht="15.75" customHeight="1">
      <c r="K775" t="s">
        <v>1271</v>
      </c>
      <c r="L775" t="str">
        <f>G48</f>
        <v>H1a1a4a</v>
      </c>
      <c r="N775" t="s">
        <v>1272</v>
      </c>
      <c r="O775">
        <v>7646755.0</v>
      </c>
      <c r="P775">
        <v>7778714.0</v>
      </c>
      <c r="Q775" t="s">
        <v>459</v>
      </c>
      <c r="R775" s="5"/>
      <c r="S775" s="5"/>
      <c r="T775" s="5"/>
      <c r="U775" s="5"/>
      <c r="V775" s="5"/>
      <c r="W775" s="5"/>
      <c r="X775" s="5"/>
      <c r="Y775" s="5"/>
      <c r="Z775" s="5"/>
      <c r="AA775" s="5"/>
      <c r="AB775" s="5"/>
      <c r="AC775" s="5"/>
      <c r="AD775" s="5"/>
      <c r="AE775" s="5"/>
      <c r="AF775" s="5"/>
      <c r="AG775" s="5"/>
    </row>
    <row r="776" ht="15.75" customHeight="1">
      <c r="K776" t="s">
        <v>1273</v>
      </c>
      <c r="L776" t="str">
        <f>G48</f>
        <v>H1a1a4a</v>
      </c>
      <c r="N776" t="s">
        <v>1274</v>
      </c>
      <c r="O776">
        <v>7704764.0</v>
      </c>
      <c r="P776">
        <v>7836723.0</v>
      </c>
      <c r="Q776" t="s">
        <v>423</v>
      </c>
      <c r="R776" s="5"/>
      <c r="S776" s="5"/>
      <c r="T776" s="5"/>
      <c r="U776" s="5"/>
      <c r="V776" s="5"/>
      <c r="W776" s="5"/>
      <c r="X776" s="5"/>
      <c r="Y776" s="5"/>
      <c r="Z776" s="5"/>
      <c r="AA776" s="5"/>
      <c r="AB776" s="5"/>
      <c r="AC776" s="5"/>
      <c r="AD776" s="5"/>
      <c r="AE776" s="5"/>
      <c r="AF776" s="5"/>
      <c r="AG776" s="5"/>
    </row>
    <row r="777" ht="15.75" customHeight="1">
      <c r="K777" t="s">
        <v>1275</v>
      </c>
      <c r="L777" t="str">
        <f>G48</f>
        <v>H1a1a4a</v>
      </c>
      <c r="N777" t="s">
        <v>1276</v>
      </c>
      <c r="O777">
        <v>7862168.0</v>
      </c>
      <c r="P777">
        <v>7994127.0</v>
      </c>
      <c r="Q777" t="s">
        <v>419</v>
      </c>
      <c r="R777" s="5"/>
      <c r="S777" s="5"/>
      <c r="T777" s="5"/>
      <c r="U777" s="5"/>
      <c r="V777" s="5"/>
      <c r="W777" s="5"/>
      <c r="X777" s="5"/>
      <c r="Y777" s="5"/>
      <c r="Z777" s="5"/>
      <c r="AA777" s="5"/>
      <c r="AB777" s="5"/>
      <c r="AC777" s="5"/>
      <c r="AD777" s="5"/>
      <c r="AE777" s="5"/>
      <c r="AF777" s="5"/>
      <c r="AG777" s="5"/>
    </row>
    <row r="778" ht="15.75" customHeight="1">
      <c r="K778" t="s">
        <v>1277</v>
      </c>
      <c r="L778" t="str">
        <f>G48</f>
        <v>H1a1a4a</v>
      </c>
      <c r="N778" t="s">
        <v>1278</v>
      </c>
      <c r="O778">
        <v>7874962.0</v>
      </c>
      <c r="P778">
        <v>8006921.0</v>
      </c>
      <c r="Q778" t="s">
        <v>476</v>
      </c>
      <c r="R778" s="5"/>
      <c r="S778" s="5"/>
      <c r="T778" s="5"/>
      <c r="U778" s="5"/>
      <c r="V778" s="5"/>
      <c r="W778" s="5"/>
      <c r="X778" s="5"/>
      <c r="Y778" s="5"/>
      <c r="Z778" s="5"/>
      <c r="AA778" s="5"/>
      <c r="AB778" s="5"/>
      <c r="AC778" s="5"/>
      <c r="AD778" s="5"/>
      <c r="AE778" s="5"/>
      <c r="AF778" s="5"/>
      <c r="AG778" s="5"/>
    </row>
    <row r="779" ht="15.75" customHeight="1">
      <c r="K779" t="s">
        <v>1279</v>
      </c>
      <c r="L779" t="str">
        <f>G48</f>
        <v>H1a1a4a</v>
      </c>
      <c r="N779" t="s">
        <v>1280</v>
      </c>
      <c r="O779">
        <v>7900939.0</v>
      </c>
      <c r="P779">
        <v>8032898.0</v>
      </c>
      <c r="Q779" t="s">
        <v>525</v>
      </c>
      <c r="R779" s="5"/>
      <c r="S779" s="5"/>
      <c r="T779" s="5"/>
      <c r="U779" s="5"/>
      <c r="V779" s="5"/>
      <c r="W779" s="5"/>
      <c r="X779" s="5"/>
      <c r="Y779" s="5"/>
      <c r="Z779" s="5"/>
      <c r="AA779" s="5"/>
      <c r="AB779" s="5"/>
      <c r="AC779" s="5"/>
      <c r="AD779" s="5"/>
      <c r="AE779" s="5"/>
      <c r="AF779" s="5"/>
      <c r="AG779" s="5"/>
    </row>
    <row r="780" ht="15.75" customHeight="1">
      <c r="K780" t="s">
        <v>1281</v>
      </c>
      <c r="L780" t="str">
        <f>G48</f>
        <v>H1a1a4a</v>
      </c>
      <c r="N780" t="s">
        <v>1282</v>
      </c>
      <c r="O780">
        <v>7932431.0</v>
      </c>
      <c r="P780">
        <v>8064390.0</v>
      </c>
      <c r="Q780" t="s">
        <v>525</v>
      </c>
      <c r="R780" s="5"/>
      <c r="S780" s="5"/>
      <c r="T780" s="5"/>
      <c r="U780" s="5"/>
      <c r="V780" s="5"/>
      <c r="W780" s="5"/>
      <c r="X780" s="5"/>
      <c r="Y780" s="5"/>
      <c r="Z780" s="5"/>
      <c r="AA780" s="5"/>
      <c r="AB780" s="5"/>
      <c r="AC780" s="5"/>
      <c r="AD780" s="5"/>
      <c r="AE780" s="5"/>
      <c r="AF780" s="5"/>
      <c r="AG780" s="5"/>
    </row>
    <row r="781" ht="15.75" customHeight="1">
      <c r="K781" t="s">
        <v>1283</v>
      </c>
      <c r="L781" t="str">
        <f>G48</f>
        <v>H1a1a4a</v>
      </c>
      <c r="N781" t="s">
        <v>1284</v>
      </c>
      <c r="O781">
        <v>7937450.0</v>
      </c>
      <c r="P781">
        <v>8069409.0</v>
      </c>
      <c r="Q781" t="s">
        <v>423</v>
      </c>
      <c r="R781" s="5"/>
      <c r="S781" s="5"/>
      <c r="T781" s="5"/>
      <c r="U781" s="5"/>
      <c r="V781" s="5"/>
      <c r="W781" s="5"/>
      <c r="X781" s="5"/>
      <c r="Y781" s="5"/>
      <c r="Z781" s="5"/>
      <c r="AA781" s="5"/>
      <c r="AB781" s="5"/>
      <c r="AC781" s="5"/>
      <c r="AD781" s="5"/>
      <c r="AE781" s="5"/>
      <c r="AF781" s="5"/>
      <c r="AG781" s="5"/>
    </row>
    <row r="782" ht="15.75" customHeight="1">
      <c r="K782" t="s">
        <v>1285</v>
      </c>
      <c r="L782" t="str">
        <f>G48</f>
        <v>H1a1a4a</v>
      </c>
      <c r="N782" t="s">
        <v>1286</v>
      </c>
      <c r="O782">
        <v>8179052.0</v>
      </c>
      <c r="P782">
        <v>8311011.0</v>
      </c>
      <c r="Q782" t="s">
        <v>419</v>
      </c>
      <c r="R782" s="5"/>
      <c r="S782" s="5"/>
      <c r="T782" s="5"/>
      <c r="U782" s="5"/>
      <c r="V782" s="5"/>
      <c r="W782" s="5"/>
      <c r="X782" s="5"/>
      <c r="Y782" s="5"/>
      <c r="Z782" s="5"/>
      <c r="AA782" s="5"/>
      <c r="AB782" s="5"/>
      <c r="AC782" s="5"/>
      <c r="AD782" s="5"/>
      <c r="AE782" s="5"/>
      <c r="AF782" s="5"/>
      <c r="AG782" s="5"/>
    </row>
    <row r="783" ht="15.75" customHeight="1">
      <c r="K783" t="s">
        <v>1287</v>
      </c>
      <c r="L783" t="str">
        <f>G48</f>
        <v>H1a1a4a</v>
      </c>
      <c r="N783" t="s">
        <v>1288</v>
      </c>
      <c r="O783">
        <v>8254740.0</v>
      </c>
      <c r="P783">
        <v>8386699.0</v>
      </c>
      <c r="Q783" t="s">
        <v>423</v>
      </c>
      <c r="R783" s="5"/>
      <c r="S783" s="5"/>
      <c r="T783" s="5"/>
      <c r="U783" s="5"/>
      <c r="V783" s="5"/>
      <c r="W783" s="5"/>
      <c r="X783" s="5"/>
      <c r="Y783" s="5"/>
      <c r="Z783" s="5"/>
      <c r="AA783" s="5"/>
      <c r="AB783" s="5"/>
      <c r="AC783" s="5"/>
      <c r="AD783" s="5"/>
      <c r="AE783" s="5"/>
      <c r="AF783" s="5"/>
      <c r="AG783" s="5"/>
    </row>
    <row r="784" ht="15.75" customHeight="1">
      <c r="K784" t="s">
        <v>1289</v>
      </c>
      <c r="L784" t="str">
        <f>G48</f>
        <v>H1a1a4a</v>
      </c>
      <c r="N784" t="s">
        <v>1290</v>
      </c>
      <c r="O784">
        <v>8771021.0</v>
      </c>
      <c r="P784">
        <v>8902980.0</v>
      </c>
      <c r="Q784" t="s">
        <v>419</v>
      </c>
      <c r="R784" s="5"/>
      <c r="S784" s="5"/>
      <c r="T784" s="5"/>
      <c r="U784" s="5"/>
      <c r="V784" s="5"/>
      <c r="W784" s="5"/>
      <c r="X784" s="5"/>
      <c r="Y784" s="5"/>
      <c r="Z784" s="5"/>
      <c r="AA784" s="5"/>
      <c r="AB784" s="5"/>
      <c r="AC784" s="5"/>
      <c r="AD784" s="5"/>
      <c r="AE784" s="5"/>
      <c r="AF784" s="5"/>
      <c r="AG784" s="5"/>
    </row>
    <row r="785" ht="15.75" customHeight="1">
      <c r="K785" t="s">
        <v>1291</v>
      </c>
      <c r="L785" t="str">
        <f>G48</f>
        <v>H1a1a4a</v>
      </c>
      <c r="N785" t="s">
        <v>1292</v>
      </c>
      <c r="O785">
        <v>8803319.0</v>
      </c>
      <c r="P785">
        <v>8935278.0</v>
      </c>
      <c r="Q785" t="s">
        <v>435</v>
      </c>
      <c r="R785" s="5"/>
      <c r="S785" s="5"/>
      <c r="T785" s="5"/>
      <c r="U785" s="5"/>
      <c r="V785" s="5"/>
      <c r="W785" s="5"/>
      <c r="X785" s="5"/>
      <c r="Y785" s="5"/>
      <c r="Z785" s="5"/>
      <c r="AA785" s="5"/>
      <c r="AB785" s="5"/>
      <c r="AC785" s="5"/>
      <c r="AD785" s="5"/>
      <c r="AE785" s="5"/>
      <c r="AF785" s="5"/>
      <c r="AG785" s="5"/>
    </row>
    <row r="786" ht="15.75" customHeight="1">
      <c r="K786" t="s">
        <v>1293</v>
      </c>
      <c r="L786" t="str">
        <f>G48</f>
        <v>H1a1a4a</v>
      </c>
      <c r="N786" t="s">
        <v>1294</v>
      </c>
      <c r="O786">
        <v>8876460.0</v>
      </c>
      <c r="P786">
        <v>9008419.0</v>
      </c>
      <c r="Q786" t="s">
        <v>427</v>
      </c>
      <c r="R786" s="5"/>
      <c r="S786" s="5"/>
      <c r="T786" s="5"/>
      <c r="U786" s="5"/>
      <c r="V786" s="5"/>
      <c r="W786" s="5"/>
      <c r="X786" s="5"/>
      <c r="Y786" s="5"/>
      <c r="Z786" s="5"/>
      <c r="AA786" s="5"/>
      <c r="AB786" s="5"/>
      <c r="AC786" s="5"/>
      <c r="AD786" s="5"/>
      <c r="AE786" s="5"/>
      <c r="AF786" s="5"/>
      <c r="AG786" s="5"/>
    </row>
    <row r="787" ht="15.75" customHeight="1">
      <c r="K787" t="s">
        <v>1295</v>
      </c>
      <c r="L787" t="str">
        <f>G48</f>
        <v>H1a1a4a</v>
      </c>
      <c r="N787" t="s">
        <v>1296</v>
      </c>
      <c r="O787">
        <v>9059991.0</v>
      </c>
      <c r="P787">
        <v>9222382.0</v>
      </c>
      <c r="Q787" t="s">
        <v>435</v>
      </c>
      <c r="R787" s="5"/>
      <c r="S787" s="5"/>
      <c r="T787" s="5"/>
      <c r="U787" s="5"/>
      <c r="V787" s="5"/>
      <c r="W787" s="5"/>
      <c r="X787" s="5"/>
      <c r="Y787" s="5"/>
      <c r="Z787" s="5"/>
      <c r="AA787" s="5"/>
      <c r="AB787" s="5"/>
      <c r="AC787" s="5"/>
      <c r="AD787" s="5"/>
      <c r="AE787" s="5"/>
      <c r="AF787" s="5"/>
      <c r="AG787" s="5"/>
    </row>
    <row r="788" ht="15.75" customHeight="1">
      <c r="K788" t="s">
        <v>1297</v>
      </c>
      <c r="L788" t="str">
        <f>G48</f>
        <v>H1a1a4a</v>
      </c>
      <c r="N788" t="s">
        <v>1298</v>
      </c>
      <c r="O788">
        <v>9448900.0</v>
      </c>
      <c r="P788">
        <v>9611291.0</v>
      </c>
      <c r="Q788" t="s">
        <v>431</v>
      </c>
      <c r="R788" s="5"/>
      <c r="S788" s="5"/>
      <c r="T788" s="5"/>
      <c r="U788" s="5"/>
      <c r="V788" s="5"/>
      <c r="W788" s="5"/>
      <c r="X788" s="5"/>
      <c r="Y788" s="5"/>
      <c r="Z788" s="5"/>
      <c r="AA788" s="5"/>
      <c r="AB788" s="5"/>
      <c r="AC788" s="5"/>
      <c r="AD788" s="5"/>
      <c r="AE788" s="5"/>
      <c r="AF788" s="5"/>
      <c r="AG788" s="5"/>
    </row>
    <row r="789" ht="15.75" customHeight="1">
      <c r="K789" t="s">
        <v>1299</v>
      </c>
      <c r="L789" t="str">
        <f>G48</f>
        <v>H1a1a4a</v>
      </c>
      <c r="N789" s="66" t="s">
        <v>1300</v>
      </c>
      <c r="O789">
        <v>9889381.0</v>
      </c>
      <c r="P789">
        <v>1.0051772E7</v>
      </c>
      <c r="Q789" t="s">
        <v>419</v>
      </c>
      <c r="R789" s="5"/>
      <c r="S789" s="5"/>
      <c r="T789" s="5"/>
      <c r="U789" s="5"/>
      <c r="V789" s="5"/>
      <c r="W789" s="5"/>
      <c r="X789" s="5"/>
      <c r="Y789" s="5"/>
      <c r="Z789" s="5"/>
      <c r="AA789" s="5"/>
      <c r="AB789" s="5"/>
      <c r="AC789" s="5"/>
      <c r="AD789" s="5"/>
      <c r="AE789" s="5"/>
      <c r="AF789" s="5"/>
      <c r="AG789" s="5"/>
    </row>
    <row r="790" ht="15.75" customHeight="1">
      <c r="K790" t="s">
        <v>1301</v>
      </c>
      <c r="L790" t="str">
        <f>G48</f>
        <v>H1a1a4a</v>
      </c>
      <c r="O790">
        <v>1.3645248E7</v>
      </c>
      <c r="P790">
        <v>1.1489572E7</v>
      </c>
      <c r="Q790" t="s">
        <v>525</v>
      </c>
      <c r="R790" s="5"/>
      <c r="S790" s="5"/>
      <c r="T790" s="5"/>
      <c r="U790" s="5"/>
      <c r="V790" s="5"/>
      <c r="W790" s="5"/>
      <c r="X790" s="5"/>
      <c r="Y790" s="5"/>
      <c r="Z790" s="5"/>
      <c r="AA790" s="5"/>
      <c r="AB790" s="5"/>
      <c r="AC790" s="5"/>
      <c r="AD790" s="5"/>
      <c r="AE790" s="5"/>
      <c r="AF790" s="5"/>
      <c r="AG790" s="5"/>
    </row>
    <row r="791" ht="15.75" customHeight="1">
      <c r="K791" t="s">
        <v>1302</v>
      </c>
      <c r="L791" t="str">
        <f>G48</f>
        <v>H1a1a4a</v>
      </c>
      <c r="N791" t="s">
        <v>1303</v>
      </c>
      <c r="O791">
        <v>1.3677199E7</v>
      </c>
      <c r="P791">
        <v>1.1521523E7</v>
      </c>
      <c r="Q791" t="s">
        <v>427</v>
      </c>
      <c r="R791" s="5"/>
      <c r="S791" s="5"/>
      <c r="T791" s="5"/>
      <c r="U791" s="5"/>
      <c r="V791" s="5"/>
      <c r="W791" s="5"/>
      <c r="X791" s="5"/>
      <c r="Y791" s="5"/>
      <c r="Z791" s="5"/>
      <c r="AA791" s="5"/>
      <c r="AB791" s="5"/>
      <c r="AC791" s="5"/>
      <c r="AD791" s="5"/>
      <c r="AE791" s="5"/>
      <c r="AF791" s="5"/>
      <c r="AG791" s="5"/>
    </row>
    <row r="792" ht="15.75" customHeight="1">
      <c r="K792" t="s">
        <v>1304</v>
      </c>
      <c r="L792" t="str">
        <f>G48</f>
        <v>H1a1a4a</v>
      </c>
      <c r="N792" t="s">
        <v>1305</v>
      </c>
      <c r="O792">
        <v>1.3802178E7</v>
      </c>
      <c r="P792">
        <v>1.1681472E7</v>
      </c>
      <c r="Q792" t="s">
        <v>452</v>
      </c>
      <c r="R792" s="5"/>
      <c r="S792" s="5"/>
      <c r="T792" s="5"/>
      <c r="U792" s="5"/>
      <c r="V792" s="5"/>
      <c r="W792" s="5"/>
      <c r="X792" s="5"/>
      <c r="Y792" s="5"/>
      <c r="Z792" s="5"/>
      <c r="AA792" s="5"/>
      <c r="AB792" s="5"/>
      <c r="AC792" s="5"/>
      <c r="AD792" s="5"/>
      <c r="AE792" s="5"/>
      <c r="AF792" s="5"/>
      <c r="AG792" s="5"/>
    </row>
    <row r="793" ht="15.75" customHeight="1">
      <c r="K793" t="s">
        <v>1306</v>
      </c>
      <c r="L793" t="str">
        <f>G48</f>
        <v>H1a1a4a</v>
      </c>
      <c r="O793">
        <v>1.3835609E7</v>
      </c>
      <c r="P793">
        <v>1.1714903E7</v>
      </c>
      <c r="Q793" t="s">
        <v>553</v>
      </c>
      <c r="R793" s="5"/>
      <c r="S793" s="5"/>
      <c r="T793" s="5"/>
      <c r="U793" s="5"/>
      <c r="V793" s="5"/>
      <c r="W793" s="5"/>
      <c r="X793" s="5"/>
      <c r="Y793" s="5"/>
      <c r="Z793" s="5"/>
      <c r="AA793" s="5"/>
      <c r="AB793" s="5"/>
      <c r="AC793" s="5"/>
      <c r="AD793" s="5"/>
      <c r="AE793" s="5"/>
      <c r="AF793" s="5"/>
      <c r="AG793" s="5"/>
    </row>
    <row r="794" ht="15.75" customHeight="1">
      <c r="K794" t="s">
        <v>1307</v>
      </c>
      <c r="L794" t="str">
        <f>G48</f>
        <v>H1a1a4a</v>
      </c>
      <c r="N794" t="s">
        <v>1308</v>
      </c>
      <c r="O794">
        <v>1.3836747E7</v>
      </c>
      <c r="P794">
        <v>1.1716041E7</v>
      </c>
      <c r="Q794" t="s">
        <v>427</v>
      </c>
      <c r="R794" s="5"/>
      <c r="S794" s="5"/>
      <c r="T794" s="5"/>
      <c r="U794" s="5"/>
      <c r="V794" s="5"/>
      <c r="W794" s="5"/>
      <c r="X794" s="5"/>
      <c r="Y794" s="5"/>
      <c r="Z794" s="5"/>
      <c r="AA794" s="5"/>
      <c r="AB794" s="5"/>
      <c r="AC794" s="5"/>
      <c r="AD794" s="5"/>
      <c r="AE794" s="5"/>
      <c r="AF794" s="5"/>
      <c r="AG794" s="5"/>
    </row>
    <row r="795" ht="15.75" customHeight="1">
      <c r="K795" t="s">
        <v>1309</v>
      </c>
      <c r="L795" t="str">
        <f>G48</f>
        <v>H1a1a4a</v>
      </c>
      <c r="N795" t="s">
        <v>1310</v>
      </c>
      <c r="O795">
        <v>1.4197767E7</v>
      </c>
      <c r="P795">
        <v>1.2077061E7</v>
      </c>
      <c r="Q795" t="s">
        <v>476</v>
      </c>
      <c r="R795" s="5"/>
      <c r="S795" s="5"/>
      <c r="T795" s="5"/>
      <c r="U795" s="5"/>
      <c r="V795" s="5"/>
      <c r="W795" s="5"/>
      <c r="X795" s="5"/>
      <c r="Y795" s="5"/>
      <c r="Z795" s="5"/>
      <c r="AA795" s="5"/>
      <c r="AB795" s="5"/>
      <c r="AC795" s="5"/>
      <c r="AD795" s="5"/>
      <c r="AE795" s="5"/>
      <c r="AF795" s="5"/>
      <c r="AG795" s="5"/>
    </row>
    <row r="796" ht="15.75" customHeight="1">
      <c r="K796" t="s">
        <v>1311</v>
      </c>
      <c r="L796" t="str">
        <f>G48</f>
        <v>H1a1a4a</v>
      </c>
      <c r="N796" t="s">
        <v>1312</v>
      </c>
      <c r="O796">
        <v>1.4268829E7</v>
      </c>
      <c r="P796">
        <v>1.2148123E7</v>
      </c>
      <c r="Q796" t="s">
        <v>431</v>
      </c>
      <c r="R796" s="5"/>
      <c r="S796" s="5"/>
      <c r="T796" s="5"/>
      <c r="U796" s="5"/>
      <c r="V796" s="5"/>
      <c r="W796" s="5"/>
      <c r="X796" s="5"/>
      <c r="Y796" s="5"/>
      <c r="Z796" s="5"/>
      <c r="AA796" s="5"/>
      <c r="AB796" s="5"/>
      <c r="AC796" s="5"/>
      <c r="AD796" s="5"/>
      <c r="AE796" s="5"/>
      <c r="AF796" s="5"/>
      <c r="AG796" s="5"/>
    </row>
    <row r="797" ht="15.75" customHeight="1">
      <c r="K797" t="s">
        <v>1313</v>
      </c>
      <c r="L797" t="str">
        <f>G48</f>
        <v>H1a1a4a</v>
      </c>
      <c r="N797" t="s">
        <v>1314</v>
      </c>
      <c r="O797">
        <v>1.4586509E7</v>
      </c>
      <c r="P797">
        <v>1.2474709E7</v>
      </c>
      <c r="Q797" t="s">
        <v>423</v>
      </c>
      <c r="R797" s="5"/>
      <c r="S797" s="5"/>
      <c r="T797" s="5"/>
      <c r="U797" s="5"/>
      <c r="V797" s="5"/>
      <c r="W797" s="5"/>
      <c r="X797" s="5"/>
      <c r="Y797" s="5"/>
      <c r="Z797" s="5"/>
      <c r="AA797" s="5"/>
      <c r="AB797" s="5"/>
      <c r="AC797" s="5"/>
      <c r="AD797" s="5"/>
      <c r="AE797" s="5"/>
      <c r="AF797" s="5"/>
      <c r="AG797" s="5"/>
    </row>
    <row r="798" ht="15.75" customHeight="1">
      <c r="K798" t="s">
        <v>1315</v>
      </c>
      <c r="L798" t="str">
        <f>G48</f>
        <v>H1a1a4a</v>
      </c>
      <c r="N798" t="s">
        <v>1316</v>
      </c>
      <c r="O798">
        <v>1.4677964E7</v>
      </c>
      <c r="P798">
        <v>1.256603E7</v>
      </c>
      <c r="Q798" t="s">
        <v>423</v>
      </c>
      <c r="R798" s="5"/>
      <c r="S798" s="5"/>
      <c r="T798" s="5"/>
      <c r="U798" s="5"/>
      <c r="V798" s="5"/>
      <c r="W798" s="5"/>
      <c r="X798" s="5"/>
      <c r="Y798" s="5"/>
      <c r="Z798" s="5"/>
      <c r="AA798" s="5"/>
      <c r="AB798" s="5"/>
      <c r="AC798" s="5"/>
      <c r="AD798" s="5"/>
      <c r="AE798" s="5"/>
      <c r="AF798" s="5"/>
      <c r="AG798" s="5"/>
    </row>
    <row r="799" ht="15.75" customHeight="1">
      <c r="K799" t="s">
        <v>1317</v>
      </c>
      <c r="L799" t="str">
        <f>G48</f>
        <v>H1a1a4a</v>
      </c>
      <c r="N799" t="s">
        <v>1318</v>
      </c>
      <c r="O799">
        <v>1.4737903E7</v>
      </c>
      <c r="P799">
        <v>1.2625971E7</v>
      </c>
      <c r="Q799" t="s">
        <v>419</v>
      </c>
      <c r="R799" s="5"/>
      <c r="S799" s="5"/>
      <c r="T799" s="5"/>
      <c r="U799" s="5"/>
      <c r="V799" s="5"/>
      <c r="W799" s="5"/>
      <c r="X799" s="5"/>
      <c r="Y799" s="5"/>
      <c r="Z799" s="5"/>
      <c r="AA799" s="5"/>
      <c r="AB799" s="5"/>
      <c r="AC799" s="5"/>
      <c r="AD799" s="5"/>
      <c r="AE799" s="5"/>
      <c r="AF799" s="5"/>
      <c r="AG799" s="5"/>
    </row>
    <row r="800" ht="15.75" customHeight="1">
      <c r="K800" t="s">
        <v>1319</v>
      </c>
      <c r="L800" t="str">
        <f>G48</f>
        <v>H1a1a4a</v>
      </c>
      <c r="N800" t="s">
        <v>1320</v>
      </c>
      <c r="O800">
        <v>1.5170843E7</v>
      </c>
      <c r="P800">
        <v>1.3058929E7</v>
      </c>
      <c r="Q800" t="s">
        <v>452</v>
      </c>
      <c r="R800" s="5"/>
      <c r="S800" s="5"/>
      <c r="T800" s="5"/>
      <c r="U800" s="5"/>
      <c r="V800" s="5"/>
      <c r="W800" s="5"/>
      <c r="X800" s="5"/>
      <c r="Y800" s="5"/>
      <c r="Z800" s="5"/>
      <c r="AA800" s="5"/>
      <c r="AB800" s="5"/>
      <c r="AC800" s="5"/>
      <c r="AD800" s="5"/>
      <c r="AE800" s="5"/>
      <c r="AF800" s="5"/>
      <c r="AG800" s="5"/>
    </row>
    <row r="801" ht="15.75" customHeight="1">
      <c r="K801" t="s">
        <v>1321</v>
      </c>
      <c r="L801" t="str">
        <f>G48</f>
        <v>H1a1a4a</v>
      </c>
      <c r="N801" t="s">
        <v>1322</v>
      </c>
      <c r="O801">
        <v>1.5204306E7</v>
      </c>
      <c r="P801">
        <v>1.3092392E7</v>
      </c>
      <c r="Q801" t="s">
        <v>435</v>
      </c>
      <c r="R801" s="5"/>
      <c r="S801" s="5"/>
      <c r="T801" s="5"/>
      <c r="U801" s="5"/>
      <c r="V801" s="5"/>
      <c r="W801" s="5"/>
      <c r="X801" s="5"/>
      <c r="Y801" s="5"/>
      <c r="Z801" s="5"/>
      <c r="AA801" s="5"/>
      <c r="AB801" s="5"/>
      <c r="AC801" s="5"/>
      <c r="AD801" s="5"/>
      <c r="AE801" s="5"/>
      <c r="AF801" s="5"/>
      <c r="AG801" s="5"/>
    </row>
    <row r="802" ht="15.75" customHeight="1">
      <c r="K802" t="s">
        <v>1323</v>
      </c>
      <c r="L802" t="str">
        <f>G48</f>
        <v>H1a1a4a</v>
      </c>
      <c r="N802" t="s">
        <v>1324</v>
      </c>
      <c r="O802">
        <v>1.5261847E7</v>
      </c>
      <c r="P802">
        <v>1.3149931E7</v>
      </c>
      <c r="Q802" t="s">
        <v>431</v>
      </c>
      <c r="R802" s="5"/>
      <c r="S802" s="5"/>
      <c r="T802" s="5"/>
      <c r="U802" s="5"/>
      <c r="V802" s="5"/>
      <c r="W802" s="5"/>
      <c r="X802" s="5"/>
      <c r="Y802" s="5"/>
      <c r="Z802" s="5"/>
      <c r="AA802" s="5"/>
      <c r="AB802" s="5"/>
      <c r="AC802" s="5"/>
      <c r="AD802" s="5"/>
      <c r="AE802" s="5"/>
      <c r="AF802" s="5"/>
      <c r="AG802" s="5"/>
    </row>
    <row r="803" ht="15.75" customHeight="1">
      <c r="K803" t="s">
        <v>1325</v>
      </c>
      <c r="L803" t="str">
        <f>G48</f>
        <v>H1a1a4a</v>
      </c>
      <c r="N803" t="s">
        <v>1326</v>
      </c>
      <c r="O803">
        <v>1.5341166E7</v>
      </c>
      <c r="P803">
        <v>1.3229285E7</v>
      </c>
      <c r="Q803" t="s">
        <v>423</v>
      </c>
      <c r="R803" s="5"/>
      <c r="S803" s="5"/>
      <c r="T803" s="5"/>
      <c r="U803" s="5"/>
      <c r="V803" s="5"/>
      <c r="W803" s="5"/>
      <c r="X803" s="5"/>
      <c r="Y803" s="5"/>
      <c r="Z803" s="5"/>
      <c r="AA803" s="5"/>
      <c r="AB803" s="5"/>
      <c r="AC803" s="5"/>
      <c r="AD803" s="5"/>
      <c r="AE803" s="5"/>
      <c r="AF803" s="5"/>
      <c r="AG803" s="5"/>
    </row>
    <row r="804" ht="15.75" customHeight="1">
      <c r="K804" t="s">
        <v>1327</v>
      </c>
      <c r="L804" t="str">
        <f>G48</f>
        <v>H1a1a4a</v>
      </c>
      <c r="N804" t="s">
        <v>1328</v>
      </c>
      <c r="O804">
        <v>1.5410762E7</v>
      </c>
      <c r="P804">
        <v>1.3298882E7</v>
      </c>
      <c r="Q804" t="s">
        <v>452</v>
      </c>
      <c r="R804" s="5"/>
      <c r="S804" s="5"/>
      <c r="T804" s="5"/>
      <c r="U804" s="5"/>
      <c r="V804" s="5"/>
      <c r="W804" s="5"/>
      <c r="X804" s="5"/>
      <c r="Y804" s="5"/>
      <c r="Z804" s="5"/>
      <c r="AA804" s="5"/>
      <c r="AB804" s="5"/>
      <c r="AC804" s="5"/>
      <c r="AD804" s="5"/>
      <c r="AE804" s="5"/>
      <c r="AF804" s="5"/>
      <c r="AG804" s="5"/>
    </row>
    <row r="805" ht="15.75" customHeight="1">
      <c r="K805" t="s">
        <v>1329</v>
      </c>
      <c r="L805" t="str">
        <f>G48</f>
        <v>H1a1a4a</v>
      </c>
      <c r="N805" t="s">
        <v>1330</v>
      </c>
      <c r="O805">
        <v>1.5475673E7</v>
      </c>
      <c r="P805">
        <v>1.3363793E7</v>
      </c>
      <c r="Q805" t="s">
        <v>431</v>
      </c>
      <c r="R805" s="5"/>
      <c r="S805" s="5"/>
      <c r="T805" s="5"/>
      <c r="U805" s="5"/>
      <c r="V805" s="5"/>
      <c r="W805" s="5"/>
      <c r="X805" s="5"/>
      <c r="Y805" s="5"/>
      <c r="Z805" s="5"/>
      <c r="AA805" s="5"/>
      <c r="AB805" s="5"/>
      <c r="AC805" s="5"/>
      <c r="AD805" s="5"/>
      <c r="AE805" s="5"/>
      <c r="AF805" s="5"/>
      <c r="AG805" s="5"/>
    </row>
    <row r="806" ht="15.75" customHeight="1">
      <c r="K806" t="s">
        <v>1331</v>
      </c>
      <c r="L806" t="str">
        <f>G48</f>
        <v>H1a1a4a</v>
      </c>
      <c r="N806" t="s">
        <v>1332</v>
      </c>
      <c r="O806">
        <v>1.5541063E7</v>
      </c>
      <c r="P806">
        <v>1.3429183E7</v>
      </c>
      <c r="Q806" t="s">
        <v>431</v>
      </c>
      <c r="R806" s="5"/>
      <c r="S806" s="5"/>
      <c r="T806" s="5"/>
      <c r="U806" s="5"/>
      <c r="V806" s="5"/>
      <c r="W806" s="5"/>
      <c r="X806" s="5"/>
      <c r="Y806" s="5"/>
      <c r="Z806" s="5"/>
      <c r="AA806" s="5"/>
      <c r="AB806" s="5"/>
      <c r="AC806" s="5"/>
      <c r="AD806" s="5"/>
      <c r="AE806" s="5"/>
      <c r="AF806" s="5"/>
      <c r="AG806" s="5"/>
    </row>
    <row r="807" ht="15.75" customHeight="1">
      <c r="K807" t="s">
        <v>1333</v>
      </c>
      <c r="L807" t="str">
        <f>G48</f>
        <v>H1a1a4a</v>
      </c>
      <c r="N807" t="s">
        <v>1334</v>
      </c>
      <c r="O807">
        <v>1.5647036E7</v>
      </c>
      <c r="P807">
        <v>1.3535156E7</v>
      </c>
      <c r="Q807" t="s">
        <v>419</v>
      </c>
      <c r="R807" s="5"/>
      <c r="S807" s="5"/>
      <c r="T807" s="5"/>
      <c r="U807" s="5"/>
      <c r="V807" s="5"/>
      <c r="W807" s="5"/>
      <c r="X807" s="5"/>
      <c r="Y807" s="5"/>
      <c r="Z807" s="5"/>
      <c r="AA807" s="5"/>
      <c r="AB807" s="5"/>
      <c r="AC807" s="5"/>
      <c r="AD807" s="5"/>
      <c r="AE807" s="5"/>
      <c r="AF807" s="5"/>
      <c r="AG807" s="5"/>
    </row>
    <row r="808" ht="15.75" customHeight="1">
      <c r="K808" t="s">
        <v>1335</v>
      </c>
      <c r="L808" t="str">
        <f>G48</f>
        <v>H1a1a4a</v>
      </c>
      <c r="N808" t="s">
        <v>1336</v>
      </c>
      <c r="O808">
        <v>1.5650197E7</v>
      </c>
      <c r="P808">
        <v>1.3538317E7</v>
      </c>
      <c r="Q808" t="s">
        <v>448</v>
      </c>
      <c r="R808" s="5"/>
      <c r="S808" s="5"/>
      <c r="T808" s="5"/>
      <c r="U808" s="5"/>
      <c r="V808" s="5"/>
      <c r="W808" s="5"/>
      <c r="X808" s="5"/>
      <c r="Y808" s="5"/>
      <c r="Z808" s="5"/>
      <c r="AA808" s="5"/>
      <c r="AB808" s="5"/>
      <c r="AC808" s="5"/>
      <c r="AD808" s="5"/>
      <c r="AE808" s="5"/>
      <c r="AF808" s="5"/>
      <c r="AG808" s="5"/>
    </row>
    <row r="809" ht="15.75" customHeight="1">
      <c r="K809" t="s">
        <v>1337</v>
      </c>
      <c r="L809" t="str">
        <f>G48</f>
        <v>H1a1a4a</v>
      </c>
      <c r="N809" t="s">
        <v>1338</v>
      </c>
      <c r="O809">
        <v>1.5756666E7</v>
      </c>
      <c r="P809">
        <v>1.3644786E7</v>
      </c>
      <c r="Q809" t="s">
        <v>473</v>
      </c>
      <c r="R809" s="5"/>
      <c r="S809" s="5"/>
      <c r="T809" s="5"/>
      <c r="U809" s="5"/>
      <c r="V809" s="5"/>
      <c r="W809" s="5"/>
      <c r="X809" s="5"/>
      <c r="Y809" s="5"/>
      <c r="Z809" s="5"/>
      <c r="AA809" s="5"/>
      <c r="AB809" s="5"/>
      <c r="AC809" s="5"/>
      <c r="AD809" s="5"/>
      <c r="AE809" s="5"/>
      <c r="AF809" s="5"/>
      <c r="AG809" s="5"/>
    </row>
    <row r="810" ht="15.75" customHeight="1">
      <c r="K810" t="s">
        <v>1339</v>
      </c>
      <c r="L810" t="str">
        <f>G48</f>
        <v>H1a1a4a</v>
      </c>
      <c r="N810" t="s">
        <v>1340</v>
      </c>
      <c r="O810">
        <v>1.5764921E7</v>
      </c>
      <c r="P810">
        <v>1.3653041E7</v>
      </c>
      <c r="Q810" t="s">
        <v>448</v>
      </c>
      <c r="R810" s="5"/>
      <c r="S810" s="5"/>
      <c r="T810" s="5"/>
      <c r="U810" s="5"/>
      <c r="V810" s="5"/>
      <c r="W810" s="5"/>
      <c r="X810" s="5"/>
      <c r="Y810" s="5"/>
      <c r="Z810" s="5"/>
      <c r="AA810" s="5"/>
      <c r="AB810" s="5"/>
      <c r="AC810" s="5"/>
      <c r="AD810" s="5"/>
      <c r="AE810" s="5"/>
      <c r="AF810" s="5"/>
      <c r="AG810" s="5"/>
    </row>
    <row r="811" ht="15.75" customHeight="1">
      <c r="K811" t="s">
        <v>1341</v>
      </c>
      <c r="L811" t="str">
        <f>G48</f>
        <v>H1a1a4a</v>
      </c>
      <c r="O811" t="s">
        <v>1342</v>
      </c>
      <c r="P811" t="s">
        <v>1343</v>
      </c>
      <c r="Q811" t="s">
        <v>1344</v>
      </c>
      <c r="R811" s="5"/>
      <c r="S811" s="5"/>
      <c r="T811" s="5"/>
      <c r="U811" s="5"/>
      <c r="V811" s="5"/>
      <c r="W811" s="5"/>
      <c r="X811" s="5"/>
      <c r="Y811" s="5"/>
      <c r="Z811" s="5"/>
      <c r="AA811" s="5"/>
      <c r="AB811" s="5"/>
      <c r="AC811" s="5"/>
      <c r="AD811" s="5"/>
      <c r="AE811" s="5"/>
      <c r="AF811" s="5"/>
      <c r="AG811" s="5"/>
    </row>
    <row r="812" ht="15.75" customHeight="1">
      <c r="K812" t="s">
        <v>1345</v>
      </c>
      <c r="L812" t="str">
        <f>G48</f>
        <v>H1a1a4a</v>
      </c>
      <c r="N812" t="s">
        <v>1346</v>
      </c>
      <c r="O812">
        <v>1.5900711E7</v>
      </c>
      <c r="P812">
        <v>1.3788831E7</v>
      </c>
      <c r="Q812" t="s">
        <v>435</v>
      </c>
      <c r="R812" s="5"/>
      <c r="S812" s="5"/>
      <c r="T812" s="5"/>
      <c r="U812" s="5"/>
      <c r="V812" s="5"/>
      <c r="W812" s="5"/>
      <c r="X812" s="5"/>
      <c r="Y812" s="5"/>
      <c r="Z812" s="5"/>
      <c r="AA812" s="5"/>
      <c r="AB812" s="5"/>
      <c r="AC812" s="5"/>
      <c r="AD812" s="5"/>
      <c r="AE812" s="5"/>
      <c r="AF812" s="5"/>
      <c r="AG812" s="5"/>
    </row>
    <row r="813" ht="15.75" customHeight="1">
      <c r="K813" t="s">
        <v>1347</v>
      </c>
      <c r="L813" t="str">
        <f>G48</f>
        <v>H1a1a4a</v>
      </c>
      <c r="N813" t="s">
        <v>1348</v>
      </c>
      <c r="O813">
        <v>1.5952698E7</v>
      </c>
      <c r="P813">
        <v>1.3840818E7</v>
      </c>
      <c r="Q813" t="s">
        <v>423</v>
      </c>
      <c r="R813" s="5"/>
      <c r="S813" s="5"/>
      <c r="T813" s="5"/>
      <c r="U813" s="5"/>
      <c r="V813" s="5"/>
      <c r="W813" s="5"/>
      <c r="X813" s="5"/>
      <c r="Y813" s="5"/>
      <c r="Z813" s="5"/>
      <c r="AA813" s="5"/>
      <c r="AB813" s="5"/>
      <c r="AC813" s="5"/>
      <c r="AD813" s="5"/>
      <c r="AE813" s="5"/>
      <c r="AF813" s="5"/>
      <c r="AG813" s="5"/>
    </row>
    <row r="814" ht="15.75" customHeight="1">
      <c r="K814" t="s">
        <v>1349</v>
      </c>
      <c r="L814" t="str">
        <f>G48</f>
        <v>H1a1a4a</v>
      </c>
      <c r="N814" t="s">
        <v>1350</v>
      </c>
      <c r="O814">
        <v>1.6286689E7</v>
      </c>
      <c r="P814">
        <v>1.4174809E7</v>
      </c>
      <c r="Q814" t="s">
        <v>419</v>
      </c>
      <c r="R814" s="5"/>
      <c r="S814" s="5"/>
      <c r="T814" s="5"/>
      <c r="U814" s="5"/>
      <c r="V814" s="5"/>
      <c r="W814" s="5"/>
      <c r="X814" s="5"/>
      <c r="Y814" s="5"/>
      <c r="Z814" s="5"/>
      <c r="AA814" s="5"/>
      <c r="AB814" s="5"/>
      <c r="AC814" s="5"/>
      <c r="AD814" s="5"/>
      <c r="AE814" s="5"/>
      <c r="AF814" s="5"/>
      <c r="AG814" s="5"/>
    </row>
    <row r="815" ht="15.75" customHeight="1">
      <c r="K815" t="s">
        <v>1351</v>
      </c>
      <c r="L815" t="str">
        <f>G48</f>
        <v>H1a1a4a</v>
      </c>
      <c r="N815" t="s">
        <v>1352</v>
      </c>
      <c r="O815">
        <v>1.6306104E7</v>
      </c>
      <c r="P815">
        <v>1.4194224E7</v>
      </c>
      <c r="Q815" t="s">
        <v>423</v>
      </c>
      <c r="R815" s="5"/>
      <c r="S815" s="5"/>
      <c r="T815" s="5"/>
      <c r="U815" s="5"/>
      <c r="V815" s="5"/>
      <c r="W815" s="5"/>
      <c r="X815" s="5"/>
      <c r="Y815" s="5"/>
      <c r="Z815" s="5"/>
      <c r="AA815" s="5"/>
      <c r="AB815" s="5"/>
      <c r="AC815" s="5"/>
      <c r="AD815" s="5"/>
      <c r="AE815" s="5"/>
      <c r="AF815" s="5"/>
      <c r="AG815" s="5"/>
    </row>
    <row r="816" ht="15.75" customHeight="1">
      <c r="K816" t="s">
        <v>1353</v>
      </c>
      <c r="L816" t="str">
        <f>G48</f>
        <v>H1a1a4a</v>
      </c>
      <c r="N816" t="s">
        <v>1354</v>
      </c>
      <c r="O816">
        <v>1.6452196E7</v>
      </c>
      <c r="P816">
        <v>1.4340316E7</v>
      </c>
      <c r="Q816" t="s">
        <v>419</v>
      </c>
      <c r="R816" s="5"/>
      <c r="S816" s="5"/>
      <c r="T816" s="5"/>
      <c r="U816" s="5"/>
      <c r="V816" s="5"/>
      <c r="W816" s="5"/>
      <c r="X816" s="5"/>
      <c r="Y816" s="5"/>
      <c r="Z816" s="5"/>
      <c r="AA816" s="5"/>
      <c r="AB816" s="5"/>
      <c r="AC816" s="5"/>
      <c r="AD816" s="5"/>
      <c r="AE816" s="5"/>
      <c r="AF816" s="5"/>
      <c r="AG816" s="5"/>
    </row>
    <row r="817" ht="15.75" customHeight="1">
      <c r="K817" t="s">
        <v>1355</v>
      </c>
      <c r="L817" t="str">
        <f>G48</f>
        <v>H1a1a4a</v>
      </c>
      <c r="N817" t="s">
        <v>1356</v>
      </c>
      <c r="O817">
        <v>1.6762261E7</v>
      </c>
      <c r="P817">
        <v>1.4650381E7</v>
      </c>
      <c r="Q817" t="s">
        <v>419</v>
      </c>
      <c r="R817" s="5"/>
      <c r="S817" s="5"/>
      <c r="T817" s="5"/>
      <c r="U817" s="5"/>
      <c r="V817" s="5"/>
      <c r="W817" s="5"/>
      <c r="X817" s="5"/>
      <c r="Y817" s="5"/>
      <c r="Z817" s="5"/>
      <c r="AA817" s="5"/>
      <c r="AB817" s="5"/>
      <c r="AC817" s="5"/>
      <c r="AD817" s="5"/>
      <c r="AE817" s="5"/>
      <c r="AF817" s="5"/>
      <c r="AG817" s="5"/>
    </row>
    <row r="818" ht="15.75" customHeight="1">
      <c r="K818" t="s">
        <v>1357</v>
      </c>
      <c r="L818" t="str">
        <f>G48</f>
        <v>H1a1a4a</v>
      </c>
      <c r="N818" t="s">
        <v>1358</v>
      </c>
      <c r="O818">
        <v>1.6858805E7</v>
      </c>
      <c r="P818">
        <v>1.4746925E7</v>
      </c>
      <c r="Q818" t="s">
        <v>431</v>
      </c>
      <c r="R818" s="5"/>
      <c r="S818" s="5"/>
      <c r="T818" s="5"/>
      <c r="U818" s="5"/>
      <c r="V818" s="5"/>
      <c r="W818" s="5"/>
      <c r="X818" s="5"/>
      <c r="Y818" s="5"/>
      <c r="Z818" s="5"/>
      <c r="AA818" s="5"/>
      <c r="AB818" s="5"/>
      <c r="AC818" s="5"/>
      <c r="AD818" s="5"/>
      <c r="AE818" s="5"/>
      <c r="AF818" s="5"/>
      <c r="AG818" s="5"/>
    </row>
    <row r="819" ht="15.75" customHeight="1">
      <c r="K819" t="s">
        <v>1359</v>
      </c>
      <c r="L819" t="str">
        <f>G48</f>
        <v>H1a1a4a</v>
      </c>
      <c r="N819" t="s">
        <v>1360</v>
      </c>
      <c r="O819">
        <v>1.6895539E7</v>
      </c>
      <c r="P819">
        <v>1.4783659E7</v>
      </c>
      <c r="Q819" t="s">
        <v>448</v>
      </c>
      <c r="R819" s="5"/>
      <c r="S819" s="5"/>
      <c r="T819" s="5"/>
      <c r="U819" s="5"/>
      <c r="V819" s="5"/>
      <c r="W819" s="5"/>
      <c r="X819" s="5"/>
      <c r="Y819" s="5"/>
      <c r="Z819" s="5"/>
      <c r="AA819" s="5"/>
      <c r="AB819" s="5"/>
      <c r="AC819" s="5"/>
      <c r="AD819" s="5"/>
      <c r="AE819" s="5"/>
      <c r="AF819" s="5"/>
      <c r="AG819" s="5"/>
    </row>
    <row r="820" ht="15.75" customHeight="1">
      <c r="K820" t="s">
        <v>1361</v>
      </c>
      <c r="L820" t="str">
        <f>G48</f>
        <v>H1a1a4a</v>
      </c>
      <c r="N820" t="s">
        <v>1362</v>
      </c>
      <c r="O820">
        <v>1.6973815E7</v>
      </c>
      <c r="P820">
        <v>1.4861935E7</v>
      </c>
      <c r="Q820" t="s">
        <v>419</v>
      </c>
      <c r="R820" s="5"/>
      <c r="S820" s="5"/>
      <c r="T820" s="5"/>
      <c r="U820" s="5"/>
      <c r="V820" s="5"/>
      <c r="W820" s="5"/>
      <c r="X820" s="5"/>
      <c r="Y820" s="5"/>
      <c r="Z820" s="5"/>
      <c r="AA820" s="5"/>
      <c r="AB820" s="5"/>
      <c r="AC820" s="5"/>
      <c r="AD820" s="5"/>
      <c r="AE820" s="5"/>
      <c r="AF820" s="5"/>
      <c r="AG820" s="5"/>
    </row>
    <row r="821" ht="15.75" customHeight="1">
      <c r="K821" t="s">
        <v>1363</v>
      </c>
      <c r="L821" t="str">
        <f>G48</f>
        <v>H1a1a4a</v>
      </c>
      <c r="N821" t="s">
        <v>1364</v>
      </c>
      <c r="O821">
        <v>1.7069467E7</v>
      </c>
      <c r="P821">
        <v>1.4957587E7</v>
      </c>
      <c r="Q821" t="s">
        <v>419</v>
      </c>
      <c r="R821" s="5"/>
      <c r="S821" s="5"/>
      <c r="T821" s="5"/>
      <c r="U821" s="5"/>
      <c r="V821" s="5"/>
      <c r="W821" s="5"/>
      <c r="X821" s="5"/>
      <c r="Y821" s="5"/>
      <c r="Z821" s="5"/>
      <c r="AA821" s="5"/>
      <c r="AB821" s="5"/>
      <c r="AC821" s="5"/>
      <c r="AD821" s="5"/>
      <c r="AE821" s="5"/>
      <c r="AF821" s="5"/>
      <c r="AG821" s="5"/>
    </row>
    <row r="822" ht="15.75" customHeight="1">
      <c r="K822" t="s">
        <v>1365</v>
      </c>
      <c r="L822" t="str">
        <f>G48</f>
        <v>H1a1a4a</v>
      </c>
      <c r="N822" t="s">
        <v>1366</v>
      </c>
      <c r="O822">
        <v>1.7241471E7</v>
      </c>
      <c r="P822">
        <v>1.5129591E7</v>
      </c>
      <c r="Q822" t="s">
        <v>431</v>
      </c>
      <c r="R822" s="5"/>
      <c r="S822" s="5"/>
      <c r="T822" s="5"/>
      <c r="U822" s="5"/>
      <c r="V822" s="5"/>
      <c r="W822" s="5"/>
      <c r="X822" s="5"/>
      <c r="Y822" s="5"/>
      <c r="Z822" s="5"/>
      <c r="AA822" s="5"/>
      <c r="AB822" s="5"/>
      <c r="AC822" s="5"/>
      <c r="AD822" s="5"/>
      <c r="AE822" s="5"/>
      <c r="AF822" s="5"/>
      <c r="AG822" s="5"/>
    </row>
    <row r="823" ht="15.75" customHeight="1">
      <c r="K823" t="s">
        <v>1367</v>
      </c>
      <c r="L823" t="str">
        <f>G48</f>
        <v>H1a1a4a</v>
      </c>
      <c r="N823" t="s">
        <v>1368</v>
      </c>
      <c r="O823">
        <v>1.7286685E7</v>
      </c>
      <c r="P823">
        <v>1.5174805E7</v>
      </c>
      <c r="Q823" t="s">
        <v>419</v>
      </c>
      <c r="R823" s="5"/>
      <c r="S823" s="5"/>
      <c r="T823" s="5"/>
      <c r="U823" s="5"/>
      <c r="V823" s="5"/>
      <c r="W823" s="5"/>
      <c r="X823" s="5"/>
      <c r="Y823" s="5"/>
      <c r="Z823" s="5"/>
      <c r="AA823" s="5"/>
      <c r="AB823" s="5"/>
      <c r="AC823" s="5"/>
      <c r="AD823" s="5"/>
      <c r="AE823" s="5"/>
      <c r="AF823" s="5"/>
      <c r="AG823" s="5"/>
    </row>
    <row r="824" ht="15.75" customHeight="1">
      <c r="K824" t="s">
        <v>1369</v>
      </c>
      <c r="L824" t="str">
        <f>G48</f>
        <v>H1a1a4a</v>
      </c>
      <c r="N824" t="s">
        <v>1370</v>
      </c>
      <c r="O824">
        <v>1.7307464E7</v>
      </c>
      <c r="P824">
        <v>1.5195584E7</v>
      </c>
      <c r="Q824" t="s">
        <v>431</v>
      </c>
      <c r="R824" s="5"/>
      <c r="S824" s="5"/>
      <c r="T824" s="5"/>
      <c r="U824" s="5"/>
      <c r="V824" s="5"/>
      <c r="W824" s="5"/>
      <c r="X824" s="5"/>
      <c r="Y824" s="5"/>
      <c r="Z824" s="5"/>
      <c r="AA824" s="5"/>
      <c r="AB824" s="5"/>
      <c r="AC824" s="5"/>
      <c r="AD824" s="5"/>
      <c r="AE824" s="5"/>
      <c r="AF824" s="5"/>
      <c r="AG824" s="5"/>
    </row>
    <row r="825" ht="15.75" customHeight="1">
      <c r="K825" t="s">
        <v>1371</v>
      </c>
      <c r="L825" t="str">
        <f>G48</f>
        <v>H1a1a4a</v>
      </c>
      <c r="N825" t="s">
        <v>1372</v>
      </c>
      <c r="O825">
        <v>1.7340287E7</v>
      </c>
      <c r="P825">
        <v>1.5228407E7</v>
      </c>
      <c r="Q825" t="s">
        <v>459</v>
      </c>
      <c r="R825" s="5"/>
      <c r="S825" s="5"/>
      <c r="T825" s="5"/>
      <c r="U825" s="5"/>
      <c r="V825" s="5"/>
      <c r="W825" s="5"/>
      <c r="X825" s="5"/>
      <c r="Y825" s="5"/>
      <c r="Z825" s="5"/>
      <c r="AA825" s="5"/>
      <c r="AB825" s="5"/>
      <c r="AC825" s="5"/>
      <c r="AD825" s="5"/>
      <c r="AE825" s="5"/>
      <c r="AF825" s="5"/>
      <c r="AG825" s="5"/>
    </row>
    <row r="826" ht="15.75" customHeight="1">
      <c r="K826" t="s">
        <v>1373</v>
      </c>
      <c r="L826" t="str">
        <f>G48</f>
        <v>H1a1a4a</v>
      </c>
      <c r="N826" t="s">
        <v>1374</v>
      </c>
      <c r="O826">
        <v>1.7418969E7</v>
      </c>
      <c r="P826">
        <v>1.5307089E7</v>
      </c>
      <c r="Q826" t="s">
        <v>427</v>
      </c>
      <c r="R826" s="5"/>
      <c r="S826" s="5"/>
      <c r="T826" s="5"/>
      <c r="U826" s="5"/>
      <c r="V826" s="5"/>
      <c r="W826" s="5"/>
      <c r="X826" s="5"/>
      <c r="Y826" s="5"/>
      <c r="Z826" s="5"/>
      <c r="AA826" s="5"/>
      <c r="AB826" s="5"/>
      <c r="AC826" s="5"/>
      <c r="AD826" s="5"/>
      <c r="AE826" s="5"/>
      <c r="AF826" s="5"/>
      <c r="AG826" s="5"/>
    </row>
    <row r="827" ht="15.75" customHeight="1">
      <c r="K827" t="s">
        <v>1375</v>
      </c>
      <c r="L827" t="str">
        <f>G48</f>
        <v>H1a1a4a</v>
      </c>
      <c r="N827" t="s">
        <v>1376</v>
      </c>
      <c r="O827">
        <v>1.7556668E7</v>
      </c>
      <c r="P827">
        <v>1.5444788E7</v>
      </c>
      <c r="Q827" t="s">
        <v>427</v>
      </c>
      <c r="R827" s="5"/>
      <c r="S827" s="5"/>
      <c r="T827" s="5"/>
      <c r="U827" s="5"/>
      <c r="V827" s="5"/>
      <c r="W827" s="5"/>
      <c r="X827" s="5"/>
      <c r="Y827" s="5"/>
      <c r="Z827" s="5"/>
      <c r="AA827" s="5"/>
      <c r="AB827" s="5"/>
      <c r="AC827" s="5"/>
      <c r="AD827" s="5"/>
      <c r="AE827" s="5"/>
      <c r="AF827" s="5"/>
      <c r="AG827" s="5"/>
    </row>
    <row r="828" ht="15.75" customHeight="1">
      <c r="K828" t="s">
        <v>1377</v>
      </c>
      <c r="L828" t="str">
        <f>G48</f>
        <v>H1a1a4a</v>
      </c>
      <c r="N828" t="s">
        <v>1378</v>
      </c>
      <c r="O828">
        <v>1.7627192E7</v>
      </c>
      <c r="P828">
        <v>1.5515312E7</v>
      </c>
      <c r="Q828" t="s">
        <v>423</v>
      </c>
      <c r="R828" s="5"/>
      <c r="S828" s="5"/>
      <c r="T828" s="5"/>
      <c r="U828" s="5"/>
      <c r="V828" s="5"/>
      <c r="W828" s="5"/>
      <c r="X828" s="5"/>
      <c r="Y828" s="5"/>
      <c r="Z828" s="5"/>
      <c r="AA828" s="5"/>
      <c r="AB828" s="5"/>
      <c r="AC828" s="5"/>
      <c r="AD828" s="5"/>
      <c r="AE828" s="5"/>
      <c r="AF828" s="5"/>
      <c r="AG828" s="5"/>
    </row>
    <row r="829" ht="15.75" customHeight="1">
      <c r="K829" t="s">
        <v>1379</v>
      </c>
      <c r="L829" t="str">
        <f>G48</f>
        <v>H1a1a4a</v>
      </c>
      <c r="N829" t="s">
        <v>1380</v>
      </c>
      <c r="O829">
        <v>1.766621E7</v>
      </c>
      <c r="P829">
        <v>1.555433E7</v>
      </c>
      <c r="Q829" t="s">
        <v>419</v>
      </c>
      <c r="R829" s="5"/>
      <c r="S829" s="5"/>
      <c r="T829" s="5"/>
      <c r="U829" s="5"/>
      <c r="V829" s="5"/>
      <c r="W829" s="5"/>
      <c r="X829" s="5"/>
      <c r="Y829" s="5"/>
      <c r="Z829" s="5"/>
      <c r="AA829" s="5"/>
      <c r="AB829" s="5"/>
      <c r="AC829" s="5"/>
      <c r="AD829" s="5"/>
      <c r="AE829" s="5"/>
      <c r="AF829" s="5"/>
      <c r="AG829" s="5"/>
    </row>
    <row r="830" ht="15.75" customHeight="1">
      <c r="K830" t="s">
        <v>1381</v>
      </c>
      <c r="L830" t="str">
        <f>G48</f>
        <v>H1a1a4a</v>
      </c>
      <c r="N830" t="s">
        <v>1382</v>
      </c>
      <c r="O830">
        <v>1.7706239E7</v>
      </c>
      <c r="P830">
        <v>1.5594359E7</v>
      </c>
      <c r="Q830" t="s">
        <v>423</v>
      </c>
      <c r="R830" s="5"/>
      <c r="S830" s="5"/>
      <c r="T830" s="5"/>
      <c r="U830" s="5"/>
      <c r="V830" s="5"/>
      <c r="W830" s="5"/>
      <c r="X830" s="5"/>
      <c r="Y830" s="5"/>
      <c r="Z830" s="5"/>
      <c r="AA830" s="5"/>
      <c r="AB830" s="5"/>
      <c r="AC830" s="5"/>
      <c r="AD830" s="5"/>
      <c r="AE830" s="5"/>
      <c r="AF830" s="5"/>
      <c r="AG830" s="5"/>
    </row>
    <row r="831" ht="15.75" customHeight="1">
      <c r="K831" t="s">
        <v>1383</v>
      </c>
      <c r="L831" t="str">
        <f>G48</f>
        <v>H1a1a4a</v>
      </c>
      <c r="N831" t="s">
        <v>1384</v>
      </c>
      <c r="O831">
        <v>1.7706641E7</v>
      </c>
      <c r="P831">
        <v>1.5594761E7</v>
      </c>
      <c r="Q831" t="s">
        <v>419</v>
      </c>
      <c r="R831" s="5"/>
      <c r="S831" s="5"/>
      <c r="T831" s="5"/>
      <c r="U831" s="5"/>
      <c r="V831" s="5"/>
      <c r="W831" s="5"/>
      <c r="X831" s="5"/>
      <c r="Y831" s="5"/>
      <c r="Z831" s="5"/>
      <c r="AA831" s="5"/>
      <c r="AB831" s="5"/>
      <c r="AC831" s="5"/>
      <c r="AD831" s="5"/>
      <c r="AE831" s="5"/>
      <c r="AF831" s="5"/>
      <c r="AG831" s="5"/>
    </row>
    <row r="832" ht="15.75" customHeight="1">
      <c r="K832" t="s">
        <v>1385</v>
      </c>
      <c r="L832" t="str">
        <f>G48</f>
        <v>H1a1a4a</v>
      </c>
      <c r="N832" t="s">
        <v>1386</v>
      </c>
      <c r="O832">
        <v>1.7748347E7</v>
      </c>
      <c r="P832">
        <v>1.5636467E7</v>
      </c>
      <c r="Q832" t="s">
        <v>525</v>
      </c>
      <c r="R832" s="5"/>
      <c r="S832" s="5"/>
      <c r="T832" s="5"/>
      <c r="U832" s="5"/>
      <c r="V832" s="5"/>
      <c r="W832" s="5"/>
      <c r="X832" s="5"/>
      <c r="Y832" s="5"/>
      <c r="Z832" s="5"/>
      <c r="AA832" s="5"/>
      <c r="AB832" s="5"/>
      <c r="AC832" s="5"/>
      <c r="AD832" s="5"/>
      <c r="AE832" s="5"/>
      <c r="AF832" s="5"/>
      <c r="AG832" s="5"/>
    </row>
    <row r="833" ht="15.75" customHeight="1">
      <c r="K833" t="s">
        <v>1387</v>
      </c>
      <c r="L833" t="str">
        <f>G48</f>
        <v>H1a1a4a</v>
      </c>
      <c r="N833" t="s">
        <v>1388</v>
      </c>
      <c r="O833">
        <v>1.7795302E7</v>
      </c>
      <c r="P833">
        <v>1.5683422E7</v>
      </c>
      <c r="Q833" t="s">
        <v>427</v>
      </c>
      <c r="R833" s="5"/>
      <c r="S833" s="5"/>
      <c r="T833" s="5"/>
      <c r="U833" s="5"/>
      <c r="V833" s="5"/>
      <c r="W833" s="5"/>
      <c r="X833" s="5"/>
      <c r="Y833" s="5"/>
      <c r="Z833" s="5"/>
      <c r="AA833" s="5"/>
      <c r="AB833" s="5"/>
      <c r="AC833" s="5"/>
      <c r="AD833" s="5"/>
      <c r="AE833" s="5"/>
      <c r="AF833" s="5"/>
      <c r="AG833" s="5"/>
    </row>
    <row r="834" ht="15.75" customHeight="1">
      <c r="K834" t="s">
        <v>1389</v>
      </c>
      <c r="L834" t="str">
        <f>G48</f>
        <v>H1a1a4a</v>
      </c>
      <c r="N834" t="s">
        <v>1390</v>
      </c>
      <c r="O834">
        <v>1.7850046E7</v>
      </c>
      <c r="P834">
        <v>1.5738166E7</v>
      </c>
      <c r="Q834" t="s">
        <v>473</v>
      </c>
      <c r="R834" s="5"/>
      <c r="S834" s="5"/>
      <c r="T834" s="5"/>
      <c r="U834" s="5"/>
      <c r="V834" s="5"/>
      <c r="W834" s="5"/>
      <c r="X834" s="5"/>
      <c r="Y834" s="5"/>
      <c r="Z834" s="5"/>
      <c r="AA834" s="5"/>
      <c r="AB834" s="5"/>
      <c r="AC834" s="5"/>
      <c r="AD834" s="5"/>
      <c r="AE834" s="5"/>
      <c r="AF834" s="5"/>
      <c r="AG834" s="5"/>
    </row>
    <row r="835" ht="15.75" customHeight="1">
      <c r="K835" t="s">
        <v>1391</v>
      </c>
      <c r="L835" t="str">
        <f>G48</f>
        <v>H1a1a4a</v>
      </c>
      <c r="N835" t="s">
        <v>1392</v>
      </c>
      <c r="O835">
        <v>1.790258E7</v>
      </c>
      <c r="P835">
        <v>1.57907E7</v>
      </c>
      <c r="Q835" t="s">
        <v>423</v>
      </c>
      <c r="R835" s="5"/>
      <c r="S835" s="5"/>
      <c r="T835" s="5"/>
      <c r="U835" s="5"/>
      <c r="V835" s="5"/>
      <c r="W835" s="5"/>
      <c r="X835" s="5"/>
      <c r="Y835" s="5"/>
      <c r="Z835" s="5"/>
      <c r="AA835" s="5"/>
      <c r="AB835" s="5"/>
      <c r="AC835" s="5"/>
      <c r="AD835" s="5"/>
      <c r="AE835" s="5"/>
      <c r="AF835" s="5"/>
      <c r="AG835" s="5"/>
    </row>
    <row r="836" ht="15.75" customHeight="1">
      <c r="K836" t="s">
        <v>1393</v>
      </c>
      <c r="L836" t="str">
        <f>G48</f>
        <v>H1a1a4a</v>
      </c>
      <c r="N836" t="s">
        <v>1394</v>
      </c>
      <c r="O836">
        <v>1.7914984E7</v>
      </c>
      <c r="P836">
        <v>1.5803104E7</v>
      </c>
      <c r="Q836" t="s">
        <v>476</v>
      </c>
      <c r="R836" s="5"/>
      <c r="S836" s="5"/>
      <c r="T836" s="5"/>
      <c r="U836" s="5"/>
      <c r="V836" s="5"/>
      <c r="W836" s="5"/>
      <c r="X836" s="5"/>
      <c r="Y836" s="5"/>
      <c r="Z836" s="5"/>
      <c r="AA836" s="5"/>
      <c r="AB836" s="5"/>
      <c r="AC836" s="5"/>
      <c r="AD836" s="5"/>
      <c r="AE836" s="5"/>
      <c r="AF836" s="5"/>
      <c r="AG836" s="5"/>
    </row>
    <row r="837" ht="15.75" customHeight="1">
      <c r="K837" t="s">
        <v>1395</v>
      </c>
      <c r="L837" t="str">
        <f>G48</f>
        <v>H1a1a4a</v>
      </c>
      <c r="N837" t="s">
        <v>1396</v>
      </c>
      <c r="O837">
        <v>1.8086585E7</v>
      </c>
      <c r="P837">
        <v>1.5974705E7</v>
      </c>
      <c r="Q837" t="s">
        <v>435</v>
      </c>
      <c r="R837" s="5"/>
      <c r="S837" s="5"/>
      <c r="T837" s="5"/>
      <c r="U837" s="5"/>
      <c r="V837" s="5"/>
      <c r="W837" s="5"/>
      <c r="X837" s="5"/>
      <c r="Y837" s="5"/>
      <c r="Z837" s="5"/>
      <c r="AA837" s="5"/>
      <c r="AB837" s="5"/>
      <c r="AC837" s="5"/>
      <c r="AD837" s="5"/>
      <c r="AE837" s="5"/>
      <c r="AF837" s="5"/>
      <c r="AG837" s="5"/>
    </row>
    <row r="838" ht="15.75" customHeight="1">
      <c r="K838" t="s">
        <v>1397</v>
      </c>
      <c r="L838" t="str">
        <f>G48</f>
        <v>H1a1a4a</v>
      </c>
      <c r="N838" t="s">
        <v>1398</v>
      </c>
      <c r="O838">
        <v>1.8236398E7</v>
      </c>
      <c r="P838">
        <v>1.6124518E7</v>
      </c>
      <c r="Q838" t="s">
        <v>431</v>
      </c>
      <c r="R838" s="5"/>
      <c r="S838" s="5"/>
      <c r="T838" s="5"/>
      <c r="U838" s="5"/>
      <c r="V838" s="5"/>
      <c r="W838" s="5"/>
      <c r="X838" s="5"/>
      <c r="Y838" s="5"/>
      <c r="Z838" s="5"/>
      <c r="AA838" s="5"/>
      <c r="AB838" s="5"/>
      <c r="AC838" s="5"/>
      <c r="AD838" s="5"/>
      <c r="AE838" s="5"/>
      <c r="AF838" s="5"/>
      <c r="AG838" s="5"/>
    </row>
    <row r="839" ht="15.75" customHeight="1">
      <c r="K839" t="s">
        <v>1399</v>
      </c>
      <c r="L839" t="str">
        <f>G48</f>
        <v>H1a1a4a</v>
      </c>
      <c r="N839" t="s">
        <v>1400</v>
      </c>
      <c r="O839">
        <v>1.8537749E7</v>
      </c>
      <c r="P839">
        <v>1.6425869E7</v>
      </c>
      <c r="Q839" t="s">
        <v>553</v>
      </c>
      <c r="R839" s="5"/>
      <c r="S839" s="5"/>
      <c r="T839" s="5"/>
      <c r="U839" s="5"/>
      <c r="V839" s="5"/>
      <c r="W839" s="5"/>
      <c r="X839" s="5"/>
      <c r="Y839" s="5"/>
      <c r="Z839" s="5"/>
      <c r="AA839" s="5"/>
      <c r="AB839" s="5"/>
      <c r="AC839" s="5"/>
      <c r="AD839" s="5"/>
      <c r="AE839" s="5"/>
      <c r="AF839" s="5"/>
      <c r="AG839" s="5"/>
    </row>
    <row r="840" ht="15.75" customHeight="1">
      <c r="K840" t="s">
        <v>1401</v>
      </c>
      <c r="L840" t="str">
        <f>G48</f>
        <v>H1a1a4a</v>
      </c>
      <c r="N840" t="s">
        <v>1402</v>
      </c>
      <c r="O840">
        <v>1.8674177E7</v>
      </c>
      <c r="P840">
        <v>1.6562297E7</v>
      </c>
      <c r="Q840" t="s">
        <v>431</v>
      </c>
      <c r="R840" s="5"/>
      <c r="S840" s="5"/>
      <c r="T840" s="5"/>
      <c r="U840" s="5"/>
      <c r="V840" s="5"/>
      <c r="W840" s="5"/>
      <c r="X840" s="5"/>
      <c r="Y840" s="5"/>
      <c r="Z840" s="5"/>
      <c r="AA840" s="5"/>
      <c r="AB840" s="5"/>
      <c r="AC840" s="5"/>
      <c r="AD840" s="5"/>
      <c r="AE840" s="5"/>
      <c r="AF840" s="5"/>
      <c r="AG840" s="5"/>
    </row>
    <row r="841" ht="15.75" customHeight="1">
      <c r="K841" t="s">
        <v>1403</v>
      </c>
      <c r="L841" t="str">
        <f>G48</f>
        <v>H1a1a4a</v>
      </c>
      <c r="N841" t="s">
        <v>1404</v>
      </c>
      <c r="O841">
        <v>1.8780841E7</v>
      </c>
      <c r="P841">
        <v>1.6668961E7</v>
      </c>
      <c r="Q841" t="s">
        <v>476</v>
      </c>
      <c r="R841" s="5"/>
      <c r="S841" s="5"/>
      <c r="T841" s="5"/>
      <c r="U841" s="5"/>
      <c r="V841" s="5"/>
      <c r="W841" s="5"/>
      <c r="X841" s="5"/>
      <c r="Y841" s="5"/>
      <c r="Z841" s="5"/>
      <c r="AA841" s="5"/>
      <c r="AB841" s="5"/>
      <c r="AC841" s="5"/>
      <c r="AD841" s="5"/>
      <c r="AE841" s="5"/>
      <c r="AF841" s="5"/>
      <c r="AG841" s="5"/>
    </row>
    <row r="842" ht="15.75" customHeight="1">
      <c r="K842" t="s">
        <v>1405</v>
      </c>
      <c r="L842" t="str">
        <f>G48</f>
        <v>H1a1a4a</v>
      </c>
      <c r="N842" t="s">
        <v>1406</v>
      </c>
      <c r="O842">
        <v>1.9179096E7</v>
      </c>
      <c r="P842">
        <v>1.7067216E7</v>
      </c>
      <c r="Q842" t="s">
        <v>476</v>
      </c>
      <c r="R842" s="5"/>
      <c r="S842" s="5"/>
      <c r="T842" s="5"/>
      <c r="U842" s="5"/>
      <c r="V842" s="5"/>
      <c r="W842" s="5"/>
      <c r="X842" s="5"/>
      <c r="Y842" s="5"/>
      <c r="Z842" s="5"/>
      <c r="AA842" s="5"/>
      <c r="AB842" s="5"/>
      <c r="AC842" s="5"/>
      <c r="AD842" s="5"/>
      <c r="AE842" s="5"/>
      <c r="AF842" s="5"/>
      <c r="AG842" s="5"/>
    </row>
    <row r="843" ht="15.75" customHeight="1">
      <c r="K843" t="s">
        <v>1407</v>
      </c>
      <c r="L843" t="str">
        <f>G48</f>
        <v>H1a1a4a</v>
      </c>
      <c r="N843" t="s">
        <v>1408</v>
      </c>
      <c r="O843">
        <v>1.941685E7</v>
      </c>
      <c r="P843">
        <v>1.730497E7</v>
      </c>
      <c r="Q843" t="s">
        <v>448</v>
      </c>
      <c r="R843" s="5"/>
      <c r="S843" s="5"/>
      <c r="T843" s="5"/>
      <c r="U843" s="5"/>
      <c r="V843" s="5"/>
      <c r="W843" s="5"/>
      <c r="X843" s="5"/>
      <c r="Y843" s="5"/>
      <c r="Z843" s="5"/>
      <c r="AA843" s="5"/>
      <c r="AB843" s="5"/>
      <c r="AC843" s="5"/>
      <c r="AD843" s="5"/>
      <c r="AE843" s="5"/>
      <c r="AF843" s="5"/>
      <c r="AG843" s="5"/>
    </row>
    <row r="844" ht="15.75" customHeight="1">
      <c r="K844" t="s">
        <v>1409</v>
      </c>
      <c r="L844" t="str">
        <f>G48</f>
        <v>H1a1a4a</v>
      </c>
      <c r="N844" t="s">
        <v>1410</v>
      </c>
      <c r="O844">
        <v>1.9494494E7</v>
      </c>
      <c r="P844">
        <v>1.7382614E7</v>
      </c>
      <c r="Q844" t="s">
        <v>419</v>
      </c>
      <c r="R844" s="5"/>
      <c r="S844" s="5"/>
      <c r="T844" s="5"/>
      <c r="U844" s="5"/>
      <c r="V844" s="5"/>
      <c r="W844" s="5"/>
      <c r="X844" s="5"/>
      <c r="Y844" s="5"/>
      <c r="Z844" s="5"/>
      <c r="AA844" s="5"/>
      <c r="AB844" s="5"/>
      <c r="AC844" s="5"/>
      <c r="AD844" s="5"/>
      <c r="AE844" s="5"/>
      <c r="AF844" s="5"/>
      <c r="AG844" s="5"/>
    </row>
    <row r="845" ht="15.75" customHeight="1">
      <c r="K845" t="s">
        <v>1411</v>
      </c>
      <c r="L845" t="str">
        <f>G48</f>
        <v>H1a1a4a</v>
      </c>
      <c r="N845" t="s">
        <v>1412</v>
      </c>
      <c r="O845">
        <v>2.1393939E7</v>
      </c>
      <c r="P845">
        <v>1.9232053E7</v>
      </c>
      <c r="Q845" t="s">
        <v>525</v>
      </c>
      <c r="R845" s="5"/>
      <c r="S845" s="5"/>
      <c r="T845" s="5"/>
      <c r="U845" s="5"/>
      <c r="V845" s="5"/>
      <c r="W845" s="5"/>
      <c r="X845" s="5"/>
      <c r="Y845" s="5"/>
      <c r="Z845" s="5"/>
      <c r="AA845" s="5"/>
      <c r="AB845" s="5"/>
      <c r="AC845" s="5"/>
      <c r="AD845" s="5"/>
      <c r="AE845" s="5"/>
      <c r="AF845" s="5"/>
      <c r="AG845" s="5"/>
    </row>
    <row r="846" ht="15.75" customHeight="1">
      <c r="K846" t="s">
        <v>1413</v>
      </c>
      <c r="L846" t="str">
        <f>G48</f>
        <v>H1a1a4a</v>
      </c>
      <c r="N846" t="s">
        <v>1414</v>
      </c>
      <c r="O846">
        <v>2.1505389E7</v>
      </c>
      <c r="P846">
        <v>1.9343503E7</v>
      </c>
      <c r="Q846" t="s">
        <v>423</v>
      </c>
      <c r="R846" s="5"/>
      <c r="S846" s="5"/>
      <c r="T846" s="5"/>
      <c r="U846" s="5"/>
      <c r="V846" s="5"/>
      <c r="W846" s="5"/>
      <c r="X846" s="5"/>
      <c r="Y846" s="5"/>
      <c r="Z846" s="5"/>
      <c r="AA846" s="5"/>
      <c r="AB846" s="5"/>
      <c r="AC846" s="5"/>
      <c r="AD846" s="5"/>
      <c r="AE846" s="5"/>
      <c r="AF846" s="5"/>
      <c r="AG846" s="5"/>
    </row>
    <row r="847" ht="15.75" customHeight="1">
      <c r="K847" t="s">
        <v>1415</v>
      </c>
      <c r="L847" t="str">
        <f>G48</f>
        <v>H1a1a4a</v>
      </c>
      <c r="N847" t="s">
        <v>1416</v>
      </c>
      <c r="O847">
        <v>2.1522264E7</v>
      </c>
      <c r="P847">
        <v>1.9360378E7</v>
      </c>
      <c r="Q847" t="s">
        <v>476</v>
      </c>
      <c r="R847" s="5"/>
      <c r="S847" s="5"/>
      <c r="T847" s="5"/>
      <c r="U847" s="5"/>
      <c r="V847" s="5"/>
      <c r="W847" s="5"/>
      <c r="X847" s="5"/>
      <c r="Y847" s="5"/>
      <c r="Z847" s="5"/>
      <c r="AA847" s="5"/>
      <c r="AB847" s="5"/>
      <c r="AC847" s="5"/>
      <c r="AD847" s="5"/>
      <c r="AE847" s="5"/>
      <c r="AF847" s="5"/>
      <c r="AG847" s="5"/>
    </row>
    <row r="848" ht="15.75" customHeight="1">
      <c r="K848" t="s">
        <v>1417</v>
      </c>
      <c r="L848" t="str">
        <f>G48</f>
        <v>H1a1a4a</v>
      </c>
      <c r="N848" t="s">
        <v>1418</v>
      </c>
      <c r="O848">
        <v>2.1651742E7</v>
      </c>
      <c r="P848">
        <v>1.9489856E7</v>
      </c>
      <c r="Q848" t="s">
        <v>525</v>
      </c>
      <c r="R848" s="5"/>
      <c r="S848" s="5"/>
      <c r="T848" s="5"/>
      <c r="U848" s="5"/>
      <c r="V848" s="5"/>
      <c r="W848" s="5"/>
      <c r="X848" s="5"/>
      <c r="Y848" s="5"/>
      <c r="Z848" s="5"/>
      <c r="AA848" s="5"/>
      <c r="AB848" s="5"/>
      <c r="AC848" s="5"/>
      <c r="AD848" s="5"/>
      <c r="AE848" s="5"/>
      <c r="AF848" s="5"/>
      <c r="AG848" s="5"/>
    </row>
    <row r="849" ht="15.75" customHeight="1">
      <c r="K849" t="s">
        <v>1419</v>
      </c>
      <c r="L849" t="str">
        <f>G48</f>
        <v>H1a1a4a</v>
      </c>
      <c r="N849" t="s">
        <v>1420</v>
      </c>
      <c r="O849">
        <v>2.1777516E7</v>
      </c>
      <c r="P849">
        <v>1.961563E7</v>
      </c>
      <c r="Q849" t="s">
        <v>476</v>
      </c>
      <c r="R849" s="5"/>
      <c r="S849" s="5"/>
      <c r="T849" s="5"/>
      <c r="U849" s="5"/>
      <c r="V849" s="5"/>
      <c r="W849" s="5"/>
      <c r="X849" s="5"/>
      <c r="Y849" s="5"/>
      <c r="Z849" s="5"/>
      <c r="AA849" s="5"/>
      <c r="AB849" s="5"/>
      <c r="AC849" s="5"/>
      <c r="AD849" s="5"/>
      <c r="AE849" s="5"/>
      <c r="AF849" s="5"/>
      <c r="AG849" s="5"/>
    </row>
    <row r="850" ht="15.75" customHeight="1">
      <c r="K850" t="s">
        <v>1421</v>
      </c>
      <c r="L850" t="str">
        <f>G48</f>
        <v>H1a1a4a</v>
      </c>
      <c r="N850" t="s">
        <v>1422</v>
      </c>
      <c r="O850">
        <v>2.1778227E7</v>
      </c>
      <c r="P850">
        <v>1.9616341E7</v>
      </c>
      <c r="Q850" t="s">
        <v>419</v>
      </c>
      <c r="R850" s="5"/>
      <c r="S850" s="5"/>
      <c r="T850" s="5"/>
      <c r="U850" s="5"/>
      <c r="V850" s="5"/>
      <c r="W850" s="5"/>
      <c r="X850" s="5"/>
      <c r="Y850" s="5"/>
      <c r="Z850" s="5"/>
      <c r="AA850" s="5"/>
      <c r="AB850" s="5"/>
      <c r="AC850" s="5"/>
      <c r="AD850" s="5"/>
      <c r="AE850" s="5"/>
      <c r="AF850" s="5"/>
      <c r="AG850" s="5"/>
    </row>
    <row r="851" ht="15.75" customHeight="1">
      <c r="K851" t="s">
        <v>1423</v>
      </c>
      <c r="L851" t="str">
        <f>G48</f>
        <v>H1a1a4a</v>
      </c>
      <c r="N851" t="s">
        <v>1424</v>
      </c>
      <c r="O851">
        <v>2.1802956E7</v>
      </c>
      <c r="P851">
        <v>1.964107E7</v>
      </c>
      <c r="Q851" t="s">
        <v>419</v>
      </c>
      <c r="R851" s="5"/>
      <c r="S851" s="5"/>
      <c r="T851" s="5"/>
      <c r="U851" s="5"/>
      <c r="V851" s="5"/>
      <c r="W851" s="5"/>
      <c r="X851" s="5"/>
      <c r="Y851" s="5"/>
      <c r="Z851" s="5"/>
      <c r="AA851" s="5"/>
      <c r="AB851" s="5"/>
      <c r="AC851" s="5"/>
      <c r="AD851" s="5"/>
      <c r="AE851" s="5"/>
      <c r="AF851" s="5"/>
      <c r="AG851" s="5"/>
    </row>
    <row r="852" ht="15.75" customHeight="1">
      <c r="K852" t="s">
        <v>1425</v>
      </c>
      <c r="L852" t="str">
        <f>G48</f>
        <v>H1a1a4a</v>
      </c>
      <c r="N852" t="s">
        <v>1426</v>
      </c>
      <c r="O852">
        <v>2.1855288E7</v>
      </c>
      <c r="P852">
        <v>1.9693402E7</v>
      </c>
      <c r="Q852" t="s">
        <v>476</v>
      </c>
      <c r="R852" s="5"/>
      <c r="S852" s="5"/>
      <c r="T852" s="5"/>
      <c r="U852" s="5"/>
      <c r="V852" s="5"/>
      <c r="W852" s="5"/>
      <c r="X852" s="5"/>
      <c r="Y852" s="5"/>
      <c r="Z852" s="5"/>
      <c r="AA852" s="5"/>
      <c r="AB852" s="5"/>
      <c r="AC852" s="5"/>
      <c r="AD852" s="5"/>
      <c r="AE852" s="5"/>
      <c r="AF852" s="5"/>
      <c r="AG852" s="5"/>
    </row>
    <row r="853" ht="15.75" customHeight="1">
      <c r="K853" t="s">
        <v>1427</v>
      </c>
      <c r="L853" t="str">
        <f>G48</f>
        <v>H1a1a4a</v>
      </c>
      <c r="N853" t="s">
        <v>1428</v>
      </c>
      <c r="O853">
        <v>2.1954762E7</v>
      </c>
      <c r="P853">
        <v>1.9792876E7</v>
      </c>
      <c r="Q853" t="s">
        <v>435</v>
      </c>
      <c r="R853" s="5"/>
      <c r="S853" s="5"/>
      <c r="T853" s="5"/>
      <c r="U853" s="5"/>
      <c r="V853" s="5"/>
      <c r="W853" s="5"/>
      <c r="X853" s="5"/>
      <c r="Y853" s="5"/>
      <c r="Z853" s="5"/>
      <c r="AA853" s="5"/>
      <c r="AB853" s="5"/>
      <c r="AC853" s="5"/>
      <c r="AD853" s="5"/>
      <c r="AE853" s="5"/>
      <c r="AF853" s="5"/>
      <c r="AG853" s="5"/>
    </row>
    <row r="854" ht="15.75" customHeight="1">
      <c r="K854" t="s">
        <v>1429</v>
      </c>
      <c r="L854" t="str">
        <f>G48</f>
        <v>H1a1a4a</v>
      </c>
      <c r="N854" t="s">
        <v>1430</v>
      </c>
      <c r="O854">
        <v>2.2007471E7</v>
      </c>
      <c r="P854">
        <v>1.9845585E7</v>
      </c>
      <c r="Q854" t="s">
        <v>473</v>
      </c>
      <c r="R854" s="5"/>
      <c r="S854" s="5"/>
      <c r="T854" s="5"/>
      <c r="U854" s="5"/>
      <c r="V854" s="5"/>
      <c r="W854" s="5"/>
      <c r="X854" s="5"/>
      <c r="Y854" s="5"/>
      <c r="Z854" s="5"/>
      <c r="AA854" s="5"/>
      <c r="AB854" s="5"/>
      <c r="AC854" s="5"/>
      <c r="AD854" s="5"/>
      <c r="AE854" s="5"/>
      <c r="AF854" s="5"/>
      <c r="AG854" s="5"/>
    </row>
    <row r="855" ht="15.75" customHeight="1">
      <c r="K855" t="s">
        <v>1431</v>
      </c>
      <c r="L855" t="str">
        <f>G48</f>
        <v>H1a1a4a</v>
      </c>
      <c r="N855" t="s">
        <v>1432</v>
      </c>
      <c r="O855">
        <v>2.2605917E7</v>
      </c>
      <c r="P855">
        <v>2.0444031E7</v>
      </c>
      <c r="Q855" t="s">
        <v>419</v>
      </c>
      <c r="R855" s="5"/>
      <c r="S855" s="5"/>
      <c r="T855" s="5"/>
      <c r="U855" s="5"/>
      <c r="V855" s="5"/>
      <c r="W855" s="5"/>
      <c r="X855" s="5"/>
      <c r="Y855" s="5"/>
      <c r="Z855" s="5"/>
      <c r="AA855" s="5"/>
      <c r="AB855" s="5"/>
      <c r="AC855" s="5"/>
      <c r="AD855" s="5"/>
      <c r="AE855" s="5"/>
      <c r="AF855" s="5"/>
      <c r="AG855" s="5"/>
    </row>
    <row r="856" ht="15.75" customHeight="1">
      <c r="K856" t="s">
        <v>1433</v>
      </c>
      <c r="L856" t="str">
        <f>G48</f>
        <v>H1a1a4a</v>
      </c>
      <c r="N856" t="s">
        <v>1434</v>
      </c>
      <c r="O856">
        <v>2.2662628E7</v>
      </c>
      <c r="P856">
        <v>2.0500742E7</v>
      </c>
      <c r="Q856" t="s">
        <v>431</v>
      </c>
      <c r="R856" s="5"/>
      <c r="S856" s="5"/>
      <c r="T856" s="5"/>
      <c r="U856" s="5"/>
      <c r="V856" s="5"/>
      <c r="W856" s="5"/>
      <c r="X856" s="5"/>
      <c r="Y856" s="5"/>
      <c r="Z856" s="5"/>
      <c r="AA856" s="5"/>
      <c r="AB856" s="5"/>
      <c r="AC856" s="5"/>
      <c r="AD856" s="5"/>
      <c r="AE856" s="5"/>
      <c r="AF856" s="5"/>
      <c r="AG856" s="5"/>
    </row>
    <row r="857" ht="15.75" customHeight="1">
      <c r="K857" t="s">
        <v>1435</v>
      </c>
      <c r="L857" t="str">
        <f>G48</f>
        <v>H1a1a4a</v>
      </c>
      <c r="N857" t="s">
        <v>1436</v>
      </c>
      <c r="O857">
        <v>2.2930245E7</v>
      </c>
      <c r="P857">
        <v>2.0768359E7</v>
      </c>
      <c r="Q857" t="s">
        <v>448</v>
      </c>
      <c r="R857" s="5"/>
      <c r="S857" s="5"/>
      <c r="T857" s="5"/>
      <c r="U857" s="5"/>
      <c r="V857" s="5"/>
      <c r="W857" s="5"/>
      <c r="X857" s="5"/>
      <c r="Y857" s="5"/>
      <c r="Z857" s="5"/>
      <c r="AA857" s="5"/>
      <c r="AB857" s="5"/>
      <c r="AC857" s="5"/>
      <c r="AD857" s="5"/>
      <c r="AE857" s="5"/>
      <c r="AF857" s="5"/>
      <c r="AG857" s="5"/>
    </row>
    <row r="858" ht="15.75" customHeight="1">
      <c r="K858" t="s">
        <v>1437</v>
      </c>
      <c r="L858" t="str">
        <f>G48</f>
        <v>H1a1a4a</v>
      </c>
      <c r="N858" t="s">
        <v>1438</v>
      </c>
      <c r="O858">
        <v>2.3058844E7</v>
      </c>
      <c r="P858">
        <v>2.0896958E7</v>
      </c>
      <c r="Q858" t="s">
        <v>419</v>
      </c>
      <c r="R858" s="5"/>
      <c r="S858" s="5"/>
      <c r="T858" s="5"/>
      <c r="U858" s="5"/>
      <c r="V858" s="5"/>
      <c r="W858" s="5"/>
      <c r="X858" s="5"/>
      <c r="Y858" s="5"/>
      <c r="Z858" s="5"/>
      <c r="AA858" s="5"/>
      <c r="AB858" s="5"/>
      <c r="AC858" s="5"/>
      <c r="AD858" s="5"/>
      <c r="AE858" s="5"/>
      <c r="AF858" s="5"/>
      <c r="AG858" s="5"/>
    </row>
    <row r="859" ht="15.75" customHeight="1">
      <c r="K859" t="s">
        <v>1439</v>
      </c>
      <c r="L859" t="str">
        <f>G48</f>
        <v>H1a1a4a</v>
      </c>
      <c r="N859" t="s">
        <v>1440</v>
      </c>
      <c r="O859">
        <v>2.3087246E7</v>
      </c>
      <c r="P859">
        <v>2.092536E7</v>
      </c>
      <c r="Q859" t="s">
        <v>427</v>
      </c>
      <c r="R859" s="5"/>
      <c r="S859" s="5"/>
      <c r="T859" s="5"/>
      <c r="U859" s="5"/>
      <c r="V859" s="5"/>
      <c r="W859" s="5"/>
      <c r="X859" s="5"/>
      <c r="Y859" s="5"/>
      <c r="Z859" s="5"/>
      <c r="AA859" s="5"/>
      <c r="AB859" s="5"/>
      <c r="AC859" s="5"/>
      <c r="AD859" s="5"/>
      <c r="AE859" s="5"/>
      <c r="AF859" s="5"/>
      <c r="AG859" s="5"/>
    </row>
    <row r="860" ht="15.75" customHeight="1">
      <c r="K860" t="s">
        <v>1441</v>
      </c>
      <c r="L860" t="str">
        <f>G48</f>
        <v>H1a1a4a</v>
      </c>
      <c r="N860" t="s">
        <v>1442</v>
      </c>
      <c r="O860">
        <v>2.3150965E7</v>
      </c>
      <c r="P860">
        <v>2.0989079E7</v>
      </c>
      <c r="Q860" t="s">
        <v>423</v>
      </c>
      <c r="R860" s="5"/>
      <c r="S860" s="5"/>
      <c r="T860" s="5"/>
      <c r="U860" s="5"/>
      <c r="V860" s="5"/>
      <c r="W860" s="5"/>
      <c r="X860" s="5"/>
      <c r="Y860" s="5"/>
      <c r="Z860" s="5"/>
      <c r="AA860" s="5"/>
      <c r="AB860" s="5"/>
      <c r="AC860" s="5"/>
      <c r="AD860" s="5"/>
      <c r="AE860" s="5"/>
      <c r="AF860" s="5"/>
      <c r="AG860" s="5"/>
    </row>
    <row r="861" ht="15.75" customHeight="1">
      <c r="K861" t="s">
        <v>1443</v>
      </c>
      <c r="L861" t="str">
        <f>G48</f>
        <v>H1a1a4a</v>
      </c>
      <c r="N861" t="s">
        <v>1444</v>
      </c>
      <c r="O861">
        <v>2.3593595E7</v>
      </c>
      <c r="P861">
        <v>2.1431709E7</v>
      </c>
      <c r="Q861" t="s">
        <v>435</v>
      </c>
      <c r="R861" s="5"/>
      <c r="S861" s="5"/>
      <c r="T861" s="5"/>
      <c r="U861" s="5"/>
      <c r="V861" s="5"/>
      <c r="W861" s="5"/>
      <c r="X861" s="5"/>
      <c r="Y861" s="5"/>
      <c r="Z861" s="5"/>
      <c r="AA861" s="5"/>
      <c r="AB861" s="5"/>
      <c r="AC861" s="5"/>
      <c r="AD861" s="5"/>
      <c r="AE861" s="5"/>
      <c r="AF861" s="5"/>
      <c r="AG861" s="5"/>
    </row>
    <row r="862" ht="15.75" customHeight="1">
      <c r="K862" t="s">
        <v>1445</v>
      </c>
      <c r="L862" t="str">
        <f>H49</f>
        <v>H1a1a4a1~</v>
      </c>
      <c r="N862" t="s">
        <v>1446</v>
      </c>
      <c r="O862">
        <v>2.2114776E7</v>
      </c>
      <c r="P862">
        <v>1.995289E7</v>
      </c>
      <c r="Q862" t="s">
        <v>431</v>
      </c>
      <c r="R862" s="5"/>
      <c r="S862" s="5"/>
      <c r="T862" s="5"/>
      <c r="U862" s="5"/>
      <c r="V862" s="5"/>
      <c r="W862" s="5"/>
      <c r="X862" s="5"/>
      <c r="Y862" s="5"/>
      <c r="Z862" s="5"/>
      <c r="AA862" s="5"/>
      <c r="AB862" s="5"/>
      <c r="AC862" s="5"/>
      <c r="AD862" s="5"/>
      <c r="AE862" s="5"/>
      <c r="AF862" s="5"/>
      <c r="AG862" s="5"/>
    </row>
    <row r="863" ht="15.75" customHeight="1">
      <c r="K863" t="s">
        <v>1447</v>
      </c>
      <c r="L863" t="str">
        <f>H49</f>
        <v>H1a1a4a1~</v>
      </c>
      <c r="O863">
        <v>2810607.0</v>
      </c>
      <c r="P863">
        <v>2942566.0</v>
      </c>
      <c r="Q863" t="s">
        <v>1448</v>
      </c>
      <c r="R863" s="5"/>
      <c r="S863" s="5"/>
      <c r="T863" s="5"/>
      <c r="U863" s="5"/>
      <c r="V863" s="5"/>
      <c r="W863" s="5"/>
      <c r="X863" s="5"/>
      <c r="Y863" s="5"/>
      <c r="Z863" s="5"/>
      <c r="AA863" s="5"/>
      <c r="AB863" s="5"/>
      <c r="AC863" s="5"/>
      <c r="AD863" s="5"/>
      <c r="AE863" s="5"/>
      <c r="AF863" s="5"/>
      <c r="AG863" s="5"/>
    </row>
    <row r="864" ht="15.75" customHeight="1">
      <c r="K864" t="s">
        <v>1449</v>
      </c>
      <c r="L864" t="str">
        <f>H49</f>
        <v>H1a1a4a1~</v>
      </c>
      <c r="N864" t="s">
        <v>1450</v>
      </c>
      <c r="O864">
        <v>7929465.0</v>
      </c>
      <c r="P864">
        <v>8061424.0</v>
      </c>
      <c r="Q864" t="s">
        <v>431</v>
      </c>
      <c r="R864" s="5"/>
      <c r="S864" s="5"/>
      <c r="T864" s="5"/>
      <c r="U864" s="5"/>
      <c r="V864" s="5"/>
      <c r="W864" s="5"/>
      <c r="X864" s="5"/>
      <c r="Y864" s="5"/>
      <c r="Z864" s="5"/>
      <c r="AA864" s="5"/>
      <c r="AB864" s="5"/>
      <c r="AC864" s="5"/>
      <c r="AD864" s="5"/>
      <c r="AE864" s="5"/>
      <c r="AF864" s="5"/>
      <c r="AG864" s="5"/>
    </row>
    <row r="865" ht="15.75" customHeight="1">
      <c r="K865" t="s">
        <v>1451</v>
      </c>
      <c r="L865" t="str">
        <f t="shared" ref="L865:L866" si="8">H49</f>
        <v>H1a1a4a1~</v>
      </c>
      <c r="N865" t="s">
        <v>1452</v>
      </c>
      <c r="O865">
        <v>8353332.0</v>
      </c>
      <c r="P865">
        <v>8485291.0</v>
      </c>
      <c r="Q865" t="s">
        <v>419</v>
      </c>
      <c r="R865" s="5"/>
      <c r="S865" s="5"/>
      <c r="T865" s="5"/>
      <c r="U865" s="5"/>
      <c r="V865" s="5"/>
      <c r="W865" s="5"/>
      <c r="X865" s="5"/>
      <c r="Y865" s="5"/>
      <c r="Z865" s="5"/>
      <c r="AA865" s="5"/>
      <c r="AB865" s="5"/>
      <c r="AC865" s="5"/>
      <c r="AD865" s="5"/>
      <c r="AE865" s="5"/>
      <c r="AF865" s="5"/>
      <c r="AG865" s="5"/>
    </row>
    <row r="866" ht="15.75" customHeight="1">
      <c r="K866" t="s">
        <v>1453</v>
      </c>
      <c r="L866" t="str">
        <f t="shared" si="8"/>
        <v>H1a1a4a2~</v>
      </c>
      <c r="N866" t="s">
        <v>1454</v>
      </c>
      <c r="O866">
        <v>6751916.0</v>
      </c>
      <c r="P866">
        <v>6883875.0</v>
      </c>
      <c r="Q866" t="s">
        <v>419</v>
      </c>
      <c r="R866" s="5"/>
      <c r="S866" s="5"/>
      <c r="T866" s="5"/>
      <c r="U866" s="5"/>
      <c r="V866" s="5"/>
      <c r="W866" s="5"/>
      <c r="X866" s="5"/>
      <c r="Y866" s="5"/>
      <c r="Z866" s="5"/>
      <c r="AA866" s="5"/>
      <c r="AB866" s="5"/>
      <c r="AC866" s="5"/>
      <c r="AD866" s="5"/>
      <c r="AE866" s="5"/>
      <c r="AF866" s="5"/>
      <c r="AG866" s="5"/>
    </row>
    <row r="867" ht="15.75" customHeight="1">
      <c r="K867" t="s">
        <v>1455</v>
      </c>
      <c r="L867" t="str">
        <f>H50</f>
        <v>H1a1a4a2~</v>
      </c>
      <c r="N867" t="s">
        <v>1456</v>
      </c>
      <c r="O867">
        <v>6753025.0</v>
      </c>
      <c r="P867">
        <v>6884984.0</v>
      </c>
      <c r="Q867" t="s">
        <v>476</v>
      </c>
      <c r="R867" s="5"/>
      <c r="S867" s="5"/>
      <c r="T867" s="5"/>
      <c r="U867" s="5"/>
      <c r="V867" s="5"/>
      <c r="W867" s="5"/>
      <c r="X867" s="5"/>
      <c r="Y867" s="5"/>
      <c r="Z867" s="5"/>
      <c r="AA867" s="5"/>
      <c r="AB867" s="5"/>
      <c r="AC867" s="5"/>
      <c r="AD867" s="5"/>
      <c r="AE867" s="5"/>
      <c r="AF867" s="5"/>
      <c r="AG867" s="5"/>
    </row>
    <row r="868" ht="15.75" customHeight="1">
      <c r="K868" t="s">
        <v>1457</v>
      </c>
      <c r="L868" t="str">
        <f>H50</f>
        <v>H1a1a4a2~</v>
      </c>
      <c r="N868" t="s">
        <v>1458</v>
      </c>
      <c r="O868">
        <v>6781784.0</v>
      </c>
      <c r="P868">
        <v>6913743.0</v>
      </c>
      <c r="Q868" t="s">
        <v>452</v>
      </c>
      <c r="R868" s="5"/>
      <c r="S868" s="5"/>
      <c r="T868" s="5"/>
      <c r="U868" s="5"/>
      <c r="V868" s="5"/>
      <c r="W868" s="5"/>
      <c r="X868" s="5"/>
      <c r="Y868" s="5"/>
      <c r="Z868" s="5"/>
      <c r="AA868" s="5"/>
      <c r="AB868" s="5"/>
      <c r="AC868" s="5"/>
      <c r="AD868" s="5"/>
      <c r="AE868" s="5"/>
      <c r="AF868" s="5"/>
      <c r="AG868" s="5"/>
    </row>
    <row r="869" ht="15.75" customHeight="1">
      <c r="K869" t="s">
        <v>1459</v>
      </c>
      <c r="L869" t="str">
        <f>H50</f>
        <v>H1a1a4a2~</v>
      </c>
      <c r="O869">
        <v>7131066.0</v>
      </c>
      <c r="P869">
        <v>7263025.0</v>
      </c>
      <c r="Q869" t="s">
        <v>525</v>
      </c>
      <c r="R869" s="5"/>
      <c r="S869" s="5"/>
      <c r="T869" s="5"/>
      <c r="U869" s="5"/>
      <c r="V869" s="5"/>
      <c r="W869" s="5"/>
      <c r="X869" s="5"/>
      <c r="Y869" s="5"/>
      <c r="Z869" s="5"/>
      <c r="AA869" s="5"/>
      <c r="AB869" s="5"/>
      <c r="AC869" s="5"/>
      <c r="AD869" s="5"/>
      <c r="AE869" s="5"/>
      <c r="AF869" s="5"/>
      <c r="AG869" s="5"/>
    </row>
    <row r="870" ht="15.75" customHeight="1">
      <c r="K870" t="s">
        <v>1460</v>
      </c>
      <c r="L870" t="str">
        <f>H50</f>
        <v>H1a1a4a2~</v>
      </c>
      <c r="N870" t="s">
        <v>1461</v>
      </c>
      <c r="O870">
        <v>7183797.0</v>
      </c>
      <c r="P870">
        <v>7315756.0</v>
      </c>
      <c r="Q870" t="s">
        <v>419</v>
      </c>
      <c r="R870" s="5"/>
      <c r="S870" s="5"/>
      <c r="T870" s="5"/>
      <c r="U870" s="5"/>
      <c r="V870" s="5"/>
      <c r="W870" s="5"/>
      <c r="X870" s="5"/>
      <c r="Y870" s="5"/>
      <c r="Z870" s="5"/>
      <c r="AA870" s="5"/>
      <c r="AB870" s="5"/>
      <c r="AC870" s="5"/>
      <c r="AD870" s="5"/>
      <c r="AE870" s="5"/>
      <c r="AF870" s="5"/>
      <c r="AG870" s="5"/>
    </row>
    <row r="871" ht="15.75" customHeight="1">
      <c r="K871" t="s">
        <v>1462</v>
      </c>
      <c r="L871" t="str">
        <f>G51</f>
        <v>H1a1a4b</v>
      </c>
      <c r="N871" t="s">
        <v>1463</v>
      </c>
      <c r="O871">
        <v>2806920.0</v>
      </c>
      <c r="P871">
        <v>2938879.0</v>
      </c>
      <c r="Q871" t="s">
        <v>459</v>
      </c>
      <c r="R871" s="5"/>
      <c r="S871" s="5"/>
      <c r="T871" s="5"/>
      <c r="U871" s="5"/>
      <c r="V871" s="5"/>
      <c r="W871" s="5"/>
      <c r="X871" s="5"/>
      <c r="Y871" s="5"/>
      <c r="Z871" s="5"/>
      <c r="AA871" s="5"/>
      <c r="AB871" s="5"/>
      <c r="AC871" s="5"/>
      <c r="AD871" s="5"/>
      <c r="AE871" s="5"/>
      <c r="AF871" s="5"/>
      <c r="AG871" s="5"/>
    </row>
    <row r="872" ht="15.75" customHeight="1">
      <c r="K872" t="s">
        <v>1464</v>
      </c>
      <c r="L872" t="str">
        <f>G51</f>
        <v>H1a1a4b</v>
      </c>
      <c r="M872" t="s">
        <v>1465</v>
      </c>
      <c r="N872" t="s">
        <v>1466</v>
      </c>
      <c r="O872">
        <v>6659608.0</v>
      </c>
      <c r="P872">
        <v>6791567.0</v>
      </c>
      <c r="Q872" t="s">
        <v>476</v>
      </c>
      <c r="R872" s="5"/>
      <c r="S872" s="5"/>
      <c r="T872" s="5"/>
      <c r="U872" s="5"/>
      <c r="V872" s="5"/>
      <c r="W872" s="5"/>
      <c r="X872" s="5"/>
      <c r="Y872" s="5"/>
      <c r="Z872" s="5"/>
      <c r="AA872" s="5"/>
      <c r="AB872" s="5"/>
      <c r="AC872" s="5"/>
      <c r="AD872" s="5"/>
      <c r="AE872" s="5"/>
      <c r="AF872" s="5"/>
      <c r="AG872" s="5"/>
    </row>
    <row r="873" ht="15.75" customHeight="1">
      <c r="K873" t="s">
        <v>1465</v>
      </c>
      <c r="L873" t="str">
        <f>G51</f>
        <v>H1a1a4b</v>
      </c>
      <c r="M873" t="s">
        <v>1464</v>
      </c>
      <c r="N873" t="s">
        <v>1466</v>
      </c>
      <c r="O873">
        <v>6659608.0</v>
      </c>
      <c r="P873">
        <v>6791567.0</v>
      </c>
      <c r="Q873" t="s">
        <v>476</v>
      </c>
      <c r="R873" s="5"/>
      <c r="S873" s="5"/>
      <c r="T873" s="5"/>
      <c r="U873" s="5"/>
      <c r="V873" s="5"/>
      <c r="W873" s="5"/>
      <c r="X873" s="5"/>
      <c r="Y873" s="5"/>
      <c r="Z873" s="5"/>
      <c r="AA873" s="5"/>
      <c r="AB873" s="5"/>
      <c r="AC873" s="5"/>
      <c r="AD873" s="5"/>
      <c r="AE873" s="5"/>
      <c r="AF873" s="5"/>
      <c r="AG873" s="5"/>
    </row>
    <row r="874" ht="15.75" customHeight="1">
      <c r="K874" t="s">
        <v>1467</v>
      </c>
      <c r="L874" t="str">
        <f>G51</f>
        <v>H1a1a4b</v>
      </c>
      <c r="N874" t="s">
        <v>1468</v>
      </c>
      <c r="O874">
        <v>7053185.0</v>
      </c>
      <c r="P874">
        <v>7185144.0</v>
      </c>
      <c r="Q874" t="s">
        <v>525</v>
      </c>
      <c r="R874" s="5"/>
      <c r="S874" s="5"/>
      <c r="T874" s="5"/>
      <c r="U874" s="5"/>
      <c r="V874" s="5"/>
      <c r="W874" s="5"/>
      <c r="X874" s="5"/>
      <c r="Y874" s="5"/>
      <c r="Z874" s="5"/>
      <c r="AA874" s="5"/>
      <c r="AB874" s="5"/>
      <c r="AC874" s="5"/>
      <c r="AD874" s="5"/>
      <c r="AE874" s="5"/>
      <c r="AF874" s="5"/>
      <c r="AG874" s="5"/>
    </row>
    <row r="875" ht="15.75" customHeight="1">
      <c r="K875" t="s">
        <v>1469</v>
      </c>
      <c r="L875" t="str">
        <f>G51</f>
        <v>H1a1a4b</v>
      </c>
      <c r="M875" t="s">
        <v>1470</v>
      </c>
      <c r="N875" t="s">
        <v>1471</v>
      </c>
      <c r="O875">
        <v>7585548.0</v>
      </c>
      <c r="P875">
        <v>7717507.0</v>
      </c>
      <c r="Q875" t="s">
        <v>431</v>
      </c>
      <c r="R875" s="5"/>
      <c r="S875" s="5"/>
      <c r="T875" s="5"/>
      <c r="U875" s="5"/>
      <c r="V875" s="5"/>
      <c r="W875" s="5"/>
      <c r="X875" s="5"/>
      <c r="Y875" s="5"/>
      <c r="Z875" s="5"/>
      <c r="AA875" s="5"/>
      <c r="AB875" s="5"/>
      <c r="AC875" s="5"/>
      <c r="AD875" s="5"/>
      <c r="AE875" s="5"/>
      <c r="AF875" s="5"/>
      <c r="AG875" s="5"/>
    </row>
    <row r="876" ht="15.75" customHeight="1">
      <c r="K876" t="s">
        <v>1470</v>
      </c>
      <c r="L876" t="str">
        <f>G51</f>
        <v>H1a1a4b</v>
      </c>
      <c r="M876" t="s">
        <v>1469</v>
      </c>
      <c r="N876" t="s">
        <v>1471</v>
      </c>
      <c r="O876">
        <v>7585548.0</v>
      </c>
      <c r="P876">
        <v>7717507.0</v>
      </c>
      <c r="Q876" t="s">
        <v>431</v>
      </c>
      <c r="R876" s="5"/>
      <c r="S876" s="5"/>
      <c r="T876" s="5"/>
      <c r="U876" s="5"/>
      <c r="V876" s="5"/>
      <c r="W876" s="5"/>
      <c r="X876" s="5"/>
      <c r="Y876" s="5"/>
      <c r="Z876" s="5"/>
      <c r="AA876" s="5"/>
      <c r="AB876" s="5"/>
      <c r="AC876" s="5"/>
      <c r="AD876" s="5"/>
      <c r="AE876" s="5"/>
      <c r="AF876" s="5"/>
      <c r="AG876" s="5"/>
    </row>
    <row r="877" ht="15.75" customHeight="1">
      <c r="K877" t="s">
        <v>1472</v>
      </c>
      <c r="L877" t="str">
        <f>G51</f>
        <v>H1a1a4b</v>
      </c>
      <c r="M877" t="s">
        <v>1473</v>
      </c>
      <c r="N877" t="s">
        <v>1474</v>
      </c>
      <c r="O877">
        <v>7955599.0</v>
      </c>
      <c r="P877">
        <v>8087558.0</v>
      </c>
      <c r="Q877" t="s">
        <v>419</v>
      </c>
      <c r="R877" s="5"/>
      <c r="S877" s="5"/>
      <c r="T877" s="5"/>
      <c r="U877" s="5"/>
      <c r="V877" s="5"/>
      <c r="W877" s="5"/>
      <c r="X877" s="5"/>
      <c r="Y877" s="5"/>
      <c r="Z877" s="5"/>
      <c r="AA877" s="5"/>
      <c r="AB877" s="5"/>
      <c r="AC877" s="5"/>
      <c r="AD877" s="5"/>
      <c r="AE877" s="5"/>
      <c r="AF877" s="5"/>
      <c r="AG877" s="5"/>
    </row>
    <row r="878" ht="15.75" customHeight="1">
      <c r="K878" t="s">
        <v>1473</v>
      </c>
      <c r="L878" t="str">
        <f>G51</f>
        <v>H1a1a4b</v>
      </c>
      <c r="M878" t="s">
        <v>1472</v>
      </c>
      <c r="N878" t="s">
        <v>1474</v>
      </c>
      <c r="O878">
        <v>7955599.0</v>
      </c>
      <c r="P878">
        <v>8087558.0</v>
      </c>
      <c r="Q878" t="s">
        <v>419</v>
      </c>
      <c r="R878" s="5"/>
      <c r="S878" s="5"/>
      <c r="T878" s="5"/>
      <c r="U878" s="5"/>
      <c r="V878" s="5"/>
      <c r="W878" s="5"/>
      <c r="X878" s="5"/>
      <c r="Y878" s="5"/>
      <c r="Z878" s="5"/>
      <c r="AA878" s="5"/>
      <c r="AB878" s="5"/>
      <c r="AC878" s="5"/>
      <c r="AD878" s="5"/>
      <c r="AE878" s="5"/>
      <c r="AF878" s="5"/>
      <c r="AG878" s="5"/>
    </row>
    <row r="879" ht="15.75" customHeight="1">
      <c r="K879" t="s">
        <v>1475</v>
      </c>
      <c r="L879" t="str">
        <f>G51</f>
        <v>H1a1a4b</v>
      </c>
      <c r="M879" t="s">
        <v>1476</v>
      </c>
      <c r="N879" t="s">
        <v>1477</v>
      </c>
      <c r="O879">
        <v>8001582.0</v>
      </c>
      <c r="P879">
        <v>8133541.0</v>
      </c>
      <c r="Q879" t="s">
        <v>476</v>
      </c>
      <c r="R879" s="5"/>
      <c r="S879" s="5"/>
      <c r="T879" s="5"/>
      <c r="U879" s="5"/>
      <c r="V879" s="5"/>
      <c r="W879" s="5"/>
      <c r="X879" s="5"/>
      <c r="Y879" s="5"/>
      <c r="Z879" s="5"/>
      <c r="AA879" s="5"/>
      <c r="AB879" s="5"/>
      <c r="AC879" s="5"/>
      <c r="AD879" s="5"/>
      <c r="AE879" s="5"/>
      <c r="AF879" s="5"/>
      <c r="AG879" s="5"/>
    </row>
    <row r="880" ht="15.75" customHeight="1">
      <c r="K880" t="s">
        <v>1476</v>
      </c>
      <c r="L880" t="str">
        <f>G51</f>
        <v>H1a1a4b</v>
      </c>
      <c r="M880" t="s">
        <v>1475</v>
      </c>
      <c r="N880" t="s">
        <v>1477</v>
      </c>
      <c r="O880">
        <v>8001582.0</v>
      </c>
      <c r="P880">
        <v>8133541.0</v>
      </c>
      <c r="Q880" t="s">
        <v>476</v>
      </c>
      <c r="R880" s="5"/>
      <c r="S880" s="5"/>
      <c r="T880" s="5"/>
      <c r="U880" s="5"/>
      <c r="V880" s="5"/>
      <c r="W880" s="5"/>
      <c r="X880" s="5"/>
      <c r="Y880" s="5"/>
      <c r="Z880" s="5"/>
      <c r="AA880" s="5"/>
      <c r="AB880" s="5"/>
      <c r="AC880" s="5"/>
      <c r="AD880" s="5"/>
      <c r="AE880" s="5"/>
      <c r="AF880" s="5"/>
      <c r="AG880" s="5"/>
    </row>
    <row r="881" ht="15.75" customHeight="1">
      <c r="K881" t="s">
        <v>1478</v>
      </c>
      <c r="L881" t="str">
        <f>G51</f>
        <v>H1a1a4b</v>
      </c>
      <c r="N881" t="s">
        <v>1479</v>
      </c>
      <c r="O881">
        <v>8123001.0</v>
      </c>
      <c r="P881">
        <v>8254960.0</v>
      </c>
      <c r="Q881" t="s">
        <v>452</v>
      </c>
      <c r="R881" s="5"/>
      <c r="S881" s="5"/>
      <c r="T881" s="5"/>
      <c r="U881" s="5"/>
      <c r="V881" s="5"/>
      <c r="W881" s="5"/>
      <c r="X881" s="5"/>
      <c r="Y881" s="5"/>
      <c r="Z881" s="5"/>
      <c r="AA881" s="5"/>
      <c r="AB881" s="5"/>
      <c r="AC881" s="5"/>
      <c r="AD881" s="5"/>
      <c r="AE881" s="5"/>
      <c r="AF881" s="5"/>
      <c r="AG881" s="5"/>
    </row>
    <row r="882" ht="15.75" customHeight="1">
      <c r="K882" t="s">
        <v>1480</v>
      </c>
      <c r="L882" t="str">
        <f>G51</f>
        <v>H1a1a4b</v>
      </c>
      <c r="M882" t="s">
        <v>1481</v>
      </c>
      <c r="N882" t="s">
        <v>1482</v>
      </c>
      <c r="O882">
        <v>8283064.0</v>
      </c>
      <c r="P882">
        <v>8415023.0</v>
      </c>
      <c r="Q882" t="s">
        <v>423</v>
      </c>
      <c r="R882" s="5"/>
      <c r="S882" s="5"/>
      <c r="T882" s="5"/>
      <c r="U882" s="5"/>
      <c r="V882" s="5"/>
      <c r="W882" s="5"/>
      <c r="X882" s="5"/>
      <c r="Y882" s="5"/>
      <c r="Z882" s="5"/>
      <c r="AA882" s="5"/>
      <c r="AB882" s="5"/>
      <c r="AC882" s="5"/>
      <c r="AD882" s="5"/>
      <c r="AE882" s="5"/>
      <c r="AF882" s="5"/>
      <c r="AG882" s="5"/>
    </row>
    <row r="883" ht="15.75" customHeight="1">
      <c r="K883" t="s">
        <v>1481</v>
      </c>
      <c r="L883" t="str">
        <f>G51</f>
        <v>H1a1a4b</v>
      </c>
      <c r="M883" t="s">
        <v>1480</v>
      </c>
      <c r="N883" t="s">
        <v>1482</v>
      </c>
      <c r="O883">
        <v>8283064.0</v>
      </c>
      <c r="P883">
        <v>8415023.0</v>
      </c>
      <c r="Q883" t="s">
        <v>423</v>
      </c>
      <c r="R883" s="5"/>
      <c r="S883" s="5"/>
      <c r="T883" s="5"/>
      <c r="U883" s="5"/>
      <c r="V883" s="5"/>
      <c r="W883" s="5"/>
      <c r="X883" s="5"/>
      <c r="Y883" s="5"/>
      <c r="Z883" s="5"/>
      <c r="AA883" s="5"/>
      <c r="AB883" s="5"/>
      <c r="AC883" s="5"/>
      <c r="AD883" s="5"/>
      <c r="AE883" s="5"/>
      <c r="AF883" s="5"/>
      <c r="AG883" s="5"/>
    </row>
    <row r="884" ht="15.75" customHeight="1">
      <c r="K884" t="s">
        <v>1483</v>
      </c>
      <c r="L884" t="str">
        <f>G51</f>
        <v>H1a1a4b</v>
      </c>
      <c r="M884" t="s">
        <v>1484</v>
      </c>
      <c r="N884" t="s">
        <v>1485</v>
      </c>
      <c r="O884">
        <v>8776074.0</v>
      </c>
      <c r="P884">
        <v>8908033.0</v>
      </c>
      <c r="Q884" t="s">
        <v>419</v>
      </c>
      <c r="R884" s="5"/>
      <c r="S884" s="5"/>
      <c r="T884" s="5"/>
      <c r="U884" s="5"/>
      <c r="V884" s="5"/>
      <c r="W884" s="5"/>
      <c r="X884" s="5"/>
      <c r="Y884" s="5"/>
      <c r="Z884" s="5"/>
      <c r="AA884" s="5"/>
      <c r="AB884" s="5"/>
      <c r="AC884" s="5"/>
      <c r="AD884" s="5"/>
      <c r="AE884" s="5"/>
      <c r="AF884" s="5"/>
      <c r="AG884" s="5"/>
    </row>
    <row r="885" ht="15.75" customHeight="1">
      <c r="K885" t="s">
        <v>1484</v>
      </c>
      <c r="L885" t="str">
        <f>G51</f>
        <v>H1a1a4b</v>
      </c>
      <c r="M885" t="s">
        <v>1483</v>
      </c>
      <c r="N885" t="s">
        <v>1485</v>
      </c>
      <c r="O885">
        <v>8776074.0</v>
      </c>
      <c r="P885">
        <v>8908033.0</v>
      </c>
      <c r="Q885" t="s">
        <v>419</v>
      </c>
      <c r="R885" s="5"/>
      <c r="S885" s="5"/>
      <c r="T885" s="5"/>
      <c r="U885" s="5"/>
      <c r="V885" s="5"/>
      <c r="W885" s="5"/>
      <c r="X885" s="5"/>
      <c r="Y885" s="5"/>
      <c r="Z885" s="5"/>
      <c r="AA885" s="5"/>
      <c r="AB885" s="5"/>
      <c r="AC885" s="5"/>
      <c r="AD885" s="5"/>
      <c r="AE885" s="5"/>
      <c r="AF885" s="5"/>
      <c r="AG885" s="5"/>
    </row>
    <row r="886" ht="15.75" customHeight="1">
      <c r="K886" t="s">
        <v>1486</v>
      </c>
      <c r="L886" t="str">
        <f>G51</f>
        <v>H1a1a4b</v>
      </c>
      <c r="N886" t="s">
        <v>1487</v>
      </c>
      <c r="O886">
        <v>9151619.0</v>
      </c>
      <c r="P886">
        <v>9314010.0</v>
      </c>
      <c r="Q886" t="s">
        <v>459</v>
      </c>
      <c r="R886" s="5"/>
      <c r="S886" s="5"/>
      <c r="T886" s="5"/>
      <c r="U886" s="5"/>
      <c r="V886" s="5"/>
      <c r="W886" s="5"/>
      <c r="X886" s="5"/>
      <c r="Y886" s="5"/>
      <c r="Z886" s="5"/>
      <c r="AA886" s="5"/>
      <c r="AB886" s="5"/>
      <c r="AC886" s="5"/>
      <c r="AD886" s="5"/>
      <c r="AE886" s="5"/>
      <c r="AF886" s="5"/>
      <c r="AG886" s="5"/>
    </row>
    <row r="887" ht="15.75" customHeight="1">
      <c r="K887" t="s">
        <v>1488</v>
      </c>
      <c r="L887" t="str">
        <f>G51</f>
        <v>H1a1a4b</v>
      </c>
      <c r="N887" t="s">
        <v>1489</v>
      </c>
      <c r="O887">
        <v>9853754.0</v>
      </c>
      <c r="P887">
        <v>1.0016145E7</v>
      </c>
      <c r="Q887" t="s">
        <v>435</v>
      </c>
      <c r="R887" s="5"/>
      <c r="S887" s="5"/>
      <c r="T887" s="5"/>
      <c r="U887" s="5"/>
      <c r="V887" s="5"/>
      <c r="W887" s="5"/>
      <c r="X887" s="5"/>
      <c r="Y887" s="5"/>
      <c r="Z887" s="5"/>
      <c r="AA887" s="5"/>
      <c r="AB887" s="5"/>
      <c r="AC887" s="5"/>
      <c r="AD887" s="5"/>
      <c r="AE887" s="5"/>
      <c r="AF887" s="5"/>
      <c r="AG887" s="5"/>
    </row>
    <row r="888" ht="15.75" customHeight="1">
      <c r="K888" t="s">
        <v>1490</v>
      </c>
      <c r="L888" t="str">
        <f>G51</f>
        <v>H1a1a4b</v>
      </c>
      <c r="N888" t="s">
        <v>1491</v>
      </c>
      <c r="O888">
        <v>1.4014232E7</v>
      </c>
      <c r="P888">
        <v>1.1893526E7</v>
      </c>
      <c r="Q888" t="s">
        <v>476</v>
      </c>
      <c r="R888" s="5"/>
      <c r="S888" s="5"/>
      <c r="T888" s="5"/>
      <c r="U888" s="5"/>
      <c r="V888" s="5"/>
      <c r="W888" s="5"/>
      <c r="X888" s="5"/>
      <c r="Y888" s="5"/>
      <c r="Z888" s="5"/>
      <c r="AA888" s="5"/>
      <c r="AB888" s="5"/>
      <c r="AC888" s="5"/>
      <c r="AD888" s="5"/>
      <c r="AE888" s="5"/>
      <c r="AF888" s="5"/>
      <c r="AG888" s="5"/>
    </row>
    <row r="889" ht="15.75" customHeight="1">
      <c r="K889" t="s">
        <v>1492</v>
      </c>
      <c r="L889" t="str">
        <f>G51</f>
        <v>H1a1a4b</v>
      </c>
      <c r="M889" t="s">
        <v>1493</v>
      </c>
      <c r="N889" t="s">
        <v>1494</v>
      </c>
      <c r="O889">
        <v>1.403843E7</v>
      </c>
      <c r="P889">
        <v>1.1917724E7</v>
      </c>
      <c r="Q889" t="s">
        <v>419</v>
      </c>
      <c r="R889" s="5"/>
      <c r="S889" s="5"/>
      <c r="T889" s="5"/>
      <c r="U889" s="5"/>
      <c r="V889" s="5"/>
      <c r="W889" s="5"/>
      <c r="X889" s="5"/>
      <c r="Y889" s="5"/>
      <c r="Z889" s="5"/>
      <c r="AA889" s="5"/>
      <c r="AB889" s="5"/>
      <c r="AC889" s="5"/>
      <c r="AD889" s="5"/>
      <c r="AE889" s="5"/>
      <c r="AF889" s="5"/>
      <c r="AG889" s="5"/>
    </row>
    <row r="890" ht="15.75" customHeight="1">
      <c r="K890" t="s">
        <v>1493</v>
      </c>
      <c r="L890" t="str">
        <f>G51</f>
        <v>H1a1a4b</v>
      </c>
      <c r="M890" t="s">
        <v>1492</v>
      </c>
      <c r="N890" t="s">
        <v>1494</v>
      </c>
      <c r="O890">
        <v>1.403843E7</v>
      </c>
      <c r="P890">
        <v>1.1917724E7</v>
      </c>
      <c r="Q890" t="s">
        <v>419</v>
      </c>
      <c r="R890" s="5"/>
      <c r="S890" s="5"/>
      <c r="T890" s="5"/>
      <c r="U890" s="5"/>
      <c r="V890" s="5"/>
      <c r="W890" s="5"/>
      <c r="X890" s="5"/>
      <c r="Y890" s="5"/>
      <c r="Z890" s="5"/>
      <c r="AA890" s="5"/>
      <c r="AB890" s="5"/>
      <c r="AC890" s="5"/>
      <c r="AD890" s="5"/>
      <c r="AE890" s="5"/>
      <c r="AF890" s="5"/>
      <c r="AG890" s="5"/>
    </row>
    <row r="891" ht="15.75" customHeight="1">
      <c r="K891" t="s">
        <v>1495</v>
      </c>
      <c r="L891" t="str">
        <f>G51</f>
        <v>H1a1a4b</v>
      </c>
      <c r="N891" t="s">
        <v>1496</v>
      </c>
      <c r="O891">
        <v>1.4239768E7</v>
      </c>
      <c r="P891">
        <v>1.2119062E7</v>
      </c>
      <c r="Q891" t="s">
        <v>423</v>
      </c>
      <c r="R891" s="5"/>
      <c r="S891" s="5"/>
      <c r="T891" s="5"/>
      <c r="U891" s="5"/>
      <c r="V891" s="5"/>
      <c r="W891" s="5"/>
      <c r="X891" s="5"/>
      <c r="Y891" s="5"/>
      <c r="Z891" s="5"/>
      <c r="AA891" s="5"/>
      <c r="AB891" s="5"/>
      <c r="AC891" s="5"/>
      <c r="AD891" s="5"/>
      <c r="AE891" s="5"/>
      <c r="AF891" s="5"/>
      <c r="AG891" s="5"/>
    </row>
    <row r="892" ht="15.75" customHeight="1">
      <c r="K892" t="s">
        <v>1497</v>
      </c>
      <c r="L892" t="str">
        <f>G51</f>
        <v>H1a1a4b</v>
      </c>
      <c r="M892" t="s">
        <v>1498</v>
      </c>
      <c r="N892" t="s">
        <v>1499</v>
      </c>
      <c r="O892">
        <v>1.4393172E7</v>
      </c>
      <c r="P892">
        <v>1.2272468E7</v>
      </c>
      <c r="Q892" t="s">
        <v>435</v>
      </c>
      <c r="R892" s="5"/>
      <c r="S892" s="5"/>
      <c r="T892" s="5"/>
      <c r="U892" s="5"/>
      <c r="V892" s="5"/>
      <c r="W892" s="5"/>
      <c r="X892" s="5"/>
      <c r="Y892" s="5"/>
      <c r="Z892" s="5"/>
      <c r="AA892" s="5"/>
      <c r="AB892" s="5"/>
      <c r="AC892" s="5"/>
      <c r="AD892" s="5"/>
      <c r="AE892" s="5"/>
      <c r="AF892" s="5"/>
      <c r="AG892" s="5"/>
    </row>
    <row r="893" ht="15.75" customHeight="1">
      <c r="K893" t="s">
        <v>1498</v>
      </c>
      <c r="L893" t="str">
        <f>G51</f>
        <v>H1a1a4b</v>
      </c>
      <c r="M893" t="s">
        <v>1497</v>
      </c>
      <c r="N893" t="s">
        <v>1499</v>
      </c>
      <c r="O893">
        <v>1.4393172E7</v>
      </c>
      <c r="P893">
        <v>1.2272468E7</v>
      </c>
      <c r="Q893" t="s">
        <v>435</v>
      </c>
      <c r="R893" s="5"/>
      <c r="S893" s="5"/>
      <c r="T893" s="5"/>
      <c r="U893" s="5"/>
      <c r="V893" s="5"/>
      <c r="W893" s="5"/>
      <c r="X893" s="5"/>
      <c r="Y893" s="5"/>
      <c r="Z893" s="5"/>
      <c r="AA893" s="5"/>
      <c r="AB893" s="5"/>
      <c r="AC893" s="5"/>
      <c r="AD893" s="5"/>
      <c r="AE893" s="5"/>
      <c r="AF893" s="5"/>
      <c r="AG893" s="5"/>
    </row>
    <row r="894" ht="15.75" customHeight="1">
      <c r="K894" t="s">
        <v>1500</v>
      </c>
      <c r="L894" t="str">
        <f>G51</f>
        <v>H1a1a4b</v>
      </c>
      <c r="M894" t="s">
        <v>1501</v>
      </c>
      <c r="N894" t="s">
        <v>1502</v>
      </c>
      <c r="O894">
        <v>1.4934778E7</v>
      </c>
      <c r="P894">
        <v>1.2822843E7</v>
      </c>
      <c r="Q894" t="s">
        <v>423</v>
      </c>
      <c r="R894" s="5"/>
      <c r="S894" s="5"/>
      <c r="T894" s="5"/>
      <c r="U894" s="5"/>
      <c r="V894" s="5"/>
      <c r="W894" s="5"/>
      <c r="X894" s="5"/>
      <c r="Y894" s="5"/>
      <c r="Z894" s="5"/>
      <c r="AA894" s="5"/>
      <c r="AB894" s="5"/>
      <c r="AC894" s="5"/>
      <c r="AD894" s="5"/>
      <c r="AE894" s="5"/>
      <c r="AF894" s="5"/>
      <c r="AG894" s="5"/>
    </row>
    <row r="895" ht="15.75" customHeight="1">
      <c r="K895" t="s">
        <v>1501</v>
      </c>
      <c r="L895" t="str">
        <f>G51</f>
        <v>H1a1a4b</v>
      </c>
      <c r="M895" t="s">
        <v>1500</v>
      </c>
      <c r="N895" t="s">
        <v>1502</v>
      </c>
      <c r="O895">
        <v>1.4934778E7</v>
      </c>
      <c r="P895">
        <v>1.2822843E7</v>
      </c>
      <c r="Q895" t="s">
        <v>423</v>
      </c>
      <c r="R895" s="5"/>
      <c r="S895" s="5"/>
      <c r="T895" s="5"/>
      <c r="U895" s="5"/>
      <c r="V895" s="5"/>
      <c r="W895" s="5"/>
      <c r="X895" s="5"/>
      <c r="Y895" s="5"/>
      <c r="Z895" s="5"/>
      <c r="AA895" s="5"/>
      <c r="AB895" s="5"/>
      <c r="AC895" s="5"/>
      <c r="AD895" s="5"/>
      <c r="AE895" s="5"/>
      <c r="AF895" s="5"/>
      <c r="AG895" s="5"/>
    </row>
    <row r="896" ht="15.75" customHeight="1">
      <c r="K896" t="s">
        <v>1503</v>
      </c>
      <c r="L896" t="str">
        <f>G51</f>
        <v>H1a1a4b</v>
      </c>
      <c r="M896" t="s">
        <v>1504</v>
      </c>
      <c r="N896" t="s">
        <v>1505</v>
      </c>
      <c r="O896">
        <v>1.5010005E7</v>
      </c>
      <c r="P896">
        <v>1.289809E7</v>
      </c>
      <c r="Q896" t="s">
        <v>423</v>
      </c>
      <c r="R896" s="5"/>
      <c r="S896" s="5"/>
      <c r="T896" s="5"/>
      <c r="U896" s="5"/>
      <c r="V896" s="5"/>
      <c r="W896" s="5"/>
      <c r="X896" s="5"/>
      <c r="Y896" s="5"/>
      <c r="Z896" s="5"/>
      <c r="AA896" s="5"/>
      <c r="AB896" s="5"/>
      <c r="AC896" s="5"/>
      <c r="AD896" s="5"/>
      <c r="AE896" s="5"/>
      <c r="AF896" s="5"/>
      <c r="AG896" s="5"/>
    </row>
    <row r="897" ht="15.75" customHeight="1">
      <c r="K897" t="s">
        <v>1504</v>
      </c>
      <c r="L897" t="str">
        <f>G51</f>
        <v>H1a1a4b</v>
      </c>
      <c r="M897" t="s">
        <v>1503</v>
      </c>
      <c r="N897" t="s">
        <v>1505</v>
      </c>
      <c r="O897">
        <v>1.5010005E7</v>
      </c>
      <c r="P897">
        <v>1.289809E7</v>
      </c>
      <c r="Q897" t="s">
        <v>423</v>
      </c>
      <c r="R897" s="5"/>
      <c r="S897" s="5"/>
      <c r="T897" s="5"/>
      <c r="U897" s="5"/>
      <c r="V897" s="5"/>
      <c r="W897" s="5"/>
      <c r="X897" s="5"/>
      <c r="Y897" s="5"/>
      <c r="Z897" s="5"/>
      <c r="AA897" s="5"/>
      <c r="AB897" s="5"/>
      <c r="AC897" s="5"/>
      <c r="AD897" s="5"/>
      <c r="AE897" s="5"/>
      <c r="AF897" s="5"/>
      <c r="AG897" s="5"/>
    </row>
    <row r="898" ht="15.75" customHeight="1">
      <c r="K898" t="s">
        <v>1506</v>
      </c>
      <c r="L898" t="str">
        <f>G51</f>
        <v>H1a1a4b</v>
      </c>
      <c r="M898" t="s">
        <v>1507</v>
      </c>
      <c r="N898" t="s">
        <v>1508</v>
      </c>
      <c r="O898">
        <v>1.5624558E7</v>
      </c>
      <c r="P898">
        <v>1.3512678E7</v>
      </c>
      <c r="Q898" t="s">
        <v>525</v>
      </c>
      <c r="R898" s="5"/>
      <c r="S898" s="5"/>
      <c r="T898" s="5"/>
      <c r="U898" s="5"/>
      <c r="V898" s="5"/>
      <c r="W898" s="5"/>
      <c r="X898" s="5"/>
      <c r="Y898" s="5"/>
      <c r="Z898" s="5"/>
      <c r="AA898" s="5"/>
      <c r="AB898" s="5"/>
      <c r="AC898" s="5"/>
      <c r="AD898" s="5"/>
      <c r="AE898" s="5"/>
      <c r="AF898" s="5"/>
      <c r="AG898" s="5"/>
    </row>
    <row r="899" ht="15.75" customHeight="1">
      <c r="K899" t="s">
        <v>1507</v>
      </c>
      <c r="L899" t="str">
        <f>G51</f>
        <v>H1a1a4b</v>
      </c>
      <c r="M899" t="s">
        <v>1506</v>
      </c>
      <c r="N899" t="s">
        <v>1508</v>
      </c>
      <c r="O899">
        <v>1.5624558E7</v>
      </c>
      <c r="P899">
        <v>1.3512678E7</v>
      </c>
      <c r="Q899" t="s">
        <v>525</v>
      </c>
      <c r="R899" s="5"/>
      <c r="S899" s="5"/>
      <c r="T899" s="5"/>
      <c r="U899" s="5"/>
      <c r="V899" s="5"/>
      <c r="W899" s="5"/>
      <c r="X899" s="5"/>
      <c r="Y899" s="5"/>
      <c r="Z899" s="5"/>
      <c r="AA899" s="5"/>
      <c r="AB899" s="5"/>
      <c r="AC899" s="5"/>
      <c r="AD899" s="5"/>
      <c r="AE899" s="5"/>
      <c r="AF899" s="5"/>
      <c r="AG899" s="5"/>
    </row>
    <row r="900" ht="15.75" customHeight="1">
      <c r="K900" t="s">
        <v>1509</v>
      </c>
      <c r="L900" t="str">
        <f>G51</f>
        <v>H1a1a4b</v>
      </c>
      <c r="M900" t="s">
        <v>1510</v>
      </c>
      <c r="N900" t="s">
        <v>1511</v>
      </c>
      <c r="O900">
        <v>1.5722775E7</v>
      </c>
      <c r="P900">
        <v>1.3610895E7</v>
      </c>
      <c r="Q900" t="s">
        <v>419</v>
      </c>
      <c r="R900" s="5"/>
      <c r="S900" s="5"/>
      <c r="T900" s="5"/>
      <c r="U900" s="5"/>
      <c r="V900" s="5"/>
      <c r="W900" s="5"/>
      <c r="X900" s="5"/>
      <c r="Y900" s="5"/>
      <c r="Z900" s="5"/>
      <c r="AA900" s="5"/>
      <c r="AB900" s="5"/>
      <c r="AC900" s="5"/>
      <c r="AD900" s="5"/>
      <c r="AE900" s="5"/>
      <c r="AF900" s="5"/>
      <c r="AG900" s="5"/>
    </row>
    <row r="901" ht="15.75" customHeight="1">
      <c r="K901" t="s">
        <v>1510</v>
      </c>
      <c r="L901" t="str">
        <f>G51</f>
        <v>H1a1a4b</v>
      </c>
      <c r="M901" t="s">
        <v>1509</v>
      </c>
      <c r="N901" t="s">
        <v>1511</v>
      </c>
      <c r="O901">
        <v>1.5722775E7</v>
      </c>
      <c r="P901">
        <v>1.3610895E7</v>
      </c>
      <c r="Q901" t="s">
        <v>419</v>
      </c>
      <c r="R901" s="5"/>
      <c r="S901" s="5"/>
      <c r="T901" s="5"/>
      <c r="U901" s="5"/>
      <c r="V901" s="5"/>
      <c r="W901" s="5"/>
      <c r="X901" s="5"/>
      <c r="Y901" s="5"/>
      <c r="Z901" s="5"/>
      <c r="AA901" s="5"/>
      <c r="AB901" s="5"/>
      <c r="AC901" s="5"/>
      <c r="AD901" s="5"/>
      <c r="AE901" s="5"/>
      <c r="AF901" s="5"/>
      <c r="AG901" s="5"/>
    </row>
    <row r="902" ht="15.75" customHeight="1">
      <c r="K902" t="s">
        <v>1512</v>
      </c>
      <c r="L902" t="str">
        <f>G51</f>
        <v>H1a1a4b</v>
      </c>
      <c r="N902" t="s">
        <v>1513</v>
      </c>
      <c r="O902">
        <v>1.5733505E7</v>
      </c>
      <c r="P902">
        <v>1.3621625E7</v>
      </c>
      <c r="Q902" t="s">
        <v>459</v>
      </c>
      <c r="R902" s="5"/>
      <c r="S902" s="5"/>
      <c r="T902" s="5"/>
      <c r="U902" s="5"/>
      <c r="V902" s="5"/>
      <c r="W902" s="5"/>
      <c r="X902" s="5"/>
      <c r="Y902" s="5"/>
      <c r="Z902" s="5"/>
      <c r="AA902" s="5"/>
      <c r="AB902" s="5"/>
      <c r="AC902" s="5"/>
      <c r="AD902" s="5"/>
      <c r="AE902" s="5"/>
      <c r="AF902" s="5"/>
      <c r="AG902" s="5"/>
    </row>
    <row r="903" ht="15.75" customHeight="1">
      <c r="K903" t="s">
        <v>1514</v>
      </c>
      <c r="L903" t="str">
        <f>G51</f>
        <v>H1a1a4b</v>
      </c>
      <c r="N903" t="s">
        <v>1515</v>
      </c>
      <c r="O903">
        <v>1.5934475E7</v>
      </c>
      <c r="P903">
        <v>1.3822595E7</v>
      </c>
      <c r="Q903" t="s">
        <v>459</v>
      </c>
      <c r="R903" s="5"/>
      <c r="S903" s="5"/>
      <c r="T903" s="5"/>
      <c r="U903" s="5"/>
      <c r="V903" s="5"/>
      <c r="W903" s="5"/>
      <c r="X903" s="5"/>
      <c r="Y903" s="5"/>
      <c r="Z903" s="5"/>
      <c r="AA903" s="5"/>
      <c r="AB903" s="5"/>
      <c r="AC903" s="5"/>
      <c r="AD903" s="5"/>
      <c r="AE903" s="5"/>
      <c r="AF903" s="5"/>
      <c r="AG903" s="5"/>
    </row>
    <row r="904" ht="15.75" customHeight="1">
      <c r="K904" t="s">
        <v>1516</v>
      </c>
      <c r="L904" t="str">
        <f>G51</f>
        <v>H1a1a4b</v>
      </c>
      <c r="N904" t="s">
        <v>1517</v>
      </c>
      <c r="O904">
        <v>1.5940263E7</v>
      </c>
      <c r="P904">
        <v>1.3828383E7</v>
      </c>
      <c r="Q904" t="s">
        <v>476</v>
      </c>
      <c r="R904" s="5"/>
      <c r="S904" s="5"/>
      <c r="T904" s="5"/>
      <c r="U904" s="5"/>
      <c r="V904" s="5"/>
      <c r="W904" s="5"/>
      <c r="X904" s="5"/>
      <c r="Y904" s="5"/>
      <c r="Z904" s="5"/>
      <c r="AA904" s="5"/>
      <c r="AB904" s="5"/>
      <c r="AC904" s="5"/>
      <c r="AD904" s="5"/>
      <c r="AE904" s="5"/>
      <c r="AF904" s="5"/>
      <c r="AG904" s="5"/>
    </row>
    <row r="905" ht="15.75" customHeight="1">
      <c r="K905" t="s">
        <v>1518</v>
      </c>
      <c r="L905" t="str">
        <f>G51</f>
        <v>H1a1a4b</v>
      </c>
      <c r="M905" t="s">
        <v>1519</v>
      </c>
      <c r="N905" t="s">
        <v>1520</v>
      </c>
      <c r="O905">
        <v>1.5965479E7</v>
      </c>
      <c r="P905">
        <v>1.3853599E7</v>
      </c>
      <c r="Q905" t="s">
        <v>431</v>
      </c>
      <c r="R905" s="5"/>
      <c r="S905" s="5"/>
      <c r="T905" s="5"/>
      <c r="U905" s="5"/>
      <c r="V905" s="5"/>
      <c r="W905" s="5"/>
      <c r="X905" s="5"/>
      <c r="Y905" s="5"/>
      <c r="Z905" s="5"/>
      <c r="AA905" s="5"/>
      <c r="AB905" s="5"/>
      <c r="AC905" s="5"/>
      <c r="AD905" s="5"/>
      <c r="AE905" s="5"/>
      <c r="AF905" s="5"/>
      <c r="AG905" s="5"/>
    </row>
    <row r="906" ht="15.75" customHeight="1">
      <c r="K906" t="s">
        <v>1519</v>
      </c>
      <c r="L906" t="str">
        <f>G51</f>
        <v>H1a1a4b</v>
      </c>
      <c r="M906" t="s">
        <v>1518</v>
      </c>
      <c r="N906" t="s">
        <v>1520</v>
      </c>
      <c r="O906">
        <v>1.5965479E7</v>
      </c>
      <c r="P906">
        <v>1.3853599E7</v>
      </c>
      <c r="Q906" t="s">
        <v>431</v>
      </c>
      <c r="R906" s="5"/>
      <c r="S906" s="5"/>
      <c r="T906" s="5"/>
      <c r="U906" s="5"/>
      <c r="V906" s="5"/>
      <c r="W906" s="5"/>
      <c r="X906" s="5"/>
      <c r="Y906" s="5"/>
      <c r="Z906" s="5"/>
      <c r="AA906" s="5"/>
      <c r="AB906" s="5"/>
      <c r="AC906" s="5"/>
      <c r="AD906" s="5"/>
      <c r="AE906" s="5"/>
      <c r="AF906" s="5"/>
      <c r="AG906" s="5"/>
    </row>
    <row r="907" ht="15.75" customHeight="1">
      <c r="K907" t="s">
        <v>1521</v>
      </c>
      <c r="L907" t="str">
        <f>G51</f>
        <v>H1a1a4b</v>
      </c>
      <c r="M907" t="s">
        <v>1522</v>
      </c>
      <c r="N907" t="s">
        <v>1523</v>
      </c>
      <c r="O907">
        <v>1.6407903E7</v>
      </c>
      <c r="P907">
        <v>1.4296023E7</v>
      </c>
      <c r="Q907" t="s">
        <v>419</v>
      </c>
      <c r="R907" s="5"/>
      <c r="S907" s="5"/>
      <c r="T907" s="5"/>
      <c r="U907" s="5"/>
      <c r="V907" s="5"/>
      <c r="W907" s="5"/>
      <c r="X907" s="5"/>
      <c r="Y907" s="5"/>
      <c r="Z907" s="5"/>
      <c r="AA907" s="5"/>
      <c r="AB907" s="5"/>
      <c r="AC907" s="5"/>
      <c r="AD907" s="5"/>
      <c r="AE907" s="5"/>
      <c r="AF907" s="5"/>
      <c r="AG907" s="5"/>
    </row>
    <row r="908" ht="15.75" customHeight="1">
      <c r="K908" t="s">
        <v>1522</v>
      </c>
      <c r="L908" t="str">
        <f>G51</f>
        <v>H1a1a4b</v>
      </c>
      <c r="M908" t="s">
        <v>1521</v>
      </c>
      <c r="N908" t="s">
        <v>1523</v>
      </c>
      <c r="O908">
        <v>1.6407903E7</v>
      </c>
      <c r="P908">
        <v>1.4296023E7</v>
      </c>
      <c r="Q908" t="s">
        <v>419</v>
      </c>
      <c r="R908" s="5"/>
      <c r="S908" s="5"/>
      <c r="T908" s="5"/>
      <c r="U908" s="5"/>
      <c r="V908" s="5"/>
      <c r="W908" s="5"/>
      <c r="X908" s="5"/>
      <c r="Y908" s="5"/>
      <c r="Z908" s="5"/>
      <c r="AA908" s="5"/>
      <c r="AB908" s="5"/>
      <c r="AC908" s="5"/>
      <c r="AD908" s="5"/>
      <c r="AE908" s="5"/>
      <c r="AF908" s="5"/>
      <c r="AG908" s="5"/>
    </row>
    <row r="909" ht="15.75" customHeight="1">
      <c r="K909" t="s">
        <v>1524</v>
      </c>
      <c r="L909" t="str">
        <f>G51</f>
        <v>H1a1a4b</v>
      </c>
      <c r="N909" t="s">
        <v>1525</v>
      </c>
      <c r="O909">
        <v>1.6556621E7</v>
      </c>
      <c r="P909">
        <v>1.4444741E7</v>
      </c>
      <c r="Q909" t="s">
        <v>525</v>
      </c>
      <c r="R909" s="5"/>
      <c r="S909" s="5"/>
      <c r="T909" s="5"/>
      <c r="U909" s="5"/>
      <c r="V909" s="5"/>
      <c r="W909" s="5"/>
      <c r="X909" s="5"/>
      <c r="Y909" s="5"/>
      <c r="Z909" s="5"/>
      <c r="AA909" s="5"/>
      <c r="AB909" s="5"/>
      <c r="AC909" s="5"/>
      <c r="AD909" s="5"/>
      <c r="AE909" s="5"/>
      <c r="AF909" s="5"/>
      <c r="AG909" s="5"/>
    </row>
    <row r="910" ht="15.75" customHeight="1">
      <c r="K910" t="s">
        <v>1526</v>
      </c>
      <c r="L910" t="str">
        <f>G51</f>
        <v>H1a1a4b</v>
      </c>
      <c r="M910" t="s">
        <v>1527</v>
      </c>
      <c r="N910" t="s">
        <v>1528</v>
      </c>
      <c r="O910">
        <v>1.6559404E7</v>
      </c>
      <c r="P910">
        <v>1.4447524E7</v>
      </c>
      <c r="Q910" t="s">
        <v>419</v>
      </c>
      <c r="R910" s="5"/>
      <c r="S910" s="5"/>
      <c r="T910" s="5"/>
      <c r="U910" s="5"/>
      <c r="V910" s="5"/>
      <c r="W910" s="5"/>
      <c r="X910" s="5"/>
      <c r="Y910" s="5"/>
      <c r="Z910" s="5"/>
      <c r="AA910" s="5"/>
      <c r="AB910" s="5"/>
      <c r="AC910" s="5"/>
      <c r="AD910" s="5"/>
      <c r="AE910" s="5"/>
      <c r="AF910" s="5"/>
      <c r="AG910" s="5"/>
    </row>
    <row r="911" ht="15.75" customHeight="1">
      <c r="K911" t="s">
        <v>1527</v>
      </c>
      <c r="L911" t="str">
        <f>G51</f>
        <v>H1a1a4b</v>
      </c>
      <c r="M911" t="s">
        <v>1526</v>
      </c>
      <c r="N911" t="s">
        <v>1528</v>
      </c>
      <c r="O911">
        <v>1.6559404E7</v>
      </c>
      <c r="P911">
        <v>1.4447524E7</v>
      </c>
      <c r="Q911" t="s">
        <v>419</v>
      </c>
      <c r="R911" s="5"/>
      <c r="S911" s="5"/>
      <c r="T911" s="5"/>
      <c r="U911" s="5"/>
      <c r="V911" s="5"/>
      <c r="W911" s="5"/>
      <c r="X911" s="5"/>
      <c r="Y911" s="5"/>
      <c r="Z911" s="5"/>
      <c r="AA911" s="5"/>
      <c r="AB911" s="5"/>
      <c r="AC911" s="5"/>
      <c r="AD911" s="5"/>
      <c r="AE911" s="5"/>
      <c r="AF911" s="5"/>
      <c r="AG911" s="5"/>
    </row>
    <row r="912" ht="15.75" customHeight="1">
      <c r="K912" t="s">
        <v>1529</v>
      </c>
      <c r="L912" t="str">
        <f>G51</f>
        <v>H1a1a4b</v>
      </c>
      <c r="M912" t="s">
        <v>1530</v>
      </c>
      <c r="N912" t="s">
        <v>1531</v>
      </c>
      <c r="O912">
        <v>1.6601004E7</v>
      </c>
      <c r="P912">
        <v>1.4489124E7</v>
      </c>
      <c r="Q912" t="s">
        <v>427</v>
      </c>
      <c r="R912" s="5"/>
      <c r="S912" s="5"/>
      <c r="T912" s="5"/>
      <c r="U912" s="5"/>
      <c r="V912" s="5"/>
      <c r="W912" s="5"/>
      <c r="X912" s="5"/>
      <c r="Y912" s="5"/>
      <c r="Z912" s="5"/>
      <c r="AA912" s="5"/>
      <c r="AB912" s="5"/>
      <c r="AC912" s="5"/>
      <c r="AD912" s="5"/>
      <c r="AE912" s="5"/>
      <c r="AF912" s="5"/>
      <c r="AG912" s="5"/>
    </row>
    <row r="913" ht="15.75" customHeight="1">
      <c r="K913" t="s">
        <v>1530</v>
      </c>
      <c r="L913" t="str">
        <f>G51</f>
        <v>H1a1a4b</v>
      </c>
      <c r="M913" t="s">
        <v>1529</v>
      </c>
      <c r="N913" t="s">
        <v>1531</v>
      </c>
      <c r="O913">
        <v>1.6601004E7</v>
      </c>
      <c r="P913">
        <v>1.4489124E7</v>
      </c>
      <c r="Q913" t="s">
        <v>427</v>
      </c>
      <c r="R913" s="5"/>
      <c r="S913" s="5"/>
      <c r="T913" s="5"/>
      <c r="U913" s="5"/>
      <c r="V913" s="5"/>
      <c r="W913" s="5"/>
      <c r="X913" s="5"/>
      <c r="Y913" s="5"/>
      <c r="Z913" s="5"/>
      <c r="AA913" s="5"/>
      <c r="AB913" s="5"/>
      <c r="AC913" s="5"/>
      <c r="AD913" s="5"/>
      <c r="AE913" s="5"/>
      <c r="AF913" s="5"/>
      <c r="AG913" s="5"/>
    </row>
    <row r="914" ht="15.75" customHeight="1">
      <c r="K914" t="s">
        <v>1532</v>
      </c>
      <c r="L914" t="str">
        <f>G51</f>
        <v>H1a1a4b</v>
      </c>
      <c r="N914" t="s">
        <v>1533</v>
      </c>
      <c r="O914">
        <v>1.6900993E7</v>
      </c>
      <c r="P914">
        <v>1.4789113E7</v>
      </c>
      <c r="Q914" t="s">
        <v>423</v>
      </c>
      <c r="R914" s="5"/>
      <c r="S914" s="5"/>
      <c r="T914" s="5"/>
      <c r="U914" s="5"/>
      <c r="V914" s="5"/>
      <c r="W914" s="5"/>
      <c r="X914" s="5"/>
      <c r="Y914" s="5"/>
      <c r="Z914" s="5"/>
      <c r="AA914" s="5"/>
      <c r="AB914" s="5"/>
      <c r="AC914" s="5"/>
      <c r="AD914" s="5"/>
      <c r="AE914" s="5"/>
      <c r="AF914" s="5"/>
      <c r="AG914" s="5"/>
    </row>
    <row r="915" ht="15.75" customHeight="1">
      <c r="K915" t="s">
        <v>1534</v>
      </c>
      <c r="L915" t="str">
        <f>G51</f>
        <v>H1a1a4b</v>
      </c>
      <c r="N915" t="s">
        <v>1535</v>
      </c>
      <c r="O915">
        <v>1.6956661E7</v>
      </c>
      <c r="P915">
        <v>1.4844781E7</v>
      </c>
      <c r="Q915" t="s">
        <v>431</v>
      </c>
      <c r="R915" s="5"/>
      <c r="S915" s="5"/>
      <c r="T915" s="5"/>
      <c r="U915" s="5"/>
      <c r="V915" s="5"/>
      <c r="W915" s="5"/>
      <c r="X915" s="5"/>
      <c r="Y915" s="5"/>
      <c r="Z915" s="5"/>
      <c r="AA915" s="5"/>
      <c r="AB915" s="5"/>
      <c r="AC915" s="5"/>
      <c r="AD915" s="5"/>
      <c r="AE915" s="5"/>
      <c r="AF915" s="5"/>
      <c r="AG915" s="5"/>
    </row>
    <row r="916" ht="15.75" customHeight="1">
      <c r="K916" t="s">
        <v>1536</v>
      </c>
      <c r="L916" t="str">
        <f>G51</f>
        <v>H1a1a4b</v>
      </c>
      <c r="N916" t="s">
        <v>1537</v>
      </c>
      <c r="O916">
        <v>1.7064679E7</v>
      </c>
      <c r="P916">
        <v>1.4952799E7</v>
      </c>
      <c r="Q916" t="s">
        <v>525</v>
      </c>
      <c r="R916" s="5"/>
      <c r="S916" s="5"/>
      <c r="T916" s="5"/>
      <c r="U916" s="5"/>
      <c r="V916" s="5"/>
      <c r="W916" s="5"/>
      <c r="X916" s="5"/>
      <c r="Y916" s="5"/>
      <c r="Z916" s="5"/>
      <c r="AA916" s="5"/>
      <c r="AB916" s="5"/>
      <c r="AC916" s="5"/>
      <c r="AD916" s="5"/>
      <c r="AE916" s="5"/>
      <c r="AF916" s="5"/>
      <c r="AG916" s="5"/>
    </row>
    <row r="917" ht="15.75" customHeight="1">
      <c r="K917" t="s">
        <v>1538</v>
      </c>
      <c r="L917" t="str">
        <f>G51</f>
        <v>H1a1a4b</v>
      </c>
      <c r="M917" t="s">
        <v>1539</v>
      </c>
      <c r="N917" t="s">
        <v>1540</v>
      </c>
      <c r="O917">
        <v>1.7100096E7</v>
      </c>
      <c r="P917">
        <v>1.4988216E7</v>
      </c>
      <c r="Q917" t="s">
        <v>473</v>
      </c>
      <c r="R917" s="5"/>
      <c r="S917" s="5"/>
      <c r="T917" s="5"/>
      <c r="U917" s="5"/>
      <c r="V917" s="5"/>
      <c r="W917" s="5"/>
      <c r="X917" s="5"/>
      <c r="Y917" s="5"/>
      <c r="Z917" s="5"/>
      <c r="AA917" s="5"/>
      <c r="AB917" s="5"/>
      <c r="AC917" s="5"/>
      <c r="AD917" s="5"/>
      <c r="AE917" s="5"/>
      <c r="AF917" s="5"/>
      <c r="AG917" s="5"/>
    </row>
    <row r="918" ht="15.75" customHeight="1">
      <c r="K918" t="s">
        <v>1539</v>
      </c>
      <c r="L918" t="str">
        <f>G51</f>
        <v>H1a1a4b</v>
      </c>
      <c r="M918" t="s">
        <v>1538</v>
      </c>
      <c r="N918" t="s">
        <v>1540</v>
      </c>
      <c r="O918">
        <v>1.7100096E7</v>
      </c>
      <c r="P918">
        <v>1.4988216E7</v>
      </c>
      <c r="Q918" t="s">
        <v>473</v>
      </c>
      <c r="R918" s="5"/>
      <c r="S918" s="5"/>
      <c r="T918" s="5"/>
      <c r="U918" s="5"/>
      <c r="V918" s="5"/>
      <c r="W918" s="5"/>
      <c r="X918" s="5"/>
      <c r="Y918" s="5"/>
      <c r="Z918" s="5"/>
      <c r="AA918" s="5"/>
      <c r="AB918" s="5"/>
      <c r="AC918" s="5"/>
      <c r="AD918" s="5"/>
      <c r="AE918" s="5"/>
      <c r="AF918" s="5"/>
      <c r="AG918" s="5"/>
    </row>
    <row r="919" ht="15.75" customHeight="1">
      <c r="K919" t="s">
        <v>1541</v>
      </c>
      <c r="L919" t="str">
        <f>G51</f>
        <v>H1a1a4b</v>
      </c>
      <c r="M919" t="s">
        <v>1542</v>
      </c>
      <c r="N919" t="s">
        <v>1543</v>
      </c>
      <c r="O919">
        <v>1.7242063E7</v>
      </c>
      <c r="P919">
        <v>1.5130183E7</v>
      </c>
      <c r="Q919" t="s">
        <v>431</v>
      </c>
      <c r="R919" s="5"/>
      <c r="S919" s="5"/>
      <c r="T919" s="5"/>
      <c r="U919" s="5"/>
      <c r="V919" s="5"/>
      <c r="W919" s="5"/>
      <c r="X919" s="5"/>
      <c r="Y919" s="5"/>
      <c r="Z919" s="5"/>
      <c r="AA919" s="5"/>
      <c r="AB919" s="5"/>
      <c r="AC919" s="5"/>
      <c r="AD919" s="5"/>
      <c r="AE919" s="5"/>
      <c r="AF919" s="5"/>
      <c r="AG919" s="5"/>
    </row>
    <row r="920" ht="15.75" customHeight="1">
      <c r="K920" t="s">
        <v>1542</v>
      </c>
      <c r="L920" t="str">
        <f>G51</f>
        <v>H1a1a4b</v>
      </c>
      <c r="M920" t="s">
        <v>1541</v>
      </c>
      <c r="N920" t="s">
        <v>1543</v>
      </c>
      <c r="O920">
        <v>1.7242063E7</v>
      </c>
      <c r="P920">
        <v>1.5130183E7</v>
      </c>
      <c r="Q920" t="s">
        <v>431</v>
      </c>
      <c r="R920" s="5"/>
      <c r="S920" s="5"/>
      <c r="T920" s="5"/>
      <c r="U920" s="5"/>
      <c r="V920" s="5"/>
      <c r="W920" s="5"/>
      <c r="X920" s="5"/>
      <c r="Y920" s="5"/>
      <c r="Z920" s="5"/>
      <c r="AA920" s="5"/>
      <c r="AB920" s="5"/>
      <c r="AC920" s="5"/>
      <c r="AD920" s="5"/>
      <c r="AE920" s="5"/>
      <c r="AF920" s="5"/>
      <c r="AG920" s="5"/>
    </row>
    <row r="921" ht="15.75" customHeight="1">
      <c r="K921" t="s">
        <v>1544</v>
      </c>
      <c r="L921" t="str">
        <f>G51</f>
        <v>H1a1a4b</v>
      </c>
      <c r="N921" t="s">
        <v>1545</v>
      </c>
      <c r="O921">
        <v>1.7447668E7</v>
      </c>
      <c r="P921">
        <v>1.5335788E7</v>
      </c>
      <c r="Q921" t="s">
        <v>525</v>
      </c>
      <c r="R921" s="5"/>
      <c r="S921" s="5"/>
      <c r="T921" s="5"/>
      <c r="U921" s="5"/>
      <c r="V921" s="5"/>
      <c r="W921" s="5"/>
      <c r="X921" s="5"/>
      <c r="Y921" s="5"/>
      <c r="Z921" s="5"/>
      <c r="AA921" s="5"/>
      <c r="AB921" s="5"/>
      <c r="AC921" s="5"/>
      <c r="AD921" s="5"/>
      <c r="AE921" s="5"/>
      <c r="AF921" s="5"/>
      <c r="AG921" s="5"/>
    </row>
    <row r="922" ht="15.75" customHeight="1">
      <c r="K922" t="s">
        <v>1546</v>
      </c>
      <c r="L922" t="str">
        <f>G51</f>
        <v>H1a1a4b</v>
      </c>
      <c r="M922" t="s">
        <v>1547</v>
      </c>
      <c r="N922" t="s">
        <v>1548</v>
      </c>
      <c r="O922">
        <v>1.7646826E7</v>
      </c>
      <c r="P922">
        <v>1.5534946E7</v>
      </c>
      <c r="Q922" t="s">
        <v>419</v>
      </c>
      <c r="R922" s="5"/>
      <c r="S922" s="5"/>
      <c r="T922" s="5"/>
      <c r="U922" s="5"/>
      <c r="V922" s="5"/>
      <c r="W922" s="5"/>
      <c r="X922" s="5"/>
      <c r="Y922" s="5"/>
      <c r="Z922" s="5"/>
      <c r="AA922" s="5"/>
      <c r="AB922" s="5"/>
      <c r="AC922" s="5"/>
      <c r="AD922" s="5"/>
      <c r="AE922" s="5"/>
      <c r="AF922" s="5"/>
      <c r="AG922" s="5"/>
    </row>
    <row r="923" ht="15.75" customHeight="1">
      <c r="K923" t="s">
        <v>1547</v>
      </c>
      <c r="L923" t="str">
        <f>G51</f>
        <v>H1a1a4b</v>
      </c>
      <c r="M923" t="s">
        <v>1546</v>
      </c>
      <c r="N923" t="s">
        <v>1548</v>
      </c>
      <c r="O923">
        <v>1.7646826E7</v>
      </c>
      <c r="P923">
        <v>1.5534946E7</v>
      </c>
      <c r="Q923" t="s">
        <v>419</v>
      </c>
      <c r="R923" s="5"/>
      <c r="S923" s="5"/>
      <c r="T923" s="5"/>
      <c r="U923" s="5"/>
      <c r="V923" s="5"/>
      <c r="W923" s="5"/>
      <c r="X923" s="5"/>
      <c r="Y923" s="5"/>
      <c r="Z923" s="5"/>
      <c r="AA923" s="5"/>
      <c r="AB923" s="5"/>
      <c r="AC923" s="5"/>
      <c r="AD923" s="5"/>
      <c r="AE923" s="5"/>
      <c r="AF923" s="5"/>
      <c r="AG923" s="5"/>
    </row>
    <row r="924" ht="15.75" customHeight="1">
      <c r="K924" t="s">
        <v>1549</v>
      </c>
      <c r="L924" t="str">
        <f>G51</f>
        <v>H1a1a4b</v>
      </c>
      <c r="M924" t="s">
        <v>1550</v>
      </c>
      <c r="N924" t="s">
        <v>1551</v>
      </c>
      <c r="O924">
        <v>1.7709958E7</v>
      </c>
      <c r="P924">
        <v>1.5598078E7</v>
      </c>
      <c r="Q924" t="s">
        <v>525</v>
      </c>
      <c r="R924" s="5"/>
      <c r="S924" s="5"/>
      <c r="T924" s="5"/>
      <c r="U924" s="5"/>
      <c r="V924" s="5"/>
      <c r="W924" s="5"/>
      <c r="X924" s="5"/>
      <c r="Y924" s="5"/>
      <c r="Z924" s="5"/>
      <c r="AA924" s="5"/>
      <c r="AB924" s="5"/>
      <c r="AC924" s="5"/>
      <c r="AD924" s="5"/>
      <c r="AE924" s="5"/>
      <c r="AF924" s="5"/>
      <c r="AG924" s="5"/>
    </row>
    <row r="925" ht="15.75" customHeight="1">
      <c r="K925" t="s">
        <v>1550</v>
      </c>
      <c r="L925" t="str">
        <f>G51</f>
        <v>H1a1a4b</v>
      </c>
      <c r="M925" t="s">
        <v>1549</v>
      </c>
      <c r="N925" t="s">
        <v>1551</v>
      </c>
      <c r="O925">
        <v>1.7709958E7</v>
      </c>
      <c r="P925">
        <v>1.5598078E7</v>
      </c>
      <c r="Q925" t="s">
        <v>525</v>
      </c>
      <c r="R925" s="5"/>
      <c r="S925" s="5"/>
      <c r="T925" s="5"/>
      <c r="U925" s="5"/>
      <c r="V925" s="5"/>
      <c r="W925" s="5"/>
      <c r="X925" s="5"/>
      <c r="Y925" s="5"/>
      <c r="Z925" s="5"/>
      <c r="AA925" s="5"/>
      <c r="AB925" s="5"/>
      <c r="AC925" s="5"/>
      <c r="AD925" s="5"/>
      <c r="AE925" s="5"/>
      <c r="AF925" s="5"/>
      <c r="AG925" s="5"/>
    </row>
    <row r="926" ht="15.75" customHeight="1">
      <c r="K926" t="s">
        <v>1552</v>
      </c>
      <c r="L926" t="str">
        <f>G51</f>
        <v>H1a1a4b</v>
      </c>
      <c r="N926" t="s">
        <v>1553</v>
      </c>
      <c r="O926">
        <v>1.7775783E7</v>
      </c>
      <c r="P926">
        <v>1.5663903E7</v>
      </c>
      <c r="Q926" t="s">
        <v>431</v>
      </c>
      <c r="R926" s="5"/>
      <c r="S926" s="5"/>
      <c r="T926" s="5"/>
      <c r="U926" s="5"/>
      <c r="V926" s="5"/>
      <c r="W926" s="5"/>
      <c r="X926" s="5"/>
      <c r="Y926" s="5"/>
      <c r="Z926" s="5"/>
      <c r="AA926" s="5"/>
      <c r="AB926" s="5"/>
      <c r="AC926" s="5"/>
      <c r="AD926" s="5"/>
      <c r="AE926" s="5"/>
      <c r="AF926" s="5"/>
      <c r="AG926" s="5"/>
    </row>
    <row r="927" ht="15.75" customHeight="1">
      <c r="K927" t="s">
        <v>1554</v>
      </c>
      <c r="L927" t="str">
        <f>G51</f>
        <v>H1a1a4b</v>
      </c>
      <c r="N927" t="s">
        <v>1555</v>
      </c>
      <c r="O927">
        <v>1.7795505E7</v>
      </c>
      <c r="P927">
        <v>1.5683625E7</v>
      </c>
      <c r="Q927" t="s">
        <v>452</v>
      </c>
      <c r="R927" s="5"/>
      <c r="S927" s="5"/>
      <c r="T927" s="5"/>
      <c r="U927" s="5"/>
      <c r="V927" s="5"/>
      <c r="W927" s="5"/>
      <c r="X927" s="5"/>
      <c r="Y927" s="5"/>
      <c r="Z927" s="5"/>
      <c r="AA927" s="5"/>
      <c r="AB927" s="5"/>
      <c r="AC927" s="5"/>
      <c r="AD927" s="5"/>
      <c r="AE927" s="5"/>
      <c r="AF927" s="5"/>
      <c r="AG927" s="5"/>
    </row>
    <row r="928" ht="15.75" customHeight="1">
      <c r="K928" t="s">
        <v>1556</v>
      </c>
      <c r="L928" t="str">
        <f>G51</f>
        <v>H1a1a4b</v>
      </c>
      <c r="M928" t="s">
        <v>1557</v>
      </c>
      <c r="N928" t="s">
        <v>1558</v>
      </c>
      <c r="O928">
        <v>1.7846704E7</v>
      </c>
      <c r="P928">
        <v>1.5734824E7</v>
      </c>
      <c r="Q928" t="s">
        <v>525</v>
      </c>
      <c r="R928" s="5"/>
      <c r="S928" s="5"/>
      <c r="T928" s="5"/>
      <c r="U928" s="5"/>
      <c r="V928" s="5"/>
      <c r="W928" s="5"/>
      <c r="X928" s="5"/>
      <c r="Y928" s="5"/>
      <c r="Z928" s="5"/>
      <c r="AA928" s="5"/>
      <c r="AB928" s="5"/>
      <c r="AC928" s="5"/>
      <c r="AD928" s="5"/>
      <c r="AE928" s="5"/>
      <c r="AF928" s="5"/>
      <c r="AG928" s="5"/>
    </row>
    <row r="929" ht="15.75" customHeight="1">
      <c r="K929" t="s">
        <v>1557</v>
      </c>
      <c r="L929" t="str">
        <f>G51</f>
        <v>H1a1a4b</v>
      </c>
      <c r="M929" t="s">
        <v>1556</v>
      </c>
      <c r="N929" t="s">
        <v>1558</v>
      </c>
      <c r="O929">
        <v>1.7846704E7</v>
      </c>
      <c r="P929">
        <v>1.5734824E7</v>
      </c>
      <c r="Q929" t="s">
        <v>525</v>
      </c>
      <c r="R929" s="5"/>
      <c r="S929" s="5"/>
      <c r="T929" s="5"/>
      <c r="U929" s="5"/>
      <c r="V929" s="5"/>
      <c r="W929" s="5"/>
      <c r="X929" s="5"/>
      <c r="Y929" s="5"/>
      <c r="Z929" s="5"/>
      <c r="AA929" s="5"/>
      <c r="AB929" s="5"/>
      <c r="AC929" s="5"/>
      <c r="AD929" s="5"/>
      <c r="AE929" s="5"/>
      <c r="AF929" s="5"/>
      <c r="AG929" s="5"/>
    </row>
    <row r="930" ht="15.75" customHeight="1">
      <c r="K930" t="s">
        <v>1559</v>
      </c>
      <c r="L930" t="str">
        <f>G51</f>
        <v>H1a1a4b</v>
      </c>
      <c r="M930" t="s">
        <v>1560</v>
      </c>
      <c r="N930" t="s">
        <v>1561</v>
      </c>
      <c r="O930">
        <v>1.807749E7</v>
      </c>
      <c r="P930">
        <v>1.596561E7</v>
      </c>
      <c r="Q930" t="s">
        <v>476</v>
      </c>
      <c r="R930" s="5"/>
      <c r="S930" s="5"/>
      <c r="T930" s="5"/>
      <c r="U930" s="5"/>
      <c r="V930" s="5"/>
      <c r="W930" s="5"/>
      <c r="X930" s="5"/>
      <c r="Y930" s="5"/>
      <c r="Z930" s="5"/>
      <c r="AA930" s="5"/>
      <c r="AB930" s="5"/>
      <c r="AC930" s="5"/>
      <c r="AD930" s="5"/>
      <c r="AE930" s="5"/>
      <c r="AF930" s="5"/>
      <c r="AG930" s="5"/>
    </row>
    <row r="931" ht="15.75" customHeight="1">
      <c r="K931" t="s">
        <v>1560</v>
      </c>
      <c r="L931" t="str">
        <f>G51</f>
        <v>H1a1a4b</v>
      </c>
      <c r="M931" t="s">
        <v>1559</v>
      </c>
      <c r="N931" t="s">
        <v>1561</v>
      </c>
      <c r="O931">
        <v>1.807749E7</v>
      </c>
      <c r="P931">
        <v>1.596561E7</v>
      </c>
      <c r="Q931" t="s">
        <v>476</v>
      </c>
      <c r="R931" s="5"/>
      <c r="S931" s="5"/>
      <c r="T931" s="5"/>
      <c r="U931" s="5"/>
      <c r="V931" s="5"/>
      <c r="W931" s="5"/>
      <c r="X931" s="5"/>
      <c r="Y931" s="5"/>
      <c r="Z931" s="5"/>
      <c r="AA931" s="5"/>
      <c r="AB931" s="5"/>
      <c r="AC931" s="5"/>
      <c r="AD931" s="5"/>
      <c r="AE931" s="5"/>
      <c r="AF931" s="5"/>
      <c r="AG931" s="5"/>
    </row>
    <row r="932" ht="15.75" customHeight="1">
      <c r="K932" t="s">
        <v>1562</v>
      </c>
      <c r="L932" t="str">
        <f>G51</f>
        <v>H1a1a4b</v>
      </c>
      <c r="M932" t="s">
        <v>1563</v>
      </c>
      <c r="N932" t="s">
        <v>1564</v>
      </c>
      <c r="O932">
        <v>1.8097518E7</v>
      </c>
      <c r="P932">
        <v>1.5985638E7</v>
      </c>
      <c r="Q932" t="s">
        <v>435</v>
      </c>
      <c r="R932" s="5"/>
      <c r="S932" s="5"/>
      <c r="T932" s="5"/>
      <c r="U932" s="5"/>
      <c r="V932" s="5"/>
      <c r="W932" s="5"/>
      <c r="X932" s="5"/>
      <c r="Y932" s="5"/>
      <c r="Z932" s="5"/>
      <c r="AA932" s="5"/>
      <c r="AB932" s="5"/>
      <c r="AC932" s="5"/>
      <c r="AD932" s="5"/>
      <c r="AE932" s="5"/>
      <c r="AF932" s="5"/>
      <c r="AG932" s="5"/>
    </row>
    <row r="933" ht="15.75" customHeight="1">
      <c r="K933" t="s">
        <v>1563</v>
      </c>
      <c r="L933" t="str">
        <f>G51</f>
        <v>H1a1a4b</v>
      </c>
      <c r="M933" t="s">
        <v>1562</v>
      </c>
      <c r="N933" t="s">
        <v>1564</v>
      </c>
      <c r="O933">
        <v>1.8097518E7</v>
      </c>
      <c r="P933">
        <v>1.5985638E7</v>
      </c>
      <c r="Q933" t="s">
        <v>435</v>
      </c>
      <c r="R933" s="5"/>
      <c r="S933" s="5"/>
      <c r="T933" s="5"/>
      <c r="U933" s="5"/>
      <c r="V933" s="5"/>
      <c r="W933" s="5"/>
      <c r="X933" s="5"/>
      <c r="Y933" s="5"/>
      <c r="Z933" s="5"/>
      <c r="AA933" s="5"/>
      <c r="AB933" s="5"/>
      <c r="AC933" s="5"/>
      <c r="AD933" s="5"/>
      <c r="AE933" s="5"/>
      <c r="AF933" s="5"/>
      <c r="AG933" s="5"/>
    </row>
    <row r="934" ht="15.75" customHeight="1">
      <c r="K934" t="s">
        <v>1565</v>
      </c>
      <c r="L934" t="str">
        <f>G51</f>
        <v>H1a1a4b</v>
      </c>
      <c r="N934" t="s">
        <v>1566</v>
      </c>
      <c r="O934">
        <v>1.8135579E7</v>
      </c>
      <c r="P934">
        <v>1.6023699E7</v>
      </c>
      <c r="Q934" t="s">
        <v>459</v>
      </c>
      <c r="R934" s="5"/>
      <c r="S934" s="5"/>
      <c r="T934" s="5"/>
      <c r="U934" s="5"/>
      <c r="V934" s="5"/>
      <c r="W934" s="5"/>
      <c r="X934" s="5"/>
      <c r="Y934" s="5"/>
      <c r="Z934" s="5"/>
      <c r="AA934" s="5"/>
      <c r="AB934" s="5"/>
      <c r="AC934" s="5"/>
      <c r="AD934" s="5"/>
      <c r="AE934" s="5"/>
      <c r="AF934" s="5"/>
      <c r="AG934" s="5"/>
    </row>
    <row r="935" ht="15.75" customHeight="1">
      <c r="K935" t="s">
        <v>1567</v>
      </c>
      <c r="L935" t="str">
        <f>G51</f>
        <v>H1a1a4b</v>
      </c>
      <c r="N935" t="s">
        <v>1568</v>
      </c>
      <c r="O935">
        <v>1.8943562E7</v>
      </c>
      <c r="P935">
        <v>1.6831682E7</v>
      </c>
      <c r="Q935" t="s">
        <v>431</v>
      </c>
      <c r="R935" s="5"/>
      <c r="S935" s="5"/>
      <c r="T935" s="5"/>
      <c r="U935" s="5"/>
      <c r="V935" s="5"/>
      <c r="W935" s="5"/>
      <c r="X935" s="5"/>
      <c r="Y935" s="5"/>
      <c r="Z935" s="5"/>
      <c r="AA935" s="5"/>
      <c r="AB935" s="5"/>
      <c r="AC935" s="5"/>
      <c r="AD935" s="5"/>
      <c r="AE935" s="5"/>
      <c r="AF935" s="5"/>
      <c r="AG935" s="5"/>
    </row>
    <row r="936" ht="15.75" customHeight="1">
      <c r="K936" t="s">
        <v>1569</v>
      </c>
      <c r="L936" t="str">
        <f>G51</f>
        <v>H1a1a4b</v>
      </c>
      <c r="M936" t="s">
        <v>1570</v>
      </c>
      <c r="N936" t="s">
        <v>1571</v>
      </c>
      <c r="O936">
        <v>1.8982181E7</v>
      </c>
      <c r="P936">
        <v>1.6870301E7</v>
      </c>
      <c r="Q936" t="s">
        <v>427</v>
      </c>
      <c r="R936" s="5"/>
      <c r="S936" s="5"/>
      <c r="T936" s="5"/>
      <c r="U936" s="5"/>
      <c r="V936" s="5"/>
      <c r="W936" s="5"/>
      <c r="X936" s="5"/>
      <c r="Y936" s="5"/>
      <c r="Z936" s="5"/>
      <c r="AA936" s="5"/>
      <c r="AB936" s="5"/>
      <c r="AC936" s="5"/>
      <c r="AD936" s="5"/>
      <c r="AE936" s="5"/>
      <c r="AF936" s="5"/>
      <c r="AG936" s="5"/>
    </row>
    <row r="937" ht="15.75" customHeight="1">
      <c r="K937" t="s">
        <v>1570</v>
      </c>
      <c r="L937" t="str">
        <f>G51</f>
        <v>H1a1a4b</v>
      </c>
      <c r="M937" t="s">
        <v>1569</v>
      </c>
      <c r="N937" t="s">
        <v>1571</v>
      </c>
      <c r="O937">
        <v>1.8982181E7</v>
      </c>
      <c r="P937">
        <v>1.6870301E7</v>
      </c>
      <c r="Q937" t="s">
        <v>427</v>
      </c>
      <c r="R937" s="5"/>
      <c r="S937" s="5"/>
      <c r="T937" s="5"/>
      <c r="U937" s="5"/>
      <c r="V937" s="5"/>
      <c r="W937" s="5"/>
      <c r="X937" s="5"/>
      <c r="Y937" s="5"/>
      <c r="Z937" s="5"/>
      <c r="AA937" s="5"/>
      <c r="AB937" s="5"/>
      <c r="AC937" s="5"/>
      <c r="AD937" s="5"/>
      <c r="AE937" s="5"/>
      <c r="AF937" s="5"/>
      <c r="AG937" s="5"/>
    </row>
    <row r="938" ht="15.75" customHeight="1">
      <c r="K938" t="s">
        <v>1572</v>
      </c>
      <c r="L938" t="str">
        <f>G51</f>
        <v>H1a1a4b</v>
      </c>
      <c r="M938" t="s">
        <v>1573</v>
      </c>
      <c r="N938" t="s">
        <v>1574</v>
      </c>
      <c r="O938">
        <v>1.9217984E7</v>
      </c>
      <c r="P938">
        <v>1.7106104E7</v>
      </c>
      <c r="Q938" t="s">
        <v>423</v>
      </c>
      <c r="R938" s="5"/>
      <c r="S938" s="5"/>
      <c r="T938" s="5"/>
      <c r="U938" s="5"/>
      <c r="V938" s="5"/>
      <c r="W938" s="5"/>
      <c r="X938" s="5"/>
      <c r="Y938" s="5"/>
      <c r="Z938" s="5"/>
      <c r="AA938" s="5"/>
      <c r="AB938" s="5"/>
      <c r="AC938" s="5"/>
      <c r="AD938" s="5"/>
      <c r="AE938" s="5"/>
      <c r="AF938" s="5"/>
      <c r="AG938" s="5"/>
    </row>
    <row r="939" ht="15.75" customHeight="1">
      <c r="K939" t="s">
        <v>1573</v>
      </c>
      <c r="L939" t="str">
        <f>G51</f>
        <v>H1a1a4b</v>
      </c>
      <c r="M939" t="s">
        <v>1572</v>
      </c>
      <c r="N939" t="s">
        <v>1574</v>
      </c>
      <c r="O939">
        <v>1.9217984E7</v>
      </c>
      <c r="P939">
        <v>1.7106104E7</v>
      </c>
      <c r="Q939" t="s">
        <v>423</v>
      </c>
      <c r="R939" s="5"/>
      <c r="S939" s="5"/>
      <c r="T939" s="5"/>
      <c r="U939" s="5"/>
      <c r="V939" s="5"/>
      <c r="W939" s="5"/>
      <c r="X939" s="5"/>
      <c r="Y939" s="5"/>
      <c r="Z939" s="5"/>
      <c r="AA939" s="5"/>
      <c r="AB939" s="5"/>
      <c r="AC939" s="5"/>
      <c r="AD939" s="5"/>
      <c r="AE939" s="5"/>
      <c r="AF939" s="5"/>
      <c r="AG939" s="5"/>
    </row>
    <row r="940" ht="15.75" customHeight="1">
      <c r="K940" t="s">
        <v>1575</v>
      </c>
      <c r="L940" t="str">
        <f>G51</f>
        <v>H1a1a4b</v>
      </c>
      <c r="M940" t="s">
        <v>1576</v>
      </c>
      <c r="N940" t="s">
        <v>1577</v>
      </c>
      <c r="O940">
        <v>2.1125953E7</v>
      </c>
      <c r="P940">
        <v>1.8964067E7</v>
      </c>
      <c r="Q940" t="s">
        <v>476</v>
      </c>
      <c r="R940" s="5"/>
      <c r="S940" s="5"/>
      <c r="T940" s="5"/>
      <c r="U940" s="5"/>
      <c r="V940" s="5"/>
      <c r="W940" s="5"/>
      <c r="X940" s="5"/>
      <c r="Y940" s="5"/>
      <c r="Z940" s="5"/>
      <c r="AA940" s="5"/>
      <c r="AB940" s="5"/>
      <c r="AC940" s="5"/>
      <c r="AD940" s="5"/>
      <c r="AE940" s="5"/>
      <c r="AF940" s="5"/>
      <c r="AG940" s="5"/>
    </row>
    <row r="941" ht="15.75" customHeight="1">
      <c r="K941" t="s">
        <v>1576</v>
      </c>
      <c r="L941" t="str">
        <f>G51</f>
        <v>H1a1a4b</v>
      </c>
      <c r="M941" t="s">
        <v>1575</v>
      </c>
      <c r="N941" t="s">
        <v>1577</v>
      </c>
      <c r="O941">
        <v>2.1125953E7</v>
      </c>
      <c r="P941">
        <v>1.8964067E7</v>
      </c>
      <c r="Q941" t="s">
        <v>476</v>
      </c>
      <c r="R941" s="5"/>
      <c r="S941" s="5"/>
      <c r="T941" s="5"/>
      <c r="U941" s="5"/>
      <c r="V941" s="5"/>
      <c r="W941" s="5"/>
      <c r="X941" s="5"/>
      <c r="Y941" s="5"/>
      <c r="Z941" s="5"/>
      <c r="AA941" s="5"/>
      <c r="AB941" s="5"/>
      <c r="AC941" s="5"/>
      <c r="AD941" s="5"/>
      <c r="AE941" s="5"/>
      <c r="AF941" s="5"/>
      <c r="AG941" s="5"/>
    </row>
    <row r="942" ht="15.75" customHeight="1">
      <c r="K942" t="s">
        <v>1578</v>
      </c>
      <c r="L942" t="str">
        <f>G51</f>
        <v>H1a1a4b</v>
      </c>
      <c r="M942" t="s">
        <v>1579</v>
      </c>
      <c r="N942" t="s">
        <v>1580</v>
      </c>
      <c r="O942">
        <v>2.133423E7</v>
      </c>
      <c r="P942">
        <v>1.9172344E7</v>
      </c>
      <c r="Q942" t="s">
        <v>525</v>
      </c>
      <c r="R942" s="5"/>
      <c r="S942" s="5"/>
      <c r="T942" s="5"/>
      <c r="U942" s="5"/>
      <c r="V942" s="5"/>
      <c r="W942" s="5"/>
      <c r="X942" s="5"/>
      <c r="Y942" s="5"/>
      <c r="Z942" s="5"/>
      <c r="AA942" s="5"/>
      <c r="AB942" s="5"/>
      <c r="AC942" s="5"/>
      <c r="AD942" s="5"/>
      <c r="AE942" s="5"/>
      <c r="AF942" s="5"/>
      <c r="AG942" s="5"/>
    </row>
    <row r="943" ht="15.75" customHeight="1">
      <c r="K943" t="s">
        <v>1579</v>
      </c>
      <c r="L943" t="str">
        <f>G51</f>
        <v>H1a1a4b</v>
      </c>
      <c r="M943" t="s">
        <v>1578</v>
      </c>
      <c r="N943" t="s">
        <v>1580</v>
      </c>
      <c r="O943">
        <v>2.133423E7</v>
      </c>
      <c r="P943">
        <v>1.9172344E7</v>
      </c>
      <c r="Q943" t="s">
        <v>525</v>
      </c>
      <c r="R943" s="5"/>
      <c r="S943" s="5"/>
      <c r="T943" s="5"/>
      <c r="U943" s="5"/>
      <c r="V943" s="5"/>
      <c r="W943" s="5"/>
      <c r="X943" s="5"/>
      <c r="Y943" s="5"/>
      <c r="Z943" s="5"/>
      <c r="AA943" s="5"/>
      <c r="AB943" s="5"/>
      <c r="AC943" s="5"/>
      <c r="AD943" s="5"/>
      <c r="AE943" s="5"/>
      <c r="AF943" s="5"/>
      <c r="AG943" s="5"/>
    </row>
    <row r="944" ht="15.75" customHeight="1">
      <c r="K944" t="s">
        <v>1581</v>
      </c>
      <c r="L944" t="str">
        <f>G51</f>
        <v>H1a1a4b</v>
      </c>
      <c r="M944" t="s">
        <v>1582</v>
      </c>
      <c r="N944" t="s">
        <v>1583</v>
      </c>
      <c r="O944">
        <v>2.1388368E7</v>
      </c>
      <c r="P944">
        <v>1.9226482E7</v>
      </c>
      <c r="Q944" t="s">
        <v>423</v>
      </c>
      <c r="R944" s="5"/>
      <c r="S944" s="5"/>
      <c r="T944" s="5"/>
      <c r="U944" s="5"/>
      <c r="V944" s="5"/>
      <c r="W944" s="5"/>
      <c r="X944" s="5"/>
      <c r="Y944" s="5"/>
      <c r="Z944" s="5"/>
      <c r="AA944" s="5"/>
      <c r="AB944" s="5"/>
      <c r="AC944" s="5"/>
      <c r="AD944" s="5"/>
      <c r="AE944" s="5"/>
      <c r="AF944" s="5"/>
      <c r="AG944" s="5"/>
    </row>
    <row r="945" ht="15.75" customHeight="1">
      <c r="K945" t="s">
        <v>1582</v>
      </c>
      <c r="L945" t="str">
        <f>G51</f>
        <v>H1a1a4b</v>
      </c>
      <c r="M945" t="s">
        <v>1581</v>
      </c>
      <c r="N945" t="s">
        <v>1583</v>
      </c>
      <c r="O945">
        <v>2.1388368E7</v>
      </c>
      <c r="P945">
        <v>1.9226482E7</v>
      </c>
      <c r="Q945" t="s">
        <v>423</v>
      </c>
      <c r="R945" s="5"/>
      <c r="S945" s="5"/>
      <c r="T945" s="5"/>
      <c r="U945" s="5"/>
      <c r="V945" s="5"/>
      <c r="W945" s="5"/>
      <c r="X945" s="5"/>
      <c r="Y945" s="5"/>
      <c r="Z945" s="5"/>
      <c r="AA945" s="5"/>
      <c r="AB945" s="5"/>
      <c r="AC945" s="5"/>
      <c r="AD945" s="5"/>
      <c r="AE945" s="5"/>
      <c r="AF945" s="5"/>
      <c r="AG945" s="5"/>
    </row>
    <row r="946" ht="15.75" customHeight="1">
      <c r="K946" t="s">
        <v>1584</v>
      </c>
      <c r="L946" t="str">
        <f>G51</f>
        <v>H1a1a4b</v>
      </c>
      <c r="M946" t="s">
        <v>1585</v>
      </c>
      <c r="N946" t="s">
        <v>1586</v>
      </c>
      <c r="O946">
        <v>2.1464412E7</v>
      </c>
      <c r="P946">
        <v>1.9302526E7</v>
      </c>
      <c r="Q946" t="s">
        <v>423</v>
      </c>
      <c r="R946" s="5"/>
      <c r="S946" s="5"/>
      <c r="T946" s="5"/>
      <c r="U946" s="5"/>
      <c r="V946" s="5"/>
      <c r="W946" s="5"/>
      <c r="X946" s="5"/>
      <c r="Y946" s="5"/>
      <c r="Z946" s="5"/>
      <c r="AA946" s="5"/>
      <c r="AB946" s="5"/>
      <c r="AC946" s="5"/>
      <c r="AD946" s="5"/>
      <c r="AE946" s="5"/>
      <c r="AF946" s="5"/>
      <c r="AG946" s="5"/>
    </row>
    <row r="947" ht="15.75" customHeight="1">
      <c r="K947" t="s">
        <v>1585</v>
      </c>
      <c r="L947" t="str">
        <f>G51</f>
        <v>H1a1a4b</v>
      </c>
      <c r="M947" t="s">
        <v>1584</v>
      </c>
      <c r="N947" t="s">
        <v>1586</v>
      </c>
      <c r="O947">
        <v>2.1464412E7</v>
      </c>
      <c r="P947">
        <v>1.9302526E7</v>
      </c>
      <c r="Q947" t="s">
        <v>423</v>
      </c>
      <c r="R947" s="5"/>
      <c r="S947" s="5"/>
      <c r="T947" s="5"/>
      <c r="U947" s="5"/>
      <c r="V947" s="5"/>
      <c r="W947" s="5"/>
      <c r="X947" s="5"/>
      <c r="Y947" s="5"/>
      <c r="Z947" s="5"/>
      <c r="AA947" s="5"/>
      <c r="AB947" s="5"/>
      <c r="AC947" s="5"/>
      <c r="AD947" s="5"/>
      <c r="AE947" s="5"/>
      <c r="AF947" s="5"/>
      <c r="AG947" s="5"/>
    </row>
    <row r="948" ht="15.75" customHeight="1">
      <c r="K948" t="s">
        <v>1587</v>
      </c>
      <c r="L948" t="str">
        <f>G51</f>
        <v>H1a1a4b</v>
      </c>
      <c r="N948" t="s">
        <v>1588</v>
      </c>
      <c r="O948">
        <v>2.1475462E7</v>
      </c>
      <c r="P948">
        <v>1.9313576E7</v>
      </c>
      <c r="Q948" t="s">
        <v>431</v>
      </c>
      <c r="R948" s="5"/>
      <c r="S948" s="5"/>
      <c r="T948" s="5"/>
      <c r="U948" s="5"/>
      <c r="V948" s="5"/>
      <c r="W948" s="5"/>
      <c r="X948" s="5"/>
      <c r="Y948" s="5"/>
      <c r="Z948" s="5"/>
      <c r="AA948" s="5"/>
      <c r="AB948" s="5"/>
      <c r="AC948" s="5"/>
      <c r="AD948" s="5"/>
      <c r="AE948" s="5"/>
      <c r="AF948" s="5"/>
      <c r="AG948" s="5"/>
    </row>
    <row r="949" ht="15.75" customHeight="1">
      <c r="K949" t="s">
        <v>1589</v>
      </c>
      <c r="L949" t="str">
        <f>G51</f>
        <v>H1a1a4b</v>
      </c>
      <c r="N949" t="s">
        <v>1590</v>
      </c>
      <c r="O949">
        <v>2.1516489E7</v>
      </c>
      <c r="P949">
        <v>1.9354603E7</v>
      </c>
      <c r="Q949" t="s">
        <v>419</v>
      </c>
      <c r="R949" s="5"/>
      <c r="S949" s="5"/>
      <c r="T949" s="5"/>
      <c r="U949" s="5"/>
      <c r="V949" s="5"/>
      <c r="W949" s="5"/>
      <c r="X949" s="5"/>
      <c r="Y949" s="5"/>
      <c r="Z949" s="5"/>
      <c r="AA949" s="5"/>
      <c r="AB949" s="5"/>
      <c r="AC949" s="5"/>
      <c r="AD949" s="5"/>
      <c r="AE949" s="5"/>
      <c r="AF949" s="5"/>
      <c r="AG949" s="5"/>
    </row>
    <row r="950" ht="15.75" customHeight="1">
      <c r="K950" t="s">
        <v>1591</v>
      </c>
      <c r="L950" t="str">
        <f>G51</f>
        <v>H1a1a4b</v>
      </c>
      <c r="M950" t="s">
        <v>1592</v>
      </c>
      <c r="N950" t="s">
        <v>1593</v>
      </c>
      <c r="O950">
        <v>2.1827865E7</v>
      </c>
      <c r="P950">
        <v>1.9665979E7</v>
      </c>
      <c r="Q950" t="s">
        <v>431</v>
      </c>
      <c r="R950" s="5"/>
      <c r="S950" s="5"/>
      <c r="T950" s="5"/>
      <c r="U950" s="5"/>
      <c r="V950" s="5"/>
      <c r="W950" s="5"/>
      <c r="X950" s="5"/>
      <c r="Y950" s="5"/>
      <c r="Z950" s="5"/>
      <c r="AA950" s="5"/>
      <c r="AB950" s="5"/>
      <c r="AC950" s="5"/>
      <c r="AD950" s="5"/>
      <c r="AE950" s="5"/>
      <c r="AF950" s="5"/>
      <c r="AG950" s="5"/>
    </row>
    <row r="951" ht="15.75" customHeight="1">
      <c r="K951" t="s">
        <v>1592</v>
      </c>
      <c r="L951" t="str">
        <f>G51</f>
        <v>H1a1a4b</v>
      </c>
      <c r="M951" t="s">
        <v>1591</v>
      </c>
      <c r="N951" t="s">
        <v>1593</v>
      </c>
      <c r="O951">
        <v>2.1827865E7</v>
      </c>
      <c r="P951">
        <v>1.9665979E7</v>
      </c>
      <c r="Q951" t="s">
        <v>431</v>
      </c>
      <c r="R951" s="5"/>
      <c r="S951" s="5"/>
      <c r="T951" s="5"/>
      <c r="U951" s="5"/>
      <c r="V951" s="5"/>
      <c r="W951" s="5"/>
      <c r="X951" s="5"/>
      <c r="Y951" s="5"/>
      <c r="Z951" s="5"/>
      <c r="AA951" s="5"/>
      <c r="AB951" s="5"/>
      <c r="AC951" s="5"/>
      <c r="AD951" s="5"/>
      <c r="AE951" s="5"/>
      <c r="AF951" s="5"/>
      <c r="AG951" s="5"/>
    </row>
    <row r="952" ht="15.75" customHeight="1">
      <c r="K952" t="s">
        <v>1594</v>
      </c>
      <c r="L952" t="str">
        <f>G51</f>
        <v>H1a1a4b</v>
      </c>
      <c r="M952" t="s">
        <v>1595</v>
      </c>
      <c r="N952" t="s">
        <v>1596</v>
      </c>
      <c r="O952">
        <v>2.1844401E7</v>
      </c>
      <c r="P952">
        <v>1.9682515E7</v>
      </c>
      <c r="Q952" t="s">
        <v>419</v>
      </c>
      <c r="R952" s="5"/>
      <c r="S952" s="5"/>
      <c r="T952" s="5"/>
      <c r="U952" s="5"/>
      <c r="V952" s="5"/>
      <c r="W952" s="5"/>
      <c r="X952" s="5"/>
      <c r="Y952" s="5"/>
      <c r="Z952" s="5"/>
      <c r="AA952" s="5"/>
      <c r="AB952" s="5"/>
      <c r="AC952" s="5"/>
      <c r="AD952" s="5"/>
      <c r="AE952" s="5"/>
      <c r="AF952" s="5"/>
      <c r="AG952" s="5"/>
    </row>
    <row r="953" ht="15.75" customHeight="1">
      <c r="K953" t="s">
        <v>1595</v>
      </c>
      <c r="L953" t="str">
        <f>G51</f>
        <v>H1a1a4b</v>
      </c>
      <c r="M953" t="s">
        <v>1594</v>
      </c>
      <c r="N953" t="s">
        <v>1596</v>
      </c>
      <c r="O953">
        <v>2.1844401E7</v>
      </c>
      <c r="P953">
        <v>1.9682515E7</v>
      </c>
      <c r="Q953" t="s">
        <v>419</v>
      </c>
      <c r="R953" s="5"/>
      <c r="S953" s="5"/>
      <c r="T953" s="5"/>
      <c r="U953" s="5"/>
      <c r="V953" s="5"/>
      <c r="W953" s="5"/>
      <c r="X953" s="5"/>
      <c r="Y953" s="5"/>
      <c r="Z953" s="5"/>
      <c r="AA953" s="5"/>
      <c r="AB953" s="5"/>
      <c r="AC953" s="5"/>
      <c r="AD953" s="5"/>
      <c r="AE953" s="5"/>
      <c r="AF953" s="5"/>
      <c r="AG953" s="5"/>
    </row>
    <row r="954" ht="15.75" customHeight="1">
      <c r="K954" t="s">
        <v>1597</v>
      </c>
      <c r="L954" t="str">
        <f>G51</f>
        <v>H1a1a4b</v>
      </c>
      <c r="M954" t="s">
        <v>1598</v>
      </c>
      <c r="N954" t="s">
        <v>1599</v>
      </c>
      <c r="O954">
        <v>2.191257E7</v>
      </c>
      <c r="P954">
        <v>1.9750684E7</v>
      </c>
      <c r="Q954" t="s">
        <v>423</v>
      </c>
      <c r="R954" s="5"/>
      <c r="S954" s="5"/>
      <c r="T954" s="5"/>
      <c r="U954" s="5"/>
      <c r="V954" s="5"/>
      <c r="W954" s="5"/>
      <c r="X954" s="5"/>
      <c r="Y954" s="5"/>
      <c r="Z954" s="5"/>
      <c r="AA954" s="5"/>
      <c r="AB954" s="5"/>
      <c r="AC954" s="5"/>
      <c r="AD954" s="5"/>
      <c r="AE954" s="5"/>
      <c r="AF954" s="5"/>
      <c r="AG954" s="5"/>
    </row>
    <row r="955" ht="15.75" customHeight="1">
      <c r="K955" t="s">
        <v>1598</v>
      </c>
      <c r="L955" t="str">
        <f>G51</f>
        <v>H1a1a4b</v>
      </c>
      <c r="M955" t="s">
        <v>1597</v>
      </c>
      <c r="N955" t="s">
        <v>1599</v>
      </c>
      <c r="O955">
        <v>2.191257E7</v>
      </c>
      <c r="P955">
        <v>1.9750684E7</v>
      </c>
      <c r="Q955" t="s">
        <v>423</v>
      </c>
      <c r="R955" s="5"/>
      <c r="S955" s="5"/>
      <c r="T955" s="5"/>
      <c r="U955" s="5"/>
      <c r="V955" s="5"/>
      <c r="W955" s="5"/>
      <c r="X955" s="5"/>
      <c r="Y955" s="5"/>
      <c r="Z955" s="5"/>
      <c r="AA955" s="5"/>
      <c r="AB955" s="5"/>
      <c r="AC955" s="5"/>
      <c r="AD955" s="5"/>
      <c r="AE955" s="5"/>
      <c r="AF955" s="5"/>
      <c r="AG955" s="5"/>
    </row>
    <row r="956" ht="15.75" customHeight="1">
      <c r="K956" t="s">
        <v>1600</v>
      </c>
      <c r="L956" t="str">
        <f>G51</f>
        <v>H1a1a4b</v>
      </c>
      <c r="M956" t="s">
        <v>1601</v>
      </c>
      <c r="N956" t="s">
        <v>1602</v>
      </c>
      <c r="O956">
        <v>2.1967301E7</v>
      </c>
      <c r="P956">
        <v>1.9805415E7</v>
      </c>
      <c r="Q956" t="s">
        <v>431</v>
      </c>
      <c r="R956" s="5"/>
      <c r="S956" s="5"/>
      <c r="T956" s="5"/>
      <c r="U956" s="5"/>
      <c r="V956" s="5"/>
      <c r="W956" s="5"/>
      <c r="X956" s="5"/>
      <c r="Y956" s="5"/>
      <c r="Z956" s="5"/>
      <c r="AA956" s="5"/>
      <c r="AB956" s="5"/>
      <c r="AC956" s="5"/>
      <c r="AD956" s="5"/>
      <c r="AE956" s="5"/>
      <c r="AF956" s="5"/>
      <c r="AG956" s="5"/>
    </row>
    <row r="957" ht="15.75" customHeight="1">
      <c r="K957" t="s">
        <v>1601</v>
      </c>
      <c r="L957" t="str">
        <f>G51</f>
        <v>H1a1a4b</v>
      </c>
      <c r="M957" t="s">
        <v>1600</v>
      </c>
      <c r="N957" t="s">
        <v>1602</v>
      </c>
      <c r="O957">
        <v>2.1967301E7</v>
      </c>
      <c r="P957">
        <v>1.9805415E7</v>
      </c>
      <c r="Q957" t="s">
        <v>431</v>
      </c>
      <c r="R957" s="5"/>
      <c r="S957" s="5"/>
      <c r="T957" s="5"/>
      <c r="U957" s="5"/>
      <c r="V957" s="5"/>
      <c r="W957" s="5"/>
      <c r="X957" s="5"/>
      <c r="Y957" s="5"/>
      <c r="Z957" s="5"/>
      <c r="AA957" s="5"/>
      <c r="AB957" s="5"/>
      <c r="AC957" s="5"/>
      <c r="AD957" s="5"/>
      <c r="AE957" s="5"/>
      <c r="AF957" s="5"/>
      <c r="AG957" s="5"/>
    </row>
    <row r="958" ht="15.75" customHeight="1">
      <c r="K958" t="s">
        <v>1603</v>
      </c>
      <c r="L958" t="str">
        <f>G51</f>
        <v>H1a1a4b</v>
      </c>
      <c r="M958" t="s">
        <v>1604</v>
      </c>
      <c r="N958" t="s">
        <v>1605</v>
      </c>
      <c r="O958">
        <v>2.2167049E7</v>
      </c>
      <c r="P958">
        <v>2.0005163E7</v>
      </c>
      <c r="Q958" t="s">
        <v>427</v>
      </c>
      <c r="R958" s="5"/>
      <c r="S958" s="5"/>
      <c r="T958" s="5"/>
      <c r="U958" s="5"/>
      <c r="V958" s="5"/>
      <c r="W958" s="5"/>
      <c r="X958" s="5"/>
      <c r="Y958" s="5"/>
      <c r="Z958" s="5"/>
      <c r="AA958" s="5"/>
      <c r="AB958" s="5"/>
      <c r="AC958" s="5"/>
      <c r="AD958" s="5"/>
      <c r="AE958" s="5"/>
      <c r="AF958" s="5"/>
      <c r="AG958" s="5"/>
    </row>
    <row r="959" ht="15.75" customHeight="1">
      <c r="K959" t="s">
        <v>1604</v>
      </c>
      <c r="L959" t="str">
        <f>G51</f>
        <v>H1a1a4b</v>
      </c>
      <c r="M959" t="s">
        <v>1603</v>
      </c>
      <c r="N959" t="s">
        <v>1605</v>
      </c>
      <c r="O959">
        <v>2.2167049E7</v>
      </c>
      <c r="P959">
        <v>2.0005163E7</v>
      </c>
      <c r="Q959" t="s">
        <v>427</v>
      </c>
      <c r="R959" s="5"/>
      <c r="S959" s="5"/>
      <c r="T959" s="5"/>
      <c r="U959" s="5"/>
      <c r="V959" s="5"/>
      <c r="W959" s="5"/>
      <c r="X959" s="5"/>
      <c r="Y959" s="5"/>
      <c r="Z959" s="5"/>
      <c r="AA959" s="5"/>
      <c r="AB959" s="5"/>
      <c r="AC959" s="5"/>
      <c r="AD959" s="5"/>
      <c r="AE959" s="5"/>
      <c r="AF959" s="5"/>
      <c r="AG959" s="5"/>
    </row>
    <row r="960" ht="15.75" customHeight="1">
      <c r="K960" t="s">
        <v>1606</v>
      </c>
      <c r="L960" t="str">
        <f>G51</f>
        <v>H1a1a4b</v>
      </c>
      <c r="N960" t="s">
        <v>1607</v>
      </c>
      <c r="O960">
        <v>2.258722E7</v>
      </c>
      <c r="P960">
        <v>2.0425334E7</v>
      </c>
      <c r="Q960" t="s">
        <v>473</v>
      </c>
      <c r="R960" s="5"/>
      <c r="S960" s="5"/>
      <c r="T960" s="5"/>
      <c r="U960" s="5"/>
      <c r="V960" s="5"/>
      <c r="W960" s="5"/>
      <c r="X960" s="5"/>
      <c r="Y960" s="5"/>
      <c r="Z960" s="5"/>
      <c r="AA960" s="5"/>
      <c r="AB960" s="5"/>
      <c r="AC960" s="5"/>
      <c r="AD960" s="5"/>
      <c r="AE960" s="5"/>
      <c r="AF960" s="5"/>
      <c r="AG960" s="5"/>
    </row>
    <row r="961" ht="15.75" customHeight="1">
      <c r="K961" t="s">
        <v>1608</v>
      </c>
      <c r="L961" t="str">
        <f>G51</f>
        <v>H1a1a4b</v>
      </c>
      <c r="M961" t="s">
        <v>1609</v>
      </c>
      <c r="N961" t="s">
        <v>1610</v>
      </c>
      <c r="O961">
        <v>2.2588305E7</v>
      </c>
      <c r="P961">
        <v>2.0426419E7</v>
      </c>
      <c r="Q961" t="s">
        <v>419</v>
      </c>
      <c r="R961" s="5"/>
      <c r="S961" s="5"/>
      <c r="T961" s="5"/>
      <c r="U961" s="5"/>
      <c r="V961" s="5"/>
      <c r="W961" s="5"/>
      <c r="X961" s="5"/>
      <c r="Y961" s="5"/>
      <c r="Z961" s="5"/>
      <c r="AA961" s="5"/>
      <c r="AB961" s="5"/>
      <c r="AC961" s="5"/>
      <c r="AD961" s="5"/>
      <c r="AE961" s="5"/>
      <c r="AF961" s="5"/>
      <c r="AG961" s="5"/>
    </row>
    <row r="962" ht="15.75" customHeight="1">
      <c r="K962" t="s">
        <v>1609</v>
      </c>
      <c r="L962" t="str">
        <f>G51</f>
        <v>H1a1a4b</v>
      </c>
      <c r="M962" t="s">
        <v>1608</v>
      </c>
      <c r="N962" t="s">
        <v>1610</v>
      </c>
      <c r="O962">
        <v>2.2588305E7</v>
      </c>
      <c r="P962">
        <v>2.0426419E7</v>
      </c>
      <c r="Q962" t="s">
        <v>419</v>
      </c>
      <c r="R962" s="5"/>
      <c r="S962" s="5"/>
      <c r="T962" s="5"/>
      <c r="U962" s="5"/>
      <c r="V962" s="5"/>
      <c r="W962" s="5"/>
      <c r="X962" s="5"/>
      <c r="Y962" s="5"/>
      <c r="Z962" s="5"/>
      <c r="AA962" s="5"/>
      <c r="AB962" s="5"/>
      <c r="AC962" s="5"/>
      <c r="AD962" s="5"/>
      <c r="AE962" s="5"/>
      <c r="AF962" s="5"/>
      <c r="AG962" s="5"/>
    </row>
    <row r="963" ht="15.75" customHeight="1">
      <c r="K963" t="s">
        <v>1611</v>
      </c>
      <c r="L963" t="str">
        <f>G51</f>
        <v>H1a1a4b</v>
      </c>
      <c r="M963" t="s">
        <v>1612</v>
      </c>
      <c r="N963" t="s">
        <v>1613</v>
      </c>
      <c r="O963">
        <v>2.3315541E7</v>
      </c>
      <c r="P963">
        <v>2.1153655E7</v>
      </c>
      <c r="Q963" t="s">
        <v>431</v>
      </c>
      <c r="R963" s="5"/>
      <c r="S963" s="5"/>
      <c r="T963" s="5"/>
      <c r="U963" s="5"/>
      <c r="V963" s="5"/>
      <c r="W963" s="5"/>
      <c r="X963" s="5"/>
      <c r="Y963" s="5"/>
      <c r="Z963" s="5"/>
      <c r="AA963" s="5"/>
      <c r="AB963" s="5"/>
      <c r="AC963" s="5"/>
      <c r="AD963" s="5"/>
      <c r="AE963" s="5"/>
      <c r="AF963" s="5"/>
      <c r="AG963" s="5"/>
    </row>
    <row r="964" ht="15.75" customHeight="1">
      <c r="K964" t="s">
        <v>1612</v>
      </c>
      <c r="L964" t="str">
        <f>G51</f>
        <v>H1a1a4b</v>
      </c>
      <c r="M964" t="s">
        <v>1611</v>
      </c>
      <c r="N964" t="s">
        <v>1613</v>
      </c>
      <c r="O964">
        <v>2.3315541E7</v>
      </c>
      <c r="P964">
        <v>2.1153655E7</v>
      </c>
      <c r="Q964" t="s">
        <v>431</v>
      </c>
      <c r="R964" s="5"/>
      <c r="S964" s="5"/>
      <c r="T964" s="5"/>
      <c r="U964" s="5"/>
      <c r="V964" s="5"/>
      <c r="W964" s="5"/>
      <c r="X964" s="5"/>
      <c r="Y964" s="5"/>
      <c r="Z964" s="5"/>
      <c r="AA964" s="5"/>
      <c r="AB964" s="5"/>
      <c r="AC964" s="5"/>
      <c r="AD964" s="5"/>
      <c r="AE964" s="5"/>
      <c r="AF964" s="5"/>
      <c r="AG964" s="5"/>
    </row>
    <row r="965" ht="15.75" customHeight="1">
      <c r="K965" t="s">
        <v>1614</v>
      </c>
      <c r="L965" t="str">
        <f>G51</f>
        <v>H1a1a4b</v>
      </c>
      <c r="N965" t="s">
        <v>1615</v>
      </c>
      <c r="O965">
        <v>7131468.0</v>
      </c>
      <c r="P965">
        <v>7263427.0</v>
      </c>
      <c r="Q965" t="s">
        <v>459</v>
      </c>
      <c r="R965" s="5"/>
      <c r="S965" s="5"/>
      <c r="T965" s="5"/>
      <c r="U965" s="5"/>
      <c r="V965" s="5"/>
      <c r="W965" s="5"/>
      <c r="X965" s="5"/>
      <c r="Y965" s="5"/>
      <c r="Z965" s="5"/>
      <c r="AA965" s="5"/>
      <c r="AB965" s="5"/>
      <c r="AC965" s="5"/>
      <c r="AD965" s="5"/>
      <c r="AE965" s="5"/>
      <c r="AF965" s="5"/>
      <c r="AG965" s="5"/>
    </row>
    <row r="966" ht="15.75" customHeight="1">
      <c r="K966" t="s">
        <v>1616</v>
      </c>
      <c r="L966" t="str">
        <f>G51</f>
        <v>H1a1a4b</v>
      </c>
      <c r="N966" t="s">
        <v>1617</v>
      </c>
      <c r="O966">
        <v>9424352.0</v>
      </c>
      <c r="P966">
        <v>9586743.0</v>
      </c>
      <c r="Q966" t="s">
        <v>419</v>
      </c>
      <c r="R966" s="5"/>
      <c r="S966" s="5"/>
      <c r="T966" s="5"/>
      <c r="U966" s="5"/>
      <c r="V966" s="5"/>
      <c r="W966" s="5"/>
      <c r="X966" s="5"/>
      <c r="Y966" s="5"/>
      <c r="Z966" s="5"/>
      <c r="AA966" s="5"/>
      <c r="AB966" s="5"/>
      <c r="AC966" s="5"/>
      <c r="AD966" s="5"/>
      <c r="AE966" s="5"/>
      <c r="AF966" s="5"/>
      <c r="AG966" s="5"/>
    </row>
    <row r="967" ht="15.75" customHeight="1">
      <c r="K967" t="s">
        <v>1618</v>
      </c>
      <c r="L967" t="str">
        <f>G51</f>
        <v>H1a1a4b</v>
      </c>
      <c r="N967" t="s">
        <v>1619</v>
      </c>
      <c r="O967">
        <v>9902767.0</v>
      </c>
      <c r="P967">
        <v>1.0065158E7</v>
      </c>
      <c r="Q967" t="s">
        <v>423</v>
      </c>
      <c r="R967" s="5"/>
      <c r="S967" s="5"/>
      <c r="T967" s="5"/>
      <c r="U967" s="5"/>
      <c r="V967" s="5"/>
      <c r="W967" s="5"/>
      <c r="X967" s="5"/>
      <c r="Y967" s="5"/>
      <c r="Z967" s="5"/>
      <c r="AA967" s="5"/>
      <c r="AB967" s="5"/>
      <c r="AC967" s="5"/>
      <c r="AD967" s="5"/>
      <c r="AE967" s="5"/>
      <c r="AF967" s="5"/>
      <c r="AG967" s="5"/>
    </row>
    <row r="968" ht="15.75" customHeight="1">
      <c r="K968" t="s">
        <v>1620</v>
      </c>
      <c r="L968" t="str">
        <f>G51</f>
        <v>H1a1a4b</v>
      </c>
      <c r="N968" t="s">
        <v>1621</v>
      </c>
      <c r="O968">
        <v>1.8405356E7</v>
      </c>
      <c r="P968">
        <v>1.6293476E7</v>
      </c>
      <c r="Q968" t="s">
        <v>419</v>
      </c>
      <c r="R968" s="5"/>
      <c r="S968" s="5"/>
      <c r="T968" s="5"/>
      <c r="U968" s="5"/>
      <c r="V968" s="5"/>
      <c r="W968" s="5"/>
      <c r="X968" s="5"/>
      <c r="Y968" s="5"/>
      <c r="Z968" s="5"/>
      <c r="AA968" s="5"/>
      <c r="AB968" s="5"/>
      <c r="AC968" s="5"/>
      <c r="AD968" s="5"/>
      <c r="AE968" s="5"/>
      <c r="AF968" s="5"/>
      <c r="AG968" s="5"/>
    </row>
    <row r="969" ht="15.75" customHeight="1">
      <c r="K969" t="s">
        <v>1622</v>
      </c>
      <c r="L969" t="str">
        <f>G51</f>
        <v>H1a1a4b</v>
      </c>
      <c r="N969" t="s">
        <v>1623</v>
      </c>
      <c r="O969">
        <v>1.842397E7</v>
      </c>
      <c r="P969">
        <v>1.631209E7</v>
      </c>
      <c r="Q969" t="s">
        <v>423</v>
      </c>
      <c r="R969" s="5"/>
      <c r="S969" s="5"/>
      <c r="T969" s="5"/>
      <c r="U969" s="5"/>
      <c r="V969" s="5"/>
      <c r="W969" s="5"/>
      <c r="X969" s="5"/>
      <c r="Y969" s="5"/>
      <c r="Z969" s="5"/>
      <c r="AA969" s="5"/>
      <c r="AB969" s="5"/>
      <c r="AC969" s="5"/>
      <c r="AD969" s="5"/>
      <c r="AE969" s="5"/>
      <c r="AF969" s="5"/>
      <c r="AG969" s="5"/>
    </row>
    <row r="970" ht="15.75" customHeight="1">
      <c r="K970" t="s">
        <v>1624</v>
      </c>
      <c r="L970" t="str">
        <f>G51</f>
        <v>H1a1a4b</v>
      </c>
      <c r="O970" t="s">
        <v>1625</v>
      </c>
      <c r="P970" t="s">
        <v>1626</v>
      </c>
      <c r="Q970" t="s">
        <v>1627</v>
      </c>
      <c r="R970" s="5"/>
      <c r="S970" s="5"/>
      <c r="T970" s="5"/>
      <c r="U970" s="5"/>
      <c r="V970" s="5"/>
      <c r="W970" s="5"/>
      <c r="X970" s="5"/>
      <c r="Y970" s="5"/>
      <c r="Z970" s="5"/>
      <c r="AA970" s="5"/>
      <c r="AB970" s="5"/>
      <c r="AC970" s="5"/>
      <c r="AD970" s="5"/>
      <c r="AE970" s="5"/>
      <c r="AF970" s="5"/>
      <c r="AG970" s="5"/>
    </row>
    <row r="971" ht="15.75" customHeight="1">
      <c r="K971" t="s">
        <v>1628</v>
      </c>
      <c r="L971" t="str">
        <f>G51</f>
        <v>H1a1a4b</v>
      </c>
      <c r="N971" t="s">
        <v>1629</v>
      </c>
      <c r="O971">
        <v>1.8823705E7</v>
      </c>
      <c r="P971">
        <v>1.6711825E7</v>
      </c>
      <c r="Q971" t="s">
        <v>525</v>
      </c>
      <c r="R971" s="5"/>
      <c r="S971" s="5"/>
      <c r="T971" s="5"/>
      <c r="U971" s="5"/>
      <c r="V971" s="5"/>
      <c r="W971" s="5"/>
      <c r="X971" s="5"/>
      <c r="Y971" s="5"/>
      <c r="Z971" s="5"/>
      <c r="AA971" s="5"/>
      <c r="AB971" s="5"/>
      <c r="AC971" s="5"/>
      <c r="AD971" s="5"/>
      <c r="AE971" s="5"/>
      <c r="AF971" s="5"/>
      <c r="AG971" s="5"/>
    </row>
    <row r="972" ht="15.75" customHeight="1">
      <c r="K972" t="s">
        <v>1630</v>
      </c>
      <c r="L972" t="str">
        <f>G51</f>
        <v>H1a1a4b</v>
      </c>
      <c r="N972" t="s">
        <v>1631</v>
      </c>
      <c r="O972">
        <v>2.0814117E7</v>
      </c>
      <c r="P972">
        <v>1.8652231E7</v>
      </c>
      <c r="Q972" t="s">
        <v>423</v>
      </c>
      <c r="R972" s="5"/>
      <c r="S972" s="5"/>
      <c r="T972" s="5"/>
      <c r="U972" s="5"/>
      <c r="V972" s="5"/>
      <c r="W972" s="5"/>
      <c r="X972" s="5"/>
      <c r="Y972" s="5"/>
      <c r="Z972" s="5"/>
      <c r="AA972" s="5"/>
      <c r="AB972" s="5"/>
      <c r="AC972" s="5"/>
      <c r="AD972" s="5"/>
      <c r="AE972" s="5"/>
      <c r="AF972" s="5"/>
      <c r="AG972" s="5"/>
    </row>
    <row r="973" ht="15.75" customHeight="1">
      <c r="K973" t="s">
        <v>1632</v>
      </c>
      <c r="L973" t="str">
        <f>G51</f>
        <v>H1a1a4b</v>
      </c>
      <c r="N973" t="s">
        <v>1633</v>
      </c>
      <c r="O973">
        <v>2.1115642E7</v>
      </c>
      <c r="P973">
        <v>1.8953756E7</v>
      </c>
      <c r="Q973" t="s">
        <v>423</v>
      </c>
      <c r="R973" s="5"/>
      <c r="S973" s="5"/>
      <c r="T973" s="5"/>
      <c r="U973" s="5"/>
      <c r="V973" s="5"/>
      <c r="W973" s="5"/>
      <c r="X973" s="5"/>
      <c r="Y973" s="5"/>
      <c r="Z973" s="5"/>
      <c r="AA973" s="5"/>
      <c r="AB973" s="5"/>
      <c r="AC973" s="5"/>
      <c r="AD973" s="5"/>
      <c r="AE973" s="5"/>
      <c r="AF973" s="5"/>
      <c r="AG973" s="5"/>
    </row>
    <row r="974" ht="15.75" customHeight="1">
      <c r="K974" t="s">
        <v>1634</v>
      </c>
      <c r="L974" t="str">
        <f>G51</f>
        <v>H1a1a4b</v>
      </c>
      <c r="N974" t="s">
        <v>1635</v>
      </c>
      <c r="O974">
        <v>2.1832499E7</v>
      </c>
      <c r="P974">
        <v>1.9670613E7</v>
      </c>
      <c r="Q974" t="s">
        <v>427</v>
      </c>
      <c r="R974" s="5"/>
      <c r="S974" s="5"/>
      <c r="T974" s="5"/>
      <c r="U974" s="5"/>
      <c r="V974" s="5"/>
      <c r="W974" s="5"/>
      <c r="X974" s="5"/>
      <c r="Y974" s="5"/>
      <c r="Z974" s="5"/>
      <c r="AA974" s="5"/>
      <c r="AB974" s="5"/>
      <c r="AC974" s="5"/>
      <c r="AD974" s="5"/>
      <c r="AE974" s="5"/>
      <c r="AF974" s="5"/>
      <c r="AG974" s="5"/>
    </row>
    <row r="975" ht="15.75" customHeight="1">
      <c r="K975" t="s">
        <v>1636</v>
      </c>
      <c r="L975" t="str">
        <f>G51</f>
        <v>H1a1a4b</v>
      </c>
      <c r="N975" t="s">
        <v>1637</v>
      </c>
      <c r="O975">
        <v>2.2557391E7</v>
      </c>
      <c r="P975">
        <v>2.0395505E7</v>
      </c>
      <c r="Q975" t="s">
        <v>459</v>
      </c>
      <c r="R975" s="5"/>
      <c r="S975" s="5"/>
      <c r="T975" s="5"/>
      <c r="U975" s="5"/>
      <c r="V975" s="5"/>
      <c r="W975" s="5"/>
      <c r="X975" s="5"/>
      <c r="Y975" s="5"/>
      <c r="Z975" s="5"/>
      <c r="AA975" s="5"/>
      <c r="AB975" s="5"/>
      <c r="AC975" s="5"/>
      <c r="AD975" s="5"/>
      <c r="AE975" s="5"/>
      <c r="AF975" s="5"/>
      <c r="AG975" s="5"/>
    </row>
    <row r="976" ht="15.75" customHeight="1">
      <c r="K976" t="s">
        <v>1638</v>
      </c>
      <c r="L976" t="str">
        <f>G51</f>
        <v>H1a1a4b</v>
      </c>
      <c r="O976" t="s">
        <v>1639</v>
      </c>
      <c r="P976" t="s">
        <v>1640</v>
      </c>
      <c r="Q976" t="s">
        <v>1641</v>
      </c>
      <c r="R976" s="5"/>
      <c r="S976" s="5"/>
      <c r="T976" s="5"/>
      <c r="U976" s="5"/>
      <c r="V976" s="5"/>
      <c r="W976" s="5"/>
      <c r="X976" s="5"/>
      <c r="Y976" s="5"/>
      <c r="Z976" s="5"/>
      <c r="AA976" s="5"/>
      <c r="AB976" s="5"/>
      <c r="AC976" s="5"/>
      <c r="AD976" s="5"/>
      <c r="AE976" s="5"/>
      <c r="AF976" s="5"/>
      <c r="AG976" s="5"/>
    </row>
    <row r="977" ht="15.75" customHeight="1">
      <c r="K977" t="s">
        <v>1642</v>
      </c>
      <c r="L977" t="str">
        <f>G51</f>
        <v>H1a1a4b</v>
      </c>
      <c r="N977" t="s">
        <v>1643</v>
      </c>
      <c r="O977">
        <v>1.3657765E7</v>
      </c>
      <c r="P977">
        <v>1.1502089E7</v>
      </c>
      <c r="Q977" t="s">
        <v>553</v>
      </c>
      <c r="R977" s="5"/>
      <c r="S977" s="5"/>
      <c r="T977" s="5"/>
      <c r="U977" s="5"/>
      <c r="V977" s="5"/>
      <c r="W977" s="5"/>
      <c r="X977" s="5"/>
      <c r="Y977" s="5"/>
      <c r="Z977" s="5"/>
      <c r="AA977" s="5"/>
      <c r="AB977" s="5"/>
      <c r="AC977" s="5"/>
      <c r="AD977" s="5"/>
      <c r="AE977" s="5"/>
      <c r="AF977" s="5"/>
      <c r="AG977" s="5"/>
    </row>
    <row r="978" ht="15.75" customHeight="1">
      <c r="K978" t="s">
        <v>1644</v>
      </c>
      <c r="L978" t="str">
        <f>H52</f>
        <v>H1a1a4b1</v>
      </c>
      <c r="N978" t="s">
        <v>1645</v>
      </c>
      <c r="O978">
        <v>1.3999721E7</v>
      </c>
      <c r="P978">
        <v>1.1879015E7</v>
      </c>
      <c r="Q978" t="s">
        <v>459</v>
      </c>
      <c r="R978" s="5"/>
      <c r="S978" s="5"/>
      <c r="T978" s="5"/>
      <c r="U978" s="5"/>
      <c r="V978" s="5"/>
      <c r="W978" s="5"/>
      <c r="X978" s="5"/>
      <c r="Y978" s="5"/>
      <c r="Z978" s="5"/>
      <c r="AA978" s="5"/>
      <c r="AB978" s="5"/>
      <c r="AC978" s="5"/>
      <c r="AD978" s="5"/>
      <c r="AE978" s="5"/>
      <c r="AF978" s="5"/>
      <c r="AG978" s="5"/>
    </row>
    <row r="979" ht="15.75" customHeight="1">
      <c r="K979" t="s">
        <v>1646</v>
      </c>
      <c r="L979" t="str">
        <f>H52</f>
        <v>H1a1a4b1</v>
      </c>
      <c r="O979">
        <v>1.0048282E7</v>
      </c>
      <c r="P979">
        <v>1.0210673E7</v>
      </c>
      <c r="Q979" t="s">
        <v>459</v>
      </c>
      <c r="R979" s="5"/>
      <c r="S979" s="5"/>
      <c r="T979" s="5"/>
      <c r="U979" s="5"/>
      <c r="V979" s="5"/>
      <c r="W979" s="5"/>
      <c r="X979" s="5"/>
      <c r="Y979" s="5"/>
      <c r="Z979" s="5"/>
      <c r="AA979" s="5"/>
      <c r="AB979" s="5"/>
      <c r="AC979" s="5"/>
      <c r="AD979" s="5"/>
      <c r="AE979" s="5"/>
      <c r="AF979" s="5"/>
      <c r="AG979" s="5"/>
    </row>
    <row r="980" ht="15.75" customHeight="1">
      <c r="K980" t="s">
        <v>1647</v>
      </c>
      <c r="L980" t="str">
        <f>H52</f>
        <v>H1a1a4b1</v>
      </c>
      <c r="N980" t="s">
        <v>1648</v>
      </c>
      <c r="O980">
        <v>1.7255852E7</v>
      </c>
      <c r="P980">
        <v>1.5143972E7</v>
      </c>
      <c r="Q980" t="s">
        <v>423</v>
      </c>
      <c r="R980" s="5"/>
      <c r="S980" s="5"/>
      <c r="T980" s="5"/>
      <c r="U980" s="5"/>
      <c r="V980" s="5"/>
      <c r="W980" s="5"/>
      <c r="X980" s="5"/>
      <c r="Y980" s="5"/>
      <c r="Z980" s="5"/>
      <c r="AA980" s="5"/>
      <c r="AB980" s="5"/>
      <c r="AC980" s="5"/>
      <c r="AD980" s="5"/>
      <c r="AE980" s="5"/>
      <c r="AF980" s="5"/>
      <c r="AG980" s="5"/>
    </row>
    <row r="981" ht="15.75" customHeight="1">
      <c r="K981" t="s">
        <v>1649</v>
      </c>
      <c r="L981" t="str">
        <f>H52</f>
        <v>H1a1a4b1</v>
      </c>
      <c r="N981" t="s">
        <v>1650</v>
      </c>
      <c r="O981">
        <v>1.930141E7</v>
      </c>
      <c r="P981">
        <v>1.718953E7</v>
      </c>
      <c r="Q981" t="s">
        <v>423</v>
      </c>
      <c r="R981" s="5"/>
      <c r="S981" s="5"/>
      <c r="T981" s="5"/>
      <c r="U981" s="5"/>
      <c r="V981" s="5"/>
      <c r="W981" s="5"/>
      <c r="X981" s="5"/>
      <c r="Y981" s="5"/>
      <c r="Z981" s="5"/>
      <c r="AA981" s="5"/>
      <c r="AB981" s="5"/>
      <c r="AC981" s="5"/>
      <c r="AD981" s="5"/>
      <c r="AE981" s="5"/>
      <c r="AF981" s="5"/>
      <c r="AG981" s="5"/>
    </row>
    <row r="982" ht="15.75" customHeight="1">
      <c r="K982" t="s">
        <v>1651</v>
      </c>
      <c r="L982" t="str">
        <f>H52</f>
        <v>H1a1a4b1</v>
      </c>
      <c r="N982" t="s">
        <v>1652</v>
      </c>
      <c r="O982">
        <v>2.3073176E7</v>
      </c>
      <c r="P982">
        <v>2.091129E7</v>
      </c>
      <c r="Q982" t="s">
        <v>419</v>
      </c>
      <c r="R982" s="5"/>
      <c r="S982" s="5"/>
      <c r="T982" s="5"/>
      <c r="U982" s="5"/>
      <c r="V982" s="5"/>
      <c r="W982" s="5"/>
      <c r="X982" s="5"/>
      <c r="Y982" s="5"/>
      <c r="Z982" s="5"/>
      <c r="AA982" s="5"/>
      <c r="AB982" s="5"/>
      <c r="AC982" s="5"/>
      <c r="AD982" s="5"/>
      <c r="AE982" s="5"/>
      <c r="AF982" s="5"/>
      <c r="AG982" s="5"/>
    </row>
    <row r="983" ht="15.75" customHeight="1">
      <c r="K983" t="s">
        <v>1653</v>
      </c>
      <c r="L983" t="str">
        <f>I53</f>
        <v>H1a1a4b1a~</v>
      </c>
      <c r="N983" t="s">
        <v>1654</v>
      </c>
      <c r="O983">
        <v>7703781.0</v>
      </c>
      <c r="P983">
        <v>7835740.0</v>
      </c>
      <c r="Q983" t="s">
        <v>419</v>
      </c>
      <c r="R983" s="5"/>
      <c r="S983" s="5"/>
      <c r="T983" s="5"/>
      <c r="U983" s="5"/>
      <c r="V983" s="5"/>
      <c r="W983" s="5"/>
      <c r="X983" s="5"/>
      <c r="Y983" s="5"/>
      <c r="Z983" s="5"/>
      <c r="AA983" s="5"/>
      <c r="AB983" s="5"/>
      <c r="AC983" s="5"/>
      <c r="AD983" s="5"/>
      <c r="AE983" s="5"/>
      <c r="AF983" s="5"/>
      <c r="AG983" s="5"/>
    </row>
    <row r="984" ht="15.75" customHeight="1">
      <c r="K984" t="s">
        <v>1655</v>
      </c>
      <c r="L984" t="str">
        <f>I53</f>
        <v>H1a1a4b1a~</v>
      </c>
      <c r="N984" t="s">
        <v>1656</v>
      </c>
      <c r="O984">
        <v>6708996.0</v>
      </c>
      <c r="P984">
        <v>6840955.0</v>
      </c>
      <c r="Q984" t="s">
        <v>423</v>
      </c>
      <c r="R984" s="5"/>
      <c r="S984" s="5"/>
      <c r="T984" s="5"/>
      <c r="U984" s="5"/>
      <c r="V984" s="5"/>
      <c r="W984" s="5"/>
      <c r="X984" s="5"/>
      <c r="Y984" s="5"/>
      <c r="Z984" s="5"/>
      <c r="AA984" s="5"/>
      <c r="AB984" s="5"/>
      <c r="AC984" s="5"/>
      <c r="AD984" s="5"/>
      <c r="AE984" s="5"/>
      <c r="AF984" s="5"/>
      <c r="AG984" s="5"/>
    </row>
    <row r="985" ht="15.75" customHeight="1">
      <c r="K985" t="s">
        <v>1657</v>
      </c>
      <c r="L985" t="str">
        <f>I53</f>
        <v>H1a1a4b1a~</v>
      </c>
      <c r="N985" t="s">
        <v>1658</v>
      </c>
      <c r="O985">
        <v>8203370.0</v>
      </c>
      <c r="P985">
        <v>8335329.0</v>
      </c>
      <c r="Q985" t="s">
        <v>459</v>
      </c>
      <c r="R985" s="5"/>
      <c r="S985" s="5"/>
      <c r="T985" s="5"/>
      <c r="U985" s="5"/>
      <c r="V985" s="5"/>
      <c r="W985" s="5"/>
      <c r="X985" s="5"/>
      <c r="Y985" s="5"/>
      <c r="Z985" s="5"/>
      <c r="AA985" s="5"/>
      <c r="AB985" s="5"/>
      <c r="AC985" s="5"/>
      <c r="AD985" s="5"/>
      <c r="AE985" s="5"/>
      <c r="AF985" s="5"/>
      <c r="AG985" s="5"/>
    </row>
    <row r="986" ht="15.75" customHeight="1">
      <c r="K986" t="s">
        <v>1659</v>
      </c>
      <c r="L986" t="str">
        <f t="shared" ref="L986:L987" si="9">I53</f>
        <v>H1a1a4b1a~</v>
      </c>
      <c r="N986" t="s">
        <v>1660</v>
      </c>
      <c r="O986">
        <v>1.4149357E7</v>
      </c>
      <c r="P986">
        <v>1.2028651E7</v>
      </c>
      <c r="Q986" t="s">
        <v>459</v>
      </c>
      <c r="R986" s="5"/>
      <c r="S986" s="5"/>
      <c r="T986" s="5"/>
      <c r="U986" s="5"/>
      <c r="V986" s="5"/>
      <c r="W986" s="5"/>
      <c r="X986" s="5"/>
      <c r="Y986" s="5"/>
      <c r="Z986" s="5"/>
      <c r="AA986" s="5"/>
      <c r="AB986" s="5"/>
      <c r="AC986" s="5"/>
      <c r="AD986" s="5"/>
      <c r="AE986" s="5"/>
      <c r="AF986" s="5"/>
      <c r="AG986" s="5"/>
    </row>
    <row r="987" ht="15.75" customHeight="1">
      <c r="K987" t="s">
        <v>1661</v>
      </c>
      <c r="L987" t="str">
        <f t="shared" si="9"/>
        <v>H1a1a4b1b~</v>
      </c>
      <c r="O987">
        <v>2726760.0</v>
      </c>
      <c r="P987">
        <v>2858719.0</v>
      </c>
      <c r="Q987" t="s">
        <v>419</v>
      </c>
      <c r="R987" s="5"/>
      <c r="S987" s="5"/>
      <c r="T987" s="5"/>
      <c r="U987" s="5"/>
      <c r="V987" s="5"/>
      <c r="W987" s="5"/>
      <c r="X987" s="5"/>
      <c r="Y987" s="5"/>
      <c r="Z987" s="5"/>
      <c r="AA987" s="5"/>
      <c r="AB987" s="5"/>
      <c r="AC987" s="5"/>
      <c r="AD987" s="5"/>
      <c r="AE987" s="5"/>
      <c r="AF987" s="5"/>
      <c r="AG987" s="5"/>
    </row>
    <row r="988" ht="15.75" customHeight="1">
      <c r="K988" t="s">
        <v>1662</v>
      </c>
      <c r="L988" t="str">
        <f>I54</f>
        <v>H1a1a4b1b~</v>
      </c>
      <c r="O988">
        <v>7329602.0</v>
      </c>
      <c r="P988">
        <v>7461561.0</v>
      </c>
      <c r="Q988" t="s">
        <v>427</v>
      </c>
      <c r="R988" s="5"/>
      <c r="S988" s="5"/>
      <c r="T988" s="5"/>
      <c r="U988" s="5"/>
      <c r="V988" s="5"/>
      <c r="W988" s="5"/>
      <c r="X988" s="5"/>
      <c r="Y988" s="5"/>
      <c r="Z988" s="5"/>
      <c r="AA988" s="5"/>
      <c r="AB988" s="5"/>
      <c r="AC988" s="5"/>
      <c r="AD988" s="5"/>
      <c r="AE988" s="5"/>
      <c r="AF988" s="5"/>
      <c r="AG988" s="5"/>
    </row>
    <row r="989" ht="15.75" customHeight="1">
      <c r="K989" t="s">
        <v>1663</v>
      </c>
      <c r="L989" t="str">
        <f>I54</f>
        <v>H1a1a4b1b~</v>
      </c>
      <c r="O989">
        <v>7681661.0</v>
      </c>
      <c r="P989">
        <v>7813620.0</v>
      </c>
      <c r="Q989" t="s">
        <v>459</v>
      </c>
      <c r="R989" s="5"/>
      <c r="S989" s="5"/>
      <c r="T989" s="5"/>
      <c r="U989" s="5"/>
      <c r="V989" s="5"/>
      <c r="W989" s="5"/>
      <c r="X989" s="5"/>
      <c r="Y989" s="5"/>
      <c r="Z989" s="5"/>
      <c r="AA989" s="5"/>
      <c r="AB989" s="5"/>
      <c r="AC989" s="5"/>
      <c r="AD989" s="5"/>
      <c r="AE989" s="5"/>
      <c r="AF989" s="5"/>
      <c r="AG989" s="5"/>
    </row>
    <row r="990" ht="15.75" customHeight="1">
      <c r="K990" t="s">
        <v>1664</v>
      </c>
      <c r="L990" t="str">
        <f>I54</f>
        <v>H1a1a4b1b~</v>
      </c>
      <c r="O990">
        <v>7920952.0</v>
      </c>
      <c r="P990">
        <v>8052911.0</v>
      </c>
      <c r="Q990" t="s">
        <v>476</v>
      </c>
      <c r="R990" s="5"/>
      <c r="S990" s="5"/>
      <c r="T990" s="5"/>
      <c r="U990" s="5"/>
      <c r="V990" s="5"/>
      <c r="W990" s="5"/>
      <c r="X990" s="5"/>
      <c r="Y990" s="5"/>
      <c r="Z990" s="5"/>
      <c r="AA990" s="5"/>
      <c r="AB990" s="5"/>
      <c r="AC990" s="5"/>
      <c r="AD990" s="5"/>
      <c r="AE990" s="5"/>
      <c r="AF990" s="5"/>
      <c r="AG990" s="5"/>
    </row>
    <row r="991" ht="15.75" customHeight="1">
      <c r="K991" t="s">
        <v>1665</v>
      </c>
      <c r="L991" t="str">
        <f>I54</f>
        <v>H1a1a4b1b~</v>
      </c>
      <c r="O991">
        <v>8405105.0</v>
      </c>
      <c r="P991">
        <v>8537064.0</v>
      </c>
      <c r="Q991" t="s">
        <v>419</v>
      </c>
      <c r="R991" s="5"/>
      <c r="S991" s="5"/>
      <c r="T991" s="5"/>
      <c r="U991" s="5"/>
      <c r="V991" s="5"/>
      <c r="W991" s="5"/>
      <c r="X991" s="5"/>
      <c r="Y991" s="5"/>
      <c r="Z991" s="5"/>
      <c r="AA991" s="5"/>
      <c r="AB991" s="5"/>
      <c r="AC991" s="5"/>
      <c r="AD991" s="5"/>
      <c r="AE991" s="5"/>
      <c r="AF991" s="5"/>
      <c r="AG991" s="5"/>
    </row>
    <row r="992" ht="15.75" customHeight="1">
      <c r="K992" t="s">
        <v>1666</v>
      </c>
      <c r="L992" t="str">
        <f>H55</f>
        <v>H1a1a4b2</v>
      </c>
      <c r="M992" t="s">
        <v>1667</v>
      </c>
      <c r="N992" t="s">
        <v>1668</v>
      </c>
      <c r="O992">
        <v>1.888128E7</v>
      </c>
      <c r="P992">
        <v>1.67694E7</v>
      </c>
      <c r="Q992" t="s">
        <v>419</v>
      </c>
      <c r="R992" s="5"/>
      <c r="S992" s="5"/>
      <c r="T992" s="5"/>
      <c r="U992" s="5"/>
      <c r="V992" s="5"/>
      <c r="W992" s="5"/>
      <c r="X992" s="5"/>
      <c r="Y992" s="5"/>
      <c r="Z992" s="5"/>
      <c r="AA992" s="5"/>
      <c r="AB992" s="5"/>
      <c r="AC992" s="5"/>
      <c r="AD992" s="5"/>
      <c r="AE992" s="5"/>
      <c r="AF992" s="5"/>
      <c r="AG992" s="5"/>
    </row>
    <row r="993" ht="15.75" customHeight="1">
      <c r="K993" t="s">
        <v>1667</v>
      </c>
      <c r="L993" t="str">
        <f>H55</f>
        <v>H1a1a4b2</v>
      </c>
      <c r="M993" t="s">
        <v>1666</v>
      </c>
      <c r="N993" t="s">
        <v>1668</v>
      </c>
      <c r="O993">
        <v>1.888128E7</v>
      </c>
      <c r="P993">
        <v>1.67694E7</v>
      </c>
      <c r="Q993" t="s">
        <v>419</v>
      </c>
      <c r="R993" s="5"/>
      <c r="S993" s="5"/>
      <c r="T993" s="5"/>
      <c r="U993" s="5"/>
      <c r="V993" s="5"/>
      <c r="W993" s="5"/>
      <c r="X993" s="5"/>
      <c r="Y993" s="5"/>
      <c r="Z993" s="5"/>
      <c r="AA993" s="5"/>
      <c r="AB993" s="5"/>
      <c r="AC993" s="5"/>
      <c r="AD993" s="5"/>
      <c r="AE993" s="5"/>
      <c r="AF993" s="5"/>
      <c r="AG993" s="5"/>
    </row>
    <row r="994" ht="15.75" customHeight="1">
      <c r="K994" t="s">
        <v>1669</v>
      </c>
      <c r="L994" t="str">
        <f>H55</f>
        <v>H1a1a4b2</v>
      </c>
      <c r="N994" t="s">
        <v>1670</v>
      </c>
      <c r="O994">
        <v>1.574825E7</v>
      </c>
      <c r="P994">
        <v>1.363637E7</v>
      </c>
      <c r="Q994" t="s">
        <v>419</v>
      </c>
      <c r="R994" s="5"/>
      <c r="S994" s="5"/>
      <c r="T994" s="5"/>
      <c r="U994" s="5"/>
      <c r="V994" s="5"/>
      <c r="W994" s="5"/>
      <c r="X994" s="5"/>
      <c r="Y994" s="5"/>
      <c r="Z994" s="5"/>
      <c r="AA994" s="5"/>
      <c r="AB994" s="5"/>
      <c r="AC994" s="5"/>
      <c r="AD994" s="5"/>
      <c r="AE994" s="5"/>
      <c r="AF994" s="5"/>
      <c r="AG994" s="5"/>
    </row>
    <row r="995" ht="15.75" customHeight="1">
      <c r="K995" t="s">
        <v>1671</v>
      </c>
      <c r="L995" t="str">
        <f>H55</f>
        <v>H1a1a4b2</v>
      </c>
      <c r="N995" t="s">
        <v>1672</v>
      </c>
      <c r="O995">
        <v>1.574883E7</v>
      </c>
      <c r="P995">
        <v>1.363695E7</v>
      </c>
      <c r="Q995" t="s">
        <v>476</v>
      </c>
      <c r="R995" s="5"/>
      <c r="S995" s="5"/>
      <c r="T995" s="5"/>
      <c r="U995" s="5"/>
      <c r="V995" s="5"/>
      <c r="W995" s="5"/>
      <c r="X995" s="5"/>
      <c r="Y995" s="5"/>
      <c r="Z995" s="5"/>
      <c r="AA995" s="5"/>
      <c r="AB995" s="5"/>
      <c r="AC995" s="5"/>
      <c r="AD995" s="5"/>
      <c r="AE995" s="5"/>
      <c r="AF995" s="5"/>
      <c r="AG995" s="5"/>
    </row>
    <row r="996" ht="15.75" customHeight="1">
      <c r="K996" t="s">
        <v>1673</v>
      </c>
      <c r="L996" t="str">
        <f>H55</f>
        <v>H1a1a4b2</v>
      </c>
      <c r="N996" t="s">
        <v>1674</v>
      </c>
      <c r="O996">
        <v>1.6034636E7</v>
      </c>
      <c r="P996">
        <v>1.3922756E7</v>
      </c>
      <c r="Q996" t="s">
        <v>435</v>
      </c>
      <c r="R996" s="5"/>
      <c r="S996" s="5"/>
      <c r="T996" s="5"/>
      <c r="U996" s="5"/>
      <c r="V996" s="5"/>
      <c r="W996" s="5"/>
      <c r="X996" s="5"/>
      <c r="Y996" s="5"/>
      <c r="Z996" s="5"/>
      <c r="AA996" s="5"/>
      <c r="AB996" s="5"/>
      <c r="AC996" s="5"/>
      <c r="AD996" s="5"/>
      <c r="AE996" s="5"/>
      <c r="AF996" s="5"/>
      <c r="AG996" s="5"/>
    </row>
    <row r="997" ht="15.75" customHeight="1">
      <c r="K997" t="s">
        <v>1675</v>
      </c>
      <c r="L997" t="str">
        <f>I56</f>
        <v>H1a1a4b2a</v>
      </c>
      <c r="N997" t="s">
        <v>1676</v>
      </c>
      <c r="O997">
        <v>1.7802255E7</v>
      </c>
      <c r="P997">
        <v>1.5690375E7</v>
      </c>
      <c r="Q997" t="s">
        <v>431</v>
      </c>
      <c r="R997" s="5"/>
      <c r="S997" s="5"/>
      <c r="T997" s="5"/>
      <c r="U997" s="5"/>
      <c r="V997" s="5"/>
      <c r="W997" s="5"/>
      <c r="X997" s="5"/>
      <c r="Y997" s="5"/>
      <c r="Z997" s="5"/>
      <c r="AA997" s="5"/>
      <c r="AB997" s="5"/>
      <c r="AC997" s="5"/>
      <c r="AD997" s="5"/>
      <c r="AE997" s="5"/>
      <c r="AF997" s="5"/>
      <c r="AG997" s="5"/>
    </row>
    <row r="998" ht="15.75" customHeight="1">
      <c r="K998" t="s">
        <v>1677</v>
      </c>
      <c r="L998" t="str">
        <f>I56</f>
        <v>H1a1a4b2a</v>
      </c>
      <c r="N998" t="s">
        <v>1678</v>
      </c>
      <c r="O998">
        <v>7085830.0</v>
      </c>
      <c r="P998">
        <v>7217789.0</v>
      </c>
      <c r="Q998" t="s">
        <v>427</v>
      </c>
      <c r="R998" s="5"/>
      <c r="S998" s="5"/>
      <c r="T998" s="5"/>
      <c r="U998" s="5"/>
      <c r="V998" s="5"/>
      <c r="W998" s="5"/>
      <c r="X998" s="5"/>
      <c r="Y998" s="5"/>
      <c r="Z998" s="5"/>
      <c r="AA998" s="5"/>
      <c r="AB998" s="5"/>
      <c r="AC998" s="5"/>
      <c r="AD998" s="5"/>
      <c r="AE998" s="5"/>
      <c r="AF998" s="5"/>
      <c r="AG998" s="5"/>
    </row>
    <row r="999" ht="15.75" customHeight="1">
      <c r="K999" t="s">
        <v>1679</v>
      </c>
      <c r="L999" t="str">
        <f>I56</f>
        <v>H1a1a4b2a</v>
      </c>
      <c r="N999" t="s">
        <v>1680</v>
      </c>
      <c r="O999">
        <v>8030142.0</v>
      </c>
      <c r="P999">
        <v>8162101.0</v>
      </c>
      <c r="Q999" t="s">
        <v>419</v>
      </c>
      <c r="R999" s="5"/>
      <c r="S999" s="5"/>
      <c r="T999" s="5"/>
      <c r="U999" s="5"/>
      <c r="V999" s="5"/>
      <c r="W999" s="5"/>
      <c r="X999" s="5"/>
      <c r="Y999" s="5"/>
      <c r="Z999" s="5"/>
      <c r="AA999" s="5"/>
      <c r="AB999" s="5"/>
      <c r="AC999" s="5"/>
      <c r="AD999" s="5"/>
      <c r="AE999" s="5"/>
      <c r="AF999" s="5"/>
      <c r="AG999" s="5"/>
    </row>
    <row r="1000" ht="15.75" customHeight="1">
      <c r="K1000" t="s">
        <v>1681</v>
      </c>
      <c r="L1000" t="str">
        <f>I56</f>
        <v>H1a1a4b2a</v>
      </c>
      <c r="N1000" t="s">
        <v>1682</v>
      </c>
      <c r="O1000">
        <v>1.6051872E7</v>
      </c>
      <c r="P1000">
        <v>1.3939992E7</v>
      </c>
      <c r="Q1000" t="s">
        <v>423</v>
      </c>
      <c r="R1000" s="5"/>
      <c r="S1000" s="5"/>
      <c r="T1000" s="5"/>
      <c r="U1000" s="5"/>
      <c r="V1000" s="5"/>
      <c r="W1000" s="5"/>
      <c r="X1000" s="5"/>
      <c r="Y1000" s="5"/>
      <c r="Z1000" s="5"/>
      <c r="AA1000" s="5"/>
      <c r="AB1000" s="5"/>
      <c r="AC1000" s="5"/>
      <c r="AD1000" s="5"/>
      <c r="AE1000" s="5"/>
      <c r="AF1000" s="5"/>
      <c r="AG1000" s="5"/>
    </row>
    <row r="1001" ht="15.75" customHeight="1">
      <c r="K1001" t="s">
        <v>1683</v>
      </c>
      <c r="L1001" t="str">
        <f>I56</f>
        <v>H1a1a4b2a</v>
      </c>
      <c r="N1001" t="s">
        <v>1684</v>
      </c>
      <c r="O1001">
        <v>2.110732E7</v>
      </c>
      <c r="P1001">
        <v>1.8945434E7</v>
      </c>
      <c r="Q1001" t="s">
        <v>423</v>
      </c>
      <c r="R1001" s="5"/>
      <c r="S1001" s="5"/>
      <c r="T1001" s="5"/>
      <c r="U1001" s="5"/>
      <c r="V1001" s="5"/>
      <c r="W1001" s="5"/>
      <c r="X1001" s="5"/>
      <c r="Y1001" s="5"/>
      <c r="Z1001" s="5"/>
      <c r="AA1001" s="5"/>
      <c r="AB1001" s="5"/>
      <c r="AC1001" s="5"/>
      <c r="AD1001" s="5"/>
      <c r="AE1001" s="5"/>
      <c r="AF1001" s="5"/>
      <c r="AG1001" s="5"/>
    </row>
    <row r="1002" ht="15.75" customHeight="1">
      <c r="K1002" t="s">
        <v>1685</v>
      </c>
      <c r="L1002" t="str">
        <f>I56</f>
        <v>H1a1a4b2a</v>
      </c>
      <c r="N1002" t="s">
        <v>1686</v>
      </c>
      <c r="O1002">
        <v>2.2545589E7</v>
      </c>
      <c r="P1002">
        <v>2.0383703E7</v>
      </c>
      <c r="Q1002" t="s">
        <v>525</v>
      </c>
      <c r="R1002" s="5"/>
      <c r="S1002" s="5"/>
      <c r="T1002" s="5"/>
      <c r="U1002" s="5"/>
      <c r="V1002" s="5"/>
      <c r="W1002" s="5"/>
      <c r="X1002" s="5"/>
      <c r="Y1002" s="5"/>
      <c r="Z1002" s="5"/>
      <c r="AA1002" s="5"/>
      <c r="AB1002" s="5"/>
      <c r="AC1002" s="5"/>
      <c r="AD1002" s="5"/>
      <c r="AE1002" s="5"/>
      <c r="AF1002" s="5"/>
      <c r="AG1002" s="5"/>
    </row>
    <row r="1003" ht="15.75" customHeight="1">
      <c r="K1003" t="s">
        <v>1687</v>
      </c>
      <c r="L1003" t="str">
        <f>I56</f>
        <v>H1a1a4b2a</v>
      </c>
      <c r="N1003" t="s">
        <v>1688</v>
      </c>
      <c r="O1003">
        <v>2.3284888E7</v>
      </c>
      <c r="P1003">
        <v>2.1123002E7</v>
      </c>
      <c r="Q1003" t="s">
        <v>452</v>
      </c>
      <c r="R1003" s="5"/>
      <c r="S1003" s="5"/>
      <c r="T1003" s="5"/>
      <c r="U1003" s="5"/>
      <c r="V1003" s="5"/>
      <c r="W1003" s="5"/>
      <c r="X1003" s="5"/>
      <c r="Y1003" s="5"/>
      <c r="Z1003" s="5"/>
      <c r="AA1003" s="5"/>
      <c r="AB1003" s="5"/>
      <c r="AC1003" s="5"/>
      <c r="AD1003" s="5"/>
      <c r="AE1003" s="5"/>
      <c r="AF1003" s="5"/>
      <c r="AG1003" s="5"/>
    </row>
    <row r="1004" ht="15.75" customHeight="1">
      <c r="K1004" t="s">
        <v>1689</v>
      </c>
      <c r="L1004" t="str">
        <f>I56</f>
        <v>H1a1a4b2a</v>
      </c>
      <c r="N1004" t="s">
        <v>1690</v>
      </c>
      <c r="O1004">
        <v>2.4511005E7</v>
      </c>
      <c r="P1004">
        <v>2.2364858E7</v>
      </c>
      <c r="Q1004" t="s">
        <v>419</v>
      </c>
      <c r="R1004" s="5"/>
      <c r="S1004" s="5"/>
      <c r="T1004" s="5"/>
      <c r="U1004" s="5"/>
      <c r="V1004" s="5"/>
      <c r="W1004" s="5"/>
      <c r="X1004" s="5"/>
      <c r="Y1004" s="5"/>
      <c r="Z1004" s="5"/>
      <c r="AA1004" s="5"/>
      <c r="AB1004" s="5"/>
      <c r="AC1004" s="5"/>
      <c r="AD1004" s="5"/>
      <c r="AE1004" s="5"/>
      <c r="AF1004" s="5"/>
      <c r="AG1004" s="5"/>
    </row>
    <row r="1005" ht="15.75" customHeight="1">
      <c r="K1005" t="s">
        <v>1691</v>
      </c>
      <c r="L1005" t="str">
        <f>J57</f>
        <v>H1a1a4b2a1</v>
      </c>
      <c r="N1005" t="s">
        <v>1692</v>
      </c>
      <c r="O1005">
        <v>1.7910848E7</v>
      </c>
      <c r="P1005">
        <v>1.5798968E7</v>
      </c>
      <c r="Q1005" t="s">
        <v>427</v>
      </c>
      <c r="R1005" s="5"/>
      <c r="S1005" s="5"/>
      <c r="T1005" s="5"/>
      <c r="U1005" s="5"/>
      <c r="V1005" s="5"/>
      <c r="W1005" s="5"/>
      <c r="X1005" s="5"/>
      <c r="Y1005" s="5"/>
      <c r="Z1005" s="5"/>
      <c r="AA1005" s="5"/>
      <c r="AB1005" s="5"/>
      <c r="AC1005" s="5"/>
      <c r="AD1005" s="5"/>
      <c r="AE1005" s="5"/>
      <c r="AF1005" s="5"/>
      <c r="AG1005" s="5"/>
    </row>
    <row r="1006" ht="15.75" customHeight="1">
      <c r="K1006" t="s">
        <v>1693</v>
      </c>
      <c r="L1006" t="str">
        <f>J57</f>
        <v>H1a1a4b2a1</v>
      </c>
      <c r="N1006" t="s">
        <v>1694</v>
      </c>
      <c r="O1006">
        <v>7729716.0</v>
      </c>
      <c r="P1006">
        <v>7861675.0</v>
      </c>
      <c r="Q1006" t="s">
        <v>553</v>
      </c>
      <c r="R1006" s="5"/>
      <c r="S1006" s="5"/>
      <c r="T1006" s="5"/>
      <c r="U1006" s="5"/>
      <c r="V1006" s="5"/>
      <c r="W1006" s="5"/>
      <c r="X1006" s="5"/>
      <c r="Y1006" s="5"/>
      <c r="Z1006" s="5"/>
      <c r="AA1006" s="5"/>
      <c r="AB1006" s="5"/>
      <c r="AC1006" s="5"/>
      <c r="AD1006" s="5"/>
      <c r="AE1006" s="5"/>
      <c r="AF1006" s="5"/>
      <c r="AG1006" s="5"/>
    </row>
    <row r="1007" ht="15.75" customHeight="1">
      <c r="K1007" t="s">
        <v>1695</v>
      </c>
      <c r="L1007" t="str">
        <f>K58</f>
        <v>H1a1a4b2a1a~</v>
      </c>
      <c r="O1007">
        <v>6952579.0</v>
      </c>
      <c r="P1007">
        <v>7084538.0</v>
      </c>
      <c r="Q1007" t="s">
        <v>423</v>
      </c>
      <c r="R1007" s="5"/>
      <c r="S1007" s="5"/>
      <c r="T1007" s="5"/>
      <c r="U1007" s="5"/>
      <c r="V1007" s="5"/>
      <c r="W1007" s="5"/>
      <c r="X1007" s="5"/>
      <c r="Y1007" s="5"/>
      <c r="Z1007" s="5"/>
      <c r="AA1007" s="5"/>
      <c r="AB1007" s="5"/>
      <c r="AC1007" s="5"/>
      <c r="AD1007" s="5"/>
      <c r="AE1007" s="5"/>
      <c r="AF1007" s="5"/>
      <c r="AG1007" s="5"/>
    </row>
    <row r="1008" ht="15.75" customHeight="1">
      <c r="K1008" t="s">
        <v>1696</v>
      </c>
      <c r="L1008" t="str">
        <f>K58</f>
        <v>H1a1a4b2a1a~</v>
      </c>
      <c r="O1008">
        <v>1.4131468E7</v>
      </c>
      <c r="P1008">
        <v>1.2010762E7</v>
      </c>
      <c r="Q1008" t="s">
        <v>525</v>
      </c>
      <c r="R1008" s="5"/>
      <c r="S1008" s="5"/>
      <c r="T1008" s="5"/>
      <c r="U1008" s="5"/>
      <c r="V1008" s="5"/>
      <c r="W1008" s="5"/>
      <c r="X1008" s="5"/>
      <c r="Y1008" s="5"/>
      <c r="Z1008" s="5"/>
      <c r="AA1008" s="5"/>
      <c r="AB1008" s="5"/>
      <c r="AC1008" s="5"/>
      <c r="AD1008" s="5"/>
      <c r="AE1008" s="5"/>
      <c r="AF1008" s="5"/>
      <c r="AG1008" s="5"/>
    </row>
    <row r="1009" ht="15.75" customHeight="1">
      <c r="K1009" t="s">
        <v>1697</v>
      </c>
      <c r="L1009" t="str">
        <f>K58</f>
        <v>H1a1a4b2a1a~</v>
      </c>
      <c r="O1009">
        <v>1.5091715E7</v>
      </c>
      <c r="P1009">
        <v>1.2979804E7</v>
      </c>
      <c r="Q1009" t="s">
        <v>525</v>
      </c>
      <c r="R1009" s="5"/>
      <c r="S1009" s="5"/>
      <c r="T1009" s="5"/>
      <c r="U1009" s="5"/>
      <c r="V1009" s="5"/>
      <c r="W1009" s="5"/>
      <c r="X1009" s="5"/>
      <c r="Y1009" s="5"/>
      <c r="Z1009" s="5"/>
      <c r="AA1009" s="5"/>
      <c r="AB1009" s="5"/>
      <c r="AC1009" s="5"/>
      <c r="AD1009" s="5"/>
      <c r="AE1009" s="5"/>
      <c r="AF1009" s="5"/>
      <c r="AG1009" s="5"/>
    </row>
    <row r="1010" ht="15.75" customHeight="1">
      <c r="K1010" t="s">
        <v>1698</v>
      </c>
      <c r="L1010" t="str">
        <f>K58</f>
        <v>H1a1a4b2a1a~</v>
      </c>
      <c r="O1010">
        <v>1.5367185E7</v>
      </c>
      <c r="P1010">
        <v>1.3255305E7</v>
      </c>
      <c r="Q1010" t="s">
        <v>423</v>
      </c>
      <c r="R1010" s="5"/>
      <c r="S1010" s="5"/>
      <c r="T1010" s="5"/>
      <c r="U1010" s="5"/>
      <c r="V1010" s="5"/>
      <c r="W1010" s="5"/>
      <c r="X1010" s="5"/>
      <c r="Y1010" s="5"/>
      <c r="Z1010" s="5"/>
      <c r="AA1010" s="5"/>
      <c r="AB1010" s="5"/>
      <c r="AC1010" s="5"/>
      <c r="AD1010" s="5"/>
      <c r="AE1010" s="5"/>
      <c r="AF1010" s="5"/>
      <c r="AG1010" s="5"/>
    </row>
    <row r="1011" ht="15.75" customHeight="1">
      <c r="K1011" t="s">
        <v>1699</v>
      </c>
      <c r="L1011" t="str">
        <f t="shared" ref="L1011:L1012" si="10">K58</f>
        <v>H1a1a4b2a1a~</v>
      </c>
      <c r="O1011">
        <v>1.5534839E7</v>
      </c>
      <c r="P1011">
        <v>1.3422959E7</v>
      </c>
      <c r="Q1011" t="s">
        <v>476</v>
      </c>
      <c r="R1011" s="5"/>
      <c r="S1011" s="5"/>
      <c r="T1011" s="5"/>
      <c r="U1011" s="5"/>
      <c r="V1011" s="5"/>
      <c r="W1011" s="5"/>
      <c r="X1011" s="5"/>
      <c r="Y1011" s="5"/>
      <c r="Z1011" s="5"/>
      <c r="AA1011" s="5"/>
      <c r="AB1011" s="5"/>
      <c r="AC1011" s="5"/>
      <c r="AD1011" s="5"/>
      <c r="AE1011" s="5"/>
      <c r="AF1011" s="5"/>
      <c r="AG1011" s="5"/>
    </row>
    <row r="1012" ht="15.75" customHeight="1">
      <c r="K1012" t="s">
        <v>1700</v>
      </c>
      <c r="L1012" t="str">
        <f t="shared" si="10"/>
        <v>H1a1a4b2a1b~</v>
      </c>
      <c r="O1012">
        <v>2788450.0</v>
      </c>
      <c r="P1012">
        <v>2920409.0</v>
      </c>
      <c r="Q1012" t="s">
        <v>431</v>
      </c>
      <c r="R1012" s="5"/>
      <c r="S1012" s="5"/>
      <c r="T1012" s="5"/>
      <c r="U1012" s="5"/>
      <c r="V1012" s="5"/>
      <c r="W1012" s="5"/>
      <c r="X1012" s="5"/>
      <c r="Y1012" s="5"/>
      <c r="Z1012" s="5"/>
      <c r="AA1012" s="5"/>
      <c r="AB1012" s="5"/>
      <c r="AC1012" s="5"/>
      <c r="AD1012" s="5"/>
      <c r="AE1012" s="5"/>
      <c r="AF1012" s="5"/>
      <c r="AG1012" s="5"/>
    </row>
    <row r="1013" ht="15.75" customHeight="1">
      <c r="K1013" t="s">
        <v>1701</v>
      </c>
      <c r="L1013" t="str">
        <f>K59</f>
        <v>H1a1a4b2a1b~</v>
      </c>
      <c r="O1013">
        <v>6592169.0</v>
      </c>
      <c r="P1013">
        <v>6724128.0</v>
      </c>
      <c r="Q1013" t="s">
        <v>419</v>
      </c>
      <c r="R1013" s="5"/>
      <c r="S1013" s="5"/>
      <c r="T1013" s="5"/>
      <c r="U1013" s="5"/>
      <c r="V1013" s="5"/>
      <c r="W1013" s="5"/>
      <c r="X1013" s="5"/>
      <c r="Y1013" s="5"/>
      <c r="Z1013" s="5"/>
      <c r="AA1013" s="5"/>
      <c r="AB1013" s="5"/>
      <c r="AC1013" s="5"/>
      <c r="AD1013" s="5"/>
      <c r="AE1013" s="5"/>
      <c r="AF1013" s="5"/>
      <c r="AG1013" s="5"/>
    </row>
    <row r="1014" ht="15.75" customHeight="1">
      <c r="K1014" t="s">
        <v>1702</v>
      </c>
      <c r="L1014" t="str">
        <f>K59</f>
        <v>H1a1a4b2a1b~</v>
      </c>
      <c r="N1014" t="s">
        <v>1703</v>
      </c>
      <c r="O1014">
        <v>6645886.0</v>
      </c>
      <c r="P1014">
        <v>6777845.0</v>
      </c>
      <c r="Q1014" t="s">
        <v>419</v>
      </c>
      <c r="R1014" s="5"/>
      <c r="S1014" s="5"/>
      <c r="T1014" s="5"/>
      <c r="U1014" s="5"/>
      <c r="V1014" s="5"/>
      <c r="W1014" s="5"/>
      <c r="X1014" s="5"/>
      <c r="Y1014" s="5"/>
      <c r="Z1014" s="5"/>
      <c r="AA1014" s="5"/>
      <c r="AB1014" s="5"/>
      <c r="AC1014" s="5"/>
      <c r="AD1014" s="5"/>
      <c r="AE1014" s="5"/>
      <c r="AF1014" s="5"/>
      <c r="AG1014" s="5"/>
    </row>
    <row r="1015" ht="15.75" customHeight="1">
      <c r="K1015" t="s">
        <v>1704</v>
      </c>
      <c r="L1015" t="str">
        <f>K59</f>
        <v>H1a1a4b2a1b~</v>
      </c>
      <c r="O1015">
        <v>6773054.0</v>
      </c>
      <c r="P1015">
        <v>6905013.0</v>
      </c>
      <c r="Q1015" t="s">
        <v>423</v>
      </c>
      <c r="R1015" s="5"/>
      <c r="S1015" s="5"/>
      <c r="T1015" s="5"/>
      <c r="U1015" s="5"/>
      <c r="V1015" s="5"/>
      <c r="W1015" s="5"/>
      <c r="X1015" s="5"/>
      <c r="Y1015" s="5"/>
      <c r="Z1015" s="5"/>
      <c r="AA1015" s="5"/>
      <c r="AB1015" s="5"/>
      <c r="AC1015" s="5"/>
      <c r="AD1015" s="5"/>
      <c r="AE1015" s="5"/>
      <c r="AF1015" s="5"/>
      <c r="AG1015" s="5"/>
    </row>
    <row r="1016" ht="15.75" customHeight="1">
      <c r="K1016" t="s">
        <v>1705</v>
      </c>
      <c r="L1016" t="str">
        <f>J60</f>
        <v>H1a1a4b2a2~</v>
      </c>
      <c r="O1016">
        <v>6759871.0</v>
      </c>
      <c r="P1016">
        <v>6891830.0</v>
      </c>
      <c r="Q1016" t="s">
        <v>435</v>
      </c>
      <c r="R1016" s="5"/>
      <c r="S1016" s="5"/>
      <c r="T1016" s="5"/>
      <c r="U1016" s="5"/>
      <c r="V1016" s="5"/>
      <c r="W1016" s="5"/>
      <c r="X1016" s="5"/>
      <c r="Y1016" s="5"/>
      <c r="Z1016" s="5"/>
      <c r="AA1016" s="5"/>
      <c r="AB1016" s="5"/>
      <c r="AC1016" s="5"/>
      <c r="AD1016" s="5"/>
      <c r="AE1016" s="5"/>
      <c r="AF1016" s="5"/>
      <c r="AG1016" s="5"/>
    </row>
    <row r="1017" ht="15.75" customHeight="1">
      <c r="K1017" t="s">
        <v>1706</v>
      </c>
      <c r="L1017" t="str">
        <f>J60</f>
        <v>H1a1a4b2a2~</v>
      </c>
      <c r="N1017" t="s">
        <v>1707</v>
      </c>
      <c r="O1017">
        <v>6911047.0</v>
      </c>
      <c r="P1017">
        <v>7043006.0</v>
      </c>
      <c r="Q1017" t="s">
        <v>423</v>
      </c>
      <c r="R1017" s="5"/>
      <c r="S1017" s="5"/>
      <c r="T1017" s="5"/>
      <c r="U1017" s="5"/>
      <c r="V1017" s="5"/>
      <c r="W1017" s="5"/>
      <c r="X1017" s="5"/>
      <c r="Y1017" s="5"/>
      <c r="Z1017" s="5"/>
      <c r="AA1017" s="5"/>
      <c r="AB1017" s="5"/>
      <c r="AC1017" s="5"/>
      <c r="AD1017" s="5"/>
      <c r="AE1017" s="5"/>
      <c r="AF1017" s="5"/>
      <c r="AG1017" s="5"/>
    </row>
    <row r="1018" ht="15.75" customHeight="1">
      <c r="K1018" t="s">
        <v>1708</v>
      </c>
      <c r="L1018" t="str">
        <f>J60</f>
        <v>H1a1a4b2a2~</v>
      </c>
      <c r="N1018" t="s">
        <v>1709</v>
      </c>
      <c r="O1018">
        <v>7635376.0</v>
      </c>
      <c r="P1018">
        <v>7767335.0</v>
      </c>
      <c r="Q1018" t="s">
        <v>431</v>
      </c>
      <c r="R1018" s="5"/>
      <c r="S1018" s="5"/>
      <c r="T1018" s="5"/>
      <c r="U1018" s="5"/>
      <c r="V1018" s="5"/>
      <c r="W1018" s="5"/>
      <c r="X1018" s="5"/>
      <c r="Y1018" s="5"/>
      <c r="Z1018" s="5"/>
      <c r="AA1018" s="5"/>
      <c r="AB1018" s="5"/>
      <c r="AC1018" s="5"/>
      <c r="AD1018" s="5"/>
      <c r="AE1018" s="5"/>
      <c r="AF1018" s="5"/>
      <c r="AG1018" s="5"/>
    </row>
    <row r="1019" ht="15.75" customHeight="1">
      <c r="K1019" t="s">
        <v>1710</v>
      </c>
      <c r="L1019" t="str">
        <f>J60</f>
        <v>H1a1a4b2a2~</v>
      </c>
      <c r="N1019" t="s">
        <v>1711</v>
      </c>
      <c r="O1019">
        <v>7693935.0</v>
      </c>
      <c r="P1019">
        <v>7825894.0</v>
      </c>
      <c r="Q1019" t="s">
        <v>431</v>
      </c>
      <c r="R1019" s="5"/>
      <c r="S1019" s="5"/>
      <c r="T1019" s="5"/>
      <c r="U1019" s="5"/>
      <c r="V1019" s="5"/>
      <c r="W1019" s="5"/>
      <c r="X1019" s="5"/>
      <c r="Y1019" s="5"/>
      <c r="Z1019" s="5"/>
      <c r="AA1019" s="5"/>
      <c r="AB1019" s="5"/>
      <c r="AC1019" s="5"/>
      <c r="AD1019" s="5"/>
      <c r="AE1019" s="5"/>
      <c r="AF1019" s="5"/>
      <c r="AG1019" s="5"/>
    </row>
    <row r="1020" ht="15.75" customHeight="1">
      <c r="K1020" t="s">
        <v>1712</v>
      </c>
      <c r="L1020" t="str">
        <f>J60</f>
        <v>H1a1a4b2a2~</v>
      </c>
      <c r="N1020" t="s">
        <v>1713</v>
      </c>
      <c r="O1020">
        <v>8301787.0</v>
      </c>
      <c r="P1020">
        <v>8433746.0</v>
      </c>
      <c r="Q1020" t="s">
        <v>473</v>
      </c>
      <c r="R1020" s="5"/>
      <c r="S1020" s="5"/>
      <c r="T1020" s="5"/>
      <c r="U1020" s="5"/>
      <c r="V1020" s="5"/>
      <c r="W1020" s="5"/>
      <c r="X1020" s="5"/>
      <c r="Y1020" s="5"/>
      <c r="Z1020" s="5"/>
      <c r="AA1020" s="5"/>
      <c r="AB1020" s="5"/>
      <c r="AC1020" s="5"/>
      <c r="AD1020" s="5"/>
      <c r="AE1020" s="5"/>
      <c r="AF1020" s="5"/>
      <c r="AG1020" s="5"/>
    </row>
    <row r="1021" ht="15.75" customHeight="1">
      <c r="K1021" t="s">
        <v>1714</v>
      </c>
      <c r="L1021" t="str">
        <f>I61</f>
        <v>H1a1a4b2b</v>
      </c>
      <c r="N1021" t="s">
        <v>1715</v>
      </c>
      <c r="O1021">
        <v>1.4472817E7</v>
      </c>
      <c r="P1021">
        <v>1.2352086E7</v>
      </c>
      <c r="Q1021" t="s">
        <v>423</v>
      </c>
      <c r="R1021" s="5"/>
      <c r="S1021" s="5"/>
      <c r="T1021" s="5"/>
      <c r="U1021" s="5"/>
      <c r="V1021" s="5"/>
      <c r="W1021" s="5"/>
      <c r="X1021" s="5"/>
      <c r="Y1021" s="5"/>
      <c r="Z1021" s="5"/>
      <c r="AA1021" s="5"/>
      <c r="AB1021" s="5"/>
      <c r="AC1021" s="5"/>
      <c r="AD1021" s="5"/>
      <c r="AE1021" s="5"/>
      <c r="AF1021" s="5"/>
      <c r="AG1021" s="5"/>
    </row>
    <row r="1022" ht="15.75" customHeight="1">
      <c r="K1022" t="s">
        <v>1716</v>
      </c>
      <c r="L1022" t="str">
        <f>I61</f>
        <v>H1a1a4b2b</v>
      </c>
      <c r="N1022" t="s">
        <v>1717</v>
      </c>
      <c r="O1022">
        <v>1.4064565E7</v>
      </c>
      <c r="P1022">
        <v>1.1943859E7</v>
      </c>
      <c r="Q1022" t="s">
        <v>431</v>
      </c>
      <c r="R1022" s="5"/>
      <c r="S1022" s="5"/>
      <c r="T1022" s="5"/>
      <c r="U1022" s="5"/>
      <c r="V1022" s="5"/>
      <c r="W1022" s="5"/>
      <c r="X1022" s="5"/>
      <c r="Y1022" s="5"/>
      <c r="Z1022" s="5"/>
      <c r="AA1022" s="5"/>
      <c r="AB1022" s="5"/>
      <c r="AC1022" s="5"/>
      <c r="AD1022" s="5"/>
      <c r="AE1022" s="5"/>
      <c r="AF1022" s="5"/>
      <c r="AG1022" s="5"/>
    </row>
    <row r="1023" ht="15.75" customHeight="1">
      <c r="K1023" t="s">
        <v>1718</v>
      </c>
      <c r="L1023" t="str">
        <f>I61</f>
        <v>H1a1a4b2b</v>
      </c>
      <c r="N1023" t="s">
        <v>1719</v>
      </c>
      <c r="O1023">
        <v>1.5771898E7</v>
      </c>
      <c r="P1023">
        <v>1.3660018E7</v>
      </c>
      <c r="Q1023" t="s">
        <v>452</v>
      </c>
      <c r="R1023" s="5"/>
      <c r="S1023" s="5"/>
      <c r="T1023" s="5"/>
      <c r="U1023" s="5"/>
      <c r="V1023" s="5"/>
      <c r="W1023" s="5"/>
      <c r="X1023" s="5"/>
      <c r="Y1023" s="5"/>
      <c r="Z1023" s="5"/>
      <c r="AA1023" s="5"/>
      <c r="AB1023" s="5"/>
      <c r="AC1023" s="5"/>
      <c r="AD1023" s="5"/>
      <c r="AE1023" s="5"/>
      <c r="AF1023" s="5"/>
      <c r="AG1023" s="5"/>
    </row>
    <row r="1024" ht="15.75" customHeight="1">
      <c r="K1024" t="s">
        <v>1720</v>
      </c>
      <c r="L1024" t="str">
        <f>I61</f>
        <v>H1a1a4b2b</v>
      </c>
      <c r="N1024" t="s">
        <v>1721</v>
      </c>
      <c r="O1024">
        <v>1.7126957E7</v>
      </c>
      <c r="P1024">
        <v>1.5015077E7</v>
      </c>
      <c r="Q1024" t="s">
        <v>419</v>
      </c>
      <c r="R1024" s="5"/>
      <c r="S1024" s="5"/>
      <c r="T1024" s="5"/>
      <c r="U1024" s="5"/>
      <c r="V1024" s="5"/>
      <c r="W1024" s="5"/>
      <c r="X1024" s="5"/>
      <c r="Y1024" s="5"/>
      <c r="Z1024" s="5"/>
      <c r="AA1024" s="5"/>
      <c r="AB1024" s="5"/>
      <c r="AC1024" s="5"/>
      <c r="AD1024" s="5"/>
      <c r="AE1024" s="5"/>
      <c r="AF1024" s="5"/>
      <c r="AG1024" s="5"/>
    </row>
    <row r="1025" ht="15.75" customHeight="1">
      <c r="K1025" t="s">
        <v>1722</v>
      </c>
      <c r="L1025" t="str">
        <f>I61</f>
        <v>H1a1a4b2b</v>
      </c>
      <c r="N1025" t="s">
        <v>1723</v>
      </c>
      <c r="O1025">
        <v>1.9010742E7</v>
      </c>
      <c r="P1025">
        <v>1.6898862E7</v>
      </c>
      <c r="Q1025" t="s">
        <v>431</v>
      </c>
      <c r="R1025" s="5"/>
      <c r="S1025" s="5"/>
      <c r="T1025" s="5"/>
      <c r="U1025" s="5"/>
      <c r="V1025" s="5"/>
      <c r="W1025" s="5"/>
      <c r="X1025" s="5"/>
      <c r="Y1025" s="5"/>
      <c r="Z1025" s="5"/>
      <c r="AA1025" s="5"/>
      <c r="AB1025" s="5"/>
      <c r="AC1025" s="5"/>
      <c r="AD1025" s="5"/>
      <c r="AE1025" s="5"/>
      <c r="AF1025" s="5"/>
      <c r="AG1025" s="5"/>
    </row>
    <row r="1026" ht="15.75" customHeight="1">
      <c r="K1026" t="s">
        <v>1724</v>
      </c>
      <c r="L1026" t="str">
        <f>I61</f>
        <v>H1a1a4b2b</v>
      </c>
      <c r="N1026" t="s">
        <v>1725</v>
      </c>
      <c r="O1026">
        <v>2.2976814E7</v>
      </c>
      <c r="P1026">
        <v>2.0814928E7</v>
      </c>
      <c r="Q1026" t="s">
        <v>423</v>
      </c>
      <c r="R1026" s="5"/>
      <c r="S1026" s="5"/>
      <c r="T1026" s="5"/>
      <c r="U1026" s="5"/>
      <c r="V1026" s="5"/>
      <c r="W1026" s="5"/>
      <c r="X1026" s="5"/>
      <c r="Y1026" s="5"/>
      <c r="Z1026" s="5"/>
      <c r="AA1026" s="5"/>
      <c r="AB1026" s="5"/>
      <c r="AC1026" s="5"/>
      <c r="AD1026" s="5"/>
      <c r="AE1026" s="5"/>
      <c r="AF1026" s="5"/>
      <c r="AG1026" s="5"/>
    </row>
    <row r="1027" ht="15.75" customHeight="1">
      <c r="K1027" t="s">
        <v>1726</v>
      </c>
      <c r="L1027" t="str">
        <f>J62</f>
        <v>H1a1a4b2b1</v>
      </c>
      <c r="N1027" t="s">
        <v>1727</v>
      </c>
      <c r="O1027">
        <v>2846352.0</v>
      </c>
      <c r="P1027">
        <v>2978311.0</v>
      </c>
      <c r="Q1027" t="s">
        <v>419</v>
      </c>
      <c r="R1027" s="5"/>
      <c r="S1027" s="5"/>
      <c r="T1027" s="5"/>
      <c r="U1027" s="5"/>
      <c r="V1027" s="5"/>
      <c r="W1027" s="5"/>
      <c r="X1027" s="5"/>
      <c r="Y1027" s="5"/>
      <c r="Z1027" s="5"/>
      <c r="AA1027" s="5"/>
      <c r="AB1027" s="5"/>
      <c r="AC1027" s="5"/>
      <c r="AD1027" s="5"/>
      <c r="AE1027" s="5"/>
      <c r="AF1027" s="5"/>
      <c r="AG1027" s="5"/>
    </row>
    <row r="1028" ht="15.75" customHeight="1">
      <c r="K1028" t="s">
        <v>1728</v>
      </c>
      <c r="L1028" t="str">
        <f>J62</f>
        <v>H1a1a4b2b1</v>
      </c>
      <c r="N1028" t="s">
        <v>1729</v>
      </c>
      <c r="O1028">
        <v>2.1583372E7</v>
      </c>
      <c r="P1028">
        <v>1.9421486E7</v>
      </c>
      <c r="Q1028" t="s">
        <v>419</v>
      </c>
      <c r="R1028" s="5"/>
      <c r="S1028" s="5"/>
      <c r="T1028" s="5"/>
      <c r="U1028" s="5"/>
      <c r="V1028" s="5"/>
      <c r="W1028" s="5"/>
      <c r="X1028" s="5"/>
      <c r="Y1028" s="5"/>
      <c r="Z1028" s="5"/>
      <c r="AA1028" s="5"/>
      <c r="AB1028" s="5"/>
      <c r="AC1028" s="5"/>
      <c r="AD1028" s="5"/>
      <c r="AE1028" s="5"/>
      <c r="AF1028" s="5"/>
      <c r="AG1028" s="5"/>
    </row>
    <row r="1029" ht="15.75" customHeight="1">
      <c r="K1029" t="s">
        <v>1730</v>
      </c>
      <c r="L1029" t="str">
        <f>J62</f>
        <v>H1a1a4b2b1</v>
      </c>
      <c r="N1029" t="s">
        <v>1731</v>
      </c>
      <c r="O1029">
        <v>7015692.0</v>
      </c>
      <c r="P1029">
        <v>7147651.0</v>
      </c>
      <c r="Q1029" t="s">
        <v>452</v>
      </c>
      <c r="R1029" s="5"/>
      <c r="S1029" s="5"/>
      <c r="T1029" s="5"/>
      <c r="U1029" s="5"/>
      <c r="V1029" s="5"/>
      <c r="W1029" s="5"/>
      <c r="X1029" s="5"/>
      <c r="Y1029" s="5"/>
      <c r="Z1029" s="5"/>
      <c r="AA1029" s="5"/>
      <c r="AB1029" s="5"/>
      <c r="AC1029" s="5"/>
      <c r="AD1029" s="5"/>
      <c r="AE1029" s="5"/>
      <c r="AF1029" s="5"/>
      <c r="AG1029" s="5"/>
    </row>
    <row r="1030" ht="15.75" customHeight="1">
      <c r="K1030" t="s">
        <v>1732</v>
      </c>
      <c r="L1030" t="str">
        <f>J62</f>
        <v>H1a1a4b2b1</v>
      </c>
      <c r="N1030" t="s">
        <v>1733</v>
      </c>
      <c r="O1030">
        <v>8104209.0</v>
      </c>
      <c r="P1030">
        <v>8236168.0</v>
      </c>
      <c r="Q1030" t="s">
        <v>435</v>
      </c>
      <c r="R1030" s="5"/>
      <c r="S1030" s="5"/>
      <c r="T1030" s="5"/>
      <c r="U1030" s="5"/>
      <c r="V1030" s="5"/>
      <c r="W1030" s="5"/>
      <c r="X1030" s="5"/>
      <c r="Y1030" s="5"/>
      <c r="Z1030" s="5"/>
      <c r="AA1030" s="5"/>
      <c r="AB1030" s="5"/>
      <c r="AC1030" s="5"/>
      <c r="AD1030" s="5"/>
      <c r="AE1030" s="5"/>
      <c r="AF1030" s="5"/>
      <c r="AG1030" s="5"/>
    </row>
    <row r="1031" ht="15.75" customHeight="1">
      <c r="K1031" t="s">
        <v>1734</v>
      </c>
      <c r="L1031" t="str">
        <f>J62</f>
        <v>H1a1a4b2b1</v>
      </c>
      <c r="N1031" t="s">
        <v>1735</v>
      </c>
      <c r="O1031">
        <v>8411473.0</v>
      </c>
      <c r="P1031">
        <v>8543432.0</v>
      </c>
      <c r="Q1031" t="s">
        <v>435</v>
      </c>
      <c r="R1031" s="5"/>
      <c r="S1031" s="5"/>
      <c r="T1031" s="5"/>
      <c r="U1031" s="5"/>
      <c r="V1031" s="5"/>
      <c r="W1031" s="5"/>
      <c r="X1031" s="5"/>
      <c r="Y1031" s="5"/>
      <c r="Z1031" s="5"/>
      <c r="AA1031" s="5"/>
      <c r="AB1031" s="5"/>
      <c r="AC1031" s="5"/>
      <c r="AD1031" s="5"/>
      <c r="AE1031" s="5"/>
      <c r="AF1031" s="5"/>
      <c r="AG1031" s="5"/>
    </row>
    <row r="1032" ht="15.75" customHeight="1">
      <c r="K1032" t="s">
        <v>1736</v>
      </c>
      <c r="L1032" t="str">
        <f>J62</f>
        <v>H1a1a4b2b1</v>
      </c>
      <c r="N1032" t="s">
        <v>1737</v>
      </c>
      <c r="O1032">
        <v>8560285.0</v>
      </c>
      <c r="P1032">
        <v>8692244.0</v>
      </c>
      <c r="Q1032" t="s">
        <v>435</v>
      </c>
      <c r="R1032" s="5"/>
      <c r="S1032" s="5"/>
      <c r="T1032" s="5"/>
      <c r="U1032" s="5"/>
      <c r="V1032" s="5"/>
      <c r="W1032" s="5"/>
      <c r="X1032" s="5"/>
      <c r="Y1032" s="5"/>
      <c r="Z1032" s="5"/>
      <c r="AA1032" s="5"/>
      <c r="AB1032" s="5"/>
      <c r="AC1032" s="5"/>
      <c r="AD1032" s="5"/>
      <c r="AE1032" s="5"/>
      <c r="AF1032" s="5"/>
      <c r="AG1032" s="5"/>
    </row>
    <row r="1033" ht="15.75" customHeight="1">
      <c r="K1033" t="s">
        <v>1738</v>
      </c>
      <c r="L1033" t="str">
        <f>J62</f>
        <v>H1a1a4b2b1</v>
      </c>
      <c r="N1033" t="s">
        <v>1739</v>
      </c>
      <c r="O1033">
        <v>8623752.0</v>
      </c>
      <c r="P1033">
        <v>8755711.0</v>
      </c>
      <c r="Q1033" t="s">
        <v>473</v>
      </c>
      <c r="R1033" s="5"/>
      <c r="S1033" s="5"/>
      <c r="T1033" s="5"/>
      <c r="U1033" s="5"/>
      <c r="V1033" s="5"/>
      <c r="W1033" s="5"/>
      <c r="X1033" s="5"/>
      <c r="Y1033" s="5"/>
      <c r="Z1033" s="5"/>
      <c r="AA1033" s="5"/>
      <c r="AB1033" s="5"/>
      <c r="AC1033" s="5"/>
      <c r="AD1033" s="5"/>
      <c r="AE1033" s="5"/>
      <c r="AF1033" s="5"/>
      <c r="AG1033" s="5"/>
    </row>
    <row r="1034" ht="15.75" customHeight="1">
      <c r="K1034" t="s">
        <v>1740</v>
      </c>
      <c r="L1034" t="str">
        <f>J62</f>
        <v>H1a1a4b2b1</v>
      </c>
      <c r="O1034">
        <v>9405230.0</v>
      </c>
      <c r="P1034">
        <v>9567621.0</v>
      </c>
      <c r="Q1034" t="s">
        <v>419</v>
      </c>
      <c r="R1034" s="5"/>
      <c r="S1034" s="5"/>
      <c r="T1034" s="5"/>
      <c r="U1034" s="5"/>
      <c r="V1034" s="5"/>
      <c r="W1034" s="5"/>
      <c r="X1034" s="5"/>
      <c r="Y1034" s="5"/>
      <c r="Z1034" s="5"/>
      <c r="AA1034" s="5"/>
      <c r="AB1034" s="5"/>
      <c r="AC1034" s="5"/>
      <c r="AD1034" s="5"/>
      <c r="AE1034" s="5"/>
      <c r="AF1034" s="5"/>
      <c r="AG1034" s="5"/>
    </row>
    <row r="1035" ht="15.75" customHeight="1">
      <c r="K1035" t="s">
        <v>1741</v>
      </c>
      <c r="L1035" t="str">
        <f>J62</f>
        <v>H1a1a4b2b1</v>
      </c>
      <c r="O1035">
        <v>9485044.0</v>
      </c>
      <c r="P1035">
        <v>9647435.0</v>
      </c>
      <c r="Q1035" t="s">
        <v>435</v>
      </c>
      <c r="R1035" s="5"/>
      <c r="S1035" s="5"/>
      <c r="T1035" s="5"/>
      <c r="U1035" s="5"/>
      <c r="V1035" s="5"/>
      <c r="W1035" s="5"/>
      <c r="X1035" s="5"/>
      <c r="Y1035" s="5"/>
      <c r="Z1035" s="5"/>
      <c r="AA1035" s="5"/>
      <c r="AB1035" s="5"/>
      <c r="AC1035" s="5"/>
      <c r="AD1035" s="5"/>
      <c r="AE1035" s="5"/>
      <c r="AF1035" s="5"/>
      <c r="AG1035" s="5"/>
    </row>
    <row r="1036" ht="15.75" customHeight="1">
      <c r="K1036" t="s">
        <v>1742</v>
      </c>
      <c r="L1036" t="str">
        <f>J62</f>
        <v>H1a1a4b2b1</v>
      </c>
      <c r="N1036" t="s">
        <v>1743</v>
      </c>
      <c r="O1036">
        <v>1.419801E7</v>
      </c>
      <c r="P1036">
        <v>1.2077304E7</v>
      </c>
      <c r="Q1036" t="s">
        <v>423</v>
      </c>
      <c r="R1036" s="5"/>
      <c r="S1036" s="5"/>
      <c r="T1036" s="5"/>
      <c r="U1036" s="5"/>
      <c r="V1036" s="5"/>
      <c r="W1036" s="5"/>
      <c r="X1036" s="5"/>
      <c r="Y1036" s="5"/>
      <c r="Z1036" s="5"/>
      <c r="AA1036" s="5"/>
      <c r="AB1036" s="5"/>
      <c r="AC1036" s="5"/>
      <c r="AD1036" s="5"/>
      <c r="AE1036" s="5"/>
      <c r="AF1036" s="5"/>
      <c r="AG1036" s="5"/>
    </row>
    <row r="1037" ht="15.75" customHeight="1">
      <c r="K1037" t="s">
        <v>1744</v>
      </c>
      <c r="L1037" t="str">
        <f>J62</f>
        <v>H1a1a4b2b1</v>
      </c>
      <c r="N1037" t="s">
        <v>1745</v>
      </c>
      <c r="O1037">
        <v>1.5486158E7</v>
      </c>
      <c r="P1037">
        <v>1.3374278E7</v>
      </c>
      <c r="Q1037" t="s">
        <v>423</v>
      </c>
      <c r="R1037" s="5"/>
      <c r="S1037" s="5"/>
      <c r="T1037" s="5"/>
      <c r="U1037" s="5"/>
      <c r="V1037" s="5"/>
      <c r="W1037" s="5"/>
      <c r="X1037" s="5"/>
      <c r="Y1037" s="5"/>
      <c r="Z1037" s="5"/>
      <c r="AA1037" s="5"/>
      <c r="AB1037" s="5"/>
      <c r="AC1037" s="5"/>
      <c r="AD1037" s="5"/>
      <c r="AE1037" s="5"/>
      <c r="AF1037" s="5"/>
      <c r="AG1037" s="5"/>
    </row>
    <row r="1038" ht="15.75" customHeight="1">
      <c r="K1038" t="s">
        <v>1746</v>
      </c>
      <c r="L1038" t="str">
        <f>J62</f>
        <v>H1a1a4b2b1</v>
      </c>
      <c r="O1038">
        <v>1.6086876E7</v>
      </c>
      <c r="P1038">
        <v>1.3974996E7</v>
      </c>
      <c r="Q1038" t="s">
        <v>435</v>
      </c>
      <c r="R1038" s="5"/>
      <c r="S1038" s="5"/>
      <c r="T1038" s="5"/>
      <c r="U1038" s="5"/>
      <c r="V1038" s="5"/>
      <c r="W1038" s="5"/>
      <c r="X1038" s="5"/>
      <c r="Y1038" s="5"/>
      <c r="Z1038" s="5"/>
      <c r="AA1038" s="5"/>
      <c r="AB1038" s="5"/>
      <c r="AC1038" s="5"/>
      <c r="AD1038" s="5"/>
      <c r="AE1038" s="5"/>
      <c r="AF1038" s="5"/>
      <c r="AG1038" s="5"/>
    </row>
    <row r="1039" ht="15.75" customHeight="1">
      <c r="K1039" t="s">
        <v>1747</v>
      </c>
      <c r="L1039" t="str">
        <f>J62</f>
        <v>H1a1a4b2b1</v>
      </c>
      <c r="O1039">
        <v>1.6183437E7</v>
      </c>
      <c r="P1039">
        <v>1.4071557E7</v>
      </c>
      <c r="Q1039" t="s">
        <v>431</v>
      </c>
      <c r="R1039" s="5"/>
      <c r="S1039" s="5"/>
      <c r="T1039" s="5"/>
      <c r="U1039" s="5"/>
      <c r="V1039" s="5"/>
      <c r="W1039" s="5"/>
      <c r="X1039" s="5"/>
      <c r="Y1039" s="5"/>
      <c r="Z1039" s="5"/>
      <c r="AA1039" s="5"/>
      <c r="AB1039" s="5"/>
      <c r="AC1039" s="5"/>
      <c r="AD1039" s="5"/>
      <c r="AE1039" s="5"/>
      <c r="AF1039" s="5"/>
      <c r="AG1039" s="5"/>
    </row>
    <row r="1040" ht="15.75" customHeight="1">
      <c r="K1040" t="s">
        <v>1748</v>
      </c>
      <c r="L1040" t="str">
        <f>J62</f>
        <v>H1a1a4b2b1</v>
      </c>
      <c r="N1040" t="s">
        <v>1749</v>
      </c>
      <c r="O1040">
        <v>1.704482E7</v>
      </c>
      <c r="P1040">
        <v>1.493294E7</v>
      </c>
      <c r="Q1040" t="s">
        <v>423</v>
      </c>
      <c r="R1040" s="5"/>
      <c r="S1040" s="5"/>
      <c r="T1040" s="5"/>
      <c r="U1040" s="5"/>
      <c r="V1040" s="5"/>
      <c r="W1040" s="5"/>
      <c r="X1040" s="5"/>
      <c r="Y1040" s="5"/>
      <c r="Z1040" s="5"/>
      <c r="AA1040" s="5"/>
      <c r="AB1040" s="5"/>
      <c r="AC1040" s="5"/>
      <c r="AD1040" s="5"/>
      <c r="AE1040" s="5"/>
      <c r="AF1040" s="5"/>
      <c r="AG1040" s="5"/>
    </row>
    <row r="1041" ht="15.75" customHeight="1">
      <c r="K1041" t="s">
        <v>1750</v>
      </c>
      <c r="L1041" t="str">
        <f>J62</f>
        <v>H1a1a4b2b1</v>
      </c>
      <c r="N1041" t="s">
        <v>1751</v>
      </c>
      <c r="O1041">
        <v>1.7247006E7</v>
      </c>
      <c r="P1041">
        <v>1.5135126E7</v>
      </c>
      <c r="Q1041" t="s">
        <v>435</v>
      </c>
      <c r="R1041" s="5"/>
      <c r="S1041" s="5"/>
      <c r="T1041" s="5"/>
      <c r="U1041" s="5"/>
      <c r="V1041" s="5"/>
      <c r="W1041" s="5"/>
      <c r="X1041" s="5"/>
      <c r="Y1041" s="5"/>
      <c r="Z1041" s="5"/>
      <c r="AA1041" s="5"/>
      <c r="AB1041" s="5"/>
      <c r="AC1041" s="5"/>
      <c r="AD1041" s="5"/>
      <c r="AE1041" s="5"/>
      <c r="AF1041" s="5"/>
      <c r="AG1041" s="5"/>
    </row>
    <row r="1042" ht="15.75" customHeight="1">
      <c r="K1042" t="s">
        <v>1752</v>
      </c>
      <c r="L1042" t="str">
        <f>J62</f>
        <v>H1a1a4b2b1</v>
      </c>
      <c r="O1042">
        <v>1.8023804E7</v>
      </c>
      <c r="P1042">
        <v>1.5911924E7</v>
      </c>
      <c r="Q1042" t="s">
        <v>423</v>
      </c>
      <c r="R1042" s="5"/>
      <c r="S1042" s="5"/>
      <c r="T1042" s="5"/>
      <c r="U1042" s="5"/>
      <c r="V1042" s="5"/>
      <c r="W1042" s="5"/>
      <c r="X1042" s="5"/>
      <c r="Y1042" s="5"/>
      <c r="Z1042" s="5"/>
      <c r="AA1042" s="5"/>
      <c r="AB1042" s="5"/>
      <c r="AC1042" s="5"/>
      <c r="AD1042" s="5"/>
      <c r="AE1042" s="5"/>
      <c r="AF1042" s="5"/>
      <c r="AG1042" s="5"/>
    </row>
    <row r="1043" ht="15.75" customHeight="1">
      <c r="K1043" t="s">
        <v>1753</v>
      </c>
      <c r="L1043" t="str">
        <f>J62</f>
        <v>H1a1a4b2b1</v>
      </c>
      <c r="N1043" t="s">
        <v>1754</v>
      </c>
      <c r="O1043">
        <v>1.9051389E7</v>
      </c>
      <c r="P1043">
        <v>1.6939509E7</v>
      </c>
      <c r="Q1043" t="s">
        <v>431</v>
      </c>
      <c r="R1043" s="5"/>
      <c r="S1043" s="5"/>
      <c r="T1043" s="5"/>
      <c r="U1043" s="5"/>
      <c r="V1043" s="5"/>
      <c r="W1043" s="5"/>
      <c r="X1043" s="5"/>
      <c r="Y1043" s="5"/>
      <c r="Z1043" s="5"/>
      <c r="AA1043" s="5"/>
      <c r="AB1043" s="5"/>
      <c r="AC1043" s="5"/>
      <c r="AD1043" s="5"/>
      <c r="AE1043" s="5"/>
      <c r="AF1043" s="5"/>
      <c r="AG1043" s="5"/>
    </row>
    <row r="1044" ht="15.75" customHeight="1">
      <c r="K1044" t="s">
        <v>1755</v>
      </c>
      <c r="L1044" t="str">
        <f>J62</f>
        <v>H1a1a4b2b1</v>
      </c>
      <c r="N1044" t="s">
        <v>1756</v>
      </c>
      <c r="O1044">
        <v>1.9055931E7</v>
      </c>
      <c r="P1044">
        <v>1.6944051E7</v>
      </c>
      <c r="Q1044" t="s">
        <v>419</v>
      </c>
      <c r="R1044" s="5"/>
      <c r="S1044" s="5"/>
      <c r="T1044" s="5"/>
      <c r="U1044" s="5"/>
      <c r="V1044" s="5"/>
      <c r="W1044" s="5"/>
      <c r="X1044" s="5"/>
      <c r="Y1044" s="5"/>
      <c r="Z1044" s="5"/>
      <c r="AA1044" s="5"/>
      <c r="AB1044" s="5"/>
      <c r="AC1044" s="5"/>
      <c r="AD1044" s="5"/>
      <c r="AE1044" s="5"/>
      <c r="AF1044" s="5"/>
      <c r="AG1044" s="5"/>
    </row>
    <row r="1045" ht="15.75" customHeight="1">
      <c r="K1045" t="s">
        <v>1757</v>
      </c>
      <c r="L1045" t="str">
        <f>J62</f>
        <v>H1a1a4b2b1</v>
      </c>
      <c r="N1045" t="s">
        <v>1758</v>
      </c>
      <c r="O1045">
        <v>1.9257933E7</v>
      </c>
      <c r="P1045">
        <v>1.7146053E7</v>
      </c>
      <c r="Q1045" t="s">
        <v>525</v>
      </c>
      <c r="R1045" s="5"/>
      <c r="S1045" s="5"/>
      <c r="T1045" s="5"/>
      <c r="U1045" s="5"/>
      <c r="V1045" s="5"/>
      <c r="W1045" s="5"/>
      <c r="X1045" s="5"/>
      <c r="Y1045" s="5"/>
      <c r="Z1045" s="5"/>
      <c r="AA1045" s="5"/>
      <c r="AB1045" s="5"/>
      <c r="AC1045" s="5"/>
      <c r="AD1045" s="5"/>
      <c r="AE1045" s="5"/>
      <c r="AF1045" s="5"/>
      <c r="AG1045" s="5"/>
    </row>
    <row r="1046" ht="15.75" customHeight="1">
      <c r="K1046" t="s">
        <v>1759</v>
      </c>
      <c r="L1046" t="str">
        <f>J62</f>
        <v>H1a1a4b2b1</v>
      </c>
      <c r="N1046" t="s">
        <v>1760</v>
      </c>
      <c r="O1046">
        <v>2.1781372E7</v>
      </c>
      <c r="P1046">
        <v>1.9619486E7</v>
      </c>
      <c r="Q1046" t="s">
        <v>427</v>
      </c>
      <c r="R1046" s="5"/>
      <c r="S1046" s="5"/>
      <c r="T1046" s="5"/>
      <c r="U1046" s="5"/>
      <c r="V1046" s="5"/>
      <c r="W1046" s="5"/>
      <c r="X1046" s="5"/>
      <c r="Y1046" s="5"/>
      <c r="Z1046" s="5"/>
      <c r="AA1046" s="5"/>
      <c r="AB1046" s="5"/>
      <c r="AC1046" s="5"/>
      <c r="AD1046" s="5"/>
      <c r="AE1046" s="5"/>
      <c r="AF1046" s="5"/>
      <c r="AG1046" s="5"/>
    </row>
    <row r="1047" ht="15.75" customHeight="1">
      <c r="K1047" t="s">
        <v>1761</v>
      </c>
      <c r="L1047" t="str">
        <f>J62</f>
        <v>H1a1a4b2b1</v>
      </c>
      <c r="N1047" t="s">
        <v>1762</v>
      </c>
      <c r="O1047">
        <v>2.1898638E7</v>
      </c>
      <c r="P1047">
        <v>1.9736752E7</v>
      </c>
      <c r="Q1047" t="s">
        <v>459</v>
      </c>
      <c r="R1047" s="5"/>
      <c r="S1047" s="5"/>
      <c r="T1047" s="5"/>
      <c r="U1047" s="5"/>
      <c r="V1047" s="5"/>
      <c r="W1047" s="5"/>
      <c r="X1047" s="5"/>
      <c r="Y1047" s="5"/>
      <c r="Z1047" s="5"/>
      <c r="AA1047" s="5"/>
      <c r="AB1047" s="5"/>
      <c r="AC1047" s="5"/>
      <c r="AD1047" s="5"/>
      <c r="AE1047" s="5"/>
      <c r="AF1047" s="5"/>
      <c r="AG1047" s="5"/>
    </row>
    <row r="1048" ht="15.75" customHeight="1">
      <c r="K1048" t="s">
        <v>1763</v>
      </c>
      <c r="L1048" t="str">
        <f>J62</f>
        <v>H1a1a4b2b1</v>
      </c>
      <c r="N1048" t="s">
        <v>1764</v>
      </c>
      <c r="O1048">
        <v>2.2653881E7</v>
      </c>
      <c r="P1048">
        <v>2.0491995E7</v>
      </c>
      <c r="Q1048" t="s">
        <v>452</v>
      </c>
      <c r="R1048" s="5"/>
      <c r="S1048" s="5"/>
      <c r="T1048" s="5"/>
      <c r="U1048" s="5"/>
      <c r="V1048" s="5"/>
      <c r="W1048" s="5"/>
      <c r="X1048" s="5"/>
      <c r="Y1048" s="5"/>
      <c r="Z1048" s="5"/>
      <c r="AA1048" s="5"/>
      <c r="AB1048" s="5"/>
      <c r="AC1048" s="5"/>
      <c r="AD1048" s="5"/>
      <c r="AE1048" s="5"/>
      <c r="AF1048" s="5"/>
      <c r="AG1048" s="5"/>
    </row>
    <row r="1049" ht="15.75" customHeight="1">
      <c r="K1049" t="s">
        <v>1765</v>
      </c>
      <c r="L1049" t="str">
        <f>J62</f>
        <v>H1a1a4b2b1</v>
      </c>
      <c r="N1049" t="s">
        <v>1766</v>
      </c>
      <c r="O1049">
        <v>2.3004403E7</v>
      </c>
      <c r="P1049">
        <v>2.0842517E7</v>
      </c>
      <c r="Q1049" t="s">
        <v>419</v>
      </c>
      <c r="R1049" s="5"/>
      <c r="S1049" s="5"/>
      <c r="T1049" s="5"/>
      <c r="U1049" s="5"/>
      <c r="V1049" s="5"/>
      <c r="W1049" s="5"/>
      <c r="X1049" s="5"/>
      <c r="Y1049" s="5"/>
      <c r="Z1049" s="5"/>
      <c r="AA1049" s="5"/>
      <c r="AB1049" s="5"/>
      <c r="AC1049" s="5"/>
      <c r="AD1049" s="5"/>
      <c r="AE1049" s="5"/>
      <c r="AF1049" s="5"/>
      <c r="AG1049" s="5"/>
    </row>
    <row r="1050" ht="15.75" customHeight="1">
      <c r="K1050" t="s">
        <v>1767</v>
      </c>
      <c r="L1050" t="str">
        <f>J62</f>
        <v>H1a1a4b2b1</v>
      </c>
      <c r="N1050" t="s">
        <v>1768</v>
      </c>
      <c r="O1050">
        <v>2.313186E7</v>
      </c>
      <c r="P1050">
        <v>2.0969974E7</v>
      </c>
      <c r="Q1050" t="s">
        <v>419</v>
      </c>
      <c r="R1050" s="5"/>
      <c r="S1050" s="5"/>
      <c r="T1050" s="5"/>
      <c r="U1050" s="5"/>
      <c r="V1050" s="5"/>
      <c r="W1050" s="5"/>
      <c r="X1050" s="5"/>
      <c r="Y1050" s="5"/>
      <c r="Z1050" s="5"/>
      <c r="AA1050" s="5"/>
      <c r="AB1050" s="5"/>
      <c r="AC1050" s="5"/>
      <c r="AD1050" s="5"/>
      <c r="AE1050" s="5"/>
      <c r="AF1050" s="5"/>
      <c r="AG1050" s="5"/>
    </row>
    <row r="1051" ht="15.75" customHeight="1">
      <c r="K1051" t="s">
        <v>1769</v>
      </c>
      <c r="L1051" t="str">
        <f>J62</f>
        <v>H1a1a4b2b1</v>
      </c>
      <c r="O1051">
        <v>2.323445E7</v>
      </c>
      <c r="P1051">
        <v>2.1072564E7</v>
      </c>
      <c r="Q1051" t="s">
        <v>431</v>
      </c>
      <c r="R1051" s="5"/>
      <c r="S1051" s="5"/>
      <c r="T1051" s="5"/>
      <c r="U1051" s="5"/>
      <c r="V1051" s="5"/>
      <c r="W1051" s="5"/>
      <c r="X1051" s="5"/>
      <c r="Y1051" s="5"/>
      <c r="Z1051" s="5"/>
      <c r="AA1051" s="5"/>
      <c r="AB1051" s="5"/>
      <c r="AC1051" s="5"/>
      <c r="AD1051" s="5"/>
      <c r="AE1051" s="5"/>
      <c r="AF1051" s="5"/>
      <c r="AG1051" s="5"/>
    </row>
    <row r="1052" ht="15.75" customHeight="1">
      <c r="K1052" t="s">
        <v>1770</v>
      </c>
      <c r="L1052" t="str">
        <f>K63</f>
        <v>H1a1a4b2b1a~</v>
      </c>
      <c r="O1052">
        <v>7415325.0</v>
      </c>
      <c r="P1052">
        <v>7547284.0</v>
      </c>
      <c r="Q1052" t="s">
        <v>525</v>
      </c>
      <c r="R1052" s="5"/>
      <c r="S1052" s="5"/>
      <c r="T1052" s="5"/>
      <c r="U1052" s="5"/>
      <c r="V1052" s="5"/>
      <c r="W1052" s="5"/>
      <c r="X1052" s="5"/>
      <c r="Y1052" s="5"/>
      <c r="Z1052" s="5"/>
      <c r="AA1052" s="5"/>
      <c r="AB1052" s="5"/>
      <c r="AC1052" s="5"/>
      <c r="AD1052" s="5"/>
      <c r="AE1052" s="5"/>
      <c r="AF1052" s="5"/>
      <c r="AG1052" s="5"/>
    </row>
    <row r="1053" ht="15.75" customHeight="1">
      <c r="K1053" t="s">
        <v>1771</v>
      </c>
      <c r="L1053" t="str">
        <f>K63</f>
        <v>H1a1a4b2b1a~</v>
      </c>
      <c r="N1053" t="s">
        <v>1772</v>
      </c>
      <c r="O1053">
        <v>2.1192236E7</v>
      </c>
      <c r="P1053">
        <v>1.903035E7</v>
      </c>
      <c r="Q1053" t="s">
        <v>525</v>
      </c>
      <c r="R1053" s="5"/>
      <c r="S1053" s="5"/>
      <c r="T1053" s="5"/>
      <c r="U1053" s="5"/>
      <c r="V1053" s="5"/>
      <c r="W1053" s="5"/>
      <c r="X1053" s="5"/>
      <c r="Y1053" s="5"/>
      <c r="Z1053" s="5"/>
      <c r="AA1053" s="5"/>
      <c r="AB1053" s="5"/>
      <c r="AC1053" s="5"/>
      <c r="AD1053" s="5"/>
      <c r="AE1053" s="5"/>
      <c r="AF1053" s="5"/>
      <c r="AG1053" s="5"/>
    </row>
    <row r="1054" ht="15.75" customHeight="1">
      <c r="K1054" t="s">
        <v>1773</v>
      </c>
      <c r="L1054" t="str">
        <f>K63</f>
        <v>H1a1a4b2b1a~</v>
      </c>
      <c r="O1054">
        <v>2.3360315E7</v>
      </c>
      <c r="P1054">
        <v>2.1198429E7</v>
      </c>
      <c r="Q1054" t="s">
        <v>419</v>
      </c>
      <c r="R1054" s="5"/>
      <c r="S1054" s="5"/>
      <c r="T1054" s="5"/>
      <c r="U1054" s="5"/>
      <c r="V1054" s="5"/>
      <c r="W1054" s="5"/>
      <c r="X1054" s="5"/>
      <c r="Y1054" s="5"/>
      <c r="Z1054" s="5"/>
      <c r="AA1054" s="5"/>
      <c r="AB1054" s="5"/>
      <c r="AC1054" s="5"/>
      <c r="AD1054" s="5"/>
      <c r="AE1054" s="5"/>
      <c r="AF1054" s="5"/>
      <c r="AG1054" s="5"/>
    </row>
    <row r="1055" ht="15.75" customHeight="1">
      <c r="K1055" t="s">
        <v>1774</v>
      </c>
      <c r="L1055" t="str">
        <f t="shared" ref="L1055:L1056" si="11">K63</f>
        <v>H1a1a4b2b1a~</v>
      </c>
      <c r="N1055" t="s">
        <v>1775</v>
      </c>
      <c r="O1055">
        <v>1.4241168E7</v>
      </c>
      <c r="P1055">
        <v>1.2120462E7</v>
      </c>
      <c r="Q1055" t="s">
        <v>435</v>
      </c>
      <c r="R1055" s="5"/>
      <c r="S1055" s="5"/>
      <c r="T1055" s="5"/>
      <c r="U1055" s="5"/>
      <c r="V1055" s="5"/>
      <c r="W1055" s="5"/>
      <c r="X1055" s="5"/>
      <c r="Y1055" s="5"/>
      <c r="Z1055" s="5"/>
      <c r="AA1055" s="5"/>
      <c r="AB1055" s="5"/>
      <c r="AC1055" s="5"/>
      <c r="AD1055" s="5"/>
      <c r="AE1055" s="5"/>
      <c r="AF1055" s="5"/>
      <c r="AG1055" s="5"/>
    </row>
    <row r="1056" ht="15.75" customHeight="1">
      <c r="K1056" t="s">
        <v>1776</v>
      </c>
      <c r="L1056" t="str">
        <f t="shared" si="11"/>
        <v>H1a1a4b2b1b~</v>
      </c>
      <c r="O1056">
        <v>6523218.0</v>
      </c>
      <c r="P1056">
        <v>6655177.0</v>
      </c>
      <c r="Q1056" t="s">
        <v>427</v>
      </c>
      <c r="R1056" s="5"/>
      <c r="S1056" s="5"/>
      <c r="T1056" s="5"/>
      <c r="U1056" s="5"/>
      <c r="V1056" s="5"/>
      <c r="W1056" s="5"/>
      <c r="X1056" s="5"/>
      <c r="Y1056" s="5"/>
      <c r="Z1056" s="5"/>
      <c r="AA1056" s="5"/>
      <c r="AB1056" s="5"/>
      <c r="AC1056" s="5"/>
      <c r="AD1056" s="5"/>
      <c r="AE1056" s="5"/>
      <c r="AF1056" s="5"/>
      <c r="AG1056" s="5"/>
    </row>
    <row r="1057" ht="15.75" customHeight="1">
      <c r="K1057" t="s">
        <v>1777</v>
      </c>
      <c r="L1057" t="str">
        <f>K64</f>
        <v>H1a1a4b2b1b~</v>
      </c>
      <c r="O1057">
        <v>7262688.0</v>
      </c>
      <c r="P1057">
        <v>7394647.0</v>
      </c>
      <c r="Q1057" t="s">
        <v>431</v>
      </c>
      <c r="R1057" s="5"/>
      <c r="S1057" s="5"/>
      <c r="T1057" s="5"/>
      <c r="U1057" s="5"/>
      <c r="V1057" s="5"/>
      <c r="W1057" s="5"/>
      <c r="X1057" s="5"/>
      <c r="Y1057" s="5"/>
      <c r="Z1057" s="5"/>
      <c r="AA1057" s="5"/>
      <c r="AB1057" s="5"/>
      <c r="AC1057" s="5"/>
      <c r="AD1057" s="5"/>
      <c r="AE1057" s="5"/>
      <c r="AF1057" s="5"/>
      <c r="AG1057" s="5"/>
    </row>
    <row r="1058" ht="15.75" customHeight="1">
      <c r="K1058" t="s">
        <v>1778</v>
      </c>
      <c r="L1058" t="str">
        <f>K64</f>
        <v>H1a1a4b2b1b~</v>
      </c>
      <c r="N1058" t="s">
        <v>1779</v>
      </c>
      <c r="O1058">
        <v>8804949.0</v>
      </c>
      <c r="P1058">
        <v>8936908.0</v>
      </c>
      <c r="Q1058" t="s">
        <v>459</v>
      </c>
      <c r="R1058" s="5"/>
      <c r="S1058" s="5"/>
      <c r="T1058" s="5"/>
      <c r="U1058" s="5"/>
      <c r="V1058" s="5"/>
      <c r="W1058" s="5"/>
      <c r="X1058" s="5"/>
      <c r="Y1058" s="5"/>
      <c r="Z1058" s="5"/>
      <c r="AA1058" s="5"/>
      <c r="AB1058" s="5"/>
      <c r="AC1058" s="5"/>
      <c r="AD1058" s="5"/>
      <c r="AE1058" s="5"/>
      <c r="AF1058" s="5"/>
      <c r="AG1058" s="5"/>
    </row>
    <row r="1059" ht="15.75" customHeight="1">
      <c r="K1059" t="s">
        <v>1780</v>
      </c>
      <c r="L1059" t="str">
        <f>K64</f>
        <v>H1a1a4b2b1b~</v>
      </c>
      <c r="N1059" t="s">
        <v>1781</v>
      </c>
      <c r="O1059">
        <v>2.1142554E7</v>
      </c>
      <c r="P1059">
        <v>1.8980668E7</v>
      </c>
      <c r="Q1059" t="s">
        <v>423</v>
      </c>
      <c r="R1059" s="5"/>
      <c r="S1059" s="5"/>
      <c r="T1059" s="5"/>
      <c r="U1059" s="5"/>
      <c r="V1059" s="5"/>
      <c r="W1059" s="5"/>
      <c r="X1059" s="5"/>
      <c r="Y1059" s="5"/>
      <c r="Z1059" s="5"/>
      <c r="AA1059" s="5"/>
      <c r="AB1059" s="5"/>
      <c r="AC1059" s="5"/>
      <c r="AD1059" s="5"/>
      <c r="AE1059" s="5"/>
      <c r="AF1059" s="5"/>
      <c r="AG1059" s="5"/>
    </row>
    <row r="1060" ht="15.75" customHeight="1">
      <c r="K1060" t="s">
        <v>1782</v>
      </c>
      <c r="L1060" t="str">
        <f>J65</f>
        <v>H1a1a4b2b2~</v>
      </c>
      <c r="N1060" t="s">
        <v>1783</v>
      </c>
      <c r="O1060">
        <v>2860536.0</v>
      </c>
      <c r="P1060">
        <v>2992495.0</v>
      </c>
      <c r="Q1060" t="s">
        <v>473</v>
      </c>
      <c r="R1060" s="5"/>
      <c r="S1060" s="5"/>
      <c r="T1060" s="5"/>
      <c r="U1060" s="5"/>
      <c r="V1060" s="5"/>
      <c r="W1060" s="5"/>
      <c r="X1060" s="5"/>
      <c r="Y1060" s="5"/>
      <c r="Z1060" s="5"/>
      <c r="AA1060" s="5"/>
      <c r="AB1060" s="5"/>
      <c r="AC1060" s="5"/>
      <c r="AD1060" s="5"/>
      <c r="AE1060" s="5"/>
      <c r="AF1060" s="5"/>
      <c r="AG1060" s="5"/>
    </row>
    <row r="1061" ht="15.75" customHeight="1">
      <c r="K1061" t="s">
        <v>1784</v>
      </c>
      <c r="L1061" t="str">
        <f>J65</f>
        <v>H1a1a4b2b2~</v>
      </c>
      <c r="N1061" t="s">
        <v>1785</v>
      </c>
      <c r="O1061">
        <v>6687352.0</v>
      </c>
      <c r="P1061">
        <v>6819311.0</v>
      </c>
      <c r="Q1061" t="s">
        <v>476</v>
      </c>
      <c r="R1061" s="5"/>
      <c r="S1061" s="5"/>
      <c r="T1061" s="5"/>
      <c r="U1061" s="5"/>
      <c r="V1061" s="5"/>
      <c r="W1061" s="5"/>
      <c r="X1061" s="5"/>
      <c r="Y1061" s="5"/>
      <c r="Z1061" s="5"/>
      <c r="AA1061" s="5"/>
      <c r="AB1061" s="5"/>
      <c r="AC1061" s="5"/>
      <c r="AD1061" s="5"/>
      <c r="AE1061" s="5"/>
      <c r="AF1061" s="5"/>
      <c r="AG1061" s="5"/>
    </row>
    <row r="1062" ht="15.75" customHeight="1">
      <c r="K1062" t="s">
        <v>1786</v>
      </c>
      <c r="L1062" t="str">
        <f>J65</f>
        <v>H1a1a4b2b2~</v>
      </c>
      <c r="N1062" t="s">
        <v>1787</v>
      </c>
      <c r="O1062">
        <v>6729927.0</v>
      </c>
      <c r="P1062">
        <v>6861886.0</v>
      </c>
      <c r="Q1062" t="s">
        <v>419</v>
      </c>
      <c r="R1062" s="5"/>
      <c r="S1062" s="5"/>
      <c r="T1062" s="5"/>
      <c r="U1062" s="5"/>
      <c r="V1062" s="5"/>
      <c r="W1062" s="5"/>
      <c r="X1062" s="5"/>
      <c r="Y1062" s="5"/>
      <c r="Z1062" s="5"/>
      <c r="AA1062" s="5"/>
      <c r="AB1062" s="5"/>
      <c r="AC1062" s="5"/>
      <c r="AD1062" s="5"/>
      <c r="AE1062" s="5"/>
      <c r="AF1062" s="5"/>
      <c r="AG1062" s="5"/>
    </row>
    <row r="1063" ht="15.75" customHeight="1">
      <c r="K1063" t="s">
        <v>1788</v>
      </c>
      <c r="L1063" t="str">
        <f>J65</f>
        <v>H1a1a4b2b2~</v>
      </c>
      <c r="N1063" t="s">
        <v>1789</v>
      </c>
      <c r="O1063">
        <v>6855733.0</v>
      </c>
      <c r="P1063">
        <v>6987692.0</v>
      </c>
      <c r="Q1063" t="s">
        <v>476</v>
      </c>
      <c r="R1063" s="5"/>
      <c r="S1063" s="5"/>
      <c r="T1063" s="5"/>
      <c r="U1063" s="5"/>
      <c r="V1063" s="5"/>
      <c r="W1063" s="5"/>
      <c r="X1063" s="5"/>
      <c r="Y1063" s="5"/>
      <c r="Z1063" s="5"/>
      <c r="AA1063" s="5"/>
      <c r="AB1063" s="5"/>
      <c r="AC1063" s="5"/>
      <c r="AD1063" s="5"/>
      <c r="AE1063" s="5"/>
      <c r="AF1063" s="5"/>
      <c r="AG1063" s="5"/>
    </row>
    <row r="1064" ht="15.75" customHeight="1">
      <c r="K1064" t="s">
        <v>1790</v>
      </c>
      <c r="L1064" t="str">
        <f>J65</f>
        <v>H1a1a4b2b2~</v>
      </c>
      <c r="N1064" t="s">
        <v>1791</v>
      </c>
      <c r="O1064">
        <v>7178335.0</v>
      </c>
      <c r="P1064">
        <v>7310294.0</v>
      </c>
      <c r="Q1064" t="s">
        <v>419</v>
      </c>
      <c r="R1064" s="5"/>
      <c r="S1064" s="5"/>
      <c r="T1064" s="5"/>
      <c r="U1064" s="5"/>
      <c r="V1064" s="5"/>
      <c r="W1064" s="5"/>
      <c r="X1064" s="5"/>
      <c r="Y1064" s="5"/>
      <c r="Z1064" s="5"/>
      <c r="AA1064" s="5"/>
      <c r="AB1064" s="5"/>
      <c r="AC1064" s="5"/>
      <c r="AD1064" s="5"/>
      <c r="AE1064" s="5"/>
      <c r="AF1064" s="5"/>
      <c r="AG1064" s="5"/>
    </row>
    <row r="1065" ht="15.75" customHeight="1">
      <c r="K1065" t="s">
        <v>93</v>
      </c>
      <c r="L1065" t="str">
        <f>I66</f>
        <v>H1a1a4b2c</v>
      </c>
      <c r="N1065" t="s">
        <v>1792</v>
      </c>
      <c r="O1065">
        <v>2.2046222E7</v>
      </c>
      <c r="P1065">
        <v>1.9884336E7</v>
      </c>
      <c r="Q1065" t="s">
        <v>427</v>
      </c>
      <c r="R1065" s="5"/>
      <c r="S1065" s="5"/>
      <c r="T1065" s="5"/>
      <c r="U1065" s="5"/>
      <c r="V1065" s="5"/>
      <c r="W1065" s="5"/>
      <c r="X1065" s="5"/>
      <c r="Y1065" s="5"/>
      <c r="Z1065" s="5"/>
      <c r="AA1065" s="5"/>
      <c r="AB1065" s="5"/>
      <c r="AC1065" s="5"/>
      <c r="AD1065" s="5"/>
      <c r="AE1065" s="5"/>
      <c r="AF1065" s="5"/>
      <c r="AG1065" s="5"/>
    </row>
    <row r="1066" ht="15.75" customHeight="1">
      <c r="K1066" t="s">
        <v>1793</v>
      </c>
      <c r="L1066" t="str">
        <f>J67</f>
        <v>H1a1a4b2c1</v>
      </c>
      <c r="N1066" t="s">
        <v>1794</v>
      </c>
      <c r="O1066">
        <v>1.6662436E7</v>
      </c>
      <c r="P1066">
        <v>1.4550556E7</v>
      </c>
      <c r="Q1066" t="s">
        <v>525</v>
      </c>
      <c r="R1066" s="5"/>
      <c r="S1066" s="5"/>
      <c r="T1066" s="5"/>
      <c r="U1066" s="5"/>
      <c r="V1066" s="5"/>
      <c r="W1066" s="5"/>
      <c r="X1066" s="5"/>
      <c r="Y1066" s="5"/>
      <c r="Z1066" s="5"/>
      <c r="AA1066" s="5"/>
      <c r="AB1066" s="5"/>
      <c r="AC1066" s="5"/>
      <c r="AD1066" s="5"/>
      <c r="AE1066" s="5"/>
      <c r="AF1066" s="5"/>
      <c r="AG1066" s="5"/>
    </row>
    <row r="1067" ht="15.75" customHeight="1">
      <c r="K1067" t="s">
        <v>1795</v>
      </c>
      <c r="L1067" t="str">
        <f>J67</f>
        <v>H1a1a4b2c1</v>
      </c>
      <c r="N1067" t="s">
        <v>1796</v>
      </c>
      <c r="O1067">
        <v>8894070.0</v>
      </c>
      <c r="P1067">
        <v>9026029.0</v>
      </c>
      <c r="Q1067" t="s">
        <v>448</v>
      </c>
      <c r="R1067" s="5"/>
      <c r="S1067" s="5"/>
      <c r="T1067" s="5"/>
      <c r="U1067" s="5"/>
      <c r="V1067" s="5"/>
      <c r="W1067" s="5"/>
      <c r="X1067" s="5"/>
      <c r="Y1067" s="5"/>
      <c r="Z1067" s="5"/>
      <c r="AA1067" s="5"/>
      <c r="AB1067" s="5"/>
      <c r="AC1067" s="5"/>
      <c r="AD1067" s="5"/>
      <c r="AE1067" s="5"/>
      <c r="AF1067" s="5"/>
      <c r="AG1067" s="5"/>
    </row>
    <row r="1068" ht="15.75" customHeight="1">
      <c r="K1068" t="s">
        <v>1797</v>
      </c>
      <c r="L1068" t="str">
        <f>J67</f>
        <v>H1a1a4b2c1</v>
      </c>
      <c r="N1068" t="s">
        <v>1798</v>
      </c>
      <c r="O1068">
        <v>2.2151905E7</v>
      </c>
      <c r="P1068">
        <v>1.9990019E7</v>
      </c>
      <c r="Q1068" t="s">
        <v>419</v>
      </c>
      <c r="R1068" s="5"/>
      <c r="S1068" s="5"/>
      <c r="T1068" s="5"/>
      <c r="U1068" s="5"/>
      <c r="V1068" s="5"/>
      <c r="W1068" s="5"/>
      <c r="X1068" s="5"/>
      <c r="Y1068" s="5"/>
      <c r="Z1068" s="5"/>
      <c r="AA1068" s="5"/>
      <c r="AB1068" s="5"/>
      <c r="AC1068" s="5"/>
      <c r="AD1068" s="5"/>
      <c r="AE1068" s="5"/>
      <c r="AF1068" s="5"/>
      <c r="AG1068" s="5"/>
    </row>
    <row r="1069" ht="15.75" customHeight="1">
      <c r="K1069" t="s">
        <v>1799</v>
      </c>
      <c r="L1069" t="str">
        <f>K68</f>
        <v>H1a1a4b2c1a</v>
      </c>
      <c r="N1069" t="s">
        <v>1800</v>
      </c>
      <c r="O1069">
        <v>1.7537444E7</v>
      </c>
      <c r="P1069">
        <v>1.5425564E7</v>
      </c>
      <c r="Q1069" t="s">
        <v>419</v>
      </c>
      <c r="R1069" s="5"/>
      <c r="S1069" s="5"/>
      <c r="T1069" s="5"/>
      <c r="U1069" s="5"/>
      <c r="V1069" s="5"/>
      <c r="W1069" s="5"/>
      <c r="X1069" s="5"/>
      <c r="Y1069" s="5"/>
      <c r="Z1069" s="5"/>
      <c r="AA1069" s="5"/>
      <c r="AB1069" s="5"/>
      <c r="AC1069" s="5"/>
      <c r="AD1069" s="5"/>
      <c r="AE1069" s="5"/>
      <c r="AF1069" s="5"/>
      <c r="AG1069" s="5"/>
    </row>
    <row r="1070" ht="15.75" customHeight="1">
      <c r="K1070" t="s">
        <v>1801</v>
      </c>
      <c r="L1070" t="str">
        <f>K68</f>
        <v>H1a1a4b2c1a</v>
      </c>
      <c r="N1070" t="s">
        <v>1802</v>
      </c>
      <c r="O1070">
        <v>9375673.0</v>
      </c>
      <c r="P1070">
        <v>9538064.0</v>
      </c>
      <c r="Q1070" t="s">
        <v>459</v>
      </c>
      <c r="R1070" s="5"/>
      <c r="S1070" s="5"/>
      <c r="T1070" s="5"/>
      <c r="U1070" s="5"/>
      <c r="V1070" s="5"/>
      <c r="W1070" s="5"/>
      <c r="X1070" s="5"/>
      <c r="Y1070" s="5"/>
      <c r="Z1070" s="5"/>
      <c r="AA1070" s="5"/>
      <c r="AB1070" s="5"/>
      <c r="AC1070" s="5"/>
      <c r="AD1070" s="5"/>
      <c r="AE1070" s="5"/>
      <c r="AF1070" s="5"/>
      <c r="AG1070" s="5"/>
    </row>
    <row r="1071" ht="15.75" customHeight="1">
      <c r="K1071" t="s">
        <v>1803</v>
      </c>
      <c r="L1071" t="str">
        <f>K68</f>
        <v>H1a1a4b2c1a</v>
      </c>
      <c r="N1071" t="s">
        <v>1804</v>
      </c>
      <c r="O1071">
        <v>9893523.0</v>
      </c>
      <c r="P1071">
        <v>1.0055914E7</v>
      </c>
      <c r="Q1071" t="s">
        <v>476</v>
      </c>
      <c r="R1071" s="5"/>
      <c r="S1071" s="5"/>
      <c r="T1071" s="5"/>
      <c r="U1071" s="5"/>
      <c r="V1071" s="5"/>
      <c r="W1071" s="5"/>
      <c r="X1071" s="5"/>
      <c r="Y1071" s="5"/>
      <c r="Z1071" s="5"/>
      <c r="AA1071" s="5"/>
      <c r="AB1071" s="5"/>
      <c r="AC1071" s="5"/>
      <c r="AD1071" s="5"/>
      <c r="AE1071" s="5"/>
      <c r="AF1071" s="5"/>
      <c r="AG1071" s="5"/>
    </row>
    <row r="1072" ht="15.75" customHeight="1">
      <c r="K1072" t="s">
        <v>1805</v>
      </c>
      <c r="L1072" t="str">
        <f>K68</f>
        <v>H1a1a4b2c1a</v>
      </c>
      <c r="N1072" t="s">
        <v>1806</v>
      </c>
      <c r="O1072">
        <v>1.5933501E7</v>
      </c>
      <c r="P1072">
        <v>1.3821621E7</v>
      </c>
      <c r="Q1072" t="s">
        <v>452</v>
      </c>
      <c r="R1072" s="5"/>
      <c r="S1072" s="5"/>
      <c r="T1072" s="5"/>
      <c r="U1072" s="5"/>
      <c r="V1072" s="5"/>
      <c r="W1072" s="5"/>
      <c r="X1072" s="5"/>
      <c r="Y1072" s="5"/>
      <c r="Z1072" s="5"/>
      <c r="AA1072" s="5"/>
      <c r="AB1072" s="5"/>
      <c r="AC1072" s="5"/>
      <c r="AD1072" s="5"/>
      <c r="AE1072" s="5"/>
      <c r="AF1072" s="5"/>
      <c r="AG1072" s="5"/>
    </row>
    <row r="1073" ht="15.75" customHeight="1">
      <c r="K1073" t="s">
        <v>1807</v>
      </c>
      <c r="L1073" t="str">
        <f>K68</f>
        <v>H1a1a4b2c1a</v>
      </c>
      <c r="N1073" t="s">
        <v>1808</v>
      </c>
      <c r="O1073">
        <v>1.765413E7</v>
      </c>
      <c r="P1073">
        <v>1.554225E7</v>
      </c>
      <c r="Q1073" t="s">
        <v>435</v>
      </c>
      <c r="R1073" s="5"/>
      <c r="S1073" s="5"/>
      <c r="T1073" s="5"/>
      <c r="U1073" s="5"/>
      <c r="V1073" s="5"/>
      <c r="W1073" s="5"/>
      <c r="X1073" s="5"/>
      <c r="Y1073" s="5"/>
      <c r="Z1073" s="5"/>
      <c r="AA1073" s="5"/>
      <c r="AB1073" s="5"/>
      <c r="AC1073" s="5"/>
      <c r="AD1073" s="5"/>
      <c r="AE1073" s="5"/>
      <c r="AF1073" s="5"/>
      <c r="AG1073" s="5"/>
    </row>
    <row r="1074" ht="15.75" customHeight="1">
      <c r="K1074" t="s">
        <v>1809</v>
      </c>
      <c r="L1074" t="str">
        <f>K68</f>
        <v>H1a1a4b2c1a</v>
      </c>
      <c r="N1074" t="s">
        <v>1810</v>
      </c>
      <c r="O1074">
        <v>1.8021446E7</v>
      </c>
      <c r="P1074">
        <v>1.5909566E7</v>
      </c>
      <c r="Q1074" t="s">
        <v>435</v>
      </c>
      <c r="R1074" s="5"/>
      <c r="S1074" s="5"/>
      <c r="T1074" s="5"/>
      <c r="U1074" s="5"/>
      <c r="V1074" s="5"/>
      <c r="W1074" s="5"/>
      <c r="X1074" s="5"/>
      <c r="Y1074" s="5"/>
      <c r="Z1074" s="5"/>
      <c r="AA1074" s="5"/>
      <c r="AB1074" s="5"/>
      <c r="AC1074" s="5"/>
      <c r="AD1074" s="5"/>
      <c r="AE1074" s="5"/>
      <c r="AF1074" s="5"/>
      <c r="AG1074" s="5"/>
    </row>
    <row r="1075" ht="15.75" customHeight="1">
      <c r="K1075" t="s">
        <v>1811</v>
      </c>
      <c r="L1075" t="str">
        <f>K68</f>
        <v>H1a1a4b2c1a</v>
      </c>
      <c r="N1075" t="s">
        <v>1812</v>
      </c>
      <c r="O1075">
        <v>1.8059369E7</v>
      </c>
      <c r="P1075">
        <v>1.5947489E7</v>
      </c>
      <c r="Q1075" t="s">
        <v>419</v>
      </c>
      <c r="R1075" s="5"/>
      <c r="S1075" s="5"/>
      <c r="T1075" s="5"/>
      <c r="U1075" s="5"/>
      <c r="V1075" s="5"/>
      <c r="W1075" s="5"/>
      <c r="X1075" s="5"/>
      <c r="Y1075" s="5"/>
      <c r="Z1075" s="5"/>
      <c r="AA1075" s="5"/>
      <c r="AB1075" s="5"/>
      <c r="AC1075" s="5"/>
      <c r="AD1075" s="5"/>
      <c r="AE1075" s="5"/>
      <c r="AF1075" s="5"/>
      <c r="AG1075" s="5"/>
    </row>
    <row r="1076" ht="15.75" customHeight="1">
      <c r="K1076" t="s">
        <v>1813</v>
      </c>
      <c r="L1076" t="str">
        <f>K68</f>
        <v>H1a1a4b2c1a</v>
      </c>
      <c r="N1076" t="s">
        <v>1814</v>
      </c>
      <c r="O1076">
        <v>2.1194671E7</v>
      </c>
      <c r="P1076">
        <v>1.9032785E7</v>
      </c>
      <c r="Q1076" t="s">
        <v>423</v>
      </c>
      <c r="R1076" s="5"/>
      <c r="S1076" s="5"/>
      <c r="T1076" s="5"/>
      <c r="U1076" s="5"/>
      <c r="V1076" s="5"/>
      <c r="W1076" s="5"/>
      <c r="X1076" s="5"/>
      <c r="Y1076" s="5"/>
      <c r="Z1076" s="5"/>
      <c r="AA1076" s="5"/>
      <c r="AB1076" s="5"/>
      <c r="AC1076" s="5"/>
      <c r="AD1076" s="5"/>
      <c r="AE1076" s="5"/>
      <c r="AF1076" s="5"/>
      <c r="AG1076" s="5"/>
    </row>
    <row r="1077" ht="15.75" customHeight="1">
      <c r="K1077" t="s">
        <v>1815</v>
      </c>
      <c r="L1077" t="str">
        <f>K68</f>
        <v>H1a1a4b2c1a</v>
      </c>
      <c r="N1077" t="s">
        <v>1816</v>
      </c>
      <c r="O1077">
        <v>2.2179059E7</v>
      </c>
      <c r="P1077">
        <v>2.0017173E7</v>
      </c>
      <c r="Q1077" t="s">
        <v>423</v>
      </c>
      <c r="R1077" s="5"/>
      <c r="S1077" s="5"/>
      <c r="T1077" s="5"/>
      <c r="U1077" s="5"/>
      <c r="V1077" s="5"/>
      <c r="W1077" s="5"/>
      <c r="X1077" s="5"/>
      <c r="Y1077" s="5"/>
      <c r="Z1077" s="5"/>
      <c r="AA1077" s="5"/>
      <c r="AB1077" s="5"/>
      <c r="AC1077" s="5"/>
      <c r="AD1077" s="5"/>
      <c r="AE1077" s="5"/>
      <c r="AF1077" s="5"/>
      <c r="AG1077" s="5"/>
    </row>
    <row r="1078" ht="15.75" customHeight="1">
      <c r="K1078" t="s">
        <v>1817</v>
      </c>
      <c r="L1078" t="str">
        <f>L69</f>
        <v>H1a1a4b2c1a1</v>
      </c>
      <c r="N1078" t="s">
        <v>1818</v>
      </c>
      <c r="O1078">
        <v>1.7855632E7</v>
      </c>
      <c r="P1078">
        <v>1.5743752E7</v>
      </c>
      <c r="Q1078" t="s">
        <v>423</v>
      </c>
      <c r="R1078" s="5"/>
      <c r="S1078" s="5"/>
      <c r="T1078" s="5"/>
      <c r="U1078" s="5"/>
      <c r="V1078" s="5"/>
      <c r="W1078" s="5"/>
      <c r="X1078" s="5"/>
      <c r="Y1078" s="5"/>
      <c r="Z1078" s="5"/>
      <c r="AA1078" s="5"/>
      <c r="AB1078" s="5"/>
      <c r="AC1078" s="5"/>
      <c r="AD1078" s="5"/>
      <c r="AE1078" s="5"/>
      <c r="AF1078" s="5"/>
      <c r="AG1078" s="5"/>
    </row>
    <row r="1079" ht="15.75" customHeight="1">
      <c r="K1079" t="s">
        <v>1819</v>
      </c>
      <c r="L1079" t="str">
        <f>L69</f>
        <v>H1a1a4b2c1a1</v>
      </c>
      <c r="N1079" t="s">
        <v>1820</v>
      </c>
      <c r="O1079">
        <v>8739684.0</v>
      </c>
      <c r="P1079">
        <v>8871643.0</v>
      </c>
      <c r="Q1079" t="s">
        <v>525</v>
      </c>
      <c r="R1079" s="5"/>
      <c r="S1079" s="5"/>
      <c r="T1079" s="5"/>
      <c r="U1079" s="5"/>
      <c r="V1079" s="5"/>
      <c r="W1079" s="5"/>
      <c r="X1079" s="5"/>
      <c r="Y1079" s="5"/>
      <c r="Z1079" s="5"/>
      <c r="AA1079" s="5"/>
      <c r="AB1079" s="5"/>
      <c r="AC1079" s="5"/>
      <c r="AD1079" s="5"/>
      <c r="AE1079" s="5"/>
      <c r="AF1079" s="5"/>
      <c r="AG1079" s="5"/>
    </row>
    <row r="1080" ht="15.75" customHeight="1">
      <c r="K1080" t="s">
        <v>1821</v>
      </c>
      <c r="L1080" t="str">
        <f>L69</f>
        <v>H1a1a4b2c1a1</v>
      </c>
      <c r="N1080" t="s">
        <v>1822</v>
      </c>
      <c r="O1080">
        <v>9851289.0</v>
      </c>
      <c r="P1080">
        <v>1.001368E7</v>
      </c>
      <c r="Q1080" t="s">
        <v>423</v>
      </c>
      <c r="R1080" s="5"/>
      <c r="S1080" s="5"/>
      <c r="T1080" s="5"/>
      <c r="U1080" s="5"/>
      <c r="V1080" s="5"/>
      <c r="W1080" s="5"/>
      <c r="X1080" s="5"/>
      <c r="Y1080" s="5"/>
      <c r="Z1080" s="5"/>
      <c r="AA1080" s="5"/>
      <c r="AB1080" s="5"/>
      <c r="AC1080" s="5"/>
      <c r="AD1080" s="5"/>
      <c r="AE1080" s="5"/>
      <c r="AF1080" s="5"/>
      <c r="AG1080" s="5"/>
    </row>
    <row r="1081" ht="15.75" customHeight="1">
      <c r="K1081" t="s">
        <v>1823</v>
      </c>
      <c r="L1081" t="str">
        <f>L69</f>
        <v>H1a1a4b2c1a1</v>
      </c>
      <c r="N1081" t="s">
        <v>1824</v>
      </c>
      <c r="O1081">
        <v>1.4967429E7</v>
      </c>
      <c r="P1081">
        <v>1.2855504E7</v>
      </c>
      <c r="Q1081" t="s">
        <v>423</v>
      </c>
      <c r="R1081" s="5"/>
      <c r="S1081" s="5"/>
      <c r="T1081" s="5"/>
      <c r="U1081" s="5"/>
      <c r="V1081" s="5"/>
      <c r="W1081" s="5"/>
      <c r="X1081" s="5"/>
      <c r="Y1081" s="5"/>
      <c r="Z1081" s="5"/>
      <c r="AA1081" s="5"/>
      <c r="AB1081" s="5"/>
      <c r="AC1081" s="5"/>
      <c r="AD1081" s="5"/>
      <c r="AE1081" s="5"/>
      <c r="AF1081" s="5"/>
      <c r="AG1081" s="5"/>
    </row>
    <row r="1082" ht="15.75" customHeight="1">
      <c r="K1082" t="s">
        <v>1825</v>
      </c>
      <c r="L1082" t="str">
        <f>L69</f>
        <v>H1a1a4b2c1a1</v>
      </c>
      <c r="N1082" t="s">
        <v>1826</v>
      </c>
      <c r="O1082">
        <v>1.6253577E7</v>
      </c>
      <c r="P1082">
        <v>1.4141697E7</v>
      </c>
      <c r="Q1082" t="s">
        <v>553</v>
      </c>
      <c r="R1082" s="5"/>
      <c r="S1082" s="5"/>
      <c r="T1082" s="5"/>
      <c r="U1082" s="5"/>
      <c r="V1082" s="5"/>
      <c r="W1082" s="5"/>
      <c r="X1082" s="5"/>
      <c r="Y1082" s="5"/>
      <c r="Z1082" s="5"/>
      <c r="AA1082" s="5"/>
      <c r="AB1082" s="5"/>
      <c r="AC1082" s="5"/>
      <c r="AD1082" s="5"/>
      <c r="AE1082" s="5"/>
      <c r="AF1082" s="5"/>
      <c r="AG1082" s="5"/>
    </row>
    <row r="1083" ht="15.75" customHeight="1">
      <c r="K1083" t="s">
        <v>1827</v>
      </c>
      <c r="L1083" t="str">
        <f>L69</f>
        <v>H1a1a4b2c1a1</v>
      </c>
      <c r="N1083" t="s">
        <v>1828</v>
      </c>
      <c r="O1083">
        <v>1.820538E7</v>
      </c>
      <c r="P1083">
        <v>1.60935E7</v>
      </c>
      <c r="Q1083" t="s">
        <v>476</v>
      </c>
      <c r="R1083" s="5"/>
      <c r="S1083" s="5"/>
      <c r="T1083" s="5"/>
      <c r="U1083" s="5"/>
      <c r="V1083" s="5"/>
      <c r="W1083" s="5"/>
      <c r="X1083" s="5"/>
      <c r="Y1083" s="5"/>
      <c r="Z1083" s="5"/>
      <c r="AA1083" s="5"/>
      <c r="AB1083" s="5"/>
      <c r="AC1083" s="5"/>
      <c r="AD1083" s="5"/>
      <c r="AE1083" s="5"/>
      <c r="AF1083" s="5"/>
      <c r="AG1083" s="5"/>
    </row>
    <row r="1084" ht="15.75" customHeight="1">
      <c r="K1084" t="s">
        <v>1829</v>
      </c>
      <c r="L1084" t="str">
        <f>L69</f>
        <v>H1a1a4b2c1a1</v>
      </c>
      <c r="N1084" t="s">
        <v>1830</v>
      </c>
      <c r="O1084">
        <v>2.1944943E7</v>
      </c>
      <c r="P1084">
        <v>1.9783057E7</v>
      </c>
      <c r="Q1084" t="s">
        <v>435</v>
      </c>
      <c r="R1084" s="5"/>
      <c r="S1084" s="5"/>
      <c r="T1084" s="5"/>
      <c r="U1084" s="5"/>
      <c r="V1084" s="5"/>
      <c r="W1084" s="5"/>
      <c r="X1084" s="5"/>
      <c r="Y1084" s="5"/>
      <c r="Z1084" s="5"/>
      <c r="AA1084" s="5"/>
      <c r="AB1084" s="5"/>
      <c r="AC1084" s="5"/>
      <c r="AD1084" s="5"/>
      <c r="AE1084" s="5"/>
      <c r="AF1084" s="5"/>
      <c r="AG1084" s="5"/>
    </row>
    <row r="1085" ht="15.75" customHeight="1">
      <c r="K1085" t="s">
        <v>1831</v>
      </c>
      <c r="L1085" t="str">
        <f>M70</f>
        <v>H1a1a4b2c1a1a</v>
      </c>
      <c r="N1085" t="s">
        <v>1832</v>
      </c>
      <c r="O1085">
        <v>1.7754959E7</v>
      </c>
      <c r="P1085">
        <v>1.5643079E7</v>
      </c>
      <c r="Q1085" t="s">
        <v>423</v>
      </c>
      <c r="R1085" s="5"/>
      <c r="S1085" s="5"/>
      <c r="T1085" s="5"/>
      <c r="U1085" s="5"/>
      <c r="V1085" s="5"/>
      <c r="W1085" s="5"/>
      <c r="X1085" s="5"/>
      <c r="Y1085" s="5"/>
      <c r="Z1085" s="5"/>
      <c r="AA1085" s="5"/>
      <c r="AB1085" s="5"/>
      <c r="AC1085" s="5"/>
      <c r="AD1085" s="5"/>
      <c r="AE1085" s="5"/>
      <c r="AF1085" s="5"/>
      <c r="AG1085" s="5"/>
    </row>
    <row r="1086" ht="15.75" customHeight="1">
      <c r="K1086" t="s">
        <v>1833</v>
      </c>
      <c r="L1086" t="str">
        <f>M70</f>
        <v>H1a1a4b2c1a1a</v>
      </c>
      <c r="N1086" t="s">
        <v>1834</v>
      </c>
      <c r="O1086">
        <v>8236953.0</v>
      </c>
      <c r="P1086">
        <v>8368912.0</v>
      </c>
      <c r="Q1086" t="s">
        <v>452</v>
      </c>
      <c r="R1086" s="5"/>
      <c r="S1086" s="5"/>
      <c r="T1086" s="5"/>
      <c r="U1086" s="5"/>
      <c r="V1086" s="5"/>
      <c r="W1086" s="5"/>
      <c r="X1086" s="5"/>
      <c r="Y1086" s="5"/>
      <c r="Z1086" s="5"/>
      <c r="AA1086" s="5"/>
      <c r="AB1086" s="5"/>
      <c r="AC1086" s="5"/>
      <c r="AD1086" s="5"/>
      <c r="AE1086" s="5"/>
      <c r="AF1086" s="5"/>
      <c r="AG1086" s="5"/>
    </row>
    <row r="1087" ht="15.75" customHeight="1">
      <c r="K1087" t="s">
        <v>1835</v>
      </c>
      <c r="L1087" t="str">
        <f>M70</f>
        <v>H1a1a4b2c1a1a</v>
      </c>
      <c r="N1087" t="s">
        <v>1836</v>
      </c>
      <c r="O1087">
        <v>8726788.0</v>
      </c>
      <c r="P1087">
        <v>8858747.0</v>
      </c>
      <c r="Q1087" t="s">
        <v>448</v>
      </c>
      <c r="R1087" s="5"/>
      <c r="S1087" s="5"/>
      <c r="T1087" s="5"/>
      <c r="U1087" s="5"/>
      <c r="V1087" s="5"/>
      <c r="W1087" s="5"/>
      <c r="X1087" s="5"/>
      <c r="Y1087" s="5"/>
      <c r="Z1087" s="5"/>
      <c r="AA1087" s="5"/>
      <c r="AB1087" s="5"/>
      <c r="AC1087" s="5"/>
      <c r="AD1087" s="5"/>
      <c r="AE1087" s="5"/>
      <c r="AF1087" s="5"/>
      <c r="AG1087" s="5"/>
    </row>
    <row r="1088" ht="15.75" customHeight="1">
      <c r="K1088" t="s">
        <v>1837</v>
      </c>
      <c r="L1088" t="str">
        <f>M70</f>
        <v>H1a1a4b2c1a1a</v>
      </c>
      <c r="O1088">
        <v>9907077.0</v>
      </c>
      <c r="P1088">
        <v>1.0069468E7</v>
      </c>
      <c r="Q1088" t="s">
        <v>435</v>
      </c>
      <c r="R1088" s="5"/>
      <c r="S1088" s="5"/>
      <c r="T1088" s="5"/>
      <c r="U1088" s="5"/>
      <c r="V1088" s="5"/>
      <c r="W1088" s="5"/>
      <c r="X1088" s="5"/>
      <c r="Y1088" s="5"/>
      <c r="Z1088" s="5"/>
      <c r="AA1088" s="5"/>
      <c r="AB1088" s="5"/>
      <c r="AC1088" s="5"/>
      <c r="AD1088" s="5"/>
      <c r="AE1088" s="5"/>
      <c r="AF1088" s="5"/>
      <c r="AG1088" s="5"/>
    </row>
    <row r="1089" ht="15.75" customHeight="1">
      <c r="K1089" t="s">
        <v>1838</v>
      </c>
      <c r="L1089" t="str">
        <f>M70</f>
        <v>H1a1a4b2c1a1a</v>
      </c>
      <c r="N1089" t="s">
        <v>1839</v>
      </c>
      <c r="O1089">
        <v>1.705584E7</v>
      </c>
      <c r="P1089">
        <v>1.494396E7</v>
      </c>
      <c r="Q1089" t="s">
        <v>452</v>
      </c>
      <c r="R1089" s="5"/>
      <c r="S1089" s="5"/>
      <c r="T1089" s="5"/>
      <c r="U1089" s="5"/>
      <c r="V1089" s="5"/>
      <c r="W1089" s="5"/>
      <c r="X1089" s="5"/>
      <c r="Y1089" s="5"/>
      <c r="Z1089" s="5"/>
      <c r="AA1089" s="5"/>
      <c r="AB1089" s="5"/>
      <c r="AC1089" s="5"/>
      <c r="AD1089" s="5"/>
      <c r="AE1089" s="5"/>
      <c r="AF1089" s="5"/>
      <c r="AG1089" s="5"/>
    </row>
    <row r="1090" ht="15.75" customHeight="1">
      <c r="K1090" t="s">
        <v>1840</v>
      </c>
      <c r="L1090" t="str">
        <f>M70</f>
        <v>H1a1a4b2c1a1a</v>
      </c>
      <c r="N1090" t="s">
        <v>1841</v>
      </c>
      <c r="O1090">
        <v>2.3356684E7</v>
      </c>
      <c r="P1090">
        <v>2.1194798E7</v>
      </c>
      <c r="Q1090" t="s">
        <v>435</v>
      </c>
      <c r="R1090" s="5"/>
      <c r="S1090" s="5"/>
      <c r="T1090" s="5"/>
      <c r="U1090" s="5"/>
      <c r="V1090" s="5"/>
      <c r="W1090" s="5"/>
      <c r="X1090" s="5"/>
      <c r="Y1090" s="5"/>
      <c r="Z1090" s="5"/>
      <c r="AA1090" s="5"/>
      <c r="AB1090" s="5"/>
      <c r="AC1090" s="5"/>
      <c r="AD1090" s="5"/>
      <c r="AE1090" s="5"/>
      <c r="AF1090" s="5"/>
      <c r="AG1090" s="5"/>
    </row>
    <row r="1091" ht="15.75" customHeight="1">
      <c r="K1091" t="s">
        <v>1842</v>
      </c>
      <c r="L1091" t="str">
        <f>N71</f>
        <v>H1a1a4b2c1a1a1~</v>
      </c>
      <c r="N1091" t="s">
        <v>1843</v>
      </c>
      <c r="O1091">
        <v>6888246.0</v>
      </c>
      <c r="P1091">
        <v>7020205.0</v>
      </c>
      <c r="Q1091" t="s">
        <v>435</v>
      </c>
      <c r="R1091" s="5"/>
      <c r="S1091" s="5"/>
      <c r="T1091" s="5"/>
      <c r="U1091" s="5"/>
      <c r="V1091" s="5"/>
      <c r="W1091" s="5"/>
      <c r="X1091" s="5"/>
      <c r="Y1091" s="5"/>
      <c r="Z1091" s="5"/>
      <c r="AA1091" s="5"/>
      <c r="AB1091" s="5"/>
      <c r="AC1091" s="5"/>
      <c r="AD1091" s="5"/>
      <c r="AE1091" s="5"/>
      <c r="AF1091" s="5"/>
      <c r="AG1091" s="5"/>
    </row>
    <row r="1092" ht="15.75" customHeight="1">
      <c r="K1092" t="s">
        <v>1844</v>
      </c>
      <c r="L1092" t="str">
        <f>N71</f>
        <v>H1a1a4b2c1a1a1~</v>
      </c>
      <c r="N1092" t="s">
        <v>1845</v>
      </c>
      <c r="O1092">
        <v>7010980.0</v>
      </c>
      <c r="P1092">
        <v>7142939.0</v>
      </c>
      <c r="Q1092" t="s">
        <v>423</v>
      </c>
      <c r="R1092" s="5"/>
      <c r="S1092" s="5"/>
      <c r="T1092" s="5"/>
      <c r="U1092" s="5"/>
      <c r="V1092" s="5"/>
      <c r="W1092" s="5"/>
      <c r="X1092" s="5"/>
      <c r="Y1092" s="5"/>
      <c r="Z1092" s="5"/>
      <c r="AA1092" s="5"/>
      <c r="AB1092" s="5"/>
      <c r="AC1092" s="5"/>
      <c r="AD1092" s="5"/>
      <c r="AE1092" s="5"/>
      <c r="AF1092" s="5"/>
      <c r="AG1092" s="5"/>
    </row>
    <row r="1093" ht="15.75" customHeight="1">
      <c r="K1093" t="s">
        <v>1846</v>
      </c>
      <c r="L1093" t="str">
        <f>N71</f>
        <v>H1a1a4b2c1a1a1~</v>
      </c>
      <c r="O1093">
        <v>7778959.0</v>
      </c>
      <c r="P1093">
        <v>7910918.0</v>
      </c>
      <c r="Q1093" t="s">
        <v>435</v>
      </c>
      <c r="R1093" s="5"/>
      <c r="S1093" s="5"/>
      <c r="T1093" s="5"/>
      <c r="U1093" s="5"/>
      <c r="V1093" s="5"/>
      <c r="W1093" s="5"/>
      <c r="X1093" s="5"/>
      <c r="Y1093" s="5"/>
      <c r="Z1093" s="5"/>
      <c r="AA1093" s="5"/>
      <c r="AB1093" s="5"/>
      <c r="AC1093" s="5"/>
      <c r="AD1093" s="5"/>
      <c r="AE1093" s="5"/>
      <c r="AF1093" s="5"/>
      <c r="AG1093" s="5"/>
    </row>
    <row r="1094" ht="15.75" customHeight="1">
      <c r="K1094" t="s">
        <v>1847</v>
      </c>
      <c r="L1094" t="str">
        <f>N71</f>
        <v>H1a1a4b2c1a1a1~</v>
      </c>
      <c r="N1094" t="s">
        <v>1848</v>
      </c>
      <c r="O1094">
        <v>7996376.0</v>
      </c>
      <c r="P1094">
        <v>8128335.0</v>
      </c>
      <c r="Q1094" t="s">
        <v>525</v>
      </c>
      <c r="R1094" s="5"/>
      <c r="S1094" s="5"/>
      <c r="T1094" s="5"/>
      <c r="U1094" s="5"/>
      <c r="V1094" s="5"/>
      <c r="W1094" s="5"/>
      <c r="X1094" s="5"/>
      <c r="Y1094" s="5"/>
      <c r="Z1094" s="5"/>
      <c r="AA1094" s="5"/>
      <c r="AB1094" s="5"/>
      <c r="AC1094" s="5"/>
      <c r="AD1094" s="5"/>
      <c r="AE1094" s="5"/>
      <c r="AF1094" s="5"/>
      <c r="AG1094" s="5"/>
    </row>
    <row r="1095" ht="15.75" customHeight="1">
      <c r="K1095" t="s">
        <v>1849</v>
      </c>
      <c r="L1095" t="str">
        <f t="shared" ref="L1095:L1096" si="12">N71</f>
        <v>H1a1a4b2c1a1a1~</v>
      </c>
      <c r="O1095">
        <v>8210093.0</v>
      </c>
      <c r="P1095">
        <v>8342052.0</v>
      </c>
      <c r="Q1095" t="s">
        <v>448</v>
      </c>
      <c r="R1095" s="5"/>
      <c r="S1095" s="5"/>
      <c r="T1095" s="5"/>
      <c r="U1095" s="5"/>
      <c r="V1095" s="5"/>
      <c r="W1095" s="5"/>
      <c r="X1095" s="5"/>
      <c r="Y1095" s="5"/>
      <c r="Z1095" s="5"/>
      <c r="AA1095" s="5"/>
      <c r="AB1095" s="5"/>
      <c r="AC1095" s="5"/>
      <c r="AD1095" s="5"/>
      <c r="AE1095" s="5"/>
      <c r="AF1095" s="5"/>
      <c r="AG1095" s="5"/>
    </row>
    <row r="1096" ht="15.75" customHeight="1">
      <c r="K1096" t="s">
        <v>1850</v>
      </c>
      <c r="L1096" t="str">
        <f t="shared" si="12"/>
        <v>H1a1a4b2c1a1a2~</v>
      </c>
      <c r="N1096" t="s">
        <v>1851</v>
      </c>
      <c r="O1096">
        <v>2740358.0</v>
      </c>
      <c r="P1096">
        <v>2872317.0</v>
      </c>
      <c r="Q1096" t="s">
        <v>459</v>
      </c>
      <c r="R1096" s="5"/>
      <c r="S1096" s="5"/>
      <c r="T1096" s="5"/>
      <c r="U1096" s="5"/>
      <c r="V1096" s="5"/>
      <c r="W1096" s="5"/>
      <c r="X1096" s="5"/>
      <c r="Y1096" s="5"/>
      <c r="Z1096" s="5"/>
      <c r="AA1096" s="5"/>
      <c r="AB1096" s="5"/>
      <c r="AC1096" s="5"/>
      <c r="AD1096" s="5"/>
      <c r="AE1096" s="5"/>
      <c r="AF1096" s="5"/>
      <c r="AG1096" s="5"/>
    </row>
    <row r="1097" ht="15.75" customHeight="1">
      <c r="K1097" t="s">
        <v>1852</v>
      </c>
      <c r="L1097" t="str">
        <f>N72</f>
        <v>H1a1a4b2c1a1a2~</v>
      </c>
      <c r="N1097" t="s">
        <v>1853</v>
      </c>
      <c r="O1097">
        <v>2892443.0</v>
      </c>
      <c r="P1097">
        <v>3024402.0</v>
      </c>
      <c r="Q1097" t="s">
        <v>427</v>
      </c>
      <c r="R1097" s="5"/>
      <c r="S1097" s="5"/>
      <c r="T1097" s="5"/>
      <c r="U1097" s="5"/>
      <c r="V1097" s="5"/>
      <c r="W1097" s="5"/>
      <c r="X1097" s="5"/>
      <c r="Y1097" s="5"/>
      <c r="Z1097" s="5"/>
      <c r="AA1097" s="5"/>
      <c r="AB1097" s="5"/>
      <c r="AC1097" s="5"/>
      <c r="AD1097" s="5"/>
      <c r="AE1097" s="5"/>
      <c r="AF1097" s="5"/>
      <c r="AG1097" s="5"/>
    </row>
    <row r="1098" ht="15.75" customHeight="1">
      <c r="K1098" t="s">
        <v>1854</v>
      </c>
      <c r="L1098" t="str">
        <f>N72</f>
        <v>H1a1a4b2c1a1a2~</v>
      </c>
      <c r="N1098" t="s">
        <v>1855</v>
      </c>
      <c r="O1098">
        <v>7172326.0</v>
      </c>
      <c r="P1098">
        <v>7304285.0</v>
      </c>
      <c r="Q1098" t="s">
        <v>419</v>
      </c>
      <c r="R1098" s="5"/>
      <c r="S1098" s="5"/>
      <c r="T1098" s="5"/>
      <c r="U1098" s="5"/>
      <c r="V1098" s="5"/>
      <c r="W1098" s="5"/>
      <c r="X1098" s="5"/>
      <c r="Y1098" s="5"/>
      <c r="Z1098" s="5"/>
      <c r="AA1098" s="5"/>
      <c r="AB1098" s="5"/>
      <c r="AC1098" s="5"/>
      <c r="AD1098" s="5"/>
      <c r="AE1098" s="5"/>
      <c r="AF1098" s="5"/>
      <c r="AG1098" s="5"/>
    </row>
    <row r="1099" ht="15.75" customHeight="1">
      <c r="K1099" t="s">
        <v>1856</v>
      </c>
      <c r="L1099" t="str">
        <f>N72</f>
        <v>H1a1a4b2c1a1a2~</v>
      </c>
      <c r="N1099" t="s">
        <v>1857</v>
      </c>
      <c r="O1099">
        <v>8246289.0</v>
      </c>
      <c r="P1099">
        <v>8378248.0</v>
      </c>
      <c r="Q1099" t="s">
        <v>435</v>
      </c>
      <c r="R1099" s="5"/>
      <c r="S1099" s="5"/>
      <c r="T1099" s="5"/>
      <c r="U1099" s="5"/>
      <c r="V1099" s="5"/>
      <c r="W1099" s="5"/>
      <c r="X1099" s="5"/>
      <c r="Y1099" s="5"/>
      <c r="Z1099" s="5"/>
      <c r="AA1099" s="5"/>
      <c r="AB1099" s="5"/>
      <c r="AC1099" s="5"/>
      <c r="AD1099" s="5"/>
      <c r="AE1099" s="5"/>
      <c r="AF1099" s="5"/>
      <c r="AG1099" s="5"/>
    </row>
    <row r="1100" ht="15.75" customHeight="1">
      <c r="K1100" t="s">
        <v>1858</v>
      </c>
      <c r="L1100" t="str">
        <f>N72</f>
        <v>H1a1a4b2c1a1a2~</v>
      </c>
      <c r="N1100" t="s">
        <v>1859</v>
      </c>
      <c r="O1100">
        <v>8446860.0</v>
      </c>
      <c r="P1100">
        <v>8578819.0</v>
      </c>
      <c r="Q1100" t="s">
        <v>427</v>
      </c>
      <c r="R1100" s="5"/>
      <c r="S1100" s="5"/>
      <c r="T1100" s="5"/>
      <c r="U1100" s="5"/>
      <c r="V1100" s="5"/>
      <c r="W1100" s="5"/>
      <c r="X1100" s="5"/>
      <c r="Y1100" s="5"/>
      <c r="Z1100" s="5"/>
      <c r="AA1100" s="5"/>
      <c r="AB1100" s="5"/>
      <c r="AC1100" s="5"/>
      <c r="AD1100" s="5"/>
      <c r="AE1100" s="5"/>
      <c r="AF1100" s="5"/>
      <c r="AG1100" s="5"/>
    </row>
    <row r="1101" ht="15.75" customHeight="1">
      <c r="K1101" t="s">
        <v>1860</v>
      </c>
      <c r="L1101" t="str">
        <f>M73</f>
        <v>H1a1a4b2c1a1b~</v>
      </c>
      <c r="N1101" t="s">
        <v>1861</v>
      </c>
      <c r="O1101">
        <v>6751531.0</v>
      </c>
      <c r="P1101">
        <v>6883490.0</v>
      </c>
      <c r="Q1101" t="s">
        <v>476</v>
      </c>
      <c r="R1101" s="5"/>
      <c r="S1101" s="5"/>
      <c r="T1101" s="5"/>
      <c r="U1101" s="5"/>
      <c r="V1101" s="5"/>
      <c r="W1101" s="5"/>
      <c r="X1101" s="5"/>
      <c r="Y1101" s="5"/>
      <c r="Z1101" s="5"/>
      <c r="AA1101" s="5"/>
      <c r="AB1101" s="5"/>
      <c r="AC1101" s="5"/>
      <c r="AD1101" s="5"/>
      <c r="AE1101" s="5"/>
      <c r="AF1101" s="5"/>
      <c r="AG1101" s="5"/>
    </row>
    <row r="1102" ht="15.75" customHeight="1">
      <c r="K1102" t="s">
        <v>1862</v>
      </c>
      <c r="L1102" t="str">
        <f>M73</f>
        <v>H1a1a4b2c1a1b~</v>
      </c>
      <c r="O1102">
        <v>7360252.0</v>
      </c>
      <c r="P1102">
        <v>7492211.0</v>
      </c>
      <c r="Q1102" t="s">
        <v>435</v>
      </c>
      <c r="R1102" s="5"/>
      <c r="S1102" s="5"/>
      <c r="T1102" s="5"/>
      <c r="U1102" s="5"/>
      <c r="V1102" s="5"/>
      <c r="W1102" s="5"/>
      <c r="X1102" s="5"/>
      <c r="Y1102" s="5"/>
      <c r="Z1102" s="5"/>
      <c r="AA1102" s="5"/>
      <c r="AB1102" s="5"/>
      <c r="AC1102" s="5"/>
      <c r="AD1102" s="5"/>
      <c r="AE1102" s="5"/>
      <c r="AF1102" s="5"/>
      <c r="AG1102" s="5"/>
    </row>
    <row r="1103" ht="15.75" customHeight="1">
      <c r="K1103" t="s">
        <v>1863</v>
      </c>
      <c r="L1103" t="str">
        <f>M73</f>
        <v>H1a1a4b2c1a1b~</v>
      </c>
      <c r="N1103" t="s">
        <v>1864</v>
      </c>
      <c r="O1103">
        <v>7681153.0</v>
      </c>
      <c r="P1103">
        <v>7813112.0</v>
      </c>
      <c r="Q1103" t="s">
        <v>459</v>
      </c>
      <c r="R1103" s="5"/>
      <c r="S1103" s="5"/>
      <c r="T1103" s="5"/>
      <c r="U1103" s="5"/>
      <c r="V1103" s="5"/>
      <c r="W1103" s="5"/>
      <c r="X1103" s="5"/>
      <c r="Y1103" s="5"/>
      <c r="Z1103" s="5"/>
      <c r="AA1103" s="5"/>
      <c r="AB1103" s="5"/>
      <c r="AC1103" s="5"/>
      <c r="AD1103" s="5"/>
      <c r="AE1103" s="5"/>
      <c r="AF1103" s="5"/>
      <c r="AG1103" s="5"/>
    </row>
    <row r="1104" ht="15.75" customHeight="1">
      <c r="K1104" t="s">
        <v>1865</v>
      </c>
      <c r="L1104" t="str">
        <f>M73</f>
        <v>H1a1a4b2c1a1b~</v>
      </c>
      <c r="N1104" t="s">
        <v>1866</v>
      </c>
      <c r="O1104">
        <v>8198787.0</v>
      </c>
      <c r="P1104">
        <v>8330746.0</v>
      </c>
      <c r="Q1104" t="s">
        <v>427</v>
      </c>
      <c r="R1104" s="5"/>
      <c r="S1104" s="5"/>
      <c r="T1104" s="5"/>
      <c r="U1104" s="5"/>
      <c r="V1104" s="5"/>
      <c r="W1104" s="5"/>
      <c r="X1104" s="5"/>
      <c r="Y1104" s="5"/>
      <c r="Z1104" s="5"/>
      <c r="AA1104" s="5"/>
      <c r="AB1104" s="5"/>
      <c r="AC1104" s="5"/>
      <c r="AD1104" s="5"/>
      <c r="AE1104" s="5"/>
      <c r="AF1104" s="5"/>
      <c r="AG1104" s="5"/>
    </row>
    <row r="1105" ht="15.75" customHeight="1">
      <c r="K1105" t="s">
        <v>1867</v>
      </c>
      <c r="L1105" t="str">
        <f>L74</f>
        <v>H1a1a4b2c1a2~</v>
      </c>
      <c r="N1105" t="s">
        <v>1868</v>
      </c>
      <c r="O1105">
        <v>2690837.0</v>
      </c>
      <c r="P1105">
        <v>2822796.0</v>
      </c>
      <c r="Q1105" t="s">
        <v>419</v>
      </c>
      <c r="R1105" s="5"/>
      <c r="S1105" s="5"/>
      <c r="T1105" s="5"/>
      <c r="U1105" s="5"/>
      <c r="V1105" s="5"/>
      <c r="W1105" s="5"/>
      <c r="X1105" s="5"/>
      <c r="Y1105" s="5"/>
      <c r="Z1105" s="5"/>
      <c r="AA1105" s="5"/>
      <c r="AB1105" s="5"/>
      <c r="AC1105" s="5"/>
      <c r="AD1105" s="5"/>
      <c r="AE1105" s="5"/>
      <c r="AF1105" s="5"/>
      <c r="AG1105" s="5"/>
    </row>
    <row r="1106" ht="15.75" customHeight="1">
      <c r="K1106" t="s">
        <v>1867</v>
      </c>
      <c r="L1106" t="str">
        <f>L74</f>
        <v>H1a1a4b2c1a2~</v>
      </c>
      <c r="N1106" t="s">
        <v>1868</v>
      </c>
      <c r="O1106">
        <v>2690837.0</v>
      </c>
      <c r="P1106">
        <v>2822796.0</v>
      </c>
      <c r="Q1106" t="s">
        <v>419</v>
      </c>
      <c r="R1106" s="5"/>
      <c r="S1106" s="5"/>
      <c r="T1106" s="5"/>
      <c r="U1106" s="5"/>
      <c r="V1106" s="5"/>
      <c r="W1106" s="5"/>
      <c r="X1106" s="5"/>
      <c r="Y1106" s="5"/>
      <c r="Z1106" s="5"/>
      <c r="AA1106" s="5"/>
      <c r="AB1106" s="5"/>
      <c r="AC1106" s="5"/>
      <c r="AD1106" s="5"/>
      <c r="AE1106" s="5"/>
      <c r="AF1106" s="5"/>
      <c r="AG1106" s="5"/>
    </row>
    <row r="1107" ht="15.75" customHeight="1">
      <c r="K1107" t="s">
        <v>1869</v>
      </c>
      <c r="L1107" t="str">
        <f>L74</f>
        <v>H1a1a4b2c1a2~</v>
      </c>
      <c r="N1107" t="s">
        <v>1870</v>
      </c>
      <c r="O1107">
        <v>8041029.0</v>
      </c>
      <c r="P1107">
        <v>8172988.0</v>
      </c>
      <c r="Q1107" t="s">
        <v>423</v>
      </c>
      <c r="R1107" s="5"/>
      <c r="S1107" s="5"/>
      <c r="T1107" s="5"/>
      <c r="U1107" s="5"/>
      <c r="V1107" s="5"/>
      <c r="W1107" s="5"/>
      <c r="X1107" s="5"/>
      <c r="Y1107" s="5"/>
      <c r="Z1107" s="5"/>
      <c r="AA1107" s="5"/>
      <c r="AB1107" s="5"/>
      <c r="AC1107" s="5"/>
      <c r="AD1107" s="5"/>
      <c r="AE1107" s="5"/>
      <c r="AF1107" s="5"/>
      <c r="AG1107" s="5"/>
    </row>
    <row r="1108" ht="15.75" customHeight="1">
      <c r="K1108" t="s">
        <v>1871</v>
      </c>
      <c r="L1108" t="str">
        <f>L74</f>
        <v>H1a1a4b2c1a2~</v>
      </c>
      <c r="N1108" t="s">
        <v>1872</v>
      </c>
      <c r="O1108">
        <v>8798390.0</v>
      </c>
      <c r="P1108">
        <v>8930349.0</v>
      </c>
      <c r="Q1108" t="s">
        <v>423</v>
      </c>
      <c r="R1108" s="5"/>
      <c r="S1108" s="5"/>
      <c r="T1108" s="5"/>
      <c r="U1108" s="5"/>
      <c r="V1108" s="5"/>
      <c r="W1108" s="5"/>
      <c r="X1108" s="5"/>
      <c r="Y1108" s="5"/>
      <c r="Z1108" s="5"/>
      <c r="AA1108" s="5"/>
      <c r="AB1108" s="5"/>
      <c r="AC1108" s="5"/>
      <c r="AD1108" s="5"/>
      <c r="AE1108" s="5"/>
      <c r="AF1108" s="5"/>
      <c r="AG1108" s="5"/>
    </row>
    <row r="1109" ht="15.75" customHeight="1">
      <c r="K1109" t="s">
        <v>1873</v>
      </c>
      <c r="L1109" t="str">
        <f t="shared" ref="L1109:L1110" si="13">L74</f>
        <v>H1a1a4b2c1a2~</v>
      </c>
      <c r="N1109" t="s">
        <v>1874</v>
      </c>
      <c r="O1109">
        <v>1.4230848E7</v>
      </c>
      <c r="P1109">
        <v>1.2110142E7</v>
      </c>
      <c r="Q1109" t="s">
        <v>427</v>
      </c>
      <c r="R1109" s="5"/>
      <c r="S1109" s="5"/>
      <c r="T1109" s="5"/>
      <c r="U1109" s="5"/>
      <c r="V1109" s="5"/>
      <c r="W1109" s="5"/>
      <c r="X1109" s="5"/>
      <c r="Y1109" s="5"/>
      <c r="Z1109" s="5"/>
      <c r="AA1109" s="5"/>
      <c r="AB1109" s="5"/>
      <c r="AC1109" s="5"/>
      <c r="AD1109" s="5"/>
      <c r="AE1109" s="5"/>
      <c r="AF1109" s="5"/>
      <c r="AG1109" s="5"/>
    </row>
    <row r="1110" ht="15.75" customHeight="1">
      <c r="K1110" t="s">
        <v>1875</v>
      </c>
      <c r="L1110" t="str">
        <f t="shared" si="13"/>
        <v>H1a1a4b2c1a3~</v>
      </c>
      <c r="O1110">
        <v>2679904.0</v>
      </c>
      <c r="P1110">
        <v>2811863.0</v>
      </c>
      <c r="Q1110" t="s">
        <v>553</v>
      </c>
      <c r="R1110" s="5"/>
      <c r="S1110" s="5"/>
      <c r="T1110" s="5"/>
      <c r="U1110" s="5"/>
      <c r="V1110" s="5"/>
      <c r="W1110" s="5"/>
      <c r="X1110" s="5"/>
      <c r="Y1110" s="5"/>
      <c r="Z1110" s="5"/>
      <c r="AA1110" s="5"/>
      <c r="AB1110" s="5"/>
      <c r="AC1110" s="5"/>
      <c r="AD1110" s="5"/>
      <c r="AE1110" s="5"/>
      <c r="AF1110" s="5"/>
      <c r="AG1110" s="5"/>
    </row>
    <row r="1111" ht="15.75" customHeight="1">
      <c r="K1111" t="s">
        <v>1876</v>
      </c>
      <c r="L1111" t="str">
        <f>L75</f>
        <v>H1a1a4b2c1a3~</v>
      </c>
      <c r="O1111">
        <v>6761780.0</v>
      </c>
      <c r="P1111">
        <v>6893739.0</v>
      </c>
      <c r="Q1111" t="s">
        <v>435</v>
      </c>
      <c r="R1111" s="5"/>
      <c r="S1111" s="5"/>
      <c r="T1111" s="5"/>
      <c r="U1111" s="5"/>
      <c r="V1111" s="5"/>
      <c r="W1111" s="5"/>
      <c r="X1111" s="5"/>
      <c r="Y1111" s="5"/>
      <c r="Z1111" s="5"/>
      <c r="AA1111" s="5"/>
      <c r="AB1111" s="5"/>
      <c r="AC1111" s="5"/>
      <c r="AD1111" s="5"/>
      <c r="AE1111" s="5"/>
      <c r="AF1111" s="5"/>
      <c r="AG1111" s="5"/>
    </row>
    <row r="1112" ht="15.75" customHeight="1">
      <c r="K1112" t="s">
        <v>1877</v>
      </c>
      <c r="L1112" t="str">
        <f>L75</f>
        <v>H1a1a4b2c1a3~</v>
      </c>
      <c r="O1112">
        <v>7123366.0</v>
      </c>
      <c r="P1112">
        <v>7255325.0</v>
      </c>
      <c r="Q1112" t="s">
        <v>423</v>
      </c>
      <c r="R1112" s="5"/>
      <c r="S1112" s="5"/>
      <c r="T1112" s="5"/>
      <c r="U1112" s="5"/>
      <c r="V1112" s="5"/>
      <c r="W1112" s="5"/>
      <c r="X1112" s="5"/>
      <c r="Y1112" s="5"/>
      <c r="Z1112" s="5"/>
      <c r="AA1112" s="5"/>
      <c r="AB1112" s="5"/>
      <c r="AC1112" s="5"/>
      <c r="AD1112" s="5"/>
      <c r="AE1112" s="5"/>
      <c r="AF1112" s="5"/>
      <c r="AG1112" s="5"/>
    </row>
    <row r="1113" ht="15.75" customHeight="1">
      <c r="K1113" t="s">
        <v>1878</v>
      </c>
      <c r="L1113" t="str">
        <f>L75</f>
        <v>H1a1a4b2c1a3~</v>
      </c>
      <c r="O1113">
        <v>7216179.0</v>
      </c>
      <c r="P1113">
        <v>7348138.0</v>
      </c>
      <c r="Q1113" t="s">
        <v>419</v>
      </c>
      <c r="R1113" s="5"/>
      <c r="S1113" s="5"/>
      <c r="T1113" s="5"/>
      <c r="U1113" s="5"/>
      <c r="V1113" s="5"/>
      <c r="W1113" s="5"/>
      <c r="X1113" s="5"/>
      <c r="Y1113" s="5"/>
      <c r="Z1113" s="5"/>
      <c r="AA1113" s="5"/>
      <c r="AB1113" s="5"/>
      <c r="AC1113" s="5"/>
      <c r="AD1113" s="5"/>
      <c r="AE1113" s="5"/>
      <c r="AF1113" s="5"/>
      <c r="AG1113" s="5"/>
    </row>
    <row r="1114" ht="15.75" customHeight="1">
      <c r="K1114" t="s">
        <v>1879</v>
      </c>
      <c r="L1114" t="str">
        <f>L75</f>
        <v>H1a1a4b2c1a3~</v>
      </c>
      <c r="O1114">
        <v>7351667.0</v>
      </c>
      <c r="P1114">
        <v>7483626.0</v>
      </c>
      <c r="Q1114" t="s">
        <v>473</v>
      </c>
      <c r="R1114" s="5"/>
      <c r="S1114" s="5"/>
      <c r="T1114" s="5"/>
      <c r="U1114" s="5"/>
      <c r="V1114" s="5"/>
      <c r="W1114" s="5"/>
      <c r="X1114" s="5"/>
      <c r="Y1114" s="5"/>
      <c r="Z1114" s="5"/>
      <c r="AA1114" s="5"/>
      <c r="AB1114" s="5"/>
      <c r="AC1114" s="5"/>
      <c r="AD1114" s="5"/>
      <c r="AE1114" s="5"/>
      <c r="AF1114" s="5"/>
      <c r="AG1114" s="5"/>
    </row>
    <row r="1115" ht="15.75" customHeight="1">
      <c r="K1115" t="s">
        <v>1880</v>
      </c>
      <c r="L1115" t="str">
        <f>K76</f>
        <v>H1a1a4b2c1b~</v>
      </c>
      <c r="N1115" t="s">
        <v>1881</v>
      </c>
      <c r="O1115">
        <v>2663097.0</v>
      </c>
      <c r="P1115">
        <v>2795056.0</v>
      </c>
      <c r="Q1115" t="s">
        <v>431</v>
      </c>
      <c r="R1115" s="5"/>
      <c r="S1115" s="5"/>
      <c r="T1115" s="5"/>
      <c r="U1115" s="5"/>
      <c r="V1115" s="5"/>
      <c r="W1115" s="5"/>
      <c r="X1115" s="5"/>
      <c r="Y1115" s="5"/>
      <c r="Z1115" s="5"/>
      <c r="AA1115" s="5"/>
      <c r="AB1115" s="5"/>
      <c r="AC1115" s="5"/>
      <c r="AD1115" s="5"/>
      <c r="AE1115" s="5"/>
      <c r="AF1115" s="5"/>
      <c r="AG1115" s="5"/>
    </row>
    <row r="1116" ht="15.75" customHeight="1">
      <c r="K1116" t="s">
        <v>1882</v>
      </c>
      <c r="L1116" t="str">
        <f>K76</f>
        <v>H1a1a4b2c1b~</v>
      </c>
      <c r="N1116" t="s">
        <v>1883</v>
      </c>
      <c r="O1116">
        <v>2851839.0</v>
      </c>
      <c r="P1116">
        <v>2983798.0</v>
      </c>
      <c r="Q1116" t="s">
        <v>423</v>
      </c>
      <c r="R1116" s="5"/>
      <c r="S1116" s="5"/>
      <c r="T1116" s="5"/>
      <c r="U1116" s="5"/>
      <c r="V1116" s="5"/>
      <c r="W1116" s="5"/>
      <c r="X1116" s="5"/>
      <c r="Y1116" s="5"/>
      <c r="Z1116" s="5"/>
      <c r="AA1116" s="5"/>
      <c r="AB1116" s="5"/>
      <c r="AC1116" s="5"/>
      <c r="AD1116" s="5"/>
      <c r="AE1116" s="5"/>
      <c r="AF1116" s="5"/>
      <c r="AG1116" s="5"/>
    </row>
    <row r="1117" ht="15.75" customHeight="1">
      <c r="K1117" t="s">
        <v>1884</v>
      </c>
      <c r="L1117" t="str">
        <f>K76</f>
        <v>H1a1a4b2c1b~</v>
      </c>
      <c r="N1117" t="s">
        <v>1885</v>
      </c>
      <c r="O1117">
        <v>6625602.0</v>
      </c>
      <c r="P1117">
        <v>6757561.0</v>
      </c>
      <c r="Q1117" t="s">
        <v>431</v>
      </c>
      <c r="R1117" s="5"/>
      <c r="S1117" s="5"/>
      <c r="T1117" s="5"/>
      <c r="U1117" s="5"/>
      <c r="V1117" s="5"/>
      <c r="W1117" s="5"/>
      <c r="X1117" s="5"/>
      <c r="Y1117" s="5"/>
      <c r="Z1117" s="5"/>
      <c r="AA1117" s="5"/>
      <c r="AB1117" s="5"/>
      <c r="AC1117" s="5"/>
      <c r="AD1117" s="5"/>
      <c r="AE1117" s="5"/>
      <c r="AF1117" s="5"/>
      <c r="AG1117" s="5"/>
    </row>
    <row r="1118" ht="15.75" customHeight="1">
      <c r="K1118" t="s">
        <v>1886</v>
      </c>
      <c r="L1118" t="str">
        <f>K76</f>
        <v>H1a1a4b2c1b~</v>
      </c>
      <c r="N1118" t="s">
        <v>1887</v>
      </c>
      <c r="O1118">
        <v>6909486.0</v>
      </c>
      <c r="P1118">
        <v>7041445.0</v>
      </c>
      <c r="Q1118" t="s">
        <v>448</v>
      </c>
      <c r="R1118" s="5"/>
      <c r="S1118" s="5"/>
      <c r="T1118" s="5"/>
      <c r="U1118" s="5"/>
      <c r="V1118" s="5"/>
      <c r="W1118" s="5"/>
      <c r="X1118" s="5"/>
      <c r="Y1118" s="5"/>
      <c r="Z1118" s="5"/>
      <c r="AA1118" s="5"/>
      <c r="AB1118" s="5"/>
      <c r="AC1118" s="5"/>
      <c r="AD1118" s="5"/>
      <c r="AE1118" s="5"/>
      <c r="AF1118" s="5"/>
      <c r="AG1118" s="5"/>
    </row>
    <row r="1119" ht="15.75" customHeight="1">
      <c r="K1119" t="s">
        <v>1888</v>
      </c>
      <c r="L1119" t="str">
        <f>J77</f>
        <v>H1a1a4b2c2~</v>
      </c>
      <c r="N1119" t="s">
        <v>1889</v>
      </c>
      <c r="O1119">
        <v>6693466.0</v>
      </c>
      <c r="P1119">
        <v>6825425.0</v>
      </c>
      <c r="Q1119" t="s">
        <v>423</v>
      </c>
      <c r="R1119" s="5"/>
      <c r="S1119" s="5"/>
      <c r="T1119" s="5"/>
      <c r="U1119" s="5"/>
      <c r="V1119" s="5"/>
      <c r="W1119" s="5"/>
      <c r="X1119" s="5"/>
      <c r="Y1119" s="5"/>
      <c r="Z1119" s="5"/>
      <c r="AA1119" s="5"/>
      <c r="AB1119" s="5"/>
      <c r="AC1119" s="5"/>
      <c r="AD1119" s="5"/>
      <c r="AE1119" s="5"/>
      <c r="AF1119" s="5"/>
      <c r="AG1119" s="5"/>
    </row>
    <row r="1120" ht="15.75" customHeight="1">
      <c r="K1120" t="s">
        <v>1890</v>
      </c>
      <c r="L1120" t="str">
        <f>J77</f>
        <v>H1a1a4b2c2~</v>
      </c>
      <c r="N1120" t="s">
        <v>1891</v>
      </c>
      <c r="O1120">
        <v>6998537.0</v>
      </c>
      <c r="P1120">
        <v>7130496.0</v>
      </c>
      <c r="Q1120" t="s">
        <v>431</v>
      </c>
      <c r="R1120" s="5"/>
      <c r="S1120" s="5"/>
      <c r="T1120" s="5"/>
      <c r="U1120" s="5"/>
      <c r="V1120" s="5"/>
      <c r="W1120" s="5"/>
      <c r="X1120" s="5"/>
      <c r="Y1120" s="5"/>
      <c r="Z1120" s="5"/>
      <c r="AA1120" s="5"/>
      <c r="AB1120" s="5"/>
      <c r="AC1120" s="5"/>
      <c r="AD1120" s="5"/>
      <c r="AE1120" s="5"/>
      <c r="AF1120" s="5"/>
      <c r="AG1120" s="5"/>
    </row>
    <row r="1121" ht="15.75" customHeight="1">
      <c r="K1121" t="s">
        <v>1892</v>
      </c>
      <c r="L1121" t="str">
        <f>J77</f>
        <v>H1a1a4b2c2~</v>
      </c>
      <c r="N1121" t="s">
        <v>1893</v>
      </c>
      <c r="O1121">
        <v>7139974.0</v>
      </c>
      <c r="P1121">
        <v>7271933.0</v>
      </c>
      <c r="Q1121" t="s">
        <v>427</v>
      </c>
      <c r="R1121" s="5"/>
      <c r="S1121" s="5"/>
      <c r="T1121" s="5"/>
      <c r="U1121" s="5"/>
      <c r="V1121" s="5"/>
      <c r="W1121" s="5"/>
      <c r="X1121" s="5"/>
      <c r="Y1121" s="5"/>
      <c r="Z1121" s="5"/>
      <c r="AA1121" s="5"/>
      <c r="AB1121" s="5"/>
      <c r="AC1121" s="5"/>
      <c r="AD1121" s="5"/>
      <c r="AE1121" s="5"/>
      <c r="AF1121" s="5"/>
      <c r="AG1121" s="5"/>
    </row>
    <row r="1122" ht="15.75" customHeight="1">
      <c r="K1122" t="s">
        <v>1894</v>
      </c>
      <c r="L1122" t="str">
        <f>J77</f>
        <v>H1a1a4b2c2~</v>
      </c>
      <c r="N1122" t="s">
        <v>1895</v>
      </c>
      <c r="O1122">
        <v>7259587.0</v>
      </c>
      <c r="P1122">
        <v>7391546.0</v>
      </c>
      <c r="Q1122" t="s">
        <v>423</v>
      </c>
      <c r="R1122" s="5"/>
      <c r="S1122" s="5"/>
      <c r="T1122" s="5"/>
      <c r="U1122" s="5"/>
      <c r="V1122" s="5"/>
      <c r="W1122" s="5"/>
      <c r="X1122" s="5"/>
      <c r="Y1122" s="5"/>
      <c r="Z1122" s="5"/>
      <c r="AA1122" s="5"/>
      <c r="AB1122" s="5"/>
      <c r="AC1122" s="5"/>
      <c r="AD1122" s="5"/>
      <c r="AE1122" s="5"/>
      <c r="AF1122" s="5"/>
      <c r="AG1122" s="5"/>
    </row>
    <row r="1123" ht="15.75" customHeight="1">
      <c r="K1123" t="s">
        <v>1896</v>
      </c>
      <c r="L1123" t="str">
        <f t="shared" ref="L1123:L1124" si="14">J77</f>
        <v>H1a1a4b2c2~</v>
      </c>
      <c r="N1123" t="s">
        <v>1897</v>
      </c>
      <c r="O1123">
        <v>7586169.0</v>
      </c>
      <c r="P1123">
        <v>7718128.0</v>
      </c>
      <c r="Q1123" t="s">
        <v>459</v>
      </c>
      <c r="R1123" s="5"/>
      <c r="S1123" s="5"/>
      <c r="T1123" s="5"/>
      <c r="U1123" s="5"/>
      <c r="V1123" s="5"/>
      <c r="W1123" s="5"/>
      <c r="X1123" s="5"/>
      <c r="Y1123" s="5"/>
      <c r="Z1123" s="5"/>
      <c r="AA1123" s="5"/>
      <c r="AB1123" s="5"/>
      <c r="AC1123" s="5"/>
      <c r="AD1123" s="5"/>
      <c r="AE1123" s="5"/>
      <c r="AF1123" s="5"/>
      <c r="AG1123" s="5"/>
    </row>
    <row r="1124" ht="15.75" customHeight="1">
      <c r="K1124" t="s">
        <v>1898</v>
      </c>
      <c r="L1124" t="str">
        <f t="shared" si="14"/>
        <v>H1a1a4b2c3~</v>
      </c>
      <c r="N1124" t="s">
        <v>1899</v>
      </c>
      <c r="O1124">
        <v>8559229.0</v>
      </c>
      <c r="P1124">
        <v>8691188.0</v>
      </c>
      <c r="Q1124" t="s">
        <v>419</v>
      </c>
      <c r="R1124" s="5"/>
      <c r="S1124" s="5"/>
      <c r="T1124" s="5"/>
      <c r="U1124" s="5"/>
      <c r="V1124" s="5"/>
      <c r="W1124" s="5"/>
      <c r="X1124" s="5"/>
      <c r="Y1124" s="5"/>
      <c r="Z1124" s="5"/>
      <c r="AA1124" s="5"/>
      <c r="AB1124" s="5"/>
      <c r="AC1124" s="5"/>
      <c r="AD1124" s="5"/>
      <c r="AE1124" s="5"/>
      <c r="AF1124" s="5"/>
      <c r="AG1124" s="5"/>
    </row>
    <row r="1125" ht="15.75" customHeight="1">
      <c r="K1125" t="s">
        <v>1900</v>
      </c>
      <c r="L1125" t="str">
        <f>J78</f>
        <v>H1a1a4b2c3~</v>
      </c>
      <c r="N1125" t="s">
        <v>1901</v>
      </c>
      <c r="O1125">
        <v>1.4277754E7</v>
      </c>
      <c r="P1125">
        <v>1.2157048E7</v>
      </c>
      <c r="Q1125" t="s">
        <v>423</v>
      </c>
      <c r="R1125" s="5"/>
      <c r="S1125" s="5"/>
      <c r="T1125" s="5"/>
      <c r="U1125" s="5"/>
      <c r="V1125" s="5"/>
      <c r="W1125" s="5"/>
      <c r="X1125" s="5"/>
      <c r="Y1125" s="5"/>
      <c r="Z1125" s="5"/>
      <c r="AA1125" s="5"/>
      <c r="AB1125" s="5"/>
      <c r="AC1125" s="5"/>
      <c r="AD1125" s="5"/>
      <c r="AE1125" s="5"/>
      <c r="AF1125" s="5"/>
      <c r="AG1125" s="5"/>
    </row>
    <row r="1126" ht="15.75" customHeight="1">
      <c r="K1126" t="s">
        <v>1902</v>
      </c>
      <c r="L1126" t="str">
        <f>J78</f>
        <v>H1a1a4b2c3~</v>
      </c>
      <c r="N1126" t="s">
        <v>1903</v>
      </c>
      <c r="O1126">
        <v>1.4502248E7</v>
      </c>
      <c r="P1126">
        <v>1.2390453E7</v>
      </c>
      <c r="Q1126" t="s">
        <v>553</v>
      </c>
      <c r="R1126" s="5"/>
      <c r="S1126" s="5"/>
      <c r="T1126" s="5"/>
      <c r="U1126" s="5"/>
      <c r="V1126" s="5"/>
      <c r="W1126" s="5"/>
      <c r="X1126" s="5"/>
      <c r="Y1126" s="5"/>
      <c r="Z1126" s="5"/>
      <c r="AA1126" s="5"/>
      <c r="AB1126" s="5"/>
      <c r="AC1126" s="5"/>
      <c r="AD1126" s="5"/>
      <c r="AE1126" s="5"/>
      <c r="AF1126" s="5"/>
      <c r="AG1126" s="5"/>
    </row>
    <row r="1127" ht="15.75" customHeight="1">
      <c r="K1127" t="s">
        <v>1904</v>
      </c>
      <c r="L1127" t="str">
        <f>J78</f>
        <v>H1a1a4b2c3~</v>
      </c>
      <c r="N1127" t="s">
        <v>1905</v>
      </c>
      <c r="O1127">
        <v>2706613.0</v>
      </c>
      <c r="P1127">
        <v>2838572.0</v>
      </c>
      <c r="Q1127" t="s">
        <v>525</v>
      </c>
      <c r="R1127" s="5"/>
      <c r="S1127" s="5"/>
      <c r="T1127" s="5"/>
      <c r="U1127" s="5"/>
      <c r="V1127" s="5"/>
      <c r="W1127" s="5"/>
      <c r="X1127" s="5"/>
      <c r="Y1127" s="5"/>
      <c r="Z1127" s="5"/>
      <c r="AA1127" s="5"/>
      <c r="AB1127" s="5"/>
      <c r="AC1127" s="5"/>
      <c r="AD1127" s="5"/>
      <c r="AE1127" s="5"/>
      <c r="AF1127" s="5"/>
      <c r="AG1127" s="5"/>
    </row>
    <row r="1128" ht="15.75" customHeight="1">
      <c r="K1128" t="s">
        <v>1906</v>
      </c>
      <c r="L1128" t="str">
        <f t="shared" ref="L1128:L1129" si="15">J78</f>
        <v>H1a1a4b2c3~</v>
      </c>
      <c r="N1128" t="s">
        <v>1907</v>
      </c>
      <c r="O1128">
        <v>2796535.0</v>
      </c>
      <c r="P1128">
        <v>2928494.0</v>
      </c>
      <c r="Q1128" t="s">
        <v>476</v>
      </c>
      <c r="R1128" s="5"/>
      <c r="S1128" s="5"/>
      <c r="T1128" s="5"/>
      <c r="U1128" s="5"/>
      <c r="V1128" s="5"/>
      <c r="W1128" s="5"/>
      <c r="X1128" s="5"/>
      <c r="Y1128" s="5"/>
      <c r="Z1128" s="5"/>
      <c r="AA1128" s="5"/>
      <c r="AB1128" s="5"/>
      <c r="AC1128" s="5"/>
      <c r="AD1128" s="5"/>
      <c r="AE1128" s="5"/>
      <c r="AF1128" s="5"/>
      <c r="AG1128" s="5"/>
    </row>
    <row r="1129" ht="15.75" customHeight="1">
      <c r="K1129" t="s">
        <v>1908</v>
      </c>
      <c r="L1129" t="str">
        <f t="shared" si="15"/>
        <v>H1a1a4b2c4~</v>
      </c>
      <c r="N1129" t="s">
        <v>1909</v>
      </c>
      <c r="O1129">
        <v>7873288.0</v>
      </c>
      <c r="P1129">
        <v>8005247.0</v>
      </c>
      <c r="Q1129" t="s">
        <v>423</v>
      </c>
      <c r="R1129" s="5"/>
      <c r="S1129" s="5"/>
      <c r="T1129" s="5"/>
      <c r="U1129" s="5"/>
      <c r="V1129" s="5"/>
      <c r="W1129" s="5"/>
      <c r="X1129" s="5"/>
      <c r="Y1129" s="5"/>
      <c r="Z1129" s="5"/>
      <c r="AA1129" s="5"/>
      <c r="AB1129" s="5"/>
      <c r="AC1129" s="5"/>
      <c r="AD1129" s="5"/>
      <c r="AE1129" s="5"/>
      <c r="AF1129" s="5"/>
      <c r="AG1129" s="5"/>
    </row>
    <row r="1130" ht="15.75" customHeight="1">
      <c r="K1130" t="s">
        <v>1910</v>
      </c>
      <c r="L1130" t="str">
        <f>J79</f>
        <v>H1a1a4b2c4~</v>
      </c>
      <c r="O1130">
        <v>2651325.0</v>
      </c>
      <c r="P1130">
        <v>2783284.0</v>
      </c>
      <c r="Q1130" t="s">
        <v>459</v>
      </c>
      <c r="R1130" s="5"/>
      <c r="S1130" s="5"/>
      <c r="T1130" s="5"/>
      <c r="U1130" s="5"/>
      <c r="V1130" s="5"/>
      <c r="W1130" s="5"/>
      <c r="X1130" s="5"/>
      <c r="Y1130" s="5"/>
      <c r="Z1130" s="5"/>
      <c r="AA1130" s="5"/>
      <c r="AB1130" s="5"/>
      <c r="AC1130" s="5"/>
      <c r="AD1130" s="5"/>
      <c r="AE1130" s="5"/>
      <c r="AF1130" s="5"/>
      <c r="AG1130" s="5"/>
    </row>
    <row r="1131" ht="15.75" customHeight="1">
      <c r="K1131" t="s">
        <v>1911</v>
      </c>
      <c r="L1131" t="str">
        <f>J79</f>
        <v>H1a1a4b2c4~</v>
      </c>
      <c r="O1131">
        <v>6804093.0</v>
      </c>
      <c r="P1131">
        <v>6936052.0</v>
      </c>
      <c r="Q1131" t="s">
        <v>423</v>
      </c>
      <c r="R1131" s="5"/>
      <c r="S1131" s="5"/>
      <c r="T1131" s="5"/>
      <c r="U1131" s="5"/>
      <c r="V1131" s="5"/>
      <c r="W1131" s="5"/>
      <c r="X1131" s="5"/>
      <c r="Y1131" s="5"/>
      <c r="Z1131" s="5"/>
      <c r="AA1131" s="5"/>
      <c r="AB1131" s="5"/>
      <c r="AC1131" s="5"/>
      <c r="AD1131" s="5"/>
      <c r="AE1131" s="5"/>
      <c r="AF1131" s="5"/>
      <c r="AG1131" s="5"/>
    </row>
    <row r="1132" ht="15.75" customHeight="1">
      <c r="K1132" t="s">
        <v>1912</v>
      </c>
      <c r="L1132" t="str">
        <f>J79</f>
        <v>H1a1a4b2c4~</v>
      </c>
      <c r="O1132">
        <v>7851202.0</v>
      </c>
      <c r="P1132">
        <v>7983161.0</v>
      </c>
      <c r="Q1132" t="s">
        <v>419</v>
      </c>
      <c r="R1132" s="5"/>
      <c r="S1132" s="5"/>
      <c r="T1132" s="5"/>
      <c r="U1132" s="5"/>
      <c r="V1132" s="5"/>
      <c r="W1132" s="5"/>
      <c r="X1132" s="5"/>
      <c r="Y1132" s="5"/>
      <c r="Z1132" s="5"/>
      <c r="AA1132" s="5"/>
      <c r="AB1132" s="5"/>
      <c r="AC1132" s="5"/>
      <c r="AD1132" s="5"/>
      <c r="AE1132" s="5"/>
      <c r="AF1132" s="5"/>
      <c r="AG1132" s="5"/>
    </row>
    <row r="1133" ht="15.75" customHeight="1">
      <c r="K1133" t="s">
        <v>1913</v>
      </c>
      <c r="L1133" t="str">
        <f>I80</f>
        <v>H1a1a4b2d~</v>
      </c>
      <c r="N1133" t="s">
        <v>1914</v>
      </c>
      <c r="O1133">
        <v>2880074.0</v>
      </c>
      <c r="P1133">
        <v>3012033.0</v>
      </c>
      <c r="Q1133" t="s">
        <v>431</v>
      </c>
      <c r="R1133" s="5"/>
      <c r="S1133" s="5"/>
      <c r="T1133" s="5"/>
      <c r="U1133" s="5"/>
      <c r="V1133" s="5"/>
      <c r="W1133" s="5"/>
      <c r="X1133" s="5"/>
      <c r="Y1133" s="5"/>
      <c r="Z1133" s="5"/>
      <c r="AA1133" s="5"/>
      <c r="AB1133" s="5"/>
      <c r="AC1133" s="5"/>
      <c r="AD1133" s="5"/>
      <c r="AE1133" s="5"/>
      <c r="AF1133" s="5"/>
      <c r="AG1133" s="5"/>
    </row>
    <row r="1134" ht="15.75" customHeight="1">
      <c r="K1134" t="s">
        <v>1915</v>
      </c>
      <c r="L1134" t="str">
        <f>I80</f>
        <v>H1a1a4b2d~</v>
      </c>
      <c r="N1134" t="s">
        <v>1916</v>
      </c>
      <c r="O1134">
        <v>7131704.0</v>
      </c>
      <c r="P1134">
        <v>7263663.0</v>
      </c>
      <c r="Q1134" t="s">
        <v>419</v>
      </c>
      <c r="R1134" s="5"/>
      <c r="S1134" s="5"/>
      <c r="T1134" s="5"/>
      <c r="U1134" s="5"/>
      <c r="V1134" s="5"/>
      <c r="W1134" s="5"/>
      <c r="X1134" s="5"/>
      <c r="Y1134" s="5"/>
      <c r="Z1134" s="5"/>
      <c r="AA1134" s="5"/>
      <c r="AB1134" s="5"/>
      <c r="AC1134" s="5"/>
      <c r="AD1134" s="5"/>
      <c r="AE1134" s="5"/>
      <c r="AF1134" s="5"/>
      <c r="AG1134" s="5"/>
    </row>
    <row r="1135" ht="15.75" customHeight="1">
      <c r="K1135" t="s">
        <v>1917</v>
      </c>
      <c r="L1135" t="str">
        <f>I80</f>
        <v>H1a1a4b2d~</v>
      </c>
      <c r="N1135" t="s">
        <v>1918</v>
      </c>
      <c r="O1135">
        <v>7321448.0</v>
      </c>
      <c r="P1135">
        <v>7453407.0</v>
      </c>
      <c r="Q1135" t="s">
        <v>419</v>
      </c>
      <c r="R1135" s="5"/>
      <c r="S1135" s="5"/>
      <c r="T1135" s="5"/>
      <c r="U1135" s="5"/>
      <c r="V1135" s="5"/>
      <c r="W1135" s="5"/>
      <c r="X1135" s="5"/>
      <c r="Y1135" s="5"/>
      <c r="Z1135" s="5"/>
      <c r="AA1135" s="5"/>
      <c r="AB1135" s="5"/>
      <c r="AC1135" s="5"/>
      <c r="AD1135" s="5"/>
      <c r="AE1135" s="5"/>
      <c r="AF1135" s="5"/>
      <c r="AG1135" s="5"/>
    </row>
    <row r="1136" ht="15.75" customHeight="1">
      <c r="K1136" t="s">
        <v>1919</v>
      </c>
      <c r="L1136" t="str">
        <f>I80</f>
        <v>H1a1a4b2d~</v>
      </c>
      <c r="O1136">
        <v>7635100.0</v>
      </c>
      <c r="P1136">
        <v>7767059.0</v>
      </c>
      <c r="Q1136" t="s">
        <v>435</v>
      </c>
      <c r="R1136" s="5"/>
      <c r="S1136" s="5"/>
      <c r="T1136" s="5"/>
      <c r="U1136" s="5"/>
      <c r="V1136" s="5"/>
      <c r="W1136" s="5"/>
      <c r="X1136" s="5"/>
      <c r="Y1136" s="5"/>
      <c r="Z1136" s="5"/>
      <c r="AA1136" s="5"/>
      <c r="AB1136" s="5"/>
      <c r="AC1136" s="5"/>
      <c r="AD1136" s="5"/>
      <c r="AE1136" s="5"/>
      <c r="AF1136" s="5"/>
      <c r="AG1136" s="5"/>
    </row>
    <row r="1137" ht="15.75" customHeight="1">
      <c r="K1137" t="s">
        <v>1920</v>
      </c>
      <c r="L1137" t="str">
        <f>I80</f>
        <v>H1a1a4b2d~</v>
      </c>
      <c r="N1137" t="s">
        <v>1921</v>
      </c>
      <c r="O1137">
        <v>7815034.0</v>
      </c>
      <c r="P1137">
        <v>7946993.0</v>
      </c>
      <c r="Q1137" t="s">
        <v>427</v>
      </c>
      <c r="R1137" s="5"/>
      <c r="S1137" s="5"/>
      <c r="T1137" s="5"/>
      <c r="U1137" s="5"/>
      <c r="V1137" s="5"/>
      <c r="W1137" s="5"/>
      <c r="X1137" s="5"/>
      <c r="Y1137" s="5"/>
      <c r="Z1137" s="5"/>
      <c r="AA1137" s="5"/>
      <c r="AB1137" s="5"/>
      <c r="AC1137" s="5"/>
      <c r="AD1137" s="5"/>
      <c r="AE1137" s="5"/>
      <c r="AF1137" s="5"/>
      <c r="AG1137" s="5"/>
    </row>
    <row r="1138" ht="15.75" customHeight="1">
      <c r="K1138" t="s">
        <v>1922</v>
      </c>
      <c r="L1138" t="str">
        <f>H81</f>
        <v>H1a1a4b3</v>
      </c>
      <c r="N1138" t="s">
        <v>1923</v>
      </c>
      <c r="O1138">
        <v>6680599.0</v>
      </c>
      <c r="P1138">
        <v>6812558.0</v>
      </c>
      <c r="Q1138" t="s">
        <v>452</v>
      </c>
      <c r="R1138" s="5"/>
      <c r="S1138" s="5"/>
      <c r="T1138" s="5"/>
      <c r="U1138" s="5"/>
      <c r="V1138" s="5"/>
      <c r="W1138" s="5"/>
      <c r="X1138" s="5"/>
      <c r="Y1138" s="5"/>
      <c r="Z1138" s="5"/>
      <c r="AA1138" s="5"/>
      <c r="AB1138" s="5"/>
      <c r="AC1138" s="5"/>
      <c r="AD1138" s="5"/>
      <c r="AE1138" s="5"/>
      <c r="AF1138" s="5"/>
      <c r="AG1138" s="5"/>
    </row>
    <row r="1139" ht="15.75" customHeight="1">
      <c r="K1139" t="s">
        <v>1924</v>
      </c>
      <c r="L1139" t="str">
        <f>H81</f>
        <v>H1a1a4b3</v>
      </c>
      <c r="M1139" t="s">
        <v>1925</v>
      </c>
      <c r="N1139" t="s">
        <v>1926</v>
      </c>
      <c r="O1139">
        <v>1.7269848E7</v>
      </c>
      <c r="P1139">
        <v>1.5157968E7</v>
      </c>
      <c r="Q1139" t="s">
        <v>423</v>
      </c>
      <c r="R1139" s="5"/>
      <c r="S1139" s="5"/>
      <c r="T1139" s="5"/>
      <c r="U1139" s="5"/>
      <c r="V1139" s="5"/>
      <c r="W1139" s="5"/>
      <c r="X1139" s="5"/>
      <c r="Y1139" s="5"/>
      <c r="Z1139" s="5"/>
      <c r="AA1139" s="5"/>
      <c r="AB1139" s="5"/>
      <c r="AC1139" s="5"/>
      <c r="AD1139" s="5"/>
      <c r="AE1139" s="5"/>
      <c r="AF1139" s="5"/>
      <c r="AG1139" s="5"/>
    </row>
    <row r="1140" ht="15.75" customHeight="1">
      <c r="K1140" t="s">
        <v>1925</v>
      </c>
      <c r="L1140" t="str">
        <f>H81</f>
        <v>H1a1a4b3</v>
      </c>
      <c r="M1140" t="s">
        <v>1924</v>
      </c>
      <c r="N1140" t="s">
        <v>1926</v>
      </c>
      <c r="O1140">
        <v>1.7269848E7</v>
      </c>
      <c r="P1140">
        <v>1.5157968E7</v>
      </c>
      <c r="Q1140" t="s">
        <v>423</v>
      </c>
      <c r="R1140" s="5"/>
      <c r="S1140" s="5"/>
      <c r="T1140" s="5"/>
      <c r="U1140" s="5"/>
      <c r="V1140" s="5"/>
      <c r="W1140" s="5"/>
      <c r="X1140" s="5"/>
      <c r="Y1140" s="5"/>
      <c r="Z1140" s="5"/>
      <c r="AA1140" s="5"/>
      <c r="AB1140" s="5"/>
      <c r="AC1140" s="5"/>
      <c r="AD1140" s="5"/>
      <c r="AE1140" s="5"/>
      <c r="AF1140" s="5"/>
      <c r="AG1140" s="5"/>
    </row>
    <row r="1141" ht="15.75" customHeight="1">
      <c r="K1141" t="s">
        <v>1927</v>
      </c>
      <c r="L1141" t="str">
        <f>H81</f>
        <v>H1a1a4b3</v>
      </c>
      <c r="N1141" t="s">
        <v>1928</v>
      </c>
      <c r="O1141">
        <v>2.1143013E7</v>
      </c>
      <c r="P1141">
        <v>1.8981127E7</v>
      </c>
      <c r="Q1141" t="s">
        <v>423</v>
      </c>
      <c r="R1141" s="5"/>
      <c r="S1141" s="5"/>
      <c r="T1141" s="5"/>
      <c r="U1141" s="5"/>
      <c r="V1141" s="5"/>
      <c r="W1141" s="5"/>
      <c r="X1141" s="5"/>
      <c r="Y1141" s="5"/>
      <c r="Z1141" s="5"/>
      <c r="AA1141" s="5"/>
      <c r="AB1141" s="5"/>
      <c r="AC1141" s="5"/>
      <c r="AD1141" s="5"/>
      <c r="AE1141" s="5"/>
      <c r="AF1141" s="5"/>
      <c r="AG1141" s="5"/>
    </row>
    <row r="1142" ht="15.75" customHeight="1">
      <c r="K1142" t="s">
        <v>1929</v>
      </c>
      <c r="L1142" t="str">
        <f>H81</f>
        <v>H1a1a4b3</v>
      </c>
      <c r="N1142" t="s">
        <v>1930</v>
      </c>
      <c r="O1142">
        <v>2.3272722E7</v>
      </c>
      <c r="P1142">
        <v>2.1110836E7</v>
      </c>
      <c r="Q1142" t="s">
        <v>419</v>
      </c>
      <c r="R1142" s="5"/>
      <c r="S1142" s="5"/>
      <c r="T1142" s="5"/>
      <c r="U1142" s="5"/>
      <c r="V1142" s="5"/>
      <c r="W1142" s="5"/>
      <c r="X1142" s="5"/>
      <c r="Y1142" s="5"/>
      <c r="Z1142" s="5"/>
      <c r="AA1142" s="5"/>
      <c r="AB1142" s="5"/>
      <c r="AC1142" s="5"/>
      <c r="AD1142" s="5"/>
      <c r="AE1142" s="5"/>
      <c r="AF1142" s="5"/>
      <c r="AG1142" s="5"/>
    </row>
    <row r="1143" ht="15.75" customHeight="1">
      <c r="K1143" t="s">
        <v>1931</v>
      </c>
      <c r="L1143" t="str">
        <f>H81</f>
        <v>H1a1a4b3</v>
      </c>
      <c r="N1143" t="s">
        <v>1932</v>
      </c>
      <c r="O1143" t="s">
        <v>1933</v>
      </c>
      <c r="P1143" t="s">
        <v>1934</v>
      </c>
      <c r="Q1143" t="s">
        <v>1935</v>
      </c>
      <c r="R1143" s="5"/>
      <c r="S1143" s="5"/>
      <c r="T1143" s="5"/>
      <c r="U1143" s="5"/>
      <c r="V1143" s="5"/>
      <c r="W1143" s="5"/>
      <c r="X1143" s="5"/>
      <c r="Y1143" s="5"/>
      <c r="Z1143" s="5"/>
      <c r="AA1143" s="5"/>
      <c r="AB1143" s="5"/>
      <c r="AC1143" s="5"/>
      <c r="AD1143" s="5"/>
      <c r="AE1143" s="5"/>
      <c r="AF1143" s="5"/>
      <c r="AG1143" s="5"/>
    </row>
    <row r="1144" ht="15.75" customHeight="1">
      <c r="K1144" t="s">
        <v>1936</v>
      </c>
      <c r="L1144" t="str">
        <f>H81</f>
        <v>H1a1a4b3</v>
      </c>
      <c r="N1144" t="s">
        <v>1937</v>
      </c>
      <c r="O1144">
        <v>1.9561445E7</v>
      </c>
      <c r="P1144">
        <v>1.7449565E7</v>
      </c>
      <c r="Q1144" t="s">
        <v>435</v>
      </c>
      <c r="R1144" s="5"/>
      <c r="S1144" s="5"/>
      <c r="T1144" s="5"/>
      <c r="U1144" s="5"/>
      <c r="V1144" s="5"/>
      <c r="W1144" s="5"/>
      <c r="X1144" s="5"/>
      <c r="Y1144" s="5"/>
      <c r="Z1144" s="5"/>
      <c r="AA1144" s="5"/>
      <c r="AB1144" s="5"/>
      <c r="AC1144" s="5"/>
      <c r="AD1144" s="5"/>
      <c r="AE1144" s="5"/>
      <c r="AF1144" s="5"/>
      <c r="AG1144" s="5"/>
    </row>
    <row r="1145" ht="15.75" customHeight="1">
      <c r="K1145" t="s">
        <v>1938</v>
      </c>
      <c r="L1145" t="str">
        <f>I82</f>
        <v>H1a1a4b3a</v>
      </c>
      <c r="N1145" t="s">
        <v>1939</v>
      </c>
      <c r="O1145">
        <v>1.4012694E7</v>
      </c>
      <c r="P1145">
        <v>1.1891988E7</v>
      </c>
      <c r="Q1145" t="s">
        <v>473</v>
      </c>
      <c r="R1145" s="5"/>
      <c r="S1145" s="5"/>
      <c r="T1145" s="5"/>
      <c r="U1145" s="5"/>
      <c r="V1145" s="5"/>
      <c r="W1145" s="5"/>
      <c r="X1145" s="5"/>
      <c r="Y1145" s="5"/>
      <c r="Z1145" s="5"/>
      <c r="AA1145" s="5"/>
      <c r="AB1145" s="5"/>
      <c r="AC1145" s="5"/>
      <c r="AD1145" s="5"/>
      <c r="AE1145" s="5"/>
      <c r="AF1145" s="5"/>
      <c r="AG1145" s="5"/>
    </row>
    <row r="1146" ht="15.75" customHeight="1">
      <c r="K1146" t="s">
        <v>1940</v>
      </c>
      <c r="L1146" t="str">
        <f>I82</f>
        <v>H1a1a4b3a</v>
      </c>
      <c r="N1146" t="s">
        <v>1941</v>
      </c>
      <c r="O1146">
        <v>9837476.0</v>
      </c>
      <c r="P1146">
        <v>9999867.0</v>
      </c>
      <c r="Q1146" s="66" t="s">
        <v>423</v>
      </c>
      <c r="R1146" s="5"/>
      <c r="S1146" s="5"/>
      <c r="T1146" s="5"/>
      <c r="U1146" s="5"/>
      <c r="V1146" s="5"/>
      <c r="W1146" s="5"/>
      <c r="X1146" s="5"/>
      <c r="Y1146" s="5"/>
      <c r="Z1146" s="5"/>
      <c r="AA1146" s="5"/>
      <c r="AB1146" s="5"/>
      <c r="AC1146" s="5"/>
      <c r="AD1146" s="5"/>
      <c r="AE1146" s="5"/>
      <c r="AF1146" s="5"/>
      <c r="AG1146" s="5"/>
    </row>
    <row r="1147" ht="15.75" customHeight="1">
      <c r="K1147" t="s">
        <v>1942</v>
      </c>
      <c r="L1147" t="str">
        <f>I82</f>
        <v>H1a1a4b3a</v>
      </c>
      <c r="N1147" t="s">
        <v>1943</v>
      </c>
      <c r="O1147">
        <v>7135731.0</v>
      </c>
      <c r="P1147">
        <v>7267690.0</v>
      </c>
      <c r="Q1147" t="s">
        <v>431</v>
      </c>
      <c r="R1147" s="5"/>
      <c r="S1147" s="5"/>
      <c r="T1147" s="5"/>
      <c r="U1147" s="5"/>
      <c r="V1147" s="5"/>
      <c r="W1147" s="5"/>
      <c r="X1147" s="5"/>
      <c r="Y1147" s="5"/>
      <c r="Z1147" s="5"/>
      <c r="AA1147" s="5"/>
      <c r="AB1147" s="5"/>
      <c r="AC1147" s="5"/>
      <c r="AD1147" s="5"/>
      <c r="AE1147" s="5"/>
      <c r="AF1147" s="5"/>
      <c r="AG1147" s="5"/>
    </row>
    <row r="1148" ht="15.75" customHeight="1">
      <c r="K1148" t="s">
        <v>1944</v>
      </c>
      <c r="L1148" t="str">
        <f>I82</f>
        <v>H1a1a4b3a</v>
      </c>
      <c r="N1148" t="s">
        <v>1945</v>
      </c>
      <c r="O1148">
        <v>7926827.0</v>
      </c>
      <c r="P1148">
        <v>8058786.0</v>
      </c>
      <c r="Q1148" t="s">
        <v>427</v>
      </c>
      <c r="R1148" s="5"/>
      <c r="S1148" s="5"/>
      <c r="T1148" s="5"/>
      <c r="U1148" s="5"/>
      <c r="V1148" s="5"/>
      <c r="W1148" s="5"/>
      <c r="X1148" s="5"/>
      <c r="Y1148" s="5"/>
      <c r="Z1148" s="5"/>
      <c r="AA1148" s="5"/>
      <c r="AB1148" s="5"/>
      <c r="AC1148" s="5"/>
      <c r="AD1148" s="5"/>
      <c r="AE1148" s="5"/>
      <c r="AF1148" s="5"/>
      <c r="AG1148" s="5"/>
    </row>
    <row r="1149" ht="15.75" customHeight="1">
      <c r="K1149" t="s">
        <v>1946</v>
      </c>
      <c r="L1149" t="str">
        <f>I82</f>
        <v>H1a1a4b3a</v>
      </c>
      <c r="N1149" t="s">
        <v>1947</v>
      </c>
      <c r="O1149">
        <v>8291835.0</v>
      </c>
      <c r="P1149">
        <v>8423794.0</v>
      </c>
      <c r="Q1149" t="s">
        <v>435</v>
      </c>
      <c r="R1149" s="5"/>
      <c r="S1149" s="5"/>
      <c r="T1149" s="5"/>
      <c r="U1149" s="5"/>
      <c r="V1149" s="5"/>
      <c r="W1149" s="5"/>
      <c r="X1149" s="5"/>
      <c r="Y1149" s="5"/>
      <c r="Z1149" s="5"/>
      <c r="AA1149" s="5"/>
      <c r="AB1149" s="5"/>
      <c r="AC1149" s="5"/>
      <c r="AD1149" s="5"/>
      <c r="AE1149" s="5"/>
      <c r="AF1149" s="5"/>
      <c r="AG1149" s="5"/>
    </row>
    <row r="1150" ht="15.75" customHeight="1">
      <c r="K1150" t="s">
        <v>1948</v>
      </c>
      <c r="L1150" t="str">
        <f>I82</f>
        <v>H1a1a4b3a</v>
      </c>
      <c r="N1150" t="s">
        <v>1949</v>
      </c>
      <c r="O1150">
        <v>8720951.0</v>
      </c>
      <c r="P1150">
        <v>8852910.0</v>
      </c>
      <c r="Q1150" t="s">
        <v>431</v>
      </c>
      <c r="R1150" s="5"/>
      <c r="S1150" s="5"/>
      <c r="T1150" s="5"/>
      <c r="U1150" s="5"/>
      <c r="V1150" s="5"/>
      <c r="W1150" s="5"/>
      <c r="X1150" s="5"/>
      <c r="Y1150" s="5"/>
      <c r="Z1150" s="5"/>
      <c r="AA1150" s="5"/>
      <c r="AB1150" s="5"/>
      <c r="AC1150" s="5"/>
      <c r="AD1150" s="5"/>
      <c r="AE1150" s="5"/>
      <c r="AF1150" s="5"/>
      <c r="AG1150" s="5"/>
    </row>
    <row r="1151" ht="15.75" customHeight="1">
      <c r="K1151" t="s">
        <v>1950</v>
      </c>
      <c r="L1151" t="str">
        <f>I82</f>
        <v>H1a1a4b3a</v>
      </c>
      <c r="N1151" t="s">
        <v>1951</v>
      </c>
      <c r="O1151">
        <v>8809521.0</v>
      </c>
      <c r="P1151">
        <v>8941480.0</v>
      </c>
      <c r="Q1151" t="s">
        <v>419</v>
      </c>
      <c r="R1151" s="5"/>
      <c r="S1151" s="5"/>
      <c r="T1151" s="5"/>
      <c r="U1151" s="5"/>
      <c r="V1151" s="5"/>
      <c r="W1151" s="5"/>
      <c r="X1151" s="5"/>
      <c r="Y1151" s="5"/>
      <c r="Z1151" s="5"/>
      <c r="AA1151" s="5"/>
      <c r="AB1151" s="5"/>
      <c r="AC1151" s="5"/>
      <c r="AD1151" s="5"/>
      <c r="AE1151" s="5"/>
      <c r="AF1151" s="5"/>
      <c r="AG1151" s="5"/>
    </row>
    <row r="1152" ht="15.75" customHeight="1">
      <c r="K1152" t="s">
        <v>1952</v>
      </c>
      <c r="L1152" t="str">
        <f>I82</f>
        <v>H1a1a4b3a</v>
      </c>
      <c r="N1152" t="s">
        <v>1953</v>
      </c>
      <c r="O1152">
        <v>9417953.0</v>
      </c>
      <c r="P1152">
        <v>9580344.0</v>
      </c>
      <c r="Q1152" t="s">
        <v>423</v>
      </c>
      <c r="R1152" s="5"/>
      <c r="S1152" s="5"/>
      <c r="T1152" s="5"/>
      <c r="U1152" s="5"/>
      <c r="V1152" s="5"/>
      <c r="W1152" s="5"/>
      <c r="X1152" s="5"/>
      <c r="Y1152" s="5"/>
      <c r="Z1152" s="5"/>
      <c r="AA1152" s="5"/>
      <c r="AB1152" s="5"/>
      <c r="AC1152" s="5"/>
      <c r="AD1152" s="5"/>
      <c r="AE1152" s="5"/>
      <c r="AF1152" s="5"/>
      <c r="AG1152" s="5"/>
    </row>
    <row r="1153" ht="15.75" customHeight="1">
      <c r="K1153" t="s">
        <v>1954</v>
      </c>
      <c r="L1153" t="str">
        <f>I82</f>
        <v>H1a1a4b3a</v>
      </c>
      <c r="N1153" t="s">
        <v>1955</v>
      </c>
      <c r="O1153">
        <v>9887592.0</v>
      </c>
      <c r="P1153">
        <v>1.0049983E7</v>
      </c>
      <c r="Q1153" t="s">
        <v>459</v>
      </c>
      <c r="R1153" s="5"/>
      <c r="S1153" s="5"/>
      <c r="T1153" s="5"/>
      <c r="U1153" s="5"/>
      <c r="V1153" s="5"/>
      <c r="W1153" s="5"/>
      <c r="X1153" s="5"/>
      <c r="Y1153" s="5"/>
      <c r="Z1153" s="5"/>
      <c r="AA1153" s="5"/>
      <c r="AB1153" s="5"/>
      <c r="AC1153" s="5"/>
      <c r="AD1153" s="5"/>
      <c r="AE1153" s="5"/>
      <c r="AF1153" s="5"/>
      <c r="AG1153" s="5"/>
    </row>
    <row r="1154" ht="15.75" customHeight="1">
      <c r="K1154" t="s">
        <v>1956</v>
      </c>
      <c r="L1154" t="str">
        <f>I82</f>
        <v>H1a1a4b3a</v>
      </c>
      <c r="O1154">
        <v>1.313419E7</v>
      </c>
      <c r="P1154">
        <v>1.0623676E7</v>
      </c>
      <c r="Q1154" t="s">
        <v>427</v>
      </c>
      <c r="R1154" s="5"/>
      <c r="S1154" s="5"/>
      <c r="T1154" s="5"/>
      <c r="U1154" s="5"/>
      <c r="V1154" s="5"/>
      <c r="W1154" s="5"/>
      <c r="X1154" s="5"/>
      <c r="Y1154" s="5"/>
      <c r="Z1154" s="5"/>
      <c r="AA1154" s="5"/>
      <c r="AB1154" s="5"/>
      <c r="AC1154" s="5"/>
      <c r="AD1154" s="5"/>
      <c r="AE1154" s="5"/>
      <c r="AF1154" s="5"/>
      <c r="AG1154" s="5"/>
    </row>
    <row r="1155" ht="15.75" customHeight="1">
      <c r="K1155" t="s">
        <v>1957</v>
      </c>
      <c r="L1155" t="str">
        <f>I82</f>
        <v>H1a1a4b3a</v>
      </c>
      <c r="N1155" t="s">
        <v>1958</v>
      </c>
      <c r="O1155">
        <v>1.4098789E7</v>
      </c>
      <c r="P1155">
        <v>1.1978083E7</v>
      </c>
      <c r="Q1155" t="s">
        <v>459</v>
      </c>
      <c r="R1155" s="5"/>
      <c r="S1155" s="5"/>
      <c r="T1155" s="5"/>
      <c r="U1155" s="5"/>
      <c r="V1155" s="5"/>
      <c r="W1155" s="5"/>
      <c r="X1155" s="5"/>
      <c r="Y1155" s="5"/>
      <c r="Z1155" s="5"/>
      <c r="AA1155" s="5"/>
      <c r="AB1155" s="5"/>
      <c r="AC1155" s="5"/>
      <c r="AD1155" s="5"/>
      <c r="AE1155" s="5"/>
      <c r="AF1155" s="5"/>
      <c r="AG1155" s="5"/>
    </row>
    <row r="1156" ht="15.75" customHeight="1">
      <c r="K1156" t="s">
        <v>1959</v>
      </c>
      <c r="L1156" t="str">
        <f>I82</f>
        <v>H1a1a4b3a</v>
      </c>
      <c r="N1156" t="s">
        <v>1960</v>
      </c>
      <c r="O1156">
        <v>1.4732118E7</v>
      </c>
      <c r="P1156">
        <v>1.2620186E7</v>
      </c>
      <c r="Q1156" t="s">
        <v>476</v>
      </c>
      <c r="R1156" s="5"/>
      <c r="S1156" s="5"/>
      <c r="T1156" s="5"/>
      <c r="U1156" s="5"/>
      <c r="V1156" s="5"/>
      <c r="W1156" s="5"/>
      <c r="X1156" s="5"/>
      <c r="Y1156" s="5"/>
      <c r="Z1156" s="5"/>
      <c r="AA1156" s="5"/>
      <c r="AB1156" s="5"/>
      <c r="AC1156" s="5"/>
      <c r="AD1156" s="5"/>
      <c r="AE1156" s="5"/>
      <c r="AF1156" s="5"/>
      <c r="AG1156" s="5"/>
    </row>
    <row r="1157" ht="15.75" customHeight="1">
      <c r="K1157" t="s">
        <v>1961</v>
      </c>
      <c r="L1157" t="str">
        <f>I82</f>
        <v>H1a1a4b3a</v>
      </c>
      <c r="N1157" t="s">
        <v>1962</v>
      </c>
      <c r="O1157">
        <v>1.490489E7</v>
      </c>
      <c r="P1157">
        <v>1.2792957E7</v>
      </c>
      <c r="Q1157" t="s">
        <v>435</v>
      </c>
      <c r="R1157" s="5"/>
      <c r="S1157" s="5"/>
      <c r="T1157" s="5"/>
      <c r="U1157" s="5"/>
      <c r="V1157" s="5"/>
      <c r="W1157" s="5"/>
      <c r="X1157" s="5"/>
      <c r="Y1157" s="5"/>
      <c r="Z1157" s="5"/>
      <c r="AA1157" s="5"/>
      <c r="AB1157" s="5"/>
      <c r="AC1157" s="5"/>
      <c r="AD1157" s="5"/>
      <c r="AE1157" s="5"/>
      <c r="AF1157" s="5"/>
      <c r="AG1157" s="5"/>
    </row>
    <row r="1158" ht="15.75" customHeight="1">
      <c r="K1158" t="s">
        <v>1963</v>
      </c>
      <c r="L1158" t="str">
        <f>I82</f>
        <v>H1a1a4b3a</v>
      </c>
      <c r="N1158" t="s">
        <v>1964</v>
      </c>
      <c r="O1158">
        <v>1.6622171E7</v>
      </c>
      <c r="P1158">
        <v>1.4510291E7</v>
      </c>
      <c r="Q1158" t="s">
        <v>448</v>
      </c>
      <c r="R1158" s="5"/>
      <c r="S1158" s="5"/>
      <c r="T1158" s="5"/>
      <c r="U1158" s="5"/>
      <c r="V1158" s="5"/>
      <c r="W1158" s="5"/>
      <c r="X1158" s="5"/>
      <c r="Y1158" s="5"/>
      <c r="Z1158" s="5"/>
      <c r="AA1158" s="5"/>
      <c r="AB1158" s="5"/>
      <c r="AC1158" s="5"/>
      <c r="AD1158" s="5"/>
      <c r="AE1158" s="5"/>
      <c r="AF1158" s="5"/>
      <c r="AG1158" s="5"/>
    </row>
    <row r="1159" ht="15.75" customHeight="1">
      <c r="K1159" t="s">
        <v>1965</v>
      </c>
      <c r="L1159" t="str">
        <f>I82</f>
        <v>H1a1a4b3a</v>
      </c>
      <c r="N1159" t="s">
        <v>1966</v>
      </c>
      <c r="O1159">
        <v>1.6743808E7</v>
      </c>
      <c r="P1159">
        <v>1.4631928E7</v>
      </c>
      <c r="Q1159" t="s">
        <v>525</v>
      </c>
      <c r="R1159" s="5"/>
      <c r="S1159" s="5"/>
      <c r="T1159" s="5"/>
      <c r="U1159" s="5"/>
      <c r="V1159" s="5"/>
      <c r="W1159" s="5"/>
      <c r="X1159" s="5"/>
      <c r="Y1159" s="5"/>
      <c r="Z1159" s="5"/>
      <c r="AA1159" s="5"/>
      <c r="AB1159" s="5"/>
      <c r="AC1159" s="5"/>
      <c r="AD1159" s="5"/>
      <c r="AE1159" s="5"/>
      <c r="AF1159" s="5"/>
      <c r="AG1159" s="5"/>
    </row>
    <row r="1160" ht="15.75" customHeight="1">
      <c r="K1160" t="s">
        <v>1967</v>
      </c>
      <c r="L1160" t="str">
        <f>I82</f>
        <v>H1a1a4b3a</v>
      </c>
      <c r="N1160" t="s">
        <v>1968</v>
      </c>
      <c r="O1160">
        <v>1.7245368E7</v>
      </c>
      <c r="P1160">
        <v>1.5133488E7</v>
      </c>
      <c r="Q1160" t="s">
        <v>553</v>
      </c>
      <c r="R1160" s="5"/>
      <c r="S1160" s="5"/>
      <c r="T1160" s="5"/>
      <c r="U1160" s="5"/>
      <c r="V1160" s="5"/>
      <c r="W1160" s="5"/>
      <c r="X1160" s="5"/>
      <c r="Y1160" s="5"/>
      <c r="Z1160" s="5"/>
      <c r="AA1160" s="5"/>
      <c r="AB1160" s="5"/>
      <c r="AC1160" s="5"/>
      <c r="AD1160" s="5"/>
      <c r="AE1160" s="5"/>
      <c r="AF1160" s="5"/>
      <c r="AG1160" s="5"/>
    </row>
    <row r="1161" ht="15.75" customHeight="1">
      <c r="K1161" t="s">
        <v>1969</v>
      </c>
      <c r="L1161" t="str">
        <f>I82</f>
        <v>H1a1a4b3a</v>
      </c>
      <c r="N1161" t="s">
        <v>1970</v>
      </c>
      <c r="O1161">
        <v>1.7434816E7</v>
      </c>
      <c r="P1161">
        <v>1.5322936E7</v>
      </c>
      <c r="Q1161" t="s">
        <v>431</v>
      </c>
      <c r="R1161" s="5"/>
      <c r="S1161" s="5"/>
      <c r="T1161" s="5"/>
      <c r="U1161" s="5"/>
      <c r="V1161" s="5"/>
      <c r="W1161" s="5"/>
      <c r="X1161" s="5"/>
      <c r="Y1161" s="5"/>
      <c r="Z1161" s="5"/>
      <c r="AA1161" s="5"/>
      <c r="AB1161" s="5"/>
      <c r="AC1161" s="5"/>
      <c r="AD1161" s="5"/>
      <c r="AE1161" s="5"/>
      <c r="AF1161" s="5"/>
      <c r="AG1161" s="5"/>
    </row>
    <row r="1162" ht="15.75" customHeight="1">
      <c r="K1162" t="s">
        <v>1971</v>
      </c>
      <c r="L1162" t="str">
        <f>I82</f>
        <v>H1a1a4b3a</v>
      </c>
      <c r="N1162" t="s">
        <v>1972</v>
      </c>
      <c r="O1162">
        <v>1.7607067E7</v>
      </c>
      <c r="P1162">
        <v>1.5495187E7</v>
      </c>
      <c r="Q1162" t="s">
        <v>431</v>
      </c>
      <c r="R1162" s="5"/>
      <c r="S1162" s="5"/>
      <c r="T1162" s="5"/>
      <c r="U1162" s="5"/>
      <c r="V1162" s="5"/>
      <c r="W1162" s="5"/>
      <c r="X1162" s="5"/>
      <c r="Y1162" s="5"/>
      <c r="Z1162" s="5"/>
      <c r="AA1162" s="5"/>
      <c r="AB1162" s="5"/>
      <c r="AC1162" s="5"/>
      <c r="AD1162" s="5"/>
      <c r="AE1162" s="5"/>
      <c r="AF1162" s="5"/>
      <c r="AG1162" s="5"/>
    </row>
    <row r="1163" ht="15.75" customHeight="1">
      <c r="K1163" t="s">
        <v>1973</v>
      </c>
      <c r="L1163" t="str">
        <f>I82</f>
        <v>H1a1a4b3a</v>
      </c>
      <c r="N1163" t="s">
        <v>1974</v>
      </c>
      <c r="O1163">
        <v>1.7772788E7</v>
      </c>
      <c r="P1163">
        <v>1.5660908E7</v>
      </c>
      <c r="Q1163" t="s">
        <v>423</v>
      </c>
      <c r="R1163" s="5"/>
      <c r="S1163" s="5"/>
      <c r="T1163" s="5"/>
      <c r="U1163" s="5"/>
      <c r="V1163" s="5"/>
      <c r="W1163" s="5"/>
      <c r="X1163" s="5"/>
      <c r="Y1163" s="5"/>
      <c r="Z1163" s="5"/>
      <c r="AA1163" s="5"/>
      <c r="AB1163" s="5"/>
      <c r="AC1163" s="5"/>
      <c r="AD1163" s="5"/>
      <c r="AE1163" s="5"/>
      <c r="AF1163" s="5"/>
      <c r="AG1163" s="5"/>
    </row>
    <row r="1164" ht="15.75" customHeight="1">
      <c r="K1164" t="s">
        <v>1975</v>
      </c>
      <c r="L1164" t="str">
        <f>I82</f>
        <v>H1a1a4b3a</v>
      </c>
      <c r="N1164" t="s">
        <v>1976</v>
      </c>
      <c r="O1164">
        <v>1.7883566E7</v>
      </c>
      <c r="P1164">
        <v>1.5771686E7</v>
      </c>
      <c r="Q1164" t="s">
        <v>435</v>
      </c>
      <c r="R1164" s="5"/>
      <c r="S1164" s="5"/>
      <c r="T1164" s="5"/>
      <c r="U1164" s="5"/>
      <c r="V1164" s="5"/>
      <c r="W1164" s="5"/>
      <c r="X1164" s="5"/>
      <c r="Y1164" s="5"/>
      <c r="Z1164" s="5"/>
      <c r="AA1164" s="5"/>
      <c r="AB1164" s="5"/>
      <c r="AC1164" s="5"/>
      <c r="AD1164" s="5"/>
      <c r="AE1164" s="5"/>
      <c r="AF1164" s="5"/>
      <c r="AG1164" s="5"/>
    </row>
    <row r="1165" ht="15.75" customHeight="1">
      <c r="K1165" t="s">
        <v>1977</v>
      </c>
      <c r="L1165" t="str">
        <f>I82</f>
        <v>H1a1a4b3a</v>
      </c>
      <c r="N1165" t="s">
        <v>1978</v>
      </c>
      <c r="O1165">
        <v>1.7903513E7</v>
      </c>
      <c r="P1165">
        <v>1.5791633E7</v>
      </c>
      <c r="Q1165" t="s">
        <v>423</v>
      </c>
      <c r="R1165" s="5"/>
      <c r="S1165" s="5"/>
      <c r="T1165" s="5"/>
      <c r="U1165" s="5"/>
      <c r="V1165" s="5"/>
      <c r="W1165" s="5"/>
      <c r="X1165" s="5"/>
      <c r="Y1165" s="5"/>
      <c r="Z1165" s="5"/>
      <c r="AA1165" s="5"/>
      <c r="AB1165" s="5"/>
      <c r="AC1165" s="5"/>
      <c r="AD1165" s="5"/>
      <c r="AE1165" s="5"/>
      <c r="AF1165" s="5"/>
      <c r="AG1165" s="5"/>
    </row>
    <row r="1166" ht="15.75" customHeight="1">
      <c r="K1166" t="s">
        <v>1979</v>
      </c>
      <c r="L1166" t="str">
        <f>I82</f>
        <v>H1a1a4b3a</v>
      </c>
      <c r="O1166">
        <v>1.8385935E7</v>
      </c>
      <c r="P1166">
        <v>1.6274055E7</v>
      </c>
      <c r="Q1166" t="s">
        <v>423</v>
      </c>
      <c r="R1166" s="5"/>
      <c r="S1166" s="5"/>
      <c r="T1166" s="5"/>
      <c r="U1166" s="5"/>
      <c r="V1166" s="5"/>
      <c r="W1166" s="5"/>
      <c r="X1166" s="5"/>
      <c r="Y1166" s="5"/>
      <c r="Z1166" s="5"/>
      <c r="AA1166" s="5"/>
      <c r="AB1166" s="5"/>
      <c r="AC1166" s="5"/>
      <c r="AD1166" s="5"/>
      <c r="AE1166" s="5"/>
      <c r="AF1166" s="5"/>
      <c r="AG1166" s="5"/>
    </row>
    <row r="1167" ht="15.75" customHeight="1">
      <c r="K1167" t="s">
        <v>1980</v>
      </c>
      <c r="L1167" t="str">
        <f>I82</f>
        <v>H1a1a4b3a</v>
      </c>
      <c r="N1167" t="s">
        <v>1981</v>
      </c>
      <c r="O1167">
        <v>1.8671632E7</v>
      </c>
      <c r="P1167">
        <v>1.6559752E7</v>
      </c>
      <c r="Q1167" t="s">
        <v>427</v>
      </c>
      <c r="R1167" s="5"/>
      <c r="S1167" s="5"/>
      <c r="T1167" s="5"/>
      <c r="U1167" s="5"/>
      <c r="V1167" s="5"/>
      <c r="W1167" s="5"/>
      <c r="X1167" s="5"/>
      <c r="Y1167" s="5"/>
      <c r="Z1167" s="5"/>
      <c r="AA1167" s="5"/>
      <c r="AB1167" s="5"/>
      <c r="AC1167" s="5"/>
      <c r="AD1167" s="5"/>
      <c r="AE1167" s="5"/>
      <c r="AF1167" s="5"/>
      <c r="AG1167" s="5"/>
    </row>
    <row r="1168" ht="15.75" customHeight="1">
      <c r="K1168" t="s">
        <v>1982</v>
      </c>
      <c r="L1168" t="str">
        <f>I82</f>
        <v>H1a1a4b3a</v>
      </c>
      <c r="N1168" t="s">
        <v>1983</v>
      </c>
      <c r="O1168">
        <v>1.8696269E7</v>
      </c>
      <c r="P1168">
        <v>1.6584389E7</v>
      </c>
      <c r="Q1168" t="s">
        <v>431</v>
      </c>
      <c r="R1168" s="5"/>
      <c r="S1168" s="5"/>
      <c r="T1168" s="5"/>
      <c r="U1168" s="5"/>
      <c r="V1168" s="5"/>
      <c r="W1168" s="5"/>
      <c r="X1168" s="5"/>
      <c r="Y1168" s="5"/>
      <c r="Z1168" s="5"/>
      <c r="AA1168" s="5"/>
      <c r="AB1168" s="5"/>
      <c r="AC1168" s="5"/>
      <c r="AD1168" s="5"/>
      <c r="AE1168" s="5"/>
      <c r="AF1168" s="5"/>
      <c r="AG1168" s="5"/>
    </row>
    <row r="1169" ht="15.75" customHeight="1">
      <c r="K1169" t="s">
        <v>1984</v>
      </c>
      <c r="L1169" t="str">
        <f>I82</f>
        <v>H1a1a4b3a</v>
      </c>
      <c r="N1169" t="s">
        <v>1985</v>
      </c>
      <c r="O1169">
        <v>1.9031349E7</v>
      </c>
      <c r="P1169">
        <v>1.6919469E7</v>
      </c>
      <c r="Q1169" t="s">
        <v>431</v>
      </c>
      <c r="R1169" s="5"/>
      <c r="S1169" s="5"/>
      <c r="T1169" s="5"/>
      <c r="U1169" s="5"/>
      <c r="V1169" s="5"/>
      <c r="W1169" s="5"/>
      <c r="X1169" s="5"/>
      <c r="Y1169" s="5"/>
      <c r="Z1169" s="5"/>
      <c r="AA1169" s="5"/>
      <c r="AB1169" s="5"/>
      <c r="AC1169" s="5"/>
      <c r="AD1169" s="5"/>
      <c r="AE1169" s="5"/>
      <c r="AF1169" s="5"/>
      <c r="AG1169" s="5"/>
    </row>
    <row r="1170" ht="15.75" customHeight="1">
      <c r="K1170" t="s">
        <v>1986</v>
      </c>
      <c r="L1170" t="str">
        <f>I82</f>
        <v>H1a1a4b3a</v>
      </c>
      <c r="N1170" t="s">
        <v>1987</v>
      </c>
      <c r="O1170">
        <v>1.924704E7</v>
      </c>
      <c r="P1170">
        <v>1.713516E7</v>
      </c>
      <c r="Q1170" t="s">
        <v>419</v>
      </c>
      <c r="R1170" s="5"/>
      <c r="S1170" s="5"/>
      <c r="T1170" s="5"/>
      <c r="U1170" s="5"/>
      <c r="V1170" s="5"/>
      <c r="W1170" s="5"/>
      <c r="X1170" s="5"/>
      <c r="Y1170" s="5"/>
      <c r="Z1170" s="5"/>
      <c r="AA1170" s="5"/>
      <c r="AB1170" s="5"/>
      <c r="AC1170" s="5"/>
      <c r="AD1170" s="5"/>
      <c r="AE1170" s="5"/>
      <c r="AF1170" s="5"/>
      <c r="AG1170" s="5"/>
    </row>
    <row r="1171" ht="15.75" customHeight="1">
      <c r="K1171" t="s">
        <v>1988</v>
      </c>
      <c r="L1171" t="str">
        <f>I82</f>
        <v>H1a1a4b3a</v>
      </c>
      <c r="N1171" t="s">
        <v>1989</v>
      </c>
      <c r="O1171">
        <v>1.9538772E7</v>
      </c>
      <c r="P1171">
        <v>1.7426892E7</v>
      </c>
      <c r="Q1171" t="s">
        <v>452</v>
      </c>
      <c r="R1171" s="5"/>
      <c r="S1171" s="5"/>
      <c r="T1171" s="5"/>
      <c r="U1171" s="5"/>
      <c r="V1171" s="5"/>
      <c r="W1171" s="5"/>
      <c r="X1171" s="5"/>
      <c r="Y1171" s="5"/>
      <c r="Z1171" s="5"/>
      <c r="AA1171" s="5"/>
      <c r="AB1171" s="5"/>
      <c r="AC1171" s="5"/>
      <c r="AD1171" s="5"/>
      <c r="AE1171" s="5"/>
      <c r="AF1171" s="5"/>
      <c r="AG1171" s="5"/>
    </row>
    <row r="1172" ht="15.75" customHeight="1">
      <c r="K1172" t="s">
        <v>1990</v>
      </c>
      <c r="L1172" t="str">
        <f>I82</f>
        <v>H1a1a4b3a</v>
      </c>
      <c r="N1172" t="s">
        <v>1991</v>
      </c>
      <c r="O1172">
        <v>2.1113008E7</v>
      </c>
      <c r="P1172">
        <v>1.8951122E7</v>
      </c>
      <c r="Q1172" t="s">
        <v>435</v>
      </c>
      <c r="R1172" s="5"/>
      <c r="S1172" s="5"/>
      <c r="T1172" s="5"/>
      <c r="U1172" s="5"/>
      <c r="V1172" s="5"/>
      <c r="W1172" s="5"/>
      <c r="X1172" s="5"/>
      <c r="Y1172" s="5"/>
      <c r="Z1172" s="5"/>
      <c r="AA1172" s="5"/>
      <c r="AB1172" s="5"/>
      <c r="AC1172" s="5"/>
      <c r="AD1172" s="5"/>
      <c r="AE1172" s="5"/>
      <c r="AF1172" s="5"/>
      <c r="AG1172" s="5"/>
    </row>
    <row r="1173" ht="15.75" customHeight="1">
      <c r="K1173" t="s">
        <v>1992</v>
      </c>
      <c r="L1173" t="str">
        <f>I82</f>
        <v>H1a1a4b3a</v>
      </c>
      <c r="N1173" t="s">
        <v>1993</v>
      </c>
      <c r="O1173">
        <v>2.1514327E7</v>
      </c>
      <c r="P1173">
        <v>1.9352441E7</v>
      </c>
      <c r="Q1173" t="s">
        <v>525</v>
      </c>
      <c r="R1173" s="5"/>
      <c r="S1173" s="5"/>
      <c r="T1173" s="5"/>
      <c r="U1173" s="5"/>
      <c r="V1173" s="5"/>
      <c r="W1173" s="5"/>
      <c r="X1173" s="5"/>
      <c r="Y1173" s="5"/>
      <c r="Z1173" s="5"/>
      <c r="AA1173" s="5"/>
      <c r="AB1173" s="5"/>
      <c r="AC1173" s="5"/>
      <c r="AD1173" s="5"/>
      <c r="AE1173" s="5"/>
      <c r="AF1173" s="5"/>
      <c r="AG1173" s="5"/>
    </row>
    <row r="1174" ht="15.75" customHeight="1">
      <c r="K1174" t="s">
        <v>1994</v>
      </c>
      <c r="L1174" t="str">
        <f>I82</f>
        <v>H1a1a4b3a</v>
      </c>
      <c r="N1174" t="s">
        <v>1995</v>
      </c>
      <c r="O1174">
        <v>2.2108996E7</v>
      </c>
      <c r="P1174">
        <v>1.994711E7</v>
      </c>
      <c r="Q1174" t="s">
        <v>435</v>
      </c>
      <c r="R1174" s="5"/>
      <c r="S1174" s="5"/>
      <c r="T1174" s="5"/>
      <c r="U1174" s="5"/>
      <c r="V1174" s="5"/>
      <c r="W1174" s="5"/>
      <c r="X1174" s="5"/>
      <c r="Y1174" s="5"/>
      <c r="Z1174" s="5"/>
      <c r="AA1174" s="5"/>
      <c r="AB1174" s="5"/>
      <c r="AC1174" s="5"/>
      <c r="AD1174" s="5"/>
      <c r="AE1174" s="5"/>
      <c r="AF1174" s="5"/>
      <c r="AG1174" s="5"/>
    </row>
    <row r="1175" ht="15.75" customHeight="1">
      <c r="K1175" t="s">
        <v>1996</v>
      </c>
      <c r="L1175" t="str">
        <f>I82</f>
        <v>H1a1a4b3a</v>
      </c>
      <c r="O1175">
        <v>2.3650577E7</v>
      </c>
      <c r="P1175">
        <v>2.1488691E7</v>
      </c>
      <c r="Q1175" t="s">
        <v>431</v>
      </c>
      <c r="R1175" s="5"/>
      <c r="S1175" s="5"/>
      <c r="T1175" s="5"/>
      <c r="U1175" s="5"/>
      <c r="V1175" s="5"/>
      <c r="W1175" s="5"/>
      <c r="X1175" s="5"/>
      <c r="Y1175" s="5"/>
      <c r="Z1175" s="5"/>
      <c r="AA1175" s="5"/>
      <c r="AB1175" s="5"/>
      <c r="AC1175" s="5"/>
      <c r="AD1175" s="5"/>
      <c r="AE1175" s="5"/>
      <c r="AF1175" s="5"/>
      <c r="AG1175" s="5"/>
    </row>
    <row r="1176" ht="15.75" customHeight="1">
      <c r="K1176" t="s">
        <v>1997</v>
      </c>
      <c r="L1176" t="str">
        <f>I82</f>
        <v>H1a1a4b3a</v>
      </c>
      <c r="O1176">
        <v>2.4495194E7</v>
      </c>
      <c r="P1176">
        <v>2.2349047E7</v>
      </c>
      <c r="Q1176" t="s">
        <v>525</v>
      </c>
      <c r="R1176" s="5"/>
      <c r="S1176" s="5"/>
      <c r="T1176" s="5"/>
      <c r="U1176" s="5"/>
      <c r="V1176" s="5"/>
      <c r="W1176" s="5"/>
      <c r="X1176" s="5"/>
      <c r="Y1176" s="5"/>
      <c r="Z1176" s="5"/>
      <c r="AA1176" s="5"/>
      <c r="AB1176" s="5"/>
      <c r="AC1176" s="5"/>
      <c r="AD1176" s="5"/>
      <c r="AE1176" s="5"/>
      <c r="AF1176" s="5"/>
      <c r="AG1176" s="5"/>
    </row>
    <row r="1177" ht="15.75" customHeight="1">
      <c r="K1177" t="s">
        <v>1998</v>
      </c>
      <c r="L1177" t="str">
        <f>J83</f>
        <v>H1a1a4b3a1</v>
      </c>
      <c r="N1177" t="s">
        <v>1999</v>
      </c>
      <c r="O1177">
        <v>7256514.0</v>
      </c>
      <c r="P1177">
        <v>7388473.0</v>
      </c>
      <c r="Q1177" t="s">
        <v>423</v>
      </c>
      <c r="R1177" s="5"/>
      <c r="S1177" s="5"/>
      <c r="T1177" s="5"/>
      <c r="U1177" s="5"/>
      <c r="V1177" s="5"/>
      <c r="W1177" s="5"/>
      <c r="X1177" s="5"/>
      <c r="Y1177" s="5"/>
      <c r="Z1177" s="5"/>
      <c r="AA1177" s="5"/>
      <c r="AB1177" s="5"/>
      <c r="AC1177" s="5"/>
      <c r="AD1177" s="5"/>
      <c r="AE1177" s="5"/>
      <c r="AF1177" s="5"/>
      <c r="AG1177" s="5"/>
    </row>
    <row r="1178" ht="15.75" customHeight="1">
      <c r="K1178" t="s">
        <v>2000</v>
      </c>
      <c r="L1178" t="str">
        <f>J83</f>
        <v>H1a1a4b3a1</v>
      </c>
      <c r="N1178" t="s">
        <v>2001</v>
      </c>
      <c r="O1178">
        <v>8614441.0</v>
      </c>
      <c r="P1178">
        <v>8746400.0</v>
      </c>
      <c r="Q1178" t="s">
        <v>435</v>
      </c>
      <c r="R1178" s="5"/>
      <c r="S1178" s="5"/>
      <c r="T1178" s="5"/>
      <c r="U1178" s="5"/>
      <c r="V1178" s="5"/>
      <c r="W1178" s="5"/>
      <c r="X1178" s="5"/>
      <c r="Y1178" s="5"/>
      <c r="Z1178" s="5"/>
      <c r="AA1178" s="5"/>
      <c r="AB1178" s="5"/>
      <c r="AC1178" s="5"/>
      <c r="AD1178" s="5"/>
      <c r="AE1178" s="5"/>
      <c r="AF1178" s="5"/>
      <c r="AG1178" s="5"/>
    </row>
    <row r="1179" ht="15.75" customHeight="1">
      <c r="K1179" t="s">
        <v>2002</v>
      </c>
      <c r="L1179" t="str">
        <f>J83</f>
        <v>H1a1a4b3a1</v>
      </c>
      <c r="N1179" t="s">
        <v>2003</v>
      </c>
      <c r="O1179">
        <v>1.3142723E7</v>
      </c>
      <c r="P1179">
        <v>1.0632209E7</v>
      </c>
      <c r="Q1179" t="s">
        <v>553</v>
      </c>
      <c r="R1179" s="5"/>
      <c r="S1179" s="5"/>
      <c r="T1179" s="5"/>
      <c r="U1179" s="5"/>
      <c r="V1179" s="5"/>
      <c r="W1179" s="5"/>
      <c r="X1179" s="5"/>
      <c r="Y1179" s="5"/>
      <c r="Z1179" s="5"/>
      <c r="AA1179" s="5"/>
      <c r="AB1179" s="5"/>
      <c r="AC1179" s="5"/>
      <c r="AD1179" s="5"/>
      <c r="AE1179" s="5"/>
      <c r="AF1179" s="5"/>
      <c r="AG1179" s="5"/>
    </row>
    <row r="1180" ht="15.75" customHeight="1">
      <c r="K1180" t="s">
        <v>2004</v>
      </c>
      <c r="L1180" t="str">
        <f>J83</f>
        <v>H1a1a4b3a1</v>
      </c>
      <c r="N1180" t="s">
        <v>2005</v>
      </c>
      <c r="O1180">
        <v>1.4102573E7</v>
      </c>
      <c r="P1180">
        <v>1.1981867E7</v>
      </c>
      <c r="Q1180" t="s">
        <v>419</v>
      </c>
      <c r="R1180" s="5"/>
      <c r="S1180" s="5"/>
      <c r="T1180" s="5"/>
      <c r="U1180" s="5"/>
      <c r="V1180" s="5"/>
      <c r="W1180" s="5"/>
      <c r="X1180" s="5"/>
      <c r="Y1180" s="5"/>
      <c r="Z1180" s="5"/>
      <c r="AA1180" s="5"/>
      <c r="AB1180" s="5"/>
      <c r="AC1180" s="5"/>
      <c r="AD1180" s="5"/>
      <c r="AE1180" s="5"/>
      <c r="AF1180" s="5"/>
      <c r="AG1180" s="5"/>
    </row>
    <row r="1181" ht="15.75" customHeight="1">
      <c r="K1181" t="s">
        <v>2006</v>
      </c>
      <c r="L1181" t="str">
        <f>J83</f>
        <v>H1a1a4b3a1</v>
      </c>
      <c r="N1181" t="s">
        <v>2007</v>
      </c>
      <c r="O1181">
        <v>2.1850914E7</v>
      </c>
      <c r="P1181">
        <v>1.9689028E7</v>
      </c>
      <c r="Q1181" t="s">
        <v>435</v>
      </c>
      <c r="R1181" s="5"/>
      <c r="S1181" s="5"/>
      <c r="T1181" s="5"/>
      <c r="U1181" s="5"/>
      <c r="V1181" s="5"/>
      <c r="W1181" s="5"/>
      <c r="X1181" s="5"/>
      <c r="Y1181" s="5"/>
      <c r="Z1181" s="5"/>
      <c r="AA1181" s="5"/>
      <c r="AB1181" s="5"/>
      <c r="AC1181" s="5"/>
      <c r="AD1181" s="5"/>
      <c r="AE1181" s="5"/>
      <c r="AF1181" s="5"/>
      <c r="AG1181" s="5"/>
    </row>
    <row r="1182" ht="15.75" customHeight="1">
      <c r="K1182" t="s">
        <v>2008</v>
      </c>
      <c r="L1182" t="str">
        <f>J83</f>
        <v>H1a1a4b3a1</v>
      </c>
      <c r="N1182" t="s">
        <v>2009</v>
      </c>
      <c r="O1182">
        <v>2.1889334E7</v>
      </c>
      <c r="P1182">
        <v>1.9727448E7</v>
      </c>
      <c r="Q1182" t="s">
        <v>423</v>
      </c>
      <c r="R1182" s="5"/>
      <c r="S1182" s="5"/>
      <c r="T1182" s="5"/>
      <c r="U1182" s="5"/>
      <c r="V1182" s="5"/>
      <c r="W1182" s="5"/>
      <c r="X1182" s="5"/>
      <c r="Y1182" s="5"/>
      <c r="Z1182" s="5"/>
      <c r="AA1182" s="5"/>
      <c r="AB1182" s="5"/>
      <c r="AC1182" s="5"/>
      <c r="AD1182" s="5"/>
      <c r="AE1182" s="5"/>
      <c r="AF1182" s="5"/>
      <c r="AG1182" s="5"/>
    </row>
    <row r="1183" ht="15.75" customHeight="1">
      <c r="K1183" t="s">
        <v>2010</v>
      </c>
      <c r="L1183" t="str">
        <f>K84</f>
        <v>H1a1a4b3a1a~</v>
      </c>
      <c r="N1183" t="s">
        <v>2011</v>
      </c>
      <c r="O1183">
        <v>1.5802605E7</v>
      </c>
      <c r="P1183">
        <v>1.3690725E7</v>
      </c>
      <c r="Q1183" t="s">
        <v>419</v>
      </c>
      <c r="R1183" s="5"/>
      <c r="S1183" s="5"/>
      <c r="T1183" s="5"/>
      <c r="U1183" s="5"/>
      <c r="V1183" s="5"/>
      <c r="W1183" s="5"/>
      <c r="X1183" s="5"/>
      <c r="Y1183" s="5"/>
      <c r="Z1183" s="5"/>
      <c r="AA1183" s="5"/>
      <c r="AB1183" s="5"/>
      <c r="AC1183" s="5"/>
      <c r="AD1183" s="5"/>
      <c r="AE1183" s="5"/>
      <c r="AF1183" s="5"/>
      <c r="AG1183" s="5"/>
    </row>
    <row r="1184" ht="15.75" customHeight="1">
      <c r="K1184" t="s">
        <v>2012</v>
      </c>
      <c r="L1184" t="str">
        <f>K84</f>
        <v>H1a1a4b3a1a~</v>
      </c>
      <c r="N1184" t="s">
        <v>2013</v>
      </c>
      <c r="O1184">
        <v>7983318.0</v>
      </c>
      <c r="P1184">
        <v>8115277.0</v>
      </c>
      <c r="Q1184" t="s">
        <v>473</v>
      </c>
      <c r="R1184" s="5"/>
      <c r="S1184" s="5"/>
      <c r="T1184" s="5"/>
      <c r="U1184" s="5"/>
      <c r="V1184" s="5"/>
      <c r="W1184" s="5"/>
      <c r="X1184" s="5"/>
      <c r="Y1184" s="5"/>
      <c r="Z1184" s="5"/>
      <c r="AA1184" s="5"/>
      <c r="AB1184" s="5"/>
      <c r="AC1184" s="5"/>
      <c r="AD1184" s="5"/>
      <c r="AE1184" s="5"/>
      <c r="AF1184" s="5"/>
      <c r="AG1184" s="5"/>
    </row>
    <row r="1185" ht="15.75" customHeight="1">
      <c r="K1185" t="s">
        <v>2014</v>
      </c>
      <c r="L1185" t="str">
        <f>K84</f>
        <v>H1a1a4b3a1a~</v>
      </c>
      <c r="N1185" t="s">
        <v>2015</v>
      </c>
      <c r="O1185">
        <v>2790061.0</v>
      </c>
      <c r="P1185">
        <v>2922020.0</v>
      </c>
      <c r="Q1185" t="s">
        <v>427</v>
      </c>
      <c r="R1185" s="5"/>
      <c r="S1185" s="5"/>
      <c r="T1185" s="5"/>
      <c r="U1185" s="5"/>
      <c r="V1185" s="5"/>
      <c r="W1185" s="5"/>
      <c r="X1185" s="5"/>
      <c r="Y1185" s="5"/>
      <c r="Z1185" s="5"/>
      <c r="AA1185" s="5"/>
      <c r="AB1185" s="5"/>
      <c r="AC1185" s="5"/>
      <c r="AD1185" s="5"/>
      <c r="AE1185" s="5"/>
      <c r="AF1185" s="5"/>
      <c r="AG1185" s="5"/>
    </row>
    <row r="1186" ht="15.75" customHeight="1">
      <c r="K1186" t="s">
        <v>2016</v>
      </c>
      <c r="L1186" t="str">
        <f t="shared" ref="L1186:L1187" si="16">K84</f>
        <v>H1a1a4b3a1a~</v>
      </c>
      <c r="N1186" t="s">
        <v>2017</v>
      </c>
      <c r="O1186">
        <v>1.4659106E7</v>
      </c>
      <c r="P1186">
        <v>1.2547171E7</v>
      </c>
      <c r="Q1186" t="s">
        <v>427</v>
      </c>
      <c r="R1186" s="5"/>
      <c r="S1186" s="5"/>
      <c r="T1186" s="5"/>
      <c r="U1186" s="5"/>
      <c r="V1186" s="5"/>
      <c r="W1186" s="5"/>
      <c r="X1186" s="5"/>
      <c r="Y1186" s="5"/>
      <c r="Z1186" s="5"/>
      <c r="AA1186" s="5"/>
      <c r="AB1186" s="5"/>
      <c r="AC1186" s="5"/>
      <c r="AD1186" s="5"/>
      <c r="AE1186" s="5"/>
      <c r="AF1186" s="5"/>
      <c r="AG1186" s="5"/>
    </row>
    <row r="1187" ht="15.75" customHeight="1">
      <c r="K1187" t="s">
        <v>2018</v>
      </c>
      <c r="L1187" t="str">
        <f t="shared" si="16"/>
        <v>H1a1a4b3a1b~</v>
      </c>
      <c r="N1187" t="s">
        <v>2019</v>
      </c>
      <c r="O1187">
        <v>8060126.0</v>
      </c>
      <c r="P1187">
        <v>8192085.0</v>
      </c>
      <c r="Q1187" t="s">
        <v>435</v>
      </c>
      <c r="R1187" s="5"/>
      <c r="S1187" s="5"/>
      <c r="T1187" s="5"/>
      <c r="U1187" s="5"/>
      <c r="V1187" s="5"/>
      <c r="W1187" s="5"/>
      <c r="X1187" s="5"/>
      <c r="Y1187" s="5"/>
      <c r="Z1187" s="5"/>
      <c r="AA1187" s="5"/>
      <c r="AB1187" s="5"/>
      <c r="AC1187" s="5"/>
      <c r="AD1187" s="5"/>
      <c r="AE1187" s="5"/>
      <c r="AF1187" s="5"/>
      <c r="AG1187" s="5"/>
    </row>
    <row r="1188" ht="15.75" customHeight="1">
      <c r="K1188" t="s">
        <v>2020</v>
      </c>
      <c r="L1188" t="str">
        <f>K85</f>
        <v>H1a1a4b3a1b~</v>
      </c>
      <c r="N1188" t="s">
        <v>2021</v>
      </c>
      <c r="O1188">
        <v>2886959.0</v>
      </c>
      <c r="P1188">
        <v>3018918.0</v>
      </c>
      <c r="Q1188" t="s">
        <v>431</v>
      </c>
      <c r="R1188" s="5"/>
      <c r="S1188" s="5"/>
      <c r="T1188" s="5"/>
      <c r="U1188" s="5"/>
      <c r="V1188" s="5"/>
      <c r="W1188" s="5"/>
      <c r="X1188" s="5"/>
      <c r="Y1188" s="5"/>
      <c r="Z1188" s="5"/>
      <c r="AA1188" s="5"/>
      <c r="AB1188" s="5"/>
      <c r="AC1188" s="5"/>
      <c r="AD1188" s="5"/>
      <c r="AE1188" s="5"/>
      <c r="AF1188" s="5"/>
      <c r="AG1188" s="5"/>
    </row>
    <row r="1189" ht="15.75" customHeight="1">
      <c r="K1189" t="s">
        <v>2022</v>
      </c>
      <c r="L1189" t="str">
        <f>K85</f>
        <v>H1a1a4b3a1b~</v>
      </c>
      <c r="N1189" t="s">
        <v>2023</v>
      </c>
      <c r="O1189">
        <v>6866051.0</v>
      </c>
      <c r="P1189">
        <v>6998010.0</v>
      </c>
      <c r="Q1189" t="s">
        <v>419</v>
      </c>
      <c r="R1189" s="5"/>
      <c r="S1189" s="5"/>
      <c r="T1189" s="5"/>
      <c r="U1189" s="5"/>
      <c r="V1189" s="5"/>
      <c r="W1189" s="5"/>
      <c r="X1189" s="5"/>
      <c r="Y1189" s="5"/>
      <c r="Z1189" s="5"/>
      <c r="AA1189" s="5"/>
      <c r="AB1189" s="5"/>
      <c r="AC1189" s="5"/>
      <c r="AD1189" s="5"/>
      <c r="AE1189" s="5"/>
      <c r="AF1189" s="5"/>
      <c r="AG1189" s="5"/>
    </row>
    <row r="1190" ht="15.75" customHeight="1">
      <c r="K1190" t="s">
        <v>2024</v>
      </c>
      <c r="L1190" t="str">
        <f>J86</f>
        <v>H1a1a4b3a2~</v>
      </c>
      <c r="N1190" t="s">
        <v>2025</v>
      </c>
      <c r="O1190">
        <v>8640314.0</v>
      </c>
      <c r="P1190">
        <v>8772273.0</v>
      </c>
      <c r="Q1190" t="s">
        <v>423</v>
      </c>
      <c r="R1190" s="5"/>
      <c r="S1190" s="5"/>
      <c r="T1190" s="5"/>
      <c r="U1190" s="5"/>
      <c r="V1190" s="5"/>
      <c r="W1190" s="5"/>
      <c r="X1190" s="5"/>
      <c r="Y1190" s="5"/>
      <c r="Z1190" s="5"/>
      <c r="AA1190" s="5"/>
      <c r="AB1190" s="5"/>
      <c r="AC1190" s="5"/>
      <c r="AD1190" s="5"/>
      <c r="AE1190" s="5"/>
      <c r="AF1190" s="5"/>
      <c r="AG1190" s="5"/>
    </row>
    <row r="1191" ht="15.75" customHeight="1">
      <c r="K1191" t="s">
        <v>2026</v>
      </c>
      <c r="L1191" t="str">
        <f>J86</f>
        <v>H1a1a4b3a2~</v>
      </c>
      <c r="N1191" t="s">
        <v>2027</v>
      </c>
      <c r="O1191">
        <v>8662929.0</v>
      </c>
      <c r="P1191">
        <v>8794888.0</v>
      </c>
      <c r="Q1191" t="s">
        <v>431</v>
      </c>
      <c r="R1191" s="5"/>
      <c r="S1191" s="5"/>
      <c r="T1191" s="5"/>
      <c r="U1191" s="5"/>
      <c r="V1191" s="5"/>
      <c r="W1191" s="5"/>
      <c r="X1191" s="5"/>
      <c r="Y1191" s="5"/>
      <c r="Z1191" s="5"/>
      <c r="AA1191" s="5"/>
      <c r="AB1191" s="5"/>
      <c r="AC1191" s="5"/>
      <c r="AD1191" s="5"/>
      <c r="AE1191" s="5"/>
      <c r="AF1191" s="5"/>
      <c r="AG1191" s="5"/>
    </row>
    <row r="1192" ht="15.75" customHeight="1">
      <c r="K1192" t="s">
        <v>2028</v>
      </c>
      <c r="L1192" t="str">
        <f>J86</f>
        <v>H1a1a4b3a2~</v>
      </c>
      <c r="O1192">
        <v>8842607.0</v>
      </c>
      <c r="P1192">
        <v>8974566.0</v>
      </c>
      <c r="Q1192" t="s">
        <v>435</v>
      </c>
      <c r="R1192" s="5"/>
      <c r="S1192" s="5"/>
      <c r="T1192" s="5"/>
      <c r="U1192" s="5"/>
      <c r="V1192" s="5"/>
      <c r="W1192" s="5"/>
      <c r="X1192" s="5"/>
      <c r="Y1192" s="5"/>
      <c r="Z1192" s="5"/>
      <c r="AA1192" s="5"/>
      <c r="AB1192" s="5"/>
      <c r="AC1192" s="5"/>
      <c r="AD1192" s="5"/>
      <c r="AE1192" s="5"/>
      <c r="AF1192" s="5"/>
      <c r="AG1192" s="5"/>
    </row>
    <row r="1193" ht="15.75" customHeight="1">
      <c r="K1193" t="s">
        <v>2029</v>
      </c>
      <c r="L1193" t="str">
        <f>J86</f>
        <v>H1a1a4b3a2~</v>
      </c>
      <c r="N1193" t="s">
        <v>2030</v>
      </c>
      <c r="O1193">
        <v>1.4186662E7</v>
      </c>
      <c r="P1193">
        <v>1.2065956E7</v>
      </c>
      <c r="Q1193" t="s">
        <v>435</v>
      </c>
      <c r="R1193" s="5"/>
      <c r="S1193" s="5"/>
      <c r="T1193" s="5"/>
      <c r="U1193" s="5"/>
      <c r="V1193" s="5"/>
      <c r="W1193" s="5"/>
      <c r="X1193" s="5"/>
      <c r="Y1193" s="5"/>
      <c r="Z1193" s="5"/>
      <c r="AA1193" s="5"/>
      <c r="AB1193" s="5"/>
      <c r="AC1193" s="5"/>
      <c r="AD1193" s="5"/>
      <c r="AE1193" s="5"/>
      <c r="AF1193" s="5"/>
      <c r="AG1193" s="5"/>
    </row>
    <row r="1194" ht="15.75" customHeight="1">
      <c r="K1194" t="s">
        <v>135</v>
      </c>
      <c r="L1194" t="str">
        <f>I87</f>
        <v>H1a1a4b3b</v>
      </c>
      <c r="N1194" t="s">
        <v>2031</v>
      </c>
      <c r="O1194">
        <v>1.5382783E7</v>
      </c>
      <c r="P1194">
        <v>1.3270903E7</v>
      </c>
      <c r="Q1194" t="s">
        <v>553</v>
      </c>
      <c r="R1194" s="5"/>
      <c r="S1194" s="5"/>
      <c r="T1194" s="5"/>
      <c r="U1194" s="5"/>
      <c r="V1194" s="5"/>
      <c r="W1194" s="5"/>
      <c r="X1194" s="5"/>
      <c r="Y1194" s="5"/>
      <c r="Z1194" s="5"/>
      <c r="AA1194" s="5"/>
      <c r="AB1194" s="5"/>
      <c r="AC1194" s="5"/>
      <c r="AD1194" s="5"/>
      <c r="AE1194" s="5"/>
      <c r="AF1194" s="5"/>
      <c r="AG1194" s="5"/>
    </row>
    <row r="1195" ht="15.75" customHeight="1">
      <c r="K1195" t="s">
        <v>2032</v>
      </c>
      <c r="L1195" t="str">
        <f>J88</f>
        <v>H1a1a4b3b1</v>
      </c>
      <c r="N1195" t="s">
        <v>2033</v>
      </c>
      <c r="O1195">
        <v>8735254.0</v>
      </c>
      <c r="P1195">
        <v>8867213.0</v>
      </c>
      <c r="Q1195" t="s">
        <v>419</v>
      </c>
      <c r="R1195" s="5"/>
      <c r="S1195" s="5"/>
      <c r="T1195" s="5"/>
      <c r="U1195" s="5"/>
      <c r="V1195" s="5"/>
      <c r="W1195" s="5"/>
      <c r="X1195" s="5"/>
      <c r="Y1195" s="5"/>
      <c r="Z1195" s="5"/>
      <c r="AA1195" s="5"/>
      <c r="AB1195" s="5"/>
      <c r="AC1195" s="5"/>
      <c r="AD1195" s="5"/>
      <c r="AE1195" s="5"/>
      <c r="AF1195" s="5"/>
      <c r="AG1195" s="5"/>
    </row>
    <row r="1196" ht="15.75" customHeight="1">
      <c r="K1196" t="s">
        <v>2034</v>
      </c>
      <c r="L1196" t="str">
        <f>J88</f>
        <v>H1a1a4b3b1</v>
      </c>
      <c r="M1196" t="s">
        <v>2035</v>
      </c>
      <c r="N1196" t="s">
        <v>2036</v>
      </c>
      <c r="O1196">
        <v>2.8789926E7</v>
      </c>
      <c r="P1196">
        <v>2.6643779E7</v>
      </c>
      <c r="Q1196" t="s">
        <v>431</v>
      </c>
      <c r="R1196" s="5"/>
      <c r="S1196" s="5"/>
      <c r="T1196" s="5"/>
      <c r="U1196" s="5"/>
      <c r="V1196" s="5"/>
      <c r="W1196" s="5"/>
      <c r="X1196" s="5"/>
      <c r="Y1196" s="5"/>
      <c r="Z1196" s="5"/>
      <c r="AA1196" s="5"/>
      <c r="AB1196" s="5"/>
      <c r="AC1196" s="5"/>
      <c r="AD1196" s="5"/>
      <c r="AE1196" s="5"/>
      <c r="AF1196" s="5"/>
      <c r="AG1196" s="5"/>
    </row>
    <row r="1197" ht="15.75" customHeight="1">
      <c r="K1197" t="s">
        <v>2035</v>
      </c>
      <c r="L1197" t="str">
        <f>J88</f>
        <v>H1a1a4b3b1</v>
      </c>
      <c r="M1197" t="s">
        <v>2034</v>
      </c>
      <c r="N1197" t="s">
        <v>2036</v>
      </c>
      <c r="O1197">
        <v>2.8789926E7</v>
      </c>
      <c r="P1197">
        <v>2.6643779E7</v>
      </c>
      <c r="Q1197" t="s">
        <v>431</v>
      </c>
      <c r="R1197" s="5"/>
      <c r="S1197" s="5"/>
      <c r="T1197" s="5"/>
      <c r="U1197" s="5"/>
      <c r="V1197" s="5"/>
      <c r="W1197" s="5"/>
      <c r="X1197" s="5"/>
      <c r="Y1197" s="5"/>
      <c r="Z1197" s="5"/>
      <c r="AA1197" s="5"/>
      <c r="AB1197" s="5"/>
      <c r="AC1197" s="5"/>
      <c r="AD1197" s="5"/>
      <c r="AE1197" s="5"/>
      <c r="AF1197" s="5"/>
      <c r="AG1197" s="5"/>
    </row>
    <row r="1198" ht="15.75" customHeight="1">
      <c r="K1198" t="s">
        <v>2037</v>
      </c>
      <c r="L1198" t="str">
        <f>K89</f>
        <v>H1a1a4b3b1a</v>
      </c>
      <c r="N1198" t="s">
        <v>2038</v>
      </c>
      <c r="O1198">
        <v>1.8927804E7</v>
      </c>
      <c r="P1198">
        <v>1.6815924E7</v>
      </c>
      <c r="Q1198" t="s">
        <v>431</v>
      </c>
      <c r="R1198" s="5"/>
      <c r="S1198" s="5"/>
      <c r="T1198" s="5"/>
      <c r="U1198" s="5"/>
      <c r="V1198" s="5"/>
      <c r="W1198" s="5"/>
      <c r="X1198" s="5"/>
      <c r="Y1198" s="5"/>
      <c r="Z1198" s="5"/>
      <c r="AA1198" s="5"/>
      <c r="AB1198" s="5"/>
      <c r="AC1198" s="5"/>
      <c r="AD1198" s="5"/>
      <c r="AE1198" s="5"/>
      <c r="AF1198" s="5"/>
      <c r="AG1198" s="5"/>
    </row>
    <row r="1199" ht="15.75" customHeight="1">
      <c r="K1199" t="s">
        <v>2039</v>
      </c>
      <c r="L1199" t="str">
        <f>K89</f>
        <v>H1a1a4b3b1a</v>
      </c>
      <c r="N1199" t="s">
        <v>2040</v>
      </c>
      <c r="O1199">
        <v>1.9237845E7</v>
      </c>
      <c r="P1199">
        <v>1.7125965E7</v>
      </c>
      <c r="Q1199" t="s">
        <v>476</v>
      </c>
      <c r="R1199" s="5"/>
      <c r="S1199" s="5"/>
      <c r="T1199" s="5"/>
      <c r="U1199" s="5"/>
      <c r="V1199" s="5"/>
      <c r="W1199" s="5"/>
      <c r="X1199" s="5"/>
      <c r="Y1199" s="5"/>
      <c r="Z1199" s="5"/>
      <c r="AA1199" s="5"/>
      <c r="AB1199" s="5"/>
      <c r="AC1199" s="5"/>
      <c r="AD1199" s="5"/>
      <c r="AE1199" s="5"/>
      <c r="AF1199" s="5"/>
      <c r="AG1199" s="5"/>
    </row>
    <row r="1200" ht="15.75" customHeight="1">
      <c r="K1200" t="s">
        <v>2041</v>
      </c>
      <c r="L1200" t="str">
        <f>K89</f>
        <v>H1a1a4b3b1a</v>
      </c>
      <c r="N1200" t="s">
        <v>2042</v>
      </c>
      <c r="O1200">
        <v>9460224.0</v>
      </c>
      <c r="P1200">
        <v>9622615.0</v>
      </c>
      <c r="Q1200" t="s">
        <v>431</v>
      </c>
      <c r="R1200" s="5"/>
      <c r="S1200" s="5"/>
      <c r="T1200" s="5"/>
      <c r="U1200" s="5"/>
      <c r="V1200" s="5"/>
      <c r="W1200" s="5"/>
      <c r="X1200" s="5"/>
      <c r="Y1200" s="5"/>
      <c r="Z1200" s="5"/>
      <c r="AA1200" s="5"/>
      <c r="AB1200" s="5"/>
      <c r="AC1200" s="5"/>
      <c r="AD1200" s="5"/>
      <c r="AE1200" s="5"/>
      <c r="AF1200" s="5"/>
      <c r="AG1200" s="5"/>
    </row>
    <row r="1201" ht="15.75" customHeight="1">
      <c r="K1201" t="s">
        <v>2043</v>
      </c>
      <c r="L1201" t="str">
        <f>L90</f>
        <v>H1a1a4b3b1a1~</v>
      </c>
      <c r="N1201" t="s">
        <v>2044</v>
      </c>
      <c r="O1201">
        <v>6713917.0</v>
      </c>
      <c r="P1201">
        <v>6845876.0</v>
      </c>
      <c r="Q1201" t="s">
        <v>476</v>
      </c>
      <c r="R1201" s="5"/>
      <c r="S1201" s="5"/>
      <c r="T1201" s="5"/>
      <c r="U1201" s="5"/>
      <c r="V1201" s="5"/>
      <c r="W1201" s="5"/>
      <c r="X1201" s="5"/>
      <c r="Y1201" s="5"/>
      <c r="Z1201" s="5"/>
      <c r="AA1201" s="5"/>
      <c r="AB1201" s="5"/>
      <c r="AC1201" s="5"/>
      <c r="AD1201" s="5"/>
      <c r="AE1201" s="5"/>
      <c r="AF1201" s="5"/>
      <c r="AG1201" s="5"/>
    </row>
    <row r="1202" ht="15.75" customHeight="1">
      <c r="K1202" t="s">
        <v>2045</v>
      </c>
      <c r="L1202" t="str">
        <f>L90</f>
        <v>H1a1a4b3b1a1~</v>
      </c>
      <c r="N1202" t="s">
        <v>2046</v>
      </c>
      <c r="O1202">
        <v>6775677.0</v>
      </c>
      <c r="P1202">
        <v>6907636.0</v>
      </c>
      <c r="Q1202" t="s">
        <v>423</v>
      </c>
      <c r="R1202" s="5"/>
      <c r="S1202" s="5"/>
      <c r="T1202" s="5"/>
      <c r="U1202" s="5"/>
      <c r="V1202" s="5"/>
      <c r="W1202" s="5"/>
      <c r="X1202" s="5"/>
      <c r="Y1202" s="5"/>
      <c r="Z1202" s="5"/>
      <c r="AA1202" s="5"/>
      <c r="AB1202" s="5"/>
      <c r="AC1202" s="5"/>
      <c r="AD1202" s="5"/>
      <c r="AE1202" s="5"/>
      <c r="AF1202" s="5"/>
      <c r="AG1202" s="5"/>
    </row>
    <row r="1203" ht="15.75" customHeight="1">
      <c r="K1203" t="s">
        <v>2047</v>
      </c>
      <c r="L1203" t="str">
        <f>L90</f>
        <v>H1a1a4b3b1a1~</v>
      </c>
      <c r="N1203" t="s">
        <v>2048</v>
      </c>
      <c r="O1203">
        <v>7047943.0</v>
      </c>
      <c r="P1203">
        <v>7179902.0</v>
      </c>
      <c r="Q1203" t="s">
        <v>431</v>
      </c>
      <c r="R1203" s="5"/>
      <c r="S1203" s="5"/>
      <c r="T1203" s="5"/>
      <c r="U1203" s="5"/>
      <c r="V1203" s="5"/>
      <c r="W1203" s="5"/>
      <c r="X1203" s="5"/>
      <c r="Y1203" s="5"/>
      <c r="Z1203" s="5"/>
      <c r="AA1203" s="5"/>
      <c r="AB1203" s="5"/>
      <c r="AC1203" s="5"/>
      <c r="AD1203" s="5"/>
      <c r="AE1203" s="5"/>
      <c r="AF1203" s="5"/>
      <c r="AG1203" s="5"/>
    </row>
    <row r="1204" ht="15.75" customHeight="1">
      <c r="K1204" t="s">
        <v>2049</v>
      </c>
      <c r="L1204" t="str">
        <f t="shared" ref="L1204:L1205" si="17">L90</f>
        <v>H1a1a4b3b1a1~</v>
      </c>
      <c r="N1204" t="s">
        <v>2050</v>
      </c>
      <c r="O1204">
        <v>7348474.0</v>
      </c>
      <c r="P1204">
        <v>7480433.0</v>
      </c>
      <c r="Q1204" t="s">
        <v>448</v>
      </c>
      <c r="R1204" s="5"/>
      <c r="S1204" s="5"/>
      <c r="T1204" s="5"/>
      <c r="U1204" s="5"/>
      <c r="V1204" s="5"/>
      <c r="W1204" s="5"/>
      <c r="X1204" s="5"/>
      <c r="Y1204" s="5"/>
      <c r="Z1204" s="5"/>
      <c r="AA1204" s="5"/>
      <c r="AB1204" s="5"/>
      <c r="AC1204" s="5"/>
      <c r="AD1204" s="5"/>
      <c r="AE1204" s="5"/>
      <c r="AF1204" s="5"/>
      <c r="AG1204" s="5"/>
    </row>
    <row r="1205" ht="15.75" customHeight="1">
      <c r="K1205" t="s">
        <v>2051</v>
      </c>
      <c r="L1205" t="str">
        <f t="shared" si="17"/>
        <v>H1a1a4b3b1a2~</v>
      </c>
      <c r="N1205" t="s">
        <v>2052</v>
      </c>
      <c r="O1205">
        <v>7125568.0</v>
      </c>
      <c r="P1205">
        <v>7257527.0</v>
      </c>
      <c r="Q1205" t="s">
        <v>423</v>
      </c>
      <c r="R1205" s="5"/>
      <c r="S1205" s="5"/>
      <c r="T1205" s="5"/>
      <c r="U1205" s="5"/>
      <c r="V1205" s="5"/>
      <c r="W1205" s="5"/>
      <c r="X1205" s="5"/>
      <c r="Y1205" s="5"/>
      <c r="Z1205" s="5"/>
      <c r="AA1205" s="5"/>
      <c r="AB1205" s="5"/>
      <c r="AC1205" s="5"/>
      <c r="AD1205" s="5"/>
      <c r="AE1205" s="5"/>
      <c r="AF1205" s="5"/>
      <c r="AG1205" s="5"/>
    </row>
    <row r="1206" ht="15.75" customHeight="1">
      <c r="K1206" t="s">
        <v>2053</v>
      </c>
      <c r="L1206" t="str">
        <f>L91</f>
        <v>H1a1a4b3b1a2~</v>
      </c>
      <c r="O1206">
        <v>7223393.0</v>
      </c>
      <c r="P1206">
        <v>7355352.0</v>
      </c>
      <c r="Q1206" t="s">
        <v>419</v>
      </c>
      <c r="R1206" s="5"/>
      <c r="S1206" s="5"/>
      <c r="T1206" s="5"/>
      <c r="U1206" s="5"/>
      <c r="V1206" s="5"/>
      <c r="W1206" s="5"/>
      <c r="X1206" s="5"/>
      <c r="Y1206" s="5"/>
      <c r="Z1206" s="5"/>
      <c r="AA1206" s="5"/>
      <c r="AB1206" s="5"/>
      <c r="AC1206" s="5"/>
      <c r="AD1206" s="5"/>
      <c r="AE1206" s="5"/>
      <c r="AF1206" s="5"/>
      <c r="AG1206" s="5"/>
    </row>
    <row r="1207" ht="15.75" customHeight="1">
      <c r="K1207" t="s">
        <v>2054</v>
      </c>
      <c r="L1207" t="str">
        <f>L91</f>
        <v>H1a1a4b3b1a2~</v>
      </c>
      <c r="N1207" t="s">
        <v>2055</v>
      </c>
      <c r="O1207">
        <v>1.8817886E7</v>
      </c>
      <c r="P1207">
        <v>1.6706006E7</v>
      </c>
      <c r="Q1207" t="s">
        <v>423</v>
      </c>
      <c r="R1207" s="5"/>
      <c r="S1207" s="5"/>
      <c r="T1207" s="5"/>
      <c r="U1207" s="5"/>
      <c r="V1207" s="5"/>
      <c r="W1207" s="5"/>
      <c r="X1207" s="5"/>
      <c r="Y1207" s="5"/>
      <c r="Z1207" s="5"/>
      <c r="AA1207" s="5"/>
      <c r="AB1207" s="5"/>
      <c r="AC1207" s="5"/>
      <c r="AD1207" s="5"/>
      <c r="AE1207" s="5"/>
      <c r="AF1207" s="5"/>
      <c r="AG1207" s="5"/>
    </row>
    <row r="1208" ht="15.75" customHeight="1">
      <c r="K1208" t="s">
        <v>2056</v>
      </c>
      <c r="L1208" t="str">
        <f t="shared" ref="L1208:L1209" si="18">L91</f>
        <v>H1a1a4b3b1a2~</v>
      </c>
      <c r="N1208" t="s">
        <v>2057</v>
      </c>
      <c r="O1208">
        <v>7050247.0</v>
      </c>
      <c r="P1208">
        <v>7182206.0</v>
      </c>
      <c r="Q1208" t="s">
        <v>419</v>
      </c>
      <c r="R1208" s="5"/>
      <c r="S1208" s="5"/>
      <c r="T1208" s="5"/>
      <c r="U1208" s="5"/>
      <c r="V1208" s="5"/>
      <c r="W1208" s="5"/>
      <c r="X1208" s="5"/>
      <c r="Y1208" s="5"/>
      <c r="Z1208" s="5"/>
      <c r="AA1208" s="5"/>
      <c r="AB1208" s="5"/>
      <c r="AC1208" s="5"/>
      <c r="AD1208" s="5"/>
      <c r="AE1208" s="5"/>
      <c r="AF1208" s="5"/>
      <c r="AG1208" s="5"/>
    </row>
    <row r="1209" ht="15.75" customHeight="1">
      <c r="K1209" t="s">
        <v>2058</v>
      </c>
      <c r="L1209" t="str">
        <f t="shared" si="18"/>
        <v>H1a1a4b3b1a3~</v>
      </c>
      <c r="O1209">
        <v>1.9146722E7</v>
      </c>
      <c r="P1209">
        <v>1.7034842E7</v>
      </c>
      <c r="Q1209" t="s">
        <v>419</v>
      </c>
      <c r="R1209" s="5"/>
      <c r="S1209" s="5"/>
      <c r="T1209" s="5"/>
      <c r="U1209" s="5"/>
      <c r="V1209" s="5"/>
      <c r="W1209" s="5"/>
      <c r="X1209" s="5"/>
      <c r="Y1209" s="5"/>
      <c r="Z1209" s="5"/>
      <c r="AA1209" s="5"/>
      <c r="AB1209" s="5"/>
      <c r="AC1209" s="5"/>
      <c r="AD1209" s="5"/>
      <c r="AE1209" s="5"/>
      <c r="AF1209" s="5"/>
      <c r="AG1209" s="5"/>
    </row>
    <row r="1210" ht="15.75" customHeight="1">
      <c r="K1210" t="s">
        <v>2059</v>
      </c>
      <c r="L1210" t="str">
        <f>L92</f>
        <v>H1a1a4b3b1a3~</v>
      </c>
      <c r="N1210" t="s">
        <v>2060</v>
      </c>
      <c r="O1210">
        <v>1.9330084E7</v>
      </c>
      <c r="P1210">
        <v>1.7218204E7</v>
      </c>
      <c r="Q1210" t="s">
        <v>423</v>
      </c>
      <c r="R1210" s="5"/>
      <c r="S1210" s="5"/>
      <c r="T1210" s="5"/>
      <c r="U1210" s="5"/>
      <c r="V1210" s="5"/>
      <c r="W1210" s="5"/>
      <c r="X1210" s="5"/>
      <c r="Y1210" s="5"/>
      <c r="Z1210" s="5"/>
      <c r="AA1210" s="5"/>
      <c r="AB1210" s="5"/>
      <c r="AC1210" s="5"/>
      <c r="AD1210" s="5"/>
      <c r="AE1210" s="5"/>
      <c r="AF1210" s="5"/>
      <c r="AG1210" s="5"/>
    </row>
    <row r="1211" ht="15.75" customHeight="1">
      <c r="K1211" t="s">
        <v>2061</v>
      </c>
      <c r="L1211" t="str">
        <f>L92</f>
        <v>H1a1a4b3b1a3~</v>
      </c>
      <c r="O1211">
        <v>1.4668916E7</v>
      </c>
      <c r="P1211">
        <v>1.2556982E7</v>
      </c>
      <c r="Q1211" t="s">
        <v>419</v>
      </c>
      <c r="R1211" s="5"/>
      <c r="S1211" s="5"/>
      <c r="T1211" s="5"/>
      <c r="U1211" s="5"/>
      <c r="V1211" s="5"/>
      <c r="W1211" s="5"/>
      <c r="X1211" s="5"/>
      <c r="Y1211" s="5"/>
      <c r="Z1211" s="5"/>
      <c r="AA1211" s="5"/>
      <c r="AB1211" s="5"/>
      <c r="AC1211" s="5"/>
      <c r="AD1211" s="5"/>
      <c r="AE1211" s="5"/>
      <c r="AF1211" s="5"/>
      <c r="AG1211" s="5"/>
    </row>
    <row r="1212" ht="15.75" customHeight="1">
      <c r="K1212" t="s">
        <v>2062</v>
      </c>
      <c r="L1212" t="str">
        <f t="shared" ref="L1212:L1213" si="19">L92</f>
        <v>H1a1a4b3b1a3~</v>
      </c>
      <c r="O1212">
        <v>2732474.0</v>
      </c>
      <c r="P1212">
        <v>2864433.0</v>
      </c>
      <c r="Q1212" t="s">
        <v>427</v>
      </c>
      <c r="R1212" s="5"/>
      <c r="S1212" s="5"/>
      <c r="T1212" s="5"/>
      <c r="U1212" s="5"/>
      <c r="V1212" s="5"/>
      <c r="W1212" s="5"/>
      <c r="X1212" s="5"/>
      <c r="Y1212" s="5"/>
      <c r="Z1212" s="5"/>
      <c r="AA1212" s="5"/>
      <c r="AB1212" s="5"/>
      <c r="AC1212" s="5"/>
      <c r="AD1212" s="5"/>
      <c r="AE1212" s="5"/>
      <c r="AF1212" s="5"/>
      <c r="AG1212" s="5"/>
    </row>
    <row r="1213" ht="15.75" customHeight="1">
      <c r="K1213" t="s">
        <v>2063</v>
      </c>
      <c r="L1213" t="str">
        <f t="shared" si="19"/>
        <v>H1a1a4b3b1a4~</v>
      </c>
      <c r="N1213" t="s">
        <v>2064</v>
      </c>
      <c r="O1213">
        <v>7199394.0</v>
      </c>
      <c r="P1213">
        <v>7331353.0</v>
      </c>
      <c r="Q1213" t="s">
        <v>476</v>
      </c>
      <c r="R1213" s="5"/>
      <c r="S1213" s="5"/>
      <c r="T1213" s="5"/>
      <c r="U1213" s="5"/>
      <c r="V1213" s="5"/>
      <c r="W1213" s="5"/>
      <c r="X1213" s="5"/>
      <c r="Y1213" s="5"/>
      <c r="Z1213" s="5"/>
      <c r="AA1213" s="5"/>
      <c r="AB1213" s="5"/>
      <c r="AC1213" s="5"/>
      <c r="AD1213" s="5"/>
      <c r="AE1213" s="5"/>
      <c r="AF1213" s="5"/>
      <c r="AG1213" s="5"/>
    </row>
    <row r="1214" ht="15.75" customHeight="1">
      <c r="K1214" t="s">
        <v>2065</v>
      </c>
      <c r="L1214" t="str">
        <f>L93</f>
        <v>H1a1a4b3b1a4~</v>
      </c>
      <c r="N1214" t="s">
        <v>2066</v>
      </c>
      <c r="O1214">
        <v>6778349.0</v>
      </c>
      <c r="P1214">
        <v>6910308.0</v>
      </c>
      <c r="Q1214" t="s">
        <v>459</v>
      </c>
      <c r="R1214" s="5"/>
      <c r="S1214" s="5"/>
      <c r="T1214" s="5"/>
      <c r="U1214" s="5"/>
      <c r="V1214" s="5"/>
      <c r="W1214" s="5"/>
      <c r="X1214" s="5"/>
      <c r="Y1214" s="5"/>
      <c r="Z1214" s="5"/>
      <c r="AA1214" s="5"/>
      <c r="AB1214" s="5"/>
      <c r="AC1214" s="5"/>
      <c r="AD1214" s="5"/>
      <c r="AE1214" s="5"/>
      <c r="AF1214" s="5"/>
      <c r="AG1214" s="5"/>
    </row>
    <row r="1215" ht="15.75" customHeight="1">
      <c r="K1215" t="s">
        <v>2067</v>
      </c>
      <c r="L1215" t="str">
        <f>L93</f>
        <v>H1a1a4b3b1a4~</v>
      </c>
      <c r="N1215" t="s">
        <v>2068</v>
      </c>
      <c r="O1215">
        <v>8266419.0</v>
      </c>
      <c r="P1215">
        <v>8398378.0</v>
      </c>
      <c r="Q1215" t="s">
        <v>427</v>
      </c>
      <c r="R1215" s="5"/>
      <c r="S1215" s="5"/>
      <c r="T1215" s="5"/>
      <c r="U1215" s="5"/>
      <c r="V1215" s="5"/>
      <c r="W1215" s="5"/>
      <c r="X1215" s="5"/>
      <c r="Y1215" s="5"/>
      <c r="Z1215" s="5"/>
      <c r="AA1215" s="5"/>
      <c r="AB1215" s="5"/>
      <c r="AC1215" s="5"/>
      <c r="AD1215" s="5"/>
      <c r="AE1215" s="5"/>
      <c r="AF1215" s="5"/>
      <c r="AG1215" s="5"/>
    </row>
    <row r="1216" ht="15.75" customHeight="1">
      <c r="K1216" t="s">
        <v>2069</v>
      </c>
      <c r="L1216" t="str">
        <f>L93</f>
        <v>H1a1a4b3b1a4~</v>
      </c>
      <c r="N1216" t="s">
        <v>2070</v>
      </c>
      <c r="O1216">
        <v>8271855.0</v>
      </c>
      <c r="P1216">
        <v>8403814.0</v>
      </c>
      <c r="Q1216" t="s">
        <v>435</v>
      </c>
      <c r="R1216" s="5"/>
      <c r="S1216" s="5"/>
      <c r="T1216" s="5"/>
      <c r="U1216" s="5"/>
      <c r="V1216" s="5"/>
      <c r="W1216" s="5"/>
      <c r="X1216" s="5"/>
      <c r="Y1216" s="5"/>
      <c r="Z1216" s="5"/>
      <c r="AA1216" s="5"/>
      <c r="AB1216" s="5"/>
      <c r="AC1216" s="5"/>
      <c r="AD1216" s="5"/>
      <c r="AE1216" s="5"/>
      <c r="AF1216" s="5"/>
      <c r="AG1216" s="5"/>
    </row>
    <row r="1217" ht="15.75" customHeight="1">
      <c r="K1217" t="s">
        <v>2071</v>
      </c>
      <c r="L1217" t="str">
        <f t="shared" ref="L1217:L1218" si="20">L93</f>
        <v>H1a1a4b3b1a4~</v>
      </c>
      <c r="N1217" t="s">
        <v>2072</v>
      </c>
      <c r="O1217">
        <v>8473776.0</v>
      </c>
      <c r="P1217">
        <v>8605735.0</v>
      </c>
      <c r="Q1217" t="s">
        <v>423</v>
      </c>
      <c r="R1217" s="5"/>
      <c r="S1217" s="5"/>
      <c r="T1217" s="5"/>
      <c r="U1217" s="5"/>
      <c r="V1217" s="5"/>
      <c r="W1217" s="5"/>
      <c r="X1217" s="5"/>
      <c r="Y1217" s="5"/>
      <c r="Z1217" s="5"/>
      <c r="AA1217" s="5"/>
      <c r="AB1217" s="5"/>
      <c r="AC1217" s="5"/>
      <c r="AD1217" s="5"/>
      <c r="AE1217" s="5"/>
      <c r="AF1217" s="5"/>
      <c r="AG1217" s="5"/>
    </row>
    <row r="1218" ht="15.75" customHeight="1">
      <c r="K1218" t="s">
        <v>2073</v>
      </c>
      <c r="L1218" t="str">
        <f t="shared" si="20"/>
        <v>H1a1a4b3b1a5~</v>
      </c>
      <c r="N1218" t="s">
        <v>2074</v>
      </c>
      <c r="O1218">
        <v>1.4370133E7</v>
      </c>
      <c r="P1218">
        <v>1.2249429E7</v>
      </c>
      <c r="Q1218" t="s">
        <v>423</v>
      </c>
      <c r="R1218" s="5"/>
      <c r="S1218" s="5"/>
      <c r="T1218" s="5"/>
      <c r="U1218" s="5"/>
      <c r="V1218" s="5"/>
      <c r="W1218" s="5"/>
      <c r="X1218" s="5"/>
      <c r="Y1218" s="5"/>
      <c r="Z1218" s="5"/>
      <c r="AA1218" s="5"/>
      <c r="AB1218" s="5"/>
      <c r="AC1218" s="5"/>
      <c r="AD1218" s="5"/>
      <c r="AE1218" s="5"/>
      <c r="AF1218" s="5"/>
      <c r="AG1218" s="5"/>
    </row>
    <row r="1219" ht="15.75" customHeight="1">
      <c r="K1219" t="s">
        <v>2075</v>
      </c>
      <c r="L1219" t="str">
        <f>L94</f>
        <v>H1a1a4b3b1a5~</v>
      </c>
      <c r="N1219" t="s">
        <v>2076</v>
      </c>
      <c r="O1219">
        <v>6911433.0</v>
      </c>
      <c r="P1219">
        <v>7043392.0</v>
      </c>
      <c r="Q1219" t="s">
        <v>435</v>
      </c>
      <c r="R1219" s="5"/>
      <c r="S1219" s="5"/>
      <c r="T1219" s="5"/>
      <c r="U1219" s="5"/>
      <c r="V1219" s="5"/>
      <c r="W1219" s="5"/>
      <c r="X1219" s="5"/>
      <c r="Y1219" s="5"/>
      <c r="Z1219" s="5"/>
      <c r="AA1219" s="5"/>
      <c r="AB1219" s="5"/>
      <c r="AC1219" s="5"/>
      <c r="AD1219" s="5"/>
      <c r="AE1219" s="5"/>
      <c r="AF1219" s="5"/>
      <c r="AG1219" s="5"/>
    </row>
    <row r="1220" ht="15.75" customHeight="1">
      <c r="K1220" t="s">
        <v>2077</v>
      </c>
      <c r="L1220" t="str">
        <f>L94</f>
        <v>H1a1a4b3b1a5~</v>
      </c>
      <c r="N1220" t="s">
        <v>2078</v>
      </c>
      <c r="O1220">
        <v>8038442.0</v>
      </c>
      <c r="P1220">
        <v>8170401.0</v>
      </c>
      <c r="Q1220" t="s">
        <v>419</v>
      </c>
      <c r="R1220" s="5"/>
      <c r="S1220" s="5"/>
      <c r="T1220" s="5"/>
      <c r="U1220" s="5"/>
      <c r="V1220" s="5"/>
      <c r="W1220" s="5"/>
      <c r="X1220" s="5"/>
      <c r="Y1220" s="5"/>
      <c r="Z1220" s="5"/>
      <c r="AA1220" s="5"/>
      <c r="AB1220" s="5"/>
      <c r="AC1220" s="5"/>
      <c r="AD1220" s="5"/>
      <c r="AE1220" s="5"/>
      <c r="AF1220" s="5"/>
      <c r="AG1220" s="5"/>
    </row>
    <row r="1221" ht="15.75" customHeight="1">
      <c r="K1221" t="s">
        <v>2079</v>
      </c>
      <c r="L1221" t="str">
        <f t="shared" ref="L1221:L1222" si="21">L94</f>
        <v>H1a1a4b3b1a5~</v>
      </c>
      <c r="N1221" t="s">
        <v>2080</v>
      </c>
      <c r="O1221">
        <v>8191572.0</v>
      </c>
      <c r="P1221">
        <v>8323531.0</v>
      </c>
      <c r="Q1221" t="s">
        <v>423</v>
      </c>
      <c r="R1221" s="5"/>
      <c r="S1221" s="5"/>
      <c r="T1221" s="5"/>
      <c r="U1221" s="5"/>
      <c r="V1221" s="5"/>
      <c r="W1221" s="5"/>
      <c r="X1221" s="5"/>
      <c r="Y1221" s="5"/>
      <c r="Z1221" s="5"/>
      <c r="AA1221" s="5"/>
      <c r="AB1221" s="5"/>
      <c r="AC1221" s="5"/>
      <c r="AD1221" s="5"/>
      <c r="AE1221" s="5"/>
      <c r="AF1221" s="5"/>
      <c r="AG1221" s="5"/>
    </row>
    <row r="1222" ht="15.75" customHeight="1">
      <c r="K1222" t="s">
        <v>2081</v>
      </c>
      <c r="L1222" t="str">
        <f t="shared" si="21"/>
        <v>H1a1a4b3b1a6~</v>
      </c>
      <c r="O1222">
        <v>1.8621648E7</v>
      </c>
      <c r="P1222">
        <v>1.6509768E7</v>
      </c>
      <c r="Q1222" t="s">
        <v>435</v>
      </c>
      <c r="R1222" s="5"/>
      <c r="S1222" s="5"/>
      <c r="T1222" s="5"/>
      <c r="U1222" s="5"/>
      <c r="V1222" s="5"/>
      <c r="W1222" s="5"/>
      <c r="X1222" s="5"/>
      <c r="Y1222" s="5"/>
      <c r="Z1222" s="5"/>
      <c r="AA1222" s="5"/>
      <c r="AB1222" s="5"/>
      <c r="AC1222" s="5"/>
      <c r="AD1222" s="5"/>
      <c r="AE1222" s="5"/>
      <c r="AF1222" s="5"/>
      <c r="AG1222" s="5"/>
    </row>
    <row r="1223" ht="15.75" customHeight="1">
      <c r="K1223" t="s">
        <v>2082</v>
      </c>
      <c r="L1223" t="str">
        <f>L95</f>
        <v>H1a1a4b3b1a6~</v>
      </c>
      <c r="N1223" t="s">
        <v>2083</v>
      </c>
      <c r="O1223">
        <v>2.1139347E7</v>
      </c>
      <c r="P1223">
        <v>1.8977461E7</v>
      </c>
      <c r="Q1223" t="s">
        <v>419</v>
      </c>
      <c r="R1223" s="5"/>
      <c r="S1223" s="5"/>
      <c r="T1223" s="5"/>
      <c r="U1223" s="5"/>
      <c r="V1223" s="5"/>
      <c r="W1223" s="5"/>
      <c r="X1223" s="5"/>
      <c r="Y1223" s="5"/>
      <c r="Z1223" s="5"/>
      <c r="AA1223" s="5"/>
      <c r="AB1223" s="5"/>
      <c r="AC1223" s="5"/>
      <c r="AD1223" s="5"/>
      <c r="AE1223" s="5"/>
      <c r="AF1223" s="5"/>
      <c r="AG1223" s="5"/>
    </row>
    <row r="1224" ht="15.75" customHeight="1">
      <c r="K1224" t="s">
        <v>2084</v>
      </c>
      <c r="L1224" t="str">
        <f>L95</f>
        <v>H1a1a4b3b1a6~</v>
      </c>
      <c r="O1224">
        <v>2760918.0</v>
      </c>
      <c r="P1224">
        <v>2892877.0</v>
      </c>
      <c r="Q1224" t="s">
        <v>525</v>
      </c>
      <c r="R1224" s="5"/>
      <c r="S1224" s="5"/>
      <c r="T1224" s="5"/>
      <c r="U1224" s="5"/>
      <c r="V1224" s="5"/>
      <c r="W1224" s="5"/>
      <c r="X1224" s="5"/>
      <c r="Y1224" s="5"/>
      <c r="Z1224" s="5"/>
      <c r="AA1224" s="5"/>
      <c r="AB1224" s="5"/>
      <c r="AC1224" s="5"/>
      <c r="AD1224" s="5"/>
      <c r="AE1224" s="5"/>
      <c r="AF1224" s="5"/>
      <c r="AG1224" s="5"/>
    </row>
    <row r="1225" ht="15.75" customHeight="1">
      <c r="K1225" t="s">
        <v>2085</v>
      </c>
      <c r="L1225" t="str">
        <f>L95</f>
        <v>H1a1a4b3b1a6~</v>
      </c>
      <c r="O1225">
        <v>6672222.0</v>
      </c>
      <c r="P1225">
        <v>6804181.0</v>
      </c>
      <c r="Q1225" t="s">
        <v>448</v>
      </c>
      <c r="R1225" s="5"/>
      <c r="S1225" s="5"/>
      <c r="T1225" s="5"/>
      <c r="U1225" s="5"/>
      <c r="V1225" s="5"/>
      <c r="W1225" s="5"/>
      <c r="X1225" s="5"/>
      <c r="Y1225" s="5"/>
      <c r="Z1225" s="5"/>
      <c r="AA1225" s="5"/>
      <c r="AB1225" s="5"/>
      <c r="AC1225" s="5"/>
      <c r="AD1225" s="5"/>
      <c r="AE1225" s="5"/>
      <c r="AF1225" s="5"/>
      <c r="AG1225" s="5"/>
    </row>
    <row r="1226" ht="15.75" customHeight="1">
      <c r="K1226" t="s">
        <v>2086</v>
      </c>
      <c r="L1226" t="str">
        <f t="shared" ref="L1226:L1227" si="22">L95</f>
        <v>H1a1a4b3b1a6~</v>
      </c>
      <c r="N1226" t="s">
        <v>2087</v>
      </c>
      <c r="O1226">
        <v>8324003.0</v>
      </c>
      <c r="P1226">
        <v>8455962.0</v>
      </c>
      <c r="Q1226" t="s">
        <v>435</v>
      </c>
      <c r="R1226" s="5"/>
      <c r="S1226" s="5"/>
      <c r="T1226" s="5"/>
      <c r="U1226" s="5"/>
      <c r="V1226" s="5"/>
      <c r="W1226" s="5"/>
      <c r="X1226" s="5"/>
      <c r="Y1226" s="5"/>
      <c r="Z1226" s="5"/>
      <c r="AA1226" s="5"/>
      <c r="AB1226" s="5"/>
      <c r="AC1226" s="5"/>
      <c r="AD1226" s="5"/>
      <c r="AE1226" s="5"/>
      <c r="AF1226" s="5"/>
      <c r="AG1226" s="5"/>
    </row>
    <row r="1227" ht="15.75" customHeight="1">
      <c r="K1227" t="s">
        <v>2088</v>
      </c>
      <c r="L1227" t="str">
        <f t="shared" si="22"/>
        <v>H1a1a4b3b1a7~</v>
      </c>
      <c r="M1227" t="s">
        <v>2089</v>
      </c>
      <c r="N1227" t="s">
        <v>2090</v>
      </c>
      <c r="O1227">
        <v>1.4462644E7</v>
      </c>
      <c r="P1227">
        <v>1.2341917E7</v>
      </c>
      <c r="Q1227" t="s">
        <v>423</v>
      </c>
      <c r="R1227" s="5"/>
      <c r="S1227" s="5"/>
      <c r="T1227" s="5"/>
      <c r="U1227" s="5"/>
      <c r="V1227" s="5"/>
      <c r="W1227" s="5"/>
      <c r="X1227" s="5"/>
      <c r="Y1227" s="5"/>
      <c r="Z1227" s="5"/>
      <c r="AA1227" s="5"/>
      <c r="AB1227" s="5"/>
      <c r="AC1227" s="5"/>
      <c r="AD1227" s="5"/>
      <c r="AE1227" s="5"/>
      <c r="AF1227" s="5"/>
      <c r="AG1227" s="5"/>
    </row>
    <row r="1228" ht="15.75" customHeight="1">
      <c r="K1228" t="s">
        <v>2089</v>
      </c>
      <c r="L1228" t="str">
        <f>L96</f>
        <v>H1a1a4b3b1a7~</v>
      </c>
      <c r="M1228" t="s">
        <v>2088</v>
      </c>
      <c r="N1228" t="s">
        <v>2090</v>
      </c>
      <c r="O1228">
        <v>1.4462644E7</v>
      </c>
      <c r="P1228">
        <v>1.2341917E7</v>
      </c>
      <c r="Q1228" t="s">
        <v>423</v>
      </c>
      <c r="R1228" s="5"/>
      <c r="S1228" s="5"/>
      <c r="T1228" s="5"/>
      <c r="U1228" s="5"/>
      <c r="V1228" s="5"/>
      <c r="W1228" s="5"/>
      <c r="X1228" s="5"/>
      <c r="Y1228" s="5"/>
      <c r="Z1228" s="5"/>
      <c r="AA1228" s="5"/>
      <c r="AB1228" s="5"/>
      <c r="AC1228" s="5"/>
      <c r="AD1228" s="5"/>
      <c r="AE1228" s="5"/>
      <c r="AF1228" s="5"/>
      <c r="AG1228" s="5"/>
    </row>
    <row r="1229" ht="15.75" customHeight="1">
      <c r="K1229" s="67" t="s">
        <v>2091</v>
      </c>
      <c r="L1229" s="68" t="str">
        <f>L96</f>
        <v>H1a1a4b3b1a7~</v>
      </c>
      <c r="M1229" s="67" t="s">
        <v>2092</v>
      </c>
      <c r="N1229" t="s">
        <v>2093</v>
      </c>
      <c r="O1229">
        <v>1.5039955E7</v>
      </c>
      <c r="P1229">
        <v>1.2928045E7</v>
      </c>
      <c r="Q1229" t="s">
        <v>419</v>
      </c>
      <c r="R1229" s="5"/>
      <c r="S1229" s="5"/>
      <c r="T1229" s="5"/>
      <c r="U1229" s="5"/>
      <c r="V1229" s="5"/>
      <c r="W1229" s="5"/>
      <c r="X1229" s="5"/>
      <c r="Y1229" s="5"/>
      <c r="Z1229" s="5"/>
      <c r="AA1229" s="5"/>
      <c r="AB1229" s="5"/>
      <c r="AC1229" s="5"/>
      <c r="AD1229" s="5"/>
      <c r="AE1229" s="5"/>
      <c r="AF1229" s="5"/>
      <c r="AG1229" s="5"/>
    </row>
    <row r="1230" ht="15.75" customHeight="1">
      <c r="K1230" s="67" t="s">
        <v>2092</v>
      </c>
      <c r="L1230" s="68" t="str">
        <f>L96</f>
        <v>H1a1a4b3b1a7~</v>
      </c>
      <c r="M1230" s="67" t="s">
        <v>2091</v>
      </c>
      <c r="N1230" t="s">
        <v>2093</v>
      </c>
      <c r="O1230">
        <v>1.5039955E7</v>
      </c>
      <c r="P1230">
        <v>1.2928045E7</v>
      </c>
      <c r="Q1230" t="s">
        <v>419</v>
      </c>
      <c r="R1230" s="5"/>
      <c r="S1230" s="5"/>
      <c r="T1230" s="5"/>
      <c r="U1230" s="5"/>
      <c r="V1230" s="5"/>
      <c r="W1230" s="5"/>
      <c r="X1230" s="5"/>
      <c r="Y1230" s="5"/>
      <c r="Z1230" s="5"/>
      <c r="AA1230" s="5"/>
      <c r="AB1230" s="5"/>
      <c r="AC1230" s="5"/>
      <c r="AD1230" s="5"/>
      <c r="AE1230" s="5"/>
      <c r="AF1230" s="5"/>
      <c r="AG1230" s="5"/>
    </row>
    <row r="1231" ht="15.75" customHeight="1">
      <c r="K1231" s="68" t="s">
        <v>2094</v>
      </c>
      <c r="L1231" s="68" t="str">
        <f>L96</f>
        <v>H1a1a4b3b1a7~</v>
      </c>
      <c r="M1231" s="68"/>
      <c r="N1231" s="68"/>
      <c r="O1231" s="68">
        <v>2672928.0</v>
      </c>
      <c r="P1231">
        <v>2804887.0</v>
      </c>
      <c r="Q1231" t="s">
        <v>423</v>
      </c>
      <c r="R1231" s="5"/>
      <c r="S1231" s="5"/>
      <c r="T1231" s="5"/>
      <c r="U1231" s="5"/>
      <c r="V1231" s="5"/>
      <c r="W1231" s="5"/>
      <c r="X1231" s="5"/>
      <c r="Y1231" s="5"/>
      <c r="Z1231" s="5"/>
      <c r="AA1231" s="5"/>
      <c r="AB1231" s="5"/>
      <c r="AC1231" s="5"/>
      <c r="AD1231" s="5"/>
      <c r="AE1231" s="5"/>
      <c r="AF1231" s="5"/>
      <c r="AG1231" s="5"/>
    </row>
    <row r="1232" ht="15.75" customHeight="1">
      <c r="K1232" s="68" t="s">
        <v>2095</v>
      </c>
      <c r="L1232" s="68" t="str">
        <f>L96</f>
        <v>H1a1a4b3b1a7~</v>
      </c>
      <c r="M1232" s="68"/>
      <c r="N1232" s="68" t="s">
        <v>2096</v>
      </c>
      <c r="O1232" s="68">
        <v>2720475.0</v>
      </c>
      <c r="P1232">
        <v>2852434.0</v>
      </c>
      <c r="Q1232" t="s">
        <v>525</v>
      </c>
      <c r="R1232" s="5"/>
      <c r="S1232" s="5"/>
      <c r="T1232" s="5"/>
      <c r="U1232" s="5"/>
      <c r="V1232" s="5"/>
      <c r="W1232" s="5"/>
      <c r="X1232" s="5"/>
      <c r="Y1232" s="5"/>
      <c r="Z1232" s="5"/>
      <c r="AA1232" s="5"/>
      <c r="AB1232" s="5"/>
      <c r="AC1232" s="5"/>
      <c r="AD1232" s="5"/>
      <c r="AE1232" s="5"/>
      <c r="AF1232" s="5"/>
      <c r="AG1232" s="5"/>
    </row>
    <row r="1233" ht="15.75" customHeight="1">
      <c r="K1233" t="s">
        <v>2097</v>
      </c>
      <c r="L1233" t="str">
        <f t="shared" ref="L1233:L1234" si="23">L96</f>
        <v>H1a1a4b3b1a7~</v>
      </c>
      <c r="O1233">
        <v>6805352.0</v>
      </c>
      <c r="P1233">
        <v>6937311.0</v>
      </c>
      <c r="Q1233" t="s">
        <v>419</v>
      </c>
      <c r="R1233" s="5"/>
      <c r="S1233" s="5"/>
      <c r="T1233" s="5"/>
      <c r="U1233" s="5"/>
      <c r="V1233" s="5"/>
      <c r="W1233" s="5"/>
      <c r="X1233" s="5"/>
      <c r="Y1233" s="5"/>
      <c r="Z1233" s="5"/>
      <c r="AA1233" s="5"/>
      <c r="AB1233" s="5"/>
      <c r="AC1233" s="5"/>
      <c r="AD1233" s="5"/>
      <c r="AE1233" s="5"/>
      <c r="AF1233" s="5"/>
      <c r="AG1233" s="5"/>
    </row>
    <row r="1234" ht="15.75" customHeight="1">
      <c r="K1234" t="s">
        <v>2098</v>
      </c>
      <c r="L1234" t="str">
        <f t="shared" si="23"/>
        <v>H1a1a4b3b1a8~</v>
      </c>
      <c r="N1234" t="s">
        <v>2099</v>
      </c>
      <c r="O1234">
        <v>2871119.0</v>
      </c>
      <c r="P1234">
        <v>3003078.0</v>
      </c>
      <c r="Q1234" t="s">
        <v>423</v>
      </c>
      <c r="R1234" s="5"/>
      <c r="S1234" s="5"/>
      <c r="T1234" s="5"/>
      <c r="U1234" s="5"/>
      <c r="V1234" s="5"/>
      <c r="W1234" s="5"/>
      <c r="X1234" s="5"/>
      <c r="Y1234" s="5"/>
      <c r="Z1234" s="5"/>
      <c r="AA1234" s="5"/>
      <c r="AB1234" s="5"/>
      <c r="AC1234" s="5"/>
      <c r="AD1234" s="5"/>
      <c r="AE1234" s="5"/>
      <c r="AF1234" s="5"/>
      <c r="AG1234" s="5"/>
    </row>
    <row r="1235" ht="15.75" customHeight="1">
      <c r="K1235" t="s">
        <v>2100</v>
      </c>
      <c r="L1235" t="str">
        <f>L97</f>
        <v>H1a1a4b3b1a8~</v>
      </c>
      <c r="N1235" t="s">
        <v>2101</v>
      </c>
      <c r="O1235">
        <v>8241407.0</v>
      </c>
      <c r="P1235">
        <v>8373366.0</v>
      </c>
      <c r="Q1235" t="s">
        <v>452</v>
      </c>
      <c r="R1235" s="5"/>
      <c r="S1235" s="5"/>
      <c r="T1235" s="5"/>
      <c r="U1235" s="5"/>
      <c r="V1235" s="5"/>
      <c r="W1235" s="5"/>
      <c r="X1235" s="5"/>
      <c r="Y1235" s="5"/>
      <c r="Z1235" s="5"/>
      <c r="AA1235" s="5"/>
      <c r="AB1235" s="5"/>
      <c r="AC1235" s="5"/>
      <c r="AD1235" s="5"/>
      <c r="AE1235" s="5"/>
      <c r="AF1235" s="5"/>
      <c r="AG1235" s="5"/>
    </row>
    <row r="1236" ht="15.75" customHeight="1">
      <c r="K1236" t="s">
        <v>2102</v>
      </c>
      <c r="L1236" t="str">
        <f>L97</f>
        <v>H1a1a4b3b1a8~</v>
      </c>
      <c r="N1236" t="s">
        <v>2103</v>
      </c>
      <c r="O1236">
        <v>8280465.0</v>
      </c>
      <c r="P1236">
        <v>8412424.0</v>
      </c>
      <c r="Q1236" t="s">
        <v>431</v>
      </c>
      <c r="R1236" s="5"/>
      <c r="S1236" s="5"/>
      <c r="T1236" s="5"/>
      <c r="U1236" s="5"/>
      <c r="V1236" s="5"/>
      <c r="W1236" s="5"/>
      <c r="X1236" s="5"/>
      <c r="Y1236" s="5"/>
      <c r="Z1236" s="5"/>
      <c r="AA1236" s="5"/>
      <c r="AB1236" s="5"/>
      <c r="AC1236" s="5"/>
      <c r="AD1236" s="5"/>
      <c r="AE1236" s="5"/>
      <c r="AF1236" s="5"/>
      <c r="AG1236" s="5"/>
    </row>
    <row r="1237" ht="15.75" customHeight="1">
      <c r="K1237" t="s">
        <v>2104</v>
      </c>
      <c r="L1237" t="str">
        <f>L97</f>
        <v>H1a1a4b3b1a8~</v>
      </c>
      <c r="N1237" t="s">
        <v>2105</v>
      </c>
      <c r="O1237">
        <v>8708722.0</v>
      </c>
      <c r="P1237">
        <v>8840681.0</v>
      </c>
      <c r="Q1237" t="s">
        <v>423</v>
      </c>
      <c r="R1237" s="5"/>
      <c r="S1237" s="5"/>
      <c r="T1237" s="5"/>
      <c r="U1237" s="5"/>
      <c r="V1237" s="5"/>
      <c r="W1237" s="5"/>
      <c r="X1237" s="5"/>
      <c r="Y1237" s="5"/>
      <c r="Z1237" s="5"/>
      <c r="AA1237" s="5"/>
      <c r="AB1237" s="5"/>
      <c r="AC1237" s="5"/>
      <c r="AD1237" s="5"/>
      <c r="AE1237" s="5"/>
      <c r="AF1237" s="5"/>
      <c r="AG1237" s="5"/>
    </row>
    <row r="1238" ht="15.75" customHeight="1">
      <c r="K1238" t="s">
        <v>2106</v>
      </c>
      <c r="L1238" t="str">
        <f t="shared" ref="L1238:L1239" si="24">L97</f>
        <v>H1a1a4b3b1a8~</v>
      </c>
      <c r="N1238" t="s">
        <v>2107</v>
      </c>
      <c r="O1238">
        <v>8725529.0</v>
      </c>
      <c r="P1238">
        <v>8857488.0</v>
      </c>
      <c r="Q1238" t="s">
        <v>431</v>
      </c>
      <c r="R1238" s="5"/>
      <c r="S1238" s="5"/>
      <c r="T1238" s="5"/>
      <c r="U1238" s="5"/>
      <c r="V1238" s="5"/>
      <c r="W1238" s="5"/>
      <c r="X1238" s="5"/>
      <c r="Y1238" s="5"/>
      <c r="Z1238" s="5"/>
      <c r="AA1238" s="5"/>
      <c r="AB1238" s="5"/>
      <c r="AC1238" s="5"/>
      <c r="AD1238" s="5"/>
      <c r="AE1238" s="5"/>
      <c r="AF1238" s="5"/>
      <c r="AG1238" s="5"/>
    </row>
    <row r="1239" ht="15.75" customHeight="1">
      <c r="K1239" t="s">
        <v>2108</v>
      </c>
      <c r="L1239" t="str">
        <f t="shared" si="24"/>
        <v>H1a1a4b3b1a9~</v>
      </c>
      <c r="O1239">
        <v>2.2946535E7</v>
      </c>
      <c r="P1239">
        <v>2.0784649E7</v>
      </c>
      <c r="Q1239" t="s">
        <v>419</v>
      </c>
      <c r="R1239" s="5"/>
      <c r="S1239" s="5"/>
      <c r="T1239" s="5"/>
      <c r="U1239" s="5"/>
      <c r="V1239" s="5"/>
      <c r="W1239" s="5"/>
      <c r="X1239" s="5"/>
      <c r="Y1239" s="5"/>
      <c r="Z1239" s="5"/>
      <c r="AA1239" s="5"/>
      <c r="AB1239" s="5"/>
      <c r="AC1239" s="5"/>
      <c r="AD1239" s="5"/>
      <c r="AE1239" s="5"/>
      <c r="AF1239" s="5"/>
      <c r="AG1239" s="5"/>
    </row>
    <row r="1240" ht="15.75" customHeight="1">
      <c r="K1240" t="s">
        <v>2109</v>
      </c>
      <c r="L1240" t="str">
        <f>L98</f>
        <v>H1a1a4b3b1a9~</v>
      </c>
      <c r="N1240" t="s">
        <v>2110</v>
      </c>
      <c r="O1240">
        <v>2.2965997E7</v>
      </c>
      <c r="P1240">
        <v>2.0804111E7</v>
      </c>
      <c r="Q1240" t="s">
        <v>423</v>
      </c>
      <c r="R1240" s="5"/>
      <c r="S1240" s="5"/>
      <c r="T1240" s="5"/>
      <c r="U1240" s="5"/>
      <c r="V1240" s="5"/>
      <c r="W1240" s="5"/>
      <c r="X1240" s="5"/>
      <c r="Y1240" s="5"/>
      <c r="Z1240" s="5"/>
      <c r="AA1240" s="5"/>
      <c r="AB1240" s="5"/>
      <c r="AC1240" s="5"/>
      <c r="AD1240" s="5"/>
      <c r="AE1240" s="5"/>
      <c r="AF1240" s="5"/>
      <c r="AG1240" s="5"/>
    </row>
    <row r="1241" ht="15.75" customHeight="1">
      <c r="K1241" t="s">
        <v>2111</v>
      </c>
      <c r="L1241" t="str">
        <f>L98</f>
        <v>H1a1a4b3b1a9~</v>
      </c>
      <c r="N1241" t="s">
        <v>2112</v>
      </c>
      <c r="O1241">
        <v>2847332.0</v>
      </c>
      <c r="P1241">
        <v>2979291.0</v>
      </c>
      <c r="Q1241" t="s">
        <v>419</v>
      </c>
      <c r="R1241" s="5"/>
      <c r="S1241" s="5"/>
      <c r="T1241" s="5"/>
      <c r="U1241" s="5"/>
      <c r="V1241" s="5"/>
      <c r="W1241" s="5"/>
      <c r="X1241" s="5"/>
      <c r="Y1241" s="5"/>
      <c r="Z1241" s="5"/>
      <c r="AA1241" s="5"/>
      <c r="AB1241" s="5"/>
      <c r="AC1241" s="5"/>
      <c r="AD1241" s="5"/>
      <c r="AE1241" s="5"/>
      <c r="AF1241" s="5"/>
      <c r="AG1241" s="5"/>
    </row>
    <row r="1242" ht="15.75" customHeight="1">
      <c r="K1242" t="s">
        <v>2113</v>
      </c>
      <c r="L1242" t="str">
        <f>L98</f>
        <v>H1a1a4b3b1a9~</v>
      </c>
      <c r="N1242" t="s">
        <v>2114</v>
      </c>
      <c r="O1242">
        <v>7049317.0</v>
      </c>
      <c r="P1242">
        <v>7181276.0</v>
      </c>
      <c r="Q1242" t="s">
        <v>419</v>
      </c>
      <c r="R1242" s="5"/>
      <c r="S1242" s="5"/>
      <c r="T1242" s="5"/>
      <c r="U1242" s="5"/>
      <c r="V1242" s="5"/>
      <c r="W1242" s="5"/>
      <c r="X1242" s="5"/>
      <c r="Y1242" s="5"/>
      <c r="Z1242" s="5"/>
      <c r="AA1242" s="5"/>
      <c r="AB1242" s="5"/>
      <c r="AC1242" s="5"/>
      <c r="AD1242" s="5"/>
      <c r="AE1242" s="5"/>
      <c r="AF1242" s="5"/>
      <c r="AG1242" s="5"/>
    </row>
    <row r="1243" ht="15.75" customHeight="1">
      <c r="K1243" t="s">
        <v>2115</v>
      </c>
      <c r="L1243" t="str">
        <f t="shared" ref="L1243:L1244" si="25">L98</f>
        <v>H1a1a4b3b1a9~</v>
      </c>
      <c r="N1243" t="s">
        <v>2116</v>
      </c>
      <c r="O1243">
        <v>7526410.0</v>
      </c>
      <c r="P1243">
        <v>7658369.0</v>
      </c>
      <c r="Q1243" t="s">
        <v>419</v>
      </c>
      <c r="R1243" s="5"/>
      <c r="S1243" s="5"/>
      <c r="T1243" s="5"/>
      <c r="U1243" s="5"/>
      <c r="V1243" s="5"/>
      <c r="W1243" s="5"/>
      <c r="X1243" s="5"/>
      <c r="Y1243" s="5"/>
      <c r="Z1243" s="5"/>
      <c r="AA1243" s="5"/>
      <c r="AB1243" s="5"/>
      <c r="AC1243" s="5"/>
      <c r="AD1243" s="5"/>
      <c r="AE1243" s="5"/>
      <c r="AF1243" s="5"/>
      <c r="AG1243" s="5"/>
    </row>
    <row r="1244" ht="15.75" customHeight="1">
      <c r="K1244" t="s">
        <v>2117</v>
      </c>
      <c r="L1244" t="str">
        <f t="shared" si="25"/>
        <v>H1a1a4b3b1a10~</v>
      </c>
      <c r="N1244" t="s">
        <v>2118</v>
      </c>
      <c r="O1244">
        <v>7557715.0</v>
      </c>
      <c r="P1244">
        <v>7689674.0</v>
      </c>
      <c r="Q1244" t="s">
        <v>431</v>
      </c>
      <c r="R1244" s="5"/>
      <c r="S1244" s="5"/>
      <c r="T1244" s="5"/>
      <c r="U1244" s="5"/>
      <c r="V1244" s="5"/>
      <c r="W1244" s="5"/>
      <c r="X1244" s="5"/>
      <c r="Y1244" s="5"/>
      <c r="Z1244" s="5"/>
      <c r="AA1244" s="5"/>
      <c r="AB1244" s="5"/>
      <c r="AC1244" s="5"/>
      <c r="AD1244" s="5"/>
      <c r="AE1244" s="5"/>
      <c r="AF1244" s="5"/>
      <c r="AG1244" s="5"/>
    </row>
    <row r="1245" ht="15.75" customHeight="1">
      <c r="K1245" t="s">
        <v>2119</v>
      </c>
      <c r="L1245" t="str">
        <f>L99</f>
        <v>H1a1a4b3b1a10~</v>
      </c>
      <c r="N1245" t="s">
        <v>2120</v>
      </c>
      <c r="O1245">
        <v>6719354.0</v>
      </c>
      <c r="P1245">
        <v>6851313.0</v>
      </c>
      <c r="Q1245" t="s">
        <v>435</v>
      </c>
      <c r="R1245" s="5"/>
      <c r="S1245" s="5"/>
      <c r="T1245" s="5"/>
      <c r="U1245" s="5"/>
      <c r="V1245" s="5"/>
      <c r="W1245" s="5"/>
      <c r="X1245" s="5"/>
      <c r="Y1245" s="5"/>
      <c r="Z1245" s="5"/>
      <c r="AA1245" s="5"/>
      <c r="AB1245" s="5"/>
      <c r="AC1245" s="5"/>
      <c r="AD1245" s="5"/>
      <c r="AE1245" s="5"/>
      <c r="AF1245" s="5"/>
      <c r="AG1245" s="5"/>
    </row>
    <row r="1246" ht="15.75" customHeight="1">
      <c r="K1246" t="s">
        <v>2121</v>
      </c>
      <c r="L1246" t="str">
        <f>L99</f>
        <v>H1a1a4b3b1a10~</v>
      </c>
      <c r="N1246" t="s">
        <v>2122</v>
      </c>
      <c r="O1246">
        <v>6762109.0</v>
      </c>
      <c r="P1246">
        <v>6894068.0</v>
      </c>
      <c r="Q1246" t="s">
        <v>525</v>
      </c>
      <c r="R1246" s="5"/>
      <c r="S1246" s="5"/>
      <c r="T1246" s="5"/>
      <c r="U1246" s="5"/>
      <c r="V1246" s="5"/>
      <c r="W1246" s="5"/>
      <c r="X1246" s="5"/>
      <c r="Y1246" s="5"/>
      <c r="Z1246" s="5"/>
      <c r="AA1246" s="5"/>
      <c r="AB1246" s="5"/>
      <c r="AC1246" s="5"/>
      <c r="AD1246" s="5"/>
      <c r="AE1246" s="5"/>
      <c r="AF1246" s="5"/>
      <c r="AG1246" s="5"/>
    </row>
    <row r="1247" ht="15.75" customHeight="1">
      <c r="K1247" t="s">
        <v>2123</v>
      </c>
      <c r="L1247" t="str">
        <f>L99</f>
        <v>H1a1a4b3b1a10~</v>
      </c>
      <c r="N1247" t="s">
        <v>2124</v>
      </c>
      <c r="O1247">
        <v>7680853.0</v>
      </c>
      <c r="P1247">
        <v>7812812.0</v>
      </c>
      <c r="Q1247" t="s">
        <v>431</v>
      </c>
      <c r="R1247" s="5"/>
      <c r="S1247" s="5"/>
      <c r="T1247" s="5"/>
      <c r="U1247" s="5"/>
      <c r="V1247" s="5"/>
      <c r="W1247" s="5"/>
      <c r="X1247" s="5"/>
      <c r="Y1247" s="5"/>
      <c r="Z1247" s="5"/>
      <c r="AA1247" s="5"/>
      <c r="AB1247" s="5"/>
      <c r="AC1247" s="5"/>
      <c r="AD1247" s="5"/>
      <c r="AE1247" s="5"/>
      <c r="AF1247" s="5"/>
      <c r="AG1247" s="5"/>
    </row>
    <row r="1248" ht="15.75" customHeight="1">
      <c r="K1248" t="s">
        <v>2125</v>
      </c>
      <c r="L1248" t="str">
        <f t="shared" ref="L1248:L1249" si="26">L99</f>
        <v>H1a1a4b3b1a10~</v>
      </c>
      <c r="N1248" t="s">
        <v>2126</v>
      </c>
      <c r="O1248">
        <v>7702262.0</v>
      </c>
      <c r="P1248">
        <v>7834221.0</v>
      </c>
      <c r="Q1248" t="s">
        <v>435</v>
      </c>
      <c r="R1248" s="5"/>
      <c r="S1248" s="5"/>
      <c r="T1248" s="5"/>
      <c r="U1248" s="5"/>
      <c r="V1248" s="5"/>
      <c r="W1248" s="5"/>
      <c r="X1248" s="5"/>
      <c r="Y1248" s="5"/>
      <c r="Z1248" s="5"/>
      <c r="AA1248" s="5"/>
      <c r="AB1248" s="5"/>
      <c r="AC1248" s="5"/>
      <c r="AD1248" s="5"/>
      <c r="AE1248" s="5"/>
      <c r="AF1248" s="5"/>
      <c r="AG1248" s="5"/>
    </row>
    <row r="1249" ht="15.75" customHeight="1">
      <c r="K1249" t="s">
        <v>2127</v>
      </c>
      <c r="L1249" t="str">
        <f t="shared" si="26"/>
        <v>H1a1a4b3b1a11~</v>
      </c>
      <c r="O1249">
        <v>2666213.0</v>
      </c>
      <c r="P1249">
        <v>2798172.0</v>
      </c>
      <c r="Q1249" t="s">
        <v>423</v>
      </c>
      <c r="R1249" s="5"/>
      <c r="S1249" s="5"/>
      <c r="T1249" s="5"/>
      <c r="U1249" s="5"/>
      <c r="V1249" s="5"/>
      <c r="W1249" s="5"/>
      <c r="X1249" s="5"/>
      <c r="Y1249" s="5"/>
      <c r="Z1249" s="5"/>
      <c r="AA1249" s="5"/>
      <c r="AB1249" s="5"/>
      <c r="AC1249" s="5"/>
      <c r="AD1249" s="5"/>
      <c r="AE1249" s="5"/>
      <c r="AF1249" s="5"/>
      <c r="AG1249" s="5"/>
    </row>
    <row r="1250" ht="15.75" customHeight="1">
      <c r="K1250" t="s">
        <v>2128</v>
      </c>
      <c r="L1250" t="str">
        <f>L100</f>
        <v>H1a1a4b3b1a11~</v>
      </c>
      <c r="O1250">
        <v>2692629.0</v>
      </c>
      <c r="P1250">
        <v>2824588.0</v>
      </c>
      <c r="Q1250" t="s">
        <v>419</v>
      </c>
      <c r="R1250" s="5"/>
      <c r="S1250" s="5"/>
      <c r="T1250" s="5"/>
      <c r="U1250" s="5"/>
      <c r="V1250" s="5"/>
      <c r="W1250" s="5"/>
      <c r="X1250" s="5"/>
      <c r="Y1250" s="5"/>
      <c r="Z1250" s="5"/>
      <c r="AA1250" s="5"/>
      <c r="AB1250" s="5"/>
      <c r="AC1250" s="5"/>
      <c r="AD1250" s="5"/>
      <c r="AE1250" s="5"/>
      <c r="AF1250" s="5"/>
      <c r="AG1250" s="5"/>
    </row>
    <row r="1251" ht="15.75" customHeight="1">
      <c r="K1251" t="s">
        <v>2129</v>
      </c>
      <c r="L1251" t="str">
        <f>L100</f>
        <v>H1a1a4b3b1a11~</v>
      </c>
      <c r="O1251">
        <v>6848394.0</v>
      </c>
      <c r="P1251">
        <v>6980353.0</v>
      </c>
      <c r="Q1251" t="s">
        <v>423</v>
      </c>
      <c r="R1251" s="5"/>
      <c r="S1251" s="5"/>
      <c r="T1251" s="5"/>
      <c r="U1251" s="5"/>
      <c r="V1251" s="5"/>
      <c r="W1251" s="5"/>
      <c r="X1251" s="5"/>
      <c r="Y1251" s="5"/>
      <c r="Z1251" s="5"/>
      <c r="AA1251" s="5"/>
      <c r="AB1251" s="5"/>
      <c r="AC1251" s="5"/>
      <c r="AD1251" s="5"/>
      <c r="AE1251" s="5"/>
      <c r="AF1251" s="5"/>
      <c r="AG1251" s="5"/>
    </row>
    <row r="1252" ht="15.75" customHeight="1">
      <c r="K1252" t="s">
        <v>2130</v>
      </c>
      <c r="L1252" t="str">
        <f>L100</f>
        <v>H1a1a4b3b1a11~</v>
      </c>
      <c r="O1252">
        <v>7029061.0</v>
      </c>
      <c r="P1252">
        <v>7161020.0</v>
      </c>
      <c r="Q1252" t="s">
        <v>435</v>
      </c>
      <c r="R1252" s="5"/>
      <c r="S1252" s="5"/>
      <c r="T1252" s="5"/>
      <c r="U1252" s="5"/>
      <c r="V1252" s="5"/>
      <c r="W1252" s="5"/>
      <c r="X1252" s="5"/>
      <c r="Y1252" s="5"/>
      <c r="Z1252" s="5"/>
      <c r="AA1252" s="5"/>
      <c r="AB1252" s="5"/>
      <c r="AC1252" s="5"/>
      <c r="AD1252" s="5"/>
      <c r="AE1252" s="5"/>
      <c r="AF1252" s="5"/>
      <c r="AG1252" s="5"/>
    </row>
    <row r="1253" ht="15.75" customHeight="1">
      <c r="K1253" t="s">
        <v>2131</v>
      </c>
      <c r="L1253" t="str">
        <f t="shared" ref="L1253:L1254" si="27">L100</f>
        <v>H1a1a4b3b1a11~</v>
      </c>
      <c r="O1253">
        <v>7069817.0</v>
      </c>
      <c r="P1253">
        <v>7201776.0</v>
      </c>
      <c r="Q1253" t="s">
        <v>427</v>
      </c>
      <c r="R1253" s="5"/>
      <c r="S1253" s="5"/>
      <c r="T1253" s="5"/>
      <c r="U1253" s="5"/>
      <c r="V1253" s="5"/>
      <c r="W1253" s="5"/>
      <c r="X1253" s="5"/>
      <c r="Y1253" s="5"/>
      <c r="Z1253" s="5"/>
      <c r="AA1253" s="5"/>
      <c r="AB1253" s="5"/>
      <c r="AC1253" s="5"/>
      <c r="AD1253" s="5"/>
      <c r="AE1253" s="5"/>
      <c r="AF1253" s="5"/>
      <c r="AG1253" s="5"/>
    </row>
    <row r="1254" ht="15.75" customHeight="1">
      <c r="K1254" t="s">
        <v>2132</v>
      </c>
      <c r="L1254" t="str">
        <f t="shared" si="27"/>
        <v>H1a1a4b3b1a12~</v>
      </c>
      <c r="O1254">
        <v>6622131.0</v>
      </c>
      <c r="P1254">
        <v>6754090.0</v>
      </c>
      <c r="Q1254" t="s">
        <v>448</v>
      </c>
      <c r="R1254" s="5"/>
      <c r="S1254" s="5"/>
      <c r="T1254" s="5"/>
      <c r="U1254" s="5"/>
      <c r="V1254" s="5"/>
      <c r="W1254" s="5"/>
      <c r="X1254" s="5"/>
      <c r="Y1254" s="5"/>
      <c r="Z1254" s="5"/>
      <c r="AA1254" s="5"/>
      <c r="AB1254" s="5"/>
      <c r="AC1254" s="5"/>
      <c r="AD1254" s="5"/>
      <c r="AE1254" s="5"/>
      <c r="AF1254" s="5"/>
      <c r="AG1254" s="5"/>
    </row>
    <row r="1255" ht="15.75" customHeight="1">
      <c r="K1255" t="s">
        <v>2133</v>
      </c>
      <c r="L1255" t="str">
        <f>L101</f>
        <v>H1a1a4b3b1a12~</v>
      </c>
      <c r="O1255">
        <v>2671688.0</v>
      </c>
      <c r="P1255">
        <v>2803647.0</v>
      </c>
      <c r="Q1255" t="s">
        <v>452</v>
      </c>
      <c r="R1255" s="5"/>
      <c r="S1255" s="5"/>
      <c r="T1255" s="5"/>
      <c r="U1255" s="5"/>
      <c r="V1255" s="5"/>
      <c r="W1255" s="5"/>
      <c r="X1255" s="5"/>
      <c r="Y1255" s="5"/>
      <c r="Z1255" s="5"/>
      <c r="AA1255" s="5"/>
      <c r="AB1255" s="5"/>
      <c r="AC1255" s="5"/>
      <c r="AD1255" s="5"/>
      <c r="AE1255" s="5"/>
      <c r="AF1255" s="5"/>
      <c r="AG1255" s="5"/>
    </row>
    <row r="1256" ht="15.75" customHeight="1">
      <c r="K1256" t="s">
        <v>2134</v>
      </c>
      <c r="L1256" t="str">
        <f>L101</f>
        <v>H1a1a4b3b1a12~</v>
      </c>
      <c r="O1256">
        <v>2892905.0</v>
      </c>
      <c r="P1256">
        <v>3024864.0</v>
      </c>
      <c r="Q1256" t="s">
        <v>473</v>
      </c>
      <c r="R1256" s="5"/>
      <c r="S1256" s="5"/>
      <c r="T1256" s="5"/>
      <c r="U1256" s="5"/>
      <c r="V1256" s="5"/>
      <c r="W1256" s="5"/>
      <c r="X1256" s="5"/>
      <c r="Y1256" s="5"/>
      <c r="Z1256" s="5"/>
      <c r="AA1256" s="5"/>
      <c r="AB1256" s="5"/>
      <c r="AC1256" s="5"/>
      <c r="AD1256" s="5"/>
      <c r="AE1256" s="5"/>
      <c r="AF1256" s="5"/>
      <c r="AG1256" s="5"/>
    </row>
    <row r="1257" ht="15.75" customHeight="1">
      <c r="K1257" t="s">
        <v>2135</v>
      </c>
      <c r="L1257" t="str">
        <f>L101</f>
        <v>H1a1a4b3b1a12~</v>
      </c>
      <c r="O1257">
        <v>6622107.0</v>
      </c>
      <c r="P1257">
        <v>6754066.0</v>
      </c>
      <c r="Q1257" t="s">
        <v>473</v>
      </c>
      <c r="R1257" s="5"/>
      <c r="S1257" s="5"/>
      <c r="T1257" s="5"/>
      <c r="U1257" s="5"/>
      <c r="V1257" s="5"/>
      <c r="W1257" s="5"/>
      <c r="X1257" s="5"/>
      <c r="Y1257" s="5"/>
      <c r="Z1257" s="5"/>
      <c r="AA1257" s="5"/>
      <c r="AB1257" s="5"/>
      <c r="AC1257" s="5"/>
      <c r="AD1257" s="5"/>
      <c r="AE1257" s="5"/>
      <c r="AF1257" s="5"/>
      <c r="AG1257" s="5"/>
    </row>
    <row r="1258" ht="15.75" customHeight="1">
      <c r="K1258" t="s">
        <v>2136</v>
      </c>
      <c r="L1258" t="str">
        <f>L101</f>
        <v>H1a1a4b3b1a12~</v>
      </c>
      <c r="O1258">
        <v>6705574.0</v>
      </c>
      <c r="P1258">
        <v>6837533.0</v>
      </c>
      <c r="Q1258" t="s">
        <v>427</v>
      </c>
      <c r="R1258" s="5"/>
      <c r="S1258" s="5"/>
      <c r="T1258" s="5"/>
      <c r="U1258" s="5"/>
      <c r="V1258" s="5"/>
      <c r="W1258" s="5"/>
      <c r="X1258" s="5"/>
      <c r="Y1258" s="5"/>
      <c r="Z1258" s="5"/>
      <c r="AA1258" s="5"/>
      <c r="AB1258" s="5"/>
      <c r="AC1258" s="5"/>
      <c r="AD1258" s="5"/>
      <c r="AE1258" s="5"/>
      <c r="AF1258" s="5"/>
      <c r="AG1258" s="5"/>
    </row>
    <row r="1259" ht="15.75" customHeight="1">
      <c r="K1259" t="s">
        <v>2137</v>
      </c>
      <c r="L1259" t="str">
        <f>K102</f>
        <v>H1a1a4b3b1b~</v>
      </c>
      <c r="N1259" t="s">
        <v>2138</v>
      </c>
      <c r="O1259">
        <v>2724468.0</v>
      </c>
      <c r="P1259">
        <v>2856427.0</v>
      </c>
      <c r="Q1259" t="s">
        <v>423</v>
      </c>
      <c r="R1259" s="5"/>
      <c r="S1259" s="5"/>
      <c r="T1259" s="5"/>
      <c r="U1259" s="5"/>
      <c r="V1259" s="5"/>
      <c r="W1259" s="5"/>
      <c r="X1259" s="5"/>
      <c r="Y1259" s="5"/>
      <c r="Z1259" s="5"/>
      <c r="AA1259" s="5"/>
      <c r="AB1259" s="5"/>
      <c r="AC1259" s="5"/>
      <c r="AD1259" s="5"/>
      <c r="AE1259" s="5"/>
      <c r="AF1259" s="5"/>
      <c r="AG1259" s="5"/>
    </row>
    <row r="1260" ht="15.75" customHeight="1">
      <c r="K1260" t="s">
        <v>2139</v>
      </c>
      <c r="L1260" t="str">
        <f>K102</f>
        <v>H1a1a4b3b1b~</v>
      </c>
      <c r="N1260" t="s">
        <v>2140</v>
      </c>
      <c r="O1260">
        <v>6717588.0</v>
      </c>
      <c r="P1260">
        <v>6849547.0</v>
      </c>
      <c r="Q1260" t="s">
        <v>459</v>
      </c>
      <c r="R1260" s="5"/>
      <c r="S1260" s="5"/>
      <c r="T1260" s="5"/>
      <c r="U1260" s="5"/>
      <c r="V1260" s="5"/>
      <c r="W1260" s="5"/>
      <c r="X1260" s="5"/>
      <c r="Y1260" s="5"/>
      <c r="Z1260" s="5"/>
      <c r="AA1260" s="5"/>
      <c r="AB1260" s="5"/>
      <c r="AC1260" s="5"/>
      <c r="AD1260" s="5"/>
      <c r="AE1260" s="5"/>
      <c r="AF1260" s="5"/>
      <c r="AG1260" s="5"/>
    </row>
    <row r="1261" ht="15.75" customHeight="1">
      <c r="K1261" t="s">
        <v>2141</v>
      </c>
      <c r="L1261" t="str">
        <f>K102</f>
        <v>H1a1a4b3b1b~</v>
      </c>
      <c r="N1261" t="s">
        <v>2142</v>
      </c>
      <c r="O1261">
        <v>6981727.0</v>
      </c>
      <c r="P1261">
        <v>7113686.0</v>
      </c>
      <c r="Q1261" t="s">
        <v>423</v>
      </c>
      <c r="R1261" s="5"/>
      <c r="S1261" s="5"/>
      <c r="T1261" s="5"/>
      <c r="U1261" s="5"/>
      <c r="V1261" s="5"/>
      <c r="W1261" s="5"/>
      <c r="X1261" s="5"/>
      <c r="Y1261" s="5"/>
      <c r="Z1261" s="5"/>
      <c r="AA1261" s="5"/>
      <c r="AB1261" s="5"/>
      <c r="AC1261" s="5"/>
      <c r="AD1261" s="5"/>
      <c r="AE1261" s="5"/>
      <c r="AF1261" s="5"/>
      <c r="AG1261" s="5"/>
    </row>
    <row r="1262" ht="15.75" customHeight="1">
      <c r="K1262" t="s">
        <v>2143</v>
      </c>
      <c r="L1262" t="str">
        <f t="shared" ref="L1262:L1263" si="28">K102</f>
        <v>H1a1a4b3b1b~</v>
      </c>
      <c r="N1262" t="s">
        <v>2144</v>
      </c>
      <c r="O1262">
        <v>7348131.0</v>
      </c>
      <c r="P1262">
        <v>7480090.0</v>
      </c>
      <c r="Q1262" t="s">
        <v>423</v>
      </c>
      <c r="R1262" s="5"/>
      <c r="S1262" s="5"/>
      <c r="T1262" s="5"/>
      <c r="U1262" s="5"/>
      <c r="V1262" s="5"/>
      <c r="W1262" s="5"/>
      <c r="X1262" s="5"/>
      <c r="Y1262" s="5"/>
      <c r="Z1262" s="5"/>
      <c r="AA1262" s="5"/>
      <c r="AB1262" s="5"/>
      <c r="AC1262" s="5"/>
      <c r="AD1262" s="5"/>
      <c r="AE1262" s="5"/>
      <c r="AF1262" s="5"/>
      <c r="AG1262" s="5"/>
    </row>
    <row r="1263" ht="15.75" customHeight="1">
      <c r="K1263" t="s">
        <v>2145</v>
      </c>
      <c r="L1263" t="str">
        <f t="shared" si="28"/>
        <v>H1a1a4b3b1c~</v>
      </c>
      <c r="N1263" t="s">
        <v>2146</v>
      </c>
      <c r="O1263">
        <v>2.1507629E7</v>
      </c>
      <c r="P1263">
        <v>1.9345743E7</v>
      </c>
      <c r="Q1263" t="s">
        <v>419</v>
      </c>
      <c r="R1263" s="5"/>
      <c r="S1263" s="5"/>
      <c r="T1263" s="5"/>
      <c r="U1263" s="5"/>
      <c r="V1263" s="5"/>
      <c r="W1263" s="5"/>
      <c r="X1263" s="5"/>
      <c r="Y1263" s="5"/>
      <c r="Z1263" s="5"/>
      <c r="AA1263" s="5"/>
      <c r="AB1263" s="5"/>
      <c r="AC1263" s="5"/>
      <c r="AD1263" s="5"/>
      <c r="AE1263" s="5"/>
      <c r="AF1263" s="5"/>
      <c r="AG1263" s="5"/>
    </row>
    <row r="1264" ht="15.75" customHeight="1">
      <c r="K1264" t="s">
        <v>2147</v>
      </c>
      <c r="L1264" t="str">
        <f>K103</f>
        <v>H1a1a4b3b1c~</v>
      </c>
      <c r="N1264" t="s">
        <v>2148</v>
      </c>
      <c r="O1264">
        <v>2739058.0</v>
      </c>
      <c r="P1264">
        <v>2871017.0</v>
      </c>
      <c r="Q1264" t="s">
        <v>427</v>
      </c>
      <c r="R1264" s="5"/>
      <c r="S1264" s="5"/>
      <c r="T1264" s="5"/>
      <c r="U1264" s="5"/>
      <c r="V1264" s="5"/>
      <c r="W1264" s="5"/>
      <c r="X1264" s="5"/>
      <c r="Y1264" s="5"/>
      <c r="Z1264" s="5"/>
      <c r="AA1264" s="5"/>
      <c r="AB1264" s="5"/>
      <c r="AC1264" s="5"/>
      <c r="AD1264" s="5"/>
      <c r="AE1264" s="5"/>
      <c r="AF1264" s="5"/>
      <c r="AG1264" s="5"/>
    </row>
    <row r="1265" ht="15.75" customHeight="1">
      <c r="K1265" t="s">
        <v>2149</v>
      </c>
      <c r="L1265" t="str">
        <f>K103</f>
        <v>H1a1a4b3b1c~</v>
      </c>
      <c r="O1265">
        <v>6791813.0</v>
      </c>
      <c r="P1265">
        <v>6923772.0</v>
      </c>
      <c r="Q1265" t="s">
        <v>459</v>
      </c>
      <c r="R1265" s="5"/>
      <c r="S1265" s="5"/>
      <c r="T1265" s="5"/>
      <c r="U1265" s="5"/>
      <c r="V1265" s="5"/>
      <c r="W1265" s="5"/>
      <c r="X1265" s="5"/>
      <c r="Y1265" s="5"/>
      <c r="Z1265" s="5"/>
      <c r="AA1265" s="5"/>
      <c r="AB1265" s="5"/>
      <c r="AC1265" s="5"/>
      <c r="AD1265" s="5"/>
      <c r="AE1265" s="5"/>
      <c r="AF1265" s="5"/>
      <c r="AG1265" s="5"/>
    </row>
    <row r="1266" ht="15.75" customHeight="1">
      <c r="K1266" t="s">
        <v>2150</v>
      </c>
      <c r="L1266" t="str">
        <f>K103</f>
        <v>H1a1a4b3b1c~</v>
      </c>
      <c r="N1266" t="s">
        <v>2151</v>
      </c>
      <c r="O1266">
        <v>7051707.0</v>
      </c>
      <c r="P1266">
        <v>7183666.0</v>
      </c>
      <c r="Q1266" t="s">
        <v>427</v>
      </c>
      <c r="R1266" s="5"/>
      <c r="S1266" s="5"/>
      <c r="T1266" s="5"/>
      <c r="U1266" s="5"/>
      <c r="V1266" s="5"/>
      <c r="W1266" s="5"/>
      <c r="X1266" s="5"/>
      <c r="Y1266" s="5"/>
      <c r="Z1266" s="5"/>
      <c r="AA1266" s="5"/>
      <c r="AB1266" s="5"/>
      <c r="AC1266" s="5"/>
      <c r="AD1266" s="5"/>
      <c r="AE1266" s="5"/>
      <c r="AF1266" s="5"/>
      <c r="AG1266" s="5"/>
    </row>
    <row r="1267" ht="15.75" customHeight="1">
      <c r="K1267" t="s">
        <v>2152</v>
      </c>
      <c r="L1267" t="str">
        <f>J104</f>
        <v>H1a1a4b3b2~</v>
      </c>
      <c r="N1267" t="s">
        <v>2153</v>
      </c>
      <c r="O1267">
        <v>2.1494934E7</v>
      </c>
      <c r="P1267">
        <v>1.9333048E7</v>
      </c>
      <c r="Q1267" t="s">
        <v>435</v>
      </c>
      <c r="R1267" s="5"/>
      <c r="S1267" s="5"/>
      <c r="T1267" s="5"/>
      <c r="U1267" s="5"/>
      <c r="V1267" s="5"/>
      <c r="W1267" s="5"/>
      <c r="X1267" s="5"/>
      <c r="Y1267" s="5"/>
      <c r="Z1267" s="5"/>
      <c r="AA1267" s="5"/>
      <c r="AB1267" s="5"/>
      <c r="AC1267" s="5"/>
      <c r="AD1267" s="5"/>
      <c r="AE1267" s="5"/>
      <c r="AF1267" s="5"/>
      <c r="AG1267" s="5"/>
    </row>
    <row r="1268" ht="15.75" customHeight="1">
      <c r="K1268" t="s">
        <v>2154</v>
      </c>
      <c r="L1268" t="str">
        <f>J104</f>
        <v>H1a1a4b3b2~</v>
      </c>
      <c r="N1268" t="s">
        <v>2155</v>
      </c>
      <c r="O1268">
        <v>7079831.0</v>
      </c>
      <c r="P1268">
        <v>7211790.0</v>
      </c>
      <c r="Q1268" t="s">
        <v>419</v>
      </c>
      <c r="R1268" s="5"/>
      <c r="S1268" s="5"/>
      <c r="T1268" s="5"/>
      <c r="U1268" s="5"/>
      <c r="V1268" s="5"/>
      <c r="W1268" s="5"/>
      <c r="X1268" s="5"/>
      <c r="Y1268" s="5"/>
      <c r="Z1268" s="5"/>
      <c r="AA1268" s="5"/>
      <c r="AB1268" s="5"/>
      <c r="AC1268" s="5"/>
      <c r="AD1268" s="5"/>
      <c r="AE1268" s="5"/>
      <c r="AF1268" s="5"/>
      <c r="AG1268" s="5"/>
    </row>
    <row r="1269" ht="15.75" customHeight="1">
      <c r="K1269" t="s">
        <v>2156</v>
      </c>
      <c r="L1269" t="str">
        <f>J104</f>
        <v>H1a1a4b3b2~</v>
      </c>
      <c r="N1269" t="s">
        <v>2157</v>
      </c>
      <c r="O1269">
        <v>1.8642272E7</v>
      </c>
      <c r="P1269">
        <v>1.6530392E7</v>
      </c>
      <c r="Q1269" t="s">
        <v>419</v>
      </c>
      <c r="R1269" s="5"/>
      <c r="S1269" s="5"/>
      <c r="T1269" s="5"/>
      <c r="U1269" s="5"/>
      <c r="V1269" s="5"/>
      <c r="W1269" s="5"/>
      <c r="X1269" s="5"/>
      <c r="Y1269" s="5"/>
      <c r="Z1269" s="5"/>
      <c r="AA1269" s="5"/>
      <c r="AB1269" s="5"/>
      <c r="AC1269" s="5"/>
      <c r="AD1269" s="5"/>
      <c r="AE1269" s="5"/>
      <c r="AF1269" s="5"/>
      <c r="AG1269" s="5"/>
    </row>
    <row r="1270" ht="15.75" customHeight="1">
      <c r="K1270" t="s">
        <v>2158</v>
      </c>
      <c r="L1270" t="str">
        <f>J104</f>
        <v>H1a1a4b3b2~</v>
      </c>
      <c r="N1270" t="s">
        <v>2159</v>
      </c>
      <c r="O1270">
        <v>2.1238006E7</v>
      </c>
      <c r="P1270">
        <v>1.907612E7</v>
      </c>
      <c r="Q1270" t="s">
        <v>525</v>
      </c>
      <c r="R1270" s="5"/>
      <c r="S1270" s="5"/>
      <c r="T1270" s="5"/>
      <c r="U1270" s="5"/>
      <c r="V1270" s="5"/>
      <c r="W1270" s="5"/>
      <c r="X1270" s="5"/>
      <c r="Y1270" s="5"/>
      <c r="Z1270" s="5"/>
      <c r="AA1270" s="5"/>
      <c r="AB1270" s="5"/>
      <c r="AC1270" s="5"/>
      <c r="AD1270" s="5"/>
      <c r="AE1270" s="5"/>
      <c r="AF1270" s="5"/>
      <c r="AG1270" s="5"/>
    </row>
    <row r="1271" ht="15.75" customHeight="1">
      <c r="K1271" t="s">
        <v>2160</v>
      </c>
      <c r="L1271" t="str">
        <f>J104</f>
        <v>H1a1a4b3b2~</v>
      </c>
      <c r="N1271" t="s">
        <v>2161</v>
      </c>
      <c r="O1271">
        <v>2.1248052E7</v>
      </c>
      <c r="P1271">
        <v>1.9086166E7</v>
      </c>
      <c r="Q1271" t="s">
        <v>435</v>
      </c>
      <c r="R1271" s="5"/>
      <c r="S1271" s="5"/>
      <c r="T1271" s="5"/>
      <c r="U1271" s="5"/>
      <c r="V1271" s="5"/>
      <c r="W1271" s="5"/>
      <c r="X1271" s="5"/>
      <c r="Y1271" s="5"/>
      <c r="Z1271" s="5"/>
      <c r="AA1271" s="5"/>
      <c r="AB1271" s="5"/>
      <c r="AC1271" s="5"/>
      <c r="AD1271" s="5"/>
      <c r="AE1271" s="5"/>
      <c r="AF1271" s="5"/>
      <c r="AG1271" s="5"/>
    </row>
    <row r="1272" ht="15.75" customHeight="1">
      <c r="K1272" t="s">
        <v>2162</v>
      </c>
      <c r="L1272" t="str">
        <f>H105</f>
        <v>H1a1a4b4</v>
      </c>
      <c r="N1272" t="s">
        <v>2163</v>
      </c>
      <c r="O1272">
        <v>2863725.0</v>
      </c>
      <c r="P1272">
        <v>2995684.0</v>
      </c>
      <c r="Q1272" t="s">
        <v>431</v>
      </c>
      <c r="R1272" s="5"/>
      <c r="S1272" s="5"/>
      <c r="T1272" s="5"/>
      <c r="U1272" s="5"/>
      <c r="V1272" s="5"/>
      <c r="W1272" s="5"/>
      <c r="X1272" s="5"/>
      <c r="Y1272" s="5"/>
      <c r="Z1272" s="5"/>
      <c r="AA1272" s="5"/>
      <c r="AB1272" s="5"/>
      <c r="AC1272" s="5"/>
      <c r="AD1272" s="5"/>
      <c r="AE1272" s="5"/>
      <c r="AF1272" s="5"/>
      <c r="AG1272" s="5"/>
    </row>
    <row r="1273" ht="15.75" customHeight="1">
      <c r="K1273" t="s">
        <v>2164</v>
      </c>
      <c r="L1273" t="str">
        <f>H105</f>
        <v>H1a1a4b4</v>
      </c>
      <c r="M1273" t="s">
        <v>2165</v>
      </c>
      <c r="N1273" t="s">
        <v>2166</v>
      </c>
      <c r="O1273">
        <v>2.38435E7</v>
      </c>
      <c r="P1273">
        <v>2.1681614E7</v>
      </c>
      <c r="Q1273" t="s">
        <v>419</v>
      </c>
      <c r="R1273" s="5"/>
      <c r="S1273" s="5"/>
      <c r="T1273" s="5"/>
      <c r="U1273" s="5"/>
      <c r="V1273" s="5"/>
      <c r="W1273" s="5"/>
      <c r="X1273" s="5"/>
      <c r="Y1273" s="5"/>
      <c r="Z1273" s="5"/>
      <c r="AA1273" s="5"/>
      <c r="AB1273" s="5"/>
      <c r="AC1273" s="5"/>
      <c r="AD1273" s="5"/>
      <c r="AE1273" s="5"/>
      <c r="AF1273" s="5"/>
      <c r="AG1273" s="5"/>
    </row>
    <row r="1274" ht="15.75" customHeight="1">
      <c r="K1274" t="s">
        <v>2165</v>
      </c>
      <c r="L1274" t="str">
        <f>H105</f>
        <v>H1a1a4b4</v>
      </c>
      <c r="M1274" t="s">
        <v>2164</v>
      </c>
      <c r="N1274" t="s">
        <v>2166</v>
      </c>
      <c r="O1274">
        <v>2.38435E7</v>
      </c>
      <c r="P1274">
        <v>2.1681614E7</v>
      </c>
      <c r="Q1274" t="s">
        <v>419</v>
      </c>
      <c r="R1274" s="5"/>
      <c r="S1274" s="5"/>
      <c r="T1274" s="5"/>
      <c r="U1274" s="5"/>
      <c r="V1274" s="5"/>
      <c r="W1274" s="5"/>
      <c r="X1274" s="5"/>
      <c r="Y1274" s="5"/>
      <c r="Z1274" s="5"/>
      <c r="AA1274" s="5"/>
      <c r="AB1274" s="5"/>
      <c r="AC1274" s="5"/>
      <c r="AD1274" s="5"/>
      <c r="AE1274" s="5"/>
      <c r="AF1274" s="5"/>
      <c r="AG1274" s="5"/>
    </row>
    <row r="1275" ht="15.75" customHeight="1">
      <c r="K1275" t="s">
        <v>2167</v>
      </c>
      <c r="L1275" t="str">
        <f>H105</f>
        <v>H1a1a4b4</v>
      </c>
      <c r="N1275" t="s">
        <v>2168</v>
      </c>
      <c r="O1275">
        <v>7732481.0</v>
      </c>
      <c r="P1275">
        <v>7864440.0</v>
      </c>
      <c r="Q1275" t="s">
        <v>427</v>
      </c>
      <c r="R1275" s="5"/>
      <c r="S1275" s="5"/>
      <c r="T1275" s="5"/>
      <c r="U1275" s="5"/>
      <c r="V1275" s="5"/>
      <c r="W1275" s="5"/>
      <c r="X1275" s="5"/>
      <c r="Y1275" s="5"/>
      <c r="Z1275" s="5"/>
      <c r="AA1275" s="5"/>
      <c r="AB1275" s="5"/>
      <c r="AC1275" s="5"/>
      <c r="AD1275" s="5"/>
      <c r="AE1275" s="5"/>
      <c r="AF1275" s="5"/>
      <c r="AG1275" s="5"/>
    </row>
    <row r="1276" ht="15.75" customHeight="1">
      <c r="K1276" t="s">
        <v>2169</v>
      </c>
      <c r="L1276" t="str">
        <f>H105</f>
        <v>H1a1a4b4</v>
      </c>
      <c r="N1276" t="s">
        <v>2170</v>
      </c>
      <c r="O1276">
        <v>7792570.0</v>
      </c>
      <c r="P1276">
        <v>7924529.0</v>
      </c>
      <c r="Q1276" t="s">
        <v>431</v>
      </c>
      <c r="R1276" s="5"/>
      <c r="S1276" s="5"/>
      <c r="T1276" s="5"/>
      <c r="U1276" s="5"/>
      <c r="V1276" s="5"/>
      <c r="W1276" s="5"/>
      <c r="X1276" s="5"/>
      <c r="Y1276" s="5"/>
      <c r="Z1276" s="5"/>
      <c r="AA1276" s="5"/>
      <c r="AB1276" s="5"/>
      <c r="AC1276" s="5"/>
      <c r="AD1276" s="5"/>
      <c r="AE1276" s="5"/>
      <c r="AF1276" s="5"/>
      <c r="AG1276" s="5"/>
    </row>
    <row r="1277" ht="15.75" customHeight="1">
      <c r="K1277" t="s">
        <v>2171</v>
      </c>
      <c r="L1277" t="str">
        <f>H105</f>
        <v>H1a1a4b4</v>
      </c>
      <c r="N1277" t="s">
        <v>2172</v>
      </c>
      <c r="O1277">
        <v>8242850.0</v>
      </c>
      <c r="P1277">
        <v>8374809.0</v>
      </c>
      <c r="Q1277" t="s">
        <v>427</v>
      </c>
      <c r="R1277" s="5"/>
      <c r="S1277" s="5"/>
      <c r="T1277" s="5"/>
      <c r="U1277" s="5"/>
      <c r="V1277" s="5"/>
      <c r="W1277" s="5"/>
      <c r="X1277" s="5"/>
      <c r="Y1277" s="5"/>
      <c r="Z1277" s="5"/>
      <c r="AA1277" s="5"/>
      <c r="AB1277" s="5"/>
      <c r="AC1277" s="5"/>
      <c r="AD1277" s="5"/>
      <c r="AE1277" s="5"/>
      <c r="AF1277" s="5"/>
      <c r="AG1277" s="5"/>
    </row>
    <row r="1278" ht="15.75" customHeight="1">
      <c r="K1278" t="s">
        <v>2173</v>
      </c>
      <c r="L1278" t="str">
        <f>H105</f>
        <v>H1a1a4b4</v>
      </c>
      <c r="N1278" t="s">
        <v>2174</v>
      </c>
      <c r="O1278">
        <v>8263711.0</v>
      </c>
      <c r="P1278">
        <v>8395670.0</v>
      </c>
      <c r="Q1278" t="s">
        <v>423</v>
      </c>
      <c r="R1278" s="5"/>
      <c r="S1278" s="5"/>
      <c r="T1278" s="5"/>
      <c r="U1278" s="5"/>
      <c r="V1278" s="5"/>
      <c r="W1278" s="5"/>
      <c r="X1278" s="5"/>
      <c r="Y1278" s="5"/>
      <c r="Z1278" s="5"/>
      <c r="AA1278" s="5"/>
      <c r="AB1278" s="5"/>
      <c r="AC1278" s="5"/>
      <c r="AD1278" s="5"/>
      <c r="AE1278" s="5"/>
      <c r="AF1278" s="5"/>
      <c r="AG1278" s="5"/>
    </row>
    <row r="1279" ht="15.75" customHeight="1">
      <c r="K1279" t="s">
        <v>2175</v>
      </c>
      <c r="L1279" t="str">
        <f>H105</f>
        <v>H1a1a4b4</v>
      </c>
      <c r="N1279" t="s">
        <v>2176</v>
      </c>
      <c r="O1279">
        <v>9069494.0</v>
      </c>
      <c r="P1279">
        <v>9231885.0</v>
      </c>
      <c r="Q1279" t="s">
        <v>553</v>
      </c>
      <c r="R1279" s="5"/>
      <c r="S1279" s="5"/>
      <c r="T1279" s="5"/>
      <c r="U1279" s="5"/>
      <c r="V1279" s="5"/>
      <c r="W1279" s="5"/>
      <c r="X1279" s="5"/>
      <c r="Y1279" s="5"/>
      <c r="Z1279" s="5"/>
      <c r="AA1279" s="5"/>
      <c r="AB1279" s="5"/>
      <c r="AC1279" s="5"/>
      <c r="AD1279" s="5"/>
      <c r="AE1279" s="5"/>
      <c r="AF1279" s="5"/>
      <c r="AG1279" s="5"/>
    </row>
    <row r="1280" ht="15.75" customHeight="1">
      <c r="K1280" t="s">
        <v>2177</v>
      </c>
      <c r="L1280" t="str">
        <f>H105</f>
        <v>H1a1a4b4</v>
      </c>
      <c r="O1280">
        <v>9901449.0</v>
      </c>
      <c r="P1280">
        <v>1.006384E7</v>
      </c>
      <c r="Q1280" t="s">
        <v>419</v>
      </c>
      <c r="R1280" s="5"/>
      <c r="S1280" s="5"/>
      <c r="T1280" s="5"/>
      <c r="U1280" s="5"/>
      <c r="V1280" s="5"/>
      <c r="W1280" s="5"/>
      <c r="X1280" s="5"/>
      <c r="Y1280" s="5"/>
      <c r="Z1280" s="5"/>
      <c r="AA1280" s="5"/>
      <c r="AB1280" s="5"/>
      <c r="AC1280" s="5"/>
      <c r="AD1280" s="5"/>
      <c r="AE1280" s="5"/>
      <c r="AF1280" s="5"/>
      <c r="AG1280" s="5"/>
    </row>
    <row r="1281" ht="15.75" customHeight="1">
      <c r="K1281" t="s">
        <v>2178</v>
      </c>
      <c r="L1281" t="str">
        <f>H105</f>
        <v>H1a1a4b4</v>
      </c>
      <c r="O1281">
        <v>1.4312712E7</v>
      </c>
      <c r="P1281">
        <v>1.2192006E7</v>
      </c>
      <c r="Q1281" t="s">
        <v>448</v>
      </c>
      <c r="R1281" s="5"/>
      <c r="S1281" s="5"/>
      <c r="T1281" s="5"/>
      <c r="U1281" s="5"/>
      <c r="V1281" s="5"/>
      <c r="W1281" s="5"/>
      <c r="X1281" s="5"/>
      <c r="Y1281" s="5"/>
      <c r="Z1281" s="5"/>
      <c r="AA1281" s="5"/>
      <c r="AB1281" s="5"/>
      <c r="AC1281" s="5"/>
      <c r="AD1281" s="5"/>
      <c r="AE1281" s="5"/>
      <c r="AF1281" s="5"/>
      <c r="AG1281" s="5"/>
    </row>
    <row r="1282" ht="15.75" customHeight="1">
      <c r="K1282" t="s">
        <v>2179</v>
      </c>
      <c r="L1282" t="str">
        <f>H105</f>
        <v>H1a1a4b4</v>
      </c>
      <c r="N1282" t="s">
        <v>2180</v>
      </c>
      <c r="O1282">
        <v>1.7495332E7</v>
      </c>
      <c r="P1282">
        <v>1.5383452E7</v>
      </c>
      <c r="Q1282" t="s">
        <v>419</v>
      </c>
      <c r="R1282" s="5"/>
      <c r="S1282" s="5"/>
      <c r="T1282" s="5"/>
      <c r="U1282" s="5"/>
      <c r="V1282" s="5"/>
      <c r="W1282" s="5"/>
      <c r="X1282" s="5"/>
      <c r="Y1282" s="5"/>
      <c r="Z1282" s="5"/>
      <c r="AA1282" s="5"/>
      <c r="AB1282" s="5"/>
      <c r="AC1282" s="5"/>
      <c r="AD1282" s="5"/>
      <c r="AE1282" s="5"/>
      <c r="AF1282" s="5"/>
      <c r="AG1282" s="5"/>
    </row>
    <row r="1283" ht="15.75" customHeight="1">
      <c r="K1283" t="s">
        <v>2181</v>
      </c>
      <c r="L1283" t="str">
        <f>H105</f>
        <v>H1a1a4b4</v>
      </c>
      <c r="O1283">
        <v>1.7996693E7</v>
      </c>
      <c r="P1283">
        <v>1.5884813E7</v>
      </c>
      <c r="Q1283" t="s">
        <v>419</v>
      </c>
      <c r="R1283" s="5"/>
      <c r="S1283" s="5"/>
      <c r="T1283" s="5"/>
      <c r="U1283" s="5"/>
      <c r="V1283" s="5"/>
      <c r="W1283" s="5"/>
      <c r="X1283" s="5"/>
      <c r="Y1283" s="5"/>
      <c r="Z1283" s="5"/>
      <c r="AA1283" s="5"/>
      <c r="AB1283" s="5"/>
      <c r="AC1283" s="5"/>
      <c r="AD1283" s="5"/>
      <c r="AE1283" s="5"/>
      <c r="AF1283" s="5"/>
      <c r="AG1283" s="5"/>
    </row>
    <row r="1284" ht="15.75" customHeight="1">
      <c r="K1284" t="s">
        <v>2182</v>
      </c>
      <c r="L1284" t="str">
        <f>H105</f>
        <v>H1a1a4b4</v>
      </c>
      <c r="N1284" t="s">
        <v>2183</v>
      </c>
      <c r="O1284">
        <v>1.8154093E7</v>
      </c>
      <c r="P1284">
        <v>1.6042213E7</v>
      </c>
      <c r="Q1284" t="s">
        <v>423</v>
      </c>
      <c r="R1284" s="5"/>
      <c r="S1284" s="5"/>
      <c r="T1284" s="5"/>
      <c r="U1284" s="5"/>
      <c r="V1284" s="5"/>
      <c r="W1284" s="5"/>
      <c r="X1284" s="5"/>
      <c r="Y1284" s="5"/>
      <c r="Z1284" s="5"/>
      <c r="AA1284" s="5"/>
      <c r="AB1284" s="5"/>
      <c r="AC1284" s="5"/>
      <c r="AD1284" s="5"/>
      <c r="AE1284" s="5"/>
      <c r="AF1284" s="5"/>
      <c r="AG1284" s="5"/>
    </row>
    <row r="1285" ht="15.75" customHeight="1">
      <c r="K1285" t="s">
        <v>2184</v>
      </c>
      <c r="L1285" t="str">
        <f>H105</f>
        <v>H1a1a4b4</v>
      </c>
      <c r="N1285" t="s">
        <v>2185</v>
      </c>
      <c r="O1285">
        <v>1.8182884E7</v>
      </c>
      <c r="P1285">
        <v>1.6071004E7</v>
      </c>
      <c r="Q1285" t="s">
        <v>459</v>
      </c>
      <c r="R1285" s="5"/>
      <c r="S1285" s="5"/>
      <c r="T1285" s="5"/>
      <c r="U1285" s="5"/>
      <c r="V1285" s="5"/>
      <c r="W1285" s="5"/>
      <c r="X1285" s="5"/>
      <c r="Y1285" s="5"/>
      <c r="Z1285" s="5"/>
      <c r="AA1285" s="5"/>
      <c r="AB1285" s="5"/>
      <c r="AC1285" s="5"/>
      <c r="AD1285" s="5"/>
      <c r="AE1285" s="5"/>
      <c r="AF1285" s="5"/>
      <c r="AG1285" s="5"/>
    </row>
    <row r="1286" ht="15.75" customHeight="1">
      <c r="K1286" t="s">
        <v>2186</v>
      </c>
      <c r="L1286" t="str">
        <f>H105</f>
        <v>H1a1a4b4</v>
      </c>
      <c r="N1286" t="s">
        <v>2187</v>
      </c>
      <c r="O1286">
        <v>1.9208979E7</v>
      </c>
      <c r="P1286">
        <v>1.7097099E7</v>
      </c>
      <c r="Q1286" t="s">
        <v>435</v>
      </c>
      <c r="R1286" s="5"/>
      <c r="S1286" s="5"/>
      <c r="T1286" s="5"/>
      <c r="U1286" s="5"/>
      <c r="V1286" s="5"/>
      <c r="W1286" s="5"/>
      <c r="X1286" s="5"/>
      <c r="Y1286" s="5"/>
      <c r="Z1286" s="5"/>
      <c r="AA1286" s="5"/>
      <c r="AB1286" s="5"/>
      <c r="AC1286" s="5"/>
      <c r="AD1286" s="5"/>
      <c r="AE1286" s="5"/>
      <c r="AF1286" s="5"/>
      <c r="AG1286" s="5"/>
    </row>
    <row r="1287" ht="15.75" customHeight="1">
      <c r="K1287" t="s">
        <v>2188</v>
      </c>
      <c r="L1287" t="str">
        <f>H105</f>
        <v>H1a1a4b4</v>
      </c>
      <c r="N1287" t="s">
        <v>2189</v>
      </c>
      <c r="O1287">
        <v>1.9359313E7</v>
      </c>
      <c r="P1287">
        <v>1.7247433E7</v>
      </c>
      <c r="Q1287" t="s">
        <v>473</v>
      </c>
      <c r="R1287" s="5"/>
      <c r="S1287" s="5"/>
      <c r="T1287" s="5"/>
      <c r="U1287" s="5"/>
      <c r="V1287" s="5"/>
      <c r="W1287" s="5"/>
      <c r="X1287" s="5"/>
      <c r="Y1287" s="5"/>
      <c r="Z1287" s="5"/>
      <c r="AA1287" s="5"/>
      <c r="AB1287" s="5"/>
      <c r="AC1287" s="5"/>
      <c r="AD1287" s="5"/>
      <c r="AE1287" s="5"/>
      <c r="AF1287" s="5"/>
      <c r="AG1287" s="5"/>
    </row>
    <row r="1288" ht="15.75" customHeight="1">
      <c r="K1288" t="s">
        <v>2190</v>
      </c>
      <c r="L1288" t="str">
        <f>H105</f>
        <v>H1a1a4b4</v>
      </c>
      <c r="N1288" t="s">
        <v>2191</v>
      </c>
      <c r="O1288">
        <v>2.258301E7</v>
      </c>
      <c r="P1288">
        <v>2.0421124E7</v>
      </c>
      <c r="Q1288" t="s">
        <v>476</v>
      </c>
      <c r="R1288" s="5"/>
      <c r="S1288" s="5"/>
      <c r="T1288" s="5"/>
      <c r="U1288" s="5"/>
      <c r="V1288" s="5"/>
      <c r="W1288" s="5"/>
      <c r="X1288" s="5"/>
      <c r="Y1288" s="5"/>
      <c r="Z1288" s="5"/>
      <c r="AA1288" s="5"/>
      <c r="AB1288" s="5"/>
      <c r="AC1288" s="5"/>
      <c r="AD1288" s="5"/>
      <c r="AE1288" s="5"/>
      <c r="AF1288" s="5"/>
      <c r="AG1288" s="5"/>
    </row>
    <row r="1289" ht="15.75" customHeight="1">
      <c r="K1289" t="s">
        <v>2192</v>
      </c>
      <c r="L1289" t="str">
        <f>H105</f>
        <v>H1a1a4b4</v>
      </c>
      <c r="N1289" t="s">
        <v>2193</v>
      </c>
      <c r="O1289">
        <v>2.2904514E7</v>
      </c>
      <c r="P1289">
        <v>2.0742628E7</v>
      </c>
      <c r="Q1289" t="s">
        <v>431</v>
      </c>
      <c r="R1289" s="5"/>
      <c r="S1289" s="5"/>
      <c r="T1289" s="5"/>
      <c r="U1289" s="5"/>
      <c r="V1289" s="5"/>
      <c r="W1289" s="5"/>
      <c r="X1289" s="5"/>
      <c r="Y1289" s="5"/>
      <c r="Z1289" s="5"/>
      <c r="AA1289" s="5"/>
      <c r="AB1289" s="5"/>
      <c r="AC1289" s="5"/>
      <c r="AD1289" s="5"/>
      <c r="AE1289" s="5"/>
      <c r="AF1289" s="5"/>
      <c r="AG1289" s="5"/>
    </row>
    <row r="1290" ht="15.75" customHeight="1">
      <c r="K1290" t="s">
        <v>2194</v>
      </c>
      <c r="L1290" t="str">
        <f>H105</f>
        <v>H1a1a4b4</v>
      </c>
      <c r="N1290" t="s">
        <v>2195</v>
      </c>
      <c r="O1290">
        <v>2.2962322E7</v>
      </c>
      <c r="P1290">
        <v>2.0800436E7</v>
      </c>
      <c r="Q1290" t="s">
        <v>423</v>
      </c>
      <c r="R1290" s="5"/>
      <c r="S1290" s="5"/>
      <c r="T1290" s="5"/>
      <c r="U1290" s="5"/>
      <c r="V1290" s="5"/>
      <c r="W1290" s="5"/>
      <c r="X1290" s="5"/>
      <c r="Y1290" s="5"/>
      <c r="Z1290" s="5"/>
      <c r="AA1290" s="5"/>
      <c r="AB1290" s="5"/>
      <c r="AC1290" s="5"/>
      <c r="AD1290" s="5"/>
      <c r="AE1290" s="5"/>
      <c r="AF1290" s="5"/>
      <c r="AG1290" s="5"/>
    </row>
    <row r="1291" ht="15.75" customHeight="1">
      <c r="K1291" t="s">
        <v>2196</v>
      </c>
      <c r="L1291" t="str">
        <f>H105</f>
        <v>H1a1a4b4</v>
      </c>
      <c r="N1291" t="s">
        <v>2197</v>
      </c>
      <c r="O1291">
        <v>2.3094406E7</v>
      </c>
      <c r="P1291">
        <v>2.093252E7</v>
      </c>
      <c r="Q1291" t="s">
        <v>419</v>
      </c>
      <c r="R1291" s="5"/>
      <c r="S1291" s="5"/>
      <c r="T1291" s="5"/>
      <c r="U1291" s="5"/>
      <c r="V1291" s="5"/>
      <c r="W1291" s="5"/>
      <c r="X1291" s="5"/>
      <c r="Y1291" s="5"/>
      <c r="Z1291" s="5"/>
      <c r="AA1291" s="5"/>
      <c r="AB1291" s="5"/>
      <c r="AC1291" s="5"/>
      <c r="AD1291" s="5"/>
      <c r="AE1291" s="5"/>
      <c r="AF1291" s="5"/>
      <c r="AG1291" s="5"/>
    </row>
    <row r="1292" ht="15.75" customHeight="1">
      <c r="K1292" t="s">
        <v>2198</v>
      </c>
      <c r="L1292" t="str">
        <f>H105</f>
        <v>H1a1a4b4</v>
      </c>
      <c r="N1292" t="s">
        <v>2199</v>
      </c>
      <c r="O1292">
        <v>2793616.0</v>
      </c>
      <c r="P1292">
        <v>2925575.0</v>
      </c>
      <c r="Q1292" t="s">
        <v>419</v>
      </c>
      <c r="R1292" s="5"/>
      <c r="S1292" s="5"/>
      <c r="T1292" s="5"/>
      <c r="U1292" s="5"/>
      <c r="V1292" s="5"/>
      <c r="W1292" s="5"/>
      <c r="X1292" s="5"/>
      <c r="Y1292" s="5"/>
      <c r="Z1292" s="5"/>
      <c r="AA1292" s="5"/>
      <c r="AB1292" s="5"/>
      <c r="AC1292" s="5"/>
      <c r="AD1292" s="5"/>
      <c r="AE1292" s="5"/>
      <c r="AF1292" s="5"/>
      <c r="AG1292" s="5"/>
    </row>
    <row r="1293" ht="15.75" customHeight="1">
      <c r="K1293" t="s">
        <v>2200</v>
      </c>
      <c r="L1293" t="str">
        <f>H105</f>
        <v>H1a1a4b4</v>
      </c>
      <c r="N1293" t="s">
        <v>2201</v>
      </c>
      <c r="O1293">
        <v>2875225.0</v>
      </c>
      <c r="P1293">
        <v>3007184.0</v>
      </c>
      <c r="Q1293" t="s">
        <v>431</v>
      </c>
      <c r="R1293" s="5"/>
      <c r="S1293" s="5"/>
      <c r="T1293" s="5"/>
      <c r="U1293" s="5"/>
      <c r="V1293" s="5"/>
      <c r="W1293" s="5"/>
      <c r="X1293" s="5"/>
      <c r="Y1293" s="5"/>
      <c r="Z1293" s="5"/>
      <c r="AA1293" s="5"/>
      <c r="AB1293" s="5"/>
      <c r="AC1293" s="5"/>
      <c r="AD1293" s="5"/>
      <c r="AE1293" s="5"/>
      <c r="AF1293" s="5"/>
      <c r="AG1293" s="5"/>
    </row>
    <row r="1294" ht="15.75" customHeight="1">
      <c r="K1294" t="s">
        <v>2202</v>
      </c>
      <c r="L1294" t="str">
        <f>H105</f>
        <v>H1a1a4b4</v>
      </c>
      <c r="O1294" t="s">
        <v>2203</v>
      </c>
      <c r="P1294" t="s">
        <v>2204</v>
      </c>
      <c r="Q1294" t="s">
        <v>2205</v>
      </c>
      <c r="R1294" s="5"/>
      <c r="S1294" s="5"/>
      <c r="T1294" s="5"/>
      <c r="U1294" s="5"/>
      <c r="V1294" s="5"/>
      <c r="W1294" s="5"/>
      <c r="X1294" s="5"/>
      <c r="Y1294" s="5"/>
      <c r="Z1294" s="5"/>
      <c r="AA1294" s="5"/>
      <c r="AB1294" s="5"/>
      <c r="AC1294" s="5"/>
      <c r="AD1294" s="5"/>
      <c r="AE1294" s="5"/>
      <c r="AF1294" s="5"/>
      <c r="AG1294" s="5"/>
    </row>
    <row r="1295" ht="15.75" customHeight="1">
      <c r="K1295" t="s">
        <v>2206</v>
      </c>
      <c r="L1295" t="str">
        <f>H105</f>
        <v>H1a1a4b4</v>
      </c>
      <c r="N1295" t="s">
        <v>2207</v>
      </c>
      <c r="O1295">
        <v>7056117.0</v>
      </c>
      <c r="P1295">
        <v>7188076.0</v>
      </c>
      <c r="Q1295" t="s">
        <v>427</v>
      </c>
      <c r="R1295" s="5"/>
      <c r="S1295" s="5"/>
      <c r="T1295" s="5"/>
      <c r="U1295" s="5"/>
      <c r="V1295" s="5"/>
      <c r="W1295" s="5"/>
      <c r="X1295" s="5"/>
      <c r="Y1295" s="5"/>
      <c r="Z1295" s="5"/>
      <c r="AA1295" s="5"/>
      <c r="AB1295" s="5"/>
      <c r="AC1295" s="5"/>
      <c r="AD1295" s="5"/>
      <c r="AE1295" s="5"/>
      <c r="AF1295" s="5"/>
      <c r="AG1295" s="5"/>
    </row>
    <row r="1296" ht="15.75" customHeight="1">
      <c r="K1296" t="s">
        <v>2208</v>
      </c>
      <c r="L1296" t="str">
        <f>H105</f>
        <v>H1a1a4b4</v>
      </c>
      <c r="N1296" t="s">
        <v>2209</v>
      </c>
      <c r="O1296">
        <v>8462517.0</v>
      </c>
      <c r="P1296">
        <v>8594476.0</v>
      </c>
      <c r="Q1296" t="s">
        <v>525</v>
      </c>
      <c r="R1296" s="5"/>
      <c r="S1296" s="5"/>
      <c r="T1296" s="5"/>
      <c r="U1296" s="5"/>
      <c r="V1296" s="5"/>
      <c r="W1296" s="5"/>
      <c r="X1296" s="5"/>
      <c r="Y1296" s="5"/>
      <c r="Z1296" s="5"/>
      <c r="AA1296" s="5"/>
      <c r="AB1296" s="5"/>
      <c r="AC1296" s="5"/>
      <c r="AD1296" s="5"/>
      <c r="AE1296" s="5"/>
      <c r="AF1296" s="5"/>
      <c r="AG1296" s="5"/>
    </row>
    <row r="1297" ht="15.75" customHeight="1">
      <c r="K1297" t="s">
        <v>2210</v>
      </c>
      <c r="L1297" t="str">
        <f>H105</f>
        <v>H1a1a4b4</v>
      </c>
      <c r="N1297" t="s">
        <v>2211</v>
      </c>
      <c r="O1297">
        <v>8535297.0</v>
      </c>
      <c r="P1297">
        <v>8667256.0</v>
      </c>
      <c r="Q1297" t="s">
        <v>431</v>
      </c>
      <c r="R1297" s="5"/>
      <c r="S1297" s="5"/>
      <c r="T1297" s="5"/>
      <c r="U1297" s="5"/>
      <c r="V1297" s="5"/>
      <c r="W1297" s="5"/>
      <c r="X1297" s="5"/>
      <c r="Y1297" s="5"/>
      <c r="Z1297" s="5"/>
      <c r="AA1297" s="5"/>
      <c r="AB1297" s="5"/>
      <c r="AC1297" s="5"/>
      <c r="AD1297" s="5"/>
      <c r="AE1297" s="5"/>
      <c r="AF1297" s="5"/>
      <c r="AG1297" s="5"/>
    </row>
    <row r="1298" ht="15.75" customHeight="1">
      <c r="K1298" t="s">
        <v>2212</v>
      </c>
      <c r="L1298" t="str">
        <f>H105</f>
        <v>H1a1a4b4</v>
      </c>
      <c r="N1298" t="s">
        <v>2213</v>
      </c>
      <c r="O1298">
        <v>9818357.0</v>
      </c>
      <c r="P1298">
        <v>9980748.0</v>
      </c>
      <c r="Q1298" t="s">
        <v>431</v>
      </c>
      <c r="R1298" s="5"/>
      <c r="S1298" s="5"/>
      <c r="T1298" s="5"/>
      <c r="U1298" s="5"/>
      <c r="V1298" s="5"/>
      <c r="W1298" s="5"/>
      <c r="X1298" s="5"/>
      <c r="Y1298" s="5"/>
      <c r="Z1298" s="5"/>
      <c r="AA1298" s="5"/>
      <c r="AB1298" s="5"/>
      <c r="AC1298" s="5"/>
      <c r="AD1298" s="5"/>
      <c r="AE1298" s="5"/>
      <c r="AF1298" s="5"/>
      <c r="AG1298" s="5"/>
    </row>
    <row r="1299" ht="15.75" customHeight="1">
      <c r="K1299" t="s">
        <v>2214</v>
      </c>
      <c r="L1299" t="str">
        <f>H105</f>
        <v>H1a1a4b4</v>
      </c>
      <c r="N1299" t="s">
        <v>2215</v>
      </c>
      <c r="O1299">
        <v>1.4138039E7</v>
      </c>
      <c r="P1299">
        <v>1.2017333E7</v>
      </c>
      <c r="Q1299" t="s">
        <v>525</v>
      </c>
      <c r="R1299" s="5"/>
      <c r="S1299" s="5"/>
      <c r="T1299" s="5"/>
      <c r="U1299" s="5"/>
      <c r="V1299" s="5"/>
      <c r="W1299" s="5"/>
      <c r="X1299" s="5"/>
      <c r="Y1299" s="5"/>
      <c r="Z1299" s="5"/>
      <c r="AA1299" s="5"/>
      <c r="AB1299" s="5"/>
      <c r="AC1299" s="5"/>
      <c r="AD1299" s="5"/>
      <c r="AE1299" s="5"/>
      <c r="AF1299" s="5"/>
      <c r="AG1299" s="5"/>
    </row>
    <row r="1300" ht="15.75" customHeight="1">
      <c r="K1300" t="s">
        <v>2216</v>
      </c>
      <c r="L1300" t="str">
        <f>H105</f>
        <v>H1a1a4b4</v>
      </c>
      <c r="N1300" t="s">
        <v>2217</v>
      </c>
      <c r="O1300">
        <v>1.493089E7</v>
      </c>
      <c r="P1300">
        <v>1.2818955E7</v>
      </c>
      <c r="Q1300" t="s">
        <v>423</v>
      </c>
      <c r="R1300" s="5"/>
      <c r="S1300" s="5"/>
      <c r="T1300" s="5"/>
      <c r="U1300" s="5"/>
      <c r="V1300" s="5"/>
      <c r="W1300" s="5"/>
      <c r="X1300" s="5"/>
      <c r="Y1300" s="5"/>
      <c r="Z1300" s="5"/>
      <c r="AA1300" s="5"/>
      <c r="AB1300" s="5"/>
      <c r="AC1300" s="5"/>
      <c r="AD1300" s="5"/>
      <c r="AE1300" s="5"/>
      <c r="AF1300" s="5"/>
      <c r="AG1300" s="5"/>
    </row>
    <row r="1301" ht="15.75" customHeight="1">
      <c r="K1301" t="s">
        <v>2218</v>
      </c>
      <c r="L1301" t="str">
        <f>H105</f>
        <v>H1a1a4b4</v>
      </c>
      <c r="N1301" t="s">
        <v>2219</v>
      </c>
      <c r="O1301">
        <v>1.5908731E7</v>
      </c>
      <c r="P1301">
        <v>1.3796851E7</v>
      </c>
      <c r="Q1301" t="s">
        <v>419</v>
      </c>
      <c r="R1301" s="5"/>
      <c r="S1301" s="5"/>
      <c r="T1301" s="5"/>
      <c r="U1301" s="5"/>
      <c r="V1301" s="5"/>
      <c r="W1301" s="5"/>
      <c r="X1301" s="5"/>
      <c r="Y1301" s="5"/>
      <c r="Z1301" s="5"/>
      <c r="AA1301" s="5"/>
      <c r="AB1301" s="5"/>
      <c r="AC1301" s="5"/>
      <c r="AD1301" s="5"/>
      <c r="AE1301" s="5"/>
      <c r="AF1301" s="5"/>
      <c r="AG1301" s="5"/>
    </row>
    <row r="1302" ht="15.75" customHeight="1">
      <c r="K1302" t="s">
        <v>2220</v>
      </c>
      <c r="L1302" t="str">
        <f>H105</f>
        <v>H1a1a4b4</v>
      </c>
      <c r="N1302" t="s">
        <v>2221</v>
      </c>
      <c r="O1302">
        <v>1.724832E7</v>
      </c>
      <c r="P1302">
        <v>1.513644E7</v>
      </c>
      <c r="Q1302" t="s">
        <v>435</v>
      </c>
      <c r="R1302" s="5"/>
      <c r="S1302" s="5"/>
      <c r="T1302" s="5"/>
      <c r="U1302" s="5"/>
      <c r="V1302" s="5"/>
      <c r="W1302" s="5"/>
      <c r="X1302" s="5"/>
      <c r="Y1302" s="5"/>
      <c r="Z1302" s="5"/>
      <c r="AA1302" s="5"/>
      <c r="AB1302" s="5"/>
      <c r="AC1302" s="5"/>
      <c r="AD1302" s="5"/>
      <c r="AE1302" s="5"/>
      <c r="AF1302" s="5"/>
      <c r="AG1302" s="5"/>
    </row>
    <row r="1303" ht="15.75" customHeight="1">
      <c r="K1303" t="s">
        <v>2222</v>
      </c>
      <c r="L1303" t="str">
        <f>H105</f>
        <v>H1a1a4b4</v>
      </c>
      <c r="N1303" t="s">
        <v>2223</v>
      </c>
      <c r="O1303">
        <v>1.7639969E7</v>
      </c>
      <c r="P1303">
        <v>1.5528089E7</v>
      </c>
      <c r="Q1303" t="s">
        <v>419</v>
      </c>
      <c r="R1303" s="5"/>
      <c r="S1303" s="5"/>
      <c r="T1303" s="5"/>
      <c r="U1303" s="5"/>
      <c r="V1303" s="5"/>
      <c r="W1303" s="5"/>
      <c r="X1303" s="5"/>
      <c r="Y1303" s="5"/>
      <c r="Z1303" s="5"/>
      <c r="AA1303" s="5"/>
      <c r="AB1303" s="5"/>
      <c r="AC1303" s="5"/>
      <c r="AD1303" s="5"/>
      <c r="AE1303" s="5"/>
      <c r="AF1303" s="5"/>
      <c r="AG1303" s="5"/>
    </row>
    <row r="1304" ht="15.75" customHeight="1">
      <c r="K1304" t="s">
        <v>2224</v>
      </c>
      <c r="L1304" t="str">
        <f>H105</f>
        <v>H1a1a4b4</v>
      </c>
      <c r="N1304" t="s">
        <v>2225</v>
      </c>
      <c r="O1304">
        <v>1.889337E7</v>
      </c>
      <c r="P1304">
        <v>1.678149E7</v>
      </c>
      <c r="Q1304" t="s">
        <v>459</v>
      </c>
      <c r="R1304" s="5"/>
      <c r="S1304" s="5"/>
      <c r="T1304" s="5"/>
      <c r="U1304" s="5"/>
      <c r="V1304" s="5"/>
      <c r="W1304" s="5"/>
      <c r="X1304" s="5"/>
      <c r="Y1304" s="5"/>
      <c r="Z1304" s="5"/>
      <c r="AA1304" s="5"/>
      <c r="AB1304" s="5"/>
      <c r="AC1304" s="5"/>
      <c r="AD1304" s="5"/>
      <c r="AE1304" s="5"/>
      <c r="AF1304" s="5"/>
      <c r="AG1304" s="5"/>
    </row>
    <row r="1305" ht="15.75" customHeight="1">
      <c r="K1305" t="s">
        <v>2226</v>
      </c>
      <c r="L1305" t="str">
        <f>H105</f>
        <v>H1a1a4b4</v>
      </c>
      <c r="N1305" t="s">
        <v>2227</v>
      </c>
      <c r="O1305">
        <v>2.13268E7</v>
      </c>
      <c r="P1305">
        <v>1.9164914E7</v>
      </c>
      <c r="Q1305" t="s">
        <v>419</v>
      </c>
      <c r="R1305" s="5"/>
      <c r="S1305" s="5"/>
      <c r="T1305" s="5"/>
      <c r="U1305" s="5"/>
      <c r="V1305" s="5"/>
      <c r="W1305" s="5"/>
      <c r="X1305" s="5"/>
      <c r="Y1305" s="5"/>
      <c r="Z1305" s="5"/>
      <c r="AA1305" s="5"/>
      <c r="AB1305" s="5"/>
      <c r="AC1305" s="5"/>
      <c r="AD1305" s="5"/>
      <c r="AE1305" s="5"/>
      <c r="AF1305" s="5"/>
      <c r="AG1305" s="5"/>
    </row>
    <row r="1306" ht="15.75" customHeight="1">
      <c r="K1306" t="s">
        <v>2228</v>
      </c>
      <c r="L1306" t="str">
        <f>H105</f>
        <v>H1a1a4b4</v>
      </c>
      <c r="N1306" t="s">
        <v>2229</v>
      </c>
      <c r="O1306">
        <v>2.1421674E7</v>
      </c>
      <c r="P1306">
        <v>1.9259788E7</v>
      </c>
      <c r="Q1306" t="s">
        <v>427</v>
      </c>
      <c r="R1306" s="5"/>
      <c r="S1306" s="5"/>
      <c r="T1306" s="5"/>
      <c r="U1306" s="5"/>
      <c r="V1306" s="5"/>
      <c r="W1306" s="5"/>
      <c r="X1306" s="5"/>
      <c r="Y1306" s="5"/>
      <c r="Z1306" s="5"/>
      <c r="AA1306" s="5"/>
      <c r="AB1306" s="5"/>
      <c r="AC1306" s="5"/>
      <c r="AD1306" s="5"/>
      <c r="AE1306" s="5"/>
      <c r="AF1306" s="5"/>
      <c r="AG1306" s="5"/>
    </row>
    <row r="1307" ht="15.75" customHeight="1">
      <c r="K1307" t="s">
        <v>2230</v>
      </c>
      <c r="L1307" t="str">
        <f>H105</f>
        <v>H1a1a4b4</v>
      </c>
      <c r="N1307" t="s">
        <v>2231</v>
      </c>
      <c r="O1307">
        <v>2.1424613E7</v>
      </c>
      <c r="P1307">
        <v>1.9262727E7</v>
      </c>
      <c r="Q1307" t="s">
        <v>476</v>
      </c>
      <c r="R1307" s="5"/>
      <c r="S1307" s="5"/>
      <c r="T1307" s="5"/>
      <c r="U1307" s="5"/>
      <c r="V1307" s="5"/>
      <c r="W1307" s="5"/>
      <c r="X1307" s="5"/>
      <c r="Y1307" s="5"/>
      <c r="Z1307" s="5"/>
      <c r="AA1307" s="5"/>
      <c r="AB1307" s="5"/>
      <c r="AC1307" s="5"/>
      <c r="AD1307" s="5"/>
      <c r="AE1307" s="5"/>
      <c r="AF1307" s="5"/>
      <c r="AG1307" s="5"/>
    </row>
    <row r="1308" ht="15.75" customHeight="1">
      <c r="K1308" t="s">
        <v>2232</v>
      </c>
      <c r="L1308" t="str">
        <f>H105</f>
        <v>H1a1a4b4</v>
      </c>
      <c r="N1308" t="s">
        <v>2233</v>
      </c>
      <c r="O1308">
        <v>2.2749255E7</v>
      </c>
      <c r="P1308">
        <v>2.0587369E7</v>
      </c>
      <c r="Q1308" t="s">
        <v>435</v>
      </c>
      <c r="R1308" s="5"/>
      <c r="S1308" s="5"/>
      <c r="T1308" s="5"/>
      <c r="U1308" s="5"/>
      <c r="V1308" s="5"/>
      <c r="W1308" s="5"/>
      <c r="X1308" s="5"/>
      <c r="Y1308" s="5"/>
      <c r="Z1308" s="5"/>
      <c r="AA1308" s="5"/>
      <c r="AB1308" s="5"/>
      <c r="AC1308" s="5"/>
      <c r="AD1308" s="5"/>
      <c r="AE1308" s="5"/>
      <c r="AF1308" s="5"/>
      <c r="AG1308" s="5"/>
    </row>
    <row r="1309" ht="15.75" customHeight="1">
      <c r="K1309" t="s">
        <v>2234</v>
      </c>
      <c r="L1309" t="str">
        <f>H105</f>
        <v>H1a1a4b4</v>
      </c>
      <c r="N1309" t="s">
        <v>2235</v>
      </c>
      <c r="O1309">
        <v>2.3062356E7</v>
      </c>
      <c r="P1309">
        <v>2.090047E7</v>
      </c>
      <c r="Q1309" t="s">
        <v>431</v>
      </c>
      <c r="R1309" s="5"/>
      <c r="S1309" s="5"/>
      <c r="T1309" s="5"/>
      <c r="U1309" s="5"/>
      <c r="V1309" s="5"/>
      <c r="W1309" s="5"/>
      <c r="X1309" s="5"/>
      <c r="Y1309" s="5"/>
      <c r="Z1309" s="5"/>
      <c r="AA1309" s="5"/>
      <c r="AB1309" s="5"/>
      <c r="AC1309" s="5"/>
      <c r="AD1309" s="5"/>
      <c r="AE1309" s="5"/>
      <c r="AF1309" s="5"/>
      <c r="AG1309" s="5"/>
    </row>
    <row r="1310" ht="15.75" customHeight="1">
      <c r="K1310" t="s">
        <v>2236</v>
      </c>
      <c r="L1310" t="str">
        <f>H105</f>
        <v>H1a1a4b4</v>
      </c>
      <c r="N1310" t="s">
        <v>2237</v>
      </c>
      <c r="O1310">
        <v>2.3062366E7</v>
      </c>
      <c r="P1310">
        <v>2.090048E7</v>
      </c>
      <c r="Q1310" t="s">
        <v>459</v>
      </c>
      <c r="R1310" s="5"/>
      <c r="S1310" s="5"/>
      <c r="T1310" s="5"/>
      <c r="U1310" s="5"/>
      <c r="V1310" s="5"/>
      <c r="W1310" s="5"/>
      <c r="X1310" s="5"/>
      <c r="Y1310" s="5"/>
      <c r="Z1310" s="5"/>
      <c r="AA1310" s="5"/>
      <c r="AB1310" s="5"/>
      <c r="AC1310" s="5"/>
      <c r="AD1310" s="5"/>
      <c r="AE1310" s="5"/>
      <c r="AF1310" s="5"/>
      <c r="AG1310" s="5"/>
    </row>
    <row r="1311" ht="15.75" customHeight="1">
      <c r="K1311" t="s">
        <v>2238</v>
      </c>
      <c r="L1311" t="str">
        <f>H105</f>
        <v>H1a1a4b4</v>
      </c>
      <c r="O1311">
        <v>2.8551685E7</v>
      </c>
      <c r="P1311">
        <v>2.6405538E7</v>
      </c>
      <c r="Q1311" t="s">
        <v>448</v>
      </c>
      <c r="R1311" s="5"/>
      <c r="S1311" s="5"/>
      <c r="T1311" s="5"/>
      <c r="U1311" s="5"/>
      <c r="V1311" s="5"/>
      <c r="W1311" s="5"/>
      <c r="X1311" s="5"/>
      <c r="Y1311" s="5"/>
      <c r="Z1311" s="5"/>
      <c r="AA1311" s="5"/>
      <c r="AB1311" s="5"/>
      <c r="AC1311" s="5"/>
      <c r="AD1311" s="5"/>
      <c r="AE1311" s="5"/>
      <c r="AF1311" s="5"/>
      <c r="AG1311" s="5"/>
    </row>
    <row r="1312" ht="15.75" customHeight="1">
      <c r="K1312" t="s">
        <v>2239</v>
      </c>
      <c r="L1312" t="str">
        <f>I106</f>
        <v>H1a1a4b4a</v>
      </c>
      <c r="N1312" t="s">
        <v>2240</v>
      </c>
      <c r="O1312">
        <v>8479325.0</v>
      </c>
      <c r="P1312">
        <v>8611284.0</v>
      </c>
      <c r="Q1312" t="s">
        <v>448</v>
      </c>
      <c r="R1312" s="5"/>
      <c r="S1312" s="5"/>
      <c r="T1312" s="5"/>
      <c r="U1312" s="5"/>
      <c r="V1312" s="5"/>
      <c r="W1312" s="5"/>
      <c r="X1312" s="5"/>
      <c r="Y1312" s="5"/>
      <c r="Z1312" s="5"/>
      <c r="AA1312" s="5"/>
      <c r="AB1312" s="5"/>
      <c r="AC1312" s="5"/>
      <c r="AD1312" s="5"/>
      <c r="AE1312" s="5"/>
      <c r="AF1312" s="5"/>
      <c r="AG1312" s="5"/>
    </row>
    <row r="1313" ht="15.75" customHeight="1">
      <c r="K1313" t="s">
        <v>2241</v>
      </c>
      <c r="L1313" t="str">
        <f>I106</f>
        <v>H1a1a4b4a</v>
      </c>
      <c r="M1313" t="s">
        <v>2242</v>
      </c>
      <c r="N1313" t="s">
        <v>2243</v>
      </c>
      <c r="O1313">
        <v>1.4155765E7</v>
      </c>
      <c r="P1313">
        <v>1.2035059E7</v>
      </c>
      <c r="Q1313" t="s">
        <v>423</v>
      </c>
      <c r="R1313" s="5"/>
      <c r="S1313" s="5"/>
      <c r="T1313" s="5"/>
      <c r="U1313" s="5"/>
      <c r="V1313" s="5"/>
      <c r="W1313" s="5"/>
      <c r="X1313" s="5"/>
      <c r="Y1313" s="5"/>
      <c r="Z1313" s="5"/>
      <c r="AA1313" s="5"/>
      <c r="AB1313" s="5"/>
      <c r="AC1313" s="5"/>
      <c r="AD1313" s="5"/>
      <c r="AE1313" s="5"/>
      <c r="AF1313" s="5"/>
      <c r="AG1313" s="5"/>
    </row>
    <row r="1314" ht="15.75" customHeight="1">
      <c r="K1314" t="s">
        <v>2244</v>
      </c>
      <c r="L1314" t="str">
        <f>I106</f>
        <v>H1a1a4b4a</v>
      </c>
      <c r="M1314" t="s">
        <v>2245</v>
      </c>
      <c r="N1314" t="s">
        <v>2243</v>
      </c>
      <c r="O1314">
        <v>1.4155765E7</v>
      </c>
      <c r="P1314">
        <v>1.2035059E7</v>
      </c>
      <c r="Q1314" t="s">
        <v>423</v>
      </c>
      <c r="R1314" s="5"/>
      <c r="S1314" s="5"/>
      <c r="T1314" s="5"/>
      <c r="U1314" s="5"/>
      <c r="V1314" s="5"/>
      <c r="W1314" s="5"/>
      <c r="X1314" s="5"/>
      <c r="Y1314" s="5"/>
      <c r="Z1314" s="5"/>
      <c r="AA1314" s="5"/>
      <c r="AB1314" s="5"/>
      <c r="AC1314" s="5"/>
      <c r="AD1314" s="5"/>
      <c r="AE1314" s="5"/>
      <c r="AF1314" s="5"/>
      <c r="AG1314" s="5"/>
    </row>
    <row r="1315" ht="15.75" customHeight="1">
      <c r="K1315" t="s">
        <v>2246</v>
      </c>
      <c r="L1315" t="str">
        <f>I106</f>
        <v>H1a1a4b4a</v>
      </c>
      <c r="M1315" t="s">
        <v>2247</v>
      </c>
      <c r="N1315" t="s">
        <v>2243</v>
      </c>
      <c r="O1315">
        <v>1.4155765E7</v>
      </c>
      <c r="P1315">
        <v>1.2035059E7</v>
      </c>
      <c r="Q1315" t="s">
        <v>423</v>
      </c>
      <c r="R1315" s="5"/>
      <c r="S1315" s="5"/>
      <c r="T1315" s="5"/>
      <c r="U1315" s="5"/>
      <c r="V1315" s="5"/>
      <c r="W1315" s="5"/>
      <c r="X1315" s="5"/>
      <c r="Y1315" s="5"/>
      <c r="Z1315" s="5"/>
      <c r="AA1315" s="5"/>
      <c r="AB1315" s="5"/>
      <c r="AC1315" s="5"/>
      <c r="AD1315" s="5"/>
      <c r="AE1315" s="5"/>
      <c r="AF1315" s="5"/>
      <c r="AG1315" s="5"/>
    </row>
    <row r="1316" ht="15.75" customHeight="1">
      <c r="K1316" t="s">
        <v>2248</v>
      </c>
      <c r="L1316" t="str">
        <f>I106</f>
        <v>H1a1a4b4a</v>
      </c>
      <c r="N1316" t="s">
        <v>2249</v>
      </c>
      <c r="O1316">
        <v>8626287.0</v>
      </c>
      <c r="P1316">
        <v>8758246.0</v>
      </c>
      <c r="Q1316" t="s">
        <v>419</v>
      </c>
      <c r="R1316" s="5"/>
      <c r="S1316" s="5"/>
      <c r="T1316" s="5"/>
      <c r="U1316" s="5"/>
      <c r="V1316" s="5"/>
      <c r="W1316" s="5"/>
      <c r="X1316" s="5"/>
      <c r="Y1316" s="5"/>
      <c r="Z1316" s="5"/>
      <c r="AA1316" s="5"/>
      <c r="AB1316" s="5"/>
      <c r="AC1316" s="5"/>
      <c r="AD1316" s="5"/>
      <c r="AE1316" s="5"/>
      <c r="AF1316" s="5"/>
      <c r="AG1316" s="5"/>
    </row>
    <row r="1317" ht="15.75" customHeight="1">
      <c r="K1317" t="s">
        <v>2250</v>
      </c>
      <c r="L1317" t="str">
        <f>I106</f>
        <v>H1a1a4b4a</v>
      </c>
      <c r="N1317" t="s">
        <v>2251</v>
      </c>
      <c r="O1317">
        <v>1.6344015E7</v>
      </c>
      <c r="P1317">
        <v>1.4232135E7</v>
      </c>
      <c r="Q1317" t="s">
        <v>431</v>
      </c>
      <c r="R1317" s="5"/>
      <c r="S1317" s="5"/>
      <c r="T1317" s="5"/>
      <c r="U1317" s="5"/>
      <c r="V1317" s="5"/>
      <c r="W1317" s="5"/>
      <c r="X1317" s="5"/>
      <c r="Y1317" s="5"/>
      <c r="Z1317" s="5"/>
      <c r="AA1317" s="5"/>
      <c r="AB1317" s="5"/>
      <c r="AC1317" s="5"/>
      <c r="AD1317" s="5"/>
      <c r="AE1317" s="5"/>
      <c r="AF1317" s="5"/>
      <c r="AG1317" s="5"/>
    </row>
    <row r="1318" ht="15.75" customHeight="1">
      <c r="K1318" t="s">
        <v>2252</v>
      </c>
      <c r="L1318" t="str">
        <f>I106</f>
        <v>H1a1a4b4a</v>
      </c>
      <c r="N1318" t="s">
        <v>2253</v>
      </c>
      <c r="O1318">
        <v>1.7561675E7</v>
      </c>
      <c r="P1318">
        <v>1.5449795E7</v>
      </c>
      <c r="Q1318" t="s">
        <v>525</v>
      </c>
      <c r="R1318" s="5"/>
      <c r="S1318" s="5"/>
      <c r="T1318" s="5"/>
      <c r="U1318" s="5"/>
      <c r="V1318" s="5"/>
      <c r="W1318" s="5"/>
      <c r="X1318" s="5"/>
      <c r="Y1318" s="5"/>
      <c r="Z1318" s="5"/>
      <c r="AA1318" s="5"/>
      <c r="AB1318" s="5"/>
      <c r="AC1318" s="5"/>
      <c r="AD1318" s="5"/>
      <c r="AE1318" s="5"/>
      <c r="AF1318" s="5"/>
      <c r="AG1318" s="5"/>
    </row>
    <row r="1319" ht="15.75" customHeight="1">
      <c r="K1319" t="s">
        <v>2254</v>
      </c>
      <c r="L1319" t="str">
        <f>I106</f>
        <v>H1a1a4b4a</v>
      </c>
      <c r="O1319">
        <v>2.2521487E7</v>
      </c>
      <c r="P1319">
        <v>2.0359601E7</v>
      </c>
      <c r="Q1319" t="s">
        <v>427</v>
      </c>
      <c r="R1319" s="5"/>
      <c r="S1319" s="5"/>
      <c r="T1319" s="5"/>
      <c r="U1319" s="5"/>
      <c r="V1319" s="5"/>
      <c r="W1319" s="5"/>
      <c r="X1319" s="5"/>
      <c r="Y1319" s="5"/>
      <c r="Z1319" s="5"/>
      <c r="AA1319" s="5"/>
      <c r="AB1319" s="5"/>
      <c r="AC1319" s="5"/>
      <c r="AD1319" s="5"/>
      <c r="AE1319" s="5"/>
      <c r="AF1319" s="5"/>
      <c r="AG1319" s="5"/>
    </row>
    <row r="1320" ht="15.75" customHeight="1">
      <c r="K1320" t="s">
        <v>2255</v>
      </c>
      <c r="L1320" t="str">
        <f>I106</f>
        <v>H1a1a4b4a</v>
      </c>
      <c r="N1320" t="s">
        <v>2256</v>
      </c>
      <c r="O1320">
        <v>2.2549147E7</v>
      </c>
      <c r="P1320">
        <v>2.0387261E7</v>
      </c>
      <c r="Q1320" t="s">
        <v>419</v>
      </c>
      <c r="R1320" s="5"/>
      <c r="S1320" s="5"/>
      <c r="T1320" s="5"/>
      <c r="U1320" s="5"/>
      <c r="V1320" s="5"/>
      <c r="W1320" s="5"/>
      <c r="X1320" s="5"/>
      <c r="Y1320" s="5"/>
      <c r="Z1320" s="5"/>
      <c r="AA1320" s="5"/>
      <c r="AB1320" s="5"/>
      <c r="AC1320" s="5"/>
      <c r="AD1320" s="5"/>
      <c r="AE1320" s="5"/>
      <c r="AF1320" s="5"/>
      <c r="AG1320" s="5"/>
    </row>
    <row r="1321" ht="15.75" customHeight="1">
      <c r="K1321" t="s">
        <v>2257</v>
      </c>
      <c r="L1321" t="str">
        <f>I106</f>
        <v>H1a1a4b4a</v>
      </c>
      <c r="N1321" t="s">
        <v>2258</v>
      </c>
      <c r="O1321">
        <v>2.3064545E7</v>
      </c>
      <c r="P1321">
        <v>2.0902659E7</v>
      </c>
      <c r="Q1321" t="s">
        <v>419</v>
      </c>
      <c r="R1321" s="5"/>
      <c r="S1321" s="5"/>
      <c r="T1321" s="5"/>
      <c r="U1321" s="5"/>
      <c r="V1321" s="5"/>
      <c r="W1321" s="5"/>
      <c r="X1321" s="5"/>
      <c r="Y1321" s="5"/>
      <c r="Z1321" s="5"/>
      <c r="AA1321" s="5"/>
      <c r="AB1321" s="5"/>
      <c r="AC1321" s="5"/>
      <c r="AD1321" s="5"/>
      <c r="AE1321" s="5"/>
      <c r="AF1321" s="5"/>
      <c r="AG1321" s="5"/>
    </row>
    <row r="1322" ht="15.75" customHeight="1">
      <c r="K1322" t="s">
        <v>2259</v>
      </c>
      <c r="L1322" t="str">
        <f>I106</f>
        <v>H1a1a4b4a</v>
      </c>
      <c r="N1322" t="s">
        <v>2260</v>
      </c>
      <c r="O1322">
        <v>2.3313061E7</v>
      </c>
      <c r="P1322">
        <v>2.1151175E7</v>
      </c>
      <c r="Q1322" t="s">
        <v>419</v>
      </c>
      <c r="R1322" s="5"/>
      <c r="S1322" s="5"/>
      <c r="T1322" s="5"/>
      <c r="U1322" s="5"/>
      <c r="V1322" s="5"/>
      <c r="W1322" s="5"/>
      <c r="X1322" s="5"/>
      <c r="Y1322" s="5"/>
      <c r="Z1322" s="5"/>
      <c r="AA1322" s="5"/>
      <c r="AB1322" s="5"/>
      <c r="AC1322" s="5"/>
      <c r="AD1322" s="5"/>
      <c r="AE1322" s="5"/>
      <c r="AF1322" s="5"/>
      <c r="AG1322" s="5"/>
    </row>
    <row r="1323" ht="15.75" customHeight="1">
      <c r="K1323" t="s">
        <v>2261</v>
      </c>
      <c r="L1323" t="str">
        <f>I106</f>
        <v>H1a1a4b4a</v>
      </c>
      <c r="N1323" t="s">
        <v>2262</v>
      </c>
      <c r="O1323">
        <v>8321399.0</v>
      </c>
      <c r="P1323">
        <v>8453358.0</v>
      </c>
      <c r="Q1323" t="s">
        <v>452</v>
      </c>
      <c r="R1323" s="5"/>
      <c r="S1323" s="5"/>
      <c r="T1323" s="5"/>
      <c r="U1323" s="5"/>
      <c r="V1323" s="5"/>
      <c r="W1323" s="5"/>
      <c r="X1323" s="5"/>
      <c r="Y1323" s="5"/>
      <c r="Z1323" s="5"/>
      <c r="AA1323" s="5"/>
      <c r="AB1323" s="5"/>
      <c r="AC1323" s="5"/>
      <c r="AD1323" s="5"/>
      <c r="AE1323" s="5"/>
      <c r="AF1323" s="5"/>
      <c r="AG1323" s="5"/>
    </row>
    <row r="1324" ht="15.75" customHeight="1">
      <c r="K1324" t="s">
        <v>2263</v>
      </c>
      <c r="L1324" t="str">
        <f>I106</f>
        <v>H1a1a4b4a</v>
      </c>
      <c r="N1324" t="s">
        <v>2264</v>
      </c>
      <c r="O1324">
        <v>1.9346695E7</v>
      </c>
      <c r="P1324">
        <v>1.7234815E7</v>
      </c>
      <c r="Q1324" t="s">
        <v>427</v>
      </c>
      <c r="R1324" s="5"/>
      <c r="S1324" s="5"/>
      <c r="T1324" s="5"/>
      <c r="U1324" s="5"/>
      <c r="V1324" s="5"/>
      <c r="W1324" s="5"/>
      <c r="X1324" s="5"/>
      <c r="Y1324" s="5"/>
      <c r="Z1324" s="5"/>
      <c r="AA1324" s="5"/>
      <c r="AB1324" s="5"/>
      <c r="AC1324" s="5"/>
      <c r="AD1324" s="5"/>
      <c r="AE1324" s="5"/>
      <c r="AF1324" s="5"/>
      <c r="AG1324" s="5"/>
    </row>
    <row r="1325" ht="15.75" customHeight="1">
      <c r="K1325" t="s">
        <v>2265</v>
      </c>
      <c r="L1325" t="str">
        <f t="shared" ref="L1325:L1326" si="29">I106</f>
        <v>H1a1a4b4a</v>
      </c>
      <c r="N1325" t="s">
        <v>2266</v>
      </c>
      <c r="O1325">
        <v>2.2690628E7</v>
      </c>
      <c r="P1325">
        <v>2.0528742E7</v>
      </c>
      <c r="Q1325" t="s">
        <v>419</v>
      </c>
      <c r="R1325" s="5"/>
      <c r="S1325" s="5"/>
      <c r="T1325" s="5"/>
      <c r="U1325" s="5"/>
      <c r="V1325" s="5"/>
      <c r="W1325" s="5"/>
      <c r="X1325" s="5"/>
      <c r="Y1325" s="5"/>
      <c r="Z1325" s="5"/>
      <c r="AA1325" s="5"/>
      <c r="AB1325" s="5"/>
      <c r="AC1325" s="5"/>
      <c r="AD1325" s="5"/>
      <c r="AE1325" s="5"/>
      <c r="AF1325" s="5"/>
      <c r="AG1325" s="5"/>
    </row>
    <row r="1326" ht="15.75" customHeight="1">
      <c r="K1326" t="s">
        <v>2248</v>
      </c>
      <c r="L1326" t="str">
        <f t="shared" si="29"/>
        <v>H1a1a4b4a~</v>
      </c>
      <c r="N1326" t="s">
        <v>2249</v>
      </c>
      <c r="O1326">
        <v>8626287.0</v>
      </c>
      <c r="P1326">
        <v>8758246.0</v>
      </c>
      <c r="Q1326" t="s">
        <v>419</v>
      </c>
      <c r="R1326" s="5"/>
      <c r="S1326" s="5"/>
      <c r="T1326" s="5"/>
      <c r="U1326" s="5"/>
      <c r="V1326" s="5"/>
      <c r="W1326" s="5"/>
      <c r="X1326" s="5"/>
      <c r="Y1326" s="5"/>
      <c r="Z1326" s="5"/>
      <c r="AA1326" s="5"/>
      <c r="AB1326" s="5"/>
      <c r="AC1326" s="5"/>
      <c r="AD1326" s="5"/>
      <c r="AE1326" s="5"/>
      <c r="AF1326" s="5"/>
      <c r="AG1326" s="5"/>
    </row>
    <row r="1327" ht="15.75" customHeight="1">
      <c r="K1327" t="s">
        <v>2252</v>
      </c>
      <c r="L1327" t="str">
        <f>I107</f>
        <v>H1a1a4b4a~</v>
      </c>
      <c r="N1327" t="s">
        <v>2253</v>
      </c>
      <c r="O1327">
        <v>1.7561675E7</v>
      </c>
      <c r="P1327">
        <v>1.5449795E7</v>
      </c>
      <c r="Q1327" t="s">
        <v>525</v>
      </c>
      <c r="R1327" s="5"/>
      <c r="S1327" s="5"/>
      <c r="T1327" s="5"/>
      <c r="U1327" s="5"/>
      <c r="V1327" s="5"/>
      <c r="W1327" s="5"/>
      <c r="X1327" s="5"/>
      <c r="Y1327" s="5"/>
      <c r="Z1327" s="5"/>
      <c r="AA1327" s="5"/>
      <c r="AB1327" s="5"/>
      <c r="AC1327" s="5"/>
      <c r="AD1327" s="5"/>
      <c r="AE1327" s="5"/>
      <c r="AF1327" s="5"/>
      <c r="AG1327" s="5"/>
    </row>
    <row r="1328" ht="15.75" customHeight="1">
      <c r="K1328" t="s">
        <v>2254</v>
      </c>
      <c r="L1328" t="str">
        <f>I107</f>
        <v>H1a1a4b4a~</v>
      </c>
      <c r="O1328">
        <v>2.2521487E7</v>
      </c>
      <c r="P1328">
        <v>2.0359601E7</v>
      </c>
      <c r="Q1328" t="s">
        <v>427</v>
      </c>
      <c r="R1328" s="5"/>
      <c r="S1328" s="5"/>
      <c r="T1328" s="5"/>
      <c r="U1328" s="5"/>
      <c r="V1328" s="5"/>
      <c r="W1328" s="5"/>
      <c r="X1328" s="5"/>
      <c r="Y1328" s="5"/>
      <c r="Z1328" s="5"/>
      <c r="AA1328" s="5"/>
      <c r="AB1328" s="5"/>
      <c r="AC1328" s="5"/>
      <c r="AD1328" s="5"/>
      <c r="AE1328" s="5"/>
      <c r="AF1328" s="5"/>
      <c r="AG1328" s="5"/>
    </row>
    <row r="1329" ht="15.75" customHeight="1">
      <c r="K1329" t="s">
        <v>2259</v>
      </c>
      <c r="L1329" t="str">
        <f>I107</f>
        <v>H1a1a4b4a~</v>
      </c>
      <c r="N1329" t="s">
        <v>2260</v>
      </c>
      <c r="O1329">
        <v>2.3313061E7</v>
      </c>
      <c r="P1329">
        <v>2.1151175E7</v>
      </c>
      <c r="Q1329" t="s">
        <v>419</v>
      </c>
      <c r="R1329" s="5"/>
      <c r="S1329" s="5"/>
      <c r="T1329" s="5"/>
      <c r="U1329" s="5"/>
      <c r="V1329" s="5"/>
      <c r="W1329" s="5"/>
      <c r="X1329" s="5"/>
      <c r="Y1329" s="5"/>
      <c r="Z1329" s="5"/>
      <c r="AA1329" s="5"/>
      <c r="AB1329" s="5"/>
      <c r="AC1329" s="5"/>
      <c r="AD1329" s="5"/>
      <c r="AE1329" s="5"/>
      <c r="AF1329" s="5"/>
      <c r="AG1329" s="5"/>
    </row>
    <row r="1330" ht="15.75" customHeight="1">
      <c r="K1330" t="s">
        <v>2261</v>
      </c>
      <c r="L1330" t="str">
        <f>I107</f>
        <v>H1a1a4b4a~</v>
      </c>
      <c r="N1330" t="s">
        <v>2262</v>
      </c>
      <c r="O1330">
        <v>8321399.0</v>
      </c>
      <c r="P1330">
        <v>8453358.0</v>
      </c>
      <c r="Q1330" t="s">
        <v>452</v>
      </c>
      <c r="R1330" s="5"/>
      <c r="S1330" s="5"/>
      <c r="T1330" s="5"/>
      <c r="U1330" s="5"/>
      <c r="V1330" s="5"/>
      <c r="W1330" s="5"/>
      <c r="X1330" s="5"/>
      <c r="Y1330" s="5"/>
      <c r="Z1330" s="5"/>
      <c r="AA1330" s="5"/>
      <c r="AB1330" s="5"/>
      <c r="AC1330" s="5"/>
      <c r="AD1330" s="5"/>
      <c r="AE1330" s="5"/>
      <c r="AF1330" s="5"/>
      <c r="AG1330" s="5"/>
    </row>
    <row r="1331" ht="15.75" customHeight="1">
      <c r="K1331" t="s">
        <v>2265</v>
      </c>
      <c r="L1331" t="str">
        <f>I107</f>
        <v>H1a1a4b4a~</v>
      </c>
      <c r="N1331" t="s">
        <v>2266</v>
      </c>
      <c r="O1331">
        <v>2.2690628E7</v>
      </c>
      <c r="P1331">
        <v>2.0528742E7</v>
      </c>
      <c r="Q1331" t="s">
        <v>419</v>
      </c>
      <c r="R1331" s="5"/>
      <c r="S1331" s="5"/>
      <c r="T1331" s="5"/>
      <c r="U1331" s="5"/>
      <c r="V1331" s="5"/>
      <c r="W1331" s="5"/>
      <c r="X1331" s="5"/>
      <c r="Y1331" s="5"/>
      <c r="Z1331" s="5"/>
      <c r="AA1331" s="5"/>
      <c r="AB1331" s="5"/>
      <c r="AC1331" s="5"/>
      <c r="AD1331" s="5"/>
      <c r="AE1331" s="5"/>
      <c r="AF1331" s="5"/>
      <c r="AG1331" s="5"/>
    </row>
    <row r="1332" ht="15.75" customHeight="1">
      <c r="K1332" t="s">
        <v>2267</v>
      </c>
      <c r="L1332" t="str">
        <f>J108</f>
        <v>H1a1a4b4a1~</v>
      </c>
      <c r="N1332" t="s">
        <v>2268</v>
      </c>
      <c r="O1332">
        <v>1.9009804E7</v>
      </c>
      <c r="P1332">
        <v>1.6897924E7</v>
      </c>
      <c r="Q1332" t="s">
        <v>419</v>
      </c>
      <c r="R1332" s="5"/>
      <c r="S1332" s="5"/>
      <c r="T1332" s="5"/>
      <c r="U1332" s="5"/>
      <c r="V1332" s="5"/>
      <c r="W1332" s="5"/>
      <c r="X1332" s="5"/>
      <c r="Y1332" s="5"/>
      <c r="Z1332" s="5"/>
      <c r="AA1332" s="5"/>
      <c r="AB1332" s="5"/>
      <c r="AC1332" s="5"/>
      <c r="AD1332" s="5"/>
      <c r="AE1332" s="5"/>
      <c r="AF1332" s="5"/>
      <c r="AG1332" s="5"/>
    </row>
    <row r="1333" ht="15.75" customHeight="1">
      <c r="K1333" t="s">
        <v>2269</v>
      </c>
      <c r="L1333" t="str">
        <f>J108</f>
        <v>H1a1a4b4a1~</v>
      </c>
      <c r="N1333" t="s">
        <v>2270</v>
      </c>
      <c r="O1333">
        <v>2.083588E7</v>
      </c>
      <c r="P1333">
        <v>1.8673994E7</v>
      </c>
      <c r="Q1333" t="s">
        <v>423</v>
      </c>
      <c r="R1333" s="5"/>
      <c r="S1333" s="5"/>
      <c r="T1333" s="5"/>
      <c r="U1333" s="5"/>
      <c r="V1333" s="5"/>
      <c r="W1333" s="5"/>
      <c r="X1333" s="5"/>
      <c r="Y1333" s="5"/>
      <c r="Z1333" s="5"/>
      <c r="AA1333" s="5"/>
      <c r="AB1333" s="5"/>
      <c r="AC1333" s="5"/>
      <c r="AD1333" s="5"/>
      <c r="AE1333" s="5"/>
      <c r="AF1333" s="5"/>
      <c r="AG1333" s="5"/>
    </row>
    <row r="1334" ht="15.75" customHeight="1">
      <c r="K1334" t="s">
        <v>2271</v>
      </c>
      <c r="L1334" t="str">
        <f>J108</f>
        <v>H1a1a4b4a1~</v>
      </c>
      <c r="N1334" t="s">
        <v>2272</v>
      </c>
      <c r="O1334">
        <v>7662230.0</v>
      </c>
      <c r="P1334">
        <v>7794189.0</v>
      </c>
      <c r="Q1334" t="s">
        <v>431</v>
      </c>
      <c r="R1334" s="5"/>
      <c r="S1334" s="5"/>
      <c r="T1334" s="5"/>
      <c r="U1334" s="5"/>
      <c r="V1334" s="5"/>
      <c r="W1334" s="5"/>
      <c r="X1334" s="5"/>
      <c r="Y1334" s="5"/>
      <c r="Z1334" s="5"/>
      <c r="AA1334" s="5"/>
      <c r="AB1334" s="5"/>
      <c r="AC1334" s="5"/>
      <c r="AD1334" s="5"/>
      <c r="AE1334" s="5"/>
      <c r="AF1334" s="5"/>
      <c r="AG1334" s="5"/>
    </row>
    <row r="1335" ht="15.75" customHeight="1">
      <c r="K1335" t="s">
        <v>2273</v>
      </c>
      <c r="L1335" t="str">
        <f t="shared" ref="L1335:L1336" si="30">J108</f>
        <v>H1a1a4b4a1~</v>
      </c>
      <c r="O1335">
        <v>2.1187835E7</v>
      </c>
      <c r="P1335">
        <v>1.9025949E7</v>
      </c>
      <c r="Q1335" t="s">
        <v>423</v>
      </c>
      <c r="R1335" s="5"/>
      <c r="S1335" s="5"/>
      <c r="T1335" s="5"/>
      <c r="U1335" s="5"/>
      <c r="V1335" s="5"/>
      <c r="W1335" s="5"/>
      <c r="X1335" s="5"/>
      <c r="Y1335" s="5"/>
      <c r="Z1335" s="5"/>
      <c r="AA1335" s="5"/>
      <c r="AB1335" s="5"/>
      <c r="AC1335" s="5"/>
      <c r="AD1335" s="5"/>
      <c r="AE1335" s="5"/>
      <c r="AF1335" s="5"/>
      <c r="AG1335" s="5"/>
    </row>
    <row r="1336" ht="15.75" customHeight="1">
      <c r="K1336" t="s">
        <v>2274</v>
      </c>
      <c r="L1336" t="str">
        <f t="shared" si="30"/>
        <v>H1a1a4b4a2~</v>
      </c>
      <c r="O1336">
        <v>6753153.0</v>
      </c>
      <c r="P1336">
        <v>6885112.0</v>
      </c>
      <c r="Q1336" t="s">
        <v>448</v>
      </c>
      <c r="R1336" s="5"/>
      <c r="S1336" s="5"/>
      <c r="T1336" s="5"/>
      <c r="U1336" s="5"/>
      <c r="V1336" s="5"/>
      <c r="W1336" s="5"/>
      <c r="X1336" s="5"/>
      <c r="Y1336" s="5"/>
      <c r="Z1336" s="5"/>
      <c r="AA1336" s="5"/>
      <c r="AB1336" s="5"/>
      <c r="AC1336" s="5"/>
      <c r="AD1336" s="5"/>
      <c r="AE1336" s="5"/>
      <c r="AF1336" s="5"/>
      <c r="AG1336" s="5"/>
    </row>
    <row r="1337" ht="15.75" customHeight="1">
      <c r="K1337" t="s">
        <v>2275</v>
      </c>
      <c r="L1337" t="str">
        <f>J109</f>
        <v>H1a1a4b4a2~</v>
      </c>
      <c r="O1337">
        <v>1.4499281E7</v>
      </c>
      <c r="P1337">
        <v>1.2387486E7</v>
      </c>
      <c r="Q1337" t="s">
        <v>419</v>
      </c>
      <c r="R1337" s="5"/>
      <c r="S1337" s="5"/>
      <c r="T1337" s="5"/>
      <c r="U1337" s="5"/>
      <c r="V1337" s="5"/>
      <c r="W1337" s="5"/>
      <c r="X1337" s="5"/>
      <c r="Y1337" s="5"/>
      <c r="Z1337" s="5"/>
      <c r="AA1337" s="5"/>
      <c r="AB1337" s="5"/>
      <c r="AC1337" s="5"/>
      <c r="AD1337" s="5"/>
      <c r="AE1337" s="5"/>
      <c r="AF1337" s="5"/>
      <c r="AG1337" s="5"/>
    </row>
    <row r="1338" ht="15.75" customHeight="1">
      <c r="K1338" t="s">
        <v>2276</v>
      </c>
      <c r="L1338" t="str">
        <f>J109</f>
        <v>H1a1a4b4a2~</v>
      </c>
      <c r="O1338">
        <v>1.549581E7</v>
      </c>
      <c r="P1338">
        <v>1.338393E7</v>
      </c>
      <c r="Q1338" t="s">
        <v>431</v>
      </c>
      <c r="R1338" s="5"/>
      <c r="S1338" s="5"/>
      <c r="T1338" s="5"/>
      <c r="U1338" s="5"/>
      <c r="V1338" s="5"/>
      <c r="W1338" s="5"/>
      <c r="X1338" s="5"/>
      <c r="Y1338" s="5"/>
      <c r="Z1338" s="5"/>
      <c r="AA1338" s="5"/>
      <c r="AB1338" s="5"/>
      <c r="AC1338" s="5"/>
      <c r="AD1338" s="5"/>
      <c r="AE1338" s="5"/>
      <c r="AF1338" s="5"/>
      <c r="AG1338" s="5"/>
    </row>
    <row r="1339" ht="15.75" customHeight="1">
      <c r="K1339" t="s">
        <v>2277</v>
      </c>
      <c r="L1339" t="str">
        <f>J109</f>
        <v>H1a1a4b4a2~</v>
      </c>
      <c r="O1339">
        <v>1.8557446E7</v>
      </c>
      <c r="P1339">
        <v>1.6445566E7</v>
      </c>
      <c r="Q1339" t="s">
        <v>431</v>
      </c>
      <c r="R1339" s="5"/>
      <c r="S1339" s="5"/>
      <c r="T1339" s="5"/>
      <c r="U1339" s="5"/>
      <c r="V1339" s="5"/>
      <c r="W1339" s="5"/>
      <c r="X1339" s="5"/>
      <c r="Y1339" s="5"/>
      <c r="Z1339" s="5"/>
      <c r="AA1339" s="5"/>
      <c r="AB1339" s="5"/>
      <c r="AC1339" s="5"/>
      <c r="AD1339" s="5"/>
      <c r="AE1339" s="5"/>
      <c r="AF1339" s="5"/>
      <c r="AG1339" s="5"/>
    </row>
    <row r="1340" ht="15.75" customHeight="1">
      <c r="K1340" t="s">
        <v>2278</v>
      </c>
      <c r="L1340" t="str">
        <f>J109</f>
        <v>H1a1a4b4a2~</v>
      </c>
      <c r="N1340" t="s">
        <v>2279</v>
      </c>
      <c r="O1340">
        <v>1.8982389E7</v>
      </c>
      <c r="P1340">
        <v>1.6870509E7</v>
      </c>
      <c r="Q1340" t="s">
        <v>435</v>
      </c>
      <c r="R1340" s="5"/>
      <c r="S1340" s="5"/>
      <c r="T1340" s="5"/>
      <c r="U1340" s="5"/>
      <c r="V1340" s="5"/>
      <c r="W1340" s="5"/>
      <c r="X1340" s="5"/>
      <c r="Y1340" s="5"/>
      <c r="Z1340" s="5"/>
      <c r="AA1340" s="5"/>
      <c r="AB1340" s="5"/>
      <c r="AC1340" s="5"/>
      <c r="AD1340" s="5"/>
      <c r="AE1340" s="5"/>
      <c r="AF1340" s="5"/>
      <c r="AG1340" s="5"/>
    </row>
    <row r="1341" ht="15.75" customHeight="1">
      <c r="K1341" t="s">
        <v>2280</v>
      </c>
      <c r="L1341" t="str">
        <f>I110</f>
        <v>H1a1a4b4b~</v>
      </c>
      <c r="O1341">
        <v>2822299.0</v>
      </c>
      <c r="P1341">
        <v>2954258.0</v>
      </c>
      <c r="Q1341" t="s">
        <v>419</v>
      </c>
      <c r="R1341" s="5"/>
      <c r="S1341" s="5"/>
      <c r="T1341" s="5"/>
      <c r="U1341" s="5"/>
      <c r="V1341" s="5"/>
      <c r="W1341" s="5"/>
      <c r="X1341" s="5"/>
      <c r="Y1341" s="5"/>
      <c r="Z1341" s="5"/>
      <c r="AA1341" s="5"/>
      <c r="AB1341" s="5"/>
      <c r="AC1341" s="5"/>
      <c r="AD1341" s="5"/>
      <c r="AE1341" s="5"/>
      <c r="AF1341" s="5"/>
      <c r="AG1341" s="5"/>
    </row>
    <row r="1342" ht="15.75" customHeight="1">
      <c r="K1342" t="s">
        <v>2281</v>
      </c>
      <c r="L1342" t="str">
        <f>I110</f>
        <v>H1a1a4b4b~</v>
      </c>
      <c r="N1342" t="s">
        <v>2282</v>
      </c>
      <c r="O1342">
        <v>7528895.0</v>
      </c>
      <c r="P1342">
        <v>7660854.0</v>
      </c>
      <c r="Q1342" t="s">
        <v>419</v>
      </c>
      <c r="R1342" s="5"/>
      <c r="S1342" s="5"/>
      <c r="T1342" s="5"/>
      <c r="U1342" s="5"/>
      <c r="V1342" s="5"/>
      <c r="W1342" s="5"/>
      <c r="X1342" s="5"/>
      <c r="Y1342" s="5"/>
      <c r="Z1342" s="5"/>
      <c r="AA1342" s="5"/>
      <c r="AB1342" s="5"/>
      <c r="AC1342" s="5"/>
      <c r="AD1342" s="5"/>
      <c r="AE1342" s="5"/>
      <c r="AF1342" s="5"/>
      <c r="AG1342" s="5"/>
    </row>
    <row r="1343" ht="15.75" customHeight="1">
      <c r="K1343" t="s">
        <v>2283</v>
      </c>
      <c r="L1343" t="str">
        <f>I110</f>
        <v>H1a1a4b4b~</v>
      </c>
      <c r="N1343" t="s">
        <v>2284</v>
      </c>
      <c r="O1343">
        <v>8492702.0</v>
      </c>
      <c r="P1343">
        <v>8624661.0</v>
      </c>
      <c r="Q1343" t="s">
        <v>419</v>
      </c>
      <c r="R1343" s="5"/>
      <c r="S1343" s="5"/>
      <c r="T1343" s="5"/>
      <c r="U1343" s="5"/>
      <c r="V1343" s="5"/>
      <c r="W1343" s="5"/>
      <c r="X1343" s="5"/>
      <c r="Y1343" s="5"/>
      <c r="Z1343" s="5"/>
      <c r="AA1343" s="5"/>
      <c r="AB1343" s="5"/>
      <c r="AC1343" s="5"/>
      <c r="AD1343" s="5"/>
      <c r="AE1343" s="5"/>
      <c r="AF1343" s="5"/>
      <c r="AG1343" s="5"/>
    </row>
    <row r="1344" ht="15.75" customHeight="1">
      <c r="K1344" s="66" t="s">
        <v>2285</v>
      </c>
      <c r="L1344" t="str">
        <f>I110</f>
        <v>H1a1a4b4b~</v>
      </c>
      <c r="O1344">
        <v>1.8786574E7</v>
      </c>
      <c r="P1344">
        <v>1.6674694E7</v>
      </c>
      <c r="Q1344" t="s">
        <v>525</v>
      </c>
      <c r="R1344" s="5"/>
      <c r="S1344" s="5"/>
      <c r="T1344" s="5"/>
      <c r="U1344" s="5"/>
      <c r="V1344" s="5"/>
      <c r="W1344" s="5"/>
      <c r="X1344" s="5"/>
      <c r="Y1344" s="5"/>
      <c r="Z1344" s="5"/>
      <c r="AA1344" s="5"/>
      <c r="AB1344" s="5"/>
      <c r="AC1344" s="5"/>
      <c r="AD1344" s="5"/>
      <c r="AE1344" s="5"/>
      <c r="AF1344" s="5"/>
      <c r="AG1344" s="5"/>
    </row>
    <row r="1345" ht="15.75" customHeight="1">
      <c r="K1345" t="s">
        <v>2286</v>
      </c>
      <c r="L1345" t="str">
        <f>H111</f>
        <v>H1a1a4b5~</v>
      </c>
      <c r="N1345" t="s">
        <v>2287</v>
      </c>
      <c r="O1345">
        <v>2865582.0</v>
      </c>
      <c r="P1345">
        <v>2997541.0</v>
      </c>
      <c r="Q1345" t="s">
        <v>423</v>
      </c>
      <c r="R1345" s="5"/>
      <c r="S1345" s="5"/>
      <c r="T1345" s="5"/>
      <c r="U1345" s="5"/>
      <c r="V1345" s="5"/>
      <c r="W1345" s="5"/>
      <c r="X1345" s="5"/>
      <c r="Y1345" s="5"/>
      <c r="Z1345" s="5"/>
      <c r="AA1345" s="5"/>
      <c r="AB1345" s="5"/>
      <c r="AC1345" s="5"/>
      <c r="AD1345" s="5"/>
      <c r="AE1345" s="5"/>
      <c r="AF1345" s="5"/>
      <c r="AG1345" s="5"/>
    </row>
    <row r="1346" ht="15.75" customHeight="1">
      <c r="K1346" t="s">
        <v>2288</v>
      </c>
      <c r="L1346" t="str">
        <f>H111</f>
        <v>H1a1a4b5~</v>
      </c>
      <c r="N1346" t="s">
        <v>2289</v>
      </c>
      <c r="O1346">
        <v>2684680.0</v>
      </c>
      <c r="P1346">
        <v>2816639.0</v>
      </c>
      <c r="Q1346" t="s">
        <v>459</v>
      </c>
      <c r="R1346" s="5"/>
      <c r="S1346" s="5"/>
      <c r="T1346" s="5"/>
      <c r="U1346" s="5"/>
      <c r="V1346" s="5"/>
      <c r="W1346" s="5"/>
      <c r="X1346" s="5"/>
      <c r="Y1346" s="5"/>
      <c r="Z1346" s="5"/>
      <c r="AA1346" s="5"/>
      <c r="AB1346" s="5"/>
      <c r="AC1346" s="5"/>
      <c r="AD1346" s="5"/>
      <c r="AE1346" s="5"/>
      <c r="AF1346" s="5"/>
      <c r="AG1346" s="5"/>
    </row>
    <row r="1347" ht="15.75" customHeight="1">
      <c r="K1347" t="s">
        <v>2290</v>
      </c>
      <c r="L1347" t="str">
        <f t="shared" ref="L1347:L1348" si="31">H111</f>
        <v>H1a1a4b5~</v>
      </c>
      <c r="O1347">
        <v>6790516.0</v>
      </c>
      <c r="P1347">
        <v>6922475.0</v>
      </c>
      <c r="Q1347" t="s">
        <v>423</v>
      </c>
      <c r="R1347" s="5"/>
      <c r="S1347" s="5"/>
      <c r="T1347" s="5"/>
      <c r="U1347" s="5"/>
      <c r="V1347" s="5"/>
      <c r="W1347" s="5"/>
      <c r="X1347" s="5"/>
      <c r="Y1347" s="5"/>
      <c r="Z1347" s="5"/>
      <c r="AA1347" s="5"/>
      <c r="AB1347" s="5"/>
      <c r="AC1347" s="5"/>
      <c r="AD1347" s="5"/>
      <c r="AE1347" s="5"/>
      <c r="AF1347" s="5"/>
      <c r="AG1347" s="5"/>
    </row>
    <row r="1348" ht="15.75" customHeight="1">
      <c r="K1348" t="s">
        <v>2291</v>
      </c>
      <c r="L1348" t="str">
        <f t="shared" si="31"/>
        <v>H1a1a4b6~</v>
      </c>
      <c r="O1348">
        <v>1.5789035E7</v>
      </c>
      <c r="P1348">
        <v>1.3677155E7</v>
      </c>
      <c r="Q1348" t="s">
        <v>419</v>
      </c>
      <c r="R1348" s="5"/>
      <c r="S1348" s="5"/>
      <c r="T1348" s="5"/>
      <c r="U1348" s="5"/>
      <c r="V1348" s="5"/>
      <c r="W1348" s="5"/>
      <c r="X1348" s="5"/>
      <c r="Y1348" s="5"/>
      <c r="Z1348" s="5"/>
      <c r="AA1348" s="5"/>
      <c r="AB1348" s="5"/>
      <c r="AC1348" s="5"/>
      <c r="AD1348" s="5"/>
      <c r="AE1348" s="5"/>
      <c r="AF1348" s="5"/>
      <c r="AG1348" s="5"/>
    </row>
    <row r="1349" ht="15.75" customHeight="1">
      <c r="K1349" t="s">
        <v>2292</v>
      </c>
      <c r="L1349" t="str">
        <f>H112</f>
        <v>H1a1a4b6~</v>
      </c>
      <c r="N1349" t="s">
        <v>2293</v>
      </c>
      <c r="O1349">
        <v>2662086.0</v>
      </c>
      <c r="P1349">
        <v>2794045.0</v>
      </c>
      <c r="Q1349" t="s">
        <v>423</v>
      </c>
      <c r="R1349" s="5"/>
      <c r="S1349" s="5"/>
      <c r="T1349" s="5"/>
      <c r="U1349" s="5"/>
      <c r="V1349" s="5"/>
      <c r="W1349" s="5"/>
      <c r="X1349" s="5"/>
      <c r="Y1349" s="5"/>
      <c r="Z1349" s="5"/>
      <c r="AA1349" s="5"/>
      <c r="AB1349" s="5"/>
      <c r="AC1349" s="5"/>
      <c r="AD1349" s="5"/>
      <c r="AE1349" s="5"/>
      <c r="AF1349" s="5"/>
      <c r="AG1349" s="5"/>
    </row>
    <row r="1350" ht="15.75" customHeight="1">
      <c r="K1350" t="s">
        <v>2294</v>
      </c>
      <c r="L1350" t="str">
        <f>H112</f>
        <v>H1a1a4b6~</v>
      </c>
      <c r="N1350" t="s">
        <v>2295</v>
      </c>
      <c r="O1350">
        <v>2697229.0</v>
      </c>
      <c r="P1350">
        <v>2829188.0</v>
      </c>
      <c r="Q1350" t="s">
        <v>423</v>
      </c>
      <c r="R1350" s="5"/>
      <c r="S1350" s="5"/>
      <c r="T1350" s="5"/>
      <c r="U1350" s="5"/>
      <c r="V1350" s="5"/>
      <c r="W1350" s="5"/>
      <c r="X1350" s="5"/>
      <c r="Y1350" s="5"/>
      <c r="Z1350" s="5"/>
      <c r="AA1350" s="5"/>
      <c r="AB1350" s="5"/>
      <c r="AC1350" s="5"/>
      <c r="AD1350" s="5"/>
      <c r="AE1350" s="5"/>
      <c r="AF1350" s="5"/>
      <c r="AG1350" s="5"/>
    </row>
    <row r="1351" ht="15.75" customHeight="1">
      <c r="K1351" t="s">
        <v>2296</v>
      </c>
      <c r="L1351" t="str">
        <f>H112</f>
        <v>H1a1a4b6~</v>
      </c>
      <c r="O1351">
        <v>2784527.0</v>
      </c>
      <c r="P1351">
        <v>2916486.0</v>
      </c>
      <c r="Q1351" t="s">
        <v>423</v>
      </c>
      <c r="R1351" s="5"/>
      <c r="S1351" s="5"/>
      <c r="T1351" s="5"/>
      <c r="U1351" s="5"/>
      <c r="V1351" s="5"/>
      <c r="W1351" s="5"/>
      <c r="X1351" s="5"/>
      <c r="Y1351" s="5"/>
      <c r="Z1351" s="5"/>
      <c r="AA1351" s="5"/>
      <c r="AB1351" s="5"/>
      <c r="AC1351" s="5"/>
      <c r="AD1351" s="5"/>
      <c r="AE1351" s="5"/>
      <c r="AF1351" s="5"/>
      <c r="AG1351" s="5"/>
    </row>
    <row r="1352" ht="15.75" customHeight="1">
      <c r="K1352" t="s">
        <v>2297</v>
      </c>
      <c r="L1352" t="str">
        <f t="shared" ref="L1352:L1353" si="32">H112</f>
        <v>H1a1a4b6~</v>
      </c>
      <c r="O1352">
        <v>2816893.0</v>
      </c>
      <c r="P1352">
        <v>2948852.0</v>
      </c>
      <c r="Q1352" t="s">
        <v>419</v>
      </c>
      <c r="R1352" s="5"/>
      <c r="S1352" s="5"/>
      <c r="T1352" s="5"/>
      <c r="U1352" s="5"/>
      <c r="V1352" s="5"/>
      <c r="W1352" s="5"/>
      <c r="X1352" s="5"/>
      <c r="Y1352" s="5"/>
      <c r="Z1352" s="5"/>
      <c r="AA1352" s="5"/>
      <c r="AB1352" s="5"/>
      <c r="AC1352" s="5"/>
      <c r="AD1352" s="5"/>
      <c r="AE1352" s="5"/>
      <c r="AF1352" s="5"/>
      <c r="AG1352" s="5"/>
    </row>
    <row r="1353" ht="15.75" customHeight="1">
      <c r="K1353" t="s">
        <v>2298</v>
      </c>
      <c r="L1353" t="str">
        <f t="shared" si="32"/>
        <v>H1a1a4b7~</v>
      </c>
      <c r="O1353">
        <v>2788047.0</v>
      </c>
      <c r="P1353">
        <v>2920006.0</v>
      </c>
      <c r="Q1353" t="s">
        <v>525</v>
      </c>
      <c r="R1353" s="5"/>
      <c r="S1353" s="5"/>
      <c r="T1353" s="5"/>
      <c r="U1353" s="5"/>
      <c r="V1353" s="5"/>
      <c r="W1353" s="5"/>
      <c r="X1353" s="5"/>
      <c r="Y1353" s="5"/>
      <c r="Z1353" s="5"/>
      <c r="AA1353" s="5"/>
      <c r="AB1353" s="5"/>
      <c r="AC1353" s="5"/>
      <c r="AD1353" s="5"/>
      <c r="AE1353" s="5"/>
      <c r="AF1353" s="5"/>
      <c r="AG1353" s="5"/>
    </row>
    <row r="1354" ht="15.75" customHeight="1">
      <c r="K1354" t="s">
        <v>2299</v>
      </c>
      <c r="L1354" t="str">
        <f>H113</f>
        <v>H1a1a4b7~</v>
      </c>
      <c r="N1354" t="s">
        <v>2300</v>
      </c>
      <c r="O1354">
        <v>2828688.0</v>
      </c>
      <c r="P1354">
        <v>2960647.0</v>
      </c>
      <c r="Q1354" t="s">
        <v>423</v>
      </c>
      <c r="R1354" s="5"/>
      <c r="S1354" s="5"/>
      <c r="T1354" s="5"/>
      <c r="U1354" s="5"/>
      <c r="V1354" s="5"/>
      <c r="W1354" s="5"/>
      <c r="X1354" s="5"/>
      <c r="Y1354" s="5"/>
      <c r="Z1354" s="5"/>
      <c r="AA1354" s="5"/>
      <c r="AB1354" s="5"/>
      <c r="AC1354" s="5"/>
      <c r="AD1354" s="5"/>
      <c r="AE1354" s="5"/>
      <c r="AF1354" s="5"/>
      <c r="AG1354" s="5"/>
    </row>
    <row r="1355" ht="15.75" customHeight="1">
      <c r="K1355" t="s">
        <v>2301</v>
      </c>
      <c r="L1355" t="str">
        <f>H113</f>
        <v>H1a1a4b7~</v>
      </c>
      <c r="N1355" t="s">
        <v>2302</v>
      </c>
      <c r="O1355">
        <v>6675784.0</v>
      </c>
      <c r="P1355">
        <v>6807743.0</v>
      </c>
      <c r="Q1355" t="s">
        <v>435</v>
      </c>
      <c r="R1355" s="5"/>
      <c r="S1355" s="5"/>
      <c r="T1355" s="5"/>
      <c r="U1355" s="5"/>
      <c r="V1355" s="5"/>
      <c r="W1355" s="5"/>
      <c r="X1355" s="5"/>
      <c r="Y1355" s="5"/>
      <c r="Z1355" s="5"/>
      <c r="AA1355" s="5"/>
      <c r="AB1355" s="5"/>
      <c r="AC1355" s="5"/>
      <c r="AD1355" s="5"/>
      <c r="AE1355" s="5"/>
      <c r="AF1355" s="5"/>
      <c r="AG1355" s="5"/>
    </row>
    <row r="1356" ht="15.75" customHeight="1">
      <c r="K1356" t="s">
        <v>2303</v>
      </c>
      <c r="L1356" t="str">
        <f>H113</f>
        <v>H1a1a4b7~</v>
      </c>
      <c r="N1356" t="s">
        <v>2304</v>
      </c>
      <c r="O1356">
        <v>7014010.0</v>
      </c>
      <c r="P1356">
        <v>7145969.0</v>
      </c>
      <c r="Q1356" t="s">
        <v>423</v>
      </c>
      <c r="R1356" s="5"/>
      <c r="S1356" s="5"/>
      <c r="T1356" s="5"/>
      <c r="U1356" s="5"/>
      <c r="V1356" s="5"/>
      <c r="W1356" s="5"/>
      <c r="X1356" s="5"/>
      <c r="Y1356" s="5"/>
      <c r="Z1356" s="5"/>
      <c r="AA1356" s="5"/>
      <c r="AB1356" s="5"/>
      <c r="AC1356" s="5"/>
      <c r="AD1356" s="5"/>
      <c r="AE1356" s="5"/>
      <c r="AF1356" s="5"/>
      <c r="AG1356" s="5"/>
    </row>
    <row r="1357" ht="15.75" customHeight="1">
      <c r="K1357" t="s">
        <v>2305</v>
      </c>
      <c r="L1357" t="str">
        <f>H113</f>
        <v>H1a1a4b7~</v>
      </c>
      <c r="O1357">
        <v>7031517.0</v>
      </c>
      <c r="P1357">
        <v>7163476.0</v>
      </c>
      <c r="Q1357" t="s">
        <v>431</v>
      </c>
      <c r="R1357" s="5"/>
      <c r="S1357" s="5"/>
      <c r="T1357" s="5"/>
      <c r="U1357" s="5"/>
      <c r="V1357" s="5"/>
      <c r="W1357" s="5"/>
      <c r="X1357" s="5"/>
      <c r="Y1357" s="5"/>
      <c r="Z1357" s="5"/>
      <c r="AA1357" s="5"/>
      <c r="AB1357" s="5"/>
      <c r="AC1357" s="5"/>
      <c r="AD1357" s="5"/>
      <c r="AE1357" s="5"/>
      <c r="AF1357" s="5"/>
      <c r="AG1357" s="5"/>
    </row>
    <row r="1358" ht="15.75" customHeight="1">
      <c r="K1358" t="s">
        <v>189</v>
      </c>
      <c r="L1358" t="str">
        <f t="shared" ref="L1358:L1359" si="33">F114</f>
        <v>H1a1a5~</v>
      </c>
      <c r="O1358">
        <v>1.6174297E7</v>
      </c>
      <c r="P1358">
        <v>1.4062417E7</v>
      </c>
      <c r="Q1358" t="s">
        <v>419</v>
      </c>
      <c r="R1358" s="5"/>
      <c r="S1358" s="5"/>
      <c r="T1358" s="5"/>
      <c r="U1358" s="5"/>
      <c r="V1358" s="5"/>
      <c r="W1358" s="5"/>
      <c r="X1358" s="5"/>
      <c r="Y1358" s="5"/>
      <c r="Z1358" s="5"/>
      <c r="AA1358" s="5"/>
      <c r="AB1358" s="5"/>
      <c r="AC1358" s="5"/>
      <c r="AD1358" s="5"/>
      <c r="AE1358" s="5"/>
      <c r="AF1358" s="5"/>
      <c r="AG1358" s="5"/>
    </row>
    <row r="1359" ht="15.75" customHeight="1">
      <c r="K1359" t="s">
        <v>191</v>
      </c>
      <c r="L1359" t="str">
        <f t="shared" si="33"/>
        <v>H1a1a6~</v>
      </c>
      <c r="N1359" t="s">
        <v>2306</v>
      </c>
      <c r="O1359">
        <v>2.2721202E7</v>
      </c>
      <c r="P1359">
        <v>2.0559316E7</v>
      </c>
      <c r="Q1359" t="s">
        <v>423</v>
      </c>
      <c r="R1359" s="5"/>
      <c r="S1359" s="5"/>
      <c r="T1359" s="5"/>
      <c r="U1359" s="5"/>
      <c r="V1359" s="5"/>
      <c r="W1359" s="5"/>
      <c r="X1359" s="5"/>
      <c r="Y1359" s="5"/>
      <c r="Z1359" s="5"/>
      <c r="AA1359" s="5"/>
      <c r="AB1359" s="5"/>
      <c r="AC1359" s="5"/>
      <c r="AD1359" s="5"/>
      <c r="AE1359" s="5"/>
      <c r="AF1359" s="5"/>
      <c r="AG1359" s="5"/>
    </row>
    <row r="1360" ht="15.75" customHeight="1">
      <c r="K1360" t="s">
        <v>2307</v>
      </c>
      <c r="L1360" t="str">
        <f>E116</f>
        <v>H1a1b</v>
      </c>
      <c r="N1360" t="s">
        <v>2308</v>
      </c>
      <c r="O1360">
        <v>2.2035997E7</v>
      </c>
      <c r="P1360">
        <v>1.9874111E7</v>
      </c>
      <c r="Q1360" t="s">
        <v>525</v>
      </c>
      <c r="R1360" s="5"/>
      <c r="S1360" s="5"/>
      <c r="T1360" s="5"/>
      <c r="U1360" s="5"/>
      <c r="V1360" s="5"/>
      <c r="W1360" s="5"/>
      <c r="X1360" s="5"/>
      <c r="Y1360" s="5"/>
      <c r="Z1360" s="5"/>
      <c r="AA1360" s="5"/>
      <c r="AB1360" s="5"/>
      <c r="AC1360" s="5"/>
      <c r="AD1360" s="5"/>
      <c r="AE1360" s="5"/>
      <c r="AF1360" s="5"/>
      <c r="AG1360" s="5"/>
    </row>
    <row r="1361" ht="15.75" customHeight="1">
      <c r="K1361" t="s">
        <v>2309</v>
      </c>
      <c r="L1361" t="str">
        <f>E116</f>
        <v>H1a1b</v>
      </c>
      <c r="N1361" t="s">
        <v>2310</v>
      </c>
      <c r="O1361">
        <v>1.698001E7</v>
      </c>
      <c r="P1361">
        <v>1.486813E7</v>
      </c>
      <c r="Q1361" t="s">
        <v>423</v>
      </c>
      <c r="R1361" s="5"/>
      <c r="S1361" s="5"/>
      <c r="T1361" s="5"/>
      <c r="U1361" s="5"/>
      <c r="V1361" s="5"/>
      <c r="W1361" s="5"/>
      <c r="X1361" s="5"/>
      <c r="Y1361" s="5"/>
      <c r="Z1361" s="5"/>
      <c r="AA1361" s="5"/>
      <c r="AB1361" s="5"/>
      <c r="AC1361" s="5"/>
      <c r="AD1361" s="5"/>
      <c r="AE1361" s="5"/>
      <c r="AF1361" s="5"/>
      <c r="AG1361" s="5"/>
    </row>
    <row r="1362" ht="15.75" customHeight="1">
      <c r="K1362" t="s">
        <v>2311</v>
      </c>
      <c r="L1362" t="str">
        <f>F117</f>
        <v>H1a1b1</v>
      </c>
      <c r="N1362" t="s">
        <v>2312</v>
      </c>
      <c r="O1362">
        <v>2788163.0</v>
      </c>
      <c r="P1362">
        <v>2920122.0</v>
      </c>
      <c r="Q1362" t="s">
        <v>435</v>
      </c>
      <c r="R1362" s="5"/>
      <c r="S1362" s="5"/>
      <c r="T1362" s="5"/>
      <c r="U1362" s="5"/>
      <c r="V1362" s="5"/>
      <c r="W1362" s="5"/>
      <c r="X1362" s="5"/>
      <c r="Y1362" s="5"/>
      <c r="Z1362" s="5"/>
      <c r="AA1362" s="5"/>
      <c r="AB1362" s="5"/>
      <c r="AC1362" s="5"/>
      <c r="AD1362" s="5"/>
      <c r="AE1362" s="5"/>
      <c r="AF1362" s="5"/>
      <c r="AG1362" s="5"/>
    </row>
    <row r="1363" ht="15.75" customHeight="1">
      <c r="K1363" t="s">
        <v>2313</v>
      </c>
      <c r="L1363" t="str">
        <f>F117</f>
        <v>H1a1b1</v>
      </c>
      <c r="N1363" t="s">
        <v>2314</v>
      </c>
      <c r="O1363">
        <v>7407039.0</v>
      </c>
      <c r="P1363">
        <v>7538998.0</v>
      </c>
      <c r="Q1363" t="s">
        <v>423</v>
      </c>
      <c r="R1363" s="5"/>
      <c r="S1363" s="5"/>
      <c r="T1363" s="5"/>
      <c r="U1363" s="5"/>
      <c r="V1363" s="5"/>
      <c r="W1363" s="5"/>
      <c r="X1363" s="5"/>
      <c r="Y1363" s="5"/>
      <c r="Z1363" s="5"/>
      <c r="AA1363" s="5"/>
      <c r="AB1363" s="5"/>
      <c r="AC1363" s="5"/>
      <c r="AD1363" s="5"/>
      <c r="AE1363" s="5"/>
      <c r="AF1363" s="5"/>
      <c r="AG1363" s="5"/>
    </row>
    <row r="1364" ht="15.75" customHeight="1">
      <c r="K1364" t="s">
        <v>2315</v>
      </c>
      <c r="L1364" t="str">
        <f>F117</f>
        <v>H1a1b1</v>
      </c>
      <c r="N1364" t="s">
        <v>2316</v>
      </c>
      <c r="O1364">
        <v>7831645.0</v>
      </c>
      <c r="P1364">
        <v>7963604.0</v>
      </c>
      <c r="Q1364" t="s">
        <v>423</v>
      </c>
      <c r="R1364" s="5"/>
      <c r="S1364" s="5"/>
      <c r="T1364" s="5"/>
      <c r="U1364" s="5"/>
      <c r="V1364" s="5"/>
      <c r="W1364" s="5"/>
      <c r="X1364" s="5"/>
      <c r="Y1364" s="5"/>
      <c r="Z1364" s="5"/>
      <c r="AA1364" s="5"/>
      <c r="AB1364" s="5"/>
      <c r="AC1364" s="5"/>
      <c r="AD1364" s="5"/>
      <c r="AE1364" s="5"/>
      <c r="AF1364" s="5"/>
      <c r="AG1364" s="5"/>
    </row>
    <row r="1365" ht="15.75" customHeight="1">
      <c r="K1365" t="s">
        <v>2317</v>
      </c>
      <c r="L1365" t="str">
        <f>F117</f>
        <v>H1a1b1</v>
      </c>
      <c r="N1365" t="s">
        <v>2318</v>
      </c>
      <c r="O1365">
        <v>8682917.0</v>
      </c>
      <c r="P1365">
        <v>8814876.0</v>
      </c>
      <c r="Q1365" t="s">
        <v>448</v>
      </c>
      <c r="R1365" s="5"/>
      <c r="S1365" s="5"/>
      <c r="T1365" s="5"/>
      <c r="U1365" s="5"/>
      <c r="V1365" s="5"/>
      <c r="W1365" s="5"/>
      <c r="X1365" s="5"/>
      <c r="Y1365" s="5"/>
      <c r="Z1365" s="5"/>
      <c r="AA1365" s="5"/>
      <c r="AB1365" s="5"/>
      <c r="AC1365" s="5"/>
      <c r="AD1365" s="5"/>
      <c r="AE1365" s="5"/>
      <c r="AF1365" s="5"/>
      <c r="AG1365" s="5"/>
    </row>
    <row r="1366" ht="15.75" customHeight="1">
      <c r="K1366" t="s">
        <v>2319</v>
      </c>
      <c r="L1366" t="str">
        <f>F117</f>
        <v>H1a1b1</v>
      </c>
      <c r="N1366" t="s">
        <v>2320</v>
      </c>
      <c r="O1366">
        <v>1.7427783E7</v>
      </c>
      <c r="P1366">
        <v>1.5315903E7</v>
      </c>
      <c r="Q1366" t="s">
        <v>431</v>
      </c>
      <c r="R1366" s="5"/>
      <c r="S1366" s="5"/>
      <c r="T1366" s="5"/>
      <c r="U1366" s="5"/>
      <c r="V1366" s="5"/>
      <c r="W1366" s="5"/>
      <c r="X1366" s="5"/>
      <c r="Y1366" s="5"/>
      <c r="Z1366" s="5"/>
      <c r="AA1366" s="5"/>
      <c r="AB1366" s="5"/>
      <c r="AC1366" s="5"/>
      <c r="AD1366" s="5"/>
      <c r="AE1366" s="5"/>
      <c r="AF1366" s="5"/>
      <c r="AG1366" s="5"/>
    </row>
    <row r="1367" ht="15.75" customHeight="1">
      <c r="K1367" t="s">
        <v>2321</v>
      </c>
      <c r="L1367" t="str">
        <f>F117</f>
        <v>H1a1b1</v>
      </c>
      <c r="N1367" t="s">
        <v>2322</v>
      </c>
      <c r="O1367">
        <v>1.7508064E7</v>
      </c>
      <c r="P1367">
        <v>1.5396184E7</v>
      </c>
      <c r="Q1367" t="s">
        <v>525</v>
      </c>
      <c r="R1367" s="5"/>
      <c r="S1367" s="5"/>
      <c r="T1367" s="5"/>
      <c r="U1367" s="5"/>
      <c r="V1367" s="5"/>
      <c r="W1367" s="5"/>
      <c r="X1367" s="5"/>
      <c r="Y1367" s="5"/>
      <c r="Z1367" s="5"/>
      <c r="AA1367" s="5"/>
      <c r="AB1367" s="5"/>
      <c r="AC1367" s="5"/>
      <c r="AD1367" s="5"/>
      <c r="AE1367" s="5"/>
      <c r="AF1367" s="5"/>
      <c r="AG1367" s="5"/>
    </row>
    <row r="1368" ht="15.75" customHeight="1">
      <c r="K1368" t="s">
        <v>2323</v>
      </c>
      <c r="L1368" t="str">
        <f>F117</f>
        <v>H1a1b1</v>
      </c>
      <c r="N1368" t="s">
        <v>2324</v>
      </c>
      <c r="O1368">
        <v>2.2030599E7</v>
      </c>
      <c r="P1368">
        <v>1.9868713E7</v>
      </c>
      <c r="Q1368" t="s">
        <v>419</v>
      </c>
      <c r="R1368" s="5"/>
      <c r="S1368" s="5"/>
      <c r="T1368" s="5"/>
      <c r="U1368" s="5"/>
      <c r="V1368" s="5"/>
      <c r="W1368" s="5"/>
      <c r="X1368" s="5"/>
      <c r="Y1368" s="5"/>
      <c r="Z1368" s="5"/>
      <c r="AA1368" s="5"/>
      <c r="AB1368" s="5"/>
      <c r="AC1368" s="5"/>
      <c r="AD1368" s="5"/>
      <c r="AE1368" s="5"/>
      <c r="AF1368" s="5"/>
      <c r="AG1368" s="5"/>
    </row>
    <row r="1369" ht="15.75" customHeight="1">
      <c r="K1369" t="s">
        <v>2325</v>
      </c>
      <c r="L1369" t="str">
        <f>F117</f>
        <v>H1a1b1</v>
      </c>
      <c r="N1369" t="s">
        <v>2326</v>
      </c>
      <c r="O1369">
        <v>2.2126761E7</v>
      </c>
      <c r="P1369">
        <v>1.9964875E7</v>
      </c>
      <c r="Q1369" t="s">
        <v>419</v>
      </c>
      <c r="R1369" s="5"/>
      <c r="S1369" s="5"/>
      <c r="T1369" s="5"/>
      <c r="U1369" s="5"/>
      <c r="V1369" s="5"/>
      <c r="W1369" s="5"/>
      <c r="X1369" s="5"/>
      <c r="Y1369" s="5"/>
      <c r="Z1369" s="5"/>
      <c r="AA1369" s="5"/>
      <c r="AB1369" s="5"/>
      <c r="AC1369" s="5"/>
      <c r="AD1369" s="5"/>
      <c r="AE1369" s="5"/>
      <c r="AF1369" s="5"/>
      <c r="AG1369" s="5"/>
    </row>
    <row r="1370" ht="15.75" customHeight="1">
      <c r="K1370" t="s">
        <v>2327</v>
      </c>
      <c r="L1370" t="str">
        <f>F117</f>
        <v>H1a1b1</v>
      </c>
      <c r="N1370" t="s">
        <v>2328</v>
      </c>
      <c r="O1370">
        <v>2.2646343E7</v>
      </c>
      <c r="P1370">
        <v>2.0484457E7</v>
      </c>
      <c r="Q1370" t="s">
        <v>419</v>
      </c>
      <c r="R1370" s="5"/>
      <c r="S1370" s="5"/>
      <c r="T1370" s="5"/>
      <c r="U1370" s="5"/>
      <c r="V1370" s="5"/>
      <c r="W1370" s="5"/>
      <c r="X1370" s="5"/>
      <c r="Y1370" s="5"/>
      <c r="Z1370" s="5"/>
      <c r="AA1370" s="5"/>
      <c r="AB1370" s="5"/>
      <c r="AC1370" s="5"/>
      <c r="AD1370" s="5"/>
      <c r="AE1370" s="5"/>
      <c r="AF1370" s="5"/>
      <c r="AG1370" s="5"/>
    </row>
    <row r="1371" ht="15.75" customHeight="1">
      <c r="K1371" t="s">
        <v>2329</v>
      </c>
      <c r="L1371" t="str">
        <f>F117</f>
        <v>H1a1b1</v>
      </c>
      <c r="N1371" t="s">
        <v>2330</v>
      </c>
      <c r="O1371">
        <v>2.2775712E7</v>
      </c>
      <c r="P1371">
        <v>2.0613826E7</v>
      </c>
      <c r="Q1371" t="s">
        <v>423</v>
      </c>
      <c r="R1371" s="5"/>
      <c r="S1371" s="5"/>
      <c r="T1371" s="5"/>
      <c r="U1371" s="5"/>
      <c r="V1371" s="5"/>
      <c r="W1371" s="5"/>
      <c r="X1371" s="5"/>
      <c r="Y1371" s="5"/>
      <c r="Z1371" s="5"/>
      <c r="AA1371" s="5"/>
      <c r="AB1371" s="5"/>
      <c r="AC1371" s="5"/>
      <c r="AD1371" s="5"/>
      <c r="AE1371" s="5"/>
      <c r="AF1371" s="5"/>
      <c r="AG1371" s="5"/>
    </row>
    <row r="1372" ht="15.75" customHeight="1">
      <c r="K1372" t="s">
        <v>2331</v>
      </c>
      <c r="L1372" t="str">
        <f>F117</f>
        <v>H1a1b1</v>
      </c>
      <c r="N1372" t="s">
        <v>2332</v>
      </c>
      <c r="O1372">
        <v>2.2836152E7</v>
      </c>
      <c r="P1372">
        <v>2.0674266E7</v>
      </c>
      <c r="Q1372" t="s">
        <v>431</v>
      </c>
      <c r="R1372" s="5"/>
      <c r="S1372" s="5"/>
      <c r="T1372" s="5"/>
      <c r="U1372" s="5"/>
      <c r="V1372" s="5"/>
      <c r="W1372" s="5"/>
      <c r="X1372" s="5"/>
      <c r="Y1372" s="5"/>
      <c r="Z1372" s="5"/>
      <c r="AA1372" s="5"/>
      <c r="AB1372" s="5"/>
      <c r="AC1372" s="5"/>
      <c r="AD1372" s="5"/>
      <c r="AE1372" s="5"/>
      <c r="AF1372" s="5"/>
      <c r="AG1372" s="5"/>
    </row>
    <row r="1373" ht="15.75" customHeight="1">
      <c r="K1373" t="s">
        <v>2333</v>
      </c>
      <c r="L1373" t="str">
        <f>F117</f>
        <v>H1a1b1</v>
      </c>
      <c r="N1373" t="s">
        <v>2334</v>
      </c>
      <c r="O1373">
        <v>1.4182556E7</v>
      </c>
      <c r="P1373">
        <v>1.206185E7</v>
      </c>
      <c r="Q1373" t="s">
        <v>452</v>
      </c>
      <c r="R1373" s="5"/>
      <c r="S1373" s="5"/>
      <c r="T1373" s="5"/>
      <c r="U1373" s="5"/>
      <c r="V1373" s="5"/>
      <c r="W1373" s="5"/>
      <c r="X1373" s="5"/>
      <c r="Y1373" s="5"/>
      <c r="Z1373" s="5"/>
      <c r="AA1373" s="5"/>
      <c r="AB1373" s="5"/>
      <c r="AC1373" s="5"/>
      <c r="AD1373" s="5"/>
      <c r="AE1373" s="5"/>
      <c r="AF1373" s="5"/>
      <c r="AG1373" s="5"/>
    </row>
    <row r="1374" ht="15.75" customHeight="1">
      <c r="K1374" t="s">
        <v>2335</v>
      </c>
      <c r="L1374" t="str">
        <f>F117</f>
        <v>H1a1b1</v>
      </c>
      <c r="N1374" t="s">
        <v>2336</v>
      </c>
      <c r="O1374">
        <v>1.6067037E7</v>
      </c>
      <c r="P1374">
        <v>1.3955157E7</v>
      </c>
      <c r="Q1374" t="s">
        <v>525</v>
      </c>
      <c r="R1374" s="5"/>
      <c r="S1374" s="5"/>
      <c r="T1374" s="5"/>
      <c r="U1374" s="5"/>
      <c r="V1374" s="5"/>
      <c r="W1374" s="5"/>
      <c r="X1374" s="5"/>
      <c r="Y1374" s="5"/>
      <c r="Z1374" s="5"/>
      <c r="AA1374" s="5"/>
      <c r="AB1374" s="5"/>
      <c r="AC1374" s="5"/>
      <c r="AD1374" s="5"/>
      <c r="AE1374" s="5"/>
      <c r="AF1374" s="5"/>
      <c r="AG1374" s="5"/>
    </row>
    <row r="1375" ht="15.75" customHeight="1">
      <c r="K1375" t="s">
        <v>2337</v>
      </c>
      <c r="L1375" t="str">
        <f>F117</f>
        <v>H1a1b1</v>
      </c>
      <c r="N1375" t="s">
        <v>2338</v>
      </c>
      <c r="O1375">
        <v>1.7088104E7</v>
      </c>
      <c r="P1375">
        <v>1.4976224E7</v>
      </c>
      <c r="Q1375" t="s">
        <v>423</v>
      </c>
      <c r="R1375" s="5"/>
      <c r="S1375" s="5"/>
      <c r="T1375" s="5"/>
      <c r="U1375" s="5"/>
      <c r="V1375" s="5"/>
      <c r="W1375" s="5"/>
      <c r="X1375" s="5"/>
      <c r="Y1375" s="5"/>
      <c r="Z1375" s="5"/>
      <c r="AA1375" s="5"/>
      <c r="AB1375" s="5"/>
      <c r="AC1375" s="5"/>
      <c r="AD1375" s="5"/>
      <c r="AE1375" s="5"/>
      <c r="AF1375" s="5"/>
      <c r="AG1375" s="5"/>
    </row>
    <row r="1376" ht="15.75" customHeight="1">
      <c r="K1376" t="s">
        <v>2339</v>
      </c>
      <c r="L1376" t="str">
        <f>F117</f>
        <v>H1a1b1</v>
      </c>
      <c r="N1376" t="s">
        <v>2340</v>
      </c>
      <c r="O1376">
        <v>1.7431284E7</v>
      </c>
      <c r="P1376">
        <v>1.5319404E7</v>
      </c>
      <c r="Q1376" t="s">
        <v>553</v>
      </c>
      <c r="R1376" s="5"/>
      <c r="S1376" s="5"/>
      <c r="T1376" s="5"/>
      <c r="U1376" s="5"/>
      <c r="V1376" s="5"/>
      <c r="W1376" s="5"/>
      <c r="X1376" s="5"/>
      <c r="Y1376" s="5"/>
      <c r="Z1376" s="5"/>
      <c r="AA1376" s="5"/>
      <c r="AB1376" s="5"/>
      <c r="AC1376" s="5"/>
      <c r="AD1376" s="5"/>
      <c r="AE1376" s="5"/>
      <c r="AF1376" s="5"/>
      <c r="AG1376" s="5"/>
    </row>
    <row r="1377" ht="15.75" customHeight="1">
      <c r="K1377" t="s">
        <v>2341</v>
      </c>
      <c r="L1377" t="str">
        <f>G118</f>
        <v>H1a1b1a</v>
      </c>
      <c r="N1377" t="s">
        <v>2342</v>
      </c>
      <c r="O1377">
        <v>7324263.0</v>
      </c>
      <c r="P1377">
        <v>7456222.0</v>
      </c>
      <c r="Q1377" t="s">
        <v>525</v>
      </c>
      <c r="R1377" s="5"/>
      <c r="S1377" s="5"/>
      <c r="T1377" s="5"/>
      <c r="U1377" s="5"/>
      <c r="V1377" s="5"/>
      <c r="W1377" s="5"/>
      <c r="X1377" s="5"/>
      <c r="Y1377" s="5"/>
      <c r="Z1377" s="5"/>
      <c r="AA1377" s="5"/>
      <c r="AB1377" s="5"/>
      <c r="AC1377" s="5"/>
      <c r="AD1377" s="5"/>
      <c r="AE1377" s="5"/>
      <c r="AF1377" s="5"/>
      <c r="AG1377" s="5"/>
    </row>
    <row r="1378" ht="15.75" customHeight="1">
      <c r="K1378" t="s">
        <v>2343</v>
      </c>
      <c r="L1378" t="str">
        <f>G118</f>
        <v>H1a1b1a</v>
      </c>
      <c r="N1378" t="s">
        <v>2344</v>
      </c>
      <c r="O1378">
        <v>6938119.0</v>
      </c>
      <c r="P1378">
        <v>7070078.0</v>
      </c>
      <c r="Q1378" t="s">
        <v>423</v>
      </c>
      <c r="R1378" s="5"/>
      <c r="S1378" s="5"/>
      <c r="T1378" s="5"/>
      <c r="U1378" s="5"/>
      <c r="V1378" s="5"/>
      <c r="W1378" s="5"/>
      <c r="X1378" s="5"/>
      <c r="Y1378" s="5"/>
      <c r="Z1378" s="5"/>
      <c r="AA1378" s="5"/>
      <c r="AB1378" s="5"/>
      <c r="AC1378" s="5"/>
      <c r="AD1378" s="5"/>
      <c r="AE1378" s="5"/>
      <c r="AF1378" s="5"/>
      <c r="AG1378" s="5"/>
    </row>
    <row r="1379" ht="15.75" customHeight="1">
      <c r="K1379" t="s">
        <v>2345</v>
      </c>
      <c r="L1379" t="str">
        <f>G118</f>
        <v>H1a1b1a</v>
      </c>
      <c r="N1379" t="s">
        <v>2346</v>
      </c>
      <c r="O1379">
        <v>6849552.0</v>
      </c>
      <c r="P1379">
        <v>6981511.0</v>
      </c>
      <c r="Q1379" t="s">
        <v>435</v>
      </c>
      <c r="R1379" s="5"/>
      <c r="S1379" s="5"/>
      <c r="T1379" s="5"/>
      <c r="U1379" s="5"/>
      <c r="V1379" s="5"/>
      <c r="W1379" s="5"/>
      <c r="X1379" s="5"/>
      <c r="Y1379" s="5"/>
      <c r="Z1379" s="5"/>
      <c r="AA1379" s="5"/>
      <c r="AB1379" s="5"/>
      <c r="AC1379" s="5"/>
      <c r="AD1379" s="5"/>
      <c r="AE1379" s="5"/>
      <c r="AF1379" s="5"/>
      <c r="AG1379" s="5"/>
    </row>
    <row r="1380" ht="15.75" customHeight="1">
      <c r="K1380" t="s">
        <v>2347</v>
      </c>
      <c r="L1380" t="str">
        <f>G118</f>
        <v>H1a1b1a</v>
      </c>
      <c r="N1380" t="s">
        <v>2348</v>
      </c>
      <c r="O1380">
        <v>7602141.0</v>
      </c>
      <c r="P1380">
        <v>7734100.0</v>
      </c>
      <c r="Q1380" t="s">
        <v>419</v>
      </c>
      <c r="R1380" s="5"/>
      <c r="S1380" s="5"/>
      <c r="T1380" s="5"/>
      <c r="U1380" s="5"/>
      <c r="V1380" s="5"/>
      <c r="W1380" s="5"/>
      <c r="X1380" s="5"/>
      <c r="Y1380" s="5"/>
      <c r="Z1380" s="5"/>
      <c r="AA1380" s="5"/>
      <c r="AB1380" s="5"/>
      <c r="AC1380" s="5"/>
      <c r="AD1380" s="5"/>
      <c r="AE1380" s="5"/>
      <c r="AF1380" s="5"/>
      <c r="AG1380" s="5"/>
    </row>
    <row r="1381" ht="15.75" customHeight="1">
      <c r="K1381" t="s">
        <v>2349</v>
      </c>
      <c r="L1381" t="str">
        <f>G118</f>
        <v>H1a1b1a</v>
      </c>
      <c r="N1381" t="s">
        <v>2350</v>
      </c>
      <c r="O1381">
        <v>7670413.0</v>
      </c>
      <c r="P1381">
        <v>7802372.0</v>
      </c>
      <c r="Q1381" t="s">
        <v>435</v>
      </c>
      <c r="R1381" s="5"/>
      <c r="S1381" s="5"/>
      <c r="T1381" s="5"/>
      <c r="U1381" s="5"/>
      <c r="V1381" s="5"/>
      <c r="W1381" s="5"/>
      <c r="X1381" s="5"/>
      <c r="Y1381" s="5"/>
      <c r="Z1381" s="5"/>
      <c r="AA1381" s="5"/>
      <c r="AB1381" s="5"/>
      <c r="AC1381" s="5"/>
      <c r="AD1381" s="5"/>
      <c r="AE1381" s="5"/>
      <c r="AF1381" s="5"/>
      <c r="AG1381" s="5"/>
    </row>
    <row r="1382" ht="15.75" customHeight="1">
      <c r="K1382" t="s">
        <v>2351</v>
      </c>
      <c r="L1382" t="str">
        <f>G118</f>
        <v>H1a1b1a</v>
      </c>
      <c r="N1382" t="s">
        <v>2352</v>
      </c>
      <c r="O1382">
        <v>7909431.0</v>
      </c>
      <c r="P1382">
        <v>8041390.0</v>
      </c>
      <c r="Q1382" t="s">
        <v>431</v>
      </c>
      <c r="R1382" s="5"/>
      <c r="S1382" s="5"/>
      <c r="T1382" s="5"/>
      <c r="U1382" s="5"/>
      <c r="V1382" s="5"/>
      <c r="W1382" s="5"/>
      <c r="X1382" s="5"/>
      <c r="Y1382" s="5"/>
      <c r="Z1382" s="5"/>
      <c r="AA1382" s="5"/>
      <c r="AB1382" s="5"/>
      <c r="AC1382" s="5"/>
      <c r="AD1382" s="5"/>
      <c r="AE1382" s="5"/>
      <c r="AF1382" s="5"/>
      <c r="AG1382" s="5"/>
    </row>
    <row r="1383" ht="15.75" customHeight="1">
      <c r="K1383" t="s">
        <v>2353</v>
      </c>
      <c r="L1383" t="str">
        <f>G118</f>
        <v>H1a1b1a</v>
      </c>
      <c r="N1383" t="s">
        <v>2354</v>
      </c>
      <c r="O1383">
        <v>8065385.0</v>
      </c>
      <c r="P1383">
        <v>8197344.0</v>
      </c>
      <c r="Q1383" t="s">
        <v>419</v>
      </c>
      <c r="R1383" s="5"/>
      <c r="S1383" s="5"/>
      <c r="T1383" s="5"/>
      <c r="U1383" s="5"/>
      <c r="V1383" s="5"/>
      <c r="W1383" s="5"/>
      <c r="X1383" s="5"/>
      <c r="Y1383" s="5"/>
      <c r="Z1383" s="5"/>
      <c r="AA1383" s="5"/>
      <c r="AB1383" s="5"/>
      <c r="AC1383" s="5"/>
      <c r="AD1383" s="5"/>
      <c r="AE1383" s="5"/>
      <c r="AF1383" s="5"/>
      <c r="AG1383" s="5"/>
    </row>
    <row r="1384" ht="15.75" customHeight="1">
      <c r="K1384" t="s">
        <v>2355</v>
      </c>
      <c r="L1384" t="str">
        <f>G118</f>
        <v>H1a1b1a</v>
      </c>
      <c r="N1384" t="s">
        <v>2356</v>
      </c>
      <c r="O1384">
        <v>8240186.0</v>
      </c>
      <c r="P1384">
        <v>8372145.0</v>
      </c>
      <c r="Q1384" t="s">
        <v>419</v>
      </c>
      <c r="R1384" s="5"/>
      <c r="S1384" s="5"/>
      <c r="T1384" s="5"/>
      <c r="U1384" s="5"/>
      <c r="V1384" s="5"/>
      <c r="W1384" s="5"/>
      <c r="X1384" s="5"/>
      <c r="Y1384" s="5"/>
      <c r="Z1384" s="5"/>
      <c r="AA1384" s="5"/>
      <c r="AB1384" s="5"/>
      <c r="AC1384" s="5"/>
      <c r="AD1384" s="5"/>
      <c r="AE1384" s="5"/>
      <c r="AF1384" s="5"/>
      <c r="AG1384" s="5"/>
    </row>
    <row r="1385" ht="15.75" customHeight="1">
      <c r="K1385" t="s">
        <v>2357</v>
      </c>
      <c r="L1385" t="str">
        <f>G118</f>
        <v>H1a1b1a</v>
      </c>
      <c r="N1385" t="s">
        <v>2358</v>
      </c>
      <c r="O1385">
        <v>8334572.0</v>
      </c>
      <c r="P1385">
        <v>8466531.0</v>
      </c>
      <c r="Q1385" t="s">
        <v>423</v>
      </c>
      <c r="R1385" s="5"/>
      <c r="S1385" s="5"/>
      <c r="T1385" s="5"/>
      <c r="U1385" s="5"/>
      <c r="V1385" s="5"/>
      <c r="W1385" s="5"/>
      <c r="X1385" s="5"/>
      <c r="Y1385" s="5"/>
      <c r="Z1385" s="5"/>
      <c r="AA1385" s="5"/>
      <c r="AB1385" s="5"/>
      <c r="AC1385" s="5"/>
      <c r="AD1385" s="5"/>
      <c r="AE1385" s="5"/>
      <c r="AF1385" s="5"/>
      <c r="AG1385" s="5"/>
    </row>
    <row r="1386" ht="15.75" customHeight="1">
      <c r="K1386" t="s">
        <v>2359</v>
      </c>
      <c r="L1386" t="str">
        <f>G118</f>
        <v>H1a1b1a</v>
      </c>
      <c r="N1386" t="s">
        <v>2360</v>
      </c>
      <c r="O1386">
        <v>8410605.0</v>
      </c>
      <c r="P1386">
        <v>8542564.0</v>
      </c>
      <c r="Q1386" t="s">
        <v>423</v>
      </c>
      <c r="R1386" s="5"/>
      <c r="S1386" s="5"/>
      <c r="T1386" s="5"/>
      <c r="U1386" s="5"/>
      <c r="V1386" s="5"/>
      <c r="W1386" s="5"/>
      <c r="X1386" s="5"/>
      <c r="Y1386" s="5"/>
      <c r="Z1386" s="5"/>
      <c r="AA1386" s="5"/>
      <c r="AB1386" s="5"/>
      <c r="AC1386" s="5"/>
      <c r="AD1386" s="5"/>
      <c r="AE1386" s="5"/>
      <c r="AF1386" s="5"/>
      <c r="AG1386" s="5"/>
    </row>
    <row r="1387" ht="15.75" customHeight="1">
      <c r="K1387" t="s">
        <v>2361</v>
      </c>
      <c r="L1387" t="str">
        <f>G118</f>
        <v>H1a1b1a</v>
      </c>
      <c r="N1387" t="s">
        <v>2362</v>
      </c>
      <c r="O1387">
        <v>8560185.0</v>
      </c>
      <c r="P1387">
        <v>8692144.0</v>
      </c>
      <c r="Q1387" t="s">
        <v>431</v>
      </c>
      <c r="R1387" s="5"/>
      <c r="S1387" s="5"/>
      <c r="T1387" s="5"/>
      <c r="U1387" s="5"/>
      <c r="V1387" s="5"/>
      <c r="W1387" s="5"/>
      <c r="X1387" s="5"/>
      <c r="Y1387" s="5"/>
      <c r="Z1387" s="5"/>
      <c r="AA1387" s="5"/>
      <c r="AB1387" s="5"/>
      <c r="AC1387" s="5"/>
      <c r="AD1387" s="5"/>
      <c r="AE1387" s="5"/>
      <c r="AF1387" s="5"/>
      <c r="AG1387" s="5"/>
    </row>
    <row r="1388" ht="15.75" customHeight="1">
      <c r="K1388" t="s">
        <v>2363</v>
      </c>
      <c r="L1388" t="str">
        <f>G118</f>
        <v>H1a1b1a</v>
      </c>
      <c r="N1388" t="s">
        <v>2364</v>
      </c>
      <c r="O1388">
        <v>8733791.0</v>
      </c>
      <c r="P1388">
        <v>8865750.0</v>
      </c>
      <c r="Q1388" t="s">
        <v>423</v>
      </c>
      <c r="R1388" s="5"/>
      <c r="S1388" s="5"/>
      <c r="T1388" s="5"/>
      <c r="U1388" s="5"/>
      <c r="V1388" s="5"/>
      <c r="W1388" s="5"/>
      <c r="X1388" s="5"/>
      <c r="Y1388" s="5"/>
      <c r="Z1388" s="5"/>
      <c r="AA1388" s="5"/>
      <c r="AB1388" s="5"/>
      <c r="AC1388" s="5"/>
      <c r="AD1388" s="5"/>
      <c r="AE1388" s="5"/>
      <c r="AF1388" s="5"/>
      <c r="AG1388" s="5"/>
    </row>
    <row r="1389" ht="15.75" customHeight="1">
      <c r="K1389" t="s">
        <v>2365</v>
      </c>
      <c r="L1389" t="str">
        <f>G118</f>
        <v>H1a1b1a</v>
      </c>
      <c r="N1389" t="s">
        <v>2366</v>
      </c>
      <c r="O1389">
        <v>8764489.0</v>
      </c>
      <c r="P1389">
        <v>8896448.0</v>
      </c>
      <c r="Q1389" t="s">
        <v>448</v>
      </c>
      <c r="R1389" s="5"/>
      <c r="S1389" s="5"/>
      <c r="T1389" s="5"/>
      <c r="U1389" s="5"/>
      <c r="V1389" s="5"/>
      <c r="W1389" s="5"/>
      <c r="X1389" s="5"/>
      <c r="Y1389" s="5"/>
      <c r="Z1389" s="5"/>
      <c r="AA1389" s="5"/>
      <c r="AB1389" s="5"/>
      <c r="AC1389" s="5"/>
      <c r="AD1389" s="5"/>
      <c r="AE1389" s="5"/>
      <c r="AF1389" s="5"/>
      <c r="AG1389" s="5"/>
    </row>
    <row r="1390" ht="15.75" customHeight="1">
      <c r="K1390" t="s">
        <v>2367</v>
      </c>
      <c r="L1390" t="str">
        <f>G118</f>
        <v>H1a1b1a</v>
      </c>
      <c r="N1390" t="s">
        <v>2368</v>
      </c>
      <c r="O1390">
        <v>8875413.0</v>
      </c>
      <c r="P1390">
        <v>9007372.0</v>
      </c>
      <c r="Q1390" t="s">
        <v>419</v>
      </c>
      <c r="R1390" s="5"/>
      <c r="S1390" s="5"/>
      <c r="T1390" s="5"/>
      <c r="U1390" s="5"/>
      <c r="V1390" s="5"/>
      <c r="W1390" s="5"/>
      <c r="X1390" s="5"/>
      <c r="Y1390" s="5"/>
      <c r="Z1390" s="5"/>
      <c r="AA1390" s="5"/>
      <c r="AB1390" s="5"/>
      <c r="AC1390" s="5"/>
      <c r="AD1390" s="5"/>
      <c r="AE1390" s="5"/>
      <c r="AF1390" s="5"/>
      <c r="AG1390" s="5"/>
    </row>
    <row r="1391" ht="15.75" customHeight="1">
      <c r="K1391" t="s">
        <v>2369</v>
      </c>
      <c r="L1391" t="str">
        <f>G118</f>
        <v>H1a1b1a</v>
      </c>
      <c r="N1391" t="s">
        <v>2370</v>
      </c>
      <c r="O1391">
        <v>9905687.0</v>
      </c>
      <c r="P1391">
        <v>1.0068078E7</v>
      </c>
      <c r="Q1391" t="s">
        <v>419</v>
      </c>
      <c r="R1391" s="5"/>
      <c r="S1391" s="5"/>
      <c r="T1391" s="5"/>
      <c r="U1391" s="5"/>
      <c r="V1391" s="5"/>
      <c r="W1391" s="5"/>
      <c r="X1391" s="5"/>
      <c r="Y1391" s="5"/>
      <c r="Z1391" s="5"/>
      <c r="AA1391" s="5"/>
      <c r="AB1391" s="5"/>
      <c r="AC1391" s="5"/>
      <c r="AD1391" s="5"/>
      <c r="AE1391" s="5"/>
      <c r="AF1391" s="5"/>
      <c r="AG1391" s="5"/>
    </row>
    <row r="1392" ht="15.75" customHeight="1">
      <c r="K1392" t="s">
        <v>2371</v>
      </c>
      <c r="L1392" t="str">
        <f>G118</f>
        <v>H1a1b1a</v>
      </c>
      <c r="O1392">
        <v>1.3236149E7</v>
      </c>
      <c r="P1392">
        <v>1.1080473E7</v>
      </c>
      <c r="Q1392" t="s">
        <v>427</v>
      </c>
      <c r="R1392" s="5"/>
      <c r="S1392" s="5"/>
      <c r="T1392" s="5"/>
      <c r="U1392" s="5"/>
      <c r="V1392" s="5"/>
      <c r="W1392" s="5"/>
      <c r="X1392" s="5"/>
      <c r="Y1392" s="5"/>
      <c r="Z1392" s="5"/>
      <c r="AA1392" s="5"/>
      <c r="AB1392" s="5"/>
      <c r="AC1392" s="5"/>
      <c r="AD1392" s="5"/>
      <c r="AE1392" s="5"/>
      <c r="AF1392" s="5"/>
      <c r="AG1392" s="5"/>
    </row>
    <row r="1393" ht="15.75" customHeight="1">
      <c r="K1393" t="s">
        <v>2372</v>
      </c>
      <c r="L1393" t="str">
        <f>G118</f>
        <v>H1a1b1a</v>
      </c>
      <c r="N1393" t="s">
        <v>2373</v>
      </c>
      <c r="O1393">
        <v>1.4419874E7</v>
      </c>
      <c r="P1393">
        <v>1.2299149E7</v>
      </c>
      <c r="Q1393" t="s">
        <v>476</v>
      </c>
      <c r="R1393" s="5"/>
      <c r="S1393" s="5"/>
      <c r="T1393" s="5"/>
      <c r="U1393" s="5"/>
      <c r="V1393" s="5"/>
      <c r="W1393" s="5"/>
      <c r="X1393" s="5"/>
      <c r="Y1393" s="5"/>
      <c r="Z1393" s="5"/>
      <c r="AA1393" s="5"/>
      <c r="AB1393" s="5"/>
      <c r="AC1393" s="5"/>
      <c r="AD1393" s="5"/>
      <c r="AE1393" s="5"/>
      <c r="AF1393" s="5"/>
      <c r="AG1393" s="5"/>
    </row>
    <row r="1394" ht="15.75" customHeight="1">
      <c r="K1394" t="s">
        <v>2374</v>
      </c>
      <c r="L1394" t="str">
        <f>G118</f>
        <v>H1a1b1a</v>
      </c>
      <c r="N1394" t="s">
        <v>2375</v>
      </c>
      <c r="O1394">
        <v>1.450348E7</v>
      </c>
      <c r="P1394">
        <v>1.2391685E7</v>
      </c>
      <c r="Q1394" t="s">
        <v>553</v>
      </c>
      <c r="R1394" s="5"/>
      <c r="S1394" s="5"/>
      <c r="T1394" s="5"/>
      <c r="U1394" s="5"/>
      <c r="V1394" s="5"/>
      <c r="W1394" s="5"/>
      <c r="X1394" s="5"/>
      <c r="Y1394" s="5"/>
      <c r="Z1394" s="5"/>
      <c r="AA1394" s="5"/>
      <c r="AB1394" s="5"/>
      <c r="AC1394" s="5"/>
      <c r="AD1394" s="5"/>
      <c r="AE1394" s="5"/>
      <c r="AF1394" s="5"/>
      <c r="AG1394" s="5"/>
    </row>
    <row r="1395" ht="15.75" customHeight="1">
      <c r="K1395" t="s">
        <v>2376</v>
      </c>
      <c r="L1395" t="str">
        <f>G118</f>
        <v>H1a1b1a</v>
      </c>
      <c r="N1395" t="s">
        <v>2377</v>
      </c>
      <c r="O1395">
        <v>1.4943205E7</v>
      </c>
      <c r="P1395">
        <v>1.2831279E7</v>
      </c>
      <c r="Q1395" t="s">
        <v>473</v>
      </c>
      <c r="R1395" s="5"/>
      <c r="S1395" s="5"/>
      <c r="T1395" s="5"/>
      <c r="U1395" s="5"/>
      <c r="V1395" s="5"/>
      <c r="W1395" s="5"/>
      <c r="X1395" s="5"/>
      <c r="Y1395" s="5"/>
      <c r="Z1395" s="5"/>
      <c r="AA1395" s="5"/>
      <c r="AB1395" s="5"/>
      <c r="AC1395" s="5"/>
      <c r="AD1395" s="5"/>
      <c r="AE1395" s="5"/>
      <c r="AF1395" s="5"/>
      <c r="AG1395" s="5"/>
    </row>
    <row r="1396" ht="15.75" customHeight="1">
      <c r="K1396" t="s">
        <v>2378</v>
      </c>
      <c r="L1396" t="str">
        <f>G118</f>
        <v>H1a1b1a</v>
      </c>
      <c r="N1396" t="s">
        <v>2379</v>
      </c>
      <c r="O1396">
        <v>1.6238916E7</v>
      </c>
      <c r="P1396">
        <v>1.4127036E7</v>
      </c>
      <c r="Q1396" t="s">
        <v>419</v>
      </c>
      <c r="R1396" s="5"/>
      <c r="S1396" s="5"/>
      <c r="T1396" s="5"/>
      <c r="U1396" s="5"/>
      <c r="V1396" s="5"/>
      <c r="W1396" s="5"/>
      <c r="X1396" s="5"/>
      <c r="Y1396" s="5"/>
      <c r="Z1396" s="5"/>
      <c r="AA1396" s="5"/>
      <c r="AB1396" s="5"/>
      <c r="AC1396" s="5"/>
      <c r="AD1396" s="5"/>
      <c r="AE1396" s="5"/>
      <c r="AF1396" s="5"/>
      <c r="AG1396" s="5"/>
    </row>
    <row r="1397" ht="15.75" customHeight="1">
      <c r="K1397" t="s">
        <v>2380</v>
      </c>
      <c r="L1397" t="str">
        <f>G118</f>
        <v>H1a1b1a</v>
      </c>
      <c r="N1397" t="s">
        <v>2381</v>
      </c>
      <c r="O1397">
        <v>1.6452749E7</v>
      </c>
      <c r="P1397">
        <v>1.4340869E7</v>
      </c>
      <c r="Q1397" t="s">
        <v>435</v>
      </c>
      <c r="R1397" s="5"/>
      <c r="S1397" s="5"/>
      <c r="T1397" s="5"/>
      <c r="U1397" s="5"/>
      <c r="V1397" s="5"/>
      <c r="W1397" s="5"/>
      <c r="X1397" s="5"/>
      <c r="Y1397" s="5"/>
      <c r="Z1397" s="5"/>
      <c r="AA1397" s="5"/>
      <c r="AB1397" s="5"/>
      <c r="AC1397" s="5"/>
      <c r="AD1397" s="5"/>
      <c r="AE1397" s="5"/>
      <c r="AF1397" s="5"/>
      <c r="AG1397" s="5"/>
    </row>
    <row r="1398" ht="15.75" customHeight="1">
      <c r="K1398" t="s">
        <v>2382</v>
      </c>
      <c r="L1398" t="str">
        <f>G118</f>
        <v>H1a1b1a</v>
      </c>
      <c r="N1398" t="s">
        <v>2383</v>
      </c>
      <c r="O1398">
        <v>1.6618703E7</v>
      </c>
      <c r="P1398">
        <v>1.4506823E7</v>
      </c>
      <c r="Q1398" t="s">
        <v>553</v>
      </c>
      <c r="R1398" s="5"/>
      <c r="S1398" s="5"/>
      <c r="T1398" s="5"/>
      <c r="U1398" s="5"/>
      <c r="V1398" s="5"/>
      <c r="W1398" s="5"/>
      <c r="X1398" s="5"/>
      <c r="Y1398" s="5"/>
      <c r="Z1398" s="5"/>
      <c r="AA1398" s="5"/>
      <c r="AB1398" s="5"/>
      <c r="AC1398" s="5"/>
      <c r="AD1398" s="5"/>
      <c r="AE1398" s="5"/>
      <c r="AF1398" s="5"/>
      <c r="AG1398" s="5"/>
    </row>
    <row r="1399" ht="15.75" customHeight="1">
      <c r="K1399" t="s">
        <v>2384</v>
      </c>
      <c r="L1399" t="str">
        <f>G118</f>
        <v>H1a1b1a</v>
      </c>
      <c r="N1399" t="s">
        <v>2385</v>
      </c>
      <c r="O1399">
        <v>1.6988981E7</v>
      </c>
      <c r="P1399">
        <v>1.4877101E7</v>
      </c>
      <c r="Q1399" t="s">
        <v>419</v>
      </c>
      <c r="R1399" s="5"/>
      <c r="S1399" s="5"/>
      <c r="T1399" s="5"/>
      <c r="U1399" s="5"/>
      <c r="V1399" s="5"/>
      <c r="W1399" s="5"/>
      <c r="X1399" s="5"/>
      <c r="Y1399" s="5"/>
      <c r="Z1399" s="5"/>
      <c r="AA1399" s="5"/>
      <c r="AB1399" s="5"/>
      <c r="AC1399" s="5"/>
      <c r="AD1399" s="5"/>
      <c r="AE1399" s="5"/>
      <c r="AF1399" s="5"/>
      <c r="AG1399" s="5"/>
    </row>
    <row r="1400" ht="15.75" customHeight="1">
      <c r="K1400" t="s">
        <v>2386</v>
      </c>
      <c r="L1400" t="str">
        <f>G118</f>
        <v>H1a1b1a</v>
      </c>
      <c r="N1400" t="s">
        <v>2387</v>
      </c>
      <c r="O1400">
        <v>1.7017058E7</v>
      </c>
      <c r="P1400">
        <v>1.4905178E7</v>
      </c>
      <c r="Q1400" t="s">
        <v>448</v>
      </c>
      <c r="R1400" s="5"/>
      <c r="S1400" s="5"/>
      <c r="T1400" s="5"/>
      <c r="U1400" s="5"/>
      <c r="V1400" s="5"/>
      <c r="W1400" s="5"/>
      <c r="X1400" s="5"/>
      <c r="Y1400" s="5"/>
      <c r="Z1400" s="5"/>
      <c r="AA1400" s="5"/>
      <c r="AB1400" s="5"/>
      <c r="AC1400" s="5"/>
      <c r="AD1400" s="5"/>
      <c r="AE1400" s="5"/>
      <c r="AF1400" s="5"/>
      <c r="AG1400" s="5"/>
    </row>
    <row r="1401" ht="15.75" customHeight="1">
      <c r="K1401" t="s">
        <v>2388</v>
      </c>
      <c r="L1401" t="str">
        <f>G118</f>
        <v>H1a1b1a</v>
      </c>
      <c r="N1401" t="s">
        <v>2389</v>
      </c>
      <c r="O1401">
        <v>1.7290241E7</v>
      </c>
      <c r="P1401">
        <v>1.5178361E7</v>
      </c>
      <c r="Q1401" t="s">
        <v>525</v>
      </c>
      <c r="R1401" s="5"/>
      <c r="S1401" s="5"/>
      <c r="T1401" s="5"/>
      <c r="U1401" s="5"/>
      <c r="V1401" s="5"/>
      <c r="W1401" s="5"/>
      <c r="X1401" s="5"/>
      <c r="Y1401" s="5"/>
      <c r="Z1401" s="5"/>
      <c r="AA1401" s="5"/>
      <c r="AB1401" s="5"/>
      <c r="AC1401" s="5"/>
      <c r="AD1401" s="5"/>
      <c r="AE1401" s="5"/>
      <c r="AF1401" s="5"/>
      <c r="AG1401" s="5"/>
    </row>
    <row r="1402" ht="15.75" customHeight="1">
      <c r="K1402" t="s">
        <v>2390</v>
      </c>
      <c r="L1402" t="str">
        <f>G118</f>
        <v>H1a1b1a</v>
      </c>
      <c r="N1402" t="s">
        <v>2391</v>
      </c>
      <c r="O1402">
        <v>1.7371362E7</v>
      </c>
      <c r="P1402">
        <v>1.5259482E7</v>
      </c>
      <c r="Q1402" t="s">
        <v>452</v>
      </c>
      <c r="R1402" s="5"/>
      <c r="S1402" s="5"/>
      <c r="T1402" s="5"/>
      <c r="U1402" s="5"/>
      <c r="V1402" s="5"/>
      <c r="W1402" s="5"/>
      <c r="X1402" s="5"/>
      <c r="Y1402" s="5"/>
      <c r="Z1402" s="5"/>
      <c r="AA1402" s="5"/>
      <c r="AB1402" s="5"/>
      <c r="AC1402" s="5"/>
      <c r="AD1402" s="5"/>
      <c r="AE1402" s="5"/>
      <c r="AF1402" s="5"/>
      <c r="AG1402" s="5"/>
    </row>
    <row r="1403" ht="15.75" customHeight="1">
      <c r="K1403" t="s">
        <v>2392</v>
      </c>
      <c r="L1403" t="str">
        <f>G118</f>
        <v>H1a1b1a</v>
      </c>
      <c r="N1403" t="s">
        <v>2393</v>
      </c>
      <c r="O1403">
        <v>1.7511687E7</v>
      </c>
      <c r="P1403">
        <v>1.5399807E7</v>
      </c>
      <c r="Q1403" t="s">
        <v>431</v>
      </c>
      <c r="R1403" s="5"/>
      <c r="S1403" s="5"/>
      <c r="T1403" s="5"/>
      <c r="U1403" s="5"/>
      <c r="V1403" s="5"/>
      <c r="W1403" s="5"/>
      <c r="X1403" s="5"/>
      <c r="Y1403" s="5"/>
      <c r="Z1403" s="5"/>
      <c r="AA1403" s="5"/>
      <c r="AB1403" s="5"/>
      <c r="AC1403" s="5"/>
      <c r="AD1403" s="5"/>
      <c r="AE1403" s="5"/>
      <c r="AF1403" s="5"/>
      <c r="AG1403" s="5"/>
    </row>
    <row r="1404" ht="15.75" customHeight="1">
      <c r="K1404" t="s">
        <v>2394</v>
      </c>
      <c r="L1404" t="str">
        <f>G118</f>
        <v>H1a1b1a</v>
      </c>
      <c r="N1404" t="s">
        <v>2395</v>
      </c>
      <c r="O1404">
        <v>1.787148E7</v>
      </c>
      <c r="P1404">
        <v>1.57596E7</v>
      </c>
      <c r="Q1404" t="s">
        <v>473</v>
      </c>
      <c r="R1404" s="5"/>
      <c r="S1404" s="5"/>
      <c r="T1404" s="5"/>
      <c r="U1404" s="5"/>
      <c r="V1404" s="5"/>
      <c r="W1404" s="5"/>
      <c r="X1404" s="5"/>
      <c r="Y1404" s="5"/>
      <c r="Z1404" s="5"/>
      <c r="AA1404" s="5"/>
      <c r="AB1404" s="5"/>
      <c r="AC1404" s="5"/>
      <c r="AD1404" s="5"/>
      <c r="AE1404" s="5"/>
      <c r="AF1404" s="5"/>
      <c r="AG1404" s="5"/>
    </row>
    <row r="1405" ht="15.75" customHeight="1">
      <c r="K1405" t="s">
        <v>2396</v>
      </c>
      <c r="L1405" t="str">
        <f>G118</f>
        <v>H1a1b1a</v>
      </c>
      <c r="N1405" t="s">
        <v>2397</v>
      </c>
      <c r="O1405">
        <v>1.788896E7</v>
      </c>
      <c r="P1405">
        <v>1.577708E7</v>
      </c>
      <c r="Q1405" t="s">
        <v>423</v>
      </c>
      <c r="R1405" s="5"/>
      <c r="S1405" s="5"/>
      <c r="T1405" s="5"/>
      <c r="U1405" s="5"/>
      <c r="V1405" s="5"/>
      <c r="W1405" s="5"/>
      <c r="X1405" s="5"/>
      <c r="Y1405" s="5"/>
      <c r="Z1405" s="5"/>
      <c r="AA1405" s="5"/>
      <c r="AB1405" s="5"/>
      <c r="AC1405" s="5"/>
      <c r="AD1405" s="5"/>
      <c r="AE1405" s="5"/>
      <c r="AF1405" s="5"/>
      <c r="AG1405" s="5"/>
    </row>
    <row r="1406" ht="15.75" customHeight="1">
      <c r="K1406" t="s">
        <v>2398</v>
      </c>
      <c r="L1406" t="str">
        <f>G118</f>
        <v>H1a1b1a</v>
      </c>
      <c r="N1406" t="s">
        <v>2399</v>
      </c>
      <c r="O1406">
        <v>1.7977678E7</v>
      </c>
      <c r="P1406">
        <v>1.5865798E7</v>
      </c>
      <c r="Q1406" t="s">
        <v>435</v>
      </c>
      <c r="R1406" s="5"/>
      <c r="S1406" s="5"/>
      <c r="T1406" s="5"/>
      <c r="U1406" s="5"/>
      <c r="V1406" s="5"/>
      <c r="W1406" s="5"/>
      <c r="X1406" s="5"/>
      <c r="Y1406" s="5"/>
      <c r="Z1406" s="5"/>
      <c r="AA1406" s="5"/>
      <c r="AB1406" s="5"/>
      <c r="AC1406" s="5"/>
      <c r="AD1406" s="5"/>
      <c r="AE1406" s="5"/>
      <c r="AF1406" s="5"/>
      <c r="AG1406" s="5"/>
    </row>
    <row r="1407" ht="15.75" customHeight="1">
      <c r="K1407" t="s">
        <v>2400</v>
      </c>
      <c r="L1407" t="str">
        <f>G118</f>
        <v>H1a1b1a</v>
      </c>
      <c r="N1407" t="s">
        <v>2401</v>
      </c>
      <c r="O1407">
        <v>1.8768218E7</v>
      </c>
      <c r="P1407">
        <v>1.6656338E7</v>
      </c>
      <c r="Q1407" t="s">
        <v>423</v>
      </c>
      <c r="R1407" s="5"/>
      <c r="S1407" s="5"/>
      <c r="T1407" s="5"/>
      <c r="U1407" s="5"/>
      <c r="V1407" s="5"/>
      <c r="W1407" s="5"/>
      <c r="X1407" s="5"/>
      <c r="Y1407" s="5"/>
      <c r="Z1407" s="5"/>
      <c r="AA1407" s="5"/>
      <c r="AB1407" s="5"/>
      <c r="AC1407" s="5"/>
      <c r="AD1407" s="5"/>
      <c r="AE1407" s="5"/>
      <c r="AF1407" s="5"/>
      <c r="AG1407" s="5"/>
    </row>
    <row r="1408" ht="15.75" customHeight="1">
      <c r="K1408" t="s">
        <v>2402</v>
      </c>
      <c r="L1408" t="str">
        <f>G118</f>
        <v>H1a1b1a</v>
      </c>
      <c r="N1408" t="s">
        <v>2403</v>
      </c>
      <c r="O1408">
        <v>1.888525E7</v>
      </c>
      <c r="P1408">
        <v>1.677337E7</v>
      </c>
      <c r="Q1408" t="s">
        <v>423</v>
      </c>
      <c r="R1408" s="5"/>
      <c r="S1408" s="5"/>
      <c r="T1408" s="5"/>
      <c r="U1408" s="5"/>
      <c r="V1408" s="5"/>
      <c r="W1408" s="5"/>
      <c r="X1408" s="5"/>
      <c r="Y1408" s="5"/>
      <c r="Z1408" s="5"/>
      <c r="AA1408" s="5"/>
      <c r="AB1408" s="5"/>
      <c r="AC1408" s="5"/>
      <c r="AD1408" s="5"/>
      <c r="AE1408" s="5"/>
      <c r="AF1408" s="5"/>
      <c r="AG1408" s="5"/>
    </row>
    <row r="1409" ht="15.75" customHeight="1">
      <c r="K1409" t="s">
        <v>2404</v>
      </c>
      <c r="L1409" t="str">
        <f>G118</f>
        <v>H1a1b1a</v>
      </c>
      <c r="N1409" t="s">
        <v>2405</v>
      </c>
      <c r="O1409">
        <v>1.899238E7</v>
      </c>
      <c r="P1409">
        <v>1.68805E7</v>
      </c>
      <c r="Q1409" t="s">
        <v>419</v>
      </c>
      <c r="R1409" s="5"/>
      <c r="S1409" s="5"/>
      <c r="T1409" s="5"/>
      <c r="U1409" s="5"/>
      <c r="V1409" s="5"/>
      <c r="W1409" s="5"/>
      <c r="X1409" s="5"/>
      <c r="Y1409" s="5"/>
      <c r="Z1409" s="5"/>
      <c r="AA1409" s="5"/>
      <c r="AB1409" s="5"/>
      <c r="AC1409" s="5"/>
      <c r="AD1409" s="5"/>
      <c r="AE1409" s="5"/>
      <c r="AF1409" s="5"/>
      <c r="AG1409" s="5"/>
    </row>
    <row r="1410" ht="15.75" customHeight="1">
      <c r="K1410" t="s">
        <v>2406</v>
      </c>
      <c r="L1410" t="str">
        <f>G118</f>
        <v>H1a1b1a</v>
      </c>
      <c r="N1410" t="s">
        <v>2407</v>
      </c>
      <c r="O1410">
        <v>1.9088097E7</v>
      </c>
      <c r="P1410">
        <v>1.6976217E7</v>
      </c>
      <c r="Q1410" t="s">
        <v>427</v>
      </c>
      <c r="R1410" s="5"/>
      <c r="S1410" s="5"/>
      <c r="T1410" s="5"/>
      <c r="U1410" s="5"/>
      <c r="V1410" s="5"/>
      <c r="W1410" s="5"/>
      <c r="X1410" s="5"/>
      <c r="Y1410" s="5"/>
      <c r="Z1410" s="5"/>
      <c r="AA1410" s="5"/>
      <c r="AB1410" s="5"/>
      <c r="AC1410" s="5"/>
      <c r="AD1410" s="5"/>
      <c r="AE1410" s="5"/>
      <c r="AF1410" s="5"/>
      <c r="AG1410" s="5"/>
    </row>
    <row r="1411" ht="15.75" customHeight="1">
      <c r="K1411" t="s">
        <v>2408</v>
      </c>
      <c r="L1411" t="str">
        <f>G118</f>
        <v>H1a1b1a</v>
      </c>
      <c r="N1411" t="s">
        <v>2409</v>
      </c>
      <c r="O1411">
        <v>2.1677479E7</v>
      </c>
      <c r="P1411">
        <v>1.9515593E7</v>
      </c>
      <c r="Q1411" t="s">
        <v>423</v>
      </c>
      <c r="R1411" s="5"/>
      <c r="S1411" s="5"/>
      <c r="T1411" s="5"/>
      <c r="U1411" s="5"/>
      <c r="V1411" s="5"/>
      <c r="W1411" s="5"/>
      <c r="X1411" s="5"/>
      <c r="Y1411" s="5"/>
      <c r="Z1411" s="5"/>
      <c r="AA1411" s="5"/>
      <c r="AB1411" s="5"/>
      <c r="AC1411" s="5"/>
      <c r="AD1411" s="5"/>
      <c r="AE1411" s="5"/>
      <c r="AF1411" s="5"/>
      <c r="AG1411" s="5"/>
    </row>
    <row r="1412" ht="15.75" customHeight="1">
      <c r="K1412" t="s">
        <v>2410</v>
      </c>
      <c r="L1412" t="str">
        <f>G118</f>
        <v>H1a1b1a</v>
      </c>
      <c r="O1412" t="s">
        <v>2411</v>
      </c>
      <c r="P1412" t="s">
        <v>2412</v>
      </c>
      <c r="Q1412" t="s">
        <v>2413</v>
      </c>
      <c r="R1412" s="5"/>
      <c r="S1412" s="5"/>
      <c r="T1412" s="5"/>
      <c r="U1412" s="5"/>
      <c r="V1412" s="5"/>
      <c r="W1412" s="5"/>
      <c r="X1412" s="5"/>
      <c r="Y1412" s="5"/>
      <c r="Z1412" s="5"/>
      <c r="AA1412" s="5"/>
      <c r="AB1412" s="5"/>
      <c r="AC1412" s="5"/>
      <c r="AD1412" s="5"/>
      <c r="AE1412" s="5"/>
      <c r="AF1412" s="5"/>
      <c r="AG1412" s="5"/>
    </row>
    <row r="1413" ht="15.75" customHeight="1">
      <c r="K1413" t="s">
        <v>2414</v>
      </c>
      <c r="L1413" t="str">
        <f>G118</f>
        <v>H1a1b1a</v>
      </c>
      <c r="N1413" t="s">
        <v>2415</v>
      </c>
      <c r="O1413">
        <v>2.2104112E7</v>
      </c>
      <c r="P1413">
        <v>1.9942226E7</v>
      </c>
      <c r="Q1413" t="s">
        <v>525</v>
      </c>
      <c r="R1413" s="5"/>
      <c r="S1413" s="5"/>
      <c r="T1413" s="5"/>
      <c r="U1413" s="5"/>
      <c r="V1413" s="5"/>
      <c r="W1413" s="5"/>
      <c r="X1413" s="5"/>
      <c r="Y1413" s="5"/>
      <c r="Z1413" s="5"/>
      <c r="AA1413" s="5"/>
      <c r="AB1413" s="5"/>
      <c r="AC1413" s="5"/>
      <c r="AD1413" s="5"/>
      <c r="AE1413" s="5"/>
      <c r="AF1413" s="5"/>
      <c r="AG1413" s="5"/>
    </row>
    <row r="1414" ht="15.75" customHeight="1">
      <c r="K1414" t="s">
        <v>2416</v>
      </c>
      <c r="L1414" t="str">
        <f>G118</f>
        <v>H1a1b1a</v>
      </c>
      <c r="N1414" t="s">
        <v>2417</v>
      </c>
      <c r="O1414">
        <v>2.2555618E7</v>
      </c>
      <c r="P1414">
        <v>2.0393732E7</v>
      </c>
      <c r="Q1414" t="s">
        <v>423</v>
      </c>
      <c r="R1414" s="5"/>
      <c r="S1414" s="5"/>
      <c r="T1414" s="5"/>
      <c r="U1414" s="5"/>
      <c r="V1414" s="5"/>
      <c r="W1414" s="5"/>
      <c r="X1414" s="5"/>
      <c r="Y1414" s="5"/>
      <c r="Z1414" s="5"/>
      <c r="AA1414" s="5"/>
      <c r="AB1414" s="5"/>
      <c r="AC1414" s="5"/>
      <c r="AD1414" s="5"/>
      <c r="AE1414" s="5"/>
      <c r="AF1414" s="5"/>
      <c r="AG1414" s="5"/>
    </row>
    <row r="1415" ht="15.75" customHeight="1">
      <c r="K1415" t="s">
        <v>2418</v>
      </c>
      <c r="L1415" t="str">
        <f>G118</f>
        <v>H1a1b1a</v>
      </c>
      <c r="N1415" t="s">
        <v>2419</v>
      </c>
      <c r="O1415">
        <v>2.2573367E7</v>
      </c>
      <c r="P1415">
        <v>2.0411481E7</v>
      </c>
      <c r="Q1415" t="s">
        <v>448</v>
      </c>
      <c r="R1415" s="5"/>
      <c r="S1415" s="5"/>
      <c r="T1415" s="5"/>
      <c r="U1415" s="5"/>
      <c r="V1415" s="5"/>
      <c r="W1415" s="5"/>
      <c r="X1415" s="5"/>
      <c r="Y1415" s="5"/>
      <c r="Z1415" s="5"/>
      <c r="AA1415" s="5"/>
      <c r="AB1415" s="5"/>
      <c r="AC1415" s="5"/>
      <c r="AD1415" s="5"/>
      <c r="AE1415" s="5"/>
      <c r="AF1415" s="5"/>
      <c r="AG1415" s="5"/>
    </row>
    <row r="1416" ht="15.75" customHeight="1">
      <c r="K1416" t="s">
        <v>2420</v>
      </c>
      <c r="L1416" t="str">
        <f>G118</f>
        <v>H1a1b1a</v>
      </c>
      <c r="N1416" t="s">
        <v>2421</v>
      </c>
      <c r="O1416">
        <v>2.3056986E7</v>
      </c>
      <c r="P1416">
        <v>2.08951E7</v>
      </c>
      <c r="Q1416" t="s">
        <v>435</v>
      </c>
      <c r="R1416" s="5"/>
      <c r="S1416" s="5"/>
      <c r="T1416" s="5"/>
      <c r="U1416" s="5"/>
      <c r="V1416" s="5"/>
      <c r="W1416" s="5"/>
      <c r="X1416" s="5"/>
      <c r="Y1416" s="5"/>
      <c r="Z1416" s="5"/>
      <c r="AA1416" s="5"/>
      <c r="AB1416" s="5"/>
      <c r="AC1416" s="5"/>
      <c r="AD1416" s="5"/>
      <c r="AE1416" s="5"/>
      <c r="AF1416" s="5"/>
      <c r="AG1416" s="5"/>
    </row>
    <row r="1417" ht="15.75" customHeight="1">
      <c r="K1417" t="s">
        <v>2422</v>
      </c>
      <c r="L1417" t="str">
        <f>G118</f>
        <v>H1a1b1a</v>
      </c>
      <c r="N1417" t="s">
        <v>2423</v>
      </c>
      <c r="O1417">
        <v>2.3426369E7</v>
      </c>
      <c r="P1417">
        <v>2.1264483E7</v>
      </c>
      <c r="Q1417" t="s">
        <v>435</v>
      </c>
      <c r="R1417" s="5"/>
      <c r="S1417" s="5"/>
      <c r="T1417" s="5"/>
      <c r="U1417" s="5"/>
      <c r="V1417" s="5"/>
      <c r="W1417" s="5"/>
      <c r="X1417" s="5"/>
      <c r="Y1417" s="5"/>
      <c r="Z1417" s="5"/>
      <c r="AA1417" s="5"/>
      <c r="AB1417" s="5"/>
      <c r="AC1417" s="5"/>
      <c r="AD1417" s="5"/>
      <c r="AE1417" s="5"/>
      <c r="AF1417" s="5"/>
      <c r="AG1417" s="5"/>
    </row>
    <row r="1418" ht="15.75" customHeight="1">
      <c r="K1418" t="s">
        <v>2424</v>
      </c>
      <c r="L1418" t="str">
        <f>G118</f>
        <v>H1a1b1a</v>
      </c>
      <c r="N1418" t="s">
        <v>2425</v>
      </c>
      <c r="O1418">
        <v>2.3529292E7</v>
      </c>
      <c r="P1418">
        <v>2.1367406E7</v>
      </c>
      <c r="Q1418" t="s">
        <v>448</v>
      </c>
      <c r="R1418" s="5"/>
      <c r="S1418" s="5"/>
      <c r="T1418" s="5"/>
      <c r="U1418" s="5"/>
      <c r="V1418" s="5"/>
      <c r="W1418" s="5"/>
      <c r="X1418" s="5"/>
      <c r="Y1418" s="5"/>
      <c r="Z1418" s="5"/>
      <c r="AA1418" s="5"/>
      <c r="AB1418" s="5"/>
      <c r="AC1418" s="5"/>
      <c r="AD1418" s="5"/>
      <c r="AE1418" s="5"/>
      <c r="AF1418" s="5"/>
      <c r="AG1418" s="5"/>
    </row>
    <row r="1419" ht="15.75" customHeight="1">
      <c r="K1419" t="s">
        <v>2426</v>
      </c>
      <c r="L1419" t="str">
        <f>G118</f>
        <v>H1a1b1a</v>
      </c>
      <c r="N1419" t="s">
        <v>2427</v>
      </c>
      <c r="O1419">
        <v>2.146674E7</v>
      </c>
      <c r="P1419">
        <v>1.9304854E7</v>
      </c>
      <c r="Q1419" t="s">
        <v>525</v>
      </c>
      <c r="R1419" s="5"/>
      <c r="S1419" s="5"/>
      <c r="T1419" s="5"/>
      <c r="U1419" s="5"/>
      <c r="V1419" s="5"/>
      <c r="W1419" s="5"/>
      <c r="X1419" s="5"/>
      <c r="Y1419" s="5"/>
      <c r="Z1419" s="5"/>
      <c r="AA1419" s="5"/>
      <c r="AB1419" s="5"/>
      <c r="AC1419" s="5"/>
      <c r="AD1419" s="5"/>
      <c r="AE1419" s="5"/>
      <c r="AF1419" s="5"/>
      <c r="AG1419" s="5"/>
    </row>
    <row r="1420" ht="15.75" customHeight="1">
      <c r="K1420" t="s">
        <v>2428</v>
      </c>
      <c r="L1420" t="str">
        <f>G118</f>
        <v>H1a1b1a</v>
      </c>
      <c r="N1420" t="s">
        <v>2429</v>
      </c>
      <c r="O1420">
        <v>6752826.0</v>
      </c>
      <c r="P1420">
        <v>6884785.0</v>
      </c>
      <c r="Q1420" t="s">
        <v>419</v>
      </c>
      <c r="R1420" s="5"/>
      <c r="S1420" s="5"/>
      <c r="T1420" s="5"/>
      <c r="U1420" s="5"/>
      <c r="V1420" s="5"/>
      <c r="W1420" s="5"/>
      <c r="X1420" s="5"/>
      <c r="Y1420" s="5"/>
      <c r="Z1420" s="5"/>
      <c r="AA1420" s="5"/>
      <c r="AB1420" s="5"/>
      <c r="AC1420" s="5"/>
      <c r="AD1420" s="5"/>
      <c r="AE1420" s="5"/>
      <c r="AF1420" s="5"/>
      <c r="AG1420" s="5"/>
    </row>
    <row r="1421" ht="15.75" customHeight="1">
      <c r="K1421" t="s">
        <v>2430</v>
      </c>
      <c r="L1421" t="str">
        <f>G118</f>
        <v>H1a1b1a</v>
      </c>
      <c r="N1421" t="s">
        <v>2431</v>
      </c>
      <c r="O1421">
        <v>7340532.0</v>
      </c>
      <c r="P1421">
        <v>7472491.0</v>
      </c>
      <c r="Q1421" t="s">
        <v>419</v>
      </c>
      <c r="R1421" s="5"/>
      <c r="S1421" s="5"/>
      <c r="T1421" s="5"/>
      <c r="U1421" s="5"/>
      <c r="V1421" s="5"/>
      <c r="W1421" s="5"/>
      <c r="X1421" s="5"/>
      <c r="Y1421" s="5"/>
      <c r="Z1421" s="5"/>
      <c r="AA1421" s="5"/>
      <c r="AB1421" s="5"/>
      <c r="AC1421" s="5"/>
      <c r="AD1421" s="5"/>
      <c r="AE1421" s="5"/>
      <c r="AF1421" s="5"/>
      <c r="AG1421" s="5"/>
    </row>
    <row r="1422" ht="15.75" customHeight="1">
      <c r="K1422" t="s">
        <v>2432</v>
      </c>
      <c r="L1422" t="str">
        <f>G118</f>
        <v>H1a1b1a</v>
      </c>
      <c r="N1422" t="s">
        <v>2433</v>
      </c>
      <c r="O1422">
        <v>8061823.0</v>
      </c>
      <c r="P1422">
        <v>8193782.0</v>
      </c>
      <c r="Q1422" t="s">
        <v>525</v>
      </c>
      <c r="R1422" s="5"/>
      <c r="S1422" s="5"/>
      <c r="T1422" s="5"/>
      <c r="U1422" s="5"/>
      <c r="V1422" s="5"/>
      <c r="W1422" s="5"/>
      <c r="X1422" s="5"/>
      <c r="Y1422" s="5"/>
      <c r="Z1422" s="5"/>
      <c r="AA1422" s="5"/>
      <c r="AB1422" s="5"/>
      <c r="AC1422" s="5"/>
      <c r="AD1422" s="5"/>
      <c r="AE1422" s="5"/>
      <c r="AF1422" s="5"/>
      <c r="AG1422" s="5"/>
    </row>
    <row r="1423" ht="15.75" customHeight="1">
      <c r="K1423" t="s">
        <v>2434</v>
      </c>
      <c r="L1423" t="str">
        <f>G118</f>
        <v>H1a1b1a</v>
      </c>
      <c r="N1423" t="s">
        <v>2435</v>
      </c>
      <c r="O1423">
        <v>8842326.0</v>
      </c>
      <c r="P1423">
        <v>8974285.0</v>
      </c>
      <c r="Q1423" t="s">
        <v>423</v>
      </c>
      <c r="R1423" s="5"/>
      <c r="S1423" s="5"/>
      <c r="T1423" s="5"/>
      <c r="U1423" s="5"/>
      <c r="V1423" s="5"/>
      <c r="W1423" s="5"/>
      <c r="X1423" s="5"/>
      <c r="Y1423" s="5"/>
      <c r="Z1423" s="5"/>
      <c r="AA1423" s="5"/>
      <c r="AB1423" s="5"/>
      <c r="AC1423" s="5"/>
      <c r="AD1423" s="5"/>
      <c r="AE1423" s="5"/>
      <c r="AF1423" s="5"/>
      <c r="AG1423" s="5"/>
    </row>
    <row r="1424" ht="15.75" customHeight="1">
      <c r="K1424" t="s">
        <v>2436</v>
      </c>
      <c r="L1424" t="str">
        <f>G118</f>
        <v>H1a1b1a</v>
      </c>
      <c r="N1424" t="s">
        <v>2437</v>
      </c>
      <c r="O1424">
        <v>9836363.0</v>
      </c>
      <c r="P1424">
        <v>9998754.0</v>
      </c>
      <c r="Q1424" t="s">
        <v>431</v>
      </c>
      <c r="R1424" s="5"/>
      <c r="S1424" s="5"/>
      <c r="T1424" s="5"/>
      <c r="U1424" s="5"/>
      <c r="V1424" s="5"/>
      <c r="W1424" s="5"/>
      <c r="X1424" s="5"/>
      <c r="Y1424" s="5"/>
      <c r="Z1424" s="5"/>
      <c r="AA1424" s="5"/>
      <c r="AB1424" s="5"/>
      <c r="AC1424" s="5"/>
      <c r="AD1424" s="5"/>
      <c r="AE1424" s="5"/>
      <c r="AF1424" s="5"/>
      <c r="AG1424" s="5"/>
    </row>
    <row r="1425" ht="15.75" customHeight="1">
      <c r="K1425" t="s">
        <v>2438</v>
      </c>
      <c r="L1425" t="str">
        <f>G118</f>
        <v>H1a1b1a</v>
      </c>
      <c r="N1425" t="s">
        <v>2439</v>
      </c>
      <c r="O1425">
        <v>9918978.0</v>
      </c>
      <c r="P1425">
        <v>1.0081369E7</v>
      </c>
      <c r="Q1425" t="s">
        <v>448</v>
      </c>
      <c r="R1425" s="5"/>
      <c r="S1425" s="5"/>
      <c r="T1425" s="5"/>
      <c r="U1425" s="5"/>
      <c r="V1425" s="5"/>
      <c r="W1425" s="5"/>
      <c r="X1425" s="5"/>
      <c r="Y1425" s="5"/>
      <c r="Z1425" s="5"/>
      <c r="AA1425" s="5"/>
      <c r="AB1425" s="5"/>
      <c r="AC1425" s="5"/>
      <c r="AD1425" s="5"/>
      <c r="AE1425" s="5"/>
      <c r="AF1425" s="5"/>
      <c r="AG1425" s="5"/>
    </row>
    <row r="1426" ht="15.75" customHeight="1">
      <c r="K1426" t="s">
        <v>2440</v>
      </c>
      <c r="L1426" t="str">
        <f>G118</f>
        <v>H1a1b1a</v>
      </c>
      <c r="O1426">
        <v>1.000159E7</v>
      </c>
      <c r="P1426">
        <v>1.0163981E7</v>
      </c>
      <c r="Q1426" t="s">
        <v>448</v>
      </c>
      <c r="R1426" s="5"/>
      <c r="S1426" s="5"/>
      <c r="T1426" s="5"/>
      <c r="U1426" s="5"/>
      <c r="V1426" s="5"/>
      <c r="W1426" s="5"/>
      <c r="X1426" s="5"/>
      <c r="Y1426" s="5"/>
      <c r="Z1426" s="5"/>
      <c r="AA1426" s="5"/>
      <c r="AB1426" s="5"/>
      <c r="AC1426" s="5"/>
      <c r="AD1426" s="5"/>
      <c r="AE1426" s="5"/>
      <c r="AF1426" s="5"/>
      <c r="AG1426" s="5"/>
    </row>
    <row r="1427" ht="15.75" customHeight="1">
      <c r="K1427" t="s">
        <v>2441</v>
      </c>
      <c r="L1427" t="str">
        <f>G118</f>
        <v>H1a1b1a</v>
      </c>
      <c r="N1427" t="s">
        <v>2442</v>
      </c>
      <c r="O1427">
        <v>1.3486042E7</v>
      </c>
      <c r="P1427">
        <v>1.1330366E7</v>
      </c>
      <c r="Q1427" t="s">
        <v>427</v>
      </c>
      <c r="R1427" s="5"/>
      <c r="S1427" s="5"/>
      <c r="T1427" s="5"/>
      <c r="U1427" s="5"/>
      <c r="V1427" s="5"/>
      <c r="W1427" s="5"/>
      <c r="X1427" s="5"/>
      <c r="Y1427" s="5"/>
      <c r="Z1427" s="5"/>
      <c r="AA1427" s="5"/>
      <c r="AB1427" s="5"/>
      <c r="AC1427" s="5"/>
      <c r="AD1427" s="5"/>
      <c r="AE1427" s="5"/>
      <c r="AF1427" s="5"/>
      <c r="AG1427" s="5"/>
    </row>
    <row r="1428" ht="15.75" customHeight="1">
      <c r="K1428" t="s">
        <v>2443</v>
      </c>
      <c r="L1428" t="str">
        <f>G118</f>
        <v>H1a1b1a</v>
      </c>
      <c r="O1428">
        <v>1.3490697E7</v>
      </c>
      <c r="P1428">
        <v>1.1335021E7</v>
      </c>
      <c r="Q1428" t="s">
        <v>423</v>
      </c>
      <c r="R1428" s="5"/>
      <c r="S1428" s="5"/>
      <c r="T1428" s="5"/>
      <c r="U1428" s="5"/>
      <c r="V1428" s="5"/>
      <c r="W1428" s="5"/>
      <c r="X1428" s="5"/>
      <c r="Y1428" s="5"/>
      <c r="Z1428" s="5"/>
      <c r="AA1428" s="5"/>
      <c r="AB1428" s="5"/>
      <c r="AC1428" s="5"/>
      <c r="AD1428" s="5"/>
      <c r="AE1428" s="5"/>
      <c r="AF1428" s="5"/>
      <c r="AG1428" s="5"/>
    </row>
    <row r="1429" ht="15.75" customHeight="1">
      <c r="K1429" t="s">
        <v>2444</v>
      </c>
      <c r="L1429" t="str">
        <f>G118</f>
        <v>H1a1b1a</v>
      </c>
      <c r="N1429" t="s">
        <v>2445</v>
      </c>
      <c r="O1429">
        <v>1.3920986E7</v>
      </c>
      <c r="P1429">
        <v>1.180028E7</v>
      </c>
      <c r="Q1429" t="s">
        <v>476</v>
      </c>
      <c r="R1429" s="5"/>
      <c r="S1429" s="5"/>
      <c r="T1429" s="5"/>
      <c r="U1429" s="5"/>
      <c r="V1429" s="5"/>
      <c r="W1429" s="5"/>
      <c r="X1429" s="5"/>
      <c r="Y1429" s="5"/>
      <c r="Z1429" s="5"/>
      <c r="AA1429" s="5"/>
      <c r="AB1429" s="5"/>
      <c r="AC1429" s="5"/>
      <c r="AD1429" s="5"/>
      <c r="AE1429" s="5"/>
      <c r="AF1429" s="5"/>
      <c r="AG1429" s="5"/>
    </row>
    <row r="1430" ht="15.75" customHeight="1">
      <c r="K1430" t="s">
        <v>2446</v>
      </c>
      <c r="L1430" t="str">
        <f>G118</f>
        <v>H1a1b1a</v>
      </c>
      <c r="N1430" t="s">
        <v>2447</v>
      </c>
      <c r="O1430">
        <v>1.3997452E7</v>
      </c>
      <c r="P1430">
        <v>1.1876746E7</v>
      </c>
      <c r="Q1430" t="s">
        <v>423</v>
      </c>
      <c r="R1430" s="5"/>
      <c r="S1430" s="5"/>
      <c r="T1430" s="5"/>
      <c r="U1430" s="5"/>
      <c r="V1430" s="5"/>
      <c r="W1430" s="5"/>
      <c r="X1430" s="5"/>
      <c r="Y1430" s="5"/>
      <c r="Z1430" s="5"/>
      <c r="AA1430" s="5"/>
      <c r="AB1430" s="5"/>
      <c r="AC1430" s="5"/>
      <c r="AD1430" s="5"/>
      <c r="AE1430" s="5"/>
      <c r="AF1430" s="5"/>
      <c r="AG1430" s="5"/>
    </row>
    <row r="1431" ht="15.75" customHeight="1">
      <c r="K1431" t="s">
        <v>2448</v>
      </c>
      <c r="L1431" t="str">
        <f>G118</f>
        <v>H1a1b1a</v>
      </c>
      <c r="N1431" t="s">
        <v>2449</v>
      </c>
      <c r="O1431">
        <v>1.4115021E7</v>
      </c>
      <c r="P1431">
        <v>1.1994315E7</v>
      </c>
      <c r="Q1431" t="s">
        <v>435</v>
      </c>
      <c r="R1431" s="5"/>
      <c r="S1431" s="5"/>
      <c r="T1431" s="5"/>
      <c r="U1431" s="5"/>
      <c r="V1431" s="5"/>
      <c r="W1431" s="5"/>
      <c r="X1431" s="5"/>
      <c r="Y1431" s="5"/>
      <c r="Z1431" s="5"/>
      <c r="AA1431" s="5"/>
      <c r="AB1431" s="5"/>
      <c r="AC1431" s="5"/>
      <c r="AD1431" s="5"/>
      <c r="AE1431" s="5"/>
      <c r="AF1431" s="5"/>
      <c r="AG1431" s="5"/>
    </row>
    <row r="1432" ht="15.75" customHeight="1">
      <c r="K1432" t="s">
        <v>2450</v>
      </c>
      <c r="L1432" t="str">
        <f>G118</f>
        <v>H1a1b1a</v>
      </c>
      <c r="N1432" t="s">
        <v>2451</v>
      </c>
      <c r="O1432">
        <v>1.4132009E7</v>
      </c>
      <c r="P1432">
        <v>1.2011303E7</v>
      </c>
      <c r="Q1432" t="s">
        <v>419</v>
      </c>
      <c r="R1432" s="5"/>
      <c r="S1432" s="5"/>
      <c r="T1432" s="5"/>
      <c r="U1432" s="5"/>
      <c r="V1432" s="5"/>
      <c r="W1432" s="5"/>
      <c r="X1432" s="5"/>
      <c r="Y1432" s="5"/>
      <c r="Z1432" s="5"/>
      <c r="AA1432" s="5"/>
      <c r="AB1432" s="5"/>
      <c r="AC1432" s="5"/>
      <c r="AD1432" s="5"/>
      <c r="AE1432" s="5"/>
      <c r="AF1432" s="5"/>
      <c r="AG1432" s="5"/>
    </row>
    <row r="1433" ht="15.75" customHeight="1">
      <c r="K1433" t="s">
        <v>2452</v>
      </c>
      <c r="L1433" t="str">
        <f>G118</f>
        <v>H1a1b1a</v>
      </c>
      <c r="N1433" t="s">
        <v>2453</v>
      </c>
      <c r="O1433">
        <v>1.4132438E7</v>
      </c>
      <c r="P1433">
        <v>1.2011732E7</v>
      </c>
      <c r="Q1433" t="s">
        <v>448</v>
      </c>
      <c r="R1433" s="5"/>
      <c r="S1433" s="5"/>
      <c r="T1433" s="5"/>
      <c r="U1433" s="5"/>
      <c r="V1433" s="5"/>
      <c r="W1433" s="5"/>
      <c r="X1433" s="5"/>
      <c r="Y1433" s="5"/>
      <c r="Z1433" s="5"/>
      <c r="AA1433" s="5"/>
      <c r="AB1433" s="5"/>
      <c r="AC1433" s="5"/>
      <c r="AD1433" s="5"/>
      <c r="AE1433" s="5"/>
      <c r="AF1433" s="5"/>
      <c r="AG1433" s="5"/>
    </row>
    <row r="1434" ht="15.75" customHeight="1">
      <c r="K1434" t="s">
        <v>2454</v>
      </c>
      <c r="L1434" t="str">
        <f>G118</f>
        <v>H1a1b1a</v>
      </c>
      <c r="N1434" t="s">
        <v>2455</v>
      </c>
      <c r="O1434">
        <v>1.42085E7</v>
      </c>
      <c r="P1434">
        <v>1.2087794E7</v>
      </c>
      <c r="Q1434" t="s">
        <v>423</v>
      </c>
      <c r="R1434" s="5"/>
      <c r="S1434" s="5"/>
      <c r="T1434" s="5"/>
      <c r="U1434" s="5"/>
      <c r="V1434" s="5"/>
      <c r="W1434" s="5"/>
      <c r="X1434" s="5"/>
      <c r="Y1434" s="5"/>
      <c r="Z1434" s="5"/>
      <c r="AA1434" s="5"/>
      <c r="AB1434" s="5"/>
      <c r="AC1434" s="5"/>
      <c r="AD1434" s="5"/>
      <c r="AE1434" s="5"/>
      <c r="AF1434" s="5"/>
      <c r="AG1434" s="5"/>
    </row>
    <row r="1435" ht="15.75" customHeight="1">
      <c r="K1435" t="s">
        <v>2456</v>
      </c>
      <c r="L1435" t="str">
        <f>G118</f>
        <v>H1a1b1a</v>
      </c>
      <c r="N1435" t="s">
        <v>2457</v>
      </c>
      <c r="O1435">
        <v>1.4261878E7</v>
      </c>
      <c r="P1435">
        <v>1.2141172E7</v>
      </c>
      <c r="Q1435" t="s">
        <v>419</v>
      </c>
      <c r="R1435" s="5"/>
      <c r="S1435" s="5"/>
      <c r="T1435" s="5"/>
      <c r="U1435" s="5"/>
      <c r="V1435" s="5"/>
      <c r="W1435" s="5"/>
      <c r="X1435" s="5"/>
      <c r="Y1435" s="5"/>
      <c r="Z1435" s="5"/>
      <c r="AA1435" s="5"/>
      <c r="AB1435" s="5"/>
      <c r="AC1435" s="5"/>
      <c r="AD1435" s="5"/>
      <c r="AE1435" s="5"/>
      <c r="AF1435" s="5"/>
      <c r="AG1435" s="5"/>
    </row>
    <row r="1436" ht="15.75" customHeight="1">
      <c r="K1436" t="s">
        <v>2458</v>
      </c>
      <c r="L1436" t="str">
        <f>G118</f>
        <v>H1a1b1a</v>
      </c>
      <c r="N1436" t="s">
        <v>2459</v>
      </c>
      <c r="O1436">
        <v>1.4347772E7</v>
      </c>
      <c r="P1436">
        <v>1.2227067E7</v>
      </c>
      <c r="Q1436" t="s">
        <v>476</v>
      </c>
      <c r="R1436" s="5"/>
      <c r="S1436" s="5"/>
      <c r="T1436" s="5"/>
      <c r="U1436" s="5"/>
      <c r="V1436" s="5"/>
      <c r="W1436" s="5"/>
      <c r="X1436" s="5"/>
      <c r="Y1436" s="5"/>
      <c r="Z1436" s="5"/>
      <c r="AA1436" s="5"/>
      <c r="AB1436" s="5"/>
      <c r="AC1436" s="5"/>
      <c r="AD1436" s="5"/>
      <c r="AE1436" s="5"/>
      <c r="AF1436" s="5"/>
      <c r="AG1436" s="5"/>
    </row>
    <row r="1437" ht="15.75" customHeight="1">
      <c r="K1437" t="s">
        <v>2460</v>
      </c>
      <c r="L1437" t="str">
        <f>G118</f>
        <v>H1a1b1a</v>
      </c>
      <c r="N1437" t="s">
        <v>2461</v>
      </c>
      <c r="O1437">
        <v>1.4422678E7</v>
      </c>
      <c r="P1437">
        <v>1.2301953E7</v>
      </c>
      <c r="Q1437" t="s">
        <v>431</v>
      </c>
      <c r="R1437" s="5"/>
      <c r="S1437" s="5"/>
      <c r="T1437" s="5"/>
      <c r="U1437" s="5"/>
      <c r="V1437" s="5"/>
      <c r="W1437" s="5"/>
      <c r="X1437" s="5"/>
      <c r="Y1437" s="5"/>
      <c r="Z1437" s="5"/>
      <c r="AA1437" s="5"/>
      <c r="AB1437" s="5"/>
      <c r="AC1437" s="5"/>
      <c r="AD1437" s="5"/>
      <c r="AE1437" s="5"/>
      <c r="AF1437" s="5"/>
      <c r="AG1437" s="5"/>
    </row>
    <row r="1438" ht="15.75" customHeight="1">
      <c r="K1438" t="s">
        <v>2462</v>
      </c>
      <c r="L1438" t="str">
        <f>G118</f>
        <v>H1a1b1a</v>
      </c>
      <c r="N1438" t="s">
        <v>2463</v>
      </c>
      <c r="O1438">
        <v>1.5887958E7</v>
      </c>
      <c r="P1438">
        <v>1.3776078E7</v>
      </c>
      <c r="Q1438" t="s">
        <v>525</v>
      </c>
      <c r="R1438" s="5"/>
      <c r="S1438" s="5"/>
      <c r="T1438" s="5"/>
      <c r="U1438" s="5"/>
      <c r="V1438" s="5"/>
      <c r="W1438" s="5"/>
      <c r="X1438" s="5"/>
      <c r="Y1438" s="5"/>
      <c r="Z1438" s="5"/>
      <c r="AA1438" s="5"/>
      <c r="AB1438" s="5"/>
      <c r="AC1438" s="5"/>
      <c r="AD1438" s="5"/>
      <c r="AE1438" s="5"/>
      <c r="AF1438" s="5"/>
      <c r="AG1438" s="5"/>
    </row>
    <row r="1439" ht="15.75" customHeight="1">
      <c r="K1439" t="s">
        <v>2464</v>
      </c>
      <c r="L1439" t="str">
        <f>G118</f>
        <v>H1a1b1a</v>
      </c>
      <c r="N1439" t="s">
        <v>2465</v>
      </c>
      <c r="O1439">
        <v>1.5936785E7</v>
      </c>
      <c r="P1439">
        <v>1.3824905E7</v>
      </c>
      <c r="Q1439" t="s">
        <v>525</v>
      </c>
      <c r="R1439" s="5"/>
      <c r="S1439" s="5"/>
      <c r="T1439" s="5"/>
      <c r="U1439" s="5"/>
      <c r="V1439" s="5"/>
      <c r="W1439" s="5"/>
      <c r="X1439" s="5"/>
      <c r="Y1439" s="5"/>
      <c r="Z1439" s="5"/>
      <c r="AA1439" s="5"/>
      <c r="AB1439" s="5"/>
      <c r="AC1439" s="5"/>
      <c r="AD1439" s="5"/>
      <c r="AE1439" s="5"/>
      <c r="AF1439" s="5"/>
      <c r="AG1439" s="5"/>
    </row>
    <row r="1440" ht="15.75" customHeight="1">
      <c r="K1440" t="s">
        <v>2466</v>
      </c>
      <c r="L1440" t="str">
        <f>G118</f>
        <v>H1a1b1a</v>
      </c>
      <c r="N1440" t="s">
        <v>2467</v>
      </c>
      <c r="O1440">
        <v>1.6687449E7</v>
      </c>
      <c r="P1440">
        <v>1.4575569E7</v>
      </c>
      <c r="Q1440" t="s">
        <v>431</v>
      </c>
      <c r="R1440" s="5"/>
      <c r="S1440" s="5"/>
      <c r="T1440" s="5"/>
      <c r="U1440" s="5"/>
      <c r="V1440" s="5"/>
      <c r="W1440" s="5"/>
      <c r="X1440" s="5"/>
      <c r="Y1440" s="5"/>
      <c r="Z1440" s="5"/>
      <c r="AA1440" s="5"/>
      <c r="AB1440" s="5"/>
      <c r="AC1440" s="5"/>
      <c r="AD1440" s="5"/>
      <c r="AE1440" s="5"/>
      <c r="AF1440" s="5"/>
      <c r="AG1440" s="5"/>
    </row>
    <row r="1441" ht="15.75" customHeight="1">
      <c r="K1441" t="s">
        <v>2468</v>
      </c>
      <c r="L1441" t="str">
        <f>G118</f>
        <v>H1a1b1a</v>
      </c>
      <c r="N1441" t="s">
        <v>2469</v>
      </c>
      <c r="O1441">
        <v>1.7127096E7</v>
      </c>
      <c r="P1441">
        <v>1.5015216E7</v>
      </c>
      <c r="Q1441" t="s">
        <v>419</v>
      </c>
      <c r="R1441" s="5"/>
      <c r="S1441" s="5"/>
      <c r="T1441" s="5"/>
      <c r="U1441" s="5"/>
      <c r="V1441" s="5"/>
      <c r="W1441" s="5"/>
      <c r="X1441" s="5"/>
      <c r="Y1441" s="5"/>
      <c r="Z1441" s="5"/>
      <c r="AA1441" s="5"/>
      <c r="AB1441" s="5"/>
      <c r="AC1441" s="5"/>
      <c r="AD1441" s="5"/>
      <c r="AE1441" s="5"/>
      <c r="AF1441" s="5"/>
      <c r="AG1441" s="5"/>
    </row>
    <row r="1442" ht="15.75" customHeight="1">
      <c r="K1442" t="s">
        <v>2470</v>
      </c>
      <c r="L1442" t="str">
        <f>G118</f>
        <v>H1a1b1a</v>
      </c>
      <c r="N1442" t="s">
        <v>2471</v>
      </c>
      <c r="O1442">
        <v>1.7290717E7</v>
      </c>
      <c r="P1442">
        <v>1.5178837E7</v>
      </c>
      <c r="Q1442" t="s">
        <v>435</v>
      </c>
      <c r="R1442" s="5"/>
      <c r="S1442" s="5"/>
      <c r="T1442" s="5"/>
      <c r="U1442" s="5"/>
      <c r="V1442" s="5"/>
      <c r="W1442" s="5"/>
      <c r="X1442" s="5"/>
      <c r="Y1442" s="5"/>
      <c r="Z1442" s="5"/>
      <c r="AA1442" s="5"/>
      <c r="AB1442" s="5"/>
      <c r="AC1442" s="5"/>
      <c r="AD1442" s="5"/>
      <c r="AE1442" s="5"/>
      <c r="AF1442" s="5"/>
      <c r="AG1442" s="5"/>
    </row>
    <row r="1443" ht="15.75" customHeight="1">
      <c r="K1443" t="s">
        <v>2472</v>
      </c>
      <c r="L1443" t="str">
        <f>G118</f>
        <v>H1a1b1a</v>
      </c>
      <c r="N1443" t="s">
        <v>2473</v>
      </c>
      <c r="O1443">
        <v>1.7379784E7</v>
      </c>
      <c r="P1443">
        <v>1.5267904E7</v>
      </c>
      <c r="Q1443" t="s">
        <v>423</v>
      </c>
      <c r="R1443" s="5"/>
      <c r="S1443" s="5"/>
      <c r="T1443" s="5"/>
      <c r="U1443" s="5"/>
      <c r="V1443" s="5"/>
      <c r="W1443" s="5"/>
      <c r="X1443" s="5"/>
      <c r="Y1443" s="5"/>
      <c r="Z1443" s="5"/>
      <c r="AA1443" s="5"/>
      <c r="AB1443" s="5"/>
      <c r="AC1443" s="5"/>
      <c r="AD1443" s="5"/>
      <c r="AE1443" s="5"/>
      <c r="AF1443" s="5"/>
      <c r="AG1443" s="5"/>
    </row>
    <row r="1444" ht="15.75" customHeight="1">
      <c r="K1444" t="s">
        <v>2474</v>
      </c>
      <c r="L1444" t="str">
        <f>G118</f>
        <v>H1a1b1a</v>
      </c>
      <c r="N1444" t="s">
        <v>2475</v>
      </c>
      <c r="O1444">
        <v>1.7408357E7</v>
      </c>
      <c r="P1444">
        <v>1.5296477E7</v>
      </c>
      <c r="Q1444" t="s">
        <v>525</v>
      </c>
      <c r="R1444" s="5"/>
      <c r="S1444" s="5"/>
      <c r="T1444" s="5"/>
      <c r="U1444" s="5"/>
      <c r="V1444" s="5"/>
      <c r="W1444" s="5"/>
      <c r="X1444" s="5"/>
      <c r="Y1444" s="5"/>
      <c r="Z1444" s="5"/>
      <c r="AA1444" s="5"/>
      <c r="AB1444" s="5"/>
      <c r="AC1444" s="5"/>
      <c r="AD1444" s="5"/>
      <c r="AE1444" s="5"/>
      <c r="AF1444" s="5"/>
      <c r="AG1444" s="5"/>
    </row>
    <row r="1445" ht="15.75" customHeight="1">
      <c r="K1445" t="s">
        <v>2476</v>
      </c>
      <c r="L1445" t="str">
        <f>G118</f>
        <v>H1a1b1a</v>
      </c>
      <c r="N1445" t="s">
        <v>2477</v>
      </c>
      <c r="O1445">
        <v>1.7476139E7</v>
      </c>
      <c r="P1445">
        <v>1.5364259E7</v>
      </c>
      <c r="Q1445" t="s">
        <v>459</v>
      </c>
      <c r="R1445" s="5"/>
      <c r="S1445" s="5"/>
      <c r="T1445" s="5"/>
      <c r="U1445" s="5"/>
      <c r="V1445" s="5"/>
      <c r="W1445" s="5"/>
      <c r="X1445" s="5"/>
      <c r="Y1445" s="5"/>
      <c r="Z1445" s="5"/>
      <c r="AA1445" s="5"/>
      <c r="AB1445" s="5"/>
      <c r="AC1445" s="5"/>
      <c r="AD1445" s="5"/>
      <c r="AE1445" s="5"/>
      <c r="AF1445" s="5"/>
      <c r="AG1445" s="5"/>
    </row>
    <row r="1446" ht="15.75" customHeight="1">
      <c r="K1446" t="s">
        <v>2478</v>
      </c>
      <c r="L1446" t="str">
        <f>G118</f>
        <v>H1a1b1a</v>
      </c>
      <c r="N1446" t="s">
        <v>2479</v>
      </c>
      <c r="O1446">
        <v>1.7701847E7</v>
      </c>
      <c r="P1446">
        <v>1.5589967E7</v>
      </c>
      <c r="Q1446" t="s">
        <v>448</v>
      </c>
      <c r="R1446" s="5"/>
      <c r="S1446" s="5"/>
      <c r="T1446" s="5"/>
      <c r="U1446" s="5"/>
      <c r="V1446" s="5"/>
      <c r="W1446" s="5"/>
      <c r="X1446" s="5"/>
      <c r="Y1446" s="5"/>
      <c r="Z1446" s="5"/>
      <c r="AA1446" s="5"/>
      <c r="AB1446" s="5"/>
      <c r="AC1446" s="5"/>
      <c r="AD1446" s="5"/>
      <c r="AE1446" s="5"/>
      <c r="AF1446" s="5"/>
      <c r="AG1446" s="5"/>
    </row>
    <row r="1447" ht="15.75" customHeight="1">
      <c r="K1447" t="s">
        <v>2480</v>
      </c>
      <c r="L1447" t="str">
        <f>G118</f>
        <v>H1a1b1a</v>
      </c>
      <c r="N1447" t="s">
        <v>2481</v>
      </c>
      <c r="O1447">
        <v>1.7788344E7</v>
      </c>
      <c r="P1447">
        <v>1.5676464E7</v>
      </c>
      <c r="Q1447" t="s">
        <v>553</v>
      </c>
      <c r="R1447" s="5"/>
      <c r="S1447" s="5"/>
      <c r="T1447" s="5"/>
      <c r="U1447" s="5"/>
      <c r="V1447" s="5"/>
      <c r="W1447" s="5"/>
      <c r="X1447" s="5"/>
      <c r="Y1447" s="5"/>
      <c r="Z1447" s="5"/>
      <c r="AA1447" s="5"/>
      <c r="AB1447" s="5"/>
      <c r="AC1447" s="5"/>
      <c r="AD1447" s="5"/>
      <c r="AE1447" s="5"/>
      <c r="AF1447" s="5"/>
      <c r="AG1447" s="5"/>
    </row>
    <row r="1448" ht="15.75" customHeight="1">
      <c r="K1448" t="s">
        <v>2482</v>
      </c>
      <c r="L1448" t="str">
        <f>G118</f>
        <v>H1a1b1a</v>
      </c>
      <c r="N1448" t="s">
        <v>2483</v>
      </c>
      <c r="O1448">
        <v>1.8395325E7</v>
      </c>
      <c r="P1448">
        <v>1.6283445E7</v>
      </c>
      <c r="Q1448" t="s">
        <v>525</v>
      </c>
      <c r="R1448" s="5"/>
      <c r="S1448" s="5"/>
      <c r="T1448" s="5"/>
      <c r="U1448" s="5"/>
      <c r="V1448" s="5"/>
      <c r="W1448" s="5"/>
      <c r="X1448" s="5"/>
      <c r="Y1448" s="5"/>
      <c r="Z1448" s="5"/>
      <c r="AA1448" s="5"/>
      <c r="AB1448" s="5"/>
      <c r="AC1448" s="5"/>
      <c r="AD1448" s="5"/>
      <c r="AE1448" s="5"/>
      <c r="AF1448" s="5"/>
      <c r="AG1448" s="5"/>
    </row>
    <row r="1449" ht="15.75" customHeight="1">
      <c r="K1449" t="s">
        <v>2484</v>
      </c>
      <c r="L1449" t="str">
        <f>G118</f>
        <v>H1a1b1a</v>
      </c>
      <c r="N1449" t="s">
        <v>2485</v>
      </c>
      <c r="O1449">
        <v>1.870915E7</v>
      </c>
      <c r="P1449">
        <v>1.659727E7</v>
      </c>
      <c r="Q1449" t="s">
        <v>423</v>
      </c>
      <c r="R1449" s="5"/>
      <c r="S1449" s="5"/>
      <c r="T1449" s="5"/>
      <c r="U1449" s="5"/>
      <c r="V1449" s="5"/>
      <c r="W1449" s="5"/>
      <c r="X1449" s="5"/>
      <c r="Y1449" s="5"/>
      <c r="Z1449" s="5"/>
      <c r="AA1449" s="5"/>
      <c r="AB1449" s="5"/>
      <c r="AC1449" s="5"/>
      <c r="AD1449" s="5"/>
      <c r="AE1449" s="5"/>
      <c r="AF1449" s="5"/>
      <c r="AG1449" s="5"/>
    </row>
    <row r="1450" ht="15.75" customHeight="1">
      <c r="K1450" t="s">
        <v>2486</v>
      </c>
      <c r="L1450" t="str">
        <f>G118</f>
        <v>H1a1b1a</v>
      </c>
      <c r="N1450" t="s">
        <v>2487</v>
      </c>
      <c r="O1450">
        <v>1.9280457E7</v>
      </c>
      <c r="P1450">
        <v>1.7168577E7</v>
      </c>
      <c r="Q1450" t="s">
        <v>435</v>
      </c>
      <c r="R1450" s="5"/>
      <c r="S1450" s="5"/>
      <c r="T1450" s="5"/>
      <c r="U1450" s="5"/>
      <c r="V1450" s="5"/>
      <c r="W1450" s="5"/>
      <c r="X1450" s="5"/>
      <c r="Y1450" s="5"/>
      <c r="Z1450" s="5"/>
      <c r="AA1450" s="5"/>
      <c r="AB1450" s="5"/>
      <c r="AC1450" s="5"/>
      <c r="AD1450" s="5"/>
      <c r="AE1450" s="5"/>
      <c r="AF1450" s="5"/>
      <c r="AG1450" s="5"/>
    </row>
    <row r="1451" ht="15.75" customHeight="1">
      <c r="K1451" t="s">
        <v>2488</v>
      </c>
      <c r="L1451" t="str">
        <f>G118</f>
        <v>H1a1b1a</v>
      </c>
      <c r="N1451" t="s">
        <v>2489</v>
      </c>
      <c r="O1451">
        <v>1.9479512E7</v>
      </c>
      <c r="P1451">
        <v>1.7367632E7</v>
      </c>
      <c r="Q1451" t="s">
        <v>423</v>
      </c>
      <c r="R1451" s="5"/>
      <c r="S1451" s="5"/>
      <c r="T1451" s="5"/>
      <c r="U1451" s="5"/>
      <c r="V1451" s="5"/>
      <c r="W1451" s="5"/>
      <c r="X1451" s="5"/>
      <c r="Y1451" s="5"/>
      <c r="Z1451" s="5"/>
      <c r="AA1451" s="5"/>
      <c r="AB1451" s="5"/>
      <c r="AC1451" s="5"/>
      <c r="AD1451" s="5"/>
      <c r="AE1451" s="5"/>
      <c r="AF1451" s="5"/>
      <c r="AG1451" s="5"/>
    </row>
    <row r="1452" ht="15.75" customHeight="1">
      <c r="K1452" t="s">
        <v>2490</v>
      </c>
      <c r="L1452" t="str">
        <f t="shared" ref="L1452:L1453" si="34">G118</f>
        <v>H1a1b1a</v>
      </c>
      <c r="N1452" t="s">
        <v>2491</v>
      </c>
      <c r="O1452">
        <v>2.2000324E7</v>
      </c>
      <c r="P1452">
        <v>1.9838438E7</v>
      </c>
      <c r="Q1452" t="s">
        <v>419</v>
      </c>
      <c r="R1452" s="5"/>
      <c r="S1452" s="5"/>
      <c r="T1452" s="5"/>
      <c r="U1452" s="5"/>
      <c r="V1452" s="5"/>
      <c r="W1452" s="5"/>
      <c r="X1452" s="5"/>
      <c r="Y1452" s="5"/>
      <c r="Z1452" s="5"/>
      <c r="AA1452" s="5"/>
      <c r="AB1452" s="5"/>
      <c r="AC1452" s="5"/>
      <c r="AD1452" s="5"/>
      <c r="AE1452" s="5"/>
      <c r="AF1452" s="5"/>
      <c r="AG1452" s="5"/>
    </row>
    <row r="1453" ht="15.75" customHeight="1">
      <c r="K1453" t="s">
        <v>2492</v>
      </c>
      <c r="L1453" t="str">
        <f t="shared" si="34"/>
        <v>H1a1b1a~</v>
      </c>
      <c r="N1453" t="s">
        <v>2493</v>
      </c>
      <c r="O1453">
        <v>1.8925483E7</v>
      </c>
      <c r="P1453">
        <v>1.6813603E7</v>
      </c>
      <c r="Q1453" t="s">
        <v>452</v>
      </c>
      <c r="R1453" s="5"/>
      <c r="S1453" s="5"/>
      <c r="T1453" s="5"/>
      <c r="U1453" s="5"/>
      <c r="V1453" s="5"/>
      <c r="W1453" s="5"/>
      <c r="X1453" s="5"/>
      <c r="Y1453" s="5"/>
      <c r="Z1453" s="5"/>
      <c r="AA1453" s="5"/>
      <c r="AB1453" s="5"/>
      <c r="AC1453" s="5"/>
      <c r="AD1453" s="5"/>
      <c r="AE1453" s="5"/>
      <c r="AF1453" s="5"/>
      <c r="AG1453" s="5"/>
    </row>
    <row r="1454" ht="15.75" customHeight="1">
      <c r="K1454" t="s">
        <v>2494</v>
      </c>
      <c r="L1454" t="str">
        <f>G119</f>
        <v>H1a1b1a~</v>
      </c>
      <c r="N1454" t="s">
        <v>2495</v>
      </c>
      <c r="O1454">
        <v>1.9019765E7</v>
      </c>
      <c r="P1454">
        <v>1.6907885E7</v>
      </c>
      <c r="Q1454" t="s">
        <v>419</v>
      </c>
      <c r="R1454" s="5"/>
      <c r="S1454" s="5"/>
      <c r="T1454" s="5"/>
      <c r="U1454" s="5"/>
      <c r="V1454" s="5"/>
      <c r="W1454" s="5"/>
      <c r="X1454" s="5"/>
      <c r="Y1454" s="5"/>
      <c r="Z1454" s="5"/>
      <c r="AA1454" s="5"/>
      <c r="AB1454" s="5"/>
      <c r="AC1454" s="5"/>
      <c r="AD1454" s="5"/>
      <c r="AE1454" s="5"/>
      <c r="AF1454" s="5"/>
      <c r="AG1454" s="5"/>
    </row>
    <row r="1455" ht="15.75" customHeight="1">
      <c r="K1455" t="s">
        <v>2496</v>
      </c>
      <c r="L1455" t="str">
        <f>H120</f>
        <v>H1a1b1a1</v>
      </c>
      <c r="N1455" t="s">
        <v>2497</v>
      </c>
      <c r="O1455">
        <v>1.7267732E7</v>
      </c>
      <c r="P1455">
        <v>1.5155852E7</v>
      </c>
      <c r="Q1455" t="s">
        <v>419</v>
      </c>
      <c r="R1455" s="5"/>
      <c r="S1455" s="5"/>
      <c r="T1455" s="5"/>
      <c r="U1455" s="5"/>
      <c r="V1455" s="5"/>
      <c r="W1455" s="5"/>
      <c r="X1455" s="5"/>
      <c r="Y1455" s="5"/>
      <c r="Z1455" s="5"/>
      <c r="AA1455" s="5"/>
      <c r="AB1455" s="5"/>
      <c r="AC1455" s="5"/>
      <c r="AD1455" s="5"/>
      <c r="AE1455" s="5"/>
      <c r="AF1455" s="5"/>
      <c r="AG1455" s="5"/>
    </row>
    <row r="1456" ht="15.75" customHeight="1">
      <c r="K1456" t="s">
        <v>2498</v>
      </c>
      <c r="L1456" t="str">
        <f>H120</f>
        <v>H1a1b1a1</v>
      </c>
      <c r="N1456" t="s">
        <v>2499</v>
      </c>
      <c r="O1456">
        <v>8282164.0</v>
      </c>
      <c r="P1456">
        <v>8414123.0</v>
      </c>
      <c r="Q1456" t="s">
        <v>448</v>
      </c>
      <c r="R1456" s="5"/>
      <c r="S1456" s="5"/>
      <c r="T1456" s="5"/>
      <c r="U1456" s="5"/>
      <c r="V1456" s="5"/>
      <c r="W1456" s="5"/>
      <c r="X1456" s="5"/>
      <c r="Y1456" s="5"/>
      <c r="Z1456" s="5"/>
      <c r="AA1456" s="5"/>
      <c r="AB1456" s="5"/>
      <c r="AC1456" s="5"/>
      <c r="AD1456" s="5"/>
      <c r="AE1456" s="5"/>
      <c r="AF1456" s="5"/>
      <c r="AG1456" s="5"/>
    </row>
    <row r="1457" ht="15.75" customHeight="1">
      <c r="K1457" t="s">
        <v>2500</v>
      </c>
      <c r="L1457" t="str">
        <f>H120</f>
        <v>H1a1b1a1</v>
      </c>
      <c r="N1457" t="s">
        <v>2501</v>
      </c>
      <c r="O1457">
        <v>8571653.0</v>
      </c>
      <c r="P1457">
        <v>8703612.0</v>
      </c>
      <c r="Q1457" t="s">
        <v>431</v>
      </c>
      <c r="R1457" s="5"/>
      <c r="S1457" s="5"/>
      <c r="T1457" s="5"/>
      <c r="U1457" s="5"/>
      <c r="V1457" s="5"/>
      <c r="W1457" s="5"/>
      <c r="X1457" s="5"/>
      <c r="Y1457" s="5"/>
      <c r="Z1457" s="5"/>
      <c r="AA1457" s="5"/>
      <c r="AB1457" s="5"/>
      <c r="AC1457" s="5"/>
      <c r="AD1457" s="5"/>
      <c r="AE1457" s="5"/>
      <c r="AF1457" s="5"/>
      <c r="AG1457" s="5"/>
    </row>
    <row r="1458" ht="15.75" customHeight="1">
      <c r="K1458" t="s">
        <v>2502</v>
      </c>
      <c r="L1458" t="str">
        <f>H120</f>
        <v>H1a1b1a1</v>
      </c>
      <c r="N1458" t="s">
        <v>2503</v>
      </c>
      <c r="O1458">
        <v>9065626.0</v>
      </c>
      <c r="P1458">
        <v>9228017.0</v>
      </c>
      <c r="Q1458" t="s">
        <v>419</v>
      </c>
      <c r="R1458" s="5"/>
      <c r="S1458" s="5"/>
      <c r="T1458" s="5"/>
      <c r="U1458" s="5"/>
      <c r="V1458" s="5"/>
      <c r="W1458" s="5"/>
      <c r="X1458" s="5"/>
      <c r="Y1458" s="5"/>
      <c r="Z1458" s="5"/>
      <c r="AA1458" s="5"/>
      <c r="AB1458" s="5"/>
      <c r="AC1458" s="5"/>
      <c r="AD1458" s="5"/>
      <c r="AE1458" s="5"/>
      <c r="AF1458" s="5"/>
      <c r="AG1458" s="5"/>
    </row>
    <row r="1459" ht="15.75" customHeight="1">
      <c r="K1459" t="s">
        <v>2504</v>
      </c>
      <c r="L1459" t="str">
        <f>I121</f>
        <v>H1a1b1a1a~</v>
      </c>
      <c r="N1459" t="s">
        <v>2505</v>
      </c>
      <c r="O1459">
        <v>8701027.0</v>
      </c>
      <c r="P1459">
        <v>8832986.0</v>
      </c>
      <c r="Q1459" t="s">
        <v>448</v>
      </c>
      <c r="R1459" s="5"/>
      <c r="S1459" s="5"/>
      <c r="T1459" s="5"/>
      <c r="U1459" s="5"/>
      <c r="V1459" s="5"/>
      <c r="W1459" s="5"/>
      <c r="X1459" s="5"/>
      <c r="Y1459" s="5"/>
      <c r="Z1459" s="5"/>
      <c r="AA1459" s="5"/>
      <c r="AB1459" s="5"/>
      <c r="AC1459" s="5"/>
      <c r="AD1459" s="5"/>
      <c r="AE1459" s="5"/>
      <c r="AF1459" s="5"/>
      <c r="AG1459" s="5"/>
    </row>
    <row r="1460" ht="15.75" customHeight="1">
      <c r="K1460" t="s">
        <v>2506</v>
      </c>
      <c r="L1460" t="str">
        <f>I121</f>
        <v>H1a1b1a1a~</v>
      </c>
      <c r="N1460" t="s">
        <v>2507</v>
      </c>
      <c r="O1460">
        <v>1.8657068E7</v>
      </c>
      <c r="P1460">
        <v>1.6545188E7</v>
      </c>
      <c r="Q1460" t="s">
        <v>473</v>
      </c>
      <c r="R1460" s="5"/>
      <c r="S1460" s="5"/>
      <c r="T1460" s="5"/>
      <c r="U1460" s="5"/>
      <c r="V1460" s="5"/>
      <c r="W1460" s="5"/>
      <c r="X1460" s="5"/>
      <c r="Y1460" s="5"/>
      <c r="Z1460" s="5"/>
      <c r="AA1460" s="5"/>
      <c r="AB1460" s="5"/>
      <c r="AC1460" s="5"/>
      <c r="AD1460" s="5"/>
      <c r="AE1460" s="5"/>
      <c r="AF1460" s="5"/>
      <c r="AG1460" s="5"/>
    </row>
    <row r="1461" ht="15.75" customHeight="1">
      <c r="K1461" t="s">
        <v>2508</v>
      </c>
      <c r="L1461" t="str">
        <f>I121</f>
        <v>H1a1b1a1a~</v>
      </c>
      <c r="N1461" t="s">
        <v>2509</v>
      </c>
      <c r="O1461">
        <v>1.9092576E7</v>
      </c>
      <c r="P1461">
        <v>1.6980696E7</v>
      </c>
      <c r="Q1461" t="s">
        <v>431</v>
      </c>
      <c r="R1461" s="5"/>
      <c r="S1461" s="5"/>
      <c r="T1461" s="5"/>
      <c r="U1461" s="5"/>
      <c r="V1461" s="5"/>
      <c r="W1461" s="5"/>
      <c r="X1461" s="5"/>
      <c r="Y1461" s="5"/>
      <c r="Z1461" s="5"/>
      <c r="AA1461" s="5"/>
      <c r="AB1461" s="5"/>
      <c r="AC1461" s="5"/>
      <c r="AD1461" s="5"/>
      <c r="AE1461" s="5"/>
      <c r="AF1461" s="5"/>
      <c r="AG1461" s="5"/>
    </row>
    <row r="1462" ht="15.75" customHeight="1">
      <c r="K1462" t="s">
        <v>2510</v>
      </c>
      <c r="L1462" t="str">
        <f t="shared" ref="L1462:L1463" si="35">I121</f>
        <v>H1a1b1a1a~</v>
      </c>
      <c r="N1462" t="s">
        <v>2511</v>
      </c>
      <c r="O1462">
        <v>2.2980179E7</v>
      </c>
      <c r="P1462">
        <v>2.0818293E7</v>
      </c>
      <c r="Q1462" t="s">
        <v>431</v>
      </c>
      <c r="R1462" s="5"/>
      <c r="S1462" s="5"/>
      <c r="T1462" s="5"/>
      <c r="U1462" s="5"/>
      <c r="V1462" s="5"/>
      <c r="W1462" s="5"/>
      <c r="X1462" s="5"/>
      <c r="Y1462" s="5"/>
      <c r="Z1462" s="5"/>
      <c r="AA1462" s="5"/>
      <c r="AB1462" s="5"/>
      <c r="AC1462" s="5"/>
      <c r="AD1462" s="5"/>
      <c r="AE1462" s="5"/>
      <c r="AF1462" s="5"/>
      <c r="AG1462" s="5"/>
    </row>
    <row r="1463" ht="15.75" customHeight="1">
      <c r="K1463" t="s">
        <v>2512</v>
      </c>
      <c r="L1463" t="str">
        <f t="shared" si="35"/>
        <v>H1a1b1a1b~</v>
      </c>
      <c r="N1463" t="s">
        <v>2513</v>
      </c>
      <c r="O1463">
        <v>6876583.0</v>
      </c>
      <c r="P1463">
        <v>7008542.0</v>
      </c>
      <c r="Q1463" t="s">
        <v>423</v>
      </c>
      <c r="R1463" s="5"/>
      <c r="S1463" s="5"/>
      <c r="T1463" s="5"/>
      <c r="U1463" s="5"/>
      <c r="V1463" s="5"/>
      <c r="W1463" s="5"/>
      <c r="X1463" s="5"/>
      <c r="Y1463" s="5"/>
      <c r="Z1463" s="5"/>
      <c r="AA1463" s="5"/>
      <c r="AB1463" s="5"/>
      <c r="AC1463" s="5"/>
      <c r="AD1463" s="5"/>
      <c r="AE1463" s="5"/>
      <c r="AF1463" s="5"/>
      <c r="AG1463" s="5"/>
    </row>
    <row r="1464" ht="15.75" customHeight="1">
      <c r="K1464" t="s">
        <v>2514</v>
      </c>
      <c r="L1464" t="str">
        <f>I122</f>
        <v>H1a1b1a1b~</v>
      </c>
      <c r="N1464" t="s">
        <v>2515</v>
      </c>
      <c r="O1464">
        <v>1.5495038E7</v>
      </c>
      <c r="P1464">
        <v>1.3383158E7</v>
      </c>
      <c r="Q1464" t="s">
        <v>419</v>
      </c>
      <c r="R1464" s="5"/>
      <c r="S1464" s="5"/>
      <c r="T1464" s="5"/>
      <c r="U1464" s="5"/>
      <c r="V1464" s="5"/>
      <c r="W1464" s="5"/>
      <c r="X1464" s="5"/>
      <c r="Y1464" s="5"/>
      <c r="Z1464" s="5"/>
      <c r="AA1464" s="5"/>
      <c r="AB1464" s="5"/>
      <c r="AC1464" s="5"/>
      <c r="AD1464" s="5"/>
      <c r="AE1464" s="5"/>
      <c r="AF1464" s="5"/>
      <c r="AG1464" s="5"/>
    </row>
    <row r="1465" ht="15.75" customHeight="1">
      <c r="K1465" t="s">
        <v>2516</v>
      </c>
      <c r="L1465" t="str">
        <f>I122</f>
        <v>H1a1b1a1b~</v>
      </c>
      <c r="N1465" t="s">
        <v>2517</v>
      </c>
      <c r="O1465">
        <v>1.5898738E7</v>
      </c>
      <c r="P1465">
        <v>1.3786858E7</v>
      </c>
      <c r="Q1465" t="s">
        <v>423</v>
      </c>
      <c r="R1465" s="5"/>
      <c r="S1465" s="5"/>
      <c r="T1465" s="5"/>
      <c r="U1465" s="5"/>
      <c r="V1465" s="5"/>
      <c r="W1465" s="5"/>
      <c r="X1465" s="5"/>
      <c r="Y1465" s="5"/>
      <c r="Z1465" s="5"/>
      <c r="AA1465" s="5"/>
      <c r="AB1465" s="5"/>
      <c r="AC1465" s="5"/>
      <c r="AD1465" s="5"/>
      <c r="AE1465" s="5"/>
      <c r="AF1465" s="5"/>
      <c r="AG1465" s="5"/>
    </row>
    <row r="1466" ht="15.75" customHeight="1">
      <c r="K1466" t="s">
        <v>2518</v>
      </c>
      <c r="L1466" t="str">
        <f>H123</f>
        <v>H1a1b1a2~</v>
      </c>
      <c r="M1466" t="s">
        <v>2519</v>
      </c>
      <c r="N1466" t="s">
        <v>2520</v>
      </c>
      <c r="O1466">
        <v>1.7815008E7</v>
      </c>
      <c r="P1466">
        <v>1.5703128E7</v>
      </c>
      <c r="Q1466" t="s">
        <v>423</v>
      </c>
      <c r="R1466" s="5"/>
      <c r="S1466" s="5"/>
      <c r="T1466" s="5"/>
      <c r="U1466" s="5"/>
      <c r="V1466" s="5"/>
      <c r="W1466" s="5"/>
      <c r="X1466" s="5"/>
      <c r="Y1466" s="5"/>
      <c r="Z1466" s="5"/>
      <c r="AA1466" s="5"/>
      <c r="AB1466" s="5"/>
      <c r="AC1466" s="5"/>
      <c r="AD1466" s="5"/>
      <c r="AE1466" s="5"/>
      <c r="AF1466" s="5"/>
      <c r="AG1466" s="5"/>
    </row>
    <row r="1467" ht="15.75" customHeight="1">
      <c r="K1467" t="s">
        <v>2519</v>
      </c>
      <c r="L1467" t="str">
        <f>H123</f>
        <v>H1a1b1a2~</v>
      </c>
      <c r="M1467" t="s">
        <v>2518</v>
      </c>
      <c r="N1467" t="s">
        <v>2520</v>
      </c>
      <c r="O1467">
        <v>1.7815008E7</v>
      </c>
      <c r="P1467">
        <v>1.5703128E7</v>
      </c>
      <c r="Q1467" t="s">
        <v>423</v>
      </c>
      <c r="R1467" s="5"/>
      <c r="S1467" s="5"/>
      <c r="T1467" s="5"/>
      <c r="U1467" s="5"/>
      <c r="V1467" s="5"/>
      <c r="W1467" s="5"/>
      <c r="X1467" s="5"/>
      <c r="Y1467" s="5"/>
      <c r="Z1467" s="5"/>
      <c r="AA1467" s="5"/>
      <c r="AB1467" s="5"/>
      <c r="AC1467" s="5"/>
      <c r="AD1467" s="5"/>
      <c r="AE1467" s="5"/>
      <c r="AF1467" s="5"/>
      <c r="AG1467" s="5"/>
    </row>
    <row r="1468" ht="15.75" customHeight="1">
      <c r="K1468" t="s">
        <v>2521</v>
      </c>
      <c r="L1468" t="str">
        <f>H123</f>
        <v>H1a1b1a2~</v>
      </c>
      <c r="O1468">
        <v>8103102.0</v>
      </c>
      <c r="P1468">
        <v>8235061.0</v>
      </c>
      <c r="Q1468" t="s">
        <v>435</v>
      </c>
      <c r="R1468" s="5"/>
      <c r="S1468" s="5"/>
      <c r="T1468" s="5"/>
      <c r="U1468" s="5"/>
      <c r="V1468" s="5"/>
      <c r="W1468" s="5"/>
      <c r="X1468" s="5"/>
      <c r="Y1468" s="5"/>
      <c r="Z1468" s="5"/>
      <c r="AA1468" s="5"/>
      <c r="AB1468" s="5"/>
      <c r="AC1468" s="5"/>
      <c r="AD1468" s="5"/>
      <c r="AE1468" s="5"/>
      <c r="AF1468" s="5"/>
      <c r="AG1468" s="5"/>
    </row>
    <row r="1469" ht="15.75" customHeight="1">
      <c r="K1469" t="s">
        <v>2522</v>
      </c>
      <c r="L1469" t="str">
        <f>H123</f>
        <v>H1a1b1a2~</v>
      </c>
      <c r="N1469" t="s">
        <v>2523</v>
      </c>
      <c r="O1469">
        <v>8052137.0</v>
      </c>
      <c r="P1469">
        <v>8184096.0</v>
      </c>
      <c r="Q1469" t="s">
        <v>423</v>
      </c>
      <c r="R1469" s="5"/>
      <c r="S1469" s="5"/>
      <c r="T1469" s="5"/>
      <c r="U1469" s="5"/>
      <c r="V1469" s="5"/>
      <c r="W1469" s="5"/>
      <c r="X1469" s="5"/>
      <c r="Y1469" s="5"/>
      <c r="Z1469" s="5"/>
      <c r="AA1469" s="5"/>
      <c r="AB1469" s="5"/>
      <c r="AC1469" s="5"/>
      <c r="AD1469" s="5"/>
      <c r="AE1469" s="5"/>
      <c r="AF1469" s="5"/>
      <c r="AG1469" s="5"/>
    </row>
    <row r="1470" ht="15.75" customHeight="1">
      <c r="K1470" t="s">
        <v>2524</v>
      </c>
      <c r="L1470" t="str">
        <f>H123</f>
        <v>H1a1b1a2~</v>
      </c>
      <c r="O1470">
        <v>8691466.0</v>
      </c>
      <c r="P1470">
        <v>8823425.0</v>
      </c>
      <c r="Q1470" t="s">
        <v>525</v>
      </c>
      <c r="R1470" s="5"/>
      <c r="S1470" s="5"/>
      <c r="T1470" s="5"/>
      <c r="U1470" s="5"/>
      <c r="V1470" s="5"/>
      <c r="W1470" s="5"/>
      <c r="X1470" s="5"/>
      <c r="Y1470" s="5"/>
      <c r="Z1470" s="5"/>
      <c r="AA1470" s="5"/>
      <c r="AB1470" s="5"/>
      <c r="AC1470" s="5"/>
      <c r="AD1470" s="5"/>
      <c r="AE1470" s="5"/>
      <c r="AF1470" s="5"/>
      <c r="AG1470" s="5"/>
    </row>
    <row r="1471" ht="15.75" customHeight="1">
      <c r="K1471" t="s">
        <v>2525</v>
      </c>
      <c r="L1471" t="str">
        <f>G124</f>
        <v>H1a1b1b</v>
      </c>
      <c r="N1471" t="s">
        <v>2526</v>
      </c>
      <c r="O1471">
        <v>2.1359004E7</v>
      </c>
      <c r="P1471">
        <v>1.9197118E7</v>
      </c>
      <c r="Q1471" t="s">
        <v>419</v>
      </c>
      <c r="R1471" s="5"/>
      <c r="S1471" s="5"/>
      <c r="T1471" s="5"/>
      <c r="U1471" s="5"/>
      <c r="V1471" s="5"/>
      <c r="W1471" s="5"/>
      <c r="X1471" s="5"/>
      <c r="Y1471" s="5"/>
      <c r="Z1471" s="5"/>
      <c r="AA1471" s="5"/>
      <c r="AB1471" s="5"/>
      <c r="AC1471" s="5"/>
      <c r="AD1471" s="5"/>
      <c r="AE1471" s="5"/>
      <c r="AF1471" s="5"/>
      <c r="AG1471" s="5"/>
    </row>
    <row r="1472" ht="15.75" customHeight="1">
      <c r="K1472" t="s">
        <v>2527</v>
      </c>
      <c r="L1472" t="str">
        <f>G124</f>
        <v>H1a1b1b</v>
      </c>
      <c r="N1472" t="s">
        <v>2528</v>
      </c>
      <c r="O1472">
        <v>2.1463483E7</v>
      </c>
      <c r="P1472">
        <v>1.9301597E7</v>
      </c>
      <c r="Q1472" t="s">
        <v>525</v>
      </c>
      <c r="R1472" s="5"/>
      <c r="S1472" s="5"/>
      <c r="T1472" s="5"/>
      <c r="U1472" s="5"/>
      <c r="V1472" s="5"/>
      <c r="W1472" s="5"/>
      <c r="X1472" s="5"/>
      <c r="Y1472" s="5"/>
      <c r="Z1472" s="5"/>
      <c r="AA1472" s="5"/>
      <c r="AB1472" s="5"/>
      <c r="AC1472" s="5"/>
      <c r="AD1472" s="5"/>
      <c r="AE1472" s="5"/>
      <c r="AF1472" s="5"/>
      <c r="AG1472" s="5"/>
    </row>
    <row r="1473" ht="15.75" customHeight="1">
      <c r="K1473" t="s">
        <v>2529</v>
      </c>
      <c r="L1473" t="str">
        <f>G124</f>
        <v>H1a1b1b</v>
      </c>
      <c r="N1473" t="s">
        <v>2530</v>
      </c>
      <c r="O1473">
        <v>2.1501851E7</v>
      </c>
      <c r="P1473">
        <v>1.9339965E7</v>
      </c>
      <c r="Q1473" t="s">
        <v>419</v>
      </c>
      <c r="R1473" s="5"/>
      <c r="S1473" s="5"/>
      <c r="T1473" s="5"/>
      <c r="U1473" s="5"/>
      <c r="V1473" s="5"/>
      <c r="W1473" s="5"/>
      <c r="X1473" s="5"/>
      <c r="Y1473" s="5"/>
      <c r="Z1473" s="5"/>
      <c r="AA1473" s="5"/>
      <c r="AB1473" s="5"/>
      <c r="AC1473" s="5"/>
      <c r="AD1473" s="5"/>
      <c r="AE1473" s="5"/>
      <c r="AF1473" s="5"/>
      <c r="AG1473" s="5"/>
    </row>
    <row r="1474" ht="15.75" customHeight="1">
      <c r="K1474" t="s">
        <v>2531</v>
      </c>
      <c r="L1474" t="str">
        <f>G124</f>
        <v>H1a1b1b</v>
      </c>
      <c r="N1474" t="s">
        <v>2532</v>
      </c>
      <c r="O1474">
        <v>2.1517919E7</v>
      </c>
      <c r="P1474">
        <v>1.9356033E7</v>
      </c>
      <c r="Q1474" t="s">
        <v>435</v>
      </c>
      <c r="R1474" s="5"/>
      <c r="S1474" s="5"/>
      <c r="T1474" s="5"/>
      <c r="U1474" s="5"/>
      <c r="V1474" s="5"/>
      <c r="W1474" s="5"/>
      <c r="X1474" s="5"/>
      <c r="Y1474" s="5"/>
      <c r="Z1474" s="5"/>
      <c r="AA1474" s="5"/>
      <c r="AB1474" s="5"/>
      <c r="AC1474" s="5"/>
      <c r="AD1474" s="5"/>
      <c r="AE1474" s="5"/>
      <c r="AF1474" s="5"/>
      <c r="AG1474" s="5"/>
    </row>
    <row r="1475" ht="15.75" customHeight="1">
      <c r="K1475" t="s">
        <v>2533</v>
      </c>
      <c r="L1475" t="str">
        <f>G124</f>
        <v>H1a1b1b</v>
      </c>
      <c r="N1475" t="s">
        <v>2534</v>
      </c>
      <c r="O1475">
        <v>2.265913E7</v>
      </c>
      <c r="P1475">
        <v>2.0497244E7</v>
      </c>
      <c r="Q1475" t="s">
        <v>525</v>
      </c>
      <c r="R1475" s="5"/>
      <c r="S1475" s="5"/>
      <c r="T1475" s="5"/>
      <c r="U1475" s="5"/>
      <c r="V1475" s="5"/>
      <c r="W1475" s="5"/>
      <c r="X1475" s="5"/>
      <c r="Y1475" s="5"/>
      <c r="Z1475" s="5"/>
      <c r="AA1475" s="5"/>
      <c r="AB1475" s="5"/>
      <c r="AC1475" s="5"/>
      <c r="AD1475" s="5"/>
      <c r="AE1475" s="5"/>
      <c r="AF1475" s="5"/>
      <c r="AG1475" s="5"/>
    </row>
    <row r="1476" ht="15.75" customHeight="1">
      <c r="K1476" t="s">
        <v>2535</v>
      </c>
      <c r="L1476" t="str">
        <f>G124</f>
        <v>H1a1b1b</v>
      </c>
      <c r="N1476" t="s">
        <v>2536</v>
      </c>
      <c r="O1476">
        <v>2.2849401E7</v>
      </c>
      <c r="P1476">
        <v>2.0687515E7</v>
      </c>
      <c r="Q1476" t="s">
        <v>431</v>
      </c>
      <c r="R1476" s="5"/>
      <c r="S1476" s="5"/>
      <c r="T1476" s="5"/>
      <c r="U1476" s="5"/>
      <c r="V1476" s="5"/>
      <c r="W1476" s="5"/>
      <c r="X1476" s="5"/>
      <c r="Y1476" s="5"/>
      <c r="Z1476" s="5"/>
      <c r="AA1476" s="5"/>
      <c r="AB1476" s="5"/>
      <c r="AC1476" s="5"/>
      <c r="AD1476" s="5"/>
      <c r="AE1476" s="5"/>
      <c r="AF1476" s="5"/>
      <c r="AG1476" s="5"/>
    </row>
    <row r="1477" ht="15.75" customHeight="1">
      <c r="K1477" t="s">
        <v>2537</v>
      </c>
      <c r="L1477" t="str">
        <f>G124</f>
        <v>H1a1b1b</v>
      </c>
      <c r="N1477" t="s">
        <v>2538</v>
      </c>
      <c r="O1477">
        <v>2.2979812E7</v>
      </c>
      <c r="P1477">
        <v>2.0817926E7</v>
      </c>
      <c r="Q1477" t="s">
        <v>525</v>
      </c>
      <c r="R1477" s="5"/>
      <c r="S1477" s="5"/>
      <c r="T1477" s="5"/>
      <c r="U1477" s="5"/>
      <c r="V1477" s="5"/>
      <c r="W1477" s="5"/>
      <c r="X1477" s="5"/>
      <c r="Y1477" s="5"/>
      <c r="Z1477" s="5"/>
      <c r="AA1477" s="5"/>
      <c r="AB1477" s="5"/>
      <c r="AC1477" s="5"/>
      <c r="AD1477" s="5"/>
      <c r="AE1477" s="5"/>
      <c r="AF1477" s="5"/>
      <c r="AG1477" s="5"/>
    </row>
    <row r="1478" ht="15.75" customHeight="1">
      <c r="K1478" t="s">
        <v>2539</v>
      </c>
      <c r="L1478" t="str">
        <f>G124</f>
        <v>H1a1b1b</v>
      </c>
      <c r="N1478" t="s">
        <v>2540</v>
      </c>
      <c r="O1478">
        <v>2.3074325E7</v>
      </c>
      <c r="P1478">
        <v>2.0912439E7</v>
      </c>
      <c r="Q1478" t="s">
        <v>419</v>
      </c>
      <c r="R1478" s="5"/>
      <c r="S1478" s="5"/>
      <c r="T1478" s="5"/>
      <c r="U1478" s="5"/>
      <c r="V1478" s="5"/>
      <c r="W1478" s="5"/>
      <c r="X1478" s="5"/>
      <c r="Y1478" s="5"/>
      <c r="Z1478" s="5"/>
      <c r="AA1478" s="5"/>
      <c r="AB1478" s="5"/>
      <c r="AC1478" s="5"/>
      <c r="AD1478" s="5"/>
      <c r="AE1478" s="5"/>
      <c r="AF1478" s="5"/>
      <c r="AG1478" s="5"/>
    </row>
    <row r="1479" ht="15.75" customHeight="1">
      <c r="K1479" t="s">
        <v>2541</v>
      </c>
      <c r="L1479" t="str">
        <f>G124</f>
        <v>H1a1b1b</v>
      </c>
      <c r="N1479" t="s">
        <v>2542</v>
      </c>
      <c r="O1479">
        <v>2.3139831E7</v>
      </c>
      <c r="P1479">
        <v>2.0977945E7</v>
      </c>
      <c r="Q1479" t="s">
        <v>423</v>
      </c>
      <c r="R1479" s="5"/>
      <c r="S1479" s="5"/>
      <c r="T1479" s="5"/>
      <c r="U1479" s="5"/>
      <c r="V1479" s="5"/>
      <c r="W1479" s="5"/>
      <c r="X1479" s="5"/>
      <c r="Y1479" s="5"/>
      <c r="Z1479" s="5"/>
      <c r="AA1479" s="5"/>
      <c r="AB1479" s="5"/>
      <c r="AC1479" s="5"/>
      <c r="AD1479" s="5"/>
      <c r="AE1479" s="5"/>
      <c r="AF1479" s="5"/>
      <c r="AG1479" s="5"/>
    </row>
    <row r="1480" ht="15.75" customHeight="1">
      <c r="K1480" t="s">
        <v>2543</v>
      </c>
      <c r="L1480" t="str">
        <f>G124</f>
        <v>H1a1b1b</v>
      </c>
      <c r="N1480" t="s">
        <v>2544</v>
      </c>
      <c r="O1480">
        <v>2.3335131E7</v>
      </c>
      <c r="P1480">
        <v>2.1173245E7</v>
      </c>
      <c r="Q1480" t="s">
        <v>423</v>
      </c>
      <c r="R1480" s="5"/>
      <c r="S1480" s="5"/>
      <c r="T1480" s="5"/>
      <c r="U1480" s="5"/>
      <c r="V1480" s="5"/>
      <c r="W1480" s="5"/>
      <c r="X1480" s="5"/>
      <c r="Y1480" s="5"/>
      <c r="Z1480" s="5"/>
      <c r="AA1480" s="5"/>
      <c r="AB1480" s="5"/>
      <c r="AC1480" s="5"/>
      <c r="AD1480" s="5"/>
      <c r="AE1480" s="5"/>
      <c r="AF1480" s="5"/>
      <c r="AG1480" s="5"/>
    </row>
    <row r="1481" ht="15.75" customHeight="1">
      <c r="K1481" t="s">
        <v>2545</v>
      </c>
      <c r="L1481" t="str">
        <f>G124</f>
        <v>H1a1b1b</v>
      </c>
      <c r="N1481" t="s">
        <v>2546</v>
      </c>
      <c r="O1481">
        <v>2.3632621E7</v>
      </c>
      <c r="P1481">
        <v>2.1470735E7</v>
      </c>
      <c r="Q1481" t="s">
        <v>448</v>
      </c>
      <c r="R1481" s="5"/>
      <c r="S1481" s="5"/>
      <c r="T1481" s="5"/>
      <c r="U1481" s="5"/>
      <c r="V1481" s="5"/>
      <c r="W1481" s="5"/>
      <c r="X1481" s="5"/>
      <c r="Y1481" s="5"/>
      <c r="Z1481" s="5"/>
      <c r="AA1481" s="5"/>
      <c r="AB1481" s="5"/>
      <c r="AC1481" s="5"/>
      <c r="AD1481" s="5"/>
      <c r="AE1481" s="5"/>
      <c r="AF1481" s="5"/>
      <c r="AG1481" s="5"/>
    </row>
    <row r="1482" ht="15.75" customHeight="1">
      <c r="K1482" t="s">
        <v>2547</v>
      </c>
      <c r="L1482" t="str">
        <f>G124</f>
        <v>H1a1b1b</v>
      </c>
      <c r="N1482" t="s">
        <v>2548</v>
      </c>
      <c r="O1482">
        <v>2.3769592E7</v>
      </c>
      <c r="P1482">
        <v>2.1607706E7</v>
      </c>
      <c r="Q1482" t="s">
        <v>427</v>
      </c>
      <c r="R1482" s="5"/>
      <c r="S1482" s="5"/>
      <c r="T1482" s="5"/>
      <c r="U1482" s="5"/>
      <c r="V1482" s="5"/>
      <c r="W1482" s="5"/>
      <c r="X1482" s="5"/>
      <c r="Y1482" s="5"/>
      <c r="Z1482" s="5"/>
      <c r="AA1482" s="5"/>
      <c r="AB1482" s="5"/>
      <c r="AC1482" s="5"/>
      <c r="AD1482" s="5"/>
      <c r="AE1482" s="5"/>
      <c r="AF1482" s="5"/>
      <c r="AG1482" s="5"/>
    </row>
    <row r="1483" ht="15.75" customHeight="1">
      <c r="K1483" t="s">
        <v>2549</v>
      </c>
      <c r="L1483" t="str">
        <f>H125</f>
        <v>H1a1b1b1~</v>
      </c>
      <c r="N1483" t="s">
        <v>2550</v>
      </c>
      <c r="O1483">
        <v>6699101.0</v>
      </c>
      <c r="P1483">
        <v>6831060.0</v>
      </c>
      <c r="Q1483" t="s">
        <v>431</v>
      </c>
      <c r="R1483" s="5"/>
      <c r="S1483" s="5"/>
      <c r="T1483" s="5"/>
      <c r="U1483" s="5"/>
      <c r="V1483" s="5"/>
      <c r="W1483" s="5"/>
      <c r="X1483" s="5"/>
      <c r="Y1483" s="5"/>
      <c r="Z1483" s="5"/>
      <c r="AA1483" s="5"/>
      <c r="AB1483" s="5"/>
      <c r="AC1483" s="5"/>
      <c r="AD1483" s="5"/>
      <c r="AE1483" s="5"/>
      <c r="AF1483" s="5"/>
      <c r="AG1483" s="5"/>
    </row>
    <row r="1484" ht="15.75" customHeight="1">
      <c r="K1484" t="s">
        <v>2551</v>
      </c>
      <c r="L1484" t="str">
        <f>H125</f>
        <v>H1a1b1b1~</v>
      </c>
      <c r="O1484">
        <v>1.7794573E7</v>
      </c>
      <c r="P1484">
        <v>1.5682693E7</v>
      </c>
      <c r="Q1484" t="s">
        <v>525</v>
      </c>
      <c r="R1484" s="5"/>
      <c r="S1484" s="5"/>
      <c r="T1484" s="5"/>
      <c r="U1484" s="5"/>
      <c r="V1484" s="5"/>
      <c r="W1484" s="5"/>
      <c r="X1484" s="5"/>
      <c r="Y1484" s="5"/>
      <c r="Z1484" s="5"/>
      <c r="AA1484" s="5"/>
      <c r="AB1484" s="5"/>
      <c r="AC1484" s="5"/>
      <c r="AD1484" s="5"/>
      <c r="AE1484" s="5"/>
      <c r="AF1484" s="5"/>
      <c r="AG1484" s="5"/>
    </row>
    <row r="1485" ht="15.75" customHeight="1">
      <c r="K1485" t="s">
        <v>2552</v>
      </c>
      <c r="L1485" t="str">
        <f>H125</f>
        <v>H1a1b1b1~</v>
      </c>
      <c r="N1485" t="s">
        <v>2553</v>
      </c>
      <c r="O1485">
        <v>1.9310188E7</v>
      </c>
      <c r="P1485">
        <v>1.7198308E7</v>
      </c>
      <c r="Q1485" t="s">
        <v>419</v>
      </c>
      <c r="R1485" s="5"/>
      <c r="S1485" s="5"/>
      <c r="T1485" s="5"/>
      <c r="U1485" s="5"/>
      <c r="V1485" s="5"/>
      <c r="W1485" s="5"/>
      <c r="X1485" s="5"/>
      <c r="Y1485" s="5"/>
      <c r="Z1485" s="5"/>
      <c r="AA1485" s="5"/>
      <c r="AB1485" s="5"/>
      <c r="AC1485" s="5"/>
      <c r="AD1485" s="5"/>
      <c r="AE1485" s="5"/>
      <c r="AF1485" s="5"/>
      <c r="AG1485" s="5"/>
    </row>
    <row r="1486" ht="15.75" customHeight="1">
      <c r="K1486" t="s">
        <v>2554</v>
      </c>
      <c r="L1486" t="str">
        <f t="shared" ref="L1486:L1487" si="36">H125</f>
        <v>H1a1b1b1~</v>
      </c>
      <c r="N1486" t="s">
        <v>2555</v>
      </c>
      <c r="O1486">
        <v>2.1117456E7</v>
      </c>
      <c r="P1486">
        <v>1.895557E7</v>
      </c>
      <c r="Q1486" t="s">
        <v>435</v>
      </c>
      <c r="R1486" s="5"/>
      <c r="S1486" s="5"/>
      <c r="T1486" s="5"/>
      <c r="U1486" s="5"/>
      <c r="V1486" s="5"/>
      <c r="W1486" s="5"/>
      <c r="X1486" s="5"/>
      <c r="Y1486" s="5"/>
      <c r="Z1486" s="5"/>
      <c r="AA1486" s="5"/>
      <c r="AB1486" s="5"/>
      <c r="AC1486" s="5"/>
      <c r="AD1486" s="5"/>
      <c r="AE1486" s="5"/>
      <c r="AF1486" s="5"/>
      <c r="AG1486" s="5"/>
    </row>
    <row r="1487" ht="15.75" customHeight="1">
      <c r="K1487" t="s">
        <v>2556</v>
      </c>
      <c r="L1487" t="str">
        <f t="shared" si="36"/>
        <v>H1a1b1b2~</v>
      </c>
      <c r="O1487">
        <v>2698151.0</v>
      </c>
      <c r="P1487">
        <v>2830110.0</v>
      </c>
      <c r="Q1487" t="s">
        <v>423</v>
      </c>
      <c r="R1487" s="5"/>
      <c r="S1487" s="5"/>
      <c r="T1487" s="5"/>
      <c r="U1487" s="5"/>
      <c r="V1487" s="5"/>
      <c r="W1487" s="5"/>
      <c r="X1487" s="5"/>
      <c r="Y1487" s="5"/>
      <c r="Z1487" s="5"/>
      <c r="AA1487" s="5"/>
      <c r="AB1487" s="5"/>
      <c r="AC1487" s="5"/>
      <c r="AD1487" s="5"/>
      <c r="AE1487" s="5"/>
      <c r="AF1487" s="5"/>
      <c r="AG1487" s="5"/>
    </row>
    <row r="1488" ht="15.75" customHeight="1">
      <c r="K1488" t="s">
        <v>2557</v>
      </c>
      <c r="L1488" t="str">
        <f>H126</f>
        <v>H1a1b1b2~</v>
      </c>
      <c r="N1488" t="s">
        <v>2558</v>
      </c>
      <c r="O1488">
        <v>6878825.0</v>
      </c>
      <c r="P1488">
        <v>7010784.0</v>
      </c>
      <c r="Q1488" t="s">
        <v>448</v>
      </c>
      <c r="R1488" s="5"/>
      <c r="S1488" s="5"/>
      <c r="T1488" s="5"/>
      <c r="U1488" s="5"/>
      <c r="V1488" s="5"/>
      <c r="W1488" s="5"/>
      <c r="X1488" s="5"/>
      <c r="Y1488" s="5"/>
      <c r="Z1488" s="5"/>
      <c r="AA1488" s="5"/>
      <c r="AB1488" s="5"/>
      <c r="AC1488" s="5"/>
      <c r="AD1488" s="5"/>
      <c r="AE1488" s="5"/>
      <c r="AF1488" s="5"/>
      <c r="AG1488" s="5"/>
    </row>
    <row r="1489" ht="15.75" customHeight="1">
      <c r="K1489" t="s">
        <v>2559</v>
      </c>
      <c r="L1489" t="str">
        <f>H126</f>
        <v>H1a1b1b2~</v>
      </c>
      <c r="O1489">
        <v>7170777.0</v>
      </c>
      <c r="P1489">
        <v>7302736.0</v>
      </c>
      <c r="Q1489" t="s">
        <v>431</v>
      </c>
      <c r="R1489" s="5"/>
      <c r="S1489" s="5"/>
      <c r="T1489" s="5"/>
      <c r="U1489" s="5"/>
      <c r="V1489" s="5"/>
      <c r="W1489" s="5"/>
      <c r="X1489" s="5"/>
      <c r="Y1489" s="5"/>
      <c r="Z1489" s="5"/>
      <c r="AA1489" s="5"/>
      <c r="AB1489" s="5"/>
      <c r="AC1489" s="5"/>
      <c r="AD1489" s="5"/>
      <c r="AE1489" s="5"/>
      <c r="AF1489" s="5"/>
      <c r="AG1489" s="5"/>
    </row>
    <row r="1490" ht="15.75" customHeight="1">
      <c r="K1490" t="s">
        <v>2560</v>
      </c>
      <c r="L1490" t="str">
        <f>H126</f>
        <v>H1a1b1b2~</v>
      </c>
      <c r="O1490">
        <v>7300133.0</v>
      </c>
      <c r="P1490">
        <v>7432092.0</v>
      </c>
      <c r="Q1490" t="s">
        <v>435</v>
      </c>
      <c r="R1490" s="5"/>
      <c r="S1490" s="5"/>
      <c r="T1490" s="5"/>
      <c r="U1490" s="5"/>
      <c r="V1490" s="5"/>
      <c r="W1490" s="5"/>
      <c r="X1490" s="5"/>
      <c r="Y1490" s="5"/>
      <c r="Z1490" s="5"/>
      <c r="AA1490" s="5"/>
      <c r="AB1490" s="5"/>
      <c r="AC1490" s="5"/>
      <c r="AD1490" s="5"/>
      <c r="AE1490" s="5"/>
      <c r="AF1490" s="5"/>
      <c r="AG1490" s="5"/>
    </row>
    <row r="1491" ht="15.75" customHeight="1">
      <c r="K1491" t="s">
        <v>2561</v>
      </c>
      <c r="L1491" t="str">
        <f>F127</f>
        <v>H1a1b2~</v>
      </c>
      <c r="N1491" t="s">
        <v>2562</v>
      </c>
      <c r="O1491">
        <v>6765549.0</v>
      </c>
      <c r="P1491">
        <v>6897508.0</v>
      </c>
      <c r="Q1491" t="s">
        <v>419</v>
      </c>
      <c r="R1491" s="5"/>
      <c r="S1491" s="5"/>
      <c r="T1491" s="5"/>
      <c r="U1491" s="5"/>
      <c r="V1491" s="5"/>
      <c r="W1491" s="5"/>
      <c r="X1491" s="5"/>
      <c r="Y1491" s="5"/>
      <c r="Z1491" s="5"/>
      <c r="AA1491" s="5"/>
      <c r="AB1491" s="5"/>
      <c r="AC1491" s="5"/>
      <c r="AD1491" s="5"/>
      <c r="AE1491" s="5"/>
      <c r="AF1491" s="5"/>
      <c r="AG1491" s="5"/>
    </row>
    <row r="1492" ht="15.75" customHeight="1">
      <c r="K1492" t="s">
        <v>2563</v>
      </c>
      <c r="L1492" t="str">
        <f>F127</f>
        <v>H1a1b2~</v>
      </c>
      <c r="N1492" t="s">
        <v>2564</v>
      </c>
      <c r="O1492">
        <v>6917356.0</v>
      </c>
      <c r="P1492">
        <v>7049315.0</v>
      </c>
      <c r="Q1492" t="s">
        <v>435</v>
      </c>
      <c r="R1492" s="5"/>
      <c r="S1492" s="5"/>
      <c r="T1492" s="5"/>
      <c r="U1492" s="5"/>
      <c r="V1492" s="5"/>
      <c r="W1492" s="5"/>
      <c r="X1492" s="5"/>
      <c r="Y1492" s="5"/>
      <c r="Z1492" s="5"/>
      <c r="AA1492" s="5"/>
      <c r="AB1492" s="5"/>
      <c r="AC1492" s="5"/>
      <c r="AD1492" s="5"/>
      <c r="AE1492" s="5"/>
      <c r="AF1492" s="5"/>
      <c r="AG1492" s="5"/>
    </row>
    <row r="1493" ht="15.75" customHeight="1">
      <c r="K1493" t="s">
        <v>2565</v>
      </c>
      <c r="L1493" t="str">
        <f>F127</f>
        <v>H1a1b2~</v>
      </c>
      <c r="N1493" t="s">
        <v>2566</v>
      </c>
      <c r="O1493">
        <v>6984235.0</v>
      </c>
      <c r="P1493">
        <v>7116194.0</v>
      </c>
      <c r="Q1493" t="s">
        <v>473</v>
      </c>
      <c r="R1493" s="5"/>
      <c r="S1493" s="5"/>
      <c r="T1493" s="5"/>
      <c r="U1493" s="5"/>
      <c r="V1493" s="5"/>
      <c r="W1493" s="5"/>
      <c r="X1493" s="5"/>
      <c r="Y1493" s="5"/>
      <c r="Z1493" s="5"/>
      <c r="AA1493" s="5"/>
      <c r="AB1493" s="5"/>
      <c r="AC1493" s="5"/>
      <c r="AD1493" s="5"/>
      <c r="AE1493" s="5"/>
      <c r="AF1493" s="5"/>
      <c r="AG1493" s="5"/>
    </row>
    <row r="1494" ht="15.75" customHeight="1">
      <c r="K1494" t="s">
        <v>2567</v>
      </c>
      <c r="L1494" t="str">
        <f>F127</f>
        <v>H1a1b2~</v>
      </c>
      <c r="N1494" t="s">
        <v>2568</v>
      </c>
      <c r="O1494">
        <v>6998091.0</v>
      </c>
      <c r="P1494">
        <v>7130050.0</v>
      </c>
      <c r="Q1494" t="s">
        <v>423</v>
      </c>
      <c r="R1494" s="5"/>
      <c r="S1494" s="5"/>
      <c r="T1494" s="5"/>
      <c r="U1494" s="5"/>
      <c r="V1494" s="5"/>
      <c r="W1494" s="5"/>
      <c r="X1494" s="5"/>
      <c r="Y1494" s="5"/>
      <c r="Z1494" s="5"/>
      <c r="AA1494" s="5"/>
      <c r="AB1494" s="5"/>
      <c r="AC1494" s="5"/>
      <c r="AD1494" s="5"/>
      <c r="AE1494" s="5"/>
      <c r="AF1494" s="5"/>
      <c r="AG1494" s="5"/>
    </row>
    <row r="1495" ht="15.75" customHeight="1">
      <c r="K1495" t="s">
        <v>2569</v>
      </c>
      <c r="L1495" t="str">
        <f>F127</f>
        <v>H1a1b2~</v>
      </c>
      <c r="N1495" t="s">
        <v>2570</v>
      </c>
      <c r="O1495">
        <v>7050947.0</v>
      </c>
      <c r="P1495">
        <v>7182906.0</v>
      </c>
      <c r="Q1495" t="s">
        <v>419</v>
      </c>
      <c r="R1495" s="5"/>
      <c r="S1495" s="5"/>
      <c r="T1495" s="5"/>
      <c r="U1495" s="5"/>
      <c r="V1495" s="5"/>
      <c r="W1495" s="5"/>
      <c r="X1495" s="5"/>
      <c r="Y1495" s="5"/>
      <c r="Z1495" s="5"/>
      <c r="AA1495" s="5"/>
      <c r="AB1495" s="5"/>
      <c r="AC1495" s="5"/>
      <c r="AD1495" s="5"/>
      <c r="AE1495" s="5"/>
      <c r="AF1495" s="5"/>
      <c r="AG1495" s="5"/>
    </row>
    <row r="1496" ht="15.75" customHeight="1">
      <c r="K1496" t="s">
        <v>217</v>
      </c>
      <c r="L1496" t="str">
        <f>E128</f>
        <v>H1a1c~</v>
      </c>
      <c r="O1496">
        <v>2.1674188E7</v>
      </c>
      <c r="P1496">
        <v>1.9512302E7</v>
      </c>
      <c r="Q1496" t="s">
        <v>473</v>
      </c>
      <c r="R1496" s="5"/>
      <c r="S1496" s="5"/>
      <c r="T1496" s="5"/>
      <c r="U1496" s="5"/>
      <c r="V1496" s="5"/>
      <c r="W1496" s="5"/>
      <c r="X1496" s="5"/>
      <c r="Y1496" s="5"/>
      <c r="Z1496" s="5"/>
      <c r="AA1496" s="5"/>
      <c r="AB1496" s="5"/>
      <c r="AC1496" s="5"/>
      <c r="AD1496" s="5"/>
      <c r="AE1496" s="5"/>
      <c r="AF1496" s="5"/>
      <c r="AG1496" s="5"/>
    </row>
    <row r="1497" ht="15.75" customHeight="1">
      <c r="K1497" t="s">
        <v>219</v>
      </c>
      <c r="L1497" t="str">
        <f>D129</f>
        <v>H1a2</v>
      </c>
      <c r="N1497" t="s">
        <v>2571</v>
      </c>
      <c r="O1497">
        <v>2866232.0</v>
      </c>
      <c r="P1497">
        <v>2998191.0</v>
      </c>
      <c r="Q1497" t="s">
        <v>419</v>
      </c>
      <c r="R1497" s="5"/>
      <c r="S1497" s="5"/>
      <c r="T1497" s="5"/>
      <c r="U1497" s="5"/>
      <c r="V1497" s="5"/>
      <c r="W1497" s="5"/>
      <c r="X1497" s="5"/>
      <c r="Y1497" s="5"/>
      <c r="Z1497" s="5"/>
      <c r="AA1497" s="5"/>
      <c r="AB1497" s="5"/>
      <c r="AC1497" s="5"/>
      <c r="AD1497" s="5"/>
      <c r="AE1497" s="5"/>
      <c r="AF1497" s="5"/>
      <c r="AG1497" s="5"/>
    </row>
    <row r="1498" ht="15.75" customHeight="1">
      <c r="K1498" t="s">
        <v>2572</v>
      </c>
      <c r="L1498" t="str">
        <f>E130</f>
        <v>H1a2a</v>
      </c>
      <c r="N1498" t="s">
        <v>2573</v>
      </c>
      <c r="O1498">
        <v>2.3496331E7</v>
      </c>
      <c r="P1498">
        <v>2.1334445E7</v>
      </c>
      <c r="Q1498" t="s">
        <v>419</v>
      </c>
      <c r="R1498" s="5"/>
      <c r="S1498" s="5"/>
      <c r="T1498" s="5"/>
      <c r="U1498" s="5"/>
      <c r="V1498" s="5"/>
      <c r="W1498" s="5"/>
      <c r="X1498" s="5"/>
      <c r="Y1498" s="5"/>
      <c r="Z1498" s="5"/>
      <c r="AA1498" s="5"/>
      <c r="AB1498" s="5"/>
      <c r="AC1498" s="5"/>
      <c r="AD1498" s="5"/>
      <c r="AE1498" s="5"/>
      <c r="AF1498" s="5"/>
      <c r="AG1498" s="5"/>
    </row>
    <row r="1499" ht="15.75" customHeight="1">
      <c r="K1499" t="s">
        <v>2574</v>
      </c>
      <c r="L1499" t="str">
        <f>E130</f>
        <v>H1a2a</v>
      </c>
      <c r="N1499" t="s">
        <v>2575</v>
      </c>
      <c r="O1499">
        <v>2748374.0</v>
      </c>
      <c r="P1499">
        <v>2880333.0</v>
      </c>
      <c r="Q1499" t="s">
        <v>553</v>
      </c>
      <c r="R1499" s="5"/>
      <c r="S1499" s="5"/>
      <c r="T1499" s="5"/>
      <c r="U1499" s="5"/>
      <c r="V1499" s="5"/>
      <c r="W1499" s="5"/>
      <c r="X1499" s="5"/>
      <c r="Y1499" s="5"/>
      <c r="Z1499" s="5"/>
      <c r="AA1499" s="5"/>
      <c r="AB1499" s="5"/>
      <c r="AC1499" s="5"/>
      <c r="AD1499" s="5"/>
      <c r="AE1499" s="5"/>
      <c r="AF1499" s="5"/>
      <c r="AG1499" s="5"/>
    </row>
    <row r="1500" ht="15.75" customHeight="1">
      <c r="K1500" t="s">
        <v>2576</v>
      </c>
      <c r="L1500" t="str">
        <f>E130</f>
        <v>H1a2a</v>
      </c>
      <c r="N1500" t="s">
        <v>2577</v>
      </c>
      <c r="O1500">
        <v>2797130.0</v>
      </c>
      <c r="P1500">
        <v>2929089.0</v>
      </c>
      <c r="Q1500" t="s">
        <v>448</v>
      </c>
      <c r="R1500" s="5"/>
      <c r="S1500" s="5"/>
      <c r="T1500" s="5"/>
      <c r="U1500" s="5"/>
      <c r="V1500" s="5"/>
      <c r="W1500" s="5"/>
      <c r="X1500" s="5"/>
      <c r="Y1500" s="5"/>
      <c r="Z1500" s="5"/>
      <c r="AA1500" s="5"/>
      <c r="AB1500" s="5"/>
      <c r="AC1500" s="5"/>
      <c r="AD1500" s="5"/>
      <c r="AE1500" s="5"/>
      <c r="AF1500" s="5"/>
      <c r="AG1500" s="5"/>
    </row>
    <row r="1501" ht="15.75" customHeight="1">
      <c r="K1501" t="s">
        <v>2578</v>
      </c>
      <c r="L1501" t="str">
        <f>E130</f>
        <v>H1a2a</v>
      </c>
      <c r="N1501" t="s">
        <v>2579</v>
      </c>
      <c r="O1501">
        <v>2893225.0</v>
      </c>
      <c r="P1501">
        <v>3025184.0</v>
      </c>
      <c r="Q1501" t="s">
        <v>419</v>
      </c>
      <c r="R1501" s="5"/>
      <c r="S1501" s="5"/>
      <c r="T1501" s="5"/>
      <c r="U1501" s="5"/>
      <c r="V1501" s="5"/>
      <c r="W1501" s="5"/>
      <c r="X1501" s="5"/>
      <c r="Y1501" s="5"/>
      <c r="Z1501" s="5"/>
      <c r="AA1501" s="5"/>
      <c r="AB1501" s="5"/>
      <c r="AC1501" s="5"/>
      <c r="AD1501" s="5"/>
      <c r="AE1501" s="5"/>
      <c r="AF1501" s="5"/>
      <c r="AG1501" s="5"/>
    </row>
    <row r="1502" ht="15.75" customHeight="1">
      <c r="K1502" t="s">
        <v>2580</v>
      </c>
      <c r="L1502" t="str">
        <f>E130</f>
        <v>H1a2a</v>
      </c>
      <c r="N1502" t="s">
        <v>2581</v>
      </c>
      <c r="O1502">
        <v>2899960.0</v>
      </c>
      <c r="P1502">
        <v>3031919.0</v>
      </c>
      <c r="Q1502" t="s">
        <v>423</v>
      </c>
      <c r="R1502" s="5"/>
      <c r="S1502" s="5"/>
      <c r="T1502" s="5"/>
      <c r="U1502" s="5"/>
      <c r="V1502" s="5"/>
      <c r="W1502" s="5"/>
      <c r="X1502" s="5"/>
      <c r="Y1502" s="5"/>
      <c r="Z1502" s="5"/>
      <c r="AA1502" s="5"/>
      <c r="AB1502" s="5"/>
      <c r="AC1502" s="5"/>
      <c r="AD1502" s="5"/>
      <c r="AE1502" s="5"/>
      <c r="AF1502" s="5"/>
      <c r="AG1502" s="5"/>
    </row>
    <row r="1503" ht="15.75" customHeight="1">
      <c r="K1503" t="s">
        <v>2582</v>
      </c>
      <c r="L1503" t="str">
        <f>E130</f>
        <v>H1a2a</v>
      </c>
      <c r="N1503" t="s">
        <v>2583</v>
      </c>
      <c r="O1503">
        <v>6656021.0</v>
      </c>
      <c r="P1503">
        <v>6787980.0</v>
      </c>
      <c r="Q1503" t="s">
        <v>423</v>
      </c>
      <c r="R1503" s="5"/>
      <c r="S1503" s="5"/>
      <c r="T1503" s="5"/>
      <c r="U1503" s="5"/>
      <c r="V1503" s="5"/>
      <c r="W1503" s="5"/>
      <c r="X1503" s="5"/>
      <c r="Y1503" s="5"/>
      <c r="Z1503" s="5"/>
      <c r="AA1503" s="5"/>
      <c r="AB1503" s="5"/>
      <c r="AC1503" s="5"/>
      <c r="AD1503" s="5"/>
      <c r="AE1503" s="5"/>
      <c r="AF1503" s="5"/>
      <c r="AG1503" s="5"/>
    </row>
    <row r="1504" ht="15.75" customHeight="1">
      <c r="K1504" t="s">
        <v>2584</v>
      </c>
      <c r="L1504" t="str">
        <f>E130</f>
        <v>H1a2a</v>
      </c>
      <c r="N1504" t="s">
        <v>2585</v>
      </c>
      <c r="O1504">
        <v>6771936.0</v>
      </c>
      <c r="P1504">
        <v>6903895.0</v>
      </c>
      <c r="Q1504" t="s">
        <v>431</v>
      </c>
      <c r="R1504" s="5"/>
      <c r="S1504" s="5"/>
      <c r="T1504" s="5"/>
      <c r="U1504" s="5"/>
      <c r="V1504" s="5"/>
      <c r="W1504" s="5"/>
      <c r="X1504" s="5"/>
      <c r="Y1504" s="5"/>
      <c r="Z1504" s="5"/>
      <c r="AA1504" s="5"/>
      <c r="AB1504" s="5"/>
      <c r="AC1504" s="5"/>
      <c r="AD1504" s="5"/>
      <c r="AE1504" s="5"/>
      <c r="AF1504" s="5"/>
      <c r="AG1504" s="5"/>
    </row>
    <row r="1505" ht="15.75" customHeight="1">
      <c r="K1505" t="s">
        <v>2586</v>
      </c>
      <c r="L1505" t="str">
        <f>E130</f>
        <v>H1a2a</v>
      </c>
      <c r="N1505" t="s">
        <v>2587</v>
      </c>
      <c r="O1505">
        <v>6790971.0</v>
      </c>
      <c r="P1505">
        <v>6922930.0</v>
      </c>
      <c r="Q1505" t="s">
        <v>419</v>
      </c>
      <c r="R1505" s="5"/>
      <c r="S1505" s="5"/>
      <c r="T1505" s="5"/>
      <c r="U1505" s="5"/>
      <c r="V1505" s="5"/>
      <c r="W1505" s="5"/>
      <c r="X1505" s="5"/>
      <c r="Y1505" s="5"/>
      <c r="Z1505" s="5"/>
      <c r="AA1505" s="5"/>
      <c r="AB1505" s="5"/>
      <c r="AC1505" s="5"/>
      <c r="AD1505" s="5"/>
      <c r="AE1505" s="5"/>
      <c r="AF1505" s="5"/>
      <c r="AG1505" s="5"/>
    </row>
    <row r="1506" ht="15.75" customHeight="1">
      <c r="K1506" t="s">
        <v>2588</v>
      </c>
      <c r="L1506" t="str">
        <f>E130</f>
        <v>H1a2a</v>
      </c>
      <c r="N1506" t="s">
        <v>2589</v>
      </c>
      <c r="O1506">
        <v>6844133.0</v>
      </c>
      <c r="P1506">
        <v>6976092.0</v>
      </c>
      <c r="Q1506" t="s">
        <v>435</v>
      </c>
      <c r="R1506" s="5"/>
      <c r="S1506" s="5"/>
      <c r="T1506" s="5"/>
      <c r="U1506" s="5"/>
      <c r="V1506" s="5"/>
      <c r="W1506" s="5"/>
      <c r="X1506" s="5"/>
      <c r="Y1506" s="5"/>
      <c r="Z1506" s="5"/>
      <c r="AA1506" s="5"/>
      <c r="AB1506" s="5"/>
      <c r="AC1506" s="5"/>
      <c r="AD1506" s="5"/>
      <c r="AE1506" s="5"/>
      <c r="AF1506" s="5"/>
      <c r="AG1506" s="5"/>
    </row>
    <row r="1507" ht="15.75" customHeight="1">
      <c r="K1507" t="s">
        <v>2590</v>
      </c>
      <c r="L1507" t="str">
        <f>E130</f>
        <v>H1a2a</v>
      </c>
      <c r="N1507" t="s">
        <v>2591</v>
      </c>
      <c r="O1507">
        <v>6853173.0</v>
      </c>
      <c r="P1507">
        <v>6985132.0</v>
      </c>
      <c r="Q1507" t="s">
        <v>423</v>
      </c>
      <c r="R1507" s="5"/>
      <c r="S1507" s="5"/>
      <c r="T1507" s="5"/>
      <c r="U1507" s="5"/>
      <c r="V1507" s="5"/>
      <c r="W1507" s="5"/>
      <c r="X1507" s="5"/>
      <c r="Y1507" s="5"/>
      <c r="Z1507" s="5"/>
      <c r="AA1507" s="5"/>
      <c r="AB1507" s="5"/>
      <c r="AC1507" s="5"/>
      <c r="AD1507" s="5"/>
      <c r="AE1507" s="5"/>
      <c r="AF1507" s="5"/>
      <c r="AG1507" s="5"/>
    </row>
    <row r="1508" ht="15.75" customHeight="1">
      <c r="K1508" t="s">
        <v>2592</v>
      </c>
      <c r="L1508" t="str">
        <f>E130</f>
        <v>H1a2a</v>
      </c>
      <c r="N1508" t="s">
        <v>2593</v>
      </c>
      <c r="O1508">
        <v>7001125.0</v>
      </c>
      <c r="P1508">
        <v>7133084.0</v>
      </c>
      <c r="Q1508" t="s">
        <v>431</v>
      </c>
      <c r="R1508" s="5"/>
      <c r="S1508" s="5"/>
      <c r="T1508" s="5"/>
      <c r="U1508" s="5"/>
      <c r="V1508" s="5"/>
      <c r="W1508" s="5"/>
      <c r="X1508" s="5"/>
      <c r="Y1508" s="5"/>
      <c r="Z1508" s="5"/>
      <c r="AA1508" s="5"/>
      <c r="AB1508" s="5"/>
      <c r="AC1508" s="5"/>
      <c r="AD1508" s="5"/>
      <c r="AE1508" s="5"/>
      <c r="AF1508" s="5"/>
      <c r="AG1508" s="5"/>
    </row>
    <row r="1509" ht="15.75" customHeight="1">
      <c r="K1509" t="s">
        <v>2594</v>
      </c>
      <c r="L1509" t="str">
        <f>E130</f>
        <v>H1a2a</v>
      </c>
      <c r="N1509" t="s">
        <v>2595</v>
      </c>
      <c r="O1509">
        <v>7049177.0</v>
      </c>
      <c r="P1509">
        <v>7181136.0</v>
      </c>
      <c r="Q1509" t="s">
        <v>431</v>
      </c>
      <c r="R1509" s="5"/>
      <c r="S1509" s="5"/>
      <c r="T1509" s="5"/>
      <c r="U1509" s="5"/>
      <c r="V1509" s="5"/>
      <c r="W1509" s="5"/>
      <c r="X1509" s="5"/>
      <c r="Y1509" s="5"/>
      <c r="Z1509" s="5"/>
      <c r="AA1509" s="5"/>
      <c r="AB1509" s="5"/>
      <c r="AC1509" s="5"/>
      <c r="AD1509" s="5"/>
      <c r="AE1509" s="5"/>
      <c r="AF1509" s="5"/>
      <c r="AG1509" s="5"/>
    </row>
    <row r="1510" ht="15.75" customHeight="1">
      <c r="K1510" t="s">
        <v>2596</v>
      </c>
      <c r="L1510" t="str">
        <f>E130</f>
        <v>H1a2a</v>
      </c>
      <c r="N1510" t="s">
        <v>2597</v>
      </c>
      <c r="O1510">
        <v>7190326.0</v>
      </c>
      <c r="P1510">
        <v>7322285.0</v>
      </c>
      <c r="Q1510" t="s">
        <v>419</v>
      </c>
      <c r="R1510" s="5"/>
      <c r="S1510" s="5"/>
      <c r="T1510" s="5"/>
      <c r="U1510" s="5"/>
      <c r="V1510" s="5"/>
      <c r="W1510" s="5"/>
      <c r="X1510" s="5"/>
      <c r="Y1510" s="5"/>
      <c r="Z1510" s="5"/>
      <c r="AA1510" s="5"/>
      <c r="AB1510" s="5"/>
      <c r="AC1510" s="5"/>
      <c r="AD1510" s="5"/>
      <c r="AE1510" s="5"/>
      <c r="AF1510" s="5"/>
      <c r="AG1510" s="5"/>
    </row>
    <row r="1511" ht="15.75" customHeight="1">
      <c r="K1511" t="s">
        <v>2598</v>
      </c>
      <c r="L1511" t="str">
        <f>E130</f>
        <v>H1a2a</v>
      </c>
      <c r="N1511" t="s">
        <v>2599</v>
      </c>
      <c r="O1511">
        <v>7265263.0</v>
      </c>
      <c r="P1511">
        <v>7397222.0</v>
      </c>
      <c r="Q1511" t="s">
        <v>423</v>
      </c>
      <c r="R1511" s="5"/>
      <c r="S1511" s="5"/>
      <c r="T1511" s="5"/>
      <c r="U1511" s="5"/>
      <c r="V1511" s="5"/>
      <c r="W1511" s="5"/>
      <c r="X1511" s="5"/>
      <c r="Y1511" s="5"/>
      <c r="Z1511" s="5"/>
      <c r="AA1511" s="5"/>
      <c r="AB1511" s="5"/>
      <c r="AC1511" s="5"/>
      <c r="AD1511" s="5"/>
      <c r="AE1511" s="5"/>
      <c r="AF1511" s="5"/>
      <c r="AG1511" s="5"/>
    </row>
    <row r="1512" ht="15.75" customHeight="1">
      <c r="K1512" t="s">
        <v>2600</v>
      </c>
      <c r="L1512" t="str">
        <f>E130</f>
        <v>H1a2a</v>
      </c>
      <c r="N1512" t="s">
        <v>2601</v>
      </c>
      <c r="O1512">
        <v>7683191.0</v>
      </c>
      <c r="P1512">
        <v>7815150.0</v>
      </c>
      <c r="Q1512" t="s">
        <v>423</v>
      </c>
      <c r="R1512" s="5"/>
      <c r="S1512" s="5"/>
      <c r="T1512" s="5"/>
      <c r="U1512" s="5"/>
      <c r="V1512" s="5"/>
      <c r="W1512" s="5"/>
      <c r="X1512" s="5"/>
      <c r="Y1512" s="5"/>
      <c r="Z1512" s="5"/>
      <c r="AA1512" s="5"/>
      <c r="AB1512" s="5"/>
      <c r="AC1512" s="5"/>
      <c r="AD1512" s="5"/>
      <c r="AE1512" s="5"/>
      <c r="AF1512" s="5"/>
      <c r="AG1512" s="5"/>
    </row>
    <row r="1513" ht="15.75" customHeight="1">
      <c r="K1513" t="s">
        <v>2602</v>
      </c>
      <c r="L1513" t="str">
        <f>E130</f>
        <v>H1a2a</v>
      </c>
      <c r="N1513" t="s">
        <v>2603</v>
      </c>
      <c r="O1513">
        <v>7737330.0</v>
      </c>
      <c r="P1513">
        <v>7869289.0</v>
      </c>
      <c r="Q1513" t="s">
        <v>427</v>
      </c>
      <c r="R1513" s="5"/>
      <c r="S1513" s="5"/>
      <c r="T1513" s="5"/>
      <c r="U1513" s="5"/>
      <c r="V1513" s="5"/>
      <c r="W1513" s="5"/>
      <c r="X1513" s="5"/>
      <c r="Y1513" s="5"/>
      <c r="Z1513" s="5"/>
      <c r="AA1513" s="5"/>
      <c r="AB1513" s="5"/>
      <c r="AC1513" s="5"/>
      <c r="AD1513" s="5"/>
      <c r="AE1513" s="5"/>
      <c r="AF1513" s="5"/>
      <c r="AG1513" s="5"/>
    </row>
    <row r="1514" ht="15.75" customHeight="1">
      <c r="K1514" t="s">
        <v>2604</v>
      </c>
      <c r="L1514" t="str">
        <f>E130</f>
        <v>H1a2a</v>
      </c>
      <c r="N1514" t="s">
        <v>2605</v>
      </c>
      <c r="O1514">
        <v>7786084.0</v>
      </c>
      <c r="P1514">
        <v>7918043.0</v>
      </c>
      <c r="Q1514" t="s">
        <v>427</v>
      </c>
      <c r="R1514" s="5"/>
      <c r="S1514" s="5"/>
      <c r="T1514" s="5"/>
      <c r="U1514" s="5"/>
      <c r="V1514" s="5"/>
      <c r="W1514" s="5"/>
      <c r="X1514" s="5"/>
      <c r="Y1514" s="5"/>
      <c r="Z1514" s="5"/>
      <c r="AA1514" s="5"/>
      <c r="AB1514" s="5"/>
      <c r="AC1514" s="5"/>
      <c r="AD1514" s="5"/>
      <c r="AE1514" s="5"/>
      <c r="AF1514" s="5"/>
      <c r="AG1514" s="5"/>
    </row>
    <row r="1515" ht="15.75" customHeight="1">
      <c r="K1515" t="s">
        <v>2606</v>
      </c>
      <c r="L1515" t="str">
        <f>E130</f>
        <v>H1a2a</v>
      </c>
      <c r="N1515" t="s">
        <v>2607</v>
      </c>
      <c r="O1515">
        <v>7791937.0</v>
      </c>
      <c r="P1515">
        <v>7923896.0</v>
      </c>
      <c r="Q1515" t="s">
        <v>423</v>
      </c>
      <c r="R1515" s="5"/>
      <c r="S1515" s="5"/>
      <c r="T1515" s="5"/>
      <c r="U1515" s="5"/>
      <c r="V1515" s="5"/>
      <c r="W1515" s="5"/>
      <c r="X1515" s="5"/>
      <c r="Y1515" s="5"/>
      <c r="Z1515" s="5"/>
      <c r="AA1515" s="5"/>
      <c r="AB1515" s="5"/>
      <c r="AC1515" s="5"/>
      <c r="AD1515" s="5"/>
      <c r="AE1515" s="5"/>
      <c r="AF1515" s="5"/>
      <c r="AG1515" s="5"/>
    </row>
    <row r="1516" ht="15.75" customHeight="1">
      <c r="K1516" t="s">
        <v>2608</v>
      </c>
      <c r="L1516" t="str">
        <f>E130</f>
        <v>H1a2a</v>
      </c>
      <c r="N1516" t="s">
        <v>2609</v>
      </c>
      <c r="O1516">
        <v>7828222.0</v>
      </c>
      <c r="P1516">
        <v>7960181.0</v>
      </c>
      <c r="Q1516" t="s">
        <v>419</v>
      </c>
      <c r="R1516" s="5"/>
      <c r="S1516" s="5"/>
      <c r="T1516" s="5"/>
      <c r="U1516" s="5"/>
      <c r="V1516" s="5"/>
      <c r="W1516" s="5"/>
      <c r="X1516" s="5"/>
      <c r="Y1516" s="5"/>
      <c r="Z1516" s="5"/>
      <c r="AA1516" s="5"/>
      <c r="AB1516" s="5"/>
      <c r="AC1516" s="5"/>
      <c r="AD1516" s="5"/>
      <c r="AE1516" s="5"/>
      <c r="AF1516" s="5"/>
      <c r="AG1516" s="5"/>
    </row>
    <row r="1517" ht="15.75" customHeight="1">
      <c r="K1517" t="s">
        <v>2610</v>
      </c>
      <c r="L1517" t="str">
        <f>E130</f>
        <v>H1a2a</v>
      </c>
      <c r="N1517" t="s">
        <v>2611</v>
      </c>
      <c r="O1517">
        <v>7830008.0</v>
      </c>
      <c r="P1517">
        <v>7961967.0</v>
      </c>
      <c r="Q1517" t="s">
        <v>419</v>
      </c>
      <c r="R1517" s="5"/>
      <c r="S1517" s="5"/>
      <c r="T1517" s="5"/>
      <c r="U1517" s="5"/>
      <c r="V1517" s="5"/>
      <c r="W1517" s="5"/>
      <c r="X1517" s="5"/>
      <c r="Y1517" s="5"/>
      <c r="Z1517" s="5"/>
      <c r="AA1517" s="5"/>
      <c r="AB1517" s="5"/>
      <c r="AC1517" s="5"/>
      <c r="AD1517" s="5"/>
      <c r="AE1517" s="5"/>
      <c r="AF1517" s="5"/>
      <c r="AG1517" s="5"/>
    </row>
    <row r="1518" ht="15.75" customHeight="1">
      <c r="K1518" t="s">
        <v>2612</v>
      </c>
      <c r="L1518" t="str">
        <f>E130</f>
        <v>H1a2a</v>
      </c>
      <c r="N1518" t="s">
        <v>2613</v>
      </c>
      <c r="O1518">
        <v>7843417.0</v>
      </c>
      <c r="P1518">
        <v>7975376.0</v>
      </c>
      <c r="Q1518" t="s">
        <v>419</v>
      </c>
      <c r="R1518" s="5"/>
      <c r="S1518" s="5"/>
      <c r="T1518" s="5"/>
      <c r="U1518" s="5"/>
      <c r="V1518" s="5"/>
      <c r="W1518" s="5"/>
      <c r="X1518" s="5"/>
      <c r="Y1518" s="5"/>
      <c r="Z1518" s="5"/>
      <c r="AA1518" s="5"/>
      <c r="AB1518" s="5"/>
      <c r="AC1518" s="5"/>
      <c r="AD1518" s="5"/>
      <c r="AE1518" s="5"/>
      <c r="AF1518" s="5"/>
      <c r="AG1518" s="5"/>
    </row>
    <row r="1519" ht="15.75" customHeight="1">
      <c r="K1519" t="s">
        <v>2614</v>
      </c>
      <c r="L1519" t="str">
        <f>E130</f>
        <v>H1a2a</v>
      </c>
      <c r="N1519" t="s">
        <v>2615</v>
      </c>
      <c r="O1519">
        <v>7935957.0</v>
      </c>
      <c r="P1519">
        <v>8067916.0</v>
      </c>
      <c r="Q1519" t="s">
        <v>448</v>
      </c>
      <c r="R1519" s="5"/>
      <c r="S1519" s="5"/>
      <c r="T1519" s="5"/>
      <c r="U1519" s="5"/>
      <c r="V1519" s="5"/>
      <c r="W1519" s="5"/>
      <c r="X1519" s="5"/>
      <c r="Y1519" s="5"/>
      <c r="Z1519" s="5"/>
      <c r="AA1519" s="5"/>
      <c r="AB1519" s="5"/>
      <c r="AC1519" s="5"/>
      <c r="AD1519" s="5"/>
      <c r="AE1519" s="5"/>
      <c r="AF1519" s="5"/>
      <c r="AG1519" s="5"/>
    </row>
    <row r="1520" ht="15.75" customHeight="1">
      <c r="K1520" t="s">
        <v>2616</v>
      </c>
      <c r="L1520" t="str">
        <f>E130</f>
        <v>H1a2a</v>
      </c>
      <c r="N1520" t="s">
        <v>2617</v>
      </c>
      <c r="O1520">
        <v>8134291.0</v>
      </c>
      <c r="P1520">
        <v>8266250.0</v>
      </c>
      <c r="Q1520" t="s">
        <v>473</v>
      </c>
      <c r="R1520" s="5"/>
      <c r="S1520" s="5"/>
      <c r="T1520" s="5"/>
      <c r="U1520" s="5"/>
      <c r="V1520" s="5"/>
      <c r="W1520" s="5"/>
      <c r="X1520" s="5"/>
      <c r="Y1520" s="5"/>
      <c r="Z1520" s="5"/>
      <c r="AA1520" s="5"/>
      <c r="AB1520" s="5"/>
      <c r="AC1520" s="5"/>
      <c r="AD1520" s="5"/>
      <c r="AE1520" s="5"/>
      <c r="AF1520" s="5"/>
      <c r="AG1520" s="5"/>
    </row>
    <row r="1521" ht="15.75" customHeight="1">
      <c r="K1521" t="s">
        <v>2618</v>
      </c>
      <c r="L1521" t="str">
        <f>E130</f>
        <v>H1a2a</v>
      </c>
      <c r="N1521" t="s">
        <v>2619</v>
      </c>
      <c r="O1521">
        <v>8140788.0</v>
      </c>
      <c r="P1521">
        <v>8272747.0</v>
      </c>
      <c r="Q1521" t="s">
        <v>423</v>
      </c>
      <c r="R1521" s="5"/>
      <c r="S1521" s="5"/>
      <c r="T1521" s="5"/>
      <c r="U1521" s="5"/>
      <c r="V1521" s="5"/>
      <c r="W1521" s="5"/>
      <c r="X1521" s="5"/>
      <c r="Y1521" s="5"/>
      <c r="Z1521" s="5"/>
      <c r="AA1521" s="5"/>
      <c r="AB1521" s="5"/>
      <c r="AC1521" s="5"/>
      <c r="AD1521" s="5"/>
      <c r="AE1521" s="5"/>
      <c r="AF1521" s="5"/>
      <c r="AG1521" s="5"/>
    </row>
    <row r="1522" ht="15.75" customHeight="1">
      <c r="K1522" t="s">
        <v>2620</v>
      </c>
      <c r="L1522" t="str">
        <f>E130</f>
        <v>H1a2a</v>
      </c>
      <c r="N1522" t="s">
        <v>2621</v>
      </c>
      <c r="O1522">
        <v>8187897.0</v>
      </c>
      <c r="P1522">
        <v>8319856.0</v>
      </c>
      <c r="Q1522" t="s">
        <v>452</v>
      </c>
      <c r="R1522" s="5"/>
      <c r="S1522" s="5"/>
      <c r="T1522" s="5"/>
      <c r="U1522" s="5"/>
      <c r="V1522" s="5"/>
      <c r="W1522" s="5"/>
      <c r="X1522" s="5"/>
      <c r="Y1522" s="5"/>
      <c r="Z1522" s="5"/>
      <c r="AA1522" s="5"/>
      <c r="AB1522" s="5"/>
      <c r="AC1522" s="5"/>
      <c r="AD1522" s="5"/>
      <c r="AE1522" s="5"/>
      <c r="AF1522" s="5"/>
      <c r="AG1522" s="5"/>
    </row>
    <row r="1523" ht="15.75" customHeight="1">
      <c r="K1523" t="s">
        <v>2622</v>
      </c>
      <c r="L1523" t="str">
        <f>E130</f>
        <v>H1a2a</v>
      </c>
      <c r="N1523" t="s">
        <v>2623</v>
      </c>
      <c r="O1523">
        <v>8194685.0</v>
      </c>
      <c r="P1523">
        <v>8326644.0</v>
      </c>
      <c r="Q1523" t="s">
        <v>435</v>
      </c>
      <c r="R1523" s="5"/>
      <c r="S1523" s="5"/>
      <c r="T1523" s="5"/>
      <c r="U1523" s="5"/>
      <c r="V1523" s="5"/>
      <c r="W1523" s="5"/>
      <c r="X1523" s="5"/>
      <c r="Y1523" s="5"/>
      <c r="Z1523" s="5"/>
      <c r="AA1523" s="5"/>
      <c r="AB1523" s="5"/>
      <c r="AC1523" s="5"/>
      <c r="AD1523" s="5"/>
      <c r="AE1523" s="5"/>
      <c r="AF1523" s="5"/>
      <c r="AG1523" s="5"/>
    </row>
    <row r="1524" ht="15.75" customHeight="1">
      <c r="K1524" t="s">
        <v>2624</v>
      </c>
      <c r="L1524" t="str">
        <f>E130</f>
        <v>H1a2a</v>
      </c>
      <c r="N1524" t="s">
        <v>2625</v>
      </c>
      <c r="O1524">
        <v>8371537.0</v>
      </c>
      <c r="P1524">
        <v>8503496.0</v>
      </c>
      <c r="Q1524" t="s">
        <v>431</v>
      </c>
      <c r="R1524" s="5"/>
      <c r="S1524" s="5"/>
      <c r="T1524" s="5"/>
      <c r="U1524" s="5"/>
      <c r="V1524" s="5"/>
      <c r="W1524" s="5"/>
      <c r="X1524" s="5"/>
      <c r="Y1524" s="5"/>
      <c r="Z1524" s="5"/>
      <c r="AA1524" s="5"/>
      <c r="AB1524" s="5"/>
      <c r="AC1524" s="5"/>
      <c r="AD1524" s="5"/>
      <c r="AE1524" s="5"/>
      <c r="AF1524" s="5"/>
      <c r="AG1524" s="5"/>
    </row>
    <row r="1525" ht="15.75" customHeight="1">
      <c r="K1525" t="s">
        <v>2626</v>
      </c>
      <c r="L1525" t="str">
        <f>E130</f>
        <v>H1a2a</v>
      </c>
      <c r="N1525" t="s">
        <v>2627</v>
      </c>
      <c r="O1525">
        <v>8423796.0</v>
      </c>
      <c r="P1525">
        <v>8555755.0</v>
      </c>
      <c r="Q1525" t="s">
        <v>476</v>
      </c>
      <c r="R1525" s="5"/>
      <c r="S1525" s="5"/>
      <c r="T1525" s="5"/>
      <c r="U1525" s="5"/>
      <c r="V1525" s="5"/>
      <c r="W1525" s="5"/>
      <c r="X1525" s="5"/>
      <c r="Y1525" s="5"/>
      <c r="Z1525" s="5"/>
      <c r="AA1525" s="5"/>
      <c r="AB1525" s="5"/>
      <c r="AC1525" s="5"/>
      <c r="AD1525" s="5"/>
      <c r="AE1525" s="5"/>
      <c r="AF1525" s="5"/>
      <c r="AG1525" s="5"/>
    </row>
    <row r="1526" ht="15.75" customHeight="1">
      <c r="K1526" t="s">
        <v>2628</v>
      </c>
      <c r="L1526" t="str">
        <f>E130</f>
        <v>H1a2a</v>
      </c>
      <c r="N1526" t="s">
        <v>2629</v>
      </c>
      <c r="O1526">
        <v>8450944.0</v>
      </c>
      <c r="P1526">
        <v>8582903.0</v>
      </c>
      <c r="Q1526" t="s">
        <v>435</v>
      </c>
      <c r="R1526" s="5"/>
      <c r="S1526" s="5"/>
      <c r="T1526" s="5"/>
      <c r="U1526" s="5"/>
      <c r="V1526" s="5"/>
      <c r="W1526" s="5"/>
      <c r="X1526" s="5"/>
      <c r="Y1526" s="5"/>
      <c r="Z1526" s="5"/>
      <c r="AA1526" s="5"/>
      <c r="AB1526" s="5"/>
      <c r="AC1526" s="5"/>
      <c r="AD1526" s="5"/>
      <c r="AE1526" s="5"/>
      <c r="AF1526" s="5"/>
      <c r="AG1526" s="5"/>
    </row>
    <row r="1527" ht="15.75" customHeight="1">
      <c r="K1527" t="s">
        <v>2630</v>
      </c>
      <c r="L1527" t="str">
        <f>E130</f>
        <v>H1a2a</v>
      </c>
      <c r="N1527" t="s">
        <v>2631</v>
      </c>
      <c r="O1527">
        <v>8525693.0</v>
      </c>
      <c r="P1527">
        <v>8657652.0</v>
      </c>
      <c r="Q1527" t="s">
        <v>431</v>
      </c>
      <c r="R1527" s="5"/>
      <c r="S1527" s="5"/>
      <c r="T1527" s="5"/>
      <c r="U1527" s="5"/>
      <c r="V1527" s="5"/>
      <c r="W1527" s="5"/>
      <c r="X1527" s="5"/>
      <c r="Y1527" s="5"/>
      <c r="Z1527" s="5"/>
      <c r="AA1527" s="5"/>
      <c r="AB1527" s="5"/>
      <c r="AC1527" s="5"/>
      <c r="AD1527" s="5"/>
      <c r="AE1527" s="5"/>
      <c r="AF1527" s="5"/>
      <c r="AG1527" s="5"/>
    </row>
    <row r="1528" ht="15.75" customHeight="1">
      <c r="K1528" t="s">
        <v>2632</v>
      </c>
      <c r="L1528" t="str">
        <f>E130</f>
        <v>H1a2a</v>
      </c>
      <c r="N1528" t="s">
        <v>2633</v>
      </c>
      <c r="O1528">
        <v>8551896.0</v>
      </c>
      <c r="P1528">
        <v>8683855.0</v>
      </c>
      <c r="Q1528" t="s">
        <v>423</v>
      </c>
      <c r="R1528" s="5"/>
      <c r="S1528" s="5"/>
      <c r="T1528" s="5"/>
      <c r="U1528" s="5"/>
      <c r="V1528" s="5"/>
      <c r="W1528" s="5"/>
      <c r="X1528" s="5"/>
      <c r="Y1528" s="5"/>
      <c r="Z1528" s="5"/>
      <c r="AA1528" s="5"/>
      <c r="AB1528" s="5"/>
      <c r="AC1528" s="5"/>
      <c r="AD1528" s="5"/>
      <c r="AE1528" s="5"/>
      <c r="AF1528" s="5"/>
      <c r="AG1528" s="5"/>
    </row>
    <row r="1529" ht="15.75" customHeight="1">
      <c r="K1529" t="s">
        <v>2634</v>
      </c>
      <c r="L1529" t="str">
        <f>E130</f>
        <v>H1a2a</v>
      </c>
      <c r="N1529" t="s">
        <v>2635</v>
      </c>
      <c r="O1529">
        <v>8635099.0</v>
      </c>
      <c r="P1529">
        <v>8767058.0</v>
      </c>
      <c r="Q1529" t="s">
        <v>423</v>
      </c>
      <c r="R1529" s="5"/>
      <c r="S1529" s="5"/>
      <c r="T1529" s="5"/>
      <c r="U1529" s="5"/>
      <c r="V1529" s="5"/>
      <c r="W1529" s="5"/>
      <c r="X1529" s="5"/>
      <c r="Y1529" s="5"/>
      <c r="Z1529" s="5"/>
      <c r="AA1529" s="5"/>
      <c r="AB1529" s="5"/>
      <c r="AC1529" s="5"/>
      <c r="AD1529" s="5"/>
      <c r="AE1529" s="5"/>
      <c r="AF1529" s="5"/>
      <c r="AG1529" s="5"/>
    </row>
    <row r="1530" ht="15.75" customHeight="1">
      <c r="K1530" t="s">
        <v>2636</v>
      </c>
      <c r="L1530" t="str">
        <f>E130</f>
        <v>H1a2a</v>
      </c>
      <c r="N1530" t="s">
        <v>2637</v>
      </c>
      <c r="O1530">
        <v>8652196.0</v>
      </c>
      <c r="P1530">
        <v>8784155.0</v>
      </c>
      <c r="Q1530" t="s">
        <v>431</v>
      </c>
      <c r="R1530" s="5"/>
      <c r="S1530" s="5"/>
      <c r="T1530" s="5"/>
      <c r="U1530" s="5"/>
      <c r="V1530" s="5"/>
      <c r="W1530" s="5"/>
      <c r="X1530" s="5"/>
      <c r="Y1530" s="5"/>
      <c r="Z1530" s="5"/>
      <c r="AA1530" s="5"/>
      <c r="AB1530" s="5"/>
      <c r="AC1530" s="5"/>
      <c r="AD1530" s="5"/>
      <c r="AE1530" s="5"/>
      <c r="AF1530" s="5"/>
      <c r="AG1530" s="5"/>
    </row>
    <row r="1531" ht="15.75" customHeight="1">
      <c r="K1531" t="s">
        <v>2638</v>
      </c>
      <c r="L1531" t="str">
        <f>E130</f>
        <v>H1a2a</v>
      </c>
      <c r="N1531" t="s">
        <v>2639</v>
      </c>
      <c r="O1531">
        <v>8823545.0</v>
      </c>
      <c r="P1531">
        <v>8955504.0</v>
      </c>
      <c r="Q1531" t="s">
        <v>431</v>
      </c>
      <c r="R1531" s="5"/>
      <c r="S1531" s="5"/>
      <c r="T1531" s="5"/>
      <c r="U1531" s="5"/>
      <c r="V1531" s="5"/>
      <c r="W1531" s="5"/>
      <c r="X1531" s="5"/>
      <c r="Y1531" s="5"/>
      <c r="Z1531" s="5"/>
      <c r="AA1531" s="5"/>
      <c r="AB1531" s="5"/>
      <c r="AC1531" s="5"/>
      <c r="AD1531" s="5"/>
      <c r="AE1531" s="5"/>
      <c r="AF1531" s="5"/>
      <c r="AG1531" s="5"/>
    </row>
    <row r="1532" ht="15.75" customHeight="1">
      <c r="K1532" t="s">
        <v>2640</v>
      </c>
      <c r="L1532" t="str">
        <f>E130</f>
        <v>H1a2a</v>
      </c>
      <c r="N1532" t="s">
        <v>2641</v>
      </c>
      <c r="O1532">
        <v>8843710.0</v>
      </c>
      <c r="P1532">
        <v>8975669.0</v>
      </c>
      <c r="Q1532" t="s">
        <v>448</v>
      </c>
      <c r="R1532" s="5"/>
      <c r="S1532" s="5"/>
      <c r="T1532" s="5"/>
      <c r="U1532" s="5"/>
      <c r="V1532" s="5"/>
      <c r="W1532" s="5"/>
      <c r="X1532" s="5"/>
      <c r="Y1532" s="5"/>
      <c r="Z1532" s="5"/>
      <c r="AA1532" s="5"/>
      <c r="AB1532" s="5"/>
      <c r="AC1532" s="5"/>
      <c r="AD1532" s="5"/>
      <c r="AE1532" s="5"/>
      <c r="AF1532" s="5"/>
      <c r="AG1532" s="5"/>
    </row>
    <row r="1533" ht="15.75" customHeight="1">
      <c r="K1533" t="s">
        <v>2642</v>
      </c>
      <c r="L1533" t="str">
        <f>E130</f>
        <v>H1a2a</v>
      </c>
      <c r="N1533" t="s">
        <v>2643</v>
      </c>
      <c r="O1533">
        <v>8868444.0</v>
      </c>
      <c r="P1533">
        <v>9000403.0</v>
      </c>
      <c r="Q1533" t="s">
        <v>419</v>
      </c>
      <c r="R1533" s="5"/>
      <c r="S1533" s="5"/>
      <c r="T1533" s="5"/>
      <c r="U1533" s="5"/>
      <c r="V1533" s="5"/>
      <c r="W1533" s="5"/>
      <c r="X1533" s="5"/>
      <c r="Y1533" s="5"/>
      <c r="Z1533" s="5"/>
      <c r="AA1533" s="5"/>
      <c r="AB1533" s="5"/>
      <c r="AC1533" s="5"/>
      <c r="AD1533" s="5"/>
      <c r="AE1533" s="5"/>
      <c r="AF1533" s="5"/>
      <c r="AG1533" s="5"/>
    </row>
    <row r="1534" ht="15.75" customHeight="1">
      <c r="K1534" t="s">
        <v>2644</v>
      </c>
      <c r="L1534" t="str">
        <f>E130</f>
        <v>H1a2a</v>
      </c>
      <c r="N1534" t="s">
        <v>2645</v>
      </c>
      <c r="O1534">
        <v>8885944.0</v>
      </c>
      <c r="P1534">
        <v>9017903.0</v>
      </c>
      <c r="Q1534" t="s">
        <v>423</v>
      </c>
      <c r="R1534" s="5"/>
      <c r="S1534" s="5"/>
      <c r="T1534" s="5"/>
      <c r="U1534" s="5"/>
      <c r="V1534" s="5"/>
      <c r="W1534" s="5"/>
      <c r="X1534" s="5"/>
      <c r="Y1534" s="5"/>
      <c r="Z1534" s="5"/>
      <c r="AA1534" s="5"/>
      <c r="AB1534" s="5"/>
      <c r="AC1534" s="5"/>
      <c r="AD1534" s="5"/>
      <c r="AE1534" s="5"/>
      <c r="AF1534" s="5"/>
      <c r="AG1534" s="5"/>
    </row>
    <row r="1535" ht="15.75" customHeight="1">
      <c r="K1535" t="s">
        <v>2646</v>
      </c>
      <c r="L1535" t="str">
        <f>E130</f>
        <v>H1a2a</v>
      </c>
      <c r="O1535" t="s">
        <v>2647</v>
      </c>
      <c r="P1535" t="s">
        <v>2648</v>
      </c>
      <c r="Q1535" t="s">
        <v>2649</v>
      </c>
      <c r="R1535" s="5"/>
      <c r="S1535" s="5"/>
      <c r="T1535" s="5"/>
      <c r="U1535" s="5"/>
      <c r="V1535" s="5"/>
      <c r="W1535" s="5"/>
      <c r="X1535" s="5"/>
      <c r="Y1535" s="5"/>
      <c r="Z1535" s="5"/>
      <c r="AA1535" s="5"/>
      <c r="AB1535" s="5"/>
      <c r="AC1535" s="5"/>
      <c r="AD1535" s="5"/>
      <c r="AE1535" s="5"/>
      <c r="AF1535" s="5"/>
      <c r="AG1535" s="5"/>
    </row>
    <row r="1536" ht="15.75" customHeight="1">
      <c r="K1536" t="s">
        <v>2650</v>
      </c>
      <c r="L1536" t="str">
        <f>E130</f>
        <v>H1a2a</v>
      </c>
      <c r="N1536" t="s">
        <v>2651</v>
      </c>
      <c r="O1536">
        <v>9140350.0</v>
      </c>
      <c r="P1536">
        <v>9302741.0</v>
      </c>
      <c r="Q1536" t="s">
        <v>473</v>
      </c>
      <c r="R1536" s="5"/>
      <c r="S1536" s="5"/>
      <c r="T1536" s="5"/>
      <c r="U1536" s="5"/>
      <c r="V1536" s="5"/>
      <c r="W1536" s="5"/>
      <c r="X1536" s="5"/>
      <c r="Y1536" s="5"/>
      <c r="Z1536" s="5"/>
      <c r="AA1536" s="5"/>
      <c r="AB1536" s="5"/>
      <c r="AC1536" s="5"/>
      <c r="AD1536" s="5"/>
      <c r="AE1536" s="5"/>
      <c r="AF1536" s="5"/>
      <c r="AG1536" s="5"/>
    </row>
    <row r="1537" ht="15.75" customHeight="1">
      <c r="K1537" t="s">
        <v>2652</v>
      </c>
      <c r="L1537" t="str">
        <f>E130</f>
        <v>H1a2a</v>
      </c>
      <c r="O1537">
        <v>9917519.0</v>
      </c>
      <c r="P1537">
        <v>1.007991E7</v>
      </c>
      <c r="Q1537" t="s">
        <v>525</v>
      </c>
      <c r="R1537" s="5"/>
      <c r="S1537" s="5"/>
      <c r="T1537" s="5"/>
      <c r="U1537" s="5"/>
      <c r="V1537" s="5"/>
      <c r="W1537" s="5"/>
      <c r="X1537" s="5"/>
      <c r="Y1537" s="5"/>
      <c r="Z1537" s="5"/>
      <c r="AA1537" s="5"/>
      <c r="AB1537" s="5"/>
      <c r="AC1537" s="5"/>
      <c r="AD1537" s="5"/>
      <c r="AE1537" s="5"/>
      <c r="AF1537" s="5"/>
      <c r="AG1537" s="5"/>
    </row>
    <row r="1538" ht="15.75" customHeight="1">
      <c r="K1538" t="s">
        <v>2653</v>
      </c>
      <c r="L1538" t="str">
        <f>E130</f>
        <v>H1a2a</v>
      </c>
      <c r="O1538">
        <v>1.007106E7</v>
      </c>
      <c r="P1538">
        <v>1.0233451E7</v>
      </c>
      <c r="Q1538" t="s">
        <v>435</v>
      </c>
      <c r="R1538" s="5"/>
      <c r="S1538" s="5"/>
      <c r="T1538" s="5"/>
      <c r="U1538" s="5"/>
      <c r="V1538" s="5"/>
      <c r="W1538" s="5"/>
      <c r="X1538" s="5"/>
      <c r="Y1538" s="5"/>
      <c r="Z1538" s="5"/>
      <c r="AA1538" s="5"/>
      <c r="AB1538" s="5"/>
      <c r="AC1538" s="5"/>
      <c r="AD1538" s="5"/>
      <c r="AE1538" s="5"/>
      <c r="AF1538" s="5"/>
      <c r="AG1538" s="5"/>
    </row>
    <row r="1539" ht="15.75" customHeight="1">
      <c r="K1539" t="s">
        <v>2654</v>
      </c>
      <c r="L1539" t="str">
        <f>E130</f>
        <v>H1a2a</v>
      </c>
      <c r="O1539">
        <v>1.3135428E7</v>
      </c>
      <c r="P1539">
        <v>1.0624914E7</v>
      </c>
      <c r="Q1539" t="s">
        <v>448</v>
      </c>
      <c r="R1539" s="5"/>
      <c r="S1539" s="5"/>
      <c r="T1539" s="5"/>
      <c r="U1539" s="5"/>
      <c r="V1539" s="5"/>
      <c r="W1539" s="5"/>
      <c r="X1539" s="5"/>
      <c r="Y1539" s="5"/>
      <c r="Z1539" s="5"/>
      <c r="AA1539" s="5"/>
      <c r="AB1539" s="5"/>
      <c r="AC1539" s="5"/>
      <c r="AD1539" s="5"/>
      <c r="AE1539" s="5"/>
      <c r="AF1539" s="5"/>
      <c r="AG1539" s="5"/>
    </row>
    <row r="1540" ht="15.75" customHeight="1">
      <c r="K1540" t="s">
        <v>2655</v>
      </c>
      <c r="L1540" t="str">
        <f>E130</f>
        <v>H1a2a</v>
      </c>
      <c r="O1540">
        <v>1.3221678E7</v>
      </c>
      <c r="P1540">
        <v>1.1066002E7</v>
      </c>
      <c r="Q1540" t="s">
        <v>423</v>
      </c>
      <c r="R1540" s="5"/>
      <c r="S1540" s="5"/>
      <c r="T1540" s="5"/>
      <c r="U1540" s="5"/>
      <c r="V1540" s="5"/>
      <c r="W1540" s="5"/>
      <c r="X1540" s="5"/>
      <c r="Y1540" s="5"/>
      <c r="Z1540" s="5"/>
      <c r="AA1540" s="5"/>
      <c r="AB1540" s="5"/>
      <c r="AC1540" s="5"/>
      <c r="AD1540" s="5"/>
      <c r="AE1540" s="5"/>
      <c r="AF1540" s="5"/>
      <c r="AG1540" s="5"/>
    </row>
    <row r="1541" ht="15.75" customHeight="1">
      <c r="K1541" t="s">
        <v>2656</v>
      </c>
      <c r="L1541" t="str">
        <f>E130</f>
        <v>H1a2a</v>
      </c>
      <c r="O1541">
        <v>1.34082E7</v>
      </c>
      <c r="P1541">
        <v>1.1252524E7</v>
      </c>
      <c r="Q1541" t="s">
        <v>423</v>
      </c>
      <c r="R1541" s="5"/>
      <c r="S1541" s="5"/>
      <c r="T1541" s="5"/>
      <c r="U1541" s="5"/>
      <c r="V1541" s="5"/>
      <c r="W1541" s="5"/>
      <c r="X1541" s="5"/>
      <c r="Y1541" s="5"/>
      <c r="Z1541" s="5"/>
      <c r="AA1541" s="5"/>
      <c r="AB1541" s="5"/>
      <c r="AC1541" s="5"/>
      <c r="AD1541" s="5"/>
      <c r="AE1541" s="5"/>
      <c r="AF1541" s="5"/>
      <c r="AG1541" s="5"/>
    </row>
    <row r="1542" ht="15.75" customHeight="1">
      <c r="K1542" t="s">
        <v>2657</v>
      </c>
      <c r="L1542" t="str">
        <f>E130</f>
        <v>H1a2a</v>
      </c>
      <c r="O1542">
        <v>1.3584994E7</v>
      </c>
      <c r="P1542">
        <v>1.1429318E7</v>
      </c>
      <c r="Q1542" t="s">
        <v>431</v>
      </c>
      <c r="R1542" s="5"/>
      <c r="S1542" s="5"/>
      <c r="T1542" s="5"/>
      <c r="U1542" s="5"/>
      <c r="V1542" s="5"/>
      <c r="W1542" s="5"/>
      <c r="X1542" s="5"/>
      <c r="Y1542" s="5"/>
      <c r="Z1542" s="5"/>
      <c r="AA1542" s="5"/>
      <c r="AB1542" s="5"/>
      <c r="AC1542" s="5"/>
      <c r="AD1542" s="5"/>
      <c r="AE1542" s="5"/>
      <c r="AF1542" s="5"/>
      <c r="AG1542" s="5"/>
    </row>
    <row r="1543" ht="15.75" customHeight="1">
      <c r="K1543" t="s">
        <v>2658</v>
      </c>
      <c r="L1543" t="str">
        <f>E130</f>
        <v>H1a2a</v>
      </c>
      <c r="O1543">
        <v>1.3641196E7</v>
      </c>
      <c r="P1543">
        <v>1.148552E7</v>
      </c>
      <c r="Q1543" t="s">
        <v>452</v>
      </c>
      <c r="R1543" s="5"/>
      <c r="S1543" s="5"/>
      <c r="T1543" s="5"/>
      <c r="U1543" s="5"/>
      <c r="V1543" s="5"/>
      <c r="W1543" s="5"/>
      <c r="X1543" s="5"/>
      <c r="Y1543" s="5"/>
      <c r="Z1543" s="5"/>
      <c r="AA1543" s="5"/>
      <c r="AB1543" s="5"/>
      <c r="AC1543" s="5"/>
      <c r="AD1543" s="5"/>
      <c r="AE1543" s="5"/>
      <c r="AF1543" s="5"/>
      <c r="AG1543" s="5"/>
    </row>
    <row r="1544" ht="15.75" customHeight="1">
      <c r="K1544" t="s">
        <v>2659</v>
      </c>
      <c r="L1544" t="str">
        <f>E130</f>
        <v>H1a2a</v>
      </c>
      <c r="N1544" t="s">
        <v>2660</v>
      </c>
      <c r="O1544">
        <v>1.3645449E7</v>
      </c>
      <c r="P1544">
        <v>1.1489773E7</v>
      </c>
      <c r="Q1544" t="s">
        <v>419</v>
      </c>
      <c r="R1544" s="5"/>
      <c r="S1544" s="5"/>
      <c r="T1544" s="5"/>
      <c r="U1544" s="5"/>
      <c r="V1544" s="5"/>
      <c r="W1544" s="5"/>
      <c r="X1544" s="5"/>
      <c r="Y1544" s="5"/>
      <c r="Z1544" s="5"/>
      <c r="AA1544" s="5"/>
      <c r="AB1544" s="5"/>
      <c r="AC1544" s="5"/>
      <c r="AD1544" s="5"/>
      <c r="AE1544" s="5"/>
      <c r="AF1544" s="5"/>
      <c r="AG1544" s="5"/>
    </row>
    <row r="1545" ht="15.75" customHeight="1">
      <c r="K1545" t="s">
        <v>2661</v>
      </c>
      <c r="L1545" t="str">
        <f>E130</f>
        <v>H1a2a</v>
      </c>
      <c r="O1545">
        <v>1.3862754E7</v>
      </c>
      <c r="P1545">
        <v>1.1742048E7</v>
      </c>
      <c r="Q1545" t="s">
        <v>423</v>
      </c>
      <c r="R1545" s="5"/>
      <c r="S1545" s="5"/>
      <c r="T1545" s="5"/>
      <c r="U1545" s="5"/>
      <c r="V1545" s="5"/>
      <c r="W1545" s="5"/>
      <c r="X1545" s="5"/>
      <c r="Y1545" s="5"/>
      <c r="Z1545" s="5"/>
      <c r="AA1545" s="5"/>
      <c r="AB1545" s="5"/>
      <c r="AC1545" s="5"/>
      <c r="AD1545" s="5"/>
      <c r="AE1545" s="5"/>
      <c r="AF1545" s="5"/>
      <c r="AG1545" s="5"/>
    </row>
    <row r="1546" ht="15.75" customHeight="1">
      <c r="K1546" t="s">
        <v>2662</v>
      </c>
      <c r="L1546" t="str">
        <f>E130</f>
        <v>H1a2a</v>
      </c>
      <c r="N1546" t="s">
        <v>2663</v>
      </c>
      <c r="O1546">
        <v>1.4013176E7</v>
      </c>
      <c r="P1546">
        <v>1.189247E7</v>
      </c>
      <c r="Q1546" t="s">
        <v>435</v>
      </c>
      <c r="R1546" s="5"/>
      <c r="S1546" s="5"/>
      <c r="T1546" s="5"/>
      <c r="U1546" s="5"/>
      <c r="V1546" s="5"/>
      <c r="W1546" s="5"/>
      <c r="X1546" s="5"/>
      <c r="Y1546" s="5"/>
      <c r="Z1546" s="5"/>
      <c r="AA1546" s="5"/>
      <c r="AB1546" s="5"/>
      <c r="AC1546" s="5"/>
      <c r="AD1546" s="5"/>
      <c r="AE1546" s="5"/>
      <c r="AF1546" s="5"/>
      <c r="AG1546" s="5"/>
    </row>
    <row r="1547" ht="15.75" customHeight="1">
      <c r="K1547" t="s">
        <v>2664</v>
      </c>
      <c r="L1547" t="str">
        <f>E130</f>
        <v>H1a2a</v>
      </c>
      <c r="O1547">
        <v>1.4037006E7</v>
      </c>
      <c r="P1547">
        <v>1.19163E7</v>
      </c>
      <c r="Q1547" t="s">
        <v>423</v>
      </c>
      <c r="R1547" s="5"/>
      <c r="S1547" s="5"/>
      <c r="T1547" s="5"/>
      <c r="U1547" s="5"/>
      <c r="V1547" s="5"/>
      <c r="W1547" s="5"/>
      <c r="X1547" s="5"/>
      <c r="Y1547" s="5"/>
      <c r="Z1547" s="5"/>
      <c r="AA1547" s="5"/>
      <c r="AB1547" s="5"/>
      <c r="AC1547" s="5"/>
      <c r="AD1547" s="5"/>
      <c r="AE1547" s="5"/>
      <c r="AF1547" s="5"/>
      <c r="AG1547" s="5"/>
    </row>
    <row r="1548" ht="15.75" customHeight="1">
      <c r="K1548" t="s">
        <v>2665</v>
      </c>
      <c r="L1548" t="str">
        <f>E130</f>
        <v>H1a2a</v>
      </c>
      <c r="N1548" t="s">
        <v>2666</v>
      </c>
      <c r="O1548">
        <v>1.4102176E7</v>
      </c>
      <c r="P1548">
        <v>1.198147E7</v>
      </c>
      <c r="Q1548" t="s">
        <v>423</v>
      </c>
      <c r="R1548" s="5"/>
      <c r="S1548" s="5"/>
      <c r="T1548" s="5"/>
      <c r="U1548" s="5"/>
      <c r="V1548" s="5"/>
      <c r="W1548" s="5"/>
      <c r="X1548" s="5"/>
      <c r="Y1548" s="5"/>
      <c r="Z1548" s="5"/>
      <c r="AA1548" s="5"/>
      <c r="AB1548" s="5"/>
      <c r="AC1548" s="5"/>
      <c r="AD1548" s="5"/>
      <c r="AE1548" s="5"/>
      <c r="AF1548" s="5"/>
      <c r="AG1548" s="5"/>
    </row>
    <row r="1549" ht="15.75" customHeight="1">
      <c r="K1549" t="s">
        <v>2667</v>
      </c>
      <c r="L1549" t="str">
        <f>E130</f>
        <v>H1a2a</v>
      </c>
      <c r="N1549" t="s">
        <v>2668</v>
      </c>
      <c r="O1549">
        <v>1.4120894E7</v>
      </c>
      <c r="P1549">
        <v>1.2000188E7</v>
      </c>
      <c r="Q1549" t="s">
        <v>423</v>
      </c>
      <c r="R1549" s="5"/>
      <c r="S1549" s="5"/>
      <c r="T1549" s="5"/>
      <c r="U1549" s="5"/>
      <c r="V1549" s="5"/>
      <c r="W1549" s="5"/>
      <c r="X1549" s="5"/>
      <c r="Y1549" s="5"/>
      <c r="Z1549" s="5"/>
      <c r="AA1549" s="5"/>
      <c r="AB1549" s="5"/>
      <c r="AC1549" s="5"/>
      <c r="AD1549" s="5"/>
      <c r="AE1549" s="5"/>
      <c r="AF1549" s="5"/>
      <c r="AG1549" s="5"/>
    </row>
    <row r="1550" ht="15.75" customHeight="1">
      <c r="K1550" t="s">
        <v>2669</v>
      </c>
      <c r="L1550" t="str">
        <f>E130</f>
        <v>H1a2a</v>
      </c>
      <c r="N1550" t="s">
        <v>2670</v>
      </c>
      <c r="O1550">
        <v>1.4191475E7</v>
      </c>
      <c r="P1550">
        <v>1.2070769E7</v>
      </c>
      <c r="Q1550" t="s">
        <v>419</v>
      </c>
      <c r="R1550" s="5"/>
      <c r="S1550" s="5"/>
      <c r="T1550" s="5"/>
      <c r="U1550" s="5"/>
      <c r="V1550" s="5"/>
      <c r="W1550" s="5"/>
      <c r="X1550" s="5"/>
      <c r="Y1550" s="5"/>
      <c r="Z1550" s="5"/>
      <c r="AA1550" s="5"/>
      <c r="AB1550" s="5"/>
      <c r="AC1550" s="5"/>
      <c r="AD1550" s="5"/>
      <c r="AE1550" s="5"/>
      <c r="AF1550" s="5"/>
      <c r="AG1550" s="5"/>
    </row>
    <row r="1551" ht="15.75" customHeight="1">
      <c r="K1551" t="s">
        <v>2671</v>
      </c>
      <c r="L1551" t="str">
        <f>E130</f>
        <v>H1a2a</v>
      </c>
      <c r="N1551" t="s">
        <v>2672</v>
      </c>
      <c r="O1551">
        <v>1.420917E7</v>
      </c>
      <c r="P1551">
        <v>1.2088464E7</v>
      </c>
      <c r="Q1551" t="s">
        <v>419</v>
      </c>
      <c r="R1551" s="5"/>
      <c r="S1551" s="5"/>
      <c r="T1551" s="5"/>
      <c r="U1551" s="5"/>
      <c r="V1551" s="5"/>
      <c r="W1551" s="5"/>
      <c r="X1551" s="5"/>
      <c r="Y1551" s="5"/>
      <c r="Z1551" s="5"/>
      <c r="AA1551" s="5"/>
      <c r="AB1551" s="5"/>
      <c r="AC1551" s="5"/>
      <c r="AD1551" s="5"/>
      <c r="AE1551" s="5"/>
      <c r="AF1551" s="5"/>
      <c r="AG1551" s="5"/>
    </row>
    <row r="1552" ht="15.75" customHeight="1">
      <c r="K1552" t="s">
        <v>2673</v>
      </c>
      <c r="L1552" t="str">
        <f>E130</f>
        <v>H1a2a</v>
      </c>
      <c r="N1552" t="s">
        <v>2674</v>
      </c>
      <c r="O1552">
        <v>1.4222929E7</v>
      </c>
      <c r="P1552">
        <v>1.2102223E7</v>
      </c>
      <c r="Q1552" t="s">
        <v>419</v>
      </c>
      <c r="R1552" s="5"/>
      <c r="S1552" s="5"/>
      <c r="T1552" s="5"/>
      <c r="U1552" s="5"/>
      <c r="V1552" s="5"/>
      <c r="W1552" s="5"/>
      <c r="X1552" s="5"/>
      <c r="Y1552" s="5"/>
      <c r="Z1552" s="5"/>
      <c r="AA1552" s="5"/>
      <c r="AB1552" s="5"/>
      <c r="AC1552" s="5"/>
      <c r="AD1552" s="5"/>
      <c r="AE1552" s="5"/>
      <c r="AF1552" s="5"/>
      <c r="AG1552" s="5"/>
    </row>
    <row r="1553" ht="15.75" customHeight="1">
      <c r="K1553" t="s">
        <v>2675</v>
      </c>
      <c r="L1553" t="str">
        <f>E130</f>
        <v>H1a2a</v>
      </c>
      <c r="N1553" t="s">
        <v>2676</v>
      </c>
      <c r="O1553">
        <v>1.456343E7</v>
      </c>
      <c r="P1553">
        <v>1.245163E7</v>
      </c>
      <c r="Q1553" t="s">
        <v>427</v>
      </c>
      <c r="R1553" s="5"/>
      <c r="S1553" s="5"/>
      <c r="T1553" s="5"/>
      <c r="U1553" s="5"/>
      <c r="V1553" s="5"/>
      <c r="W1553" s="5"/>
      <c r="X1553" s="5"/>
      <c r="Y1553" s="5"/>
      <c r="Z1553" s="5"/>
      <c r="AA1553" s="5"/>
      <c r="AB1553" s="5"/>
      <c r="AC1553" s="5"/>
      <c r="AD1553" s="5"/>
      <c r="AE1553" s="5"/>
      <c r="AF1553" s="5"/>
      <c r="AG1553" s="5"/>
    </row>
    <row r="1554" ht="15.75" customHeight="1">
      <c r="K1554" t="s">
        <v>2677</v>
      </c>
      <c r="L1554" t="str">
        <f>E130</f>
        <v>H1a2a</v>
      </c>
      <c r="N1554" t="s">
        <v>2678</v>
      </c>
      <c r="O1554">
        <v>1.4755604E7</v>
      </c>
      <c r="P1554">
        <v>1.2643673E7</v>
      </c>
      <c r="Q1554" t="s">
        <v>419</v>
      </c>
      <c r="R1554" s="5"/>
      <c r="S1554" s="5"/>
      <c r="T1554" s="5"/>
      <c r="U1554" s="5"/>
      <c r="V1554" s="5"/>
      <c r="W1554" s="5"/>
      <c r="X1554" s="5"/>
      <c r="Y1554" s="5"/>
      <c r="Z1554" s="5"/>
      <c r="AA1554" s="5"/>
      <c r="AB1554" s="5"/>
      <c r="AC1554" s="5"/>
      <c r="AD1554" s="5"/>
      <c r="AE1554" s="5"/>
      <c r="AF1554" s="5"/>
      <c r="AG1554" s="5"/>
    </row>
    <row r="1555" ht="15.75" customHeight="1">
      <c r="K1555" t="s">
        <v>2679</v>
      </c>
      <c r="L1555" t="str">
        <f>E130</f>
        <v>H1a2a</v>
      </c>
      <c r="N1555" t="s">
        <v>2680</v>
      </c>
      <c r="O1555">
        <v>1.4906269E7</v>
      </c>
      <c r="P1555">
        <v>1.2794336E7</v>
      </c>
      <c r="Q1555" t="s">
        <v>423</v>
      </c>
      <c r="R1555" s="5"/>
      <c r="S1555" s="5"/>
      <c r="T1555" s="5"/>
      <c r="U1555" s="5"/>
      <c r="V1555" s="5"/>
      <c r="W1555" s="5"/>
      <c r="X1555" s="5"/>
      <c r="Y1555" s="5"/>
      <c r="Z1555" s="5"/>
      <c r="AA1555" s="5"/>
      <c r="AB1555" s="5"/>
      <c r="AC1555" s="5"/>
      <c r="AD1555" s="5"/>
      <c r="AE1555" s="5"/>
      <c r="AF1555" s="5"/>
      <c r="AG1555" s="5"/>
    </row>
    <row r="1556" ht="15.75" customHeight="1">
      <c r="K1556" t="s">
        <v>2681</v>
      </c>
      <c r="L1556" t="str">
        <f>E130</f>
        <v>H1a2a</v>
      </c>
      <c r="N1556" t="s">
        <v>2682</v>
      </c>
      <c r="O1556">
        <v>1.4942389E7</v>
      </c>
      <c r="P1556">
        <v>1.2830463E7</v>
      </c>
      <c r="Q1556" t="s">
        <v>452</v>
      </c>
      <c r="R1556" s="5"/>
      <c r="S1556" s="5"/>
      <c r="T1556" s="5"/>
      <c r="U1556" s="5"/>
      <c r="V1556" s="5"/>
      <c r="W1556" s="5"/>
      <c r="X1556" s="5"/>
      <c r="Y1556" s="5"/>
      <c r="Z1556" s="5"/>
      <c r="AA1556" s="5"/>
      <c r="AB1556" s="5"/>
      <c r="AC1556" s="5"/>
      <c r="AD1556" s="5"/>
      <c r="AE1556" s="5"/>
      <c r="AF1556" s="5"/>
      <c r="AG1556" s="5"/>
    </row>
    <row r="1557" ht="15.75" customHeight="1">
      <c r="K1557" t="s">
        <v>2683</v>
      </c>
      <c r="L1557" t="str">
        <f>E130</f>
        <v>H1a2a</v>
      </c>
      <c r="N1557" t="s">
        <v>2684</v>
      </c>
      <c r="O1557">
        <v>1.5058221E7</v>
      </c>
      <c r="P1557">
        <v>1.2946313E7</v>
      </c>
      <c r="Q1557" t="s">
        <v>423</v>
      </c>
      <c r="R1557" s="5"/>
      <c r="S1557" s="5"/>
      <c r="T1557" s="5"/>
      <c r="U1557" s="5"/>
      <c r="V1557" s="5"/>
      <c r="W1557" s="5"/>
      <c r="X1557" s="5"/>
      <c r="Y1557" s="5"/>
      <c r="Z1557" s="5"/>
      <c r="AA1557" s="5"/>
      <c r="AB1557" s="5"/>
      <c r="AC1557" s="5"/>
      <c r="AD1557" s="5"/>
      <c r="AE1557" s="5"/>
      <c r="AF1557" s="5"/>
      <c r="AG1557" s="5"/>
    </row>
    <row r="1558" ht="15.75" customHeight="1">
      <c r="K1558" t="s">
        <v>2685</v>
      </c>
      <c r="L1558" t="str">
        <f>E130</f>
        <v>H1a2a</v>
      </c>
      <c r="N1558" t="s">
        <v>2686</v>
      </c>
      <c r="O1558">
        <v>1.5135846E7</v>
      </c>
      <c r="P1558">
        <v>1.3023933E7</v>
      </c>
      <c r="Q1558" t="s">
        <v>423</v>
      </c>
      <c r="R1558" s="5"/>
      <c r="S1558" s="5"/>
      <c r="T1558" s="5"/>
      <c r="U1558" s="5"/>
      <c r="V1558" s="5"/>
      <c r="W1558" s="5"/>
      <c r="X1558" s="5"/>
      <c r="Y1558" s="5"/>
      <c r="Z1558" s="5"/>
      <c r="AA1558" s="5"/>
      <c r="AB1558" s="5"/>
      <c r="AC1558" s="5"/>
      <c r="AD1558" s="5"/>
      <c r="AE1558" s="5"/>
      <c r="AF1558" s="5"/>
      <c r="AG1558" s="5"/>
    </row>
    <row r="1559" ht="15.75" customHeight="1">
      <c r="K1559" t="s">
        <v>2687</v>
      </c>
      <c r="L1559" t="str">
        <f>E130</f>
        <v>H1a2a</v>
      </c>
      <c r="N1559" t="s">
        <v>2688</v>
      </c>
      <c r="O1559">
        <v>1.5365375E7</v>
      </c>
      <c r="P1559">
        <v>1.3253495E7</v>
      </c>
      <c r="Q1559" t="s">
        <v>476</v>
      </c>
      <c r="R1559" s="5"/>
      <c r="S1559" s="5"/>
      <c r="T1559" s="5"/>
      <c r="U1559" s="5"/>
      <c r="V1559" s="5"/>
      <c r="W1559" s="5"/>
      <c r="X1559" s="5"/>
      <c r="Y1559" s="5"/>
      <c r="Z1559" s="5"/>
      <c r="AA1559" s="5"/>
      <c r="AB1559" s="5"/>
      <c r="AC1559" s="5"/>
      <c r="AD1559" s="5"/>
      <c r="AE1559" s="5"/>
      <c r="AF1559" s="5"/>
      <c r="AG1559" s="5"/>
    </row>
    <row r="1560" ht="15.75" customHeight="1">
      <c r="K1560" t="s">
        <v>2689</v>
      </c>
      <c r="L1560" t="str">
        <f>E130</f>
        <v>H1a2a</v>
      </c>
      <c r="N1560" t="s">
        <v>2690</v>
      </c>
      <c r="O1560">
        <v>1.5368028E7</v>
      </c>
      <c r="P1560">
        <v>1.3256148E7</v>
      </c>
      <c r="Q1560" t="s">
        <v>435</v>
      </c>
      <c r="R1560" s="5"/>
      <c r="S1560" s="5"/>
      <c r="T1560" s="5"/>
      <c r="U1560" s="5"/>
      <c r="V1560" s="5"/>
      <c r="W1560" s="5"/>
      <c r="X1560" s="5"/>
      <c r="Y1560" s="5"/>
      <c r="Z1560" s="5"/>
      <c r="AA1560" s="5"/>
      <c r="AB1560" s="5"/>
      <c r="AC1560" s="5"/>
      <c r="AD1560" s="5"/>
      <c r="AE1560" s="5"/>
      <c r="AF1560" s="5"/>
      <c r="AG1560" s="5"/>
    </row>
    <row r="1561" ht="15.75" customHeight="1">
      <c r="K1561" t="s">
        <v>2691</v>
      </c>
      <c r="L1561" t="str">
        <f>E130</f>
        <v>H1a2a</v>
      </c>
      <c r="N1561" t="s">
        <v>2692</v>
      </c>
      <c r="O1561">
        <v>1.5436419E7</v>
      </c>
      <c r="P1561">
        <v>1.3324539E7</v>
      </c>
      <c r="Q1561" t="s">
        <v>431</v>
      </c>
      <c r="R1561" s="5"/>
      <c r="S1561" s="5"/>
      <c r="T1561" s="5"/>
      <c r="U1561" s="5"/>
      <c r="V1561" s="5"/>
      <c r="W1561" s="5"/>
      <c r="X1561" s="5"/>
      <c r="Y1561" s="5"/>
      <c r="Z1561" s="5"/>
      <c r="AA1561" s="5"/>
      <c r="AB1561" s="5"/>
      <c r="AC1561" s="5"/>
      <c r="AD1561" s="5"/>
      <c r="AE1561" s="5"/>
      <c r="AF1561" s="5"/>
      <c r="AG1561" s="5"/>
    </row>
    <row r="1562" ht="15.75" customHeight="1">
      <c r="K1562" t="s">
        <v>2693</v>
      </c>
      <c r="L1562" t="str">
        <f>E130</f>
        <v>H1a2a</v>
      </c>
      <c r="N1562" t="s">
        <v>2694</v>
      </c>
      <c r="O1562">
        <v>1.5473416E7</v>
      </c>
      <c r="P1562">
        <v>1.3361536E7</v>
      </c>
      <c r="Q1562" t="s">
        <v>431</v>
      </c>
      <c r="R1562" s="5"/>
      <c r="S1562" s="5"/>
      <c r="T1562" s="5"/>
      <c r="U1562" s="5"/>
      <c r="V1562" s="5"/>
      <c r="W1562" s="5"/>
      <c r="X1562" s="5"/>
      <c r="Y1562" s="5"/>
      <c r="Z1562" s="5"/>
      <c r="AA1562" s="5"/>
      <c r="AB1562" s="5"/>
      <c r="AC1562" s="5"/>
      <c r="AD1562" s="5"/>
      <c r="AE1562" s="5"/>
      <c r="AF1562" s="5"/>
      <c r="AG1562" s="5"/>
    </row>
    <row r="1563" ht="15.75" customHeight="1">
      <c r="K1563" t="s">
        <v>2695</v>
      </c>
      <c r="L1563" t="str">
        <f>E130</f>
        <v>H1a2a</v>
      </c>
      <c r="N1563" t="s">
        <v>2696</v>
      </c>
      <c r="O1563">
        <v>1.563226E7</v>
      </c>
      <c r="P1563">
        <v>1.352038E7</v>
      </c>
      <c r="Q1563" t="s">
        <v>423</v>
      </c>
      <c r="R1563" s="5"/>
      <c r="S1563" s="5"/>
      <c r="T1563" s="5"/>
      <c r="U1563" s="5"/>
      <c r="V1563" s="5"/>
      <c r="W1563" s="5"/>
      <c r="X1563" s="5"/>
      <c r="Y1563" s="5"/>
      <c r="Z1563" s="5"/>
      <c r="AA1563" s="5"/>
      <c r="AB1563" s="5"/>
      <c r="AC1563" s="5"/>
      <c r="AD1563" s="5"/>
      <c r="AE1563" s="5"/>
      <c r="AF1563" s="5"/>
      <c r="AG1563" s="5"/>
    </row>
    <row r="1564" ht="15.75" customHeight="1">
      <c r="K1564" t="s">
        <v>2697</v>
      </c>
      <c r="L1564" t="str">
        <f>E130</f>
        <v>H1a2a</v>
      </c>
      <c r="O1564">
        <v>1.5636281E7</v>
      </c>
      <c r="P1564">
        <v>1.3524401E7</v>
      </c>
      <c r="Q1564" t="s">
        <v>427</v>
      </c>
      <c r="R1564" s="5"/>
      <c r="S1564" s="5"/>
      <c r="T1564" s="5"/>
      <c r="U1564" s="5"/>
      <c r="V1564" s="5"/>
      <c r="W1564" s="5"/>
      <c r="X1564" s="5"/>
      <c r="Y1564" s="5"/>
      <c r="Z1564" s="5"/>
      <c r="AA1564" s="5"/>
      <c r="AB1564" s="5"/>
      <c r="AC1564" s="5"/>
      <c r="AD1564" s="5"/>
      <c r="AE1564" s="5"/>
      <c r="AF1564" s="5"/>
      <c r="AG1564" s="5"/>
    </row>
    <row r="1565" ht="15.75" customHeight="1">
      <c r="K1565" t="s">
        <v>2698</v>
      </c>
      <c r="L1565" t="str">
        <f>E130</f>
        <v>H1a2a</v>
      </c>
      <c r="N1565" t="s">
        <v>2699</v>
      </c>
      <c r="O1565">
        <v>1.573437E7</v>
      </c>
      <c r="P1565">
        <v>1.362249E7</v>
      </c>
      <c r="Q1565" t="s">
        <v>431</v>
      </c>
      <c r="R1565" s="5"/>
      <c r="S1565" s="5"/>
      <c r="T1565" s="5"/>
      <c r="U1565" s="5"/>
      <c r="V1565" s="5"/>
      <c r="W1565" s="5"/>
      <c r="X1565" s="5"/>
      <c r="Y1565" s="5"/>
      <c r="Z1565" s="5"/>
      <c r="AA1565" s="5"/>
      <c r="AB1565" s="5"/>
      <c r="AC1565" s="5"/>
      <c r="AD1565" s="5"/>
      <c r="AE1565" s="5"/>
      <c r="AF1565" s="5"/>
      <c r="AG1565" s="5"/>
    </row>
    <row r="1566" ht="15.75" customHeight="1">
      <c r="K1566" t="s">
        <v>2700</v>
      </c>
      <c r="L1566" t="str">
        <f>E130</f>
        <v>H1a2a</v>
      </c>
      <c r="N1566" t="s">
        <v>2701</v>
      </c>
      <c r="O1566">
        <v>1.5773909E7</v>
      </c>
      <c r="P1566">
        <v>1.3662029E7</v>
      </c>
      <c r="Q1566" t="s">
        <v>525</v>
      </c>
      <c r="R1566" s="5"/>
      <c r="S1566" s="5"/>
      <c r="T1566" s="5"/>
      <c r="U1566" s="5"/>
      <c r="V1566" s="5"/>
      <c r="W1566" s="5"/>
      <c r="X1566" s="5"/>
      <c r="Y1566" s="5"/>
      <c r="Z1566" s="5"/>
      <c r="AA1566" s="5"/>
      <c r="AB1566" s="5"/>
      <c r="AC1566" s="5"/>
      <c r="AD1566" s="5"/>
      <c r="AE1566" s="5"/>
      <c r="AF1566" s="5"/>
      <c r="AG1566" s="5"/>
    </row>
    <row r="1567" ht="15.75" customHeight="1">
      <c r="K1567" t="s">
        <v>2702</v>
      </c>
      <c r="L1567" t="str">
        <f>E130</f>
        <v>H1a2a</v>
      </c>
      <c r="N1567" t="s">
        <v>2703</v>
      </c>
      <c r="O1567">
        <v>1.5774158E7</v>
      </c>
      <c r="P1567">
        <v>1.3662278E7</v>
      </c>
      <c r="Q1567" t="s">
        <v>419</v>
      </c>
      <c r="R1567" s="5"/>
      <c r="S1567" s="5"/>
      <c r="T1567" s="5"/>
      <c r="U1567" s="5"/>
      <c r="V1567" s="5"/>
      <c r="W1567" s="5"/>
      <c r="X1567" s="5"/>
      <c r="Y1567" s="5"/>
      <c r="Z1567" s="5"/>
      <c r="AA1567" s="5"/>
      <c r="AB1567" s="5"/>
      <c r="AC1567" s="5"/>
      <c r="AD1567" s="5"/>
      <c r="AE1567" s="5"/>
      <c r="AF1567" s="5"/>
      <c r="AG1567" s="5"/>
    </row>
    <row r="1568" ht="15.75" customHeight="1">
      <c r="K1568" t="s">
        <v>2704</v>
      </c>
      <c r="L1568" t="str">
        <f>E130</f>
        <v>H1a2a</v>
      </c>
      <c r="N1568" t="s">
        <v>2705</v>
      </c>
      <c r="O1568">
        <v>1.5841019E7</v>
      </c>
      <c r="P1568">
        <v>1.3729139E7</v>
      </c>
      <c r="Q1568" t="s">
        <v>435</v>
      </c>
      <c r="R1568" s="5"/>
      <c r="S1568" s="5"/>
      <c r="T1568" s="5"/>
      <c r="U1568" s="5"/>
      <c r="V1568" s="5"/>
      <c r="W1568" s="5"/>
      <c r="X1568" s="5"/>
      <c r="Y1568" s="5"/>
      <c r="Z1568" s="5"/>
      <c r="AA1568" s="5"/>
      <c r="AB1568" s="5"/>
      <c r="AC1568" s="5"/>
      <c r="AD1568" s="5"/>
      <c r="AE1568" s="5"/>
      <c r="AF1568" s="5"/>
      <c r="AG1568" s="5"/>
    </row>
    <row r="1569" ht="15.75" customHeight="1">
      <c r="K1569" t="s">
        <v>2706</v>
      </c>
      <c r="L1569" t="str">
        <f>E130</f>
        <v>H1a2a</v>
      </c>
      <c r="N1569" t="s">
        <v>2707</v>
      </c>
      <c r="O1569">
        <v>1.6003893E7</v>
      </c>
      <c r="P1569">
        <v>1.3892013E7</v>
      </c>
      <c r="Q1569" t="s">
        <v>423</v>
      </c>
      <c r="R1569" s="5"/>
      <c r="S1569" s="5"/>
      <c r="T1569" s="5"/>
      <c r="U1569" s="5"/>
      <c r="V1569" s="5"/>
      <c r="W1569" s="5"/>
      <c r="X1569" s="5"/>
      <c r="Y1569" s="5"/>
      <c r="Z1569" s="5"/>
      <c r="AA1569" s="5"/>
      <c r="AB1569" s="5"/>
      <c r="AC1569" s="5"/>
      <c r="AD1569" s="5"/>
      <c r="AE1569" s="5"/>
      <c r="AF1569" s="5"/>
      <c r="AG1569" s="5"/>
    </row>
    <row r="1570" ht="15.75" customHeight="1">
      <c r="K1570" t="s">
        <v>2708</v>
      </c>
      <c r="L1570" t="str">
        <f>E130</f>
        <v>H1a2a</v>
      </c>
      <c r="N1570" t="s">
        <v>2709</v>
      </c>
      <c r="O1570">
        <v>1.6021949E7</v>
      </c>
      <c r="P1570">
        <v>1.3910069E7</v>
      </c>
      <c r="Q1570" t="s">
        <v>423</v>
      </c>
      <c r="R1570" s="5"/>
      <c r="S1570" s="5"/>
      <c r="T1570" s="5"/>
      <c r="U1570" s="5"/>
      <c r="V1570" s="5"/>
      <c r="W1570" s="5"/>
      <c r="X1570" s="5"/>
      <c r="Y1570" s="5"/>
      <c r="Z1570" s="5"/>
      <c r="AA1570" s="5"/>
      <c r="AB1570" s="5"/>
      <c r="AC1570" s="5"/>
      <c r="AD1570" s="5"/>
      <c r="AE1570" s="5"/>
      <c r="AF1570" s="5"/>
      <c r="AG1570" s="5"/>
    </row>
    <row r="1571" ht="15.75" customHeight="1">
      <c r="K1571" t="s">
        <v>2710</v>
      </c>
      <c r="L1571" t="str">
        <f>E130</f>
        <v>H1a2a</v>
      </c>
      <c r="O1571">
        <v>1.6184509E7</v>
      </c>
      <c r="P1571">
        <v>1.4072629E7</v>
      </c>
      <c r="Q1571" t="s">
        <v>419</v>
      </c>
      <c r="R1571" s="5"/>
      <c r="S1571" s="5"/>
      <c r="T1571" s="5"/>
      <c r="U1571" s="5"/>
      <c r="V1571" s="5"/>
      <c r="W1571" s="5"/>
      <c r="X1571" s="5"/>
      <c r="Y1571" s="5"/>
      <c r="Z1571" s="5"/>
      <c r="AA1571" s="5"/>
      <c r="AB1571" s="5"/>
      <c r="AC1571" s="5"/>
      <c r="AD1571" s="5"/>
      <c r="AE1571" s="5"/>
      <c r="AF1571" s="5"/>
      <c r="AG1571" s="5"/>
    </row>
    <row r="1572" ht="15.75" customHeight="1">
      <c r="K1572" t="s">
        <v>2711</v>
      </c>
      <c r="L1572" t="str">
        <f>E130</f>
        <v>H1a2a</v>
      </c>
      <c r="N1572" t="s">
        <v>2712</v>
      </c>
      <c r="O1572">
        <v>1.6269518E7</v>
      </c>
      <c r="P1572">
        <v>1.4157638E7</v>
      </c>
      <c r="Q1572" t="s">
        <v>435</v>
      </c>
      <c r="R1572" s="5"/>
      <c r="S1572" s="5"/>
      <c r="T1572" s="5"/>
      <c r="U1572" s="5"/>
      <c r="V1572" s="5"/>
      <c r="W1572" s="5"/>
      <c r="X1572" s="5"/>
      <c r="Y1572" s="5"/>
      <c r="Z1572" s="5"/>
      <c r="AA1572" s="5"/>
      <c r="AB1572" s="5"/>
      <c r="AC1572" s="5"/>
      <c r="AD1572" s="5"/>
      <c r="AE1572" s="5"/>
      <c r="AF1572" s="5"/>
      <c r="AG1572" s="5"/>
    </row>
    <row r="1573" ht="15.75" customHeight="1">
      <c r="K1573" t="s">
        <v>2713</v>
      </c>
      <c r="L1573" t="str">
        <f>E130</f>
        <v>H1a2a</v>
      </c>
      <c r="N1573" t="s">
        <v>2714</v>
      </c>
      <c r="O1573">
        <v>1.6322247E7</v>
      </c>
      <c r="P1573">
        <v>1.4210367E7</v>
      </c>
      <c r="Q1573" t="s">
        <v>553</v>
      </c>
      <c r="R1573" s="5"/>
      <c r="S1573" s="5"/>
      <c r="T1573" s="5"/>
      <c r="U1573" s="5"/>
      <c r="V1573" s="5"/>
      <c r="W1573" s="5"/>
      <c r="X1573" s="5"/>
      <c r="Y1573" s="5"/>
      <c r="Z1573" s="5"/>
      <c r="AA1573" s="5"/>
      <c r="AB1573" s="5"/>
      <c r="AC1573" s="5"/>
      <c r="AD1573" s="5"/>
      <c r="AE1573" s="5"/>
      <c r="AF1573" s="5"/>
      <c r="AG1573" s="5"/>
    </row>
    <row r="1574" ht="15.75" customHeight="1">
      <c r="K1574" t="s">
        <v>2715</v>
      </c>
      <c r="L1574" t="str">
        <f>E130</f>
        <v>H1a2a</v>
      </c>
      <c r="N1574" t="s">
        <v>2716</v>
      </c>
      <c r="O1574">
        <v>1.6377942E7</v>
      </c>
      <c r="P1574">
        <v>1.4266062E7</v>
      </c>
      <c r="Q1574" t="s">
        <v>435</v>
      </c>
      <c r="R1574" s="5"/>
      <c r="S1574" s="5"/>
      <c r="T1574" s="5"/>
      <c r="U1574" s="5"/>
      <c r="V1574" s="5"/>
      <c r="W1574" s="5"/>
      <c r="X1574" s="5"/>
      <c r="Y1574" s="5"/>
      <c r="Z1574" s="5"/>
      <c r="AA1574" s="5"/>
      <c r="AB1574" s="5"/>
      <c r="AC1574" s="5"/>
      <c r="AD1574" s="5"/>
      <c r="AE1574" s="5"/>
      <c r="AF1574" s="5"/>
      <c r="AG1574" s="5"/>
    </row>
    <row r="1575" ht="15.75" customHeight="1">
      <c r="K1575" t="s">
        <v>2717</v>
      </c>
      <c r="L1575" t="str">
        <f>E130</f>
        <v>H1a2a</v>
      </c>
      <c r="N1575" t="s">
        <v>2718</v>
      </c>
      <c r="O1575">
        <v>1.64329E7</v>
      </c>
      <c r="P1575">
        <v>1.432102E7</v>
      </c>
      <c r="Q1575" t="s">
        <v>459</v>
      </c>
      <c r="R1575" s="5"/>
      <c r="S1575" s="5"/>
      <c r="T1575" s="5"/>
      <c r="U1575" s="5"/>
      <c r="V1575" s="5"/>
      <c r="W1575" s="5"/>
      <c r="X1575" s="5"/>
      <c r="Y1575" s="5"/>
      <c r="Z1575" s="5"/>
      <c r="AA1575" s="5"/>
      <c r="AB1575" s="5"/>
      <c r="AC1575" s="5"/>
      <c r="AD1575" s="5"/>
      <c r="AE1575" s="5"/>
      <c r="AF1575" s="5"/>
      <c r="AG1575" s="5"/>
    </row>
    <row r="1576" ht="15.75" customHeight="1">
      <c r="K1576" t="s">
        <v>2719</v>
      </c>
      <c r="L1576" t="str">
        <f>E130</f>
        <v>H1a2a</v>
      </c>
      <c r="N1576" t="s">
        <v>2720</v>
      </c>
      <c r="O1576">
        <v>1.6571821E7</v>
      </c>
      <c r="P1576">
        <v>1.4459941E7</v>
      </c>
      <c r="Q1576" t="s">
        <v>473</v>
      </c>
      <c r="R1576" s="5"/>
      <c r="S1576" s="5"/>
      <c r="T1576" s="5"/>
      <c r="U1576" s="5"/>
      <c r="V1576" s="5"/>
      <c r="W1576" s="5"/>
      <c r="X1576" s="5"/>
      <c r="Y1576" s="5"/>
      <c r="Z1576" s="5"/>
      <c r="AA1576" s="5"/>
      <c r="AB1576" s="5"/>
      <c r="AC1576" s="5"/>
      <c r="AD1576" s="5"/>
      <c r="AE1576" s="5"/>
      <c r="AF1576" s="5"/>
      <c r="AG1576" s="5"/>
    </row>
    <row r="1577" ht="15.75" customHeight="1">
      <c r="K1577" t="s">
        <v>2721</v>
      </c>
      <c r="L1577" t="str">
        <f>E130</f>
        <v>H1a2a</v>
      </c>
      <c r="N1577" t="s">
        <v>2722</v>
      </c>
      <c r="O1577">
        <v>1.6664243E7</v>
      </c>
      <c r="P1577">
        <v>1.4552363E7</v>
      </c>
      <c r="Q1577" t="s">
        <v>431</v>
      </c>
      <c r="R1577" s="5"/>
      <c r="S1577" s="5"/>
      <c r="T1577" s="5"/>
      <c r="U1577" s="5"/>
      <c r="V1577" s="5"/>
      <c r="W1577" s="5"/>
      <c r="X1577" s="5"/>
      <c r="Y1577" s="5"/>
      <c r="Z1577" s="5"/>
      <c r="AA1577" s="5"/>
      <c r="AB1577" s="5"/>
      <c r="AC1577" s="5"/>
      <c r="AD1577" s="5"/>
      <c r="AE1577" s="5"/>
      <c r="AF1577" s="5"/>
      <c r="AG1577" s="5"/>
    </row>
    <row r="1578" ht="15.75" customHeight="1">
      <c r="K1578" t="s">
        <v>2723</v>
      </c>
      <c r="L1578" t="str">
        <f>E130</f>
        <v>H1a2a</v>
      </c>
      <c r="N1578" t="s">
        <v>2724</v>
      </c>
      <c r="O1578">
        <v>1.6870523E7</v>
      </c>
      <c r="P1578">
        <v>1.4758643E7</v>
      </c>
      <c r="Q1578" t="s">
        <v>473</v>
      </c>
      <c r="R1578" s="5"/>
      <c r="S1578" s="5"/>
      <c r="T1578" s="5"/>
      <c r="U1578" s="5"/>
      <c r="V1578" s="5"/>
      <c r="W1578" s="5"/>
      <c r="X1578" s="5"/>
      <c r="Y1578" s="5"/>
      <c r="Z1578" s="5"/>
      <c r="AA1578" s="5"/>
      <c r="AB1578" s="5"/>
      <c r="AC1578" s="5"/>
      <c r="AD1578" s="5"/>
      <c r="AE1578" s="5"/>
      <c r="AF1578" s="5"/>
      <c r="AG1578" s="5"/>
    </row>
    <row r="1579" ht="15.75" customHeight="1">
      <c r="K1579" t="s">
        <v>2725</v>
      </c>
      <c r="L1579" t="str">
        <f>E130</f>
        <v>H1a2a</v>
      </c>
      <c r="N1579" t="s">
        <v>2726</v>
      </c>
      <c r="O1579">
        <v>1.6972848E7</v>
      </c>
      <c r="P1579">
        <v>1.4860968E7</v>
      </c>
      <c r="Q1579" t="s">
        <v>452</v>
      </c>
      <c r="R1579" s="5"/>
      <c r="S1579" s="5"/>
      <c r="T1579" s="5"/>
      <c r="U1579" s="5"/>
      <c r="V1579" s="5"/>
      <c r="W1579" s="5"/>
      <c r="X1579" s="5"/>
      <c r="Y1579" s="5"/>
      <c r="Z1579" s="5"/>
      <c r="AA1579" s="5"/>
      <c r="AB1579" s="5"/>
      <c r="AC1579" s="5"/>
      <c r="AD1579" s="5"/>
      <c r="AE1579" s="5"/>
      <c r="AF1579" s="5"/>
      <c r="AG1579" s="5"/>
    </row>
    <row r="1580" ht="15.75" customHeight="1">
      <c r="K1580" t="s">
        <v>2727</v>
      </c>
      <c r="L1580" t="str">
        <f>E130</f>
        <v>H1a2a</v>
      </c>
      <c r="N1580" t="s">
        <v>2728</v>
      </c>
      <c r="O1580">
        <v>1.7084345E7</v>
      </c>
      <c r="P1580">
        <v>1.4972465E7</v>
      </c>
      <c r="Q1580" t="s">
        <v>473</v>
      </c>
      <c r="R1580" s="5"/>
      <c r="S1580" s="5"/>
      <c r="T1580" s="5"/>
      <c r="U1580" s="5"/>
      <c r="V1580" s="5"/>
      <c r="W1580" s="5"/>
      <c r="X1580" s="5"/>
      <c r="Y1580" s="5"/>
      <c r="Z1580" s="5"/>
      <c r="AA1580" s="5"/>
      <c r="AB1580" s="5"/>
      <c r="AC1580" s="5"/>
      <c r="AD1580" s="5"/>
      <c r="AE1580" s="5"/>
      <c r="AF1580" s="5"/>
      <c r="AG1580" s="5"/>
    </row>
    <row r="1581" ht="15.75" customHeight="1">
      <c r="K1581" t="s">
        <v>2729</v>
      </c>
      <c r="L1581" t="str">
        <f>E130</f>
        <v>H1a2a</v>
      </c>
      <c r="N1581" t="s">
        <v>2730</v>
      </c>
      <c r="O1581">
        <v>1.7084395E7</v>
      </c>
      <c r="P1581">
        <v>1.4972515E7</v>
      </c>
      <c r="Q1581" t="s">
        <v>423</v>
      </c>
      <c r="R1581" s="5"/>
      <c r="S1581" s="5"/>
      <c r="T1581" s="5"/>
      <c r="U1581" s="5"/>
      <c r="V1581" s="5"/>
      <c r="W1581" s="5"/>
      <c r="X1581" s="5"/>
      <c r="Y1581" s="5"/>
      <c r="Z1581" s="5"/>
      <c r="AA1581" s="5"/>
      <c r="AB1581" s="5"/>
      <c r="AC1581" s="5"/>
      <c r="AD1581" s="5"/>
      <c r="AE1581" s="5"/>
      <c r="AF1581" s="5"/>
      <c r="AG1581" s="5"/>
    </row>
    <row r="1582" ht="15.75" customHeight="1">
      <c r="K1582" t="s">
        <v>2731</v>
      </c>
      <c r="L1582" t="str">
        <f>E130</f>
        <v>H1a2a</v>
      </c>
      <c r="N1582" t="s">
        <v>2732</v>
      </c>
      <c r="O1582">
        <v>1.7091949E7</v>
      </c>
      <c r="P1582">
        <v>1.4980069E7</v>
      </c>
      <c r="Q1582" t="s">
        <v>423</v>
      </c>
      <c r="R1582" s="5"/>
      <c r="S1582" s="5"/>
      <c r="T1582" s="5"/>
      <c r="U1582" s="5"/>
      <c r="V1582" s="5"/>
      <c r="W1582" s="5"/>
      <c r="X1582" s="5"/>
      <c r="Y1582" s="5"/>
      <c r="Z1582" s="5"/>
      <c r="AA1582" s="5"/>
      <c r="AB1582" s="5"/>
      <c r="AC1582" s="5"/>
      <c r="AD1582" s="5"/>
      <c r="AE1582" s="5"/>
      <c r="AF1582" s="5"/>
      <c r="AG1582" s="5"/>
    </row>
    <row r="1583" ht="15.75" customHeight="1">
      <c r="K1583" t="s">
        <v>2733</v>
      </c>
      <c r="L1583" t="str">
        <f>E130</f>
        <v>H1a2a</v>
      </c>
      <c r="N1583" t="s">
        <v>2734</v>
      </c>
      <c r="O1583">
        <v>1.7129345E7</v>
      </c>
      <c r="P1583">
        <v>1.5017465E7</v>
      </c>
      <c r="Q1583" t="s">
        <v>435</v>
      </c>
      <c r="R1583" s="5"/>
      <c r="S1583" s="5"/>
      <c r="T1583" s="5"/>
      <c r="U1583" s="5"/>
      <c r="V1583" s="5"/>
      <c r="W1583" s="5"/>
      <c r="X1583" s="5"/>
      <c r="Y1583" s="5"/>
      <c r="Z1583" s="5"/>
      <c r="AA1583" s="5"/>
      <c r="AB1583" s="5"/>
      <c r="AC1583" s="5"/>
      <c r="AD1583" s="5"/>
      <c r="AE1583" s="5"/>
      <c r="AF1583" s="5"/>
      <c r="AG1583" s="5"/>
    </row>
    <row r="1584" ht="15.75" customHeight="1">
      <c r="K1584" t="s">
        <v>2735</v>
      </c>
      <c r="L1584" t="str">
        <f>E130</f>
        <v>H1a2a</v>
      </c>
      <c r="N1584" t="s">
        <v>2736</v>
      </c>
      <c r="O1584">
        <v>1.7274034E7</v>
      </c>
      <c r="P1584">
        <v>1.5162154E7</v>
      </c>
      <c r="Q1584" t="s">
        <v>459</v>
      </c>
      <c r="R1584" s="5"/>
      <c r="S1584" s="5"/>
      <c r="T1584" s="5"/>
      <c r="U1584" s="5"/>
      <c r="V1584" s="5"/>
      <c r="W1584" s="5"/>
      <c r="X1584" s="5"/>
      <c r="Y1584" s="5"/>
      <c r="Z1584" s="5"/>
      <c r="AA1584" s="5"/>
      <c r="AB1584" s="5"/>
      <c r="AC1584" s="5"/>
      <c r="AD1584" s="5"/>
      <c r="AE1584" s="5"/>
      <c r="AF1584" s="5"/>
      <c r="AG1584" s="5"/>
    </row>
    <row r="1585" ht="15.75" customHeight="1">
      <c r="K1585" t="s">
        <v>2737</v>
      </c>
      <c r="L1585" t="str">
        <f>E130</f>
        <v>H1a2a</v>
      </c>
      <c r="N1585" t="s">
        <v>2738</v>
      </c>
      <c r="O1585">
        <v>1.7326174E7</v>
      </c>
      <c r="P1585">
        <v>1.5214294E7</v>
      </c>
      <c r="Q1585" t="s">
        <v>419</v>
      </c>
      <c r="R1585" s="5"/>
      <c r="S1585" s="5"/>
      <c r="T1585" s="5"/>
      <c r="U1585" s="5"/>
      <c r="V1585" s="5"/>
      <c r="W1585" s="5"/>
      <c r="X1585" s="5"/>
      <c r="Y1585" s="5"/>
      <c r="Z1585" s="5"/>
      <c r="AA1585" s="5"/>
      <c r="AB1585" s="5"/>
      <c r="AC1585" s="5"/>
      <c r="AD1585" s="5"/>
      <c r="AE1585" s="5"/>
      <c r="AF1585" s="5"/>
      <c r="AG1585" s="5"/>
    </row>
    <row r="1586" ht="15.75" customHeight="1">
      <c r="K1586" t="s">
        <v>2739</v>
      </c>
      <c r="L1586" t="str">
        <f>E130</f>
        <v>H1a2a</v>
      </c>
      <c r="N1586" t="s">
        <v>2740</v>
      </c>
      <c r="O1586">
        <v>1.7370394E7</v>
      </c>
      <c r="P1586">
        <v>1.5258514E7</v>
      </c>
      <c r="Q1586" t="s">
        <v>431</v>
      </c>
      <c r="R1586" s="5"/>
      <c r="S1586" s="5"/>
      <c r="T1586" s="5"/>
      <c r="U1586" s="5"/>
      <c r="V1586" s="5"/>
      <c r="W1586" s="5"/>
      <c r="X1586" s="5"/>
      <c r="Y1586" s="5"/>
      <c r="Z1586" s="5"/>
      <c r="AA1586" s="5"/>
      <c r="AB1586" s="5"/>
      <c r="AC1586" s="5"/>
      <c r="AD1586" s="5"/>
      <c r="AE1586" s="5"/>
      <c r="AF1586" s="5"/>
      <c r="AG1586" s="5"/>
    </row>
    <row r="1587" ht="15.75" customHeight="1">
      <c r="K1587" t="s">
        <v>2741</v>
      </c>
      <c r="L1587" t="str">
        <f>E130</f>
        <v>H1a2a</v>
      </c>
      <c r="N1587" t="s">
        <v>2742</v>
      </c>
      <c r="O1587">
        <v>1.7374324E7</v>
      </c>
      <c r="P1587">
        <v>1.5262444E7</v>
      </c>
      <c r="Q1587" t="s">
        <v>419</v>
      </c>
      <c r="R1587" s="5"/>
      <c r="S1587" s="5"/>
      <c r="T1587" s="5"/>
      <c r="U1587" s="5"/>
      <c r="V1587" s="5"/>
      <c r="W1587" s="5"/>
      <c r="X1587" s="5"/>
      <c r="Y1587" s="5"/>
      <c r="Z1587" s="5"/>
      <c r="AA1587" s="5"/>
      <c r="AB1587" s="5"/>
      <c r="AC1587" s="5"/>
      <c r="AD1587" s="5"/>
      <c r="AE1587" s="5"/>
      <c r="AF1587" s="5"/>
      <c r="AG1587" s="5"/>
    </row>
    <row r="1588" ht="15.75" customHeight="1">
      <c r="K1588" t="s">
        <v>2743</v>
      </c>
      <c r="L1588" t="str">
        <f>E130</f>
        <v>H1a2a</v>
      </c>
      <c r="N1588" t="s">
        <v>2744</v>
      </c>
      <c r="O1588">
        <v>1.7408227E7</v>
      </c>
      <c r="P1588">
        <v>1.5296347E7</v>
      </c>
      <c r="Q1588" t="s">
        <v>419</v>
      </c>
      <c r="R1588" s="5"/>
      <c r="S1588" s="5"/>
      <c r="T1588" s="5"/>
      <c r="U1588" s="5"/>
      <c r="V1588" s="5"/>
      <c r="W1588" s="5"/>
      <c r="X1588" s="5"/>
      <c r="Y1588" s="5"/>
      <c r="Z1588" s="5"/>
      <c r="AA1588" s="5"/>
      <c r="AB1588" s="5"/>
      <c r="AC1588" s="5"/>
      <c r="AD1588" s="5"/>
      <c r="AE1588" s="5"/>
      <c r="AF1588" s="5"/>
      <c r="AG1588" s="5"/>
    </row>
    <row r="1589" ht="15.75" customHeight="1">
      <c r="K1589" t="s">
        <v>2745</v>
      </c>
      <c r="L1589" t="str">
        <f>E130</f>
        <v>H1a2a</v>
      </c>
      <c r="N1589" t="s">
        <v>2746</v>
      </c>
      <c r="O1589">
        <v>1.7417772E7</v>
      </c>
      <c r="P1589">
        <v>1.5305892E7</v>
      </c>
      <c r="Q1589" t="s">
        <v>476</v>
      </c>
      <c r="R1589" s="5"/>
      <c r="S1589" s="5"/>
      <c r="T1589" s="5"/>
      <c r="U1589" s="5"/>
      <c r="V1589" s="5"/>
      <c r="W1589" s="5"/>
      <c r="X1589" s="5"/>
      <c r="Y1589" s="5"/>
      <c r="Z1589" s="5"/>
      <c r="AA1589" s="5"/>
      <c r="AB1589" s="5"/>
      <c r="AC1589" s="5"/>
      <c r="AD1589" s="5"/>
      <c r="AE1589" s="5"/>
      <c r="AF1589" s="5"/>
      <c r="AG1589" s="5"/>
    </row>
    <row r="1590" ht="15.75" customHeight="1">
      <c r="K1590" t="s">
        <v>2747</v>
      </c>
      <c r="L1590" t="str">
        <f>E130</f>
        <v>H1a2a</v>
      </c>
      <c r="N1590" t="s">
        <v>2748</v>
      </c>
      <c r="O1590">
        <v>1.7475624E7</v>
      </c>
      <c r="P1590">
        <v>1.5363744E7</v>
      </c>
      <c r="Q1590" t="s">
        <v>435</v>
      </c>
      <c r="R1590" s="5"/>
      <c r="S1590" s="5"/>
      <c r="T1590" s="5"/>
      <c r="U1590" s="5"/>
      <c r="V1590" s="5"/>
      <c r="W1590" s="5"/>
      <c r="X1590" s="5"/>
      <c r="Y1590" s="5"/>
      <c r="Z1590" s="5"/>
      <c r="AA1590" s="5"/>
      <c r="AB1590" s="5"/>
      <c r="AC1590" s="5"/>
      <c r="AD1590" s="5"/>
      <c r="AE1590" s="5"/>
      <c r="AF1590" s="5"/>
      <c r="AG1590" s="5"/>
    </row>
    <row r="1591" ht="15.75" customHeight="1">
      <c r="K1591" t="s">
        <v>2749</v>
      </c>
      <c r="L1591" t="str">
        <f>E130</f>
        <v>H1a2a</v>
      </c>
      <c r="N1591" t="s">
        <v>2750</v>
      </c>
      <c r="O1591">
        <v>1.7547934E7</v>
      </c>
      <c r="P1591">
        <v>1.5436054E7</v>
      </c>
      <c r="Q1591" t="s">
        <v>419</v>
      </c>
      <c r="R1591" s="5"/>
      <c r="S1591" s="5"/>
      <c r="T1591" s="5"/>
      <c r="U1591" s="5"/>
      <c r="V1591" s="5"/>
      <c r="W1591" s="5"/>
      <c r="X1591" s="5"/>
      <c r="Y1591" s="5"/>
      <c r="Z1591" s="5"/>
      <c r="AA1591" s="5"/>
      <c r="AB1591" s="5"/>
      <c r="AC1591" s="5"/>
      <c r="AD1591" s="5"/>
      <c r="AE1591" s="5"/>
      <c r="AF1591" s="5"/>
      <c r="AG1591" s="5"/>
    </row>
    <row r="1592" ht="15.75" customHeight="1">
      <c r="K1592" t="s">
        <v>2751</v>
      </c>
      <c r="L1592" t="str">
        <f>E130</f>
        <v>H1a2a</v>
      </c>
      <c r="N1592" t="s">
        <v>2752</v>
      </c>
      <c r="O1592">
        <v>1.7590408E7</v>
      </c>
      <c r="P1592">
        <v>1.5478528E7</v>
      </c>
      <c r="Q1592" t="s">
        <v>525</v>
      </c>
      <c r="R1592" s="5"/>
      <c r="S1592" s="5"/>
      <c r="T1592" s="5"/>
      <c r="U1592" s="5"/>
      <c r="V1592" s="5"/>
      <c r="W1592" s="5"/>
      <c r="X1592" s="5"/>
      <c r="Y1592" s="5"/>
      <c r="Z1592" s="5"/>
      <c r="AA1592" s="5"/>
      <c r="AB1592" s="5"/>
      <c r="AC1592" s="5"/>
      <c r="AD1592" s="5"/>
      <c r="AE1592" s="5"/>
      <c r="AF1592" s="5"/>
      <c r="AG1592" s="5"/>
    </row>
    <row r="1593" ht="15.75" customHeight="1">
      <c r="K1593" t="s">
        <v>2753</v>
      </c>
      <c r="L1593" t="str">
        <f>E130</f>
        <v>H1a2a</v>
      </c>
      <c r="N1593" t="s">
        <v>2754</v>
      </c>
      <c r="O1593">
        <v>1.7740978E7</v>
      </c>
      <c r="P1593">
        <v>1.5629098E7</v>
      </c>
      <c r="Q1593" t="s">
        <v>525</v>
      </c>
      <c r="R1593" s="5"/>
      <c r="S1593" s="5"/>
      <c r="T1593" s="5"/>
      <c r="U1593" s="5"/>
      <c r="V1593" s="5"/>
      <c r="W1593" s="5"/>
      <c r="X1593" s="5"/>
      <c r="Y1593" s="5"/>
      <c r="Z1593" s="5"/>
      <c r="AA1593" s="5"/>
      <c r="AB1593" s="5"/>
      <c r="AC1593" s="5"/>
      <c r="AD1593" s="5"/>
      <c r="AE1593" s="5"/>
      <c r="AF1593" s="5"/>
      <c r="AG1593" s="5"/>
    </row>
    <row r="1594" ht="15.75" customHeight="1">
      <c r="K1594" t="s">
        <v>2755</v>
      </c>
      <c r="L1594" t="str">
        <f>E130</f>
        <v>H1a2a</v>
      </c>
      <c r="O1594">
        <v>1.781356E7</v>
      </c>
      <c r="P1594">
        <v>1.570168E7</v>
      </c>
      <c r="Q1594" t="s">
        <v>423</v>
      </c>
      <c r="R1594" s="5"/>
      <c r="S1594" s="5"/>
      <c r="T1594" s="5"/>
      <c r="U1594" s="5"/>
      <c r="V1594" s="5"/>
      <c r="W1594" s="5"/>
      <c r="X1594" s="5"/>
      <c r="Y1594" s="5"/>
      <c r="Z1594" s="5"/>
      <c r="AA1594" s="5"/>
      <c r="AB1594" s="5"/>
      <c r="AC1594" s="5"/>
      <c r="AD1594" s="5"/>
      <c r="AE1594" s="5"/>
      <c r="AF1594" s="5"/>
      <c r="AG1594" s="5"/>
    </row>
    <row r="1595" ht="15.75" customHeight="1">
      <c r="K1595" t="s">
        <v>2756</v>
      </c>
      <c r="L1595" t="str">
        <f>E130</f>
        <v>H1a2a</v>
      </c>
      <c r="N1595" t="s">
        <v>2757</v>
      </c>
      <c r="O1595">
        <v>1.7854928E7</v>
      </c>
      <c r="P1595">
        <v>1.5743048E7</v>
      </c>
      <c r="Q1595" t="s">
        <v>423</v>
      </c>
      <c r="R1595" s="5"/>
      <c r="S1595" s="5"/>
      <c r="T1595" s="5"/>
      <c r="U1595" s="5"/>
      <c r="V1595" s="5"/>
      <c r="W1595" s="5"/>
      <c r="X1595" s="5"/>
      <c r="Y1595" s="5"/>
      <c r="Z1595" s="5"/>
      <c r="AA1595" s="5"/>
      <c r="AB1595" s="5"/>
      <c r="AC1595" s="5"/>
      <c r="AD1595" s="5"/>
      <c r="AE1595" s="5"/>
      <c r="AF1595" s="5"/>
      <c r="AG1595" s="5"/>
    </row>
    <row r="1596" ht="15.75" customHeight="1">
      <c r="K1596" t="s">
        <v>2758</v>
      </c>
      <c r="L1596" t="str">
        <f>E130</f>
        <v>H1a2a</v>
      </c>
      <c r="N1596" t="s">
        <v>2759</v>
      </c>
      <c r="O1596">
        <v>1.7870609E7</v>
      </c>
      <c r="P1596">
        <v>1.5758729E7</v>
      </c>
      <c r="Q1596" t="s">
        <v>473</v>
      </c>
      <c r="R1596" s="5"/>
      <c r="S1596" s="5"/>
      <c r="T1596" s="5"/>
      <c r="U1596" s="5"/>
      <c r="V1596" s="5"/>
      <c r="W1596" s="5"/>
      <c r="X1596" s="5"/>
      <c r="Y1596" s="5"/>
      <c r="Z1596" s="5"/>
      <c r="AA1596" s="5"/>
      <c r="AB1596" s="5"/>
      <c r="AC1596" s="5"/>
      <c r="AD1596" s="5"/>
      <c r="AE1596" s="5"/>
      <c r="AF1596" s="5"/>
      <c r="AG1596" s="5"/>
    </row>
    <row r="1597" ht="15.75" customHeight="1">
      <c r="K1597" t="s">
        <v>2760</v>
      </c>
      <c r="L1597" t="str">
        <f>E130</f>
        <v>H1a2a</v>
      </c>
      <c r="N1597" t="s">
        <v>2761</v>
      </c>
      <c r="O1597">
        <v>1.7891614E7</v>
      </c>
      <c r="P1597">
        <v>1.5779734E7</v>
      </c>
      <c r="Q1597" t="s">
        <v>525</v>
      </c>
      <c r="R1597" s="5"/>
      <c r="S1597" s="5"/>
      <c r="T1597" s="5"/>
      <c r="U1597" s="5"/>
      <c r="V1597" s="5"/>
      <c r="W1597" s="5"/>
      <c r="X1597" s="5"/>
      <c r="Y1597" s="5"/>
      <c r="Z1597" s="5"/>
      <c r="AA1597" s="5"/>
      <c r="AB1597" s="5"/>
      <c r="AC1597" s="5"/>
      <c r="AD1597" s="5"/>
      <c r="AE1597" s="5"/>
      <c r="AF1597" s="5"/>
      <c r="AG1597" s="5"/>
    </row>
    <row r="1598" ht="15.75" customHeight="1">
      <c r="K1598" t="s">
        <v>2762</v>
      </c>
      <c r="L1598" t="str">
        <f>E130</f>
        <v>H1a2a</v>
      </c>
      <c r="N1598" t="s">
        <v>2763</v>
      </c>
      <c r="O1598">
        <v>1.7902879E7</v>
      </c>
      <c r="P1598">
        <v>1.5790999E7</v>
      </c>
      <c r="Q1598" t="s">
        <v>419</v>
      </c>
      <c r="R1598" s="5"/>
      <c r="S1598" s="5"/>
      <c r="T1598" s="5"/>
      <c r="U1598" s="5"/>
      <c r="V1598" s="5"/>
      <c r="W1598" s="5"/>
      <c r="X1598" s="5"/>
      <c r="Y1598" s="5"/>
      <c r="Z1598" s="5"/>
      <c r="AA1598" s="5"/>
      <c r="AB1598" s="5"/>
      <c r="AC1598" s="5"/>
      <c r="AD1598" s="5"/>
      <c r="AE1598" s="5"/>
      <c r="AF1598" s="5"/>
      <c r="AG1598" s="5"/>
    </row>
    <row r="1599" ht="15.75" customHeight="1">
      <c r="K1599" t="s">
        <v>2764</v>
      </c>
      <c r="L1599" t="str">
        <f>E130</f>
        <v>H1a2a</v>
      </c>
      <c r="N1599" t="s">
        <v>2765</v>
      </c>
      <c r="O1599">
        <v>1.7911767E7</v>
      </c>
      <c r="P1599">
        <v>1.5799887E7</v>
      </c>
      <c r="Q1599" t="s">
        <v>473</v>
      </c>
      <c r="R1599" s="5"/>
      <c r="S1599" s="5"/>
      <c r="T1599" s="5"/>
      <c r="U1599" s="5"/>
      <c r="V1599" s="5"/>
      <c r="W1599" s="5"/>
      <c r="X1599" s="5"/>
      <c r="Y1599" s="5"/>
      <c r="Z1599" s="5"/>
      <c r="AA1599" s="5"/>
      <c r="AB1599" s="5"/>
      <c r="AC1599" s="5"/>
      <c r="AD1599" s="5"/>
      <c r="AE1599" s="5"/>
      <c r="AF1599" s="5"/>
      <c r="AG1599" s="5"/>
    </row>
    <row r="1600" ht="15.75" customHeight="1">
      <c r="K1600" t="s">
        <v>2766</v>
      </c>
      <c r="L1600" t="str">
        <f>E130</f>
        <v>H1a2a</v>
      </c>
      <c r="N1600" t="s">
        <v>2767</v>
      </c>
      <c r="O1600">
        <v>1.806177E7</v>
      </c>
      <c r="P1600">
        <v>1.594989E7</v>
      </c>
      <c r="Q1600" t="s">
        <v>431</v>
      </c>
      <c r="R1600" s="5"/>
      <c r="S1600" s="5"/>
      <c r="T1600" s="5"/>
      <c r="U1600" s="5"/>
      <c r="V1600" s="5"/>
      <c r="W1600" s="5"/>
      <c r="X1600" s="5"/>
      <c r="Y1600" s="5"/>
      <c r="Z1600" s="5"/>
      <c r="AA1600" s="5"/>
      <c r="AB1600" s="5"/>
      <c r="AC1600" s="5"/>
      <c r="AD1600" s="5"/>
      <c r="AE1600" s="5"/>
      <c r="AF1600" s="5"/>
      <c r="AG1600" s="5"/>
    </row>
    <row r="1601" ht="15.75" customHeight="1">
      <c r="K1601" t="s">
        <v>2768</v>
      </c>
      <c r="L1601" t="str">
        <f>E130</f>
        <v>H1a2a</v>
      </c>
      <c r="N1601" t="s">
        <v>2769</v>
      </c>
      <c r="O1601">
        <v>1.8255524E7</v>
      </c>
      <c r="P1601">
        <v>1.6143644E7</v>
      </c>
      <c r="Q1601" t="s">
        <v>419</v>
      </c>
      <c r="R1601" s="5"/>
      <c r="S1601" s="5"/>
      <c r="T1601" s="5"/>
      <c r="U1601" s="5"/>
      <c r="V1601" s="5"/>
      <c r="W1601" s="5"/>
      <c r="X1601" s="5"/>
      <c r="Y1601" s="5"/>
      <c r="Z1601" s="5"/>
      <c r="AA1601" s="5"/>
      <c r="AB1601" s="5"/>
      <c r="AC1601" s="5"/>
      <c r="AD1601" s="5"/>
      <c r="AE1601" s="5"/>
      <c r="AF1601" s="5"/>
      <c r="AG1601" s="5"/>
    </row>
    <row r="1602" ht="15.75" customHeight="1">
      <c r="K1602" t="s">
        <v>2770</v>
      </c>
      <c r="L1602" t="str">
        <f>E130</f>
        <v>H1a2a</v>
      </c>
      <c r="N1602" t="s">
        <v>2771</v>
      </c>
      <c r="O1602">
        <v>1.8589562E7</v>
      </c>
      <c r="P1602">
        <v>1.6477682E7</v>
      </c>
      <c r="Q1602" t="s">
        <v>419</v>
      </c>
      <c r="R1602" s="5"/>
      <c r="S1602" s="5"/>
      <c r="T1602" s="5"/>
      <c r="U1602" s="5"/>
      <c r="V1602" s="5"/>
      <c r="W1602" s="5"/>
      <c r="X1602" s="5"/>
      <c r="Y1602" s="5"/>
      <c r="Z1602" s="5"/>
      <c r="AA1602" s="5"/>
      <c r="AB1602" s="5"/>
      <c r="AC1602" s="5"/>
      <c r="AD1602" s="5"/>
      <c r="AE1602" s="5"/>
      <c r="AF1602" s="5"/>
      <c r="AG1602" s="5"/>
    </row>
    <row r="1603" ht="15.75" customHeight="1">
      <c r="K1603" t="s">
        <v>2772</v>
      </c>
      <c r="L1603" t="str">
        <f>E130</f>
        <v>H1a2a</v>
      </c>
      <c r="N1603" t="s">
        <v>2773</v>
      </c>
      <c r="O1603">
        <v>1.8652318E7</v>
      </c>
      <c r="P1603">
        <v>1.6540438E7</v>
      </c>
      <c r="Q1603" t="s">
        <v>419</v>
      </c>
      <c r="R1603" s="5"/>
      <c r="S1603" s="5"/>
      <c r="T1603" s="5"/>
      <c r="U1603" s="5"/>
      <c r="V1603" s="5"/>
      <c r="W1603" s="5"/>
      <c r="X1603" s="5"/>
      <c r="Y1603" s="5"/>
      <c r="Z1603" s="5"/>
      <c r="AA1603" s="5"/>
      <c r="AB1603" s="5"/>
      <c r="AC1603" s="5"/>
      <c r="AD1603" s="5"/>
      <c r="AE1603" s="5"/>
      <c r="AF1603" s="5"/>
      <c r="AG1603" s="5"/>
    </row>
    <row r="1604" ht="15.75" customHeight="1">
      <c r="K1604" t="s">
        <v>2774</v>
      </c>
      <c r="L1604" t="str">
        <f>E130</f>
        <v>H1a2a</v>
      </c>
      <c r="N1604" t="s">
        <v>2775</v>
      </c>
      <c r="O1604">
        <v>1.8853546E7</v>
      </c>
      <c r="P1604">
        <v>1.6741666E7</v>
      </c>
      <c r="Q1604" t="s">
        <v>476</v>
      </c>
      <c r="R1604" s="5"/>
      <c r="S1604" s="5"/>
      <c r="T1604" s="5"/>
      <c r="U1604" s="5"/>
      <c r="V1604" s="5"/>
      <c r="W1604" s="5"/>
      <c r="X1604" s="5"/>
      <c r="Y1604" s="5"/>
      <c r="Z1604" s="5"/>
      <c r="AA1604" s="5"/>
      <c r="AB1604" s="5"/>
      <c r="AC1604" s="5"/>
      <c r="AD1604" s="5"/>
      <c r="AE1604" s="5"/>
      <c r="AF1604" s="5"/>
      <c r="AG1604" s="5"/>
    </row>
    <row r="1605" ht="15.75" customHeight="1">
      <c r="K1605" t="s">
        <v>2776</v>
      </c>
      <c r="L1605" t="str">
        <f>E130</f>
        <v>H1a2a</v>
      </c>
      <c r="N1605" t="s">
        <v>2777</v>
      </c>
      <c r="O1605">
        <v>1.8856306E7</v>
      </c>
      <c r="P1605">
        <v>1.6744426E7</v>
      </c>
      <c r="Q1605" t="s">
        <v>435</v>
      </c>
      <c r="R1605" s="5"/>
      <c r="S1605" s="5"/>
      <c r="T1605" s="5"/>
      <c r="U1605" s="5"/>
      <c r="V1605" s="5"/>
      <c r="W1605" s="5"/>
      <c r="X1605" s="5"/>
      <c r="Y1605" s="5"/>
      <c r="Z1605" s="5"/>
      <c r="AA1605" s="5"/>
      <c r="AB1605" s="5"/>
      <c r="AC1605" s="5"/>
      <c r="AD1605" s="5"/>
      <c r="AE1605" s="5"/>
      <c r="AF1605" s="5"/>
      <c r="AG1605" s="5"/>
    </row>
    <row r="1606" ht="15.75" customHeight="1">
      <c r="K1606" t="s">
        <v>2778</v>
      </c>
      <c r="L1606" t="str">
        <f>E130</f>
        <v>H1a2a</v>
      </c>
      <c r="N1606" t="s">
        <v>2779</v>
      </c>
      <c r="O1606">
        <v>1.88961E7</v>
      </c>
      <c r="P1606">
        <v>1.678422E7</v>
      </c>
      <c r="Q1606" t="s">
        <v>473</v>
      </c>
      <c r="R1606" s="5"/>
      <c r="S1606" s="5"/>
      <c r="T1606" s="5"/>
      <c r="U1606" s="5"/>
      <c r="V1606" s="5"/>
      <c r="W1606" s="5"/>
      <c r="X1606" s="5"/>
      <c r="Y1606" s="5"/>
      <c r="Z1606" s="5"/>
      <c r="AA1606" s="5"/>
      <c r="AB1606" s="5"/>
      <c r="AC1606" s="5"/>
      <c r="AD1606" s="5"/>
      <c r="AE1606" s="5"/>
      <c r="AF1606" s="5"/>
      <c r="AG1606" s="5"/>
    </row>
    <row r="1607" ht="15.75" customHeight="1">
      <c r="K1607" t="s">
        <v>2780</v>
      </c>
      <c r="L1607" t="str">
        <f>E130</f>
        <v>H1a2a</v>
      </c>
      <c r="N1607" t="s">
        <v>2781</v>
      </c>
      <c r="O1607">
        <v>1.8912198E7</v>
      </c>
      <c r="P1607">
        <v>1.6800318E7</v>
      </c>
      <c r="Q1607" t="s">
        <v>525</v>
      </c>
      <c r="R1607" s="5"/>
      <c r="S1607" s="5"/>
      <c r="T1607" s="5"/>
      <c r="U1607" s="5"/>
      <c r="V1607" s="5"/>
      <c r="W1607" s="5"/>
      <c r="X1607" s="5"/>
      <c r="Y1607" s="5"/>
      <c r="Z1607" s="5"/>
      <c r="AA1607" s="5"/>
      <c r="AB1607" s="5"/>
      <c r="AC1607" s="5"/>
      <c r="AD1607" s="5"/>
      <c r="AE1607" s="5"/>
      <c r="AF1607" s="5"/>
      <c r="AG1607" s="5"/>
    </row>
    <row r="1608" ht="15.75" customHeight="1">
      <c r="K1608" t="s">
        <v>2782</v>
      </c>
      <c r="L1608" t="str">
        <f>E130</f>
        <v>H1a2a</v>
      </c>
      <c r="N1608" t="s">
        <v>2783</v>
      </c>
      <c r="O1608">
        <v>1.8944288E7</v>
      </c>
      <c r="P1608">
        <v>1.6832408E7</v>
      </c>
      <c r="Q1608" t="s">
        <v>473</v>
      </c>
      <c r="R1608" s="5"/>
      <c r="S1608" s="5"/>
      <c r="T1608" s="5"/>
      <c r="U1608" s="5"/>
      <c r="V1608" s="5"/>
      <c r="W1608" s="5"/>
      <c r="X1608" s="5"/>
      <c r="Y1608" s="5"/>
      <c r="Z1608" s="5"/>
      <c r="AA1608" s="5"/>
      <c r="AB1608" s="5"/>
      <c r="AC1608" s="5"/>
      <c r="AD1608" s="5"/>
      <c r="AE1608" s="5"/>
      <c r="AF1608" s="5"/>
      <c r="AG1608" s="5"/>
    </row>
    <row r="1609" ht="15.75" customHeight="1">
      <c r="K1609" t="s">
        <v>2784</v>
      </c>
      <c r="L1609" t="str">
        <f>E130</f>
        <v>H1a2a</v>
      </c>
      <c r="O1609">
        <v>1.8974495E7</v>
      </c>
      <c r="P1609">
        <v>1.6862615E7</v>
      </c>
      <c r="Q1609" t="s">
        <v>435</v>
      </c>
      <c r="R1609" s="5"/>
      <c r="S1609" s="5"/>
      <c r="T1609" s="5"/>
      <c r="U1609" s="5"/>
      <c r="V1609" s="5"/>
      <c r="W1609" s="5"/>
      <c r="X1609" s="5"/>
      <c r="Y1609" s="5"/>
      <c r="Z1609" s="5"/>
      <c r="AA1609" s="5"/>
      <c r="AB1609" s="5"/>
      <c r="AC1609" s="5"/>
      <c r="AD1609" s="5"/>
      <c r="AE1609" s="5"/>
      <c r="AF1609" s="5"/>
      <c r="AG1609" s="5"/>
    </row>
    <row r="1610" ht="15.75" customHeight="1">
      <c r="K1610" t="s">
        <v>2785</v>
      </c>
      <c r="L1610" t="str">
        <f>E130</f>
        <v>H1a2a</v>
      </c>
      <c r="N1610" t="s">
        <v>2786</v>
      </c>
      <c r="O1610">
        <v>1.9031493E7</v>
      </c>
      <c r="P1610">
        <v>1.6919613E7</v>
      </c>
      <c r="Q1610" t="s">
        <v>473</v>
      </c>
      <c r="R1610" s="5"/>
      <c r="S1610" s="5"/>
      <c r="T1610" s="5"/>
      <c r="U1610" s="5"/>
      <c r="V1610" s="5"/>
      <c r="W1610" s="5"/>
      <c r="X1610" s="5"/>
      <c r="Y1610" s="5"/>
      <c r="Z1610" s="5"/>
      <c r="AA1610" s="5"/>
      <c r="AB1610" s="5"/>
      <c r="AC1610" s="5"/>
      <c r="AD1610" s="5"/>
      <c r="AE1610" s="5"/>
      <c r="AF1610" s="5"/>
      <c r="AG1610" s="5"/>
    </row>
    <row r="1611" ht="15.75" customHeight="1">
      <c r="K1611" t="s">
        <v>2787</v>
      </c>
      <c r="L1611" t="str">
        <f>E130</f>
        <v>H1a2a</v>
      </c>
      <c r="N1611" t="s">
        <v>2788</v>
      </c>
      <c r="O1611">
        <v>1.907587E7</v>
      </c>
      <c r="P1611">
        <v>1.696399E7</v>
      </c>
      <c r="Q1611" t="s">
        <v>525</v>
      </c>
      <c r="R1611" s="5"/>
      <c r="S1611" s="5"/>
      <c r="T1611" s="5"/>
      <c r="U1611" s="5"/>
      <c r="V1611" s="5"/>
      <c r="W1611" s="5"/>
      <c r="X1611" s="5"/>
      <c r="Y1611" s="5"/>
      <c r="Z1611" s="5"/>
      <c r="AA1611" s="5"/>
      <c r="AB1611" s="5"/>
      <c r="AC1611" s="5"/>
      <c r="AD1611" s="5"/>
      <c r="AE1611" s="5"/>
      <c r="AF1611" s="5"/>
      <c r="AG1611" s="5"/>
    </row>
    <row r="1612" ht="15.75" customHeight="1">
      <c r="K1612" t="s">
        <v>2789</v>
      </c>
      <c r="L1612" t="str">
        <f>E130</f>
        <v>H1a2a</v>
      </c>
      <c r="N1612" t="s">
        <v>2790</v>
      </c>
      <c r="O1612">
        <v>1.9109949E7</v>
      </c>
      <c r="P1612">
        <v>1.6998069E7</v>
      </c>
      <c r="Q1612" t="s">
        <v>419</v>
      </c>
      <c r="R1612" s="5"/>
      <c r="S1612" s="5"/>
      <c r="T1612" s="5"/>
      <c r="U1612" s="5"/>
      <c r="V1612" s="5"/>
      <c r="W1612" s="5"/>
      <c r="X1612" s="5"/>
      <c r="Y1612" s="5"/>
      <c r="Z1612" s="5"/>
      <c r="AA1612" s="5"/>
      <c r="AB1612" s="5"/>
      <c r="AC1612" s="5"/>
      <c r="AD1612" s="5"/>
      <c r="AE1612" s="5"/>
      <c r="AF1612" s="5"/>
      <c r="AG1612" s="5"/>
    </row>
    <row r="1613" ht="15.75" customHeight="1">
      <c r="K1613" t="s">
        <v>2791</v>
      </c>
      <c r="L1613" t="str">
        <f>E130</f>
        <v>H1a2a</v>
      </c>
      <c r="N1613" t="s">
        <v>2792</v>
      </c>
      <c r="O1613">
        <v>1.9163048E7</v>
      </c>
      <c r="P1613">
        <v>1.7051168E7</v>
      </c>
      <c r="Q1613" t="s">
        <v>423</v>
      </c>
      <c r="R1613" s="5"/>
      <c r="S1613" s="5"/>
      <c r="T1613" s="5"/>
      <c r="U1613" s="5"/>
      <c r="V1613" s="5"/>
      <c r="W1613" s="5"/>
      <c r="X1613" s="5"/>
      <c r="Y1613" s="5"/>
      <c r="Z1613" s="5"/>
      <c r="AA1613" s="5"/>
      <c r="AB1613" s="5"/>
      <c r="AC1613" s="5"/>
      <c r="AD1613" s="5"/>
      <c r="AE1613" s="5"/>
      <c r="AF1613" s="5"/>
      <c r="AG1613" s="5"/>
    </row>
    <row r="1614" ht="15.75" customHeight="1">
      <c r="K1614" t="s">
        <v>2793</v>
      </c>
      <c r="L1614" t="str">
        <f>E130</f>
        <v>H1a2a</v>
      </c>
      <c r="N1614" t="s">
        <v>2794</v>
      </c>
      <c r="O1614">
        <v>1.9213098E7</v>
      </c>
      <c r="P1614">
        <v>1.7101218E7</v>
      </c>
      <c r="Q1614" t="s">
        <v>452</v>
      </c>
      <c r="R1614" s="5"/>
      <c r="S1614" s="5"/>
      <c r="T1614" s="5"/>
      <c r="U1614" s="5"/>
      <c r="V1614" s="5"/>
      <c r="W1614" s="5"/>
      <c r="X1614" s="5"/>
      <c r="Y1614" s="5"/>
      <c r="Z1614" s="5"/>
      <c r="AA1614" s="5"/>
      <c r="AB1614" s="5"/>
      <c r="AC1614" s="5"/>
      <c r="AD1614" s="5"/>
      <c r="AE1614" s="5"/>
      <c r="AF1614" s="5"/>
      <c r="AG1614" s="5"/>
    </row>
    <row r="1615" ht="15.75" customHeight="1">
      <c r="K1615" t="s">
        <v>2795</v>
      </c>
      <c r="L1615" t="str">
        <f>E130</f>
        <v>H1a2a</v>
      </c>
      <c r="N1615" t="s">
        <v>2796</v>
      </c>
      <c r="O1615">
        <v>1.9261779E7</v>
      </c>
      <c r="P1615">
        <v>1.7149899E7</v>
      </c>
      <c r="Q1615" t="s">
        <v>431</v>
      </c>
      <c r="R1615" s="5"/>
      <c r="S1615" s="5"/>
      <c r="T1615" s="5"/>
      <c r="U1615" s="5"/>
      <c r="V1615" s="5"/>
      <c r="W1615" s="5"/>
      <c r="X1615" s="5"/>
      <c r="Y1615" s="5"/>
      <c r="Z1615" s="5"/>
      <c r="AA1615" s="5"/>
      <c r="AB1615" s="5"/>
      <c r="AC1615" s="5"/>
      <c r="AD1615" s="5"/>
      <c r="AE1615" s="5"/>
      <c r="AF1615" s="5"/>
      <c r="AG1615" s="5"/>
    </row>
    <row r="1616" ht="15.75" customHeight="1">
      <c r="K1616" t="s">
        <v>2797</v>
      </c>
      <c r="L1616" t="str">
        <f>E130</f>
        <v>H1a2a</v>
      </c>
      <c r="N1616" t="s">
        <v>2798</v>
      </c>
      <c r="O1616">
        <v>1.9317189E7</v>
      </c>
      <c r="P1616">
        <v>1.7205309E7</v>
      </c>
      <c r="Q1616" t="s">
        <v>423</v>
      </c>
      <c r="R1616" s="5"/>
      <c r="S1616" s="5"/>
      <c r="T1616" s="5"/>
      <c r="U1616" s="5"/>
      <c r="V1616" s="5"/>
      <c r="W1616" s="5"/>
      <c r="X1616" s="5"/>
      <c r="Y1616" s="5"/>
      <c r="Z1616" s="5"/>
      <c r="AA1616" s="5"/>
      <c r="AB1616" s="5"/>
      <c r="AC1616" s="5"/>
      <c r="AD1616" s="5"/>
      <c r="AE1616" s="5"/>
      <c r="AF1616" s="5"/>
      <c r="AG1616" s="5"/>
    </row>
    <row r="1617" ht="15.75" customHeight="1">
      <c r="K1617" t="s">
        <v>2799</v>
      </c>
      <c r="L1617" t="str">
        <f>E130</f>
        <v>H1a2a</v>
      </c>
      <c r="N1617" t="s">
        <v>2800</v>
      </c>
      <c r="O1617">
        <v>1.9348623E7</v>
      </c>
      <c r="P1617">
        <v>1.7236743E7</v>
      </c>
      <c r="Q1617" t="s">
        <v>427</v>
      </c>
      <c r="R1617" s="5"/>
      <c r="S1617" s="5"/>
      <c r="T1617" s="5"/>
      <c r="U1617" s="5"/>
      <c r="V1617" s="5"/>
      <c r="W1617" s="5"/>
      <c r="X1617" s="5"/>
      <c r="Y1617" s="5"/>
      <c r="Z1617" s="5"/>
      <c r="AA1617" s="5"/>
      <c r="AB1617" s="5"/>
      <c r="AC1617" s="5"/>
      <c r="AD1617" s="5"/>
      <c r="AE1617" s="5"/>
      <c r="AF1617" s="5"/>
      <c r="AG1617" s="5"/>
    </row>
    <row r="1618" ht="15.75" customHeight="1">
      <c r="K1618" t="s">
        <v>2801</v>
      </c>
      <c r="L1618" t="str">
        <f>E130</f>
        <v>H1a2a</v>
      </c>
      <c r="N1618" t="s">
        <v>2802</v>
      </c>
      <c r="O1618">
        <v>1.9483041E7</v>
      </c>
      <c r="P1618">
        <v>1.7371161E7</v>
      </c>
      <c r="Q1618" t="s">
        <v>419</v>
      </c>
      <c r="R1618" s="5"/>
      <c r="S1618" s="5"/>
      <c r="T1618" s="5"/>
      <c r="U1618" s="5"/>
      <c r="V1618" s="5"/>
      <c r="W1618" s="5"/>
      <c r="X1618" s="5"/>
      <c r="Y1618" s="5"/>
      <c r="Z1618" s="5"/>
      <c r="AA1618" s="5"/>
      <c r="AB1618" s="5"/>
      <c r="AC1618" s="5"/>
      <c r="AD1618" s="5"/>
      <c r="AE1618" s="5"/>
      <c r="AF1618" s="5"/>
      <c r="AG1618" s="5"/>
    </row>
    <row r="1619" ht="15.75" customHeight="1">
      <c r="K1619" t="s">
        <v>2803</v>
      </c>
      <c r="L1619" t="str">
        <f>E130</f>
        <v>H1a2a</v>
      </c>
      <c r="N1619" t="s">
        <v>2804</v>
      </c>
      <c r="O1619">
        <v>1.9528599E7</v>
      </c>
      <c r="P1619">
        <v>1.7416719E7</v>
      </c>
      <c r="Q1619" t="s">
        <v>431</v>
      </c>
      <c r="R1619" s="5"/>
      <c r="S1619" s="5"/>
      <c r="T1619" s="5"/>
      <c r="U1619" s="5"/>
      <c r="V1619" s="5"/>
      <c r="W1619" s="5"/>
      <c r="X1619" s="5"/>
      <c r="Y1619" s="5"/>
      <c r="Z1619" s="5"/>
      <c r="AA1619" s="5"/>
      <c r="AB1619" s="5"/>
      <c r="AC1619" s="5"/>
      <c r="AD1619" s="5"/>
      <c r="AE1619" s="5"/>
      <c r="AF1619" s="5"/>
      <c r="AG1619" s="5"/>
    </row>
    <row r="1620" ht="15.75" customHeight="1">
      <c r="K1620" t="s">
        <v>2805</v>
      </c>
      <c r="L1620" t="str">
        <f>E130</f>
        <v>H1a2a</v>
      </c>
      <c r="N1620" t="s">
        <v>2806</v>
      </c>
      <c r="O1620">
        <v>2.1121109E7</v>
      </c>
      <c r="P1620">
        <v>1.8959223E7</v>
      </c>
      <c r="Q1620" t="s">
        <v>435</v>
      </c>
      <c r="R1620" s="5"/>
      <c r="S1620" s="5"/>
      <c r="T1620" s="5"/>
      <c r="U1620" s="5"/>
      <c r="V1620" s="5"/>
      <c r="W1620" s="5"/>
      <c r="X1620" s="5"/>
      <c r="Y1620" s="5"/>
      <c r="Z1620" s="5"/>
      <c r="AA1620" s="5"/>
      <c r="AB1620" s="5"/>
      <c r="AC1620" s="5"/>
      <c r="AD1620" s="5"/>
      <c r="AE1620" s="5"/>
      <c r="AF1620" s="5"/>
      <c r="AG1620" s="5"/>
    </row>
    <row r="1621" ht="15.75" customHeight="1">
      <c r="K1621" t="s">
        <v>2807</v>
      </c>
      <c r="L1621" t="str">
        <f>E130</f>
        <v>H1a2a</v>
      </c>
      <c r="N1621" t="s">
        <v>2808</v>
      </c>
      <c r="O1621">
        <v>2.1188694E7</v>
      </c>
      <c r="P1621">
        <v>1.9026808E7</v>
      </c>
      <c r="Q1621" t="s">
        <v>419</v>
      </c>
      <c r="R1621" s="5"/>
      <c r="S1621" s="5"/>
      <c r="T1621" s="5"/>
      <c r="U1621" s="5"/>
      <c r="V1621" s="5"/>
      <c r="W1621" s="5"/>
      <c r="X1621" s="5"/>
      <c r="Y1621" s="5"/>
      <c r="Z1621" s="5"/>
      <c r="AA1621" s="5"/>
      <c r="AB1621" s="5"/>
      <c r="AC1621" s="5"/>
      <c r="AD1621" s="5"/>
      <c r="AE1621" s="5"/>
      <c r="AF1621" s="5"/>
      <c r="AG1621" s="5"/>
    </row>
    <row r="1622" ht="15.75" customHeight="1">
      <c r="K1622" t="s">
        <v>2809</v>
      </c>
      <c r="L1622" t="str">
        <f>E130</f>
        <v>H1a2a</v>
      </c>
      <c r="N1622" t="s">
        <v>2810</v>
      </c>
      <c r="O1622">
        <v>2.129629E7</v>
      </c>
      <c r="P1622">
        <v>1.9134404E7</v>
      </c>
      <c r="Q1622" t="s">
        <v>423</v>
      </c>
      <c r="R1622" s="5"/>
      <c r="S1622" s="5"/>
      <c r="T1622" s="5"/>
      <c r="U1622" s="5"/>
      <c r="V1622" s="5"/>
      <c r="W1622" s="5"/>
      <c r="X1622" s="5"/>
      <c r="Y1622" s="5"/>
      <c r="Z1622" s="5"/>
      <c r="AA1622" s="5"/>
      <c r="AB1622" s="5"/>
      <c r="AC1622" s="5"/>
      <c r="AD1622" s="5"/>
      <c r="AE1622" s="5"/>
      <c r="AF1622" s="5"/>
      <c r="AG1622" s="5"/>
    </row>
    <row r="1623" ht="15.75" customHeight="1">
      <c r="K1623" t="s">
        <v>2811</v>
      </c>
      <c r="L1623" t="str">
        <f>E130</f>
        <v>H1a2a</v>
      </c>
      <c r="N1623" t="s">
        <v>2812</v>
      </c>
      <c r="O1623">
        <v>2.1311025E7</v>
      </c>
      <c r="P1623">
        <v>1.9149139E7</v>
      </c>
      <c r="Q1623" t="s">
        <v>525</v>
      </c>
      <c r="R1623" s="5"/>
      <c r="S1623" s="5"/>
      <c r="T1623" s="5"/>
      <c r="U1623" s="5"/>
      <c r="V1623" s="5"/>
      <c r="W1623" s="5"/>
      <c r="X1623" s="5"/>
      <c r="Y1623" s="5"/>
      <c r="Z1623" s="5"/>
      <c r="AA1623" s="5"/>
      <c r="AB1623" s="5"/>
      <c r="AC1623" s="5"/>
      <c r="AD1623" s="5"/>
      <c r="AE1623" s="5"/>
      <c r="AF1623" s="5"/>
      <c r="AG1623" s="5"/>
    </row>
    <row r="1624" ht="15.75" customHeight="1">
      <c r="K1624" t="s">
        <v>2813</v>
      </c>
      <c r="L1624" t="str">
        <f>E130</f>
        <v>H1a2a</v>
      </c>
      <c r="N1624" t="s">
        <v>2814</v>
      </c>
      <c r="O1624">
        <v>2.1314966E7</v>
      </c>
      <c r="P1624">
        <v>1.915308E7</v>
      </c>
      <c r="Q1624" t="s">
        <v>435</v>
      </c>
      <c r="R1624" s="5"/>
      <c r="S1624" s="5"/>
      <c r="T1624" s="5"/>
      <c r="U1624" s="5"/>
      <c r="V1624" s="5"/>
      <c r="W1624" s="5"/>
      <c r="X1624" s="5"/>
      <c r="Y1624" s="5"/>
      <c r="Z1624" s="5"/>
      <c r="AA1624" s="5"/>
      <c r="AB1624" s="5"/>
      <c r="AC1624" s="5"/>
      <c r="AD1624" s="5"/>
      <c r="AE1624" s="5"/>
      <c r="AF1624" s="5"/>
      <c r="AG1624" s="5"/>
    </row>
    <row r="1625" ht="15.75" customHeight="1">
      <c r="K1625" t="s">
        <v>2815</v>
      </c>
      <c r="L1625" t="str">
        <f>E130</f>
        <v>H1a2a</v>
      </c>
      <c r="N1625" t="s">
        <v>2816</v>
      </c>
      <c r="O1625">
        <v>2.1365827E7</v>
      </c>
      <c r="P1625">
        <v>1.9203941E7</v>
      </c>
      <c r="Q1625" t="s">
        <v>423</v>
      </c>
      <c r="R1625" s="5"/>
      <c r="S1625" s="5"/>
      <c r="T1625" s="5"/>
      <c r="U1625" s="5"/>
      <c r="V1625" s="5"/>
      <c r="W1625" s="5"/>
      <c r="X1625" s="5"/>
      <c r="Y1625" s="5"/>
      <c r="Z1625" s="5"/>
      <c r="AA1625" s="5"/>
      <c r="AB1625" s="5"/>
      <c r="AC1625" s="5"/>
      <c r="AD1625" s="5"/>
      <c r="AE1625" s="5"/>
      <c r="AF1625" s="5"/>
      <c r="AG1625" s="5"/>
    </row>
    <row r="1626" ht="15.75" customHeight="1">
      <c r="K1626" t="s">
        <v>2817</v>
      </c>
      <c r="L1626" t="str">
        <f>E130</f>
        <v>H1a2a</v>
      </c>
      <c r="N1626" t="s">
        <v>2818</v>
      </c>
      <c r="O1626">
        <v>2.1439284E7</v>
      </c>
      <c r="P1626">
        <v>1.9277398E7</v>
      </c>
      <c r="Q1626" t="s">
        <v>423</v>
      </c>
      <c r="R1626" s="5"/>
      <c r="S1626" s="5"/>
      <c r="T1626" s="5"/>
      <c r="U1626" s="5"/>
      <c r="V1626" s="5"/>
      <c r="W1626" s="5"/>
      <c r="X1626" s="5"/>
      <c r="Y1626" s="5"/>
      <c r="Z1626" s="5"/>
      <c r="AA1626" s="5"/>
      <c r="AB1626" s="5"/>
      <c r="AC1626" s="5"/>
      <c r="AD1626" s="5"/>
      <c r="AE1626" s="5"/>
      <c r="AF1626" s="5"/>
      <c r="AG1626" s="5"/>
    </row>
    <row r="1627" ht="15.75" customHeight="1">
      <c r="K1627" t="s">
        <v>2819</v>
      </c>
      <c r="L1627" t="str">
        <f>E130</f>
        <v>H1a2a</v>
      </c>
      <c r="N1627" t="s">
        <v>2820</v>
      </c>
      <c r="O1627">
        <v>2.146687E7</v>
      </c>
      <c r="P1627">
        <v>1.9304984E7</v>
      </c>
      <c r="Q1627" t="s">
        <v>448</v>
      </c>
      <c r="R1627" s="5"/>
      <c r="S1627" s="5"/>
      <c r="T1627" s="5"/>
      <c r="U1627" s="5"/>
      <c r="V1627" s="5"/>
      <c r="W1627" s="5"/>
      <c r="X1627" s="5"/>
      <c r="Y1627" s="5"/>
      <c r="Z1627" s="5"/>
      <c r="AA1627" s="5"/>
      <c r="AB1627" s="5"/>
      <c r="AC1627" s="5"/>
      <c r="AD1627" s="5"/>
      <c r="AE1627" s="5"/>
      <c r="AF1627" s="5"/>
      <c r="AG1627" s="5"/>
    </row>
    <row r="1628" ht="15.75" customHeight="1">
      <c r="K1628" t="s">
        <v>2821</v>
      </c>
      <c r="L1628" t="str">
        <f>E130</f>
        <v>H1a2a</v>
      </c>
      <c r="N1628" t="s">
        <v>2822</v>
      </c>
      <c r="O1628">
        <v>2.1472975E7</v>
      </c>
      <c r="P1628">
        <v>1.9311089E7</v>
      </c>
      <c r="Q1628" t="s">
        <v>419</v>
      </c>
      <c r="R1628" s="5"/>
      <c r="S1628" s="5"/>
      <c r="T1628" s="5"/>
      <c r="U1628" s="5"/>
      <c r="V1628" s="5"/>
      <c r="W1628" s="5"/>
      <c r="X1628" s="5"/>
      <c r="Y1628" s="5"/>
      <c r="Z1628" s="5"/>
      <c r="AA1628" s="5"/>
      <c r="AB1628" s="5"/>
      <c r="AC1628" s="5"/>
      <c r="AD1628" s="5"/>
      <c r="AE1628" s="5"/>
      <c r="AF1628" s="5"/>
      <c r="AG1628" s="5"/>
    </row>
    <row r="1629" ht="15.75" customHeight="1">
      <c r="K1629" t="s">
        <v>2823</v>
      </c>
      <c r="L1629" t="str">
        <f>E130</f>
        <v>H1a2a</v>
      </c>
      <c r="N1629" t="s">
        <v>2824</v>
      </c>
      <c r="O1629">
        <v>2.1682092E7</v>
      </c>
      <c r="P1629">
        <v>1.9520206E7</v>
      </c>
      <c r="Q1629" t="s">
        <v>423</v>
      </c>
      <c r="R1629" s="5"/>
      <c r="S1629" s="5"/>
      <c r="T1629" s="5"/>
      <c r="U1629" s="5"/>
      <c r="V1629" s="5"/>
      <c r="W1629" s="5"/>
      <c r="X1629" s="5"/>
      <c r="Y1629" s="5"/>
      <c r="Z1629" s="5"/>
      <c r="AA1629" s="5"/>
      <c r="AB1629" s="5"/>
      <c r="AC1629" s="5"/>
      <c r="AD1629" s="5"/>
      <c r="AE1629" s="5"/>
      <c r="AF1629" s="5"/>
      <c r="AG1629" s="5"/>
    </row>
    <row r="1630" ht="15.75" customHeight="1">
      <c r="K1630" t="s">
        <v>2825</v>
      </c>
      <c r="L1630" t="str">
        <f>E130</f>
        <v>H1a2a</v>
      </c>
      <c r="N1630" t="s">
        <v>2826</v>
      </c>
      <c r="O1630">
        <v>2.1702122E7</v>
      </c>
      <c r="P1630">
        <v>1.9540236E7</v>
      </c>
      <c r="Q1630" t="s">
        <v>431</v>
      </c>
      <c r="R1630" s="5"/>
      <c r="S1630" s="5"/>
      <c r="T1630" s="5"/>
      <c r="U1630" s="5"/>
      <c r="V1630" s="5"/>
      <c r="W1630" s="5"/>
      <c r="X1630" s="5"/>
      <c r="Y1630" s="5"/>
      <c r="Z1630" s="5"/>
      <c r="AA1630" s="5"/>
      <c r="AB1630" s="5"/>
      <c r="AC1630" s="5"/>
      <c r="AD1630" s="5"/>
      <c r="AE1630" s="5"/>
      <c r="AF1630" s="5"/>
      <c r="AG1630" s="5"/>
    </row>
    <row r="1631" ht="15.75" customHeight="1">
      <c r="K1631" t="s">
        <v>2827</v>
      </c>
      <c r="L1631" t="str">
        <f>E130</f>
        <v>H1a2a</v>
      </c>
      <c r="N1631" t="s">
        <v>2828</v>
      </c>
      <c r="O1631">
        <v>2.1802831E7</v>
      </c>
      <c r="P1631">
        <v>1.9640945E7</v>
      </c>
      <c r="Q1631" t="s">
        <v>423</v>
      </c>
      <c r="R1631" s="5"/>
      <c r="S1631" s="5"/>
      <c r="T1631" s="5"/>
      <c r="U1631" s="5"/>
      <c r="V1631" s="5"/>
      <c r="W1631" s="5"/>
      <c r="X1631" s="5"/>
      <c r="Y1631" s="5"/>
      <c r="Z1631" s="5"/>
      <c r="AA1631" s="5"/>
      <c r="AB1631" s="5"/>
      <c r="AC1631" s="5"/>
      <c r="AD1631" s="5"/>
      <c r="AE1631" s="5"/>
      <c r="AF1631" s="5"/>
      <c r="AG1631" s="5"/>
    </row>
    <row r="1632" ht="15.75" customHeight="1">
      <c r="K1632" t="s">
        <v>2829</v>
      </c>
      <c r="L1632" t="str">
        <f>E130</f>
        <v>H1a2a</v>
      </c>
      <c r="N1632" t="s">
        <v>2830</v>
      </c>
      <c r="O1632">
        <v>2.1816576E7</v>
      </c>
      <c r="P1632">
        <v>1.965469E7</v>
      </c>
      <c r="Q1632" t="s">
        <v>423</v>
      </c>
      <c r="R1632" s="5"/>
      <c r="S1632" s="5"/>
      <c r="T1632" s="5"/>
      <c r="U1632" s="5"/>
      <c r="V1632" s="5"/>
      <c r="W1632" s="5"/>
      <c r="X1632" s="5"/>
      <c r="Y1632" s="5"/>
      <c r="Z1632" s="5"/>
      <c r="AA1632" s="5"/>
      <c r="AB1632" s="5"/>
      <c r="AC1632" s="5"/>
      <c r="AD1632" s="5"/>
      <c r="AE1632" s="5"/>
      <c r="AF1632" s="5"/>
      <c r="AG1632" s="5"/>
    </row>
    <row r="1633" ht="15.75" customHeight="1">
      <c r="K1633" t="s">
        <v>2831</v>
      </c>
      <c r="L1633" t="str">
        <f>E130</f>
        <v>H1a2a</v>
      </c>
      <c r="N1633" t="s">
        <v>2832</v>
      </c>
      <c r="O1633">
        <v>2.1827079E7</v>
      </c>
      <c r="P1633">
        <v>1.9665193E7</v>
      </c>
      <c r="Q1633" t="s">
        <v>419</v>
      </c>
      <c r="R1633" s="5"/>
      <c r="S1633" s="5"/>
      <c r="T1633" s="5"/>
      <c r="U1633" s="5"/>
      <c r="V1633" s="5"/>
      <c r="W1633" s="5"/>
      <c r="X1633" s="5"/>
      <c r="Y1633" s="5"/>
      <c r="Z1633" s="5"/>
      <c r="AA1633" s="5"/>
      <c r="AB1633" s="5"/>
      <c r="AC1633" s="5"/>
      <c r="AD1633" s="5"/>
      <c r="AE1633" s="5"/>
      <c r="AF1633" s="5"/>
      <c r="AG1633" s="5"/>
    </row>
    <row r="1634" ht="15.75" customHeight="1">
      <c r="K1634" t="s">
        <v>2833</v>
      </c>
      <c r="L1634" t="str">
        <f>E130</f>
        <v>H1a2a</v>
      </c>
      <c r="N1634" t="s">
        <v>2834</v>
      </c>
      <c r="O1634">
        <v>2.1860256E7</v>
      </c>
      <c r="P1634">
        <v>1.969837E7</v>
      </c>
      <c r="Q1634" t="s">
        <v>435</v>
      </c>
      <c r="R1634" s="5"/>
      <c r="S1634" s="5"/>
      <c r="T1634" s="5"/>
      <c r="U1634" s="5"/>
      <c r="V1634" s="5"/>
      <c r="W1634" s="5"/>
      <c r="X1634" s="5"/>
      <c r="Y1634" s="5"/>
      <c r="Z1634" s="5"/>
      <c r="AA1634" s="5"/>
      <c r="AB1634" s="5"/>
      <c r="AC1634" s="5"/>
      <c r="AD1634" s="5"/>
      <c r="AE1634" s="5"/>
      <c r="AF1634" s="5"/>
      <c r="AG1634" s="5"/>
    </row>
    <row r="1635" ht="15.75" customHeight="1">
      <c r="K1635" t="s">
        <v>2835</v>
      </c>
      <c r="L1635" t="str">
        <f>E130</f>
        <v>H1a2a</v>
      </c>
      <c r="N1635" t="s">
        <v>2836</v>
      </c>
      <c r="O1635">
        <v>2.1947711E7</v>
      </c>
      <c r="P1635">
        <v>1.9785825E7</v>
      </c>
      <c r="Q1635" t="s">
        <v>431</v>
      </c>
      <c r="R1635" s="5"/>
      <c r="S1635" s="5"/>
      <c r="T1635" s="5"/>
      <c r="U1635" s="5"/>
      <c r="V1635" s="5"/>
      <c r="W1635" s="5"/>
      <c r="X1635" s="5"/>
      <c r="Y1635" s="5"/>
      <c r="Z1635" s="5"/>
      <c r="AA1635" s="5"/>
      <c r="AB1635" s="5"/>
      <c r="AC1635" s="5"/>
      <c r="AD1635" s="5"/>
      <c r="AE1635" s="5"/>
      <c r="AF1635" s="5"/>
      <c r="AG1635" s="5"/>
    </row>
    <row r="1636" ht="15.75" customHeight="1">
      <c r="K1636" t="s">
        <v>2837</v>
      </c>
      <c r="L1636" t="str">
        <f>E130</f>
        <v>H1a2a</v>
      </c>
      <c r="N1636" t="s">
        <v>2838</v>
      </c>
      <c r="O1636">
        <v>2.2061088E7</v>
      </c>
      <c r="P1636">
        <v>1.9899202E7</v>
      </c>
      <c r="Q1636" t="s">
        <v>423</v>
      </c>
      <c r="R1636" s="5"/>
      <c r="S1636" s="5"/>
      <c r="T1636" s="5"/>
      <c r="U1636" s="5"/>
      <c r="V1636" s="5"/>
      <c r="W1636" s="5"/>
      <c r="X1636" s="5"/>
      <c r="Y1636" s="5"/>
      <c r="Z1636" s="5"/>
      <c r="AA1636" s="5"/>
      <c r="AB1636" s="5"/>
      <c r="AC1636" s="5"/>
      <c r="AD1636" s="5"/>
      <c r="AE1636" s="5"/>
      <c r="AF1636" s="5"/>
      <c r="AG1636" s="5"/>
    </row>
    <row r="1637" ht="15.75" customHeight="1">
      <c r="K1637" t="s">
        <v>2839</v>
      </c>
      <c r="L1637" t="str">
        <f>E130</f>
        <v>H1a2a</v>
      </c>
      <c r="N1637" t="s">
        <v>2840</v>
      </c>
      <c r="O1637">
        <v>2.2155353E7</v>
      </c>
      <c r="P1637">
        <v>1.9993467E7</v>
      </c>
      <c r="Q1637" t="s">
        <v>423</v>
      </c>
      <c r="R1637" s="5"/>
      <c r="S1637" s="5"/>
      <c r="T1637" s="5"/>
      <c r="U1637" s="5"/>
      <c r="V1637" s="5"/>
      <c r="W1637" s="5"/>
      <c r="X1637" s="5"/>
      <c r="Y1637" s="5"/>
      <c r="Z1637" s="5"/>
      <c r="AA1637" s="5"/>
      <c r="AB1637" s="5"/>
      <c r="AC1637" s="5"/>
      <c r="AD1637" s="5"/>
      <c r="AE1637" s="5"/>
      <c r="AF1637" s="5"/>
      <c r="AG1637" s="5"/>
    </row>
    <row r="1638" ht="15.75" customHeight="1">
      <c r="K1638" t="s">
        <v>2841</v>
      </c>
      <c r="L1638" t="str">
        <f>E130</f>
        <v>H1a2a</v>
      </c>
      <c r="N1638" t="s">
        <v>2842</v>
      </c>
      <c r="O1638">
        <v>2.2168384E7</v>
      </c>
      <c r="P1638">
        <v>2.0006498E7</v>
      </c>
      <c r="Q1638" t="s">
        <v>423</v>
      </c>
      <c r="R1638" s="5"/>
      <c r="S1638" s="5"/>
      <c r="T1638" s="5"/>
      <c r="U1638" s="5"/>
      <c r="V1638" s="5"/>
      <c r="W1638" s="5"/>
      <c r="X1638" s="5"/>
      <c r="Y1638" s="5"/>
      <c r="Z1638" s="5"/>
      <c r="AA1638" s="5"/>
      <c r="AB1638" s="5"/>
      <c r="AC1638" s="5"/>
      <c r="AD1638" s="5"/>
      <c r="AE1638" s="5"/>
      <c r="AF1638" s="5"/>
      <c r="AG1638" s="5"/>
    </row>
    <row r="1639" ht="15.75" customHeight="1">
      <c r="K1639" t="s">
        <v>2843</v>
      </c>
      <c r="L1639" t="str">
        <f>E130</f>
        <v>H1a2a</v>
      </c>
      <c r="O1639">
        <v>2.253007E7</v>
      </c>
      <c r="P1639">
        <v>2.0368184E7</v>
      </c>
      <c r="Q1639" t="s">
        <v>525</v>
      </c>
      <c r="R1639" s="5"/>
      <c r="S1639" s="5"/>
      <c r="T1639" s="5"/>
      <c r="U1639" s="5"/>
      <c r="V1639" s="5"/>
      <c r="W1639" s="5"/>
      <c r="X1639" s="5"/>
      <c r="Y1639" s="5"/>
      <c r="Z1639" s="5"/>
      <c r="AA1639" s="5"/>
      <c r="AB1639" s="5"/>
      <c r="AC1639" s="5"/>
      <c r="AD1639" s="5"/>
      <c r="AE1639" s="5"/>
      <c r="AF1639" s="5"/>
      <c r="AG1639" s="5"/>
    </row>
    <row r="1640" ht="15.75" customHeight="1">
      <c r="K1640" t="s">
        <v>2844</v>
      </c>
      <c r="L1640" t="str">
        <f>E130</f>
        <v>H1a2a</v>
      </c>
      <c r="N1640" t="s">
        <v>2845</v>
      </c>
      <c r="O1640">
        <v>2.2553067E7</v>
      </c>
      <c r="P1640">
        <v>2.0391181E7</v>
      </c>
      <c r="Q1640" t="s">
        <v>476</v>
      </c>
      <c r="R1640" s="5"/>
      <c r="S1640" s="5"/>
      <c r="T1640" s="5"/>
      <c r="U1640" s="5"/>
      <c r="V1640" s="5"/>
      <c r="W1640" s="5"/>
      <c r="X1640" s="5"/>
      <c r="Y1640" s="5"/>
      <c r="Z1640" s="5"/>
      <c r="AA1640" s="5"/>
      <c r="AB1640" s="5"/>
      <c r="AC1640" s="5"/>
      <c r="AD1640" s="5"/>
      <c r="AE1640" s="5"/>
      <c r="AF1640" s="5"/>
      <c r="AG1640" s="5"/>
    </row>
    <row r="1641" ht="15.75" customHeight="1">
      <c r="K1641" t="s">
        <v>2846</v>
      </c>
      <c r="L1641" t="str">
        <f>E130</f>
        <v>H1a2a</v>
      </c>
      <c r="O1641">
        <v>2.2628961E7</v>
      </c>
      <c r="P1641">
        <v>2.0467075E7</v>
      </c>
      <c r="Q1641" t="s">
        <v>419</v>
      </c>
      <c r="R1641" s="5"/>
      <c r="S1641" s="5"/>
      <c r="T1641" s="5"/>
      <c r="U1641" s="5"/>
      <c r="V1641" s="5"/>
      <c r="W1641" s="5"/>
      <c r="X1641" s="5"/>
      <c r="Y1641" s="5"/>
      <c r="Z1641" s="5"/>
      <c r="AA1641" s="5"/>
      <c r="AB1641" s="5"/>
      <c r="AC1641" s="5"/>
      <c r="AD1641" s="5"/>
      <c r="AE1641" s="5"/>
      <c r="AF1641" s="5"/>
      <c r="AG1641" s="5"/>
    </row>
    <row r="1642" ht="15.75" customHeight="1">
      <c r="K1642" t="s">
        <v>2847</v>
      </c>
      <c r="L1642" t="str">
        <f>E130</f>
        <v>H1a2a</v>
      </c>
      <c r="O1642">
        <v>2.2644569E7</v>
      </c>
      <c r="P1642">
        <v>2.0482683E7</v>
      </c>
      <c r="Q1642" t="s">
        <v>525</v>
      </c>
      <c r="R1642" s="5"/>
      <c r="S1642" s="5"/>
      <c r="T1642" s="5"/>
      <c r="U1642" s="5"/>
      <c r="V1642" s="5"/>
      <c r="W1642" s="5"/>
      <c r="X1642" s="5"/>
      <c r="Y1642" s="5"/>
      <c r="Z1642" s="5"/>
      <c r="AA1642" s="5"/>
      <c r="AB1642" s="5"/>
      <c r="AC1642" s="5"/>
      <c r="AD1642" s="5"/>
      <c r="AE1642" s="5"/>
      <c r="AF1642" s="5"/>
      <c r="AG1642" s="5"/>
    </row>
    <row r="1643" ht="15.75" customHeight="1">
      <c r="K1643" t="s">
        <v>2848</v>
      </c>
      <c r="L1643" t="str">
        <f>E130</f>
        <v>H1a2a</v>
      </c>
      <c r="N1643" t="s">
        <v>2849</v>
      </c>
      <c r="O1643">
        <v>2.2734758E7</v>
      </c>
      <c r="P1643">
        <v>2.0572872E7</v>
      </c>
      <c r="Q1643" t="s">
        <v>431</v>
      </c>
      <c r="R1643" s="5"/>
      <c r="S1643" s="5"/>
      <c r="T1643" s="5"/>
      <c r="U1643" s="5"/>
      <c r="V1643" s="5"/>
      <c r="W1643" s="5"/>
      <c r="X1643" s="5"/>
      <c r="Y1643" s="5"/>
      <c r="Z1643" s="5"/>
      <c r="AA1643" s="5"/>
      <c r="AB1643" s="5"/>
      <c r="AC1643" s="5"/>
      <c r="AD1643" s="5"/>
      <c r="AE1643" s="5"/>
      <c r="AF1643" s="5"/>
      <c r="AG1643" s="5"/>
    </row>
    <row r="1644" ht="15.75" customHeight="1">
      <c r="K1644" t="s">
        <v>2850</v>
      </c>
      <c r="L1644" t="str">
        <f>E130</f>
        <v>H1a2a</v>
      </c>
      <c r="N1644" t="s">
        <v>2851</v>
      </c>
      <c r="O1644">
        <v>2.2781663E7</v>
      </c>
      <c r="P1644">
        <v>2.0619777E7</v>
      </c>
      <c r="Q1644" t="s">
        <v>435</v>
      </c>
      <c r="R1644" s="5"/>
      <c r="S1644" s="5"/>
      <c r="T1644" s="5"/>
      <c r="U1644" s="5"/>
      <c r="V1644" s="5"/>
      <c r="W1644" s="5"/>
      <c r="X1644" s="5"/>
      <c r="Y1644" s="5"/>
      <c r="Z1644" s="5"/>
      <c r="AA1644" s="5"/>
      <c r="AB1644" s="5"/>
      <c r="AC1644" s="5"/>
      <c r="AD1644" s="5"/>
      <c r="AE1644" s="5"/>
      <c r="AF1644" s="5"/>
      <c r="AG1644" s="5"/>
    </row>
    <row r="1645" ht="15.75" customHeight="1">
      <c r="K1645" t="s">
        <v>2852</v>
      </c>
      <c r="L1645" t="str">
        <f>E130</f>
        <v>H1a2a</v>
      </c>
      <c r="N1645" t="s">
        <v>2853</v>
      </c>
      <c r="O1645">
        <v>2.2840336E7</v>
      </c>
      <c r="P1645">
        <v>2.067845E7</v>
      </c>
      <c r="Q1645" t="s">
        <v>427</v>
      </c>
      <c r="R1645" s="5"/>
      <c r="S1645" s="5"/>
      <c r="T1645" s="5"/>
      <c r="U1645" s="5"/>
      <c r="V1645" s="5"/>
      <c r="W1645" s="5"/>
      <c r="X1645" s="5"/>
      <c r="Y1645" s="5"/>
      <c r="Z1645" s="5"/>
      <c r="AA1645" s="5"/>
      <c r="AB1645" s="5"/>
      <c r="AC1645" s="5"/>
      <c r="AD1645" s="5"/>
      <c r="AE1645" s="5"/>
      <c r="AF1645" s="5"/>
      <c r="AG1645" s="5"/>
    </row>
    <row r="1646" ht="15.75" customHeight="1">
      <c r="K1646" t="s">
        <v>2854</v>
      </c>
      <c r="L1646" t="str">
        <f>E130</f>
        <v>H1a2a</v>
      </c>
      <c r="N1646" t="s">
        <v>2855</v>
      </c>
      <c r="O1646">
        <v>2.2868869E7</v>
      </c>
      <c r="P1646">
        <v>2.0706983E7</v>
      </c>
      <c r="Q1646" t="s">
        <v>423</v>
      </c>
      <c r="R1646" s="5"/>
      <c r="S1646" s="5"/>
      <c r="T1646" s="5"/>
      <c r="U1646" s="5"/>
      <c r="V1646" s="5"/>
      <c r="W1646" s="5"/>
      <c r="X1646" s="5"/>
      <c r="Y1646" s="5"/>
      <c r="Z1646" s="5"/>
      <c r="AA1646" s="5"/>
      <c r="AB1646" s="5"/>
      <c r="AC1646" s="5"/>
      <c r="AD1646" s="5"/>
      <c r="AE1646" s="5"/>
      <c r="AF1646" s="5"/>
      <c r="AG1646" s="5"/>
    </row>
    <row r="1647" ht="15.75" customHeight="1">
      <c r="K1647" t="s">
        <v>2856</v>
      </c>
      <c r="L1647" t="str">
        <f>E130</f>
        <v>H1a2a</v>
      </c>
      <c r="N1647" t="s">
        <v>2857</v>
      </c>
      <c r="O1647">
        <v>2.2888262E7</v>
      </c>
      <c r="P1647">
        <v>2.0726376E7</v>
      </c>
      <c r="Q1647" t="s">
        <v>435</v>
      </c>
      <c r="R1647" s="5"/>
      <c r="S1647" s="5"/>
      <c r="T1647" s="5"/>
      <c r="U1647" s="5"/>
      <c r="V1647" s="5"/>
      <c r="W1647" s="5"/>
      <c r="X1647" s="5"/>
      <c r="Y1647" s="5"/>
      <c r="Z1647" s="5"/>
      <c r="AA1647" s="5"/>
      <c r="AB1647" s="5"/>
      <c r="AC1647" s="5"/>
      <c r="AD1647" s="5"/>
      <c r="AE1647" s="5"/>
      <c r="AF1647" s="5"/>
      <c r="AG1647" s="5"/>
    </row>
    <row r="1648" ht="15.75" customHeight="1">
      <c r="K1648" t="s">
        <v>2858</v>
      </c>
      <c r="L1648" t="str">
        <f>E130</f>
        <v>H1a2a</v>
      </c>
      <c r="N1648" t="s">
        <v>2859</v>
      </c>
      <c r="O1648">
        <v>2.3004423E7</v>
      </c>
      <c r="P1648">
        <v>2.0842537E7</v>
      </c>
      <c r="Q1648" t="s">
        <v>423</v>
      </c>
      <c r="R1648" s="5"/>
      <c r="S1648" s="5"/>
      <c r="T1648" s="5"/>
      <c r="U1648" s="5"/>
      <c r="V1648" s="5"/>
      <c r="W1648" s="5"/>
      <c r="X1648" s="5"/>
      <c r="Y1648" s="5"/>
      <c r="Z1648" s="5"/>
      <c r="AA1648" s="5"/>
      <c r="AB1648" s="5"/>
      <c r="AC1648" s="5"/>
      <c r="AD1648" s="5"/>
      <c r="AE1648" s="5"/>
      <c r="AF1648" s="5"/>
      <c r="AG1648" s="5"/>
    </row>
    <row r="1649" ht="15.75" customHeight="1">
      <c r="K1649" t="s">
        <v>2860</v>
      </c>
      <c r="L1649" t="str">
        <f>E130</f>
        <v>H1a2a</v>
      </c>
      <c r="N1649" t="s">
        <v>2861</v>
      </c>
      <c r="O1649">
        <v>2.3062776E7</v>
      </c>
      <c r="P1649">
        <v>2.090089E7</v>
      </c>
      <c r="Q1649" t="s">
        <v>427</v>
      </c>
      <c r="R1649" s="5"/>
      <c r="S1649" s="5"/>
      <c r="T1649" s="5"/>
      <c r="U1649" s="5"/>
      <c r="V1649" s="5"/>
      <c r="W1649" s="5"/>
      <c r="X1649" s="5"/>
      <c r="Y1649" s="5"/>
      <c r="Z1649" s="5"/>
      <c r="AA1649" s="5"/>
      <c r="AB1649" s="5"/>
      <c r="AC1649" s="5"/>
      <c r="AD1649" s="5"/>
      <c r="AE1649" s="5"/>
      <c r="AF1649" s="5"/>
      <c r="AG1649" s="5"/>
    </row>
    <row r="1650" ht="15.75" customHeight="1">
      <c r="K1650" t="s">
        <v>2862</v>
      </c>
      <c r="L1650" t="str">
        <f>E130</f>
        <v>H1a2a</v>
      </c>
      <c r="N1650" t="s">
        <v>2863</v>
      </c>
      <c r="O1650">
        <v>2.3078183E7</v>
      </c>
      <c r="P1650">
        <v>2.0916297E7</v>
      </c>
      <c r="Q1650" t="s">
        <v>473</v>
      </c>
      <c r="R1650" s="5"/>
      <c r="S1650" s="5"/>
      <c r="T1650" s="5"/>
      <c r="U1650" s="5"/>
      <c r="V1650" s="5"/>
      <c r="W1650" s="5"/>
      <c r="X1650" s="5"/>
      <c r="Y1650" s="5"/>
      <c r="Z1650" s="5"/>
      <c r="AA1650" s="5"/>
      <c r="AB1650" s="5"/>
      <c r="AC1650" s="5"/>
      <c r="AD1650" s="5"/>
      <c r="AE1650" s="5"/>
      <c r="AF1650" s="5"/>
      <c r="AG1650" s="5"/>
    </row>
    <row r="1651" ht="15.75" customHeight="1">
      <c r="K1651" t="s">
        <v>2864</v>
      </c>
      <c r="L1651" t="str">
        <f>E130</f>
        <v>H1a2a</v>
      </c>
      <c r="N1651" t="s">
        <v>2865</v>
      </c>
      <c r="O1651">
        <v>2.3081997E7</v>
      </c>
      <c r="P1651">
        <v>2.0920111E7</v>
      </c>
      <c r="Q1651" t="s">
        <v>419</v>
      </c>
      <c r="R1651" s="5"/>
      <c r="S1651" s="5"/>
      <c r="T1651" s="5"/>
      <c r="U1651" s="5"/>
      <c r="V1651" s="5"/>
      <c r="W1651" s="5"/>
      <c r="X1651" s="5"/>
      <c r="Y1651" s="5"/>
      <c r="Z1651" s="5"/>
      <c r="AA1651" s="5"/>
      <c r="AB1651" s="5"/>
      <c r="AC1651" s="5"/>
      <c r="AD1651" s="5"/>
      <c r="AE1651" s="5"/>
      <c r="AF1651" s="5"/>
      <c r="AG1651" s="5"/>
    </row>
    <row r="1652" ht="15.75" customHeight="1">
      <c r="K1652" t="s">
        <v>2866</v>
      </c>
      <c r="L1652" t="str">
        <f>E130</f>
        <v>H1a2a</v>
      </c>
      <c r="O1652">
        <v>2.3158413E7</v>
      </c>
      <c r="P1652">
        <v>2.0996527E7</v>
      </c>
      <c r="Q1652" t="s">
        <v>427</v>
      </c>
      <c r="R1652" s="5"/>
      <c r="S1652" s="5"/>
      <c r="T1652" s="5"/>
      <c r="U1652" s="5"/>
      <c r="V1652" s="5"/>
      <c r="W1652" s="5"/>
      <c r="X1652" s="5"/>
      <c r="Y1652" s="5"/>
      <c r="Z1652" s="5"/>
      <c r="AA1652" s="5"/>
      <c r="AB1652" s="5"/>
      <c r="AC1652" s="5"/>
      <c r="AD1652" s="5"/>
      <c r="AE1652" s="5"/>
      <c r="AF1652" s="5"/>
      <c r="AG1652" s="5"/>
    </row>
    <row r="1653" ht="15.75" customHeight="1">
      <c r="K1653" t="s">
        <v>2867</v>
      </c>
      <c r="L1653" t="str">
        <f>E130</f>
        <v>H1a2a</v>
      </c>
      <c r="O1653">
        <v>2.3185371E7</v>
      </c>
      <c r="P1653">
        <v>2.1023485E7</v>
      </c>
      <c r="Q1653" t="s">
        <v>423</v>
      </c>
      <c r="R1653" s="5"/>
      <c r="S1653" s="5"/>
      <c r="T1653" s="5"/>
      <c r="U1653" s="5"/>
      <c r="V1653" s="5"/>
      <c r="W1653" s="5"/>
      <c r="X1653" s="5"/>
      <c r="Y1653" s="5"/>
      <c r="Z1653" s="5"/>
      <c r="AA1653" s="5"/>
      <c r="AB1653" s="5"/>
      <c r="AC1653" s="5"/>
      <c r="AD1653" s="5"/>
      <c r="AE1653" s="5"/>
      <c r="AF1653" s="5"/>
      <c r="AG1653" s="5"/>
    </row>
    <row r="1654" ht="15.75" customHeight="1">
      <c r="K1654" t="s">
        <v>2868</v>
      </c>
      <c r="L1654" t="str">
        <f>E130</f>
        <v>H1a2a</v>
      </c>
      <c r="N1654" t="s">
        <v>2869</v>
      </c>
      <c r="O1654">
        <v>2.3282925E7</v>
      </c>
      <c r="P1654">
        <v>2.1121039E7</v>
      </c>
      <c r="Q1654" t="s">
        <v>473</v>
      </c>
      <c r="R1654" s="5"/>
      <c r="S1654" s="5"/>
      <c r="T1654" s="5"/>
      <c r="U1654" s="5"/>
      <c r="V1654" s="5"/>
      <c r="W1654" s="5"/>
      <c r="X1654" s="5"/>
      <c r="Y1654" s="5"/>
      <c r="Z1654" s="5"/>
      <c r="AA1654" s="5"/>
      <c r="AB1654" s="5"/>
      <c r="AC1654" s="5"/>
      <c r="AD1654" s="5"/>
      <c r="AE1654" s="5"/>
      <c r="AF1654" s="5"/>
      <c r="AG1654" s="5"/>
    </row>
    <row r="1655" ht="15.75" customHeight="1">
      <c r="K1655" t="s">
        <v>2870</v>
      </c>
      <c r="L1655" t="str">
        <f>E130</f>
        <v>H1a2a</v>
      </c>
      <c r="N1655" t="s">
        <v>2871</v>
      </c>
      <c r="O1655">
        <v>2.3341259E7</v>
      </c>
      <c r="P1655">
        <v>2.1179373E7</v>
      </c>
      <c r="Q1655" t="s">
        <v>427</v>
      </c>
      <c r="R1655" s="5"/>
      <c r="S1655" s="5"/>
      <c r="T1655" s="5"/>
      <c r="U1655" s="5"/>
      <c r="V1655" s="5"/>
      <c r="W1655" s="5"/>
      <c r="X1655" s="5"/>
      <c r="Y1655" s="5"/>
      <c r="Z1655" s="5"/>
      <c r="AA1655" s="5"/>
      <c r="AB1655" s="5"/>
      <c r="AC1655" s="5"/>
      <c r="AD1655" s="5"/>
      <c r="AE1655" s="5"/>
      <c r="AF1655" s="5"/>
      <c r="AG1655" s="5"/>
    </row>
    <row r="1656" ht="15.75" customHeight="1">
      <c r="K1656" t="s">
        <v>2872</v>
      </c>
      <c r="L1656" t="str">
        <f>E130</f>
        <v>H1a2a</v>
      </c>
      <c r="N1656" t="s">
        <v>2873</v>
      </c>
      <c r="O1656">
        <v>2.3367259E7</v>
      </c>
      <c r="P1656">
        <v>2.1205373E7</v>
      </c>
      <c r="Q1656" t="s">
        <v>431</v>
      </c>
      <c r="R1656" s="5"/>
      <c r="S1656" s="5"/>
      <c r="T1656" s="5"/>
      <c r="U1656" s="5"/>
      <c r="V1656" s="5"/>
      <c r="W1656" s="5"/>
      <c r="X1656" s="5"/>
      <c r="Y1656" s="5"/>
      <c r="Z1656" s="5"/>
      <c r="AA1656" s="5"/>
      <c r="AB1656" s="5"/>
      <c r="AC1656" s="5"/>
      <c r="AD1656" s="5"/>
      <c r="AE1656" s="5"/>
      <c r="AF1656" s="5"/>
      <c r="AG1656" s="5"/>
    </row>
    <row r="1657" ht="15.75" customHeight="1">
      <c r="K1657" t="s">
        <v>2874</v>
      </c>
      <c r="L1657" t="str">
        <f>E130</f>
        <v>H1a2a</v>
      </c>
      <c r="N1657" t="s">
        <v>2875</v>
      </c>
      <c r="O1657">
        <v>2.33687E7</v>
      </c>
      <c r="P1657">
        <v>2.1206814E7</v>
      </c>
      <c r="Q1657" t="s">
        <v>419</v>
      </c>
      <c r="R1657" s="5"/>
      <c r="S1657" s="5"/>
      <c r="T1657" s="5"/>
      <c r="U1657" s="5"/>
      <c r="V1657" s="5"/>
      <c r="W1657" s="5"/>
      <c r="X1657" s="5"/>
      <c r="Y1657" s="5"/>
      <c r="Z1657" s="5"/>
      <c r="AA1657" s="5"/>
      <c r="AB1657" s="5"/>
      <c r="AC1657" s="5"/>
      <c r="AD1657" s="5"/>
      <c r="AE1657" s="5"/>
      <c r="AF1657" s="5"/>
      <c r="AG1657" s="5"/>
    </row>
    <row r="1658" ht="15.75" customHeight="1">
      <c r="K1658" t="s">
        <v>2876</v>
      </c>
      <c r="L1658" t="str">
        <f>E130</f>
        <v>H1a2a</v>
      </c>
      <c r="N1658" t="s">
        <v>2877</v>
      </c>
      <c r="O1658">
        <v>2.3411319E7</v>
      </c>
      <c r="P1658">
        <v>2.1249433E7</v>
      </c>
      <c r="Q1658" t="s">
        <v>423</v>
      </c>
      <c r="R1658" s="5"/>
      <c r="S1658" s="5"/>
      <c r="T1658" s="5"/>
      <c r="U1658" s="5"/>
      <c r="V1658" s="5"/>
      <c r="W1658" s="5"/>
      <c r="X1658" s="5"/>
      <c r="Y1658" s="5"/>
      <c r="Z1658" s="5"/>
      <c r="AA1658" s="5"/>
      <c r="AB1658" s="5"/>
      <c r="AC1658" s="5"/>
      <c r="AD1658" s="5"/>
      <c r="AE1658" s="5"/>
      <c r="AF1658" s="5"/>
      <c r="AG1658" s="5"/>
    </row>
    <row r="1659" ht="15.75" customHeight="1">
      <c r="K1659" t="s">
        <v>2878</v>
      </c>
      <c r="L1659" t="str">
        <f>E130</f>
        <v>H1a2a</v>
      </c>
      <c r="N1659" t="s">
        <v>2879</v>
      </c>
      <c r="O1659">
        <v>2.3412452E7</v>
      </c>
      <c r="P1659">
        <v>2.1250566E7</v>
      </c>
      <c r="Q1659" t="s">
        <v>423</v>
      </c>
      <c r="R1659" s="5"/>
      <c r="S1659" s="5"/>
      <c r="T1659" s="5"/>
      <c r="U1659" s="5"/>
      <c r="V1659" s="5"/>
      <c r="W1659" s="5"/>
      <c r="X1659" s="5"/>
      <c r="Y1659" s="5"/>
      <c r="Z1659" s="5"/>
      <c r="AA1659" s="5"/>
      <c r="AB1659" s="5"/>
      <c r="AC1659" s="5"/>
      <c r="AD1659" s="5"/>
      <c r="AE1659" s="5"/>
      <c r="AF1659" s="5"/>
      <c r="AG1659" s="5"/>
    </row>
    <row r="1660" ht="15.75" customHeight="1">
      <c r="K1660" t="s">
        <v>2880</v>
      </c>
      <c r="L1660" t="str">
        <f>E130</f>
        <v>H1a2a</v>
      </c>
      <c r="N1660" t="s">
        <v>2881</v>
      </c>
      <c r="O1660">
        <v>2.3572676E7</v>
      </c>
      <c r="P1660">
        <v>2.141079E7</v>
      </c>
      <c r="Q1660" t="s">
        <v>419</v>
      </c>
      <c r="R1660" s="5"/>
      <c r="S1660" s="5"/>
      <c r="T1660" s="5"/>
      <c r="U1660" s="5"/>
      <c r="V1660" s="5"/>
      <c r="W1660" s="5"/>
      <c r="X1660" s="5"/>
      <c r="Y1660" s="5"/>
      <c r="Z1660" s="5"/>
      <c r="AA1660" s="5"/>
      <c r="AB1660" s="5"/>
      <c r="AC1660" s="5"/>
      <c r="AD1660" s="5"/>
      <c r="AE1660" s="5"/>
      <c r="AF1660" s="5"/>
      <c r="AG1660" s="5"/>
    </row>
    <row r="1661" ht="15.75" customHeight="1">
      <c r="K1661" t="s">
        <v>2882</v>
      </c>
      <c r="L1661" t="str">
        <f>E130</f>
        <v>H1a2a</v>
      </c>
      <c r="N1661" t="s">
        <v>2883</v>
      </c>
      <c r="O1661">
        <v>2.3600681E7</v>
      </c>
      <c r="P1661">
        <v>2.1438795E7</v>
      </c>
      <c r="Q1661" t="s">
        <v>452</v>
      </c>
      <c r="R1661" s="5"/>
      <c r="S1661" s="5"/>
      <c r="T1661" s="5"/>
      <c r="U1661" s="5"/>
      <c r="V1661" s="5"/>
      <c r="W1661" s="5"/>
      <c r="X1661" s="5"/>
      <c r="Y1661" s="5"/>
      <c r="Z1661" s="5"/>
      <c r="AA1661" s="5"/>
      <c r="AB1661" s="5"/>
      <c r="AC1661" s="5"/>
      <c r="AD1661" s="5"/>
      <c r="AE1661" s="5"/>
      <c r="AF1661" s="5"/>
      <c r="AG1661" s="5"/>
    </row>
    <row r="1662" ht="15.75" customHeight="1">
      <c r="K1662" t="s">
        <v>2884</v>
      </c>
      <c r="L1662" t="str">
        <f>E130</f>
        <v>H1a2a</v>
      </c>
      <c r="N1662" t="s">
        <v>2885</v>
      </c>
      <c r="O1662">
        <v>2.3616215E7</v>
      </c>
      <c r="P1662">
        <v>2.1454329E7</v>
      </c>
      <c r="Q1662" t="s">
        <v>419</v>
      </c>
      <c r="R1662" s="5"/>
      <c r="S1662" s="5"/>
      <c r="T1662" s="5"/>
      <c r="U1662" s="5"/>
      <c r="V1662" s="5"/>
      <c r="W1662" s="5"/>
      <c r="X1662" s="5"/>
      <c r="Y1662" s="5"/>
      <c r="Z1662" s="5"/>
      <c r="AA1662" s="5"/>
      <c r="AB1662" s="5"/>
      <c r="AC1662" s="5"/>
      <c r="AD1662" s="5"/>
      <c r="AE1662" s="5"/>
      <c r="AF1662" s="5"/>
      <c r="AG1662" s="5"/>
    </row>
    <row r="1663" ht="15.75" customHeight="1">
      <c r="K1663" t="s">
        <v>2886</v>
      </c>
      <c r="L1663" t="str">
        <f>E130</f>
        <v>H1a2a</v>
      </c>
      <c r="N1663" t="s">
        <v>2887</v>
      </c>
      <c r="O1663">
        <v>2.3766463E7</v>
      </c>
      <c r="P1663">
        <v>2.1604577E7</v>
      </c>
      <c r="Q1663" t="s">
        <v>525</v>
      </c>
      <c r="R1663" s="5"/>
      <c r="S1663" s="5"/>
      <c r="T1663" s="5"/>
      <c r="U1663" s="5"/>
      <c r="V1663" s="5"/>
      <c r="W1663" s="5"/>
      <c r="X1663" s="5"/>
      <c r="Y1663" s="5"/>
      <c r="Z1663" s="5"/>
      <c r="AA1663" s="5"/>
      <c r="AB1663" s="5"/>
      <c r="AC1663" s="5"/>
      <c r="AD1663" s="5"/>
      <c r="AE1663" s="5"/>
      <c r="AF1663" s="5"/>
      <c r="AG1663" s="5"/>
    </row>
    <row r="1664" ht="15.75" customHeight="1">
      <c r="K1664" t="s">
        <v>2888</v>
      </c>
      <c r="L1664" t="str">
        <f>E130</f>
        <v>H1a2a</v>
      </c>
      <c r="N1664" t="s">
        <v>2889</v>
      </c>
      <c r="O1664">
        <v>2.3777076E7</v>
      </c>
      <c r="P1664">
        <v>2.161519E7</v>
      </c>
      <c r="Q1664" t="s">
        <v>435</v>
      </c>
      <c r="R1664" s="5"/>
      <c r="S1664" s="5"/>
      <c r="T1664" s="5"/>
      <c r="U1664" s="5"/>
      <c r="V1664" s="5"/>
      <c r="W1664" s="5"/>
      <c r="X1664" s="5"/>
      <c r="Y1664" s="5"/>
      <c r="Z1664" s="5"/>
      <c r="AA1664" s="5"/>
      <c r="AB1664" s="5"/>
      <c r="AC1664" s="5"/>
      <c r="AD1664" s="5"/>
      <c r="AE1664" s="5"/>
      <c r="AF1664" s="5"/>
      <c r="AG1664" s="5"/>
    </row>
    <row r="1665" ht="15.75" customHeight="1">
      <c r="K1665" t="s">
        <v>2890</v>
      </c>
      <c r="L1665" t="str">
        <f>E130</f>
        <v>H1a2a</v>
      </c>
      <c r="N1665" t="s">
        <v>2891</v>
      </c>
      <c r="O1665">
        <v>2.3968298E7</v>
      </c>
      <c r="P1665">
        <v>2.1822151E7</v>
      </c>
      <c r="Q1665" t="s">
        <v>459</v>
      </c>
      <c r="R1665" s="5"/>
      <c r="S1665" s="5"/>
      <c r="T1665" s="5"/>
      <c r="U1665" s="5"/>
      <c r="V1665" s="5"/>
      <c r="W1665" s="5"/>
      <c r="X1665" s="5"/>
      <c r="Y1665" s="5"/>
      <c r="Z1665" s="5"/>
      <c r="AA1665" s="5"/>
      <c r="AB1665" s="5"/>
      <c r="AC1665" s="5"/>
      <c r="AD1665" s="5"/>
      <c r="AE1665" s="5"/>
      <c r="AF1665" s="5"/>
      <c r="AG1665" s="5"/>
    </row>
    <row r="1666" ht="15.75" customHeight="1">
      <c r="K1666" t="s">
        <v>2892</v>
      </c>
      <c r="L1666" t="str">
        <f>E130</f>
        <v>H1a2a</v>
      </c>
      <c r="O1666">
        <v>2.4364582E7</v>
      </c>
      <c r="P1666">
        <v>2.2218435E7</v>
      </c>
      <c r="Q1666" t="s">
        <v>435</v>
      </c>
      <c r="R1666" s="5"/>
      <c r="S1666" s="5"/>
      <c r="T1666" s="5"/>
      <c r="U1666" s="5"/>
      <c r="V1666" s="5"/>
      <c r="W1666" s="5"/>
      <c r="X1666" s="5"/>
      <c r="Y1666" s="5"/>
      <c r="Z1666" s="5"/>
      <c r="AA1666" s="5"/>
      <c r="AB1666" s="5"/>
      <c r="AC1666" s="5"/>
      <c r="AD1666" s="5"/>
      <c r="AE1666" s="5"/>
      <c r="AF1666" s="5"/>
      <c r="AG1666" s="5"/>
    </row>
    <row r="1667" ht="15.75" customHeight="1">
      <c r="K1667" t="s">
        <v>2893</v>
      </c>
      <c r="L1667" t="str">
        <f>E130</f>
        <v>H1a2a</v>
      </c>
      <c r="N1667" t="s">
        <v>2894</v>
      </c>
      <c r="O1667">
        <v>2.4420462E7</v>
      </c>
      <c r="P1667">
        <v>2.2274315E7</v>
      </c>
      <c r="Q1667" t="s">
        <v>423</v>
      </c>
      <c r="R1667" s="5"/>
      <c r="S1667" s="5"/>
      <c r="T1667" s="5"/>
      <c r="U1667" s="5"/>
      <c r="V1667" s="5"/>
      <c r="W1667" s="5"/>
      <c r="X1667" s="5"/>
      <c r="Y1667" s="5"/>
      <c r="Z1667" s="5"/>
      <c r="AA1667" s="5"/>
      <c r="AB1667" s="5"/>
      <c r="AC1667" s="5"/>
      <c r="AD1667" s="5"/>
      <c r="AE1667" s="5"/>
      <c r="AF1667" s="5"/>
      <c r="AG1667" s="5"/>
    </row>
    <row r="1668" ht="15.75" customHeight="1">
      <c r="K1668" t="s">
        <v>2895</v>
      </c>
      <c r="L1668" t="str">
        <f>E130</f>
        <v>H1a2a</v>
      </c>
      <c r="N1668" t="s">
        <v>2896</v>
      </c>
      <c r="O1668">
        <v>2.8715038E7</v>
      </c>
      <c r="P1668">
        <v>2.6568891E7</v>
      </c>
      <c r="Q1668" t="s">
        <v>423</v>
      </c>
      <c r="R1668" s="5"/>
      <c r="S1668" s="5"/>
      <c r="T1668" s="5"/>
      <c r="U1668" s="5"/>
      <c r="V1668" s="5"/>
      <c r="W1668" s="5"/>
      <c r="X1668" s="5"/>
      <c r="Y1668" s="5"/>
      <c r="Z1668" s="5"/>
      <c r="AA1668" s="5"/>
      <c r="AB1668" s="5"/>
      <c r="AC1668" s="5"/>
      <c r="AD1668" s="5"/>
      <c r="AE1668" s="5"/>
      <c r="AF1668" s="5"/>
      <c r="AG1668" s="5"/>
    </row>
    <row r="1669" ht="15.75" customHeight="1">
      <c r="K1669" t="s">
        <v>2897</v>
      </c>
      <c r="L1669" t="str">
        <f>E130</f>
        <v>H1a2a</v>
      </c>
      <c r="O1669">
        <v>2.8788372E7</v>
      </c>
      <c r="P1669">
        <v>2.6642225E7</v>
      </c>
      <c r="Q1669" t="s">
        <v>423</v>
      </c>
      <c r="R1669" s="5"/>
      <c r="S1669" s="5"/>
      <c r="T1669" s="5"/>
      <c r="U1669" s="5"/>
      <c r="V1669" s="5"/>
      <c r="W1669" s="5"/>
      <c r="X1669" s="5"/>
      <c r="Y1669" s="5"/>
      <c r="Z1669" s="5"/>
      <c r="AA1669" s="5"/>
      <c r="AB1669" s="5"/>
      <c r="AC1669" s="5"/>
      <c r="AD1669" s="5"/>
      <c r="AE1669" s="5"/>
      <c r="AF1669" s="5"/>
      <c r="AG1669" s="5"/>
    </row>
    <row r="1670" ht="15.75" customHeight="1">
      <c r="K1670" t="s">
        <v>2898</v>
      </c>
      <c r="L1670" t="str">
        <f>E130</f>
        <v>H1a2a</v>
      </c>
      <c r="O1670">
        <v>2.878861E7</v>
      </c>
      <c r="P1670">
        <v>2.6642463E7</v>
      </c>
      <c r="Q1670" t="s">
        <v>431</v>
      </c>
      <c r="R1670" s="5"/>
      <c r="S1670" s="5"/>
      <c r="T1670" s="5"/>
      <c r="U1670" s="5"/>
      <c r="V1670" s="5"/>
      <c r="W1670" s="5"/>
      <c r="X1670" s="5"/>
      <c r="Y1670" s="5"/>
      <c r="Z1670" s="5"/>
      <c r="AA1670" s="5"/>
      <c r="AB1670" s="5"/>
      <c r="AC1670" s="5"/>
      <c r="AD1670" s="5"/>
      <c r="AE1670" s="5"/>
      <c r="AF1670" s="5"/>
      <c r="AG1670" s="5"/>
    </row>
    <row r="1671" ht="15.75" customHeight="1">
      <c r="K1671" t="s">
        <v>2899</v>
      </c>
      <c r="L1671" t="str">
        <f>F131</f>
        <v>H1a2a1~</v>
      </c>
      <c r="O1671">
        <v>6739899.0</v>
      </c>
      <c r="P1671">
        <v>6871858.0</v>
      </c>
      <c r="Q1671" t="s">
        <v>476</v>
      </c>
      <c r="R1671" s="5"/>
      <c r="S1671" s="5"/>
      <c r="T1671" s="5"/>
      <c r="U1671" s="5"/>
      <c r="V1671" s="5"/>
      <c r="W1671" s="5"/>
      <c r="X1671" s="5"/>
      <c r="Y1671" s="5"/>
      <c r="Z1671" s="5"/>
      <c r="AA1671" s="5"/>
      <c r="AB1671" s="5"/>
      <c r="AC1671" s="5"/>
      <c r="AD1671" s="5"/>
      <c r="AE1671" s="5"/>
      <c r="AF1671" s="5"/>
      <c r="AG1671" s="5"/>
    </row>
    <row r="1672" ht="15.75" customHeight="1">
      <c r="K1672" t="s">
        <v>2900</v>
      </c>
      <c r="L1672" t="str">
        <f>F131</f>
        <v>H1a2a1~</v>
      </c>
      <c r="M1672" t="s">
        <v>2901</v>
      </c>
      <c r="N1672" t="s">
        <v>2902</v>
      </c>
      <c r="O1672">
        <v>2888672.0</v>
      </c>
      <c r="P1672">
        <v>3020631.0</v>
      </c>
      <c r="Q1672" t="s">
        <v>431</v>
      </c>
      <c r="R1672" s="5"/>
      <c r="S1672" s="5"/>
      <c r="T1672" s="5"/>
      <c r="U1672" s="5"/>
      <c r="V1672" s="5"/>
      <c r="W1672" s="5"/>
      <c r="X1672" s="5"/>
      <c r="Y1672" s="5"/>
      <c r="Z1672" s="5"/>
      <c r="AA1672" s="5"/>
      <c r="AB1672" s="5"/>
      <c r="AC1672" s="5"/>
      <c r="AD1672" s="5"/>
      <c r="AE1672" s="5"/>
      <c r="AF1672" s="5"/>
      <c r="AG1672" s="5"/>
    </row>
    <row r="1673" ht="15.75" customHeight="1">
      <c r="K1673" t="s">
        <v>2901</v>
      </c>
      <c r="L1673" t="str">
        <f t="shared" ref="L1673:L1674" si="37">F131</f>
        <v>H1a2a1~</v>
      </c>
      <c r="M1673" t="s">
        <v>2900</v>
      </c>
      <c r="N1673" t="s">
        <v>2902</v>
      </c>
      <c r="O1673">
        <v>2888672.0</v>
      </c>
      <c r="P1673">
        <v>3020631.0</v>
      </c>
      <c r="Q1673" t="s">
        <v>431</v>
      </c>
      <c r="R1673" s="5"/>
      <c r="S1673" s="5"/>
      <c r="T1673" s="5"/>
      <c r="U1673" s="5"/>
      <c r="V1673" s="5"/>
      <c r="W1673" s="5"/>
      <c r="X1673" s="5"/>
      <c r="Y1673" s="5"/>
      <c r="Z1673" s="5"/>
      <c r="AA1673" s="5"/>
      <c r="AB1673" s="5"/>
      <c r="AC1673" s="5"/>
      <c r="AD1673" s="5"/>
      <c r="AE1673" s="5"/>
      <c r="AF1673" s="5"/>
      <c r="AG1673" s="5"/>
    </row>
    <row r="1674" ht="15.75" customHeight="1">
      <c r="K1674" t="s">
        <v>2903</v>
      </c>
      <c r="L1674" t="str">
        <f t="shared" si="37"/>
        <v>H1a2a2~</v>
      </c>
      <c r="N1674" t="s">
        <v>2904</v>
      </c>
      <c r="O1674">
        <v>2748435.0</v>
      </c>
      <c r="P1674">
        <v>2880394.0</v>
      </c>
      <c r="Q1674" t="s">
        <v>435</v>
      </c>
      <c r="R1674" s="5"/>
      <c r="S1674" s="5"/>
      <c r="T1674" s="5"/>
      <c r="U1674" s="5"/>
      <c r="V1674" s="5"/>
      <c r="W1674" s="5"/>
      <c r="X1674" s="5"/>
      <c r="Y1674" s="5"/>
      <c r="Z1674" s="5"/>
      <c r="AA1674" s="5"/>
      <c r="AB1674" s="5"/>
      <c r="AC1674" s="5"/>
      <c r="AD1674" s="5"/>
      <c r="AE1674" s="5"/>
      <c r="AF1674" s="5"/>
      <c r="AG1674" s="5"/>
    </row>
    <row r="1675" ht="15.75" customHeight="1">
      <c r="K1675" t="s">
        <v>2905</v>
      </c>
      <c r="L1675" t="str">
        <f>F132</f>
        <v>H1a2a2~</v>
      </c>
      <c r="N1675" t="s">
        <v>2906</v>
      </c>
      <c r="O1675">
        <v>6928982.0</v>
      </c>
      <c r="P1675">
        <v>7060941.0</v>
      </c>
      <c r="Q1675" t="s">
        <v>423</v>
      </c>
      <c r="R1675" s="5"/>
      <c r="S1675" s="5"/>
      <c r="T1675" s="5"/>
      <c r="U1675" s="5"/>
      <c r="V1675" s="5"/>
      <c r="W1675" s="5"/>
      <c r="X1675" s="5"/>
      <c r="Y1675" s="5"/>
      <c r="Z1675" s="5"/>
      <c r="AA1675" s="5"/>
      <c r="AB1675" s="5"/>
      <c r="AC1675" s="5"/>
      <c r="AD1675" s="5"/>
      <c r="AE1675" s="5"/>
      <c r="AF1675" s="5"/>
      <c r="AG1675" s="5"/>
    </row>
    <row r="1676" ht="15.75" customHeight="1">
      <c r="K1676" s="66" t="s">
        <v>2907</v>
      </c>
      <c r="L1676" t="str">
        <f t="shared" ref="L1676:L1677" si="38">F132</f>
        <v>H1a2a2~</v>
      </c>
      <c r="N1676" s="69" t="s">
        <v>2908</v>
      </c>
      <c r="O1676" s="66">
        <v>6944553.0</v>
      </c>
      <c r="P1676" s="66">
        <v>7076512.0</v>
      </c>
      <c r="Q1676" s="66" t="s">
        <v>423</v>
      </c>
      <c r="R1676" s="5"/>
      <c r="S1676" s="5"/>
      <c r="T1676" s="5"/>
      <c r="U1676" s="5"/>
      <c r="V1676" s="5"/>
      <c r="W1676" s="5"/>
      <c r="X1676" s="5"/>
      <c r="Y1676" s="5"/>
      <c r="Z1676" s="5"/>
      <c r="AA1676" s="5"/>
      <c r="AB1676" s="5"/>
      <c r="AC1676" s="5"/>
      <c r="AD1676" s="5"/>
      <c r="AE1676" s="5"/>
      <c r="AF1676" s="5"/>
      <c r="AG1676" s="5"/>
    </row>
    <row r="1677" ht="15.75" customHeight="1">
      <c r="K1677" t="s">
        <v>2909</v>
      </c>
      <c r="L1677" t="str">
        <f t="shared" si="38"/>
        <v>H1a2a3~</v>
      </c>
      <c r="N1677" t="s">
        <v>2910</v>
      </c>
      <c r="O1677">
        <v>2.2733677E7</v>
      </c>
      <c r="P1677">
        <v>2.0571791E7</v>
      </c>
      <c r="Q1677" t="s">
        <v>419</v>
      </c>
      <c r="R1677" s="5"/>
      <c r="S1677" s="5"/>
      <c r="T1677" s="5"/>
      <c r="U1677" s="5"/>
      <c r="V1677" s="5"/>
      <c r="W1677" s="5"/>
      <c r="X1677" s="5"/>
      <c r="Y1677" s="5"/>
      <c r="Z1677" s="5"/>
      <c r="AA1677" s="5"/>
      <c r="AB1677" s="5"/>
      <c r="AC1677" s="5"/>
      <c r="AD1677" s="5"/>
      <c r="AE1677" s="5"/>
      <c r="AF1677" s="5"/>
      <c r="AG1677" s="5"/>
    </row>
    <row r="1678" ht="15.75" customHeight="1">
      <c r="K1678" t="s">
        <v>2911</v>
      </c>
      <c r="L1678" t="str">
        <f>F133</f>
        <v>H1a2a3~</v>
      </c>
      <c r="N1678" t="s">
        <v>2912</v>
      </c>
      <c r="O1678">
        <v>1.9331822E7</v>
      </c>
      <c r="P1678">
        <v>1.7219942E7</v>
      </c>
      <c r="Q1678" t="s">
        <v>419</v>
      </c>
      <c r="R1678" s="5"/>
      <c r="S1678" s="5"/>
      <c r="T1678" s="5"/>
      <c r="U1678" s="5"/>
      <c r="V1678" s="5"/>
      <c r="W1678" s="5"/>
      <c r="X1678" s="5"/>
      <c r="Y1678" s="5"/>
      <c r="Z1678" s="5"/>
      <c r="AA1678" s="5"/>
      <c r="AB1678" s="5"/>
      <c r="AC1678" s="5"/>
      <c r="AD1678" s="5"/>
      <c r="AE1678" s="5"/>
      <c r="AF1678" s="5"/>
      <c r="AG1678" s="5"/>
    </row>
    <row r="1679" ht="15.75" customHeight="1">
      <c r="K1679" t="s">
        <v>2913</v>
      </c>
      <c r="L1679" t="str">
        <f>F133</f>
        <v>H1a2a3~</v>
      </c>
      <c r="N1679" t="s">
        <v>2914</v>
      </c>
      <c r="O1679">
        <v>2.25583E7</v>
      </c>
      <c r="P1679">
        <v>2.0396414E7</v>
      </c>
      <c r="Q1679" t="s">
        <v>419</v>
      </c>
      <c r="R1679" s="5"/>
      <c r="S1679" s="5"/>
      <c r="T1679" s="5"/>
      <c r="U1679" s="5"/>
      <c r="V1679" s="5"/>
      <c r="W1679" s="5"/>
      <c r="X1679" s="5"/>
      <c r="Y1679" s="5"/>
      <c r="Z1679" s="5"/>
      <c r="AA1679" s="5"/>
      <c r="AB1679" s="5"/>
      <c r="AC1679" s="5"/>
      <c r="AD1679" s="5"/>
      <c r="AE1679" s="5"/>
      <c r="AF1679" s="5"/>
      <c r="AG1679" s="5"/>
    </row>
    <row r="1680" ht="15.75" customHeight="1">
      <c r="K1680" t="s">
        <v>2915</v>
      </c>
      <c r="L1680" t="str">
        <f t="shared" ref="L1680:L1681" si="39">F133</f>
        <v>H1a2a3~</v>
      </c>
      <c r="N1680" t="s">
        <v>2916</v>
      </c>
      <c r="O1680">
        <v>2.2919478E7</v>
      </c>
      <c r="P1680">
        <v>2.0757592E7</v>
      </c>
      <c r="Q1680" t="s">
        <v>423</v>
      </c>
      <c r="R1680" s="5"/>
      <c r="S1680" s="5"/>
      <c r="T1680" s="5"/>
      <c r="U1680" s="5"/>
      <c r="V1680" s="5"/>
      <c r="W1680" s="5"/>
      <c r="X1680" s="5"/>
      <c r="Y1680" s="5"/>
      <c r="Z1680" s="5"/>
      <c r="AA1680" s="5"/>
      <c r="AB1680" s="5"/>
      <c r="AC1680" s="5"/>
      <c r="AD1680" s="5"/>
      <c r="AE1680" s="5"/>
      <c r="AF1680" s="5"/>
      <c r="AG1680" s="5"/>
    </row>
    <row r="1681" ht="15.75" customHeight="1">
      <c r="K1681" t="s">
        <v>2917</v>
      </c>
      <c r="L1681" t="str">
        <f t="shared" si="39"/>
        <v>H1a2a4~</v>
      </c>
      <c r="N1681" t="s">
        <v>2918</v>
      </c>
      <c r="O1681">
        <v>1.620298E7</v>
      </c>
      <c r="P1681">
        <v>1.40911E7</v>
      </c>
      <c r="Q1681" t="s">
        <v>459</v>
      </c>
      <c r="R1681" s="5"/>
      <c r="S1681" s="5"/>
      <c r="T1681" s="5"/>
      <c r="U1681" s="5"/>
      <c r="V1681" s="5"/>
      <c r="W1681" s="5"/>
      <c r="X1681" s="5"/>
      <c r="Y1681" s="5"/>
      <c r="Z1681" s="5"/>
      <c r="AA1681" s="5"/>
      <c r="AB1681" s="5"/>
      <c r="AC1681" s="5"/>
      <c r="AD1681" s="5"/>
      <c r="AE1681" s="5"/>
      <c r="AF1681" s="5"/>
      <c r="AG1681" s="5"/>
    </row>
    <row r="1682" ht="15.75" customHeight="1">
      <c r="K1682" t="s">
        <v>2919</v>
      </c>
      <c r="L1682" t="str">
        <f>E135</f>
        <v>H1a2b</v>
      </c>
      <c r="N1682" t="s">
        <v>2920</v>
      </c>
      <c r="O1682">
        <v>2697625.0</v>
      </c>
      <c r="P1682">
        <v>2829584.0</v>
      </c>
      <c r="Q1682" t="s">
        <v>423</v>
      </c>
      <c r="R1682" s="5"/>
      <c r="S1682" s="5"/>
      <c r="T1682" s="5"/>
      <c r="U1682" s="5"/>
      <c r="V1682" s="5"/>
      <c r="W1682" s="5"/>
      <c r="X1682" s="5"/>
      <c r="Y1682" s="5"/>
      <c r="Z1682" s="5"/>
      <c r="AA1682" s="5"/>
      <c r="AB1682" s="5"/>
      <c r="AC1682" s="5"/>
      <c r="AD1682" s="5"/>
      <c r="AE1682" s="5"/>
      <c r="AF1682" s="5"/>
      <c r="AG1682" s="5"/>
    </row>
    <row r="1683" ht="15.75" customHeight="1">
      <c r="K1683" s="70" t="s">
        <v>2921</v>
      </c>
      <c r="L1683" s="71" t="str">
        <f>E135</f>
        <v>H1a2b</v>
      </c>
      <c r="M1683" s="71" t="s">
        <v>2922</v>
      </c>
      <c r="N1683" s="71" t="s">
        <v>2923</v>
      </c>
      <c r="O1683" s="71">
        <v>1.621046E7</v>
      </c>
      <c r="P1683" s="71">
        <v>1.409858E7</v>
      </c>
      <c r="Q1683" t="s">
        <v>525</v>
      </c>
      <c r="R1683" s="5"/>
      <c r="S1683" s="5"/>
      <c r="T1683" s="5"/>
      <c r="U1683" s="5"/>
      <c r="V1683" s="5"/>
      <c r="W1683" s="5"/>
      <c r="X1683" s="5"/>
      <c r="Y1683" s="5"/>
      <c r="Z1683" s="5"/>
      <c r="AA1683" s="5"/>
      <c r="AB1683" s="5"/>
      <c r="AC1683" s="5"/>
      <c r="AD1683" s="5"/>
      <c r="AE1683" s="5"/>
      <c r="AF1683" s="5"/>
      <c r="AG1683" s="5"/>
    </row>
    <row r="1684" ht="15.75" customHeight="1">
      <c r="K1684" s="71" t="s">
        <v>2922</v>
      </c>
      <c r="L1684" s="71" t="str">
        <f>E135</f>
        <v>H1a2b</v>
      </c>
      <c r="M1684" s="70" t="s">
        <v>2921</v>
      </c>
      <c r="N1684" s="71" t="s">
        <v>2923</v>
      </c>
      <c r="O1684" s="71">
        <v>1.621046E7</v>
      </c>
      <c r="P1684" s="71">
        <v>1.409858E7</v>
      </c>
      <c r="Q1684" t="s">
        <v>525</v>
      </c>
      <c r="R1684" s="5"/>
      <c r="S1684" s="5"/>
      <c r="T1684" s="5"/>
      <c r="U1684" s="5"/>
      <c r="V1684" s="5"/>
      <c r="W1684" s="5"/>
      <c r="X1684" s="5"/>
      <c r="Y1684" s="5"/>
      <c r="Z1684" s="5"/>
      <c r="AA1684" s="5"/>
      <c r="AB1684" s="5"/>
      <c r="AC1684" s="5"/>
      <c r="AD1684" s="5"/>
      <c r="AE1684" s="5"/>
      <c r="AF1684" s="5"/>
      <c r="AG1684" s="5"/>
    </row>
    <row r="1685" ht="15.75" customHeight="1">
      <c r="K1685" s="71" t="s">
        <v>2924</v>
      </c>
      <c r="L1685" s="71" t="str">
        <f>E135</f>
        <v>H1a2b</v>
      </c>
      <c r="M1685" s="71" t="s">
        <v>2925</v>
      </c>
      <c r="N1685" s="71" t="s">
        <v>2926</v>
      </c>
      <c r="O1685" s="71">
        <v>8143732.0</v>
      </c>
      <c r="P1685" s="71">
        <v>8275691.0</v>
      </c>
      <c r="Q1685" t="s">
        <v>525</v>
      </c>
      <c r="R1685" s="5"/>
      <c r="S1685" s="5"/>
      <c r="T1685" s="5"/>
      <c r="U1685" s="5"/>
      <c r="V1685" s="5"/>
      <c r="W1685" s="5"/>
      <c r="X1685" s="5"/>
      <c r="Y1685" s="5"/>
      <c r="Z1685" s="5"/>
      <c r="AA1685" s="5"/>
      <c r="AB1685" s="5"/>
      <c r="AC1685" s="5"/>
      <c r="AD1685" s="5"/>
      <c r="AE1685" s="5"/>
      <c r="AF1685" s="5"/>
      <c r="AG1685" s="5"/>
    </row>
    <row r="1686" ht="15.75" customHeight="1">
      <c r="K1686" s="71" t="s">
        <v>2925</v>
      </c>
      <c r="L1686" s="71" t="str">
        <f>E135</f>
        <v>H1a2b</v>
      </c>
      <c r="M1686" s="71" t="s">
        <v>2924</v>
      </c>
      <c r="N1686" s="71" t="s">
        <v>2926</v>
      </c>
      <c r="O1686" s="71">
        <v>8143732.0</v>
      </c>
      <c r="P1686" s="71">
        <v>8275691.0</v>
      </c>
      <c r="Q1686" t="s">
        <v>525</v>
      </c>
      <c r="R1686" s="5"/>
      <c r="S1686" s="5"/>
      <c r="T1686" s="5"/>
      <c r="U1686" s="5"/>
      <c r="V1686" s="5"/>
      <c r="W1686" s="5"/>
      <c r="X1686" s="5"/>
      <c r="Y1686" s="5"/>
      <c r="Z1686" s="5"/>
      <c r="AA1686" s="5"/>
      <c r="AB1686" s="5"/>
      <c r="AC1686" s="5"/>
      <c r="AD1686" s="5"/>
      <c r="AE1686" s="5"/>
      <c r="AF1686" s="5"/>
      <c r="AG1686" s="5"/>
    </row>
    <row r="1687" ht="15.75" customHeight="1">
      <c r="K1687" t="s">
        <v>2927</v>
      </c>
      <c r="L1687" t="str">
        <f>E135</f>
        <v>H1a2b</v>
      </c>
      <c r="M1687" t="s">
        <v>2928</v>
      </c>
      <c r="N1687" t="s">
        <v>2929</v>
      </c>
      <c r="O1687">
        <v>1.400442E7</v>
      </c>
      <c r="P1687">
        <v>1.1883714E7</v>
      </c>
      <c r="Q1687" t="s">
        <v>473</v>
      </c>
      <c r="R1687" s="5"/>
      <c r="S1687" s="5"/>
      <c r="T1687" s="5"/>
      <c r="U1687" s="5"/>
      <c r="V1687" s="5"/>
      <c r="W1687" s="5"/>
      <c r="X1687" s="5"/>
      <c r="Y1687" s="5"/>
      <c r="Z1687" s="5"/>
      <c r="AA1687" s="5"/>
      <c r="AB1687" s="5"/>
      <c r="AC1687" s="5"/>
      <c r="AD1687" s="5"/>
      <c r="AE1687" s="5"/>
      <c r="AF1687" s="5"/>
      <c r="AG1687" s="5"/>
    </row>
    <row r="1688" ht="15.75" customHeight="1">
      <c r="K1688" t="s">
        <v>2928</v>
      </c>
      <c r="L1688" t="str">
        <f>E135</f>
        <v>H1a2b</v>
      </c>
      <c r="M1688" t="s">
        <v>2927</v>
      </c>
      <c r="N1688" t="s">
        <v>2929</v>
      </c>
      <c r="O1688">
        <v>1.400442E7</v>
      </c>
      <c r="P1688">
        <v>1.1883714E7</v>
      </c>
      <c r="Q1688" t="s">
        <v>473</v>
      </c>
      <c r="R1688" s="5"/>
      <c r="S1688" s="5"/>
      <c r="T1688" s="5"/>
      <c r="U1688" s="5"/>
      <c r="V1688" s="5"/>
      <c r="W1688" s="5"/>
      <c r="X1688" s="5"/>
      <c r="Y1688" s="5"/>
      <c r="Z1688" s="5"/>
      <c r="AA1688" s="5"/>
      <c r="AB1688" s="5"/>
      <c r="AC1688" s="5"/>
      <c r="AD1688" s="5"/>
      <c r="AE1688" s="5"/>
      <c r="AF1688" s="5"/>
      <c r="AG1688" s="5"/>
    </row>
    <row r="1689" ht="15.75" customHeight="1">
      <c r="K1689" t="s">
        <v>2930</v>
      </c>
      <c r="L1689" t="str">
        <f>E135</f>
        <v>H1a2b</v>
      </c>
      <c r="M1689" t="s">
        <v>2931</v>
      </c>
      <c r="N1689" t="s">
        <v>2932</v>
      </c>
      <c r="O1689">
        <v>1.4387228E7</v>
      </c>
      <c r="P1689">
        <v>1.2266524E7</v>
      </c>
      <c r="Q1689" t="s">
        <v>431</v>
      </c>
      <c r="R1689" s="5"/>
      <c r="S1689" s="5"/>
      <c r="T1689" s="5"/>
      <c r="U1689" s="5"/>
      <c r="V1689" s="5"/>
      <c r="W1689" s="5"/>
      <c r="X1689" s="5"/>
      <c r="Y1689" s="5"/>
      <c r="Z1689" s="5"/>
      <c r="AA1689" s="5"/>
      <c r="AB1689" s="5"/>
      <c r="AC1689" s="5"/>
      <c r="AD1689" s="5"/>
      <c r="AE1689" s="5"/>
      <c r="AF1689" s="5"/>
      <c r="AG1689" s="5"/>
    </row>
    <row r="1690" ht="15.75" customHeight="1">
      <c r="K1690" t="s">
        <v>2931</v>
      </c>
      <c r="L1690" t="str">
        <f>E135</f>
        <v>H1a2b</v>
      </c>
      <c r="M1690" t="s">
        <v>2930</v>
      </c>
      <c r="N1690" t="s">
        <v>2932</v>
      </c>
      <c r="O1690">
        <v>1.4387228E7</v>
      </c>
      <c r="P1690">
        <v>1.2266524E7</v>
      </c>
      <c r="Q1690" t="s">
        <v>431</v>
      </c>
      <c r="R1690" s="5"/>
      <c r="S1690" s="5"/>
      <c r="T1690" s="5"/>
      <c r="U1690" s="5"/>
      <c r="V1690" s="5"/>
      <c r="W1690" s="5"/>
      <c r="X1690" s="5"/>
      <c r="Y1690" s="5"/>
      <c r="Z1690" s="5"/>
      <c r="AA1690" s="5"/>
      <c r="AB1690" s="5"/>
      <c r="AC1690" s="5"/>
      <c r="AD1690" s="5"/>
      <c r="AE1690" s="5"/>
      <c r="AF1690" s="5"/>
      <c r="AG1690" s="5"/>
    </row>
    <row r="1691" ht="15.75" customHeight="1">
      <c r="K1691" t="s">
        <v>2933</v>
      </c>
      <c r="L1691" t="str">
        <f>E135</f>
        <v>H1a2b</v>
      </c>
      <c r="M1691" t="s">
        <v>2934</v>
      </c>
      <c r="N1691" t="s">
        <v>2935</v>
      </c>
      <c r="O1691">
        <v>2.1265071E7</v>
      </c>
      <c r="P1691">
        <v>1.9103185E7</v>
      </c>
      <c r="Q1691" t="s">
        <v>431</v>
      </c>
      <c r="R1691" s="5"/>
      <c r="S1691" s="5"/>
      <c r="T1691" s="5"/>
      <c r="U1691" s="5"/>
      <c r="V1691" s="5"/>
      <c r="W1691" s="5"/>
      <c r="X1691" s="5"/>
      <c r="Y1691" s="5"/>
      <c r="Z1691" s="5"/>
      <c r="AA1691" s="5"/>
      <c r="AB1691" s="5"/>
      <c r="AC1691" s="5"/>
      <c r="AD1691" s="5"/>
      <c r="AE1691" s="5"/>
      <c r="AF1691" s="5"/>
      <c r="AG1691" s="5"/>
    </row>
    <row r="1692" ht="15.75" customHeight="1">
      <c r="K1692" t="s">
        <v>2934</v>
      </c>
      <c r="L1692" t="str">
        <f>E135</f>
        <v>H1a2b</v>
      </c>
      <c r="M1692" t="s">
        <v>2933</v>
      </c>
      <c r="N1692" t="s">
        <v>2935</v>
      </c>
      <c r="O1692">
        <v>2.1265071E7</v>
      </c>
      <c r="P1692">
        <v>1.9103185E7</v>
      </c>
      <c r="Q1692" t="s">
        <v>431</v>
      </c>
      <c r="R1692" s="5"/>
      <c r="S1692" s="5"/>
      <c r="T1692" s="5"/>
      <c r="U1692" s="5"/>
      <c r="V1692" s="5"/>
      <c r="W1692" s="5"/>
      <c r="X1692" s="5"/>
      <c r="Y1692" s="5"/>
      <c r="Z1692" s="5"/>
      <c r="AA1692" s="5"/>
      <c r="AB1692" s="5"/>
      <c r="AC1692" s="5"/>
      <c r="AD1692" s="5"/>
      <c r="AE1692" s="5"/>
      <c r="AF1692" s="5"/>
      <c r="AG1692" s="5"/>
    </row>
    <row r="1693" ht="15.75" customHeight="1">
      <c r="K1693" t="s">
        <v>2936</v>
      </c>
      <c r="L1693" t="str">
        <f>E135</f>
        <v>H1a2b</v>
      </c>
      <c r="M1693" t="s">
        <v>2937</v>
      </c>
      <c r="N1693" t="s">
        <v>2938</v>
      </c>
      <c r="O1693">
        <v>2.3056958E7</v>
      </c>
      <c r="P1693">
        <v>2.0895072E7</v>
      </c>
      <c r="Q1693" t="s">
        <v>435</v>
      </c>
      <c r="R1693" s="5"/>
      <c r="S1693" s="5"/>
      <c r="T1693" s="5"/>
      <c r="U1693" s="5"/>
      <c r="V1693" s="5"/>
      <c r="W1693" s="5"/>
      <c r="X1693" s="5"/>
      <c r="Y1693" s="5"/>
      <c r="Z1693" s="5"/>
      <c r="AA1693" s="5"/>
      <c r="AB1693" s="5"/>
      <c r="AC1693" s="5"/>
      <c r="AD1693" s="5"/>
      <c r="AE1693" s="5"/>
      <c r="AF1693" s="5"/>
      <c r="AG1693" s="5"/>
    </row>
    <row r="1694" ht="15.75" customHeight="1">
      <c r="K1694" t="s">
        <v>2937</v>
      </c>
      <c r="L1694" t="str">
        <f>E135</f>
        <v>H1a2b</v>
      </c>
      <c r="M1694" t="s">
        <v>2936</v>
      </c>
      <c r="N1694" t="s">
        <v>2938</v>
      </c>
      <c r="O1694">
        <v>2.3056958E7</v>
      </c>
      <c r="P1694">
        <v>2.0895072E7</v>
      </c>
      <c r="Q1694" t="s">
        <v>435</v>
      </c>
      <c r="R1694" s="5"/>
      <c r="S1694" s="5"/>
      <c r="T1694" s="5"/>
      <c r="U1694" s="5"/>
      <c r="V1694" s="5"/>
      <c r="W1694" s="5"/>
      <c r="X1694" s="5"/>
      <c r="Y1694" s="5"/>
      <c r="Z1694" s="5"/>
      <c r="AA1694" s="5"/>
      <c r="AB1694" s="5"/>
      <c r="AC1694" s="5"/>
      <c r="AD1694" s="5"/>
      <c r="AE1694" s="5"/>
      <c r="AF1694" s="5"/>
      <c r="AG1694" s="5"/>
    </row>
    <row r="1695" ht="15.75" customHeight="1">
      <c r="K1695" t="s">
        <v>2939</v>
      </c>
      <c r="L1695" t="str">
        <f>E135</f>
        <v>H1a2b</v>
      </c>
      <c r="M1695" t="s">
        <v>2940</v>
      </c>
      <c r="N1695" t="s">
        <v>2941</v>
      </c>
      <c r="O1695">
        <v>2.3808189E7</v>
      </c>
      <c r="P1695">
        <v>2.1646303E7</v>
      </c>
      <c r="Q1695" t="s">
        <v>473</v>
      </c>
      <c r="R1695" s="5"/>
      <c r="S1695" s="5"/>
      <c r="T1695" s="5"/>
      <c r="U1695" s="5"/>
      <c r="V1695" s="5"/>
      <c r="W1695" s="5"/>
      <c r="X1695" s="5"/>
      <c r="Y1695" s="5"/>
      <c r="Z1695" s="5"/>
      <c r="AA1695" s="5"/>
      <c r="AB1695" s="5"/>
      <c r="AC1695" s="5"/>
      <c r="AD1695" s="5"/>
      <c r="AE1695" s="5"/>
      <c r="AF1695" s="5"/>
      <c r="AG1695" s="5"/>
    </row>
    <row r="1696" ht="15.75" customHeight="1">
      <c r="K1696" t="s">
        <v>2940</v>
      </c>
      <c r="L1696" t="str">
        <f>E135</f>
        <v>H1a2b</v>
      </c>
      <c r="M1696" t="s">
        <v>2939</v>
      </c>
      <c r="N1696" t="s">
        <v>2941</v>
      </c>
      <c r="O1696">
        <v>2.3808189E7</v>
      </c>
      <c r="P1696">
        <v>2.1646303E7</v>
      </c>
      <c r="Q1696" t="s">
        <v>473</v>
      </c>
      <c r="R1696" s="5"/>
      <c r="S1696" s="5"/>
      <c r="T1696" s="5"/>
      <c r="U1696" s="5"/>
      <c r="V1696" s="5"/>
      <c r="W1696" s="5"/>
      <c r="X1696" s="5"/>
      <c r="Y1696" s="5"/>
      <c r="Z1696" s="5"/>
      <c r="AA1696" s="5"/>
      <c r="AB1696" s="5"/>
      <c r="AC1696" s="5"/>
      <c r="AD1696" s="5"/>
      <c r="AE1696" s="5"/>
      <c r="AF1696" s="5"/>
      <c r="AG1696" s="5"/>
    </row>
    <row r="1697" ht="15.75" customHeight="1">
      <c r="K1697" t="s">
        <v>2942</v>
      </c>
      <c r="L1697" t="str">
        <f>E135</f>
        <v>H1a2b</v>
      </c>
      <c r="M1697" t="s">
        <v>2943</v>
      </c>
      <c r="N1697" t="s">
        <v>2944</v>
      </c>
      <c r="O1697">
        <v>2.399012E7</v>
      </c>
      <c r="P1697">
        <v>2.1843973E7</v>
      </c>
      <c r="Q1697" t="s">
        <v>419</v>
      </c>
      <c r="R1697" s="5"/>
      <c r="S1697" s="5"/>
      <c r="T1697" s="5"/>
      <c r="U1697" s="5"/>
      <c r="V1697" s="5"/>
      <c r="W1697" s="5"/>
      <c r="X1697" s="5"/>
      <c r="Y1697" s="5"/>
      <c r="Z1697" s="5"/>
      <c r="AA1697" s="5"/>
      <c r="AB1697" s="5"/>
      <c r="AC1697" s="5"/>
      <c r="AD1697" s="5"/>
      <c r="AE1697" s="5"/>
      <c r="AF1697" s="5"/>
      <c r="AG1697" s="5"/>
    </row>
    <row r="1698" ht="15.75" customHeight="1">
      <c r="K1698" t="s">
        <v>2943</v>
      </c>
      <c r="L1698" t="str">
        <f>E135</f>
        <v>H1a2b</v>
      </c>
      <c r="M1698" t="s">
        <v>2942</v>
      </c>
      <c r="N1698" t="s">
        <v>2944</v>
      </c>
      <c r="O1698">
        <v>2.399012E7</v>
      </c>
      <c r="P1698">
        <v>2.1843973E7</v>
      </c>
      <c r="Q1698" t="s">
        <v>419</v>
      </c>
      <c r="R1698" s="5"/>
      <c r="S1698" s="5"/>
      <c r="T1698" s="5"/>
      <c r="U1698" s="5"/>
      <c r="V1698" s="5"/>
      <c r="W1698" s="5"/>
      <c r="X1698" s="5"/>
      <c r="Y1698" s="5"/>
      <c r="Z1698" s="5"/>
      <c r="AA1698" s="5"/>
      <c r="AB1698" s="5"/>
      <c r="AC1698" s="5"/>
      <c r="AD1698" s="5"/>
      <c r="AE1698" s="5"/>
      <c r="AF1698" s="5"/>
      <c r="AG1698" s="5"/>
    </row>
    <row r="1699" ht="15.75" customHeight="1">
      <c r="K1699" t="s">
        <v>2945</v>
      </c>
      <c r="L1699" t="str">
        <f>E135</f>
        <v>H1a2b</v>
      </c>
      <c r="N1699" t="s">
        <v>2946</v>
      </c>
      <c r="O1699">
        <v>2913670.0</v>
      </c>
      <c r="P1699">
        <v>3045629.0</v>
      </c>
      <c r="Q1699" t="s">
        <v>431</v>
      </c>
      <c r="R1699" s="5"/>
      <c r="S1699" s="5"/>
      <c r="T1699" s="5"/>
      <c r="U1699" s="5"/>
      <c r="V1699" s="5"/>
      <c r="W1699" s="5"/>
      <c r="X1699" s="5"/>
      <c r="Y1699" s="5"/>
      <c r="Z1699" s="5"/>
      <c r="AA1699" s="5"/>
      <c r="AB1699" s="5"/>
      <c r="AC1699" s="5"/>
      <c r="AD1699" s="5"/>
      <c r="AE1699" s="5"/>
      <c r="AF1699" s="5"/>
      <c r="AG1699" s="5"/>
    </row>
    <row r="1700" ht="15.75" customHeight="1">
      <c r="K1700" t="s">
        <v>2947</v>
      </c>
      <c r="L1700" t="str">
        <f>E135</f>
        <v>H1a2b</v>
      </c>
      <c r="N1700" t="s">
        <v>2948</v>
      </c>
      <c r="O1700">
        <v>7396848.0</v>
      </c>
      <c r="P1700">
        <v>7528807.0</v>
      </c>
      <c r="Q1700" t="s">
        <v>423</v>
      </c>
      <c r="R1700" s="5"/>
      <c r="S1700" s="5"/>
      <c r="T1700" s="5"/>
      <c r="U1700" s="5"/>
      <c r="V1700" s="5"/>
      <c r="W1700" s="5"/>
      <c r="X1700" s="5"/>
      <c r="Y1700" s="5"/>
      <c r="Z1700" s="5"/>
      <c r="AA1700" s="5"/>
      <c r="AB1700" s="5"/>
      <c r="AC1700" s="5"/>
      <c r="AD1700" s="5"/>
      <c r="AE1700" s="5"/>
      <c r="AF1700" s="5"/>
      <c r="AG1700" s="5"/>
    </row>
    <row r="1701" ht="15.75" customHeight="1">
      <c r="K1701" t="s">
        <v>2949</v>
      </c>
      <c r="L1701" t="str">
        <f>E135</f>
        <v>H1a2b</v>
      </c>
      <c r="N1701" t="s">
        <v>2950</v>
      </c>
      <c r="O1701">
        <v>7553253.0</v>
      </c>
      <c r="P1701">
        <v>7685212.0</v>
      </c>
      <c r="Q1701" t="s">
        <v>435</v>
      </c>
      <c r="R1701" s="5"/>
      <c r="S1701" s="5"/>
      <c r="T1701" s="5"/>
      <c r="U1701" s="5"/>
      <c r="V1701" s="5"/>
      <c r="W1701" s="5"/>
      <c r="X1701" s="5"/>
      <c r="Y1701" s="5"/>
      <c r="Z1701" s="5"/>
      <c r="AA1701" s="5"/>
      <c r="AB1701" s="5"/>
      <c r="AC1701" s="5"/>
      <c r="AD1701" s="5"/>
      <c r="AE1701" s="5"/>
      <c r="AF1701" s="5"/>
      <c r="AG1701" s="5"/>
    </row>
    <row r="1702" ht="15.75" customHeight="1">
      <c r="K1702" t="s">
        <v>2951</v>
      </c>
      <c r="L1702" t="str">
        <f>E135</f>
        <v>H1a2b</v>
      </c>
      <c r="N1702" t="s">
        <v>2952</v>
      </c>
      <c r="O1702">
        <v>7957243.0</v>
      </c>
      <c r="P1702">
        <v>8089202.0</v>
      </c>
      <c r="Q1702" t="s">
        <v>525</v>
      </c>
      <c r="R1702" s="5"/>
      <c r="S1702" s="5"/>
      <c r="T1702" s="5"/>
      <c r="U1702" s="5"/>
      <c r="V1702" s="5"/>
      <c r="W1702" s="5"/>
      <c r="X1702" s="5"/>
      <c r="Y1702" s="5"/>
      <c r="Z1702" s="5"/>
      <c r="AA1702" s="5"/>
      <c r="AB1702" s="5"/>
      <c r="AC1702" s="5"/>
      <c r="AD1702" s="5"/>
      <c r="AE1702" s="5"/>
      <c r="AF1702" s="5"/>
      <c r="AG1702" s="5"/>
    </row>
    <row r="1703" ht="15.75" customHeight="1">
      <c r="K1703" t="s">
        <v>2953</v>
      </c>
      <c r="L1703" t="str">
        <f>E135</f>
        <v>H1a2b</v>
      </c>
      <c r="N1703" t="s">
        <v>2954</v>
      </c>
      <c r="O1703">
        <v>8068519.0</v>
      </c>
      <c r="P1703">
        <v>8200478.0</v>
      </c>
      <c r="Q1703" t="s">
        <v>459</v>
      </c>
      <c r="R1703" s="5"/>
      <c r="S1703" s="5"/>
      <c r="T1703" s="5"/>
      <c r="U1703" s="5"/>
      <c r="V1703" s="5"/>
      <c r="W1703" s="5"/>
      <c r="X1703" s="5"/>
      <c r="Y1703" s="5"/>
      <c r="Z1703" s="5"/>
      <c r="AA1703" s="5"/>
      <c r="AB1703" s="5"/>
      <c r="AC1703" s="5"/>
      <c r="AD1703" s="5"/>
      <c r="AE1703" s="5"/>
      <c r="AF1703" s="5"/>
      <c r="AG1703" s="5"/>
    </row>
    <row r="1704" ht="15.75" customHeight="1">
      <c r="K1704" t="s">
        <v>2955</v>
      </c>
      <c r="L1704" t="str">
        <f>E135</f>
        <v>H1a2b</v>
      </c>
      <c r="N1704" t="s">
        <v>2956</v>
      </c>
      <c r="O1704">
        <v>8425620.0</v>
      </c>
      <c r="P1704">
        <v>8557579.0</v>
      </c>
      <c r="Q1704" t="s">
        <v>423</v>
      </c>
      <c r="R1704" s="5"/>
      <c r="S1704" s="5"/>
      <c r="T1704" s="5"/>
      <c r="U1704" s="5"/>
      <c r="V1704" s="5"/>
      <c r="W1704" s="5"/>
      <c r="X1704" s="5"/>
      <c r="Y1704" s="5"/>
      <c r="Z1704" s="5"/>
      <c r="AA1704" s="5"/>
      <c r="AB1704" s="5"/>
      <c r="AC1704" s="5"/>
      <c r="AD1704" s="5"/>
      <c r="AE1704" s="5"/>
      <c r="AF1704" s="5"/>
      <c r="AG1704" s="5"/>
    </row>
    <row r="1705" ht="15.75" customHeight="1">
      <c r="K1705" t="s">
        <v>2957</v>
      </c>
      <c r="L1705" t="str">
        <f>E135</f>
        <v>H1a2b</v>
      </c>
      <c r="N1705" t="s">
        <v>2958</v>
      </c>
      <c r="O1705">
        <v>1.4040666E7</v>
      </c>
      <c r="P1705">
        <v>1.191996E7</v>
      </c>
      <c r="Q1705" t="s">
        <v>423</v>
      </c>
      <c r="R1705" s="5"/>
      <c r="S1705" s="5"/>
      <c r="T1705" s="5"/>
      <c r="U1705" s="5"/>
      <c r="V1705" s="5"/>
      <c r="W1705" s="5"/>
      <c r="X1705" s="5"/>
      <c r="Y1705" s="5"/>
      <c r="Z1705" s="5"/>
      <c r="AA1705" s="5"/>
      <c r="AB1705" s="5"/>
      <c r="AC1705" s="5"/>
      <c r="AD1705" s="5"/>
      <c r="AE1705" s="5"/>
      <c r="AF1705" s="5"/>
      <c r="AG1705" s="5"/>
    </row>
    <row r="1706" ht="15.75" customHeight="1">
      <c r="K1706" t="s">
        <v>2959</v>
      </c>
      <c r="L1706" t="str">
        <f>E135</f>
        <v>H1a2b</v>
      </c>
      <c r="N1706" t="s">
        <v>2960</v>
      </c>
      <c r="O1706">
        <v>1.488683E7</v>
      </c>
      <c r="P1706">
        <v>1.2774896E7</v>
      </c>
      <c r="Q1706" t="s">
        <v>435</v>
      </c>
      <c r="R1706" s="5"/>
      <c r="S1706" s="5"/>
      <c r="T1706" s="5"/>
      <c r="U1706" s="5"/>
      <c r="V1706" s="5"/>
      <c r="W1706" s="5"/>
      <c r="X1706" s="5"/>
      <c r="Y1706" s="5"/>
      <c r="Z1706" s="5"/>
      <c r="AA1706" s="5"/>
      <c r="AB1706" s="5"/>
      <c r="AC1706" s="5"/>
      <c r="AD1706" s="5"/>
      <c r="AE1706" s="5"/>
      <c r="AF1706" s="5"/>
      <c r="AG1706" s="5"/>
    </row>
    <row r="1707" ht="15.75" customHeight="1">
      <c r="K1707" t="s">
        <v>2961</v>
      </c>
      <c r="L1707" t="str">
        <f>E135</f>
        <v>H1a2b</v>
      </c>
      <c r="N1707" t="s">
        <v>2962</v>
      </c>
      <c r="O1707">
        <v>1.5040206E7</v>
      </c>
      <c r="P1707">
        <v>1.2928296E7</v>
      </c>
      <c r="Q1707" t="s">
        <v>553</v>
      </c>
      <c r="R1707" s="5"/>
      <c r="S1707" s="5"/>
      <c r="T1707" s="5"/>
      <c r="U1707" s="5"/>
      <c r="V1707" s="5"/>
      <c r="W1707" s="5"/>
      <c r="X1707" s="5"/>
      <c r="Y1707" s="5"/>
      <c r="Z1707" s="5"/>
      <c r="AA1707" s="5"/>
      <c r="AB1707" s="5"/>
      <c r="AC1707" s="5"/>
      <c r="AD1707" s="5"/>
      <c r="AE1707" s="5"/>
      <c r="AF1707" s="5"/>
      <c r="AG1707" s="5"/>
    </row>
    <row r="1708" ht="15.75" customHeight="1">
      <c r="K1708" t="s">
        <v>2963</v>
      </c>
      <c r="L1708" t="str">
        <f>E135</f>
        <v>H1a2b</v>
      </c>
      <c r="N1708" t="s">
        <v>2964</v>
      </c>
      <c r="O1708">
        <v>1.6289044E7</v>
      </c>
      <c r="P1708">
        <v>1.4177164E7</v>
      </c>
      <c r="Q1708" t="s">
        <v>423</v>
      </c>
      <c r="R1708" s="5"/>
      <c r="S1708" s="5"/>
      <c r="T1708" s="5"/>
      <c r="U1708" s="5"/>
      <c r="V1708" s="5"/>
      <c r="W1708" s="5"/>
      <c r="X1708" s="5"/>
      <c r="Y1708" s="5"/>
      <c r="Z1708" s="5"/>
      <c r="AA1708" s="5"/>
      <c r="AB1708" s="5"/>
      <c r="AC1708" s="5"/>
      <c r="AD1708" s="5"/>
      <c r="AE1708" s="5"/>
      <c r="AF1708" s="5"/>
      <c r="AG1708" s="5"/>
    </row>
    <row r="1709" ht="15.75" customHeight="1">
      <c r="K1709" t="s">
        <v>2965</v>
      </c>
      <c r="L1709" t="str">
        <f>E135</f>
        <v>H1a2b</v>
      </c>
      <c r="N1709" t="s">
        <v>2966</v>
      </c>
      <c r="O1709">
        <v>1.7208239E7</v>
      </c>
      <c r="P1709">
        <v>1.5096359E7</v>
      </c>
      <c r="Q1709" t="s">
        <v>431</v>
      </c>
      <c r="R1709" s="5"/>
      <c r="S1709" s="5"/>
      <c r="T1709" s="5"/>
      <c r="U1709" s="5"/>
      <c r="V1709" s="5"/>
      <c r="W1709" s="5"/>
      <c r="X1709" s="5"/>
      <c r="Y1709" s="5"/>
      <c r="Z1709" s="5"/>
      <c r="AA1709" s="5"/>
      <c r="AB1709" s="5"/>
      <c r="AC1709" s="5"/>
      <c r="AD1709" s="5"/>
      <c r="AE1709" s="5"/>
      <c r="AF1709" s="5"/>
      <c r="AG1709" s="5"/>
    </row>
    <row r="1710" ht="15.75" customHeight="1">
      <c r="K1710" t="s">
        <v>2967</v>
      </c>
      <c r="L1710" t="str">
        <f>E135</f>
        <v>H1a2b</v>
      </c>
      <c r="N1710" t="s">
        <v>2968</v>
      </c>
      <c r="O1710">
        <v>1.7325673E7</v>
      </c>
      <c r="P1710">
        <v>1.5213793E7</v>
      </c>
      <c r="Q1710" t="s">
        <v>427</v>
      </c>
      <c r="R1710" s="5"/>
      <c r="S1710" s="5"/>
      <c r="T1710" s="5"/>
      <c r="U1710" s="5"/>
      <c r="V1710" s="5"/>
      <c r="W1710" s="5"/>
      <c r="X1710" s="5"/>
      <c r="Y1710" s="5"/>
      <c r="Z1710" s="5"/>
      <c r="AA1710" s="5"/>
      <c r="AB1710" s="5"/>
      <c r="AC1710" s="5"/>
      <c r="AD1710" s="5"/>
      <c r="AE1710" s="5"/>
      <c r="AF1710" s="5"/>
      <c r="AG1710" s="5"/>
    </row>
    <row r="1711" ht="15.75" customHeight="1">
      <c r="K1711" t="s">
        <v>2969</v>
      </c>
      <c r="L1711" t="str">
        <f>E135</f>
        <v>H1a2b</v>
      </c>
      <c r="N1711" t="s">
        <v>2970</v>
      </c>
      <c r="O1711">
        <v>1.7483823E7</v>
      </c>
      <c r="P1711">
        <v>1.5371943E7</v>
      </c>
      <c r="Q1711" t="s">
        <v>427</v>
      </c>
      <c r="R1711" s="5"/>
      <c r="S1711" s="5"/>
      <c r="T1711" s="5"/>
      <c r="U1711" s="5"/>
      <c r="V1711" s="5"/>
      <c r="W1711" s="5"/>
      <c r="X1711" s="5"/>
      <c r="Y1711" s="5"/>
      <c r="Z1711" s="5"/>
      <c r="AA1711" s="5"/>
      <c r="AB1711" s="5"/>
      <c r="AC1711" s="5"/>
      <c r="AD1711" s="5"/>
      <c r="AE1711" s="5"/>
      <c r="AF1711" s="5"/>
      <c r="AG1711" s="5"/>
    </row>
    <row r="1712" ht="15.75" customHeight="1">
      <c r="K1712" t="s">
        <v>2971</v>
      </c>
      <c r="L1712" t="str">
        <f>E135</f>
        <v>H1a2b</v>
      </c>
      <c r="N1712" t="s">
        <v>2972</v>
      </c>
      <c r="O1712">
        <v>1.9539263E7</v>
      </c>
      <c r="P1712">
        <v>1.7427383E7</v>
      </c>
      <c r="Q1712" t="s">
        <v>431</v>
      </c>
      <c r="R1712" s="5"/>
      <c r="S1712" s="5"/>
      <c r="T1712" s="5"/>
      <c r="U1712" s="5"/>
      <c r="V1712" s="5"/>
      <c r="W1712" s="5"/>
      <c r="X1712" s="5"/>
      <c r="Y1712" s="5"/>
      <c r="Z1712" s="5"/>
      <c r="AA1712" s="5"/>
      <c r="AB1712" s="5"/>
      <c r="AC1712" s="5"/>
      <c r="AD1712" s="5"/>
      <c r="AE1712" s="5"/>
      <c r="AF1712" s="5"/>
      <c r="AG1712" s="5"/>
    </row>
    <row r="1713" ht="15.75" customHeight="1">
      <c r="K1713" t="s">
        <v>2973</v>
      </c>
      <c r="L1713" t="str">
        <f>E135</f>
        <v>H1a2b</v>
      </c>
      <c r="N1713" t="s">
        <v>2974</v>
      </c>
      <c r="O1713">
        <v>2.1165709E7</v>
      </c>
      <c r="P1713">
        <v>1.9003823E7</v>
      </c>
      <c r="Q1713" t="s">
        <v>435</v>
      </c>
      <c r="R1713" s="5"/>
      <c r="S1713" s="5"/>
      <c r="T1713" s="5"/>
      <c r="U1713" s="5"/>
      <c r="V1713" s="5"/>
      <c r="W1713" s="5"/>
      <c r="X1713" s="5"/>
      <c r="Y1713" s="5"/>
      <c r="Z1713" s="5"/>
      <c r="AA1713" s="5"/>
      <c r="AB1713" s="5"/>
      <c r="AC1713" s="5"/>
      <c r="AD1713" s="5"/>
      <c r="AE1713" s="5"/>
      <c r="AF1713" s="5"/>
      <c r="AG1713" s="5"/>
    </row>
    <row r="1714" ht="15.75" customHeight="1">
      <c r="K1714" t="s">
        <v>2975</v>
      </c>
      <c r="L1714" t="str">
        <f>E135</f>
        <v>H1a2b</v>
      </c>
      <c r="N1714" t="s">
        <v>2976</v>
      </c>
      <c r="O1714">
        <v>2.1299587E7</v>
      </c>
      <c r="P1714">
        <v>1.9137701E7</v>
      </c>
      <c r="Q1714" t="s">
        <v>423</v>
      </c>
      <c r="R1714" s="5"/>
      <c r="S1714" s="5"/>
      <c r="T1714" s="5"/>
      <c r="U1714" s="5"/>
      <c r="V1714" s="5"/>
      <c r="W1714" s="5"/>
      <c r="X1714" s="5"/>
      <c r="Y1714" s="5"/>
      <c r="Z1714" s="5"/>
      <c r="AA1714" s="5"/>
      <c r="AB1714" s="5"/>
      <c r="AC1714" s="5"/>
      <c r="AD1714" s="5"/>
      <c r="AE1714" s="5"/>
      <c r="AF1714" s="5"/>
      <c r="AG1714" s="5"/>
    </row>
    <row r="1715" ht="15.75" customHeight="1">
      <c r="K1715" t="s">
        <v>2977</v>
      </c>
      <c r="L1715" t="str">
        <f>E135</f>
        <v>H1a2b</v>
      </c>
      <c r="N1715" t="s">
        <v>2978</v>
      </c>
      <c r="O1715">
        <v>2.1581269E7</v>
      </c>
      <c r="P1715">
        <v>1.9419383E7</v>
      </c>
      <c r="Q1715" t="s">
        <v>423</v>
      </c>
      <c r="R1715" s="5"/>
      <c r="S1715" s="5"/>
      <c r="T1715" s="5"/>
      <c r="U1715" s="5"/>
      <c r="V1715" s="5"/>
      <c r="W1715" s="5"/>
      <c r="X1715" s="5"/>
      <c r="Y1715" s="5"/>
      <c r="Z1715" s="5"/>
      <c r="AA1715" s="5"/>
      <c r="AB1715" s="5"/>
      <c r="AC1715" s="5"/>
      <c r="AD1715" s="5"/>
      <c r="AE1715" s="5"/>
      <c r="AF1715" s="5"/>
      <c r="AG1715" s="5"/>
    </row>
    <row r="1716" ht="15.75" customHeight="1">
      <c r="K1716" t="s">
        <v>2979</v>
      </c>
      <c r="L1716" t="str">
        <f>E135</f>
        <v>H1a2b</v>
      </c>
      <c r="N1716" t="s">
        <v>2980</v>
      </c>
      <c r="O1716">
        <v>2.2618104E7</v>
      </c>
      <c r="P1716">
        <v>2.0456218E7</v>
      </c>
      <c r="Q1716" t="s">
        <v>435</v>
      </c>
      <c r="R1716" s="5"/>
      <c r="S1716" s="5"/>
      <c r="T1716" s="5"/>
      <c r="U1716" s="5"/>
      <c r="V1716" s="5"/>
      <c r="W1716" s="5"/>
      <c r="X1716" s="5"/>
      <c r="Y1716" s="5"/>
      <c r="Z1716" s="5"/>
      <c r="AA1716" s="5"/>
      <c r="AB1716" s="5"/>
      <c r="AC1716" s="5"/>
      <c r="AD1716" s="5"/>
      <c r="AE1716" s="5"/>
      <c r="AF1716" s="5"/>
      <c r="AG1716" s="5"/>
    </row>
    <row r="1717" ht="15.75" customHeight="1">
      <c r="K1717" t="s">
        <v>2981</v>
      </c>
      <c r="L1717" t="str">
        <f>E135</f>
        <v>H1a2b</v>
      </c>
      <c r="N1717" t="s">
        <v>2982</v>
      </c>
      <c r="O1717">
        <v>2.2800803E7</v>
      </c>
      <c r="P1717">
        <v>2.0638917E7</v>
      </c>
      <c r="Q1717" t="s">
        <v>431</v>
      </c>
      <c r="R1717" s="5"/>
      <c r="S1717" s="5"/>
      <c r="T1717" s="5"/>
      <c r="U1717" s="5"/>
      <c r="V1717" s="5"/>
      <c r="W1717" s="5"/>
      <c r="X1717" s="5"/>
      <c r="Y1717" s="5"/>
      <c r="Z1717" s="5"/>
      <c r="AA1717" s="5"/>
      <c r="AB1717" s="5"/>
      <c r="AC1717" s="5"/>
      <c r="AD1717" s="5"/>
      <c r="AE1717" s="5"/>
      <c r="AF1717" s="5"/>
      <c r="AG1717" s="5"/>
    </row>
    <row r="1718" ht="15.75" customHeight="1">
      <c r="K1718" t="s">
        <v>2983</v>
      </c>
      <c r="L1718" t="str">
        <f>E135</f>
        <v>H1a2b</v>
      </c>
      <c r="N1718" t="s">
        <v>2984</v>
      </c>
      <c r="O1718">
        <v>2.2938378E7</v>
      </c>
      <c r="P1718">
        <v>2.0776492E7</v>
      </c>
      <c r="Q1718" t="s">
        <v>431</v>
      </c>
      <c r="R1718" s="5"/>
      <c r="S1718" s="5"/>
      <c r="T1718" s="5"/>
      <c r="U1718" s="5"/>
      <c r="V1718" s="5"/>
      <c r="W1718" s="5"/>
      <c r="X1718" s="5"/>
      <c r="Y1718" s="5"/>
      <c r="Z1718" s="5"/>
      <c r="AA1718" s="5"/>
      <c r="AB1718" s="5"/>
      <c r="AC1718" s="5"/>
      <c r="AD1718" s="5"/>
      <c r="AE1718" s="5"/>
      <c r="AF1718" s="5"/>
      <c r="AG1718" s="5"/>
    </row>
    <row r="1719" ht="15.75" customHeight="1">
      <c r="K1719" t="s">
        <v>2985</v>
      </c>
      <c r="L1719" t="str">
        <f>E135</f>
        <v>H1a2b</v>
      </c>
      <c r="N1719" t="s">
        <v>2986</v>
      </c>
      <c r="O1719">
        <v>2.3041312E7</v>
      </c>
      <c r="P1719">
        <v>2.0879426E7</v>
      </c>
      <c r="Q1719" t="s">
        <v>525</v>
      </c>
      <c r="R1719" s="5"/>
      <c r="S1719" s="5"/>
      <c r="T1719" s="5"/>
      <c r="U1719" s="5"/>
      <c r="V1719" s="5"/>
      <c r="W1719" s="5"/>
      <c r="X1719" s="5"/>
      <c r="Y1719" s="5"/>
      <c r="Z1719" s="5"/>
      <c r="AA1719" s="5"/>
      <c r="AB1719" s="5"/>
      <c r="AC1719" s="5"/>
      <c r="AD1719" s="5"/>
      <c r="AE1719" s="5"/>
      <c r="AF1719" s="5"/>
      <c r="AG1719" s="5"/>
    </row>
    <row r="1720" ht="15.75" customHeight="1">
      <c r="K1720" t="s">
        <v>2987</v>
      </c>
      <c r="L1720" t="str">
        <f>E135</f>
        <v>H1a2b</v>
      </c>
      <c r="N1720" t="s">
        <v>2988</v>
      </c>
      <c r="O1720">
        <v>2.3302776E7</v>
      </c>
      <c r="P1720">
        <v>2.114089E7</v>
      </c>
      <c r="Q1720" t="s">
        <v>435</v>
      </c>
      <c r="R1720" s="5"/>
      <c r="S1720" s="5"/>
      <c r="T1720" s="5"/>
      <c r="U1720" s="5"/>
      <c r="V1720" s="5"/>
      <c r="W1720" s="5"/>
      <c r="X1720" s="5"/>
      <c r="Y1720" s="5"/>
      <c r="Z1720" s="5"/>
      <c r="AA1720" s="5"/>
      <c r="AB1720" s="5"/>
      <c r="AC1720" s="5"/>
      <c r="AD1720" s="5"/>
      <c r="AE1720" s="5"/>
      <c r="AF1720" s="5"/>
      <c r="AG1720" s="5"/>
    </row>
    <row r="1721" ht="15.75" customHeight="1">
      <c r="K1721" t="s">
        <v>2989</v>
      </c>
      <c r="L1721" t="str">
        <f>E135</f>
        <v>H1a2b</v>
      </c>
      <c r="N1721" t="s">
        <v>2990</v>
      </c>
      <c r="O1721">
        <v>2.3514876E7</v>
      </c>
      <c r="P1721">
        <v>2.135299E7</v>
      </c>
      <c r="Q1721" t="s">
        <v>435</v>
      </c>
      <c r="R1721" s="5"/>
      <c r="S1721" s="5"/>
      <c r="T1721" s="5"/>
      <c r="U1721" s="5"/>
      <c r="V1721" s="5"/>
      <c r="W1721" s="5"/>
      <c r="X1721" s="5"/>
      <c r="Y1721" s="5"/>
      <c r="Z1721" s="5"/>
      <c r="AA1721" s="5"/>
      <c r="AB1721" s="5"/>
      <c r="AC1721" s="5"/>
      <c r="AD1721" s="5"/>
      <c r="AE1721" s="5"/>
      <c r="AF1721" s="5"/>
      <c r="AG1721" s="5"/>
    </row>
    <row r="1722" ht="15.75" customHeight="1">
      <c r="K1722" t="s">
        <v>2991</v>
      </c>
      <c r="L1722" t="str">
        <f>E135</f>
        <v>H1a2b</v>
      </c>
      <c r="N1722" t="s">
        <v>2992</v>
      </c>
      <c r="O1722">
        <v>2.4417307E7</v>
      </c>
      <c r="P1722">
        <v>2.227116E7</v>
      </c>
      <c r="Q1722" t="s">
        <v>435</v>
      </c>
      <c r="R1722" s="5"/>
      <c r="S1722" s="5"/>
      <c r="T1722" s="5"/>
      <c r="U1722" s="5"/>
      <c r="V1722" s="5"/>
      <c r="W1722" s="5"/>
      <c r="X1722" s="5"/>
      <c r="Y1722" s="5"/>
      <c r="Z1722" s="5"/>
      <c r="AA1722" s="5"/>
      <c r="AB1722" s="5"/>
      <c r="AC1722" s="5"/>
      <c r="AD1722" s="5"/>
      <c r="AE1722" s="5"/>
      <c r="AF1722" s="5"/>
      <c r="AG1722" s="5"/>
    </row>
    <row r="1723" ht="15.75" customHeight="1">
      <c r="K1723" t="s">
        <v>2993</v>
      </c>
      <c r="L1723" t="str">
        <f t="shared" ref="L1723:L1724" si="40">E135</f>
        <v>H1a2b</v>
      </c>
      <c r="N1723" t="s">
        <v>2994</v>
      </c>
      <c r="O1723">
        <v>7197644.0</v>
      </c>
      <c r="P1723">
        <v>7329603.0</v>
      </c>
      <c r="Q1723" t="s">
        <v>419</v>
      </c>
      <c r="R1723" s="5"/>
      <c r="S1723" s="5"/>
      <c r="T1723" s="5"/>
      <c r="U1723" s="5"/>
      <c r="V1723" s="5"/>
      <c r="W1723" s="5"/>
      <c r="X1723" s="5"/>
      <c r="Y1723" s="5"/>
      <c r="Z1723" s="5"/>
      <c r="AA1723" s="5"/>
      <c r="AB1723" s="5"/>
      <c r="AC1723" s="5"/>
      <c r="AD1723" s="5"/>
      <c r="AE1723" s="5"/>
      <c r="AF1723" s="5"/>
      <c r="AG1723" s="5"/>
    </row>
    <row r="1724" ht="15.75" customHeight="1">
      <c r="K1724" t="s">
        <v>2995</v>
      </c>
      <c r="L1724" t="str">
        <f t="shared" si="40"/>
        <v>H1a2b~</v>
      </c>
      <c r="M1724" t="s">
        <v>2996</v>
      </c>
      <c r="O1724">
        <v>9965578.0</v>
      </c>
      <c r="P1724">
        <v>1.0127969E7</v>
      </c>
      <c r="Q1724" t="s">
        <v>423</v>
      </c>
      <c r="R1724" s="5"/>
      <c r="S1724" s="5"/>
      <c r="T1724" s="5"/>
      <c r="U1724" s="5"/>
      <c r="V1724" s="5"/>
      <c r="W1724" s="5"/>
      <c r="X1724" s="5"/>
      <c r="Y1724" s="5"/>
      <c r="Z1724" s="5"/>
      <c r="AA1724" s="5"/>
      <c r="AB1724" s="5"/>
      <c r="AC1724" s="5"/>
      <c r="AD1724" s="5"/>
      <c r="AE1724" s="5"/>
      <c r="AF1724" s="5"/>
      <c r="AG1724" s="5"/>
    </row>
    <row r="1725" ht="15.75" customHeight="1">
      <c r="K1725" t="s">
        <v>2996</v>
      </c>
      <c r="L1725" t="str">
        <f>E136</f>
        <v>H1a2b~</v>
      </c>
      <c r="M1725" t="s">
        <v>2995</v>
      </c>
      <c r="O1725">
        <v>9965578.0</v>
      </c>
      <c r="P1725">
        <v>1.0127969E7</v>
      </c>
      <c r="Q1725" t="s">
        <v>423</v>
      </c>
      <c r="R1725" s="5"/>
      <c r="S1725" s="5"/>
      <c r="T1725" s="5"/>
      <c r="U1725" s="5"/>
      <c r="V1725" s="5"/>
      <c r="W1725" s="5"/>
      <c r="X1725" s="5"/>
      <c r="Y1725" s="5"/>
      <c r="Z1725" s="5"/>
      <c r="AA1725" s="5"/>
      <c r="AB1725" s="5"/>
      <c r="AC1725" s="5"/>
      <c r="AD1725" s="5"/>
      <c r="AE1725" s="5"/>
      <c r="AF1725" s="5"/>
      <c r="AG1725" s="5"/>
    </row>
    <row r="1726" ht="15.75" customHeight="1">
      <c r="K1726" t="s">
        <v>235</v>
      </c>
      <c r="L1726" t="str">
        <f>F137</f>
        <v>H1a2b1</v>
      </c>
      <c r="N1726" t="s">
        <v>2997</v>
      </c>
      <c r="O1726">
        <v>2.8683664E7</v>
      </c>
      <c r="P1726">
        <v>2.6537517E7</v>
      </c>
      <c r="Q1726" t="s">
        <v>435</v>
      </c>
      <c r="R1726" s="5"/>
      <c r="S1726" s="5"/>
      <c r="T1726" s="5"/>
      <c r="U1726" s="5"/>
      <c r="V1726" s="5"/>
      <c r="W1726" s="5"/>
      <c r="X1726" s="5"/>
      <c r="Y1726" s="5"/>
      <c r="Z1726" s="5"/>
      <c r="AA1726" s="5"/>
      <c r="AB1726" s="5"/>
      <c r="AC1726" s="5"/>
      <c r="AD1726" s="5"/>
      <c r="AE1726" s="5"/>
      <c r="AF1726" s="5"/>
      <c r="AG1726" s="5"/>
    </row>
    <row r="1727" ht="15.75" customHeight="1">
      <c r="K1727" t="s">
        <v>2998</v>
      </c>
      <c r="L1727" t="str">
        <f>G138</f>
        <v>H1a2b1a</v>
      </c>
      <c r="N1727" t="s">
        <v>2999</v>
      </c>
      <c r="O1727">
        <v>2681272.0</v>
      </c>
      <c r="P1727">
        <v>2813231.0</v>
      </c>
      <c r="Q1727" t="s">
        <v>419</v>
      </c>
      <c r="R1727" s="5"/>
      <c r="S1727" s="5"/>
      <c r="T1727" s="5"/>
      <c r="U1727" s="5"/>
      <c r="V1727" s="5"/>
      <c r="W1727" s="5"/>
      <c r="X1727" s="5"/>
      <c r="Y1727" s="5"/>
      <c r="Z1727" s="5"/>
      <c r="AA1727" s="5"/>
      <c r="AB1727" s="5"/>
      <c r="AC1727" s="5"/>
      <c r="AD1727" s="5"/>
      <c r="AE1727" s="5"/>
      <c r="AF1727" s="5"/>
      <c r="AG1727" s="5"/>
    </row>
    <row r="1728" ht="15.75" customHeight="1">
      <c r="K1728" t="s">
        <v>3000</v>
      </c>
      <c r="L1728" t="str">
        <f>G138</f>
        <v>H1a2b1a</v>
      </c>
      <c r="N1728" t="s">
        <v>3001</v>
      </c>
      <c r="O1728">
        <v>6756549.0</v>
      </c>
      <c r="P1728">
        <v>6888508.0</v>
      </c>
      <c r="Q1728" t="s">
        <v>476</v>
      </c>
      <c r="R1728" s="5"/>
      <c r="S1728" s="5"/>
      <c r="T1728" s="5"/>
      <c r="U1728" s="5"/>
      <c r="V1728" s="5"/>
      <c r="W1728" s="5"/>
      <c r="X1728" s="5"/>
      <c r="Y1728" s="5"/>
      <c r="Z1728" s="5"/>
      <c r="AA1728" s="5"/>
      <c r="AB1728" s="5"/>
      <c r="AC1728" s="5"/>
      <c r="AD1728" s="5"/>
      <c r="AE1728" s="5"/>
      <c r="AF1728" s="5"/>
      <c r="AG1728" s="5"/>
    </row>
    <row r="1729" ht="15.75" customHeight="1">
      <c r="K1729" t="s">
        <v>3002</v>
      </c>
      <c r="L1729" t="str">
        <f>G138</f>
        <v>H1a2b1a</v>
      </c>
      <c r="N1729" t="s">
        <v>3003</v>
      </c>
      <c r="O1729">
        <v>6901411.0</v>
      </c>
      <c r="P1729">
        <v>7033370.0</v>
      </c>
      <c r="Q1729" t="s">
        <v>419</v>
      </c>
      <c r="R1729" s="5"/>
      <c r="S1729" s="5"/>
      <c r="T1729" s="5"/>
      <c r="U1729" s="5"/>
      <c r="V1729" s="5"/>
      <c r="W1729" s="5"/>
      <c r="X1729" s="5"/>
      <c r="Y1729" s="5"/>
      <c r="Z1729" s="5"/>
      <c r="AA1729" s="5"/>
      <c r="AB1729" s="5"/>
      <c r="AC1729" s="5"/>
      <c r="AD1729" s="5"/>
      <c r="AE1729" s="5"/>
      <c r="AF1729" s="5"/>
      <c r="AG1729" s="5"/>
    </row>
    <row r="1730" ht="15.75" customHeight="1">
      <c r="K1730" t="s">
        <v>3004</v>
      </c>
      <c r="L1730" t="str">
        <f>G138</f>
        <v>H1a2b1a</v>
      </c>
      <c r="N1730" t="s">
        <v>3005</v>
      </c>
      <c r="O1730">
        <v>6954541.0</v>
      </c>
      <c r="P1730">
        <v>7086500.0</v>
      </c>
      <c r="Q1730" t="s">
        <v>423</v>
      </c>
      <c r="R1730" s="5"/>
      <c r="S1730" s="5"/>
      <c r="T1730" s="5"/>
      <c r="U1730" s="5"/>
      <c r="V1730" s="5"/>
      <c r="W1730" s="5"/>
      <c r="X1730" s="5"/>
      <c r="Y1730" s="5"/>
      <c r="Z1730" s="5"/>
      <c r="AA1730" s="5"/>
      <c r="AB1730" s="5"/>
      <c r="AC1730" s="5"/>
      <c r="AD1730" s="5"/>
      <c r="AE1730" s="5"/>
      <c r="AF1730" s="5"/>
      <c r="AG1730" s="5"/>
    </row>
    <row r="1731" ht="15.75" customHeight="1">
      <c r="K1731" t="s">
        <v>3006</v>
      </c>
      <c r="L1731" t="str">
        <f>G138</f>
        <v>H1a2b1a</v>
      </c>
      <c r="O1731">
        <v>7031896.0</v>
      </c>
      <c r="P1731">
        <v>7163855.0</v>
      </c>
      <c r="Q1731" t="s">
        <v>423</v>
      </c>
      <c r="R1731" s="5"/>
      <c r="S1731" s="5"/>
      <c r="T1731" s="5"/>
      <c r="U1731" s="5"/>
      <c r="V1731" s="5"/>
      <c r="W1731" s="5"/>
      <c r="X1731" s="5"/>
      <c r="Y1731" s="5"/>
      <c r="Z1731" s="5"/>
      <c r="AA1731" s="5"/>
      <c r="AB1731" s="5"/>
      <c r="AC1731" s="5"/>
      <c r="AD1731" s="5"/>
      <c r="AE1731" s="5"/>
      <c r="AF1731" s="5"/>
      <c r="AG1731" s="5"/>
    </row>
    <row r="1732" ht="15.75" customHeight="1">
      <c r="K1732" t="s">
        <v>3007</v>
      </c>
      <c r="L1732" t="str">
        <f>G138</f>
        <v>H1a2b1a</v>
      </c>
      <c r="N1732" t="s">
        <v>3008</v>
      </c>
      <c r="O1732">
        <v>7997053.0</v>
      </c>
      <c r="P1732">
        <v>8129012.0</v>
      </c>
      <c r="Q1732" t="s">
        <v>419</v>
      </c>
      <c r="R1732" s="5"/>
      <c r="S1732" s="5"/>
      <c r="T1732" s="5"/>
      <c r="U1732" s="5"/>
      <c r="V1732" s="5"/>
      <c r="W1732" s="5"/>
      <c r="X1732" s="5"/>
      <c r="Y1732" s="5"/>
      <c r="Z1732" s="5"/>
      <c r="AA1732" s="5"/>
      <c r="AB1732" s="5"/>
      <c r="AC1732" s="5"/>
      <c r="AD1732" s="5"/>
      <c r="AE1732" s="5"/>
      <c r="AF1732" s="5"/>
      <c r="AG1732" s="5"/>
    </row>
    <row r="1733" ht="15.75" customHeight="1">
      <c r="K1733" t="s">
        <v>3009</v>
      </c>
      <c r="L1733" t="str">
        <f>G138</f>
        <v>H1a2b1a</v>
      </c>
      <c r="N1733" t="s">
        <v>3010</v>
      </c>
      <c r="O1733">
        <v>8243708.0</v>
      </c>
      <c r="P1733">
        <v>8375667.0</v>
      </c>
      <c r="Q1733" t="s">
        <v>419</v>
      </c>
      <c r="R1733" s="5"/>
      <c r="S1733" s="5"/>
      <c r="T1733" s="5"/>
      <c r="U1733" s="5"/>
      <c r="V1733" s="5"/>
      <c r="W1733" s="5"/>
      <c r="X1733" s="5"/>
      <c r="Y1733" s="5"/>
      <c r="Z1733" s="5"/>
      <c r="AA1733" s="5"/>
      <c r="AB1733" s="5"/>
      <c r="AC1733" s="5"/>
      <c r="AD1733" s="5"/>
      <c r="AE1733" s="5"/>
      <c r="AF1733" s="5"/>
      <c r="AG1733" s="5"/>
    </row>
    <row r="1734" ht="15.75" customHeight="1">
      <c r="K1734" t="s">
        <v>3011</v>
      </c>
      <c r="L1734" t="str">
        <f>G138</f>
        <v>H1a2b1a</v>
      </c>
      <c r="N1734" t="s">
        <v>3012</v>
      </c>
      <c r="O1734">
        <v>8418065.0</v>
      </c>
      <c r="P1734">
        <v>8550024.0</v>
      </c>
      <c r="Q1734" t="s">
        <v>427</v>
      </c>
      <c r="R1734" s="5"/>
      <c r="S1734" s="5"/>
      <c r="T1734" s="5"/>
      <c r="U1734" s="5"/>
      <c r="V1734" s="5"/>
      <c r="W1734" s="5"/>
      <c r="X1734" s="5"/>
      <c r="Y1734" s="5"/>
      <c r="Z1734" s="5"/>
      <c r="AA1734" s="5"/>
      <c r="AB1734" s="5"/>
      <c r="AC1734" s="5"/>
      <c r="AD1734" s="5"/>
      <c r="AE1734" s="5"/>
      <c r="AF1734" s="5"/>
      <c r="AG1734" s="5"/>
    </row>
    <row r="1735" ht="15.75" customHeight="1">
      <c r="K1735" t="s">
        <v>3013</v>
      </c>
      <c r="L1735" t="str">
        <f>G138</f>
        <v>H1a2b1a</v>
      </c>
      <c r="N1735" t="s">
        <v>3014</v>
      </c>
      <c r="O1735">
        <v>8467707.0</v>
      </c>
      <c r="P1735">
        <v>8599666.0</v>
      </c>
      <c r="Q1735" t="s">
        <v>435</v>
      </c>
      <c r="R1735" s="5"/>
      <c r="S1735" s="5"/>
      <c r="T1735" s="5"/>
      <c r="U1735" s="5"/>
      <c r="V1735" s="5"/>
      <c r="W1735" s="5"/>
      <c r="X1735" s="5"/>
      <c r="Y1735" s="5"/>
      <c r="Z1735" s="5"/>
      <c r="AA1735" s="5"/>
      <c r="AB1735" s="5"/>
      <c r="AC1735" s="5"/>
      <c r="AD1735" s="5"/>
      <c r="AE1735" s="5"/>
      <c r="AF1735" s="5"/>
      <c r="AG1735" s="5"/>
    </row>
    <row r="1736" ht="15.75" customHeight="1">
      <c r="K1736" t="s">
        <v>3015</v>
      </c>
      <c r="L1736" t="str">
        <f>G138</f>
        <v>H1a2b1a</v>
      </c>
      <c r="N1736" t="s">
        <v>3016</v>
      </c>
      <c r="O1736">
        <v>8749969.0</v>
      </c>
      <c r="P1736">
        <v>8881928.0</v>
      </c>
      <c r="Q1736" t="s">
        <v>423</v>
      </c>
      <c r="R1736" s="5"/>
      <c r="S1736" s="5"/>
      <c r="T1736" s="5"/>
      <c r="U1736" s="5"/>
      <c r="V1736" s="5"/>
      <c r="W1736" s="5"/>
      <c r="X1736" s="5"/>
      <c r="Y1736" s="5"/>
      <c r="Z1736" s="5"/>
      <c r="AA1736" s="5"/>
      <c r="AB1736" s="5"/>
      <c r="AC1736" s="5"/>
      <c r="AD1736" s="5"/>
      <c r="AE1736" s="5"/>
      <c r="AF1736" s="5"/>
      <c r="AG1736" s="5"/>
    </row>
    <row r="1737" ht="15.75" customHeight="1">
      <c r="K1737" t="s">
        <v>3017</v>
      </c>
      <c r="L1737" t="str">
        <f>G138</f>
        <v>H1a2b1a</v>
      </c>
      <c r="N1737" t="s">
        <v>3018</v>
      </c>
      <c r="O1737">
        <v>8838928.0</v>
      </c>
      <c r="P1737">
        <v>8970887.0</v>
      </c>
      <c r="Q1737" t="s">
        <v>435</v>
      </c>
      <c r="R1737" s="5"/>
      <c r="S1737" s="5"/>
      <c r="T1737" s="5"/>
      <c r="U1737" s="5"/>
      <c r="V1737" s="5"/>
      <c r="W1737" s="5"/>
      <c r="X1737" s="5"/>
      <c r="Y1737" s="5"/>
      <c r="Z1737" s="5"/>
      <c r="AA1737" s="5"/>
      <c r="AB1737" s="5"/>
      <c r="AC1737" s="5"/>
      <c r="AD1737" s="5"/>
      <c r="AE1737" s="5"/>
      <c r="AF1737" s="5"/>
      <c r="AG1737" s="5"/>
    </row>
    <row r="1738" ht="15.75" customHeight="1">
      <c r="K1738" t="s">
        <v>3019</v>
      </c>
      <c r="L1738" t="str">
        <f>G138</f>
        <v>H1a2b1a</v>
      </c>
      <c r="N1738" t="s">
        <v>3020</v>
      </c>
      <c r="O1738">
        <v>9062845.0</v>
      </c>
      <c r="P1738">
        <v>9225236.0</v>
      </c>
      <c r="Q1738" t="s">
        <v>525</v>
      </c>
      <c r="R1738" s="5"/>
      <c r="S1738" s="5"/>
      <c r="T1738" s="5"/>
      <c r="U1738" s="5"/>
      <c r="V1738" s="5"/>
      <c r="W1738" s="5"/>
      <c r="X1738" s="5"/>
      <c r="Y1738" s="5"/>
      <c r="Z1738" s="5"/>
      <c r="AA1738" s="5"/>
      <c r="AB1738" s="5"/>
      <c r="AC1738" s="5"/>
      <c r="AD1738" s="5"/>
      <c r="AE1738" s="5"/>
      <c r="AF1738" s="5"/>
      <c r="AG1738" s="5"/>
    </row>
    <row r="1739" ht="15.75" customHeight="1">
      <c r="K1739" t="s">
        <v>3021</v>
      </c>
      <c r="L1739" t="str">
        <f>G138</f>
        <v>H1a2b1a</v>
      </c>
      <c r="O1739">
        <v>1.007997E7</v>
      </c>
      <c r="P1739">
        <v>1.0242361E7</v>
      </c>
      <c r="Q1739" t="s">
        <v>423</v>
      </c>
      <c r="R1739" s="5"/>
      <c r="S1739" s="5"/>
      <c r="T1739" s="5"/>
      <c r="U1739" s="5"/>
      <c r="V1739" s="5"/>
      <c r="W1739" s="5"/>
      <c r="X1739" s="5"/>
      <c r="Y1739" s="5"/>
      <c r="Z1739" s="5"/>
      <c r="AA1739" s="5"/>
      <c r="AB1739" s="5"/>
      <c r="AC1739" s="5"/>
      <c r="AD1739" s="5"/>
      <c r="AE1739" s="5"/>
      <c r="AF1739" s="5"/>
      <c r="AG1739" s="5"/>
    </row>
    <row r="1740" ht="15.75" customHeight="1">
      <c r="K1740" t="s">
        <v>3022</v>
      </c>
      <c r="L1740" t="str">
        <f>G138</f>
        <v>H1a2b1a</v>
      </c>
      <c r="O1740">
        <v>1.3672047E7</v>
      </c>
      <c r="P1740">
        <v>1.1516371E7</v>
      </c>
      <c r="Q1740" t="s">
        <v>452</v>
      </c>
      <c r="R1740" s="5"/>
      <c r="S1740" s="5"/>
      <c r="T1740" s="5"/>
      <c r="U1740" s="5"/>
      <c r="V1740" s="5"/>
      <c r="W1740" s="5"/>
      <c r="X1740" s="5"/>
      <c r="Y1740" s="5"/>
      <c r="Z1740" s="5"/>
      <c r="AA1740" s="5"/>
      <c r="AB1740" s="5"/>
      <c r="AC1740" s="5"/>
      <c r="AD1740" s="5"/>
      <c r="AE1740" s="5"/>
      <c r="AF1740" s="5"/>
      <c r="AG1740" s="5"/>
    </row>
    <row r="1741" ht="15.75" customHeight="1">
      <c r="K1741" t="s">
        <v>3023</v>
      </c>
      <c r="L1741" t="str">
        <f>G138</f>
        <v>H1a2b1a</v>
      </c>
      <c r="O1741">
        <v>1.3807231E7</v>
      </c>
      <c r="P1741">
        <v>1.1686525E7</v>
      </c>
      <c r="Q1741" t="s">
        <v>473</v>
      </c>
      <c r="R1741" s="5"/>
      <c r="S1741" s="5"/>
      <c r="T1741" s="5"/>
      <c r="U1741" s="5"/>
      <c r="V1741" s="5"/>
      <c r="W1741" s="5"/>
      <c r="X1741" s="5"/>
      <c r="Y1741" s="5"/>
      <c r="Z1741" s="5"/>
      <c r="AA1741" s="5"/>
      <c r="AB1741" s="5"/>
      <c r="AC1741" s="5"/>
      <c r="AD1741" s="5"/>
      <c r="AE1741" s="5"/>
      <c r="AF1741" s="5"/>
      <c r="AG1741" s="5"/>
    </row>
    <row r="1742" ht="15.75" customHeight="1">
      <c r="K1742" t="s">
        <v>3024</v>
      </c>
      <c r="L1742" t="str">
        <f>G138</f>
        <v>H1a2b1a</v>
      </c>
      <c r="N1742" t="s">
        <v>3025</v>
      </c>
      <c r="O1742">
        <v>1.3821938E7</v>
      </c>
      <c r="P1742">
        <v>1.1701232E7</v>
      </c>
      <c r="Q1742" t="s">
        <v>423</v>
      </c>
      <c r="R1742" s="5"/>
      <c r="S1742" s="5"/>
      <c r="T1742" s="5"/>
      <c r="U1742" s="5"/>
      <c r="V1742" s="5"/>
      <c r="W1742" s="5"/>
      <c r="X1742" s="5"/>
      <c r="Y1742" s="5"/>
      <c r="Z1742" s="5"/>
      <c r="AA1742" s="5"/>
      <c r="AB1742" s="5"/>
      <c r="AC1742" s="5"/>
      <c r="AD1742" s="5"/>
      <c r="AE1742" s="5"/>
      <c r="AF1742" s="5"/>
      <c r="AG1742" s="5"/>
    </row>
    <row r="1743" ht="15.75" customHeight="1">
      <c r="K1743" t="s">
        <v>3026</v>
      </c>
      <c r="L1743" t="str">
        <f>G138</f>
        <v>H1a2b1a</v>
      </c>
      <c r="O1743">
        <v>1.3858243E7</v>
      </c>
      <c r="P1743">
        <v>1.1737537E7</v>
      </c>
      <c r="Q1743" t="s">
        <v>431</v>
      </c>
      <c r="R1743" s="5"/>
      <c r="S1743" s="5"/>
      <c r="T1743" s="5"/>
      <c r="U1743" s="5"/>
      <c r="V1743" s="5"/>
      <c r="W1743" s="5"/>
      <c r="X1743" s="5"/>
      <c r="Y1743" s="5"/>
      <c r="Z1743" s="5"/>
      <c r="AA1743" s="5"/>
      <c r="AB1743" s="5"/>
      <c r="AC1743" s="5"/>
      <c r="AD1743" s="5"/>
      <c r="AE1743" s="5"/>
      <c r="AF1743" s="5"/>
      <c r="AG1743" s="5"/>
    </row>
    <row r="1744" ht="15.75" customHeight="1">
      <c r="K1744" t="s">
        <v>3027</v>
      </c>
      <c r="L1744" t="str">
        <f>G138</f>
        <v>H1a2b1a</v>
      </c>
      <c r="N1744" t="s">
        <v>3028</v>
      </c>
      <c r="O1744">
        <v>1.3987887E7</v>
      </c>
      <c r="P1744">
        <v>1.1867181E7</v>
      </c>
      <c r="Q1744" t="s">
        <v>423</v>
      </c>
      <c r="R1744" s="5"/>
      <c r="S1744" s="5"/>
      <c r="T1744" s="5"/>
      <c r="U1744" s="5"/>
      <c r="V1744" s="5"/>
      <c r="W1744" s="5"/>
      <c r="X1744" s="5"/>
      <c r="Y1744" s="5"/>
      <c r="Z1744" s="5"/>
      <c r="AA1744" s="5"/>
      <c r="AB1744" s="5"/>
      <c r="AC1744" s="5"/>
      <c r="AD1744" s="5"/>
      <c r="AE1744" s="5"/>
      <c r="AF1744" s="5"/>
      <c r="AG1744" s="5"/>
    </row>
    <row r="1745" ht="15.75" customHeight="1">
      <c r="K1745" t="s">
        <v>3029</v>
      </c>
      <c r="L1745" t="str">
        <f>G138</f>
        <v>H1a2b1a</v>
      </c>
      <c r="N1745" t="s">
        <v>3030</v>
      </c>
      <c r="O1745">
        <v>1.4010724E7</v>
      </c>
      <c r="P1745">
        <v>1.1890018E7</v>
      </c>
      <c r="Q1745" t="s">
        <v>427</v>
      </c>
      <c r="R1745" s="5"/>
      <c r="S1745" s="5"/>
      <c r="T1745" s="5"/>
      <c r="U1745" s="5"/>
      <c r="V1745" s="5"/>
      <c r="W1745" s="5"/>
      <c r="X1745" s="5"/>
      <c r="Y1745" s="5"/>
      <c r="Z1745" s="5"/>
      <c r="AA1745" s="5"/>
      <c r="AB1745" s="5"/>
      <c r="AC1745" s="5"/>
      <c r="AD1745" s="5"/>
      <c r="AE1745" s="5"/>
      <c r="AF1745" s="5"/>
      <c r="AG1745" s="5"/>
    </row>
    <row r="1746" ht="15.75" customHeight="1">
      <c r="K1746" t="s">
        <v>3031</v>
      </c>
      <c r="L1746" t="str">
        <f>G138</f>
        <v>H1a2b1a</v>
      </c>
      <c r="N1746" t="s">
        <v>3032</v>
      </c>
      <c r="O1746">
        <v>1.4033401E7</v>
      </c>
      <c r="P1746">
        <v>1.1912695E7</v>
      </c>
      <c r="Q1746" t="s">
        <v>419</v>
      </c>
      <c r="R1746" s="5"/>
      <c r="S1746" s="5"/>
      <c r="T1746" s="5"/>
      <c r="U1746" s="5"/>
      <c r="V1746" s="5"/>
      <c r="W1746" s="5"/>
      <c r="X1746" s="5"/>
      <c r="Y1746" s="5"/>
      <c r="Z1746" s="5"/>
      <c r="AA1746" s="5"/>
      <c r="AB1746" s="5"/>
      <c r="AC1746" s="5"/>
      <c r="AD1746" s="5"/>
      <c r="AE1746" s="5"/>
      <c r="AF1746" s="5"/>
      <c r="AG1746" s="5"/>
    </row>
    <row r="1747" ht="15.75" customHeight="1">
      <c r="K1747" t="s">
        <v>3033</v>
      </c>
      <c r="L1747" t="str">
        <f>G138</f>
        <v>H1a2b1a</v>
      </c>
      <c r="N1747" t="s">
        <v>3034</v>
      </c>
      <c r="O1747">
        <v>1.4151847E7</v>
      </c>
      <c r="P1747">
        <v>1.2031141E7</v>
      </c>
      <c r="Q1747" t="s">
        <v>525</v>
      </c>
      <c r="R1747" s="5"/>
      <c r="S1747" s="5"/>
      <c r="T1747" s="5"/>
      <c r="U1747" s="5"/>
      <c r="V1747" s="5"/>
      <c r="W1747" s="5"/>
      <c r="X1747" s="5"/>
      <c r="Y1747" s="5"/>
      <c r="Z1747" s="5"/>
      <c r="AA1747" s="5"/>
      <c r="AB1747" s="5"/>
      <c r="AC1747" s="5"/>
      <c r="AD1747" s="5"/>
      <c r="AE1747" s="5"/>
      <c r="AF1747" s="5"/>
      <c r="AG1747" s="5"/>
    </row>
    <row r="1748" ht="15.75" customHeight="1">
      <c r="K1748" t="s">
        <v>3035</v>
      </c>
      <c r="L1748" t="str">
        <f>G138</f>
        <v>H1a2b1a</v>
      </c>
      <c r="N1748" t="s">
        <v>3036</v>
      </c>
      <c r="O1748">
        <v>1.4181842E7</v>
      </c>
      <c r="P1748">
        <v>1.2061136E7</v>
      </c>
      <c r="Q1748" t="s">
        <v>476</v>
      </c>
      <c r="R1748" s="5"/>
      <c r="S1748" s="5"/>
      <c r="T1748" s="5"/>
      <c r="U1748" s="5"/>
      <c r="V1748" s="5"/>
      <c r="W1748" s="5"/>
      <c r="X1748" s="5"/>
      <c r="Y1748" s="5"/>
      <c r="Z1748" s="5"/>
      <c r="AA1748" s="5"/>
      <c r="AB1748" s="5"/>
      <c r="AC1748" s="5"/>
      <c r="AD1748" s="5"/>
      <c r="AE1748" s="5"/>
      <c r="AF1748" s="5"/>
      <c r="AG1748" s="5"/>
    </row>
    <row r="1749" ht="15.75" customHeight="1">
      <c r="K1749" t="s">
        <v>3037</v>
      </c>
      <c r="L1749" t="str">
        <f>G138</f>
        <v>H1a2b1a</v>
      </c>
      <c r="N1749" t="s">
        <v>3038</v>
      </c>
      <c r="O1749">
        <v>1.4212014E7</v>
      </c>
      <c r="P1749">
        <v>1.2091308E7</v>
      </c>
      <c r="Q1749" t="s">
        <v>423</v>
      </c>
      <c r="R1749" s="5"/>
      <c r="S1749" s="5"/>
      <c r="T1749" s="5"/>
      <c r="U1749" s="5"/>
      <c r="V1749" s="5"/>
      <c r="W1749" s="5"/>
      <c r="X1749" s="5"/>
      <c r="Y1749" s="5"/>
      <c r="Z1749" s="5"/>
      <c r="AA1749" s="5"/>
      <c r="AB1749" s="5"/>
      <c r="AC1749" s="5"/>
      <c r="AD1749" s="5"/>
      <c r="AE1749" s="5"/>
      <c r="AF1749" s="5"/>
      <c r="AG1749" s="5"/>
    </row>
    <row r="1750" ht="15.75" customHeight="1">
      <c r="K1750" t="s">
        <v>3039</v>
      </c>
      <c r="L1750" t="str">
        <f>G138</f>
        <v>H1a2b1a</v>
      </c>
      <c r="N1750" t="s">
        <v>3040</v>
      </c>
      <c r="O1750">
        <v>1.4274005E7</v>
      </c>
      <c r="P1750">
        <v>1.2153299E7</v>
      </c>
      <c r="Q1750" t="s">
        <v>525</v>
      </c>
      <c r="R1750" s="5"/>
      <c r="S1750" s="5"/>
      <c r="T1750" s="5"/>
      <c r="U1750" s="5"/>
      <c r="V1750" s="5"/>
      <c r="W1750" s="5"/>
      <c r="X1750" s="5"/>
      <c r="Y1750" s="5"/>
      <c r="Z1750" s="5"/>
      <c r="AA1750" s="5"/>
      <c r="AB1750" s="5"/>
      <c r="AC1750" s="5"/>
      <c r="AD1750" s="5"/>
      <c r="AE1750" s="5"/>
      <c r="AF1750" s="5"/>
      <c r="AG1750" s="5"/>
    </row>
    <row r="1751" ht="15.75" customHeight="1">
      <c r="K1751" t="s">
        <v>3041</v>
      </c>
      <c r="L1751" t="str">
        <f>G138</f>
        <v>H1a2b1a</v>
      </c>
      <c r="O1751">
        <v>1.4446138E7</v>
      </c>
      <c r="P1751">
        <v>1.2325411E7</v>
      </c>
      <c r="Q1751" t="s">
        <v>419</v>
      </c>
      <c r="R1751" s="5"/>
      <c r="S1751" s="5"/>
      <c r="T1751" s="5"/>
      <c r="U1751" s="5"/>
      <c r="V1751" s="5"/>
      <c r="W1751" s="5"/>
      <c r="X1751" s="5"/>
      <c r="Y1751" s="5"/>
      <c r="Z1751" s="5"/>
      <c r="AA1751" s="5"/>
      <c r="AB1751" s="5"/>
      <c r="AC1751" s="5"/>
      <c r="AD1751" s="5"/>
      <c r="AE1751" s="5"/>
      <c r="AF1751" s="5"/>
      <c r="AG1751" s="5"/>
    </row>
    <row r="1752" ht="15.75" customHeight="1">
      <c r="K1752" t="s">
        <v>3042</v>
      </c>
      <c r="L1752" t="str">
        <f>G138</f>
        <v>H1a2b1a</v>
      </c>
      <c r="N1752" t="s">
        <v>3043</v>
      </c>
      <c r="O1752">
        <v>1.448219E7</v>
      </c>
      <c r="P1752">
        <v>1.2361459E7</v>
      </c>
      <c r="Q1752" t="s">
        <v>435</v>
      </c>
      <c r="R1752" s="5"/>
      <c r="S1752" s="5"/>
      <c r="T1752" s="5"/>
      <c r="U1752" s="5"/>
      <c r="V1752" s="5"/>
      <c r="W1752" s="5"/>
      <c r="X1752" s="5"/>
      <c r="Y1752" s="5"/>
      <c r="Z1752" s="5"/>
      <c r="AA1752" s="5"/>
      <c r="AB1752" s="5"/>
      <c r="AC1752" s="5"/>
      <c r="AD1752" s="5"/>
      <c r="AE1752" s="5"/>
      <c r="AF1752" s="5"/>
      <c r="AG1752" s="5"/>
    </row>
    <row r="1753" ht="15.75" customHeight="1">
      <c r="K1753" t="s">
        <v>3044</v>
      </c>
      <c r="L1753" t="str">
        <f>G138</f>
        <v>H1a2b1a</v>
      </c>
      <c r="N1753" t="s">
        <v>3045</v>
      </c>
      <c r="O1753">
        <v>1.5135282E7</v>
      </c>
      <c r="P1753">
        <v>1.3023369E7</v>
      </c>
      <c r="Q1753" t="s">
        <v>435</v>
      </c>
      <c r="R1753" s="5"/>
      <c r="S1753" s="5"/>
      <c r="T1753" s="5"/>
      <c r="U1753" s="5"/>
      <c r="V1753" s="5"/>
      <c r="W1753" s="5"/>
      <c r="X1753" s="5"/>
      <c r="Y1753" s="5"/>
      <c r="Z1753" s="5"/>
      <c r="AA1753" s="5"/>
      <c r="AB1753" s="5"/>
      <c r="AC1753" s="5"/>
      <c r="AD1753" s="5"/>
      <c r="AE1753" s="5"/>
      <c r="AF1753" s="5"/>
      <c r="AG1753" s="5"/>
    </row>
    <row r="1754" ht="15.75" customHeight="1">
      <c r="K1754" t="s">
        <v>3046</v>
      </c>
      <c r="L1754" t="str">
        <f>G138</f>
        <v>H1a2b1a</v>
      </c>
      <c r="N1754" t="s">
        <v>3047</v>
      </c>
      <c r="O1754">
        <v>1.5277465E7</v>
      </c>
      <c r="P1754">
        <v>1.3165554E7</v>
      </c>
      <c r="Q1754" t="s">
        <v>419</v>
      </c>
      <c r="R1754" s="5"/>
      <c r="S1754" s="5"/>
      <c r="T1754" s="5"/>
      <c r="U1754" s="5"/>
      <c r="V1754" s="5"/>
      <c r="W1754" s="5"/>
      <c r="X1754" s="5"/>
      <c r="Y1754" s="5"/>
      <c r="Z1754" s="5"/>
      <c r="AA1754" s="5"/>
      <c r="AB1754" s="5"/>
      <c r="AC1754" s="5"/>
      <c r="AD1754" s="5"/>
      <c r="AE1754" s="5"/>
      <c r="AF1754" s="5"/>
      <c r="AG1754" s="5"/>
    </row>
    <row r="1755" ht="15.75" customHeight="1">
      <c r="K1755" t="s">
        <v>3048</v>
      </c>
      <c r="L1755" t="str">
        <f>G138</f>
        <v>H1a2b1a</v>
      </c>
      <c r="N1755" t="s">
        <v>3049</v>
      </c>
      <c r="O1755">
        <v>1.5700163E7</v>
      </c>
      <c r="P1755">
        <v>1.3588283E7</v>
      </c>
      <c r="Q1755" t="s">
        <v>473</v>
      </c>
      <c r="R1755" s="5"/>
      <c r="S1755" s="5"/>
      <c r="T1755" s="5"/>
      <c r="U1755" s="5"/>
      <c r="V1755" s="5"/>
      <c r="W1755" s="5"/>
      <c r="X1755" s="5"/>
      <c r="Y1755" s="5"/>
      <c r="Z1755" s="5"/>
      <c r="AA1755" s="5"/>
      <c r="AB1755" s="5"/>
      <c r="AC1755" s="5"/>
      <c r="AD1755" s="5"/>
      <c r="AE1755" s="5"/>
      <c r="AF1755" s="5"/>
      <c r="AG1755" s="5"/>
    </row>
    <row r="1756" ht="15.75" customHeight="1">
      <c r="K1756" t="s">
        <v>3050</v>
      </c>
      <c r="L1756" t="str">
        <f>G138</f>
        <v>H1a2b1a</v>
      </c>
      <c r="N1756" t="s">
        <v>3051</v>
      </c>
      <c r="O1756">
        <v>1.6227318E7</v>
      </c>
      <c r="P1756">
        <v>1.4115438E7</v>
      </c>
      <c r="Q1756" t="s">
        <v>459</v>
      </c>
      <c r="R1756" s="5"/>
      <c r="S1756" s="5"/>
      <c r="T1756" s="5"/>
      <c r="U1756" s="5"/>
      <c r="V1756" s="5"/>
      <c r="W1756" s="5"/>
      <c r="X1756" s="5"/>
      <c r="Y1756" s="5"/>
      <c r="Z1756" s="5"/>
      <c r="AA1756" s="5"/>
      <c r="AB1756" s="5"/>
      <c r="AC1756" s="5"/>
      <c r="AD1756" s="5"/>
      <c r="AE1756" s="5"/>
      <c r="AF1756" s="5"/>
      <c r="AG1756" s="5"/>
    </row>
    <row r="1757" ht="15.75" customHeight="1">
      <c r="K1757" t="s">
        <v>3052</v>
      </c>
      <c r="L1757" t="str">
        <f>G138</f>
        <v>H1a2b1a</v>
      </c>
      <c r="N1757" t="s">
        <v>3053</v>
      </c>
      <c r="O1757">
        <v>1.625776E7</v>
      </c>
      <c r="P1757">
        <v>1.414588E7</v>
      </c>
      <c r="Q1757" t="s">
        <v>423</v>
      </c>
      <c r="R1757" s="5"/>
      <c r="S1757" s="5"/>
      <c r="T1757" s="5"/>
      <c r="U1757" s="5"/>
      <c r="V1757" s="5"/>
      <c r="W1757" s="5"/>
      <c r="X1757" s="5"/>
      <c r="Y1757" s="5"/>
      <c r="Z1757" s="5"/>
      <c r="AA1757" s="5"/>
      <c r="AB1757" s="5"/>
      <c r="AC1757" s="5"/>
      <c r="AD1757" s="5"/>
      <c r="AE1757" s="5"/>
      <c r="AF1757" s="5"/>
      <c r="AG1757" s="5"/>
    </row>
    <row r="1758" ht="15.75" customHeight="1">
      <c r="K1758" t="s">
        <v>3054</v>
      </c>
      <c r="L1758" t="str">
        <f>G138</f>
        <v>H1a2b1a</v>
      </c>
      <c r="N1758" t="s">
        <v>3055</v>
      </c>
      <c r="O1758">
        <v>1.631452E7</v>
      </c>
      <c r="P1758">
        <v>1.420264E7</v>
      </c>
      <c r="Q1758" t="s">
        <v>473</v>
      </c>
      <c r="R1758" s="5"/>
      <c r="S1758" s="5"/>
      <c r="T1758" s="5"/>
      <c r="U1758" s="5"/>
      <c r="V1758" s="5"/>
      <c r="W1758" s="5"/>
      <c r="X1758" s="5"/>
      <c r="Y1758" s="5"/>
      <c r="Z1758" s="5"/>
      <c r="AA1758" s="5"/>
      <c r="AB1758" s="5"/>
      <c r="AC1758" s="5"/>
      <c r="AD1758" s="5"/>
      <c r="AE1758" s="5"/>
      <c r="AF1758" s="5"/>
      <c r="AG1758" s="5"/>
    </row>
    <row r="1759" ht="15.75" customHeight="1">
      <c r="K1759" t="s">
        <v>3056</v>
      </c>
      <c r="L1759" t="str">
        <f>G138</f>
        <v>H1a2b1a</v>
      </c>
      <c r="N1759" t="s">
        <v>3057</v>
      </c>
      <c r="O1759">
        <v>1.6340614E7</v>
      </c>
      <c r="P1759">
        <v>1.4228734E7</v>
      </c>
      <c r="Q1759" t="s">
        <v>419</v>
      </c>
      <c r="R1759" s="5"/>
      <c r="S1759" s="5"/>
      <c r="T1759" s="5"/>
      <c r="U1759" s="5"/>
      <c r="V1759" s="5"/>
      <c r="W1759" s="5"/>
      <c r="X1759" s="5"/>
      <c r="Y1759" s="5"/>
      <c r="Z1759" s="5"/>
      <c r="AA1759" s="5"/>
      <c r="AB1759" s="5"/>
      <c r="AC1759" s="5"/>
      <c r="AD1759" s="5"/>
      <c r="AE1759" s="5"/>
      <c r="AF1759" s="5"/>
      <c r="AG1759" s="5"/>
    </row>
    <row r="1760" ht="15.75" customHeight="1">
      <c r="K1760" t="s">
        <v>3058</v>
      </c>
      <c r="L1760" t="str">
        <f>G138</f>
        <v>H1a2b1a</v>
      </c>
      <c r="N1760" t="s">
        <v>3059</v>
      </c>
      <c r="O1760">
        <v>1.6449832E7</v>
      </c>
      <c r="P1760">
        <v>1.4337952E7</v>
      </c>
      <c r="Q1760" t="s">
        <v>448</v>
      </c>
      <c r="R1760" s="5"/>
      <c r="S1760" s="5"/>
      <c r="T1760" s="5"/>
      <c r="U1760" s="5"/>
      <c r="V1760" s="5"/>
      <c r="W1760" s="5"/>
      <c r="X1760" s="5"/>
      <c r="Y1760" s="5"/>
      <c r="Z1760" s="5"/>
      <c r="AA1760" s="5"/>
      <c r="AB1760" s="5"/>
      <c r="AC1760" s="5"/>
      <c r="AD1760" s="5"/>
      <c r="AE1760" s="5"/>
      <c r="AF1760" s="5"/>
      <c r="AG1760" s="5"/>
    </row>
    <row r="1761" ht="15.75" customHeight="1">
      <c r="K1761" t="s">
        <v>3060</v>
      </c>
      <c r="L1761" t="str">
        <f>G138</f>
        <v>H1a2b1a</v>
      </c>
      <c r="N1761" t="s">
        <v>3061</v>
      </c>
      <c r="O1761">
        <v>1.6664729E7</v>
      </c>
      <c r="P1761">
        <v>1.4552849E7</v>
      </c>
      <c r="Q1761" t="s">
        <v>423</v>
      </c>
      <c r="R1761" s="5"/>
      <c r="S1761" s="5"/>
      <c r="T1761" s="5"/>
      <c r="U1761" s="5"/>
      <c r="V1761" s="5"/>
      <c r="W1761" s="5"/>
      <c r="X1761" s="5"/>
      <c r="Y1761" s="5"/>
      <c r="Z1761" s="5"/>
      <c r="AA1761" s="5"/>
      <c r="AB1761" s="5"/>
      <c r="AC1761" s="5"/>
      <c r="AD1761" s="5"/>
      <c r="AE1761" s="5"/>
      <c r="AF1761" s="5"/>
      <c r="AG1761" s="5"/>
    </row>
    <row r="1762" ht="15.75" customHeight="1">
      <c r="K1762" t="s">
        <v>3062</v>
      </c>
      <c r="L1762" t="str">
        <f>G138</f>
        <v>H1a2b1a</v>
      </c>
      <c r="N1762" t="s">
        <v>3063</v>
      </c>
      <c r="O1762">
        <v>1.6954906E7</v>
      </c>
      <c r="P1762">
        <v>1.4843026E7</v>
      </c>
      <c r="Q1762" t="s">
        <v>435</v>
      </c>
      <c r="R1762" s="5"/>
      <c r="S1762" s="5"/>
      <c r="T1762" s="5"/>
      <c r="U1762" s="5"/>
      <c r="V1762" s="5"/>
      <c r="W1762" s="5"/>
      <c r="X1762" s="5"/>
      <c r="Y1762" s="5"/>
      <c r="Z1762" s="5"/>
      <c r="AA1762" s="5"/>
      <c r="AB1762" s="5"/>
      <c r="AC1762" s="5"/>
      <c r="AD1762" s="5"/>
      <c r="AE1762" s="5"/>
      <c r="AF1762" s="5"/>
      <c r="AG1762" s="5"/>
    </row>
    <row r="1763" ht="15.75" customHeight="1">
      <c r="K1763" t="s">
        <v>3064</v>
      </c>
      <c r="L1763" t="str">
        <f>G138</f>
        <v>H1a2b1a</v>
      </c>
      <c r="N1763" t="s">
        <v>3065</v>
      </c>
      <c r="O1763">
        <v>1.7188778E7</v>
      </c>
      <c r="P1763">
        <v>1.5076898E7</v>
      </c>
      <c r="Q1763" t="s">
        <v>419</v>
      </c>
      <c r="R1763" s="5"/>
      <c r="S1763" s="5"/>
      <c r="T1763" s="5"/>
      <c r="U1763" s="5"/>
      <c r="V1763" s="5"/>
      <c r="W1763" s="5"/>
      <c r="X1763" s="5"/>
      <c r="Y1763" s="5"/>
      <c r="Z1763" s="5"/>
      <c r="AA1763" s="5"/>
      <c r="AB1763" s="5"/>
      <c r="AC1763" s="5"/>
      <c r="AD1763" s="5"/>
      <c r="AE1763" s="5"/>
      <c r="AF1763" s="5"/>
      <c r="AG1763" s="5"/>
    </row>
    <row r="1764" ht="15.75" customHeight="1">
      <c r="K1764" t="s">
        <v>3066</v>
      </c>
      <c r="L1764" t="str">
        <f>G138</f>
        <v>H1a2b1a</v>
      </c>
      <c r="N1764" t="s">
        <v>3067</v>
      </c>
      <c r="O1764">
        <v>1.727925E7</v>
      </c>
      <c r="P1764">
        <v>1.516737E7</v>
      </c>
      <c r="Q1764" t="s">
        <v>419</v>
      </c>
      <c r="R1764" s="5"/>
      <c r="S1764" s="5"/>
      <c r="T1764" s="5"/>
      <c r="U1764" s="5"/>
      <c r="V1764" s="5"/>
      <c r="W1764" s="5"/>
      <c r="X1764" s="5"/>
      <c r="Y1764" s="5"/>
      <c r="Z1764" s="5"/>
      <c r="AA1764" s="5"/>
      <c r="AB1764" s="5"/>
      <c r="AC1764" s="5"/>
      <c r="AD1764" s="5"/>
      <c r="AE1764" s="5"/>
      <c r="AF1764" s="5"/>
      <c r="AG1764" s="5"/>
    </row>
    <row r="1765" ht="15.75" customHeight="1">
      <c r="K1765" t="s">
        <v>3068</v>
      </c>
      <c r="L1765" t="str">
        <f>G138</f>
        <v>H1a2b1a</v>
      </c>
      <c r="N1765" t="s">
        <v>3069</v>
      </c>
      <c r="O1765">
        <v>1.7403659E7</v>
      </c>
      <c r="P1765">
        <v>1.5291779E7</v>
      </c>
      <c r="Q1765" t="s">
        <v>476</v>
      </c>
      <c r="R1765" s="5"/>
      <c r="S1765" s="5"/>
      <c r="T1765" s="5"/>
      <c r="U1765" s="5"/>
      <c r="V1765" s="5"/>
      <c r="W1765" s="5"/>
      <c r="X1765" s="5"/>
      <c r="Y1765" s="5"/>
      <c r="Z1765" s="5"/>
      <c r="AA1765" s="5"/>
      <c r="AB1765" s="5"/>
      <c r="AC1765" s="5"/>
      <c r="AD1765" s="5"/>
      <c r="AE1765" s="5"/>
      <c r="AF1765" s="5"/>
      <c r="AG1765" s="5"/>
    </row>
    <row r="1766" ht="15.75" customHeight="1">
      <c r="K1766" t="s">
        <v>3070</v>
      </c>
      <c r="L1766" t="str">
        <f>G138</f>
        <v>H1a2b1a</v>
      </c>
      <c r="N1766" t="s">
        <v>3071</v>
      </c>
      <c r="O1766">
        <v>1.7438165E7</v>
      </c>
      <c r="P1766">
        <v>1.5326285E7</v>
      </c>
      <c r="Q1766" t="s">
        <v>419</v>
      </c>
      <c r="R1766" s="5"/>
      <c r="S1766" s="5"/>
      <c r="T1766" s="5"/>
      <c r="U1766" s="5"/>
      <c r="V1766" s="5"/>
      <c r="W1766" s="5"/>
      <c r="X1766" s="5"/>
      <c r="Y1766" s="5"/>
      <c r="Z1766" s="5"/>
      <c r="AA1766" s="5"/>
      <c r="AB1766" s="5"/>
      <c r="AC1766" s="5"/>
      <c r="AD1766" s="5"/>
      <c r="AE1766" s="5"/>
      <c r="AF1766" s="5"/>
      <c r="AG1766" s="5"/>
    </row>
    <row r="1767" ht="15.75" customHeight="1">
      <c r="K1767" t="s">
        <v>3072</v>
      </c>
      <c r="L1767" t="str">
        <f>G138</f>
        <v>H1a2b1a</v>
      </c>
      <c r="N1767" t="s">
        <v>3073</v>
      </c>
      <c r="O1767">
        <v>1.7458044E7</v>
      </c>
      <c r="P1767">
        <v>1.5346164E7</v>
      </c>
      <c r="Q1767" t="s">
        <v>419</v>
      </c>
      <c r="R1767" s="5"/>
      <c r="S1767" s="5"/>
      <c r="T1767" s="5"/>
      <c r="U1767" s="5"/>
      <c r="V1767" s="5"/>
      <c r="W1767" s="5"/>
      <c r="X1767" s="5"/>
      <c r="Y1767" s="5"/>
      <c r="Z1767" s="5"/>
      <c r="AA1767" s="5"/>
      <c r="AB1767" s="5"/>
      <c r="AC1767" s="5"/>
      <c r="AD1767" s="5"/>
      <c r="AE1767" s="5"/>
      <c r="AF1767" s="5"/>
      <c r="AG1767" s="5"/>
    </row>
    <row r="1768" ht="15.75" customHeight="1">
      <c r="K1768" t="s">
        <v>3074</v>
      </c>
      <c r="L1768" t="str">
        <f>G138</f>
        <v>H1a2b1a</v>
      </c>
      <c r="N1768" t="s">
        <v>3075</v>
      </c>
      <c r="O1768">
        <v>1.7650162E7</v>
      </c>
      <c r="P1768">
        <v>1.5538282E7</v>
      </c>
      <c r="Q1768" t="s">
        <v>419</v>
      </c>
      <c r="R1768" s="5"/>
      <c r="S1768" s="5"/>
      <c r="T1768" s="5"/>
      <c r="U1768" s="5"/>
      <c r="V1768" s="5"/>
      <c r="W1768" s="5"/>
      <c r="X1768" s="5"/>
      <c r="Y1768" s="5"/>
      <c r="Z1768" s="5"/>
      <c r="AA1768" s="5"/>
      <c r="AB1768" s="5"/>
      <c r="AC1768" s="5"/>
      <c r="AD1768" s="5"/>
      <c r="AE1768" s="5"/>
      <c r="AF1768" s="5"/>
      <c r="AG1768" s="5"/>
    </row>
    <row r="1769" ht="15.75" customHeight="1">
      <c r="K1769" t="s">
        <v>3076</v>
      </c>
      <c r="L1769" t="str">
        <f>G138</f>
        <v>H1a2b1a</v>
      </c>
      <c r="N1769" t="s">
        <v>3077</v>
      </c>
      <c r="O1769">
        <v>1.7747497E7</v>
      </c>
      <c r="P1769">
        <v>1.5635617E7</v>
      </c>
      <c r="Q1769" t="s">
        <v>419</v>
      </c>
      <c r="R1769" s="5"/>
      <c r="S1769" s="5"/>
      <c r="T1769" s="5"/>
      <c r="U1769" s="5"/>
      <c r="V1769" s="5"/>
      <c r="W1769" s="5"/>
      <c r="X1769" s="5"/>
      <c r="Y1769" s="5"/>
      <c r="Z1769" s="5"/>
      <c r="AA1769" s="5"/>
      <c r="AB1769" s="5"/>
      <c r="AC1769" s="5"/>
      <c r="AD1769" s="5"/>
      <c r="AE1769" s="5"/>
      <c r="AF1769" s="5"/>
      <c r="AG1769" s="5"/>
    </row>
    <row r="1770" ht="15.75" customHeight="1">
      <c r="K1770" t="s">
        <v>3078</v>
      </c>
      <c r="L1770" t="str">
        <f>G138</f>
        <v>H1a2b1a</v>
      </c>
      <c r="N1770" t="s">
        <v>3079</v>
      </c>
      <c r="O1770">
        <v>1.7747692E7</v>
      </c>
      <c r="P1770">
        <v>1.5635812E7</v>
      </c>
      <c r="Q1770" t="s">
        <v>427</v>
      </c>
      <c r="R1770" s="5"/>
      <c r="S1770" s="5"/>
      <c r="T1770" s="5"/>
      <c r="U1770" s="5"/>
      <c r="V1770" s="5"/>
      <c r="W1770" s="5"/>
      <c r="X1770" s="5"/>
      <c r="Y1770" s="5"/>
      <c r="Z1770" s="5"/>
      <c r="AA1770" s="5"/>
      <c r="AB1770" s="5"/>
      <c r="AC1770" s="5"/>
      <c r="AD1770" s="5"/>
      <c r="AE1770" s="5"/>
      <c r="AF1770" s="5"/>
      <c r="AG1770" s="5"/>
    </row>
    <row r="1771" ht="15.75" customHeight="1">
      <c r="K1771" t="s">
        <v>3080</v>
      </c>
      <c r="L1771" t="str">
        <f>G138</f>
        <v>H1a2b1a</v>
      </c>
      <c r="N1771" t="s">
        <v>3081</v>
      </c>
      <c r="O1771">
        <v>1.8118348E7</v>
      </c>
      <c r="P1771">
        <v>1.6006468E7</v>
      </c>
      <c r="Q1771" t="s">
        <v>435</v>
      </c>
      <c r="R1771" s="5"/>
      <c r="S1771" s="5"/>
      <c r="T1771" s="5"/>
      <c r="U1771" s="5"/>
      <c r="V1771" s="5"/>
      <c r="W1771" s="5"/>
      <c r="X1771" s="5"/>
      <c r="Y1771" s="5"/>
      <c r="Z1771" s="5"/>
      <c r="AA1771" s="5"/>
      <c r="AB1771" s="5"/>
      <c r="AC1771" s="5"/>
      <c r="AD1771" s="5"/>
      <c r="AE1771" s="5"/>
      <c r="AF1771" s="5"/>
      <c r="AG1771" s="5"/>
    </row>
    <row r="1772" ht="15.75" customHeight="1">
      <c r="K1772" t="s">
        <v>3082</v>
      </c>
      <c r="L1772" t="str">
        <f>G138</f>
        <v>H1a2b1a</v>
      </c>
      <c r="N1772" t="s">
        <v>3083</v>
      </c>
      <c r="O1772">
        <v>1.8148432E7</v>
      </c>
      <c r="P1772">
        <v>1.6036552E7</v>
      </c>
      <c r="Q1772" t="s">
        <v>553</v>
      </c>
      <c r="R1772" s="5"/>
      <c r="S1772" s="5"/>
      <c r="T1772" s="5"/>
      <c r="U1772" s="5"/>
      <c r="V1772" s="5"/>
      <c r="W1772" s="5"/>
      <c r="X1772" s="5"/>
      <c r="Y1772" s="5"/>
      <c r="Z1772" s="5"/>
      <c r="AA1772" s="5"/>
      <c r="AB1772" s="5"/>
      <c r="AC1772" s="5"/>
      <c r="AD1772" s="5"/>
      <c r="AE1772" s="5"/>
      <c r="AF1772" s="5"/>
      <c r="AG1772" s="5"/>
    </row>
    <row r="1773" ht="15.75" customHeight="1">
      <c r="K1773" t="s">
        <v>3084</v>
      </c>
      <c r="L1773" t="str">
        <f>G138</f>
        <v>H1a2b1a</v>
      </c>
      <c r="N1773" t="s">
        <v>3085</v>
      </c>
      <c r="O1773">
        <v>1.8684106E7</v>
      </c>
      <c r="P1773">
        <v>1.6572226E7</v>
      </c>
      <c r="Q1773" t="s">
        <v>419</v>
      </c>
      <c r="R1773" s="5"/>
      <c r="S1773" s="5"/>
      <c r="T1773" s="5"/>
      <c r="U1773" s="5"/>
      <c r="V1773" s="5"/>
      <c r="W1773" s="5"/>
      <c r="X1773" s="5"/>
      <c r="Y1773" s="5"/>
      <c r="Z1773" s="5"/>
      <c r="AA1773" s="5"/>
      <c r="AB1773" s="5"/>
      <c r="AC1773" s="5"/>
      <c r="AD1773" s="5"/>
      <c r="AE1773" s="5"/>
      <c r="AF1773" s="5"/>
      <c r="AG1773" s="5"/>
    </row>
    <row r="1774" ht="15.75" customHeight="1">
      <c r="K1774" t="s">
        <v>3086</v>
      </c>
      <c r="L1774" t="str">
        <f>G138</f>
        <v>H1a2b1a</v>
      </c>
      <c r="N1774" t="s">
        <v>3087</v>
      </c>
      <c r="O1774">
        <v>1.8743106E7</v>
      </c>
      <c r="P1774">
        <v>1.6631226E7</v>
      </c>
      <c r="Q1774" t="s">
        <v>419</v>
      </c>
      <c r="R1774" s="5"/>
      <c r="S1774" s="5"/>
      <c r="T1774" s="5"/>
      <c r="U1774" s="5"/>
      <c r="V1774" s="5"/>
      <c r="W1774" s="5"/>
      <c r="X1774" s="5"/>
      <c r="Y1774" s="5"/>
      <c r="Z1774" s="5"/>
      <c r="AA1774" s="5"/>
      <c r="AB1774" s="5"/>
      <c r="AC1774" s="5"/>
      <c r="AD1774" s="5"/>
      <c r="AE1774" s="5"/>
      <c r="AF1774" s="5"/>
      <c r="AG1774" s="5"/>
    </row>
    <row r="1775" ht="15.75" customHeight="1">
      <c r="K1775" t="s">
        <v>3088</v>
      </c>
      <c r="L1775" t="str">
        <f>G138</f>
        <v>H1a2b1a</v>
      </c>
      <c r="N1775" t="s">
        <v>3089</v>
      </c>
      <c r="O1775">
        <v>1.8777787E7</v>
      </c>
      <c r="P1775">
        <v>1.6665907E7</v>
      </c>
      <c r="Q1775" t="s">
        <v>435</v>
      </c>
      <c r="R1775" s="5"/>
      <c r="S1775" s="5"/>
      <c r="T1775" s="5"/>
      <c r="U1775" s="5"/>
      <c r="V1775" s="5"/>
      <c r="W1775" s="5"/>
      <c r="X1775" s="5"/>
      <c r="Y1775" s="5"/>
      <c r="Z1775" s="5"/>
      <c r="AA1775" s="5"/>
      <c r="AB1775" s="5"/>
      <c r="AC1775" s="5"/>
      <c r="AD1775" s="5"/>
      <c r="AE1775" s="5"/>
      <c r="AF1775" s="5"/>
      <c r="AG1775" s="5"/>
    </row>
    <row r="1776" ht="15.75" customHeight="1">
      <c r="K1776" t="s">
        <v>3090</v>
      </c>
      <c r="L1776" t="str">
        <f>G138</f>
        <v>H1a2b1a</v>
      </c>
      <c r="N1776" t="s">
        <v>3091</v>
      </c>
      <c r="O1776">
        <v>1.9038233E7</v>
      </c>
      <c r="P1776">
        <v>1.6926353E7</v>
      </c>
      <c r="Q1776" t="s">
        <v>431</v>
      </c>
      <c r="R1776" s="5"/>
      <c r="S1776" s="5"/>
      <c r="T1776" s="5"/>
      <c r="U1776" s="5"/>
      <c r="V1776" s="5"/>
      <c r="W1776" s="5"/>
      <c r="X1776" s="5"/>
      <c r="Y1776" s="5"/>
      <c r="Z1776" s="5"/>
      <c r="AA1776" s="5"/>
      <c r="AB1776" s="5"/>
      <c r="AC1776" s="5"/>
      <c r="AD1776" s="5"/>
      <c r="AE1776" s="5"/>
      <c r="AF1776" s="5"/>
      <c r="AG1776" s="5"/>
    </row>
    <row r="1777" ht="15.75" customHeight="1">
      <c r="K1777" t="s">
        <v>3092</v>
      </c>
      <c r="L1777" t="str">
        <f>G138</f>
        <v>H1a2b1a</v>
      </c>
      <c r="N1777" t="s">
        <v>3093</v>
      </c>
      <c r="O1777">
        <v>1.9104335E7</v>
      </c>
      <c r="P1777">
        <v>1.6992455E7</v>
      </c>
      <c r="Q1777" t="s">
        <v>427</v>
      </c>
      <c r="R1777" s="5"/>
      <c r="S1777" s="5"/>
      <c r="T1777" s="5"/>
      <c r="U1777" s="5"/>
      <c r="V1777" s="5"/>
      <c r="W1777" s="5"/>
      <c r="X1777" s="5"/>
      <c r="Y1777" s="5"/>
      <c r="Z1777" s="5"/>
      <c r="AA1777" s="5"/>
      <c r="AB1777" s="5"/>
      <c r="AC1777" s="5"/>
      <c r="AD1777" s="5"/>
      <c r="AE1777" s="5"/>
      <c r="AF1777" s="5"/>
      <c r="AG1777" s="5"/>
    </row>
    <row r="1778" ht="15.75" customHeight="1">
      <c r="K1778" t="s">
        <v>3094</v>
      </c>
      <c r="L1778" t="str">
        <f>G138</f>
        <v>H1a2b1a</v>
      </c>
      <c r="N1778" t="s">
        <v>3095</v>
      </c>
      <c r="O1778">
        <v>1.9366098E7</v>
      </c>
      <c r="P1778">
        <v>1.7254218E7</v>
      </c>
      <c r="Q1778" t="s">
        <v>435</v>
      </c>
      <c r="R1778" s="5"/>
      <c r="S1778" s="5"/>
      <c r="T1778" s="5"/>
      <c r="U1778" s="5"/>
      <c r="V1778" s="5"/>
      <c r="W1778" s="5"/>
      <c r="X1778" s="5"/>
      <c r="Y1778" s="5"/>
      <c r="Z1778" s="5"/>
      <c r="AA1778" s="5"/>
      <c r="AB1778" s="5"/>
      <c r="AC1778" s="5"/>
      <c r="AD1778" s="5"/>
      <c r="AE1778" s="5"/>
      <c r="AF1778" s="5"/>
      <c r="AG1778" s="5"/>
    </row>
    <row r="1779" ht="15.75" customHeight="1">
      <c r="K1779" t="s">
        <v>3096</v>
      </c>
      <c r="L1779" t="str">
        <f>G138</f>
        <v>H1a2b1a</v>
      </c>
      <c r="O1779">
        <v>2.1036125E7</v>
      </c>
      <c r="P1779">
        <v>1.8874239E7</v>
      </c>
      <c r="Q1779" t="s">
        <v>427</v>
      </c>
      <c r="R1779" s="5"/>
      <c r="S1779" s="5"/>
      <c r="T1779" s="5"/>
      <c r="U1779" s="5"/>
      <c r="V1779" s="5"/>
      <c r="W1779" s="5"/>
      <c r="X1779" s="5"/>
      <c r="Y1779" s="5"/>
      <c r="Z1779" s="5"/>
      <c r="AA1779" s="5"/>
      <c r="AB1779" s="5"/>
      <c r="AC1779" s="5"/>
      <c r="AD1779" s="5"/>
      <c r="AE1779" s="5"/>
      <c r="AF1779" s="5"/>
      <c r="AG1779" s="5"/>
    </row>
    <row r="1780" ht="15.75" customHeight="1">
      <c r="K1780" t="s">
        <v>3097</v>
      </c>
      <c r="L1780" t="str">
        <f>G138</f>
        <v>H1a2b1a</v>
      </c>
      <c r="N1780" t="s">
        <v>3098</v>
      </c>
      <c r="O1780">
        <v>2.1249169E7</v>
      </c>
      <c r="P1780">
        <v>1.9087283E7</v>
      </c>
      <c r="Q1780" t="s">
        <v>431</v>
      </c>
      <c r="R1780" s="5"/>
      <c r="S1780" s="5"/>
      <c r="T1780" s="5"/>
      <c r="U1780" s="5"/>
      <c r="V1780" s="5"/>
      <c r="W1780" s="5"/>
      <c r="X1780" s="5"/>
      <c r="Y1780" s="5"/>
      <c r="Z1780" s="5"/>
      <c r="AA1780" s="5"/>
      <c r="AB1780" s="5"/>
      <c r="AC1780" s="5"/>
      <c r="AD1780" s="5"/>
      <c r="AE1780" s="5"/>
      <c r="AF1780" s="5"/>
      <c r="AG1780" s="5"/>
    </row>
    <row r="1781" ht="15.75" customHeight="1">
      <c r="K1781" t="s">
        <v>3099</v>
      </c>
      <c r="L1781" t="str">
        <f>G138</f>
        <v>H1a2b1a</v>
      </c>
      <c r="O1781">
        <v>2.1272449E7</v>
      </c>
      <c r="P1781">
        <v>1.9110563E7</v>
      </c>
      <c r="Q1781" t="s">
        <v>452</v>
      </c>
      <c r="R1781" s="5"/>
      <c r="S1781" s="5"/>
      <c r="T1781" s="5"/>
      <c r="U1781" s="5"/>
      <c r="V1781" s="5"/>
      <c r="W1781" s="5"/>
      <c r="X1781" s="5"/>
      <c r="Y1781" s="5"/>
      <c r="Z1781" s="5"/>
      <c r="AA1781" s="5"/>
      <c r="AB1781" s="5"/>
      <c r="AC1781" s="5"/>
      <c r="AD1781" s="5"/>
      <c r="AE1781" s="5"/>
      <c r="AF1781" s="5"/>
      <c r="AG1781" s="5"/>
    </row>
    <row r="1782" ht="15.75" customHeight="1">
      <c r="K1782" t="s">
        <v>3100</v>
      </c>
      <c r="L1782" t="str">
        <f>G138</f>
        <v>H1a2b1a</v>
      </c>
      <c r="O1782">
        <v>2.1272475E7</v>
      </c>
      <c r="P1782">
        <v>1.9110589E7</v>
      </c>
      <c r="Q1782" t="s">
        <v>431</v>
      </c>
      <c r="R1782" s="5"/>
      <c r="S1782" s="5"/>
      <c r="T1782" s="5"/>
      <c r="U1782" s="5"/>
      <c r="V1782" s="5"/>
      <c r="W1782" s="5"/>
      <c r="X1782" s="5"/>
      <c r="Y1782" s="5"/>
      <c r="Z1782" s="5"/>
      <c r="AA1782" s="5"/>
      <c r="AB1782" s="5"/>
      <c r="AC1782" s="5"/>
      <c r="AD1782" s="5"/>
      <c r="AE1782" s="5"/>
      <c r="AF1782" s="5"/>
      <c r="AG1782" s="5"/>
    </row>
    <row r="1783" ht="15.75" customHeight="1">
      <c r="K1783" t="s">
        <v>3101</v>
      </c>
      <c r="L1783" t="str">
        <f>G138</f>
        <v>H1a2b1a</v>
      </c>
      <c r="N1783" t="s">
        <v>3102</v>
      </c>
      <c r="O1783">
        <v>2.1475102E7</v>
      </c>
      <c r="P1783">
        <v>1.9313216E7</v>
      </c>
      <c r="Q1783" t="s">
        <v>419</v>
      </c>
      <c r="R1783" s="5"/>
      <c r="S1783" s="5"/>
      <c r="T1783" s="5"/>
      <c r="U1783" s="5"/>
      <c r="V1783" s="5"/>
      <c r="W1783" s="5"/>
      <c r="X1783" s="5"/>
      <c r="Y1783" s="5"/>
      <c r="Z1783" s="5"/>
      <c r="AA1783" s="5"/>
      <c r="AB1783" s="5"/>
      <c r="AC1783" s="5"/>
      <c r="AD1783" s="5"/>
      <c r="AE1783" s="5"/>
      <c r="AF1783" s="5"/>
      <c r="AG1783" s="5"/>
    </row>
    <row r="1784" ht="15.75" customHeight="1">
      <c r="K1784" t="s">
        <v>3103</v>
      </c>
      <c r="L1784" t="str">
        <f>G138</f>
        <v>H1a2b1a</v>
      </c>
      <c r="N1784" t="s">
        <v>3104</v>
      </c>
      <c r="O1784">
        <v>2.1600052E7</v>
      </c>
      <c r="P1784">
        <v>1.9438166E7</v>
      </c>
      <c r="Q1784" t="s">
        <v>423</v>
      </c>
      <c r="R1784" s="5"/>
      <c r="S1784" s="5"/>
      <c r="T1784" s="5"/>
      <c r="U1784" s="5"/>
      <c r="V1784" s="5"/>
      <c r="W1784" s="5"/>
      <c r="X1784" s="5"/>
      <c r="Y1784" s="5"/>
      <c r="Z1784" s="5"/>
      <c r="AA1784" s="5"/>
      <c r="AB1784" s="5"/>
      <c r="AC1784" s="5"/>
      <c r="AD1784" s="5"/>
      <c r="AE1784" s="5"/>
      <c r="AF1784" s="5"/>
      <c r="AG1784" s="5"/>
    </row>
    <row r="1785" ht="15.75" customHeight="1">
      <c r="K1785" t="s">
        <v>3105</v>
      </c>
      <c r="L1785" t="str">
        <f>G138</f>
        <v>H1a2b1a</v>
      </c>
      <c r="N1785" t="s">
        <v>3106</v>
      </c>
      <c r="O1785">
        <v>2.1649625E7</v>
      </c>
      <c r="P1785">
        <v>1.9487739E7</v>
      </c>
      <c r="Q1785" t="s">
        <v>431</v>
      </c>
      <c r="R1785" s="5"/>
      <c r="S1785" s="5"/>
      <c r="T1785" s="5"/>
      <c r="U1785" s="5"/>
      <c r="V1785" s="5"/>
      <c r="W1785" s="5"/>
      <c r="X1785" s="5"/>
      <c r="Y1785" s="5"/>
      <c r="Z1785" s="5"/>
      <c r="AA1785" s="5"/>
      <c r="AB1785" s="5"/>
      <c r="AC1785" s="5"/>
      <c r="AD1785" s="5"/>
      <c r="AE1785" s="5"/>
      <c r="AF1785" s="5"/>
      <c r="AG1785" s="5"/>
    </row>
    <row r="1786" ht="15.75" customHeight="1">
      <c r="K1786" t="s">
        <v>3107</v>
      </c>
      <c r="L1786" t="str">
        <f>G138</f>
        <v>H1a2b1a</v>
      </c>
      <c r="O1786">
        <v>2.1828102E7</v>
      </c>
      <c r="P1786">
        <v>1.9666216E7</v>
      </c>
      <c r="Q1786" t="s">
        <v>419</v>
      </c>
      <c r="R1786" s="5"/>
      <c r="S1786" s="5"/>
      <c r="T1786" s="5"/>
      <c r="U1786" s="5"/>
      <c r="V1786" s="5"/>
      <c r="W1786" s="5"/>
      <c r="X1786" s="5"/>
      <c r="Y1786" s="5"/>
      <c r="Z1786" s="5"/>
      <c r="AA1786" s="5"/>
      <c r="AB1786" s="5"/>
      <c r="AC1786" s="5"/>
      <c r="AD1786" s="5"/>
      <c r="AE1786" s="5"/>
      <c r="AF1786" s="5"/>
      <c r="AG1786" s="5"/>
    </row>
    <row r="1787" ht="15.75" customHeight="1">
      <c r="K1787" t="s">
        <v>3108</v>
      </c>
      <c r="L1787" t="str">
        <f>G138</f>
        <v>H1a2b1a</v>
      </c>
      <c r="N1787" t="s">
        <v>3109</v>
      </c>
      <c r="O1787">
        <v>2.1902252E7</v>
      </c>
      <c r="P1787">
        <v>1.9740366E7</v>
      </c>
      <c r="Q1787" t="s">
        <v>553</v>
      </c>
      <c r="R1787" s="5"/>
      <c r="S1787" s="5"/>
      <c r="T1787" s="5"/>
      <c r="U1787" s="5"/>
      <c r="V1787" s="5"/>
      <c r="W1787" s="5"/>
      <c r="X1787" s="5"/>
      <c r="Y1787" s="5"/>
      <c r="Z1787" s="5"/>
      <c r="AA1787" s="5"/>
      <c r="AB1787" s="5"/>
      <c r="AC1787" s="5"/>
      <c r="AD1787" s="5"/>
      <c r="AE1787" s="5"/>
      <c r="AF1787" s="5"/>
      <c r="AG1787" s="5"/>
    </row>
    <row r="1788" ht="15.75" customHeight="1">
      <c r="K1788" t="s">
        <v>3110</v>
      </c>
      <c r="L1788" t="str">
        <f>G138</f>
        <v>H1a2b1a</v>
      </c>
      <c r="N1788" t="s">
        <v>3111</v>
      </c>
      <c r="O1788">
        <v>2.2024685E7</v>
      </c>
      <c r="P1788">
        <v>1.9862799E7</v>
      </c>
      <c r="Q1788" t="s">
        <v>419</v>
      </c>
      <c r="R1788" s="5"/>
      <c r="S1788" s="5"/>
      <c r="T1788" s="5"/>
      <c r="U1788" s="5"/>
      <c r="V1788" s="5"/>
      <c r="W1788" s="5"/>
      <c r="X1788" s="5"/>
      <c r="Y1788" s="5"/>
      <c r="Z1788" s="5"/>
      <c r="AA1788" s="5"/>
      <c r="AB1788" s="5"/>
      <c r="AC1788" s="5"/>
      <c r="AD1788" s="5"/>
      <c r="AE1788" s="5"/>
      <c r="AF1788" s="5"/>
      <c r="AG1788" s="5"/>
    </row>
    <row r="1789" ht="15.75" customHeight="1">
      <c r="K1789" t="s">
        <v>3112</v>
      </c>
      <c r="L1789" t="str">
        <f>G138</f>
        <v>H1a2b1a</v>
      </c>
      <c r="N1789" t="s">
        <v>3113</v>
      </c>
      <c r="O1789">
        <v>2.2098847E7</v>
      </c>
      <c r="P1789">
        <v>1.9936961E7</v>
      </c>
      <c r="Q1789" t="s">
        <v>431</v>
      </c>
      <c r="R1789" s="5"/>
      <c r="S1789" s="5"/>
      <c r="T1789" s="5"/>
      <c r="U1789" s="5"/>
      <c r="V1789" s="5"/>
      <c r="W1789" s="5"/>
      <c r="X1789" s="5"/>
      <c r="Y1789" s="5"/>
      <c r="Z1789" s="5"/>
      <c r="AA1789" s="5"/>
      <c r="AB1789" s="5"/>
      <c r="AC1789" s="5"/>
      <c r="AD1789" s="5"/>
      <c r="AE1789" s="5"/>
      <c r="AF1789" s="5"/>
      <c r="AG1789" s="5"/>
    </row>
    <row r="1790" ht="15.75" customHeight="1">
      <c r="K1790" t="s">
        <v>3114</v>
      </c>
      <c r="L1790" t="str">
        <f>G138</f>
        <v>H1a2b1a</v>
      </c>
      <c r="O1790">
        <v>2.264277E7</v>
      </c>
      <c r="P1790">
        <v>2.0480884E7</v>
      </c>
      <c r="Q1790" t="s">
        <v>423</v>
      </c>
      <c r="R1790" s="5"/>
      <c r="S1790" s="5"/>
      <c r="T1790" s="5"/>
      <c r="U1790" s="5"/>
      <c r="V1790" s="5"/>
      <c r="W1790" s="5"/>
      <c r="X1790" s="5"/>
      <c r="Y1790" s="5"/>
      <c r="Z1790" s="5"/>
      <c r="AA1790" s="5"/>
      <c r="AB1790" s="5"/>
      <c r="AC1790" s="5"/>
      <c r="AD1790" s="5"/>
      <c r="AE1790" s="5"/>
      <c r="AF1790" s="5"/>
      <c r="AG1790" s="5"/>
    </row>
    <row r="1791" ht="15.75" customHeight="1">
      <c r="K1791" t="s">
        <v>3115</v>
      </c>
      <c r="L1791" t="str">
        <f>G138</f>
        <v>H1a2b1a</v>
      </c>
      <c r="N1791" t="s">
        <v>3116</v>
      </c>
      <c r="O1791">
        <v>2.2798073E7</v>
      </c>
      <c r="P1791">
        <v>2.0636187E7</v>
      </c>
      <c r="Q1791" t="s">
        <v>431</v>
      </c>
      <c r="R1791" s="5"/>
      <c r="S1791" s="5"/>
      <c r="T1791" s="5"/>
      <c r="U1791" s="5"/>
      <c r="V1791" s="5"/>
      <c r="W1791" s="5"/>
      <c r="X1791" s="5"/>
      <c r="Y1791" s="5"/>
      <c r="Z1791" s="5"/>
      <c r="AA1791" s="5"/>
      <c r="AB1791" s="5"/>
      <c r="AC1791" s="5"/>
      <c r="AD1791" s="5"/>
      <c r="AE1791" s="5"/>
      <c r="AF1791" s="5"/>
      <c r="AG1791" s="5"/>
    </row>
    <row r="1792" ht="15.75" customHeight="1">
      <c r="K1792" t="s">
        <v>3117</v>
      </c>
      <c r="L1792" t="str">
        <f>G138</f>
        <v>H1a2b1a</v>
      </c>
      <c r="N1792" t="s">
        <v>3118</v>
      </c>
      <c r="O1792">
        <v>2.2800726E7</v>
      </c>
      <c r="P1792">
        <v>2.063884E7</v>
      </c>
      <c r="Q1792" t="s">
        <v>419</v>
      </c>
      <c r="R1792" s="5"/>
      <c r="S1792" s="5"/>
      <c r="T1792" s="5"/>
      <c r="U1792" s="5"/>
      <c r="V1792" s="5"/>
      <c r="W1792" s="5"/>
      <c r="X1792" s="5"/>
      <c r="Y1792" s="5"/>
      <c r="Z1792" s="5"/>
      <c r="AA1792" s="5"/>
      <c r="AB1792" s="5"/>
      <c r="AC1792" s="5"/>
      <c r="AD1792" s="5"/>
      <c r="AE1792" s="5"/>
      <c r="AF1792" s="5"/>
      <c r="AG1792" s="5"/>
    </row>
    <row r="1793" ht="15.75" customHeight="1">
      <c r="K1793" t="s">
        <v>3119</v>
      </c>
      <c r="L1793" t="str">
        <f>G138</f>
        <v>H1a2b1a</v>
      </c>
      <c r="N1793" t="s">
        <v>3120</v>
      </c>
      <c r="O1793">
        <v>2.2849647E7</v>
      </c>
      <c r="P1793">
        <v>2.0687761E7</v>
      </c>
      <c r="Q1793" t="s">
        <v>419</v>
      </c>
      <c r="R1793" s="5"/>
      <c r="S1793" s="5"/>
      <c r="T1793" s="5"/>
      <c r="U1793" s="5"/>
      <c r="V1793" s="5"/>
      <c r="W1793" s="5"/>
      <c r="X1793" s="5"/>
      <c r="Y1793" s="5"/>
      <c r="Z1793" s="5"/>
      <c r="AA1793" s="5"/>
      <c r="AB1793" s="5"/>
      <c r="AC1793" s="5"/>
      <c r="AD1793" s="5"/>
      <c r="AE1793" s="5"/>
      <c r="AF1793" s="5"/>
      <c r="AG1793" s="5"/>
    </row>
    <row r="1794" ht="15.75" customHeight="1">
      <c r="K1794" t="s">
        <v>3121</v>
      </c>
      <c r="L1794" t="str">
        <f>G138</f>
        <v>H1a2b1a</v>
      </c>
      <c r="N1794" t="s">
        <v>3122</v>
      </c>
      <c r="O1794">
        <v>2.2945877E7</v>
      </c>
      <c r="P1794">
        <v>2.0783991E7</v>
      </c>
      <c r="Q1794" t="s">
        <v>435</v>
      </c>
      <c r="R1794" s="5"/>
      <c r="S1794" s="5"/>
      <c r="T1794" s="5"/>
      <c r="U1794" s="5"/>
      <c r="V1794" s="5"/>
      <c r="W1794" s="5"/>
      <c r="X1794" s="5"/>
      <c r="Y1794" s="5"/>
      <c r="Z1794" s="5"/>
      <c r="AA1794" s="5"/>
      <c r="AB1794" s="5"/>
      <c r="AC1794" s="5"/>
      <c r="AD1794" s="5"/>
      <c r="AE1794" s="5"/>
      <c r="AF1794" s="5"/>
      <c r="AG1794" s="5"/>
    </row>
    <row r="1795" ht="15.75" customHeight="1">
      <c r="K1795" t="s">
        <v>3123</v>
      </c>
      <c r="L1795" t="str">
        <f>G138</f>
        <v>H1a2b1a</v>
      </c>
      <c r="N1795" t="s">
        <v>3124</v>
      </c>
      <c r="O1795">
        <v>2.2966882E7</v>
      </c>
      <c r="P1795">
        <v>2.0804996E7</v>
      </c>
      <c r="Q1795" t="s">
        <v>435</v>
      </c>
      <c r="R1795" s="5"/>
      <c r="S1795" s="5"/>
      <c r="T1795" s="5"/>
      <c r="U1795" s="5"/>
      <c r="V1795" s="5"/>
      <c r="W1795" s="5"/>
      <c r="X1795" s="5"/>
      <c r="Y1795" s="5"/>
      <c r="Z1795" s="5"/>
      <c r="AA1795" s="5"/>
      <c r="AB1795" s="5"/>
      <c r="AC1795" s="5"/>
      <c r="AD1795" s="5"/>
      <c r="AE1795" s="5"/>
      <c r="AF1795" s="5"/>
      <c r="AG1795" s="5"/>
    </row>
    <row r="1796" ht="15.75" customHeight="1">
      <c r="K1796" t="s">
        <v>3125</v>
      </c>
      <c r="L1796" t="str">
        <f>G138</f>
        <v>H1a2b1a</v>
      </c>
      <c r="N1796" t="s">
        <v>3126</v>
      </c>
      <c r="O1796">
        <v>2.2984106E7</v>
      </c>
      <c r="P1796">
        <v>2.082222E7</v>
      </c>
      <c r="Q1796" t="s">
        <v>435</v>
      </c>
      <c r="R1796" s="5"/>
      <c r="S1796" s="5"/>
      <c r="T1796" s="5"/>
      <c r="U1796" s="5"/>
      <c r="V1796" s="5"/>
      <c r="W1796" s="5"/>
      <c r="X1796" s="5"/>
      <c r="Y1796" s="5"/>
      <c r="Z1796" s="5"/>
      <c r="AA1796" s="5"/>
      <c r="AB1796" s="5"/>
      <c r="AC1796" s="5"/>
      <c r="AD1796" s="5"/>
      <c r="AE1796" s="5"/>
      <c r="AF1796" s="5"/>
      <c r="AG1796" s="5"/>
    </row>
    <row r="1797" ht="15.75" customHeight="1">
      <c r="K1797" t="s">
        <v>3127</v>
      </c>
      <c r="L1797" t="str">
        <f>G138</f>
        <v>H1a2b1a</v>
      </c>
      <c r="N1797" t="s">
        <v>3128</v>
      </c>
      <c r="O1797">
        <v>2.3339523E7</v>
      </c>
      <c r="P1797">
        <v>2.1177637E7</v>
      </c>
      <c r="Q1797" t="s">
        <v>435</v>
      </c>
      <c r="R1797" s="5"/>
      <c r="S1797" s="5"/>
      <c r="T1797" s="5"/>
      <c r="U1797" s="5"/>
      <c r="V1797" s="5"/>
      <c r="W1797" s="5"/>
      <c r="X1797" s="5"/>
      <c r="Y1797" s="5"/>
      <c r="Z1797" s="5"/>
      <c r="AA1797" s="5"/>
      <c r="AB1797" s="5"/>
      <c r="AC1797" s="5"/>
      <c r="AD1797" s="5"/>
      <c r="AE1797" s="5"/>
      <c r="AF1797" s="5"/>
      <c r="AG1797" s="5"/>
    </row>
    <row r="1798" ht="15.75" customHeight="1">
      <c r="K1798" t="s">
        <v>3129</v>
      </c>
      <c r="L1798" t="str">
        <f>G138</f>
        <v>H1a2b1a</v>
      </c>
      <c r="N1798" t="s">
        <v>3130</v>
      </c>
      <c r="O1798">
        <v>2.3429161E7</v>
      </c>
      <c r="P1798">
        <v>2.1267275E7</v>
      </c>
      <c r="Q1798" t="s">
        <v>431</v>
      </c>
      <c r="R1798" s="5"/>
      <c r="S1798" s="5"/>
      <c r="T1798" s="5"/>
      <c r="U1798" s="5"/>
      <c r="V1798" s="5"/>
      <c r="W1798" s="5"/>
      <c r="X1798" s="5"/>
      <c r="Y1798" s="5"/>
      <c r="Z1798" s="5"/>
      <c r="AA1798" s="5"/>
      <c r="AB1798" s="5"/>
      <c r="AC1798" s="5"/>
      <c r="AD1798" s="5"/>
      <c r="AE1798" s="5"/>
      <c r="AF1798" s="5"/>
      <c r="AG1798" s="5"/>
    </row>
    <row r="1799" ht="15.75" customHeight="1">
      <c r="K1799" t="s">
        <v>3131</v>
      </c>
      <c r="L1799" t="str">
        <f>G138</f>
        <v>H1a2b1a</v>
      </c>
      <c r="N1799" t="s">
        <v>3132</v>
      </c>
      <c r="O1799">
        <v>2.3443688E7</v>
      </c>
      <c r="P1799">
        <v>2.1281802E7</v>
      </c>
      <c r="Q1799" t="s">
        <v>435</v>
      </c>
      <c r="R1799" s="5"/>
      <c r="S1799" s="5"/>
      <c r="T1799" s="5"/>
      <c r="U1799" s="5"/>
      <c r="V1799" s="5"/>
      <c r="W1799" s="5"/>
      <c r="X1799" s="5"/>
      <c r="Y1799" s="5"/>
      <c r="Z1799" s="5"/>
      <c r="AA1799" s="5"/>
      <c r="AB1799" s="5"/>
      <c r="AC1799" s="5"/>
      <c r="AD1799" s="5"/>
      <c r="AE1799" s="5"/>
      <c r="AF1799" s="5"/>
      <c r="AG1799" s="5"/>
    </row>
    <row r="1800" ht="15.75" customHeight="1">
      <c r="K1800" t="s">
        <v>3133</v>
      </c>
      <c r="L1800" t="str">
        <f>G138</f>
        <v>H1a2b1a</v>
      </c>
      <c r="O1800">
        <v>2.3900553E7</v>
      </c>
      <c r="P1800">
        <v>2.1738667E7</v>
      </c>
      <c r="Q1800" t="s">
        <v>448</v>
      </c>
      <c r="R1800" s="5"/>
      <c r="S1800" s="5"/>
      <c r="T1800" s="5"/>
      <c r="U1800" s="5"/>
      <c r="V1800" s="5"/>
      <c r="W1800" s="5"/>
      <c r="X1800" s="5"/>
      <c r="Y1800" s="5"/>
      <c r="Z1800" s="5"/>
      <c r="AA1800" s="5"/>
      <c r="AB1800" s="5"/>
      <c r="AC1800" s="5"/>
      <c r="AD1800" s="5"/>
      <c r="AE1800" s="5"/>
      <c r="AF1800" s="5"/>
      <c r="AG1800" s="5"/>
    </row>
    <row r="1801" ht="15.75" customHeight="1">
      <c r="K1801" t="s">
        <v>3134</v>
      </c>
      <c r="L1801" t="str">
        <f>G138</f>
        <v>H1a2b1a</v>
      </c>
      <c r="N1801" t="s">
        <v>3135</v>
      </c>
      <c r="O1801">
        <v>2.8764204E7</v>
      </c>
      <c r="P1801">
        <v>2.6618057E7</v>
      </c>
      <c r="Q1801" t="s">
        <v>448</v>
      </c>
      <c r="R1801" s="5"/>
      <c r="S1801" s="5"/>
      <c r="T1801" s="5"/>
      <c r="U1801" s="5"/>
      <c r="V1801" s="5"/>
      <c r="W1801" s="5"/>
      <c r="X1801" s="5"/>
      <c r="Y1801" s="5"/>
      <c r="Z1801" s="5"/>
      <c r="AA1801" s="5"/>
      <c r="AB1801" s="5"/>
      <c r="AC1801" s="5"/>
      <c r="AD1801" s="5"/>
      <c r="AE1801" s="5"/>
      <c r="AF1801" s="5"/>
      <c r="AG1801" s="5"/>
    </row>
    <row r="1802" ht="15.75" customHeight="1">
      <c r="K1802" t="s">
        <v>3136</v>
      </c>
      <c r="L1802" t="str">
        <f>H139</f>
        <v>H1a2b1a1~</v>
      </c>
      <c r="N1802" t="s">
        <v>3137</v>
      </c>
      <c r="O1802">
        <v>2.3798772E7</v>
      </c>
      <c r="P1802">
        <v>2.1636886E7</v>
      </c>
      <c r="Q1802" t="s">
        <v>419</v>
      </c>
      <c r="R1802" s="5"/>
      <c r="S1802" s="5"/>
      <c r="T1802" s="5"/>
      <c r="U1802" s="5"/>
      <c r="V1802" s="5"/>
      <c r="W1802" s="5"/>
      <c r="X1802" s="5"/>
      <c r="Y1802" s="5"/>
      <c r="Z1802" s="5"/>
      <c r="AA1802" s="5"/>
      <c r="AB1802" s="5"/>
      <c r="AC1802" s="5"/>
      <c r="AD1802" s="5"/>
      <c r="AE1802" s="5"/>
      <c r="AF1802" s="5"/>
      <c r="AG1802" s="5"/>
    </row>
    <row r="1803" ht="15.75" customHeight="1">
      <c r="K1803" t="s">
        <v>3138</v>
      </c>
      <c r="L1803" t="str">
        <f>H139</f>
        <v>H1a2b1a1~</v>
      </c>
      <c r="N1803" t="s">
        <v>3139</v>
      </c>
      <c r="O1803">
        <v>2.1906603E7</v>
      </c>
      <c r="P1803">
        <v>1.9744717E7</v>
      </c>
      <c r="Q1803" t="s">
        <v>423</v>
      </c>
      <c r="R1803" s="5"/>
      <c r="S1803" s="5"/>
      <c r="T1803" s="5"/>
      <c r="U1803" s="5"/>
      <c r="V1803" s="5"/>
      <c r="W1803" s="5"/>
      <c r="X1803" s="5"/>
      <c r="Y1803" s="5"/>
      <c r="Z1803" s="5"/>
      <c r="AA1803" s="5"/>
      <c r="AB1803" s="5"/>
      <c r="AC1803" s="5"/>
      <c r="AD1803" s="5"/>
      <c r="AE1803" s="5"/>
      <c r="AF1803" s="5"/>
      <c r="AG1803" s="5"/>
    </row>
    <row r="1804" ht="15.75" customHeight="1">
      <c r="K1804" t="s">
        <v>3140</v>
      </c>
      <c r="L1804" t="str">
        <f>H139</f>
        <v>H1a2b1a1~</v>
      </c>
      <c r="M1804" t="s">
        <v>3141</v>
      </c>
      <c r="N1804" t="s">
        <v>3142</v>
      </c>
      <c r="O1804">
        <v>7612093.0</v>
      </c>
      <c r="P1804">
        <v>7744052.0</v>
      </c>
      <c r="Q1804" t="s">
        <v>419</v>
      </c>
      <c r="R1804" s="5"/>
      <c r="S1804" s="5"/>
      <c r="T1804" s="5"/>
      <c r="U1804" s="5"/>
      <c r="V1804" s="5"/>
      <c r="W1804" s="5"/>
      <c r="X1804" s="5"/>
      <c r="Y1804" s="5"/>
      <c r="Z1804" s="5"/>
      <c r="AA1804" s="5"/>
      <c r="AB1804" s="5"/>
      <c r="AC1804" s="5"/>
      <c r="AD1804" s="5"/>
      <c r="AE1804" s="5"/>
      <c r="AF1804" s="5"/>
      <c r="AG1804" s="5"/>
    </row>
    <row r="1805" ht="15.75" customHeight="1">
      <c r="K1805" t="s">
        <v>3141</v>
      </c>
      <c r="L1805" t="str">
        <f>H139</f>
        <v>H1a2b1a1~</v>
      </c>
      <c r="M1805" t="s">
        <v>3140</v>
      </c>
      <c r="N1805" t="s">
        <v>3142</v>
      </c>
      <c r="O1805">
        <v>7612093.0</v>
      </c>
      <c r="P1805">
        <v>7744052.0</v>
      </c>
      <c r="Q1805" t="s">
        <v>419</v>
      </c>
      <c r="R1805" s="5"/>
      <c r="S1805" s="5"/>
      <c r="T1805" s="5"/>
      <c r="U1805" s="5"/>
      <c r="V1805" s="5"/>
      <c r="W1805" s="5"/>
      <c r="X1805" s="5"/>
      <c r="Y1805" s="5"/>
      <c r="Z1805" s="5"/>
      <c r="AA1805" s="5"/>
      <c r="AB1805" s="5"/>
      <c r="AC1805" s="5"/>
      <c r="AD1805" s="5"/>
      <c r="AE1805" s="5"/>
      <c r="AF1805" s="5"/>
      <c r="AG1805" s="5"/>
    </row>
    <row r="1806" ht="15.75" customHeight="1">
      <c r="K1806" t="s">
        <v>3143</v>
      </c>
      <c r="L1806" t="str">
        <f>H139</f>
        <v>H1a2b1a1~</v>
      </c>
      <c r="N1806" t="s">
        <v>3144</v>
      </c>
      <c r="O1806">
        <v>2746109.0</v>
      </c>
      <c r="P1806">
        <v>2878068.0</v>
      </c>
      <c r="Q1806" t="s">
        <v>431</v>
      </c>
      <c r="R1806" s="5"/>
      <c r="S1806" s="5"/>
      <c r="T1806" s="5"/>
      <c r="U1806" s="5"/>
      <c r="V1806" s="5"/>
      <c r="W1806" s="5"/>
      <c r="X1806" s="5"/>
      <c r="Y1806" s="5"/>
      <c r="Z1806" s="5"/>
      <c r="AA1806" s="5"/>
      <c r="AB1806" s="5"/>
      <c r="AC1806" s="5"/>
      <c r="AD1806" s="5"/>
      <c r="AE1806" s="5"/>
      <c r="AF1806" s="5"/>
      <c r="AG1806" s="5"/>
    </row>
    <row r="1807" ht="15.75" customHeight="1">
      <c r="K1807" t="s">
        <v>3145</v>
      </c>
      <c r="L1807" t="str">
        <f>H139</f>
        <v>H1a2b1a1~</v>
      </c>
      <c r="N1807" t="s">
        <v>3146</v>
      </c>
      <c r="O1807">
        <v>2804262.0</v>
      </c>
      <c r="P1807">
        <v>2936221.0</v>
      </c>
      <c r="Q1807" t="s">
        <v>459</v>
      </c>
      <c r="R1807" s="5"/>
      <c r="S1807" s="5"/>
      <c r="T1807" s="5"/>
      <c r="U1807" s="5"/>
      <c r="V1807" s="5"/>
      <c r="W1807" s="5"/>
      <c r="X1807" s="5"/>
      <c r="Y1807" s="5"/>
      <c r="Z1807" s="5"/>
      <c r="AA1807" s="5"/>
      <c r="AB1807" s="5"/>
      <c r="AC1807" s="5"/>
      <c r="AD1807" s="5"/>
      <c r="AE1807" s="5"/>
      <c r="AF1807" s="5"/>
      <c r="AG1807" s="5"/>
    </row>
    <row r="1808" ht="15.75" customHeight="1">
      <c r="K1808" t="s">
        <v>3147</v>
      </c>
      <c r="L1808" t="str">
        <f t="shared" ref="L1808:L1809" si="41">H139</f>
        <v>H1a2b1a1~</v>
      </c>
      <c r="N1808" t="s">
        <v>3148</v>
      </c>
      <c r="O1808">
        <v>2874928.0</v>
      </c>
      <c r="P1808">
        <v>3006887.0</v>
      </c>
      <c r="Q1808" t="s">
        <v>452</v>
      </c>
      <c r="R1808" s="5"/>
      <c r="S1808" s="5"/>
      <c r="T1808" s="5"/>
      <c r="U1808" s="5"/>
      <c r="V1808" s="5"/>
      <c r="W1808" s="5"/>
      <c r="X1808" s="5"/>
      <c r="Y1808" s="5"/>
      <c r="Z1808" s="5"/>
      <c r="AA1808" s="5"/>
      <c r="AB1808" s="5"/>
      <c r="AC1808" s="5"/>
      <c r="AD1808" s="5"/>
      <c r="AE1808" s="5"/>
      <c r="AF1808" s="5"/>
      <c r="AG1808" s="5"/>
    </row>
    <row r="1809" ht="15.75" customHeight="1">
      <c r="K1809" t="s">
        <v>3149</v>
      </c>
      <c r="L1809" t="str">
        <f t="shared" si="41"/>
        <v>H1a2b1a2~</v>
      </c>
      <c r="N1809" t="s">
        <v>3150</v>
      </c>
      <c r="O1809">
        <v>6882947.0</v>
      </c>
      <c r="P1809">
        <v>7014906.0</v>
      </c>
      <c r="Q1809" t="s">
        <v>427</v>
      </c>
      <c r="R1809" s="5"/>
      <c r="S1809" s="5"/>
      <c r="T1809" s="5"/>
      <c r="U1809" s="5"/>
      <c r="V1809" s="5"/>
      <c r="W1809" s="5"/>
      <c r="X1809" s="5"/>
      <c r="Y1809" s="5"/>
      <c r="Z1809" s="5"/>
      <c r="AA1809" s="5"/>
      <c r="AB1809" s="5"/>
      <c r="AC1809" s="5"/>
      <c r="AD1809" s="5"/>
      <c r="AE1809" s="5"/>
      <c r="AF1809" s="5"/>
      <c r="AG1809" s="5"/>
    </row>
    <row r="1810" ht="15.75" customHeight="1">
      <c r="K1810" t="s">
        <v>3151</v>
      </c>
      <c r="L1810" t="str">
        <f>H140</f>
        <v>H1a2b1a2~</v>
      </c>
      <c r="N1810" t="s">
        <v>3152</v>
      </c>
      <c r="O1810">
        <v>7010194.0</v>
      </c>
      <c r="P1810">
        <v>7142153.0</v>
      </c>
      <c r="Q1810" t="s">
        <v>431</v>
      </c>
      <c r="R1810" s="5"/>
      <c r="S1810" s="5"/>
      <c r="T1810" s="5"/>
      <c r="U1810" s="5"/>
      <c r="V1810" s="5"/>
      <c r="W1810" s="5"/>
      <c r="X1810" s="5"/>
      <c r="Y1810" s="5"/>
      <c r="Z1810" s="5"/>
      <c r="AA1810" s="5"/>
      <c r="AB1810" s="5"/>
      <c r="AC1810" s="5"/>
      <c r="AD1810" s="5"/>
      <c r="AE1810" s="5"/>
      <c r="AF1810" s="5"/>
      <c r="AG1810" s="5"/>
    </row>
    <row r="1811" ht="15.75" customHeight="1">
      <c r="K1811" t="s">
        <v>3153</v>
      </c>
      <c r="L1811" t="str">
        <f>H140</f>
        <v>H1a2b1a2~</v>
      </c>
      <c r="N1811" t="s">
        <v>3154</v>
      </c>
      <c r="O1811">
        <v>7800912.0</v>
      </c>
      <c r="P1811">
        <v>7932871.0</v>
      </c>
      <c r="Q1811" t="s">
        <v>427</v>
      </c>
      <c r="R1811" s="5"/>
      <c r="S1811" s="5"/>
      <c r="T1811" s="5"/>
      <c r="U1811" s="5"/>
      <c r="V1811" s="5"/>
      <c r="W1811" s="5"/>
      <c r="X1811" s="5"/>
      <c r="Y1811" s="5"/>
      <c r="Z1811" s="5"/>
      <c r="AA1811" s="5"/>
      <c r="AB1811" s="5"/>
      <c r="AC1811" s="5"/>
      <c r="AD1811" s="5"/>
      <c r="AE1811" s="5"/>
      <c r="AF1811" s="5"/>
      <c r="AG1811" s="5"/>
    </row>
    <row r="1812" ht="15.75" customHeight="1">
      <c r="K1812" t="s">
        <v>3155</v>
      </c>
      <c r="L1812" t="str">
        <f>H140</f>
        <v>H1a2b1a2~</v>
      </c>
      <c r="N1812" t="s">
        <v>3156</v>
      </c>
      <c r="O1812">
        <v>7815828.0</v>
      </c>
      <c r="P1812">
        <v>7947787.0</v>
      </c>
      <c r="Q1812" t="s">
        <v>427</v>
      </c>
      <c r="R1812" s="5"/>
      <c r="S1812" s="5"/>
      <c r="T1812" s="5"/>
      <c r="U1812" s="5"/>
      <c r="V1812" s="5"/>
      <c r="W1812" s="5"/>
      <c r="X1812" s="5"/>
      <c r="Y1812" s="5"/>
      <c r="Z1812" s="5"/>
      <c r="AA1812" s="5"/>
      <c r="AB1812" s="5"/>
      <c r="AC1812" s="5"/>
      <c r="AD1812" s="5"/>
      <c r="AE1812" s="5"/>
      <c r="AF1812" s="5"/>
      <c r="AG1812" s="5"/>
    </row>
    <row r="1813" ht="15.75" customHeight="1">
      <c r="K1813" t="s">
        <v>3157</v>
      </c>
      <c r="L1813" t="str">
        <f>G141</f>
        <v>H1a2b1b</v>
      </c>
      <c r="N1813" t="s">
        <v>3158</v>
      </c>
      <c r="O1813">
        <v>2734796.0</v>
      </c>
      <c r="P1813">
        <v>2866755.0</v>
      </c>
      <c r="Q1813" t="s">
        <v>431</v>
      </c>
      <c r="R1813" s="5"/>
      <c r="S1813" s="5"/>
      <c r="T1813" s="5"/>
      <c r="U1813" s="5"/>
      <c r="V1813" s="5"/>
      <c r="W1813" s="5"/>
      <c r="X1813" s="5"/>
      <c r="Y1813" s="5"/>
      <c r="Z1813" s="5"/>
      <c r="AA1813" s="5"/>
      <c r="AB1813" s="5"/>
      <c r="AC1813" s="5"/>
      <c r="AD1813" s="5"/>
      <c r="AE1813" s="5"/>
      <c r="AF1813" s="5"/>
      <c r="AG1813" s="5"/>
    </row>
    <row r="1814" ht="15.75" customHeight="1">
      <c r="K1814" t="s">
        <v>3159</v>
      </c>
      <c r="L1814" t="str">
        <f>G141</f>
        <v>H1a2b1b</v>
      </c>
      <c r="N1814" t="s">
        <v>3160</v>
      </c>
      <c r="O1814">
        <v>2865289.0</v>
      </c>
      <c r="P1814">
        <v>2997248.0</v>
      </c>
      <c r="Q1814" t="s">
        <v>473</v>
      </c>
      <c r="R1814" s="5"/>
      <c r="S1814" s="5"/>
      <c r="T1814" s="5"/>
      <c r="U1814" s="5"/>
      <c r="V1814" s="5"/>
      <c r="W1814" s="5"/>
      <c r="X1814" s="5"/>
      <c r="Y1814" s="5"/>
      <c r="Z1814" s="5"/>
      <c r="AA1814" s="5"/>
      <c r="AB1814" s="5"/>
      <c r="AC1814" s="5"/>
      <c r="AD1814" s="5"/>
      <c r="AE1814" s="5"/>
      <c r="AF1814" s="5"/>
      <c r="AG1814" s="5"/>
    </row>
    <row r="1815" ht="15.75" customHeight="1">
      <c r="K1815" t="s">
        <v>3161</v>
      </c>
      <c r="L1815" t="str">
        <f>G141</f>
        <v>H1a2b1b</v>
      </c>
      <c r="N1815" t="s">
        <v>3162</v>
      </c>
      <c r="O1815">
        <v>2768074.0</v>
      </c>
      <c r="P1815">
        <v>2900033.0</v>
      </c>
      <c r="Q1815" t="s">
        <v>431</v>
      </c>
      <c r="R1815" s="5"/>
      <c r="S1815" s="5"/>
      <c r="T1815" s="5"/>
      <c r="U1815" s="5"/>
      <c r="V1815" s="5"/>
      <c r="W1815" s="5"/>
      <c r="X1815" s="5"/>
      <c r="Y1815" s="5"/>
      <c r="Z1815" s="5"/>
      <c r="AA1815" s="5"/>
      <c r="AB1815" s="5"/>
      <c r="AC1815" s="5"/>
      <c r="AD1815" s="5"/>
      <c r="AE1815" s="5"/>
      <c r="AF1815" s="5"/>
      <c r="AG1815" s="5"/>
    </row>
    <row r="1816" ht="15.75" customHeight="1">
      <c r="K1816" t="s">
        <v>3163</v>
      </c>
      <c r="L1816" t="str">
        <f>G141</f>
        <v>H1a2b1b</v>
      </c>
      <c r="N1816" t="s">
        <v>3164</v>
      </c>
      <c r="O1816">
        <v>2813881.0</v>
      </c>
      <c r="P1816">
        <v>2945840.0</v>
      </c>
      <c r="Q1816" t="s">
        <v>423</v>
      </c>
      <c r="R1816" s="5"/>
      <c r="S1816" s="5"/>
      <c r="T1816" s="5"/>
      <c r="U1816" s="5"/>
      <c r="V1816" s="5"/>
      <c r="W1816" s="5"/>
      <c r="X1816" s="5"/>
      <c r="Y1816" s="5"/>
      <c r="Z1816" s="5"/>
      <c r="AA1816" s="5"/>
      <c r="AB1816" s="5"/>
      <c r="AC1816" s="5"/>
      <c r="AD1816" s="5"/>
      <c r="AE1816" s="5"/>
      <c r="AF1816" s="5"/>
      <c r="AG1816" s="5"/>
    </row>
    <row r="1817" ht="15.75" customHeight="1">
      <c r="K1817" t="s">
        <v>3165</v>
      </c>
      <c r="L1817" t="str">
        <f>G141</f>
        <v>H1a2b1b</v>
      </c>
      <c r="N1817" t="s">
        <v>3166</v>
      </c>
      <c r="O1817">
        <v>2871798.0</v>
      </c>
      <c r="P1817">
        <v>3003757.0</v>
      </c>
      <c r="Q1817" t="s">
        <v>431</v>
      </c>
      <c r="R1817" s="5"/>
      <c r="S1817" s="5"/>
      <c r="T1817" s="5"/>
      <c r="U1817" s="5"/>
      <c r="V1817" s="5"/>
      <c r="W1817" s="5"/>
      <c r="X1817" s="5"/>
      <c r="Y1817" s="5"/>
      <c r="Z1817" s="5"/>
      <c r="AA1817" s="5"/>
      <c r="AB1817" s="5"/>
      <c r="AC1817" s="5"/>
      <c r="AD1817" s="5"/>
      <c r="AE1817" s="5"/>
      <c r="AF1817" s="5"/>
      <c r="AG1817" s="5"/>
    </row>
    <row r="1818" ht="15.75" customHeight="1">
      <c r="K1818" t="s">
        <v>3167</v>
      </c>
      <c r="L1818" t="str">
        <f>G141</f>
        <v>H1a2b1b</v>
      </c>
      <c r="N1818" t="s">
        <v>3168</v>
      </c>
      <c r="O1818">
        <v>6627181.0</v>
      </c>
      <c r="P1818">
        <v>6759140.0</v>
      </c>
      <c r="Q1818" t="s">
        <v>473</v>
      </c>
      <c r="R1818" s="5"/>
      <c r="S1818" s="5"/>
      <c r="T1818" s="5"/>
      <c r="U1818" s="5"/>
      <c r="V1818" s="5"/>
      <c r="W1818" s="5"/>
      <c r="X1818" s="5"/>
      <c r="Y1818" s="5"/>
      <c r="Z1818" s="5"/>
      <c r="AA1818" s="5"/>
      <c r="AB1818" s="5"/>
      <c r="AC1818" s="5"/>
      <c r="AD1818" s="5"/>
      <c r="AE1818" s="5"/>
      <c r="AF1818" s="5"/>
      <c r="AG1818" s="5"/>
    </row>
    <row r="1819" ht="15.75" customHeight="1">
      <c r="K1819" t="s">
        <v>3169</v>
      </c>
      <c r="L1819" t="str">
        <f>G141</f>
        <v>H1a2b1b</v>
      </c>
      <c r="N1819" t="s">
        <v>3170</v>
      </c>
      <c r="O1819">
        <v>6692691.0</v>
      </c>
      <c r="P1819">
        <v>6824650.0</v>
      </c>
      <c r="Q1819" t="s">
        <v>423</v>
      </c>
      <c r="R1819" s="5"/>
      <c r="S1819" s="5"/>
      <c r="T1819" s="5"/>
      <c r="U1819" s="5"/>
      <c r="V1819" s="5"/>
      <c r="W1819" s="5"/>
      <c r="X1819" s="5"/>
      <c r="Y1819" s="5"/>
      <c r="Z1819" s="5"/>
      <c r="AA1819" s="5"/>
      <c r="AB1819" s="5"/>
      <c r="AC1819" s="5"/>
      <c r="AD1819" s="5"/>
      <c r="AE1819" s="5"/>
      <c r="AF1819" s="5"/>
      <c r="AG1819" s="5"/>
    </row>
    <row r="1820" ht="15.75" customHeight="1">
      <c r="K1820" t="s">
        <v>3171</v>
      </c>
      <c r="L1820" t="str">
        <f>G141</f>
        <v>H1a2b1b</v>
      </c>
      <c r="N1820" t="s">
        <v>3172</v>
      </c>
      <c r="O1820">
        <v>6761967.0</v>
      </c>
      <c r="P1820">
        <v>6893926.0</v>
      </c>
      <c r="Q1820" t="s">
        <v>419</v>
      </c>
      <c r="R1820" s="5"/>
      <c r="S1820" s="5"/>
      <c r="T1820" s="5"/>
      <c r="U1820" s="5"/>
      <c r="V1820" s="5"/>
      <c r="W1820" s="5"/>
      <c r="X1820" s="5"/>
      <c r="Y1820" s="5"/>
      <c r="Z1820" s="5"/>
      <c r="AA1820" s="5"/>
      <c r="AB1820" s="5"/>
      <c r="AC1820" s="5"/>
      <c r="AD1820" s="5"/>
      <c r="AE1820" s="5"/>
      <c r="AF1820" s="5"/>
      <c r="AG1820" s="5"/>
    </row>
    <row r="1821" ht="15.75" customHeight="1">
      <c r="K1821" t="s">
        <v>3173</v>
      </c>
      <c r="L1821" t="str">
        <f>G141</f>
        <v>H1a2b1b</v>
      </c>
      <c r="N1821" t="s">
        <v>3174</v>
      </c>
      <c r="O1821">
        <v>6785409.0</v>
      </c>
      <c r="P1821">
        <v>6917368.0</v>
      </c>
      <c r="Q1821" t="s">
        <v>423</v>
      </c>
      <c r="R1821" s="5"/>
      <c r="S1821" s="5"/>
      <c r="T1821" s="5"/>
      <c r="U1821" s="5"/>
      <c r="V1821" s="5"/>
      <c r="W1821" s="5"/>
      <c r="X1821" s="5"/>
      <c r="Y1821" s="5"/>
      <c r="Z1821" s="5"/>
      <c r="AA1821" s="5"/>
      <c r="AB1821" s="5"/>
      <c r="AC1821" s="5"/>
      <c r="AD1821" s="5"/>
      <c r="AE1821" s="5"/>
      <c r="AF1821" s="5"/>
      <c r="AG1821" s="5"/>
    </row>
    <row r="1822" ht="15.75" customHeight="1">
      <c r="K1822" t="s">
        <v>3175</v>
      </c>
      <c r="L1822" t="str">
        <f>G141</f>
        <v>H1a2b1b</v>
      </c>
      <c r="O1822">
        <v>6786411.0</v>
      </c>
      <c r="P1822">
        <v>6918370.0</v>
      </c>
      <c r="Q1822" s="66" t="s">
        <v>553</v>
      </c>
      <c r="R1822" s="5"/>
      <c r="S1822" s="5"/>
      <c r="T1822" s="5"/>
      <c r="U1822" s="5"/>
      <c r="V1822" s="5"/>
      <c r="W1822" s="5"/>
      <c r="X1822" s="5"/>
      <c r="Y1822" s="5"/>
      <c r="Z1822" s="5"/>
      <c r="AA1822" s="5"/>
      <c r="AB1822" s="5"/>
      <c r="AC1822" s="5"/>
      <c r="AD1822" s="5"/>
      <c r="AE1822" s="5"/>
      <c r="AF1822" s="5"/>
      <c r="AG1822" s="5"/>
    </row>
    <row r="1823" ht="15.75" customHeight="1">
      <c r="K1823" t="s">
        <v>3176</v>
      </c>
      <c r="L1823" t="str">
        <f>G141</f>
        <v>H1a2b1b</v>
      </c>
      <c r="N1823" t="s">
        <v>3177</v>
      </c>
      <c r="O1823">
        <v>6831527.0</v>
      </c>
      <c r="P1823">
        <v>6963486.0</v>
      </c>
      <c r="Q1823" t="s">
        <v>435</v>
      </c>
      <c r="R1823" s="5"/>
      <c r="S1823" s="5"/>
      <c r="T1823" s="5"/>
      <c r="U1823" s="5"/>
      <c r="V1823" s="5"/>
      <c r="W1823" s="5"/>
      <c r="X1823" s="5"/>
      <c r="Y1823" s="5"/>
      <c r="Z1823" s="5"/>
      <c r="AA1823" s="5"/>
      <c r="AB1823" s="5"/>
      <c r="AC1823" s="5"/>
      <c r="AD1823" s="5"/>
      <c r="AE1823" s="5"/>
      <c r="AF1823" s="5"/>
      <c r="AG1823" s="5"/>
    </row>
    <row r="1824" ht="15.75" customHeight="1">
      <c r="K1824" t="s">
        <v>3178</v>
      </c>
      <c r="L1824" t="str">
        <f>G141</f>
        <v>H1a2b1b</v>
      </c>
      <c r="N1824" t="s">
        <v>3179</v>
      </c>
      <c r="O1824">
        <v>7038591.0</v>
      </c>
      <c r="P1824">
        <v>7170550.0</v>
      </c>
      <c r="Q1824" t="s">
        <v>423</v>
      </c>
      <c r="R1824" s="5"/>
      <c r="S1824" s="5"/>
      <c r="T1824" s="5"/>
      <c r="U1824" s="5"/>
      <c r="V1824" s="5"/>
      <c r="W1824" s="5"/>
      <c r="X1824" s="5"/>
      <c r="Y1824" s="5"/>
      <c r="Z1824" s="5"/>
      <c r="AA1824" s="5"/>
      <c r="AB1824" s="5"/>
      <c r="AC1824" s="5"/>
      <c r="AD1824" s="5"/>
      <c r="AE1824" s="5"/>
      <c r="AF1824" s="5"/>
      <c r="AG1824" s="5"/>
    </row>
    <row r="1825" ht="15.75" customHeight="1">
      <c r="K1825" t="s">
        <v>3180</v>
      </c>
      <c r="L1825" t="str">
        <f>G141</f>
        <v>H1a2b1b</v>
      </c>
      <c r="N1825" t="s">
        <v>3181</v>
      </c>
      <c r="O1825">
        <v>7219807.0</v>
      </c>
      <c r="P1825">
        <v>7351766.0</v>
      </c>
      <c r="Q1825" t="s">
        <v>473</v>
      </c>
      <c r="R1825" s="5"/>
      <c r="S1825" s="5"/>
      <c r="T1825" s="5"/>
      <c r="U1825" s="5"/>
      <c r="V1825" s="5"/>
      <c r="W1825" s="5"/>
      <c r="X1825" s="5"/>
      <c r="Y1825" s="5"/>
      <c r="Z1825" s="5"/>
      <c r="AA1825" s="5"/>
      <c r="AB1825" s="5"/>
      <c r="AC1825" s="5"/>
      <c r="AD1825" s="5"/>
      <c r="AE1825" s="5"/>
      <c r="AF1825" s="5"/>
      <c r="AG1825" s="5"/>
    </row>
    <row r="1826" ht="15.75" customHeight="1">
      <c r="K1826" t="s">
        <v>3182</v>
      </c>
      <c r="L1826" t="str">
        <f>G141</f>
        <v>H1a2b1b</v>
      </c>
      <c r="N1826" t="s">
        <v>3183</v>
      </c>
      <c r="O1826">
        <v>7371106.0</v>
      </c>
      <c r="P1826">
        <v>7503065.0</v>
      </c>
      <c r="Q1826" t="s">
        <v>419</v>
      </c>
      <c r="R1826" s="5"/>
      <c r="S1826" s="5"/>
      <c r="T1826" s="5"/>
      <c r="U1826" s="5"/>
      <c r="V1826" s="5"/>
      <c r="W1826" s="5"/>
      <c r="X1826" s="5"/>
      <c r="Y1826" s="5"/>
      <c r="Z1826" s="5"/>
      <c r="AA1826" s="5"/>
      <c r="AB1826" s="5"/>
      <c r="AC1826" s="5"/>
      <c r="AD1826" s="5"/>
      <c r="AE1826" s="5"/>
      <c r="AF1826" s="5"/>
      <c r="AG1826" s="5"/>
    </row>
    <row r="1827" ht="15.75" customHeight="1">
      <c r="K1827" t="s">
        <v>3184</v>
      </c>
      <c r="L1827" t="str">
        <f>G141</f>
        <v>H1a2b1b</v>
      </c>
      <c r="N1827" t="s">
        <v>3185</v>
      </c>
      <c r="O1827">
        <v>7560561.0</v>
      </c>
      <c r="P1827">
        <v>7692520.0</v>
      </c>
      <c r="Q1827" t="s">
        <v>525</v>
      </c>
      <c r="R1827" s="5"/>
      <c r="S1827" s="5"/>
      <c r="T1827" s="5"/>
      <c r="U1827" s="5"/>
      <c r="V1827" s="5"/>
      <c r="W1827" s="5"/>
      <c r="X1827" s="5"/>
      <c r="Y1827" s="5"/>
      <c r="Z1827" s="5"/>
      <c r="AA1827" s="5"/>
      <c r="AB1827" s="5"/>
      <c r="AC1827" s="5"/>
      <c r="AD1827" s="5"/>
      <c r="AE1827" s="5"/>
      <c r="AF1827" s="5"/>
      <c r="AG1827" s="5"/>
    </row>
    <row r="1828" ht="15.75" customHeight="1">
      <c r="K1828" t="s">
        <v>3186</v>
      </c>
      <c r="L1828" t="str">
        <f>G141</f>
        <v>H1a2b1b</v>
      </c>
      <c r="N1828" t="s">
        <v>3187</v>
      </c>
      <c r="O1828">
        <v>7681409.0</v>
      </c>
      <c r="P1828">
        <v>7813368.0</v>
      </c>
      <c r="Q1828" t="s">
        <v>423</v>
      </c>
      <c r="R1828" s="5"/>
      <c r="S1828" s="5"/>
      <c r="T1828" s="5"/>
      <c r="U1828" s="5"/>
      <c r="V1828" s="5"/>
      <c r="W1828" s="5"/>
      <c r="X1828" s="5"/>
      <c r="Y1828" s="5"/>
      <c r="Z1828" s="5"/>
      <c r="AA1828" s="5"/>
      <c r="AB1828" s="5"/>
      <c r="AC1828" s="5"/>
      <c r="AD1828" s="5"/>
      <c r="AE1828" s="5"/>
      <c r="AF1828" s="5"/>
      <c r="AG1828" s="5"/>
    </row>
    <row r="1829" ht="15.75" customHeight="1">
      <c r="K1829" t="s">
        <v>3188</v>
      </c>
      <c r="L1829" t="str">
        <f>G141</f>
        <v>H1a2b1b</v>
      </c>
      <c r="N1829" t="s">
        <v>3189</v>
      </c>
      <c r="O1829">
        <v>7705062.0</v>
      </c>
      <c r="P1829">
        <v>7837021.0</v>
      </c>
      <c r="Q1829" t="s">
        <v>419</v>
      </c>
      <c r="R1829" s="5"/>
      <c r="S1829" s="5"/>
      <c r="T1829" s="5"/>
      <c r="U1829" s="5"/>
      <c r="V1829" s="5"/>
      <c r="W1829" s="5"/>
      <c r="X1829" s="5"/>
      <c r="Y1829" s="5"/>
      <c r="Z1829" s="5"/>
      <c r="AA1829" s="5"/>
      <c r="AB1829" s="5"/>
      <c r="AC1829" s="5"/>
      <c r="AD1829" s="5"/>
      <c r="AE1829" s="5"/>
      <c r="AF1829" s="5"/>
      <c r="AG1829" s="5"/>
    </row>
    <row r="1830" ht="15.75" customHeight="1">
      <c r="K1830" t="s">
        <v>3190</v>
      </c>
      <c r="L1830" t="str">
        <f>G141</f>
        <v>H1a2b1b</v>
      </c>
      <c r="N1830" t="s">
        <v>3191</v>
      </c>
      <c r="O1830">
        <v>7758283.0</v>
      </c>
      <c r="P1830">
        <v>7890242.0</v>
      </c>
      <c r="Q1830" t="s">
        <v>435</v>
      </c>
      <c r="R1830" s="5"/>
      <c r="S1830" s="5"/>
      <c r="T1830" s="5"/>
      <c r="U1830" s="5"/>
      <c r="V1830" s="5"/>
      <c r="W1830" s="5"/>
      <c r="X1830" s="5"/>
      <c r="Y1830" s="5"/>
      <c r="Z1830" s="5"/>
      <c r="AA1830" s="5"/>
      <c r="AB1830" s="5"/>
      <c r="AC1830" s="5"/>
      <c r="AD1830" s="5"/>
      <c r="AE1830" s="5"/>
      <c r="AF1830" s="5"/>
      <c r="AG1830" s="5"/>
    </row>
    <row r="1831" ht="15.75" customHeight="1">
      <c r="K1831" t="s">
        <v>3192</v>
      </c>
      <c r="L1831" t="str">
        <f>G141</f>
        <v>H1a2b1b</v>
      </c>
      <c r="N1831" t="s">
        <v>3193</v>
      </c>
      <c r="O1831">
        <v>7841885.0</v>
      </c>
      <c r="P1831">
        <v>7973844.0</v>
      </c>
      <c r="Q1831" t="s">
        <v>525</v>
      </c>
      <c r="R1831" s="5"/>
      <c r="S1831" s="5"/>
      <c r="T1831" s="5"/>
      <c r="U1831" s="5"/>
      <c r="V1831" s="5"/>
      <c r="W1831" s="5"/>
      <c r="X1831" s="5"/>
      <c r="Y1831" s="5"/>
      <c r="Z1831" s="5"/>
      <c r="AA1831" s="5"/>
      <c r="AB1831" s="5"/>
      <c r="AC1831" s="5"/>
      <c r="AD1831" s="5"/>
      <c r="AE1831" s="5"/>
      <c r="AF1831" s="5"/>
      <c r="AG1831" s="5"/>
    </row>
    <row r="1832" ht="15.75" customHeight="1">
      <c r="K1832" t="s">
        <v>3194</v>
      </c>
      <c r="L1832" t="str">
        <f>G141</f>
        <v>H1a2b1b</v>
      </c>
      <c r="N1832" t="s">
        <v>3195</v>
      </c>
      <c r="O1832">
        <v>7897013.0</v>
      </c>
      <c r="P1832">
        <v>8028972.0</v>
      </c>
      <c r="Q1832" t="s">
        <v>423</v>
      </c>
      <c r="R1832" s="5"/>
      <c r="S1832" s="5"/>
      <c r="T1832" s="5"/>
      <c r="U1832" s="5"/>
      <c r="V1832" s="5"/>
      <c r="W1832" s="5"/>
      <c r="X1832" s="5"/>
      <c r="Y1832" s="5"/>
      <c r="Z1832" s="5"/>
      <c r="AA1832" s="5"/>
      <c r="AB1832" s="5"/>
      <c r="AC1832" s="5"/>
      <c r="AD1832" s="5"/>
      <c r="AE1832" s="5"/>
      <c r="AF1832" s="5"/>
      <c r="AG1832" s="5"/>
    </row>
    <row r="1833" ht="15.75" customHeight="1">
      <c r="K1833" t="s">
        <v>3196</v>
      </c>
      <c r="L1833" t="str">
        <f>G141</f>
        <v>H1a2b1b</v>
      </c>
      <c r="N1833" t="s">
        <v>3197</v>
      </c>
      <c r="O1833">
        <v>8202316.0</v>
      </c>
      <c r="P1833">
        <v>8334275.0</v>
      </c>
      <c r="Q1833" t="s">
        <v>423</v>
      </c>
      <c r="R1833" s="5"/>
      <c r="S1833" s="5"/>
      <c r="T1833" s="5"/>
      <c r="U1833" s="5"/>
      <c r="V1833" s="5"/>
      <c r="W1833" s="5"/>
      <c r="X1833" s="5"/>
      <c r="Y1833" s="5"/>
      <c r="Z1833" s="5"/>
      <c r="AA1833" s="5"/>
      <c r="AB1833" s="5"/>
      <c r="AC1833" s="5"/>
      <c r="AD1833" s="5"/>
      <c r="AE1833" s="5"/>
      <c r="AF1833" s="5"/>
      <c r="AG1833" s="5"/>
    </row>
    <row r="1834" ht="15.75" customHeight="1">
      <c r="K1834" t="s">
        <v>3198</v>
      </c>
      <c r="L1834" t="str">
        <f>G141</f>
        <v>H1a2b1b</v>
      </c>
      <c r="N1834" t="s">
        <v>3199</v>
      </c>
      <c r="O1834">
        <v>8581331.0</v>
      </c>
      <c r="P1834">
        <v>8713290.0</v>
      </c>
      <c r="Q1834" t="s">
        <v>423</v>
      </c>
      <c r="R1834" s="5"/>
      <c r="S1834" s="5"/>
      <c r="T1834" s="5"/>
      <c r="U1834" s="5"/>
      <c r="V1834" s="5"/>
      <c r="W1834" s="5"/>
      <c r="X1834" s="5"/>
      <c r="Y1834" s="5"/>
      <c r="Z1834" s="5"/>
      <c r="AA1834" s="5"/>
      <c r="AB1834" s="5"/>
      <c r="AC1834" s="5"/>
      <c r="AD1834" s="5"/>
      <c r="AE1834" s="5"/>
      <c r="AF1834" s="5"/>
      <c r="AG1834" s="5"/>
    </row>
    <row r="1835" ht="15.75" customHeight="1">
      <c r="K1835" t="s">
        <v>3200</v>
      </c>
      <c r="L1835" t="str">
        <f>G141</f>
        <v>H1a2b1b</v>
      </c>
      <c r="N1835" t="s">
        <v>3201</v>
      </c>
      <c r="O1835">
        <v>8669796.0</v>
      </c>
      <c r="P1835">
        <v>8801755.0</v>
      </c>
      <c r="Q1835" t="s">
        <v>419</v>
      </c>
      <c r="R1835" s="5"/>
      <c r="S1835" s="5"/>
      <c r="T1835" s="5"/>
      <c r="U1835" s="5"/>
      <c r="V1835" s="5"/>
      <c r="W1835" s="5"/>
      <c r="X1835" s="5"/>
      <c r="Y1835" s="5"/>
      <c r="Z1835" s="5"/>
      <c r="AA1835" s="5"/>
      <c r="AB1835" s="5"/>
      <c r="AC1835" s="5"/>
      <c r="AD1835" s="5"/>
      <c r="AE1835" s="5"/>
      <c r="AF1835" s="5"/>
      <c r="AG1835" s="5"/>
    </row>
    <row r="1836" ht="15.75" customHeight="1">
      <c r="K1836" t="s">
        <v>3202</v>
      </c>
      <c r="L1836" t="str">
        <f>G141</f>
        <v>H1a2b1b</v>
      </c>
      <c r="N1836" t="s">
        <v>3203</v>
      </c>
      <c r="O1836">
        <v>1.4152342E7</v>
      </c>
      <c r="P1836">
        <v>1.2031636E7</v>
      </c>
      <c r="Q1836" t="s">
        <v>419</v>
      </c>
      <c r="R1836" s="5"/>
      <c r="S1836" s="5"/>
      <c r="T1836" s="5"/>
      <c r="U1836" s="5"/>
      <c r="V1836" s="5"/>
      <c r="W1836" s="5"/>
      <c r="X1836" s="5"/>
      <c r="Y1836" s="5"/>
      <c r="Z1836" s="5"/>
      <c r="AA1836" s="5"/>
      <c r="AB1836" s="5"/>
      <c r="AC1836" s="5"/>
      <c r="AD1836" s="5"/>
      <c r="AE1836" s="5"/>
      <c r="AF1836" s="5"/>
      <c r="AG1836" s="5"/>
    </row>
    <row r="1837" ht="15.75" customHeight="1">
      <c r="K1837" t="s">
        <v>3204</v>
      </c>
      <c r="L1837" t="str">
        <f>G141</f>
        <v>H1a2b1b</v>
      </c>
      <c r="N1837" t="s">
        <v>3205</v>
      </c>
      <c r="O1837">
        <v>1.4163783E7</v>
      </c>
      <c r="P1837">
        <v>1.2043077E7</v>
      </c>
      <c r="Q1837" t="s">
        <v>419</v>
      </c>
      <c r="R1837" s="5"/>
      <c r="S1837" s="5"/>
      <c r="T1837" s="5"/>
      <c r="U1837" s="5"/>
      <c r="V1837" s="5"/>
      <c r="W1837" s="5"/>
      <c r="X1837" s="5"/>
      <c r="Y1837" s="5"/>
      <c r="Z1837" s="5"/>
      <c r="AA1837" s="5"/>
      <c r="AB1837" s="5"/>
      <c r="AC1837" s="5"/>
      <c r="AD1837" s="5"/>
      <c r="AE1837" s="5"/>
      <c r="AF1837" s="5"/>
      <c r="AG1837" s="5"/>
    </row>
    <row r="1838" ht="15.75" customHeight="1">
      <c r="K1838" t="s">
        <v>3206</v>
      </c>
      <c r="L1838" t="str">
        <f>G141</f>
        <v>H1a2b1b</v>
      </c>
      <c r="N1838" t="s">
        <v>3207</v>
      </c>
      <c r="O1838">
        <v>1.420229E7</v>
      </c>
      <c r="P1838">
        <v>1.2081584E7</v>
      </c>
      <c r="Q1838" t="s">
        <v>419</v>
      </c>
      <c r="R1838" s="5"/>
      <c r="S1838" s="5"/>
      <c r="T1838" s="5"/>
      <c r="U1838" s="5"/>
      <c r="V1838" s="5"/>
      <c r="W1838" s="5"/>
      <c r="X1838" s="5"/>
      <c r="Y1838" s="5"/>
      <c r="Z1838" s="5"/>
      <c r="AA1838" s="5"/>
      <c r="AB1838" s="5"/>
      <c r="AC1838" s="5"/>
      <c r="AD1838" s="5"/>
      <c r="AE1838" s="5"/>
      <c r="AF1838" s="5"/>
      <c r="AG1838" s="5"/>
    </row>
    <row r="1839" ht="15.75" customHeight="1">
      <c r="K1839" t="s">
        <v>3208</v>
      </c>
      <c r="L1839" t="str">
        <f>G141</f>
        <v>H1a2b1b</v>
      </c>
      <c r="N1839" t="s">
        <v>3209</v>
      </c>
      <c r="O1839">
        <v>1.4274054E7</v>
      </c>
      <c r="P1839">
        <v>1.2153348E7</v>
      </c>
      <c r="Q1839" t="s">
        <v>419</v>
      </c>
      <c r="R1839" s="5"/>
      <c r="S1839" s="5"/>
      <c r="T1839" s="5"/>
      <c r="U1839" s="5"/>
      <c r="V1839" s="5"/>
      <c r="W1839" s="5"/>
      <c r="X1839" s="5"/>
      <c r="Y1839" s="5"/>
      <c r="Z1839" s="5"/>
      <c r="AA1839" s="5"/>
      <c r="AB1839" s="5"/>
      <c r="AC1839" s="5"/>
      <c r="AD1839" s="5"/>
      <c r="AE1839" s="5"/>
      <c r="AF1839" s="5"/>
      <c r="AG1839" s="5"/>
    </row>
    <row r="1840" ht="15.75" customHeight="1">
      <c r="K1840" t="s">
        <v>3210</v>
      </c>
      <c r="L1840" t="str">
        <f>G141</f>
        <v>H1a2b1b</v>
      </c>
      <c r="N1840" t="s">
        <v>3211</v>
      </c>
      <c r="O1840">
        <v>1.4279988E7</v>
      </c>
      <c r="P1840">
        <v>1.2159282E7</v>
      </c>
      <c r="Q1840" t="s">
        <v>553</v>
      </c>
      <c r="R1840" s="5"/>
      <c r="S1840" s="5"/>
      <c r="T1840" s="5"/>
      <c r="U1840" s="5"/>
      <c r="V1840" s="5"/>
      <c r="W1840" s="5"/>
      <c r="X1840" s="5"/>
      <c r="Y1840" s="5"/>
      <c r="Z1840" s="5"/>
      <c r="AA1840" s="5"/>
      <c r="AB1840" s="5"/>
      <c r="AC1840" s="5"/>
      <c r="AD1840" s="5"/>
      <c r="AE1840" s="5"/>
      <c r="AF1840" s="5"/>
      <c r="AG1840" s="5"/>
    </row>
    <row r="1841" ht="15.75" customHeight="1">
      <c r="K1841" t="s">
        <v>3212</v>
      </c>
      <c r="L1841" t="str">
        <f>G141</f>
        <v>H1a2b1b</v>
      </c>
      <c r="N1841" t="s">
        <v>3213</v>
      </c>
      <c r="O1841">
        <v>1.4292423E7</v>
      </c>
      <c r="P1841">
        <v>1.2171717E7</v>
      </c>
      <c r="Q1841" t="s">
        <v>476</v>
      </c>
      <c r="R1841" s="5"/>
      <c r="S1841" s="5"/>
      <c r="T1841" s="5"/>
      <c r="U1841" s="5"/>
      <c r="V1841" s="5"/>
      <c r="W1841" s="5"/>
      <c r="X1841" s="5"/>
      <c r="Y1841" s="5"/>
      <c r="Z1841" s="5"/>
      <c r="AA1841" s="5"/>
      <c r="AB1841" s="5"/>
      <c r="AC1841" s="5"/>
      <c r="AD1841" s="5"/>
      <c r="AE1841" s="5"/>
      <c r="AF1841" s="5"/>
      <c r="AG1841" s="5"/>
    </row>
    <row r="1842" ht="15.75" customHeight="1">
      <c r="K1842" t="s">
        <v>3214</v>
      </c>
      <c r="L1842" t="str">
        <f>G141</f>
        <v>H1a2b1b</v>
      </c>
      <c r="N1842" t="s">
        <v>3215</v>
      </c>
      <c r="O1842">
        <v>1.4332959E7</v>
      </c>
      <c r="P1842">
        <v>1.2212253E7</v>
      </c>
      <c r="Q1842" t="s">
        <v>435</v>
      </c>
      <c r="R1842" s="5"/>
      <c r="S1842" s="5"/>
      <c r="T1842" s="5"/>
      <c r="U1842" s="5"/>
      <c r="V1842" s="5"/>
      <c r="W1842" s="5"/>
      <c r="X1842" s="5"/>
      <c r="Y1842" s="5"/>
      <c r="Z1842" s="5"/>
      <c r="AA1842" s="5"/>
      <c r="AB1842" s="5"/>
      <c r="AC1842" s="5"/>
      <c r="AD1842" s="5"/>
      <c r="AE1842" s="5"/>
      <c r="AF1842" s="5"/>
      <c r="AG1842" s="5"/>
    </row>
    <row r="1843" ht="15.75" customHeight="1">
      <c r="K1843" t="s">
        <v>3216</v>
      </c>
      <c r="L1843" t="str">
        <f>G141</f>
        <v>H1a2b1b</v>
      </c>
      <c r="N1843" t="s">
        <v>3217</v>
      </c>
      <c r="O1843">
        <v>1.4531658E7</v>
      </c>
      <c r="P1843">
        <v>1.2419859E7</v>
      </c>
      <c r="Q1843" t="s">
        <v>419</v>
      </c>
      <c r="R1843" s="5"/>
      <c r="S1843" s="5"/>
      <c r="T1843" s="5"/>
      <c r="U1843" s="5"/>
      <c r="V1843" s="5"/>
      <c r="W1843" s="5"/>
      <c r="X1843" s="5"/>
      <c r="Y1843" s="5"/>
      <c r="Z1843" s="5"/>
      <c r="AA1843" s="5"/>
      <c r="AB1843" s="5"/>
      <c r="AC1843" s="5"/>
      <c r="AD1843" s="5"/>
      <c r="AE1843" s="5"/>
      <c r="AF1843" s="5"/>
      <c r="AG1843" s="5"/>
    </row>
    <row r="1844" ht="15.75" customHeight="1">
      <c r="K1844" t="s">
        <v>3218</v>
      </c>
      <c r="L1844" t="str">
        <f>G141</f>
        <v>H1a2b1b</v>
      </c>
      <c r="N1844" t="s">
        <v>3219</v>
      </c>
      <c r="O1844">
        <v>1.4650332E7</v>
      </c>
      <c r="P1844">
        <v>1.2538397E7</v>
      </c>
      <c r="Q1844" t="s">
        <v>419</v>
      </c>
      <c r="R1844" s="5"/>
      <c r="S1844" s="5"/>
      <c r="T1844" s="5"/>
      <c r="U1844" s="5"/>
      <c r="V1844" s="5"/>
      <c r="W1844" s="5"/>
      <c r="X1844" s="5"/>
      <c r="Y1844" s="5"/>
      <c r="Z1844" s="5"/>
      <c r="AA1844" s="5"/>
      <c r="AB1844" s="5"/>
      <c r="AC1844" s="5"/>
      <c r="AD1844" s="5"/>
      <c r="AE1844" s="5"/>
      <c r="AF1844" s="5"/>
      <c r="AG1844" s="5"/>
    </row>
    <row r="1845" ht="15.75" customHeight="1">
      <c r="K1845" t="s">
        <v>3220</v>
      </c>
      <c r="L1845" t="str">
        <f>G141</f>
        <v>H1a2b1b</v>
      </c>
      <c r="N1845" t="s">
        <v>3221</v>
      </c>
      <c r="O1845">
        <v>1.4723307E7</v>
      </c>
      <c r="P1845">
        <v>1.2611375E7</v>
      </c>
      <c r="Q1845" t="s">
        <v>435</v>
      </c>
      <c r="R1845" s="5"/>
      <c r="S1845" s="5"/>
      <c r="T1845" s="5"/>
      <c r="U1845" s="5"/>
      <c r="V1845" s="5"/>
      <c r="W1845" s="5"/>
      <c r="X1845" s="5"/>
      <c r="Y1845" s="5"/>
      <c r="Z1845" s="5"/>
      <c r="AA1845" s="5"/>
      <c r="AB1845" s="5"/>
      <c r="AC1845" s="5"/>
      <c r="AD1845" s="5"/>
      <c r="AE1845" s="5"/>
      <c r="AF1845" s="5"/>
      <c r="AG1845" s="5"/>
    </row>
    <row r="1846" ht="15.75" customHeight="1">
      <c r="K1846" t="s">
        <v>3222</v>
      </c>
      <c r="L1846" t="str">
        <f>G141</f>
        <v>H1a2b1b</v>
      </c>
      <c r="N1846" t="s">
        <v>3223</v>
      </c>
      <c r="O1846">
        <v>1.4736145E7</v>
      </c>
      <c r="P1846">
        <v>1.2624213E7</v>
      </c>
      <c r="Q1846" t="s">
        <v>423</v>
      </c>
      <c r="R1846" s="5"/>
      <c r="S1846" s="5"/>
      <c r="T1846" s="5"/>
      <c r="U1846" s="5"/>
      <c r="V1846" s="5"/>
      <c r="W1846" s="5"/>
      <c r="X1846" s="5"/>
      <c r="Y1846" s="5"/>
      <c r="Z1846" s="5"/>
      <c r="AA1846" s="5"/>
      <c r="AB1846" s="5"/>
      <c r="AC1846" s="5"/>
      <c r="AD1846" s="5"/>
      <c r="AE1846" s="5"/>
      <c r="AF1846" s="5"/>
      <c r="AG1846" s="5"/>
    </row>
    <row r="1847" ht="15.75" customHeight="1">
      <c r="K1847" t="s">
        <v>3224</v>
      </c>
      <c r="L1847" t="str">
        <f>G141</f>
        <v>H1a2b1b</v>
      </c>
      <c r="N1847" t="s">
        <v>3225</v>
      </c>
      <c r="O1847">
        <v>1.4782406E7</v>
      </c>
      <c r="P1847">
        <v>1.2670476E7</v>
      </c>
      <c r="Q1847" t="s">
        <v>423</v>
      </c>
      <c r="R1847" s="5"/>
      <c r="S1847" s="5"/>
      <c r="T1847" s="5"/>
      <c r="U1847" s="5"/>
      <c r="V1847" s="5"/>
      <c r="W1847" s="5"/>
      <c r="X1847" s="5"/>
      <c r="Y1847" s="5"/>
      <c r="Z1847" s="5"/>
      <c r="AA1847" s="5"/>
      <c r="AB1847" s="5"/>
      <c r="AC1847" s="5"/>
      <c r="AD1847" s="5"/>
      <c r="AE1847" s="5"/>
      <c r="AF1847" s="5"/>
      <c r="AG1847" s="5"/>
    </row>
    <row r="1848" ht="15.75" customHeight="1">
      <c r="K1848" t="s">
        <v>3226</v>
      </c>
      <c r="L1848" t="str">
        <f>G141</f>
        <v>H1a2b1b</v>
      </c>
      <c r="N1848" t="s">
        <v>3227</v>
      </c>
      <c r="O1848">
        <v>1.4897638E7</v>
      </c>
      <c r="P1848">
        <v>1.2785704E7</v>
      </c>
      <c r="Q1848" t="s">
        <v>423</v>
      </c>
      <c r="R1848" s="5"/>
      <c r="S1848" s="5"/>
      <c r="T1848" s="5"/>
      <c r="U1848" s="5"/>
      <c r="V1848" s="5"/>
      <c r="W1848" s="5"/>
      <c r="X1848" s="5"/>
      <c r="Y1848" s="5"/>
      <c r="Z1848" s="5"/>
      <c r="AA1848" s="5"/>
      <c r="AB1848" s="5"/>
      <c r="AC1848" s="5"/>
      <c r="AD1848" s="5"/>
      <c r="AE1848" s="5"/>
      <c r="AF1848" s="5"/>
      <c r="AG1848" s="5"/>
    </row>
    <row r="1849" ht="15.75" customHeight="1">
      <c r="K1849" t="s">
        <v>3228</v>
      </c>
      <c r="L1849" t="str">
        <f>G141</f>
        <v>H1a2b1b</v>
      </c>
      <c r="N1849" t="s">
        <v>3229</v>
      </c>
      <c r="O1849">
        <v>1.5016399E7</v>
      </c>
      <c r="P1849">
        <v>1.2904488E7</v>
      </c>
      <c r="Q1849" t="s">
        <v>431</v>
      </c>
      <c r="R1849" s="5"/>
      <c r="S1849" s="5"/>
      <c r="T1849" s="5"/>
      <c r="U1849" s="5"/>
      <c r="V1849" s="5"/>
      <c r="W1849" s="5"/>
      <c r="X1849" s="5"/>
      <c r="Y1849" s="5"/>
      <c r="Z1849" s="5"/>
      <c r="AA1849" s="5"/>
      <c r="AB1849" s="5"/>
      <c r="AC1849" s="5"/>
      <c r="AD1849" s="5"/>
      <c r="AE1849" s="5"/>
      <c r="AF1849" s="5"/>
      <c r="AG1849" s="5"/>
    </row>
    <row r="1850" ht="15.75" customHeight="1">
      <c r="K1850" t="s">
        <v>3230</v>
      </c>
      <c r="L1850" t="str">
        <f>G141</f>
        <v>H1a2b1b</v>
      </c>
      <c r="N1850" t="s">
        <v>3231</v>
      </c>
      <c r="O1850">
        <v>1.5071086E7</v>
      </c>
      <c r="P1850">
        <v>1.2959177E7</v>
      </c>
      <c r="Q1850" t="s">
        <v>459</v>
      </c>
      <c r="R1850" s="5"/>
      <c r="S1850" s="5"/>
      <c r="T1850" s="5"/>
      <c r="U1850" s="5"/>
      <c r="V1850" s="5"/>
      <c r="W1850" s="5"/>
      <c r="X1850" s="5"/>
      <c r="Y1850" s="5"/>
      <c r="Z1850" s="5"/>
      <c r="AA1850" s="5"/>
      <c r="AB1850" s="5"/>
      <c r="AC1850" s="5"/>
      <c r="AD1850" s="5"/>
      <c r="AE1850" s="5"/>
      <c r="AF1850" s="5"/>
      <c r="AG1850" s="5"/>
    </row>
    <row r="1851" ht="15.75" customHeight="1">
      <c r="K1851" t="s">
        <v>3232</v>
      </c>
      <c r="L1851" t="str">
        <f>G141</f>
        <v>H1a2b1b</v>
      </c>
      <c r="N1851" t="s">
        <v>3233</v>
      </c>
      <c r="O1851">
        <v>1.5126161E7</v>
      </c>
      <c r="P1851">
        <v>1.3014248E7</v>
      </c>
      <c r="Q1851" t="s">
        <v>435</v>
      </c>
      <c r="R1851" s="5"/>
      <c r="S1851" s="5"/>
      <c r="T1851" s="5"/>
      <c r="U1851" s="5"/>
      <c r="V1851" s="5"/>
      <c r="W1851" s="5"/>
      <c r="X1851" s="5"/>
      <c r="Y1851" s="5"/>
      <c r="Z1851" s="5"/>
      <c r="AA1851" s="5"/>
      <c r="AB1851" s="5"/>
      <c r="AC1851" s="5"/>
      <c r="AD1851" s="5"/>
      <c r="AE1851" s="5"/>
      <c r="AF1851" s="5"/>
      <c r="AG1851" s="5"/>
    </row>
    <row r="1852" ht="15.75" customHeight="1">
      <c r="K1852" t="s">
        <v>3234</v>
      </c>
      <c r="L1852" t="str">
        <f>G141</f>
        <v>H1a2b1b</v>
      </c>
      <c r="N1852" t="s">
        <v>3235</v>
      </c>
      <c r="O1852">
        <v>1.5476229E7</v>
      </c>
      <c r="P1852">
        <v>1.3364349E7</v>
      </c>
      <c r="Q1852" t="s">
        <v>431</v>
      </c>
      <c r="R1852" s="5"/>
      <c r="S1852" s="5"/>
      <c r="T1852" s="5"/>
      <c r="U1852" s="5"/>
      <c r="V1852" s="5"/>
      <c r="W1852" s="5"/>
      <c r="X1852" s="5"/>
      <c r="Y1852" s="5"/>
      <c r="Z1852" s="5"/>
      <c r="AA1852" s="5"/>
      <c r="AB1852" s="5"/>
      <c r="AC1852" s="5"/>
      <c r="AD1852" s="5"/>
      <c r="AE1852" s="5"/>
      <c r="AF1852" s="5"/>
      <c r="AG1852" s="5"/>
    </row>
    <row r="1853" ht="15.75" customHeight="1">
      <c r="K1853" t="s">
        <v>3236</v>
      </c>
      <c r="L1853" t="str">
        <f>G141</f>
        <v>H1a2b1b</v>
      </c>
      <c r="N1853" t="s">
        <v>3237</v>
      </c>
      <c r="O1853">
        <v>1.5587801E7</v>
      </c>
      <c r="P1853">
        <v>1.3475921E7</v>
      </c>
      <c r="Q1853" t="s">
        <v>423</v>
      </c>
      <c r="R1853" s="5"/>
      <c r="S1853" s="5"/>
      <c r="T1853" s="5"/>
      <c r="U1853" s="5"/>
      <c r="V1853" s="5"/>
      <c r="W1853" s="5"/>
      <c r="X1853" s="5"/>
      <c r="Y1853" s="5"/>
      <c r="Z1853" s="5"/>
      <c r="AA1853" s="5"/>
      <c r="AB1853" s="5"/>
      <c r="AC1853" s="5"/>
      <c r="AD1853" s="5"/>
      <c r="AE1853" s="5"/>
      <c r="AF1853" s="5"/>
      <c r="AG1853" s="5"/>
    </row>
    <row r="1854" ht="15.75" customHeight="1">
      <c r="K1854" t="s">
        <v>3238</v>
      </c>
      <c r="L1854" t="str">
        <f>G141</f>
        <v>H1a2b1b</v>
      </c>
      <c r="N1854" t="s">
        <v>3239</v>
      </c>
      <c r="O1854">
        <v>1.5589487E7</v>
      </c>
      <c r="P1854">
        <v>1.3477607E7</v>
      </c>
      <c r="Q1854" t="s">
        <v>431</v>
      </c>
      <c r="R1854" s="5"/>
      <c r="S1854" s="5"/>
      <c r="T1854" s="5"/>
      <c r="U1854" s="5"/>
      <c r="V1854" s="5"/>
      <c r="W1854" s="5"/>
      <c r="X1854" s="5"/>
      <c r="Y1854" s="5"/>
      <c r="Z1854" s="5"/>
      <c r="AA1854" s="5"/>
      <c r="AB1854" s="5"/>
      <c r="AC1854" s="5"/>
      <c r="AD1854" s="5"/>
      <c r="AE1854" s="5"/>
      <c r="AF1854" s="5"/>
      <c r="AG1854" s="5"/>
    </row>
    <row r="1855" ht="15.75" customHeight="1">
      <c r="K1855" t="s">
        <v>3240</v>
      </c>
      <c r="L1855" t="str">
        <f>G141</f>
        <v>H1a2b1b</v>
      </c>
      <c r="N1855" t="s">
        <v>3241</v>
      </c>
      <c r="O1855">
        <v>1.5726408E7</v>
      </c>
      <c r="P1855">
        <v>1.3614528E7</v>
      </c>
      <c r="Q1855" t="s">
        <v>419</v>
      </c>
      <c r="R1855" s="5"/>
      <c r="S1855" s="5"/>
      <c r="T1855" s="5"/>
      <c r="U1855" s="5"/>
      <c r="V1855" s="5"/>
      <c r="W1855" s="5"/>
      <c r="X1855" s="5"/>
      <c r="Y1855" s="5"/>
      <c r="Z1855" s="5"/>
      <c r="AA1855" s="5"/>
      <c r="AB1855" s="5"/>
      <c r="AC1855" s="5"/>
      <c r="AD1855" s="5"/>
      <c r="AE1855" s="5"/>
      <c r="AF1855" s="5"/>
      <c r="AG1855" s="5"/>
    </row>
    <row r="1856" ht="15.75" customHeight="1">
      <c r="K1856" t="s">
        <v>3242</v>
      </c>
      <c r="L1856" t="str">
        <f>G141</f>
        <v>H1a2b1b</v>
      </c>
      <c r="N1856" t="s">
        <v>3243</v>
      </c>
      <c r="O1856">
        <v>1.5996744E7</v>
      </c>
      <c r="P1856">
        <v>1.3884864E7</v>
      </c>
      <c r="Q1856" t="s">
        <v>419</v>
      </c>
      <c r="R1856" s="5"/>
      <c r="S1856" s="5"/>
      <c r="T1856" s="5"/>
      <c r="U1856" s="5"/>
      <c r="V1856" s="5"/>
      <c r="W1856" s="5"/>
      <c r="X1856" s="5"/>
      <c r="Y1856" s="5"/>
      <c r="Z1856" s="5"/>
      <c r="AA1856" s="5"/>
      <c r="AB1856" s="5"/>
      <c r="AC1856" s="5"/>
      <c r="AD1856" s="5"/>
      <c r="AE1856" s="5"/>
      <c r="AF1856" s="5"/>
      <c r="AG1856" s="5"/>
    </row>
    <row r="1857" ht="15.75" customHeight="1">
      <c r="K1857" t="s">
        <v>3244</v>
      </c>
      <c r="L1857" t="str">
        <f>G141</f>
        <v>H1a2b1b</v>
      </c>
      <c r="N1857" t="s">
        <v>3245</v>
      </c>
      <c r="O1857">
        <v>1.6021447E7</v>
      </c>
      <c r="P1857">
        <v>1.3909567E7</v>
      </c>
      <c r="Q1857" t="s">
        <v>423</v>
      </c>
      <c r="R1857" s="5"/>
      <c r="S1857" s="5"/>
      <c r="T1857" s="5"/>
      <c r="U1857" s="5"/>
      <c r="V1857" s="5"/>
      <c r="W1857" s="5"/>
      <c r="X1857" s="5"/>
      <c r="Y1857" s="5"/>
      <c r="Z1857" s="5"/>
      <c r="AA1857" s="5"/>
      <c r="AB1857" s="5"/>
      <c r="AC1857" s="5"/>
      <c r="AD1857" s="5"/>
      <c r="AE1857" s="5"/>
      <c r="AF1857" s="5"/>
      <c r="AG1857" s="5"/>
    </row>
    <row r="1858" ht="15.75" customHeight="1">
      <c r="K1858" t="s">
        <v>3246</v>
      </c>
      <c r="L1858" t="str">
        <f>G141</f>
        <v>H1a2b1b</v>
      </c>
      <c r="N1858" t="s">
        <v>3247</v>
      </c>
      <c r="O1858">
        <v>1.6021605E7</v>
      </c>
      <c r="P1858">
        <v>1.3909725E7</v>
      </c>
      <c r="Q1858" t="s">
        <v>452</v>
      </c>
      <c r="R1858" s="5"/>
      <c r="S1858" s="5"/>
      <c r="T1858" s="5"/>
      <c r="U1858" s="5"/>
      <c r="V1858" s="5"/>
      <c r="W1858" s="5"/>
      <c r="X1858" s="5"/>
      <c r="Y1858" s="5"/>
      <c r="Z1858" s="5"/>
      <c r="AA1858" s="5"/>
      <c r="AB1858" s="5"/>
      <c r="AC1858" s="5"/>
      <c r="AD1858" s="5"/>
      <c r="AE1858" s="5"/>
      <c r="AF1858" s="5"/>
      <c r="AG1858" s="5"/>
    </row>
    <row r="1859" ht="15.75" customHeight="1">
      <c r="K1859" t="s">
        <v>3248</v>
      </c>
      <c r="L1859" t="str">
        <f>G141</f>
        <v>H1a2b1b</v>
      </c>
      <c r="N1859" t="s">
        <v>3249</v>
      </c>
      <c r="O1859">
        <v>1.6235787E7</v>
      </c>
      <c r="P1859">
        <v>1.4123907E7</v>
      </c>
      <c r="Q1859" t="s">
        <v>419</v>
      </c>
      <c r="R1859" s="5"/>
      <c r="S1859" s="5"/>
      <c r="T1859" s="5"/>
      <c r="U1859" s="5"/>
      <c r="V1859" s="5"/>
      <c r="W1859" s="5"/>
      <c r="X1859" s="5"/>
      <c r="Y1859" s="5"/>
      <c r="Z1859" s="5"/>
      <c r="AA1859" s="5"/>
      <c r="AB1859" s="5"/>
      <c r="AC1859" s="5"/>
      <c r="AD1859" s="5"/>
      <c r="AE1859" s="5"/>
      <c r="AF1859" s="5"/>
      <c r="AG1859" s="5"/>
    </row>
    <row r="1860" ht="15.75" customHeight="1">
      <c r="K1860" t="s">
        <v>3250</v>
      </c>
      <c r="L1860" t="str">
        <f>G141</f>
        <v>H1a2b1b</v>
      </c>
      <c r="N1860" t="s">
        <v>3251</v>
      </c>
      <c r="O1860">
        <v>1.6470172E7</v>
      </c>
      <c r="P1860">
        <v>1.4358292E7</v>
      </c>
      <c r="Q1860" t="s">
        <v>427</v>
      </c>
      <c r="R1860" s="5"/>
      <c r="S1860" s="5"/>
      <c r="T1860" s="5"/>
      <c r="U1860" s="5"/>
      <c r="V1860" s="5"/>
      <c r="W1860" s="5"/>
      <c r="X1860" s="5"/>
      <c r="Y1860" s="5"/>
      <c r="Z1860" s="5"/>
      <c r="AA1860" s="5"/>
      <c r="AB1860" s="5"/>
      <c r="AC1860" s="5"/>
      <c r="AD1860" s="5"/>
      <c r="AE1860" s="5"/>
      <c r="AF1860" s="5"/>
      <c r="AG1860" s="5"/>
    </row>
    <row r="1861" ht="15.75" customHeight="1">
      <c r="K1861" t="s">
        <v>3252</v>
      </c>
      <c r="L1861" t="str">
        <f>G141</f>
        <v>H1a2b1b</v>
      </c>
      <c r="N1861" t="s">
        <v>3253</v>
      </c>
      <c r="O1861">
        <v>1.6998806E7</v>
      </c>
      <c r="P1861">
        <v>1.4886926E7</v>
      </c>
      <c r="Q1861" t="s">
        <v>452</v>
      </c>
      <c r="R1861" s="5"/>
      <c r="S1861" s="5"/>
      <c r="T1861" s="5"/>
      <c r="U1861" s="5"/>
      <c r="V1861" s="5"/>
      <c r="W1861" s="5"/>
      <c r="X1861" s="5"/>
      <c r="Y1861" s="5"/>
      <c r="Z1861" s="5"/>
      <c r="AA1861" s="5"/>
      <c r="AB1861" s="5"/>
      <c r="AC1861" s="5"/>
      <c r="AD1861" s="5"/>
      <c r="AE1861" s="5"/>
      <c r="AF1861" s="5"/>
      <c r="AG1861" s="5"/>
    </row>
    <row r="1862" ht="15.75" customHeight="1">
      <c r="K1862" t="s">
        <v>3254</v>
      </c>
      <c r="L1862" t="str">
        <f>G141</f>
        <v>H1a2b1b</v>
      </c>
      <c r="N1862" t="s">
        <v>3255</v>
      </c>
      <c r="O1862">
        <v>1.7065155E7</v>
      </c>
      <c r="P1862">
        <v>1.4953275E7</v>
      </c>
      <c r="Q1862" t="s">
        <v>419</v>
      </c>
      <c r="R1862" s="5"/>
      <c r="S1862" s="5"/>
      <c r="T1862" s="5"/>
      <c r="U1862" s="5"/>
      <c r="V1862" s="5"/>
      <c r="W1862" s="5"/>
      <c r="X1862" s="5"/>
      <c r="Y1862" s="5"/>
      <c r="Z1862" s="5"/>
      <c r="AA1862" s="5"/>
      <c r="AB1862" s="5"/>
      <c r="AC1862" s="5"/>
      <c r="AD1862" s="5"/>
      <c r="AE1862" s="5"/>
      <c r="AF1862" s="5"/>
      <c r="AG1862" s="5"/>
    </row>
    <row r="1863" ht="15.75" customHeight="1">
      <c r="K1863" t="s">
        <v>3256</v>
      </c>
      <c r="L1863" t="str">
        <f>G141</f>
        <v>H1a2b1b</v>
      </c>
      <c r="N1863" t="s">
        <v>3257</v>
      </c>
      <c r="O1863">
        <v>1.7080968E7</v>
      </c>
      <c r="P1863">
        <v>1.4969088E7</v>
      </c>
      <c r="Q1863" t="s">
        <v>419</v>
      </c>
      <c r="R1863" s="5"/>
      <c r="S1863" s="5"/>
      <c r="T1863" s="5"/>
      <c r="U1863" s="5"/>
      <c r="V1863" s="5"/>
      <c r="W1863" s="5"/>
      <c r="X1863" s="5"/>
      <c r="Y1863" s="5"/>
      <c r="Z1863" s="5"/>
      <c r="AA1863" s="5"/>
      <c r="AB1863" s="5"/>
      <c r="AC1863" s="5"/>
      <c r="AD1863" s="5"/>
      <c r="AE1863" s="5"/>
      <c r="AF1863" s="5"/>
      <c r="AG1863" s="5"/>
    </row>
    <row r="1864" ht="15.75" customHeight="1">
      <c r="K1864" t="s">
        <v>3258</v>
      </c>
      <c r="L1864" t="str">
        <f>G141</f>
        <v>H1a2b1b</v>
      </c>
      <c r="N1864" t="s">
        <v>3259</v>
      </c>
      <c r="O1864">
        <v>1.7083449E7</v>
      </c>
      <c r="P1864">
        <v>1.4971569E7</v>
      </c>
      <c r="Q1864" t="s">
        <v>419</v>
      </c>
      <c r="R1864" s="5"/>
      <c r="S1864" s="5"/>
      <c r="T1864" s="5"/>
      <c r="U1864" s="5"/>
      <c r="V1864" s="5"/>
      <c r="W1864" s="5"/>
      <c r="X1864" s="5"/>
      <c r="Y1864" s="5"/>
      <c r="Z1864" s="5"/>
      <c r="AA1864" s="5"/>
      <c r="AB1864" s="5"/>
      <c r="AC1864" s="5"/>
      <c r="AD1864" s="5"/>
      <c r="AE1864" s="5"/>
      <c r="AF1864" s="5"/>
      <c r="AG1864" s="5"/>
    </row>
    <row r="1865" ht="15.75" customHeight="1">
      <c r="K1865" t="s">
        <v>3260</v>
      </c>
      <c r="L1865" t="str">
        <f>G141</f>
        <v>H1a2b1b</v>
      </c>
      <c r="N1865" t="s">
        <v>3261</v>
      </c>
      <c r="O1865">
        <v>1.70924E7</v>
      </c>
      <c r="P1865">
        <v>1.498052E7</v>
      </c>
      <c r="Q1865" t="s">
        <v>435</v>
      </c>
      <c r="R1865" s="5"/>
      <c r="S1865" s="5"/>
      <c r="T1865" s="5"/>
      <c r="U1865" s="5"/>
      <c r="V1865" s="5"/>
      <c r="W1865" s="5"/>
      <c r="X1865" s="5"/>
      <c r="Y1865" s="5"/>
      <c r="Z1865" s="5"/>
      <c r="AA1865" s="5"/>
      <c r="AB1865" s="5"/>
      <c r="AC1865" s="5"/>
      <c r="AD1865" s="5"/>
      <c r="AE1865" s="5"/>
      <c r="AF1865" s="5"/>
      <c r="AG1865" s="5"/>
    </row>
    <row r="1866" ht="15.75" customHeight="1">
      <c r="K1866" t="s">
        <v>3262</v>
      </c>
      <c r="L1866" t="str">
        <f>G141</f>
        <v>H1a2b1b</v>
      </c>
      <c r="N1866" t="s">
        <v>3263</v>
      </c>
      <c r="O1866">
        <v>1.7185363E7</v>
      </c>
      <c r="P1866">
        <v>1.5073483E7</v>
      </c>
      <c r="Q1866" t="s">
        <v>448</v>
      </c>
      <c r="R1866" s="5"/>
      <c r="S1866" s="5"/>
      <c r="T1866" s="5"/>
      <c r="U1866" s="5"/>
      <c r="V1866" s="5"/>
      <c r="W1866" s="5"/>
      <c r="X1866" s="5"/>
      <c r="Y1866" s="5"/>
      <c r="Z1866" s="5"/>
      <c r="AA1866" s="5"/>
      <c r="AB1866" s="5"/>
      <c r="AC1866" s="5"/>
      <c r="AD1866" s="5"/>
      <c r="AE1866" s="5"/>
      <c r="AF1866" s="5"/>
      <c r="AG1866" s="5"/>
    </row>
    <row r="1867" ht="15.75" customHeight="1">
      <c r="K1867" t="s">
        <v>3264</v>
      </c>
      <c r="L1867" t="str">
        <f>G141</f>
        <v>H1a2b1b</v>
      </c>
      <c r="N1867" t="s">
        <v>3265</v>
      </c>
      <c r="O1867">
        <v>1.7610766E7</v>
      </c>
      <c r="P1867">
        <v>1.5498886E7</v>
      </c>
      <c r="Q1867" t="s">
        <v>448</v>
      </c>
      <c r="R1867" s="5"/>
      <c r="S1867" s="5"/>
      <c r="T1867" s="5"/>
      <c r="U1867" s="5"/>
      <c r="V1867" s="5"/>
      <c r="W1867" s="5"/>
      <c r="X1867" s="5"/>
      <c r="Y1867" s="5"/>
      <c r="Z1867" s="5"/>
      <c r="AA1867" s="5"/>
      <c r="AB1867" s="5"/>
      <c r="AC1867" s="5"/>
      <c r="AD1867" s="5"/>
      <c r="AE1867" s="5"/>
      <c r="AF1867" s="5"/>
      <c r="AG1867" s="5"/>
    </row>
    <row r="1868" ht="15.75" customHeight="1">
      <c r="K1868" t="s">
        <v>3266</v>
      </c>
      <c r="L1868" t="str">
        <f>G141</f>
        <v>H1a2b1b</v>
      </c>
      <c r="N1868" t="s">
        <v>3267</v>
      </c>
      <c r="O1868">
        <v>1.7619171E7</v>
      </c>
      <c r="P1868">
        <v>1.5507291E7</v>
      </c>
      <c r="Q1868" t="s">
        <v>525</v>
      </c>
      <c r="R1868" s="5"/>
      <c r="S1868" s="5"/>
      <c r="T1868" s="5"/>
      <c r="U1868" s="5"/>
      <c r="V1868" s="5"/>
      <c r="W1868" s="5"/>
      <c r="X1868" s="5"/>
      <c r="Y1868" s="5"/>
      <c r="Z1868" s="5"/>
      <c r="AA1868" s="5"/>
      <c r="AB1868" s="5"/>
      <c r="AC1868" s="5"/>
      <c r="AD1868" s="5"/>
      <c r="AE1868" s="5"/>
      <c r="AF1868" s="5"/>
      <c r="AG1868" s="5"/>
    </row>
    <row r="1869" ht="15.75" customHeight="1">
      <c r="K1869" t="s">
        <v>3268</v>
      </c>
      <c r="L1869" t="str">
        <f>G141</f>
        <v>H1a2b1b</v>
      </c>
      <c r="N1869" t="s">
        <v>3269</v>
      </c>
      <c r="O1869">
        <v>1.7719574E7</v>
      </c>
      <c r="P1869">
        <v>1.5607694E7</v>
      </c>
      <c r="Q1869" t="s">
        <v>423</v>
      </c>
      <c r="R1869" s="5"/>
      <c r="S1869" s="5"/>
      <c r="T1869" s="5"/>
      <c r="U1869" s="5"/>
      <c r="V1869" s="5"/>
      <c r="W1869" s="5"/>
      <c r="X1869" s="5"/>
      <c r="Y1869" s="5"/>
      <c r="Z1869" s="5"/>
      <c r="AA1869" s="5"/>
      <c r="AB1869" s="5"/>
      <c r="AC1869" s="5"/>
      <c r="AD1869" s="5"/>
      <c r="AE1869" s="5"/>
      <c r="AF1869" s="5"/>
      <c r="AG1869" s="5"/>
    </row>
    <row r="1870" ht="15.75" customHeight="1">
      <c r="K1870" t="s">
        <v>3270</v>
      </c>
      <c r="L1870" t="str">
        <f>G141</f>
        <v>H1a2b1b</v>
      </c>
      <c r="N1870" t="s">
        <v>3271</v>
      </c>
      <c r="O1870">
        <v>1.7916235E7</v>
      </c>
      <c r="P1870">
        <v>1.5804355E7</v>
      </c>
      <c r="Q1870" t="s">
        <v>431</v>
      </c>
      <c r="R1870" s="5"/>
      <c r="S1870" s="5"/>
      <c r="T1870" s="5"/>
      <c r="U1870" s="5"/>
      <c r="V1870" s="5"/>
      <c r="W1870" s="5"/>
      <c r="X1870" s="5"/>
      <c r="Y1870" s="5"/>
      <c r="Z1870" s="5"/>
      <c r="AA1870" s="5"/>
      <c r="AB1870" s="5"/>
      <c r="AC1870" s="5"/>
      <c r="AD1870" s="5"/>
      <c r="AE1870" s="5"/>
      <c r="AF1870" s="5"/>
      <c r="AG1870" s="5"/>
    </row>
    <row r="1871" ht="15.75" customHeight="1">
      <c r="K1871" t="s">
        <v>3272</v>
      </c>
      <c r="L1871" t="str">
        <f>G141</f>
        <v>H1a2b1b</v>
      </c>
      <c r="N1871" t="s">
        <v>3273</v>
      </c>
      <c r="O1871">
        <v>1.8073826E7</v>
      </c>
      <c r="P1871">
        <v>1.5961946E7</v>
      </c>
      <c r="Q1871" t="s">
        <v>431</v>
      </c>
      <c r="R1871" s="5"/>
      <c r="S1871" s="5"/>
      <c r="T1871" s="5"/>
      <c r="U1871" s="5"/>
      <c r="V1871" s="5"/>
      <c r="W1871" s="5"/>
      <c r="X1871" s="5"/>
      <c r="Y1871" s="5"/>
      <c r="Z1871" s="5"/>
      <c r="AA1871" s="5"/>
      <c r="AB1871" s="5"/>
      <c r="AC1871" s="5"/>
      <c r="AD1871" s="5"/>
      <c r="AE1871" s="5"/>
      <c r="AF1871" s="5"/>
      <c r="AG1871" s="5"/>
    </row>
    <row r="1872" ht="15.75" customHeight="1">
      <c r="K1872" t="s">
        <v>3274</v>
      </c>
      <c r="L1872" t="str">
        <f>G141</f>
        <v>H1a2b1b</v>
      </c>
      <c r="N1872" t="s">
        <v>3275</v>
      </c>
      <c r="O1872">
        <v>1.8209495E7</v>
      </c>
      <c r="P1872">
        <v>1.6097615E7</v>
      </c>
      <c r="Q1872" t="s">
        <v>452</v>
      </c>
      <c r="R1872" s="5"/>
      <c r="S1872" s="5"/>
      <c r="T1872" s="5"/>
      <c r="U1872" s="5"/>
      <c r="V1872" s="5"/>
      <c r="W1872" s="5"/>
      <c r="X1872" s="5"/>
      <c r="Y1872" s="5"/>
      <c r="Z1872" s="5"/>
      <c r="AA1872" s="5"/>
      <c r="AB1872" s="5"/>
      <c r="AC1872" s="5"/>
      <c r="AD1872" s="5"/>
      <c r="AE1872" s="5"/>
      <c r="AF1872" s="5"/>
      <c r="AG1872" s="5"/>
    </row>
    <row r="1873" ht="15.75" customHeight="1">
      <c r="K1873" t="s">
        <v>3276</v>
      </c>
      <c r="L1873" t="str">
        <f>G141</f>
        <v>H1a2b1b</v>
      </c>
      <c r="N1873" t="s">
        <v>3277</v>
      </c>
      <c r="O1873">
        <v>1.8214651E7</v>
      </c>
      <c r="P1873">
        <v>1.6102771E7</v>
      </c>
      <c r="Q1873" t="s">
        <v>452</v>
      </c>
      <c r="R1873" s="5"/>
      <c r="S1873" s="5"/>
      <c r="T1873" s="5"/>
      <c r="U1873" s="5"/>
      <c r="V1873" s="5"/>
      <c r="W1873" s="5"/>
      <c r="X1873" s="5"/>
      <c r="Y1873" s="5"/>
      <c r="Z1873" s="5"/>
      <c r="AA1873" s="5"/>
      <c r="AB1873" s="5"/>
      <c r="AC1873" s="5"/>
      <c r="AD1873" s="5"/>
      <c r="AE1873" s="5"/>
      <c r="AF1873" s="5"/>
      <c r="AG1873" s="5"/>
    </row>
    <row r="1874" ht="15.75" customHeight="1">
      <c r="K1874" t="s">
        <v>3278</v>
      </c>
      <c r="L1874" t="str">
        <f>G141</f>
        <v>H1a2b1b</v>
      </c>
      <c r="N1874" t="s">
        <v>3279</v>
      </c>
      <c r="O1874">
        <v>1.8595092E7</v>
      </c>
      <c r="P1874">
        <v>1.6483212E7</v>
      </c>
      <c r="Q1874" t="s">
        <v>435</v>
      </c>
      <c r="R1874" s="5"/>
      <c r="S1874" s="5"/>
      <c r="T1874" s="5"/>
      <c r="U1874" s="5"/>
      <c r="V1874" s="5"/>
      <c r="W1874" s="5"/>
      <c r="X1874" s="5"/>
      <c r="Y1874" s="5"/>
      <c r="Z1874" s="5"/>
      <c r="AA1874" s="5"/>
      <c r="AB1874" s="5"/>
      <c r="AC1874" s="5"/>
      <c r="AD1874" s="5"/>
      <c r="AE1874" s="5"/>
      <c r="AF1874" s="5"/>
      <c r="AG1874" s="5"/>
    </row>
    <row r="1875" ht="15.75" customHeight="1">
      <c r="K1875" t="s">
        <v>3280</v>
      </c>
      <c r="L1875" t="str">
        <f>G141</f>
        <v>H1a2b1b</v>
      </c>
      <c r="N1875" t="s">
        <v>3281</v>
      </c>
      <c r="O1875">
        <v>1.8675229E7</v>
      </c>
      <c r="P1875">
        <v>1.6563349E7</v>
      </c>
      <c r="Q1875" t="s">
        <v>419</v>
      </c>
      <c r="R1875" s="5"/>
      <c r="S1875" s="5"/>
      <c r="T1875" s="5"/>
      <c r="U1875" s="5"/>
      <c r="V1875" s="5"/>
      <c r="W1875" s="5"/>
      <c r="X1875" s="5"/>
      <c r="Y1875" s="5"/>
      <c r="Z1875" s="5"/>
      <c r="AA1875" s="5"/>
      <c r="AB1875" s="5"/>
      <c r="AC1875" s="5"/>
      <c r="AD1875" s="5"/>
      <c r="AE1875" s="5"/>
      <c r="AF1875" s="5"/>
      <c r="AG1875" s="5"/>
    </row>
    <row r="1876" ht="15.75" customHeight="1">
      <c r="K1876" t="s">
        <v>3282</v>
      </c>
      <c r="L1876" t="str">
        <f>G141</f>
        <v>H1a2b1b</v>
      </c>
      <c r="N1876" t="s">
        <v>3283</v>
      </c>
      <c r="O1876">
        <v>1.8842065E7</v>
      </c>
      <c r="P1876">
        <v>1.6730185E7</v>
      </c>
      <c r="Q1876" t="s">
        <v>423</v>
      </c>
      <c r="R1876" s="5"/>
      <c r="S1876" s="5"/>
      <c r="T1876" s="5"/>
      <c r="U1876" s="5"/>
      <c r="V1876" s="5"/>
      <c r="W1876" s="5"/>
      <c r="X1876" s="5"/>
      <c r="Y1876" s="5"/>
      <c r="Z1876" s="5"/>
      <c r="AA1876" s="5"/>
      <c r="AB1876" s="5"/>
      <c r="AC1876" s="5"/>
      <c r="AD1876" s="5"/>
      <c r="AE1876" s="5"/>
      <c r="AF1876" s="5"/>
      <c r="AG1876" s="5"/>
    </row>
    <row r="1877" ht="15.75" customHeight="1">
      <c r="K1877" t="s">
        <v>3284</v>
      </c>
      <c r="L1877" t="str">
        <f>G141</f>
        <v>H1a2b1b</v>
      </c>
      <c r="N1877" t="s">
        <v>3285</v>
      </c>
      <c r="O1877">
        <v>1.9084312E7</v>
      </c>
      <c r="P1877">
        <v>1.6972432E7</v>
      </c>
      <c r="Q1877" t="s">
        <v>553</v>
      </c>
      <c r="R1877" s="5"/>
      <c r="S1877" s="5"/>
      <c r="T1877" s="5"/>
      <c r="U1877" s="5"/>
      <c r="V1877" s="5"/>
      <c r="W1877" s="5"/>
      <c r="X1877" s="5"/>
      <c r="Y1877" s="5"/>
      <c r="Z1877" s="5"/>
      <c r="AA1877" s="5"/>
      <c r="AB1877" s="5"/>
      <c r="AC1877" s="5"/>
      <c r="AD1877" s="5"/>
      <c r="AE1877" s="5"/>
      <c r="AF1877" s="5"/>
      <c r="AG1877" s="5"/>
    </row>
    <row r="1878" ht="15.75" customHeight="1">
      <c r="K1878" t="s">
        <v>3286</v>
      </c>
      <c r="L1878" t="str">
        <f>G141</f>
        <v>H1a2b1b</v>
      </c>
      <c r="N1878" t="s">
        <v>3287</v>
      </c>
      <c r="O1878">
        <v>1.9451753E7</v>
      </c>
      <c r="P1878">
        <v>1.7339873E7</v>
      </c>
      <c r="Q1878" t="s">
        <v>448</v>
      </c>
      <c r="R1878" s="5"/>
      <c r="S1878" s="5"/>
      <c r="T1878" s="5"/>
      <c r="U1878" s="5"/>
      <c r="V1878" s="5"/>
      <c r="W1878" s="5"/>
      <c r="X1878" s="5"/>
      <c r="Y1878" s="5"/>
      <c r="Z1878" s="5"/>
      <c r="AA1878" s="5"/>
      <c r="AB1878" s="5"/>
      <c r="AC1878" s="5"/>
      <c r="AD1878" s="5"/>
      <c r="AE1878" s="5"/>
      <c r="AF1878" s="5"/>
      <c r="AG1878" s="5"/>
    </row>
    <row r="1879" ht="15.75" customHeight="1">
      <c r="K1879" t="s">
        <v>3288</v>
      </c>
      <c r="L1879" t="str">
        <f>G141</f>
        <v>H1a2b1b</v>
      </c>
      <c r="N1879" t="s">
        <v>3289</v>
      </c>
      <c r="O1879">
        <v>1.9453899E7</v>
      </c>
      <c r="P1879">
        <v>1.7342019E7</v>
      </c>
      <c r="Q1879" t="s">
        <v>473</v>
      </c>
      <c r="R1879" s="5"/>
      <c r="S1879" s="5"/>
      <c r="T1879" s="5"/>
      <c r="U1879" s="5"/>
      <c r="V1879" s="5"/>
      <c r="W1879" s="5"/>
      <c r="X1879" s="5"/>
      <c r="Y1879" s="5"/>
      <c r="Z1879" s="5"/>
      <c r="AA1879" s="5"/>
      <c r="AB1879" s="5"/>
      <c r="AC1879" s="5"/>
      <c r="AD1879" s="5"/>
      <c r="AE1879" s="5"/>
      <c r="AF1879" s="5"/>
      <c r="AG1879" s="5"/>
    </row>
    <row r="1880" ht="15.75" customHeight="1">
      <c r="K1880" t="s">
        <v>3290</v>
      </c>
      <c r="L1880" t="str">
        <f>G141</f>
        <v>H1a2b1b</v>
      </c>
      <c r="N1880" t="s">
        <v>3291</v>
      </c>
      <c r="O1880">
        <v>2.1321877E7</v>
      </c>
      <c r="P1880">
        <v>1.9159991E7</v>
      </c>
      <c r="Q1880" t="s">
        <v>473</v>
      </c>
      <c r="R1880" s="5"/>
      <c r="S1880" s="5"/>
      <c r="T1880" s="5"/>
      <c r="U1880" s="5"/>
      <c r="V1880" s="5"/>
      <c r="W1880" s="5"/>
      <c r="X1880" s="5"/>
      <c r="Y1880" s="5"/>
      <c r="Z1880" s="5"/>
      <c r="AA1880" s="5"/>
      <c r="AB1880" s="5"/>
      <c r="AC1880" s="5"/>
      <c r="AD1880" s="5"/>
      <c r="AE1880" s="5"/>
      <c r="AF1880" s="5"/>
      <c r="AG1880" s="5"/>
    </row>
    <row r="1881" ht="15.75" customHeight="1">
      <c r="K1881" t="s">
        <v>3292</v>
      </c>
      <c r="L1881" t="str">
        <f>G141</f>
        <v>H1a2b1b</v>
      </c>
      <c r="N1881" t="s">
        <v>3293</v>
      </c>
      <c r="O1881">
        <v>2.1357689E7</v>
      </c>
      <c r="P1881">
        <v>1.9195803E7</v>
      </c>
      <c r="Q1881" t="s">
        <v>435</v>
      </c>
      <c r="R1881" s="5"/>
      <c r="S1881" s="5"/>
      <c r="T1881" s="5"/>
      <c r="U1881" s="5"/>
      <c r="V1881" s="5"/>
      <c r="W1881" s="5"/>
      <c r="X1881" s="5"/>
      <c r="Y1881" s="5"/>
      <c r="Z1881" s="5"/>
      <c r="AA1881" s="5"/>
      <c r="AB1881" s="5"/>
      <c r="AC1881" s="5"/>
      <c r="AD1881" s="5"/>
      <c r="AE1881" s="5"/>
      <c r="AF1881" s="5"/>
      <c r="AG1881" s="5"/>
    </row>
    <row r="1882" ht="15.75" customHeight="1">
      <c r="K1882" t="s">
        <v>3294</v>
      </c>
      <c r="L1882" t="str">
        <f>G141</f>
        <v>H1a2b1b</v>
      </c>
      <c r="N1882" t="s">
        <v>3295</v>
      </c>
      <c r="O1882">
        <v>2.1360775E7</v>
      </c>
      <c r="P1882">
        <v>1.9198889E7</v>
      </c>
      <c r="Q1882" t="s">
        <v>419</v>
      </c>
      <c r="R1882" s="5"/>
      <c r="S1882" s="5"/>
      <c r="T1882" s="5"/>
      <c r="U1882" s="5"/>
      <c r="V1882" s="5"/>
      <c r="W1882" s="5"/>
      <c r="X1882" s="5"/>
      <c r="Y1882" s="5"/>
      <c r="Z1882" s="5"/>
      <c r="AA1882" s="5"/>
      <c r="AB1882" s="5"/>
      <c r="AC1882" s="5"/>
      <c r="AD1882" s="5"/>
      <c r="AE1882" s="5"/>
      <c r="AF1882" s="5"/>
      <c r="AG1882" s="5"/>
    </row>
    <row r="1883" ht="15.75" customHeight="1">
      <c r="K1883" t="s">
        <v>3296</v>
      </c>
      <c r="L1883" t="str">
        <f>G141</f>
        <v>H1a2b1b</v>
      </c>
      <c r="N1883" t="s">
        <v>3297</v>
      </c>
      <c r="O1883">
        <v>2.1408781E7</v>
      </c>
      <c r="P1883">
        <v>1.9246895E7</v>
      </c>
      <c r="Q1883" t="s">
        <v>525</v>
      </c>
      <c r="R1883" s="5"/>
      <c r="S1883" s="5"/>
      <c r="T1883" s="5"/>
      <c r="U1883" s="5"/>
      <c r="V1883" s="5"/>
      <c r="W1883" s="5"/>
      <c r="X1883" s="5"/>
      <c r="Y1883" s="5"/>
      <c r="Z1883" s="5"/>
      <c r="AA1883" s="5"/>
      <c r="AB1883" s="5"/>
      <c r="AC1883" s="5"/>
      <c r="AD1883" s="5"/>
      <c r="AE1883" s="5"/>
      <c r="AF1883" s="5"/>
      <c r="AG1883" s="5"/>
    </row>
    <row r="1884" ht="15.75" customHeight="1">
      <c r="K1884" t="s">
        <v>3298</v>
      </c>
      <c r="L1884" t="str">
        <f>G141</f>
        <v>H1a2b1b</v>
      </c>
      <c r="N1884" t="s">
        <v>3299</v>
      </c>
      <c r="O1884">
        <v>2.1489902E7</v>
      </c>
      <c r="P1884">
        <v>1.9328016E7</v>
      </c>
      <c r="Q1884" t="s">
        <v>419</v>
      </c>
      <c r="R1884" s="5"/>
      <c r="S1884" s="5"/>
      <c r="T1884" s="5"/>
      <c r="U1884" s="5"/>
      <c r="V1884" s="5"/>
      <c r="W1884" s="5"/>
      <c r="X1884" s="5"/>
      <c r="Y1884" s="5"/>
      <c r="Z1884" s="5"/>
      <c r="AA1884" s="5"/>
      <c r="AB1884" s="5"/>
      <c r="AC1884" s="5"/>
      <c r="AD1884" s="5"/>
      <c r="AE1884" s="5"/>
      <c r="AF1884" s="5"/>
      <c r="AG1884" s="5"/>
    </row>
    <row r="1885" ht="15.75" customHeight="1">
      <c r="K1885" t="s">
        <v>3300</v>
      </c>
      <c r="L1885" t="str">
        <f>G141</f>
        <v>H1a2b1b</v>
      </c>
      <c r="N1885" t="s">
        <v>3301</v>
      </c>
      <c r="O1885">
        <v>2.154083E7</v>
      </c>
      <c r="P1885">
        <v>1.9378944E7</v>
      </c>
      <c r="Q1885" t="s">
        <v>459</v>
      </c>
      <c r="R1885" s="5"/>
      <c r="S1885" s="5"/>
      <c r="T1885" s="5"/>
      <c r="U1885" s="5"/>
      <c r="V1885" s="5"/>
      <c r="W1885" s="5"/>
      <c r="X1885" s="5"/>
      <c r="Y1885" s="5"/>
      <c r="Z1885" s="5"/>
      <c r="AA1885" s="5"/>
      <c r="AB1885" s="5"/>
      <c r="AC1885" s="5"/>
      <c r="AD1885" s="5"/>
      <c r="AE1885" s="5"/>
      <c r="AF1885" s="5"/>
      <c r="AG1885" s="5"/>
    </row>
    <row r="1886" ht="15.75" customHeight="1">
      <c r="K1886" t="s">
        <v>3302</v>
      </c>
      <c r="L1886" t="str">
        <f>G141</f>
        <v>H1a2b1b</v>
      </c>
      <c r="N1886" t="s">
        <v>3303</v>
      </c>
      <c r="O1886">
        <v>2.156761E7</v>
      </c>
      <c r="P1886">
        <v>1.9405724E7</v>
      </c>
      <c r="Q1886" t="s">
        <v>419</v>
      </c>
      <c r="R1886" s="5"/>
      <c r="S1886" s="5"/>
      <c r="T1886" s="5"/>
      <c r="U1886" s="5"/>
      <c r="V1886" s="5"/>
      <c r="W1886" s="5"/>
      <c r="X1886" s="5"/>
      <c r="Y1886" s="5"/>
      <c r="Z1886" s="5"/>
      <c r="AA1886" s="5"/>
      <c r="AB1886" s="5"/>
      <c r="AC1886" s="5"/>
      <c r="AD1886" s="5"/>
      <c r="AE1886" s="5"/>
      <c r="AF1886" s="5"/>
      <c r="AG1886" s="5"/>
    </row>
    <row r="1887" ht="15.75" customHeight="1">
      <c r="K1887" t="s">
        <v>3304</v>
      </c>
      <c r="L1887" t="str">
        <f>G141</f>
        <v>H1a2b1b</v>
      </c>
      <c r="O1887">
        <v>2.1567913E7</v>
      </c>
      <c r="P1887">
        <v>1.9406027E7</v>
      </c>
      <c r="Q1887" s="66" t="s">
        <v>419</v>
      </c>
      <c r="R1887" s="5"/>
      <c r="S1887" s="5"/>
      <c r="T1887" s="5"/>
      <c r="U1887" s="5"/>
      <c r="V1887" s="5"/>
      <c r="W1887" s="5"/>
      <c r="X1887" s="5"/>
      <c r="Y1887" s="5"/>
      <c r="Z1887" s="5"/>
      <c r="AA1887" s="5"/>
      <c r="AB1887" s="5"/>
      <c r="AC1887" s="5"/>
      <c r="AD1887" s="5"/>
      <c r="AE1887" s="5"/>
      <c r="AF1887" s="5"/>
      <c r="AG1887" s="5"/>
    </row>
    <row r="1888" ht="15.75" customHeight="1">
      <c r="K1888" t="s">
        <v>3305</v>
      </c>
      <c r="L1888" t="str">
        <f>G141</f>
        <v>H1a2b1b</v>
      </c>
      <c r="N1888" t="s">
        <v>3306</v>
      </c>
      <c r="O1888">
        <v>2.1673406E7</v>
      </c>
      <c r="P1888">
        <v>1.951152E7</v>
      </c>
      <c r="Q1888" t="s">
        <v>553</v>
      </c>
      <c r="R1888" s="5"/>
      <c r="S1888" s="5"/>
      <c r="T1888" s="5"/>
      <c r="U1888" s="5"/>
      <c r="V1888" s="5"/>
      <c r="W1888" s="5"/>
      <c r="X1888" s="5"/>
      <c r="Y1888" s="5"/>
      <c r="Z1888" s="5"/>
      <c r="AA1888" s="5"/>
      <c r="AB1888" s="5"/>
      <c r="AC1888" s="5"/>
      <c r="AD1888" s="5"/>
      <c r="AE1888" s="5"/>
      <c r="AF1888" s="5"/>
      <c r="AG1888" s="5"/>
    </row>
    <row r="1889" ht="15.75" customHeight="1">
      <c r="K1889" t="s">
        <v>3307</v>
      </c>
      <c r="L1889" t="str">
        <f>G141</f>
        <v>H1a2b1b</v>
      </c>
      <c r="N1889" t="s">
        <v>3308</v>
      </c>
      <c r="O1889">
        <v>2.169068E7</v>
      </c>
      <c r="P1889">
        <v>1.9528794E7</v>
      </c>
      <c r="Q1889" t="s">
        <v>427</v>
      </c>
      <c r="R1889" s="5"/>
      <c r="S1889" s="5"/>
      <c r="T1889" s="5"/>
      <c r="U1889" s="5"/>
      <c r="V1889" s="5"/>
      <c r="W1889" s="5"/>
      <c r="X1889" s="5"/>
      <c r="Y1889" s="5"/>
      <c r="Z1889" s="5"/>
      <c r="AA1889" s="5"/>
      <c r="AB1889" s="5"/>
      <c r="AC1889" s="5"/>
      <c r="AD1889" s="5"/>
      <c r="AE1889" s="5"/>
      <c r="AF1889" s="5"/>
      <c r="AG1889" s="5"/>
    </row>
    <row r="1890" ht="15.75" customHeight="1">
      <c r="K1890" t="s">
        <v>3309</v>
      </c>
      <c r="L1890" t="str">
        <f>G141</f>
        <v>H1a2b1b</v>
      </c>
      <c r="N1890" t="s">
        <v>3310</v>
      </c>
      <c r="O1890">
        <v>2.1732796E7</v>
      </c>
      <c r="P1890">
        <v>1.957091E7</v>
      </c>
      <c r="Q1890" t="s">
        <v>553</v>
      </c>
      <c r="R1890" s="5"/>
      <c r="S1890" s="5"/>
      <c r="T1890" s="5"/>
      <c r="U1890" s="5"/>
      <c r="V1890" s="5"/>
      <c r="W1890" s="5"/>
      <c r="X1890" s="5"/>
      <c r="Y1890" s="5"/>
      <c r="Z1890" s="5"/>
      <c r="AA1890" s="5"/>
      <c r="AB1890" s="5"/>
      <c r="AC1890" s="5"/>
      <c r="AD1890" s="5"/>
      <c r="AE1890" s="5"/>
      <c r="AF1890" s="5"/>
      <c r="AG1890" s="5"/>
    </row>
    <row r="1891" ht="15.75" customHeight="1">
      <c r="K1891" t="s">
        <v>3311</v>
      </c>
      <c r="L1891" t="str">
        <f>G141</f>
        <v>H1a2b1b</v>
      </c>
      <c r="N1891" t="s">
        <v>3312</v>
      </c>
      <c r="O1891">
        <v>2.2561669E7</v>
      </c>
      <c r="P1891">
        <v>2.0399783E7</v>
      </c>
      <c r="Q1891" t="s">
        <v>431</v>
      </c>
      <c r="R1891" s="5"/>
      <c r="S1891" s="5"/>
      <c r="T1891" s="5"/>
      <c r="U1891" s="5"/>
      <c r="V1891" s="5"/>
      <c r="W1891" s="5"/>
      <c r="X1891" s="5"/>
      <c r="Y1891" s="5"/>
      <c r="Z1891" s="5"/>
      <c r="AA1891" s="5"/>
      <c r="AB1891" s="5"/>
      <c r="AC1891" s="5"/>
      <c r="AD1891" s="5"/>
      <c r="AE1891" s="5"/>
      <c r="AF1891" s="5"/>
      <c r="AG1891" s="5"/>
    </row>
    <row r="1892" ht="15.75" customHeight="1">
      <c r="K1892" t="s">
        <v>3313</v>
      </c>
      <c r="L1892" t="str">
        <f>G141</f>
        <v>H1a2b1b</v>
      </c>
      <c r="N1892" t="s">
        <v>3314</v>
      </c>
      <c r="O1892">
        <v>2.2572188E7</v>
      </c>
      <c r="P1892">
        <v>2.0410302E7</v>
      </c>
      <c r="Q1892" t="s">
        <v>423</v>
      </c>
      <c r="R1892" s="5"/>
      <c r="S1892" s="5"/>
      <c r="T1892" s="5"/>
      <c r="U1892" s="5"/>
      <c r="V1892" s="5"/>
      <c r="W1892" s="5"/>
      <c r="X1892" s="5"/>
      <c r="Y1892" s="5"/>
      <c r="Z1892" s="5"/>
      <c r="AA1892" s="5"/>
      <c r="AB1892" s="5"/>
      <c r="AC1892" s="5"/>
      <c r="AD1892" s="5"/>
      <c r="AE1892" s="5"/>
      <c r="AF1892" s="5"/>
      <c r="AG1892" s="5"/>
    </row>
    <row r="1893" ht="15.75" customHeight="1">
      <c r="K1893" t="s">
        <v>3315</v>
      </c>
      <c r="L1893" t="str">
        <f>G141</f>
        <v>H1a2b1b</v>
      </c>
      <c r="N1893" t="s">
        <v>3316</v>
      </c>
      <c r="O1893">
        <v>2.2579488E7</v>
      </c>
      <c r="P1893">
        <v>2.0417602E7</v>
      </c>
      <c r="Q1893" t="s">
        <v>423</v>
      </c>
      <c r="R1893" s="5"/>
      <c r="S1893" s="5"/>
      <c r="T1893" s="5"/>
      <c r="U1893" s="5"/>
      <c r="V1893" s="5"/>
      <c r="W1893" s="5"/>
      <c r="X1893" s="5"/>
      <c r="Y1893" s="5"/>
      <c r="Z1893" s="5"/>
      <c r="AA1893" s="5"/>
      <c r="AB1893" s="5"/>
      <c r="AC1893" s="5"/>
      <c r="AD1893" s="5"/>
      <c r="AE1893" s="5"/>
      <c r="AF1893" s="5"/>
      <c r="AG1893" s="5"/>
    </row>
    <row r="1894" ht="15.75" customHeight="1">
      <c r="K1894" t="s">
        <v>3317</v>
      </c>
      <c r="L1894" t="str">
        <f>G141</f>
        <v>H1a2b1b</v>
      </c>
      <c r="N1894" t="s">
        <v>3318</v>
      </c>
      <c r="O1894">
        <v>2.2658683E7</v>
      </c>
      <c r="P1894">
        <v>2.0496797E7</v>
      </c>
      <c r="Q1894" t="s">
        <v>419</v>
      </c>
      <c r="R1894" s="5"/>
      <c r="S1894" s="5"/>
      <c r="T1894" s="5"/>
      <c r="U1894" s="5"/>
      <c r="V1894" s="5"/>
      <c r="W1894" s="5"/>
      <c r="X1894" s="5"/>
      <c r="Y1894" s="5"/>
      <c r="Z1894" s="5"/>
      <c r="AA1894" s="5"/>
      <c r="AB1894" s="5"/>
      <c r="AC1894" s="5"/>
      <c r="AD1894" s="5"/>
      <c r="AE1894" s="5"/>
      <c r="AF1894" s="5"/>
      <c r="AG1894" s="5"/>
    </row>
    <row r="1895" ht="15.75" customHeight="1">
      <c r="K1895" t="s">
        <v>3319</v>
      </c>
      <c r="L1895" t="str">
        <f>G141</f>
        <v>H1a2b1b</v>
      </c>
      <c r="N1895" t="s">
        <v>3320</v>
      </c>
      <c r="O1895">
        <v>2.2740532E7</v>
      </c>
      <c r="P1895">
        <v>2.0578646E7</v>
      </c>
      <c r="Q1895" t="s">
        <v>476</v>
      </c>
      <c r="R1895" s="5"/>
      <c r="S1895" s="5"/>
      <c r="T1895" s="5"/>
      <c r="U1895" s="5"/>
      <c r="V1895" s="5"/>
      <c r="W1895" s="5"/>
      <c r="X1895" s="5"/>
      <c r="Y1895" s="5"/>
      <c r="Z1895" s="5"/>
      <c r="AA1895" s="5"/>
      <c r="AB1895" s="5"/>
      <c r="AC1895" s="5"/>
      <c r="AD1895" s="5"/>
      <c r="AE1895" s="5"/>
      <c r="AF1895" s="5"/>
      <c r="AG1895" s="5"/>
    </row>
    <row r="1896" ht="15.75" customHeight="1">
      <c r="K1896" t="s">
        <v>3321</v>
      </c>
      <c r="L1896" t="str">
        <f>G141</f>
        <v>H1a2b1b</v>
      </c>
      <c r="N1896" t="s">
        <v>3322</v>
      </c>
      <c r="O1896">
        <v>2.2743925E7</v>
      </c>
      <c r="P1896">
        <v>2.0582039E7</v>
      </c>
      <c r="Q1896" t="s">
        <v>427</v>
      </c>
      <c r="R1896" s="5"/>
      <c r="S1896" s="5"/>
      <c r="T1896" s="5"/>
      <c r="U1896" s="5"/>
      <c r="V1896" s="5"/>
      <c r="W1896" s="5"/>
      <c r="X1896" s="5"/>
      <c r="Y1896" s="5"/>
      <c r="Z1896" s="5"/>
      <c r="AA1896" s="5"/>
      <c r="AB1896" s="5"/>
      <c r="AC1896" s="5"/>
      <c r="AD1896" s="5"/>
      <c r="AE1896" s="5"/>
      <c r="AF1896" s="5"/>
      <c r="AG1896" s="5"/>
    </row>
    <row r="1897" ht="15.75" customHeight="1">
      <c r="K1897" t="s">
        <v>3323</v>
      </c>
      <c r="L1897" t="str">
        <f>G141</f>
        <v>H1a2b1b</v>
      </c>
      <c r="N1897" t="s">
        <v>3324</v>
      </c>
      <c r="O1897">
        <v>2.2766386E7</v>
      </c>
      <c r="P1897">
        <v>2.06045E7</v>
      </c>
      <c r="Q1897" t="s">
        <v>423</v>
      </c>
      <c r="R1897" s="5"/>
      <c r="S1897" s="5"/>
      <c r="T1897" s="5"/>
      <c r="U1897" s="5"/>
      <c r="V1897" s="5"/>
      <c r="W1897" s="5"/>
      <c r="X1897" s="5"/>
      <c r="Y1897" s="5"/>
      <c r="Z1897" s="5"/>
      <c r="AA1897" s="5"/>
      <c r="AB1897" s="5"/>
      <c r="AC1897" s="5"/>
      <c r="AD1897" s="5"/>
      <c r="AE1897" s="5"/>
      <c r="AF1897" s="5"/>
      <c r="AG1897" s="5"/>
    </row>
    <row r="1898" ht="15.75" customHeight="1">
      <c r="K1898" t="s">
        <v>3325</v>
      </c>
      <c r="L1898" t="str">
        <f>G141</f>
        <v>H1a2b1b</v>
      </c>
      <c r="N1898" t="s">
        <v>3326</v>
      </c>
      <c r="O1898">
        <v>2.2883907E7</v>
      </c>
      <c r="P1898">
        <v>2.0722021E7</v>
      </c>
      <c r="Q1898" t="s">
        <v>419</v>
      </c>
      <c r="R1898" s="5"/>
      <c r="S1898" s="5"/>
      <c r="T1898" s="5"/>
      <c r="U1898" s="5"/>
      <c r="V1898" s="5"/>
      <c r="W1898" s="5"/>
      <c r="X1898" s="5"/>
      <c r="Y1898" s="5"/>
      <c r="Z1898" s="5"/>
      <c r="AA1898" s="5"/>
      <c r="AB1898" s="5"/>
      <c r="AC1898" s="5"/>
      <c r="AD1898" s="5"/>
      <c r="AE1898" s="5"/>
      <c r="AF1898" s="5"/>
      <c r="AG1898" s="5"/>
    </row>
    <row r="1899" ht="15.75" customHeight="1">
      <c r="K1899" t="s">
        <v>3327</v>
      </c>
      <c r="L1899" t="str">
        <f>G141</f>
        <v>H1a2b1b</v>
      </c>
      <c r="N1899" t="s">
        <v>3328</v>
      </c>
      <c r="O1899">
        <v>2.2966358E7</v>
      </c>
      <c r="P1899">
        <v>2.0804472E7</v>
      </c>
      <c r="Q1899" t="s">
        <v>435</v>
      </c>
      <c r="R1899" s="5"/>
      <c r="S1899" s="5"/>
      <c r="T1899" s="5"/>
      <c r="U1899" s="5"/>
      <c r="V1899" s="5"/>
      <c r="W1899" s="5"/>
      <c r="X1899" s="5"/>
      <c r="Y1899" s="5"/>
      <c r="Z1899" s="5"/>
      <c r="AA1899" s="5"/>
      <c r="AB1899" s="5"/>
      <c r="AC1899" s="5"/>
      <c r="AD1899" s="5"/>
      <c r="AE1899" s="5"/>
      <c r="AF1899" s="5"/>
      <c r="AG1899" s="5"/>
    </row>
    <row r="1900" ht="15.75" customHeight="1">
      <c r="K1900" t="s">
        <v>3329</v>
      </c>
      <c r="L1900" t="str">
        <f>G141</f>
        <v>H1a2b1b</v>
      </c>
      <c r="N1900" t="s">
        <v>3330</v>
      </c>
      <c r="O1900">
        <v>2.3130243E7</v>
      </c>
      <c r="P1900">
        <v>2.0968357E7</v>
      </c>
      <c r="Q1900" t="s">
        <v>448</v>
      </c>
      <c r="R1900" s="5"/>
      <c r="S1900" s="5"/>
      <c r="T1900" s="5"/>
      <c r="U1900" s="5"/>
      <c r="V1900" s="5"/>
      <c r="W1900" s="5"/>
      <c r="X1900" s="5"/>
      <c r="Y1900" s="5"/>
      <c r="Z1900" s="5"/>
      <c r="AA1900" s="5"/>
      <c r="AB1900" s="5"/>
      <c r="AC1900" s="5"/>
      <c r="AD1900" s="5"/>
      <c r="AE1900" s="5"/>
      <c r="AF1900" s="5"/>
      <c r="AG1900" s="5"/>
    </row>
    <row r="1901" ht="15.75" customHeight="1">
      <c r="K1901" t="s">
        <v>3331</v>
      </c>
      <c r="L1901" t="str">
        <f>G141</f>
        <v>H1a2b1b</v>
      </c>
      <c r="O1901">
        <v>2.3196479E7</v>
      </c>
      <c r="P1901">
        <v>2.1034593E7</v>
      </c>
      <c r="Q1901" t="s">
        <v>476</v>
      </c>
      <c r="R1901" s="5"/>
      <c r="S1901" s="5"/>
      <c r="T1901" s="5"/>
      <c r="U1901" s="5"/>
      <c r="V1901" s="5"/>
      <c r="W1901" s="5"/>
      <c r="X1901" s="5"/>
      <c r="Y1901" s="5"/>
      <c r="Z1901" s="5"/>
      <c r="AA1901" s="5"/>
      <c r="AB1901" s="5"/>
      <c r="AC1901" s="5"/>
      <c r="AD1901" s="5"/>
      <c r="AE1901" s="5"/>
      <c r="AF1901" s="5"/>
      <c r="AG1901" s="5"/>
    </row>
    <row r="1902" ht="15.75" customHeight="1">
      <c r="K1902" t="s">
        <v>3332</v>
      </c>
      <c r="L1902" t="str">
        <f>G141</f>
        <v>H1a2b1b</v>
      </c>
      <c r="O1902">
        <v>2.3230958E7</v>
      </c>
      <c r="P1902">
        <v>2.1069072E7</v>
      </c>
      <c r="Q1902" t="s">
        <v>448</v>
      </c>
      <c r="R1902" s="5"/>
      <c r="S1902" s="5"/>
      <c r="T1902" s="5"/>
      <c r="U1902" s="5"/>
      <c r="V1902" s="5"/>
      <c r="W1902" s="5"/>
      <c r="X1902" s="5"/>
      <c r="Y1902" s="5"/>
      <c r="Z1902" s="5"/>
      <c r="AA1902" s="5"/>
      <c r="AB1902" s="5"/>
      <c r="AC1902" s="5"/>
      <c r="AD1902" s="5"/>
      <c r="AE1902" s="5"/>
      <c r="AF1902" s="5"/>
      <c r="AG1902" s="5"/>
    </row>
    <row r="1903" ht="15.75" customHeight="1">
      <c r="K1903" t="s">
        <v>3333</v>
      </c>
      <c r="L1903" t="str">
        <f>G141</f>
        <v>H1a2b1b</v>
      </c>
      <c r="N1903" t="s">
        <v>3334</v>
      </c>
      <c r="O1903">
        <v>2.3243909E7</v>
      </c>
      <c r="P1903">
        <v>2.1082023E7</v>
      </c>
      <c r="Q1903" t="s">
        <v>423</v>
      </c>
      <c r="R1903" s="5"/>
      <c r="S1903" s="5"/>
      <c r="T1903" s="5"/>
      <c r="U1903" s="5"/>
      <c r="V1903" s="5"/>
      <c r="W1903" s="5"/>
      <c r="X1903" s="5"/>
      <c r="Y1903" s="5"/>
      <c r="Z1903" s="5"/>
      <c r="AA1903" s="5"/>
      <c r="AB1903" s="5"/>
      <c r="AC1903" s="5"/>
      <c r="AD1903" s="5"/>
      <c r="AE1903" s="5"/>
      <c r="AF1903" s="5"/>
      <c r="AG1903" s="5"/>
    </row>
    <row r="1904" ht="15.75" customHeight="1">
      <c r="K1904" t="s">
        <v>3335</v>
      </c>
      <c r="L1904" t="str">
        <f>G141</f>
        <v>H1a2b1b</v>
      </c>
      <c r="N1904" t="s">
        <v>3336</v>
      </c>
      <c r="O1904">
        <v>2.8764577E7</v>
      </c>
      <c r="P1904">
        <v>2.661843E7</v>
      </c>
      <c r="Q1904" t="s">
        <v>423</v>
      </c>
      <c r="R1904" s="5"/>
      <c r="S1904" s="5"/>
      <c r="T1904" s="5"/>
      <c r="U1904" s="5"/>
      <c r="V1904" s="5"/>
      <c r="W1904" s="5"/>
      <c r="X1904" s="5"/>
      <c r="Y1904" s="5"/>
      <c r="Z1904" s="5"/>
      <c r="AA1904" s="5"/>
      <c r="AB1904" s="5"/>
      <c r="AC1904" s="5"/>
      <c r="AD1904" s="5"/>
      <c r="AE1904" s="5"/>
      <c r="AF1904" s="5"/>
      <c r="AG1904" s="5"/>
    </row>
    <row r="1905" ht="15.75" customHeight="1">
      <c r="K1905" t="s">
        <v>3337</v>
      </c>
      <c r="L1905" t="str">
        <f>G141</f>
        <v>H1a2b1b</v>
      </c>
      <c r="N1905" t="s">
        <v>3338</v>
      </c>
      <c r="O1905">
        <v>1.771216E7</v>
      </c>
      <c r="P1905">
        <v>1.560028E7</v>
      </c>
      <c r="Q1905" t="s">
        <v>423</v>
      </c>
      <c r="R1905" s="5"/>
      <c r="S1905" s="5"/>
      <c r="T1905" s="5"/>
      <c r="U1905" s="5"/>
      <c r="V1905" s="5"/>
      <c r="W1905" s="5"/>
      <c r="X1905" s="5"/>
      <c r="Y1905" s="5"/>
      <c r="Z1905" s="5"/>
      <c r="AA1905" s="5"/>
      <c r="AB1905" s="5"/>
      <c r="AC1905" s="5"/>
      <c r="AD1905" s="5"/>
      <c r="AE1905" s="5"/>
      <c r="AF1905" s="5"/>
      <c r="AG1905" s="5"/>
    </row>
    <row r="1906" ht="15.75" customHeight="1">
      <c r="K1906" t="s">
        <v>3339</v>
      </c>
      <c r="L1906" t="str">
        <f t="shared" ref="L1906:L1907" si="42">G141</f>
        <v>H1a2b1b</v>
      </c>
      <c r="N1906" t="s">
        <v>3340</v>
      </c>
      <c r="O1906">
        <v>7843965.0</v>
      </c>
      <c r="P1906">
        <v>7975924.0</v>
      </c>
      <c r="Q1906" t="s">
        <v>435</v>
      </c>
      <c r="R1906" s="5"/>
      <c r="S1906" s="5"/>
      <c r="T1906" s="5"/>
      <c r="U1906" s="5"/>
      <c r="V1906" s="5"/>
      <c r="W1906" s="5"/>
      <c r="X1906" s="5"/>
      <c r="Y1906" s="5"/>
      <c r="Z1906" s="5"/>
      <c r="AA1906" s="5"/>
      <c r="AB1906" s="5"/>
      <c r="AC1906" s="5"/>
      <c r="AD1906" s="5"/>
      <c r="AE1906" s="5"/>
      <c r="AF1906" s="5"/>
      <c r="AG1906" s="5"/>
    </row>
    <row r="1907" ht="15.75" customHeight="1">
      <c r="K1907" t="s">
        <v>3341</v>
      </c>
      <c r="L1907" t="str">
        <f t="shared" si="42"/>
        <v>H1a2b1b~</v>
      </c>
      <c r="N1907" t="s">
        <v>3342</v>
      </c>
      <c r="O1907">
        <v>6932258.0</v>
      </c>
      <c r="P1907">
        <v>7064217.0</v>
      </c>
      <c r="Q1907" t="s">
        <v>459</v>
      </c>
      <c r="R1907" s="5"/>
      <c r="S1907" s="5"/>
      <c r="T1907" s="5"/>
      <c r="U1907" s="5"/>
      <c r="V1907" s="5"/>
      <c r="W1907" s="5"/>
      <c r="X1907" s="5"/>
      <c r="Y1907" s="5"/>
      <c r="Z1907" s="5"/>
      <c r="AA1907" s="5"/>
      <c r="AB1907" s="5"/>
      <c r="AC1907" s="5"/>
      <c r="AD1907" s="5"/>
      <c r="AE1907" s="5"/>
      <c r="AF1907" s="5"/>
      <c r="AG1907" s="5"/>
    </row>
    <row r="1908" ht="15.75" customHeight="1">
      <c r="K1908" t="s">
        <v>3343</v>
      </c>
      <c r="L1908" t="str">
        <f>G142</f>
        <v>H1a2b1b~</v>
      </c>
      <c r="N1908" t="s">
        <v>3344</v>
      </c>
      <c r="O1908">
        <v>7080514.0</v>
      </c>
      <c r="P1908">
        <v>7212473.0</v>
      </c>
      <c r="Q1908" t="s">
        <v>419</v>
      </c>
      <c r="R1908" s="5"/>
      <c r="S1908" s="5"/>
      <c r="T1908" s="5"/>
      <c r="U1908" s="5"/>
      <c r="V1908" s="5"/>
      <c r="W1908" s="5"/>
      <c r="X1908" s="5"/>
      <c r="Y1908" s="5"/>
      <c r="Z1908" s="5"/>
      <c r="AA1908" s="5"/>
      <c r="AB1908" s="5"/>
      <c r="AC1908" s="5"/>
      <c r="AD1908" s="5"/>
      <c r="AE1908" s="5"/>
      <c r="AF1908" s="5"/>
      <c r="AG1908" s="5"/>
    </row>
    <row r="1909" ht="15.75" customHeight="1">
      <c r="K1909" t="s">
        <v>3345</v>
      </c>
      <c r="L1909" t="str">
        <f>G142</f>
        <v>H1a2b1b~</v>
      </c>
      <c r="N1909" t="s">
        <v>3346</v>
      </c>
      <c r="O1909">
        <v>7437605.0</v>
      </c>
      <c r="P1909">
        <v>7569564.0</v>
      </c>
      <c r="Q1909" t="s">
        <v>423</v>
      </c>
      <c r="R1909" s="5"/>
      <c r="S1909" s="5"/>
      <c r="T1909" s="5"/>
      <c r="U1909" s="5"/>
      <c r="V1909" s="5"/>
      <c r="W1909" s="5"/>
      <c r="X1909" s="5"/>
      <c r="Y1909" s="5"/>
      <c r="Z1909" s="5"/>
      <c r="AA1909" s="5"/>
      <c r="AB1909" s="5"/>
      <c r="AC1909" s="5"/>
      <c r="AD1909" s="5"/>
      <c r="AE1909" s="5"/>
      <c r="AF1909" s="5"/>
      <c r="AG1909" s="5"/>
    </row>
    <row r="1910" ht="15.75" customHeight="1">
      <c r="K1910" t="s">
        <v>3347</v>
      </c>
      <c r="L1910" t="str">
        <f>H143</f>
        <v>H1a2b1b1~</v>
      </c>
      <c r="N1910" t="s">
        <v>3348</v>
      </c>
      <c r="O1910">
        <v>2803966.0</v>
      </c>
      <c r="P1910">
        <v>2935925.0</v>
      </c>
      <c r="Q1910" t="s">
        <v>431</v>
      </c>
      <c r="R1910" s="5"/>
      <c r="S1910" s="5"/>
      <c r="T1910" s="5"/>
      <c r="U1910" s="5"/>
      <c r="V1910" s="5"/>
      <c r="W1910" s="5"/>
      <c r="X1910" s="5"/>
      <c r="Y1910" s="5"/>
      <c r="Z1910" s="5"/>
      <c r="AA1910" s="5"/>
      <c r="AB1910" s="5"/>
      <c r="AC1910" s="5"/>
      <c r="AD1910" s="5"/>
      <c r="AE1910" s="5"/>
      <c r="AF1910" s="5"/>
      <c r="AG1910" s="5"/>
    </row>
    <row r="1911" ht="15.75" customHeight="1">
      <c r="K1911" t="s">
        <v>3349</v>
      </c>
      <c r="L1911" t="str">
        <f>H143</f>
        <v>H1a2b1b1~</v>
      </c>
      <c r="N1911" t="s">
        <v>3350</v>
      </c>
      <c r="O1911">
        <v>7345846.0</v>
      </c>
      <c r="P1911">
        <v>7477805.0</v>
      </c>
      <c r="Q1911" t="s">
        <v>476</v>
      </c>
      <c r="R1911" s="5"/>
      <c r="S1911" s="5"/>
      <c r="T1911" s="5"/>
      <c r="U1911" s="5"/>
      <c r="V1911" s="5"/>
      <c r="W1911" s="5"/>
      <c r="X1911" s="5"/>
      <c r="Y1911" s="5"/>
      <c r="Z1911" s="5"/>
      <c r="AA1911" s="5"/>
      <c r="AB1911" s="5"/>
      <c r="AC1911" s="5"/>
      <c r="AD1911" s="5"/>
      <c r="AE1911" s="5"/>
      <c r="AF1911" s="5"/>
      <c r="AG1911" s="5"/>
    </row>
    <row r="1912" ht="15.75" customHeight="1">
      <c r="K1912" t="s">
        <v>3351</v>
      </c>
      <c r="L1912" t="str">
        <f>H143</f>
        <v>H1a2b1b1~</v>
      </c>
      <c r="N1912" t="s">
        <v>3352</v>
      </c>
      <c r="O1912">
        <v>8233721.0</v>
      </c>
      <c r="P1912">
        <v>8365680.0</v>
      </c>
      <c r="Q1912" t="s">
        <v>553</v>
      </c>
      <c r="R1912" s="5"/>
      <c r="S1912" s="5"/>
      <c r="T1912" s="5"/>
      <c r="U1912" s="5"/>
      <c r="V1912" s="5"/>
      <c r="W1912" s="5"/>
      <c r="X1912" s="5"/>
      <c r="Y1912" s="5"/>
      <c r="Z1912" s="5"/>
      <c r="AA1912" s="5"/>
      <c r="AB1912" s="5"/>
      <c r="AC1912" s="5"/>
      <c r="AD1912" s="5"/>
      <c r="AE1912" s="5"/>
      <c r="AF1912" s="5"/>
      <c r="AG1912" s="5"/>
    </row>
    <row r="1913" ht="15.75" customHeight="1">
      <c r="K1913" t="s">
        <v>3353</v>
      </c>
      <c r="L1913" t="str">
        <f t="shared" ref="L1913:L1914" si="43">H143</f>
        <v>H1a2b1b1~</v>
      </c>
      <c r="N1913" t="s">
        <v>3354</v>
      </c>
      <c r="O1913">
        <v>8383236.0</v>
      </c>
      <c r="P1913">
        <v>8515195.0</v>
      </c>
      <c r="Q1913" t="s">
        <v>423</v>
      </c>
      <c r="R1913" s="5"/>
      <c r="S1913" s="5"/>
      <c r="T1913" s="5"/>
      <c r="U1913" s="5"/>
      <c r="V1913" s="5"/>
      <c r="W1913" s="5"/>
      <c r="X1913" s="5"/>
      <c r="Y1913" s="5"/>
      <c r="Z1913" s="5"/>
      <c r="AA1913" s="5"/>
      <c r="AB1913" s="5"/>
      <c r="AC1913" s="5"/>
      <c r="AD1913" s="5"/>
      <c r="AE1913" s="5"/>
      <c r="AF1913" s="5"/>
      <c r="AG1913" s="5"/>
    </row>
    <row r="1914" ht="15.75" customHeight="1">
      <c r="K1914" t="s">
        <v>3355</v>
      </c>
      <c r="L1914" t="str">
        <f t="shared" si="43"/>
        <v>H1a2b1b2~</v>
      </c>
      <c r="N1914" t="s">
        <v>3356</v>
      </c>
      <c r="O1914">
        <v>6687171.0</v>
      </c>
      <c r="P1914">
        <v>6819130.0</v>
      </c>
      <c r="Q1914" t="s">
        <v>553</v>
      </c>
      <c r="R1914" s="5"/>
      <c r="S1914" s="5"/>
      <c r="T1914" s="5"/>
      <c r="U1914" s="5"/>
      <c r="V1914" s="5"/>
      <c r="W1914" s="5"/>
      <c r="X1914" s="5"/>
      <c r="Y1914" s="5"/>
      <c r="Z1914" s="5"/>
      <c r="AA1914" s="5"/>
      <c r="AB1914" s="5"/>
      <c r="AC1914" s="5"/>
      <c r="AD1914" s="5"/>
      <c r="AE1914" s="5"/>
      <c r="AF1914" s="5"/>
      <c r="AG1914" s="5"/>
    </row>
    <row r="1915" ht="15.75" customHeight="1">
      <c r="K1915" t="s">
        <v>3357</v>
      </c>
      <c r="L1915" t="str">
        <f>H144</f>
        <v>H1a2b1b2~</v>
      </c>
      <c r="N1915" t="s">
        <v>3358</v>
      </c>
      <c r="O1915">
        <v>2721226.0</v>
      </c>
      <c r="P1915">
        <v>2853185.0</v>
      </c>
      <c r="Q1915" t="s">
        <v>459</v>
      </c>
      <c r="R1915" s="5"/>
      <c r="S1915" s="5"/>
      <c r="T1915" s="5"/>
      <c r="U1915" s="5"/>
      <c r="V1915" s="5"/>
      <c r="W1915" s="5"/>
      <c r="X1915" s="5"/>
      <c r="Y1915" s="5"/>
      <c r="Z1915" s="5"/>
      <c r="AA1915" s="5"/>
      <c r="AB1915" s="5"/>
      <c r="AC1915" s="5"/>
      <c r="AD1915" s="5"/>
      <c r="AE1915" s="5"/>
      <c r="AF1915" s="5"/>
      <c r="AG1915" s="5"/>
    </row>
    <row r="1916" ht="15.75" customHeight="1">
      <c r="K1916" t="s">
        <v>3359</v>
      </c>
      <c r="L1916" t="str">
        <f>H144</f>
        <v>H1a2b1b2~</v>
      </c>
      <c r="N1916" t="s">
        <v>3360</v>
      </c>
      <c r="O1916">
        <v>2737415.0</v>
      </c>
      <c r="P1916">
        <v>2869374.0</v>
      </c>
      <c r="Q1916" t="s">
        <v>423</v>
      </c>
      <c r="R1916" s="5"/>
      <c r="S1916" s="5"/>
      <c r="T1916" s="5"/>
      <c r="U1916" s="5"/>
      <c r="V1916" s="5"/>
      <c r="W1916" s="5"/>
      <c r="X1916" s="5"/>
      <c r="Y1916" s="5"/>
      <c r="Z1916" s="5"/>
      <c r="AA1916" s="5"/>
      <c r="AB1916" s="5"/>
      <c r="AC1916" s="5"/>
      <c r="AD1916" s="5"/>
      <c r="AE1916" s="5"/>
      <c r="AF1916" s="5"/>
      <c r="AG1916" s="5"/>
    </row>
    <row r="1917" ht="15.75" customHeight="1">
      <c r="K1917" t="s">
        <v>3361</v>
      </c>
      <c r="L1917" t="str">
        <f>H144</f>
        <v>H1a2b1b2~</v>
      </c>
      <c r="O1917">
        <v>2855397.0</v>
      </c>
      <c r="P1917">
        <v>2987356.0</v>
      </c>
      <c r="Q1917" t="s">
        <v>435</v>
      </c>
      <c r="R1917" s="5"/>
      <c r="S1917" s="5"/>
      <c r="T1917" s="5"/>
      <c r="U1917" s="5"/>
      <c r="V1917" s="5"/>
      <c r="W1917" s="5"/>
      <c r="X1917" s="5"/>
      <c r="Y1917" s="5"/>
      <c r="Z1917" s="5"/>
      <c r="AA1917" s="5"/>
      <c r="AB1917" s="5"/>
      <c r="AC1917" s="5"/>
      <c r="AD1917" s="5"/>
      <c r="AE1917" s="5"/>
      <c r="AF1917" s="5"/>
      <c r="AG1917" s="5"/>
    </row>
    <row r="1918" ht="15.75" customHeight="1">
      <c r="K1918" t="s">
        <v>3362</v>
      </c>
      <c r="L1918" t="str">
        <f>H144</f>
        <v>H1a2b1b2~</v>
      </c>
      <c r="N1918" t="s">
        <v>3363</v>
      </c>
      <c r="O1918">
        <v>6701272.0</v>
      </c>
      <c r="P1918">
        <v>6833231.0</v>
      </c>
      <c r="Q1918" t="s">
        <v>419</v>
      </c>
      <c r="R1918" s="5"/>
      <c r="S1918" s="5"/>
      <c r="T1918" s="5"/>
      <c r="U1918" s="5"/>
      <c r="V1918" s="5"/>
      <c r="W1918" s="5"/>
      <c r="X1918" s="5"/>
      <c r="Y1918" s="5"/>
      <c r="Z1918" s="5"/>
      <c r="AA1918" s="5"/>
      <c r="AB1918" s="5"/>
      <c r="AC1918" s="5"/>
      <c r="AD1918" s="5"/>
      <c r="AE1918" s="5"/>
      <c r="AF1918" s="5"/>
      <c r="AG1918" s="5"/>
    </row>
    <row r="1919" ht="15.75" customHeight="1">
      <c r="K1919" t="s">
        <v>3364</v>
      </c>
      <c r="L1919" t="str">
        <f>G145</f>
        <v>H1a2b1c</v>
      </c>
      <c r="O1919">
        <v>7548897.0</v>
      </c>
      <c r="P1919">
        <v>7680856.0</v>
      </c>
      <c r="Q1919" t="s">
        <v>448</v>
      </c>
      <c r="R1919" s="5"/>
      <c r="S1919" s="5"/>
      <c r="T1919" s="5"/>
      <c r="U1919" s="5"/>
      <c r="V1919" s="5"/>
      <c r="W1919" s="5"/>
      <c r="X1919" s="5"/>
      <c r="Y1919" s="5"/>
      <c r="Z1919" s="5"/>
      <c r="AA1919" s="5"/>
      <c r="AB1919" s="5"/>
      <c r="AC1919" s="5"/>
      <c r="AD1919" s="5"/>
      <c r="AE1919" s="5"/>
      <c r="AF1919" s="5"/>
      <c r="AG1919" s="5"/>
    </row>
    <row r="1920" ht="15.75" customHeight="1">
      <c r="K1920" t="s">
        <v>3365</v>
      </c>
      <c r="L1920" t="str">
        <f>G145</f>
        <v>H1a2b1c</v>
      </c>
      <c r="O1920">
        <v>8594375.0</v>
      </c>
      <c r="P1920">
        <v>8726334.0</v>
      </c>
      <c r="Q1920" t="s">
        <v>423</v>
      </c>
      <c r="R1920" s="5"/>
      <c r="S1920" s="5"/>
      <c r="T1920" s="5"/>
      <c r="U1920" s="5"/>
      <c r="V1920" s="5"/>
      <c r="W1920" s="5"/>
      <c r="X1920" s="5"/>
      <c r="Y1920" s="5"/>
      <c r="Z1920" s="5"/>
      <c r="AA1920" s="5"/>
      <c r="AB1920" s="5"/>
      <c r="AC1920" s="5"/>
      <c r="AD1920" s="5"/>
      <c r="AE1920" s="5"/>
      <c r="AF1920" s="5"/>
      <c r="AG1920" s="5"/>
    </row>
    <row r="1921" ht="15.75" customHeight="1">
      <c r="K1921" t="s">
        <v>3366</v>
      </c>
      <c r="L1921" t="str">
        <f>G145</f>
        <v>H1a2b1c</v>
      </c>
      <c r="O1921">
        <v>9820626.0</v>
      </c>
      <c r="P1921">
        <v>9983017.0</v>
      </c>
      <c r="Q1921" t="s">
        <v>452</v>
      </c>
      <c r="R1921" s="5"/>
      <c r="S1921" s="5"/>
      <c r="T1921" s="5"/>
      <c r="U1921" s="5"/>
      <c r="V1921" s="5"/>
      <c r="W1921" s="5"/>
      <c r="X1921" s="5"/>
      <c r="Y1921" s="5"/>
      <c r="Z1921" s="5"/>
      <c r="AA1921" s="5"/>
      <c r="AB1921" s="5"/>
      <c r="AC1921" s="5"/>
      <c r="AD1921" s="5"/>
      <c r="AE1921" s="5"/>
      <c r="AF1921" s="5"/>
      <c r="AG1921" s="5"/>
    </row>
    <row r="1922" ht="15.75" customHeight="1">
      <c r="K1922" t="s">
        <v>3367</v>
      </c>
      <c r="L1922" t="str">
        <f>G145</f>
        <v>H1a2b1c</v>
      </c>
      <c r="O1922">
        <v>1.5275478E7</v>
      </c>
      <c r="P1922">
        <v>1.3163567E7</v>
      </c>
      <c r="Q1922" t="s">
        <v>419</v>
      </c>
      <c r="R1922" s="5"/>
      <c r="S1922" s="5"/>
      <c r="T1922" s="5"/>
      <c r="U1922" s="5"/>
      <c r="V1922" s="5"/>
      <c r="W1922" s="5"/>
      <c r="X1922" s="5"/>
      <c r="Y1922" s="5"/>
      <c r="Z1922" s="5"/>
      <c r="AA1922" s="5"/>
      <c r="AB1922" s="5"/>
      <c r="AC1922" s="5"/>
      <c r="AD1922" s="5"/>
      <c r="AE1922" s="5"/>
      <c r="AF1922" s="5"/>
      <c r="AG1922" s="5"/>
    </row>
    <row r="1923" ht="15.75" customHeight="1">
      <c r="K1923" t="s">
        <v>3368</v>
      </c>
      <c r="L1923" t="str">
        <f>G145</f>
        <v>H1a2b1c</v>
      </c>
      <c r="O1923">
        <v>1.5316647E7</v>
      </c>
      <c r="P1923">
        <v>1.3204753E7</v>
      </c>
      <c r="Q1923" t="s">
        <v>431</v>
      </c>
      <c r="R1923" s="5"/>
      <c r="S1923" s="5"/>
      <c r="T1923" s="5"/>
      <c r="U1923" s="5"/>
      <c r="V1923" s="5"/>
      <c r="W1923" s="5"/>
      <c r="X1923" s="5"/>
      <c r="Y1923" s="5"/>
      <c r="Z1923" s="5"/>
      <c r="AA1923" s="5"/>
      <c r="AB1923" s="5"/>
      <c r="AC1923" s="5"/>
      <c r="AD1923" s="5"/>
      <c r="AE1923" s="5"/>
      <c r="AF1923" s="5"/>
      <c r="AG1923" s="5"/>
    </row>
    <row r="1924" ht="15.75" customHeight="1">
      <c r="K1924" t="s">
        <v>3369</v>
      </c>
      <c r="L1924" t="str">
        <f>G145</f>
        <v>H1a2b1c</v>
      </c>
      <c r="O1924">
        <v>1.6313896E7</v>
      </c>
      <c r="P1924">
        <v>1.4202016E7</v>
      </c>
      <c r="Q1924" t="s">
        <v>435</v>
      </c>
      <c r="R1924" s="5"/>
      <c r="S1924" s="5"/>
      <c r="T1924" s="5"/>
      <c r="U1924" s="5"/>
      <c r="V1924" s="5"/>
      <c r="W1924" s="5"/>
      <c r="X1924" s="5"/>
      <c r="Y1924" s="5"/>
      <c r="Z1924" s="5"/>
      <c r="AA1924" s="5"/>
      <c r="AB1924" s="5"/>
      <c r="AC1924" s="5"/>
      <c r="AD1924" s="5"/>
      <c r="AE1924" s="5"/>
      <c r="AF1924" s="5"/>
      <c r="AG1924" s="5"/>
    </row>
    <row r="1925" ht="15.75" customHeight="1">
      <c r="K1925" t="s">
        <v>3370</v>
      </c>
      <c r="L1925" t="str">
        <f>G145</f>
        <v>H1a2b1c</v>
      </c>
      <c r="O1925">
        <v>1.7088214E7</v>
      </c>
      <c r="P1925">
        <v>1.4976334E7</v>
      </c>
      <c r="Q1925" t="s">
        <v>419</v>
      </c>
      <c r="R1925" s="5"/>
      <c r="S1925" s="5"/>
      <c r="T1925" s="5"/>
      <c r="U1925" s="5"/>
      <c r="V1925" s="5"/>
      <c r="W1925" s="5"/>
      <c r="X1925" s="5"/>
      <c r="Y1925" s="5"/>
      <c r="Z1925" s="5"/>
      <c r="AA1925" s="5"/>
      <c r="AB1925" s="5"/>
      <c r="AC1925" s="5"/>
      <c r="AD1925" s="5"/>
      <c r="AE1925" s="5"/>
      <c r="AF1925" s="5"/>
      <c r="AG1925" s="5"/>
    </row>
    <row r="1926" ht="15.75" customHeight="1">
      <c r="K1926" t="s">
        <v>3371</v>
      </c>
      <c r="L1926" t="str">
        <f>G145</f>
        <v>H1a2b1c</v>
      </c>
      <c r="O1926">
        <v>1.7343331E7</v>
      </c>
      <c r="P1926">
        <v>1.5231451E7</v>
      </c>
      <c r="Q1926" t="s">
        <v>427</v>
      </c>
      <c r="R1926" s="5"/>
      <c r="S1926" s="5"/>
      <c r="T1926" s="5"/>
      <c r="U1926" s="5"/>
      <c r="V1926" s="5"/>
      <c r="W1926" s="5"/>
      <c r="X1926" s="5"/>
      <c r="Y1926" s="5"/>
      <c r="Z1926" s="5"/>
      <c r="AA1926" s="5"/>
      <c r="AB1926" s="5"/>
      <c r="AC1926" s="5"/>
      <c r="AD1926" s="5"/>
      <c r="AE1926" s="5"/>
      <c r="AF1926" s="5"/>
      <c r="AG1926" s="5"/>
    </row>
    <row r="1927" ht="15.75" customHeight="1">
      <c r="K1927" t="s">
        <v>3372</v>
      </c>
      <c r="L1927" t="str">
        <f>G145</f>
        <v>H1a2b1c</v>
      </c>
      <c r="O1927">
        <v>1.7484214E7</v>
      </c>
      <c r="P1927">
        <v>1.5372334E7</v>
      </c>
      <c r="Q1927" t="s">
        <v>448</v>
      </c>
      <c r="R1927" s="5"/>
      <c r="S1927" s="5"/>
      <c r="T1927" s="5"/>
      <c r="U1927" s="5"/>
      <c r="V1927" s="5"/>
      <c r="W1927" s="5"/>
      <c r="X1927" s="5"/>
      <c r="Y1927" s="5"/>
      <c r="Z1927" s="5"/>
      <c r="AA1927" s="5"/>
      <c r="AB1927" s="5"/>
      <c r="AC1927" s="5"/>
      <c r="AD1927" s="5"/>
      <c r="AE1927" s="5"/>
      <c r="AF1927" s="5"/>
      <c r="AG1927" s="5"/>
    </row>
    <row r="1928" ht="15.75" customHeight="1">
      <c r="K1928" t="s">
        <v>3373</v>
      </c>
      <c r="L1928" t="str">
        <f>G145</f>
        <v>H1a2b1c</v>
      </c>
      <c r="O1928">
        <v>1.7486729E7</v>
      </c>
      <c r="P1928">
        <v>1.5374849E7</v>
      </c>
      <c r="Q1928" t="s">
        <v>423</v>
      </c>
      <c r="R1928" s="5"/>
      <c r="S1928" s="5"/>
      <c r="T1928" s="5"/>
      <c r="U1928" s="5"/>
      <c r="V1928" s="5"/>
      <c r="W1928" s="5"/>
      <c r="X1928" s="5"/>
      <c r="Y1928" s="5"/>
      <c r="Z1928" s="5"/>
      <c r="AA1928" s="5"/>
      <c r="AB1928" s="5"/>
      <c r="AC1928" s="5"/>
      <c r="AD1928" s="5"/>
      <c r="AE1928" s="5"/>
      <c r="AF1928" s="5"/>
      <c r="AG1928" s="5"/>
    </row>
    <row r="1929" ht="15.75" customHeight="1">
      <c r="K1929" t="s">
        <v>3374</v>
      </c>
      <c r="L1929" t="str">
        <f>G145</f>
        <v>H1a2b1c</v>
      </c>
      <c r="O1929">
        <v>1.9280282E7</v>
      </c>
      <c r="P1929">
        <v>1.7168402E7</v>
      </c>
      <c r="Q1929" t="s">
        <v>427</v>
      </c>
      <c r="R1929" s="5"/>
      <c r="S1929" s="5"/>
      <c r="T1929" s="5"/>
      <c r="U1929" s="5"/>
      <c r="V1929" s="5"/>
      <c r="W1929" s="5"/>
      <c r="X1929" s="5"/>
      <c r="Y1929" s="5"/>
      <c r="Z1929" s="5"/>
      <c r="AA1929" s="5"/>
      <c r="AB1929" s="5"/>
      <c r="AC1929" s="5"/>
      <c r="AD1929" s="5"/>
      <c r="AE1929" s="5"/>
      <c r="AF1929" s="5"/>
      <c r="AG1929" s="5"/>
    </row>
    <row r="1930" ht="15.75" customHeight="1">
      <c r="K1930" t="s">
        <v>3375</v>
      </c>
      <c r="L1930" t="str">
        <f>G145</f>
        <v>H1a2b1c</v>
      </c>
      <c r="O1930">
        <v>2.1811597E7</v>
      </c>
      <c r="P1930">
        <v>1.9649711E7</v>
      </c>
      <c r="Q1930" t="s">
        <v>427</v>
      </c>
      <c r="R1930" s="5"/>
      <c r="S1930" s="5"/>
      <c r="T1930" s="5"/>
      <c r="U1930" s="5"/>
      <c r="V1930" s="5"/>
      <c r="W1930" s="5"/>
      <c r="X1930" s="5"/>
      <c r="Y1930" s="5"/>
      <c r="Z1930" s="5"/>
      <c r="AA1930" s="5"/>
      <c r="AB1930" s="5"/>
      <c r="AC1930" s="5"/>
      <c r="AD1930" s="5"/>
      <c r="AE1930" s="5"/>
      <c r="AF1930" s="5"/>
      <c r="AG1930" s="5"/>
    </row>
    <row r="1931" ht="15.75" customHeight="1">
      <c r="K1931" t="s">
        <v>3376</v>
      </c>
      <c r="L1931" t="str">
        <f>G145</f>
        <v>H1a2b1c</v>
      </c>
      <c r="O1931">
        <v>2.1949597E7</v>
      </c>
      <c r="P1931">
        <v>1.9787711E7</v>
      </c>
      <c r="Q1931" t="s">
        <v>419</v>
      </c>
      <c r="R1931" s="5"/>
      <c r="S1931" s="5"/>
      <c r="T1931" s="5"/>
      <c r="U1931" s="5"/>
      <c r="V1931" s="5"/>
      <c r="W1931" s="5"/>
      <c r="X1931" s="5"/>
      <c r="Y1931" s="5"/>
      <c r="Z1931" s="5"/>
      <c r="AA1931" s="5"/>
      <c r="AB1931" s="5"/>
      <c r="AC1931" s="5"/>
      <c r="AD1931" s="5"/>
      <c r="AE1931" s="5"/>
      <c r="AF1931" s="5"/>
      <c r="AG1931" s="5"/>
    </row>
    <row r="1932" ht="15.75" customHeight="1">
      <c r="K1932" t="s">
        <v>3377</v>
      </c>
      <c r="L1932" t="str">
        <f>H146</f>
        <v>H1a2b1c1~</v>
      </c>
      <c r="O1932">
        <v>2697227.0</v>
      </c>
      <c r="P1932">
        <v>2829186.0</v>
      </c>
      <c r="Q1932" t="s">
        <v>435</v>
      </c>
      <c r="R1932" s="5"/>
      <c r="S1932" s="5"/>
      <c r="T1932" s="5"/>
      <c r="U1932" s="5"/>
      <c r="V1932" s="5"/>
      <c r="W1932" s="5"/>
      <c r="X1932" s="5"/>
      <c r="Y1932" s="5"/>
      <c r="Z1932" s="5"/>
      <c r="AA1932" s="5"/>
      <c r="AB1932" s="5"/>
      <c r="AC1932" s="5"/>
      <c r="AD1932" s="5"/>
      <c r="AE1932" s="5"/>
      <c r="AF1932" s="5"/>
      <c r="AG1932" s="5"/>
    </row>
    <row r="1933" ht="15.75" customHeight="1">
      <c r="K1933" t="s">
        <v>3378</v>
      </c>
      <c r="L1933" t="str">
        <f>H146</f>
        <v>H1a2b1c1~</v>
      </c>
      <c r="O1933">
        <v>2729916.0</v>
      </c>
      <c r="P1933">
        <v>2861875.0</v>
      </c>
      <c r="Q1933" t="s">
        <v>435</v>
      </c>
      <c r="R1933" s="5"/>
      <c r="S1933" s="5"/>
      <c r="T1933" s="5"/>
      <c r="U1933" s="5"/>
      <c r="V1933" s="5"/>
      <c r="W1933" s="5"/>
      <c r="X1933" s="5"/>
      <c r="Y1933" s="5"/>
      <c r="Z1933" s="5"/>
      <c r="AA1933" s="5"/>
      <c r="AB1933" s="5"/>
      <c r="AC1933" s="5"/>
      <c r="AD1933" s="5"/>
      <c r="AE1933" s="5"/>
      <c r="AF1933" s="5"/>
      <c r="AG1933" s="5"/>
    </row>
    <row r="1934" ht="15.75" customHeight="1">
      <c r="K1934" t="s">
        <v>3379</v>
      </c>
      <c r="L1934" t="str">
        <f>H146</f>
        <v>H1a2b1c1~</v>
      </c>
      <c r="O1934">
        <v>2755607.0</v>
      </c>
      <c r="P1934">
        <v>2887566.0</v>
      </c>
      <c r="Q1934" t="s">
        <v>459</v>
      </c>
      <c r="R1934" s="5"/>
      <c r="S1934" s="5"/>
      <c r="T1934" s="5"/>
      <c r="U1934" s="5"/>
      <c r="V1934" s="5"/>
      <c r="W1934" s="5"/>
      <c r="X1934" s="5"/>
      <c r="Y1934" s="5"/>
      <c r="Z1934" s="5"/>
      <c r="AA1934" s="5"/>
      <c r="AB1934" s="5"/>
      <c r="AC1934" s="5"/>
      <c r="AD1934" s="5"/>
      <c r="AE1934" s="5"/>
      <c r="AF1934" s="5"/>
      <c r="AG1934" s="5"/>
    </row>
    <row r="1935" ht="15.75" customHeight="1">
      <c r="K1935" t="s">
        <v>3380</v>
      </c>
      <c r="L1935" t="str">
        <f>H146</f>
        <v>H1a2b1c1~</v>
      </c>
      <c r="O1935">
        <v>2826665.0</v>
      </c>
      <c r="P1935">
        <v>2958624.0</v>
      </c>
      <c r="Q1935" t="s">
        <v>459</v>
      </c>
      <c r="R1935" s="5"/>
      <c r="S1935" s="5"/>
      <c r="T1935" s="5"/>
      <c r="U1935" s="5"/>
      <c r="V1935" s="5"/>
      <c r="W1935" s="5"/>
      <c r="X1935" s="5"/>
      <c r="Y1935" s="5"/>
      <c r="Z1935" s="5"/>
      <c r="AA1935" s="5"/>
      <c r="AB1935" s="5"/>
      <c r="AC1935" s="5"/>
      <c r="AD1935" s="5"/>
      <c r="AE1935" s="5"/>
      <c r="AF1935" s="5"/>
      <c r="AG1935" s="5"/>
    </row>
    <row r="1936" ht="15.75" customHeight="1">
      <c r="K1936" t="s">
        <v>3381</v>
      </c>
      <c r="L1936" t="str">
        <f t="shared" ref="L1936:L1937" si="44">H146</f>
        <v>H1a2b1c1~</v>
      </c>
      <c r="O1936">
        <v>2833142.0</v>
      </c>
      <c r="P1936">
        <v>2965101.0</v>
      </c>
      <c r="Q1936" t="s">
        <v>452</v>
      </c>
      <c r="R1936" s="5"/>
      <c r="S1936" s="5"/>
      <c r="T1936" s="5"/>
      <c r="U1936" s="5"/>
      <c r="V1936" s="5"/>
      <c r="W1936" s="5"/>
      <c r="X1936" s="5"/>
      <c r="Y1936" s="5"/>
      <c r="Z1936" s="5"/>
      <c r="AA1936" s="5"/>
      <c r="AB1936" s="5"/>
      <c r="AC1936" s="5"/>
      <c r="AD1936" s="5"/>
      <c r="AE1936" s="5"/>
      <c r="AF1936" s="5"/>
      <c r="AG1936" s="5"/>
    </row>
    <row r="1937" ht="15.75" customHeight="1">
      <c r="K1937" t="s">
        <v>3382</v>
      </c>
      <c r="L1937" t="str">
        <f t="shared" si="44"/>
        <v>H1a2b1c2~</v>
      </c>
      <c r="O1937">
        <v>2671177.0</v>
      </c>
      <c r="P1937">
        <v>2803136.0</v>
      </c>
      <c r="Q1937" t="s">
        <v>435</v>
      </c>
      <c r="R1937" s="5"/>
      <c r="S1937" s="5"/>
      <c r="T1937" s="5"/>
      <c r="U1937" s="5"/>
      <c r="V1937" s="5"/>
      <c r="W1937" s="5"/>
      <c r="X1937" s="5"/>
      <c r="Y1937" s="5"/>
      <c r="Z1937" s="5"/>
      <c r="AA1937" s="5"/>
      <c r="AB1937" s="5"/>
      <c r="AC1937" s="5"/>
      <c r="AD1937" s="5"/>
      <c r="AE1937" s="5"/>
      <c r="AF1937" s="5"/>
      <c r="AG1937" s="5"/>
    </row>
    <row r="1938" ht="15.75" customHeight="1">
      <c r="K1938" t="s">
        <v>3383</v>
      </c>
      <c r="L1938" t="str">
        <f>H147</f>
        <v>H1a2b1c2~</v>
      </c>
      <c r="O1938">
        <v>2672293.0</v>
      </c>
      <c r="P1938">
        <v>2804252.0</v>
      </c>
      <c r="Q1938" t="s">
        <v>427</v>
      </c>
      <c r="R1938" s="5"/>
      <c r="S1938" s="5"/>
      <c r="T1938" s="5"/>
      <c r="U1938" s="5"/>
      <c r="V1938" s="5"/>
      <c r="W1938" s="5"/>
      <c r="X1938" s="5"/>
      <c r="Y1938" s="5"/>
      <c r="Z1938" s="5"/>
      <c r="AA1938" s="5"/>
      <c r="AB1938" s="5"/>
      <c r="AC1938" s="5"/>
      <c r="AD1938" s="5"/>
      <c r="AE1938" s="5"/>
      <c r="AF1938" s="5"/>
      <c r="AG1938" s="5"/>
    </row>
    <row r="1939" ht="15.75" customHeight="1">
      <c r="K1939" t="s">
        <v>3384</v>
      </c>
      <c r="L1939" t="str">
        <f>H147</f>
        <v>H1a2b1c2~</v>
      </c>
      <c r="O1939">
        <v>2696550.0</v>
      </c>
      <c r="P1939">
        <v>2828509.0</v>
      </c>
      <c r="Q1939" t="s">
        <v>459</v>
      </c>
      <c r="R1939" s="5"/>
      <c r="S1939" s="5"/>
      <c r="T1939" s="5"/>
      <c r="U1939" s="5"/>
      <c r="V1939" s="5"/>
      <c r="W1939" s="5"/>
      <c r="X1939" s="5"/>
      <c r="Y1939" s="5"/>
      <c r="Z1939" s="5"/>
      <c r="AA1939" s="5"/>
      <c r="AB1939" s="5"/>
      <c r="AC1939" s="5"/>
      <c r="AD1939" s="5"/>
      <c r="AE1939" s="5"/>
      <c r="AF1939" s="5"/>
      <c r="AG1939" s="5"/>
    </row>
    <row r="1940" ht="15.75" customHeight="1">
      <c r="K1940" t="s">
        <v>3385</v>
      </c>
      <c r="L1940" t="str">
        <f>H147</f>
        <v>H1a2b1c2~</v>
      </c>
      <c r="O1940">
        <v>2766762.0</v>
      </c>
      <c r="P1940">
        <v>2898721.0</v>
      </c>
      <c r="Q1940" t="s">
        <v>525</v>
      </c>
      <c r="R1940" s="5"/>
      <c r="S1940" s="5"/>
      <c r="T1940" s="5"/>
      <c r="U1940" s="5"/>
      <c r="V1940" s="5"/>
      <c r="W1940" s="5"/>
      <c r="X1940" s="5"/>
      <c r="Y1940" s="5"/>
      <c r="Z1940" s="5"/>
      <c r="AA1940" s="5"/>
      <c r="AB1940" s="5"/>
      <c r="AC1940" s="5"/>
      <c r="AD1940" s="5"/>
      <c r="AE1940" s="5"/>
      <c r="AF1940" s="5"/>
      <c r="AG1940" s="5"/>
    </row>
    <row r="1941" ht="15.75" customHeight="1">
      <c r="K1941" t="s">
        <v>3386</v>
      </c>
      <c r="L1941" t="str">
        <f>C148</f>
        <v>H1b~</v>
      </c>
      <c r="O1941">
        <v>2680959.0</v>
      </c>
      <c r="P1941">
        <v>2812918.0</v>
      </c>
      <c r="Q1941" t="s">
        <v>431</v>
      </c>
      <c r="R1941" s="5"/>
      <c r="S1941" s="5"/>
      <c r="T1941" s="5"/>
      <c r="U1941" s="5"/>
      <c r="V1941" s="5"/>
      <c r="W1941" s="5"/>
      <c r="X1941" s="5"/>
      <c r="Y1941" s="5"/>
      <c r="Z1941" s="5"/>
      <c r="AA1941" s="5"/>
      <c r="AB1941" s="5"/>
      <c r="AC1941" s="5"/>
      <c r="AD1941" s="5"/>
      <c r="AE1941" s="5"/>
      <c r="AF1941" s="5"/>
      <c r="AG1941" s="5"/>
    </row>
    <row r="1942" ht="15.75" customHeight="1">
      <c r="K1942" t="s">
        <v>3387</v>
      </c>
      <c r="L1942" t="str">
        <f>C148</f>
        <v>H1b~</v>
      </c>
      <c r="O1942">
        <v>2699579.0</v>
      </c>
      <c r="P1942">
        <v>2831538.0</v>
      </c>
      <c r="Q1942" t="s">
        <v>452</v>
      </c>
      <c r="R1942" s="5"/>
      <c r="S1942" s="5"/>
      <c r="T1942" s="5"/>
      <c r="U1942" s="5"/>
      <c r="V1942" s="5"/>
      <c r="W1942" s="5"/>
      <c r="X1942" s="5"/>
      <c r="Y1942" s="5"/>
      <c r="Z1942" s="5"/>
      <c r="AA1942" s="5"/>
      <c r="AB1942" s="5"/>
      <c r="AC1942" s="5"/>
      <c r="AD1942" s="5"/>
      <c r="AE1942" s="5"/>
      <c r="AF1942" s="5"/>
      <c r="AG1942" s="5"/>
    </row>
    <row r="1943" ht="15.75" customHeight="1">
      <c r="K1943" t="s">
        <v>3388</v>
      </c>
      <c r="L1943" t="str">
        <f>C148</f>
        <v>H1b~</v>
      </c>
      <c r="O1943">
        <v>2719721.0</v>
      </c>
      <c r="P1943">
        <v>2851680.0</v>
      </c>
      <c r="Q1943" t="s">
        <v>423</v>
      </c>
      <c r="R1943" s="5"/>
      <c r="S1943" s="5"/>
      <c r="T1943" s="5"/>
      <c r="U1943" s="5"/>
      <c r="V1943" s="5"/>
      <c r="W1943" s="5"/>
      <c r="X1943" s="5"/>
      <c r="Y1943" s="5"/>
      <c r="Z1943" s="5"/>
      <c r="AA1943" s="5"/>
      <c r="AB1943" s="5"/>
      <c r="AC1943" s="5"/>
      <c r="AD1943" s="5"/>
      <c r="AE1943" s="5"/>
      <c r="AF1943" s="5"/>
      <c r="AG1943" s="5"/>
    </row>
    <row r="1944" ht="15.75" customHeight="1">
      <c r="K1944" t="s">
        <v>3389</v>
      </c>
      <c r="L1944" t="str">
        <f>C148</f>
        <v>H1b~</v>
      </c>
      <c r="O1944">
        <v>2736952.0</v>
      </c>
      <c r="P1944">
        <v>2868911.0</v>
      </c>
      <c r="Q1944" t="s">
        <v>419</v>
      </c>
      <c r="R1944" s="5"/>
      <c r="S1944" s="5"/>
      <c r="T1944" s="5"/>
      <c r="U1944" s="5"/>
      <c r="V1944" s="5"/>
      <c r="W1944" s="5"/>
      <c r="X1944" s="5"/>
      <c r="Y1944" s="5"/>
      <c r="Z1944" s="5"/>
      <c r="AA1944" s="5"/>
      <c r="AB1944" s="5"/>
      <c r="AC1944" s="5"/>
      <c r="AD1944" s="5"/>
      <c r="AE1944" s="5"/>
      <c r="AF1944" s="5"/>
      <c r="AG1944" s="5"/>
    </row>
    <row r="1945" ht="15.75" customHeight="1">
      <c r="K1945" t="s">
        <v>3390</v>
      </c>
      <c r="L1945" t="str">
        <f>C148</f>
        <v>H1b~</v>
      </c>
      <c r="O1945">
        <v>2737998.0</v>
      </c>
      <c r="P1945">
        <v>2869957.0</v>
      </c>
      <c r="Q1945" t="s">
        <v>525</v>
      </c>
      <c r="R1945" s="5"/>
      <c r="S1945" s="5"/>
      <c r="T1945" s="5"/>
      <c r="U1945" s="5"/>
      <c r="V1945" s="5"/>
      <c r="W1945" s="5"/>
      <c r="X1945" s="5"/>
      <c r="Y1945" s="5"/>
      <c r="Z1945" s="5"/>
      <c r="AA1945" s="5"/>
      <c r="AB1945" s="5"/>
      <c r="AC1945" s="5"/>
      <c r="AD1945" s="5"/>
      <c r="AE1945" s="5"/>
      <c r="AF1945" s="5"/>
      <c r="AG1945" s="5"/>
    </row>
    <row r="1946" ht="15.75" customHeight="1">
      <c r="K1946" t="s">
        <v>3391</v>
      </c>
      <c r="L1946" t="str">
        <f>B149</f>
        <v>H2</v>
      </c>
      <c r="N1946" t="s">
        <v>3392</v>
      </c>
      <c r="O1946">
        <v>1.4869743E7</v>
      </c>
      <c r="P1946">
        <v>1.2757813E7</v>
      </c>
      <c r="Q1946" t="s">
        <v>525</v>
      </c>
      <c r="R1946" s="5"/>
      <c r="S1946" s="5"/>
      <c r="T1946" s="5"/>
      <c r="U1946" s="5"/>
      <c r="V1946" s="5"/>
      <c r="W1946" s="5"/>
      <c r="X1946" s="5"/>
      <c r="Y1946" s="5"/>
      <c r="Z1946" s="5"/>
      <c r="AA1946" s="5"/>
      <c r="AB1946" s="5"/>
      <c r="AC1946" s="5"/>
      <c r="AD1946" s="5"/>
      <c r="AE1946" s="5"/>
      <c r="AF1946" s="5"/>
      <c r="AG1946" s="5"/>
    </row>
    <row r="1947" ht="15.75" customHeight="1">
      <c r="K1947" t="s">
        <v>3393</v>
      </c>
      <c r="L1947" t="str">
        <f>B149</f>
        <v>H2</v>
      </c>
      <c r="M1947" t="s">
        <v>3394</v>
      </c>
      <c r="N1947" t="s">
        <v>3395</v>
      </c>
      <c r="O1947">
        <v>1.7942005E7</v>
      </c>
      <c r="P1947">
        <v>1.5830125E7</v>
      </c>
      <c r="Q1947" t="s">
        <v>452</v>
      </c>
      <c r="R1947" s="5"/>
      <c r="S1947" s="5"/>
      <c r="T1947" s="5"/>
      <c r="U1947" s="5"/>
      <c r="V1947" s="5"/>
      <c r="W1947" s="5"/>
      <c r="X1947" s="5"/>
      <c r="Y1947" s="5"/>
      <c r="Z1947" s="5"/>
      <c r="AA1947" s="5"/>
      <c r="AB1947" s="5"/>
      <c r="AC1947" s="5"/>
      <c r="AD1947" s="5"/>
      <c r="AE1947" s="5"/>
      <c r="AF1947" s="5"/>
      <c r="AG1947" s="5"/>
    </row>
    <row r="1948" ht="15.75" customHeight="1">
      <c r="K1948" t="s">
        <v>3394</v>
      </c>
      <c r="L1948" t="str">
        <f>B149</f>
        <v>H2</v>
      </c>
      <c r="M1948" t="s">
        <v>3393</v>
      </c>
      <c r="N1948" t="s">
        <v>3395</v>
      </c>
      <c r="O1948">
        <v>1.7942005E7</v>
      </c>
      <c r="P1948">
        <v>1.5830125E7</v>
      </c>
      <c r="Q1948" t="s">
        <v>452</v>
      </c>
      <c r="R1948" s="5"/>
      <c r="S1948" s="5"/>
      <c r="T1948" s="5"/>
      <c r="U1948" s="5"/>
      <c r="V1948" s="5"/>
      <c r="W1948" s="5"/>
      <c r="X1948" s="5"/>
      <c r="Y1948" s="5"/>
      <c r="Z1948" s="5"/>
      <c r="AA1948" s="5"/>
      <c r="AB1948" s="5"/>
      <c r="AC1948" s="5"/>
      <c r="AD1948" s="5"/>
      <c r="AE1948" s="5"/>
      <c r="AF1948" s="5"/>
      <c r="AG1948" s="5"/>
    </row>
    <row r="1949" ht="15.75" customHeight="1">
      <c r="K1949" t="s">
        <v>3396</v>
      </c>
      <c r="L1949" t="str">
        <f>B149</f>
        <v>H2</v>
      </c>
      <c r="O1949">
        <v>6932824.0</v>
      </c>
      <c r="P1949">
        <v>7064783.0</v>
      </c>
      <c r="Q1949" t="s">
        <v>427</v>
      </c>
      <c r="R1949" s="5"/>
      <c r="S1949" s="5"/>
      <c r="T1949" s="5"/>
      <c r="U1949" s="5"/>
      <c r="V1949" s="5"/>
      <c r="W1949" s="5"/>
      <c r="X1949" s="5"/>
      <c r="Y1949" s="5"/>
      <c r="Z1949" s="5"/>
      <c r="AA1949" s="5"/>
      <c r="AB1949" s="5"/>
      <c r="AC1949" s="5"/>
      <c r="AD1949" s="5"/>
      <c r="AE1949" s="5"/>
      <c r="AF1949" s="5"/>
      <c r="AG1949" s="5"/>
    </row>
    <row r="1950" ht="15.75" customHeight="1">
      <c r="K1950" t="s">
        <v>3397</v>
      </c>
      <c r="L1950" t="str">
        <f>B149</f>
        <v>H2</v>
      </c>
      <c r="N1950" t="s">
        <v>3398</v>
      </c>
      <c r="O1950">
        <v>8353840.0</v>
      </c>
      <c r="P1950">
        <v>8485799.0</v>
      </c>
      <c r="Q1950" t="s">
        <v>473</v>
      </c>
      <c r="R1950" s="5"/>
      <c r="S1950" s="5"/>
      <c r="T1950" s="5"/>
      <c r="U1950" s="5"/>
      <c r="V1950" s="5"/>
      <c r="W1950" s="5"/>
      <c r="X1950" s="5"/>
      <c r="Y1950" s="5"/>
      <c r="Z1950" s="5"/>
      <c r="AA1950" s="5"/>
      <c r="AB1950" s="5"/>
      <c r="AC1950" s="5"/>
      <c r="AD1950" s="5"/>
      <c r="AE1950" s="5"/>
      <c r="AF1950" s="5"/>
      <c r="AG1950" s="5"/>
    </row>
    <row r="1951" ht="15.75" customHeight="1">
      <c r="K1951" t="s">
        <v>3399</v>
      </c>
      <c r="L1951" t="str">
        <f>B149</f>
        <v>H2</v>
      </c>
      <c r="N1951" t="s">
        <v>3400</v>
      </c>
      <c r="O1951">
        <v>1.5604862E7</v>
      </c>
      <c r="P1951">
        <v>1.3492982E7</v>
      </c>
      <c r="Q1951" t="s">
        <v>419</v>
      </c>
      <c r="R1951" s="5"/>
      <c r="S1951" s="5"/>
      <c r="T1951" s="5"/>
      <c r="U1951" s="5"/>
      <c r="V1951" s="5"/>
      <c r="W1951" s="5"/>
      <c r="X1951" s="5"/>
      <c r="Y1951" s="5"/>
      <c r="Z1951" s="5"/>
      <c r="AA1951" s="5"/>
      <c r="AB1951" s="5"/>
      <c r="AC1951" s="5"/>
      <c r="AD1951" s="5"/>
      <c r="AE1951" s="5"/>
      <c r="AF1951" s="5"/>
      <c r="AG1951" s="5"/>
    </row>
    <row r="1952" ht="15.75" customHeight="1">
      <c r="K1952" t="s">
        <v>3401</v>
      </c>
      <c r="L1952" t="str">
        <f>B149</f>
        <v>H2</v>
      </c>
      <c r="N1952" t="s">
        <v>3402</v>
      </c>
      <c r="O1952">
        <v>2.1869856E7</v>
      </c>
      <c r="P1952">
        <v>1.970797E7</v>
      </c>
      <c r="Q1952" t="s">
        <v>419</v>
      </c>
      <c r="R1952" s="5"/>
      <c r="S1952" s="5"/>
      <c r="T1952" s="5"/>
      <c r="U1952" s="5"/>
      <c r="V1952" s="5"/>
      <c r="W1952" s="5"/>
      <c r="X1952" s="5"/>
      <c r="Y1952" s="5"/>
      <c r="Z1952" s="5"/>
      <c r="AA1952" s="5"/>
      <c r="AB1952" s="5"/>
      <c r="AC1952" s="5"/>
      <c r="AD1952" s="5"/>
      <c r="AE1952" s="5"/>
      <c r="AF1952" s="5"/>
      <c r="AG1952" s="5"/>
    </row>
    <row r="1953" ht="15.75" customHeight="1">
      <c r="K1953" t="s">
        <v>3403</v>
      </c>
      <c r="L1953" t="str">
        <f>B149</f>
        <v>H2</v>
      </c>
      <c r="N1953" t="s">
        <v>3404</v>
      </c>
      <c r="O1953">
        <v>2.1890111E7</v>
      </c>
      <c r="P1953">
        <v>1.9728225E7</v>
      </c>
      <c r="Q1953" t="s">
        <v>431</v>
      </c>
      <c r="R1953" s="5"/>
      <c r="S1953" s="5"/>
      <c r="T1953" s="5"/>
      <c r="U1953" s="5"/>
      <c r="V1953" s="5"/>
      <c r="W1953" s="5"/>
      <c r="X1953" s="5"/>
      <c r="Y1953" s="5"/>
      <c r="Z1953" s="5"/>
      <c r="AA1953" s="5"/>
      <c r="AB1953" s="5"/>
      <c r="AC1953" s="5"/>
      <c r="AD1953" s="5"/>
      <c r="AE1953" s="5"/>
      <c r="AF1953" s="5"/>
      <c r="AG1953" s="5"/>
    </row>
    <row r="1954" ht="15.75" customHeight="1">
      <c r="K1954" t="s">
        <v>3405</v>
      </c>
      <c r="L1954" t="str">
        <f>B149</f>
        <v>H2</v>
      </c>
      <c r="N1954" t="s">
        <v>3406</v>
      </c>
      <c r="O1954">
        <v>2.1764431E7</v>
      </c>
      <c r="P1954">
        <v>1.9602545E7</v>
      </c>
      <c r="Q1954" t="s">
        <v>431</v>
      </c>
      <c r="R1954" s="5"/>
      <c r="S1954" s="5"/>
      <c r="T1954" s="5"/>
      <c r="U1954" s="5"/>
      <c r="V1954" s="5"/>
      <c r="W1954" s="5"/>
      <c r="X1954" s="5"/>
      <c r="Y1954" s="5"/>
      <c r="Z1954" s="5"/>
      <c r="AA1954" s="5"/>
      <c r="AB1954" s="5"/>
      <c r="AC1954" s="5"/>
      <c r="AD1954" s="5"/>
      <c r="AE1954" s="5"/>
      <c r="AF1954" s="5"/>
      <c r="AG1954" s="5"/>
    </row>
    <row r="1955" ht="15.75" customHeight="1">
      <c r="K1955" t="s">
        <v>3407</v>
      </c>
      <c r="L1955" t="str">
        <f>B149</f>
        <v>H2</v>
      </c>
      <c r="M1955" t="s">
        <v>3408</v>
      </c>
      <c r="N1955" t="s">
        <v>3409</v>
      </c>
      <c r="O1955">
        <v>2.1559792E7</v>
      </c>
      <c r="P1955">
        <v>1.9397906E7</v>
      </c>
      <c r="Q1955" t="s">
        <v>423</v>
      </c>
      <c r="R1955" s="5"/>
      <c r="S1955" s="5"/>
      <c r="T1955" s="5"/>
      <c r="U1955" s="5"/>
      <c r="V1955" s="5"/>
      <c r="W1955" s="5"/>
      <c r="X1955" s="5"/>
      <c r="Y1955" s="5"/>
      <c r="Z1955" s="5"/>
      <c r="AA1955" s="5"/>
      <c r="AB1955" s="5"/>
      <c r="AC1955" s="5"/>
      <c r="AD1955" s="5"/>
      <c r="AE1955" s="5"/>
      <c r="AF1955" s="5"/>
      <c r="AG1955" s="5"/>
    </row>
    <row r="1956" ht="15.75" customHeight="1">
      <c r="K1956" t="s">
        <v>3408</v>
      </c>
      <c r="L1956" t="str">
        <f>B149</f>
        <v>H2</v>
      </c>
      <c r="M1956" t="s">
        <v>3407</v>
      </c>
      <c r="N1956" t="s">
        <v>3409</v>
      </c>
      <c r="O1956">
        <v>2.1559792E7</v>
      </c>
      <c r="P1956">
        <v>1.9397906E7</v>
      </c>
      <c r="Q1956" t="s">
        <v>423</v>
      </c>
      <c r="R1956" s="5"/>
      <c r="S1956" s="5"/>
      <c r="T1956" s="5"/>
      <c r="U1956" s="5"/>
      <c r="V1956" s="5"/>
      <c r="W1956" s="5"/>
      <c r="X1956" s="5"/>
      <c r="Y1956" s="5"/>
      <c r="Z1956" s="5"/>
      <c r="AA1956" s="5"/>
      <c r="AB1956" s="5"/>
      <c r="AC1956" s="5"/>
      <c r="AD1956" s="5"/>
      <c r="AE1956" s="5"/>
      <c r="AF1956" s="5"/>
      <c r="AG1956" s="5"/>
    </row>
    <row r="1957" ht="15.75" customHeight="1">
      <c r="K1957" t="s">
        <v>3410</v>
      </c>
      <c r="L1957" t="str">
        <f>B149</f>
        <v>H2</v>
      </c>
      <c r="M1957" t="s">
        <v>3411</v>
      </c>
      <c r="N1957" t="s">
        <v>3412</v>
      </c>
      <c r="O1957">
        <v>2720651.0</v>
      </c>
      <c r="P1957">
        <v>2852610.0</v>
      </c>
      <c r="Q1957" t="s">
        <v>423</v>
      </c>
      <c r="R1957" s="5"/>
      <c r="S1957" s="5"/>
      <c r="T1957" s="5"/>
      <c r="U1957" s="5"/>
      <c r="V1957" s="5"/>
      <c r="W1957" s="5"/>
      <c r="X1957" s="5"/>
      <c r="Y1957" s="5"/>
      <c r="Z1957" s="5"/>
      <c r="AA1957" s="5"/>
      <c r="AB1957" s="5"/>
      <c r="AC1957" s="5"/>
      <c r="AD1957" s="5"/>
      <c r="AE1957" s="5"/>
      <c r="AF1957" s="5"/>
      <c r="AG1957" s="5"/>
    </row>
    <row r="1958" ht="15.75" customHeight="1">
      <c r="K1958" t="s">
        <v>3411</v>
      </c>
      <c r="L1958" t="str">
        <f>B149</f>
        <v>H2</v>
      </c>
      <c r="M1958" t="s">
        <v>3410</v>
      </c>
      <c r="N1958" t="s">
        <v>3412</v>
      </c>
      <c r="O1958">
        <v>2720651.0</v>
      </c>
      <c r="P1958">
        <v>2852610.0</v>
      </c>
      <c r="Q1958" t="s">
        <v>423</v>
      </c>
      <c r="R1958" s="5"/>
      <c r="S1958" s="5"/>
      <c r="T1958" s="5"/>
      <c r="U1958" s="5"/>
      <c r="V1958" s="5"/>
      <c r="W1958" s="5"/>
      <c r="X1958" s="5"/>
      <c r="Y1958" s="5"/>
      <c r="Z1958" s="5"/>
      <c r="AA1958" s="5"/>
      <c r="AB1958" s="5"/>
      <c r="AC1958" s="5"/>
      <c r="AD1958" s="5"/>
      <c r="AE1958" s="5"/>
      <c r="AF1958" s="5"/>
      <c r="AG1958" s="5"/>
    </row>
    <row r="1959" ht="15.75" customHeight="1">
      <c r="K1959" t="s">
        <v>3413</v>
      </c>
      <c r="L1959" t="str">
        <f>B149</f>
        <v>H2</v>
      </c>
      <c r="M1959" t="s">
        <v>3414</v>
      </c>
      <c r="N1959" t="s">
        <v>3415</v>
      </c>
      <c r="O1959">
        <v>2.1872301E7</v>
      </c>
      <c r="P1959">
        <v>1.9710415E7</v>
      </c>
      <c r="Q1959" t="s">
        <v>476</v>
      </c>
      <c r="R1959" s="5"/>
      <c r="S1959" s="5"/>
      <c r="T1959" s="5"/>
      <c r="U1959" s="5"/>
      <c r="V1959" s="5"/>
      <c r="W1959" s="5"/>
      <c r="X1959" s="5"/>
      <c r="Y1959" s="5"/>
      <c r="Z1959" s="5"/>
      <c r="AA1959" s="5"/>
      <c r="AB1959" s="5"/>
      <c r="AC1959" s="5"/>
      <c r="AD1959" s="5"/>
      <c r="AE1959" s="5"/>
      <c r="AF1959" s="5"/>
      <c r="AG1959" s="5"/>
    </row>
    <row r="1960" ht="15.75" customHeight="1">
      <c r="K1960" t="s">
        <v>3414</v>
      </c>
      <c r="L1960" t="str">
        <f>B149</f>
        <v>H2</v>
      </c>
      <c r="M1960" t="s">
        <v>3413</v>
      </c>
      <c r="N1960" t="s">
        <v>3415</v>
      </c>
      <c r="O1960">
        <v>2.1872301E7</v>
      </c>
      <c r="P1960">
        <v>1.9710415E7</v>
      </c>
      <c r="Q1960" t="s">
        <v>476</v>
      </c>
      <c r="R1960" s="5"/>
      <c r="S1960" s="5"/>
      <c r="T1960" s="5"/>
      <c r="U1960" s="5"/>
      <c r="V1960" s="5"/>
      <c r="W1960" s="5"/>
      <c r="X1960" s="5"/>
      <c r="Y1960" s="5"/>
      <c r="Z1960" s="5"/>
      <c r="AA1960" s="5"/>
      <c r="AB1960" s="5"/>
      <c r="AC1960" s="5"/>
      <c r="AD1960" s="5"/>
      <c r="AE1960" s="5"/>
      <c r="AF1960" s="5"/>
      <c r="AG1960" s="5"/>
    </row>
    <row r="1961" ht="15.75" customHeight="1">
      <c r="K1961" t="s">
        <v>3416</v>
      </c>
      <c r="L1961" t="str">
        <f>B149</f>
        <v>H2</v>
      </c>
      <c r="M1961" t="s">
        <v>3417</v>
      </c>
      <c r="N1961" t="s">
        <v>3418</v>
      </c>
      <c r="O1961">
        <v>2.2888894E7</v>
      </c>
      <c r="P1961">
        <v>2.0727008E7</v>
      </c>
      <c r="Q1961" t="s">
        <v>476</v>
      </c>
      <c r="R1961" s="5"/>
      <c r="S1961" s="5"/>
      <c r="T1961" s="5"/>
      <c r="U1961" s="5"/>
      <c r="V1961" s="5"/>
      <c r="W1961" s="5"/>
      <c r="X1961" s="5"/>
      <c r="Y1961" s="5"/>
      <c r="Z1961" s="5"/>
      <c r="AA1961" s="5"/>
      <c r="AB1961" s="5"/>
      <c r="AC1961" s="5"/>
      <c r="AD1961" s="5"/>
      <c r="AE1961" s="5"/>
      <c r="AF1961" s="5"/>
      <c r="AG1961" s="5"/>
    </row>
    <row r="1962" ht="15.75" customHeight="1">
      <c r="K1962" t="s">
        <v>3417</v>
      </c>
      <c r="L1962" t="str">
        <f>B149</f>
        <v>H2</v>
      </c>
      <c r="M1962" t="s">
        <v>3416</v>
      </c>
      <c r="N1962" t="s">
        <v>3418</v>
      </c>
      <c r="O1962">
        <v>2.2888894E7</v>
      </c>
      <c r="P1962">
        <v>2.0727008E7</v>
      </c>
      <c r="Q1962" t="s">
        <v>476</v>
      </c>
      <c r="R1962" s="5"/>
      <c r="S1962" s="5"/>
      <c r="T1962" s="5"/>
      <c r="U1962" s="5"/>
      <c r="V1962" s="5"/>
      <c r="W1962" s="5"/>
      <c r="X1962" s="5"/>
      <c r="Y1962" s="5"/>
      <c r="Z1962" s="5"/>
      <c r="AA1962" s="5"/>
      <c r="AB1962" s="5"/>
      <c r="AC1962" s="5"/>
      <c r="AD1962" s="5"/>
      <c r="AE1962" s="5"/>
      <c r="AF1962" s="5"/>
      <c r="AG1962" s="5"/>
    </row>
    <row r="1963" ht="15.75" customHeight="1">
      <c r="K1963" t="s">
        <v>3419</v>
      </c>
      <c r="L1963" t="str">
        <f>B149</f>
        <v>H2</v>
      </c>
      <c r="M1963" t="s">
        <v>3420</v>
      </c>
      <c r="N1963" t="s">
        <v>3421</v>
      </c>
      <c r="O1963">
        <v>2.1724057E7</v>
      </c>
      <c r="P1963">
        <v>1.9562171E7</v>
      </c>
      <c r="Q1963" t="s">
        <v>423</v>
      </c>
      <c r="R1963" s="5"/>
      <c r="S1963" s="5"/>
      <c r="T1963" s="5"/>
      <c r="U1963" s="5"/>
      <c r="V1963" s="5"/>
      <c r="W1963" s="5"/>
      <c r="X1963" s="5"/>
      <c r="Y1963" s="5"/>
      <c r="Z1963" s="5"/>
      <c r="AA1963" s="5"/>
      <c r="AB1963" s="5"/>
      <c r="AC1963" s="5"/>
      <c r="AD1963" s="5"/>
      <c r="AE1963" s="5"/>
      <c r="AF1963" s="5"/>
      <c r="AG1963" s="5"/>
    </row>
    <row r="1964" ht="15.75" customHeight="1">
      <c r="K1964" t="s">
        <v>3420</v>
      </c>
      <c r="L1964" t="str">
        <f>B149</f>
        <v>H2</v>
      </c>
      <c r="M1964" t="s">
        <v>3419</v>
      </c>
      <c r="N1964" t="s">
        <v>3421</v>
      </c>
      <c r="O1964">
        <v>2.1724057E7</v>
      </c>
      <c r="P1964">
        <v>1.9562171E7</v>
      </c>
      <c r="Q1964" t="s">
        <v>423</v>
      </c>
      <c r="R1964" s="5"/>
      <c r="S1964" s="5"/>
      <c r="T1964" s="5"/>
      <c r="U1964" s="5"/>
      <c r="V1964" s="5"/>
      <c r="W1964" s="5"/>
      <c r="X1964" s="5"/>
      <c r="Y1964" s="5"/>
      <c r="Z1964" s="5"/>
      <c r="AA1964" s="5"/>
      <c r="AB1964" s="5"/>
      <c r="AC1964" s="5"/>
      <c r="AD1964" s="5"/>
      <c r="AE1964" s="5"/>
      <c r="AF1964" s="5"/>
      <c r="AG1964" s="5"/>
    </row>
    <row r="1965" ht="15.75" customHeight="1">
      <c r="K1965" t="s">
        <v>3422</v>
      </c>
      <c r="L1965" t="str">
        <f>B149</f>
        <v>H2</v>
      </c>
      <c r="M1965" t="s">
        <v>3423</v>
      </c>
      <c r="N1965" t="s">
        <v>3424</v>
      </c>
      <c r="O1965">
        <v>1.7800614E7</v>
      </c>
      <c r="P1965">
        <v>1.5688734E7</v>
      </c>
      <c r="Q1965" t="s">
        <v>553</v>
      </c>
      <c r="R1965" s="5"/>
      <c r="S1965" s="5"/>
      <c r="T1965" s="5"/>
      <c r="U1965" s="5"/>
      <c r="V1965" s="5"/>
      <c r="W1965" s="5"/>
      <c r="X1965" s="5"/>
      <c r="Y1965" s="5"/>
      <c r="Z1965" s="5"/>
      <c r="AA1965" s="5"/>
      <c r="AB1965" s="5"/>
      <c r="AC1965" s="5"/>
      <c r="AD1965" s="5"/>
      <c r="AE1965" s="5"/>
      <c r="AF1965" s="5"/>
      <c r="AG1965" s="5"/>
    </row>
    <row r="1966" ht="15.75" customHeight="1">
      <c r="K1966" t="s">
        <v>3423</v>
      </c>
      <c r="L1966" t="str">
        <f>B149</f>
        <v>H2</v>
      </c>
      <c r="M1966" t="s">
        <v>3422</v>
      </c>
      <c r="N1966" t="s">
        <v>3424</v>
      </c>
      <c r="O1966">
        <v>1.7800614E7</v>
      </c>
      <c r="P1966">
        <v>1.5688734E7</v>
      </c>
      <c r="Q1966" t="s">
        <v>553</v>
      </c>
      <c r="R1966" s="5"/>
      <c r="S1966" s="5"/>
      <c r="T1966" s="5"/>
      <c r="U1966" s="5"/>
      <c r="V1966" s="5"/>
      <c r="W1966" s="5"/>
      <c r="X1966" s="5"/>
      <c r="Y1966" s="5"/>
      <c r="Z1966" s="5"/>
      <c r="AA1966" s="5"/>
      <c r="AB1966" s="5"/>
      <c r="AC1966" s="5"/>
      <c r="AD1966" s="5"/>
      <c r="AE1966" s="5"/>
      <c r="AF1966" s="5"/>
      <c r="AG1966" s="5"/>
    </row>
    <row r="1967" ht="15.75" customHeight="1">
      <c r="K1967" t="s">
        <v>3425</v>
      </c>
      <c r="L1967" t="str">
        <f>B149</f>
        <v>H2</v>
      </c>
      <c r="M1967" t="s">
        <v>3426</v>
      </c>
      <c r="N1967" t="s">
        <v>3427</v>
      </c>
      <c r="O1967">
        <v>1.7565128E7</v>
      </c>
      <c r="P1967">
        <v>1.5453248E7</v>
      </c>
      <c r="Q1967" t="s">
        <v>419</v>
      </c>
      <c r="R1967" s="5"/>
      <c r="S1967" s="5"/>
      <c r="T1967" s="5"/>
      <c r="U1967" s="5"/>
      <c r="V1967" s="5"/>
      <c r="W1967" s="5"/>
      <c r="X1967" s="5"/>
      <c r="Y1967" s="5"/>
      <c r="Z1967" s="5"/>
      <c r="AA1967" s="5"/>
      <c r="AB1967" s="5"/>
      <c r="AC1967" s="5"/>
      <c r="AD1967" s="5"/>
      <c r="AE1967" s="5"/>
      <c r="AF1967" s="5"/>
      <c r="AG1967" s="5"/>
    </row>
    <row r="1968" ht="15.75" customHeight="1">
      <c r="K1968" t="s">
        <v>3426</v>
      </c>
      <c r="L1968" t="str">
        <f>B149</f>
        <v>H2</v>
      </c>
      <c r="M1968" t="s">
        <v>3425</v>
      </c>
      <c r="N1968" t="s">
        <v>3427</v>
      </c>
      <c r="O1968">
        <v>1.7565128E7</v>
      </c>
      <c r="P1968">
        <v>1.5453248E7</v>
      </c>
      <c r="Q1968" t="s">
        <v>419</v>
      </c>
      <c r="R1968" s="5"/>
      <c r="S1968" s="5"/>
      <c r="T1968" s="5"/>
      <c r="U1968" s="5"/>
      <c r="V1968" s="5"/>
      <c r="W1968" s="5"/>
      <c r="X1968" s="5"/>
      <c r="Y1968" s="5"/>
      <c r="Z1968" s="5"/>
      <c r="AA1968" s="5"/>
      <c r="AB1968" s="5"/>
      <c r="AC1968" s="5"/>
      <c r="AD1968" s="5"/>
      <c r="AE1968" s="5"/>
      <c r="AF1968" s="5"/>
      <c r="AG1968" s="5"/>
    </row>
    <row r="1969" ht="15.75" customHeight="1">
      <c r="K1969" t="s">
        <v>3428</v>
      </c>
      <c r="L1969" t="str">
        <f>B149</f>
        <v>H2</v>
      </c>
      <c r="M1969" t="s">
        <v>3429</v>
      </c>
      <c r="N1969" t="s">
        <v>3430</v>
      </c>
      <c r="O1969">
        <v>2.182551E7</v>
      </c>
      <c r="P1969">
        <v>1.9663624E7</v>
      </c>
      <c r="Q1969" t="s">
        <v>419</v>
      </c>
      <c r="R1969" s="5"/>
      <c r="S1969" s="5"/>
      <c r="T1969" s="5"/>
      <c r="U1969" s="5"/>
      <c r="V1969" s="5"/>
      <c r="W1969" s="5"/>
      <c r="X1969" s="5"/>
      <c r="Y1969" s="5"/>
      <c r="Z1969" s="5"/>
      <c r="AA1969" s="5"/>
      <c r="AB1969" s="5"/>
      <c r="AC1969" s="5"/>
      <c r="AD1969" s="5"/>
      <c r="AE1969" s="5"/>
      <c r="AF1969" s="5"/>
      <c r="AG1969" s="5"/>
    </row>
    <row r="1970" ht="15.75" customHeight="1">
      <c r="K1970" t="s">
        <v>3429</v>
      </c>
      <c r="L1970" t="str">
        <f>B149</f>
        <v>H2</v>
      </c>
      <c r="M1970" t="s">
        <v>3428</v>
      </c>
      <c r="N1970" t="s">
        <v>3430</v>
      </c>
      <c r="O1970">
        <v>2.182551E7</v>
      </c>
      <c r="P1970">
        <v>1.9663624E7</v>
      </c>
      <c r="Q1970" t="s">
        <v>419</v>
      </c>
      <c r="R1970" s="5"/>
      <c r="S1970" s="5"/>
      <c r="T1970" s="5"/>
      <c r="U1970" s="5"/>
      <c r="V1970" s="5"/>
      <c r="W1970" s="5"/>
      <c r="X1970" s="5"/>
      <c r="Y1970" s="5"/>
      <c r="Z1970" s="5"/>
      <c r="AA1970" s="5"/>
      <c r="AB1970" s="5"/>
      <c r="AC1970" s="5"/>
      <c r="AD1970" s="5"/>
      <c r="AE1970" s="5"/>
      <c r="AF1970" s="5"/>
      <c r="AG1970" s="5"/>
    </row>
    <row r="1971" ht="15.75" customHeight="1">
      <c r="K1971" t="s">
        <v>3431</v>
      </c>
      <c r="L1971" t="str">
        <f>B149</f>
        <v>H2</v>
      </c>
      <c r="M1971" t="s">
        <v>3432</v>
      </c>
      <c r="N1971" t="s">
        <v>3433</v>
      </c>
      <c r="O1971">
        <v>2.1330517E7</v>
      </c>
      <c r="P1971">
        <v>1.9168631E7</v>
      </c>
      <c r="Q1971" t="s">
        <v>419</v>
      </c>
      <c r="R1971" s="5"/>
      <c r="S1971" s="5"/>
      <c r="T1971" s="5"/>
      <c r="U1971" s="5"/>
      <c r="V1971" s="5"/>
      <c r="W1971" s="5"/>
      <c r="X1971" s="5"/>
      <c r="Y1971" s="5"/>
      <c r="Z1971" s="5"/>
      <c r="AA1971" s="5"/>
      <c r="AB1971" s="5"/>
      <c r="AC1971" s="5"/>
      <c r="AD1971" s="5"/>
      <c r="AE1971" s="5"/>
      <c r="AF1971" s="5"/>
      <c r="AG1971" s="5"/>
    </row>
    <row r="1972" ht="15.75" customHeight="1">
      <c r="K1972" t="s">
        <v>3432</v>
      </c>
      <c r="L1972" t="str">
        <f>B149</f>
        <v>H2</v>
      </c>
      <c r="M1972" t="s">
        <v>3431</v>
      </c>
      <c r="N1972" t="s">
        <v>3433</v>
      </c>
      <c r="O1972">
        <v>2.1330517E7</v>
      </c>
      <c r="P1972">
        <v>1.9168631E7</v>
      </c>
      <c r="Q1972" t="s">
        <v>419</v>
      </c>
      <c r="R1972" s="5"/>
      <c r="S1972" s="5"/>
      <c r="T1972" s="5"/>
      <c r="U1972" s="5"/>
      <c r="V1972" s="5"/>
      <c r="W1972" s="5"/>
      <c r="X1972" s="5"/>
      <c r="Y1972" s="5"/>
      <c r="Z1972" s="5"/>
      <c r="AA1972" s="5"/>
      <c r="AB1972" s="5"/>
      <c r="AC1972" s="5"/>
      <c r="AD1972" s="5"/>
      <c r="AE1972" s="5"/>
      <c r="AF1972" s="5"/>
      <c r="AG1972" s="5"/>
    </row>
    <row r="1973" ht="15.75" customHeight="1">
      <c r="K1973" t="s">
        <v>3434</v>
      </c>
      <c r="L1973" t="str">
        <f>B149</f>
        <v>H2</v>
      </c>
      <c r="M1973" t="s">
        <v>3435</v>
      </c>
      <c r="N1973" t="s">
        <v>3436</v>
      </c>
      <c r="O1973">
        <v>1.8631643E7</v>
      </c>
      <c r="P1973">
        <v>1.6519763E7</v>
      </c>
      <c r="Q1973" t="s">
        <v>431</v>
      </c>
      <c r="R1973" s="5"/>
      <c r="S1973" s="5"/>
      <c r="T1973" s="5"/>
      <c r="U1973" s="5"/>
      <c r="V1973" s="5"/>
      <c r="W1973" s="5"/>
      <c r="X1973" s="5"/>
      <c r="Y1973" s="5"/>
      <c r="Z1973" s="5"/>
      <c r="AA1973" s="5"/>
      <c r="AB1973" s="5"/>
      <c r="AC1973" s="5"/>
      <c r="AD1973" s="5"/>
      <c r="AE1973" s="5"/>
      <c r="AF1973" s="5"/>
      <c r="AG1973" s="5"/>
    </row>
    <row r="1974" ht="15.75" customHeight="1">
      <c r="K1974" t="s">
        <v>3435</v>
      </c>
      <c r="L1974" t="str">
        <f>B149</f>
        <v>H2</v>
      </c>
      <c r="M1974" t="s">
        <v>3434</v>
      </c>
      <c r="N1974" t="s">
        <v>3436</v>
      </c>
      <c r="O1974">
        <v>1.8631643E7</v>
      </c>
      <c r="P1974">
        <v>1.6519763E7</v>
      </c>
      <c r="Q1974" t="s">
        <v>431</v>
      </c>
      <c r="R1974" s="5"/>
      <c r="S1974" s="5"/>
      <c r="T1974" s="5"/>
      <c r="U1974" s="5"/>
      <c r="V1974" s="5"/>
      <c r="W1974" s="5"/>
      <c r="X1974" s="5"/>
      <c r="Y1974" s="5"/>
      <c r="Z1974" s="5"/>
      <c r="AA1974" s="5"/>
      <c r="AB1974" s="5"/>
      <c r="AC1974" s="5"/>
      <c r="AD1974" s="5"/>
      <c r="AE1974" s="5"/>
      <c r="AF1974" s="5"/>
      <c r="AG1974" s="5"/>
    </row>
    <row r="1975" ht="15.75" customHeight="1">
      <c r="K1975" t="s">
        <v>3437</v>
      </c>
      <c r="L1975" t="str">
        <f>B149</f>
        <v>H2</v>
      </c>
      <c r="N1975" t="s">
        <v>3438</v>
      </c>
      <c r="O1975">
        <v>2827120.0</v>
      </c>
      <c r="P1975">
        <v>2959079.0</v>
      </c>
      <c r="Q1975" t="s">
        <v>423</v>
      </c>
      <c r="R1975" s="5"/>
      <c r="S1975" s="5"/>
      <c r="T1975" s="5"/>
      <c r="U1975" s="5"/>
      <c r="V1975" s="5"/>
      <c r="W1975" s="5"/>
      <c r="X1975" s="5"/>
      <c r="Y1975" s="5"/>
      <c r="Z1975" s="5"/>
      <c r="AA1975" s="5"/>
      <c r="AB1975" s="5"/>
      <c r="AC1975" s="5"/>
      <c r="AD1975" s="5"/>
      <c r="AE1975" s="5"/>
      <c r="AF1975" s="5"/>
      <c r="AG1975" s="5"/>
    </row>
    <row r="1976" ht="15.75" customHeight="1">
      <c r="K1976" t="s">
        <v>3439</v>
      </c>
      <c r="L1976" t="str">
        <f>B149</f>
        <v>H2</v>
      </c>
      <c r="N1976" t="s">
        <v>3440</v>
      </c>
      <c r="O1976">
        <v>2911155.0</v>
      </c>
      <c r="P1976">
        <v>3043114.0</v>
      </c>
      <c r="Q1976" t="s">
        <v>419</v>
      </c>
      <c r="R1976" s="5"/>
      <c r="S1976" s="5"/>
      <c r="T1976" s="5"/>
      <c r="U1976" s="5"/>
      <c r="V1976" s="5"/>
      <c r="W1976" s="5"/>
      <c r="X1976" s="5"/>
      <c r="Y1976" s="5"/>
      <c r="Z1976" s="5"/>
      <c r="AA1976" s="5"/>
      <c r="AB1976" s="5"/>
      <c r="AC1976" s="5"/>
      <c r="AD1976" s="5"/>
      <c r="AE1976" s="5"/>
      <c r="AF1976" s="5"/>
      <c r="AG1976" s="5"/>
    </row>
    <row r="1977" ht="15.75" customHeight="1">
      <c r="K1977" t="s">
        <v>3441</v>
      </c>
      <c r="L1977" t="str">
        <f>B149</f>
        <v>H2</v>
      </c>
      <c r="N1977" t="s">
        <v>3442</v>
      </c>
      <c r="O1977">
        <v>6755020.0</v>
      </c>
      <c r="P1977">
        <v>6886979.0</v>
      </c>
      <c r="Q1977" t="s">
        <v>423</v>
      </c>
      <c r="R1977" s="5"/>
      <c r="S1977" s="5"/>
      <c r="T1977" s="5"/>
      <c r="U1977" s="5"/>
      <c r="V1977" s="5"/>
      <c r="W1977" s="5"/>
      <c r="X1977" s="5"/>
      <c r="Y1977" s="5"/>
      <c r="Z1977" s="5"/>
      <c r="AA1977" s="5"/>
      <c r="AB1977" s="5"/>
      <c r="AC1977" s="5"/>
      <c r="AD1977" s="5"/>
      <c r="AE1977" s="5"/>
      <c r="AF1977" s="5"/>
      <c r="AG1977" s="5"/>
    </row>
    <row r="1978" ht="15.75" customHeight="1">
      <c r="K1978" t="s">
        <v>3443</v>
      </c>
      <c r="L1978" t="str">
        <f>B149</f>
        <v>H2</v>
      </c>
      <c r="N1978" t="s">
        <v>3444</v>
      </c>
      <c r="O1978">
        <v>6921502.0</v>
      </c>
      <c r="P1978">
        <v>7053461.0</v>
      </c>
      <c r="Q1978" t="s">
        <v>431</v>
      </c>
      <c r="R1978" s="5"/>
      <c r="S1978" s="5"/>
      <c r="T1978" s="5"/>
      <c r="U1978" s="5"/>
      <c r="V1978" s="5"/>
      <c r="W1978" s="5"/>
      <c r="X1978" s="5"/>
      <c r="Y1978" s="5"/>
      <c r="Z1978" s="5"/>
      <c r="AA1978" s="5"/>
      <c r="AB1978" s="5"/>
      <c r="AC1978" s="5"/>
      <c r="AD1978" s="5"/>
      <c r="AE1978" s="5"/>
      <c r="AF1978" s="5"/>
      <c r="AG1978" s="5"/>
    </row>
    <row r="1979" ht="15.75" customHeight="1">
      <c r="K1979" t="s">
        <v>3445</v>
      </c>
      <c r="L1979" t="str">
        <f>B149</f>
        <v>H2</v>
      </c>
      <c r="N1979" t="s">
        <v>3446</v>
      </c>
      <c r="O1979">
        <v>7063353.0</v>
      </c>
      <c r="P1979">
        <v>7195312.0</v>
      </c>
      <c r="Q1979" t="s">
        <v>427</v>
      </c>
      <c r="R1979" s="5"/>
      <c r="S1979" s="5"/>
      <c r="T1979" s="5"/>
      <c r="U1979" s="5"/>
      <c r="V1979" s="5"/>
      <c r="W1979" s="5"/>
      <c r="X1979" s="5"/>
      <c r="Y1979" s="5"/>
      <c r="Z1979" s="5"/>
      <c r="AA1979" s="5"/>
      <c r="AB1979" s="5"/>
      <c r="AC1979" s="5"/>
      <c r="AD1979" s="5"/>
      <c r="AE1979" s="5"/>
      <c r="AF1979" s="5"/>
      <c r="AG1979" s="5"/>
    </row>
    <row r="1980" ht="15.75" customHeight="1">
      <c r="K1980" t="s">
        <v>3447</v>
      </c>
      <c r="L1980" t="str">
        <f>B149</f>
        <v>H2</v>
      </c>
      <c r="N1980" t="s">
        <v>3448</v>
      </c>
      <c r="O1980">
        <v>7406739.0</v>
      </c>
      <c r="P1980">
        <v>7538698.0</v>
      </c>
      <c r="Q1980" t="s">
        <v>427</v>
      </c>
      <c r="R1980" s="5"/>
      <c r="S1980" s="5"/>
      <c r="T1980" s="5"/>
      <c r="U1980" s="5"/>
      <c r="V1980" s="5"/>
      <c r="W1980" s="5"/>
      <c r="X1980" s="5"/>
      <c r="Y1980" s="5"/>
      <c r="Z1980" s="5"/>
      <c r="AA1980" s="5"/>
      <c r="AB1980" s="5"/>
      <c r="AC1980" s="5"/>
      <c r="AD1980" s="5"/>
      <c r="AE1980" s="5"/>
      <c r="AF1980" s="5"/>
      <c r="AG1980" s="5"/>
    </row>
    <row r="1981" ht="15.75" customHeight="1">
      <c r="K1981" t="s">
        <v>3449</v>
      </c>
      <c r="L1981" t="str">
        <f>B149</f>
        <v>H2</v>
      </c>
      <c r="N1981" t="s">
        <v>3450</v>
      </c>
      <c r="O1981">
        <v>7407960.0</v>
      </c>
      <c r="P1981">
        <v>7539919.0</v>
      </c>
      <c r="Q1981" t="s">
        <v>476</v>
      </c>
      <c r="R1981" s="5"/>
      <c r="S1981" s="5"/>
      <c r="T1981" s="5"/>
      <c r="U1981" s="5"/>
      <c r="V1981" s="5"/>
      <c r="W1981" s="5"/>
      <c r="X1981" s="5"/>
      <c r="Y1981" s="5"/>
      <c r="Z1981" s="5"/>
      <c r="AA1981" s="5"/>
      <c r="AB1981" s="5"/>
      <c r="AC1981" s="5"/>
      <c r="AD1981" s="5"/>
      <c r="AE1981" s="5"/>
      <c r="AF1981" s="5"/>
      <c r="AG1981" s="5"/>
    </row>
    <row r="1982" ht="15.75" customHeight="1">
      <c r="K1982" t="s">
        <v>3451</v>
      </c>
      <c r="L1982" t="str">
        <f>B149</f>
        <v>H2</v>
      </c>
      <c r="O1982">
        <v>7413297.0</v>
      </c>
      <c r="P1982">
        <v>7545256.0</v>
      </c>
      <c r="Q1982" t="s">
        <v>431</v>
      </c>
      <c r="R1982" s="5"/>
      <c r="S1982" s="5"/>
      <c r="T1982" s="5"/>
      <c r="U1982" s="5"/>
      <c r="V1982" s="5"/>
      <c r="W1982" s="5"/>
      <c r="X1982" s="5"/>
      <c r="Y1982" s="5"/>
      <c r="Z1982" s="5"/>
      <c r="AA1982" s="5"/>
      <c r="AB1982" s="5"/>
      <c r="AC1982" s="5"/>
      <c r="AD1982" s="5"/>
      <c r="AE1982" s="5"/>
      <c r="AF1982" s="5"/>
      <c r="AG1982" s="5"/>
    </row>
    <row r="1983" ht="15.75" customHeight="1">
      <c r="K1983" t="s">
        <v>3452</v>
      </c>
      <c r="L1983" t="str">
        <f>B149</f>
        <v>H2</v>
      </c>
      <c r="N1983" t="s">
        <v>3453</v>
      </c>
      <c r="O1983">
        <v>1.4211784E7</v>
      </c>
      <c r="P1983">
        <v>1.2091078E7</v>
      </c>
      <c r="Q1983" t="s">
        <v>427</v>
      </c>
      <c r="R1983" s="5"/>
      <c r="S1983" s="5"/>
      <c r="T1983" s="5"/>
      <c r="U1983" s="5"/>
      <c r="V1983" s="5"/>
      <c r="W1983" s="5"/>
      <c r="X1983" s="5"/>
      <c r="Y1983" s="5"/>
      <c r="Z1983" s="5"/>
      <c r="AA1983" s="5"/>
      <c r="AB1983" s="5"/>
      <c r="AC1983" s="5"/>
      <c r="AD1983" s="5"/>
      <c r="AE1983" s="5"/>
      <c r="AF1983" s="5"/>
      <c r="AG1983" s="5"/>
    </row>
    <row r="1984" ht="15.75" customHeight="1">
      <c r="K1984" t="s">
        <v>3454</v>
      </c>
      <c r="L1984" t="str">
        <f>B149</f>
        <v>H2</v>
      </c>
      <c r="N1984" t="s">
        <v>3455</v>
      </c>
      <c r="O1984">
        <v>1.4316018E7</v>
      </c>
      <c r="P1984">
        <v>1.2195312E7</v>
      </c>
      <c r="Q1984" t="s">
        <v>473</v>
      </c>
      <c r="R1984" s="5"/>
      <c r="S1984" s="5"/>
      <c r="T1984" s="5"/>
      <c r="U1984" s="5"/>
      <c r="V1984" s="5"/>
      <c r="W1984" s="5"/>
      <c r="X1984" s="5"/>
      <c r="Y1984" s="5"/>
      <c r="Z1984" s="5"/>
      <c r="AA1984" s="5"/>
      <c r="AB1984" s="5"/>
      <c r="AC1984" s="5"/>
      <c r="AD1984" s="5"/>
      <c r="AE1984" s="5"/>
      <c r="AF1984" s="5"/>
      <c r="AG1984" s="5"/>
    </row>
    <row r="1985" ht="15.75" customHeight="1">
      <c r="K1985" t="s">
        <v>3456</v>
      </c>
      <c r="L1985" t="str">
        <f>B149</f>
        <v>H2</v>
      </c>
      <c r="O1985">
        <v>1.4328924E7</v>
      </c>
      <c r="P1985">
        <v>1.2208218E7</v>
      </c>
      <c r="Q1985" t="s">
        <v>423</v>
      </c>
      <c r="R1985" s="5"/>
      <c r="S1985" s="5"/>
      <c r="T1985" s="5"/>
      <c r="U1985" s="5"/>
      <c r="V1985" s="5"/>
      <c r="W1985" s="5"/>
      <c r="X1985" s="5"/>
      <c r="Y1985" s="5"/>
      <c r="Z1985" s="5"/>
      <c r="AA1985" s="5"/>
      <c r="AB1985" s="5"/>
      <c r="AC1985" s="5"/>
      <c r="AD1985" s="5"/>
      <c r="AE1985" s="5"/>
      <c r="AF1985" s="5"/>
      <c r="AG1985" s="5"/>
    </row>
    <row r="1986" ht="15.75" customHeight="1">
      <c r="K1986" t="s">
        <v>3457</v>
      </c>
      <c r="L1986" t="str">
        <f>B149</f>
        <v>H2</v>
      </c>
      <c r="O1986">
        <v>1.4372352E7</v>
      </c>
      <c r="P1986">
        <v>1.2251648E7</v>
      </c>
      <c r="Q1986" t="s">
        <v>525</v>
      </c>
      <c r="R1986" s="5"/>
      <c r="S1986" s="5"/>
      <c r="T1986" s="5"/>
      <c r="U1986" s="5"/>
      <c r="V1986" s="5"/>
      <c r="W1986" s="5"/>
      <c r="X1986" s="5"/>
      <c r="Y1986" s="5"/>
      <c r="Z1986" s="5"/>
      <c r="AA1986" s="5"/>
      <c r="AB1986" s="5"/>
      <c r="AC1986" s="5"/>
      <c r="AD1986" s="5"/>
      <c r="AE1986" s="5"/>
      <c r="AF1986" s="5"/>
      <c r="AG1986" s="5"/>
    </row>
    <row r="1987" ht="15.75" customHeight="1">
      <c r="K1987" t="s">
        <v>3458</v>
      </c>
      <c r="L1987" t="str">
        <f>B149</f>
        <v>H2</v>
      </c>
      <c r="N1987" t="s">
        <v>3459</v>
      </c>
      <c r="O1987">
        <v>1.4455644E7</v>
      </c>
      <c r="P1987">
        <v>1.2334917E7</v>
      </c>
      <c r="Q1987" t="s">
        <v>473</v>
      </c>
      <c r="R1987" s="5"/>
      <c r="S1987" s="5"/>
      <c r="T1987" s="5"/>
      <c r="U1987" s="5"/>
      <c r="V1987" s="5"/>
      <c r="W1987" s="5"/>
      <c r="X1987" s="5"/>
      <c r="Y1987" s="5"/>
      <c r="Z1987" s="5"/>
      <c r="AA1987" s="5"/>
      <c r="AB1987" s="5"/>
      <c r="AC1987" s="5"/>
      <c r="AD1987" s="5"/>
      <c r="AE1987" s="5"/>
      <c r="AF1987" s="5"/>
      <c r="AG1987" s="5"/>
    </row>
    <row r="1988" ht="15.75" customHeight="1">
      <c r="K1988" t="s">
        <v>3460</v>
      </c>
      <c r="L1988" t="str">
        <f>B149</f>
        <v>H2</v>
      </c>
      <c r="N1988" t="s">
        <v>3461</v>
      </c>
      <c r="O1988">
        <v>1.4628548E7</v>
      </c>
      <c r="P1988">
        <v>1.2516616E7</v>
      </c>
      <c r="Q1988" t="s">
        <v>476</v>
      </c>
      <c r="R1988" s="5"/>
      <c r="S1988" s="5"/>
      <c r="T1988" s="5"/>
      <c r="U1988" s="5"/>
      <c r="V1988" s="5"/>
      <c r="W1988" s="5"/>
      <c r="X1988" s="5"/>
      <c r="Y1988" s="5"/>
      <c r="Z1988" s="5"/>
      <c r="AA1988" s="5"/>
      <c r="AB1988" s="5"/>
      <c r="AC1988" s="5"/>
      <c r="AD1988" s="5"/>
      <c r="AE1988" s="5"/>
      <c r="AF1988" s="5"/>
      <c r="AG1988" s="5"/>
    </row>
    <row r="1989" ht="15.75" customHeight="1">
      <c r="K1989" t="s">
        <v>3462</v>
      </c>
      <c r="L1989" t="str">
        <f>B149</f>
        <v>H2</v>
      </c>
      <c r="N1989" t="s">
        <v>3463</v>
      </c>
      <c r="O1989">
        <v>1.4839562E7</v>
      </c>
      <c r="P1989">
        <v>1.2727629E7</v>
      </c>
      <c r="Q1989" t="s">
        <v>431</v>
      </c>
      <c r="R1989" s="5"/>
      <c r="S1989" s="5"/>
      <c r="T1989" s="5"/>
      <c r="U1989" s="5"/>
      <c r="V1989" s="5"/>
      <c r="W1989" s="5"/>
      <c r="X1989" s="5"/>
      <c r="Y1989" s="5"/>
      <c r="Z1989" s="5"/>
      <c r="AA1989" s="5"/>
      <c r="AB1989" s="5"/>
      <c r="AC1989" s="5"/>
      <c r="AD1989" s="5"/>
      <c r="AE1989" s="5"/>
      <c r="AF1989" s="5"/>
      <c r="AG1989" s="5"/>
    </row>
    <row r="1990" ht="15.75" customHeight="1">
      <c r="K1990" t="s">
        <v>3464</v>
      </c>
      <c r="L1990" t="str">
        <f>B149</f>
        <v>H2</v>
      </c>
      <c r="N1990" t="s">
        <v>3465</v>
      </c>
      <c r="O1990">
        <v>1.4846457E7</v>
      </c>
      <c r="P1990">
        <v>1.2734523E7</v>
      </c>
      <c r="Q1990" t="s">
        <v>431</v>
      </c>
      <c r="R1990" s="5"/>
      <c r="S1990" s="5"/>
      <c r="T1990" s="5"/>
      <c r="U1990" s="5"/>
      <c r="V1990" s="5"/>
      <c r="W1990" s="5"/>
      <c r="X1990" s="5"/>
      <c r="Y1990" s="5"/>
      <c r="Z1990" s="5"/>
      <c r="AA1990" s="5"/>
      <c r="AB1990" s="5"/>
      <c r="AC1990" s="5"/>
      <c r="AD1990" s="5"/>
      <c r="AE1990" s="5"/>
      <c r="AF1990" s="5"/>
      <c r="AG1990" s="5"/>
    </row>
    <row r="1991" ht="15.75" customHeight="1">
      <c r="K1991" t="s">
        <v>3466</v>
      </c>
      <c r="L1991" t="str">
        <f>B149</f>
        <v>H2</v>
      </c>
      <c r="N1991" t="s">
        <v>3467</v>
      </c>
      <c r="O1991">
        <v>1.4921398E7</v>
      </c>
      <c r="P1991">
        <v>1.2809463E7</v>
      </c>
      <c r="Q1991" t="s">
        <v>423</v>
      </c>
      <c r="R1991" s="5"/>
      <c r="S1991" s="5"/>
      <c r="T1991" s="5"/>
      <c r="U1991" s="5"/>
      <c r="V1991" s="5"/>
      <c r="W1991" s="5"/>
      <c r="X1991" s="5"/>
      <c r="Y1991" s="5"/>
      <c r="Z1991" s="5"/>
      <c r="AA1991" s="5"/>
      <c r="AB1991" s="5"/>
      <c r="AC1991" s="5"/>
      <c r="AD1991" s="5"/>
      <c r="AE1991" s="5"/>
      <c r="AF1991" s="5"/>
      <c r="AG1991" s="5"/>
    </row>
    <row r="1992" ht="15.75" customHeight="1">
      <c r="K1992" t="s">
        <v>3468</v>
      </c>
      <c r="L1992" t="str">
        <f>B149</f>
        <v>H2</v>
      </c>
      <c r="N1992" t="s">
        <v>3469</v>
      </c>
      <c r="O1992">
        <v>1.5229996E7</v>
      </c>
      <c r="P1992">
        <v>1.3118082E7</v>
      </c>
      <c r="Q1992" t="s">
        <v>419</v>
      </c>
      <c r="R1992" s="5"/>
      <c r="S1992" s="5"/>
      <c r="T1992" s="5"/>
      <c r="U1992" s="5"/>
      <c r="V1992" s="5"/>
      <c r="W1992" s="5"/>
      <c r="X1992" s="5"/>
      <c r="Y1992" s="5"/>
      <c r="Z1992" s="5"/>
      <c r="AA1992" s="5"/>
      <c r="AB1992" s="5"/>
      <c r="AC1992" s="5"/>
      <c r="AD1992" s="5"/>
      <c r="AE1992" s="5"/>
      <c r="AF1992" s="5"/>
      <c r="AG1992" s="5"/>
    </row>
    <row r="1993" ht="15.75" customHeight="1">
      <c r="K1993" t="s">
        <v>3470</v>
      </c>
      <c r="L1993" t="str">
        <f>B149</f>
        <v>H2</v>
      </c>
      <c r="N1993" t="s">
        <v>3471</v>
      </c>
      <c r="O1993">
        <v>1.5256272E7</v>
      </c>
      <c r="P1993">
        <v>1.3144356E7</v>
      </c>
      <c r="Q1993" t="s">
        <v>423</v>
      </c>
      <c r="R1993" s="5"/>
      <c r="S1993" s="5"/>
      <c r="T1993" s="5"/>
      <c r="U1993" s="5"/>
      <c r="V1993" s="5"/>
      <c r="W1993" s="5"/>
      <c r="X1993" s="5"/>
      <c r="Y1993" s="5"/>
      <c r="Z1993" s="5"/>
      <c r="AA1993" s="5"/>
      <c r="AB1993" s="5"/>
      <c r="AC1993" s="5"/>
      <c r="AD1993" s="5"/>
      <c r="AE1993" s="5"/>
      <c r="AF1993" s="5"/>
      <c r="AG1993" s="5"/>
    </row>
    <row r="1994" ht="15.75" customHeight="1">
      <c r="K1994" t="s">
        <v>3472</v>
      </c>
      <c r="L1994" t="str">
        <f>B149</f>
        <v>H2</v>
      </c>
      <c r="O1994">
        <v>1.5260651E7</v>
      </c>
      <c r="P1994">
        <v>1.3148735E7</v>
      </c>
      <c r="Q1994" t="s">
        <v>435</v>
      </c>
      <c r="R1994" s="5"/>
      <c r="S1994" s="5"/>
      <c r="T1994" s="5"/>
      <c r="U1994" s="5"/>
      <c r="V1994" s="5"/>
      <c r="W1994" s="5"/>
      <c r="X1994" s="5"/>
      <c r="Y1994" s="5"/>
      <c r="Z1994" s="5"/>
      <c r="AA1994" s="5"/>
      <c r="AB1994" s="5"/>
      <c r="AC1994" s="5"/>
      <c r="AD1994" s="5"/>
      <c r="AE1994" s="5"/>
      <c r="AF1994" s="5"/>
      <c r="AG1994" s="5"/>
    </row>
    <row r="1995" ht="15.75" customHeight="1">
      <c r="K1995" t="s">
        <v>3473</v>
      </c>
      <c r="L1995" t="str">
        <f>B149</f>
        <v>H2</v>
      </c>
      <c r="N1995" t="s">
        <v>3474</v>
      </c>
      <c r="O1995">
        <v>1.5280036E7</v>
      </c>
      <c r="P1995">
        <v>1.3168135E7</v>
      </c>
      <c r="Q1995" t="s">
        <v>435</v>
      </c>
      <c r="R1995" s="5"/>
      <c r="S1995" s="5"/>
      <c r="T1995" s="5"/>
      <c r="U1995" s="5"/>
      <c r="V1995" s="5"/>
      <c r="W1995" s="5"/>
      <c r="X1995" s="5"/>
      <c r="Y1995" s="5"/>
      <c r="Z1995" s="5"/>
      <c r="AA1995" s="5"/>
      <c r="AB1995" s="5"/>
      <c r="AC1995" s="5"/>
      <c r="AD1995" s="5"/>
      <c r="AE1995" s="5"/>
      <c r="AF1995" s="5"/>
      <c r="AG1995" s="5"/>
    </row>
    <row r="1996" ht="15.75" customHeight="1">
      <c r="K1996" t="s">
        <v>3475</v>
      </c>
      <c r="L1996" t="str">
        <f>B149</f>
        <v>H2</v>
      </c>
      <c r="N1996" t="s">
        <v>3476</v>
      </c>
      <c r="O1996">
        <v>1.5349033E7</v>
      </c>
      <c r="P1996">
        <v>1.3237152E7</v>
      </c>
      <c r="Q1996" t="s">
        <v>431</v>
      </c>
      <c r="R1996" s="5"/>
      <c r="S1996" s="5"/>
      <c r="T1996" s="5"/>
      <c r="U1996" s="5"/>
      <c r="V1996" s="5"/>
      <c r="W1996" s="5"/>
      <c r="X1996" s="5"/>
      <c r="Y1996" s="5"/>
      <c r="Z1996" s="5"/>
      <c r="AA1996" s="5"/>
      <c r="AB1996" s="5"/>
      <c r="AC1996" s="5"/>
      <c r="AD1996" s="5"/>
      <c r="AE1996" s="5"/>
      <c r="AF1996" s="5"/>
      <c r="AG1996" s="5"/>
    </row>
    <row r="1997" ht="15.75" customHeight="1">
      <c r="K1997" t="s">
        <v>3477</v>
      </c>
      <c r="L1997" t="str">
        <f>B149</f>
        <v>H2</v>
      </c>
      <c r="N1997" t="s">
        <v>3478</v>
      </c>
      <c r="O1997">
        <v>1.5349104E7</v>
      </c>
      <c r="P1997">
        <v>1.3237223E7</v>
      </c>
      <c r="Q1997" t="s">
        <v>423</v>
      </c>
      <c r="R1997" s="5"/>
      <c r="S1997" s="5"/>
      <c r="T1997" s="5"/>
      <c r="U1997" s="5"/>
      <c r="V1997" s="5"/>
      <c r="W1997" s="5"/>
      <c r="X1997" s="5"/>
      <c r="Y1997" s="5"/>
      <c r="Z1997" s="5"/>
      <c r="AA1997" s="5"/>
      <c r="AB1997" s="5"/>
      <c r="AC1997" s="5"/>
      <c r="AD1997" s="5"/>
      <c r="AE1997" s="5"/>
      <c r="AF1997" s="5"/>
      <c r="AG1997" s="5"/>
    </row>
    <row r="1998" ht="15.75" customHeight="1">
      <c r="K1998" t="s">
        <v>3479</v>
      </c>
      <c r="L1998" t="str">
        <f>B149</f>
        <v>H2</v>
      </c>
      <c r="N1998" t="s">
        <v>3480</v>
      </c>
      <c r="O1998">
        <v>1.5418222E7</v>
      </c>
      <c r="P1998">
        <v>1.3306342E7</v>
      </c>
      <c r="Q1998" t="s">
        <v>431</v>
      </c>
      <c r="R1998" s="5"/>
      <c r="S1998" s="5"/>
      <c r="T1998" s="5"/>
      <c r="U1998" s="5"/>
      <c r="V1998" s="5"/>
      <c r="W1998" s="5"/>
      <c r="X1998" s="5"/>
      <c r="Y1998" s="5"/>
      <c r="Z1998" s="5"/>
      <c r="AA1998" s="5"/>
      <c r="AB1998" s="5"/>
      <c r="AC1998" s="5"/>
      <c r="AD1998" s="5"/>
      <c r="AE1998" s="5"/>
      <c r="AF1998" s="5"/>
      <c r="AG1998" s="5"/>
    </row>
    <row r="1999" ht="15.75" customHeight="1">
      <c r="K1999" t="s">
        <v>3481</v>
      </c>
      <c r="L1999" t="str">
        <f>B149</f>
        <v>H2</v>
      </c>
      <c r="N1999" t="s">
        <v>3482</v>
      </c>
      <c r="O1999">
        <v>1.5484077E7</v>
      </c>
      <c r="P1999">
        <v>1.3372197E7</v>
      </c>
      <c r="Q1999" t="s">
        <v>423</v>
      </c>
      <c r="R1999" s="5"/>
      <c r="S1999" s="5"/>
      <c r="T1999" s="5"/>
      <c r="U1999" s="5"/>
      <c r="V1999" s="5"/>
      <c r="W1999" s="5"/>
      <c r="X1999" s="5"/>
      <c r="Y1999" s="5"/>
      <c r="Z1999" s="5"/>
      <c r="AA1999" s="5"/>
      <c r="AB1999" s="5"/>
      <c r="AC1999" s="5"/>
      <c r="AD1999" s="5"/>
      <c r="AE1999" s="5"/>
      <c r="AF1999" s="5"/>
      <c r="AG1999" s="5"/>
    </row>
    <row r="2000" ht="15.75" customHeight="1">
      <c r="K2000" t="s">
        <v>3483</v>
      </c>
      <c r="L2000" t="str">
        <f>B149</f>
        <v>H2</v>
      </c>
      <c r="N2000" t="s">
        <v>3484</v>
      </c>
      <c r="O2000">
        <v>1.5505667E7</v>
      </c>
      <c r="P2000">
        <v>1.3393787E7</v>
      </c>
      <c r="Q2000" t="s">
        <v>431</v>
      </c>
      <c r="R2000" s="5"/>
      <c r="S2000" s="5"/>
      <c r="T2000" s="5"/>
      <c r="U2000" s="5"/>
      <c r="V2000" s="5"/>
      <c r="W2000" s="5"/>
      <c r="X2000" s="5"/>
      <c r="Y2000" s="5"/>
      <c r="Z2000" s="5"/>
      <c r="AA2000" s="5"/>
      <c r="AB2000" s="5"/>
      <c r="AC2000" s="5"/>
      <c r="AD2000" s="5"/>
      <c r="AE2000" s="5"/>
      <c r="AF2000" s="5"/>
      <c r="AG2000" s="5"/>
    </row>
    <row r="2001" ht="15.75" customHeight="1">
      <c r="K2001" t="s">
        <v>3485</v>
      </c>
      <c r="L2001" t="str">
        <f>B149</f>
        <v>H2</v>
      </c>
      <c r="N2001" t="s">
        <v>3486</v>
      </c>
      <c r="O2001">
        <v>1.5545891E7</v>
      </c>
      <c r="P2001">
        <v>1.3434011E7</v>
      </c>
      <c r="Q2001" t="s">
        <v>553</v>
      </c>
      <c r="R2001" s="5"/>
      <c r="S2001" s="5"/>
      <c r="T2001" s="5"/>
      <c r="U2001" s="5"/>
      <c r="V2001" s="5"/>
      <c r="W2001" s="5"/>
      <c r="X2001" s="5"/>
      <c r="Y2001" s="5"/>
      <c r="Z2001" s="5"/>
      <c r="AA2001" s="5"/>
      <c r="AB2001" s="5"/>
      <c r="AC2001" s="5"/>
      <c r="AD2001" s="5"/>
      <c r="AE2001" s="5"/>
      <c r="AF2001" s="5"/>
      <c r="AG2001" s="5"/>
    </row>
    <row r="2002" ht="15.75" customHeight="1">
      <c r="K2002" t="s">
        <v>3487</v>
      </c>
      <c r="L2002" t="str">
        <f>B149</f>
        <v>H2</v>
      </c>
      <c r="N2002" t="s">
        <v>3488</v>
      </c>
      <c r="O2002">
        <v>1.5680713E7</v>
      </c>
      <c r="P2002">
        <v>1.3568833E7</v>
      </c>
      <c r="Q2002" t="s">
        <v>419</v>
      </c>
      <c r="R2002" s="5"/>
      <c r="S2002" s="5"/>
      <c r="T2002" s="5"/>
      <c r="U2002" s="5"/>
      <c r="V2002" s="5"/>
      <c r="W2002" s="5"/>
      <c r="X2002" s="5"/>
      <c r="Y2002" s="5"/>
      <c r="Z2002" s="5"/>
      <c r="AA2002" s="5"/>
      <c r="AB2002" s="5"/>
      <c r="AC2002" s="5"/>
      <c r="AD2002" s="5"/>
      <c r="AE2002" s="5"/>
      <c r="AF2002" s="5"/>
      <c r="AG2002" s="5"/>
    </row>
    <row r="2003" ht="15.75" customHeight="1">
      <c r="K2003" t="s">
        <v>3489</v>
      </c>
      <c r="L2003" t="str">
        <f>B149</f>
        <v>H2</v>
      </c>
      <c r="N2003" t="s">
        <v>3490</v>
      </c>
      <c r="O2003">
        <v>1.5694138E7</v>
      </c>
      <c r="P2003">
        <v>1.3582258E7</v>
      </c>
      <c r="Q2003" t="s">
        <v>448</v>
      </c>
      <c r="R2003" s="5"/>
      <c r="S2003" s="5"/>
      <c r="T2003" s="5"/>
      <c r="U2003" s="5"/>
      <c r="V2003" s="5"/>
      <c r="W2003" s="5"/>
      <c r="X2003" s="5"/>
      <c r="Y2003" s="5"/>
      <c r="Z2003" s="5"/>
      <c r="AA2003" s="5"/>
      <c r="AB2003" s="5"/>
      <c r="AC2003" s="5"/>
      <c r="AD2003" s="5"/>
      <c r="AE2003" s="5"/>
      <c r="AF2003" s="5"/>
      <c r="AG2003" s="5"/>
    </row>
    <row r="2004" ht="15.75" customHeight="1">
      <c r="K2004" t="s">
        <v>3491</v>
      </c>
      <c r="L2004" t="str">
        <f>B149</f>
        <v>H2</v>
      </c>
      <c r="N2004" t="s">
        <v>3492</v>
      </c>
      <c r="O2004">
        <v>1.5769952E7</v>
      </c>
      <c r="P2004">
        <v>1.3658072E7</v>
      </c>
      <c r="Q2004" t="s">
        <v>423</v>
      </c>
      <c r="R2004" s="5"/>
      <c r="S2004" s="5"/>
      <c r="T2004" s="5"/>
      <c r="U2004" s="5"/>
      <c r="V2004" s="5"/>
      <c r="W2004" s="5"/>
      <c r="X2004" s="5"/>
      <c r="Y2004" s="5"/>
      <c r="Z2004" s="5"/>
      <c r="AA2004" s="5"/>
      <c r="AB2004" s="5"/>
      <c r="AC2004" s="5"/>
      <c r="AD2004" s="5"/>
      <c r="AE2004" s="5"/>
      <c r="AF2004" s="5"/>
      <c r="AG2004" s="5"/>
    </row>
    <row r="2005" ht="15.75" customHeight="1">
      <c r="K2005" t="s">
        <v>3493</v>
      </c>
      <c r="L2005" t="str">
        <f>B149</f>
        <v>H2</v>
      </c>
      <c r="N2005" t="s">
        <v>3494</v>
      </c>
      <c r="O2005">
        <v>1.577809E7</v>
      </c>
      <c r="P2005">
        <v>1.366621E7</v>
      </c>
      <c r="Q2005" t="s">
        <v>459</v>
      </c>
      <c r="R2005" s="5"/>
      <c r="S2005" s="5"/>
      <c r="T2005" s="5"/>
      <c r="U2005" s="5"/>
      <c r="V2005" s="5"/>
      <c r="W2005" s="5"/>
      <c r="X2005" s="5"/>
      <c r="Y2005" s="5"/>
      <c r="Z2005" s="5"/>
      <c r="AA2005" s="5"/>
      <c r="AB2005" s="5"/>
      <c r="AC2005" s="5"/>
      <c r="AD2005" s="5"/>
      <c r="AE2005" s="5"/>
      <c r="AF2005" s="5"/>
      <c r="AG2005" s="5"/>
    </row>
    <row r="2006" ht="15.75" customHeight="1">
      <c r="K2006" t="s">
        <v>3495</v>
      </c>
      <c r="L2006" t="str">
        <f>B149</f>
        <v>H2</v>
      </c>
      <c r="N2006" t="s">
        <v>3496</v>
      </c>
      <c r="O2006">
        <v>1.5841135E7</v>
      </c>
      <c r="P2006">
        <v>1.3729255E7</v>
      </c>
      <c r="Q2006" t="s">
        <v>553</v>
      </c>
      <c r="R2006" s="5"/>
      <c r="S2006" s="5"/>
      <c r="T2006" s="5"/>
      <c r="U2006" s="5"/>
      <c r="V2006" s="5"/>
      <c r="W2006" s="5"/>
      <c r="X2006" s="5"/>
      <c r="Y2006" s="5"/>
      <c r="Z2006" s="5"/>
      <c r="AA2006" s="5"/>
      <c r="AB2006" s="5"/>
      <c r="AC2006" s="5"/>
      <c r="AD2006" s="5"/>
      <c r="AE2006" s="5"/>
      <c r="AF2006" s="5"/>
      <c r="AG2006" s="5"/>
    </row>
    <row r="2007" ht="15.75" customHeight="1">
      <c r="K2007" t="s">
        <v>3497</v>
      </c>
      <c r="L2007" t="str">
        <f>B149</f>
        <v>H2</v>
      </c>
      <c r="N2007" t="s">
        <v>3498</v>
      </c>
      <c r="O2007">
        <v>1.5845978E7</v>
      </c>
      <c r="P2007">
        <v>1.3734098E7</v>
      </c>
      <c r="Q2007" t="s">
        <v>423</v>
      </c>
      <c r="R2007" s="5"/>
      <c r="S2007" s="5"/>
      <c r="T2007" s="5"/>
      <c r="U2007" s="5"/>
      <c r="V2007" s="5"/>
      <c r="W2007" s="5"/>
      <c r="X2007" s="5"/>
      <c r="Y2007" s="5"/>
      <c r="Z2007" s="5"/>
      <c r="AA2007" s="5"/>
      <c r="AB2007" s="5"/>
      <c r="AC2007" s="5"/>
      <c r="AD2007" s="5"/>
      <c r="AE2007" s="5"/>
      <c r="AF2007" s="5"/>
      <c r="AG2007" s="5"/>
    </row>
    <row r="2008" ht="15.75" customHeight="1">
      <c r="K2008" t="s">
        <v>3499</v>
      </c>
      <c r="L2008" t="str">
        <f>B149</f>
        <v>H2</v>
      </c>
      <c r="N2008" t="s">
        <v>3500</v>
      </c>
      <c r="O2008">
        <v>1.5906801E7</v>
      </c>
      <c r="P2008">
        <v>1.3794921E7</v>
      </c>
      <c r="Q2008" t="s">
        <v>423</v>
      </c>
      <c r="R2008" s="5"/>
      <c r="S2008" s="5"/>
      <c r="T2008" s="5"/>
      <c r="U2008" s="5"/>
      <c r="V2008" s="5"/>
      <c r="W2008" s="5"/>
      <c r="X2008" s="5"/>
      <c r="Y2008" s="5"/>
      <c r="Z2008" s="5"/>
      <c r="AA2008" s="5"/>
      <c r="AB2008" s="5"/>
      <c r="AC2008" s="5"/>
      <c r="AD2008" s="5"/>
      <c r="AE2008" s="5"/>
      <c r="AF2008" s="5"/>
      <c r="AG2008" s="5"/>
    </row>
    <row r="2009" ht="15.75" customHeight="1">
      <c r="K2009" t="s">
        <v>3501</v>
      </c>
      <c r="L2009" t="str">
        <f>B149</f>
        <v>H2</v>
      </c>
      <c r="N2009" t="s">
        <v>3502</v>
      </c>
      <c r="O2009">
        <v>1.5938504E7</v>
      </c>
      <c r="P2009">
        <v>1.3826624E7</v>
      </c>
      <c r="Q2009" t="s">
        <v>459</v>
      </c>
      <c r="R2009" s="5"/>
      <c r="S2009" s="5"/>
      <c r="T2009" s="5"/>
      <c r="U2009" s="5"/>
      <c r="V2009" s="5"/>
      <c r="W2009" s="5"/>
      <c r="X2009" s="5"/>
      <c r="Y2009" s="5"/>
      <c r="Z2009" s="5"/>
      <c r="AA2009" s="5"/>
      <c r="AB2009" s="5"/>
      <c r="AC2009" s="5"/>
      <c r="AD2009" s="5"/>
      <c r="AE2009" s="5"/>
      <c r="AF2009" s="5"/>
      <c r="AG2009" s="5"/>
    </row>
    <row r="2010" ht="15.75" customHeight="1">
      <c r="K2010" t="s">
        <v>3503</v>
      </c>
      <c r="L2010" t="str">
        <f>B149</f>
        <v>H2</v>
      </c>
      <c r="N2010" t="s">
        <v>3504</v>
      </c>
      <c r="O2010">
        <v>1.6229853E7</v>
      </c>
      <c r="P2010">
        <v>1.4117973E7</v>
      </c>
      <c r="Q2010" t="s">
        <v>423</v>
      </c>
      <c r="R2010" s="5"/>
      <c r="S2010" s="5"/>
      <c r="T2010" s="5"/>
      <c r="U2010" s="5"/>
      <c r="V2010" s="5"/>
      <c r="W2010" s="5"/>
      <c r="X2010" s="5"/>
      <c r="Y2010" s="5"/>
      <c r="Z2010" s="5"/>
      <c r="AA2010" s="5"/>
      <c r="AB2010" s="5"/>
      <c r="AC2010" s="5"/>
      <c r="AD2010" s="5"/>
      <c r="AE2010" s="5"/>
      <c r="AF2010" s="5"/>
      <c r="AG2010" s="5"/>
    </row>
    <row r="2011" ht="15.75" customHeight="1">
      <c r="K2011" t="s">
        <v>3505</v>
      </c>
      <c r="L2011" t="str">
        <f>B149</f>
        <v>H2</v>
      </c>
      <c r="N2011" t="s">
        <v>3506</v>
      </c>
      <c r="O2011">
        <v>1.625651E7</v>
      </c>
      <c r="P2011">
        <v>1.414463E7</v>
      </c>
      <c r="Q2011" t="s">
        <v>423</v>
      </c>
      <c r="R2011" s="5"/>
      <c r="S2011" s="5"/>
      <c r="T2011" s="5"/>
      <c r="U2011" s="5"/>
      <c r="V2011" s="5"/>
      <c r="W2011" s="5"/>
      <c r="X2011" s="5"/>
      <c r="Y2011" s="5"/>
      <c r="Z2011" s="5"/>
      <c r="AA2011" s="5"/>
      <c r="AB2011" s="5"/>
      <c r="AC2011" s="5"/>
      <c r="AD2011" s="5"/>
      <c r="AE2011" s="5"/>
      <c r="AF2011" s="5"/>
      <c r="AG2011" s="5"/>
    </row>
    <row r="2012" ht="15.75" customHeight="1">
      <c r="K2012" t="s">
        <v>3507</v>
      </c>
      <c r="L2012" t="str">
        <f>B149</f>
        <v>H2</v>
      </c>
      <c r="N2012" t="s">
        <v>3508</v>
      </c>
      <c r="O2012">
        <v>1.6445215E7</v>
      </c>
      <c r="P2012">
        <v>1.4333335E7</v>
      </c>
      <c r="Q2012" t="s">
        <v>431</v>
      </c>
      <c r="R2012" s="5"/>
      <c r="S2012" s="5"/>
      <c r="T2012" s="5"/>
      <c r="U2012" s="5"/>
      <c r="V2012" s="5"/>
      <c r="W2012" s="5"/>
      <c r="X2012" s="5"/>
      <c r="Y2012" s="5"/>
      <c r="Z2012" s="5"/>
      <c r="AA2012" s="5"/>
      <c r="AB2012" s="5"/>
      <c r="AC2012" s="5"/>
      <c r="AD2012" s="5"/>
      <c r="AE2012" s="5"/>
      <c r="AF2012" s="5"/>
      <c r="AG2012" s="5"/>
    </row>
    <row r="2013" ht="15.75" customHeight="1">
      <c r="K2013" t="s">
        <v>3509</v>
      </c>
      <c r="L2013" t="str">
        <f>B149</f>
        <v>H2</v>
      </c>
      <c r="N2013" t="s">
        <v>3510</v>
      </c>
      <c r="O2013">
        <v>1.6448046E7</v>
      </c>
      <c r="P2013">
        <v>1.4336166E7</v>
      </c>
      <c r="Q2013" t="s">
        <v>435</v>
      </c>
      <c r="R2013" s="5"/>
      <c r="S2013" s="5"/>
      <c r="T2013" s="5"/>
      <c r="U2013" s="5"/>
      <c r="V2013" s="5"/>
      <c r="W2013" s="5"/>
      <c r="X2013" s="5"/>
      <c r="Y2013" s="5"/>
      <c r="Z2013" s="5"/>
      <c r="AA2013" s="5"/>
      <c r="AB2013" s="5"/>
      <c r="AC2013" s="5"/>
      <c r="AD2013" s="5"/>
      <c r="AE2013" s="5"/>
      <c r="AF2013" s="5"/>
      <c r="AG2013" s="5"/>
    </row>
    <row r="2014" ht="15.75" customHeight="1">
      <c r="K2014" t="s">
        <v>3511</v>
      </c>
      <c r="L2014" t="str">
        <f>B149</f>
        <v>H2</v>
      </c>
      <c r="N2014" t="s">
        <v>3512</v>
      </c>
      <c r="O2014">
        <v>1.6558834E7</v>
      </c>
      <c r="P2014">
        <v>1.4446954E7</v>
      </c>
      <c r="Q2014" t="s">
        <v>423</v>
      </c>
      <c r="R2014" s="5"/>
      <c r="S2014" s="5"/>
      <c r="T2014" s="5"/>
      <c r="U2014" s="5"/>
      <c r="V2014" s="5"/>
      <c r="W2014" s="5"/>
      <c r="X2014" s="5"/>
      <c r="Y2014" s="5"/>
      <c r="Z2014" s="5"/>
      <c r="AA2014" s="5"/>
      <c r="AB2014" s="5"/>
      <c r="AC2014" s="5"/>
      <c r="AD2014" s="5"/>
      <c r="AE2014" s="5"/>
      <c r="AF2014" s="5"/>
      <c r="AG2014" s="5"/>
    </row>
    <row r="2015" ht="15.75" customHeight="1">
      <c r="K2015" t="s">
        <v>3513</v>
      </c>
      <c r="L2015" t="str">
        <f>B149</f>
        <v>H2</v>
      </c>
      <c r="N2015" t="s">
        <v>3514</v>
      </c>
      <c r="O2015">
        <v>1.6585629E7</v>
      </c>
      <c r="P2015">
        <v>1.4473749E7</v>
      </c>
      <c r="Q2015" t="s">
        <v>427</v>
      </c>
      <c r="R2015" s="5"/>
      <c r="S2015" s="5"/>
      <c r="T2015" s="5"/>
      <c r="U2015" s="5"/>
      <c r="V2015" s="5"/>
      <c r="W2015" s="5"/>
      <c r="X2015" s="5"/>
      <c r="Y2015" s="5"/>
      <c r="Z2015" s="5"/>
      <c r="AA2015" s="5"/>
      <c r="AB2015" s="5"/>
      <c r="AC2015" s="5"/>
      <c r="AD2015" s="5"/>
      <c r="AE2015" s="5"/>
      <c r="AF2015" s="5"/>
      <c r="AG2015" s="5"/>
    </row>
    <row r="2016" ht="15.75" customHeight="1">
      <c r="K2016" t="s">
        <v>3515</v>
      </c>
      <c r="L2016" t="str">
        <f>B149</f>
        <v>H2</v>
      </c>
      <c r="N2016" t="s">
        <v>3516</v>
      </c>
      <c r="O2016">
        <v>1.6604249E7</v>
      </c>
      <c r="P2016">
        <v>1.4492369E7</v>
      </c>
      <c r="Q2016" t="s">
        <v>553</v>
      </c>
      <c r="R2016" s="5"/>
      <c r="S2016" s="5"/>
      <c r="T2016" s="5"/>
      <c r="U2016" s="5"/>
      <c r="V2016" s="5"/>
      <c r="W2016" s="5"/>
      <c r="X2016" s="5"/>
      <c r="Y2016" s="5"/>
      <c r="Z2016" s="5"/>
      <c r="AA2016" s="5"/>
      <c r="AB2016" s="5"/>
      <c r="AC2016" s="5"/>
      <c r="AD2016" s="5"/>
      <c r="AE2016" s="5"/>
      <c r="AF2016" s="5"/>
      <c r="AG2016" s="5"/>
    </row>
    <row r="2017" ht="15.75" customHeight="1">
      <c r="K2017" t="s">
        <v>3517</v>
      </c>
      <c r="L2017" t="str">
        <f>B149</f>
        <v>H2</v>
      </c>
      <c r="N2017" t="s">
        <v>3518</v>
      </c>
      <c r="O2017">
        <v>1.6745865E7</v>
      </c>
      <c r="P2017">
        <v>1.4633985E7</v>
      </c>
      <c r="Q2017" t="s">
        <v>419</v>
      </c>
      <c r="R2017" s="5"/>
      <c r="S2017" s="5"/>
      <c r="T2017" s="5"/>
      <c r="U2017" s="5"/>
      <c r="V2017" s="5"/>
      <c r="W2017" s="5"/>
      <c r="X2017" s="5"/>
      <c r="Y2017" s="5"/>
      <c r="Z2017" s="5"/>
      <c r="AA2017" s="5"/>
      <c r="AB2017" s="5"/>
      <c r="AC2017" s="5"/>
      <c r="AD2017" s="5"/>
      <c r="AE2017" s="5"/>
      <c r="AF2017" s="5"/>
      <c r="AG2017" s="5"/>
    </row>
    <row r="2018" ht="15.75" customHeight="1">
      <c r="K2018" t="s">
        <v>3519</v>
      </c>
      <c r="L2018" t="str">
        <f>B149</f>
        <v>H2</v>
      </c>
      <c r="N2018" t="s">
        <v>3520</v>
      </c>
      <c r="O2018">
        <v>1.7046016E7</v>
      </c>
      <c r="P2018">
        <v>1.4934136E7</v>
      </c>
      <c r="Q2018" t="s">
        <v>419</v>
      </c>
      <c r="R2018" s="5"/>
      <c r="S2018" s="5"/>
      <c r="T2018" s="5"/>
      <c r="U2018" s="5"/>
      <c r="V2018" s="5"/>
      <c r="W2018" s="5"/>
      <c r="X2018" s="5"/>
      <c r="Y2018" s="5"/>
      <c r="Z2018" s="5"/>
      <c r="AA2018" s="5"/>
      <c r="AB2018" s="5"/>
      <c r="AC2018" s="5"/>
      <c r="AD2018" s="5"/>
      <c r="AE2018" s="5"/>
      <c r="AF2018" s="5"/>
      <c r="AG2018" s="5"/>
    </row>
    <row r="2019" ht="15.75" customHeight="1">
      <c r="K2019" t="s">
        <v>3521</v>
      </c>
      <c r="L2019" t="str">
        <f>B149</f>
        <v>H2</v>
      </c>
      <c r="N2019" t="s">
        <v>3522</v>
      </c>
      <c r="O2019">
        <v>1.7079966E7</v>
      </c>
      <c r="P2019">
        <v>1.4968086E7</v>
      </c>
      <c r="Q2019" t="s">
        <v>553</v>
      </c>
      <c r="R2019" s="5"/>
      <c r="S2019" s="5"/>
      <c r="T2019" s="5"/>
      <c r="U2019" s="5"/>
      <c r="V2019" s="5"/>
      <c r="W2019" s="5"/>
      <c r="X2019" s="5"/>
      <c r="Y2019" s="5"/>
      <c r="Z2019" s="5"/>
      <c r="AA2019" s="5"/>
      <c r="AB2019" s="5"/>
      <c r="AC2019" s="5"/>
      <c r="AD2019" s="5"/>
      <c r="AE2019" s="5"/>
      <c r="AF2019" s="5"/>
      <c r="AG2019" s="5"/>
    </row>
    <row r="2020" ht="15.75" customHeight="1">
      <c r="K2020" t="s">
        <v>3523</v>
      </c>
      <c r="L2020" t="str">
        <f>B149</f>
        <v>H2</v>
      </c>
      <c r="N2020" t="s">
        <v>3524</v>
      </c>
      <c r="O2020">
        <v>1.7158055E7</v>
      </c>
      <c r="P2020">
        <v>1.5046175E7</v>
      </c>
      <c r="Q2020" t="s">
        <v>419</v>
      </c>
      <c r="R2020" s="5"/>
      <c r="S2020" s="5"/>
      <c r="T2020" s="5"/>
      <c r="U2020" s="5"/>
      <c r="V2020" s="5"/>
      <c r="W2020" s="5"/>
      <c r="X2020" s="5"/>
      <c r="Y2020" s="5"/>
      <c r="Z2020" s="5"/>
      <c r="AA2020" s="5"/>
      <c r="AB2020" s="5"/>
      <c r="AC2020" s="5"/>
      <c r="AD2020" s="5"/>
      <c r="AE2020" s="5"/>
      <c r="AF2020" s="5"/>
      <c r="AG2020" s="5"/>
    </row>
    <row r="2021" ht="15.75" customHeight="1">
      <c r="K2021" t="s">
        <v>3525</v>
      </c>
      <c r="L2021" t="str">
        <f>B149</f>
        <v>H2</v>
      </c>
      <c r="N2021" t="s">
        <v>3526</v>
      </c>
      <c r="O2021">
        <v>1.7255468E7</v>
      </c>
      <c r="P2021">
        <v>1.5143588E7</v>
      </c>
      <c r="Q2021" t="s">
        <v>431</v>
      </c>
      <c r="R2021" s="5"/>
      <c r="S2021" s="5"/>
      <c r="T2021" s="5"/>
      <c r="U2021" s="5"/>
      <c r="V2021" s="5"/>
      <c r="W2021" s="5"/>
      <c r="X2021" s="5"/>
      <c r="Y2021" s="5"/>
      <c r="Z2021" s="5"/>
      <c r="AA2021" s="5"/>
      <c r="AB2021" s="5"/>
      <c r="AC2021" s="5"/>
      <c r="AD2021" s="5"/>
      <c r="AE2021" s="5"/>
      <c r="AF2021" s="5"/>
      <c r="AG2021" s="5"/>
    </row>
    <row r="2022" ht="15.75" customHeight="1">
      <c r="K2022" t="s">
        <v>3527</v>
      </c>
      <c r="L2022" t="str">
        <f>B149</f>
        <v>H2</v>
      </c>
      <c r="N2022" t="s">
        <v>3528</v>
      </c>
      <c r="O2022">
        <v>1.7706964E7</v>
      </c>
      <c r="P2022">
        <v>1.5595084E7</v>
      </c>
      <c r="Q2022" t="s">
        <v>435</v>
      </c>
      <c r="R2022" s="5"/>
      <c r="S2022" s="5"/>
      <c r="T2022" s="5"/>
      <c r="U2022" s="5"/>
      <c r="V2022" s="5"/>
      <c r="W2022" s="5"/>
      <c r="X2022" s="5"/>
      <c r="Y2022" s="5"/>
      <c r="Z2022" s="5"/>
      <c r="AA2022" s="5"/>
      <c r="AB2022" s="5"/>
      <c r="AC2022" s="5"/>
      <c r="AD2022" s="5"/>
      <c r="AE2022" s="5"/>
      <c r="AF2022" s="5"/>
      <c r="AG2022" s="5"/>
    </row>
    <row r="2023" ht="15.75" customHeight="1">
      <c r="K2023" t="s">
        <v>3529</v>
      </c>
      <c r="L2023" t="str">
        <f>B149</f>
        <v>H2</v>
      </c>
      <c r="N2023" t="s">
        <v>3530</v>
      </c>
      <c r="O2023">
        <v>1.7735651E7</v>
      </c>
      <c r="P2023">
        <v>1.5623771E7</v>
      </c>
      <c r="Q2023" t="s">
        <v>448</v>
      </c>
      <c r="R2023" s="5"/>
      <c r="S2023" s="5"/>
      <c r="T2023" s="5"/>
      <c r="U2023" s="5"/>
      <c r="V2023" s="5"/>
      <c r="W2023" s="5"/>
      <c r="X2023" s="5"/>
      <c r="Y2023" s="5"/>
      <c r="Z2023" s="5"/>
      <c r="AA2023" s="5"/>
      <c r="AB2023" s="5"/>
      <c r="AC2023" s="5"/>
      <c r="AD2023" s="5"/>
      <c r="AE2023" s="5"/>
      <c r="AF2023" s="5"/>
      <c r="AG2023" s="5"/>
    </row>
    <row r="2024" ht="15.75" customHeight="1">
      <c r="K2024" t="s">
        <v>3531</v>
      </c>
      <c r="L2024" t="str">
        <f>B149</f>
        <v>H2</v>
      </c>
      <c r="N2024" t="s">
        <v>3532</v>
      </c>
      <c r="O2024">
        <v>1.7774591E7</v>
      </c>
      <c r="P2024">
        <v>1.5662711E7</v>
      </c>
      <c r="Q2024" t="s">
        <v>553</v>
      </c>
      <c r="R2024" s="5"/>
      <c r="S2024" s="5"/>
      <c r="T2024" s="5"/>
      <c r="U2024" s="5"/>
      <c r="V2024" s="5"/>
      <c r="W2024" s="5"/>
      <c r="X2024" s="5"/>
      <c r="Y2024" s="5"/>
      <c r="Z2024" s="5"/>
      <c r="AA2024" s="5"/>
      <c r="AB2024" s="5"/>
      <c r="AC2024" s="5"/>
      <c r="AD2024" s="5"/>
      <c r="AE2024" s="5"/>
      <c r="AF2024" s="5"/>
      <c r="AG2024" s="5"/>
    </row>
    <row r="2025" ht="15.75" customHeight="1">
      <c r="K2025" t="s">
        <v>3533</v>
      </c>
      <c r="L2025" t="str">
        <f>B149</f>
        <v>H2</v>
      </c>
      <c r="N2025" t="s">
        <v>3534</v>
      </c>
      <c r="O2025">
        <v>1.7853938E7</v>
      </c>
      <c r="P2025">
        <v>1.5742058E7</v>
      </c>
      <c r="Q2025" t="s">
        <v>452</v>
      </c>
      <c r="R2025" s="5"/>
      <c r="S2025" s="5"/>
      <c r="T2025" s="5"/>
      <c r="U2025" s="5"/>
      <c r="V2025" s="5"/>
      <c r="W2025" s="5"/>
      <c r="X2025" s="5"/>
      <c r="Y2025" s="5"/>
      <c r="Z2025" s="5"/>
      <c r="AA2025" s="5"/>
      <c r="AB2025" s="5"/>
      <c r="AC2025" s="5"/>
      <c r="AD2025" s="5"/>
      <c r="AE2025" s="5"/>
      <c r="AF2025" s="5"/>
      <c r="AG2025" s="5"/>
    </row>
    <row r="2026" ht="15.75" customHeight="1">
      <c r="K2026" t="s">
        <v>3535</v>
      </c>
      <c r="L2026" t="str">
        <f>B149</f>
        <v>H2</v>
      </c>
      <c r="N2026" t="s">
        <v>3536</v>
      </c>
      <c r="O2026">
        <v>1.7903963E7</v>
      </c>
      <c r="P2026">
        <v>1.5792083E7</v>
      </c>
      <c r="Q2026" t="s">
        <v>419</v>
      </c>
      <c r="R2026" s="5"/>
      <c r="S2026" s="5"/>
      <c r="T2026" s="5"/>
      <c r="U2026" s="5"/>
      <c r="V2026" s="5"/>
      <c r="W2026" s="5"/>
      <c r="X2026" s="5"/>
      <c r="Y2026" s="5"/>
      <c r="Z2026" s="5"/>
      <c r="AA2026" s="5"/>
      <c r="AB2026" s="5"/>
      <c r="AC2026" s="5"/>
      <c r="AD2026" s="5"/>
      <c r="AE2026" s="5"/>
      <c r="AF2026" s="5"/>
      <c r="AG2026" s="5"/>
    </row>
    <row r="2027" ht="15.75" customHeight="1">
      <c r="K2027" t="s">
        <v>3537</v>
      </c>
      <c r="L2027" t="str">
        <f>B149</f>
        <v>H2</v>
      </c>
      <c r="N2027" t="s">
        <v>3538</v>
      </c>
      <c r="O2027">
        <v>1.7906394E7</v>
      </c>
      <c r="P2027">
        <v>1.5794514E7</v>
      </c>
      <c r="Q2027" t="s">
        <v>448</v>
      </c>
      <c r="R2027" s="5"/>
      <c r="S2027" s="5"/>
      <c r="T2027" s="5"/>
      <c r="U2027" s="5"/>
      <c r="V2027" s="5"/>
      <c r="W2027" s="5"/>
      <c r="X2027" s="5"/>
      <c r="Y2027" s="5"/>
      <c r="Z2027" s="5"/>
      <c r="AA2027" s="5"/>
      <c r="AB2027" s="5"/>
      <c r="AC2027" s="5"/>
      <c r="AD2027" s="5"/>
      <c r="AE2027" s="5"/>
      <c r="AF2027" s="5"/>
      <c r="AG2027" s="5"/>
    </row>
    <row r="2028" ht="15.75" customHeight="1">
      <c r="K2028" t="s">
        <v>3539</v>
      </c>
      <c r="L2028" t="str">
        <f>B149</f>
        <v>H2</v>
      </c>
      <c r="N2028" t="s">
        <v>3540</v>
      </c>
      <c r="O2028">
        <v>1.7917069E7</v>
      </c>
      <c r="P2028">
        <v>1.5805189E7</v>
      </c>
      <c r="Q2028" t="s">
        <v>419</v>
      </c>
      <c r="R2028" s="5"/>
      <c r="S2028" s="5"/>
      <c r="T2028" s="5"/>
      <c r="U2028" s="5"/>
      <c r="V2028" s="5"/>
      <c r="W2028" s="5"/>
      <c r="X2028" s="5"/>
      <c r="Y2028" s="5"/>
      <c r="Z2028" s="5"/>
      <c r="AA2028" s="5"/>
      <c r="AB2028" s="5"/>
      <c r="AC2028" s="5"/>
      <c r="AD2028" s="5"/>
      <c r="AE2028" s="5"/>
      <c r="AF2028" s="5"/>
      <c r="AG2028" s="5"/>
    </row>
    <row r="2029" ht="15.75" customHeight="1">
      <c r="K2029" t="s">
        <v>3541</v>
      </c>
      <c r="L2029" t="str">
        <f>B149</f>
        <v>H2</v>
      </c>
      <c r="O2029">
        <v>1.8105771E7</v>
      </c>
      <c r="P2029">
        <v>1.5993891E7</v>
      </c>
      <c r="Q2029" t="s">
        <v>473</v>
      </c>
      <c r="R2029" s="5"/>
      <c r="S2029" s="5"/>
      <c r="T2029" s="5"/>
      <c r="U2029" s="5"/>
      <c r="V2029" s="5"/>
      <c r="W2029" s="5"/>
      <c r="X2029" s="5"/>
      <c r="Y2029" s="5"/>
      <c r="Z2029" s="5"/>
      <c r="AA2029" s="5"/>
      <c r="AB2029" s="5"/>
      <c r="AC2029" s="5"/>
      <c r="AD2029" s="5"/>
      <c r="AE2029" s="5"/>
      <c r="AF2029" s="5"/>
      <c r="AG2029" s="5"/>
    </row>
    <row r="2030" ht="15.75" customHeight="1">
      <c r="K2030" t="s">
        <v>3542</v>
      </c>
      <c r="L2030" t="str">
        <f>B149</f>
        <v>H2</v>
      </c>
      <c r="N2030" t="s">
        <v>3543</v>
      </c>
      <c r="O2030">
        <v>1.8217783E7</v>
      </c>
      <c r="P2030">
        <v>1.6105903E7</v>
      </c>
      <c r="Q2030" t="s">
        <v>419</v>
      </c>
      <c r="R2030" s="5"/>
      <c r="S2030" s="5"/>
      <c r="T2030" s="5"/>
      <c r="U2030" s="5"/>
      <c r="V2030" s="5"/>
      <c r="W2030" s="5"/>
      <c r="X2030" s="5"/>
      <c r="Y2030" s="5"/>
      <c r="Z2030" s="5"/>
      <c r="AA2030" s="5"/>
      <c r="AB2030" s="5"/>
      <c r="AC2030" s="5"/>
      <c r="AD2030" s="5"/>
      <c r="AE2030" s="5"/>
      <c r="AF2030" s="5"/>
      <c r="AG2030" s="5"/>
    </row>
    <row r="2031" ht="15.75" customHeight="1">
      <c r="K2031" t="s">
        <v>3544</v>
      </c>
      <c r="L2031" t="str">
        <f>B149</f>
        <v>H2</v>
      </c>
      <c r="N2031" t="s">
        <v>3545</v>
      </c>
      <c r="O2031">
        <v>1.8560523E7</v>
      </c>
      <c r="P2031">
        <v>1.6448643E7</v>
      </c>
      <c r="Q2031" t="s">
        <v>419</v>
      </c>
      <c r="R2031" s="5"/>
      <c r="S2031" s="5"/>
      <c r="T2031" s="5"/>
      <c r="U2031" s="5"/>
      <c r="V2031" s="5"/>
      <c r="W2031" s="5"/>
      <c r="X2031" s="5"/>
      <c r="Y2031" s="5"/>
      <c r="Z2031" s="5"/>
      <c r="AA2031" s="5"/>
      <c r="AB2031" s="5"/>
      <c r="AC2031" s="5"/>
      <c r="AD2031" s="5"/>
      <c r="AE2031" s="5"/>
      <c r="AF2031" s="5"/>
      <c r="AG2031" s="5"/>
    </row>
    <row r="2032" ht="15.75" customHeight="1">
      <c r="K2032" t="s">
        <v>3546</v>
      </c>
      <c r="L2032" t="str">
        <f>B149</f>
        <v>H2</v>
      </c>
      <c r="N2032" t="s">
        <v>3547</v>
      </c>
      <c r="O2032">
        <v>1.8560799E7</v>
      </c>
      <c r="P2032">
        <v>1.6448919E7</v>
      </c>
      <c r="Q2032" t="s">
        <v>423</v>
      </c>
      <c r="R2032" s="5"/>
      <c r="S2032" s="5"/>
      <c r="T2032" s="5"/>
      <c r="U2032" s="5"/>
      <c r="V2032" s="5"/>
      <c r="W2032" s="5"/>
      <c r="X2032" s="5"/>
      <c r="Y2032" s="5"/>
      <c r="Z2032" s="5"/>
      <c r="AA2032" s="5"/>
      <c r="AB2032" s="5"/>
      <c r="AC2032" s="5"/>
      <c r="AD2032" s="5"/>
      <c r="AE2032" s="5"/>
      <c r="AF2032" s="5"/>
      <c r="AG2032" s="5"/>
    </row>
    <row r="2033" ht="15.75" customHeight="1">
      <c r="K2033" t="s">
        <v>3548</v>
      </c>
      <c r="L2033" t="str">
        <f>B149</f>
        <v>H2</v>
      </c>
      <c r="N2033" t="s">
        <v>3549</v>
      </c>
      <c r="O2033">
        <v>1.8574865E7</v>
      </c>
      <c r="P2033">
        <v>1.6462985E7</v>
      </c>
      <c r="Q2033" t="s">
        <v>459</v>
      </c>
      <c r="R2033" s="5"/>
      <c r="S2033" s="5"/>
      <c r="T2033" s="5"/>
      <c r="U2033" s="5"/>
      <c r="V2033" s="5"/>
      <c r="W2033" s="5"/>
      <c r="X2033" s="5"/>
      <c r="Y2033" s="5"/>
      <c r="Z2033" s="5"/>
      <c r="AA2033" s="5"/>
      <c r="AB2033" s="5"/>
      <c r="AC2033" s="5"/>
      <c r="AD2033" s="5"/>
      <c r="AE2033" s="5"/>
      <c r="AF2033" s="5"/>
      <c r="AG2033" s="5"/>
    </row>
    <row r="2034" ht="15.75" customHeight="1">
      <c r="K2034" t="s">
        <v>3550</v>
      </c>
      <c r="L2034" t="str">
        <f>B149</f>
        <v>H2</v>
      </c>
      <c r="N2034" t="s">
        <v>3551</v>
      </c>
      <c r="O2034">
        <v>1.8616922E7</v>
      </c>
      <c r="P2034">
        <v>1.6505042E7</v>
      </c>
      <c r="Q2034" t="s">
        <v>419</v>
      </c>
      <c r="R2034" s="5"/>
      <c r="S2034" s="5"/>
      <c r="T2034" s="5"/>
      <c r="U2034" s="5"/>
      <c r="V2034" s="5"/>
      <c r="W2034" s="5"/>
      <c r="X2034" s="5"/>
      <c r="Y2034" s="5"/>
      <c r="Z2034" s="5"/>
      <c r="AA2034" s="5"/>
      <c r="AB2034" s="5"/>
      <c r="AC2034" s="5"/>
      <c r="AD2034" s="5"/>
      <c r="AE2034" s="5"/>
      <c r="AF2034" s="5"/>
      <c r="AG2034" s="5"/>
    </row>
    <row r="2035" ht="15.75" customHeight="1">
      <c r="K2035" t="s">
        <v>3552</v>
      </c>
      <c r="L2035" t="str">
        <f>B149</f>
        <v>H2</v>
      </c>
      <c r="N2035" t="s">
        <v>3553</v>
      </c>
      <c r="O2035">
        <v>1.8776323E7</v>
      </c>
      <c r="P2035">
        <v>1.6664443E7</v>
      </c>
      <c r="Q2035" t="s">
        <v>427</v>
      </c>
      <c r="R2035" s="5"/>
      <c r="S2035" s="5"/>
      <c r="T2035" s="5"/>
      <c r="U2035" s="5"/>
      <c r="V2035" s="5"/>
      <c r="W2035" s="5"/>
      <c r="X2035" s="5"/>
      <c r="Y2035" s="5"/>
      <c r="Z2035" s="5"/>
      <c r="AA2035" s="5"/>
      <c r="AB2035" s="5"/>
      <c r="AC2035" s="5"/>
      <c r="AD2035" s="5"/>
      <c r="AE2035" s="5"/>
      <c r="AF2035" s="5"/>
      <c r="AG2035" s="5"/>
    </row>
    <row r="2036" ht="15.75" customHeight="1">
      <c r="K2036" t="s">
        <v>3554</v>
      </c>
      <c r="L2036" t="str">
        <f>B149</f>
        <v>H2</v>
      </c>
      <c r="N2036" t="s">
        <v>3555</v>
      </c>
      <c r="O2036">
        <v>1.8787202E7</v>
      </c>
      <c r="P2036">
        <v>1.6675322E7</v>
      </c>
      <c r="Q2036" t="s">
        <v>419</v>
      </c>
      <c r="R2036" s="5"/>
      <c r="S2036" s="5"/>
      <c r="T2036" s="5"/>
      <c r="U2036" s="5"/>
      <c r="V2036" s="5"/>
      <c r="W2036" s="5"/>
      <c r="X2036" s="5"/>
      <c r="Y2036" s="5"/>
      <c r="Z2036" s="5"/>
      <c r="AA2036" s="5"/>
      <c r="AB2036" s="5"/>
      <c r="AC2036" s="5"/>
      <c r="AD2036" s="5"/>
      <c r="AE2036" s="5"/>
      <c r="AF2036" s="5"/>
      <c r="AG2036" s="5"/>
    </row>
    <row r="2037" ht="15.75" customHeight="1">
      <c r="K2037" t="s">
        <v>3556</v>
      </c>
      <c r="L2037" t="str">
        <f>B149</f>
        <v>H2</v>
      </c>
      <c r="N2037" t="s">
        <v>3557</v>
      </c>
      <c r="O2037">
        <v>1.8871399E7</v>
      </c>
      <c r="P2037">
        <v>1.6759519E7</v>
      </c>
      <c r="Q2037" t="s">
        <v>435</v>
      </c>
      <c r="R2037" s="5"/>
      <c r="S2037" s="5"/>
      <c r="T2037" s="5"/>
      <c r="U2037" s="5"/>
      <c r="V2037" s="5"/>
      <c r="W2037" s="5"/>
      <c r="X2037" s="5"/>
      <c r="Y2037" s="5"/>
      <c r="Z2037" s="5"/>
      <c r="AA2037" s="5"/>
      <c r="AB2037" s="5"/>
      <c r="AC2037" s="5"/>
      <c r="AD2037" s="5"/>
      <c r="AE2037" s="5"/>
      <c r="AF2037" s="5"/>
      <c r="AG2037" s="5"/>
    </row>
    <row r="2038" ht="15.75" customHeight="1">
      <c r="K2038" t="s">
        <v>3558</v>
      </c>
      <c r="L2038" t="str">
        <f>B149</f>
        <v>H2</v>
      </c>
      <c r="N2038" t="s">
        <v>3559</v>
      </c>
      <c r="O2038">
        <v>1.8906771E7</v>
      </c>
      <c r="P2038">
        <v>1.6794891E7</v>
      </c>
      <c r="Q2038" t="s">
        <v>419</v>
      </c>
      <c r="R2038" s="5"/>
      <c r="S2038" s="5"/>
      <c r="T2038" s="5"/>
      <c r="U2038" s="5"/>
      <c r="V2038" s="5"/>
      <c r="W2038" s="5"/>
      <c r="X2038" s="5"/>
      <c r="Y2038" s="5"/>
      <c r="Z2038" s="5"/>
      <c r="AA2038" s="5"/>
      <c r="AB2038" s="5"/>
      <c r="AC2038" s="5"/>
      <c r="AD2038" s="5"/>
      <c r="AE2038" s="5"/>
      <c r="AF2038" s="5"/>
      <c r="AG2038" s="5"/>
    </row>
    <row r="2039" ht="15.75" customHeight="1">
      <c r="K2039" t="s">
        <v>3560</v>
      </c>
      <c r="L2039" t="str">
        <f>B149</f>
        <v>H2</v>
      </c>
      <c r="N2039" t="s">
        <v>3561</v>
      </c>
      <c r="O2039">
        <v>1.9035452E7</v>
      </c>
      <c r="P2039">
        <v>1.6923572E7</v>
      </c>
      <c r="Q2039" t="s">
        <v>419</v>
      </c>
      <c r="R2039" s="5"/>
      <c r="S2039" s="5"/>
      <c r="T2039" s="5"/>
      <c r="U2039" s="5"/>
      <c r="V2039" s="5"/>
      <c r="W2039" s="5"/>
      <c r="X2039" s="5"/>
      <c r="Y2039" s="5"/>
      <c r="Z2039" s="5"/>
      <c r="AA2039" s="5"/>
      <c r="AB2039" s="5"/>
      <c r="AC2039" s="5"/>
      <c r="AD2039" s="5"/>
      <c r="AE2039" s="5"/>
      <c r="AF2039" s="5"/>
      <c r="AG2039" s="5"/>
    </row>
    <row r="2040" ht="15.75" customHeight="1">
      <c r="K2040" t="s">
        <v>3562</v>
      </c>
      <c r="L2040" t="str">
        <f>B149</f>
        <v>H2</v>
      </c>
      <c r="N2040" t="s">
        <v>3563</v>
      </c>
      <c r="O2040">
        <v>1.9124237E7</v>
      </c>
      <c r="P2040">
        <v>1.7012357E7</v>
      </c>
      <c r="Q2040" t="s">
        <v>419</v>
      </c>
      <c r="R2040" s="5"/>
      <c r="S2040" s="5"/>
      <c r="T2040" s="5"/>
      <c r="U2040" s="5"/>
      <c r="V2040" s="5"/>
      <c r="W2040" s="5"/>
      <c r="X2040" s="5"/>
      <c r="Y2040" s="5"/>
      <c r="Z2040" s="5"/>
      <c r="AA2040" s="5"/>
      <c r="AB2040" s="5"/>
      <c r="AC2040" s="5"/>
      <c r="AD2040" s="5"/>
      <c r="AE2040" s="5"/>
      <c r="AF2040" s="5"/>
      <c r="AG2040" s="5"/>
    </row>
    <row r="2041" ht="15.75" customHeight="1">
      <c r="K2041" t="s">
        <v>3564</v>
      </c>
      <c r="L2041" t="str">
        <f>B149</f>
        <v>H2</v>
      </c>
      <c r="N2041" t="s">
        <v>3565</v>
      </c>
      <c r="O2041">
        <v>1.9224614E7</v>
      </c>
      <c r="P2041">
        <v>1.7112734E7</v>
      </c>
      <c r="Q2041" t="s">
        <v>525</v>
      </c>
      <c r="R2041" s="5"/>
      <c r="S2041" s="5"/>
      <c r="T2041" s="5"/>
      <c r="U2041" s="5"/>
      <c r="V2041" s="5"/>
      <c r="W2041" s="5"/>
      <c r="X2041" s="5"/>
      <c r="Y2041" s="5"/>
      <c r="Z2041" s="5"/>
      <c r="AA2041" s="5"/>
      <c r="AB2041" s="5"/>
      <c r="AC2041" s="5"/>
      <c r="AD2041" s="5"/>
      <c r="AE2041" s="5"/>
      <c r="AF2041" s="5"/>
      <c r="AG2041" s="5"/>
    </row>
    <row r="2042" ht="15.75" customHeight="1">
      <c r="K2042" t="s">
        <v>3566</v>
      </c>
      <c r="L2042" t="str">
        <f>B149</f>
        <v>H2</v>
      </c>
      <c r="N2042" t="s">
        <v>3567</v>
      </c>
      <c r="O2042">
        <v>1.9225375E7</v>
      </c>
      <c r="P2042">
        <v>1.7113495E7</v>
      </c>
      <c r="Q2042" t="s">
        <v>448</v>
      </c>
      <c r="R2042" s="5"/>
      <c r="S2042" s="5"/>
      <c r="T2042" s="5"/>
      <c r="U2042" s="5"/>
      <c r="V2042" s="5"/>
      <c r="W2042" s="5"/>
      <c r="X2042" s="5"/>
      <c r="Y2042" s="5"/>
      <c r="Z2042" s="5"/>
      <c r="AA2042" s="5"/>
      <c r="AB2042" s="5"/>
      <c r="AC2042" s="5"/>
      <c r="AD2042" s="5"/>
      <c r="AE2042" s="5"/>
      <c r="AF2042" s="5"/>
      <c r="AG2042" s="5"/>
    </row>
    <row r="2043" ht="15.75" customHeight="1">
      <c r="K2043" t="s">
        <v>3568</v>
      </c>
      <c r="L2043" t="str">
        <f>B149</f>
        <v>H2</v>
      </c>
      <c r="N2043" t="s">
        <v>3569</v>
      </c>
      <c r="O2043">
        <v>1.9244108E7</v>
      </c>
      <c r="P2043">
        <v>1.7132228E7</v>
      </c>
      <c r="Q2043" t="s">
        <v>435</v>
      </c>
      <c r="R2043" s="5"/>
      <c r="S2043" s="5"/>
      <c r="T2043" s="5"/>
      <c r="U2043" s="5"/>
      <c r="V2043" s="5"/>
      <c r="W2043" s="5"/>
      <c r="X2043" s="5"/>
      <c r="Y2043" s="5"/>
      <c r="Z2043" s="5"/>
      <c r="AA2043" s="5"/>
      <c r="AB2043" s="5"/>
      <c r="AC2043" s="5"/>
      <c r="AD2043" s="5"/>
      <c r="AE2043" s="5"/>
      <c r="AF2043" s="5"/>
      <c r="AG2043" s="5"/>
    </row>
    <row r="2044" ht="15.75" customHeight="1">
      <c r="K2044" t="s">
        <v>3570</v>
      </c>
      <c r="L2044" t="str">
        <f>B149</f>
        <v>H2</v>
      </c>
      <c r="N2044" t="s">
        <v>3571</v>
      </c>
      <c r="O2044">
        <v>1.9351349E7</v>
      </c>
      <c r="P2044">
        <v>1.7239469E7</v>
      </c>
      <c r="Q2044" t="s">
        <v>435</v>
      </c>
      <c r="R2044" s="5"/>
      <c r="S2044" s="5"/>
      <c r="T2044" s="5"/>
      <c r="U2044" s="5"/>
      <c r="V2044" s="5"/>
      <c r="W2044" s="5"/>
      <c r="X2044" s="5"/>
      <c r="Y2044" s="5"/>
      <c r="Z2044" s="5"/>
      <c r="AA2044" s="5"/>
      <c r="AB2044" s="5"/>
      <c r="AC2044" s="5"/>
      <c r="AD2044" s="5"/>
      <c r="AE2044" s="5"/>
      <c r="AF2044" s="5"/>
      <c r="AG2044" s="5"/>
    </row>
    <row r="2045" ht="15.75" customHeight="1">
      <c r="K2045" t="s">
        <v>3572</v>
      </c>
      <c r="L2045" t="str">
        <f>B149</f>
        <v>H2</v>
      </c>
      <c r="N2045" t="s">
        <v>3573</v>
      </c>
      <c r="O2045">
        <v>1.9357278E7</v>
      </c>
      <c r="P2045">
        <v>1.7245398E7</v>
      </c>
      <c r="Q2045" t="s">
        <v>431</v>
      </c>
      <c r="R2045" s="5"/>
      <c r="S2045" s="5"/>
      <c r="T2045" s="5"/>
      <c r="U2045" s="5"/>
      <c r="V2045" s="5"/>
      <c r="W2045" s="5"/>
      <c r="X2045" s="5"/>
      <c r="Y2045" s="5"/>
      <c r="Z2045" s="5"/>
      <c r="AA2045" s="5"/>
      <c r="AB2045" s="5"/>
      <c r="AC2045" s="5"/>
      <c r="AD2045" s="5"/>
      <c r="AE2045" s="5"/>
      <c r="AF2045" s="5"/>
      <c r="AG2045" s="5"/>
    </row>
    <row r="2046" ht="15.75" customHeight="1">
      <c r="K2046" t="s">
        <v>3574</v>
      </c>
      <c r="L2046" t="str">
        <f>B149</f>
        <v>H2</v>
      </c>
      <c r="N2046" t="s">
        <v>3575</v>
      </c>
      <c r="O2046">
        <v>1.9360748E7</v>
      </c>
      <c r="P2046">
        <v>1.7248868E7</v>
      </c>
      <c r="Q2046" t="s">
        <v>435</v>
      </c>
      <c r="R2046" s="5"/>
      <c r="S2046" s="5"/>
      <c r="T2046" s="5"/>
      <c r="U2046" s="5"/>
      <c r="V2046" s="5"/>
      <c r="W2046" s="5"/>
      <c r="X2046" s="5"/>
      <c r="Y2046" s="5"/>
      <c r="Z2046" s="5"/>
      <c r="AA2046" s="5"/>
      <c r="AB2046" s="5"/>
      <c r="AC2046" s="5"/>
      <c r="AD2046" s="5"/>
      <c r="AE2046" s="5"/>
      <c r="AF2046" s="5"/>
      <c r="AG2046" s="5"/>
    </row>
    <row r="2047" ht="15.75" customHeight="1">
      <c r="K2047" t="s">
        <v>3576</v>
      </c>
      <c r="L2047" t="str">
        <f>B149</f>
        <v>H2</v>
      </c>
      <c r="N2047" t="s">
        <v>3577</v>
      </c>
      <c r="O2047">
        <v>1.937262E7</v>
      </c>
      <c r="P2047">
        <v>1.726074E7</v>
      </c>
      <c r="Q2047" t="s">
        <v>435</v>
      </c>
      <c r="R2047" s="5"/>
      <c r="S2047" s="5"/>
      <c r="T2047" s="5"/>
      <c r="U2047" s="5"/>
      <c r="V2047" s="5"/>
      <c r="W2047" s="5"/>
      <c r="X2047" s="5"/>
      <c r="Y2047" s="5"/>
      <c r="Z2047" s="5"/>
      <c r="AA2047" s="5"/>
      <c r="AB2047" s="5"/>
      <c r="AC2047" s="5"/>
      <c r="AD2047" s="5"/>
      <c r="AE2047" s="5"/>
      <c r="AF2047" s="5"/>
      <c r="AG2047" s="5"/>
    </row>
    <row r="2048" ht="15.75" customHeight="1">
      <c r="K2048" t="s">
        <v>3578</v>
      </c>
      <c r="L2048" t="str">
        <f>B149</f>
        <v>H2</v>
      </c>
      <c r="N2048" t="s">
        <v>3579</v>
      </c>
      <c r="O2048">
        <v>1.9521258E7</v>
      </c>
      <c r="P2048">
        <v>1.7409378E7</v>
      </c>
      <c r="Q2048" t="s">
        <v>431</v>
      </c>
      <c r="R2048" s="5"/>
      <c r="S2048" s="5"/>
      <c r="T2048" s="5"/>
      <c r="U2048" s="5"/>
      <c r="V2048" s="5"/>
      <c r="W2048" s="5"/>
      <c r="X2048" s="5"/>
      <c r="Y2048" s="5"/>
      <c r="Z2048" s="5"/>
      <c r="AA2048" s="5"/>
      <c r="AB2048" s="5"/>
      <c r="AC2048" s="5"/>
      <c r="AD2048" s="5"/>
      <c r="AE2048" s="5"/>
      <c r="AF2048" s="5"/>
      <c r="AG2048" s="5"/>
    </row>
    <row r="2049" ht="15.75" customHeight="1">
      <c r="K2049" t="s">
        <v>3580</v>
      </c>
      <c r="L2049" t="str">
        <f>B149</f>
        <v>H2</v>
      </c>
      <c r="N2049" t="s">
        <v>3581</v>
      </c>
      <c r="O2049">
        <v>2.1387746E7</v>
      </c>
      <c r="P2049">
        <v>1.922586E7</v>
      </c>
      <c r="Q2049" t="s">
        <v>435</v>
      </c>
      <c r="R2049" s="5"/>
      <c r="S2049" s="5"/>
      <c r="T2049" s="5"/>
      <c r="U2049" s="5"/>
      <c r="V2049" s="5"/>
      <c r="W2049" s="5"/>
      <c r="X2049" s="5"/>
      <c r="Y2049" s="5"/>
      <c r="Z2049" s="5"/>
      <c r="AA2049" s="5"/>
      <c r="AB2049" s="5"/>
      <c r="AC2049" s="5"/>
      <c r="AD2049" s="5"/>
      <c r="AE2049" s="5"/>
      <c r="AF2049" s="5"/>
      <c r="AG2049" s="5"/>
    </row>
    <row r="2050" ht="15.75" customHeight="1">
      <c r="K2050" t="s">
        <v>3582</v>
      </c>
      <c r="L2050" t="str">
        <f>B149</f>
        <v>H2</v>
      </c>
      <c r="O2050">
        <v>2.1411581E7</v>
      </c>
      <c r="P2050">
        <v>1.9249695E7</v>
      </c>
      <c r="Q2050" t="s">
        <v>419</v>
      </c>
      <c r="R2050" s="5"/>
      <c r="S2050" s="5"/>
      <c r="T2050" s="5"/>
      <c r="U2050" s="5"/>
      <c r="V2050" s="5"/>
      <c r="W2050" s="5"/>
      <c r="X2050" s="5"/>
      <c r="Y2050" s="5"/>
      <c r="Z2050" s="5"/>
      <c r="AA2050" s="5"/>
      <c r="AB2050" s="5"/>
      <c r="AC2050" s="5"/>
      <c r="AD2050" s="5"/>
      <c r="AE2050" s="5"/>
      <c r="AF2050" s="5"/>
      <c r="AG2050" s="5"/>
    </row>
    <row r="2051" ht="15.75" customHeight="1">
      <c r="K2051" t="s">
        <v>3583</v>
      </c>
      <c r="L2051" t="str">
        <f>B149</f>
        <v>H2</v>
      </c>
      <c r="N2051" t="s">
        <v>3584</v>
      </c>
      <c r="O2051">
        <v>2.1441419E7</v>
      </c>
      <c r="P2051">
        <v>1.9279533E7</v>
      </c>
      <c r="Q2051" t="s">
        <v>435</v>
      </c>
      <c r="R2051" s="5"/>
      <c r="S2051" s="5"/>
      <c r="T2051" s="5"/>
      <c r="U2051" s="5"/>
      <c r="V2051" s="5"/>
      <c r="W2051" s="5"/>
      <c r="X2051" s="5"/>
      <c r="Y2051" s="5"/>
      <c r="Z2051" s="5"/>
      <c r="AA2051" s="5"/>
      <c r="AB2051" s="5"/>
      <c r="AC2051" s="5"/>
      <c r="AD2051" s="5"/>
      <c r="AE2051" s="5"/>
      <c r="AF2051" s="5"/>
      <c r="AG2051" s="5"/>
    </row>
    <row r="2052" ht="15.75" customHeight="1">
      <c r="K2052" t="s">
        <v>3585</v>
      </c>
      <c r="L2052" t="str">
        <f>B149</f>
        <v>H2</v>
      </c>
      <c r="N2052" t="s">
        <v>3586</v>
      </c>
      <c r="O2052">
        <v>2.1551012E7</v>
      </c>
      <c r="P2052">
        <v>1.9389126E7</v>
      </c>
      <c r="Q2052" t="s">
        <v>435</v>
      </c>
      <c r="R2052" s="5"/>
      <c r="S2052" s="5"/>
      <c r="T2052" s="5"/>
      <c r="U2052" s="5"/>
      <c r="V2052" s="5"/>
      <c r="W2052" s="5"/>
      <c r="X2052" s="5"/>
      <c r="Y2052" s="5"/>
      <c r="Z2052" s="5"/>
      <c r="AA2052" s="5"/>
      <c r="AB2052" s="5"/>
      <c r="AC2052" s="5"/>
      <c r="AD2052" s="5"/>
      <c r="AE2052" s="5"/>
      <c r="AF2052" s="5"/>
      <c r="AG2052" s="5"/>
    </row>
    <row r="2053" ht="15.75" customHeight="1">
      <c r="K2053" t="s">
        <v>3587</v>
      </c>
      <c r="L2053" t="str">
        <f>B149</f>
        <v>H2</v>
      </c>
      <c r="N2053" t="s">
        <v>3588</v>
      </c>
      <c r="O2053">
        <v>2.1715967E7</v>
      </c>
      <c r="P2053">
        <v>1.9554081E7</v>
      </c>
      <c r="Q2053" t="s">
        <v>431</v>
      </c>
      <c r="R2053" s="5"/>
      <c r="S2053" s="5"/>
      <c r="T2053" s="5"/>
      <c r="U2053" s="5"/>
      <c r="V2053" s="5"/>
      <c r="W2053" s="5"/>
      <c r="X2053" s="5"/>
      <c r="Y2053" s="5"/>
      <c r="Z2053" s="5"/>
      <c r="AA2053" s="5"/>
      <c r="AB2053" s="5"/>
      <c r="AC2053" s="5"/>
      <c r="AD2053" s="5"/>
      <c r="AE2053" s="5"/>
      <c r="AF2053" s="5"/>
      <c r="AG2053" s="5"/>
    </row>
    <row r="2054" ht="15.75" customHeight="1">
      <c r="K2054" t="s">
        <v>3589</v>
      </c>
      <c r="L2054" t="str">
        <f>B149</f>
        <v>H2</v>
      </c>
      <c r="N2054" t="s">
        <v>3590</v>
      </c>
      <c r="O2054">
        <v>2.1807412E7</v>
      </c>
      <c r="P2054">
        <v>1.9645526E7</v>
      </c>
      <c r="Q2054" t="s">
        <v>427</v>
      </c>
      <c r="R2054" s="5"/>
      <c r="S2054" s="5"/>
      <c r="T2054" s="5"/>
      <c r="U2054" s="5"/>
      <c r="V2054" s="5"/>
      <c r="W2054" s="5"/>
      <c r="X2054" s="5"/>
      <c r="Y2054" s="5"/>
      <c r="Z2054" s="5"/>
      <c r="AA2054" s="5"/>
      <c r="AB2054" s="5"/>
      <c r="AC2054" s="5"/>
      <c r="AD2054" s="5"/>
      <c r="AE2054" s="5"/>
      <c r="AF2054" s="5"/>
      <c r="AG2054" s="5"/>
    </row>
    <row r="2055" ht="15.75" customHeight="1">
      <c r="K2055" t="s">
        <v>3591</v>
      </c>
      <c r="L2055" t="str">
        <f>B149</f>
        <v>H2</v>
      </c>
      <c r="N2055" t="s">
        <v>3592</v>
      </c>
      <c r="O2055">
        <v>2.1892137E7</v>
      </c>
      <c r="P2055">
        <v>1.9730251E7</v>
      </c>
      <c r="Q2055" t="s">
        <v>419</v>
      </c>
      <c r="R2055" s="5"/>
      <c r="S2055" s="5"/>
      <c r="T2055" s="5"/>
      <c r="U2055" s="5"/>
      <c r="V2055" s="5"/>
      <c r="W2055" s="5"/>
      <c r="X2055" s="5"/>
      <c r="Y2055" s="5"/>
      <c r="Z2055" s="5"/>
      <c r="AA2055" s="5"/>
      <c r="AB2055" s="5"/>
      <c r="AC2055" s="5"/>
      <c r="AD2055" s="5"/>
      <c r="AE2055" s="5"/>
      <c r="AF2055" s="5"/>
      <c r="AG2055" s="5"/>
    </row>
    <row r="2056" ht="15.75" customHeight="1">
      <c r="K2056" t="s">
        <v>3593</v>
      </c>
      <c r="L2056" t="str">
        <f>B149</f>
        <v>H2</v>
      </c>
      <c r="N2056" t="s">
        <v>3594</v>
      </c>
      <c r="O2056">
        <v>2.1946717E7</v>
      </c>
      <c r="P2056">
        <v>1.9784831E7</v>
      </c>
      <c r="Q2056" t="s">
        <v>419</v>
      </c>
      <c r="R2056" s="5"/>
      <c r="S2056" s="5"/>
      <c r="T2056" s="5"/>
      <c r="U2056" s="5"/>
      <c r="V2056" s="5"/>
      <c r="W2056" s="5"/>
      <c r="X2056" s="5"/>
      <c r="Y2056" s="5"/>
      <c r="Z2056" s="5"/>
      <c r="AA2056" s="5"/>
      <c r="AB2056" s="5"/>
      <c r="AC2056" s="5"/>
      <c r="AD2056" s="5"/>
      <c r="AE2056" s="5"/>
      <c r="AF2056" s="5"/>
      <c r="AG2056" s="5"/>
    </row>
    <row r="2057" ht="15.75" customHeight="1">
      <c r="K2057" t="s">
        <v>3595</v>
      </c>
      <c r="L2057" t="str">
        <f>B149</f>
        <v>H2</v>
      </c>
      <c r="N2057" t="s">
        <v>3596</v>
      </c>
      <c r="O2057">
        <v>2.2202349E7</v>
      </c>
      <c r="P2057">
        <v>2.0040463E7</v>
      </c>
      <c r="Q2057" t="s">
        <v>427</v>
      </c>
      <c r="R2057" s="5"/>
      <c r="S2057" s="5"/>
      <c r="T2057" s="5"/>
      <c r="U2057" s="5"/>
      <c r="V2057" s="5"/>
      <c r="W2057" s="5"/>
      <c r="X2057" s="5"/>
      <c r="Y2057" s="5"/>
      <c r="Z2057" s="5"/>
      <c r="AA2057" s="5"/>
      <c r="AB2057" s="5"/>
      <c r="AC2057" s="5"/>
      <c r="AD2057" s="5"/>
      <c r="AE2057" s="5"/>
      <c r="AF2057" s="5"/>
      <c r="AG2057" s="5"/>
    </row>
    <row r="2058" ht="15.75" customHeight="1">
      <c r="K2058" t="s">
        <v>3597</v>
      </c>
      <c r="L2058" t="str">
        <f>B149</f>
        <v>H2</v>
      </c>
      <c r="N2058" t="s">
        <v>3598</v>
      </c>
      <c r="O2058">
        <v>2.2202792E7</v>
      </c>
      <c r="P2058">
        <v>2.0040906E7</v>
      </c>
      <c r="Q2058" t="s">
        <v>427</v>
      </c>
      <c r="R2058" s="5"/>
      <c r="S2058" s="5"/>
      <c r="T2058" s="5"/>
      <c r="U2058" s="5"/>
      <c r="V2058" s="5"/>
      <c r="W2058" s="5"/>
      <c r="X2058" s="5"/>
      <c r="Y2058" s="5"/>
      <c r="Z2058" s="5"/>
      <c r="AA2058" s="5"/>
      <c r="AB2058" s="5"/>
      <c r="AC2058" s="5"/>
      <c r="AD2058" s="5"/>
      <c r="AE2058" s="5"/>
      <c r="AF2058" s="5"/>
      <c r="AG2058" s="5"/>
    </row>
    <row r="2059" ht="15.75" customHeight="1">
      <c r="K2059" t="s">
        <v>3599</v>
      </c>
      <c r="L2059" t="str">
        <f>B149</f>
        <v>H2</v>
      </c>
      <c r="N2059" t="s">
        <v>3600</v>
      </c>
      <c r="O2059">
        <v>2.2549206E7</v>
      </c>
      <c r="P2059">
        <v>2.038732E7</v>
      </c>
      <c r="Q2059" t="s">
        <v>423</v>
      </c>
      <c r="R2059" s="5"/>
      <c r="S2059" s="5"/>
      <c r="T2059" s="5"/>
      <c r="U2059" s="5"/>
      <c r="V2059" s="5"/>
      <c r="W2059" s="5"/>
      <c r="X2059" s="5"/>
      <c r="Y2059" s="5"/>
      <c r="Z2059" s="5"/>
      <c r="AA2059" s="5"/>
      <c r="AB2059" s="5"/>
      <c r="AC2059" s="5"/>
      <c r="AD2059" s="5"/>
      <c r="AE2059" s="5"/>
      <c r="AF2059" s="5"/>
      <c r="AG2059" s="5"/>
    </row>
    <row r="2060" ht="15.75" customHeight="1">
      <c r="K2060" t="s">
        <v>3601</v>
      </c>
      <c r="L2060" t="str">
        <f>B149</f>
        <v>H2</v>
      </c>
      <c r="N2060" t="s">
        <v>3602</v>
      </c>
      <c r="O2060">
        <v>2.256642E7</v>
      </c>
      <c r="P2060">
        <v>2.0404534E7</v>
      </c>
      <c r="Q2060" t="s">
        <v>423</v>
      </c>
      <c r="R2060" s="5"/>
      <c r="S2060" s="5"/>
      <c r="T2060" s="5"/>
      <c r="U2060" s="5"/>
      <c r="V2060" s="5"/>
      <c r="W2060" s="5"/>
      <c r="X2060" s="5"/>
      <c r="Y2060" s="5"/>
      <c r="Z2060" s="5"/>
      <c r="AA2060" s="5"/>
      <c r="AB2060" s="5"/>
      <c r="AC2060" s="5"/>
      <c r="AD2060" s="5"/>
      <c r="AE2060" s="5"/>
      <c r="AF2060" s="5"/>
      <c r="AG2060" s="5"/>
    </row>
    <row r="2061" ht="15.75" customHeight="1">
      <c r="K2061" t="s">
        <v>3603</v>
      </c>
      <c r="L2061" t="str">
        <f>B149</f>
        <v>H2</v>
      </c>
      <c r="N2061" t="s">
        <v>3604</v>
      </c>
      <c r="O2061">
        <v>2.2590375E7</v>
      </c>
      <c r="P2061">
        <v>2.0428489E7</v>
      </c>
      <c r="Q2061" t="s">
        <v>431</v>
      </c>
      <c r="R2061" s="5"/>
      <c r="S2061" s="5"/>
      <c r="T2061" s="5"/>
      <c r="U2061" s="5"/>
      <c r="V2061" s="5"/>
      <c r="W2061" s="5"/>
      <c r="X2061" s="5"/>
      <c r="Y2061" s="5"/>
      <c r="Z2061" s="5"/>
      <c r="AA2061" s="5"/>
      <c r="AB2061" s="5"/>
      <c r="AC2061" s="5"/>
      <c r="AD2061" s="5"/>
      <c r="AE2061" s="5"/>
      <c r="AF2061" s="5"/>
      <c r="AG2061" s="5"/>
    </row>
    <row r="2062" ht="15.75" customHeight="1">
      <c r="K2062" t="s">
        <v>3605</v>
      </c>
      <c r="L2062" t="str">
        <f>B149</f>
        <v>H2</v>
      </c>
      <c r="N2062" t="s">
        <v>3606</v>
      </c>
      <c r="O2062">
        <v>2.261327E7</v>
      </c>
      <c r="P2062">
        <v>2.0451384E7</v>
      </c>
      <c r="Q2062" t="s">
        <v>452</v>
      </c>
      <c r="R2062" s="5"/>
      <c r="S2062" s="5"/>
      <c r="T2062" s="5"/>
      <c r="U2062" s="5"/>
      <c r="V2062" s="5"/>
      <c r="W2062" s="5"/>
      <c r="X2062" s="5"/>
      <c r="Y2062" s="5"/>
      <c r="Z2062" s="5"/>
      <c r="AA2062" s="5"/>
      <c r="AB2062" s="5"/>
      <c r="AC2062" s="5"/>
      <c r="AD2062" s="5"/>
      <c r="AE2062" s="5"/>
      <c r="AF2062" s="5"/>
      <c r="AG2062" s="5"/>
    </row>
    <row r="2063" ht="15.75" customHeight="1">
      <c r="K2063" t="s">
        <v>3607</v>
      </c>
      <c r="L2063" t="str">
        <f>B149</f>
        <v>H2</v>
      </c>
      <c r="N2063" t="s">
        <v>3608</v>
      </c>
      <c r="O2063">
        <v>2.2631194E7</v>
      </c>
      <c r="P2063">
        <v>2.0469308E7</v>
      </c>
      <c r="Q2063" t="s">
        <v>423</v>
      </c>
      <c r="R2063" s="5"/>
      <c r="S2063" s="5"/>
      <c r="T2063" s="5"/>
      <c r="U2063" s="5"/>
      <c r="V2063" s="5"/>
      <c r="W2063" s="5"/>
      <c r="X2063" s="5"/>
      <c r="Y2063" s="5"/>
      <c r="Z2063" s="5"/>
      <c r="AA2063" s="5"/>
      <c r="AB2063" s="5"/>
      <c r="AC2063" s="5"/>
      <c r="AD2063" s="5"/>
      <c r="AE2063" s="5"/>
      <c r="AF2063" s="5"/>
      <c r="AG2063" s="5"/>
    </row>
    <row r="2064" ht="15.75" customHeight="1">
      <c r="K2064" t="s">
        <v>3609</v>
      </c>
      <c r="L2064" t="str">
        <f>B149</f>
        <v>H2</v>
      </c>
      <c r="N2064" t="s">
        <v>3610</v>
      </c>
      <c r="O2064">
        <v>2.2824369E7</v>
      </c>
      <c r="P2064">
        <v>2.0662483E7</v>
      </c>
      <c r="Q2064" t="s">
        <v>553</v>
      </c>
      <c r="R2064" s="5"/>
      <c r="S2064" s="5"/>
      <c r="T2064" s="5"/>
      <c r="U2064" s="5"/>
      <c r="V2064" s="5"/>
      <c r="W2064" s="5"/>
      <c r="X2064" s="5"/>
      <c r="Y2064" s="5"/>
      <c r="Z2064" s="5"/>
      <c r="AA2064" s="5"/>
      <c r="AB2064" s="5"/>
      <c r="AC2064" s="5"/>
      <c r="AD2064" s="5"/>
      <c r="AE2064" s="5"/>
      <c r="AF2064" s="5"/>
      <c r="AG2064" s="5"/>
    </row>
    <row r="2065" ht="15.75" customHeight="1">
      <c r="K2065" t="s">
        <v>3611</v>
      </c>
      <c r="L2065" t="str">
        <f>B149</f>
        <v>H2</v>
      </c>
      <c r="N2065" t="s">
        <v>3612</v>
      </c>
      <c r="O2065">
        <v>2.2828625E7</v>
      </c>
      <c r="P2065">
        <v>2.0666739E7</v>
      </c>
      <c r="Q2065" t="s">
        <v>435</v>
      </c>
      <c r="R2065" s="5"/>
      <c r="S2065" s="5"/>
      <c r="T2065" s="5"/>
      <c r="U2065" s="5"/>
      <c r="V2065" s="5"/>
      <c r="W2065" s="5"/>
      <c r="X2065" s="5"/>
      <c r="Y2065" s="5"/>
      <c r="Z2065" s="5"/>
      <c r="AA2065" s="5"/>
      <c r="AB2065" s="5"/>
      <c r="AC2065" s="5"/>
      <c r="AD2065" s="5"/>
      <c r="AE2065" s="5"/>
      <c r="AF2065" s="5"/>
      <c r="AG2065" s="5"/>
    </row>
    <row r="2066" ht="15.75" customHeight="1">
      <c r="K2066" t="s">
        <v>3613</v>
      </c>
      <c r="L2066" t="str">
        <f>B149</f>
        <v>H2</v>
      </c>
      <c r="N2066" t="s">
        <v>3614</v>
      </c>
      <c r="O2066">
        <v>2.2935807E7</v>
      </c>
      <c r="P2066">
        <v>2.0773921E7</v>
      </c>
      <c r="Q2066" t="s">
        <v>435</v>
      </c>
      <c r="R2066" s="5"/>
      <c r="S2066" s="5"/>
      <c r="T2066" s="5"/>
      <c r="U2066" s="5"/>
      <c r="V2066" s="5"/>
      <c r="W2066" s="5"/>
      <c r="X2066" s="5"/>
      <c r="Y2066" s="5"/>
      <c r="Z2066" s="5"/>
      <c r="AA2066" s="5"/>
      <c r="AB2066" s="5"/>
      <c r="AC2066" s="5"/>
      <c r="AD2066" s="5"/>
      <c r="AE2066" s="5"/>
      <c r="AF2066" s="5"/>
      <c r="AG2066" s="5"/>
    </row>
    <row r="2067" ht="15.75" customHeight="1">
      <c r="K2067" t="s">
        <v>3615</v>
      </c>
      <c r="L2067" t="str">
        <f>B149</f>
        <v>H2</v>
      </c>
      <c r="N2067" t="s">
        <v>3616</v>
      </c>
      <c r="O2067">
        <v>2.2976781E7</v>
      </c>
      <c r="P2067">
        <v>2.0814895E7</v>
      </c>
      <c r="Q2067" t="s">
        <v>419</v>
      </c>
      <c r="R2067" s="5"/>
      <c r="S2067" s="5"/>
      <c r="T2067" s="5"/>
      <c r="U2067" s="5"/>
      <c r="V2067" s="5"/>
      <c r="W2067" s="5"/>
      <c r="X2067" s="5"/>
      <c r="Y2067" s="5"/>
      <c r="Z2067" s="5"/>
      <c r="AA2067" s="5"/>
      <c r="AB2067" s="5"/>
      <c r="AC2067" s="5"/>
      <c r="AD2067" s="5"/>
      <c r="AE2067" s="5"/>
      <c r="AF2067" s="5"/>
      <c r="AG2067" s="5"/>
    </row>
    <row r="2068" ht="15.75" customHeight="1">
      <c r="K2068" t="s">
        <v>3617</v>
      </c>
      <c r="L2068" t="str">
        <f>B149</f>
        <v>H2</v>
      </c>
      <c r="N2068" t="s">
        <v>3618</v>
      </c>
      <c r="O2068">
        <v>2.304374E7</v>
      </c>
      <c r="P2068">
        <v>2.0881854E7</v>
      </c>
      <c r="Q2068" t="s">
        <v>435</v>
      </c>
      <c r="R2068" s="5"/>
      <c r="S2068" s="5"/>
      <c r="T2068" s="5"/>
      <c r="U2068" s="5"/>
      <c r="V2068" s="5"/>
      <c r="W2068" s="5"/>
      <c r="X2068" s="5"/>
      <c r="Y2068" s="5"/>
      <c r="Z2068" s="5"/>
      <c r="AA2068" s="5"/>
      <c r="AB2068" s="5"/>
      <c r="AC2068" s="5"/>
      <c r="AD2068" s="5"/>
      <c r="AE2068" s="5"/>
      <c r="AF2068" s="5"/>
      <c r="AG2068" s="5"/>
    </row>
    <row r="2069" ht="15.75" customHeight="1">
      <c r="K2069" t="s">
        <v>3619</v>
      </c>
      <c r="L2069" t="str">
        <f>B149</f>
        <v>H2</v>
      </c>
      <c r="N2069" t="s">
        <v>3620</v>
      </c>
      <c r="O2069">
        <v>2.3129781E7</v>
      </c>
      <c r="P2069">
        <v>2.0967895E7</v>
      </c>
      <c r="Q2069" t="s">
        <v>431</v>
      </c>
      <c r="R2069" s="5"/>
      <c r="S2069" s="5"/>
      <c r="T2069" s="5"/>
      <c r="U2069" s="5"/>
      <c r="V2069" s="5"/>
      <c r="W2069" s="5"/>
      <c r="X2069" s="5"/>
      <c r="Y2069" s="5"/>
      <c r="Z2069" s="5"/>
      <c r="AA2069" s="5"/>
      <c r="AB2069" s="5"/>
      <c r="AC2069" s="5"/>
      <c r="AD2069" s="5"/>
      <c r="AE2069" s="5"/>
      <c r="AF2069" s="5"/>
      <c r="AG2069" s="5"/>
    </row>
    <row r="2070" ht="15.75" customHeight="1">
      <c r="K2070" t="s">
        <v>3621</v>
      </c>
      <c r="L2070" t="str">
        <f>B149</f>
        <v>H2</v>
      </c>
      <c r="N2070" t="s">
        <v>3622</v>
      </c>
      <c r="O2070">
        <v>2.3186865E7</v>
      </c>
      <c r="P2070">
        <v>2.1024979E7</v>
      </c>
      <c r="Q2070" t="s">
        <v>448</v>
      </c>
      <c r="R2070" s="5"/>
      <c r="S2070" s="5"/>
      <c r="T2070" s="5"/>
      <c r="U2070" s="5"/>
      <c r="V2070" s="5"/>
      <c r="W2070" s="5"/>
      <c r="X2070" s="5"/>
      <c r="Y2070" s="5"/>
      <c r="Z2070" s="5"/>
      <c r="AA2070" s="5"/>
      <c r="AB2070" s="5"/>
      <c r="AC2070" s="5"/>
      <c r="AD2070" s="5"/>
      <c r="AE2070" s="5"/>
      <c r="AF2070" s="5"/>
      <c r="AG2070" s="5"/>
    </row>
    <row r="2071" ht="15.75" customHeight="1">
      <c r="K2071" t="s">
        <v>3623</v>
      </c>
      <c r="L2071" t="str">
        <f>B149</f>
        <v>H2</v>
      </c>
      <c r="N2071" t="s">
        <v>3624</v>
      </c>
      <c r="O2071">
        <v>2.3187073E7</v>
      </c>
      <c r="P2071">
        <v>2.1025187E7</v>
      </c>
      <c r="Q2071" t="s">
        <v>423</v>
      </c>
      <c r="R2071" s="5"/>
      <c r="S2071" s="5"/>
      <c r="T2071" s="5"/>
      <c r="U2071" s="5"/>
      <c r="V2071" s="5"/>
      <c r="W2071" s="5"/>
      <c r="X2071" s="5"/>
      <c r="Y2071" s="5"/>
      <c r="Z2071" s="5"/>
      <c r="AA2071" s="5"/>
      <c r="AB2071" s="5"/>
      <c r="AC2071" s="5"/>
      <c r="AD2071" s="5"/>
      <c r="AE2071" s="5"/>
      <c r="AF2071" s="5"/>
      <c r="AG2071" s="5"/>
    </row>
    <row r="2072" ht="15.75" customHeight="1">
      <c r="K2072" t="s">
        <v>3625</v>
      </c>
      <c r="L2072" t="str">
        <f>B149</f>
        <v>H2</v>
      </c>
      <c r="N2072" t="s">
        <v>3626</v>
      </c>
      <c r="O2072">
        <v>2.3193728E7</v>
      </c>
      <c r="P2072">
        <v>2.1031842E7</v>
      </c>
      <c r="Q2072" t="s">
        <v>423</v>
      </c>
      <c r="R2072" s="5"/>
      <c r="S2072" s="5"/>
      <c r="T2072" s="5"/>
      <c r="U2072" s="5"/>
      <c r="V2072" s="5"/>
      <c r="W2072" s="5"/>
      <c r="X2072" s="5"/>
      <c r="Y2072" s="5"/>
      <c r="Z2072" s="5"/>
      <c r="AA2072" s="5"/>
      <c r="AB2072" s="5"/>
      <c r="AC2072" s="5"/>
      <c r="AD2072" s="5"/>
      <c r="AE2072" s="5"/>
      <c r="AF2072" s="5"/>
      <c r="AG2072" s="5"/>
    </row>
    <row r="2073" ht="15.75" customHeight="1">
      <c r="K2073" t="s">
        <v>3627</v>
      </c>
      <c r="L2073" t="str">
        <f>B149</f>
        <v>H2</v>
      </c>
      <c r="N2073" t="s">
        <v>3628</v>
      </c>
      <c r="O2073">
        <v>2.3425961E7</v>
      </c>
      <c r="P2073">
        <v>2.1264075E7</v>
      </c>
      <c r="Q2073" t="s">
        <v>431</v>
      </c>
      <c r="R2073" s="5"/>
      <c r="S2073" s="5"/>
      <c r="T2073" s="5"/>
      <c r="U2073" s="5"/>
      <c r="V2073" s="5"/>
      <c r="W2073" s="5"/>
      <c r="X2073" s="5"/>
      <c r="Y2073" s="5"/>
      <c r="Z2073" s="5"/>
      <c r="AA2073" s="5"/>
      <c r="AB2073" s="5"/>
      <c r="AC2073" s="5"/>
      <c r="AD2073" s="5"/>
      <c r="AE2073" s="5"/>
      <c r="AF2073" s="5"/>
      <c r="AG2073" s="5"/>
    </row>
    <row r="2074" ht="15.75" customHeight="1">
      <c r="K2074" t="s">
        <v>3629</v>
      </c>
      <c r="L2074" t="str">
        <f>B149</f>
        <v>H2</v>
      </c>
      <c r="N2074" t="s">
        <v>3630</v>
      </c>
      <c r="O2074">
        <v>2.3451788E7</v>
      </c>
      <c r="P2074">
        <v>2.1289902E7</v>
      </c>
      <c r="Q2074" t="s">
        <v>427</v>
      </c>
      <c r="R2074" s="5"/>
      <c r="S2074" s="5"/>
      <c r="T2074" s="5"/>
      <c r="U2074" s="5"/>
      <c r="V2074" s="5"/>
      <c r="W2074" s="5"/>
      <c r="X2074" s="5"/>
      <c r="Y2074" s="5"/>
      <c r="Z2074" s="5"/>
      <c r="AA2074" s="5"/>
      <c r="AB2074" s="5"/>
      <c r="AC2074" s="5"/>
      <c r="AD2074" s="5"/>
      <c r="AE2074" s="5"/>
      <c r="AF2074" s="5"/>
      <c r="AG2074" s="5"/>
    </row>
    <row r="2075" ht="15.75" customHeight="1">
      <c r="K2075" t="s">
        <v>3631</v>
      </c>
      <c r="L2075" t="str">
        <f>B149</f>
        <v>H2</v>
      </c>
      <c r="N2075" t="s">
        <v>3632</v>
      </c>
      <c r="O2075">
        <v>2.3452848E7</v>
      </c>
      <c r="P2075">
        <v>2.1290962E7</v>
      </c>
      <c r="Q2075" t="s">
        <v>423</v>
      </c>
      <c r="R2075" s="5"/>
      <c r="S2075" s="5"/>
      <c r="T2075" s="5"/>
      <c r="U2075" s="5"/>
      <c r="V2075" s="5"/>
      <c r="W2075" s="5"/>
      <c r="X2075" s="5"/>
      <c r="Y2075" s="5"/>
      <c r="Z2075" s="5"/>
      <c r="AA2075" s="5"/>
      <c r="AB2075" s="5"/>
      <c r="AC2075" s="5"/>
      <c r="AD2075" s="5"/>
      <c r="AE2075" s="5"/>
      <c r="AF2075" s="5"/>
      <c r="AG2075" s="5"/>
    </row>
    <row r="2076" ht="15.75" customHeight="1">
      <c r="K2076" t="s">
        <v>3633</v>
      </c>
      <c r="L2076" t="str">
        <f>B149</f>
        <v>H2</v>
      </c>
      <c r="O2076">
        <v>2.3496778E7</v>
      </c>
      <c r="P2076">
        <v>2.1334892E7</v>
      </c>
      <c r="Q2076" t="s">
        <v>452</v>
      </c>
      <c r="R2076" s="5"/>
      <c r="S2076" s="5"/>
      <c r="T2076" s="5"/>
      <c r="U2076" s="5"/>
      <c r="V2076" s="5"/>
      <c r="W2076" s="5"/>
      <c r="X2076" s="5"/>
      <c r="Y2076" s="5"/>
      <c r="Z2076" s="5"/>
      <c r="AA2076" s="5"/>
      <c r="AB2076" s="5"/>
      <c r="AC2076" s="5"/>
      <c r="AD2076" s="5"/>
      <c r="AE2076" s="5"/>
      <c r="AF2076" s="5"/>
      <c r="AG2076" s="5"/>
    </row>
    <row r="2077" ht="15.75" customHeight="1">
      <c r="K2077" t="s">
        <v>3634</v>
      </c>
      <c r="L2077" t="str">
        <f>B149</f>
        <v>H2</v>
      </c>
      <c r="O2077">
        <v>2.6537311E7</v>
      </c>
      <c r="P2077">
        <v>2.6537311E7</v>
      </c>
      <c r="Q2077" t="s">
        <v>423</v>
      </c>
      <c r="R2077" s="5"/>
      <c r="S2077" s="5"/>
      <c r="T2077" s="5"/>
      <c r="U2077" s="5"/>
      <c r="V2077" s="5"/>
      <c r="W2077" s="5"/>
      <c r="X2077" s="5"/>
      <c r="Y2077" s="5"/>
      <c r="Z2077" s="5"/>
      <c r="AA2077" s="5"/>
      <c r="AB2077" s="5"/>
      <c r="AC2077" s="5"/>
      <c r="AD2077" s="5"/>
      <c r="AE2077" s="5"/>
      <c r="AF2077" s="5"/>
      <c r="AG2077" s="5"/>
    </row>
    <row r="2078" ht="15.75" customHeight="1">
      <c r="K2078" t="s">
        <v>3635</v>
      </c>
      <c r="L2078" t="str">
        <f>B149</f>
        <v>H2</v>
      </c>
      <c r="O2078">
        <v>2.878914E7</v>
      </c>
      <c r="P2078">
        <v>2.6642993E7</v>
      </c>
      <c r="Q2078" t="s">
        <v>423</v>
      </c>
      <c r="R2078" s="5"/>
      <c r="S2078" s="5"/>
      <c r="T2078" s="5"/>
      <c r="U2078" s="5"/>
      <c r="V2078" s="5"/>
      <c r="W2078" s="5"/>
      <c r="X2078" s="5"/>
      <c r="Y2078" s="5"/>
      <c r="Z2078" s="5"/>
      <c r="AA2078" s="5"/>
      <c r="AB2078" s="5"/>
      <c r="AC2078" s="5"/>
      <c r="AD2078" s="5"/>
      <c r="AE2078" s="5"/>
      <c r="AF2078" s="5"/>
      <c r="AG2078" s="5"/>
    </row>
    <row r="2079" ht="15.75" customHeight="1">
      <c r="K2079" t="s">
        <v>3636</v>
      </c>
      <c r="L2079" t="str">
        <f t="shared" ref="L2079:L2080" si="45">B149</f>
        <v>H2</v>
      </c>
      <c r="N2079" t="s">
        <v>3637</v>
      </c>
      <c r="O2079">
        <v>2.8802025E7</v>
      </c>
      <c r="P2079">
        <v>2.6655878E7</v>
      </c>
      <c r="Q2079" t="s">
        <v>427</v>
      </c>
      <c r="R2079" s="5"/>
      <c r="S2079" s="5"/>
      <c r="T2079" s="5"/>
      <c r="U2079" s="5"/>
      <c r="V2079" s="5"/>
      <c r="W2079" s="5"/>
      <c r="X2079" s="5"/>
      <c r="Y2079" s="5"/>
      <c r="Z2079" s="5"/>
      <c r="AA2079" s="5"/>
      <c r="AB2079" s="5"/>
      <c r="AC2079" s="5"/>
      <c r="AD2079" s="5"/>
      <c r="AE2079" s="5"/>
      <c r="AF2079" s="5"/>
      <c r="AG2079" s="5"/>
    </row>
    <row r="2080" ht="15.75" customHeight="1">
      <c r="K2080" t="s">
        <v>3638</v>
      </c>
      <c r="L2080" t="str">
        <f t="shared" si="45"/>
        <v>H2~</v>
      </c>
      <c r="N2080" t="s">
        <v>3639</v>
      </c>
      <c r="O2080">
        <v>1.3678185E7</v>
      </c>
      <c r="P2080">
        <v>1.1522509E7</v>
      </c>
      <c r="Q2080" t="s">
        <v>419</v>
      </c>
      <c r="R2080" s="5"/>
      <c r="S2080" s="5"/>
      <c r="T2080" s="5"/>
      <c r="U2080" s="5"/>
      <c r="V2080" s="5"/>
      <c r="W2080" s="5"/>
      <c r="X2080" s="5"/>
      <c r="Y2080" s="5"/>
      <c r="Z2080" s="5"/>
      <c r="AA2080" s="5"/>
      <c r="AB2080" s="5"/>
      <c r="AC2080" s="5"/>
      <c r="AD2080" s="5"/>
      <c r="AE2080" s="5"/>
      <c r="AF2080" s="5"/>
      <c r="AG2080" s="5"/>
    </row>
    <row r="2081" ht="15.75" customHeight="1">
      <c r="K2081" t="s">
        <v>3640</v>
      </c>
      <c r="L2081" t="str">
        <f>B150</f>
        <v>H2~</v>
      </c>
      <c r="N2081" t="s">
        <v>3641</v>
      </c>
      <c r="O2081">
        <v>8686929.0</v>
      </c>
      <c r="P2081">
        <v>8818888.0</v>
      </c>
      <c r="Q2081" t="s">
        <v>419</v>
      </c>
      <c r="R2081" s="5"/>
      <c r="S2081" s="5"/>
      <c r="T2081" s="5"/>
      <c r="U2081" s="5"/>
      <c r="V2081" s="5"/>
      <c r="W2081" s="5"/>
      <c r="X2081" s="5"/>
      <c r="Y2081" s="5"/>
      <c r="Z2081" s="5"/>
      <c r="AA2081" s="5"/>
      <c r="AB2081" s="5"/>
      <c r="AC2081" s="5"/>
      <c r="AD2081" s="5"/>
      <c r="AE2081" s="5"/>
      <c r="AF2081" s="5"/>
      <c r="AG2081" s="5"/>
    </row>
    <row r="2082" ht="15.75" customHeight="1">
      <c r="K2082" t="s">
        <v>3642</v>
      </c>
      <c r="L2082" t="str">
        <f>B150</f>
        <v>H2~</v>
      </c>
      <c r="N2082" t="s">
        <v>3643</v>
      </c>
      <c r="O2082">
        <v>1.6337179E7</v>
      </c>
      <c r="P2082">
        <v>1.4225299E7</v>
      </c>
      <c r="Q2082" t="s">
        <v>419</v>
      </c>
      <c r="R2082" s="5"/>
      <c r="S2082" s="5"/>
      <c r="T2082" s="5"/>
      <c r="U2082" s="5"/>
      <c r="V2082" s="5"/>
      <c r="W2082" s="5"/>
      <c r="X2082" s="5"/>
      <c r="Y2082" s="5"/>
      <c r="Z2082" s="5"/>
      <c r="AA2082" s="5"/>
      <c r="AB2082" s="5"/>
      <c r="AC2082" s="5"/>
      <c r="AD2082" s="5"/>
      <c r="AE2082" s="5"/>
      <c r="AF2082" s="5"/>
      <c r="AG2082" s="5"/>
    </row>
    <row r="2083" ht="15.75" customHeight="1">
      <c r="K2083" t="s">
        <v>3644</v>
      </c>
      <c r="L2083" t="str">
        <f>B150</f>
        <v>H2~</v>
      </c>
      <c r="N2083" t="s">
        <v>3645</v>
      </c>
      <c r="O2083">
        <v>8441583.0</v>
      </c>
      <c r="P2083">
        <v>8573542.0</v>
      </c>
      <c r="Q2083" t="s">
        <v>435</v>
      </c>
      <c r="R2083" s="5"/>
      <c r="S2083" s="5"/>
      <c r="T2083" s="5"/>
      <c r="U2083" s="5"/>
      <c r="V2083" s="5"/>
      <c r="W2083" s="5"/>
      <c r="X2083" s="5"/>
      <c r="Y2083" s="5"/>
      <c r="Z2083" s="5"/>
      <c r="AA2083" s="5"/>
      <c r="AB2083" s="5"/>
      <c r="AC2083" s="5"/>
      <c r="AD2083" s="5"/>
      <c r="AE2083" s="5"/>
      <c r="AF2083" s="5"/>
      <c r="AG2083" s="5"/>
    </row>
    <row r="2084" ht="15.75" customHeight="1">
      <c r="K2084" t="s">
        <v>3646</v>
      </c>
      <c r="L2084" t="str">
        <f>B150</f>
        <v>H2~</v>
      </c>
      <c r="N2084" t="s">
        <v>3647</v>
      </c>
      <c r="O2084">
        <v>1.6506477E7</v>
      </c>
      <c r="P2084">
        <v>1.4394597E7</v>
      </c>
      <c r="Q2084" t="s">
        <v>423</v>
      </c>
      <c r="R2084" s="5"/>
      <c r="S2084" s="5"/>
      <c r="T2084" s="5"/>
      <c r="U2084" s="5"/>
      <c r="V2084" s="5"/>
      <c r="W2084" s="5"/>
      <c r="X2084" s="5"/>
      <c r="Y2084" s="5"/>
      <c r="Z2084" s="5"/>
      <c r="AA2084" s="5"/>
      <c r="AB2084" s="5"/>
      <c r="AC2084" s="5"/>
      <c r="AD2084" s="5"/>
      <c r="AE2084" s="5"/>
      <c r="AF2084" s="5"/>
      <c r="AG2084" s="5"/>
    </row>
    <row r="2085" ht="15.75" customHeight="1">
      <c r="K2085" t="s">
        <v>3648</v>
      </c>
      <c r="L2085" t="str">
        <f>B150</f>
        <v>H2~</v>
      </c>
      <c r="O2085">
        <v>1.9091927E7</v>
      </c>
      <c r="P2085">
        <v>1.6980047E7</v>
      </c>
      <c r="Q2085" t="s">
        <v>476</v>
      </c>
      <c r="R2085" s="5"/>
      <c r="S2085" s="5"/>
      <c r="T2085" s="5"/>
      <c r="U2085" s="5"/>
      <c r="V2085" s="5"/>
      <c r="W2085" s="5"/>
      <c r="X2085" s="5"/>
      <c r="Y2085" s="5"/>
      <c r="Z2085" s="5"/>
      <c r="AA2085" s="5"/>
      <c r="AB2085" s="5"/>
      <c r="AC2085" s="5"/>
      <c r="AD2085" s="5"/>
      <c r="AE2085" s="5"/>
      <c r="AF2085" s="5"/>
      <c r="AG2085" s="5"/>
    </row>
    <row r="2086" ht="15.75" customHeight="1">
      <c r="K2086" t="s">
        <v>3649</v>
      </c>
      <c r="L2086" t="str">
        <f>B150</f>
        <v>H2~</v>
      </c>
      <c r="O2086">
        <v>1.7419493E7</v>
      </c>
      <c r="P2086">
        <v>1.5307613E7</v>
      </c>
      <c r="Q2086" t="s">
        <v>427</v>
      </c>
      <c r="R2086" s="5"/>
      <c r="S2086" s="5"/>
      <c r="T2086" s="5"/>
      <c r="U2086" s="5"/>
      <c r="V2086" s="5"/>
      <c r="W2086" s="5"/>
      <c r="X2086" s="5"/>
      <c r="Y2086" s="5"/>
      <c r="Z2086" s="5"/>
      <c r="AA2086" s="5"/>
      <c r="AB2086" s="5"/>
      <c r="AC2086" s="5"/>
      <c r="AD2086" s="5"/>
      <c r="AE2086" s="5"/>
      <c r="AF2086" s="5"/>
      <c r="AG2086" s="5"/>
    </row>
    <row r="2087" ht="15.75" customHeight="1">
      <c r="K2087" t="s">
        <v>3650</v>
      </c>
      <c r="L2087" t="str">
        <f>B150</f>
        <v>H2~</v>
      </c>
      <c r="N2087" t="s">
        <v>3651</v>
      </c>
      <c r="O2087">
        <v>1.5057375E7</v>
      </c>
      <c r="P2087">
        <v>1.2945467E7</v>
      </c>
      <c r="Q2087" t="s">
        <v>525</v>
      </c>
      <c r="R2087" s="5"/>
      <c r="S2087" s="5"/>
      <c r="T2087" s="5"/>
      <c r="U2087" s="5"/>
      <c r="V2087" s="5"/>
      <c r="W2087" s="5"/>
      <c r="X2087" s="5"/>
      <c r="Y2087" s="5"/>
      <c r="Z2087" s="5"/>
      <c r="AA2087" s="5"/>
      <c r="AB2087" s="5"/>
      <c r="AC2087" s="5"/>
      <c r="AD2087" s="5"/>
      <c r="AE2087" s="5"/>
      <c r="AF2087" s="5"/>
      <c r="AG2087" s="5"/>
    </row>
    <row r="2088" ht="15.75" customHeight="1">
      <c r="K2088" t="s">
        <v>3652</v>
      </c>
      <c r="L2088" t="str">
        <f>B150</f>
        <v>H2~</v>
      </c>
      <c r="N2088" t="s">
        <v>3653</v>
      </c>
      <c r="O2088">
        <v>1.6549932E7</v>
      </c>
      <c r="P2088">
        <v>1.4438052E7</v>
      </c>
      <c r="Q2088" t="s">
        <v>423</v>
      </c>
      <c r="R2088" s="5"/>
      <c r="S2088" s="5"/>
      <c r="T2088" s="5"/>
      <c r="U2088" s="5"/>
      <c r="V2088" s="5"/>
      <c r="W2088" s="5"/>
      <c r="X2088" s="5"/>
      <c r="Y2088" s="5"/>
      <c r="Z2088" s="5"/>
      <c r="AA2088" s="5"/>
      <c r="AB2088" s="5"/>
      <c r="AC2088" s="5"/>
      <c r="AD2088" s="5"/>
      <c r="AE2088" s="5"/>
      <c r="AF2088" s="5"/>
      <c r="AG2088" s="5"/>
    </row>
    <row r="2089" ht="15.75" customHeight="1">
      <c r="K2089" t="s">
        <v>3654</v>
      </c>
      <c r="L2089" t="str">
        <f>B150</f>
        <v>H2~</v>
      </c>
      <c r="O2089">
        <v>1.8741066E7</v>
      </c>
      <c r="P2089">
        <v>1.6629186E7</v>
      </c>
      <c r="Q2089" t="s">
        <v>423</v>
      </c>
      <c r="R2089" s="5"/>
      <c r="S2089" s="5"/>
      <c r="T2089" s="5"/>
      <c r="U2089" s="5"/>
      <c r="V2089" s="5"/>
      <c r="W2089" s="5"/>
      <c r="X2089" s="5"/>
      <c r="Y2089" s="5"/>
      <c r="Z2089" s="5"/>
      <c r="AA2089" s="5"/>
      <c r="AB2089" s="5"/>
      <c r="AC2089" s="5"/>
      <c r="AD2089" s="5"/>
      <c r="AE2089" s="5"/>
      <c r="AF2089" s="5"/>
      <c r="AG2089" s="5"/>
    </row>
    <row r="2090" ht="15.75" customHeight="1">
      <c r="K2090" t="s">
        <v>3655</v>
      </c>
      <c r="L2090" t="str">
        <f>B150</f>
        <v>H2~</v>
      </c>
      <c r="N2090" t="s">
        <v>3656</v>
      </c>
      <c r="O2090">
        <v>2.2846177E7</v>
      </c>
      <c r="P2090">
        <v>2.0684291E7</v>
      </c>
      <c r="Q2090" t="s">
        <v>423</v>
      </c>
      <c r="R2090" s="5"/>
      <c r="S2090" s="5"/>
      <c r="T2090" s="5"/>
      <c r="U2090" s="5"/>
      <c r="V2090" s="5"/>
      <c r="W2090" s="5"/>
      <c r="X2090" s="5"/>
      <c r="Y2090" s="5"/>
      <c r="Z2090" s="5"/>
      <c r="AA2090" s="5"/>
      <c r="AB2090" s="5"/>
      <c r="AC2090" s="5"/>
      <c r="AD2090" s="5"/>
      <c r="AE2090" s="5"/>
      <c r="AF2090" s="5"/>
      <c r="AG2090" s="5"/>
    </row>
    <row r="2091" ht="15.75" customHeight="1">
      <c r="K2091" t="s">
        <v>3657</v>
      </c>
      <c r="L2091" t="str">
        <f>B150</f>
        <v>H2~</v>
      </c>
      <c r="O2091">
        <v>1.5926215E7</v>
      </c>
      <c r="P2091">
        <v>1.3814335E7</v>
      </c>
      <c r="Q2091" t="s">
        <v>419</v>
      </c>
      <c r="R2091" s="5"/>
      <c r="S2091" s="5"/>
      <c r="T2091" s="5"/>
      <c r="U2091" s="5"/>
      <c r="V2091" s="5"/>
      <c r="W2091" s="5"/>
      <c r="X2091" s="5"/>
      <c r="Y2091" s="5"/>
      <c r="Z2091" s="5"/>
      <c r="AA2091" s="5"/>
      <c r="AB2091" s="5"/>
      <c r="AC2091" s="5"/>
      <c r="AD2091" s="5"/>
      <c r="AE2091" s="5"/>
      <c r="AF2091" s="5"/>
      <c r="AG2091" s="5"/>
    </row>
    <row r="2092" ht="15.75" customHeight="1">
      <c r="K2092" t="s">
        <v>3658</v>
      </c>
      <c r="L2092" t="str">
        <f>B150</f>
        <v>H2~</v>
      </c>
      <c r="N2092" t="s">
        <v>3659</v>
      </c>
      <c r="O2092">
        <v>1.6477941E7</v>
      </c>
      <c r="P2092">
        <v>1.4366061E7</v>
      </c>
      <c r="Q2092" t="s">
        <v>435</v>
      </c>
      <c r="R2092" s="5"/>
      <c r="S2092" s="5"/>
      <c r="T2092" s="5"/>
      <c r="U2092" s="5"/>
      <c r="V2092" s="5"/>
      <c r="W2092" s="5"/>
      <c r="X2092" s="5"/>
      <c r="Y2092" s="5"/>
      <c r="Z2092" s="5"/>
      <c r="AA2092" s="5"/>
      <c r="AB2092" s="5"/>
      <c r="AC2092" s="5"/>
      <c r="AD2092" s="5"/>
      <c r="AE2092" s="5"/>
      <c r="AF2092" s="5"/>
      <c r="AG2092" s="5"/>
    </row>
    <row r="2093" ht="15.75" customHeight="1">
      <c r="K2093" t="s">
        <v>3660</v>
      </c>
      <c r="L2093" t="str">
        <f>B150</f>
        <v>H2~</v>
      </c>
      <c r="N2093" t="s">
        <v>3661</v>
      </c>
      <c r="O2093">
        <v>2.154989E7</v>
      </c>
      <c r="P2093">
        <v>1.9388004E7</v>
      </c>
      <c r="Q2093" t="s">
        <v>423</v>
      </c>
      <c r="R2093" s="5"/>
      <c r="S2093" s="5"/>
      <c r="T2093" s="5"/>
      <c r="U2093" s="5"/>
      <c r="V2093" s="5"/>
      <c r="W2093" s="5"/>
      <c r="X2093" s="5"/>
      <c r="Y2093" s="5"/>
      <c r="Z2093" s="5"/>
      <c r="AA2093" s="5"/>
      <c r="AB2093" s="5"/>
      <c r="AC2093" s="5"/>
      <c r="AD2093" s="5"/>
      <c r="AE2093" s="5"/>
      <c r="AF2093" s="5"/>
      <c r="AG2093" s="5"/>
    </row>
    <row r="2094" ht="15.75" customHeight="1">
      <c r="K2094" t="s">
        <v>3662</v>
      </c>
      <c r="L2094" t="str">
        <f>B150</f>
        <v>H2~</v>
      </c>
      <c r="N2094" t="s">
        <v>3663</v>
      </c>
      <c r="O2094">
        <v>7550038.0</v>
      </c>
      <c r="P2094">
        <v>7681997.0</v>
      </c>
      <c r="Q2094" t="s">
        <v>423</v>
      </c>
      <c r="R2094" s="5"/>
      <c r="S2094" s="5"/>
      <c r="T2094" s="5"/>
      <c r="U2094" s="5"/>
      <c r="V2094" s="5"/>
      <c r="W2094" s="5"/>
      <c r="X2094" s="5"/>
      <c r="Y2094" s="5"/>
      <c r="Z2094" s="5"/>
      <c r="AA2094" s="5"/>
      <c r="AB2094" s="5"/>
      <c r="AC2094" s="5"/>
      <c r="AD2094" s="5"/>
      <c r="AE2094" s="5"/>
      <c r="AF2094" s="5"/>
      <c r="AG2094" s="5"/>
    </row>
    <row r="2095" ht="15.75" customHeight="1">
      <c r="K2095" s="66" t="s">
        <v>3664</v>
      </c>
      <c r="L2095" t="str">
        <f>B150</f>
        <v>H2~</v>
      </c>
      <c r="N2095" t="s">
        <v>3665</v>
      </c>
      <c r="O2095">
        <v>7551850.0</v>
      </c>
      <c r="P2095">
        <v>7683809.0</v>
      </c>
      <c r="Q2095" t="s">
        <v>423</v>
      </c>
      <c r="R2095" s="5"/>
      <c r="S2095" s="5"/>
      <c r="T2095" s="5"/>
      <c r="U2095" s="5"/>
      <c r="V2095" s="5"/>
      <c r="W2095" s="5"/>
      <c r="X2095" s="5"/>
      <c r="Y2095" s="5"/>
      <c r="Z2095" s="5"/>
      <c r="AA2095" s="5"/>
      <c r="AB2095" s="5"/>
      <c r="AC2095" s="5"/>
      <c r="AD2095" s="5"/>
      <c r="AE2095" s="5"/>
      <c r="AF2095" s="5"/>
      <c r="AG2095" s="5"/>
    </row>
    <row r="2096" ht="15.75" customHeight="1">
      <c r="K2096" t="s">
        <v>3666</v>
      </c>
      <c r="L2096" t="str">
        <f>B150</f>
        <v>H2~</v>
      </c>
      <c r="N2096" t="s">
        <v>3667</v>
      </c>
      <c r="O2096">
        <v>7624894.0</v>
      </c>
      <c r="P2096">
        <v>7756853.0</v>
      </c>
      <c r="Q2096" t="s">
        <v>473</v>
      </c>
      <c r="R2096" s="5"/>
      <c r="S2096" s="5"/>
      <c r="T2096" s="5"/>
      <c r="U2096" s="5"/>
      <c r="V2096" s="5"/>
      <c r="W2096" s="5"/>
      <c r="X2096" s="5"/>
      <c r="Y2096" s="5"/>
      <c r="Z2096" s="5"/>
      <c r="AA2096" s="5"/>
      <c r="AB2096" s="5"/>
      <c r="AC2096" s="5"/>
      <c r="AD2096" s="5"/>
      <c r="AE2096" s="5"/>
      <c r="AF2096" s="5"/>
      <c r="AG2096" s="5"/>
    </row>
    <row r="2097" ht="15.75" customHeight="1">
      <c r="K2097" t="s">
        <v>3668</v>
      </c>
      <c r="L2097" t="str">
        <f>B150</f>
        <v>H2~</v>
      </c>
      <c r="N2097" t="s">
        <v>3669</v>
      </c>
      <c r="O2097">
        <v>7706683.0</v>
      </c>
      <c r="P2097">
        <v>7838642.0</v>
      </c>
      <c r="Q2097" t="s">
        <v>419</v>
      </c>
      <c r="R2097" s="5"/>
      <c r="S2097" s="5"/>
      <c r="T2097" s="5"/>
      <c r="U2097" s="5"/>
      <c r="V2097" s="5"/>
      <c r="W2097" s="5"/>
      <c r="X2097" s="5"/>
      <c r="Y2097" s="5"/>
      <c r="Z2097" s="5"/>
      <c r="AA2097" s="5"/>
      <c r="AB2097" s="5"/>
      <c r="AC2097" s="5"/>
      <c r="AD2097" s="5"/>
      <c r="AE2097" s="5"/>
      <c r="AF2097" s="5"/>
      <c r="AG2097" s="5"/>
    </row>
    <row r="2098" ht="15.75" customHeight="1">
      <c r="K2098" t="s">
        <v>3670</v>
      </c>
      <c r="L2098" t="str">
        <f>B150</f>
        <v>H2~</v>
      </c>
      <c r="N2098" t="s">
        <v>3671</v>
      </c>
      <c r="O2098">
        <v>7919193.0</v>
      </c>
      <c r="P2098">
        <v>8051152.0</v>
      </c>
      <c r="Q2098" t="s">
        <v>525</v>
      </c>
      <c r="R2098" s="5"/>
      <c r="S2098" s="5"/>
      <c r="T2098" s="5"/>
      <c r="U2098" s="5"/>
      <c r="V2098" s="5"/>
      <c r="W2098" s="5"/>
      <c r="X2098" s="5"/>
      <c r="Y2098" s="5"/>
      <c r="Z2098" s="5"/>
      <c r="AA2098" s="5"/>
      <c r="AB2098" s="5"/>
      <c r="AC2098" s="5"/>
      <c r="AD2098" s="5"/>
      <c r="AE2098" s="5"/>
      <c r="AF2098" s="5"/>
      <c r="AG2098" s="5"/>
    </row>
    <row r="2099" ht="15.75" customHeight="1">
      <c r="K2099" t="s">
        <v>3672</v>
      </c>
      <c r="L2099" t="str">
        <f>B150</f>
        <v>H2~</v>
      </c>
      <c r="N2099" t="s">
        <v>3673</v>
      </c>
      <c r="O2099">
        <v>7921036.0</v>
      </c>
      <c r="P2099">
        <v>8052995.0</v>
      </c>
      <c r="Q2099" t="s">
        <v>435</v>
      </c>
      <c r="R2099" s="5"/>
      <c r="S2099" s="5"/>
      <c r="T2099" s="5"/>
      <c r="U2099" s="5"/>
      <c r="V2099" s="5"/>
      <c r="W2099" s="5"/>
      <c r="X2099" s="5"/>
      <c r="Y2099" s="5"/>
      <c r="Z2099" s="5"/>
      <c r="AA2099" s="5"/>
      <c r="AB2099" s="5"/>
      <c r="AC2099" s="5"/>
      <c r="AD2099" s="5"/>
      <c r="AE2099" s="5"/>
      <c r="AF2099" s="5"/>
      <c r="AG2099" s="5"/>
    </row>
    <row r="2100" ht="15.75" customHeight="1">
      <c r="K2100" t="s">
        <v>3674</v>
      </c>
      <c r="L2100" t="str">
        <f>B150</f>
        <v>H2~</v>
      </c>
      <c r="O2100">
        <v>7977180.0</v>
      </c>
      <c r="P2100">
        <v>8109139.0</v>
      </c>
      <c r="Q2100" t="s">
        <v>423</v>
      </c>
      <c r="R2100" s="5"/>
      <c r="S2100" s="5"/>
      <c r="T2100" s="5"/>
      <c r="U2100" s="5"/>
      <c r="V2100" s="5"/>
      <c r="W2100" s="5"/>
      <c r="X2100" s="5"/>
      <c r="Y2100" s="5"/>
      <c r="Z2100" s="5"/>
      <c r="AA2100" s="5"/>
      <c r="AB2100" s="5"/>
      <c r="AC2100" s="5"/>
      <c r="AD2100" s="5"/>
      <c r="AE2100" s="5"/>
      <c r="AF2100" s="5"/>
      <c r="AG2100" s="5"/>
    </row>
    <row r="2101" ht="15.75" customHeight="1">
      <c r="K2101" t="s">
        <v>3675</v>
      </c>
      <c r="L2101" t="str">
        <f>B150</f>
        <v>H2~</v>
      </c>
      <c r="N2101" t="s">
        <v>3676</v>
      </c>
      <c r="O2101">
        <v>8051451.0</v>
      </c>
      <c r="P2101">
        <v>8183410.0</v>
      </c>
      <c r="Q2101" t="s">
        <v>448</v>
      </c>
      <c r="R2101" s="5"/>
      <c r="S2101" s="5"/>
      <c r="T2101" s="5"/>
      <c r="U2101" s="5"/>
      <c r="V2101" s="5"/>
      <c r="W2101" s="5"/>
      <c r="X2101" s="5"/>
      <c r="Y2101" s="5"/>
      <c r="Z2101" s="5"/>
      <c r="AA2101" s="5"/>
      <c r="AB2101" s="5"/>
      <c r="AC2101" s="5"/>
      <c r="AD2101" s="5"/>
      <c r="AE2101" s="5"/>
      <c r="AF2101" s="5"/>
      <c r="AG2101" s="5"/>
    </row>
    <row r="2102" ht="15.75" customHeight="1">
      <c r="K2102" t="s">
        <v>3677</v>
      </c>
      <c r="L2102" t="str">
        <f>B150</f>
        <v>H2~</v>
      </c>
      <c r="N2102" t="s">
        <v>3678</v>
      </c>
      <c r="O2102">
        <v>8149045.0</v>
      </c>
      <c r="P2102">
        <v>8281004.0</v>
      </c>
      <c r="Q2102" t="s">
        <v>525</v>
      </c>
      <c r="R2102" s="5"/>
      <c r="S2102" s="5"/>
      <c r="T2102" s="5"/>
      <c r="U2102" s="5"/>
      <c r="V2102" s="5"/>
      <c r="W2102" s="5"/>
      <c r="X2102" s="5"/>
      <c r="Y2102" s="5"/>
      <c r="Z2102" s="5"/>
      <c r="AA2102" s="5"/>
      <c r="AB2102" s="5"/>
      <c r="AC2102" s="5"/>
      <c r="AD2102" s="5"/>
      <c r="AE2102" s="5"/>
      <c r="AF2102" s="5"/>
      <c r="AG2102" s="5"/>
    </row>
    <row r="2103" ht="15.75" customHeight="1">
      <c r="K2103" t="s">
        <v>3679</v>
      </c>
      <c r="L2103" t="str">
        <f>B150</f>
        <v>H2~</v>
      </c>
      <c r="N2103" t="s">
        <v>3680</v>
      </c>
      <c r="O2103">
        <v>8189122.0</v>
      </c>
      <c r="P2103">
        <v>8321081.0</v>
      </c>
      <c r="Q2103" t="s">
        <v>423</v>
      </c>
      <c r="R2103" s="5"/>
      <c r="S2103" s="5"/>
      <c r="T2103" s="5"/>
      <c r="U2103" s="5"/>
      <c r="V2103" s="5"/>
      <c r="W2103" s="5"/>
      <c r="X2103" s="5"/>
      <c r="Y2103" s="5"/>
      <c r="Z2103" s="5"/>
      <c r="AA2103" s="5"/>
      <c r="AB2103" s="5"/>
      <c r="AC2103" s="5"/>
      <c r="AD2103" s="5"/>
      <c r="AE2103" s="5"/>
      <c r="AF2103" s="5"/>
      <c r="AG2103" s="5"/>
    </row>
    <row r="2104" ht="15.75" customHeight="1">
      <c r="K2104" t="s">
        <v>3681</v>
      </c>
      <c r="L2104" t="str">
        <f>B150</f>
        <v>H2~</v>
      </c>
      <c r="N2104" t="s">
        <v>3682</v>
      </c>
      <c r="O2104">
        <v>8413800.0</v>
      </c>
      <c r="P2104">
        <v>8545759.0</v>
      </c>
      <c r="Q2104" t="s">
        <v>423</v>
      </c>
      <c r="R2104" s="5"/>
      <c r="S2104" s="5"/>
      <c r="T2104" s="5"/>
      <c r="U2104" s="5"/>
      <c r="V2104" s="5"/>
      <c r="W2104" s="5"/>
      <c r="X2104" s="5"/>
      <c r="Y2104" s="5"/>
      <c r="Z2104" s="5"/>
      <c r="AA2104" s="5"/>
      <c r="AB2104" s="5"/>
      <c r="AC2104" s="5"/>
      <c r="AD2104" s="5"/>
      <c r="AE2104" s="5"/>
      <c r="AF2104" s="5"/>
      <c r="AG2104" s="5"/>
    </row>
    <row r="2105" ht="15.75" customHeight="1">
      <c r="K2105" t="s">
        <v>3683</v>
      </c>
      <c r="L2105" t="str">
        <f>B150</f>
        <v>H2~</v>
      </c>
      <c r="N2105" t="s">
        <v>3684</v>
      </c>
      <c r="O2105">
        <v>8737616.0</v>
      </c>
      <c r="P2105">
        <v>8869575.0</v>
      </c>
      <c r="Q2105" t="s">
        <v>525</v>
      </c>
      <c r="R2105" s="5"/>
      <c r="S2105" s="5"/>
      <c r="T2105" s="5"/>
      <c r="U2105" s="5"/>
      <c r="V2105" s="5"/>
      <c r="W2105" s="5"/>
      <c r="X2105" s="5"/>
      <c r="Y2105" s="5"/>
      <c r="Z2105" s="5"/>
      <c r="AA2105" s="5"/>
      <c r="AB2105" s="5"/>
      <c r="AC2105" s="5"/>
      <c r="AD2105" s="5"/>
      <c r="AE2105" s="5"/>
      <c r="AF2105" s="5"/>
      <c r="AG2105" s="5"/>
    </row>
    <row r="2106" ht="15.75" customHeight="1">
      <c r="K2106" t="s">
        <v>3685</v>
      </c>
      <c r="L2106" t="str">
        <f>B150</f>
        <v>H2~</v>
      </c>
      <c r="O2106">
        <v>9166100.0</v>
      </c>
      <c r="P2106">
        <v>9328491.0</v>
      </c>
      <c r="Q2106" t="s">
        <v>431</v>
      </c>
      <c r="R2106" s="5"/>
      <c r="S2106" s="5"/>
      <c r="T2106" s="5"/>
      <c r="U2106" s="5"/>
      <c r="V2106" s="5"/>
      <c r="W2106" s="5"/>
      <c r="X2106" s="5"/>
      <c r="Y2106" s="5"/>
      <c r="Z2106" s="5"/>
      <c r="AA2106" s="5"/>
      <c r="AB2106" s="5"/>
      <c r="AC2106" s="5"/>
      <c r="AD2106" s="5"/>
      <c r="AE2106" s="5"/>
      <c r="AF2106" s="5"/>
      <c r="AG2106" s="5"/>
    </row>
    <row r="2107" ht="15.75" customHeight="1">
      <c r="K2107" t="s">
        <v>3686</v>
      </c>
      <c r="L2107" t="str">
        <f>B150</f>
        <v>H2~</v>
      </c>
      <c r="O2107">
        <v>1.4233563E7</v>
      </c>
      <c r="P2107">
        <v>1.2112857E7</v>
      </c>
      <c r="Q2107" t="s">
        <v>419</v>
      </c>
      <c r="R2107" s="5"/>
      <c r="S2107" s="5"/>
      <c r="T2107" s="5"/>
      <c r="U2107" s="5"/>
      <c r="V2107" s="5"/>
      <c r="W2107" s="5"/>
      <c r="X2107" s="5"/>
      <c r="Y2107" s="5"/>
      <c r="Z2107" s="5"/>
      <c r="AA2107" s="5"/>
      <c r="AB2107" s="5"/>
      <c r="AC2107" s="5"/>
      <c r="AD2107" s="5"/>
      <c r="AE2107" s="5"/>
      <c r="AF2107" s="5"/>
      <c r="AG2107" s="5"/>
    </row>
    <row r="2108" ht="15.75" customHeight="1">
      <c r="K2108" t="s">
        <v>3687</v>
      </c>
      <c r="L2108" t="str">
        <f>B150</f>
        <v>H2~</v>
      </c>
      <c r="N2108" t="s">
        <v>3688</v>
      </c>
      <c r="O2108">
        <v>1.6627833E7</v>
      </c>
      <c r="P2108">
        <v>1.4515953E7</v>
      </c>
      <c r="Q2108" t="s">
        <v>423</v>
      </c>
      <c r="R2108" s="5"/>
      <c r="S2108" s="5"/>
      <c r="T2108" s="5"/>
      <c r="U2108" s="5"/>
      <c r="V2108" s="5"/>
      <c r="W2108" s="5"/>
      <c r="X2108" s="5"/>
      <c r="Y2108" s="5"/>
      <c r="Z2108" s="5"/>
      <c r="AA2108" s="5"/>
      <c r="AB2108" s="5"/>
      <c r="AC2108" s="5"/>
      <c r="AD2108" s="5"/>
      <c r="AE2108" s="5"/>
      <c r="AF2108" s="5"/>
      <c r="AG2108" s="5"/>
    </row>
    <row r="2109" ht="15.75" customHeight="1">
      <c r="K2109" t="s">
        <v>3689</v>
      </c>
      <c r="L2109" t="str">
        <f>B150</f>
        <v>H2~</v>
      </c>
      <c r="N2109" t="s">
        <v>3690</v>
      </c>
      <c r="O2109">
        <v>1.8414823E7</v>
      </c>
      <c r="P2109">
        <v>1.6302943E7</v>
      </c>
      <c r="Q2109" t="s">
        <v>423</v>
      </c>
      <c r="R2109" s="5"/>
      <c r="S2109" s="5"/>
      <c r="T2109" s="5"/>
      <c r="U2109" s="5"/>
      <c r="V2109" s="5"/>
      <c r="W2109" s="5"/>
      <c r="X2109" s="5"/>
      <c r="Y2109" s="5"/>
      <c r="Z2109" s="5"/>
      <c r="AA2109" s="5"/>
      <c r="AB2109" s="5"/>
      <c r="AC2109" s="5"/>
      <c r="AD2109" s="5"/>
      <c r="AE2109" s="5"/>
      <c r="AF2109" s="5"/>
      <c r="AG2109" s="5"/>
    </row>
    <row r="2110" ht="15.75" customHeight="1">
      <c r="K2110" t="s">
        <v>3691</v>
      </c>
      <c r="L2110" t="str">
        <f>B150</f>
        <v>H2~</v>
      </c>
      <c r="O2110">
        <v>2.3531482E7</v>
      </c>
      <c r="P2110">
        <v>2.1369596E7</v>
      </c>
      <c r="Q2110" t="s">
        <v>423</v>
      </c>
      <c r="R2110" s="5"/>
      <c r="S2110" s="5"/>
      <c r="T2110" s="5"/>
      <c r="U2110" s="5"/>
      <c r="V2110" s="5"/>
      <c r="W2110" s="5"/>
      <c r="X2110" s="5"/>
      <c r="Y2110" s="5"/>
      <c r="Z2110" s="5"/>
      <c r="AA2110" s="5"/>
      <c r="AB2110" s="5"/>
      <c r="AC2110" s="5"/>
      <c r="AD2110" s="5"/>
      <c r="AE2110" s="5"/>
      <c r="AF2110" s="5"/>
      <c r="AG2110" s="5"/>
    </row>
    <row r="2111" ht="15.75" customHeight="1">
      <c r="K2111" t="s">
        <v>3692</v>
      </c>
      <c r="L2111" t="str">
        <f>B150</f>
        <v>H2~</v>
      </c>
      <c r="O2111">
        <v>2.3579578E7</v>
      </c>
      <c r="P2111">
        <v>2.1417692E7</v>
      </c>
      <c r="Q2111" t="s">
        <v>431</v>
      </c>
      <c r="R2111" s="5"/>
      <c r="S2111" s="5"/>
      <c r="T2111" s="5"/>
      <c r="U2111" s="5"/>
      <c r="V2111" s="5"/>
      <c r="W2111" s="5"/>
      <c r="X2111" s="5"/>
      <c r="Y2111" s="5"/>
      <c r="Z2111" s="5"/>
      <c r="AA2111" s="5"/>
      <c r="AB2111" s="5"/>
      <c r="AC2111" s="5"/>
      <c r="AD2111" s="5"/>
      <c r="AE2111" s="5"/>
      <c r="AF2111" s="5"/>
      <c r="AG2111" s="5"/>
    </row>
    <row r="2112" ht="15.75" customHeight="1">
      <c r="K2112" t="s">
        <v>3693</v>
      </c>
      <c r="L2112" t="str">
        <f>B150</f>
        <v>H2~</v>
      </c>
      <c r="O2112">
        <v>2.3644824E7</v>
      </c>
      <c r="P2112">
        <v>2.1482938E7</v>
      </c>
      <c r="Q2112" t="s">
        <v>435</v>
      </c>
      <c r="R2112" s="5"/>
      <c r="S2112" s="5"/>
      <c r="T2112" s="5"/>
      <c r="U2112" s="5"/>
      <c r="V2112" s="5"/>
      <c r="W2112" s="5"/>
      <c r="X2112" s="5"/>
      <c r="Y2112" s="5"/>
      <c r="Z2112" s="5"/>
      <c r="AA2112" s="5"/>
      <c r="AB2112" s="5"/>
      <c r="AC2112" s="5"/>
      <c r="AD2112" s="5"/>
      <c r="AE2112" s="5"/>
      <c r="AF2112" s="5"/>
      <c r="AG2112" s="5"/>
    </row>
    <row r="2113" ht="15.75" customHeight="1">
      <c r="K2113" t="s">
        <v>3694</v>
      </c>
      <c r="L2113" t="str">
        <f>B150</f>
        <v>H2~</v>
      </c>
      <c r="O2113">
        <v>2.3960293E7</v>
      </c>
      <c r="P2113">
        <v>2.1814146E7</v>
      </c>
      <c r="Q2113" t="s">
        <v>419</v>
      </c>
      <c r="R2113" s="5"/>
      <c r="S2113" s="5"/>
      <c r="T2113" s="5"/>
      <c r="U2113" s="5"/>
      <c r="V2113" s="5"/>
      <c r="W2113" s="5"/>
      <c r="X2113" s="5"/>
      <c r="Y2113" s="5"/>
      <c r="Z2113" s="5"/>
      <c r="AA2113" s="5"/>
      <c r="AB2113" s="5"/>
      <c r="AC2113" s="5"/>
      <c r="AD2113" s="5"/>
      <c r="AE2113" s="5"/>
      <c r="AF2113" s="5"/>
      <c r="AG2113" s="5"/>
    </row>
    <row r="2114" ht="15.75" customHeight="1">
      <c r="K2114" t="s">
        <v>3695</v>
      </c>
      <c r="L2114" t="str">
        <f>B150</f>
        <v>H2~</v>
      </c>
      <c r="O2114">
        <v>2.4362755E7</v>
      </c>
      <c r="P2114">
        <v>2.2216608E7</v>
      </c>
      <c r="Q2114" t="s">
        <v>525</v>
      </c>
      <c r="R2114" s="5"/>
      <c r="S2114" s="5"/>
      <c r="T2114" s="5"/>
      <c r="U2114" s="5"/>
      <c r="V2114" s="5"/>
      <c r="W2114" s="5"/>
      <c r="X2114" s="5"/>
      <c r="Y2114" s="5"/>
      <c r="Z2114" s="5"/>
      <c r="AA2114" s="5"/>
      <c r="AB2114" s="5"/>
      <c r="AC2114" s="5"/>
      <c r="AD2114" s="5"/>
      <c r="AE2114" s="5"/>
      <c r="AF2114" s="5"/>
      <c r="AG2114" s="5"/>
    </row>
    <row r="2115" ht="15.75" customHeight="1">
      <c r="K2115" t="s">
        <v>3696</v>
      </c>
      <c r="L2115" t="str">
        <f>B150</f>
        <v>H2~</v>
      </c>
      <c r="O2115">
        <v>2.4494612E7</v>
      </c>
      <c r="P2115">
        <v>2.2348465E7</v>
      </c>
      <c r="Q2115" t="s">
        <v>452</v>
      </c>
      <c r="R2115" s="5"/>
      <c r="S2115" s="5"/>
      <c r="T2115" s="5"/>
      <c r="U2115" s="5"/>
      <c r="V2115" s="5"/>
      <c r="W2115" s="5"/>
      <c r="X2115" s="5"/>
      <c r="Y2115" s="5"/>
      <c r="Z2115" s="5"/>
      <c r="AA2115" s="5"/>
      <c r="AB2115" s="5"/>
      <c r="AC2115" s="5"/>
      <c r="AD2115" s="5"/>
      <c r="AE2115" s="5"/>
      <c r="AF2115" s="5"/>
      <c r="AG2115" s="5"/>
    </row>
    <row r="2116" ht="15.75" customHeight="1">
      <c r="K2116" t="s">
        <v>3697</v>
      </c>
      <c r="L2116" t="str">
        <f>B150</f>
        <v>H2~</v>
      </c>
      <c r="N2116" t="s">
        <v>3698</v>
      </c>
      <c r="O2116">
        <v>8676565.0</v>
      </c>
      <c r="P2116">
        <v>8808524.0</v>
      </c>
      <c r="Q2116" t="s">
        <v>435</v>
      </c>
      <c r="R2116" s="5"/>
      <c r="S2116" s="5"/>
      <c r="T2116" s="5"/>
      <c r="U2116" s="5"/>
      <c r="V2116" s="5"/>
      <c r="W2116" s="5"/>
      <c r="X2116" s="5"/>
      <c r="Y2116" s="5"/>
      <c r="Z2116" s="5"/>
      <c r="AA2116" s="5"/>
      <c r="AB2116" s="5"/>
      <c r="AC2116" s="5"/>
      <c r="AD2116" s="5"/>
      <c r="AE2116" s="5"/>
      <c r="AF2116" s="5"/>
      <c r="AG2116" s="5"/>
    </row>
    <row r="2117" ht="15.75" customHeight="1">
      <c r="K2117" t="s">
        <v>3699</v>
      </c>
      <c r="L2117" t="str">
        <f>B150</f>
        <v>H2~</v>
      </c>
      <c r="O2117">
        <v>2.3740129E7</v>
      </c>
      <c r="P2117">
        <v>2.1578243E7</v>
      </c>
      <c r="Q2117" t="s">
        <v>553</v>
      </c>
      <c r="R2117" s="5"/>
      <c r="S2117" s="5"/>
      <c r="T2117" s="5"/>
      <c r="U2117" s="5"/>
      <c r="V2117" s="5"/>
      <c r="W2117" s="5"/>
      <c r="X2117" s="5"/>
      <c r="Y2117" s="5"/>
      <c r="Z2117" s="5"/>
      <c r="AA2117" s="5"/>
      <c r="AB2117" s="5"/>
      <c r="AC2117" s="5"/>
      <c r="AD2117" s="5"/>
      <c r="AE2117" s="5"/>
      <c r="AF2117" s="5"/>
      <c r="AG2117" s="5"/>
    </row>
    <row r="2118" ht="15.75" customHeight="1">
      <c r="K2118" t="s">
        <v>3700</v>
      </c>
      <c r="L2118" t="str">
        <f>B150</f>
        <v>H2~</v>
      </c>
      <c r="N2118" t="s">
        <v>3701</v>
      </c>
      <c r="O2118">
        <v>8521719.0</v>
      </c>
      <c r="P2118">
        <v>8653678.0</v>
      </c>
      <c r="Q2118" t="s">
        <v>459</v>
      </c>
      <c r="R2118" s="5"/>
      <c r="S2118" s="5"/>
      <c r="T2118" s="5"/>
      <c r="U2118" s="5"/>
      <c r="V2118" s="5"/>
      <c r="W2118" s="5"/>
      <c r="X2118" s="5"/>
      <c r="Y2118" s="5"/>
      <c r="Z2118" s="5"/>
      <c r="AA2118" s="5"/>
      <c r="AB2118" s="5"/>
      <c r="AC2118" s="5"/>
      <c r="AD2118" s="5"/>
      <c r="AE2118" s="5"/>
      <c r="AF2118" s="5"/>
      <c r="AG2118" s="5"/>
    </row>
    <row r="2119" ht="15.75" customHeight="1">
      <c r="K2119" t="s">
        <v>3702</v>
      </c>
      <c r="L2119" t="str">
        <f>B150</f>
        <v>H2~</v>
      </c>
      <c r="O2119">
        <v>7318171.0</v>
      </c>
      <c r="P2119">
        <v>7450130.0</v>
      </c>
      <c r="Q2119" t="s">
        <v>423</v>
      </c>
      <c r="R2119" s="5"/>
      <c r="S2119" s="5"/>
      <c r="T2119" s="5"/>
      <c r="U2119" s="5"/>
      <c r="V2119" s="5"/>
      <c r="W2119" s="5"/>
      <c r="X2119" s="5"/>
      <c r="Y2119" s="5"/>
      <c r="Z2119" s="5"/>
      <c r="AA2119" s="5"/>
      <c r="AB2119" s="5"/>
      <c r="AC2119" s="5"/>
      <c r="AD2119" s="5"/>
      <c r="AE2119" s="5"/>
      <c r="AF2119" s="5"/>
      <c r="AG2119" s="5"/>
    </row>
    <row r="2120" ht="15.75" customHeight="1">
      <c r="K2120" t="s">
        <v>3703</v>
      </c>
      <c r="L2120" t="str">
        <f>B150</f>
        <v>H2~</v>
      </c>
      <c r="N2120" t="s">
        <v>3704</v>
      </c>
      <c r="O2120">
        <v>2874902.0</v>
      </c>
      <c r="P2120">
        <v>3006861.0</v>
      </c>
      <c r="Q2120" t="s">
        <v>448</v>
      </c>
      <c r="R2120" s="5"/>
      <c r="S2120" s="5"/>
      <c r="T2120" s="5"/>
      <c r="U2120" s="5"/>
      <c r="V2120" s="5"/>
      <c r="W2120" s="5"/>
      <c r="X2120" s="5"/>
      <c r="Y2120" s="5"/>
      <c r="Z2120" s="5"/>
      <c r="AA2120" s="5"/>
      <c r="AB2120" s="5"/>
      <c r="AC2120" s="5"/>
      <c r="AD2120" s="5"/>
      <c r="AE2120" s="5"/>
      <c r="AF2120" s="5"/>
      <c r="AG2120" s="5"/>
    </row>
    <row r="2121" ht="15.75" customHeight="1">
      <c r="K2121" t="s">
        <v>3705</v>
      </c>
      <c r="L2121" t="str">
        <f>B150</f>
        <v>H2~</v>
      </c>
      <c r="O2121">
        <v>7205078.0</v>
      </c>
      <c r="P2121">
        <v>7337037.0</v>
      </c>
      <c r="Q2121" t="s">
        <v>423</v>
      </c>
      <c r="R2121" s="5"/>
      <c r="S2121" s="5"/>
      <c r="T2121" s="5"/>
      <c r="U2121" s="5"/>
      <c r="V2121" s="5"/>
      <c r="W2121" s="5"/>
      <c r="X2121" s="5"/>
      <c r="Y2121" s="5"/>
      <c r="Z2121" s="5"/>
      <c r="AA2121" s="5"/>
      <c r="AB2121" s="5"/>
      <c r="AC2121" s="5"/>
      <c r="AD2121" s="5"/>
      <c r="AE2121" s="5"/>
      <c r="AF2121" s="5"/>
      <c r="AG2121" s="5"/>
    </row>
    <row r="2122" ht="15.75" customHeight="1">
      <c r="K2122" t="s">
        <v>3706</v>
      </c>
      <c r="L2122" t="str">
        <f>B150</f>
        <v>H2~</v>
      </c>
      <c r="O2122">
        <v>1.4009773E7</v>
      </c>
      <c r="P2122">
        <v>1.1889067E7</v>
      </c>
      <c r="Q2122" t="s">
        <v>431</v>
      </c>
      <c r="R2122" s="5"/>
      <c r="S2122" s="5"/>
      <c r="T2122" s="5"/>
      <c r="U2122" s="5"/>
      <c r="V2122" s="5"/>
      <c r="W2122" s="5"/>
      <c r="X2122" s="5"/>
      <c r="Y2122" s="5"/>
      <c r="Z2122" s="5"/>
      <c r="AA2122" s="5"/>
      <c r="AB2122" s="5"/>
      <c r="AC2122" s="5"/>
      <c r="AD2122" s="5"/>
      <c r="AE2122" s="5"/>
      <c r="AF2122" s="5"/>
      <c r="AG2122" s="5"/>
    </row>
    <row r="2123" ht="15.75" customHeight="1">
      <c r="K2123" t="s">
        <v>3707</v>
      </c>
      <c r="L2123" t="str">
        <f>B150</f>
        <v>H2~</v>
      </c>
      <c r="N2123" t="s">
        <v>3708</v>
      </c>
      <c r="O2123">
        <v>1.4749942E7</v>
      </c>
      <c r="P2123">
        <v>1.2638011E7</v>
      </c>
      <c r="Q2123" t="s">
        <v>419</v>
      </c>
      <c r="R2123" s="5"/>
      <c r="S2123" s="5"/>
      <c r="T2123" s="5"/>
      <c r="U2123" s="5"/>
      <c r="V2123" s="5"/>
      <c r="W2123" s="5"/>
      <c r="X2123" s="5"/>
      <c r="Y2123" s="5"/>
      <c r="Z2123" s="5"/>
      <c r="AA2123" s="5"/>
      <c r="AB2123" s="5"/>
      <c r="AC2123" s="5"/>
      <c r="AD2123" s="5"/>
      <c r="AE2123" s="5"/>
      <c r="AF2123" s="5"/>
      <c r="AG2123" s="5"/>
    </row>
    <row r="2124" ht="15.75" customHeight="1">
      <c r="K2124" t="s">
        <v>3709</v>
      </c>
      <c r="L2124" t="str">
        <f>B150</f>
        <v>H2~</v>
      </c>
      <c r="N2124" t="s">
        <v>3710</v>
      </c>
      <c r="O2124">
        <v>1.658118E7</v>
      </c>
      <c r="P2124">
        <v>1.44693E7</v>
      </c>
      <c r="Q2124" t="s">
        <v>423</v>
      </c>
      <c r="R2124" s="5"/>
      <c r="S2124" s="5"/>
      <c r="T2124" s="5"/>
      <c r="U2124" s="5"/>
      <c r="V2124" s="5"/>
      <c r="W2124" s="5"/>
      <c r="X2124" s="5"/>
      <c r="Y2124" s="5"/>
      <c r="Z2124" s="5"/>
      <c r="AA2124" s="5"/>
      <c r="AB2124" s="5"/>
      <c r="AC2124" s="5"/>
      <c r="AD2124" s="5"/>
      <c r="AE2124" s="5"/>
      <c r="AF2124" s="5"/>
      <c r="AG2124" s="5"/>
    </row>
    <row r="2125" ht="15.75" customHeight="1">
      <c r="K2125" t="s">
        <v>3711</v>
      </c>
      <c r="L2125" t="str">
        <f>B150</f>
        <v>H2~</v>
      </c>
      <c r="N2125" t="s">
        <v>3712</v>
      </c>
      <c r="O2125">
        <v>1.6593646E7</v>
      </c>
      <c r="P2125">
        <v>1.4481766E7</v>
      </c>
      <c r="Q2125" t="s">
        <v>423</v>
      </c>
      <c r="R2125" s="5"/>
      <c r="S2125" s="5"/>
      <c r="T2125" s="5"/>
      <c r="U2125" s="5"/>
      <c r="V2125" s="5"/>
      <c r="W2125" s="5"/>
      <c r="X2125" s="5"/>
      <c r="Y2125" s="5"/>
      <c r="Z2125" s="5"/>
      <c r="AA2125" s="5"/>
      <c r="AB2125" s="5"/>
      <c r="AC2125" s="5"/>
      <c r="AD2125" s="5"/>
      <c r="AE2125" s="5"/>
      <c r="AF2125" s="5"/>
      <c r="AG2125" s="5"/>
    </row>
    <row r="2126" ht="15.75" customHeight="1">
      <c r="K2126" t="s">
        <v>3713</v>
      </c>
      <c r="L2126" t="str">
        <f>B150</f>
        <v>H2~</v>
      </c>
      <c r="O2126">
        <v>1.6818751E7</v>
      </c>
      <c r="P2126">
        <v>1.4706871E7</v>
      </c>
      <c r="Q2126" t="s">
        <v>431</v>
      </c>
      <c r="R2126" s="5"/>
      <c r="S2126" s="5"/>
      <c r="T2126" s="5"/>
      <c r="U2126" s="5"/>
      <c r="V2126" s="5"/>
      <c r="W2126" s="5"/>
      <c r="X2126" s="5"/>
      <c r="Y2126" s="5"/>
      <c r="Z2126" s="5"/>
      <c r="AA2126" s="5"/>
      <c r="AB2126" s="5"/>
      <c r="AC2126" s="5"/>
      <c r="AD2126" s="5"/>
      <c r="AE2126" s="5"/>
      <c r="AF2126" s="5"/>
      <c r="AG2126" s="5"/>
    </row>
    <row r="2127" ht="15.75" customHeight="1">
      <c r="K2127" t="s">
        <v>3714</v>
      </c>
      <c r="L2127" t="str">
        <f>B150</f>
        <v>H2~</v>
      </c>
      <c r="O2127">
        <v>1.7063893E7</v>
      </c>
      <c r="P2127">
        <v>1.4952013E7</v>
      </c>
      <c r="Q2127" t="s">
        <v>435</v>
      </c>
      <c r="R2127" s="5"/>
      <c r="S2127" s="5"/>
      <c r="T2127" s="5"/>
      <c r="U2127" s="5"/>
      <c r="V2127" s="5"/>
      <c r="W2127" s="5"/>
      <c r="X2127" s="5"/>
      <c r="Y2127" s="5"/>
      <c r="Z2127" s="5"/>
      <c r="AA2127" s="5"/>
      <c r="AB2127" s="5"/>
      <c r="AC2127" s="5"/>
      <c r="AD2127" s="5"/>
      <c r="AE2127" s="5"/>
      <c r="AF2127" s="5"/>
      <c r="AG2127" s="5"/>
    </row>
    <row r="2128" ht="15.75" customHeight="1">
      <c r="K2128" t="s">
        <v>3715</v>
      </c>
      <c r="L2128" t="str">
        <f>B150</f>
        <v>H2~</v>
      </c>
      <c r="N2128" t="s">
        <v>3716</v>
      </c>
      <c r="O2128">
        <v>1.8588951E7</v>
      </c>
      <c r="P2128">
        <v>1.6477071E7</v>
      </c>
      <c r="Q2128" t="s">
        <v>423</v>
      </c>
      <c r="R2128" s="5"/>
      <c r="S2128" s="5"/>
      <c r="T2128" s="5"/>
      <c r="U2128" s="5"/>
      <c r="V2128" s="5"/>
      <c r="W2128" s="5"/>
      <c r="X2128" s="5"/>
      <c r="Y2128" s="5"/>
      <c r="Z2128" s="5"/>
      <c r="AA2128" s="5"/>
      <c r="AB2128" s="5"/>
      <c r="AC2128" s="5"/>
      <c r="AD2128" s="5"/>
      <c r="AE2128" s="5"/>
      <c r="AF2128" s="5"/>
      <c r="AG2128" s="5"/>
    </row>
    <row r="2129" ht="15.75" customHeight="1">
      <c r="K2129" t="s">
        <v>3717</v>
      </c>
      <c r="L2129" t="str">
        <f>B150</f>
        <v>H2~</v>
      </c>
      <c r="N2129" t="s">
        <v>3718</v>
      </c>
      <c r="O2129">
        <v>1.8612363E7</v>
      </c>
      <c r="P2129">
        <v>1.6500483E7</v>
      </c>
      <c r="Q2129" t="s">
        <v>431</v>
      </c>
      <c r="R2129" s="5"/>
      <c r="S2129" s="5"/>
      <c r="T2129" s="5"/>
      <c r="U2129" s="5"/>
      <c r="V2129" s="5"/>
      <c r="W2129" s="5"/>
      <c r="X2129" s="5"/>
      <c r="Y2129" s="5"/>
      <c r="Z2129" s="5"/>
      <c r="AA2129" s="5"/>
      <c r="AB2129" s="5"/>
      <c r="AC2129" s="5"/>
      <c r="AD2129" s="5"/>
      <c r="AE2129" s="5"/>
      <c r="AF2129" s="5"/>
      <c r="AG2129" s="5"/>
    </row>
    <row r="2130" ht="15.75" customHeight="1">
      <c r="K2130" t="s">
        <v>3719</v>
      </c>
      <c r="L2130" t="str">
        <f>B150</f>
        <v>H2~</v>
      </c>
      <c r="N2130" t="s">
        <v>3720</v>
      </c>
      <c r="O2130">
        <v>2.2079317E7</v>
      </c>
      <c r="P2130">
        <v>1.9917431E7</v>
      </c>
      <c r="Q2130" t="s">
        <v>435</v>
      </c>
      <c r="R2130" s="5"/>
      <c r="S2130" s="5"/>
      <c r="T2130" s="5"/>
      <c r="U2130" s="5"/>
      <c r="V2130" s="5"/>
      <c r="W2130" s="5"/>
      <c r="X2130" s="5"/>
      <c r="Y2130" s="5"/>
      <c r="Z2130" s="5"/>
      <c r="AA2130" s="5"/>
      <c r="AB2130" s="5"/>
      <c r="AC2130" s="5"/>
      <c r="AD2130" s="5"/>
      <c r="AE2130" s="5"/>
      <c r="AF2130" s="5"/>
      <c r="AG2130" s="5"/>
    </row>
    <row r="2131" ht="15.75" customHeight="1">
      <c r="K2131" t="s">
        <v>3721</v>
      </c>
      <c r="L2131" t="str">
        <f>B150</f>
        <v>H2~</v>
      </c>
      <c r="N2131" t="s">
        <v>3722</v>
      </c>
      <c r="O2131">
        <v>2.2613306E7</v>
      </c>
      <c r="P2131">
        <v>2.045142E7</v>
      </c>
      <c r="Q2131" t="s">
        <v>427</v>
      </c>
      <c r="R2131" s="5"/>
      <c r="S2131" s="5"/>
      <c r="T2131" s="5"/>
      <c r="U2131" s="5"/>
      <c r="V2131" s="5"/>
      <c r="W2131" s="5"/>
      <c r="X2131" s="5"/>
      <c r="Y2131" s="5"/>
      <c r="Z2131" s="5"/>
      <c r="AA2131" s="5"/>
      <c r="AB2131" s="5"/>
      <c r="AC2131" s="5"/>
      <c r="AD2131" s="5"/>
      <c r="AE2131" s="5"/>
      <c r="AF2131" s="5"/>
      <c r="AG2131" s="5"/>
    </row>
    <row r="2132" ht="15.75" customHeight="1">
      <c r="K2132" t="s">
        <v>3723</v>
      </c>
      <c r="L2132" t="str">
        <f>B150</f>
        <v>H2~</v>
      </c>
      <c r="N2132" t="s">
        <v>3724</v>
      </c>
      <c r="O2132">
        <v>2.2683537E7</v>
      </c>
      <c r="P2132">
        <v>2.0521651E7</v>
      </c>
      <c r="Q2132" t="s">
        <v>431</v>
      </c>
      <c r="R2132" s="5"/>
      <c r="S2132" s="5"/>
      <c r="T2132" s="5"/>
      <c r="U2132" s="5"/>
      <c r="V2132" s="5"/>
      <c r="W2132" s="5"/>
      <c r="X2132" s="5"/>
      <c r="Y2132" s="5"/>
      <c r="Z2132" s="5"/>
      <c r="AA2132" s="5"/>
      <c r="AB2132" s="5"/>
      <c r="AC2132" s="5"/>
      <c r="AD2132" s="5"/>
      <c r="AE2132" s="5"/>
      <c r="AF2132" s="5"/>
      <c r="AG2132" s="5"/>
    </row>
    <row r="2133" ht="15.75" customHeight="1">
      <c r="K2133" t="s">
        <v>3725</v>
      </c>
      <c r="L2133" t="str">
        <f>B150</f>
        <v>H2~</v>
      </c>
      <c r="O2133">
        <v>9105625.0</v>
      </c>
      <c r="P2133">
        <v>9268016.0</v>
      </c>
      <c r="Q2133" t="s">
        <v>459</v>
      </c>
      <c r="R2133" s="5"/>
      <c r="S2133" s="5"/>
      <c r="T2133" s="5"/>
      <c r="U2133" s="5"/>
      <c r="V2133" s="5"/>
      <c r="W2133" s="5"/>
      <c r="X2133" s="5"/>
      <c r="Y2133" s="5"/>
      <c r="Z2133" s="5"/>
      <c r="AA2133" s="5"/>
      <c r="AB2133" s="5"/>
      <c r="AC2133" s="5"/>
      <c r="AD2133" s="5"/>
      <c r="AE2133" s="5"/>
      <c r="AF2133" s="5"/>
      <c r="AG2133" s="5"/>
    </row>
    <row r="2134" ht="15.75" customHeight="1">
      <c r="K2134" t="s">
        <v>3726</v>
      </c>
      <c r="L2134" t="str">
        <f>B150</f>
        <v>H2~</v>
      </c>
      <c r="O2134">
        <v>1.3206033E7</v>
      </c>
      <c r="P2134">
        <v>1.1050357E7</v>
      </c>
      <c r="Q2134" t="s">
        <v>435</v>
      </c>
      <c r="R2134" s="5"/>
      <c r="S2134" s="5"/>
      <c r="T2134" s="5"/>
      <c r="U2134" s="5"/>
      <c r="V2134" s="5"/>
      <c r="W2134" s="5"/>
      <c r="X2134" s="5"/>
      <c r="Y2134" s="5"/>
      <c r="Z2134" s="5"/>
      <c r="AA2134" s="5"/>
      <c r="AB2134" s="5"/>
      <c r="AC2134" s="5"/>
      <c r="AD2134" s="5"/>
      <c r="AE2134" s="5"/>
      <c r="AF2134" s="5"/>
      <c r="AG2134" s="5"/>
    </row>
    <row r="2135" ht="15.75" customHeight="1">
      <c r="K2135" t="s">
        <v>3727</v>
      </c>
      <c r="L2135" t="str">
        <f>B150</f>
        <v>H2~</v>
      </c>
      <c r="N2135" t="s">
        <v>3728</v>
      </c>
      <c r="O2135">
        <v>1.3678414E7</v>
      </c>
      <c r="P2135">
        <v>1.1522738E7</v>
      </c>
      <c r="Q2135" t="s">
        <v>423</v>
      </c>
      <c r="R2135" s="5"/>
      <c r="S2135" s="5"/>
      <c r="T2135" s="5"/>
      <c r="U2135" s="5"/>
      <c r="V2135" s="5"/>
      <c r="W2135" s="5"/>
      <c r="X2135" s="5"/>
      <c r="Y2135" s="5"/>
      <c r="Z2135" s="5"/>
      <c r="AA2135" s="5"/>
      <c r="AB2135" s="5"/>
      <c r="AC2135" s="5"/>
      <c r="AD2135" s="5"/>
      <c r="AE2135" s="5"/>
      <c r="AF2135" s="5"/>
      <c r="AG2135" s="5"/>
    </row>
    <row r="2136" ht="15.75" customHeight="1">
      <c r="K2136" t="s">
        <v>3729</v>
      </c>
      <c r="L2136" t="str">
        <f>B150</f>
        <v>H2~</v>
      </c>
      <c r="N2136" t="s">
        <v>3730</v>
      </c>
      <c r="O2136">
        <v>1.5522098E7</v>
      </c>
      <c r="P2136">
        <v>1.3410218E7</v>
      </c>
      <c r="Q2136" t="s">
        <v>423</v>
      </c>
      <c r="R2136" s="5"/>
      <c r="S2136" s="5"/>
      <c r="T2136" s="5"/>
      <c r="U2136" s="5"/>
      <c r="V2136" s="5"/>
      <c r="W2136" s="5"/>
      <c r="X2136" s="5"/>
      <c r="Y2136" s="5"/>
      <c r="Z2136" s="5"/>
      <c r="AA2136" s="5"/>
      <c r="AB2136" s="5"/>
      <c r="AC2136" s="5"/>
      <c r="AD2136" s="5"/>
      <c r="AE2136" s="5"/>
      <c r="AF2136" s="5"/>
      <c r="AG2136" s="5"/>
    </row>
    <row r="2137" ht="15.75" customHeight="1">
      <c r="K2137" t="s">
        <v>3731</v>
      </c>
      <c r="L2137" t="str">
        <f>B150</f>
        <v>H2~</v>
      </c>
      <c r="O2137">
        <v>2.3828704E7</v>
      </c>
      <c r="P2137">
        <v>2.1666818E7</v>
      </c>
      <c r="Q2137" t="s">
        <v>431</v>
      </c>
      <c r="R2137" s="5"/>
      <c r="S2137" s="5"/>
      <c r="T2137" s="5"/>
      <c r="U2137" s="5"/>
      <c r="V2137" s="5"/>
      <c r="W2137" s="5"/>
      <c r="X2137" s="5"/>
      <c r="Y2137" s="5"/>
      <c r="Z2137" s="5"/>
      <c r="AA2137" s="5"/>
      <c r="AB2137" s="5"/>
      <c r="AC2137" s="5"/>
      <c r="AD2137" s="5"/>
      <c r="AE2137" s="5"/>
      <c r="AF2137" s="5"/>
      <c r="AG2137" s="5"/>
    </row>
    <row r="2138" ht="15.75" customHeight="1">
      <c r="K2138" t="s">
        <v>3732</v>
      </c>
      <c r="L2138" t="str">
        <f>C151</f>
        <v>H2a</v>
      </c>
      <c r="N2138" t="s">
        <v>3733</v>
      </c>
      <c r="O2138">
        <v>2811530.0</v>
      </c>
      <c r="P2138">
        <v>2943489.0</v>
      </c>
      <c r="Q2138" t="s">
        <v>423</v>
      </c>
      <c r="R2138" s="5"/>
      <c r="S2138" s="5"/>
      <c r="T2138" s="5"/>
      <c r="U2138" s="5"/>
      <c r="V2138" s="5"/>
      <c r="W2138" s="5"/>
      <c r="X2138" s="5"/>
      <c r="Y2138" s="5"/>
      <c r="Z2138" s="5"/>
      <c r="AA2138" s="5"/>
      <c r="AB2138" s="5"/>
      <c r="AC2138" s="5"/>
      <c r="AD2138" s="5"/>
      <c r="AE2138" s="5"/>
      <c r="AF2138" s="5"/>
      <c r="AG2138" s="5"/>
    </row>
    <row r="2139" ht="15.75" customHeight="1">
      <c r="K2139" t="s">
        <v>3734</v>
      </c>
      <c r="L2139" t="str">
        <f>C151</f>
        <v>H2a</v>
      </c>
      <c r="M2139" t="s">
        <v>3735</v>
      </c>
      <c r="N2139" t="s">
        <v>3736</v>
      </c>
      <c r="O2139">
        <v>2.2206339E7</v>
      </c>
      <c r="P2139">
        <v>2.0044453E7</v>
      </c>
      <c r="Q2139" t="s">
        <v>435</v>
      </c>
      <c r="R2139" s="5"/>
      <c r="S2139" s="5"/>
      <c r="T2139" s="5"/>
      <c r="U2139" s="5"/>
      <c r="V2139" s="5"/>
      <c r="W2139" s="5"/>
      <c r="X2139" s="5"/>
      <c r="Y2139" s="5"/>
      <c r="Z2139" s="5"/>
      <c r="AA2139" s="5"/>
      <c r="AB2139" s="5"/>
      <c r="AC2139" s="5"/>
      <c r="AD2139" s="5"/>
      <c r="AE2139" s="5"/>
      <c r="AF2139" s="5"/>
      <c r="AG2139" s="5"/>
    </row>
    <row r="2140" ht="15.75" customHeight="1">
      <c r="K2140" t="s">
        <v>3735</v>
      </c>
      <c r="L2140" t="str">
        <f>C151</f>
        <v>H2a</v>
      </c>
      <c r="M2140" t="s">
        <v>3734</v>
      </c>
      <c r="N2140" t="s">
        <v>3736</v>
      </c>
      <c r="O2140">
        <v>2.2206339E7</v>
      </c>
      <c r="P2140">
        <v>2.0044453E7</v>
      </c>
      <c r="Q2140" t="s">
        <v>435</v>
      </c>
      <c r="R2140" s="5"/>
      <c r="S2140" s="5"/>
      <c r="T2140" s="5"/>
      <c r="U2140" s="5"/>
      <c r="V2140" s="5"/>
      <c r="W2140" s="5"/>
      <c r="X2140" s="5"/>
      <c r="Y2140" s="5"/>
      <c r="Z2140" s="5"/>
      <c r="AA2140" s="5"/>
      <c r="AB2140" s="5"/>
      <c r="AC2140" s="5"/>
      <c r="AD2140" s="5"/>
      <c r="AE2140" s="5"/>
      <c r="AF2140" s="5"/>
      <c r="AG2140" s="5"/>
    </row>
    <row r="2141" ht="15.75" customHeight="1">
      <c r="K2141" t="s">
        <v>3737</v>
      </c>
      <c r="L2141" t="str">
        <f>C151</f>
        <v>H2a</v>
      </c>
      <c r="M2141" t="s">
        <v>3738</v>
      </c>
      <c r="N2141" t="s">
        <v>3739</v>
      </c>
      <c r="O2141">
        <v>1.739296E7</v>
      </c>
      <c r="P2141">
        <v>1.528108E7</v>
      </c>
      <c r="Q2141" t="s">
        <v>448</v>
      </c>
      <c r="R2141" s="5"/>
      <c r="S2141" s="5"/>
      <c r="T2141" s="5"/>
      <c r="U2141" s="5"/>
      <c r="V2141" s="5"/>
      <c r="W2141" s="5"/>
      <c r="X2141" s="5"/>
      <c r="Y2141" s="5"/>
      <c r="Z2141" s="5"/>
      <c r="AA2141" s="5"/>
      <c r="AB2141" s="5"/>
      <c r="AC2141" s="5"/>
      <c r="AD2141" s="5"/>
      <c r="AE2141" s="5"/>
      <c r="AF2141" s="5"/>
      <c r="AG2141" s="5"/>
    </row>
    <row r="2142" ht="15.75" customHeight="1">
      <c r="K2142" t="s">
        <v>3738</v>
      </c>
      <c r="L2142" t="str">
        <f>C151</f>
        <v>H2a</v>
      </c>
      <c r="M2142" t="s">
        <v>3737</v>
      </c>
      <c r="N2142" t="s">
        <v>3739</v>
      </c>
      <c r="O2142">
        <v>1.739296E7</v>
      </c>
      <c r="P2142">
        <v>1.528108E7</v>
      </c>
      <c r="Q2142" t="s">
        <v>448</v>
      </c>
      <c r="R2142" s="5"/>
      <c r="S2142" s="5"/>
      <c r="T2142" s="5"/>
      <c r="U2142" s="5"/>
      <c r="V2142" s="5"/>
      <c r="W2142" s="5"/>
      <c r="X2142" s="5"/>
      <c r="Y2142" s="5"/>
      <c r="Z2142" s="5"/>
      <c r="AA2142" s="5"/>
      <c r="AB2142" s="5"/>
      <c r="AC2142" s="5"/>
      <c r="AD2142" s="5"/>
      <c r="AE2142" s="5"/>
      <c r="AF2142" s="5"/>
      <c r="AG2142" s="5"/>
    </row>
    <row r="2143" ht="15.75" customHeight="1">
      <c r="K2143" t="s">
        <v>3740</v>
      </c>
      <c r="L2143" t="str">
        <f>C151</f>
        <v>H2a</v>
      </c>
      <c r="N2143" t="s">
        <v>3741</v>
      </c>
      <c r="O2143">
        <v>1.4313144E7</v>
      </c>
      <c r="P2143">
        <v>1.2192438E7</v>
      </c>
      <c r="Q2143" t="s">
        <v>419</v>
      </c>
      <c r="R2143" s="5"/>
      <c r="S2143" s="5"/>
      <c r="T2143" s="5"/>
      <c r="U2143" s="5"/>
      <c r="V2143" s="5"/>
      <c r="W2143" s="5"/>
      <c r="X2143" s="5"/>
      <c r="Y2143" s="5"/>
      <c r="Z2143" s="5"/>
      <c r="AA2143" s="5"/>
      <c r="AB2143" s="5"/>
      <c r="AC2143" s="5"/>
      <c r="AD2143" s="5"/>
      <c r="AE2143" s="5"/>
      <c r="AF2143" s="5"/>
      <c r="AG2143" s="5"/>
    </row>
    <row r="2144" ht="15.75" customHeight="1">
      <c r="K2144" t="s">
        <v>3742</v>
      </c>
      <c r="L2144" t="str">
        <f>C151</f>
        <v>H2a</v>
      </c>
      <c r="N2144" t="s">
        <v>3743</v>
      </c>
      <c r="O2144">
        <v>1.6542978E7</v>
      </c>
      <c r="P2144">
        <v>1.4431098E7</v>
      </c>
      <c r="Q2144" t="s">
        <v>423</v>
      </c>
      <c r="R2144" s="5"/>
      <c r="S2144" s="5"/>
      <c r="T2144" s="5"/>
      <c r="U2144" s="5"/>
      <c r="V2144" s="5"/>
      <c r="W2144" s="5"/>
      <c r="X2144" s="5"/>
      <c r="Y2144" s="5"/>
      <c r="Z2144" s="5"/>
      <c r="AA2144" s="5"/>
      <c r="AB2144" s="5"/>
      <c r="AC2144" s="5"/>
      <c r="AD2144" s="5"/>
      <c r="AE2144" s="5"/>
      <c r="AF2144" s="5"/>
      <c r="AG2144" s="5"/>
    </row>
    <row r="2145" ht="15.75" customHeight="1">
      <c r="K2145" t="s">
        <v>3744</v>
      </c>
      <c r="L2145" t="str">
        <f>C151</f>
        <v>H2a</v>
      </c>
      <c r="N2145" t="s">
        <v>3745</v>
      </c>
      <c r="O2145">
        <v>1.6867772E7</v>
      </c>
      <c r="P2145">
        <v>1.4755892E7</v>
      </c>
      <c r="Q2145" t="s">
        <v>459</v>
      </c>
      <c r="R2145" s="5"/>
      <c r="S2145" s="5"/>
      <c r="T2145" s="5"/>
      <c r="U2145" s="5"/>
      <c r="V2145" s="5"/>
      <c r="W2145" s="5"/>
      <c r="X2145" s="5"/>
      <c r="Y2145" s="5"/>
      <c r="Z2145" s="5"/>
      <c r="AA2145" s="5"/>
      <c r="AB2145" s="5"/>
      <c r="AC2145" s="5"/>
      <c r="AD2145" s="5"/>
      <c r="AE2145" s="5"/>
      <c r="AF2145" s="5"/>
      <c r="AG2145" s="5"/>
    </row>
    <row r="2146" ht="15.75" customHeight="1">
      <c r="K2146" t="s">
        <v>3746</v>
      </c>
      <c r="L2146" t="str">
        <f>C151</f>
        <v>H2a</v>
      </c>
      <c r="N2146" t="s">
        <v>3747</v>
      </c>
      <c r="O2146">
        <v>1.8236481E7</v>
      </c>
      <c r="P2146">
        <v>1.6124601E7</v>
      </c>
      <c r="Q2146" t="s">
        <v>427</v>
      </c>
      <c r="R2146" s="5"/>
      <c r="S2146" s="5"/>
      <c r="T2146" s="5"/>
      <c r="U2146" s="5"/>
      <c r="V2146" s="5"/>
      <c r="W2146" s="5"/>
      <c r="X2146" s="5"/>
      <c r="Y2146" s="5"/>
      <c r="Z2146" s="5"/>
      <c r="AA2146" s="5"/>
      <c r="AB2146" s="5"/>
      <c r="AC2146" s="5"/>
      <c r="AD2146" s="5"/>
      <c r="AE2146" s="5"/>
      <c r="AF2146" s="5"/>
      <c r="AG2146" s="5"/>
    </row>
    <row r="2147" ht="15.75" customHeight="1">
      <c r="K2147" t="s">
        <v>3748</v>
      </c>
      <c r="L2147" t="str">
        <f>C151</f>
        <v>H2a</v>
      </c>
      <c r="N2147" t="s">
        <v>3749</v>
      </c>
      <c r="O2147">
        <v>2.2045044E7</v>
      </c>
      <c r="P2147">
        <v>1.9883158E7</v>
      </c>
      <c r="Q2147" t="s">
        <v>431</v>
      </c>
      <c r="R2147" s="5"/>
      <c r="S2147" s="5"/>
      <c r="T2147" s="5"/>
      <c r="U2147" s="5"/>
      <c r="V2147" s="5"/>
      <c r="W2147" s="5"/>
      <c r="X2147" s="5"/>
      <c r="Y2147" s="5"/>
      <c r="Z2147" s="5"/>
      <c r="AA2147" s="5"/>
      <c r="AB2147" s="5"/>
      <c r="AC2147" s="5"/>
      <c r="AD2147" s="5"/>
      <c r="AE2147" s="5"/>
      <c r="AF2147" s="5"/>
      <c r="AG2147" s="5"/>
    </row>
    <row r="2148" ht="15.75" customHeight="1">
      <c r="K2148" t="s">
        <v>3750</v>
      </c>
      <c r="L2148" t="str">
        <f>C151</f>
        <v>H2a</v>
      </c>
      <c r="N2148" t="s">
        <v>3751</v>
      </c>
      <c r="O2148">
        <v>2716568.0</v>
      </c>
      <c r="P2148">
        <v>2848527.0</v>
      </c>
      <c r="Q2148" t="s">
        <v>427</v>
      </c>
      <c r="R2148" s="5"/>
      <c r="S2148" s="5"/>
      <c r="T2148" s="5"/>
      <c r="U2148" s="5"/>
      <c r="V2148" s="5"/>
      <c r="W2148" s="5"/>
      <c r="X2148" s="5"/>
      <c r="Y2148" s="5"/>
      <c r="Z2148" s="5"/>
      <c r="AA2148" s="5"/>
      <c r="AB2148" s="5"/>
      <c r="AC2148" s="5"/>
      <c r="AD2148" s="5"/>
      <c r="AE2148" s="5"/>
      <c r="AF2148" s="5"/>
      <c r="AG2148" s="5"/>
    </row>
    <row r="2149" ht="15.75" customHeight="1">
      <c r="K2149" t="s">
        <v>3752</v>
      </c>
      <c r="L2149" t="str">
        <f>C151</f>
        <v>H2a</v>
      </c>
      <c r="N2149" t="s">
        <v>3753</v>
      </c>
      <c r="O2149">
        <v>2744467.0</v>
      </c>
      <c r="P2149">
        <v>2876426.0</v>
      </c>
      <c r="Q2149" t="s">
        <v>473</v>
      </c>
      <c r="R2149" s="5"/>
      <c r="S2149" s="5"/>
      <c r="T2149" s="5"/>
      <c r="U2149" s="5"/>
      <c r="V2149" s="5"/>
      <c r="W2149" s="5"/>
      <c r="X2149" s="5"/>
      <c r="Y2149" s="5"/>
      <c r="Z2149" s="5"/>
      <c r="AA2149" s="5"/>
      <c r="AB2149" s="5"/>
      <c r="AC2149" s="5"/>
      <c r="AD2149" s="5"/>
      <c r="AE2149" s="5"/>
      <c r="AF2149" s="5"/>
      <c r="AG2149" s="5"/>
    </row>
    <row r="2150" ht="15.75" customHeight="1">
      <c r="K2150" t="s">
        <v>3754</v>
      </c>
      <c r="L2150" t="str">
        <f>C151</f>
        <v>H2a</v>
      </c>
      <c r="O2150">
        <v>7389651.0</v>
      </c>
      <c r="P2150">
        <v>7521610.0</v>
      </c>
      <c r="Q2150" t="s">
        <v>431</v>
      </c>
      <c r="R2150" s="5"/>
      <c r="S2150" s="5"/>
      <c r="T2150" s="5"/>
      <c r="U2150" s="5"/>
      <c r="V2150" s="5"/>
      <c r="W2150" s="5"/>
      <c r="X2150" s="5"/>
      <c r="Y2150" s="5"/>
      <c r="Z2150" s="5"/>
      <c r="AA2150" s="5"/>
      <c r="AB2150" s="5"/>
      <c r="AC2150" s="5"/>
      <c r="AD2150" s="5"/>
      <c r="AE2150" s="5"/>
      <c r="AF2150" s="5"/>
      <c r="AG2150" s="5"/>
    </row>
    <row r="2151" ht="15.75" customHeight="1">
      <c r="K2151" t="s">
        <v>3755</v>
      </c>
      <c r="L2151" t="str">
        <f>C151</f>
        <v>H2a</v>
      </c>
      <c r="N2151" t="s">
        <v>3756</v>
      </c>
      <c r="O2151">
        <v>1.4286681E7</v>
      </c>
      <c r="P2151">
        <v>1.2165975E7</v>
      </c>
      <c r="Q2151" t="s">
        <v>427</v>
      </c>
      <c r="R2151" s="5"/>
      <c r="S2151" s="5"/>
      <c r="T2151" s="5"/>
      <c r="U2151" s="5"/>
      <c r="V2151" s="5"/>
      <c r="W2151" s="5"/>
      <c r="X2151" s="5"/>
      <c r="Y2151" s="5"/>
      <c r="Z2151" s="5"/>
      <c r="AA2151" s="5"/>
      <c r="AB2151" s="5"/>
      <c r="AC2151" s="5"/>
      <c r="AD2151" s="5"/>
      <c r="AE2151" s="5"/>
      <c r="AF2151" s="5"/>
      <c r="AG2151" s="5"/>
    </row>
    <row r="2152" ht="15.75" customHeight="1">
      <c r="K2152" t="s">
        <v>3757</v>
      </c>
      <c r="L2152" t="str">
        <f>C151</f>
        <v>H2a</v>
      </c>
      <c r="O2152">
        <v>1.4320771E7</v>
      </c>
      <c r="P2152">
        <v>1.2200065E7</v>
      </c>
      <c r="Q2152" t="s">
        <v>435</v>
      </c>
      <c r="R2152" s="5"/>
      <c r="S2152" s="5"/>
      <c r="T2152" s="5"/>
      <c r="U2152" s="5"/>
      <c r="V2152" s="5"/>
      <c r="W2152" s="5"/>
      <c r="X2152" s="5"/>
      <c r="Y2152" s="5"/>
      <c r="Z2152" s="5"/>
      <c r="AA2152" s="5"/>
      <c r="AB2152" s="5"/>
      <c r="AC2152" s="5"/>
      <c r="AD2152" s="5"/>
      <c r="AE2152" s="5"/>
      <c r="AF2152" s="5"/>
      <c r="AG2152" s="5"/>
    </row>
    <row r="2153" ht="15.75" customHeight="1">
      <c r="K2153" t="s">
        <v>3758</v>
      </c>
      <c r="L2153" t="str">
        <f>C151</f>
        <v>H2a</v>
      </c>
      <c r="O2153">
        <v>1.4576565E7</v>
      </c>
      <c r="P2153">
        <v>1.2464765E7</v>
      </c>
      <c r="Q2153" t="s">
        <v>423</v>
      </c>
      <c r="R2153" s="5"/>
      <c r="S2153" s="5"/>
      <c r="T2153" s="5"/>
      <c r="U2153" s="5"/>
      <c r="V2153" s="5"/>
      <c r="W2153" s="5"/>
      <c r="X2153" s="5"/>
      <c r="Y2153" s="5"/>
      <c r="Z2153" s="5"/>
      <c r="AA2153" s="5"/>
      <c r="AB2153" s="5"/>
      <c r="AC2153" s="5"/>
      <c r="AD2153" s="5"/>
      <c r="AE2153" s="5"/>
      <c r="AF2153" s="5"/>
      <c r="AG2153" s="5"/>
    </row>
    <row r="2154" ht="15.75" customHeight="1">
      <c r="K2154" t="s">
        <v>3759</v>
      </c>
      <c r="L2154" t="str">
        <f>C151</f>
        <v>H2a</v>
      </c>
      <c r="O2154">
        <v>1.5492511E7</v>
      </c>
      <c r="P2154">
        <v>1.3380631E7</v>
      </c>
      <c r="Q2154" t="s">
        <v>419</v>
      </c>
      <c r="R2154" s="5"/>
      <c r="S2154" s="5"/>
      <c r="T2154" s="5"/>
      <c r="U2154" s="5"/>
      <c r="V2154" s="5"/>
      <c r="W2154" s="5"/>
      <c r="X2154" s="5"/>
      <c r="Y2154" s="5"/>
      <c r="Z2154" s="5"/>
      <c r="AA2154" s="5"/>
      <c r="AB2154" s="5"/>
      <c r="AC2154" s="5"/>
      <c r="AD2154" s="5"/>
      <c r="AE2154" s="5"/>
      <c r="AF2154" s="5"/>
      <c r="AG2154" s="5"/>
    </row>
    <row r="2155" ht="15.75" customHeight="1">
      <c r="K2155" t="s">
        <v>3760</v>
      </c>
      <c r="L2155" t="str">
        <f>C151</f>
        <v>H2a</v>
      </c>
      <c r="N2155" t="s">
        <v>3761</v>
      </c>
      <c r="O2155">
        <v>1.5612011E7</v>
      </c>
      <c r="P2155">
        <v>1.3500131E7</v>
      </c>
      <c r="Q2155" t="s">
        <v>476</v>
      </c>
      <c r="R2155" s="5"/>
      <c r="S2155" s="5"/>
      <c r="T2155" s="5"/>
      <c r="U2155" s="5"/>
      <c r="V2155" s="5"/>
      <c r="W2155" s="5"/>
      <c r="X2155" s="5"/>
      <c r="Y2155" s="5"/>
      <c r="Z2155" s="5"/>
      <c r="AA2155" s="5"/>
      <c r="AB2155" s="5"/>
      <c r="AC2155" s="5"/>
      <c r="AD2155" s="5"/>
      <c r="AE2155" s="5"/>
      <c r="AF2155" s="5"/>
      <c r="AG2155" s="5"/>
    </row>
    <row r="2156" ht="15.75" customHeight="1">
      <c r="K2156" t="s">
        <v>3762</v>
      </c>
      <c r="L2156" t="str">
        <f>C151</f>
        <v>H2a</v>
      </c>
      <c r="N2156" t="s">
        <v>3763</v>
      </c>
      <c r="O2156">
        <v>1.577908E7</v>
      </c>
      <c r="P2156">
        <v>1.36672E7</v>
      </c>
      <c r="Q2156" t="s">
        <v>553</v>
      </c>
      <c r="R2156" s="5"/>
      <c r="S2156" s="5"/>
      <c r="T2156" s="5"/>
      <c r="U2156" s="5"/>
      <c r="V2156" s="5"/>
      <c r="W2156" s="5"/>
      <c r="X2156" s="5"/>
      <c r="Y2156" s="5"/>
      <c r="Z2156" s="5"/>
      <c r="AA2156" s="5"/>
      <c r="AB2156" s="5"/>
      <c r="AC2156" s="5"/>
      <c r="AD2156" s="5"/>
      <c r="AE2156" s="5"/>
      <c r="AF2156" s="5"/>
      <c r="AG2156" s="5"/>
    </row>
    <row r="2157" ht="15.75" customHeight="1">
      <c r="K2157" t="s">
        <v>3764</v>
      </c>
      <c r="L2157" t="str">
        <f>C151</f>
        <v>H2a</v>
      </c>
      <c r="O2157">
        <v>1.6330211E7</v>
      </c>
      <c r="P2157">
        <v>1.4218331E7</v>
      </c>
      <c r="Q2157" t="s">
        <v>431</v>
      </c>
      <c r="R2157" s="5"/>
      <c r="S2157" s="5"/>
      <c r="T2157" s="5"/>
      <c r="U2157" s="5"/>
      <c r="V2157" s="5"/>
      <c r="W2157" s="5"/>
      <c r="X2157" s="5"/>
      <c r="Y2157" s="5"/>
      <c r="Z2157" s="5"/>
      <c r="AA2157" s="5"/>
      <c r="AB2157" s="5"/>
      <c r="AC2157" s="5"/>
      <c r="AD2157" s="5"/>
      <c r="AE2157" s="5"/>
      <c r="AF2157" s="5"/>
      <c r="AG2157" s="5"/>
    </row>
    <row r="2158" ht="15.75" customHeight="1">
      <c r="K2158" t="s">
        <v>3765</v>
      </c>
      <c r="L2158" t="str">
        <f>C151</f>
        <v>H2a</v>
      </c>
      <c r="N2158" t="s">
        <v>3766</v>
      </c>
      <c r="O2158">
        <v>1.6348351E7</v>
      </c>
      <c r="P2158">
        <v>1.4236471E7</v>
      </c>
      <c r="Q2158" t="s">
        <v>448</v>
      </c>
      <c r="R2158" s="5"/>
      <c r="S2158" s="5"/>
      <c r="T2158" s="5"/>
      <c r="U2158" s="5"/>
      <c r="V2158" s="5"/>
      <c r="W2158" s="5"/>
      <c r="X2158" s="5"/>
      <c r="Y2158" s="5"/>
      <c r="Z2158" s="5"/>
      <c r="AA2158" s="5"/>
      <c r="AB2158" s="5"/>
      <c r="AC2158" s="5"/>
      <c r="AD2158" s="5"/>
      <c r="AE2158" s="5"/>
      <c r="AF2158" s="5"/>
      <c r="AG2158" s="5"/>
    </row>
    <row r="2159" ht="15.75" customHeight="1">
      <c r="K2159" t="s">
        <v>3767</v>
      </c>
      <c r="L2159" t="str">
        <f>C151</f>
        <v>H2a</v>
      </c>
      <c r="N2159" t="s">
        <v>3768</v>
      </c>
      <c r="O2159">
        <v>1.6434953E7</v>
      </c>
      <c r="P2159">
        <v>1.4323073E7</v>
      </c>
      <c r="Q2159" t="s">
        <v>419</v>
      </c>
      <c r="R2159" s="5"/>
      <c r="S2159" s="5"/>
      <c r="T2159" s="5"/>
      <c r="U2159" s="5"/>
      <c r="V2159" s="5"/>
      <c r="W2159" s="5"/>
      <c r="X2159" s="5"/>
      <c r="Y2159" s="5"/>
      <c r="Z2159" s="5"/>
      <c r="AA2159" s="5"/>
      <c r="AB2159" s="5"/>
      <c r="AC2159" s="5"/>
      <c r="AD2159" s="5"/>
      <c r="AE2159" s="5"/>
      <c r="AF2159" s="5"/>
      <c r="AG2159" s="5"/>
    </row>
    <row r="2160" ht="15.75" customHeight="1">
      <c r="K2160" t="s">
        <v>3769</v>
      </c>
      <c r="L2160" t="str">
        <f>C151</f>
        <v>H2a</v>
      </c>
      <c r="N2160" t="s">
        <v>3770</v>
      </c>
      <c r="O2160">
        <v>1.6850831E7</v>
      </c>
      <c r="P2160">
        <v>1.4738951E7</v>
      </c>
      <c r="Q2160" t="s">
        <v>435</v>
      </c>
      <c r="R2160" s="5"/>
      <c r="S2160" s="5"/>
      <c r="T2160" s="5"/>
      <c r="U2160" s="5"/>
      <c r="V2160" s="5"/>
      <c r="W2160" s="5"/>
      <c r="X2160" s="5"/>
      <c r="Y2160" s="5"/>
      <c r="Z2160" s="5"/>
      <c r="AA2160" s="5"/>
      <c r="AB2160" s="5"/>
      <c r="AC2160" s="5"/>
      <c r="AD2160" s="5"/>
      <c r="AE2160" s="5"/>
      <c r="AF2160" s="5"/>
      <c r="AG2160" s="5"/>
    </row>
    <row r="2161" ht="15.75" customHeight="1">
      <c r="K2161" t="s">
        <v>3771</v>
      </c>
      <c r="L2161" t="str">
        <f>C151</f>
        <v>H2a</v>
      </c>
      <c r="N2161" t="s">
        <v>3772</v>
      </c>
      <c r="O2161">
        <v>1.6889078E7</v>
      </c>
      <c r="P2161">
        <v>1.4777198E7</v>
      </c>
      <c r="Q2161" t="s">
        <v>452</v>
      </c>
      <c r="R2161" s="5"/>
      <c r="S2161" s="5"/>
      <c r="T2161" s="5"/>
      <c r="U2161" s="5"/>
      <c r="V2161" s="5"/>
      <c r="W2161" s="5"/>
      <c r="X2161" s="5"/>
      <c r="Y2161" s="5"/>
      <c r="Z2161" s="5"/>
      <c r="AA2161" s="5"/>
      <c r="AB2161" s="5"/>
      <c r="AC2161" s="5"/>
      <c r="AD2161" s="5"/>
      <c r="AE2161" s="5"/>
      <c r="AF2161" s="5"/>
      <c r="AG2161" s="5"/>
    </row>
    <row r="2162" ht="15.75" customHeight="1">
      <c r="K2162" t="s">
        <v>3773</v>
      </c>
      <c r="L2162" t="str">
        <f>C151</f>
        <v>H2a</v>
      </c>
      <c r="N2162" t="s">
        <v>3774</v>
      </c>
      <c r="O2162">
        <v>1.6959759E7</v>
      </c>
      <c r="P2162">
        <v>1.4847879E7</v>
      </c>
      <c r="Q2162" t="s">
        <v>419</v>
      </c>
      <c r="R2162" s="5"/>
      <c r="S2162" s="5"/>
      <c r="T2162" s="5"/>
      <c r="U2162" s="5"/>
      <c r="V2162" s="5"/>
      <c r="W2162" s="5"/>
      <c r="X2162" s="5"/>
      <c r="Y2162" s="5"/>
      <c r="Z2162" s="5"/>
      <c r="AA2162" s="5"/>
      <c r="AB2162" s="5"/>
      <c r="AC2162" s="5"/>
      <c r="AD2162" s="5"/>
      <c r="AE2162" s="5"/>
      <c r="AF2162" s="5"/>
      <c r="AG2162" s="5"/>
    </row>
    <row r="2163" ht="15.75" customHeight="1">
      <c r="K2163" t="s">
        <v>3775</v>
      </c>
      <c r="L2163" t="str">
        <f>C151</f>
        <v>H2a</v>
      </c>
      <c r="N2163" t="s">
        <v>3776</v>
      </c>
      <c r="O2163">
        <v>1.7191124E7</v>
      </c>
      <c r="P2163">
        <v>1.5079244E7</v>
      </c>
      <c r="Q2163" t="s">
        <v>435</v>
      </c>
      <c r="R2163" s="5"/>
      <c r="S2163" s="5"/>
      <c r="T2163" s="5"/>
      <c r="U2163" s="5"/>
      <c r="V2163" s="5"/>
      <c r="W2163" s="5"/>
      <c r="X2163" s="5"/>
      <c r="Y2163" s="5"/>
      <c r="Z2163" s="5"/>
      <c r="AA2163" s="5"/>
      <c r="AB2163" s="5"/>
      <c r="AC2163" s="5"/>
      <c r="AD2163" s="5"/>
      <c r="AE2163" s="5"/>
      <c r="AF2163" s="5"/>
      <c r="AG2163" s="5"/>
    </row>
    <row r="2164" ht="15.75" customHeight="1">
      <c r="K2164" t="s">
        <v>3777</v>
      </c>
      <c r="L2164" t="str">
        <f>C151</f>
        <v>H2a</v>
      </c>
      <c r="O2164">
        <v>1.7396249E7</v>
      </c>
      <c r="P2164">
        <v>1.5284369E7</v>
      </c>
      <c r="Q2164" t="s">
        <v>435</v>
      </c>
      <c r="R2164" s="5"/>
      <c r="S2164" s="5"/>
      <c r="T2164" s="5"/>
      <c r="U2164" s="5"/>
      <c r="V2164" s="5"/>
      <c r="W2164" s="5"/>
      <c r="X2164" s="5"/>
      <c r="Y2164" s="5"/>
      <c r="Z2164" s="5"/>
      <c r="AA2164" s="5"/>
      <c r="AB2164" s="5"/>
      <c r="AC2164" s="5"/>
      <c r="AD2164" s="5"/>
      <c r="AE2164" s="5"/>
      <c r="AF2164" s="5"/>
      <c r="AG2164" s="5"/>
    </row>
    <row r="2165" ht="15.75" customHeight="1">
      <c r="K2165" t="s">
        <v>3778</v>
      </c>
      <c r="L2165" t="str">
        <f>C151</f>
        <v>H2a</v>
      </c>
      <c r="N2165" t="s">
        <v>3779</v>
      </c>
      <c r="O2165">
        <v>1.7711399E7</v>
      </c>
      <c r="P2165">
        <v>1.5599519E7</v>
      </c>
      <c r="Q2165" t="s">
        <v>431</v>
      </c>
      <c r="R2165" s="5"/>
      <c r="S2165" s="5"/>
      <c r="T2165" s="5"/>
      <c r="U2165" s="5"/>
      <c r="V2165" s="5"/>
      <c r="W2165" s="5"/>
      <c r="X2165" s="5"/>
      <c r="Y2165" s="5"/>
      <c r="Z2165" s="5"/>
      <c r="AA2165" s="5"/>
      <c r="AB2165" s="5"/>
      <c r="AC2165" s="5"/>
      <c r="AD2165" s="5"/>
      <c r="AE2165" s="5"/>
      <c r="AF2165" s="5"/>
      <c r="AG2165" s="5"/>
    </row>
    <row r="2166" ht="15.75" customHeight="1">
      <c r="K2166" t="s">
        <v>3780</v>
      </c>
      <c r="L2166" t="str">
        <f>C151</f>
        <v>H2a</v>
      </c>
      <c r="N2166" t="s">
        <v>3781</v>
      </c>
      <c r="O2166">
        <v>1.7897606E7</v>
      </c>
      <c r="P2166">
        <v>1.5785726E7</v>
      </c>
      <c r="Q2166" t="s">
        <v>419</v>
      </c>
      <c r="R2166" s="5"/>
      <c r="S2166" s="5"/>
      <c r="T2166" s="5"/>
      <c r="U2166" s="5"/>
      <c r="V2166" s="5"/>
      <c r="W2166" s="5"/>
      <c r="X2166" s="5"/>
      <c r="Y2166" s="5"/>
      <c r="Z2166" s="5"/>
      <c r="AA2166" s="5"/>
      <c r="AB2166" s="5"/>
      <c r="AC2166" s="5"/>
      <c r="AD2166" s="5"/>
      <c r="AE2166" s="5"/>
      <c r="AF2166" s="5"/>
      <c r="AG2166" s="5"/>
    </row>
    <row r="2167" ht="15.75" customHeight="1">
      <c r="K2167" t="s">
        <v>3782</v>
      </c>
      <c r="L2167" t="str">
        <f>C151</f>
        <v>H2a</v>
      </c>
      <c r="N2167" t="s">
        <v>3783</v>
      </c>
      <c r="O2167">
        <v>1.8051196E7</v>
      </c>
      <c r="P2167">
        <v>1.5939316E7</v>
      </c>
      <c r="Q2167" t="s">
        <v>431</v>
      </c>
      <c r="R2167" s="5"/>
      <c r="S2167" s="5"/>
      <c r="T2167" s="5"/>
      <c r="U2167" s="5"/>
      <c r="V2167" s="5"/>
      <c r="W2167" s="5"/>
      <c r="X2167" s="5"/>
      <c r="Y2167" s="5"/>
      <c r="Z2167" s="5"/>
      <c r="AA2167" s="5"/>
      <c r="AB2167" s="5"/>
      <c r="AC2167" s="5"/>
      <c r="AD2167" s="5"/>
      <c r="AE2167" s="5"/>
      <c r="AF2167" s="5"/>
      <c r="AG2167" s="5"/>
    </row>
    <row r="2168" ht="15.75" customHeight="1">
      <c r="K2168" t="s">
        <v>3784</v>
      </c>
      <c r="L2168" t="str">
        <f>C151</f>
        <v>H2a</v>
      </c>
      <c r="N2168" t="s">
        <v>3785</v>
      </c>
      <c r="O2168">
        <v>1.8065603E7</v>
      </c>
      <c r="P2168">
        <v>1.5953723E7</v>
      </c>
      <c r="Q2168" t="s">
        <v>553</v>
      </c>
      <c r="R2168" s="5"/>
      <c r="S2168" s="5"/>
      <c r="T2168" s="5"/>
      <c r="U2168" s="5"/>
      <c r="V2168" s="5"/>
      <c r="W2168" s="5"/>
      <c r="X2168" s="5"/>
      <c r="Y2168" s="5"/>
      <c r="Z2168" s="5"/>
      <c r="AA2168" s="5"/>
      <c r="AB2168" s="5"/>
      <c r="AC2168" s="5"/>
      <c r="AD2168" s="5"/>
      <c r="AE2168" s="5"/>
      <c r="AF2168" s="5"/>
      <c r="AG2168" s="5"/>
    </row>
    <row r="2169" ht="15.75" customHeight="1">
      <c r="K2169" t="s">
        <v>3786</v>
      </c>
      <c r="L2169" t="str">
        <f>C151</f>
        <v>H2a</v>
      </c>
      <c r="N2169" t="s">
        <v>3787</v>
      </c>
      <c r="O2169">
        <v>1.8068704E7</v>
      </c>
      <c r="P2169">
        <v>1.5956824E7</v>
      </c>
      <c r="Q2169" t="s">
        <v>476</v>
      </c>
      <c r="R2169" s="5"/>
      <c r="S2169" s="5"/>
      <c r="T2169" s="5"/>
      <c r="U2169" s="5"/>
      <c r="V2169" s="5"/>
      <c r="W2169" s="5"/>
      <c r="X2169" s="5"/>
      <c r="Y2169" s="5"/>
      <c r="Z2169" s="5"/>
      <c r="AA2169" s="5"/>
      <c r="AB2169" s="5"/>
      <c r="AC2169" s="5"/>
      <c r="AD2169" s="5"/>
      <c r="AE2169" s="5"/>
      <c r="AF2169" s="5"/>
      <c r="AG2169" s="5"/>
    </row>
    <row r="2170" ht="15.75" customHeight="1">
      <c r="K2170" t="s">
        <v>3788</v>
      </c>
      <c r="L2170" t="str">
        <f>C151</f>
        <v>H2a</v>
      </c>
      <c r="N2170" t="s">
        <v>3789</v>
      </c>
      <c r="O2170">
        <v>1.807361E7</v>
      </c>
      <c r="P2170">
        <v>1.596173E7</v>
      </c>
      <c r="Q2170" t="s">
        <v>419</v>
      </c>
      <c r="R2170" s="5"/>
      <c r="S2170" s="5"/>
      <c r="T2170" s="5"/>
      <c r="U2170" s="5"/>
      <c r="V2170" s="5"/>
      <c r="W2170" s="5"/>
      <c r="X2170" s="5"/>
      <c r="Y2170" s="5"/>
      <c r="Z2170" s="5"/>
      <c r="AA2170" s="5"/>
      <c r="AB2170" s="5"/>
      <c r="AC2170" s="5"/>
      <c r="AD2170" s="5"/>
      <c r="AE2170" s="5"/>
      <c r="AF2170" s="5"/>
      <c r="AG2170" s="5"/>
    </row>
    <row r="2171" ht="15.75" customHeight="1">
      <c r="K2171" t="s">
        <v>3790</v>
      </c>
      <c r="L2171" t="str">
        <f>C151</f>
        <v>H2a</v>
      </c>
      <c r="N2171" t="s">
        <v>3791</v>
      </c>
      <c r="O2171">
        <v>1.8146217E7</v>
      </c>
      <c r="P2171">
        <v>1.6034337E7</v>
      </c>
      <c r="Q2171" t="s">
        <v>419</v>
      </c>
      <c r="R2171" s="5"/>
      <c r="S2171" s="5"/>
      <c r="T2171" s="5"/>
      <c r="U2171" s="5"/>
      <c r="V2171" s="5"/>
      <c r="W2171" s="5"/>
      <c r="X2171" s="5"/>
      <c r="Y2171" s="5"/>
      <c r="Z2171" s="5"/>
      <c r="AA2171" s="5"/>
      <c r="AB2171" s="5"/>
      <c r="AC2171" s="5"/>
      <c r="AD2171" s="5"/>
      <c r="AE2171" s="5"/>
      <c r="AF2171" s="5"/>
      <c r="AG2171" s="5"/>
    </row>
    <row r="2172" ht="15.75" customHeight="1">
      <c r="K2172" t="s">
        <v>3792</v>
      </c>
      <c r="L2172" t="str">
        <f>C151</f>
        <v>H2a</v>
      </c>
      <c r="N2172" t="s">
        <v>3793</v>
      </c>
      <c r="O2172">
        <v>1.816259E7</v>
      </c>
      <c r="P2172">
        <v>1.605071E7</v>
      </c>
      <c r="Q2172" t="s">
        <v>431</v>
      </c>
      <c r="R2172" s="5"/>
      <c r="S2172" s="5"/>
      <c r="T2172" s="5"/>
      <c r="U2172" s="5"/>
      <c r="V2172" s="5"/>
      <c r="W2172" s="5"/>
      <c r="X2172" s="5"/>
      <c r="Y2172" s="5"/>
      <c r="Z2172" s="5"/>
      <c r="AA2172" s="5"/>
      <c r="AB2172" s="5"/>
      <c r="AC2172" s="5"/>
      <c r="AD2172" s="5"/>
      <c r="AE2172" s="5"/>
      <c r="AF2172" s="5"/>
      <c r="AG2172" s="5"/>
    </row>
    <row r="2173" ht="15.75" customHeight="1">
      <c r="K2173" t="s">
        <v>3794</v>
      </c>
      <c r="L2173" t="str">
        <f>C151</f>
        <v>H2a</v>
      </c>
      <c r="N2173" t="s">
        <v>3795</v>
      </c>
      <c r="O2173">
        <v>1.8202266E7</v>
      </c>
      <c r="P2173">
        <v>1.6090386E7</v>
      </c>
      <c r="Q2173" t="s">
        <v>419</v>
      </c>
      <c r="R2173" s="5"/>
      <c r="S2173" s="5"/>
      <c r="T2173" s="5"/>
      <c r="U2173" s="5"/>
      <c r="V2173" s="5"/>
      <c r="W2173" s="5"/>
      <c r="X2173" s="5"/>
      <c r="Y2173" s="5"/>
      <c r="Z2173" s="5"/>
      <c r="AA2173" s="5"/>
      <c r="AB2173" s="5"/>
      <c r="AC2173" s="5"/>
      <c r="AD2173" s="5"/>
      <c r="AE2173" s="5"/>
      <c r="AF2173" s="5"/>
      <c r="AG2173" s="5"/>
    </row>
    <row r="2174" ht="15.75" customHeight="1">
      <c r="K2174" t="s">
        <v>3796</v>
      </c>
      <c r="L2174" t="str">
        <f>C151</f>
        <v>H2a</v>
      </c>
      <c r="N2174" t="s">
        <v>3797</v>
      </c>
      <c r="O2174">
        <v>1.87402E7</v>
      </c>
      <c r="P2174">
        <v>1.662832E7</v>
      </c>
      <c r="Q2174" t="s">
        <v>435</v>
      </c>
      <c r="R2174" s="5"/>
      <c r="S2174" s="5"/>
      <c r="T2174" s="5"/>
      <c r="U2174" s="5"/>
      <c r="V2174" s="5"/>
      <c r="W2174" s="5"/>
      <c r="X2174" s="5"/>
      <c r="Y2174" s="5"/>
      <c r="Z2174" s="5"/>
      <c r="AA2174" s="5"/>
      <c r="AB2174" s="5"/>
      <c r="AC2174" s="5"/>
      <c r="AD2174" s="5"/>
      <c r="AE2174" s="5"/>
      <c r="AF2174" s="5"/>
      <c r="AG2174" s="5"/>
    </row>
    <row r="2175" ht="15.75" customHeight="1">
      <c r="K2175" t="s">
        <v>3798</v>
      </c>
      <c r="L2175" t="str">
        <f>C151</f>
        <v>H2a</v>
      </c>
      <c r="N2175" t="s">
        <v>3799</v>
      </c>
      <c r="O2175">
        <v>1.9202281E7</v>
      </c>
      <c r="P2175">
        <v>1.7090401E7</v>
      </c>
      <c r="Q2175" t="s">
        <v>427</v>
      </c>
      <c r="R2175" s="5"/>
      <c r="S2175" s="5"/>
      <c r="T2175" s="5"/>
      <c r="U2175" s="5"/>
      <c r="V2175" s="5"/>
      <c r="W2175" s="5"/>
      <c r="X2175" s="5"/>
      <c r="Y2175" s="5"/>
      <c r="Z2175" s="5"/>
      <c r="AA2175" s="5"/>
      <c r="AB2175" s="5"/>
      <c r="AC2175" s="5"/>
      <c r="AD2175" s="5"/>
      <c r="AE2175" s="5"/>
      <c r="AF2175" s="5"/>
      <c r="AG2175" s="5"/>
    </row>
    <row r="2176" ht="15.75" customHeight="1">
      <c r="K2176" t="s">
        <v>3800</v>
      </c>
      <c r="L2176" t="str">
        <f>C151</f>
        <v>H2a</v>
      </c>
      <c r="N2176" t="s">
        <v>3801</v>
      </c>
      <c r="O2176">
        <v>1.9446189E7</v>
      </c>
      <c r="P2176">
        <v>1.7334309E7</v>
      </c>
      <c r="Q2176" t="s">
        <v>419</v>
      </c>
      <c r="R2176" s="5"/>
      <c r="S2176" s="5"/>
      <c r="T2176" s="5"/>
      <c r="U2176" s="5"/>
      <c r="V2176" s="5"/>
      <c r="W2176" s="5"/>
      <c r="X2176" s="5"/>
      <c r="Y2176" s="5"/>
      <c r="Z2176" s="5"/>
      <c r="AA2176" s="5"/>
      <c r="AB2176" s="5"/>
      <c r="AC2176" s="5"/>
      <c r="AD2176" s="5"/>
      <c r="AE2176" s="5"/>
      <c r="AF2176" s="5"/>
      <c r="AG2176" s="5"/>
    </row>
    <row r="2177" ht="15.75" customHeight="1">
      <c r="K2177" t="s">
        <v>3802</v>
      </c>
      <c r="L2177" t="str">
        <f>C151</f>
        <v>H2a</v>
      </c>
      <c r="N2177" t="s">
        <v>3803</v>
      </c>
      <c r="O2177">
        <v>1.9447028E7</v>
      </c>
      <c r="P2177">
        <v>1.7335148E7</v>
      </c>
      <c r="Q2177" t="s">
        <v>448</v>
      </c>
      <c r="R2177" s="5"/>
      <c r="S2177" s="5"/>
      <c r="T2177" s="5"/>
      <c r="U2177" s="5"/>
      <c r="V2177" s="5"/>
      <c r="W2177" s="5"/>
      <c r="X2177" s="5"/>
      <c r="Y2177" s="5"/>
      <c r="Z2177" s="5"/>
      <c r="AA2177" s="5"/>
      <c r="AB2177" s="5"/>
      <c r="AC2177" s="5"/>
      <c r="AD2177" s="5"/>
      <c r="AE2177" s="5"/>
      <c r="AF2177" s="5"/>
      <c r="AG2177" s="5"/>
    </row>
    <row r="2178" ht="15.75" customHeight="1">
      <c r="K2178" t="s">
        <v>3804</v>
      </c>
      <c r="L2178" t="str">
        <f>C151</f>
        <v>H2a</v>
      </c>
      <c r="N2178" t="s">
        <v>3805</v>
      </c>
      <c r="O2178">
        <v>2.1345286E7</v>
      </c>
      <c r="P2178">
        <v>1.91834E7</v>
      </c>
      <c r="Q2178" t="s">
        <v>431</v>
      </c>
      <c r="R2178" s="5"/>
      <c r="S2178" s="5"/>
      <c r="T2178" s="5"/>
      <c r="U2178" s="5"/>
      <c r="V2178" s="5"/>
      <c r="W2178" s="5"/>
      <c r="X2178" s="5"/>
      <c r="Y2178" s="5"/>
      <c r="Z2178" s="5"/>
      <c r="AA2178" s="5"/>
      <c r="AB2178" s="5"/>
      <c r="AC2178" s="5"/>
      <c r="AD2178" s="5"/>
      <c r="AE2178" s="5"/>
      <c r="AF2178" s="5"/>
      <c r="AG2178" s="5"/>
    </row>
    <row r="2179" ht="15.75" customHeight="1">
      <c r="K2179" t="s">
        <v>3806</v>
      </c>
      <c r="L2179" t="str">
        <f>C151</f>
        <v>H2a</v>
      </c>
      <c r="N2179" t="s">
        <v>3807</v>
      </c>
      <c r="O2179">
        <v>2.1503971E7</v>
      </c>
      <c r="P2179">
        <v>1.9342085E7</v>
      </c>
      <c r="Q2179" t="s">
        <v>476</v>
      </c>
      <c r="R2179" s="5"/>
      <c r="S2179" s="5"/>
      <c r="T2179" s="5"/>
      <c r="U2179" s="5"/>
      <c r="V2179" s="5"/>
      <c r="W2179" s="5"/>
      <c r="X2179" s="5"/>
      <c r="Y2179" s="5"/>
      <c r="Z2179" s="5"/>
      <c r="AA2179" s="5"/>
      <c r="AB2179" s="5"/>
      <c r="AC2179" s="5"/>
      <c r="AD2179" s="5"/>
      <c r="AE2179" s="5"/>
      <c r="AF2179" s="5"/>
      <c r="AG2179" s="5"/>
    </row>
    <row r="2180" ht="15.75" customHeight="1">
      <c r="K2180" t="s">
        <v>3808</v>
      </c>
      <c r="L2180" t="str">
        <f>C151</f>
        <v>H2a</v>
      </c>
      <c r="N2180" t="s">
        <v>3809</v>
      </c>
      <c r="O2180">
        <v>2.1798533E7</v>
      </c>
      <c r="P2180">
        <v>1.9636647E7</v>
      </c>
      <c r="Q2180" t="s">
        <v>423</v>
      </c>
      <c r="R2180" s="5"/>
      <c r="S2180" s="5"/>
      <c r="T2180" s="5"/>
      <c r="U2180" s="5"/>
      <c r="V2180" s="5"/>
      <c r="W2180" s="5"/>
      <c r="X2180" s="5"/>
      <c r="Y2180" s="5"/>
      <c r="Z2180" s="5"/>
      <c r="AA2180" s="5"/>
      <c r="AB2180" s="5"/>
      <c r="AC2180" s="5"/>
      <c r="AD2180" s="5"/>
      <c r="AE2180" s="5"/>
      <c r="AF2180" s="5"/>
      <c r="AG2180" s="5"/>
    </row>
    <row r="2181" ht="15.75" customHeight="1">
      <c r="K2181" t="s">
        <v>3810</v>
      </c>
      <c r="L2181" t="str">
        <f>C151</f>
        <v>H2a</v>
      </c>
      <c r="N2181" t="s">
        <v>3811</v>
      </c>
      <c r="O2181">
        <v>2.2845814E7</v>
      </c>
      <c r="P2181">
        <v>2.0683928E7</v>
      </c>
      <c r="Q2181" t="s">
        <v>427</v>
      </c>
      <c r="R2181" s="5"/>
      <c r="S2181" s="5"/>
      <c r="T2181" s="5"/>
      <c r="U2181" s="5"/>
      <c r="V2181" s="5"/>
      <c r="W2181" s="5"/>
      <c r="X2181" s="5"/>
      <c r="Y2181" s="5"/>
      <c r="Z2181" s="5"/>
      <c r="AA2181" s="5"/>
      <c r="AB2181" s="5"/>
      <c r="AC2181" s="5"/>
      <c r="AD2181" s="5"/>
      <c r="AE2181" s="5"/>
      <c r="AF2181" s="5"/>
      <c r="AG2181" s="5"/>
    </row>
    <row r="2182" ht="15.75" customHeight="1">
      <c r="K2182" t="s">
        <v>3812</v>
      </c>
      <c r="L2182" t="str">
        <f>C151</f>
        <v>H2a</v>
      </c>
      <c r="N2182" t="s">
        <v>3813</v>
      </c>
      <c r="O2182">
        <v>2.330683E7</v>
      </c>
      <c r="P2182">
        <v>2.1144944E7</v>
      </c>
      <c r="Q2182" t="s">
        <v>525</v>
      </c>
      <c r="R2182" s="5"/>
      <c r="S2182" s="5"/>
      <c r="T2182" s="5"/>
      <c r="U2182" s="5"/>
      <c r="V2182" s="5"/>
      <c r="W2182" s="5"/>
      <c r="X2182" s="5"/>
      <c r="Y2182" s="5"/>
      <c r="Z2182" s="5"/>
      <c r="AA2182" s="5"/>
      <c r="AB2182" s="5"/>
      <c r="AC2182" s="5"/>
      <c r="AD2182" s="5"/>
      <c r="AE2182" s="5"/>
      <c r="AF2182" s="5"/>
      <c r="AG2182" s="5"/>
    </row>
    <row r="2183" ht="15.75" customHeight="1">
      <c r="K2183" t="s">
        <v>3814</v>
      </c>
      <c r="L2183" t="str">
        <f>C151</f>
        <v>H2a</v>
      </c>
      <c r="N2183" t="s">
        <v>3815</v>
      </c>
      <c r="O2183">
        <v>2.3453672E7</v>
      </c>
      <c r="P2183">
        <v>2.1291786E7</v>
      </c>
      <c r="Q2183" t="s">
        <v>431</v>
      </c>
      <c r="R2183" s="5"/>
      <c r="S2183" s="5"/>
      <c r="T2183" s="5"/>
      <c r="U2183" s="5"/>
      <c r="V2183" s="5"/>
      <c r="W2183" s="5"/>
      <c r="X2183" s="5"/>
      <c r="Y2183" s="5"/>
      <c r="Z2183" s="5"/>
      <c r="AA2183" s="5"/>
      <c r="AB2183" s="5"/>
      <c r="AC2183" s="5"/>
      <c r="AD2183" s="5"/>
      <c r="AE2183" s="5"/>
      <c r="AF2183" s="5"/>
      <c r="AG2183" s="5"/>
    </row>
    <row r="2184" ht="15.75" customHeight="1">
      <c r="K2184" t="s">
        <v>3816</v>
      </c>
      <c r="L2184" t="str">
        <f t="shared" ref="L2184:L2185" si="46">C151</f>
        <v>H2a</v>
      </c>
      <c r="N2184" t="s">
        <v>3817</v>
      </c>
      <c r="O2184">
        <v>2.3479576E7</v>
      </c>
      <c r="P2184">
        <v>2.131769E7</v>
      </c>
      <c r="Q2184" t="s">
        <v>423</v>
      </c>
      <c r="R2184" s="5"/>
      <c r="S2184" s="5"/>
      <c r="T2184" s="5"/>
      <c r="U2184" s="5"/>
      <c r="V2184" s="5"/>
      <c r="W2184" s="5"/>
      <c r="X2184" s="5"/>
      <c r="Y2184" s="5"/>
      <c r="Z2184" s="5"/>
      <c r="AA2184" s="5"/>
      <c r="AB2184" s="5"/>
      <c r="AC2184" s="5"/>
      <c r="AD2184" s="5"/>
      <c r="AE2184" s="5"/>
      <c r="AF2184" s="5"/>
      <c r="AG2184" s="5"/>
    </row>
    <row r="2185" ht="15.75" customHeight="1">
      <c r="K2185" t="s">
        <v>3818</v>
      </c>
      <c r="L2185" t="str">
        <f t="shared" si="46"/>
        <v>H2a~</v>
      </c>
      <c r="O2185">
        <v>1.4176566E7</v>
      </c>
      <c r="P2185">
        <v>1.205586E7</v>
      </c>
      <c r="Q2185" t="s">
        <v>525</v>
      </c>
      <c r="R2185" s="5"/>
      <c r="S2185" s="5"/>
      <c r="T2185" s="5"/>
      <c r="U2185" s="5"/>
      <c r="V2185" s="5"/>
      <c r="W2185" s="5"/>
      <c r="X2185" s="5"/>
      <c r="Y2185" s="5"/>
      <c r="Z2185" s="5"/>
      <c r="AA2185" s="5"/>
      <c r="AB2185" s="5"/>
      <c r="AC2185" s="5"/>
      <c r="AD2185" s="5"/>
      <c r="AE2185" s="5"/>
      <c r="AF2185" s="5"/>
      <c r="AG2185" s="5"/>
    </row>
    <row r="2186" ht="15.75" customHeight="1">
      <c r="K2186" t="s">
        <v>3819</v>
      </c>
      <c r="L2186" t="str">
        <f>C152</f>
        <v>H2a~</v>
      </c>
      <c r="O2186">
        <v>1.4357762E7</v>
      </c>
      <c r="P2186">
        <v>1.2237057E7</v>
      </c>
      <c r="Q2186" t="s">
        <v>525</v>
      </c>
      <c r="R2186" s="5"/>
      <c r="S2186" s="5"/>
      <c r="T2186" s="5"/>
      <c r="U2186" s="5"/>
      <c r="V2186" s="5"/>
      <c r="W2186" s="5"/>
      <c r="X2186" s="5"/>
      <c r="Y2186" s="5"/>
      <c r="Z2186" s="5"/>
      <c r="AA2186" s="5"/>
      <c r="AB2186" s="5"/>
      <c r="AC2186" s="5"/>
      <c r="AD2186" s="5"/>
      <c r="AE2186" s="5"/>
      <c r="AF2186" s="5"/>
      <c r="AG2186" s="5"/>
    </row>
    <row r="2187" ht="15.75" customHeight="1">
      <c r="K2187" t="s">
        <v>3820</v>
      </c>
      <c r="L2187" t="str">
        <f>C152</f>
        <v>H2a~</v>
      </c>
      <c r="O2187">
        <v>1.4505603E7</v>
      </c>
      <c r="P2187">
        <v>1.2393808E7</v>
      </c>
      <c r="Q2187" t="s">
        <v>419</v>
      </c>
      <c r="R2187" s="5"/>
      <c r="S2187" s="5"/>
      <c r="T2187" s="5"/>
      <c r="U2187" s="5"/>
      <c r="V2187" s="5"/>
      <c r="W2187" s="5"/>
      <c r="X2187" s="5"/>
      <c r="Y2187" s="5"/>
      <c r="Z2187" s="5"/>
      <c r="AA2187" s="5"/>
      <c r="AB2187" s="5"/>
      <c r="AC2187" s="5"/>
      <c r="AD2187" s="5"/>
      <c r="AE2187" s="5"/>
      <c r="AF2187" s="5"/>
      <c r="AG2187" s="5"/>
    </row>
    <row r="2188" ht="15.75" customHeight="1">
      <c r="K2188" t="s">
        <v>3821</v>
      </c>
      <c r="L2188" t="str">
        <f>C152</f>
        <v>H2a~</v>
      </c>
      <c r="O2188">
        <v>1.460789E7</v>
      </c>
      <c r="P2188">
        <v>1.2496092E7</v>
      </c>
      <c r="Q2188" t="s">
        <v>427</v>
      </c>
      <c r="R2188" s="5"/>
      <c r="S2188" s="5"/>
      <c r="T2188" s="5"/>
      <c r="U2188" s="5"/>
      <c r="V2188" s="5"/>
      <c r="W2188" s="5"/>
      <c r="X2188" s="5"/>
      <c r="Y2188" s="5"/>
      <c r="Z2188" s="5"/>
      <c r="AA2188" s="5"/>
      <c r="AB2188" s="5"/>
      <c r="AC2188" s="5"/>
      <c r="AD2188" s="5"/>
      <c r="AE2188" s="5"/>
      <c r="AF2188" s="5"/>
      <c r="AG2188" s="5"/>
    </row>
    <row r="2189" ht="15.75" customHeight="1">
      <c r="K2189" t="s">
        <v>3822</v>
      </c>
      <c r="L2189" t="str">
        <f>C152</f>
        <v>H2a~</v>
      </c>
      <c r="O2189">
        <v>1.4687998E7</v>
      </c>
      <c r="P2189">
        <v>1.2576064E7</v>
      </c>
      <c r="Q2189" t="s">
        <v>435</v>
      </c>
      <c r="R2189" s="5"/>
      <c r="S2189" s="5"/>
      <c r="T2189" s="5"/>
      <c r="U2189" s="5"/>
      <c r="V2189" s="5"/>
      <c r="W2189" s="5"/>
      <c r="X2189" s="5"/>
      <c r="Y2189" s="5"/>
      <c r="Z2189" s="5"/>
      <c r="AA2189" s="5"/>
      <c r="AB2189" s="5"/>
      <c r="AC2189" s="5"/>
      <c r="AD2189" s="5"/>
      <c r="AE2189" s="5"/>
      <c r="AF2189" s="5"/>
      <c r="AG2189" s="5"/>
    </row>
    <row r="2190" ht="15.75" customHeight="1">
      <c r="K2190" t="s">
        <v>3823</v>
      </c>
      <c r="L2190" t="str">
        <f>C152</f>
        <v>H2a~</v>
      </c>
      <c r="N2190" t="s">
        <v>3824</v>
      </c>
      <c r="O2190">
        <v>1.8790077E7</v>
      </c>
      <c r="P2190">
        <v>1.6678197E7</v>
      </c>
      <c r="Q2190" t="s">
        <v>423</v>
      </c>
      <c r="R2190" s="5"/>
      <c r="S2190" s="5"/>
      <c r="T2190" s="5"/>
      <c r="U2190" s="5"/>
      <c r="V2190" s="5"/>
      <c r="W2190" s="5"/>
      <c r="X2190" s="5"/>
      <c r="Y2190" s="5"/>
      <c r="Z2190" s="5"/>
      <c r="AA2190" s="5"/>
      <c r="AB2190" s="5"/>
      <c r="AC2190" s="5"/>
      <c r="AD2190" s="5"/>
      <c r="AE2190" s="5"/>
      <c r="AF2190" s="5"/>
      <c r="AG2190" s="5"/>
    </row>
    <row r="2191" ht="15.75" customHeight="1">
      <c r="K2191" t="s">
        <v>3825</v>
      </c>
      <c r="L2191" t="str">
        <f>C152</f>
        <v>H2a~</v>
      </c>
      <c r="O2191">
        <v>1.8909347E7</v>
      </c>
      <c r="P2191">
        <v>1.6797467E7</v>
      </c>
      <c r="Q2191" t="s">
        <v>435</v>
      </c>
      <c r="R2191" s="5"/>
      <c r="S2191" s="5"/>
      <c r="T2191" s="5"/>
      <c r="U2191" s="5"/>
      <c r="V2191" s="5"/>
      <c r="W2191" s="5"/>
      <c r="X2191" s="5"/>
      <c r="Y2191" s="5"/>
      <c r="Z2191" s="5"/>
      <c r="AA2191" s="5"/>
      <c r="AB2191" s="5"/>
      <c r="AC2191" s="5"/>
      <c r="AD2191" s="5"/>
      <c r="AE2191" s="5"/>
      <c r="AF2191" s="5"/>
      <c r="AG2191" s="5"/>
    </row>
    <row r="2192" ht="15.75" customHeight="1">
      <c r="K2192" t="s">
        <v>3826</v>
      </c>
      <c r="L2192" t="str">
        <f>C152</f>
        <v>H2a~</v>
      </c>
      <c r="O2192">
        <v>1.9263948E7</v>
      </c>
      <c r="P2192">
        <v>1.7152068E7</v>
      </c>
      <c r="Q2192" t="s">
        <v>431</v>
      </c>
      <c r="R2192" s="5"/>
      <c r="S2192" s="5"/>
      <c r="T2192" s="5"/>
      <c r="U2192" s="5"/>
      <c r="V2192" s="5"/>
      <c r="W2192" s="5"/>
      <c r="X2192" s="5"/>
      <c r="Y2192" s="5"/>
      <c r="Z2192" s="5"/>
      <c r="AA2192" s="5"/>
      <c r="AB2192" s="5"/>
      <c r="AC2192" s="5"/>
      <c r="AD2192" s="5"/>
      <c r="AE2192" s="5"/>
      <c r="AF2192" s="5"/>
      <c r="AG2192" s="5"/>
    </row>
    <row r="2193" ht="15.75" customHeight="1">
      <c r="K2193" t="s">
        <v>3827</v>
      </c>
      <c r="L2193" t="str">
        <f>C152</f>
        <v>H2a~</v>
      </c>
      <c r="O2193">
        <v>1.9393501E7</v>
      </c>
      <c r="P2193">
        <v>1.7281621E7</v>
      </c>
      <c r="Q2193" t="s">
        <v>448</v>
      </c>
      <c r="R2193" s="5"/>
      <c r="S2193" s="5"/>
      <c r="T2193" s="5"/>
      <c r="U2193" s="5"/>
      <c r="V2193" s="5"/>
      <c r="W2193" s="5"/>
      <c r="X2193" s="5"/>
      <c r="Y2193" s="5"/>
      <c r="Z2193" s="5"/>
      <c r="AA2193" s="5"/>
      <c r="AB2193" s="5"/>
      <c r="AC2193" s="5"/>
      <c r="AD2193" s="5"/>
      <c r="AE2193" s="5"/>
      <c r="AF2193" s="5"/>
      <c r="AG2193" s="5"/>
    </row>
    <row r="2194" ht="15.75" customHeight="1">
      <c r="K2194" t="s">
        <v>3828</v>
      </c>
      <c r="L2194" t="str">
        <f>C152</f>
        <v>H2a~</v>
      </c>
      <c r="O2194">
        <v>2.1189076E7</v>
      </c>
      <c r="P2194">
        <v>1.902719E7</v>
      </c>
      <c r="Q2194" t="s">
        <v>431</v>
      </c>
      <c r="R2194" s="5"/>
      <c r="S2194" s="5"/>
      <c r="T2194" s="5"/>
      <c r="U2194" s="5"/>
      <c r="V2194" s="5"/>
      <c r="W2194" s="5"/>
      <c r="X2194" s="5"/>
      <c r="Y2194" s="5"/>
      <c r="Z2194" s="5"/>
      <c r="AA2194" s="5"/>
      <c r="AB2194" s="5"/>
      <c r="AC2194" s="5"/>
      <c r="AD2194" s="5"/>
      <c r="AE2194" s="5"/>
      <c r="AF2194" s="5"/>
      <c r="AG2194" s="5"/>
    </row>
    <row r="2195" ht="15.75" customHeight="1">
      <c r="K2195" t="s">
        <v>3829</v>
      </c>
      <c r="L2195" t="str">
        <f>C152</f>
        <v>H2a~</v>
      </c>
      <c r="N2195" t="s">
        <v>3830</v>
      </c>
      <c r="O2195">
        <v>2.1457296E7</v>
      </c>
      <c r="P2195">
        <v>1.929541E7</v>
      </c>
      <c r="Q2195" t="s">
        <v>423</v>
      </c>
      <c r="R2195" s="5"/>
      <c r="S2195" s="5"/>
      <c r="T2195" s="5"/>
      <c r="U2195" s="5"/>
      <c r="V2195" s="5"/>
      <c r="W2195" s="5"/>
      <c r="X2195" s="5"/>
      <c r="Y2195" s="5"/>
      <c r="Z2195" s="5"/>
      <c r="AA2195" s="5"/>
      <c r="AB2195" s="5"/>
      <c r="AC2195" s="5"/>
      <c r="AD2195" s="5"/>
      <c r="AE2195" s="5"/>
      <c r="AF2195" s="5"/>
      <c r="AG2195" s="5"/>
    </row>
    <row r="2196" ht="15.75" customHeight="1">
      <c r="K2196" t="s">
        <v>3831</v>
      </c>
      <c r="L2196" t="str">
        <f>C152</f>
        <v>H2a~</v>
      </c>
      <c r="N2196" t="s">
        <v>3832</v>
      </c>
      <c r="O2196">
        <v>2.1586014E7</v>
      </c>
      <c r="P2196">
        <v>1.9424128E7</v>
      </c>
      <c r="Q2196" t="s">
        <v>419</v>
      </c>
      <c r="R2196" s="5"/>
      <c r="S2196" s="5"/>
      <c r="T2196" s="5"/>
      <c r="U2196" s="5"/>
      <c r="V2196" s="5"/>
      <c r="W2196" s="5"/>
      <c r="X2196" s="5"/>
      <c r="Y2196" s="5"/>
      <c r="Z2196" s="5"/>
      <c r="AA2196" s="5"/>
      <c r="AB2196" s="5"/>
      <c r="AC2196" s="5"/>
      <c r="AD2196" s="5"/>
      <c r="AE2196" s="5"/>
      <c r="AF2196" s="5"/>
      <c r="AG2196" s="5"/>
    </row>
    <row r="2197" ht="15.75" customHeight="1">
      <c r="K2197" t="s">
        <v>3833</v>
      </c>
      <c r="L2197" t="str">
        <f>C152</f>
        <v>H2a~</v>
      </c>
      <c r="N2197" t="s">
        <v>3834</v>
      </c>
      <c r="O2197">
        <v>2.2574391E7</v>
      </c>
      <c r="P2197">
        <v>2.0412505E7</v>
      </c>
      <c r="Q2197" t="s">
        <v>448</v>
      </c>
      <c r="R2197" s="5"/>
      <c r="S2197" s="5"/>
      <c r="T2197" s="5"/>
      <c r="U2197" s="5"/>
      <c r="V2197" s="5"/>
      <c r="W2197" s="5"/>
      <c r="X2197" s="5"/>
      <c r="Y2197" s="5"/>
      <c r="Z2197" s="5"/>
      <c r="AA2197" s="5"/>
      <c r="AB2197" s="5"/>
      <c r="AC2197" s="5"/>
      <c r="AD2197" s="5"/>
      <c r="AE2197" s="5"/>
      <c r="AF2197" s="5"/>
      <c r="AG2197" s="5"/>
    </row>
    <row r="2198" ht="15.75" customHeight="1">
      <c r="K2198" t="s">
        <v>3835</v>
      </c>
      <c r="L2198" t="str">
        <f>C152</f>
        <v>H2a~</v>
      </c>
      <c r="O2198">
        <v>2.8756934E7</v>
      </c>
      <c r="P2198">
        <v>2.6610787E7</v>
      </c>
      <c r="Q2198" t="s">
        <v>423</v>
      </c>
      <c r="R2198" s="5"/>
      <c r="S2198" s="5"/>
      <c r="T2198" s="5"/>
      <c r="U2198" s="5"/>
      <c r="V2198" s="5"/>
      <c r="W2198" s="5"/>
      <c r="X2198" s="5"/>
      <c r="Y2198" s="5"/>
      <c r="Z2198" s="5"/>
      <c r="AA2198" s="5"/>
      <c r="AB2198" s="5"/>
      <c r="AC2198" s="5"/>
      <c r="AD2198" s="5"/>
      <c r="AE2198" s="5"/>
      <c r="AF2198" s="5"/>
      <c r="AG2198" s="5"/>
    </row>
    <row r="2199" ht="15.75" customHeight="1">
      <c r="K2199" t="s">
        <v>3836</v>
      </c>
      <c r="L2199" t="str">
        <f>D153</f>
        <v>H2a1~</v>
      </c>
      <c r="O2199">
        <v>2.8595821E7</v>
      </c>
      <c r="P2199">
        <v>2.6449674E7</v>
      </c>
      <c r="Q2199" t="s">
        <v>431</v>
      </c>
      <c r="R2199" s="5"/>
      <c r="S2199" s="5"/>
      <c r="T2199" s="5"/>
      <c r="U2199" s="5"/>
      <c r="V2199" s="5"/>
      <c r="W2199" s="5"/>
      <c r="X2199" s="5"/>
      <c r="Y2199" s="5"/>
      <c r="Z2199" s="5"/>
      <c r="AA2199" s="5"/>
      <c r="AB2199" s="5"/>
      <c r="AC2199" s="5"/>
      <c r="AD2199" s="5"/>
      <c r="AE2199" s="5"/>
      <c r="AF2199" s="5"/>
      <c r="AG2199" s="5"/>
    </row>
    <row r="2200" ht="15.75" customHeight="1">
      <c r="K2200" t="s">
        <v>3837</v>
      </c>
      <c r="L2200" t="str">
        <f>D153</f>
        <v>H2a1~</v>
      </c>
      <c r="N2200" t="s">
        <v>3838</v>
      </c>
      <c r="O2200">
        <v>2.1269484E7</v>
      </c>
      <c r="P2200">
        <v>1.9107598E7</v>
      </c>
      <c r="Q2200" t="s">
        <v>553</v>
      </c>
      <c r="R2200" s="5"/>
      <c r="S2200" s="5"/>
      <c r="T2200" s="5"/>
      <c r="U2200" s="5"/>
      <c r="V2200" s="5"/>
      <c r="W2200" s="5"/>
      <c r="X2200" s="5"/>
      <c r="Y2200" s="5"/>
      <c r="Z2200" s="5"/>
      <c r="AA2200" s="5"/>
      <c r="AB2200" s="5"/>
      <c r="AC2200" s="5"/>
      <c r="AD2200" s="5"/>
      <c r="AE2200" s="5"/>
      <c r="AF2200" s="5"/>
      <c r="AG2200" s="5"/>
    </row>
    <row r="2201" ht="15.75" customHeight="1">
      <c r="K2201" t="s">
        <v>3839</v>
      </c>
      <c r="L2201" t="str">
        <f>D153</f>
        <v>H2a1~</v>
      </c>
      <c r="N2201" t="s">
        <v>3840</v>
      </c>
      <c r="O2201">
        <v>2702304.0</v>
      </c>
      <c r="P2201">
        <v>2834263.0</v>
      </c>
      <c r="Q2201" t="s">
        <v>435</v>
      </c>
      <c r="R2201" s="5"/>
      <c r="S2201" s="5"/>
      <c r="T2201" s="5"/>
      <c r="U2201" s="5"/>
      <c r="V2201" s="5"/>
      <c r="W2201" s="5"/>
      <c r="X2201" s="5"/>
      <c r="Y2201" s="5"/>
      <c r="Z2201" s="5"/>
      <c r="AA2201" s="5"/>
      <c r="AB2201" s="5"/>
      <c r="AC2201" s="5"/>
      <c r="AD2201" s="5"/>
      <c r="AE2201" s="5"/>
      <c r="AF2201" s="5"/>
      <c r="AG2201" s="5"/>
    </row>
    <row r="2202" ht="15.75" customHeight="1">
      <c r="K2202" t="s">
        <v>3841</v>
      </c>
      <c r="L2202" t="str">
        <f>D153</f>
        <v>H2a1~</v>
      </c>
      <c r="O2202">
        <v>2812760.0</v>
      </c>
      <c r="P2202">
        <v>2944719.0</v>
      </c>
      <c r="Q2202" t="s">
        <v>419</v>
      </c>
      <c r="R2202" s="5"/>
      <c r="S2202" s="5"/>
      <c r="T2202" s="5"/>
      <c r="U2202" s="5"/>
      <c r="V2202" s="5"/>
      <c r="W2202" s="5"/>
      <c r="X2202" s="5"/>
      <c r="Y2202" s="5"/>
      <c r="Z2202" s="5"/>
      <c r="AA2202" s="5"/>
      <c r="AB2202" s="5"/>
      <c r="AC2202" s="5"/>
      <c r="AD2202" s="5"/>
      <c r="AE2202" s="5"/>
      <c r="AF2202" s="5"/>
      <c r="AG2202" s="5"/>
    </row>
    <row r="2203" ht="15.75" customHeight="1">
      <c r="K2203" t="s">
        <v>3842</v>
      </c>
      <c r="L2203" t="str">
        <f>D153</f>
        <v>H2a1~</v>
      </c>
      <c r="N2203" t="s">
        <v>3843</v>
      </c>
      <c r="O2203">
        <v>7068890.0</v>
      </c>
      <c r="P2203">
        <v>7200849.0</v>
      </c>
      <c r="Q2203" t="s">
        <v>419</v>
      </c>
      <c r="R2203" s="5"/>
      <c r="S2203" s="5"/>
      <c r="T2203" s="5"/>
      <c r="U2203" s="5"/>
      <c r="V2203" s="5"/>
      <c r="W2203" s="5"/>
      <c r="X2203" s="5"/>
      <c r="Y2203" s="5"/>
      <c r="Z2203" s="5"/>
      <c r="AA2203" s="5"/>
      <c r="AB2203" s="5"/>
      <c r="AC2203" s="5"/>
      <c r="AD2203" s="5"/>
      <c r="AE2203" s="5"/>
      <c r="AF2203" s="5"/>
      <c r="AG2203" s="5"/>
    </row>
    <row r="2204" ht="15.75" customHeight="1">
      <c r="K2204" t="s">
        <v>3844</v>
      </c>
      <c r="L2204" t="str">
        <f>D153</f>
        <v>H2a1~</v>
      </c>
      <c r="O2204">
        <v>7214213.0</v>
      </c>
      <c r="P2204">
        <v>7346172.0</v>
      </c>
      <c r="Q2204" t="s">
        <v>423</v>
      </c>
      <c r="R2204" s="5"/>
      <c r="S2204" s="5"/>
      <c r="T2204" s="5"/>
      <c r="U2204" s="5"/>
      <c r="V2204" s="5"/>
      <c r="W2204" s="5"/>
      <c r="X2204" s="5"/>
      <c r="Y2204" s="5"/>
      <c r="Z2204" s="5"/>
      <c r="AA2204" s="5"/>
      <c r="AB2204" s="5"/>
      <c r="AC2204" s="5"/>
      <c r="AD2204" s="5"/>
      <c r="AE2204" s="5"/>
      <c r="AF2204" s="5"/>
      <c r="AG2204" s="5"/>
    </row>
    <row r="2205" ht="15.75" customHeight="1">
      <c r="K2205" t="s">
        <v>3845</v>
      </c>
      <c r="L2205" t="str">
        <f>D153</f>
        <v>H2a1~</v>
      </c>
      <c r="O2205">
        <v>7342603.0</v>
      </c>
      <c r="P2205">
        <v>7474562.0</v>
      </c>
      <c r="Q2205" t="s">
        <v>419</v>
      </c>
      <c r="R2205" s="5"/>
      <c r="S2205" s="5"/>
      <c r="T2205" s="5"/>
      <c r="U2205" s="5"/>
      <c r="V2205" s="5"/>
      <c r="W2205" s="5"/>
      <c r="X2205" s="5"/>
      <c r="Y2205" s="5"/>
      <c r="Z2205" s="5"/>
      <c r="AA2205" s="5"/>
      <c r="AB2205" s="5"/>
      <c r="AC2205" s="5"/>
      <c r="AD2205" s="5"/>
      <c r="AE2205" s="5"/>
      <c r="AF2205" s="5"/>
      <c r="AG2205" s="5"/>
    </row>
    <row r="2206" ht="15.75" customHeight="1">
      <c r="K2206" t="s">
        <v>3846</v>
      </c>
      <c r="L2206" t="str">
        <f>D153</f>
        <v>H2a1~</v>
      </c>
      <c r="O2206">
        <v>7370113.0</v>
      </c>
      <c r="P2206">
        <v>7502072.0</v>
      </c>
      <c r="Q2206" t="s">
        <v>525</v>
      </c>
      <c r="R2206" s="5"/>
      <c r="S2206" s="5"/>
      <c r="T2206" s="5"/>
      <c r="U2206" s="5"/>
      <c r="V2206" s="5"/>
      <c r="W2206" s="5"/>
      <c r="X2206" s="5"/>
      <c r="Y2206" s="5"/>
      <c r="Z2206" s="5"/>
      <c r="AA2206" s="5"/>
      <c r="AB2206" s="5"/>
      <c r="AC2206" s="5"/>
      <c r="AD2206" s="5"/>
      <c r="AE2206" s="5"/>
      <c r="AF2206" s="5"/>
      <c r="AG2206" s="5"/>
    </row>
    <row r="2207" ht="15.75" customHeight="1">
      <c r="K2207" t="s">
        <v>3847</v>
      </c>
      <c r="L2207" t="str">
        <f>D153</f>
        <v>H2a1~</v>
      </c>
      <c r="N2207" t="s">
        <v>3848</v>
      </c>
      <c r="O2207">
        <v>1.398626E7</v>
      </c>
      <c r="P2207">
        <v>1.1865554E7</v>
      </c>
      <c r="Q2207" t="s">
        <v>459</v>
      </c>
      <c r="R2207" s="5"/>
      <c r="S2207" s="5"/>
      <c r="T2207" s="5"/>
      <c r="U2207" s="5"/>
      <c r="V2207" s="5"/>
      <c r="W2207" s="5"/>
      <c r="X2207" s="5"/>
      <c r="Y2207" s="5"/>
      <c r="Z2207" s="5"/>
      <c r="AA2207" s="5"/>
      <c r="AB2207" s="5"/>
      <c r="AC2207" s="5"/>
      <c r="AD2207" s="5"/>
      <c r="AE2207" s="5"/>
      <c r="AF2207" s="5"/>
      <c r="AG2207" s="5"/>
    </row>
    <row r="2208" ht="15.75" customHeight="1">
      <c r="K2208" t="s">
        <v>3849</v>
      </c>
      <c r="L2208" t="str">
        <f>D153</f>
        <v>H2a1~</v>
      </c>
      <c r="N2208" t="s">
        <v>3850</v>
      </c>
      <c r="O2208">
        <v>1.4160776E7</v>
      </c>
      <c r="P2208">
        <v>1.204007E7</v>
      </c>
      <c r="Q2208" t="s">
        <v>419</v>
      </c>
      <c r="R2208" s="5"/>
      <c r="S2208" s="5"/>
      <c r="T2208" s="5"/>
      <c r="U2208" s="5"/>
      <c r="V2208" s="5"/>
      <c r="W2208" s="5"/>
      <c r="X2208" s="5"/>
      <c r="Y2208" s="5"/>
      <c r="Z2208" s="5"/>
      <c r="AA2208" s="5"/>
      <c r="AB2208" s="5"/>
      <c r="AC2208" s="5"/>
      <c r="AD2208" s="5"/>
      <c r="AE2208" s="5"/>
      <c r="AF2208" s="5"/>
      <c r="AG2208" s="5"/>
    </row>
    <row r="2209" ht="15.75" customHeight="1">
      <c r="K2209" t="s">
        <v>3851</v>
      </c>
      <c r="L2209" t="str">
        <f>D153</f>
        <v>H2a1~</v>
      </c>
      <c r="N2209" t="s">
        <v>3852</v>
      </c>
      <c r="O2209">
        <v>1.4179509E7</v>
      </c>
      <c r="P2209">
        <v>1.2058803E7</v>
      </c>
      <c r="Q2209" t="s">
        <v>419</v>
      </c>
      <c r="R2209" s="5"/>
      <c r="S2209" s="5"/>
      <c r="T2209" s="5"/>
      <c r="U2209" s="5"/>
      <c r="V2209" s="5"/>
      <c r="W2209" s="5"/>
      <c r="X2209" s="5"/>
      <c r="Y2209" s="5"/>
      <c r="Z2209" s="5"/>
      <c r="AA2209" s="5"/>
      <c r="AB2209" s="5"/>
      <c r="AC2209" s="5"/>
      <c r="AD2209" s="5"/>
      <c r="AE2209" s="5"/>
      <c r="AF2209" s="5"/>
      <c r="AG2209" s="5"/>
    </row>
    <row r="2210" ht="15.75" customHeight="1">
      <c r="K2210" t="s">
        <v>3853</v>
      </c>
      <c r="L2210" t="str">
        <f>D153</f>
        <v>H2a1~</v>
      </c>
      <c r="N2210" t="s">
        <v>3854</v>
      </c>
      <c r="O2210">
        <v>1.4268133E7</v>
      </c>
      <c r="P2210">
        <v>1.2147427E7</v>
      </c>
      <c r="Q2210" t="s">
        <v>423</v>
      </c>
      <c r="R2210" s="5"/>
      <c r="S2210" s="5"/>
      <c r="T2210" s="5"/>
      <c r="U2210" s="5"/>
      <c r="V2210" s="5"/>
      <c r="W2210" s="5"/>
      <c r="X2210" s="5"/>
      <c r="Y2210" s="5"/>
      <c r="Z2210" s="5"/>
      <c r="AA2210" s="5"/>
      <c r="AB2210" s="5"/>
      <c r="AC2210" s="5"/>
      <c r="AD2210" s="5"/>
      <c r="AE2210" s="5"/>
      <c r="AF2210" s="5"/>
      <c r="AG2210" s="5"/>
    </row>
    <row r="2211" ht="15.75" customHeight="1">
      <c r="K2211" t="s">
        <v>3855</v>
      </c>
      <c r="L2211" t="str">
        <f>D153</f>
        <v>H2a1~</v>
      </c>
      <c r="N2211" t="s">
        <v>3856</v>
      </c>
      <c r="O2211">
        <v>1.4311863E7</v>
      </c>
      <c r="P2211">
        <v>1.2191157E7</v>
      </c>
      <c r="Q2211" t="s">
        <v>525</v>
      </c>
      <c r="R2211" s="5"/>
      <c r="S2211" s="5"/>
      <c r="T2211" s="5"/>
      <c r="U2211" s="5"/>
      <c r="V2211" s="5"/>
      <c r="W2211" s="5"/>
      <c r="X2211" s="5"/>
      <c r="Y2211" s="5"/>
      <c r="Z2211" s="5"/>
      <c r="AA2211" s="5"/>
      <c r="AB2211" s="5"/>
      <c r="AC2211" s="5"/>
      <c r="AD2211" s="5"/>
      <c r="AE2211" s="5"/>
      <c r="AF2211" s="5"/>
      <c r="AG2211" s="5"/>
    </row>
    <row r="2212" ht="15.75" customHeight="1">
      <c r="K2212" t="s">
        <v>3857</v>
      </c>
      <c r="L2212" t="str">
        <f>D153</f>
        <v>H2a1~</v>
      </c>
      <c r="N2212" t="s">
        <v>3858</v>
      </c>
      <c r="O2212">
        <v>1.4381302E7</v>
      </c>
      <c r="P2212">
        <v>1.2260598E7</v>
      </c>
      <c r="Q2212" t="s">
        <v>423</v>
      </c>
      <c r="R2212" s="5"/>
      <c r="S2212" s="5"/>
      <c r="T2212" s="5"/>
      <c r="U2212" s="5"/>
      <c r="V2212" s="5"/>
      <c r="W2212" s="5"/>
      <c r="X2212" s="5"/>
      <c r="Y2212" s="5"/>
      <c r="Z2212" s="5"/>
      <c r="AA2212" s="5"/>
      <c r="AB2212" s="5"/>
      <c r="AC2212" s="5"/>
      <c r="AD2212" s="5"/>
      <c r="AE2212" s="5"/>
      <c r="AF2212" s="5"/>
      <c r="AG2212" s="5"/>
    </row>
    <row r="2213" ht="15.75" customHeight="1">
      <c r="K2213" t="s">
        <v>3859</v>
      </c>
      <c r="L2213" t="str">
        <f>D153</f>
        <v>H2a1~</v>
      </c>
      <c r="O2213">
        <v>1.462217E7</v>
      </c>
      <c r="P2213">
        <v>1.2510368E7</v>
      </c>
      <c r="Q2213" t="s">
        <v>423</v>
      </c>
      <c r="R2213" s="5"/>
      <c r="S2213" s="5"/>
      <c r="T2213" s="5"/>
      <c r="U2213" s="5"/>
      <c r="V2213" s="5"/>
      <c r="W2213" s="5"/>
      <c r="X2213" s="5"/>
      <c r="Y2213" s="5"/>
      <c r="Z2213" s="5"/>
      <c r="AA2213" s="5"/>
      <c r="AB2213" s="5"/>
      <c r="AC2213" s="5"/>
      <c r="AD2213" s="5"/>
      <c r="AE2213" s="5"/>
      <c r="AF2213" s="5"/>
      <c r="AG2213" s="5"/>
    </row>
    <row r="2214" ht="15.75" customHeight="1">
      <c r="K2214" t="s">
        <v>3860</v>
      </c>
      <c r="L2214" t="str">
        <f>D153</f>
        <v>H2a1~</v>
      </c>
      <c r="N2214" t="s">
        <v>3861</v>
      </c>
      <c r="O2214">
        <v>1.4639585E7</v>
      </c>
      <c r="P2214">
        <v>1.2527654E7</v>
      </c>
      <c r="Q2214" t="s">
        <v>423</v>
      </c>
      <c r="R2214" s="5"/>
      <c r="S2214" s="5"/>
      <c r="T2214" s="5"/>
      <c r="U2214" s="5"/>
      <c r="V2214" s="5"/>
      <c r="W2214" s="5"/>
      <c r="X2214" s="5"/>
      <c r="Y2214" s="5"/>
      <c r="Z2214" s="5"/>
      <c r="AA2214" s="5"/>
      <c r="AB2214" s="5"/>
      <c r="AC2214" s="5"/>
      <c r="AD2214" s="5"/>
      <c r="AE2214" s="5"/>
      <c r="AF2214" s="5"/>
      <c r="AG2214" s="5"/>
    </row>
    <row r="2215" ht="15.75" customHeight="1">
      <c r="K2215" t="s">
        <v>3862</v>
      </c>
      <c r="L2215" t="str">
        <f>D153</f>
        <v>H2a1~</v>
      </c>
      <c r="N2215" t="s">
        <v>3863</v>
      </c>
      <c r="O2215">
        <v>1.4685957E7</v>
      </c>
      <c r="P2215">
        <v>1.2574023E7</v>
      </c>
      <c r="Q2215" t="s">
        <v>419</v>
      </c>
      <c r="R2215" s="5"/>
      <c r="S2215" s="5"/>
      <c r="T2215" s="5"/>
      <c r="U2215" s="5"/>
      <c r="V2215" s="5"/>
      <c r="W2215" s="5"/>
      <c r="X2215" s="5"/>
      <c r="Y2215" s="5"/>
      <c r="Z2215" s="5"/>
      <c r="AA2215" s="5"/>
      <c r="AB2215" s="5"/>
      <c r="AC2215" s="5"/>
      <c r="AD2215" s="5"/>
      <c r="AE2215" s="5"/>
      <c r="AF2215" s="5"/>
      <c r="AG2215" s="5"/>
    </row>
    <row r="2216" ht="15.75" customHeight="1">
      <c r="K2216" t="s">
        <v>3864</v>
      </c>
      <c r="L2216" t="str">
        <f>D153</f>
        <v>H2a1~</v>
      </c>
      <c r="N2216" t="s">
        <v>3865</v>
      </c>
      <c r="O2216">
        <v>1.5171679E7</v>
      </c>
      <c r="P2216">
        <v>1.3059765E7</v>
      </c>
      <c r="Q2216" t="s">
        <v>459</v>
      </c>
      <c r="R2216" s="5"/>
      <c r="S2216" s="5"/>
      <c r="T2216" s="5"/>
      <c r="U2216" s="5"/>
      <c r="V2216" s="5"/>
      <c r="W2216" s="5"/>
      <c r="X2216" s="5"/>
      <c r="Y2216" s="5"/>
      <c r="Z2216" s="5"/>
      <c r="AA2216" s="5"/>
      <c r="AB2216" s="5"/>
      <c r="AC2216" s="5"/>
      <c r="AD2216" s="5"/>
      <c r="AE2216" s="5"/>
      <c r="AF2216" s="5"/>
      <c r="AG2216" s="5"/>
    </row>
    <row r="2217" ht="15.75" customHeight="1">
      <c r="K2217" t="s">
        <v>3866</v>
      </c>
      <c r="L2217" t="str">
        <f>D153</f>
        <v>H2a1~</v>
      </c>
      <c r="N2217" t="s">
        <v>3867</v>
      </c>
      <c r="O2217">
        <v>1.5333838E7</v>
      </c>
      <c r="P2217">
        <v>1.3221956E7</v>
      </c>
      <c r="Q2217" t="s">
        <v>431</v>
      </c>
      <c r="R2217" s="5"/>
      <c r="S2217" s="5"/>
      <c r="T2217" s="5"/>
      <c r="U2217" s="5"/>
      <c r="V2217" s="5"/>
      <c r="W2217" s="5"/>
      <c r="X2217" s="5"/>
      <c r="Y2217" s="5"/>
      <c r="Z2217" s="5"/>
      <c r="AA2217" s="5"/>
      <c r="AB2217" s="5"/>
      <c r="AC2217" s="5"/>
      <c r="AD2217" s="5"/>
      <c r="AE2217" s="5"/>
      <c r="AF2217" s="5"/>
      <c r="AG2217" s="5"/>
    </row>
    <row r="2218" ht="15.75" customHeight="1">
      <c r="K2218" t="s">
        <v>3868</v>
      </c>
      <c r="L2218" t="str">
        <f>D153</f>
        <v>H2a1~</v>
      </c>
      <c r="N2218" t="s">
        <v>3869</v>
      </c>
      <c r="O2218">
        <v>1.5397583E7</v>
      </c>
      <c r="P2218">
        <v>1.3285703E7</v>
      </c>
      <c r="Q2218" t="s">
        <v>473</v>
      </c>
      <c r="R2218" s="5"/>
      <c r="S2218" s="5"/>
      <c r="T2218" s="5"/>
      <c r="U2218" s="5"/>
      <c r="V2218" s="5"/>
      <c r="W2218" s="5"/>
      <c r="X2218" s="5"/>
      <c r="Y2218" s="5"/>
      <c r="Z2218" s="5"/>
      <c r="AA2218" s="5"/>
      <c r="AB2218" s="5"/>
      <c r="AC2218" s="5"/>
      <c r="AD2218" s="5"/>
      <c r="AE2218" s="5"/>
      <c r="AF2218" s="5"/>
      <c r="AG2218" s="5"/>
    </row>
    <row r="2219" ht="15.75" customHeight="1">
      <c r="K2219" t="s">
        <v>3870</v>
      </c>
      <c r="L2219" t="str">
        <f>D153</f>
        <v>H2a1~</v>
      </c>
      <c r="N2219" t="s">
        <v>3871</v>
      </c>
      <c r="O2219">
        <v>1.6076994E7</v>
      </c>
      <c r="P2219">
        <v>1.3965114E7</v>
      </c>
      <c r="Q2219" t="s">
        <v>419</v>
      </c>
      <c r="R2219" s="5"/>
      <c r="S2219" s="5"/>
      <c r="T2219" s="5"/>
      <c r="U2219" s="5"/>
      <c r="V2219" s="5"/>
      <c r="W2219" s="5"/>
      <c r="X2219" s="5"/>
      <c r="Y2219" s="5"/>
      <c r="Z2219" s="5"/>
      <c r="AA2219" s="5"/>
      <c r="AB2219" s="5"/>
      <c r="AC2219" s="5"/>
      <c r="AD2219" s="5"/>
      <c r="AE2219" s="5"/>
      <c r="AF2219" s="5"/>
      <c r="AG2219" s="5"/>
    </row>
    <row r="2220" ht="15.75" customHeight="1">
      <c r="K2220" t="s">
        <v>3872</v>
      </c>
      <c r="L2220" t="str">
        <f>D153</f>
        <v>H2a1~</v>
      </c>
      <c r="N2220" t="s">
        <v>3873</v>
      </c>
      <c r="O2220">
        <v>1.6351751E7</v>
      </c>
      <c r="P2220">
        <v>1.4239871E7</v>
      </c>
      <c r="Q2220" t="s">
        <v>525</v>
      </c>
      <c r="R2220" s="5"/>
      <c r="S2220" s="5"/>
      <c r="T2220" s="5"/>
      <c r="U2220" s="5"/>
      <c r="V2220" s="5"/>
      <c r="W2220" s="5"/>
      <c r="X2220" s="5"/>
      <c r="Y2220" s="5"/>
      <c r="Z2220" s="5"/>
      <c r="AA2220" s="5"/>
      <c r="AB2220" s="5"/>
      <c r="AC2220" s="5"/>
      <c r="AD2220" s="5"/>
      <c r="AE2220" s="5"/>
      <c r="AF2220" s="5"/>
      <c r="AG2220" s="5"/>
    </row>
    <row r="2221" ht="15.75" customHeight="1">
      <c r="K2221" t="s">
        <v>3874</v>
      </c>
      <c r="L2221" t="str">
        <f>D153</f>
        <v>H2a1~</v>
      </c>
      <c r="N2221" t="s">
        <v>3875</v>
      </c>
      <c r="O2221">
        <v>1.6431065E7</v>
      </c>
      <c r="P2221">
        <v>1.4319185E7</v>
      </c>
      <c r="Q2221" t="s">
        <v>448</v>
      </c>
      <c r="R2221" s="5"/>
      <c r="S2221" s="5"/>
      <c r="T2221" s="5"/>
      <c r="U2221" s="5"/>
      <c r="V2221" s="5"/>
      <c r="W2221" s="5"/>
      <c r="X2221" s="5"/>
      <c r="Y2221" s="5"/>
      <c r="Z2221" s="5"/>
      <c r="AA2221" s="5"/>
      <c r="AB2221" s="5"/>
      <c r="AC2221" s="5"/>
      <c r="AD2221" s="5"/>
      <c r="AE2221" s="5"/>
      <c r="AF2221" s="5"/>
      <c r="AG2221" s="5"/>
    </row>
    <row r="2222" ht="15.75" customHeight="1">
      <c r="K2222" t="s">
        <v>3876</v>
      </c>
      <c r="L2222" t="str">
        <f>D153</f>
        <v>H2a1~</v>
      </c>
      <c r="N2222" t="s">
        <v>3877</v>
      </c>
      <c r="O2222">
        <v>1.6618822E7</v>
      </c>
      <c r="P2222">
        <v>1.4506942E7</v>
      </c>
      <c r="Q2222" t="s">
        <v>419</v>
      </c>
      <c r="R2222" s="5"/>
      <c r="S2222" s="5"/>
      <c r="T2222" s="5"/>
      <c r="U2222" s="5"/>
      <c r="V2222" s="5"/>
      <c r="W2222" s="5"/>
      <c r="X2222" s="5"/>
      <c r="Y2222" s="5"/>
      <c r="Z2222" s="5"/>
      <c r="AA2222" s="5"/>
      <c r="AB2222" s="5"/>
      <c r="AC2222" s="5"/>
      <c r="AD2222" s="5"/>
      <c r="AE2222" s="5"/>
      <c r="AF2222" s="5"/>
      <c r="AG2222" s="5"/>
    </row>
    <row r="2223" ht="15.75" customHeight="1">
      <c r="K2223" t="s">
        <v>3878</v>
      </c>
      <c r="L2223" t="str">
        <f>D153</f>
        <v>H2a1~</v>
      </c>
      <c r="N2223" t="s">
        <v>3879</v>
      </c>
      <c r="O2223">
        <v>1.6673178E7</v>
      </c>
      <c r="P2223">
        <v>1.4561298E7</v>
      </c>
      <c r="Q2223" t="s">
        <v>431</v>
      </c>
      <c r="R2223" s="5"/>
      <c r="S2223" s="5"/>
      <c r="T2223" s="5"/>
      <c r="U2223" s="5"/>
      <c r="V2223" s="5"/>
      <c r="W2223" s="5"/>
      <c r="X2223" s="5"/>
      <c r="Y2223" s="5"/>
      <c r="Z2223" s="5"/>
      <c r="AA2223" s="5"/>
      <c r="AB2223" s="5"/>
      <c r="AC2223" s="5"/>
      <c r="AD2223" s="5"/>
      <c r="AE2223" s="5"/>
      <c r="AF2223" s="5"/>
      <c r="AG2223" s="5"/>
    </row>
    <row r="2224" ht="15.75" customHeight="1">
      <c r="K2224" t="s">
        <v>3880</v>
      </c>
      <c r="L2224" t="str">
        <f>D153</f>
        <v>H2a1~</v>
      </c>
      <c r="N2224" t="s">
        <v>3881</v>
      </c>
      <c r="O2224">
        <v>1.6673568E7</v>
      </c>
      <c r="P2224">
        <v>1.4561688E7</v>
      </c>
      <c r="Q2224" t="s">
        <v>525</v>
      </c>
      <c r="R2224" s="5"/>
      <c r="S2224" s="5"/>
      <c r="T2224" s="5"/>
      <c r="U2224" s="5"/>
      <c r="V2224" s="5"/>
      <c r="W2224" s="5"/>
      <c r="X2224" s="5"/>
      <c r="Y2224" s="5"/>
      <c r="Z2224" s="5"/>
      <c r="AA2224" s="5"/>
      <c r="AB2224" s="5"/>
      <c r="AC2224" s="5"/>
      <c r="AD2224" s="5"/>
      <c r="AE2224" s="5"/>
      <c r="AF2224" s="5"/>
      <c r="AG2224" s="5"/>
    </row>
    <row r="2225" ht="15.75" customHeight="1">
      <c r="K2225" t="s">
        <v>3882</v>
      </c>
      <c r="L2225" t="str">
        <f>D153</f>
        <v>H2a1~</v>
      </c>
      <c r="N2225" t="s">
        <v>3883</v>
      </c>
      <c r="O2225">
        <v>1.6698539E7</v>
      </c>
      <c r="P2225">
        <v>1.4586659E7</v>
      </c>
      <c r="Q2225" t="s">
        <v>525</v>
      </c>
      <c r="R2225" s="5"/>
      <c r="S2225" s="5"/>
      <c r="T2225" s="5"/>
      <c r="U2225" s="5"/>
      <c r="V2225" s="5"/>
      <c r="W2225" s="5"/>
      <c r="X2225" s="5"/>
      <c r="Y2225" s="5"/>
      <c r="Z2225" s="5"/>
      <c r="AA2225" s="5"/>
      <c r="AB2225" s="5"/>
      <c r="AC2225" s="5"/>
      <c r="AD2225" s="5"/>
      <c r="AE2225" s="5"/>
      <c r="AF2225" s="5"/>
      <c r="AG2225" s="5"/>
    </row>
    <row r="2226" ht="15.75" customHeight="1">
      <c r="K2226" t="s">
        <v>3884</v>
      </c>
      <c r="L2226" t="str">
        <f>D153</f>
        <v>H2a1~</v>
      </c>
      <c r="N2226" t="s">
        <v>3885</v>
      </c>
      <c r="O2226">
        <v>1.6972874E7</v>
      </c>
      <c r="P2226">
        <v>1.4860994E7</v>
      </c>
      <c r="Q2226" t="s">
        <v>419</v>
      </c>
      <c r="R2226" s="5"/>
      <c r="S2226" s="5"/>
      <c r="T2226" s="5"/>
      <c r="U2226" s="5"/>
      <c r="V2226" s="5"/>
      <c r="W2226" s="5"/>
      <c r="X2226" s="5"/>
      <c r="Y2226" s="5"/>
      <c r="Z2226" s="5"/>
      <c r="AA2226" s="5"/>
      <c r="AB2226" s="5"/>
      <c r="AC2226" s="5"/>
      <c r="AD2226" s="5"/>
      <c r="AE2226" s="5"/>
      <c r="AF2226" s="5"/>
      <c r="AG2226" s="5"/>
    </row>
    <row r="2227" ht="15.75" customHeight="1">
      <c r="K2227" t="s">
        <v>3886</v>
      </c>
      <c r="L2227" t="str">
        <f>D153</f>
        <v>H2a1~</v>
      </c>
      <c r="O2227">
        <v>1.7061434E7</v>
      </c>
      <c r="P2227">
        <v>1.4949554E7</v>
      </c>
      <c r="Q2227" t="s">
        <v>427</v>
      </c>
      <c r="R2227" s="5"/>
      <c r="S2227" s="5"/>
      <c r="T2227" s="5"/>
      <c r="U2227" s="5"/>
      <c r="V2227" s="5"/>
      <c r="W2227" s="5"/>
      <c r="X2227" s="5"/>
      <c r="Y2227" s="5"/>
      <c r="Z2227" s="5"/>
      <c r="AA2227" s="5"/>
      <c r="AB2227" s="5"/>
      <c r="AC2227" s="5"/>
      <c r="AD2227" s="5"/>
      <c r="AE2227" s="5"/>
      <c r="AF2227" s="5"/>
      <c r="AG2227" s="5"/>
    </row>
    <row r="2228" ht="15.75" customHeight="1">
      <c r="K2228" t="s">
        <v>3887</v>
      </c>
      <c r="L2228" t="str">
        <f>D153</f>
        <v>H2a1~</v>
      </c>
      <c r="N2228" t="s">
        <v>3888</v>
      </c>
      <c r="O2228">
        <v>1.7155003E7</v>
      </c>
      <c r="P2228">
        <v>1.5043123E7</v>
      </c>
      <c r="Q2228" t="s">
        <v>435</v>
      </c>
      <c r="R2228" s="5"/>
      <c r="S2228" s="5"/>
      <c r="T2228" s="5"/>
      <c r="U2228" s="5"/>
      <c r="V2228" s="5"/>
      <c r="W2228" s="5"/>
      <c r="X2228" s="5"/>
      <c r="Y2228" s="5"/>
      <c r="Z2228" s="5"/>
      <c r="AA2228" s="5"/>
      <c r="AB2228" s="5"/>
      <c r="AC2228" s="5"/>
      <c r="AD2228" s="5"/>
      <c r="AE2228" s="5"/>
      <c r="AF2228" s="5"/>
      <c r="AG2228" s="5"/>
    </row>
    <row r="2229" ht="15.75" customHeight="1">
      <c r="K2229" t="s">
        <v>3889</v>
      </c>
      <c r="L2229" t="str">
        <f>D153</f>
        <v>H2a1~</v>
      </c>
      <c r="N2229" t="s">
        <v>3890</v>
      </c>
      <c r="O2229">
        <v>1.7219848E7</v>
      </c>
      <c r="P2229">
        <v>1.5107968E7</v>
      </c>
      <c r="Q2229" t="s">
        <v>435</v>
      </c>
      <c r="R2229" s="5"/>
      <c r="S2229" s="5"/>
      <c r="T2229" s="5"/>
      <c r="U2229" s="5"/>
      <c r="V2229" s="5"/>
      <c r="W2229" s="5"/>
      <c r="X2229" s="5"/>
      <c r="Y2229" s="5"/>
      <c r="Z2229" s="5"/>
      <c r="AA2229" s="5"/>
      <c r="AB2229" s="5"/>
      <c r="AC2229" s="5"/>
      <c r="AD2229" s="5"/>
      <c r="AE2229" s="5"/>
      <c r="AF2229" s="5"/>
      <c r="AG2229" s="5"/>
    </row>
    <row r="2230" ht="15.75" customHeight="1">
      <c r="K2230" t="s">
        <v>3891</v>
      </c>
      <c r="L2230" t="str">
        <f>D153</f>
        <v>H2a1~</v>
      </c>
      <c r="N2230" t="s">
        <v>3892</v>
      </c>
      <c r="O2230">
        <v>1.7220688E7</v>
      </c>
      <c r="P2230">
        <v>1.5108808E7</v>
      </c>
      <c r="Q2230" t="s">
        <v>423</v>
      </c>
      <c r="R2230" s="5"/>
      <c r="S2230" s="5"/>
      <c r="T2230" s="5"/>
      <c r="U2230" s="5"/>
      <c r="V2230" s="5"/>
      <c r="W2230" s="5"/>
      <c r="X2230" s="5"/>
      <c r="Y2230" s="5"/>
      <c r="Z2230" s="5"/>
      <c r="AA2230" s="5"/>
      <c r="AB2230" s="5"/>
      <c r="AC2230" s="5"/>
      <c r="AD2230" s="5"/>
      <c r="AE2230" s="5"/>
      <c r="AF2230" s="5"/>
      <c r="AG2230" s="5"/>
    </row>
    <row r="2231" ht="15.75" customHeight="1">
      <c r="K2231" t="s">
        <v>3893</v>
      </c>
      <c r="L2231" t="str">
        <f>D153</f>
        <v>H2a1~</v>
      </c>
      <c r="N2231" t="s">
        <v>3894</v>
      </c>
      <c r="O2231">
        <v>1.7279694E7</v>
      </c>
      <c r="P2231">
        <v>1.5167814E7</v>
      </c>
      <c r="Q2231" t="s">
        <v>525</v>
      </c>
      <c r="R2231" s="5"/>
      <c r="S2231" s="5"/>
      <c r="T2231" s="5"/>
      <c r="U2231" s="5"/>
      <c r="V2231" s="5"/>
      <c r="W2231" s="5"/>
      <c r="X2231" s="5"/>
      <c r="Y2231" s="5"/>
      <c r="Z2231" s="5"/>
      <c r="AA2231" s="5"/>
      <c r="AB2231" s="5"/>
      <c r="AC2231" s="5"/>
      <c r="AD2231" s="5"/>
      <c r="AE2231" s="5"/>
      <c r="AF2231" s="5"/>
      <c r="AG2231" s="5"/>
    </row>
    <row r="2232" ht="15.75" customHeight="1">
      <c r="K2232" t="s">
        <v>3895</v>
      </c>
      <c r="L2232" t="str">
        <f>D153</f>
        <v>H2a1~</v>
      </c>
      <c r="N2232" t="s">
        <v>3896</v>
      </c>
      <c r="O2232">
        <v>1.7363209E7</v>
      </c>
      <c r="P2232">
        <v>1.5251329E7</v>
      </c>
      <c r="Q2232" t="s">
        <v>459</v>
      </c>
      <c r="R2232" s="5"/>
      <c r="S2232" s="5"/>
      <c r="T2232" s="5"/>
      <c r="U2232" s="5"/>
      <c r="V2232" s="5"/>
      <c r="W2232" s="5"/>
      <c r="X2232" s="5"/>
      <c r="Y2232" s="5"/>
      <c r="Z2232" s="5"/>
      <c r="AA2232" s="5"/>
      <c r="AB2232" s="5"/>
      <c r="AC2232" s="5"/>
      <c r="AD2232" s="5"/>
      <c r="AE2232" s="5"/>
      <c r="AF2232" s="5"/>
      <c r="AG2232" s="5"/>
    </row>
    <row r="2233" ht="15.75" customHeight="1">
      <c r="K2233" t="s">
        <v>3897</v>
      </c>
      <c r="L2233" t="str">
        <f>D153</f>
        <v>H2a1~</v>
      </c>
      <c r="N2233" t="s">
        <v>3898</v>
      </c>
      <c r="O2233">
        <v>1.7518771E7</v>
      </c>
      <c r="P2233">
        <v>1.5406891E7</v>
      </c>
      <c r="Q2233" t="s">
        <v>476</v>
      </c>
      <c r="R2233" s="5"/>
      <c r="S2233" s="5"/>
      <c r="T2233" s="5"/>
      <c r="U2233" s="5"/>
      <c r="V2233" s="5"/>
      <c r="W2233" s="5"/>
      <c r="X2233" s="5"/>
      <c r="Y2233" s="5"/>
      <c r="Z2233" s="5"/>
      <c r="AA2233" s="5"/>
      <c r="AB2233" s="5"/>
      <c r="AC2233" s="5"/>
      <c r="AD2233" s="5"/>
      <c r="AE2233" s="5"/>
      <c r="AF2233" s="5"/>
      <c r="AG2233" s="5"/>
    </row>
    <row r="2234" ht="15.75" customHeight="1">
      <c r="K2234" t="s">
        <v>3899</v>
      </c>
      <c r="L2234" t="str">
        <f>D153</f>
        <v>H2a1~</v>
      </c>
      <c r="N2234" t="s">
        <v>3900</v>
      </c>
      <c r="O2234">
        <v>1.754748E7</v>
      </c>
      <c r="P2234">
        <v>1.54356E7</v>
      </c>
      <c r="Q2234" t="s">
        <v>427</v>
      </c>
      <c r="R2234" s="5"/>
      <c r="S2234" s="5"/>
      <c r="T2234" s="5"/>
      <c r="U2234" s="5"/>
      <c r="V2234" s="5"/>
      <c r="W2234" s="5"/>
      <c r="X2234" s="5"/>
      <c r="Y2234" s="5"/>
      <c r="Z2234" s="5"/>
      <c r="AA2234" s="5"/>
      <c r="AB2234" s="5"/>
      <c r="AC2234" s="5"/>
      <c r="AD2234" s="5"/>
      <c r="AE2234" s="5"/>
      <c r="AF2234" s="5"/>
      <c r="AG2234" s="5"/>
    </row>
    <row r="2235" ht="15.75" customHeight="1">
      <c r="K2235" t="s">
        <v>3901</v>
      </c>
      <c r="L2235" t="str">
        <f>D153</f>
        <v>H2a1~</v>
      </c>
      <c r="N2235" t="s">
        <v>3902</v>
      </c>
      <c r="O2235">
        <v>1.7717295E7</v>
      </c>
      <c r="P2235">
        <v>1.5605415E7</v>
      </c>
      <c r="Q2235" t="s">
        <v>419</v>
      </c>
      <c r="R2235" s="5"/>
      <c r="S2235" s="5"/>
      <c r="T2235" s="5"/>
      <c r="U2235" s="5"/>
      <c r="V2235" s="5"/>
      <c r="W2235" s="5"/>
      <c r="X2235" s="5"/>
      <c r="Y2235" s="5"/>
      <c r="Z2235" s="5"/>
      <c r="AA2235" s="5"/>
      <c r="AB2235" s="5"/>
      <c r="AC2235" s="5"/>
      <c r="AD2235" s="5"/>
      <c r="AE2235" s="5"/>
      <c r="AF2235" s="5"/>
      <c r="AG2235" s="5"/>
    </row>
    <row r="2236" ht="15.75" customHeight="1">
      <c r="K2236" t="s">
        <v>3903</v>
      </c>
      <c r="L2236" t="str">
        <f>D153</f>
        <v>H2a1~</v>
      </c>
      <c r="N2236" t="s">
        <v>3904</v>
      </c>
      <c r="O2236">
        <v>1.779641E7</v>
      </c>
      <c r="P2236">
        <v>1.568453E7</v>
      </c>
      <c r="Q2236" t="s">
        <v>423</v>
      </c>
      <c r="R2236" s="5"/>
      <c r="S2236" s="5"/>
      <c r="T2236" s="5"/>
      <c r="U2236" s="5"/>
      <c r="V2236" s="5"/>
      <c r="W2236" s="5"/>
      <c r="X2236" s="5"/>
      <c r="Y2236" s="5"/>
      <c r="Z2236" s="5"/>
      <c r="AA2236" s="5"/>
      <c r="AB2236" s="5"/>
      <c r="AC2236" s="5"/>
      <c r="AD2236" s="5"/>
      <c r="AE2236" s="5"/>
      <c r="AF2236" s="5"/>
      <c r="AG2236" s="5"/>
    </row>
    <row r="2237" ht="15.75" customHeight="1">
      <c r="K2237" t="s">
        <v>3905</v>
      </c>
      <c r="L2237" t="str">
        <f>D153</f>
        <v>H2a1~</v>
      </c>
      <c r="N2237" t="s">
        <v>3906</v>
      </c>
      <c r="O2237">
        <v>1.7850026E7</v>
      </c>
      <c r="P2237">
        <v>1.5738146E7</v>
      </c>
      <c r="Q2237" t="s">
        <v>476</v>
      </c>
      <c r="R2237" s="5"/>
      <c r="S2237" s="5"/>
      <c r="T2237" s="5"/>
      <c r="U2237" s="5"/>
      <c r="V2237" s="5"/>
      <c r="W2237" s="5"/>
      <c r="X2237" s="5"/>
      <c r="Y2237" s="5"/>
      <c r="Z2237" s="5"/>
      <c r="AA2237" s="5"/>
      <c r="AB2237" s="5"/>
      <c r="AC2237" s="5"/>
      <c r="AD2237" s="5"/>
      <c r="AE2237" s="5"/>
      <c r="AF2237" s="5"/>
      <c r="AG2237" s="5"/>
    </row>
    <row r="2238" ht="15.75" customHeight="1">
      <c r="K2238" t="s">
        <v>3907</v>
      </c>
      <c r="L2238" t="str">
        <f>D153</f>
        <v>H2a1~</v>
      </c>
      <c r="N2238" t="s">
        <v>3908</v>
      </c>
      <c r="O2238">
        <v>1.8879848E7</v>
      </c>
      <c r="P2238">
        <v>1.6767968E7</v>
      </c>
      <c r="Q2238" t="s">
        <v>423</v>
      </c>
      <c r="R2238" s="5"/>
      <c r="S2238" s="5"/>
      <c r="T2238" s="5"/>
      <c r="U2238" s="5"/>
      <c r="V2238" s="5"/>
      <c r="W2238" s="5"/>
      <c r="X2238" s="5"/>
      <c r="Y2238" s="5"/>
      <c r="Z2238" s="5"/>
      <c r="AA2238" s="5"/>
      <c r="AB2238" s="5"/>
      <c r="AC2238" s="5"/>
      <c r="AD2238" s="5"/>
      <c r="AE2238" s="5"/>
      <c r="AF2238" s="5"/>
      <c r="AG2238" s="5"/>
    </row>
    <row r="2239" ht="15.75" customHeight="1">
      <c r="K2239" t="s">
        <v>3909</v>
      </c>
      <c r="L2239" t="str">
        <f>D153</f>
        <v>H2a1~</v>
      </c>
      <c r="N2239" t="s">
        <v>3910</v>
      </c>
      <c r="O2239">
        <v>1.9013805E7</v>
      </c>
      <c r="P2239">
        <v>1.6901925E7</v>
      </c>
      <c r="Q2239" t="s">
        <v>423</v>
      </c>
      <c r="R2239" s="5"/>
      <c r="S2239" s="5"/>
      <c r="T2239" s="5"/>
      <c r="U2239" s="5"/>
      <c r="V2239" s="5"/>
      <c r="W2239" s="5"/>
      <c r="X2239" s="5"/>
      <c r="Y2239" s="5"/>
      <c r="Z2239" s="5"/>
      <c r="AA2239" s="5"/>
      <c r="AB2239" s="5"/>
      <c r="AC2239" s="5"/>
      <c r="AD2239" s="5"/>
      <c r="AE2239" s="5"/>
      <c r="AF2239" s="5"/>
      <c r="AG2239" s="5"/>
    </row>
    <row r="2240" ht="15.75" customHeight="1">
      <c r="K2240" t="s">
        <v>3911</v>
      </c>
      <c r="L2240" t="str">
        <f>D153</f>
        <v>H2a1~</v>
      </c>
      <c r="O2240">
        <v>1.9084843E7</v>
      </c>
      <c r="P2240">
        <v>1.6972963E7</v>
      </c>
      <c r="Q2240" t="s">
        <v>525</v>
      </c>
      <c r="R2240" s="5"/>
      <c r="S2240" s="5"/>
      <c r="T2240" s="5"/>
      <c r="U2240" s="5"/>
      <c r="V2240" s="5"/>
      <c r="W2240" s="5"/>
      <c r="X2240" s="5"/>
      <c r="Y2240" s="5"/>
      <c r="Z2240" s="5"/>
      <c r="AA2240" s="5"/>
      <c r="AB2240" s="5"/>
      <c r="AC2240" s="5"/>
      <c r="AD2240" s="5"/>
      <c r="AE2240" s="5"/>
      <c r="AF2240" s="5"/>
      <c r="AG2240" s="5"/>
    </row>
    <row r="2241" ht="15.75" customHeight="1">
      <c r="K2241" t="s">
        <v>3912</v>
      </c>
      <c r="L2241" t="str">
        <f>D153</f>
        <v>H2a1~</v>
      </c>
      <c r="N2241" t="s">
        <v>3913</v>
      </c>
      <c r="O2241">
        <v>2.1122711E7</v>
      </c>
      <c r="P2241">
        <v>1.8960825E7</v>
      </c>
      <c r="Q2241" t="s">
        <v>431</v>
      </c>
      <c r="R2241" s="5"/>
      <c r="S2241" s="5"/>
      <c r="T2241" s="5"/>
      <c r="U2241" s="5"/>
      <c r="V2241" s="5"/>
      <c r="W2241" s="5"/>
      <c r="X2241" s="5"/>
      <c r="Y2241" s="5"/>
      <c r="Z2241" s="5"/>
      <c r="AA2241" s="5"/>
      <c r="AB2241" s="5"/>
      <c r="AC2241" s="5"/>
      <c r="AD2241" s="5"/>
      <c r="AE2241" s="5"/>
      <c r="AF2241" s="5"/>
      <c r="AG2241" s="5"/>
    </row>
    <row r="2242" ht="15.75" customHeight="1">
      <c r="K2242" t="s">
        <v>3914</v>
      </c>
      <c r="L2242" t="str">
        <f>D153</f>
        <v>H2a1~</v>
      </c>
      <c r="N2242" t="s">
        <v>3915</v>
      </c>
      <c r="O2242">
        <v>2.1274985E7</v>
      </c>
      <c r="P2242">
        <v>1.9113099E7</v>
      </c>
      <c r="Q2242" t="s">
        <v>473</v>
      </c>
      <c r="R2242" s="5"/>
      <c r="S2242" s="5"/>
      <c r="T2242" s="5"/>
      <c r="U2242" s="5"/>
      <c r="V2242" s="5"/>
      <c r="W2242" s="5"/>
      <c r="X2242" s="5"/>
      <c r="Y2242" s="5"/>
      <c r="Z2242" s="5"/>
      <c r="AA2242" s="5"/>
      <c r="AB2242" s="5"/>
      <c r="AC2242" s="5"/>
      <c r="AD2242" s="5"/>
      <c r="AE2242" s="5"/>
      <c r="AF2242" s="5"/>
      <c r="AG2242" s="5"/>
    </row>
    <row r="2243" ht="15.75" customHeight="1">
      <c r="K2243" t="s">
        <v>3916</v>
      </c>
      <c r="L2243" t="str">
        <f>D153</f>
        <v>H2a1~</v>
      </c>
      <c r="N2243" t="s">
        <v>3917</v>
      </c>
      <c r="O2243">
        <v>2.1335297E7</v>
      </c>
      <c r="P2243">
        <v>1.9173411E7</v>
      </c>
      <c r="Q2243" t="s">
        <v>423</v>
      </c>
      <c r="R2243" s="5"/>
      <c r="S2243" s="5"/>
      <c r="T2243" s="5"/>
      <c r="U2243" s="5"/>
      <c r="V2243" s="5"/>
      <c r="W2243" s="5"/>
      <c r="X2243" s="5"/>
      <c r="Y2243" s="5"/>
      <c r="Z2243" s="5"/>
      <c r="AA2243" s="5"/>
      <c r="AB2243" s="5"/>
      <c r="AC2243" s="5"/>
      <c r="AD2243" s="5"/>
      <c r="AE2243" s="5"/>
      <c r="AF2243" s="5"/>
      <c r="AG2243" s="5"/>
    </row>
    <row r="2244" ht="15.75" customHeight="1">
      <c r="K2244" t="s">
        <v>3918</v>
      </c>
      <c r="L2244" t="str">
        <f>D153</f>
        <v>H2a1~</v>
      </c>
      <c r="N2244" t="s">
        <v>3919</v>
      </c>
      <c r="O2244">
        <v>2.1336045E7</v>
      </c>
      <c r="P2244">
        <v>1.9174159E7</v>
      </c>
      <c r="Q2244" t="s">
        <v>419</v>
      </c>
      <c r="R2244" s="5"/>
      <c r="S2244" s="5"/>
      <c r="T2244" s="5"/>
      <c r="U2244" s="5"/>
      <c r="V2244" s="5"/>
      <c r="W2244" s="5"/>
      <c r="X2244" s="5"/>
      <c r="Y2244" s="5"/>
      <c r="Z2244" s="5"/>
      <c r="AA2244" s="5"/>
      <c r="AB2244" s="5"/>
      <c r="AC2244" s="5"/>
      <c r="AD2244" s="5"/>
      <c r="AE2244" s="5"/>
      <c r="AF2244" s="5"/>
      <c r="AG2244" s="5"/>
    </row>
    <row r="2245" ht="15.75" customHeight="1">
      <c r="K2245" t="s">
        <v>3580</v>
      </c>
      <c r="L2245" t="str">
        <f>D153</f>
        <v>H2a1~</v>
      </c>
      <c r="N2245" t="s">
        <v>3581</v>
      </c>
      <c r="O2245">
        <v>2.1387746E7</v>
      </c>
      <c r="P2245">
        <v>1.922586E7</v>
      </c>
      <c r="Q2245" t="s">
        <v>435</v>
      </c>
      <c r="R2245" s="5"/>
      <c r="S2245" s="5"/>
      <c r="T2245" s="5"/>
      <c r="U2245" s="5"/>
      <c r="V2245" s="5"/>
      <c r="W2245" s="5"/>
      <c r="X2245" s="5"/>
      <c r="Y2245" s="5"/>
      <c r="Z2245" s="5"/>
      <c r="AA2245" s="5"/>
      <c r="AB2245" s="5"/>
      <c r="AC2245" s="5"/>
      <c r="AD2245" s="5"/>
      <c r="AE2245" s="5"/>
      <c r="AF2245" s="5"/>
      <c r="AG2245" s="5"/>
    </row>
    <row r="2246" ht="15.75" customHeight="1">
      <c r="K2246" t="s">
        <v>3912</v>
      </c>
      <c r="L2246" t="str">
        <f>D153</f>
        <v>H2a1~</v>
      </c>
      <c r="N2246" t="s">
        <v>3913</v>
      </c>
      <c r="O2246">
        <v>2.1122711E7</v>
      </c>
      <c r="P2246">
        <v>1.8960825E7</v>
      </c>
      <c r="Q2246" t="s">
        <v>431</v>
      </c>
      <c r="R2246" s="5"/>
      <c r="S2246" s="5"/>
      <c r="T2246" s="5"/>
      <c r="U2246" s="5"/>
      <c r="V2246" s="5"/>
      <c r="W2246" s="5"/>
      <c r="X2246" s="5"/>
      <c r="Y2246" s="5"/>
      <c r="Z2246" s="5"/>
      <c r="AA2246" s="5"/>
      <c r="AB2246" s="5"/>
      <c r="AC2246" s="5"/>
      <c r="AD2246" s="5"/>
      <c r="AE2246" s="5"/>
      <c r="AF2246" s="5"/>
      <c r="AG2246" s="5"/>
    </row>
    <row r="2247" ht="15.75" customHeight="1">
      <c r="K2247" t="s">
        <v>3914</v>
      </c>
      <c r="L2247" t="str">
        <f>D153</f>
        <v>H2a1~</v>
      </c>
      <c r="N2247" t="s">
        <v>3915</v>
      </c>
      <c r="O2247">
        <v>2.1274985E7</v>
      </c>
      <c r="P2247">
        <v>1.9113099E7</v>
      </c>
      <c r="Q2247" t="s">
        <v>473</v>
      </c>
      <c r="R2247" s="5"/>
      <c r="S2247" s="5"/>
      <c r="T2247" s="5"/>
      <c r="U2247" s="5"/>
      <c r="V2247" s="5"/>
      <c r="W2247" s="5"/>
      <c r="X2247" s="5"/>
      <c r="Y2247" s="5"/>
      <c r="Z2247" s="5"/>
      <c r="AA2247" s="5"/>
      <c r="AB2247" s="5"/>
      <c r="AC2247" s="5"/>
      <c r="AD2247" s="5"/>
      <c r="AE2247" s="5"/>
      <c r="AF2247" s="5"/>
      <c r="AG2247" s="5"/>
    </row>
    <row r="2248" ht="15.75" customHeight="1">
      <c r="K2248" t="s">
        <v>3916</v>
      </c>
      <c r="L2248" t="str">
        <f>D153</f>
        <v>H2a1~</v>
      </c>
      <c r="N2248" t="s">
        <v>3917</v>
      </c>
      <c r="O2248">
        <v>2.1335297E7</v>
      </c>
      <c r="P2248">
        <v>1.9173411E7</v>
      </c>
      <c r="Q2248" t="s">
        <v>423</v>
      </c>
      <c r="R2248" s="5"/>
      <c r="S2248" s="5"/>
      <c r="T2248" s="5"/>
      <c r="U2248" s="5"/>
      <c r="V2248" s="5"/>
      <c r="W2248" s="5"/>
      <c r="X2248" s="5"/>
      <c r="Y2248" s="5"/>
      <c r="Z2248" s="5"/>
      <c r="AA2248" s="5"/>
      <c r="AB2248" s="5"/>
      <c r="AC2248" s="5"/>
      <c r="AD2248" s="5"/>
      <c r="AE2248" s="5"/>
      <c r="AF2248" s="5"/>
      <c r="AG2248" s="5"/>
    </row>
    <row r="2249" ht="15.75" customHeight="1">
      <c r="K2249" t="s">
        <v>3918</v>
      </c>
      <c r="L2249" t="str">
        <f>D153</f>
        <v>H2a1~</v>
      </c>
      <c r="N2249" t="s">
        <v>3919</v>
      </c>
      <c r="O2249">
        <v>2.1336045E7</v>
      </c>
      <c r="P2249">
        <v>1.9174159E7</v>
      </c>
      <c r="Q2249" t="s">
        <v>419</v>
      </c>
      <c r="R2249" s="5"/>
      <c r="S2249" s="5"/>
      <c r="T2249" s="5"/>
      <c r="U2249" s="5"/>
      <c r="V2249" s="5"/>
      <c r="W2249" s="5"/>
      <c r="X2249" s="5"/>
      <c r="Y2249" s="5"/>
      <c r="Z2249" s="5"/>
      <c r="AA2249" s="5"/>
      <c r="AB2249" s="5"/>
      <c r="AC2249" s="5"/>
      <c r="AD2249" s="5"/>
      <c r="AE2249" s="5"/>
      <c r="AF2249" s="5"/>
      <c r="AG2249" s="5"/>
    </row>
    <row r="2250" ht="15.75" customHeight="1">
      <c r="K2250" t="s">
        <v>3920</v>
      </c>
      <c r="L2250" t="str">
        <f>D153</f>
        <v>H2a1~</v>
      </c>
      <c r="N2250" t="s">
        <v>3921</v>
      </c>
      <c r="O2250">
        <v>2.139237E7</v>
      </c>
      <c r="P2250">
        <v>1.9230484E7</v>
      </c>
      <c r="Q2250" t="s">
        <v>431</v>
      </c>
      <c r="R2250" s="5"/>
      <c r="S2250" s="5"/>
      <c r="T2250" s="5"/>
      <c r="U2250" s="5"/>
      <c r="V2250" s="5"/>
      <c r="W2250" s="5"/>
      <c r="X2250" s="5"/>
      <c r="Y2250" s="5"/>
      <c r="Z2250" s="5"/>
      <c r="AA2250" s="5"/>
      <c r="AB2250" s="5"/>
      <c r="AC2250" s="5"/>
      <c r="AD2250" s="5"/>
      <c r="AE2250" s="5"/>
      <c r="AF2250" s="5"/>
      <c r="AG2250" s="5"/>
    </row>
    <row r="2251" ht="15.75" customHeight="1">
      <c r="K2251" t="s">
        <v>3922</v>
      </c>
      <c r="L2251" t="str">
        <f>D153</f>
        <v>H2a1~</v>
      </c>
      <c r="N2251" t="s">
        <v>3923</v>
      </c>
      <c r="O2251">
        <v>2.168001E7</v>
      </c>
      <c r="P2251">
        <v>1.9518124E7</v>
      </c>
      <c r="Q2251" t="s">
        <v>423</v>
      </c>
      <c r="R2251" s="5"/>
      <c r="S2251" s="5"/>
      <c r="T2251" s="5"/>
      <c r="U2251" s="5"/>
      <c r="V2251" s="5"/>
      <c r="W2251" s="5"/>
      <c r="X2251" s="5"/>
      <c r="Y2251" s="5"/>
      <c r="Z2251" s="5"/>
      <c r="AA2251" s="5"/>
      <c r="AB2251" s="5"/>
      <c r="AC2251" s="5"/>
      <c r="AD2251" s="5"/>
      <c r="AE2251" s="5"/>
      <c r="AF2251" s="5"/>
      <c r="AG2251" s="5"/>
    </row>
    <row r="2252" ht="15.75" customHeight="1">
      <c r="K2252" t="s">
        <v>3924</v>
      </c>
      <c r="L2252" t="str">
        <f>D153</f>
        <v>H2a1~</v>
      </c>
      <c r="N2252" t="s">
        <v>3925</v>
      </c>
      <c r="O2252">
        <v>2.2051923E7</v>
      </c>
      <c r="P2252">
        <v>1.9890037E7</v>
      </c>
      <c r="Q2252" t="s">
        <v>473</v>
      </c>
      <c r="R2252" s="5"/>
      <c r="S2252" s="5"/>
      <c r="T2252" s="5"/>
      <c r="U2252" s="5"/>
      <c r="V2252" s="5"/>
      <c r="W2252" s="5"/>
      <c r="X2252" s="5"/>
      <c r="Y2252" s="5"/>
      <c r="Z2252" s="5"/>
      <c r="AA2252" s="5"/>
      <c r="AB2252" s="5"/>
      <c r="AC2252" s="5"/>
      <c r="AD2252" s="5"/>
      <c r="AE2252" s="5"/>
      <c r="AF2252" s="5"/>
      <c r="AG2252" s="5"/>
    </row>
    <row r="2253" ht="15.75" customHeight="1">
      <c r="K2253" t="s">
        <v>3926</v>
      </c>
      <c r="L2253" t="str">
        <f>D153</f>
        <v>H2a1~</v>
      </c>
      <c r="N2253" t="s">
        <v>3927</v>
      </c>
      <c r="O2253">
        <v>2.2154485E7</v>
      </c>
      <c r="P2253">
        <v>1.9992599E7</v>
      </c>
      <c r="Q2253" t="s">
        <v>473</v>
      </c>
      <c r="R2253" s="5"/>
      <c r="S2253" s="5"/>
      <c r="T2253" s="5"/>
      <c r="U2253" s="5"/>
      <c r="V2253" s="5"/>
      <c r="W2253" s="5"/>
      <c r="X2253" s="5"/>
      <c r="Y2253" s="5"/>
      <c r="Z2253" s="5"/>
      <c r="AA2253" s="5"/>
      <c r="AB2253" s="5"/>
      <c r="AC2253" s="5"/>
      <c r="AD2253" s="5"/>
      <c r="AE2253" s="5"/>
      <c r="AF2253" s="5"/>
      <c r="AG2253" s="5"/>
    </row>
    <row r="2254" ht="15.75" customHeight="1">
      <c r="K2254" t="s">
        <v>3928</v>
      </c>
      <c r="L2254" t="str">
        <f>D153</f>
        <v>H2a1~</v>
      </c>
      <c r="N2254" t="s">
        <v>3929</v>
      </c>
      <c r="O2254">
        <v>2.2840277E7</v>
      </c>
      <c r="P2254">
        <v>2.0678391E7</v>
      </c>
      <c r="Q2254" t="s">
        <v>423</v>
      </c>
      <c r="R2254" s="5"/>
      <c r="S2254" s="5"/>
      <c r="T2254" s="5"/>
      <c r="U2254" s="5"/>
      <c r="V2254" s="5"/>
      <c r="W2254" s="5"/>
      <c r="X2254" s="5"/>
      <c r="Y2254" s="5"/>
      <c r="Z2254" s="5"/>
      <c r="AA2254" s="5"/>
      <c r="AB2254" s="5"/>
      <c r="AC2254" s="5"/>
      <c r="AD2254" s="5"/>
      <c r="AE2254" s="5"/>
      <c r="AF2254" s="5"/>
      <c r="AG2254" s="5"/>
    </row>
    <row r="2255" ht="15.75" customHeight="1">
      <c r="K2255" t="s">
        <v>3930</v>
      </c>
      <c r="L2255" t="str">
        <f>D153</f>
        <v>H2a1~</v>
      </c>
      <c r="N2255" t="s">
        <v>3931</v>
      </c>
      <c r="O2255">
        <v>2.2854469E7</v>
      </c>
      <c r="P2255">
        <v>2.0692583E7</v>
      </c>
      <c r="Q2255" t="s">
        <v>419</v>
      </c>
      <c r="R2255" s="5"/>
      <c r="S2255" s="5"/>
      <c r="T2255" s="5"/>
      <c r="U2255" s="5"/>
      <c r="V2255" s="5"/>
      <c r="W2255" s="5"/>
      <c r="X2255" s="5"/>
      <c r="Y2255" s="5"/>
      <c r="Z2255" s="5"/>
      <c r="AA2255" s="5"/>
      <c r="AB2255" s="5"/>
      <c r="AC2255" s="5"/>
      <c r="AD2255" s="5"/>
      <c r="AE2255" s="5"/>
      <c r="AF2255" s="5"/>
      <c r="AG2255" s="5"/>
    </row>
    <row r="2256" ht="15.75" customHeight="1">
      <c r="K2256" t="s">
        <v>3932</v>
      </c>
      <c r="L2256" t="str">
        <f>D153</f>
        <v>H2a1~</v>
      </c>
      <c r="N2256" t="s">
        <v>3933</v>
      </c>
      <c r="O2256">
        <v>2.3087173E7</v>
      </c>
      <c r="P2256">
        <v>2.0925287E7</v>
      </c>
      <c r="Q2256" t="s">
        <v>423</v>
      </c>
      <c r="R2256" s="5"/>
      <c r="S2256" s="5"/>
      <c r="T2256" s="5"/>
      <c r="U2256" s="5"/>
      <c r="V2256" s="5"/>
      <c r="W2256" s="5"/>
      <c r="X2256" s="5"/>
      <c r="Y2256" s="5"/>
      <c r="Z2256" s="5"/>
      <c r="AA2256" s="5"/>
      <c r="AB2256" s="5"/>
      <c r="AC2256" s="5"/>
      <c r="AD2256" s="5"/>
      <c r="AE2256" s="5"/>
      <c r="AF2256" s="5"/>
      <c r="AG2256" s="5"/>
    </row>
    <row r="2257" ht="15.75" customHeight="1">
      <c r="K2257" t="s">
        <v>3934</v>
      </c>
      <c r="L2257" t="str">
        <f>D153</f>
        <v>H2a1~</v>
      </c>
      <c r="N2257" t="s">
        <v>3935</v>
      </c>
      <c r="O2257">
        <v>2.3197885E7</v>
      </c>
      <c r="P2257">
        <v>2.1035999E7</v>
      </c>
      <c r="Q2257" t="s">
        <v>423</v>
      </c>
      <c r="R2257" s="5"/>
      <c r="S2257" s="5"/>
      <c r="T2257" s="5"/>
      <c r="U2257" s="5"/>
      <c r="V2257" s="5"/>
      <c r="W2257" s="5"/>
      <c r="X2257" s="5"/>
      <c r="Y2257" s="5"/>
      <c r="Z2257" s="5"/>
      <c r="AA2257" s="5"/>
      <c r="AB2257" s="5"/>
      <c r="AC2257" s="5"/>
      <c r="AD2257" s="5"/>
      <c r="AE2257" s="5"/>
      <c r="AF2257" s="5"/>
      <c r="AG2257" s="5"/>
    </row>
    <row r="2258" ht="15.75" customHeight="1">
      <c r="K2258" t="s">
        <v>3936</v>
      </c>
      <c r="L2258" t="str">
        <f>D153</f>
        <v>H2a1~</v>
      </c>
      <c r="N2258" t="s">
        <v>3937</v>
      </c>
      <c r="O2258">
        <v>2.3226653E7</v>
      </c>
      <c r="P2258">
        <v>2.1064767E7</v>
      </c>
      <c r="Q2258" t="s">
        <v>419</v>
      </c>
      <c r="R2258" s="5"/>
      <c r="S2258" s="5"/>
      <c r="T2258" s="5"/>
      <c r="U2258" s="5"/>
      <c r="V2258" s="5"/>
      <c r="W2258" s="5"/>
      <c r="X2258" s="5"/>
      <c r="Y2258" s="5"/>
      <c r="Z2258" s="5"/>
      <c r="AA2258" s="5"/>
      <c r="AB2258" s="5"/>
      <c r="AC2258" s="5"/>
      <c r="AD2258" s="5"/>
      <c r="AE2258" s="5"/>
      <c r="AF2258" s="5"/>
      <c r="AG2258" s="5"/>
    </row>
    <row r="2259" ht="15.75" customHeight="1">
      <c r="K2259" t="s">
        <v>3938</v>
      </c>
      <c r="L2259" t="str">
        <f>D153</f>
        <v>H2a1~</v>
      </c>
      <c r="O2259">
        <v>2.8755338E7</v>
      </c>
      <c r="P2259">
        <v>2.6609191E7</v>
      </c>
      <c r="Q2259" t="s">
        <v>423</v>
      </c>
      <c r="R2259" s="5"/>
      <c r="S2259" s="5"/>
      <c r="T2259" s="5"/>
      <c r="U2259" s="5"/>
      <c r="V2259" s="5"/>
      <c r="W2259" s="5"/>
      <c r="X2259" s="5"/>
      <c r="Y2259" s="5"/>
      <c r="Z2259" s="5"/>
      <c r="AA2259" s="5"/>
      <c r="AB2259" s="5"/>
      <c r="AC2259" s="5"/>
      <c r="AD2259" s="5"/>
      <c r="AE2259" s="5"/>
      <c r="AF2259" s="5"/>
      <c r="AG2259" s="5"/>
    </row>
    <row r="2260" ht="15.75" customHeight="1">
      <c r="K2260" t="s">
        <v>3939</v>
      </c>
      <c r="L2260" t="str">
        <f>D153</f>
        <v>H2a1~</v>
      </c>
      <c r="O2260">
        <v>2.8783807E7</v>
      </c>
      <c r="P2260">
        <v>2.663766E7</v>
      </c>
      <c r="Q2260" t="s">
        <v>427</v>
      </c>
      <c r="R2260" s="5"/>
      <c r="S2260" s="5"/>
      <c r="T2260" s="5"/>
      <c r="U2260" s="5"/>
      <c r="V2260" s="5"/>
      <c r="W2260" s="5"/>
      <c r="X2260" s="5"/>
      <c r="Y2260" s="5"/>
      <c r="Z2260" s="5"/>
      <c r="AA2260" s="5"/>
      <c r="AB2260" s="5"/>
      <c r="AC2260" s="5"/>
      <c r="AD2260" s="5"/>
      <c r="AE2260" s="5"/>
      <c r="AF2260" s="5"/>
      <c r="AG2260" s="5"/>
    </row>
    <row r="2261" ht="15.75" customHeight="1">
      <c r="K2261" t="s">
        <v>3940</v>
      </c>
      <c r="L2261" t="str">
        <f>D153</f>
        <v>H2a1~</v>
      </c>
      <c r="O2261">
        <v>2.8798163E7</v>
      </c>
      <c r="P2261">
        <v>2.6652016E7</v>
      </c>
      <c r="Q2261" t="s">
        <v>476</v>
      </c>
      <c r="R2261" s="5"/>
      <c r="S2261" s="5"/>
      <c r="T2261" s="5"/>
      <c r="U2261" s="5"/>
      <c r="V2261" s="5"/>
      <c r="W2261" s="5"/>
      <c r="X2261" s="5"/>
      <c r="Y2261" s="5"/>
      <c r="Z2261" s="5"/>
      <c r="AA2261" s="5"/>
      <c r="AB2261" s="5"/>
      <c r="AC2261" s="5"/>
      <c r="AD2261" s="5"/>
      <c r="AE2261" s="5"/>
      <c r="AF2261" s="5"/>
      <c r="AG2261" s="5"/>
    </row>
    <row r="2262" ht="15.75" customHeight="1">
      <c r="K2262" t="s">
        <v>3941</v>
      </c>
      <c r="L2262" t="str">
        <f>D153</f>
        <v>H2a1~</v>
      </c>
      <c r="N2262" t="s">
        <v>3942</v>
      </c>
      <c r="O2262">
        <v>2.8800405E7</v>
      </c>
      <c r="P2262">
        <v>2.6654258E7</v>
      </c>
      <c r="Q2262" t="s">
        <v>423</v>
      </c>
      <c r="R2262" s="5"/>
      <c r="S2262" s="5"/>
      <c r="T2262" s="5"/>
      <c r="U2262" s="5"/>
      <c r="V2262" s="5"/>
      <c r="W2262" s="5"/>
      <c r="X2262" s="5"/>
      <c r="Y2262" s="5"/>
      <c r="Z2262" s="5"/>
      <c r="AA2262" s="5"/>
      <c r="AB2262" s="5"/>
      <c r="AC2262" s="5"/>
      <c r="AD2262" s="5"/>
      <c r="AE2262" s="5"/>
      <c r="AF2262" s="5"/>
      <c r="AG2262" s="5"/>
    </row>
    <row r="2263" ht="15.75" customHeight="1">
      <c r="K2263" t="s">
        <v>3943</v>
      </c>
      <c r="L2263" t="str">
        <f>E154</f>
        <v>H2a1a</v>
      </c>
      <c r="O2263">
        <v>7234143.0</v>
      </c>
      <c r="P2263">
        <v>7366102.0</v>
      </c>
      <c r="Q2263" t="s">
        <v>435</v>
      </c>
      <c r="R2263" s="5"/>
      <c r="S2263" s="5"/>
      <c r="T2263" s="5"/>
      <c r="U2263" s="5"/>
      <c r="V2263" s="5"/>
      <c r="W2263" s="5"/>
      <c r="X2263" s="5"/>
      <c r="Y2263" s="5"/>
      <c r="Z2263" s="5"/>
      <c r="AA2263" s="5"/>
      <c r="AB2263" s="5"/>
      <c r="AC2263" s="5"/>
      <c r="AD2263" s="5"/>
      <c r="AE2263" s="5"/>
      <c r="AF2263" s="5"/>
      <c r="AG2263" s="5"/>
    </row>
    <row r="2264" ht="15.75" customHeight="1">
      <c r="K2264" t="s">
        <v>3944</v>
      </c>
      <c r="L2264" t="str">
        <f t="shared" ref="L2264:L2265" si="47">E154</f>
        <v>H2a1a</v>
      </c>
      <c r="O2264">
        <v>1.4326795E7</v>
      </c>
      <c r="P2264">
        <v>1.2206089E7</v>
      </c>
      <c r="Q2264" t="s">
        <v>459</v>
      </c>
      <c r="R2264" s="5"/>
      <c r="S2264" s="5"/>
      <c r="T2264" s="5"/>
      <c r="U2264" s="5"/>
      <c r="V2264" s="5"/>
      <c r="W2264" s="5"/>
      <c r="X2264" s="5"/>
      <c r="Y2264" s="5"/>
      <c r="Z2264" s="5"/>
      <c r="AA2264" s="5"/>
      <c r="AB2264" s="5"/>
      <c r="AC2264" s="5"/>
      <c r="AD2264" s="5"/>
      <c r="AE2264" s="5"/>
      <c r="AF2264" s="5"/>
      <c r="AG2264" s="5"/>
    </row>
    <row r="2265" ht="15.75" customHeight="1">
      <c r="K2265" t="s">
        <v>3945</v>
      </c>
      <c r="L2265" t="str">
        <f t="shared" si="47"/>
        <v>H2a1a~</v>
      </c>
      <c r="O2265">
        <v>2681998.0</v>
      </c>
      <c r="P2265">
        <v>2813957.0</v>
      </c>
      <c r="Q2265" t="s">
        <v>423</v>
      </c>
      <c r="R2265" s="5"/>
      <c r="S2265" s="5"/>
      <c r="T2265" s="5"/>
      <c r="U2265" s="5"/>
      <c r="V2265" s="5"/>
      <c r="W2265" s="5"/>
      <c r="X2265" s="5"/>
      <c r="Y2265" s="5"/>
      <c r="Z2265" s="5"/>
      <c r="AA2265" s="5"/>
      <c r="AB2265" s="5"/>
      <c r="AC2265" s="5"/>
      <c r="AD2265" s="5"/>
      <c r="AE2265" s="5"/>
      <c r="AF2265" s="5"/>
      <c r="AG2265" s="5"/>
    </row>
    <row r="2266" ht="15.75" customHeight="1">
      <c r="K2266" t="s">
        <v>3946</v>
      </c>
      <c r="L2266" t="str">
        <f>E155</f>
        <v>H2a1a~</v>
      </c>
      <c r="O2266">
        <v>6874019.0</v>
      </c>
      <c r="P2266">
        <v>7005978.0</v>
      </c>
      <c r="Q2266" t="s">
        <v>473</v>
      </c>
      <c r="R2266" s="5"/>
      <c r="S2266" s="5"/>
      <c r="T2266" s="5"/>
      <c r="U2266" s="5"/>
      <c r="V2266" s="5"/>
      <c r="W2266" s="5"/>
      <c r="X2266" s="5"/>
      <c r="Y2266" s="5"/>
      <c r="Z2266" s="5"/>
      <c r="AA2266" s="5"/>
      <c r="AB2266" s="5"/>
      <c r="AC2266" s="5"/>
      <c r="AD2266" s="5"/>
      <c r="AE2266" s="5"/>
      <c r="AF2266" s="5"/>
      <c r="AG2266" s="5"/>
    </row>
    <row r="2267" ht="15.75" customHeight="1">
      <c r="K2267" t="s">
        <v>3947</v>
      </c>
      <c r="L2267" t="str">
        <f>E155</f>
        <v>H2a1a~</v>
      </c>
      <c r="O2267">
        <v>6940444.0</v>
      </c>
      <c r="P2267">
        <v>7072403.0</v>
      </c>
      <c r="Q2267" t="s">
        <v>476</v>
      </c>
      <c r="R2267" s="5"/>
      <c r="S2267" s="5"/>
      <c r="T2267" s="5"/>
      <c r="U2267" s="5"/>
      <c r="V2267" s="5"/>
      <c r="W2267" s="5"/>
      <c r="X2267" s="5"/>
      <c r="Y2267" s="5"/>
      <c r="Z2267" s="5"/>
      <c r="AA2267" s="5"/>
      <c r="AB2267" s="5"/>
      <c r="AC2267" s="5"/>
      <c r="AD2267" s="5"/>
      <c r="AE2267" s="5"/>
      <c r="AF2267" s="5"/>
      <c r="AG2267" s="5"/>
    </row>
    <row r="2268" ht="15.75" customHeight="1">
      <c r="K2268" t="s">
        <v>3948</v>
      </c>
      <c r="L2268" t="str">
        <f>E155</f>
        <v>H2a1a~</v>
      </c>
      <c r="O2268">
        <v>7143569.0</v>
      </c>
      <c r="P2268">
        <v>7275528.0</v>
      </c>
      <c r="Q2268" t="s">
        <v>419</v>
      </c>
      <c r="R2268" s="5"/>
      <c r="S2268" s="5"/>
      <c r="T2268" s="5"/>
      <c r="U2268" s="5"/>
      <c r="V2268" s="5"/>
      <c r="W2268" s="5"/>
      <c r="X2268" s="5"/>
      <c r="Y2268" s="5"/>
      <c r="Z2268" s="5"/>
      <c r="AA2268" s="5"/>
      <c r="AB2268" s="5"/>
      <c r="AC2268" s="5"/>
      <c r="AD2268" s="5"/>
      <c r="AE2268" s="5"/>
      <c r="AF2268" s="5"/>
      <c r="AG2268" s="5"/>
    </row>
    <row r="2269" ht="15.75" customHeight="1">
      <c r="K2269" t="s">
        <v>3949</v>
      </c>
      <c r="L2269" t="str">
        <f>E155</f>
        <v>H2a1a~</v>
      </c>
      <c r="O2269">
        <v>7317214.0</v>
      </c>
      <c r="P2269">
        <v>7449173.0</v>
      </c>
      <c r="Q2269" t="s">
        <v>476</v>
      </c>
      <c r="R2269" s="5"/>
      <c r="S2269" s="5"/>
      <c r="T2269" s="5"/>
      <c r="U2269" s="5"/>
      <c r="V2269" s="5"/>
      <c r="W2269" s="5"/>
      <c r="X2269" s="5"/>
      <c r="Y2269" s="5"/>
      <c r="Z2269" s="5"/>
      <c r="AA2269" s="5"/>
      <c r="AB2269" s="5"/>
      <c r="AC2269" s="5"/>
      <c r="AD2269" s="5"/>
      <c r="AE2269" s="5"/>
      <c r="AF2269" s="5"/>
      <c r="AG2269" s="5"/>
    </row>
    <row r="2270" ht="15.75" customHeight="1">
      <c r="K2270" t="s">
        <v>3950</v>
      </c>
      <c r="L2270" t="str">
        <f>E155</f>
        <v>H2a1a~</v>
      </c>
      <c r="O2270">
        <v>7377286.0</v>
      </c>
      <c r="P2270">
        <v>7509245.0</v>
      </c>
      <c r="Q2270" t="s">
        <v>525</v>
      </c>
      <c r="R2270" s="5"/>
      <c r="S2270" s="5"/>
      <c r="T2270" s="5"/>
      <c r="U2270" s="5"/>
      <c r="V2270" s="5"/>
      <c r="W2270" s="5"/>
      <c r="X2270" s="5"/>
      <c r="Y2270" s="5"/>
      <c r="Z2270" s="5"/>
      <c r="AA2270" s="5"/>
      <c r="AB2270" s="5"/>
      <c r="AC2270" s="5"/>
      <c r="AD2270" s="5"/>
      <c r="AE2270" s="5"/>
      <c r="AF2270" s="5"/>
      <c r="AG2270" s="5"/>
    </row>
    <row r="2271" ht="15.75" customHeight="1">
      <c r="K2271" t="s">
        <v>3951</v>
      </c>
      <c r="L2271" t="str">
        <f>E155</f>
        <v>H2a1a~</v>
      </c>
      <c r="O2271">
        <v>1.7034052E7</v>
      </c>
      <c r="P2271">
        <v>1.4922172E7</v>
      </c>
      <c r="Q2271" t="s">
        <v>476</v>
      </c>
      <c r="R2271" s="5"/>
      <c r="S2271" s="5"/>
      <c r="T2271" s="5"/>
      <c r="U2271" s="5"/>
      <c r="V2271" s="5"/>
      <c r="W2271" s="5"/>
      <c r="X2271" s="5"/>
      <c r="Y2271" s="5"/>
      <c r="Z2271" s="5"/>
      <c r="AA2271" s="5"/>
      <c r="AB2271" s="5"/>
      <c r="AC2271" s="5"/>
      <c r="AD2271" s="5"/>
      <c r="AE2271" s="5"/>
      <c r="AF2271" s="5"/>
      <c r="AG2271" s="5"/>
    </row>
    <row r="2272" ht="15.75" customHeight="1">
      <c r="K2272" t="s">
        <v>3952</v>
      </c>
      <c r="L2272" t="str">
        <f>E155</f>
        <v>H2a1a~</v>
      </c>
      <c r="O2272">
        <v>1.7421318E7</v>
      </c>
      <c r="P2272">
        <v>1.5309438E7</v>
      </c>
      <c r="Q2272" t="s">
        <v>419</v>
      </c>
      <c r="R2272" s="5"/>
      <c r="S2272" s="5"/>
      <c r="T2272" s="5"/>
      <c r="U2272" s="5"/>
      <c r="V2272" s="5"/>
      <c r="W2272" s="5"/>
      <c r="X2272" s="5"/>
      <c r="Y2272" s="5"/>
      <c r="Z2272" s="5"/>
      <c r="AA2272" s="5"/>
      <c r="AB2272" s="5"/>
      <c r="AC2272" s="5"/>
      <c r="AD2272" s="5"/>
      <c r="AE2272" s="5"/>
      <c r="AF2272" s="5"/>
      <c r="AG2272" s="5"/>
    </row>
    <row r="2273" ht="15.75" customHeight="1">
      <c r="K2273" t="s">
        <v>3953</v>
      </c>
      <c r="L2273" t="str">
        <f>E155</f>
        <v>H2a1a~</v>
      </c>
      <c r="O2273">
        <v>1.7834145E7</v>
      </c>
      <c r="P2273">
        <v>1.5722265E7</v>
      </c>
      <c r="Q2273" t="s">
        <v>553</v>
      </c>
      <c r="R2273" s="5"/>
      <c r="S2273" s="5"/>
      <c r="T2273" s="5"/>
      <c r="U2273" s="5"/>
      <c r="V2273" s="5"/>
      <c r="W2273" s="5"/>
      <c r="X2273" s="5"/>
      <c r="Y2273" s="5"/>
      <c r="Z2273" s="5"/>
      <c r="AA2273" s="5"/>
      <c r="AB2273" s="5"/>
      <c r="AC2273" s="5"/>
      <c r="AD2273" s="5"/>
      <c r="AE2273" s="5"/>
      <c r="AF2273" s="5"/>
      <c r="AG2273" s="5"/>
    </row>
    <row r="2274" ht="15.75" customHeight="1">
      <c r="K2274" t="s">
        <v>3954</v>
      </c>
      <c r="L2274" t="str">
        <f>E155</f>
        <v>H2a1a~</v>
      </c>
      <c r="N2274" t="s">
        <v>3955</v>
      </c>
      <c r="O2274">
        <v>1.7928262E7</v>
      </c>
      <c r="P2274">
        <v>1.5816382E7</v>
      </c>
      <c r="Q2274" t="s">
        <v>423</v>
      </c>
      <c r="R2274" s="5"/>
      <c r="S2274" s="5"/>
      <c r="T2274" s="5"/>
      <c r="U2274" s="5"/>
      <c r="V2274" s="5"/>
      <c r="W2274" s="5"/>
      <c r="X2274" s="5"/>
      <c r="Y2274" s="5"/>
      <c r="Z2274" s="5"/>
      <c r="AA2274" s="5"/>
      <c r="AB2274" s="5"/>
      <c r="AC2274" s="5"/>
      <c r="AD2274" s="5"/>
      <c r="AE2274" s="5"/>
      <c r="AF2274" s="5"/>
      <c r="AG2274" s="5"/>
    </row>
    <row r="2275" ht="15.75" customHeight="1">
      <c r="K2275" t="s">
        <v>3956</v>
      </c>
      <c r="L2275" t="str">
        <f>E155</f>
        <v>H2a1a~</v>
      </c>
      <c r="O2275">
        <v>1.8680765E7</v>
      </c>
      <c r="P2275">
        <v>1.6568885E7</v>
      </c>
      <c r="Q2275" t="s">
        <v>448</v>
      </c>
      <c r="R2275" s="5"/>
      <c r="S2275" s="5"/>
      <c r="T2275" s="5"/>
      <c r="U2275" s="5"/>
      <c r="V2275" s="5"/>
      <c r="W2275" s="5"/>
      <c r="X2275" s="5"/>
      <c r="Y2275" s="5"/>
      <c r="Z2275" s="5"/>
      <c r="AA2275" s="5"/>
      <c r="AB2275" s="5"/>
      <c r="AC2275" s="5"/>
      <c r="AD2275" s="5"/>
      <c r="AE2275" s="5"/>
      <c r="AF2275" s="5"/>
      <c r="AG2275" s="5"/>
    </row>
    <row r="2276" ht="15.75" customHeight="1">
      <c r="K2276" t="s">
        <v>3957</v>
      </c>
      <c r="L2276" t="str">
        <f>E155</f>
        <v>H2a1a~</v>
      </c>
      <c r="O2276">
        <v>1.8916379E7</v>
      </c>
      <c r="P2276">
        <v>1.6804499E7</v>
      </c>
      <c r="Q2276" t="s">
        <v>419</v>
      </c>
      <c r="R2276" s="5"/>
      <c r="S2276" s="5"/>
      <c r="T2276" s="5"/>
      <c r="U2276" s="5"/>
      <c r="V2276" s="5"/>
      <c r="W2276" s="5"/>
      <c r="X2276" s="5"/>
      <c r="Y2276" s="5"/>
      <c r="Z2276" s="5"/>
      <c r="AA2276" s="5"/>
      <c r="AB2276" s="5"/>
      <c r="AC2276" s="5"/>
      <c r="AD2276" s="5"/>
      <c r="AE2276" s="5"/>
      <c r="AF2276" s="5"/>
      <c r="AG2276" s="5"/>
    </row>
    <row r="2277" ht="15.75" customHeight="1">
      <c r="K2277" t="s">
        <v>3958</v>
      </c>
      <c r="L2277" t="str">
        <f>E155</f>
        <v>H2a1a~</v>
      </c>
      <c r="O2277">
        <v>1.9365081E7</v>
      </c>
      <c r="P2277">
        <v>1.7253201E7</v>
      </c>
      <c r="Q2277" t="s">
        <v>431</v>
      </c>
      <c r="R2277" s="5"/>
      <c r="S2277" s="5"/>
      <c r="T2277" s="5"/>
      <c r="U2277" s="5"/>
      <c r="V2277" s="5"/>
      <c r="W2277" s="5"/>
      <c r="X2277" s="5"/>
      <c r="Y2277" s="5"/>
      <c r="Z2277" s="5"/>
      <c r="AA2277" s="5"/>
      <c r="AB2277" s="5"/>
      <c r="AC2277" s="5"/>
      <c r="AD2277" s="5"/>
      <c r="AE2277" s="5"/>
      <c r="AF2277" s="5"/>
      <c r="AG2277" s="5"/>
    </row>
    <row r="2278" ht="15.75" customHeight="1">
      <c r="K2278" t="s">
        <v>3959</v>
      </c>
      <c r="L2278" t="str">
        <f>E155</f>
        <v>H2a1a~</v>
      </c>
      <c r="O2278">
        <v>1.9413807E7</v>
      </c>
      <c r="P2278">
        <v>1.7301927E7</v>
      </c>
      <c r="Q2278" t="s">
        <v>435</v>
      </c>
      <c r="R2278" s="5"/>
      <c r="S2278" s="5"/>
      <c r="T2278" s="5"/>
      <c r="U2278" s="5"/>
      <c r="V2278" s="5"/>
      <c r="W2278" s="5"/>
      <c r="X2278" s="5"/>
      <c r="Y2278" s="5"/>
      <c r="Z2278" s="5"/>
      <c r="AA2278" s="5"/>
      <c r="AB2278" s="5"/>
      <c r="AC2278" s="5"/>
      <c r="AD2278" s="5"/>
      <c r="AE2278" s="5"/>
      <c r="AF2278" s="5"/>
      <c r="AG2278" s="5"/>
    </row>
    <row r="2279" ht="15.75" customHeight="1">
      <c r="K2279" t="s">
        <v>3960</v>
      </c>
      <c r="L2279" t="str">
        <f>E155</f>
        <v>H2a1a~</v>
      </c>
      <c r="O2279">
        <v>2.1250416E7</v>
      </c>
      <c r="P2279">
        <v>1.908853E7</v>
      </c>
      <c r="Q2279" t="s">
        <v>525</v>
      </c>
      <c r="R2279" s="5"/>
      <c r="S2279" s="5"/>
      <c r="T2279" s="5"/>
      <c r="U2279" s="5"/>
      <c r="V2279" s="5"/>
      <c r="W2279" s="5"/>
      <c r="X2279" s="5"/>
      <c r="Y2279" s="5"/>
      <c r="Z2279" s="5"/>
      <c r="AA2279" s="5"/>
      <c r="AB2279" s="5"/>
      <c r="AC2279" s="5"/>
      <c r="AD2279" s="5"/>
      <c r="AE2279" s="5"/>
      <c r="AF2279" s="5"/>
      <c r="AG2279" s="5"/>
    </row>
    <row r="2280" ht="15.75" customHeight="1">
      <c r="K2280" t="s">
        <v>3961</v>
      </c>
      <c r="L2280" t="str">
        <f>E155</f>
        <v>H2a1a~</v>
      </c>
      <c r="O2280">
        <v>2.28595E7</v>
      </c>
      <c r="P2280">
        <v>2.0697614E7</v>
      </c>
      <c r="Q2280" t="s">
        <v>553</v>
      </c>
      <c r="R2280" s="5"/>
      <c r="S2280" s="5"/>
      <c r="T2280" s="5"/>
      <c r="U2280" s="5"/>
      <c r="V2280" s="5"/>
      <c r="W2280" s="5"/>
      <c r="X2280" s="5"/>
      <c r="Y2280" s="5"/>
      <c r="Z2280" s="5"/>
      <c r="AA2280" s="5"/>
      <c r="AB2280" s="5"/>
      <c r="AC2280" s="5"/>
      <c r="AD2280" s="5"/>
      <c r="AE2280" s="5"/>
      <c r="AF2280" s="5"/>
      <c r="AG2280" s="5"/>
    </row>
    <row r="2281" ht="15.75" customHeight="1">
      <c r="K2281" t="s">
        <v>3962</v>
      </c>
      <c r="L2281" t="str">
        <f>E155</f>
        <v>H2a1a~</v>
      </c>
      <c r="O2281">
        <v>2.2963413E7</v>
      </c>
      <c r="P2281">
        <v>2.0801527E7</v>
      </c>
      <c r="Q2281" t="s">
        <v>423</v>
      </c>
      <c r="R2281" s="5"/>
      <c r="S2281" s="5"/>
      <c r="T2281" s="5"/>
      <c r="U2281" s="5"/>
      <c r="V2281" s="5"/>
      <c r="W2281" s="5"/>
      <c r="X2281" s="5"/>
      <c r="Y2281" s="5"/>
      <c r="Z2281" s="5"/>
      <c r="AA2281" s="5"/>
      <c r="AB2281" s="5"/>
      <c r="AC2281" s="5"/>
      <c r="AD2281" s="5"/>
      <c r="AE2281" s="5"/>
      <c r="AF2281" s="5"/>
      <c r="AG2281" s="5"/>
    </row>
    <row r="2282" ht="15.75" customHeight="1">
      <c r="K2282" t="s">
        <v>3963</v>
      </c>
      <c r="L2282" t="str">
        <f>F156</f>
        <v>H2a1a1~</v>
      </c>
      <c r="M2282" t="s">
        <v>3964</v>
      </c>
      <c r="N2282" t="s">
        <v>3965</v>
      </c>
      <c r="O2282">
        <v>1.8067464E7</v>
      </c>
      <c r="P2282">
        <v>1.5955584E7</v>
      </c>
      <c r="Q2282" t="s">
        <v>423</v>
      </c>
      <c r="R2282" s="5"/>
      <c r="S2282" s="5"/>
      <c r="T2282" s="5"/>
      <c r="U2282" s="5"/>
      <c r="V2282" s="5"/>
      <c r="W2282" s="5"/>
      <c r="X2282" s="5"/>
      <c r="Y2282" s="5"/>
      <c r="Z2282" s="5"/>
      <c r="AA2282" s="5"/>
      <c r="AB2282" s="5"/>
      <c r="AC2282" s="5"/>
      <c r="AD2282" s="5"/>
      <c r="AE2282" s="5"/>
      <c r="AF2282" s="5"/>
      <c r="AG2282" s="5"/>
    </row>
    <row r="2283" ht="15.75" customHeight="1">
      <c r="K2283" t="s">
        <v>3964</v>
      </c>
      <c r="L2283" t="str">
        <f>F156</f>
        <v>H2a1a1~</v>
      </c>
      <c r="M2283" t="s">
        <v>3963</v>
      </c>
      <c r="N2283" t="s">
        <v>3965</v>
      </c>
      <c r="O2283">
        <v>1.8067464E7</v>
      </c>
      <c r="P2283">
        <v>1.5955584E7</v>
      </c>
      <c r="Q2283" t="s">
        <v>423</v>
      </c>
      <c r="R2283" s="5"/>
      <c r="S2283" s="5"/>
      <c r="T2283" s="5"/>
      <c r="U2283" s="5"/>
      <c r="V2283" s="5"/>
      <c r="W2283" s="5"/>
      <c r="X2283" s="5"/>
      <c r="Y2283" s="5"/>
      <c r="Z2283" s="5"/>
      <c r="AA2283" s="5"/>
      <c r="AB2283" s="5"/>
      <c r="AC2283" s="5"/>
      <c r="AD2283" s="5"/>
      <c r="AE2283" s="5"/>
      <c r="AF2283" s="5"/>
      <c r="AG2283" s="5"/>
    </row>
    <row r="2284" ht="15.75" customHeight="1">
      <c r="K2284" t="s">
        <v>3966</v>
      </c>
      <c r="L2284" t="str">
        <f>F156</f>
        <v>H2a1a1~</v>
      </c>
      <c r="O2284">
        <v>1.6710674E7</v>
      </c>
      <c r="P2284">
        <v>1.4598794E7</v>
      </c>
      <c r="Q2284" t="s">
        <v>427</v>
      </c>
      <c r="R2284" s="5"/>
      <c r="S2284" s="5"/>
      <c r="T2284" s="5"/>
      <c r="U2284" s="5"/>
      <c r="V2284" s="5"/>
      <c r="W2284" s="5"/>
      <c r="X2284" s="5"/>
      <c r="Y2284" s="5"/>
      <c r="Z2284" s="5"/>
      <c r="AA2284" s="5"/>
      <c r="AB2284" s="5"/>
      <c r="AC2284" s="5"/>
      <c r="AD2284" s="5"/>
      <c r="AE2284" s="5"/>
      <c r="AF2284" s="5"/>
      <c r="AG2284" s="5"/>
    </row>
    <row r="2285" ht="15.75" customHeight="1">
      <c r="K2285" t="s">
        <v>3967</v>
      </c>
      <c r="L2285" t="str">
        <f>F156</f>
        <v>H2a1a1~</v>
      </c>
      <c r="O2285">
        <v>1.8052783E7</v>
      </c>
      <c r="P2285">
        <v>1.5940903E7</v>
      </c>
      <c r="Q2285" t="s">
        <v>435</v>
      </c>
      <c r="R2285" s="5"/>
      <c r="S2285" s="5"/>
      <c r="T2285" s="5"/>
      <c r="U2285" s="5"/>
      <c r="V2285" s="5"/>
      <c r="W2285" s="5"/>
      <c r="X2285" s="5"/>
      <c r="Y2285" s="5"/>
      <c r="Z2285" s="5"/>
      <c r="AA2285" s="5"/>
      <c r="AB2285" s="5"/>
      <c r="AC2285" s="5"/>
      <c r="AD2285" s="5"/>
      <c r="AE2285" s="5"/>
      <c r="AF2285" s="5"/>
      <c r="AG2285" s="5"/>
    </row>
    <row r="2286" ht="15.75" customHeight="1">
      <c r="K2286" t="s">
        <v>3968</v>
      </c>
      <c r="L2286" t="str">
        <f>F156</f>
        <v>H2a1a1~</v>
      </c>
      <c r="N2286" t="s">
        <v>3969</v>
      </c>
      <c r="O2286">
        <v>1.8215275E7</v>
      </c>
      <c r="P2286">
        <v>1.6103395E7</v>
      </c>
      <c r="Q2286" t="s">
        <v>423</v>
      </c>
      <c r="R2286" s="5"/>
      <c r="S2286" s="5"/>
      <c r="T2286" s="5"/>
      <c r="U2286" s="5"/>
      <c r="V2286" s="5"/>
      <c r="W2286" s="5"/>
      <c r="X2286" s="5"/>
      <c r="Y2286" s="5"/>
      <c r="Z2286" s="5"/>
      <c r="AA2286" s="5"/>
      <c r="AB2286" s="5"/>
      <c r="AC2286" s="5"/>
      <c r="AD2286" s="5"/>
      <c r="AE2286" s="5"/>
      <c r="AF2286" s="5"/>
      <c r="AG2286" s="5"/>
    </row>
    <row r="2287" ht="15.75" customHeight="1">
      <c r="K2287" t="s">
        <v>3970</v>
      </c>
      <c r="L2287" t="str">
        <f>F156</f>
        <v>H2a1a1~</v>
      </c>
      <c r="O2287">
        <v>1.8750249E7</v>
      </c>
      <c r="P2287">
        <v>1.6638369E7</v>
      </c>
      <c r="Q2287" t="s">
        <v>423</v>
      </c>
      <c r="R2287" s="5"/>
      <c r="S2287" s="5"/>
      <c r="T2287" s="5"/>
      <c r="U2287" s="5"/>
      <c r="V2287" s="5"/>
      <c r="W2287" s="5"/>
      <c r="X2287" s="5"/>
      <c r="Y2287" s="5"/>
      <c r="Z2287" s="5"/>
      <c r="AA2287" s="5"/>
      <c r="AB2287" s="5"/>
      <c r="AC2287" s="5"/>
      <c r="AD2287" s="5"/>
      <c r="AE2287" s="5"/>
      <c r="AF2287" s="5"/>
      <c r="AG2287" s="5"/>
    </row>
    <row r="2288" ht="15.75" customHeight="1">
      <c r="K2288" t="s">
        <v>3971</v>
      </c>
      <c r="L2288" t="str">
        <f>G157</f>
        <v>H2a1a1a~</v>
      </c>
      <c r="O2288">
        <v>6937005.0</v>
      </c>
      <c r="P2288">
        <v>7068964.0</v>
      </c>
      <c r="Q2288" t="s">
        <v>423</v>
      </c>
      <c r="R2288" s="5"/>
      <c r="S2288" s="5"/>
      <c r="T2288" s="5"/>
      <c r="U2288" s="5"/>
      <c r="V2288" s="5"/>
      <c r="W2288" s="5"/>
      <c r="X2288" s="5"/>
      <c r="Y2288" s="5"/>
      <c r="Z2288" s="5"/>
      <c r="AA2288" s="5"/>
      <c r="AB2288" s="5"/>
      <c r="AC2288" s="5"/>
      <c r="AD2288" s="5"/>
      <c r="AE2288" s="5"/>
      <c r="AF2288" s="5"/>
      <c r="AG2288" s="5"/>
    </row>
    <row r="2289" ht="15.75" customHeight="1">
      <c r="K2289" t="s">
        <v>3972</v>
      </c>
      <c r="L2289" t="str">
        <f>G157</f>
        <v>H2a1a1a~</v>
      </c>
      <c r="O2289">
        <v>1.5384166E7</v>
      </c>
      <c r="P2289">
        <v>1.3272286E7</v>
      </c>
      <c r="Q2289" t="s">
        <v>435</v>
      </c>
      <c r="R2289" s="5"/>
      <c r="S2289" s="5"/>
      <c r="T2289" s="5"/>
      <c r="U2289" s="5"/>
      <c r="V2289" s="5"/>
      <c r="W2289" s="5"/>
      <c r="X2289" s="5"/>
      <c r="Y2289" s="5"/>
      <c r="Z2289" s="5"/>
      <c r="AA2289" s="5"/>
      <c r="AB2289" s="5"/>
      <c r="AC2289" s="5"/>
      <c r="AD2289" s="5"/>
      <c r="AE2289" s="5"/>
      <c r="AF2289" s="5"/>
      <c r="AG2289" s="5"/>
    </row>
    <row r="2290" ht="15.75" customHeight="1">
      <c r="K2290" t="s">
        <v>3973</v>
      </c>
      <c r="L2290" t="str">
        <f>G157</f>
        <v>H2a1a1a~</v>
      </c>
      <c r="O2290">
        <v>1.6460557E7</v>
      </c>
      <c r="P2290">
        <v>1.4348677E7</v>
      </c>
      <c r="Q2290" t="s">
        <v>431</v>
      </c>
      <c r="R2290" s="5"/>
      <c r="S2290" s="5"/>
      <c r="T2290" s="5"/>
      <c r="U2290" s="5"/>
      <c r="V2290" s="5"/>
      <c r="W2290" s="5"/>
      <c r="X2290" s="5"/>
      <c r="Y2290" s="5"/>
      <c r="Z2290" s="5"/>
      <c r="AA2290" s="5"/>
      <c r="AB2290" s="5"/>
      <c r="AC2290" s="5"/>
      <c r="AD2290" s="5"/>
      <c r="AE2290" s="5"/>
      <c r="AF2290" s="5"/>
      <c r="AG2290" s="5"/>
    </row>
    <row r="2291" ht="15.75" customHeight="1">
      <c r="K2291" t="s">
        <v>3974</v>
      </c>
      <c r="L2291" t="str">
        <f>G157</f>
        <v>H2a1a1a~</v>
      </c>
      <c r="O2291">
        <v>1.6496885E7</v>
      </c>
      <c r="P2291">
        <v>1.4385005E7</v>
      </c>
      <c r="Q2291" t="s">
        <v>473</v>
      </c>
      <c r="R2291" s="5"/>
      <c r="S2291" s="5"/>
      <c r="T2291" s="5"/>
      <c r="U2291" s="5"/>
      <c r="V2291" s="5"/>
      <c r="W2291" s="5"/>
      <c r="X2291" s="5"/>
      <c r="Y2291" s="5"/>
      <c r="Z2291" s="5"/>
      <c r="AA2291" s="5"/>
      <c r="AB2291" s="5"/>
      <c r="AC2291" s="5"/>
      <c r="AD2291" s="5"/>
      <c r="AE2291" s="5"/>
      <c r="AF2291" s="5"/>
      <c r="AG2291" s="5"/>
    </row>
    <row r="2292" ht="15.75" customHeight="1">
      <c r="K2292" t="s">
        <v>3975</v>
      </c>
      <c r="L2292" t="str">
        <f>G157</f>
        <v>H2a1a1a~</v>
      </c>
      <c r="O2292">
        <v>1.7275062E7</v>
      </c>
      <c r="P2292">
        <v>1.5163182E7</v>
      </c>
      <c r="Q2292" t="s">
        <v>423</v>
      </c>
      <c r="R2292" s="5"/>
      <c r="S2292" s="5"/>
      <c r="T2292" s="5"/>
      <c r="U2292" s="5"/>
      <c r="V2292" s="5"/>
      <c r="W2292" s="5"/>
      <c r="X2292" s="5"/>
      <c r="Y2292" s="5"/>
      <c r="Z2292" s="5"/>
      <c r="AA2292" s="5"/>
      <c r="AB2292" s="5"/>
      <c r="AC2292" s="5"/>
      <c r="AD2292" s="5"/>
      <c r="AE2292" s="5"/>
      <c r="AF2292" s="5"/>
      <c r="AG2292" s="5"/>
    </row>
    <row r="2293" ht="15.75" customHeight="1">
      <c r="K2293" t="s">
        <v>3976</v>
      </c>
      <c r="L2293" t="str">
        <f>G157</f>
        <v>H2a1a1a~</v>
      </c>
      <c r="N2293" t="s">
        <v>3977</v>
      </c>
      <c r="O2293">
        <v>2.32543E7</v>
      </c>
      <c r="P2293">
        <v>2.1092414E7</v>
      </c>
      <c r="Q2293" t="s">
        <v>423</v>
      </c>
      <c r="R2293" s="5"/>
      <c r="S2293" s="5"/>
      <c r="T2293" s="5"/>
      <c r="U2293" s="5"/>
      <c r="V2293" s="5"/>
      <c r="W2293" s="5"/>
      <c r="X2293" s="5"/>
      <c r="Y2293" s="5"/>
      <c r="Z2293" s="5"/>
      <c r="AA2293" s="5"/>
      <c r="AB2293" s="5"/>
      <c r="AC2293" s="5"/>
      <c r="AD2293" s="5"/>
      <c r="AE2293" s="5"/>
      <c r="AF2293" s="5"/>
      <c r="AG2293" s="5"/>
    </row>
    <row r="2294" ht="15.75" customHeight="1">
      <c r="K2294" t="s">
        <v>277</v>
      </c>
      <c r="L2294" t="str">
        <f>C158</f>
        <v>H2b~</v>
      </c>
      <c r="O2294">
        <v>1.6812043E7</v>
      </c>
      <c r="P2294">
        <v>1.4700163E7</v>
      </c>
      <c r="Q2294" t="s">
        <v>423</v>
      </c>
      <c r="R2294" s="5"/>
      <c r="S2294" s="5"/>
      <c r="T2294" s="5"/>
      <c r="U2294" s="5"/>
      <c r="V2294" s="5"/>
      <c r="W2294" s="5"/>
      <c r="X2294" s="5"/>
      <c r="Y2294" s="5"/>
      <c r="Z2294" s="5"/>
      <c r="AA2294" s="5"/>
      <c r="AB2294" s="5"/>
      <c r="AC2294" s="5"/>
      <c r="AD2294" s="5"/>
      <c r="AE2294" s="5"/>
      <c r="AF2294" s="5"/>
      <c r="AG2294" s="5"/>
    </row>
    <row r="2295" ht="15.75" customHeight="1">
      <c r="K2295" t="s">
        <v>3978</v>
      </c>
      <c r="L2295" t="str">
        <f>D159</f>
        <v>H2b1</v>
      </c>
      <c r="N2295" t="s">
        <v>3979</v>
      </c>
      <c r="O2295">
        <v>8183805.0</v>
      </c>
      <c r="P2295">
        <v>8315764.0</v>
      </c>
      <c r="Q2295" t="s">
        <v>423</v>
      </c>
      <c r="R2295" s="5"/>
      <c r="S2295" s="5"/>
      <c r="T2295" s="5"/>
      <c r="U2295" s="5"/>
      <c r="V2295" s="5"/>
      <c r="W2295" s="5"/>
      <c r="X2295" s="5"/>
      <c r="Y2295" s="5"/>
      <c r="Z2295" s="5"/>
      <c r="AA2295" s="5"/>
      <c r="AB2295" s="5"/>
      <c r="AC2295" s="5"/>
      <c r="AD2295" s="5"/>
      <c r="AE2295" s="5"/>
      <c r="AF2295" s="5"/>
      <c r="AG2295" s="5"/>
    </row>
    <row r="2296" ht="15.75" customHeight="1">
      <c r="K2296" t="s">
        <v>3980</v>
      </c>
      <c r="L2296" t="str">
        <f>D159</f>
        <v>H2b1</v>
      </c>
      <c r="N2296" t="s">
        <v>3981</v>
      </c>
      <c r="O2296">
        <v>2.130919E7</v>
      </c>
      <c r="P2296">
        <v>1.9147304E7</v>
      </c>
      <c r="Q2296" t="s">
        <v>423</v>
      </c>
      <c r="R2296" s="5"/>
      <c r="S2296" s="5"/>
      <c r="T2296" s="5"/>
      <c r="U2296" s="5"/>
      <c r="V2296" s="5"/>
      <c r="W2296" s="5"/>
      <c r="X2296" s="5"/>
      <c r="Y2296" s="5"/>
      <c r="Z2296" s="5"/>
      <c r="AA2296" s="5"/>
      <c r="AB2296" s="5"/>
      <c r="AC2296" s="5"/>
      <c r="AD2296" s="5"/>
      <c r="AE2296" s="5"/>
      <c r="AF2296" s="5"/>
      <c r="AG2296" s="5"/>
    </row>
    <row r="2297" ht="15.75" customHeight="1">
      <c r="K2297" t="s">
        <v>3982</v>
      </c>
      <c r="L2297" t="str">
        <f>D159</f>
        <v>H2b1</v>
      </c>
      <c r="O2297">
        <v>7050832.0</v>
      </c>
      <c r="P2297">
        <v>7182791.0</v>
      </c>
      <c r="Q2297" t="s">
        <v>419</v>
      </c>
      <c r="R2297" s="5"/>
      <c r="S2297" s="5"/>
      <c r="T2297" s="5"/>
      <c r="U2297" s="5"/>
      <c r="V2297" s="5"/>
      <c r="W2297" s="5"/>
      <c r="X2297" s="5"/>
      <c r="Y2297" s="5"/>
      <c r="Z2297" s="5"/>
      <c r="AA2297" s="5"/>
      <c r="AB2297" s="5"/>
      <c r="AC2297" s="5"/>
      <c r="AD2297" s="5"/>
      <c r="AE2297" s="5"/>
      <c r="AF2297" s="5"/>
      <c r="AG2297" s="5"/>
    </row>
    <row r="2298" ht="15.75" customHeight="1">
      <c r="K2298" t="s">
        <v>3983</v>
      </c>
      <c r="L2298" t="str">
        <f>D159</f>
        <v>H2b1</v>
      </c>
      <c r="N2298" t="s">
        <v>3984</v>
      </c>
      <c r="O2298">
        <v>7057545.0</v>
      </c>
      <c r="P2298">
        <v>7189504.0</v>
      </c>
      <c r="Q2298" t="s">
        <v>419</v>
      </c>
      <c r="R2298" s="5"/>
      <c r="S2298" s="5"/>
      <c r="T2298" s="5"/>
      <c r="U2298" s="5"/>
      <c r="V2298" s="5"/>
      <c r="W2298" s="5"/>
      <c r="X2298" s="5"/>
      <c r="Y2298" s="5"/>
      <c r="Z2298" s="5"/>
      <c r="AA2298" s="5"/>
      <c r="AB2298" s="5"/>
      <c r="AC2298" s="5"/>
      <c r="AD2298" s="5"/>
      <c r="AE2298" s="5"/>
      <c r="AF2298" s="5"/>
      <c r="AG2298" s="5"/>
    </row>
    <row r="2299" ht="15.75" customHeight="1">
      <c r="K2299" t="s">
        <v>3985</v>
      </c>
      <c r="L2299" t="str">
        <f>D159</f>
        <v>H2b1</v>
      </c>
      <c r="O2299">
        <v>7332288.0</v>
      </c>
      <c r="P2299">
        <v>7464247.0</v>
      </c>
      <c r="Q2299" t="s">
        <v>423</v>
      </c>
      <c r="R2299" s="5"/>
      <c r="S2299" s="5"/>
      <c r="T2299" s="5"/>
      <c r="U2299" s="5"/>
      <c r="V2299" s="5"/>
      <c r="W2299" s="5"/>
      <c r="X2299" s="5"/>
      <c r="Y2299" s="5"/>
      <c r="Z2299" s="5"/>
      <c r="AA2299" s="5"/>
      <c r="AB2299" s="5"/>
      <c r="AC2299" s="5"/>
      <c r="AD2299" s="5"/>
      <c r="AE2299" s="5"/>
      <c r="AF2299" s="5"/>
      <c r="AG2299" s="5"/>
    </row>
    <row r="2300" ht="15.75" customHeight="1">
      <c r="K2300" t="s">
        <v>3986</v>
      </c>
      <c r="L2300" t="str">
        <f>D159</f>
        <v>H2b1</v>
      </c>
      <c r="O2300">
        <v>7662117.0</v>
      </c>
      <c r="P2300">
        <v>7794076.0</v>
      </c>
      <c r="Q2300" t="s">
        <v>473</v>
      </c>
      <c r="R2300" s="5"/>
      <c r="S2300" s="5"/>
      <c r="T2300" s="5"/>
      <c r="U2300" s="5"/>
      <c r="V2300" s="5"/>
      <c r="W2300" s="5"/>
      <c r="X2300" s="5"/>
      <c r="Y2300" s="5"/>
      <c r="Z2300" s="5"/>
      <c r="AA2300" s="5"/>
      <c r="AB2300" s="5"/>
      <c r="AC2300" s="5"/>
      <c r="AD2300" s="5"/>
      <c r="AE2300" s="5"/>
      <c r="AF2300" s="5"/>
      <c r="AG2300" s="5"/>
    </row>
    <row r="2301" ht="15.75" customHeight="1">
      <c r="K2301" t="s">
        <v>3987</v>
      </c>
      <c r="L2301" t="str">
        <f>D159</f>
        <v>H2b1</v>
      </c>
      <c r="O2301">
        <v>8368117.0</v>
      </c>
      <c r="P2301">
        <v>8500076.0</v>
      </c>
      <c r="Q2301" t="s">
        <v>431</v>
      </c>
      <c r="R2301" s="5"/>
      <c r="S2301" s="5"/>
      <c r="T2301" s="5"/>
      <c r="U2301" s="5"/>
      <c r="V2301" s="5"/>
      <c r="W2301" s="5"/>
      <c r="X2301" s="5"/>
      <c r="Y2301" s="5"/>
      <c r="Z2301" s="5"/>
      <c r="AA2301" s="5"/>
      <c r="AB2301" s="5"/>
      <c r="AC2301" s="5"/>
      <c r="AD2301" s="5"/>
      <c r="AE2301" s="5"/>
      <c r="AF2301" s="5"/>
      <c r="AG2301" s="5"/>
    </row>
    <row r="2302" ht="15.75" customHeight="1">
      <c r="K2302" t="s">
        <v>3988</v>
      </c>
      <c r="L2302" t="str">
        <f>D159</f>
        <v>H2b1</v>
      </c>
      <c r="O2302">
        <v>1.4734353E7</v>
      </c>
      <c r="P2302">
        <v>1.2622421E7</v>
      </c>
      <c r="Q2302" t="s">
        <v>419</v>
      </c>
      <c r="R2302" s="5"/>
      <c r="S2302" s="5"/>
      <c r="T2302" s="5"/>
      <c r="U2302" s="5"/>
      <c r="V2302" s="5"/>
      <c r="W2302" s="5"/>
      <c r="X2302" s="5"/>
      <c r="Y2302" s="5"/>
      <c r="Z2302" s="5"/>
      <c r="AA2302" s="5"/>
      <c r="AB2302" s="5"/>
      <c r="AC2302" s="5"/>
      <c r="AD2302" s="5"/>
      <c r="AE2302" s="5"/>
      <c r="AF2302" s="5"/>
      <c r="AG2302" s="5"/>
    </row>
    <row r="2303" ht="15.75" customHeight="1">
      <c r="K2303" t="s">
        <v>3989</v>
      </c>
      <c r="L2303" t="str">
        <f>D159</f>
        <v>H2b1</v>
      </c>
      <c r="O2303">
        <v>1.5012957E7</v>
      </c>
      <c r="P2303">
        <v>1.2901045E7</v>
      </c>
      <c r="Q2303" t="s">
        <v>423</v>
      </c>
      <c r="R2303" s="5"/>
      <c r="S2303" s="5"/>
      <c r="T2303" s="5"/>
      <c r="U2303" s="5"/>
      <c r="V2303" s="5"/>
      <c r="W2303" s="5"/>
      <c r="X2303" s="5"/>
      <c r="Y2303" s="5"/>
      <c r="Z2303" s="5"/>
      <c r="AA2303" s="5"/>
      <c r="AB2303" s="5"/>
      <c r="AC2303" s="5"/>
      <c r="AD2303" s="5"/>
      <c r="AE2303" s="5"/>
      <c r="AF2303" s="5"/>
      <c r="AG2303" s="5"/>
    </row>
    <row r="2304" ht="15.75" customHeight="1">
      <c r="K2304" t="s">
        <v>3990</v>
      </c>
      <c r="L2304" t="str">
        <f>D159</f>
        <v>H2b1</v>
      </c>
      <c r="N2304" t="s">
        <v>3991</v>
      </c>
      <c r="O2304">
        <v>1.5756971E7</v>
      </c>
      <c r="P2304">
        <v>1.3645091E7</v>
      </c>
      <c r="Q2304" t="s">
        <v>423</v>
      </c>
      <c r="R2304" s="5"/>
      <c r="S2304" s="5"/>
      <c r="T2304" s="5"/>
      <c r="U2304" s="5"/>
      <c r="V2304" s="5"/>
      <c r="W2304" s="5"/>
      <c r="X2304" s="5"/>
      <c r="Y2304" s="5"/>
      <c r="Z2304" s="5"/>
      <c r="AA2304" s="5"/>
      <c r="AB2304" s="5"/>
      <c r="AC2304" s="5"/>
      <c r="AD2304" s="5"/>
      <c r="AE2304" s="5"/>
      <c r="AF2304" s="5"/>
      <c r="AG2304" s="5"/>
    </row>
    <row r="2305" ht="15.75" customHeight="1">
      <c r="K2305" t="s">
        <v>3992</v>
      </c>
      <c r="L2305" t="str">
        <f>D159</f>
        <v>H2b1</v>
      </c>
      <c r="O2305">
        <v>1.5863589E7</v>
      </c>
      <c r="P2305">
        <v>1.3751709E7</v>
      </c>
      <c r="Q2305" t="s">
        <v>427</v>
      </c>
      <c r="R2305" s="5"/>
      <c r="S2305" s="5"/>
      <c r="T2305" s="5"/>
      <c r="U2305" s="5"/>
      <c r="V2305" s="5"/>
      <c r="W2305" s="5"/>
      <c r="X2305" s="5"/>
      <c r="Y2305" s="5"/>
      <c r="Z2305" s="5"/>
      <c r="AA2305" s="5"/>
      <c r="AB2305" s="5"/>
      <c r="AC2305" s="5"/>
      <c r="AD2305" s="5"/>
      <c r="AE2305" s="5"/>
      <c r="AF2305" s="5"/>
      <c r="AG2305" s="5"/>
    </row>
    <row r="2306" ht="15.75" customHeight="1">
      <c r="K2306" t="s">
        <v>3993</v>
      </c>
      <c r="L2306" t="str">
        <f>D159</f>
        <v>H2b1</v>
      </c>
      <c r="O2306">
        <v>1.6212372E7</v>
      </c>
      <c r="P2306">
        <v>1.4100492E7</v>
      </c>
      <c r="Q2306" t="s">
        <v>423</v>
      </c>
      <c r="R2306" s="5"/>
      <c r="S2306" s="5"/>
      <c r="T2306" s="5"/>
      <c r="U2306" s="5"/>
      <c r="V2306" s="5"/>
      <c r="W2306" s="5"/>
      <c r="X2306" s="5"/>
      <c r="Y2306" s="5"/>
      <c r="Z2306" s="5"/>
      <c r="AA2306" s="5"/>
      <c r="AB2306" s="5"/>
      <c r="AC2306" s="5"/>
      <c r="AD2306" s="5"/>
      <c r="AE2306" s="5"/>
      <c r="AF2306" s="5"/>
      <c r="AG2306" s="5"/>
    </row>
    <row r="2307" ht="15.75" customHeight="1">
      <c r="K2307" t="s">
        <v>3994</v>
      </c>
      <c r="L2307" t="str">
        <f>D159</f>
        <v>H2b1</v>
      </c>
      <c r="O2307">
        <v>1.6864403E7</v>
      </c>
      <c r="P2307">
        <v>1.4752523E7</v>
      </c>
      <c r="Q2307" t="s">
        <v>419</v>
      </c>
      <c r="R2307" s="5"/>
      <c r="S2307" s="5"/>
      <c r="T2307" s="5"/>
      <c r="U2307" s="5"/>
      <c r="V2307" s="5"/>
      <c r="W2307" s="5"/>
      <c r="X2307" s="5"/>
      <c r="Y2307" s="5"/>
      <c r="Z2307" s="5"/>
      <c r="AA2307" s="5"/>
      <c r="AB2307" s="5"/>
      <c r="AC2307" s="5"/>
      <c r="AD2307" s="5"/>
      <c r="AE2307" s="5"/>
      <c r="AF2307" s="5"/>
      <c r="AG2307" s="5"/>
    </row>
    <row r="2308" ht="15.75" customHeight="1">
      <c r="K2308" t="s">
        <v>3995</v>
      </c>
      <c r="L2308" t="str">
        <f>D159</f>
        <v>H2b1</v>
      </c>
      <c r="O2308">
        <v>1.6799401E7</v>
      </c>
      <c r="P2308">
        <v>1.4687521E7</v>
      </c>
      <c r="Q2308" t="s">
        <v>423</v>
      </c>
      <c r="R2308" s="5"/>
      <c r="S2308" s="5"/>
      <c r="T2308" s="5"/>
      <c r="U2308" s="5"/>
      <c r="V2308" s="5"/>
      <c r="W2308" s="5"/>
      <c r="X2308" s="5"/>
      <c r="Y2308" s="5"/>
      <c r="Z2308" s="5"/>
      <c r="AA2308" s="5"/>
      <c r="AB2308" s="5"/>
      <c r="AC2308" s="5"/>
      <c r="AD2308" s="5"/>
      <c r="AE2308" s="5"/>
      <c r="AF2308" s="5"/>
      <c r="AG2308" s="5"/>
    </row>
    <row r="2309" ht="15.75" customHeight="1">
      <c r="K2309" t="s">
        <v>3996</v>
      </c>
      <c r="L2309" t="str">
        <f>D159</f>
        <v>H2b1</v>
      </c>
      <c r="O2309">
        <v>1.695153E7</v>
      </c>
      <c r="P2309">
        <v>1.483965E7</v>
      </c>
      <c r="Q2309" t="s">
        <v>419</v>
      </c>
      <c r="R2309" s="5"/>
      <c r="S2309" s="5"/>
      <c r="T2309" s="5"/>
      <c r="U2309" s="5"/>
      <c r="V2309" s="5"/>
      <c r="W2309" s="5"/>
      <c r="X2309" s="5"/>
      <c r="Y2309" s="5"/>
      <c r="Z2309" s="5"/>
      <c r="AA2309" s="5"/>
      <c r="AB2309" s="5"/>
      <c r="AC2309" s="5"/>
      <c r="AD2309" s="5"/>
      <c r="AE2309" s="5"/>
      <c r="AF2309" s="5"/>
      <c r="AG2309" s="5"/>
    </row>
    <row r="2310" ht="15.75" customHeight="1">
      <c r="K2310" t="s">
        <v>3997</v>
      </c>
      <c r="L2310" t="str">
        <f>D159</f>
        <v>H2b1</v>
      </c>
      <c r="O2310">
        <v>1.7415045E7</v>
      </c>
      <c r="P2310">
        <v>1.5303165E7</v>
      </c>
      <c r="Q2310" t="s">
        <v>473</v>
      </c>
      <c r="R2310" s="5"/>
      <c r="S2310" s="5"/>
      <c r="T2310" s="5"/>
      <c r="U2310" s="5"/>
      <c r="V2310" s="5"/>
      <c r="W2310" s="5"/>
      <c r="X2310" s="5"/>
      <c r="Y2310" s="5"/>
      <c r="Z2310" s="5"/>
      <c r="AA2310" s="5"/>
      <c r="AB2310" s="5"/>
      <c r="AC2310" s="5"/>
      <c r="AD2310" s="5"/>
      <c r="AE2310" s="5"/>
      <c r="AF2310" s="5"/>
      <c r="AG2310" s="5"/>
    </row>
    <row r="2311" ht="15.75" customHeight="1">
      <c r="K2311" t="s">
        <v>3998</v>
      </c>
      <c r="L2311" t="str">
        <f>D159</f>
        <v>H2b1</v>
      </c>
      <c r="O2311">
        <v>1.7632891E7</v>
      </c>
      <c r="P2311">
        <v>1.5521011E7</v>
      </c>
      <c r="Q2311" t="s">
        <v>423</v>
      </c>
      <c r="R2311" s="5"/>
      <c r="S2311" s="5"/>
      <c r="T2311" s="5"/>
      <c r="U2311" s="5"/>
      <c r="V2311" s="5"/>
      <c r="W2311" s="5"/>
      <c r="X2311" s="5"/>
      <c r="Y2311" s="5"/>
      <c r="Z2311" s="5"/>
      <c r="AA2311" s="5"/>
      <c r="AB2311" s="5"/>
      <c r="AC2311" s="5"/>
      <c r="AD2311" s="5"/>
      <c r="AE2311" s="5"/>
      <c r="AF2311" s="5"/>
      <c r="AG2311" s="5"/>
    </row>
    <row r="2312" ht="15.75" customHeight="1">
      <c r="K2312" t="s">
        <v>3999</v>
      </c>
      <c r="L2312" t="str">
        <f>D159</f>
        <v>H2b1</v>
      </c>
      <c r="O2312">
        <v>1.798662E7</v>
      </c>
      <c r="P2312">
        <v>1.587474E7</v>
      </c>
      <c r="Q2312" t="s">
        <v>435</v>
      </c>
      <c r="R2312" s="5"/>
      <c r="S2312" s="5"/>
      <c r="T2312" s="5"/>
      <c r="U2312" s="5"/>
      <c r="V2312" s="5"/>
      <c r="W2312" s="5"/>
      <c r="X2312" s="5"/>
      <c r="Y2312" s="5"/>
      <c r="Z2312" s="5"/>
      <c r="AA2312" s="5"/>
      <c r="AB2312" s="5"/>
      <c r="AC2312" s="5"/>
      <c r="AD2312" s="5"/>
      <c r="AE2312" s="5"/>
      <c r="AF2312" s="5"/>
      <c r="AG2312" s="5"/>
    </row>
    <row r="2313" ht="15.75" customHeight="1">
      <c r="K2313" t="s">
        <v>4000</v>
      </c>
      <c r="L2313" t="str">
        <f>D159</f>
        <v>H2b1</v>
      </c>
      <c r="O2313">
        <v>1.8406059E7</v>
      </c>
      <c r="P2313">
        <v>1.6294179E7</v>
      </c>
      <c r="Q2313" t="s">
        <v>419</v>
      </c>
      <c r="R2313" s="5"/>
      <c r="S2313" s="5"/>
      <c r="T2313" s="5"/>
      <c r="U2313" s="5"/>
      <c r="V2313" s="5"/>
      <c r="W2313" s="5"/>
      <c r="X2313" s="5"/>
      <c r="Y2313" s="5"/>
      <c r="Z2313" s="5"/>
      <c r="AA2313" s="5"/>
      <c r="AB2313" s="5"/>
      <c r="AC2313" s="5"/>
      <c r="AD2313" s="5"/>
      <c r="AE2313" s="5"/>
      <c r="AF2313" s="5"/>
      <c r="AG2313" s="5"/>
    </row>
    <row r="2314" ht="15.75" customHeight="1">
      <c r="K2314" t="s">
        <v>4001</v>
      </c>
      <c r="L2314" t="str">
        <f>D159</f>
        <v>H2b1</v>
      </c>
      <c r="O2314">
        <v>1.9293262E7</v>
      </c>
      <c r="P2314">
        <v>1.7181382E7</v>
      </c>
      <c r="Q2314" t="s">
        <v>435</v>
      </c>
      <c r="R2314" s="5"/>
      <c r="S2314" s="5"/>
      <c r="T2314" s="5"/>
      <c r="U2314" s="5"/>
      <c r="V2314" s="5"/>
      <c r="W2314" s="5"/>
      <c r="X2314" s="5"/>
      <c r="Y2314" s="5"/>
      <c r="Z2314" s="5"/>
      <c r="AA2314" s="5"/>
      <c r="AB2314" s="5"/>
      <c r="AC2314" s="5"/>
      <c r="AD2314" s="5"/>
      <c r="AE2314" s="5"/>
      <c r="AF2314" s="5"/>
      <c r="AG2314" s="5"/>
    </row>
    <row r="2315" ht="15.75" customHeight="1">
      <c r="K2315" t="s">
        <v>4002</v>
      </c>
      <c r="L2315" t="str">
        <f>D159</f>
        <v>H2b1</v>
      </c>
      <c r="O2315">
        <v>1.9407465E7</v>
      </c>
      <c r="P2315">
        <v>1.7295585E7</v>
      </c>
      <c r="Q2315" t="s">
        <v>473</v>
      </c>
      <c r="R2315" s="5"/>
      <c r="S2315" s="5"/>
      <c r="T2315" s="5"/>
      <c r="U2315" s="5"/>
      <c r="V2315" s="5"/>
      <c r="W2315" s="5"/>
      <c r="X2315" s="5"/>
      <c r="Y2315" s="5"/>
      <c r="Z2315" s="5"/>
      <c r="AA2315" s="5"/>
      <c r="AB2315" s="5"/>
      <c r="AC2315" s="5"/>
      <c r="AD2315" s="5"/>
      <c r="AE2315" s="5"/>
      <c r="AF2315" s="5"/>
      <c r="AG2315" s="5"/>
    </row>
    <row r="2316" ht="15.75" customHeight="1">
      <c r="K2316" t="s">
        <v>4003</v>
      </c>
      <c r="L2316" t="str">
        <f>D159</f>
        <v>H2b1</v>
      </c>
      <c r="N2316" t="s">
        <v>4004</v>
      </c>
      <c r="O2316">
        <v>2.1292218E7</v>
      </c>
      <c r="P2316">
        <v>1.9130332E7</v>
      </c>
      <c r="Q2316" t="s">
        <v>435</v>
      </c>
      <c r="R2316" s="5"/>
      <c r="S2316" s="5"/>
      <c r="T2316" s="5"/>
      <c r="U2316" s="5"/>
      <c r="V2316" s="5"/>
      <c r="W2316" s="5"/>
      <c r="X2316" s="5"/>
      <c r="Y2316" s="5"/>
      <c r="Z2316" s="5"/>
      <c r="AA2316" s="5"/>
      <c r="AB2316" s="5"/>
      <c r="AC2316" s="5"/>
      <c r="AD2316" s="5"/>
      <c r="AE2316" s="5"/>
      <c r="AF2316" s="5"/>
      <c r="AG2316" s="5"/>
    </row>
    <row r="2317" ht="15.75" customHeight="1">
      <c r="K2317" t="s">
        <v>4005</v>
      </c>
      <c r="L2317" t="str">
        <f>D159</f>
        <v>H2b1</v>
      </c>
      <c r="O2317">
        <v>2.1294578E7</v>
      </c>
      <c r="P2317">
        <v>1.9132692E7</v>
      </c>
      <c r="Q2317" t="s">
        <v>423</v>
      </c>
      <c r="R2317" s="5"/>
      <c r="S2317" s="5"/>
      <c r="T2317" s="5"/>
      <c r="U2317" s="5"/>
      <c r="V2317" s="5"/>
      <c r="W2317" s="5"/>
      <c r="X2317" s="5"/>
      <c r="Y2317" s="5"/>
      <c r="Z2317" s="5"/>
      <c r="AA2317" s="5"/>
      <c r="AB2317" s="5"/>
      <c r="AC2317" s="5"/>
      <c r="AD2317" s="5"/>
      <c r="AE2317" s="5"/>
      <c r="AF2317" s="5"/>
      <c r="AG2317" s="5"/>
    </row>
    <row r="2318" ht="15.75" customHeight="1">
      <c r="K2318" t="s">
        <v>4006</v>
      </c>
      <c r="L2318" t="str">
        <f t="shared" ref="L2318:L2319" si="48">D159</f>
        <v>H2b1</v>
      </c>
      <c r="O2318">
        <v>2.3271613E7</v>
      </c>
      <c r="P2318">
        <v>2.1109727E7</v>
      </c>
      <c r="Q2318" t="s">
        <v>419</v>
      </c>
      <c r="R2318" s="5"/>
      <c r="S2318" s="5"/>
      <c r="T2318" s="5"/>
      <c r="U2318" s="5"/>
      <c r="V2318" s="5"/>
      <c r="W2318" s="5"/>
      <c r="X2318" s="5"/>
      <c r="Y2318" s="5"/>
      <c r="Z2318" s="5"/>
      <c r="AA2318" s="5"/>
      <c r="AB2318" s="5"/>
      <c r="AC2318" s="5"/>
      <c r="AD2318" s="5"/>
      <c r="AE2318" s="5"/>
      <c r="AF2318" s="5"/>
      <c r="AG2318" s="5"/>
    </row>
    <row r="2319" ht="15.75" customHeight="1">
      <c r="K2319" t="s">
        <v>4007</v>
      </c>
      <c r="L2319" t="str">
        <f t="shared" si="48"/>
        <v>H2b1~</v>
      </c>
      <c r="O2319">
        <v>1.6809631E7</v>
      </c>
      <c r="P2319">
        <v>1.4697751E7</v>
      </c>
      <c r="Q2319" t="s">
        <v>452</v>
      </c>
      <c r="R2319" s="5"/>
      <c r="S2319" s="5"/>
      <c r="T2319" s="5"/>
      <c r="U2319" s="5"/>
      <c r="V2319" s="5"/>
      <c r="W2319" s="5"/>
      <c r="X2319" s="5"/>
      <c r="Y2319" s="5"/>
      <c r="Z2319" s="5"/>
      <c r="AA2319" s="5"/>
      <c r="AB2319" s="5"/>
      <c r="AC2319" s="5"/>
      <c r="AD2319" s="5"/>
      <c r="AE2319" s="5"/>
      <c r="AF2319" s="5"/>
      <c r="AG2319" s="5"/>
    </row>
    <row r="2320" ht="15.75" customHeight="1">
      <c r="K2320" t="s">
        <v>4008</v>
      </c>
      <c r="L2320" t="str">
        <f>D160</f>
        <v>H2b1~</v>
      </c>
      <c r="O2320">
        <v>1.7313972E7</v>
      </c>
      <c r="P2320">
        <v>1.5202092E7</v>
      </c>
      <c r="Q2320" t="s">
        <v>435</v>
      </c>
      <c r="R2320" s="5"/>
      <c r="S2320" s="5"/>
      <c r="T2320" s="5"/>
      <c r="U2320" s="5"/>
      <c r="V2320" s="5"/>
      <c r="W2320" s="5"/>
      <c r="X2320" s="5"/>
      <c r="Y2320" s="5"/>
      <c r="Z2320" s="5"/>
      <c r="AA2320" s="5"/>
      <c r="AB2320" s="5"/>
      <c r="AC2320" s="5"/>
      <c r="AD2320" s="5"/>
      <c r="AE2320" s="5"/>
      <c r="AF2320" s="5"/>
      <c r="AG2320" s="5"/>
    </row>
    <row r="2321" ht="15.75" customHeight="1">
      <c r="K2321" t="s">
        <v>4009</v>
      </c>
      <c r="L2321" t="str">
        <f>D160</f>
        <v>H2b1~</v>
      </c>
      <c r="O2321">
        <v>1.947083E7</v>
      </c>
      <c r="P2321">
        <v>1.735895E7</v>
      </c>
      <c r="Q2321" t="s">
        <v>427</v>
      </c>
      <c r="R2321" s="5"/>
      <c r="S2321" s="5"/>
      <c r="T2321" s="5"/>
      <c r="U2321" s="5"/>
      <c r="V2321" s="5"/>
      <c r="W2321" s="5"/>
      <c r="X2321" s="5"/>
      <c r="Y2321" s="5"/>
      <c r="Z2321" s="5"/>
      <c r="AA2321" s="5"/>
      <c r="AB2321" s="5"/>
      <c r="AC2321" s="5"/>
      <c r="AD2321" s="5"/>
      <c r="AE2321" s="5"/>
      <c r="AF2321" s="5"/>
      <c r="AG2321" s="5"/>
    </row>
    <row r="2322" ht="15.75" customHeight="1">
      <c r="K2322" t="s">
        <v>4010</v>
      </c>
      <c r="L2322" t="str">
        <f>D160</f>
        <v>H2b1~</v>
      </c>
      <c r="O2322">
        <v>8770794.0</v>
      </c>
      <c r="P2322">
        <v>8902753.0</v>
      </c>
      <c r="Q2322" t="s">
        <v>419</v>
      </c>
      <c r="R2322" s="5"/>
      <c r="S2322" s="5"/>
      <c r="T2322" s="5"/>
      <c r="U2322" s="5"/>
      <c r="V2322" s="5"/>
      <c r="W2322" s="5"/>
      <c r="X2322" s="5"/>
      <c r="Y2322" s="5"/>
      <c r="Z2322" s="5"/>
      <c r="AA2322" s="5"/>
      <c r="AB2322" s="5"/>
      <c r="AC2322" s="5"/>
      <c r="AD2322" s="5"/>
      <c r="AE2322" s="5"/>
      <c r="AF2322" s="5"/>
      <c r="AG2322" s="5"/>
    </row>
    <row r="2323" ht="15.75" customHeight="1">
      <c r="K2323" t="s">
        <v>4011</v>
      </c>
      <c r="L2323" t="str">
        <f>E161</f>
        <v>H2b1a~</v>
      </c>
      <c r="O2323">
        <v>2872531.0</v>
      </c>
      <c r="P2323">
        <v>3004490.0</v>
      </c>
      <c r="Q2323" t="s">
        <v>553</v>
      </c>
      <c r="R2323" s="5"/>
      <c r="S2323" s="5"/>
      <c r="T2323" s="5"/>
      <c r="U2323" s="5"/>
      <c r="V2323" s="5"/>
      <c r="W2323" s="5"/>
      <c r="X2323" s="5"/>
      <c r="Y2323" s="5"/>
      <c r="Z2323" s="5"/>
      <c r="AA2323" s="5"/>
      <c r="AB2323" s="5"/>
      <c r="AC2323" s="5"/>
      <c r="AD2323" s="5"/>
      <c r="AE2323" s="5"/>
      <c r="AF2323" s="5"/>
      <c r="AG2323" s="5"/>
    </row>
    <row r="2324" ht="15.75" customHeight="1">
      <c r="K2324" t="s">
        <v>4012</v>
      </c>
      <c r="L2324" t="str">
        <f>E161</f>
        <v>H2b1a~</v>
      </c>
      <c r="O2324">
        <v>7144943.0</v>
      </c>
      <c r="P2324">
        <v>7276902.0</v>
      </c>
      <c r="Q2324" t="s">
        <v>525</v>
      </c>
      <c r="R2324" s="5"/>
      <c r="S2324" s="5"/>
      <c r="T2324" s="5"/>
      <c r="U2324" s="5"/>
      <c r="V2324" s="5"/>
      <c r="W2324" s="5"/>
      <c r="X2324" s="5"/>
      <c r="Y2324" s="5"/>
      <c r="Z2324" s="5"/>
      <c r="AA2324" s="5"/>
      <c r="AB2324" s="5"/>
      <c r="AC2324" s="5"/>
      <c r="AD2324" s="5"/>
      <c r="AE2324" s="5"/>
      <c r="AF2324" s="5"/>
      <c r="AG2324" s="5"/>
    </row>
    <row r="2325" ht="15.75" customHeight="1">
      <c r="K2325" t="s">
        <v>4013</v>
      </c>
      <c r="L2325" t="str">
        <f>E161</f>
        <v>H2b1a~</v>
      </c>
      <c r="O2325">
        <v>7206154.0</v>
      </c>
      <c r="P2325">
        <v>7338113.0</v>
      </c>
      <c r="Q2325" t="s">
        <v>419</v>
      </c>
      <c r="R2325" s="5"/>
      <c r="S2325" s="5"/>
      <c r="T2325" s="5"/>
      <c r="U2325" s="5"/>
      <c r="V2325" s="5"/>
      <c r="W2325" s="5"/>
      <c r="X2325" s="5"/>
      <c r="Y2325" s="5"/>
      <c r="Z2325" s="5"/>
      <c r="AA2325" s="5"/>
      <c r="AB2325" s="5"/>
      <c r="AC2325" s="5"/>
      <c r="AD2325" s="5"/>
      <c r="AE2325" s="5"/>
      <c r="AF2325" s="5"/>
      <c r="AG2325" s="5"/>
    </row>
    <row r="2326" ht="15.75" customHeight="1">
      <c r="K2326" t="s">
        <v>4014</v>
      </c>
      <c r="L2326" t="str">
        <f>E161</f>
        <v>H2b1a~</v>
      </c>
      <c r="O2326">
        <v>7251635.0</v>
      </c>
      <c r="P2326">
        <v>7383594.0</v>
      </c>
      <c r="Q2326" t="s">
        <v>419</v>
      </c>
      <c r="R2326" s="5"/>
      <c r="S2326" s="5"/>
      <c r="T2326" s="5"/>
      <c r="U2326" s="5"/>
      <c r="V2326" s="5"/>
      <c r="W2326" s="5"/>
      <c r="X2326" s="5"/>
      <c r="Y2326" s="5"/>
      <c r="Z2326" s="5"/>
      <c r="AA2326" s="5"/>
      <c r="AB2326" s="5"/>
      <c r="AC2326" s="5"/>
      <c r="AD2326" s="5"/>
      <c r="AE2326" s="5"/>
      <c r="AF2326" s="5"/>
      <c r="AG2326" s="5"/>
    </row>
    <row r="2327" ht="15.75" customHeight="1">
      <c r="K2327" t="s">
        <v>4015</v>
      </c>
      <c r="L2327" t="str">
        <f t="shared" ref="L2327:L2328" si="49">E161</f>
        <v>H2b1a~</v>
      </c>
      <c r="O2327">
        <v>7434407.0</v>
      </c>
      <c r="P2327">
        <v>7566366.0</v>
      </c>
      <c r="Q2327" t="s">
        <v>525</v>
      </c>
      <c r="R2327" s="5"/>
      <c r="S2327" s="5"/>
      <c r="T2327" s="5"/>
      <c r="U2327" s="5"/>
      <c r="V2327" s="5"/>
      <c r="W2327" s="5"/>
      <c r="X2327" s="5"/>
      <c r="Y2327" s="5"/>
      <c r="Z2327" s="5"/>
      <c r="AA2327" s="5"/>
      <c r="AB2327" s="5"/>
      <c r="AC2327" s="5"/>
      <c r="AD2327" s="5"/>
      <c r="AE2327" s="5"/>
      <c r="AF2327" s="5"/>
      <c r="AG2327" s="5"/>
    </row>
    <row r="2328" ht="15.75" customHeight="1">
      <c r="K2328" t="s">
        <v>4016</v>
      </c>
      <c r="L2328" t="str">
        <f t="shared" si="49"/>
        <v>H2b1b~</v>
      </c>
      <c r="O2328">
        <v>6667632.0</v>
      </c>
      <c r="P2328">
        <v>6799591.0</v>
      </c>
      <c r="Q2328" t="s">
        <v>435</v>
      </c>
      <c r="R2328" s="5"/>
      <c r="S2328" s="5"/>
      <c r="T2328" s="5"/>
      <c r="U2328" s="5"/>
      <c r="V2328" s="5"/>
      <c r="W2328" s="5"/>
      <c r="X2328" s="5"/>
      <c r="Y2328" s="5"/>
      <c r="Z2328" s="5"/>
      <c r="AA2328" s="5"/>
      <c r="AB2328" s="5"/>
      <c r="AC2328" s="5"/>
      <c r="AD2328" s="5"/>
      <c r="AE2328" s="5"/>
      <c r="AF2328" s="5"/>
      <c r="AG2328" s="5"/>
    </row>
    <row r="2329" ht="15.75" customHeight="1">
      <c r="K2329" t="s">
        <v>4017</v>
      </c>
      <c r="L2329" t="str">
        <f>E162</f>
        <v>H2b1b~</v>
      </c>
      <c r="O2329">
        <v>6733694.0</v>
      </c>
      <c r="P2329">
        <v>6865653.0</v>
      </c>
      <c r="Q2329" t="s">
        <v>423</v>
      </c>
      <c r="R2329" s="5"/>
      <c r="S2329" s="5"/>
      <c r="T2329" s="5"/>
      <c r="U2329" s="5"/>
      <c r="V2329" s="5"/>
      <c r="W2329" s="5"/>
      <c r="X2329" s="5"/>
      <c r="Y2329" s="5"/>
      <c r="Z2329" s="5"/>
      <c r="AA2329" s="5"/>
      <c r="AB2329" s="5"/>
      <c r="AC2329" s="5"/>
      <c r="AD2329" s="5"/>
      <c r="AE2329" s="5"/>
      <c r="AF2329" s="5"/>
      <c r="AG2329" s="5"/>
    </row>
    <row r="2330" ht="15.75" customHeight="1">
      <c r="K2330" t="s">
        <v>4018</v>
      </c>
      <c r="L2330" t="str">
        <f>E162</f>
        <v>H2b1b~</v>
      </c>
      <c r="O2330">
        <v>6835685.0</v>
      </c>
      <c r="P2330">
        <v>6967644.0</v>
      </c>
      <c r="Q2330" t="s">
        <v>459</v>
      </c>
      <c r="R2330" s="5"/>
      <c r="S2330" s="5"/>
      <c r="T2330" s="5"/>
      <c r="U2330" s="5"/>
      <c r="V2330" s="5"/>
      <c r="W2330" s="5"/>
      <c r="X2330" s="5"/>
      <c r="Y2330" s="5"/>
      <c r="Z2330" s="5"/>
      <c r="AA2330" s="5"/>
      <c r="AB2330" s="5"/>
      <c r="AC2330" s="5"/>
      <c r="AD2330" s="5"/>
      <c r="AE2330" s="5"/>
      <c r="AF2330" s="5"/>
      <c r="AG2330" s="5"/>
    </row>
    <row r="2331" ht="15.75" customHeight="1">
      <c r="K2331" t="s">
        <v>4019</v>
      </c>
      <c r="L2331" t="str">
        <f>E162</f>
        <v>H2b1b~</v>
      </c>
      <c r="O2331">
        <v>6860139.0</v>
      </c>
      <c r="P2331">
        <v>6992098.0</v>
      </c>
      <c r="Q2331" t="s">
        <v>435</v>
      </c>
      <c r="R2331" s="5"/>
      <c r="S2331" s="5"/>
      <c r="T2331" s="5"/>
      <c r="U2331" s="5"/>
      <c r="V2331" s="5"/>
      <c r="W2331" s="5"/>
      <c r="X2331" s="5"/>
      <c r="Y2331" s="5"/>
      <c r="Z2331" s="5"/>
      <c r="AA2331" s="5"/>
      <c r="AB2331" s="5"/>
      <c r="AC2331" s="5"/>
      <c r="AD2331" s="5"/>
      <c r="AE2331" s="5"/>
      <c r="AF2331" s="5"/>
      <c r="AG2331" s="5"/>
    </row>
    <row r="2332" ht="15.75" customHeight="1">
      <c r="K2332" t="s">
        <v>4020</v>
      </c>
      <c r="L2332" t="str">
        <f>E162</f>
        <v>H2b1b~</v>
      </c>
      <c r="O2332">
        <v>6861702.0</v>
      </c>
      <c r="P2332">
        <v>6993661.0</v>
      </c>
      <c r="Q2332" t="s">
        <v>427</v>
      </c>
      <c r="R2332" s="5"/>
      <c r="S2332" s="5"/>
      <c r="T2332" s="5"/>
      <c r="U2332" s="5"/>
      <c r="V2332" s="5"/>
      <c r="W2332" s="5"/>
      <c r="X2332" s="5"/>
      <c r="Y2332" s="5"/>
      <c r="Z2332" s="5"/>
      <c r="AA2332" s="5"/>
      <c r="AB2332" s="5"/>
      <c r="AC2332" s="5"/>
      <c r="AD2332" s="5"/>
      <c r="AE2332" s="5"/>
      <c r="AF2332" s="5"/>
      <c r="AG2332" s="5"/>
    </row>
    <row r="2333" ht="15.75" customHeight="1">
      <c r="K2333" t="s">
        <v>4021</v>
      </c>
      <c r="L2333" t="str">
        <f>D163</f>
        <v>H2b2~</v>
      </c>
      <c r="O2333">
        <v>2717727.0</v>
      </c>
      <c r="P2333">
        <v>2849686.0</v>
      </c>
      <c r="Q2333" t="s">
        <v>448</v>
      </c>
      <c r="R2333" s="5"/>
      <c r="S2333" s="5"/>
      <c r="T2333" s="5"/>
      <c r="U2333" s="5"/>
      <c r="V2333" s="5"/>
      <c r="W2333" s="5"/>
      <c r="X2333" s="5"/>
      <c r="Y2333" s="5"/>
      <c r="Z2333" s="5"/>
      <c r="AA2333" s="5"/>
      <c r="AB2333" s="5"/>
      <c r="AC2333" s="5"/>
      <c r="AD2333" s="5"/>
      <c r="AE2333" s="5"/>
      <c r="AF2333" s="5"/>
      <c r="AG2333" s="5"/>
    </row>
    <row r="2334" ht="15.75" customHeight="1">
      <c r="K2334" t="s">
        <v>4022</v>
      </c>
      <c r="L2334" t="str">
        <f>D163</f>
        <v>H2b2~</v>
      </c>
      <c r="O2334">
        <v>2752264.0</v>
      </c>
      <c r="P2334">
        <v>2884223.0</v>
      </c>
      <c r="Q2334" t="s">
        <v>435</v>
      </c>
      <c r="R2334" s="5"/>
      <c r="S2334" s="5"/>
      <c r="T2334" s="5"/>
      <c r="U2334" s="5"/>
      <c r="V2334" s="5"/>
      <c r="W2334" s="5"/>
      <c r="X2334" s="5"/>
      <c r="Y2334" s="5"/>
      <c r="Z2334" s="5"/>
      <c r="AA2334" s="5"/>
      <c r="AB2334" s="5"/>
      <c r="AC2334" s="5"/>
      <c r="AD2334" s="5"/>
      <c r="AE2334" s="5"/>
      <c r="AF2334" s="5"/>
      <c r="AG2334" s="5"/>
    </row>
    <row r="2335" ht="15.75" customHeight="1">
      <c r="K2335" t="s">
        <v>4023</v>
      </c>
      <c r="L2335" t="str">
        <f>D163</f>
        <v>H2b2~</v>
      </c>
      <c r="O2335">
        <v>2795512.0</v>
      </c>
      <c r="P2335">
        <v>2927471.0</v>
      </c>
      <c r="Q2335" t="s">
        <v>431</v>
      </c>
      <c r="R2335" s="5"/>
      <c r="S2335" s="5"/>
      <c r="T2335" s="5"/>
      <c r="U2335" s="5"/>
      <c r="V2335" s="5"/>
      <c r="W2335" s="5"/>
      <c r="X2335" s="5"/>
      <c r="Y2335" s="5"/>
      <c r="Z2335" s="5"/>
      <c r="AA2335" s="5"/>
      <c r="AB2335" s="5"/>
      <c r="AC2335" s="5"/>
      <c r="AD2335" s="5"/>
      <c r="AE2335" s="5"/>
      <c r="AF2335" s="5"/>
      <c r="AG2335" s="5"/>
    </row>
    <row r="2336" ht="15.75" customHeight="1">
      <c r="K2336" t="s">
        <v>4024</v>
      </c>
      <c r="L2336" t="str">
        <f>D163</f>
        <v>H2b2~</v>
      </c>
      <c r="O2336">
        <v>6670036.0</v>
      </c>
      <c r="P2336">
        <v>6801995.0</v>
      </c>
      <c r="Q2336" t="s">
        <v>476</v>
      </c>
      <c r="R2336" s="5"/>
      <c r="S2336" s="5"/>
      <c r="T2336" s="5"/>
      <c r="U2336" s="5"/>
      <c r="V2336" s="5"/>
      <c r="W2336" s="5"/>
      <c r="X2336" s="5"/>
      <c r="Y2336" s="5"/>
      <c r="Z2336" s="5"/>
      <c r="AA2336" s="5"/>
      <c r="AB2336" s="5"/>
      <c r="AC2336" s="5"/>
      <c r="AD2336" s="5"/>
      <c r="AE2336" s="5"/>
      <c r="AF2336" s="5"/>
      <c r="AG2336" s="5"/>
    </row>
    <row r="2337" ht="15.75" customHeight="1">
      <c r="K2337" t="s">
        <v>4025</v>
      </c>
      <c r="L2337" t="str">
        <f>D163</f>
        <v>H2b2~</v>
      </c>
      <c r="O2337">
        <v>6670177.0</v>
      </c>
      <c r="P2337">
        <v>6802136.0</v>
      </c>
      <c r="Q2337" t="s">
        <v>431</v>
      </c>
      <c r="R2337" s="5"/>
      <c r="S2337" s="5"/>
      <c r="T2337" s="5"/>
      <c r="U2337" s="5"/>
      <c r="V2337" s="5"/>
      <c r="W2337" s="5"/>
      <c r="X2337" s="5"/>
      <c r="Y2337" s="5"/>
      <c r="Z2337" s="5"/>
      <c r="AA2337" s="5"/>
      <c r="AB2337" s="5"/>
      <c r="AC2337" s="5"/>
      <c r="AD2337" s="5"/>
      <c r="AE2337" s="5"/>
      <c r="AF2337" s="5"/>
      <c r="AG2337" s="5"/>
    </row>
    <row r="2338" ht="15.75" customHeight="1">
      <c r="K2338" t="s">
        <v>4026</v>
      </c>
      <c r="L2338" t="str">
        <f>C164</f>
        <v>H2c~</v>
      </c>
      <c r="O2338">
        <v>8885133.0</v>
      </c>
      <c r="P2338">
        <v>9017092.0</v>
      </c>
      <c r="Q2338" t="s">
        <v>476</v>
      </c>
      <c r="R2338" s="5"/>
      <c r="S2338" s="5"/>
      <c r="T2338" s="5"/>
      <c r="U2338" s="5"/>
      <c r="V2338" s="5"/>
      <c r="W2338" s="5"/>
      <c r="X2338" s="5"/>
      <c r="Y2338" s="5"/>
      <c r="Z2338" s="5"/>
      <c r="AA2338" s="5"/>
      <c r="AB2338" s="5"/>
      <c r="AC2338" s="5"/>
      <c r="AD2338" s="5"/>
      <c r="AE2338" s="5"/>
      <c r="AF2338" s="5"/>
      <c r="AG2338" s="5"/>
    </row>
    <row r="2339" ht="15.75" customHeight="1">
      <c r="K2339" t="s">
        <v>4027</v>
      </c>
      <c r="L2339" t="str">
        <f>C164</f>
        <v>H2c~</v>
      </c>
      <c r="N2339" t="s">
        <v>4028</v>
      </c>
      <c r="O2339">
        <v>1.5993375E7</v>
      </c>
      <c r="P2339">
        <v>1.3881495E7</v>
      </c>
      <c r="Q2339" t="s">
        <v>431</v>
      </c>
      <c r="R2339" s="5"/>
      <c r="S2339" s="5"/>
      <c r="T2339" s="5"/>
      <c r="U2339" s="5"/>
      <c r="V2339" s="5"/>
      <c r="W2339" s="5"/>
      <c r="X2339" s="5"/>
      <c r="Y2339" s="5"/>
      <c r="Z2339" s="5"/>
      <c r="AA2339" s="5"/>
      <c r="AB2339" s="5"/>
      <c r="AC2339" s="5"/>
      <c r="AD2339" s="5"/>
      <c r="AE2339" s="5"/>
      <c r="AF2339" s="5"/>
      <c r="AG2339" s="5"/>
    </row>
    <row r="2340" ht="15.75" customHeight="1">
      <c r="K2340" t="s">
        <v>4029</v>
      </c>
      <c r="L2340" t="str">
        <f>D165</f>
        <v>H2c1~</v>
      </c>
      <c r="N2340" t="s">
        <v>4030</v>
      </c>
      <c r="O2340">
        <v>1.36526E7</v>
      </c>
      <c r="P2340">
        <v>1.1496924E7</v>
      </c>
      <c r="Q2340" t="s">
        <v>419</v>
      </c>
      <c r="R2340" s="5"/>
      <c r="S2340" s="5"/>
      <c r="T2340" s="5"/>
      <c r="U2340" s="5"/>
      <c r="V2340" s="5"/>
      <c r="W2340" s="5"/>
      <c r="X2340" s="5"/>
      <c r="Y2340" s="5"/>
      <c r="Z2340" s="5"/>
      <c r="AA2340" s="5"/>
      <c r="AB2340" s="5"/>
      <c r="AC2340" s="5"/>
      <c r="AD2340" s="5"/>
      <c r="AE2340" s="5"/>
      <c r="AF2340" s="5"/>
      <c r="AG2340" s="5"/>
    </row>
    <row r="2341" ht="15.75" customHeight="1">
      <c r="K2341" t="s">
        <v>4031</v>
      </c>
      <c r="L2341" t="str">
        <f>E166</f>
        <v>H2c1a~</v>
      </c>
      <c r="N2341" t="s">
        <v>4032</v>
      </c>
      <c r="O2341">
        <v>8482799.0</v>
      </c>
      <c r="P2341">
        <v>8614758.0</v>
      </c>
      <c r="Q2341" t="s">
        <v>476</v>
      </c>
      <c r="R2341" s="5"/>
      <c r="S2341" s="5"/>
      <c r="T2341" s="5"/>
      <c r="U2341" s="5"/>
      <c r="V2341" s="5"/>
      <c r="W2341" s="5"/>
      <c r="X2341" s="5"/>
      <c r="Y2341" s="5"/>
      <c r="Z2341" s="5"/>
      <c r="AA2341" s="5"/>
      <c r="AB2341" s="5"/>
      <c r="AC2341" s="5"/>
      <c r="AD2341" s="5"/>
      <c r="AE2341" s="5"/>
      <c r="AF2341" s="5"/>
      <c r="AG2341" s="5"/>
    </row>
    <row r="2342" ht="15.75" customHeight="1">
      <c r="K2342" t="s">
        <v>4033</v>
      </c>
      <c r="L2342" t="str">
        <f>E166</f>
        <v>H2c1a~</v>
      </c>
      <c r="N2342" t="s">
        <v>4034</v>
      </c>
      <c r="O2342">
        <v>2.4442529E7</v>
      </c>
      <c r="P2342">
        <v>2.2296382E7</v>
      </c>
      <c r="Q2342" t="s">
        <v>459</v>
      </c>
      <c r="R2342" s="5"/>
      <c r="S2342" s="5"/>
      <c r="T2342" s="5"/>
      <c r="U2342" s="5"/>
      <c r="V2342" s="5"/>
      <c r="W2342" s="5"/>
      <c r="X2342" s="5"/>
      <c r="Y2342" s="5"/>
      <c r="Z2342" s="5"/>
      <c r="AA2342" s="5"/>
      <c r="AB2342" s="5"/>
      <c r="AC2342" s="5"/>
      <c r="AD2342" s="5"/>
      <c r="AE2342" s="5"/>
      <c r="AF2342" s="5"/>
      <c r="AG2342" s="5"/>
    </row>
    <row r="2343" ht="15.75" customHeight="1">
      <c r="K2343" t="s">
        <v>4035</v>
      </c>
      <c r="L2343" t="str">
        <f>E166</f>
        <v>H2c1a~</v>
      </c>
      <c r="N2343" t="s">
        <v>4036</v>
      </c>
      <c r="O2343">
        <v>6779105.0</v>
      </c>
      <c r="P2343">
        <v>6911064.0</v>
      </c>
      <c r="Q2343" t="s">
        <v>419</v>
      </c>
      <c r="R2343" s="5"/>
      <c r="S2343" s="5"/>
      <c r="T2343" s="5"/>
      <c r="U2343" s="5"/>
      <c r="V2343" s="5"/>
      <c r="W2343" s="5"/>
      <c r="X2343" s="5"/>
      <c r="Y2343" s="5"/>
      <c r="Z2343" s="5"/>
      <c r="AA2343" s="5"/>
      <c r="AB2343" s="5"/>
      <c r="AC2343" s="5"/>
      <c r="AD2343" s="5"/>
      <c r="AE2343" s="5"/>
      <c r="AF2343" s="5"/>
      <c r="AG2343" s="5"/>
    </row>
    <row r="2344" ht="15.75" customHeight="1">
      <c r="K2344" t="s">
        <v>4037</v>
      </c>
      <c r="L2344" t="str">
        <f>E166</f>
        <v>H2c1a~</v>
      </c>
      <c r="O2344">
        <v>1.4082602E7</v>
      </c>
      <c r="P2344">
        <v>1.1961896E7</v>
      </c>
      <c r="Q2344" t="s">
        <v>525</v>
      </c>
      <c r="R2344" s="5"/>
      <c r="S2344" s="5"/>
      <c r="T2344" s="5"/>
      <c r="U2344" s="5"/>
      <c r="V2344" s="5"/>
      <c r="W2344" s="5"/>
      <c r="X2344" s="5"/>
      <c r="Y2344" s="5"/>
      <c r="Z2344" s="5"/>
      <c r="AA2344" s="5"/>
      <c r="AB2344" s="5"/>
      <c r="AC2344" s="5"/>
      <c r="AD2344" s="5"/>
      <c r="AE2344" s="5"/>
      <c r="AF2344" s="5"/>
      <c r="AG2344" s="5"/>
    </row>
    <row r="2345" ht="15.75" customHeight="1">
      <c r="K2345" t="s">
        <v>4038</v>
      </c>
      <c r="L2345" t="str">
        <f>E166</f>
        <v>H2c1a~</v>
      </c>
      <c r="N2345" t="s">
        <v>4039</v>
      </c>
      <c r="O2345">
        <v>1.6340821E7</v>
      </c>
      <c r="P2345">
        <v>1.4228941E7</v>
      </c>
      <c r="Q2345" t="s">
        <v>452</v>
      </c>
      <c r="R2345" s="5"/>
      <c r="S2345" s="5"/>
      <c r="T2345" s="5"/>
      <c r="U2345" s="5"/>
      <c r="V2345" s="5"/>
      <c r="W2345" s="5"/>
      <c r="X2345" s="5"/>
      <c r="Y2345" s="5"/>
      <c r="Z2345" s="5"/>
      <c r="AA2345" s="5"/>
      <c r="AB2345" s="5"/>
      <c r="AC2345" s="5"/>
      <c r="AD2345" s="5"/>
      <c r="AE2345" s="5"/>
      <c r="AF2345" s="5"/>
      <c r="AG2345" s="5"/>
    </row>
    <row r="2346" ht="15.75" customHeight="1">
      <c r="K2346" t="s">
        <v>4040</v>
      </c>
      <c r="L2346" t="str">
        <f>E166</f>
        <v>H2c1a~</v>
      </c>
      <c r="N2346" t="s">
        <v>4041</v>
      </c>
      <c r="O2346">
        <v>2.1073452E7</v>
      </c>
      <c r="P2346">
        <v>1.8911566E7</v>
      </c>
      <c r="Q2346" t="s">
        <v>423</v>
      </c>
      <c r="R2346" s="5"/>
      <c r="S2346" s="5"/>
      <c r="T2346" s="5"/>
      <c r="U2346" s="5"/>
      <c r="V2346" s="5"/>
      <c r="W2346" s="5"/>
      <c r="X2346" s="5"/>
      <c r="Y2346" s="5"/>
      <c r="Z2346" s="5"/>
      <c r="AA2346" s="5"/>
      <c r="AB2346" s="5"/>
      <c r="AC2346" s="5"/>
      <c r="AD2346" s="5"/>
      <c r="AE2346" s="5"/>
      <c r="AF2346" s="5"/>
      <c r="AG2346" s="5"/>
    </row>
    <row r="2347" ht="15.75" customHeight="1">
      <c r="K2347" t="s">
        <v>4042</v>
      </c>
      <c r="L2347" t="str">
        <f>E166</f>
        <v>H2c1a~</v>
      </c>
      <c r="N2347" t="s">
        <v>4043</v>
      </c>
      <c r="O2347">
        <v>1.6904259E7</v>
      </c>
      <c r="P2347">
        <v>1.4792379E7</v>
      </c>
      <c r="Q2347" t="s">
        <v>423</v>
      </c>
      <c r="R2347" s="5"/>
      <c r="S2347" s="5"/>
      <c r="T2347" s="5"/>
      <c r="U2347" s="5"/>
      <c r="V2347" s="5"/>
      <c r="W2347" s="5"/>
      <c r="X2347" s="5"/>
      <c r="Y2347" s="5"/>
      <c r="Z2347" s="5"/>
      <c r="AA2347" s="5"/>
      <c r="AB2347" s="5"/>
      <c r="AC2347" s="5"/>
      <c r="AD2347" s="5"/>
      <c r="AE2347" s="5"/>
      <c r="AF2347" s="5"/>
      <c r="AG2347" s="5"/>
    </row>
    <row r="2348" ht="15.75" customHeight="1">
      <c r="K2348" t="s">
        <v>4044</v>
      </c>
      <c r="L2348" t="str">
        <f>E166</f>
        <v>H2c1a~</v>
      </c>
      <c r="N2348" t="s">
        <v>4045</v>
      </c>
      <c r="O2348">
        <v>7894224.0</v>
      </c>
      <c r="P2348">
        <v>8026183.0</v>
      </c>
      <c r="Q2348" t="s">
        <v>427</v>
      </c>
      <c r="R2348" s="5"/>
      <c r="S2348" s="5"/>
      <c r="T2348" s="5"/>
      <c r="U2348" s="5"/>
      <c r="V2348" s="5"/>
      <c r="W2348" s="5"/>
      <c r="X2348" s="5"/>
      <c r="Y2348" s="5"/>
      <c r="Z2348" s="5"/>
      <c r="AA2348" s="5"/>
      <c r="AB2348" s="5"/>
      <c r="AC2348" s="5"/>
      <c r="AD2348" s="5"/>
      <c r="AE2348" s="5"/>
      <c r="AF2348" s="5"/>
      <c r="AG2348" s="5"/>
    </row>
    <row r="2349" ht="15.75" customHeight="1">
      <c r="K2349" t="s">
        <v>4046</v>
      </c>
      <c r="L2349" t="str">
        <f>E166</f>
        <v>H2c1a~</v>
      </c>
      <c r="N2349" t="s">
        <v>4047</v>
      </c>
      <c r="O2349">
        <v>7907960.0</v>
      </c>
      <c r="P2349">
        <v>8039919.0</v>
      </c>
      <c r="Q2349" t="s">
        <v>525</v>
      </c>
      <c r="R2349" s="5"/>
      <c r="S2349" s="5"/>
      <c r="T2349" s="5"/>
      <c r="U2349" s="5"/>
      <c r="V2349" s="5"/>
      <c r="W2349" s="5"/>
      <c r="X2349" s="5"/>
      <c r="Y2349" s="5"/>
      <c r="Z2349" s="5"/>
      <c r="AA2349" s="5"/>
      <c r="AB2349" s="5"/>
      <c r="AC2349" s="5"/>
      <c r="AD2349" s="5"/>
      <c r="AE2349" s="5"/>
      <c r="AF2349" s="5"/>
      <c r="AG2349" s="5"/>
    </row>
    <row r="2350" ht="15.75" customHeight="1">
      <c r="K2350" t="s">
        <v>4048</v>
      </c>
      <c r="L2350" t="str">
        <f>E166</f>
        <v>H2c1a~</v>
      </c>
      <c r="N2350" t="s">
        <v>4049</v>
      </c>
      <c r="O2350">
        <v>7726624.0</v>
      </c>
      <c r="P2350">
        <v>7858583.0</v>
      </c>
      <c r="Q2350" t="s">
        <v>435</v>
      </c>
      <c r="R2350" s="5"/>
      <c r="S2350" s="5"/>
      <c r="T2350" s="5"/>
      <c r="U2350" s="5"/>
      <c r="V2350" s="5"/>
      <c r="W2350" s="5"/>
      <c r="X2350" s="5"/>
      <c r="Y2350" s="5"/>
      <c r="Z2350" s="5"/>
      <c r="AA2350" s="5"/>
      <c r="AB2350" s="5"/>
      <c r="AC2350" s="5"/>
      <c r="AD2350" s="5"/>
      <c r="AE2350" s="5"/>
      <c r="AF2350" s="5"/>
      <c r="AG2350" s="5"/>
    </row>
    <row r="2351" ht="15.75" customHeight="1">
      <c r="K2351" t="s">
        <v>4050</v>
      </c>
      <c r="L2351" t="str">
        <f>E166</f>
        <v>H2c1a~</v>
      </c>
      <c r="N2351" t="s">
        <v>4051</v>
      </c>
      <c r="O2351">
        <v>8312337.0</v>
      </c>
      <c r="P2351">
        <v>8444296.0</v>
      </c>
      <c r="Q2351" t="s">
        <v>431</v>
      </c>
      <c r="R2351" s="5"/>
      <c r="S2351" s="5"/>
      <c r="T2351" s="5"/>
      <c r="U2351" s="5"/>
      <c r="V2351" s="5"/>
      <c r="W2351" s="5"/>
      <c r="X2351" s="5"/>
      <c r="Y2351" s="5"/>
      <c r="Z2351" s="5"/>
      <c r="AA2351" s="5"/>
      <c r="AB2351" s="5"/>
      <c r="AC2351" s="5"/>
      <c r="AD2351" s="5"/>
      <c r="AE2351" s="5"/>
      <c r="AF2351" s="5"/>
      <c r="AG2351" s="5"/>
    </row>
    <row r="2352" ht="15.75" customHeight="1">
      <c r="K2352" t="s">
        <v>4026</v>
      </c>
      <c r="L2352" t="str">
        <f>E166</f>
        <v>H2c1a~</v>
      </c>
      <c r="O2352">
        <v>8885133.0</v>
      </c>
      <c r="P2352">
        <v>9017092.0</v>
      </c>
      <c r="Q2352" t="s">
        <v>476</v>
      </c>
      <c r="R2352" s="5"/>
      <c r="S2352" s="5"/>
      <c r="T2352" s="5"/>
      <c r="U2352" s="5"/>
      <c r="V2352" s="5"/>
      <c r="W2352" s="5"/>
      <c r="X2352" s="5"/>
      <c r="Y2352" s="5"/>
      <c r="Z2352" s="5"/>
      <c r="AA2352" s="5"/>
      <c r="AB2352" s="5"/>
      <c r="AC2352" s="5"/>
      <c r="AD2352" s="5"/>
      <c r="AE2352" s="5"/>
      <c r="AF2352" s="5"/>
      <c r="AG2352" s="5"/>
    </row>
    <row r="2353" ht="15.75" customHeight="1">
      <c r="K2353" t="s">
        <v>4052</v>
      </c>
      <c r="L2353" t="str">
        <f>E166</f>
        <v>H2c1a~</v>
      </c>
      <c r="O2353">
        <v>9163861.0</v>
      </c>
      <c r="P2353">
        <v>9326252.0</v>
      </c>
      <c r="Q2353" t="s">
        <v>476</v>
      </c>
      <c r="R2353" s="5"/>
      <c r="S2353" s="5"/>
      <c r="T2353" s="5"/>
      <c r="U2353" s="5"/>
      <c r="V2353" s="5"/>
      <c r="W2353" s="5"/>
      <c r="X2353" s="5"/>
      <c r="Y2353" s="5"/>
      <c r="Z2353" s="5"/>
      <c r="AA2353" s="5"/>
      <c r="AB2353" s="5"/>
      <c r="AC2353" s="5"/>
      <c r="AD2353" s="5"/>
      <c r="AE2353" s="5"/>
      <c r="AF2353" s="5"/>
      <c r="AG2353" s="5"/>
    </row>
    <row r="2354" ht="15.75" customHeight="1">
      <c r="K2354" t="s">
        <v>3685</v>
      </c>
      <c r="L2354" t="str">
        <f>E166</f>
        <v>H2c1a~</v>
      </c>
      <c r="O2354">
        <v>9166100.0</v>
      </c>
      <c r="P2354">
        <v>9328491.0</v>
      </c>
      <c r="Q2354" t="s">
        <v>431</v>
      </c>
      <c r="R2354" s="5"/>
      <c r="S2354" s="5"/>
      <c r="T2354" s="5"/>
      <c r="U2354" s="5"/>
      <c r="V2354" s="5"/>
      <c r="W2354" s="5"/>
      <c r="X2354" s="5"/>
      <c r="Y2354" s="5"/>
      <c r="Z2354" s="5"/>
      <c r="AA2354" s="5"/>
      <c r="AB2354" s="5"/>
      <c r="AC2354" s="5"/>
      <c r="AD2354" s="5"/>
      <c r="AE2354" s="5"/>
      <c r="AF2354" s="5"/>
      <c r="AG2354" s="5"/>
    </row>
    <row r="2355" ht="15.75" customHeight="1">
      <c r="K2355" t="s">
        <v>4053</v>
      </c>
      <c r="L2355" t="str">
        <f>E166</f>
        <v>H2c1a~</v>
      </c>
      <c r="N2355" t="s">
        <v>4054</v>
      </c>
      <c r="O2355">
        <v>9425943.0</v>
      </c>
      <c r="P2355">
        <v>9588334.0</v>
      </c>
      <c r="Q2355" t="s">
        <v>419</v>
      </c>
      <c r="R2355" s="5"/>
      <c r="S2355" s="5"/>
      <c r="T2355" s="5"/>
      <c r="U2355" s="5"/>
      <c r="V2355" s="5"/>
      <c r="W2355" s="5"/>
      <c r="X2355" s="5"/>
      <c r="Y2355" s="5"/>
      <c r="Z2355" s="5"/>
      <c r="AA2355" s="5"/>
      <c r="AB2355" s="5"/>
      <c r="AC2355" s="5"/>
      <c r="AD2355" s="5"/>
      <c r="AE2355" s="5"/>
      <c r="AF2355" s="5"/>
      <c r="AG2355" s="5"/>
    </row>
    <row r="2356" ht="15.75" customHeight="1">
      <c r="K2356" t="s">
        <v>4055</v>
      </c>
      <c r="L2356" t="str">
        <f>E166</f>
        <v>H2c1a~</v>
      </c>
      <c r="N2356" t="s">
        <v>4056</v>
      </c>
      <c r="O2356">
        <v>9453581.0</v>
      </c>
      <c r="P2356">
        <v>9615972.0</v>
      </c>
      <c r="Q2356" t="s">
        <v>553</v>
      </c>
      <c r="R2356" s="5"/>
      <c r="S2356" s="5"/>
      <c r="T2356" s="5"/>
      <c r="U2356" s="5"/>
      <c r="V2356" s="5"/>
      <c r="W2356" s="5"/>
      <c r="X2356" s="5"/>
      <c r="Y2356" s="5"/>
      <c r="Z2356" s="5"/>
      <c r="AA2356" s="5"/>
      <c r="AB2356" s="5"/>
      <c r="AC2356" s="5"/>
      <c r="AD2356" s="5"/>
      <c r="AE2356" s="5"/>
      <c r="AF2356" s="5"/>
      <c r="AG2356" s="5"/>
    </row>
    <row r="2357" ht="15.75" customHeight="1">
      <c r="K2357" t="s">
        <v>4057</v>
      </c>
      <c r="L2357" t="str">
        <f>E166</f>
        <v>H2c1a~</v>
      </c>
      <c r="N2357" t="s">
        <v>4058</v>
      </c>
      <c r="O2357">
        <v>1.3807704E7</v>
      </c>
      <c r="P2357">
        <v>1.1686998E7</v>
      </c>
      <c r="Q2357" t="s">
        <v>435</v>
      </c>
      <c r="R2357" s="5"/>
      <c r="S2357" s="5"/>
      <c r="T2357" s="5"/>
      <c r="U2357" s="5"/>
      <c r="V2357" s="5"/>
      <c r="W2357" s="5"/>
      <c r="X2357" s="5"/>
      <c r="Y2357" s="5"/>
      <c r="Z2357" s="5"/>
      <c r="AA2357" s="5"/>
      <c r="AB2357" s="5"/>
      <c r="AC2357" s="5"/>
      <c r="AD2357" s="5"/>
      <c r="AE2357" s="5"/>
      <c r="AF2357" s="5"/>
      <c r="AG2357" s="5"/>
    </row>
    <row r="2358" ht="15.75" customHeight="1">
      <c r="K2358" t="s">
        <v>4059</v>
      </c>
      <c r="L2358" t="str">
        <f>E166</f>
        <v>H2c1a~</v>
      </c>
      <c r="N2358" t="s">
        <v>4060</v>
      </c>
      <c r="O2358">
        <v>1.8004419E7</v>
      </c>
      <c r="P2358">
        <v>1.5892539E7</v>
      </c>
      <c r="Q2358" t="s">
        <v>476</v>
      </c>
      <c r="R2358" s="5"/>
      <c r="S2358" s="5"/>
      <c r="T2358" s="5"/>
      <c r="U2358" s="5"/>
      <c r="V2358" s="5"/>
      <c r="W2358" s="5"/>
      <c r="X2358" s="5"/>
      <c r="Y2358" s="5"/>
      <c r="Z2358" s="5"/>
      <c r="AA2358" s="5"/>
      <c r="AB2358" s="5"/>
      <c r="AC2358" s="5"/>
      <c r="AD2358" s="5"/>
      <c r="AE2358" s="5"/>
      <c r="AF2358" s="5"/>
      <c r="AG2358" s="5"/>
    </row>
    <row r="2359" ht="15.75" customHeight="1">
      <c r="K2359" t="s">
        <v>4061</v>
      </c>
      <c r="L2359" t="str">
        <f>E166</f>
        <v>H2c1a~</v>
      </c>
      <c r="N2359" t="s">
        <v>4062</v>
      </c>
      <c r="O2359">
        <v>2.3604012E7</v>
      </c>
      <c r="P2359">
        <v>2.1442126E7</v>
      </c>
      <c r="Q2359" t="s">
        <v>431</v>
      </c>
      <c r="R2359" s="5"/>
      <c r="S2359" s="5"/>
      <c r="T2359" s="5"/>
      <c r="U2359" s="5"/>
      <c r="V2359" s="5"/>
      <c r="W2359" s="5"/>
      <c r="X2359" s="5"/>
      <c r="Y2359" s="5"/>
      <c r="Z2359" s="5"/>
      <c r="AA2359" s="5"/>
      <c r="AB2359" s="5"/>
      <c r="AC2359" s="5"/>
      <c r="AD2359" s="5"/>
      <c r="AE2359" s="5"/>
      <c r="AF2359" s="5"/>
      <c r="AG2359" s="5"/>
    </row>
    <row r="2360" ht="15.75" customHeight="1">
      <c r="K2360" t="s">
        <v>4063</v>
      </c>
      <c r="L2360" t="str">
        <f>E166</f>
        <v>H2c1a~</v>
      </c>
      <c r="O2360">
        <v>2.37401E7</v>
      </c>
      <c r="P2360">
        <v>2.1578214E7</v>
      </c>
      <c r="Q2360" t="s">
        <v>423</v>
      </c>
      <c r="R2360" s="5"/>
      <c r="S2360" s="5"/>
      <c r="T2360" s="5"/>
      <c r="U2360" s="5"/>
      <c r="V2360" s="5"/>
      <c r="W2360" s="5"/>
      <c r="X2360" s="5"/>
      <c r="Y2360" s="5"/>
      <c r="Z2360" s="5"/>
      <c r="AA2360" s="5"/>
      <c r="AB2360" s="5"/>
      <c r="AC2360" s="5"/>
      <c r="AD2360" s="5"/>
      <c r="AE2360" s="5"/>
      <c r="AF2360" s="5"/>
      <c r="AG2360" s="5"/>
    </row>
    <row r="2361" ht="15.75" customHeight="1">
      <c r="K2361" t="s">
        <v>4064</v>
      </c>
      <c r="L2361" t="str">
        <f>E166</f>
        <v>H2c1a~</v>
      </c>
      <c r="N2361" t="s">
        <v>4065</v>
      </c>
      <c r="O2361">
        <v>2.0811737E7</v>
      </c>
      <c r="P2361">
        <v>1.8649851E7</v>
      </c>
      <c r="Q2361" t="s">
        <v>419</v>
      </c>
      <c r="R2361" s="5"/>
      <c r="S2361" s="5"/>
      <c r="T2361" s="5"/>
      <c r="U2361" s="5"/>
      <c r="V2361" s="5"/>
      <c r="W2361" s="5"/>
      <c r="X2361" s="5"/>
      <c r="Y2361" s="5"/>
      <c r="Z2361" s="5"/>
      <c r="AA2361" s="5"/>
      <c r="AB2361" s="5"/>
      <c r="AC2361" s="5"/>
      <c r="AD2361" s="5"/>
      <c r="AE2361" s="5"/>
      <c r="AF2361" s="5"/>
      <c r="AG2361" s="5"/>
    </row>
    <row r="2362" ht="15.75" customHeight="1">
      <c r="K2362" t="s">
        <v>3806</v>
      </c>
      <c r="L2362" t="str">
        <f>E166</f>
        <v>H2c1a~</v>
      </c>
      <c r="N2362" t="s">
        <v>3807</v>
      </c>
      <c r="O2362">
        <v>2.1503971E7</v>
      </c>
      <c r="P2362">
        <v>1.9342085E7</v>
      </c>
      <c r="Q2362" t="s">
        <v>476</v>
      </c>
      <c r="R2362" s="5"/>
      <c r="S2362" s="5"/>
      <c r="T2362" s="5"/>
      <c r="U2362" s="5"/>
      <c r="V2362" s="5"/>
      <c r="W2362" s="5"/>
      <c r="X2362" s="5"/>
      <c r="Y2362" s="5"/>
      <c r="Z2362" s="5"/>
      <c r="AA2362" s="5"/>
      <c r="AB2362" s="5"/>
      <c r="AC2362" s="5"/>
      <c r="AD2362" s="5"/>
      <c r="AE2362" s="5"/>
      <c r="AF2362" s="5"/>
      <c r="AG2362" s="5"/>
    </row>
    <row r="2363" ht="15.75" customHeight="1">
      <c r="K2363" t="s">
        <v>3833</v>
      </c>
      <c r="L2363" t="str">
        <f>E166</f>
        <v>H2c1a~</v>
      </c>
      <c r="N2363" t="s">
        <v>3834</v>
      </c>
      <c r="O2363">
        <v>2.2574391E7</v>
      </c>
      <c r="P2363">
        <v>2.0412505E7</v>
      </c>
      <c r="Q2363" t="s">
        <v>448</v>
      </c>
      <c r="R2363" s="5"/>
      <c r="S2363" s="5"/>
      <c r="T2363" s="5"/>
      <c r="U2363" s="5"/>
      <c r="V2363" s="5"/>
      <c r="W2363" s="5"/>
      <c r="X2363" s="5"/>
      <c r="Y2363" s="5"/>
      <c r="Z2363" s="5"/>
      <c r="AA2363" s="5"/>
      <c r="AB2363" s="5"/>
      <c r="AC2363" s="5"/>
      <c r="AD2363" s="5"/>
      <c r="AE2363" s="5"/>
      <c r="AF2363" s="5"/>
      <c r="AG2363" s="5"/>
    </row>
    <row r="2364" ht="15.75" customHeight="1">
      <c r="K2364" t="s">
        <v>4066</v>
      </c>
      <c r="L2364" t="str">
        <f>F167</f>
        <v>H2c1a1~</v>
      </c>
      <c r="N2364" t="s">
        <v>4067</v>
      </c>
      <c r="O2364">
        <v>8461071.0</v>
      </c>
      <c r="P2364">
        <v>8593030.0</v>
      </c>
      <c r="Q2364" t="s">
        <v>419</v>
      </c>
      <c r="R2364" s="5"/>
      <c r="S2364" s="5"/>
      <c r="T2364" s="5"/>
      <c r="U2364" s="5"/>
      <c r="V2364" s="5"/>
      <c r="W2364" s="5"/>
      <c r="X2364" s="5"/>
      <c r="Y2364" s="5"/>
      <c r="Z2364" s="5"/>
      <c r="AA2364" s="5"/>
      <c r="AB2364" s="5"/>
      <c r="AC2364" s="5"/>
      <c r="AD2364" s="5"/>
      <c r="AE2364" s="5"/>
      <c r="AF2364" s="5"/>
      <c r="AG2364" s="5"/>
    </row>
    <row r="2365" ht="15.75" customHeight="1">
      <c r="K2365" t="s">
        <v>4068</v>
      </c>
      <c r="L2365" t="str">
        <f>F167</f>
        <v>H2c1a1~</v>
      </c>
      <c r="N2365" t="s">
        <v>4069</v>
      </c>
      <c r="O2365">
        <v>1.73922E7</v>
      </c>
      <c r="P2365">
        <v>1.528032E7</v>
      </c>
      <c r="Q2365" t="s">
        <v>473</v>
      </c>
      <c r="R2365" s="5"/>
      <c r="S2365" s="5"/>
      <c r="T2365" s="5"/>
      <c r="U2365" s="5"/>
      <c r="V2365" s="5"/>
      <c r="W2365" s="5"/>
      <c r="X2365" s="5"/>
      <c r="Y2365" s="5"/>
      <c r="Z2365" s="5"/>
      <c r="AA2365" s="5"/>
      <c r="AB2365" s="5"/>
      <c r="AC2365" s="5"/>
      <c r="AD2365" s="5"/>
      <c r="AE2365" s="5"/>
      <c r="AF2365" s="5"/>
      <c r="AG2365" s="5"/>
    </row>
    <row r="2366" ht="15.75" customHeight="1">
      <c r="K2366" t="s">
        <v>4070</v>
      </c>
      <c r="L2366" t="str">
        <f>F167</f>
        <v>H2c1a1~</v>
      </c>
      <c r="N2366" t="s">
        <v>4071</v>
      </c>
      <c r="O2366">
        <v>1.8538583E7</v>
      </c>
      <c r="P2366">
        <v>1.6426703E7</v>
      </c>
      <c r="Q2366" t="s">
        <v>423</v>
      </c>
      <c r="R2366" s="5"/>
      <c r="S2366" s="5"/>
      <c r="T2366" s="5"/>
      <c r="U2366" s="5"/>
      <c r="V2366" s="5"/>
      <c r="W2366" s="5"/>
      <c r="X2366" s="5"/>
      <c r="Y2366" s="5"/>
      <c r="Z2366" s="5"/>
      <c r="AA2366" s="5"/>
      <c r="AB2366" s="5"/>
      <c r="AC2366" s="5"/>
      <c r="AD2366" s="5"/>
      <c r="AE2366" s="5"/>
      <c r="AF2366" s="5"/>
      <c r="AG2366" s="5"/>
    </row>
    <row r="2367" ht="15.75" customHeight="1">
      <c r="K2367" t="s">
        <v>4072</v>
      </c>
      <c r="L2367" t="str">
        <f>F167</f>
        <v>H2c1a1~</v>
      </c>
      <c r="N2367" t="s">
        <v>4073</v>
      </c>
      <c r="O2367">
        <v>2.1904898E7</v>
      </c>
      <c r="P2367">
        <v>1.9743012E7</v>
      </c>
      <c r="Q2367" t="s">
        <v>431</v>
      </c>
      <c r="R2367" s="5"/>
      <c r="S2367" s="5"/>
      <c r="T2367" s="5"/>
      <c r="U2367" s="5"/>
      <c r="V2367" s="5"/>
      <c r="W2367" s="5"/>
      <c r="X2367" s="5"/>
      <c r="Y2367" s="5"/>
      <c r="Z2367" s="5"/>
      <c r="AA2367" s="5"/>
      <c r="AB2367" s="5"/>
      <c r="AC2367" s="5"/>
      <c r="AD2367" s="5"/>
      <c r="AE2367" s="5"/>
      <c r="AF2367" s="5"/>
      <c r="AG2367" s="5"/>
    </row>
    <row r="2368" ht="15.75" customHeight="1">
      <c r="K2368" t="s">
        <v>4074</v>
      </c>
      <c r="L2368" t="str">
        <f>F167</f>
        <v>H2c1a1~</v>
      </c>
      <c r="N2368" t="s">
        <v>4075</v>
      </c>
      <c r="O2368">
        <v>2.3150047E7</v>
      </c>
      <c r="P2368">
        <v>2.0988161E7</v>
      </c>
      <c r="Q2368" t="s">
        <v>448</v>
      </c>
      <c r="R2368" s="5"/>
      <c r="S2368" s="5"/>
      <c r="T2368" s="5"/>
      <c r="U2368" s="5"/>
      <c r="V2368" s="5"/>
      <c r="W2368" s="5"/>
      <c r="X2368" s="5"/>
      <c r="Y2368" s="5"/>
      <c r="Z2368" s="5"/>
      <c r="AA2368" s="5"/>
      <c r="AB2368" s="5"/>
      <c r="AC2368" s="5"/>
      <c r="AD2368" s="5"/>
      <c r="AE2368" s="5"/>
      <c r="AF2368" s="5"/>
      <c r="AG2368" s="5"/>
    </row>
    <row r="2369" ht="15.75" customHeight="1">
      <c r="K2369" t="s">
        <v>4076</v>
      </c>
      <c r="L2369" t="str">
        <f>F167</f>
        <v>H2c1a1~</v>
      </c>
      <c r="N2369" t="s">
        <v>4077</v>
      </c>
      <c r="O2369">
        <v>8060626.0</v>
      </c>
      <c r="P2369">
        <v>8192585.0</v>
      </c>
      <c r="Q2369" t="s">
        <v>553</v>
      </c>
      <c r="R2369" s="5"/>
      <c r="S2369" s="5"/>
      <c r="T2369" s="5"/>
      <c r="U2369" s="5"/>
      <c r="V2369" s="5"/>
      <c r="W2369" s="5"/>
      <c r="X2369" s="5"/>
      <c r="Y2369" s="5"/>
      <c r="Z2369" s="5"/>
      <c r="AA2369" s="5"/>
      <c r="AB2369" s="5"/>
      <c r="AC2369" s="5"/>
      <c r="AD2369" s="5"/>
      <c r="AE2369" s="5"/>
      <c r="AF2369" s="5"/>
      <c r="AG2369" s="5"/>
    </row>
    <row r="2370" ht="15.75" customHeight="1">
      <c r="K2370" t="s">
        <v>4078</v>
      </c>
      <c r="L2370" t="str">
        <f>F167</f>
        <v>H2c1a1~</v>
      </c>
      <c r="N2370" t="s">
        <v>4079</v>
      </c>
      <c r="O2370">
        <v>8227937.0</v>
      </c>
      <c r="P2370">
        <v>8359896.0</v>
      </c>
      <c r="Q2370" t="s">
        <v>419</v>
      </c>
      <c r="R2370" s="5"/>
      <c r="S2370" s="5"/>
      <c r="T2370" s="5"/>
      <c r="U2370" s="5"/>
      <c r="V2370" s="5"/>
      <c r="W2370" s="5"/>
      <c r="X2370" s="5"/>
      <c r="Y2370" s="5"/>
      <c r="Z2370" s="5"/>
      <c r="AA2370" s="5"/>
      <c r="AB2370" s="5"/>
      <c r="AC2370" s="5"/>
      <c r="AD2370" s="5"/>
      <c r="AE2370" s="5"/>
      <c r="AF2370" s="5"/>
      <c r="AG2370" s="5"/>
    </row>
    <row r="2371" ht="15.75" customHeight="1">
      <c r="K2371" t="s">
        <v>4080</v>
      </c>
      <c r="L2371" t="str">
        <f>F167</f>
        <v>H2c1a1~</v>
      </c>
      <c r="N2371" t="s">
        <v>4081</v>
      </c>
      <c r="O2371">
        <v>9447819.0</v>
      </c>
      <c r="P2371">
        <v>9610210.0</v>
      </c>
      <c r="Q2371" t="s">
        <v>423</v>
      </c>
      <c r="R2371" s="5"/>
      <c r="S2371" s="5"/>
      <c r="T2371" s="5"/>
      <c r="U2371" s="5"/>
      <c r="V2371" s="5"/>
      <c r="W2371" s="5"/>
      <c r="X2371" s="5"/>
      <c r="Y2371" s="5"/>
      <c r="Z2371" s="5"/>
      <c r="AA2371" s="5"/>
      <c r="AB2371" s="5"/>
      <c r="AC2371" s="5"/>
      <c r="AD2371" s="5"/>
      <c r="AE2371" s="5"/>
      <c r="AF2371" s="5"/>
      <c r="AG2371" s="5"/>
    </row>
    <row r="2372" ht="15.75" customHeight="1">
      <c r="K2372" t="s">
        <v>4082</v>
      </c>
      <c r="L2372" t="str">
        <f>F167</f>
        <v>H2c1a1~</v>
      </c>
      <c r="O2372">
        <v>9842692.0</v>
      </c>
      <c r="P2372">
        <v>1.0005083E7</v>
      </c>
      <c r="Q2372" t="s">
        <v>473</v>
      </c>
      <c r="R2372" s="5"/>
      <c r="S2372" s="5"/>
      <c r="T2372" s="5"/>
      <c r="U2372" s="5"/>
      <c r="V2372" s="5"/>
      <c r="W2372" s="5"/>
      <c r="X2372" s="5"/>
      <c r="Y2372" s="5"/>
      <c r="Z2372" s="5"/>
      <c r="AA2372" s="5"/>
      <c r="AB2372" s="5"/>
      <c r="AC2372" s="5"/>
      <c r="AD2372" s="5"/>
      <c r="AE2372" s="5"/>
      <c r="AF2372" s="5"/>
      <c r="AG2372" s="5"/>
    </row>
    <row r="2373" ht="15.75" customHeight="1">
      <c r="K2373" t="s">
        <v>4083</v>
      </c>
      <c r="L2373" t="str">
        <f>F167</f>
        <v>H2c1a1~</v>
      </c>
      <c r="N2373" t="s">
        <v>4084</v>
      </c>
      <c r="O2373">
        <v>1.8114425E7</v>
      </c>
      <c r="P2373">
        <v>1.6002545E7</v>
      </c>
      <c r="Q2373" t="s">
        <v>431</v>
      </c>
      <c r="R2373" s="5"/>
      <c r="S2373" s="5"/>
      <c r="T2373" s="5"/>
      <c r="U2373" s="5"/>
      <c r="V2373" s="5"/>
      <c r="W2373" s="5"/>
      <c r="X2373" s="5"/>
      <c r="Y2373" s="5"/>
      <c r="Z2373" s="5"/>
      <c r="AA2373" s="5"/>
      <c r="AB2373" s="5"/>
      <c r="AC2373" s="5"/>
      <c r="AD2373" s="5"/>
      <c r="AE2373" s="5"/>
      <c r="AF2373" s="5"/>
      <c r="AG2373" s="5"/>
    </row>
    <row r="2374" ht="15.75" customHeight="1">
      <c r="K2374" t="s">
        <v>4085</v>
      </c>
      <c r="L2374" t="str">
        <f>F167</f>
        <v>H2c1a1~</v>
      </c>
      <c r="N2374" t="s">
        <v>4086</v>
      </c>
      <c r="O2374">
        <v>1.8204545E7</v>
      </c>
      <c r="P2374">
        <v>1.6092665E7</v>
      </c>
      <c r="Q2374" t="s">
        <v>435</v>
      </c>
      <c r="R2374" s="5"/>
      <c r="S2374" s="5"/>
      <c r="T2374" s="5"/>
      <c r="U2374" s="5"/>
      <c r="V2374" s="5"/>
      <c r="W2374" s="5"/>
      <c r="X2374" s="5"/>
      <c r="Y2374" s="5"/>
      <c r="Z2374" s="5"/>
      <c r="AA2374" s="5"/>
      <c r="AB2374" s="5"/>
      <c r="AC2374" s="5"/>
      <c r="AD2374" s="5"/>
      <c r="AE2374" s="5"/>
      <c r="AF2374" s="5"/>
      <c r="AG2374" s="5"/>
    </row>
    <row r="2375" ht="15.75" customHeight="1">
      <c r="K2375" t="s">
        <v>4087</v>
      </c>
      <c r="L2375" t="str">
        <f>F167</f>
        <v>H2c1a1~</v>
      </c>
      <c r="N2375" t="s">
        <v>4088</v>
      </c>
      <c r="O2375">
        <v>1.9379855E7</v>
      </c>
      <c r="P2375">
        <v>1.7267975E7</v>
      </c>
      <c r="Q2375" t="s">
        <v>473</v>
      </c>
      <c r="R2375" s="5"/>
      <c r="S2375" s="5"/>
      <c r="T2375" s="5"/>
      <c r="U2375" s="5"/>
      <c r="V2375" s="5"/>
      <c r="W2375" s="5"/>
      <c r="X2375" s="5"/>
      <c r="Y2375" s="5"/>
      <c r="Z2375" s="5"/>
      <c r="AA2375" s="5"/>
      <c r="AB2375" s="5"/>
      <c r="AC2375" s="5"/>
      <c r="AD2375" s="5"/>
      <c r="AE2375" s="5"/>
      <c r="AF2375" s="5"/>
      <c r="AG2375" s="5"/>
    </row>
    <row r="2376" ht="15.75" customHeight="1">
      <c r="K2376" t="s">
        <v>4089</v>
      </c>
      <c r="L2376" t="str">
        <f>F167</f>
        <v>H2c1a1~</v>
      </c>
      <c r="N2376" t="s">
        <v>4090</v>
      </c>
      <c r="O2376">
        <v>2.324131E7</v>
      </c>
      <c r="P2376">
        <v>2.1079424E7</v>
      </c>
      <c r="Q2376" t="s">
        <v>423</v>
      </c>
      <c r="R2376" s="5"/>
      <c r="S2376" s="5"/>
      <c r="T2376" s="5"/>
      <c r="U2376" s="5"/>
      <c r="V2376" s="5"/>
      <c r="W2376" s="5"/>
      <c r="X2376" s="5"/>
      <c r="Y2376" s="5"/>
      <c r="Z2376" s="5"/>
      <c r="AA2376" s="5"/>
      <c r="AB2376" s="5"/>
      <c r="AC2376" s="5"/>
      <c r="AD2376" s="5"/>
      <c r="AE2376" s="5"/>
      <c r="AF2376" s="5"/>
      <c r="AG2376" s="5"/>
    </row>
    <row r="2377" ht="15.75" customHeight="1">
      <c r="K2377" t="s">
        <v>4091</v>
      </c>
      <c r="L2377" t="str">
        <f>F167</f>
        <v>H2c1a1~</v>
      </c>
      <c r="O2377">
        <v>2.3552327E7</v>
      </c>
      <c r="P2377">
        <v>2.1390441E7</v>
      </c>
      <c r="Q2377" t="s">
        <v>473</v>
      </c>
      <c r="R2377" s="5"/>
      <c r="S2377" s="5"/>
      <c r="T2377" s="5"/>
      <c r="U2377" s="5"/>
      <c r="V2377" s="5"/>
      <c r="W2377" s="5"/>
      <c r="X2377" s="5"/>
      <c r="Y2377" s="5"/>
      <c r="Z2377" s="5"/>
      <c r="AA2377" s="5"/>
      <c r="AB2377" s="5"/>
      <c r="AC2377" s="5"/>
      <c r="AD2377" s="5"/>
      <c r="AE2377" s="5"/>
      <c r="AF2377" s="5"/>
      <c r="AG2377" s="5"/>
    </row>
    <row r="2378" ht="15.75" customHeight="1">
      <c r="K2378" t="s">
        <v>4092</v>
      </c>
      <c r="L2378" t="str">
        <f>F167</f>
        <v>H2c1a1~</v>
      </c>
      <c r="N2378" t="s">
        <v>4093</v>
      </c>
      <c r="O2378">
        <v>2.301173E7</v>
      </c>
      <c r="P2378">
        <v>2.0849844E7</v>
      </c>
      <c r="Q2378" t="s">
        <v>423</v>
      </c>
      <c r="R2378" s="5"/>
      <c r="S2378" s="5"/>
      <c r="T2378" s="5"/>
      <c r="U2378" s="5"/>
      <c r="V2378" s="5"/>
      <c r="W2378" s="5"/>
      <c r="X2378" s="5"/>
      <c r="Y2378" s="5"/>
      <c r="Z2378" s="5"/>
      <c r="AA2378" s="5"/>
      <c r="AB2378" s="5"/>
      <c r="AC2378" s="5"/>
      <c r="AD2378" s="5"/>
      <c r="AE2378" s="5"/>
      <c r="AF2378" s="5"/>
      <c r="AG2378" s="5"/>
    </row>
    <row r="2379" ht="15.75" customHeight="1">
      <c r="K2379" t="s">
        <v>4094</v>
      </c>
      <c r="L2379" t="str">
        <f>G168</f>
        <v>H2c1a1a~</v>
      </c>
      <c r="N2379" t="s">
        <v>4095</v>
      </c>
      <c r="O2379">
        <v>2.2865548E7</v>
      </c>
      <c r="P2379">
        <v>2.0703662E7</v>
      </c>
      <c r="Q2379" t="s">
        <v>525</v>
      </c>
      <c r="R2379" s="5"/>
      <c r="S2379" s="5"/>
      <c r="T2379" s="5"/>
      <c r="U2379" s="5"/>
      <c r="V2379" s="5"/>
      <c r="W2379" s="5"/>
      <c r="X2379" s="5"/>
      <c r="Y2379" s="5"/>
      <c r="Z2379" s="5"/>
      <c r="AA2379" s="5"/>
      <c r="AB2379" s="5"/>
      <c r="AC2379" s="5"/>
      <c r="AD2379" s="5"/>
      <c r="AE2379" s="5"/>
      <c r="AF2379" s="5"/>
      <c r="AG2379" s="5"/>
    </row>
    <row r="2380" ht="15.75" customHeight="1">
      <c r="K2380" t="s">
        <v>4096</v>
      </c>
      <c r="L2380" t="str">
        <f>G168</f>
        <v>H2c1a1a~</v>
      </c>
      <c r="N2380" t="s">
        <v>4097</v>
      </c>
      <c r="O2380">
        <v>8071057.0</v>
      </c>
      <c r="P2380">
        <v>8203016.0</v>
      </c>
      <c r="Q2380" t="s">
        <v>419</v>
      </c>
      <c r="R2380" s="5"/>
      <c r="S2380" s="5"/>
      <c r="T2380" s="5"/>
      <c r="U2380" s="5"/>
      <c r="V2380" s="5"/>
      <c r="W2380" s="5"/>
      <c r="X2380" s="5"/>
      <c r="Y2380" s="5"/>
      <c r="Z2380" s="5"/>
      <c r="AA2380" s="5"/>
      <c r="AB2380" s="5"/>
      <c r="AC2380" s="5"/>
      <c r="AD2380" s="5"/>
      <c r="AE2380" s="5"/>
      <c r="AF2380" s="5"/>
      <c r="AG2380" s="5"/>
    </row>
    <row r="2381" ht="15.75" customHeight="1">
      <c r="K2381" t="s">
        <v>4098</v>
      </c>
      <c r="L2381" t="str">
        <f>G168</f>
        <v>H2c1a1a~</v>
      </c>
      <c r="N2381" t="s">
        <v>4099</v>
      </c>
      <c r="O2381">
        <v>8203758.0</v>
      </c>
      <c r="P2381">
        <v>8335717.0</v>
      </c>
      <c r="Q2381" t="s">
        <v>525</v>
      </c>
      <c r="R2381" s="5"/>
      <c r="S2381" s="5"/>
      <c r="T2381" s="5"/>
      <c r="U2381" s="5"/>
      <c r="V2381" s="5"/>
      <c r="W2381" s="5"/>
      <c r="X2381" s="5"/>
      <c r="Y2381" s="5"/>
      <c r="Z2381" s="5"/>
      <c r="AA2381" s="5"/>
      <c r="AB2381" s="5"/>
      <c r="AC2381" s="5"/>
      <c r="AD2381" s="5"/>
      <c r="AE2381" s="5"/>
      <c r="AF2381" s="5"/>
      <c r="AG2381" s="5"/>
    </row>
    <row r="2382" ht="15.75" customHeight="1">
      <c r="K2382" t="s">
        <v>4100</v>
      </c>
      <c r="L2382" t="str">
        <f>G168</f>
        <v>H2c1a1a~</v>
      </c>
      <c r="O2382">
        <v>8561342.0</v>
      </c>
      <c r="P2382">
        <v>8693301.0</v>
      </c>
      <c r="Q2382" t="s">
        <v>431</v>
      </c>
      <c r="R2382" s="5"/>
      <c r="S2382" s="5"/>
      <c r="T2382" s="5"/>
      <c r="U2382" s="5"/>
      <c r="V2382" s="5"/>
      <c r="W2382" s="5"/>
      <c r="X2382" s="5"/>
      <c r="Y2382" s="5"/>
      <c r="Z2382" s="5"/>
      <c r="AA2382" s="5"/>
      <c r="AB2382" s="5"/>
      <c r="AC2382" s="5"/>
      <c r="AD2382" s="5"/>
      <c r="AE2382" s="5"/>
      <c r="AF2382" s="5"/>
      <c r="AG2382" s="5"/>
    </row>
    <row r="2383" ht="15.75" customHeight="1">
      <c r="K2383" t="s">
        <v>4101</v>
      </c>
      <c r="L2383" t="str">
        <f>G168</f>
        <v>H2c1a1a~</v>
      </c>
      <c r="N2383" t="s">
        <v>4102</v>
      </c>
      <c r="O2383">
        <v>1.5985222E7</v>
      </c>
      <c r="P2383">
        <v>1.3873342E7</v>
      </c>
      <c r="Q2383" t="s">
        <v>423</v>
      </c>
      <c r="R2383" s="5"/>
      <c r="S2383" s="5"/>
      <c r="T2383" s="5"/>
      <c r="U2383" s="5"/>
      <c r="V2383" s="5"/>
      <c r="W2383" s="5"/>
      <c r="X2383" s="5"/>
      <c r="Y2383" s="5"/>
      <c r="Z2383" s="5"/>
      <c r="AA2383" s="5"/>
      <c r="AB2383" s="5"/>
      <c r="AC2383" s="5"/>
      <c r="AD2383" s="5"/>
      <c r="AE2383" s="5"/>
      <c r="AF2383" s="5"/>
      <c r="AG2383" s="5"/>
    </row>
    <row r="2384" ht="15.75" customHeight="1">
      <c r="K2384" t="s">
        <v>4103</v>
      </c>
      <c r="L2384" t="str">
        <f>G168</f>
        <v>H2c1a1a~</v>
      </c>
      <c r="N2384" t="s">
        <v>4104</v>
      </c>
      <c r="O2384">
        <v>1.8855114E7</v>
      </c>
      <c r="P2384">
        <v>1.6743234E7</v>
      </c>
      <c r="Q2384" t="s">
        <v>452</v>
      </c>
      <c r="R2384" s="5"/>
      <c r="S2384" s="5"/>
      <c r="T2384" s="5"/>
      <c r="U2384" s="5"/>
      <c r="V2384" s="5"/>
      <c r="W2384" s="5"/>
      <c r="X2384" s="5"/>
      <c r="Y2384" s="5"/>
      <c r="Z2384" s="5"/>
      <c r="AA2384" s="5"/>
      <c r="AB2384" s="5"/>
      <c r="AC2384" s="5"/>
      <c r="AD2384" s="5"/>
      <c r="AE2384" s="5"/>
      <c r="AF2384" s="5"/>
      <c r="AG2384" s="5"/>
    </row>
    <row r="2385" ht="15.75" customHeight="1">
      <c r="K2385" t="s">
        <v>4105</v>
      </c>
      <c r="L2385" t="str">
        <f>G168</f>
        <v>H2c1a1a~</v>
      </c>
      <c r="N2385" t="s">
        <v>4106</v>
      </c>
      <c r="O2385">
        <v>1.9382963E7</v>
      </c>
      <c r="P2385">
        <v>1.7271083E7</v>
      </c>
      <c r="Q2385" t="s">
        <v>435</v>
      </c>
      <c r="R2385" s="5"/>
      <c r="S2385" s="5"/>
      <c r="T2385" s="5"/>
      <c r="U2385" s="5"/>
      <c r="V2385" s="5"/>
      <c r="W2385" s="5"/>
      <c r="X2385" s="5"/>
      <c r="Y2385" s="5"/>
      <c r="Z2385" s="5"/>
      <c r="AA2385" s="5"/>
      <c r="AB2385" s="5"/>
      <c r="AC2385" s="5"/>
      <c r="AD2385" s="5"/>
      <c r="AE2385" s="5"/>
      <c r="AF2385" s="5"/>
      <c r="AG2385" s="5"/>
    </row>
    <row r="2386" ht="15.75" customHeight="1">
      <c r="K2386" t="s">
        <v>4107</v>
      </c>
      <c r="L2386" t="str">
        <f>G168</f>
        <v>H2c1a1a~</v>
      </c>
      <c r="O2386">
        <v>7289831.0</v>
      </c>
      <c r="P2386">
        <v>7421790.0</v>
      </c>
      <c r="Q2386" t="s">
        <v>435</v>
      </c>
      <c r="R2386" s="5"/>
      <c r="S2386" s="5"/>
      <c r="T2386" s="5"/>
      <c r="U2386" s="5"/>
      <c r="V2386" s="5"/>
      <c r="W2386" s="5"/>
      <c r="X2386" s="5"/>
      <c r="Y2386" s="5"/>
      <c r="Z2386" s="5"/>
      <c r="AA2386" s="5"/>
      <c r="AB2386" s="5"/>
      <c r="AC2386" s="5"/>
      <c r="AD2386" s="5"/>
      <c r="AE2386" s="5"/>
      <c r="AF2386" s="5"/>
      <c r="AG2386" s="5"/>
    </row>
    <row r="2387" ht="15.75" customHeight="1">
      <c r="K2387" t="s">
        <v>4108</v>
      </c>
      <c r="L2387" t="str">
        <f>G168</f>
        <v>H2c1a1a~</v>
      </c>
      <c r="O2387">
        <v>8904987.0</v>
      </c>
      <c r="P2387">
        <v>9036946.0</v>
      </c>
      <c r="Q2387" t="s">
        <v>525</v>
      </c>
      <c r="R2387" s="5"/>
      <c r="S2387" s="5"/>
      <c r="T2387" s="5"/>
      <c r="U2387" s="5"/>
      <c r="V2387" s="5"/>
      <c r="W2387" s="5"/>
      <c r="X2387" s="5"/>
      <c r="Y2387" s="5"/>
      <c r="Z2387" s="5"/>
      <c r="AA2387" s="5"/>
      <c r="AB2387" s="5"/>
      <c r="AC2387" s="5"/>
      <c r="AD2387" s="5"/>
      <c r="AE2387" s="5"/>
      <c r="AF2387" s="5"/>
      <c r="AG2387" s="5"/>
    </row>
    <row r="2388" ht="15.75" customHeight="1">
      <c r="K2388" t="s">
        <v>4109</v>
      </c>
      <c r="L2388" t="str">
        <f>H169</f>
        <v>H2c1a1a1~</v>
      </c>
      <c r="O2388">
        <v>7324972.0</v>
      </c>
      <c r="P2388">
        <v>7456931.0</v>
      </c>
      <c r="Q2388" t="s">
        <v>423</v>
      </c>
      <c r="R2388" s="5"/>
      <c r="S2388" s="5"/>
      <c r="T2388" s="5"/>
      <c r="U2388" s="5"/>
      <c r="V2388" s="5"/>
      <c r="W2388" s="5"/>
      <c r="X2388" s="5"/>
      <c r="Y2388" s="5"/>
      <c r="Z2388" s="5"/>
      <c r="AA2388" s="5"/>
      <c r="AB2388" s="5"/>
      <c r="AC2388" s="5"/>
      <c r="AD2388" s="5"/>
      <c r="AE2388" s="5"/>
      <c r="AF2388" s="5"/>
      <c r="AG2388" s="5"/>
    </row>
    <row r="2389" ht="15.75" customHeight="1">
      <c r="K2389" t="s">
        <v>4110</v>
      </c>
      <c r="L2389" t="str">
        <f>H169</f>
        <v>H2c1a1a1~</v>
      </c>
      <c r="O2389">
        <v>2732987.0</v>
      </c>
      <c r="P2389">
        <v>2864946.0</v>
      </c>
      <c r="Q2389" t="s">
        <v>423</v>
      </c>
      <c r="R2389" s="5"/>
      <c r="S2389" s="5"/>
      <c r="T2389" s="5"/>
      <c r="U2389" s="5"/>
      <c r="V2389" s="5"/>
      <c r="W2389" s="5"/>
      <c r="X2389" s="5"/>
      <c r="Y2389" s="5"/>
      <c r="Z2389" s="5"/>
      <c r="AA2389" s="5"/>
      <c r="AB2389" s="5"/>
      <c r="AC2389" s="5"/>
      <c r="AD2389" s="5"/>
      <c r="AE2389" s="5"/>
      <c r="AF2389" s="5"/>
      <c r="AG2389" s="5"/>
    </row>
    <row r="2390" ht="15.75" customHeight="1">
      <c r="K2390" t="s">
        <v>4111</v>
      </c>
      <c r="L2390" t="str">
        <f>D170</f>
        <v>H2c2~</v>
      </c>
      <c r="O2390">
        <v>2743928.0</v>
      </c>
      <c r="P2390">
        <v>2875887.0</v>
      </c>
      <c r="Q2390" t="s">
        <v>419</v>
      </c>
      <c r="R2390" s="5"/>
      <c r="S2390" s="5"/>
      <c r="T2390" s="5"/>
      <c r="U2390" s="5"/>
      <c r="V2390" s="5"/>
      <c r="W2390" s="5"/>
      <c r="X2390" s="5"/>
      <c r="Y2390" s="5"/>
      <c r="Z2390" s="5"/>
      <c r="AA2390" s="5"/>
      <c r="AB2390" s="5"/>
      <c r="AC2390" s="5"/>
      <c r="AD2390" s="5"/>
      <c r="AE2390" s="5"/>
      <c r="AF2390" s="5"/>
      <c r="AG2390" s="5"/>
    </row>
    <row r="2391" ht="15.75" customHeight="1">
      <c r="K2391" t="s">
        <v>4112</v>
      </c>
      <c r="L2391" t="str">
        <f>D170</f>
        <v>H2c2~</v>
      </c>
      <c r="O2391">
        <v>2865236.0</v>
      </c>
      <c r="P2391">
        <v>2997195.0</v>
      </c>
      <c r="Q2391" t="s">
        <v>476</v>
      </c>
      <c r="R2391" s="5"/>
      <c r="S2391" s="5"/>
      <c r="T2391" s="5"/>
      <c r="U2391" s="5"/>
      <c r="V2391" s="5"/>
      <c r="W2391" s="5"/>
      <c r="X2391" s="5"/>
      <c r="Y2391" s="5"/>
      <c r="Z2391" s="5"/>
      <c r="AA2391" s="5"/>
      <c r="AB2391" s="5"/>
      <c r="AC2391" s="5"/>
      <c r="AD2391" s="5"/>
      <c r="AE2391" s="5"/>
      <c r="AF2391" s="5"/>
      <c r="AG2391" s="5"/>
    </row>
    <row r="2392" ht="15.75" customHeight="1">
      <c r="K2392" t="s">
        <v>4113</v>
      </c>
      <c r="L2392" t="str">
        <f>D170</f>
        <v>H2c2~</v>
      </c>
      <c r="O2392">
        <v>6996085.0</v>
      </c>
      <c r="P2392">
        <v>7128044.0</v>
      </c>
      <c r="Q2392" t="s">
        <v>419</v>
      </c>
      <c r="R2392" s="5"/>
      <c r="S2392" s="5"/>
      <c r="T2392" s="5"/>
      <c r="U2392" s="5"/>
      <c r="V2392" s="5"/>
      <c r="W2392" s="5"/>
      <c r="X2392" s="5"/>
      <c r="Y2392" s="5"/>
      <c r="Z2392" s="5"/>
      <c r="AA2392" s="5"/>
      <c r="AB2392" s="5"/>
      <c r="AC2392" s="5"/>
      <c r="AD2392" s="5"/>
      <c r="AE2392" s="5"/>
      <c r="AF2392" s="5"/>
      <c r="AG2392" s="5"/>
    </row>
    <row r="2393" ht="15.75" customHeight="1">
      <c r="K2393" t="s">
        <v>4114</v>
      </c>
      <c r="L2393" t="str">
        <f>D170</f>
        <v>H2c2~</v>
      </c>
      <c r="O2393">
        <v>2887434.0</v>
      </c>
      <c r="P2393">
        <v>3019393.0</v>
      </c>
      <c r="Q2393" t="s">
        <v>459</v>
      </c>
      <c r="R2393" s="5"/>
      <c r="S2393" s="5"/>
      <c r="T2393" s="5"/>
      <c r="U2393" s="5"/>
      <c r="V2393" s="5"/>
      <c r="W2393" s="5"/>
      <c r="X2393" s="5"/>
      <c r="Y2393" s="5"/>
      <c r="Z2393" s="5"/>
      <c r="AA2393" s="5"/>
      <c r="AB2393" s="5"/>
      <c r="AC2393" s="5"/>
      <c r="AD2393" s="5"/>
      <c r="AE2393" s="5"/>
      <c r="AF2393" s="5"/>
      <c r="AG2393" s="5"/>
    </row>
    <row r="2394" ht="15.75" customHeight="1">
      <c r="K2394" t="s">
        <v>4115</v>
      </c>
      <c r="L2394" t="str">
        <f>D170</f>
        <v>H2c2~</v>
      </c>
      <c r="O2394">
        <v>6769233.0</v>
      </c>
      <c r="P2394">
        <v>6901192.0</v>
      </c>
      <c r="Q2394" t="s">
        <v>427</v>
      </c>
      <c r="R2394" s="5"/>
      <c r="S2394" s="5"/>
      <c r="T2394" s="5"/>
      <c r="U2394" s="5"/>
      <c r="V2394" s="5"/>
      <c r="W2394" s="5"/>
      <c r="X2394" s="5"/>
      <c r="Y2394" s="5"/>
      <c r="Z2394" s="5"/>
      <c r="AA2394" s="5"/>
      <c r="AB2394" s="5"/>
      <c r="AC2394" s="5"/>
      <c r="AD2394" s="5"/>
      <c r="AE2394" s="5"/>
      <c r="AF2394" s="5"/>
      <c r="AG2394" s="5"/>
    </row>
    <row r="2395" ht="15.75" customHeight="1">
      <c r="K2395" t="s">
        <v>4116</v>
      </c>
      <c r="L2395" t="str">
        <f>B171</f>
        <v>H3</v>
      </c>
      <c r="N2395" t="s">
        <v>4117</v>
      </c>
      <c r="O2395">
        <v>2759285.0</v>
      </c>
      <c r="P2395">
        <v>2891244.0</v>
      </c>
      <c r="Q2395" t="s">
        <v>459</v>
      </c>
      <c r="R2395" s="5"/>
      <c r="S2395" s="5"/>
      <c r="T2395" s="5"/>
      <c r="U2395" s="5"/>
      <c r="V2395" s="5"/>
      <c r="W2395" s="5"/>
      <c r="X2395" s="5"/>
      <c r="Y2395" s="5"/>
      <c r="Z2395" s="5"/>
      <c r="AA2395" s="5"/>
      <c r="AB2395" s="5"/>
      <c r="AC2395" s="5"/>
      <c r="AD2395" s="5"/>
      <c r="AE2395" s="5"/>
      <c r="AF2395" s="5"/>
      <c r="AG2395" s="5"/>
    </row>
    <row r="2396" ht="15.75" customHeight="1">
      <c r="K2396" t="s">
        <v>4118</v>
      </c>
      <c r="L2396" t="str">
        <f>B171</f>
        <v>H3</v>
      </c>
      <c r="M2396" t="s">
        <v>4119</v>
      </c>
      <c r="N2396" t="s">
        <v>4120</v>
      </c>
      <c r="O2396">
        <v>2.110138E7</v>
      </c>
      <c r="P2396">
        <v>1.8939494E7</v>
      </c>
      <c r="Q2396" t="s">
        <v>423</v>
      </c>
      <c r="R2396" s="5"/>
      <c r="S2396" s="5"/>
      <c r="T2396" s="5"/>
      <c r="U2396" s="5"/>
      <c r="V2396" s="5"/>
      <c r="W2396" s="5"/>
      <c r="X2396" s="5"/>
      <c r="Y2396" s="5"/>
      <c r="Z2396" s="5"/>
      <c r="AA2396" s="5"/>
      <c r="AB2396" s="5"/>
      <c r="AC2396" s="5"/>
      <c r="AD2396" s="5"/>
      <c r="AE2396" s="5"/>
      <c r="AF2396" s="5"/>
      <c r="AG2396" s="5"/>
    </row>
    <row r="2397" ht="15.75" customHeight="1">
      <c r="K2397" t="s">
        <v>4119</v>
      </c>
      <c r="L2397" t="str">
        <f>B171</f>
        <v>H3</v>
      </c>
      <c r="M2397" t="s">
        <v>4118</v>
      </c>
      <c r="N2397" t="s">
        <v>4120</v>
      </c>
      <c r="O2397">
        <v>2.110138E7</v>
      </c>
      <c r="P2397">
        <v>1.8939494E7</v>
      </c>
      <c r="Q2397" t="s">
        <v>423</v>
      </c>
      <c r="R2397" s="5"/>
      <c r="S2397" s="5"/>
      <c r="T2397" s="5"/>
      <c r="U2397" s="5"/>
      <c r="V2397" s="5"/>
      <c r="W2397" s="5"/>
      <c r="X2397" s="5"/>
      <c r="Y2397" s="5"/>
      <c r="Z2397" s="5"/>
      <c r="AA2397" s="5"/>
      <c r="AB2397" s="5"/>
      <c r="AC2397" s="5"/>
      <c r="AD2397" s="5"/>
      <c r="AE2397" s="5"/>
      <c r="AF2397" s="5"/>
      <c r="AG2397" s="5"/>
    </row>
    <row r="2398" ht="15.75" customHeight="1">
      <c r="K2398" t="s">
        <v>4121</v>
      </c>
      <c r="L2398" t="str">
        <f>B171</f>
        <v>H3</v>
      </c>
      <c r="M2398" t="s">
        <v>4122</v>
      </c>
      <c r="N2398" t="s">
        <v>4123</v>
      </c>
      <c r="O2398">
        <v>8291990.0</v>
      </c>
      <c r="P2398">
        <v>8423949.0</v>
      </c>
      <c r="Q2398" t="s">
        <v>423</v>
      </c>
      <c r="R2398" s="5"/>
      <c r="S2398" s="5"/>
      <c r="T2398" s="5"/>
      <c r="U2398" s="5"/>
      <c r="V2398" s="5"/>
      <c r="W2398" s="5"/>
      <c r="X2398" s="5"/>
      <c r="Y2398" s="5"/>
      <c r="Z2398" s="5"/>
      <c r="AA2398" s="5"/>
      <c r="AB2398" s="5"/>
      <c r="AC2398" s="5"/>
      <c r="AD2398" s="5"/>
      <c r="AE2398" s="5"/>
      <c r="AF2398" s="5"/>
      <c r="AG2398" s="5"/>
    </row>
    <row r="2399" ht="15.75" customHeight="1">
      <c r="K2399" t="s">
        <v>4122</v>
      </c>
      <c r="L2399" t="str">
        <f>B171</f>
        <v>H3</v>
      </c>
      <c r="M2399" t="s">
        <v>4121</v>
      </c>
      <c r="N2399" t="s">
        <v>4123</v>
      </c>
      <c r="O2399">
        <v>8291990.0</v>
      </c>
      <c r="P2399">
        <v>8423949.0</v>
      </c>
      <c r="Q2399" t="s">
        <v>423</v>
      </c>
      <c r="R2399" s="5"/>
      <c r="S2399" s="5"/>
      <c r="T2399" s="5"/>
      <c r="U2399" s="5"/>
      <c r="V2399" s="5"/>
      <c r="W2399" s="5"/>
      <c r="X2399" s="5"/>
      <c r="Y2399" s="5"/>
      <c r="Z2399" s="5"/>
      <c r="AA2399" s="5"/>
      <c r="AB2399" s="5"/>
      <c r="AC2399" s="5"/>
      <c r="AD2399" s="5"/>
      <c r="AE2399" s="5"/>
      <c r="AF2399" s="5"/>
      <c r="AG2399" s="5"/>
    </row>
    <row r="2400" ht="15.75" customHeight="1">
      <c r="K2400" t="s">
        <v>4124</v>
      </c>
      <c r="L2400" t="str">
        <f>B171</f>
        <v>H3</v>
      </c>
      <c r="M2400" t="s">
        <v>4125</v>
      </c>
      <c r="N2400" t="s">
        <v>4126</v>
      </c>
      <c r="O2400">
        <v>1.7608302E7</v>
      </c>
      <c r="P2400">
        <v>1.5496422E7</v>
      </c>
      <c r="Q2400" t="s">
        <v>435</v>
      </c>
      <c r="R2400" s="5"/>
      <c r="S2400" s="5"/>
      <c r="T2400" s="5"/>
      <c r="U2400" s="5"/>
      <c r="V2400" s="5"/>
      <c r="W2400" s="5"/>
      <c r="X2400" s="5"/>
      <c r="Y2400" s="5"/>
      <c r="Z2400" s="5"/>
      <c r="AA2400" s="5"/>
      <c r="AB2400" s="5"/>
      <c r="AC2400" s="5"/>
      <c r="AD2400" s="5"/>
      <c r="AE2400" s="5"/>
      <c r="AF2400" s="5"/>
      <c r="AG2400" s="5"/>
    </row>
    <row r="2401" ht="15.75" customHeight="1">
      <c r="K2401" t="s">
        <v>4125</v>
      </c>
      <c r="L2401" t="str">
        <f>B171</f>
        <v>H3</v>
      </c>
      <c r="M2401" t="s">
        <v>4124</v>
      </c>
      <c r="N2401" t="s">
        <v>4126</v>
      </c>
      <c r="O2401">
        <v>1.7608302E7</v>
      </c>
      <c r="P2401">
        <v>1.5496422E7</v>
      </c>
      <c r="Q2401" t="s">
        <v>435</v>
      </c>
      <c r="R2401" s="5"/>
      <c r="S2401" s="5"/>
      <c r="T2401" s="5"/>
      <c r="U2401" s="5"/>
      <c r="V2401" s="5"/>
      <c r="W2401" s="5"/>
      <c r="X2401" s="5"/>
      <c r="Y2401" s="5"/>
      <c r="Z2401" s="5"/>
      <c r="AA2401" s="5"/>
      <c r="AB2401" s="5"/>
      <c r="AC2401" s="5"/>
      <c r="AD2401" s="5"/>
      <c r="AE2401" s="5"/>
      <c r="AF2401" s="5"/>
      <c r="AG2401" s="5"/>
    </row>
    <row r="2402" ht="15.75" customHeight="1">
      <c r="K2402" t="s">
        <v>4127</v>
      </c>
      <c r="L2402" t="str">
        <f>B171</f>
        <v>H3</v>
      </c>
      <c r="M2402" t="s">
        <v>4128</v>
      </c>
      <c r="N2402" t="s">
        <v>4129</v>
      </c>
      <c r="O2402">
        <v>2.2579881E7</v>
      </c>
      <c r="P2402">
        <v>2.0417995E7</v>
      </c>
      <c r="Q2402" t="s">
        <v>431</v>
      </c>
      <c r="R2402" s="5"/>
      <c r="S2402" s="5"/>
      <c r="T2402" s="5"/>
      <c r="U2402" s="5"/>
      <c r="V2402" s="5"/>
      <c r="W2402" s="5"/>
      <c r="X2402" s="5"/>
      <c r="Y2402" s="5"/>
      <c r="Z2402" s="5"/>
      <c r="AA2402" s="5"/>
      <c r="AB2402" s="5"/>
      <c r="AC2402" s="5"/>
      <c r="AD2402" s="5"/>
      <c r="AE2402" s="5"/>
      <c r="AF2402" s="5"/>
      <c r="AG2402" s="5"/>
    </row>
    <row r="2403" ht="15.75" customHeight="1">
      <c r="K2403" t="s">
        <v>4128</v>
      </c>
      <c r="L2403" t="str">
        <f>B171</f>
        <v>H3</v>
      </c>
      <c r="M2403" t="s">
        <v>4127</v>
      </c>
      <c r="N2403" t="s">
        <v>4129</v>
      </c>
      <c r="O2403">
        <v>2.2579881E7</v>
      </c>
      <c r="P2403">
        <v>2.0417995E7</v>
      </c>
      <c r="Q2403" t="s">
        <v>431</v>
      </c>
      <c r="R2403" s="5"/>
      <c r="S2403" s="5"/>
      <c r="T2403" s="5"/>
      <c r="U2403" s="5"/>
      <c r="V2403" s="5"/>
      <c r="W2403" s="5"/>
      <c r="X2403" s="5"/>
      <c r="Y2403" s="5"/>
      <c r="Z2403" s="5"/>
      <c r="AA2403" s="5"/>
      <c r="AB2403" s="5"/>
      <c r="AC2403" s="5"/>
      <c r="AD2403" s="5"/>
      <c r="AE2403" s="5"/>
      <c r="AF2403" s="5"/>
      <c r="AG2403" s="5"/>
    </row>
    <row r="2404" ht="15.75" customHeight="1">
      <c r="K2404" t="s">
        <v>4130</v>
      </c>
      <c r="L2404" t="str">
        <f>B171</f>
        <v>H3</v>
      </c>
      <c r="M2404" t="s">
        <v>4131</v>
      </c>
      <c r="N2404" t="s">
        <v>4132</v>
      </c>
      <c r="O2404">
        <v>2.1699194E7</v>
      </c>
      <c r="P2404">
        <v>1.9537308E7</v>
      </c>
      <c r="Q2404" t="s">
        <v>423</v>
      </c>
      <c r="R2404" s="5"/>
      <c r="S2404" s="5"/>
      <c r="T2404" s="5"/>
      <c r="U2404" s="5"/>
      <c r="V2404" s="5"/>
      <c r="W2404" s="5"/>
      <c r="X2404" s="5"/>
      <c r="Y2404" s="5"/>
      <c r="Z2404" s="5"/>
      <c r="AA2404" s="5"/>
      <c r="AB2404" s="5"/>
      <c r="AC2404" s="5"/>
      <c r="AD2404" s="5"/>
      <c r="AE2404" s="5"/>
      <c r="AF2404" s="5"/>
      <c r="AG2404" s="5"/>
    </row>
    <row r="2405" ht="15.75" customHeight="1">
      <c r="K2405" t="s">
        <v>4131</v>
      </c>
      <c r="L2405" t="str">
        <f>B171</f>
        <v>H3</v>
      </c>
      <c r="M2405" t="s">
        <v>4130</v>
      </c>
      <c r="N2405" t="s">
        <v>4132</v>
      </c>
      <c r="O2405">
        <v>2.1699194E7</v>
      </c>
      <c r="P2405">
        <v>1.9537308E7</v>
      </c>
      <c r="Q2405" t="s">
        <v>423</v>
      </c>
      <c r="R2405" s="5"/>
      <c r="S2405" s="5"/>
      <c r="T2405" s="5"/>
      <c r="U2405" s="5"/>
      <c r="V2405" s="5"/>
      <c r="W2405" s="5"/>
      <c r="X2405" s="5"/>
      <c r="Y2405" s="5"/>
      <c r="Z2405" s="5"/>
      <c r="AA2405" s="5"/>
      <c r="AB2405" s="5"/>
      <c r="AC2405" s="5"/>
      <c r="AD2405" s="5"/>
      <c r="AE2405" s="5"/>
      <c r="AF2405" s="5"/>
      <c r="AG2405" s="5"/>
    </row>
    <row r="2406" ht="15.75" customHeight="1">
      <c r="K2406" t="s">
        <v>4133</v>
      </c>
      <c r="L2406" t="str">
        <f>B171</f>
        <v>H3</v>
      </c>
      <c r="N2406" t="s">
        <v>4134</v>
      </c>
      <c r="O2406">
        <v>1.4934195E7</v>
      </c>
      <c r="P2406">
        <v>1.282226E7</v>
      </c>
      <c r="Q2406" t="s">
        <v>423</v>
      </c>
      <c r="R2406" s="5"/>
      <c r="S2406" s="5"/>
      <c r="T2406" s="5"/>
      <c r="U2406" s="5"/>
      <c r="V2406" s="5"/>
      <c r="W2406" s="5"/>
      <c r="X2406" s="5"/>
      <c r="Y2406" s="5"/>
      <c r="Z2406" s="5"/>
      <c r="AA2406" s="5"/>
      <c r="AB2406" s="5"/>
      <c r="AC2406" s="5"/>
      <c r="AD2406" s="5"/>
      <c r="AE2406" s="5"/>
      <c r="AF2406" s="5"/>
      <c r="AG2406" s="5"/>
    </row>
    <row r="2407" ht="15.75" customHeight="1">
      <c r="K2407" t="s">
        <v>4135</v>
      </c>
      <c r="L2407" t="str">
        <f>B171</f>
        <v>H3</v>
      </c>
      <c r="N2407" t="s">
        <v>4136</v>
      </c>
      <c r="O2407">
        <v>2837192.0</v>
      </c>
      <c r="P2407">
        <v>2969151.0</v>
      </c>
      <c r="Q2407" t="s">
        <v>459</v>
      </c>
      <c r="R2407" s="5"/>
      <c r="S2407" s="5"/>
      <c r="T2407" s="5"/>
      <c r="U2407" s="5"/>
      <c r="V2407" s="5"/>
      <c r="W2407" s="5"/>
      <c r="X2407" s="5"/>
      <c r="Y2407" s="5"/>
      <c r="Z2407" s="5"/>
      <c r="AA2407" s="5"/>
      <c r="AB2407" s="5"/>
      <c r="AC2407" s="5"/>
      <c r="AD2407" s="5"/>
      <c r="AE2407" s="5"/>
      <c r="AF2407" s="5"/>
      <c r="AG2407" s="5"/>
    </row>
    <row r="2408" ht="15.75" customHeight="1">
      <c r="K2408" t="s">
        <v>4137</v>
      </c>
      <c r="L2408" t="str">
        <f>B171</f>
        <v>H3</v>
      </c>
      <c r="N2408" t="s">
        <v>4138</v>
      </c>
      <c r="O2408">
        <v>2873167.0</v>
      </c>
      <c r="P2408">
        <v>3005126.0</v>
      </c>
      <c r="Q2408" t="s">
        <v>459</v>
      </c>
      <c r="R2408" s="5"/>
      <c r="S2408" s="5"/>
      <c r="T2408" s="5"/>
      <c r="U2408" s="5"/>
      <c r="V2408" s="5"/>
      <c r="W2408" s="5"/>
      <c r="X2408" s="5"/>
      <c r="Y2408" s="5"/>
      <c r="Z2408" s="5"/>
      <c r="AA2408" s="5"/>
      <c r="AB2408" s="5"/>
      <c r="AC2408" s="5"/>
      <c r="AD2408" s="5"/>
      <c r="AE2408" s="5"/>
      <c r="AF2408" s="5"/>
      <c r="AG2408" s="5"/>
    </row>
    <row r="2409" ht="15.75" customHeight="1">
      <c r="K2409" t="s">
        <v>4139</v>
      </c>
      <c r="L2409" t="str">
        <f>B171</f>
        <v>H3</v>
      </c>
      <c r="N2409" t="s">
        <v>4140</v>
      </c>
      <c r="O2409">
        <v>6869900.0</v>
      </c>
      <c r="P2409">
        <v>7001859.0</v>
      </c>
      <c r="Q2409" t="s">
        <v>473</v>
      </c>
      <c r="R2409" s="5"/>
      <c r="S2409" s="5"/>
      <c r="T2409" s="5"/>
      <c r="U2409" s="5"/>
      <c r="V2409" s="5"/>
      <c r="W2409" s="5"/>
      <c r="X2409" s="5"/>
      <c r="Y2409" s="5"/>
      <c r="Z2409" s="5"/>
      <c r="AA2409" s="5"/>
      <c r="AB2409" s="5"/>
      <c r="AC2409" s="5"/>
      <c r="AD2409" s="5"/>
      <c r="AE2409" s="5"/>
      <c r="AF2409" s="5"/>
      <c r="AG2409" s="5"/>
    </row>
    <row r="2410" ht="15.75" customHeight="1">
      <c r="K2410" t="s">
        <v>4141</v>
      </c>
      <c r="L2410" t="str">
        <f>B171</f>
        <v>H3</v>
      </c>
      <c r="N2410" t="s">
        <v>4142</v>
      </c>
      <c r="O2410">
        <v>6958386.0</v>
      </c>
      <c r="P2410">
        <v>7090345.0</v>
      </c>
      <c r="Q2410" t="s">
        <v>423</v>
      </c>
      <c r="R2410" s="5"/>
      <c r="S2410" s="5"/>
      <c r="T2410" s="5"/>
      <c r="U2410" s="5"/>
      <c r="V2410" s="5"/>
      <c r="W2410" s="5"/>
      <c r="X2410" s="5"/>
      <c r="Y2410" s="5"/>
      <c r="Z2410" s="5"/>
      <c r="AA2410" s="5"/>
      <c r="AB2410" s="5"/>
      <c r="AC2410" s="5"/>
      <c r="AD2410" s="5"/>
      <c r="AE2410" s="5"/>
      <c r="AF2410" s="5"/>
      <c r="AG2410" s="5"/>
    </row>
    <row r="2411" ht="15.75" customHeight="1">
      <c r="K2411" t="s">
        <v>4143</v>
      </c>
      <c r="L2411" t="str">
        <f>B171</f>
        <v>H3</v>
      </c>
      <c r="N2411" t="s">
        <v>4144</v>
      </c>
      <c r="O2411">
        <v>6964855.0</v>
      </c>
      <c r="P2411">
        <v>7096814.0</v>
      </c>
      <c r="Q2411" t="s">
        <v>459</v>
      </c>
      <c r="R2411" s="5"/>
      <c r="S2411" s="5"/>
      <c r="T2411" s="5"/>
      <c r="U2411" s="5"/>
      <c r="V2411" s="5"/>
      <c r="W2411" s="5"/>
      <c r="X2411" s="5"/>
      <c r="Y2411" s="5"/>
      <c r="Z2411" s="5"/>
      <c r="AA2411" s="5"/>
      <c r="AB2411" s="5"/>
      <c r="AC2411" s="5"/>
      <c r="AD2411" s="5"/>
      <c r="AE2411" s="5"/>
      <c r="AF2411" s="5"/>
      <c r="AG2411" s="5"/>
    </row>
    <row r="2412" ht="15.75" customHeight="1">
      <c r="K2412" t="s">
        <v>4145</v>
      </c>
      <c r="L2412" t="str">
        <f>B171</f>
        <v>H3</v>
      </c>
      <c r="N2412" t="s">
        <v>4146</v>
      </c>
      <c r="O2412">
        <v>6983363.0</v>
      </c>
      <c r="P2412">
        <v>7115322.0</v>
      </c>
      <c r="Q2412" t="s">
        <v>448</v>
      </c>
      <c r="R2412" s="5"/>
      <c r="S2412" s="5"/>
      <c r="T2412" s="5"/>
      <c r="U2412" s="5"/>
      <c r="V2412" s="5"/>
      <c r="W2412" s="5"/>
      <c r="X2412" s="5"/>
      <c r="Y2412" s="5"/>
      <c r="Z2412" s="5"/>
      <c r="AA2412" s="5"/>
      <c r="AB2412" s="5"/>
      <c r="AC2412" s="5"/>
      <c r="AD2412" s="5"/>
      <c r="AE2412" s="5"/>
      <c r="AF2412" s="5"/>
      <c r="AG2412" s="5"/>
    </row>
    <row r="2413" ht="15.75" customHeight="1">
      <c r="K2413" t="s">
        <v>4147</v>
      </c>
      <c r="L2413" t="str">
        <f>B171</f>
        <v>H3</v>
      </c>
      <c r="N2413" t="s">
        <v>4148</v>
      </c>
      <c r="O2413">
        <v>7384982.0</v>
      </c>
      <c r="P2413">
        <v>7516941.0</v>
      </c>
      <c r="Q2413" t="s">
        <v>431</v>
      </c>
      <c r="R2413" s="5"/>
      <c r="S2413" s="5"/>
      <c r="T2413" s="5"/>
      <c r="U2413" s="5"/>
      <c r="V2413" s="5"/>
      <c r="W2413" s="5"/>
      <c r="X2413" s="5"/>
      <c r="Y2413" s="5"/>
      <c r="Z2413" s="5"/>
      <c r="AA2413" s="5"/>
      <c r="AB2413" s="5"/>
      <c r="AC2413" s="5"/>
      <c r="AD2413" s="5"/>
      <c r="AE2413" s="5"/>
      <c r="AF2413" s="5"/>
      <c r="AG2413" s="5"/>
    </row>
    <row r="2414" ht="15.75" customHeight="1">
      <c r="K2414" t="s">
        <v>4149</v>
      </c>
      <c r="L2414" t="str">
        <f>B171</f>
        <v>H3</v>
      </c>
      <c r="N2414" t="s">
        <v>4150</v>
      </c>
      <c r="O2414">
        <v>7921736.0</v>
      </c>
      <c r="P2414">
        <v>8053695.0</v>
      </c>
      <c r="Q2414" t="s">
        <v>427</v>
      </c>
      <c r="R2414" s="5"/>
      <c r="S2414" s="5"/>
      <c r="T2414" s="5"/>
      <c r="U2414" s="5"/>
      <c r="V2414" s="5"/>
      <c r="W2414" s="5"/>
      <c r="X2414" s="5"/>
      <c r="Y2414" s="5"/>
      <c r="Z2414" s="5"/>
      <c r="AA2414" s="5"/>
      <c r="AB2414" s="5"/>
      <c r="AC2414" s="5"/>
      <c r="AD2414" s="5"/>
      <c r="AE2414" s="5"/>
      <c r="AF2414" s="5"/>
      <c r="AG2414" s="5"/>
    </row>
    <row r="2415" ht="15.75" customHeight="1">
      <c r="K2415" t="s">
        <v>4151</v>
      </c>
      <c r="L2415" t="str">
        <f>B171</f>
        <v>H3</v>
      </c>
      <c r="N2415" t="s">
        <v>4152</v>
      </c>
      <c r="O2415">
        <v>8238824.0</v>
      </c>
      <c r="P2415">
        <v>8370783.0</v>
      </c>
      <c r="Q2415" t="s">
        <v>427</v>
      </c>
      <c r="R2415" s="5"/>
      <c r="S2415" s="5"/>
      <c r="T2415" s="5"/>
      <c r="U2415" s="5"/>
      <c r="V2415" s="5"/>
      <c r="W2415" s="5"/>
      <c r="X2415" s="5"/>
      <c r="Y2415" s="5"/>
      <c r="Z2415" s="5"/>
      <c r="AA2415" s="5"/>
      <c r="AB2415" s="5"/>
      <c r="AC2415" s="5"/>
      <c r="AD2415" s="5"/>
      <c r="AE2415" s="5"/>
      <c r="AF2415" s="5"/>
      <c r="AG2415" s="5"/>
    </row>
    <row r="2416" ht="15.75" customHeight="1">
      <c r="K2416" t="s">
        <v>4153</v>
      </c>
      <c r="L2416" t="str">
        <f>B171</f>
        <v>H3</v>
      </c>
      <c r="N2416" t="s">
        <v>4154</v>
      </c>
      <c r="O2416">
        <v>8435392.0</v>
      </c>
      <c r="P2416">
        <v>8567351.0</v>
      </c>
      <c r="Q2416" t="s">
        <v>423</v>
      </c>
      <c r="R2416" s="5"/>
      <c r="S2416" s="5"/>
      <c r="T2416" s="5"/>
      <c r="U2416" s="5"/>
      <c r="V2416" s="5"/>
      <c r="W2416" s="5"/>
      <c r="X2416" s="5"/>
      <c r="Y2416" s="5"/>
      <c r="Z2416" s="5"/>
      <c r="AA2416" s="5"/>
      <c r="AB2416" s="5"/>
      <c r="AC2416" s="5"/>
      <c r="AD2416" s="5"/>
      <c r="AE2416" s="5"/>
      <c r="AF2416" s="5"/>
      <c r="AG2416" s="5"/>
    </row>
    <row r="2417" ht="15.75" customHeight="1">
      <c r="K2417" t="s">
        <v>4155</v>
      </c>
      <c r="L2417" t="str">
        <f>B171</f>
        <v>H3</v>
      </c>
      <c r="N2417" t="s">
        <v>4156</v>
      </c>
      <c r="O2417">
        <v>8550637.0</v>
      </c>
      <c r="P2417">
        <v>8682596.0</v>
      </c>
      <c r="Q2417" t="s">
        <v>525</v>
      </c>
      <c r="R2417" s="5"/>
      <c r="S2417" s="5"/>
      <c r="T2417" s="5"/>
      <c r="U2417" s="5"/>
      <c r="V2417" s="5"/>
      <c r="W2417" s="5"/>
      <c r="X2417" s="5"/>
      <c r="Y2417" s="5"/>
      <c r="Z2417" s="5"/>
      <c r="AA2417" s="5"/>
      <c r="AB2417" s="5"/>
      <c r="AC2417" s="5"/>
      <c r="AD2417" s="5"/>
      <c r="AE2417" s="5"/>
      <c r="AF2417" s="5"/>
      <c r="AG2417" s="5"/>
    </row>
    <row r="2418" ht="15.75" customHeight="1">
      <c r="K2418" t="s">
        <v>4157</v>
      </c>
      <c r="L2418" t="str">
        <f>B171</f>
        <v>H3</v>
      </c>
      <c r="N2418" t="s">
        <v>4158</v>
      </c>
      <c r="O2418">
        <v>8576648.0</v>
      </c>
      <c r="P2418">
        <v>8708607.0</v>
      </c>
      <c r="Q2418" t="s">
        <v>427</v>
      </c>
      <c r="R2418" s="5"/>
      <c r="S2418" s="5"/>
      <c r="T2418" s="5"/>
      <c r="U2418" s="5"/>
      <c r="V2418" s="5"/>
      <c r="W2418" s="5"/>
      <c r="X2418" s="5"/>
      <c r="Y2418" s="5"/>
      <c r="Z2418" s="5"/>
      <c r="AA2418" s="5"/>
      <c r="AB2418" s="5"/>
      <c r="AC2418" s="5"/>
      <c r="AD2418" s="5"/>
      <c r="AE2418" s="5"/>
      <c r="AF2418" s="5"/>
      <c r="AG2418" s="5"/>
    </row>
    <row r="2419" ht="15.75" customHeight="1">
      <c r="K2419" t="s">
        <v>4159</v>
      </c>
      <c r="L2419" t="str">
        <f>B171</f>
        <v>H3</v>
      </c>
      <c r="N2419" t="s">
        <v>4160</v>
      </c>
      <c r="O2419">
        <v>8589767.0</v>
      </c>
      <c r="P2419">
        <v>8721726.0</v>
      </c>
      <c r="Q2419" t="s">
        <v>459</v>
      </c>
      <c r="R2419" s="5"/>
      <c r="S2419" s="5"/>
      <c r="T2419" s="5"/>
      <c r="U2419" s="5"/>
      <c r="V2419" s="5"/>
      <c r="W2419" s="5"/>
      <c r="X2419" s="5"/>
      <c r="Y2419" s="5"/>
      <c r="Z2419" s="5"/>
      <c r="AA2419" s="5"/>
      <c r="AB2419" s="5"/>
      <c r="AC2419" s="5"/>
      <c r="AD2419" s="5"/>
      <c r="AE2419" s="5"/>
      <c r="AF2419" s="5"/>
      <c r="AG2419" s="5"/>
    </row>
    <row r="2420" ht="15.75" customHeight="1">
      <c r="K2420" t="s">
        <v>4161</v>
      </c>
      <c r="L2420" t="str">
        <f>B171</f>
        <v>H3</v>
      </c>
      <c r="N2420" t="s">
        <v>4162</v>
      </c>
      <c r="O2420">
        <v>8590668.0</v>
      </c>
      <c r="P2420">
        <v>8722627.0</v>
      </c>
      <c r="Q2420" t="s">
        <v>419</v>
      </c>
      <c r="R2420" s="5"/>
      <c r="S2420" s="5"/>
      <c r="T2420" s="5"/>
      <c r="U2420" s="5"/>
      <c r="V2420" s="5"/>
      <c r="W2420" s="5"/>
      <c r="X2420" s="5"/>
      <c r="Y2420" s="5"/>
      <c r="Z2420" s="5"/>
      <c r="AA2420" s="5"/>
      <c r="AB2420" s="5"/>
      <c r="AC2420" s="5"/>
      <c r="AD2420" s="5"/>
      <c r="AE2420" s="5"/>
      <c r="AF2420" s="5"/>
      <c r="AG2420" s="5"/>
    </row>
    <row r="2421" ht="15.75" customHeight="1">
      <c r="K2421" t="s">
        <v>4163</v>
      </c>
      <c r="L2421" t="str">
        <f>B171</f>
        <v>H3</v>
      </c>
      <c r="N2421" t="s">
        <v>4164</v>
      </c>
      <c r="O2421">
        <v>8595552.0</v>
      </c>
      <c r="P2421">
        <v>8727511.0</v>
      </c>
      <c r="Q2421" t="s">
        <v>431</v>
      </c>
      <c r="R2421" s="5"/>
      <c r="S2421" s="5"/>
      <c r="T2421" s="5"/>
      <c r="U2421" s="5"/>
      <c r="V2421" s="5"/>
      <c r="W2421" s="5"/>
      <c r="X2421" s="5"/>
      <c r="Y2421" s="5"/>
      <c r="Z2421" s="5"/>
      <c r="AA2421" s="5"/>
      <c r="AB2421" s="5"/>
      <c r="AC2421" s="5"/>
      <c r="AD2421" s="5"/>
      <c r="AE2421" s="5"/>
      <c r="AF2421" s="5"/>
      <c r="AG2421" s="5"/>
    </row>
    <row r="2422" ht="15.75" customHeight="1">
      <c r="K2422" t="s">
        <v>4165</v>
      </c>
      <c r="L2422" t="str">
        <f>B171</f>
        <v>H3</v>
      </c>
      <c r="N2422" t="s">
        <v>4166</v>
      </c>
      <c r="O2422">
        <v>8610259.0</v>
      </c>
      <c r="P2422">
        <v>8742218.0</v>
      </c>
      <c r="Q2422" t="s">
        <v>427</v>
      </c>
      <c r="R2422" s="5"/>
      <c r="S2422" s="5"/>
      <c r="T2422" s="5"/>
      <c r="U2422" s="5"/>
      <c r="V2422" s="5"/>
      <c r="W2422" s="5"/>
      <c r="X2422" s="5"/>
      <c r="Y2422" s="5"/>
      <c r="Z2422" s="5"/>
      <c r="AA2422" s="5"/>
      <c r="AB2422" s="5"/>
      <c r="AC2422" s="5"/>
      <c r="AD2422" s="5"/>
      <c r="AE2422" s="5"/>
      <c r="AF2422" s="5"/>
      <c r="AG2422" s="5"/>
    </row>
    <row r="2423" ht="15.75" customHeight="1">
      <c r="K2423" t="s">
        <v>4167</v>
      </c>
      <c r="L2423" t="str">
        <f>B171</f>
        <v>H3</v>
      </c>
      <c r="N2423" t="s">
        <v>4168</v>
      </c>
      <c r="O2423">
        <v>8808439.0</v>
      </c>
      <c r="P2423">
        <v>8940398.0</v>
      </c>
      <c r="Q2423" t="s">
        <v>419</v>
      </c>
      <c r="R2423" s="5"/>
      <c r="S2423" s="5"/>
      <c r="T2423" s="5"/>
      <c r="U2423" s="5"/>
      <c r="V2423" s="5"/>
      <c r="W2423" s="5"/>
      <c r="X2423" s="5"/>
      <c r="Y2423" s="5"/>
      <c r="Z2423" s="5"/>
      <c r="AA2423" s="5"/>
      <c r="AB2423" s="5"/>
      <c r="AC2423" s="5"/>
      <c r="AD2423" s="5"/>
      <c r="AE2423" s="5"/>
      <c r="AF2423" s="5"/>
      <c r="AG2423" s="5"/>
    </row>
    <row r="2424" ht="15.75" customHeight="1">
      <c r="K2424" t="s">
        <v>4169</v>
      </c>
      <c r="L2424" t="str">
        <f>B171</f>
        <v>H3</v>
      </c>
      <c r="N2424" t="s">
        <v>4170</v>
      </c>
      <c r="O2424">
        <v>8828997.0</v>
      </c>
      <c r="P2424">
        <v>8960956.0</v>
      </c>
      <c r="Q2424" t="s">
        <v>423</v>
      </c>
      <c r="R2424" s="5"/>
      <c r="S2424" s="5"/>
      <c r="T2424" s="5"/>
      <c r="U2424" s="5"/>
      <c r="V2424" s="5"/>
      <c r="W2424" s="5"/>
      <c r="X2424" s="5"/>
      <c r="Y2424" s="5"/>
      <c r="Z2424" s="5"/>
      <c r="AA2424" s="5"/>
      <c r="AB2424" s="5"/>
      <c r="AC2424" s="5"/>
      <c r="AD2424" s="5"/>
      <c r="AE2424" s="5"/>
      <c r="AF2424" s="5"/>
      <c r="AG2424" s="5"/>
    </row>
    <row r="2425" ht="15.75" customHeight="1">
      <c r="K2425" t="s">
        <v>4171</v>
      </c>
      <c r="L2425" t="str">
        <f>B171</f>
        <v>H3</v>
      </c>
      <c r="N2425" t="s">
        <v>4172</v>
      </c>
      <c r="O2425">
        <v>8839116.0</v>
      </c>
      <c r="P2425">
        <v>8971075.0</v>
      </c>
      <c r="Q2425" t="s">
        <v>423</v>
      </c>
      <c r="R2425" s="5"/>
      <c r="S2425" s="5"/>
      <c r="T2425" s="5"/>
      <c r="U2425" s="5"/>
      <c r="V2425" s="5"/>
      <c r="W2425" s="5"/>
      <c r="X2425" s="5"/>
      <c r="Y2425" s="5"/>
      <c r="Z2425" s="5"/>
      <c r="AA2425" s="5"/>
      <c r="AB2425" s="5"/>
      <c r="AC2425" s="5"/>
      <c r="AD2425" s="5"/>
      <c r="AE2425" s="5"/>
      <c r="AF2425" s="5"/>
      <c r="AG2425" s="5"/>
    </row>
    <row r="2426" ht="15.75" customHeight="1">
      <c r="K2426" t="s">
        <v>4173</v>
      </c>
      <c r="L2426" t="str">
        <f>B171</f>
        <v>H3</v>
      </c>
      <c r="N2426" t="s">
        <v>4174</v>
      </c>
      <c r="O2426">
        <v>8885174.0</v>
      </c>
      <c r="P2426">
        <v>9017133.0</v>
      </c>
      <c r="Q2426" t="s">
        <v>435</v>
      </c>
      <c r="R2426" s="5"/>
      <c r="S2426" s="5"/>
      <c r="T2426" s="5"/>
      <c r="U2426" s="5"/>
      <c r="V2426" s="5"/>
      <c r="W2426" s="5"/>
      <c r="X2426" s="5"/>
      <c r="Y2426" s="5"/>
      <c r="Z2426" s="5"/>
      <c r="AA2426" s="5"/>
      <c r="AB2426" s="5"/>
      <c r="AC2426" s="5"/>
      <c r="AD2426" s="5"/>
      <c r="AE2426" s="5"/>
      <c r="AF2426" s="5"/>
      <c r="AG2426" s="5"/>
    </row>
    <row r="2427" ht="15.75" customHeight="1">
      <c r="K2427" t="s">
        <v>4175</v>
      </c>
      <c r="L2427" t="str">
        <f>B171</f>
        <v>H3</v>
      </c>
      <c r="N2427" t="s">
        <v>4176</v>
      </c>
      <c r="O2427">
        <v>9418033.0</v>
      </c>
      <c r="P2427">
        <v>9580424.0</v>
      </c>
      <c r="Q2427" t="s">
        <v>419</v>
      </c>
      <c r="R2427" s="5"/>
      <c r="S2427" s="5"/>
      <c r="T2427" s="5"/>
      <c r="U2427" s="5"/>
      <c r="V2427" s="5"/>
      <c r="W2427" s="5"/>
      <c r="X2427" s="5"/>
      <c r="Y2427" s="5"/>
      <c r="Z2427" s="5"/>
      <c r="AA2427" s="5"/>
      <c r="AB2427" s="5"/>
      <c r="AC2427" s="5"/>
      <c r="AD2427" s="5"/>
      <c r="AE2427" s="5"/>
      <c r="AF2427" s="5"/>
      <c r="AG2427" s="5"/>
    </row>
    <row r="2428" ht="15.75" customHeight="1">
      <c r="K2428" t="s">
        <v>4177</v>
      </c>
      <c r="L2428" t="str">
        <f>B171</f>
        <v>H3</v>
      </c>
      <c r="N2428" t="s">
        <v>4178</v>
      </c>
      <c r="O2428">
        <v>9773377.0</v>
      </c>
      <c r="P2428">
        <v>9935768.0</v>
      </c>
      <c r="Q2428" t="s">
        <v>427</v>
      </c>
      <c r="R2428" s="5"/>
      <c r="S2428" s="5"/>
      <c r="T2428" s="5"/>
      <c r="U2428" s="5"/>
      <c r="V2428" s="5"/>
      <c r="W2428" s="5"/>
      <c r="X2428" s="5"/>
      <c r="Y2428" s="5"/>
      <c r="Z2428" s="5"/>
      <c r="AA2428" s="5"/>
      <c r="AB2428" s="5"/>
      <c r="AC2428" s="5"/>
      <c r="AD2428" s="5"/>
      <c r="AE2428" s="5"/>
      <c r="AF2428" s="5"/>
      <c r="AG2428" s="5"/>
    </row>
    <row r="2429" ht="15.75" customHeight="1">
      <c r="K2429" t="s">
        <v>4179</v>
      </c>
      <c r="L2429" t="str">
        <f>B171</f>
        <v>H3</v>
      </c>
      <c r="N2429" t="s">
        <v>4180</v>
      </c>
      <c r="O2429">
        <v>9847849.0</v>
      </c>
      <c r="P2429">
        <v>1.001024E7</v>
      </c>
      <c r="Q2429" t="s">
        <v>473</v>
      </c>
      <c r="R2429" s="5"/>
      <c r="S2429" s="5"/>
      <c r="T2429" s="5"/>
      <c r="U2429" s="5"/>
      <c r="V2429" s="5"/>
      <c r="W2429" s="5"/>
      <c r="X2429" s="5"/>
      <c r="Y2429" s="5"/>
      <c r="Z2429" s="5"/>
      <c r="AA2429" s="5"/>
      <c r="AB2429" s="5"/>
      <c r="AC2429" s="5"/>
      <c r="AD2429" s="5"/>
      <c r="AE2429" s="5"/>
      <c r="AF2429" s="5"/>
      <c r="AG2429" s="5"/>
    </row>
    <row r="2430" ht="15.75" customHeight="1">
      <c r="K2430" t="s">
        <v>4181</v>
      </c>
      <c r="L2430" t="str">
        <f>B171</f>
        <v>H3</v>
      </c>
      <c r="N2430" t="s">
        <v>4182</v>
      </c>
      <c r="O2430">
        <v>9893934.0</v>
      </c>
      <c r="P2430">
        <v>1.0056325E7</v>
      </c>
      <c r="Q2430" t="s">
        <v>435</v>
      </c>
      <c r="R2430" s="5"/>
      <c r="S2430" s="5"/>
      <c r="T2430" s="5"/>
      <c r="U2430" s="5"/>
      <c r="V2430" s="5"/>
      <c r="W2430" s="5"/>
      <c r="X2430" s="5"/>
      <c r="Y2430" s="5"/>
      <c r="Z2430" s="5"/>
      <c r="AA2430" s="5"/>
      <c r="AB2430" s="5"/>
      <c r="AC2430" s="5"/>
      <c r="AD2430" s="5"/>
      <c r="AE2430" s="5"/>
      <c r="AF2430" s="5"/>
      <c r="AG2430" s="5"/>
    </row>
    <row r="2431" ht="15.75" customHeight="1">
      <c r="K2431" t="s">
        <v>4183</v>
      </c>
      <c r="L2431" t="str">
        <f>B171</f>
        <v>H3</v>
      </c>
      <c r="N2431" t="s">
        <v>4184</v>
      </c>
      <c r="O2431">
        <v>1.3221182E7</v>
      </c>
      <c r="P2431">
        <v>1.1065506E7</v>
      </c>
      <c r="Q2431" t="s">
        <v>423</v>
      </c>
      <c r="R2431" s="5"/>
      <c r="S2431" s="5"/>
      <c r="T2431" s="5"/>
      <c r="U2431" s="5"/>
      <c r="V2431" s="5"/>
      <c r="W2431" s="5"/>
      <c r="X2431" s="5"/>
      <c r="Y2431" s="5"/>
      <c r="Z2431" s="5"/>
      <c r="AA2431" s="5"/>
      <c r="AB2431" s="5"/>
      <c r="AC2431" s="5"/>
      <c r="AD2431" s="5"/>
      <c r="AE2431" s="5"/>
      <c r="AF2431" s="5"/>
      <c r="AG2431" s="5"/>
    </row>
    <row r="2432" ht="15.75" customHeight="1">
      <c r="K2432" t="s">
        <v>4185</v>
      </c>
      <c r="L2432" t="str">
        <f>B171</f>
        <v>H3</v>
      </c>
      <c r="N2432" t="s">
        <v>4186</v>
      </c>
      <c r="O2432">
        <v>1.3655905E7</v>
      </c>
      <c r="P2432">
        <v>1.1500229E7</v>
      </c>
      <c r="Q2432" t="s">
        <v>452</v>
      </c>
      <c r="R2432" s="5"/>
      <c r="S2432" s="5"/>
      <c r="T2432" s="5"/>
      <c r="U2432" s="5"/>
      <c r="V2432" s="5"/>
      <c r="W2432" s="5"/>
      <c r="X2432" s="5"/>
      <c r="Y2432" s="5"/>
      <c r="Z2432" s="5"/>
      <c r="AA2432" s="5"/>
      <c r="AB2432" s="5"/>
      <c r="AC2432" s="5"/>
      <c r="AD2432" s="5"/>
      <c r="AE2432" s="5"/>
      <c r="AF2432" s="5"/>
      <c r="AG2432" s="5"/>
    </row>
    <row r="2433" ht="15.75" customHeight="1">
      <c r="K2433" t="s">
        <v>4187</v>
      </c>
      <c r="L2433" t="str">
        <f>B171</f>
        <v>H3</v>
      </c>
      <c r="N2433" t="s">
        <v>4188</v>
      </c>
      <c r="O2433">
        <v>1.365598E7</v>
      </c>
      <c r="P2433">
        <v>1.1500304E7</v>
      </c>
      <c r="Q2433" t="s">
        <v>452</v>
      </c>
      <c r="R2433" s="5"/>
      <c r="S2433" s="5"/>
      <c r="T2433" s="5"/>
      <c r="U2433" s="5"/>
      <c r="V2433" s="5"/>
      <c r="W2433" s="5"/>
      <c r="X2433" s="5"/>
      <c r="Y2433" s="5"/>
      <c r="Z2433" s="5"/>
      <c r="AA2433" s="5"/>
      <c r="AB2433" s="5"/>
      <c r="AC2433" s="5"/>
      <c r="AD2433" s="5"/>
      <c r="AE2433" s="5"/>
      <c r="AF2433" s="5"/>
      <c r="AG2433" s="5"/>
    </row>
    <row r="2434" ht="15.75" customHeight="1">
      <c r="K2434" t="s">
        <v>4189</v>
      </c>
      <c r="L2434" t="str">
        <f>B171</f>
        <v>H3</v>
      </c>
      <c r="N2434" t="s">
        <v>4190</v>
      </c>
      <c r="O2434">
        <v>1.3668337E7</v>
      </c>
      <c r="P2434">
        <v>1.1512661E7</v>
      </c>
      <c r="Q2434" t="s">
        <v>431</v>
      </c>
      <c r="R2434" s="5"/>
      <c r="S2434" s="5"/>
      <c r="T2434" s="5"/>
      <c r="U2434" s="5"/>
      <c r="V2434" s="5"/>
      <c r="W2434" s="5"/>
      <c r="X2434" s="5"/>
      <c r="Y2434" s="5"/>
      <c r="Z2434" s="5"/>
      <c r="AA2434" s="5"/>
      <c r="AB2434" s="5"/>
      <c r="AC2434" s="5"/>
      <c r="AD2434" s="5"/>
      <c r="AE2434" s="5"/>
      <c r="AF2434" s="5"/>
      <c r="AG2434" s="5"/>
    </row>
    <row r="2435" ht="15.75" customHeight="1">
      <c r="K2435" t="s">
        <v>4191</v>
      </c>
      <c r="L2435" t="str">
        <f>B171</f>
        <v>H3</v>
      </c>
      <c r="N2435" t="s">
        <v>4192</v>
      </c>
      <c r="O2435">
        <v>1.3807861E7</v>
      </c>
      <c r="P2435">
        <v>1.1687155E7</v>
      </c>
      <c r="Q2435" t="s">
        <v>423</v>
      </c>
      <c r="R2435" s="5"/>
      <c r="S2435" s="5"/>
      <c r="T2435" s="5"/>
      <c r="U2435" s="5"/>
      <c r="V2435" s="5"/>
      <c r="W2435" s="5"/>
      <c r="X2435" s="5"/>
      <c r="Y2435" s="5"/>
      <c r="Z2435" s="5"/>
      <c r="AA2435" s="5"/>
      <c r="AB2435" s="5"/>
      <c r="AC2435" s="5"/>
      <c r="AD2435" s="5"/>
      <c r="AE2435" s="5"/>
      <c r="AF2435" s="5"/>
      <c r="AG2435" s="5"/>
    </row>
    <row r="2436" ht="15.75" customHeight="1">
      <c r="K2436" t="s">
        <v>4193</v>
      </c>
      <c r="L2436" t="str">
        <f>B171</f>
        <v>H3</v>
      </c>
      <c r="N2436" t="s">
        <v>4194</v>
      </c>
      <c r="O2436">
        <v>1.3847747E7</v>
      </c>
      <c r="P2436">
        <v>1.1727041E7</v>
      </c>
      <c r="Q2436" t="s">
        <v>423</v>
      </c>
      <c r="R2436" s="5"/>
      <c r="S2436" s="5"/>
      <c r="T2436" s="5"/>
      <c r="U2436" s="5"/>
      <c r="V2436" s="5"/>
      <c r="W2436" s="5"/>
      <c r="X2436" s="5"/>
      <c r="Y2436" s="5"/>
      <c r="Z2436" s="5"/>
      <c r="AA2436" s="5"/>
      <c r="AB2436" s="5"/>
      <c r="AC2436" s="5"/>
      <c r="AD2436" s="5"/>
      <c r="AE2436" s="5"/>
      <c r="AF2436" s="5"/>
      <c r="AG2436" s="5"/>
    </row>
    <row r="2437" ht="15.75" customHeight="1">
      <c r="K2437" t="s">
        <v>4195</v>
      </c>
      <c r="L2437" t="str">
        <f>B171</f>
        <v>H3</v>
      </c>
      <c r="N2437" t="s">
        <v>4196</v>
      </c>
      <c r="O2437">
        <v>1.3849996E7</v>
      </c>
      <c r="P2437">
        <v>1.172929E7</v>
      </c>
      <c r="Q2437" t="s">
        <v>419</v>
      </c>
      <c r="R2437" s="5"/>
      <c r="S2437" s="5"/>
      <c r="T2437" s="5"/>
      <c r="U2437" s="5"/>
      <c r="V2437" s="5"/>
      <c r="W2437" s="5"/>
      <c r="X2437" s="5"/>
      <c r="Y2437" s="5"/>
      <c r="Z2437" s="5"/>
      <c r="AA2437" s="5"/>
      <c r="AB2437" s="5"/>
      <c r="AC2437" s="5"/>
      <c r="AD2437" s="5"/>
      <c r="AE2437" s="5"/>
      <c r="AF2437" s="5"/>
      <c r="AG2437" s="5"/>
    </row>
    <row r="2438" ht="15.75" customHeight="1">
      <c r="K2438" t="s">
        <v>4197</v>
      </c>
      <c r="L2438" t="str">
        <f>B171</f>
        <v>H3</v>
      </c>
      <c r="N2438" t="s">
        <v>4198</v>
      </c>
      <c r="O2438">
        <v>1.4402597E7</v>
      </c>
      <c r="P2438">
        <v>1.2281894E7</v>
      </c>
      <c r="Q2438" t="s">
        <v>476</v>
      </c>
      <c r="R2438" s="5"/>
      <c r="S2438" s="5"/>
      <c r="T2438" s="5"/>
      <c r="U2438" s="5"/>
      <c r="V2438" s="5"/>
      <c r="W2438" s="5"/>
      <c r="X2438" s="5"/>
      <c r="Y2438" s="5"/>
      <c r="Z2438" s="5"/>
      <c r="AA2438" s="5"/>
      <c r="AB2438" s="5"/>
      <c r="AC2438" s="5"/>
      <c r="AD2438" s="5"/>
      <c r="AE2438" s="5"/>
      <c r="AF2438" s="5"/>
      <c r="AG2438" s="5"/>
    </row>
    <row r="2439" ht="15.75" customHeight="1">
      <c r="K2439" t="s">
        <v>4199</v>
      </c>
      <c r="L2439" t="str">
        <f>B171</f>
        <v>H3</v>
      </c>
      <c r="N2439" t="s">
        <v>4200</v>
      </c>
      <c r="O2439">
        <v>1.4503344E7</v>
      </c>
      <c r="P2439">
        <v>1.2391549E7</v>
      </c>
      <c r="Q2439" t="s">
        <v>431</v>
      </c>
      <c r="R2439" s="5"/>
      <c r="S2439" s="5"/>
      <c r="T2439" s="5"/>
      <c r="U2439" s="5"/>
      <c r="V2439" s="5"/>
      <c r="W2439" s="5"/>
      <c r="X2439" s="5"/>
      <c r="Y2439" s="5"/>
      <c r="Z2439" s="5"/>
      <c r="AA2439" s="5"/>
      <c r="AB2439" s="5"/>
      <c r="AC2439" s="5"/>
      <c r="AD2439" s="5"/>
      <c r="AE2439" s="5"/>
      <c r="AF2439" s="5"/>
      <c r="AG2439" s="5"/>
    </row>
    <row r="2440" ht="15.75" customHeight="1">
      <c r="K2440" t="s">
        <v>4201</v>
      </c>
      <c r="L2440" t="str">
        <f>B171</f>
        <v>H3</v>
      </c>
      <c r="N2440" t="s">
        <v>4202</v>
      </c>
      <c r="O2440">
        <v>1.4791866E7</v>
      </c>
      <c r="P2440">
        <v>1.2679937E7</v>
      </c>
      <c r="Q2440" t="s">
        <v>431</v>
      </c>
      <c r="R2440" s="5"/>
      <c r="S2440" s="5"/>
      <c r="T2440" s="5"/>
      <c r="U2440" s="5"/>
      <c r="V2440" s="5"/>
      <c r="W2440" s="5"/>
      <c r="X2440" s="5"/>
      <c r="Y2440" s="5"/>
      <c r="Z2440" s="5"/>
      <c r="AA2440" s="5"/>
      <c r="AB2440" s="5"/>
      <c r="AC2440" s="5"/>
      <c r="AD2440" s="5"/>
      <c r="AE2440" s="5"/>
      <c r="AF2440" s="5"/>
      <c r="AG2440" s="5"/>
    </row>
    <row r="2441" ht="15.75" customHeight="1">
      <c r="K2441" t="s">
        <v>4203</v>
      </c>
      <c r="L2441" t="str">
        <f>B171</f>
        <v>H3</v>
      </c>
      <c r="N2441" t="s">
        <v>4204</v>
      </c>
      <c r="O2441">
        <v>1.4976485E7</v>
      </c>
      <c r="P2441">
        <v>1.286456E7</v>
      </c>
      <c r="Q2441" t="s">
        <v>423</v>
      </c>
      <c r="R2441" s="5"/>
      <c r="S2441" s="5"/>
      <c r="T2441" s="5"/>
      <c r="U2441" s="5"/>
      <c r="V2441" s="5"/>
      <c r="W2441" s="5"/>
      <c r="X2441" s="5"/>
      <c r="Y2441" s="5"/>
      <c r="Z2441" s="5"/>
      <c r="AA2441" s="5"/>
      <c r="AB2441" s="5"/>
      <c r="AC2441" s="5"/>
      <c r="AD2441" s="5"/>
      <c r="AE2441" s="5"/>
      <c r="AF2441" s="5"/>
      <c r="AG2441" s="5"/>
    </row>
    <row r="2442" ht="15.75" customHeight="1">
      <c r="K2442" t="s">
        <v>4205</v>
      </c>
      <c r="L2442" t="str">
        <f>B171</f>
        <v>H3</v>
      </c>
      <c r="N2442" t="s">
        <v>4206</v>
      </c>
      <c r="O2442">
        <v>1.5207006E7</v>
      </c>
      <c r="P2442">
        <v>1.3095092E7</v>
      </c>
      <c r="Q2442" t="s">
        <v>435</v>
      </c>
      <c r="R2442" s="5"/>
      <c r="S2442" s="5"/>
      <c r="T2442" s="5"/>
      <c r="U2442" s="5"/>
      <c r="V2442" s="5"/>
      <c r="W2442" s="5"/>
      <c r="X2442" s="5"/>
      <c r="Y2442" s="5"/>
      <c r="Z2442" s="5"/>
      <c r="AA2442" s="5"/>
      <c r="AB2442" s="5"/>
      <c r="AC2442" s="5"/>
      <c r="AD2442" s="5"/>
      <c r="AE2442" s="5"/>
      <c r="AF2442" s="5"/>
      <c r="AG2442" s="5"/>
    </row>
    <row r="2443" ht="15.75" customHeight="1">
      <c r="K2443" t="s">
        <v>4207</v>
      </c>
      <c r="L2443" t="str">
        <f>B171</f>
        <v>H3</v>
      </c>
      <c r="N2443" t="s">
        <v>4208</v>
      </c>
      <c r="O2443">
        <v>1.5681064E7</v>
      </c>
      <c r="P2443">
        <v>1.3569184E7</v>
      </c>
      <c r="Q2443" t="s">
        <v>427</v>
      </c>
      <c r="R2443" s="5"/>
      <c r="S2443" s="5"/>
      <c r="T2443" s="5"/>
      <c r="U2443" s="5"/>
      <c r="V2443" s="5"/>
      <c r="W2443" s="5"/>
      <c r="X2443" s="5"/>
      <c r="Y2443" s="5"/>
      <c r="Z2443" s="5"/>
      <c r="AA2443" s="5"/>
      <c r="AB2443" s="5"/>
      <c r="AC2443" s="5"/>
      <c r="AD2443" s="5"/>
      <c r="AE2443" s="5"/>
      <c r="AF2443" s="5"/>
      <c r="AG2443" s="5"/>
    </row>
    <row r="2444" ht="15.75" customHeight="1">
      <c r="K2444" t="s">
        <v>4209</v>
      </c>
      <c r="L2444" t="str">
        <f>B171</f>
        <v>H3</v>
      </c>
      <c r="N2444" t="s">
        <v>4210</v>
      </c>
      <c r="O2444">
        <v>1.5723168E7</v>
      </c>
      <c r="P2444">
        <v>1.3611288E7</v>
      </c>
      <c r="Q2444" t="s">
        <v>423</v>
      </c>
      <c r="R2444" s="5"/>
      <c r="S2444" s="5"/>
      <c r="T2444" s="5"/>
      <c r="U2444" s="5"/>
      <c r="V2444" s="5"/>
      <c r="W2444" s="5"/>
      <c r="X2444" s="5"/>
      <c r="Y2444" s="5"/>
      <c r="Z2444" s="5"/>
      <c r="AA2444" s="5"/>
      <c r="AB2444" s="5"/>
      <c r="AC2444" s="5"/>
      <c r="AD2444" s="5"/>
      <c r="AE2444" s="5"/>
      <c r="AF2444" s="5"/>
      <c r="AG2444" s="5"/>
    </row>
    <row r="2445" ht="15.75" customHeight="1">
      <c r="K2445" t="s">
        <v>4211</v>
      </c>
      <c r="L2445" t="str">
        <f>B171</f>
        <v>H3</v>
      </c>
      <c r="N2445" t="s">
        <v>4212</v>
      </c>
      <c r="O2445">
        <v>1.6363476E7</v>
      </c>
      <c r="P2445">
        <v>1.4251596E7</v>
      </c>
      <c r="Q2445" t="s">
        <v>435</v>
      </c>
      <c r="R2445" s="5"/>
      <c r="S2445" s="5"/>
      <c r="T2445" s="5"/>
      <c r="U2445" s="5"/>
      <c r="V2445" s="5"/>
      <c r="W2445" s="5"/>
      <c r="X2445" s="5"/>
      <c r="Y2445" s="5"/>
      <c r="Z2445" s="5"/>
      <c r="AA2445" s="5"/>
      <c r="AB2445" s="5"/>
      <c r="AC2445" s="5"/>
      <c r="AD2445" s="5"/>
      <c r="AE2445" s="5"/>
      <c r="AF2445" s="5"/>
      <c r="AG2445" s="5"/>
    </row>
    <row r="2446" ht="15.75" customHeight="1">
      <c r="K2446" t="s">
        <v>4213</v>
      </c>
      <c r="L2446" t="str">
        <f>B171</f>
        <v>H3</v>
      </c>
      <c r="N2446" t="s">
        <v>4214</v>
      </c>
      <c r="O2446">
        <v>1.6503832E7</v>
      </c>
      <c r="P2446">
        <v>1.4391952E7</v>
      </c>
      <c r="Q2446" t="s">
        <v>419</v>
      </c>
      <c r="R2446" s="5"/>
      <c r="S2446" s="5"/>
      <c r="T2446" s="5"/>
      <c r="U2446" s="5"/>
      <c r="V2446" s="5"/>
      <c r="W2446" s="5"/>
      <c r="X2446" s="5"/>
      <c r="Y2446" s="5"/>
      <c r="Z2446" s="5"/>
      <c r="AA2446" s="5"/>
      <c r="AB2446" s="5"/>
      <c r="AC2446" s="5"/>
      <c r="AD2446" s="5"/>
      <c r="AE2446" s="5"/>
      <c r="AF2446" s="5"/>
      <c r="AG2446" s="5"/>
    </row>
    <row r="2447" ht="15.75" customHeight="1">
      <c r="K2447" t="s">
        <v>4215</v>
      </c>
      <c r="L2447" t="str">
        <f>B171</f>
        <v>H3</v>
      </c>
      <c r="N2447" t="s">
        <v>4216</v>
      </c>
      <c r="O2447">
        <v>1.6611844E7</v>
      </c>
      <c r="P2447">
        <v>1.4499964E7</v>
      </c>
      <c r="Q2447" t="s">
        <v>419</v>
      </c>
      <c r="R2447" s="5"/>
      <c r="S2447" s="5"/>
      <c r="T2447" s="5"/>
      <c r="U2447" s="5"/>
      <c r="V2447" s="5"/>
      <c r="W2447" s="5"/>
      <c r="X2447" s="5"/>
      <c r="Y2447" s="5"/>
      <c r="Z2447" s="5"/>
      <c r="AA2447" s="5"/>
      <c r="AB2447" s="5"/>
      <c r="AC2447" s="5"/>
      <c r="AD2447" s="5"/>
      <c r="AE2447" s="5"/>
      <c r="AF2447" s="5"/>
      <c r="AG2447" s="5"/>
    </row>
    <row r="2448" ht="15.75" customHeight="1">
      <c r="K2448" t="s">
        <v>4217</v>
      </c>
      <c r="L2448" t="str">
        <f>B171</f>
        <v>H3</v>
      </c>
      <c r="N2448" t="s">
        <v>4218</v>
      </c>
      <c r="O2448">
        <v>1.6669102E7</v>
      </c>
      <c r="P2448">
        <v>1.4557222E7</v>
      </c>
      <c r="Q2448" t="s">
        <v>452</v>
      </c>
      <c r="R2448" s="5"/>
      <c r="S2448" s="5"/>
      <c r="T2448" s="5"/>
      <c r="U2448" s="5"/>
      <c r="V2448" s="5"/>
      <c r="W2448" s="5"/>
      <c r="X2448" s="5"/>
      <c r="Y2448" s="5"/>
      <c r="Z2448" s="5"/>
      <c r="AA2448" s="5"/>
      <c r="AB2448" s="5"/>
      <c r="AC2448" s="5"/>
      <c r="AD2448" s="5"/>
      <c r="AE2448" s="5"/>
      <c r="AF2448" s="5"/>
      <c r="AG2448" s="5"/>
    </row>
    <row r="2449" ht="15.75" customHeight="1">
      <c r="K2449" t="s">
        <v>4219</v>
      </c>
      <c r="L2449" t="str">
        <f>B171</f>
        <v>H3</v>
      </c>
      <c r="N2449" t="s">
        <v>4220</v>
      </c>
      <c r="O2449">
        <v>1.6749652E7</v>
      </c>
      <c r="P2449">
        <v>1.4637772E7</v>
      </c>
      <c r="Q2449" t="s">
        <v>419</v>
      </c>
      <c r="R2449" s="5"/>
      <c r="S2449" s="5"/>
      <c r="T2449" s="5"/>
      <c r="U2449" s="5"/>
      <c r="V2449" s="5"/>
      <c r="W2449" s="5"/>
      <c r="X2449" s="5"/>
      <c r="Y2449" s="5"/>
      <c r="Z2449" s="5"/>
      <c r="AA2449" s="5"/>
      <c r="AB2449" s="5"/>
      <c r="AC2449" s="5"/>
      <c r="AD2449" s="5"/>
      <c r="AE2449" s="5"/>
      <c r="AF2449" s="5"/>
      <c r="AG2449" s="5"/>
    </row>
    <row r="2450" ht="15.75" customHeight="1">
      <c r="K2450" t="s">
        <v>4221</v>
      </c>
      <c r="L2450" t="str">
        <f>B171</f>
        <v>H3</v>
      </c>
      <c r="N2450" t="s">
        <v>4222</v>
      </c>
      <c r="O2450">
        <v>1.7288291E7</v>
      </c>
      <c r="P2450">
        <v>1.5176411E7</v>
      </c>
      <c r="Q2450" t="s">
        <v>427</v>
      </c>
      <c r="R2450" s="5"/>
      <c r="S2450" s="5"/>
      <c r="T2450" s="5"/>
      <c r="U2450" s="5"/>
      <c r="V2450" s="5"/>
      <c r="W2450" s="5"/>
      <c r="X2450" s="5"/>
      <c r="Y2450" s="5"/>
      <c r="Z2450" s="5"/>
      <c r="AA2450" s="5"/>
      <c r="AB2450" s="5"/>
      <c r="AC2450" s="5"/>
      <c r="AD2450" s="5"/>
      <c r="AE2450" s="5"/>
      <c r="AF2450" s="5"/>
      <c r="AG2450" s="5"/>
    </row>
    <row r="2451" ht="15.75" customHeight="1">
      <c r="K2451" t="s">
        <v>4223</v>
      </c>
      <c r="L2451" t="str">
        <f>B171</f>
        <v>H3</v>
      </c>
      <c r="N2451" t="s">
        <v>4224</v>
      </c>
      <c r="O2451">
        <v>1.7544312E7</v>
      </c>
      <c r="P2451">
        <v>1.5432432E7</v>
      </c>
      <c r="Q2451" t="s">
        <v>427</v>
      </c>
      <c r="R2451" s="5"/>
      <c r="S2451" s="5"/>
      <c r="T2451" s="5"/>
      <c r="U2451" s="5"/>
      <c r="V2451" s="5"/>
      <c r="W2451" s="5"/>
      <c r="X2451" s="5"/>
      <c r="Y2451" s="5"/>
      <c r="Z2451" s="5"/>
      <c r="AA2451" s="5"/>
      <c r="AB2451" s="5"/>
      <c r="AC2451" s="5"/>
      <c r="AD2451" s="5"/>
      <c r="AE2451" s="5"/>
      <c r="AF2451" s="5"/>
      <c r="AG2451" s="5"/>
    </row>
    <row r="2452" ht="15.75" customHeight="1">
      <c r="K2452" t="s">
        <v>4225</v>
      </c>
      <c r="L2452" t="str">
        <f>B171</f>
        <v>H3</v>
      </c>
      <c r="N2452" t="s">
        <v>4226</v>
      </c>
      <c r="O2452">
        <v>1.7606413E7</v>
      </c>
      <c r="P2452">
        <v>1.5494533E7</v>
      </c>
      <c r="Q2452" t="s">
        <v>452</v>
      </c>
      <c r="R2452" s="5"/>
      <c r="S2452" s="5"/>
      <c r="T2452" s="5"/>
      <c r="U2452" s="5"/>
      <c r="V2452" s="5"/>
      <c r="W2452" s="5"/>
      <c r="X2452" s="5"/>
      <c r="Y2452" s="5"/>
      <c r="Z2452" s="5"/>
      <c r="AA2452" s="5"/>
      <c r="AB2452" s="5"/>
      <c r="AC2452" s="5"/>
      <c r="AD2452" s="5"/>
      <c r="AE2452" s="5"/>
      <c r="AF2452" s="5"/>
      <c r="AG2452" s="5"/>
    </row>
    <row r="2453" ht="15.75" customHeight="1">
      <c r="K2453" t="s">
        <v>4227</v>
      </c>
      <c r="L2453" t="str">
        <f>B171</f>
        <v>H3</v>
      </c>
      <c r="N2453" t="s">
        <v>4228</v>
      </c>
      <c r="O2453">
        <v>1.7677193E7</v>
      </c>
      <c r="P2453">
        <v>1.5565313E7</v>
      </c>
      <c r="Q2453" t="s">
        <v>435</v>
      </c>
      <c r="R2453" s="5"/>
      <c r="S2453" s="5"/>
      <c r="T2453" s="5"/>
      <c r="U2453" s="5"/>
      <c r="V2453" s="5"/>
      <c r="W2453" s="5"/>
      <c r="X2453" s="5"/>
      <c r="Y2453" s="5"/>
      <c r="Z2453" s="5"/>
      <c r="AA2453" s="5"/>
      <c r="AB2453" s="5"/>
      <c r="AC2453" s="5"/>
      <c r="AD2453" s="5"/>
      <c r="AE2453" s="5"/>
      <c r="AF2453" s="5"/>
      <c r="AG2453" s="5"/>
    </row>
    <row r="2454" ht="15.75" customHeight="1">
      <c r="K2454" t="s">
        <v>4229</v>
      </c>
      <c r="L2454" t="str">
        <f>B171</f>
        <v>H3</v>
      </c>
      <c r="N2454" t="s">
        <v>4230</v>
      </c>
      <c r="O2454">
        <v>1.768115E7</v>
      </c>
      <c r="P2454">
        <v>1.556927E7</v>
      </c>
      <c r="Q2454" t="s">
        <v>448</v>
      </c>
      <c r="R2454" s="5"/>
      <c r="S2454" s="5"/>
      <c r="T2454" s="5"/>
      <c r="U2454" s="5"/>
      <c r="V2454" s="5"/>
      <c r="W2454" s="5"/>
      <c r="X2454" s="5"/>
      <c r="Y2454" s="5"/>
      <c r="Z2454" s="5"/>
      <c r="AA2454" s="5"/>
      <c r="AB2454" s="5"/>
      <c r="AC2454" s="5"/>
      <c r="AD2454" s="5"/>
      <c r="AE2454" s="5"/>
      <c r="AF2454" s="5"/>
      <c r="AG2454" s="5"/>
    </row>
    <row r="2455" ht="15.75" customHeight="1">
      <c r="K2455" t="s">
        <v>4231</v>
      </c>
      <c r="L2455" t="str">
        <f>B171</f>
        <v>H3</v>
      </c>
      <c r="N2455" t="s">
        <v>4232</v>
      </c>
      <c r="O2455">
        <v>1.7753836E7</v>
      </c>
      <c r="P2455">
        <v>1.5641956E7</v>
      </c>
      <c r="Q2455" t="s">
        <v>423</v>
      </c>
      <c r="R2455" s="5"/>
      <c r="S2455" s="5"/>
      <c r="T2455" s="5"/>
      <c r="U2455" s="5"/>
      <c r="V2455" s="5"/>
      <c r="W2455" s="5"/>
      <c r="X2455" s="5"/>
      <c r="Y2455" s="5"/>
      <c r="Z2455" s="5"/>
      <c r="AA2455" s="5"/>
      <c r="AB2455" s="5"/>
      <c r="AC2455" s="5"/>
      <c r="AD2455" s="5"/>
      <c r="AE2455" s="5"/>
      <c r="AF2455" s="5"/>
      <c r="AG2455" s="5"/>
    </row>
    <row r="2456" ht="15.75" customHeight="1">
      <c r="K2456" t="s">
        <v>4233</v>
      </c>
      <c r="L2456" t="str">
        <f>B171</f>
        <v>H3</v>
      </c>
      <c r="N2456" t="s">
        <v>4234</v>
      </c>
      <c r="O2456">
        <v>1.782117E7</v>
      </c>
      <c r="P2456">
        <v>1.570929E7</v>
      </c>
      <c r="Q2456" t="s">
        <v>473</v>
      </c>
      <c r="R2456" s="5"/>
      <c r="S2456" s="5"/>
      <c r="T2456" s="5"/>
      <c r="U2456" s="5"/>
      <c r="V2456" s="5"/>
      <c r="W2456" s="5"/>
      <c r="X2456" s="5"/>
      <c r="Y2456" s="5"/>
      <c r="Z2456" s="5"/>
      <c r="AA2456" s="5"/>
      <c r="AB2456" s="5"/>
      <c r="AC2456" s="5"/>
      <c r="AD2456" s="5"/>
      <c r="AE2456" s="5"/>
      <c r="AF2456" s="5"/>
      <c r="AG2456" s="5"/>
    </row>
    <row r="2457" ht="15.75" customHeight="1">
      <c r="K2457" t="s">
        <v>4235</v>
      </c>
      <c r="L2457" t="str">
        <f>B171</f>
        <v>H3</v>
      </c>
      <c r="N2457" t="s">
        <v>4236</v>
      </c>
      <c r="O2457">
        <v>1.7863651E7</v>
      </c>
      <c r="P2457">
        <v>1.5751771E7</v>
      </c>
      <c r="Q2457" t="s">
        <v>452</v>
      </c>
      <c r="R2457" s="5"/>
      <c r="S2457" s="5"/>
      <c r="T2457" s="5"/>
      <c r="U2457" s="5"/>
      <c r="V2457" s="5"/>
      <c r="W2457" s="5"/>
      <c r="X2457" s="5"/>
      <c r="Y2457" s="5"/>
      <c r="Z2457" s="5"/>
      <c r="AA2457" s="5"/>
      <c r="AB2457" s="5"/>
      <c r="AC2457" s="5"/>
      <c r="AD2457" s="5"/>
      <c r="AE2457" s="5"/>
      <c r="AF2457" s="5"/>
      <c r="AG2457" s="5"/>
    </row>
    <row r="2458" ht="15.75" customHeight="1">
      <c r="K2458" t="s">
        <v>4237</v>
      </c>
      <c r="L2458" t="str">
        <f>B171</f>
        <v>H3</v>
      </c>
      <c r="N2458" t="s">
        <v>4238</v>
      </c>
      <c r="O2458">
        <v>1.7974176E7</v>
      </c>
      <c r="P2458">
        <v>1.5862296E7</v>
      </c>
      <c r="Q2458" t="s">
        <v>423</v>
      </c>
      <c r="R2458" s="5"/>
      <c r="S2458" s="5"/>
      <c r="T2458" s="5"/>
      <c r="U2458" s="5"/>
      <c r="V2458" s="5"/>
      <c r="W2458" s="5"/>
      <c r="X2458" s="5"/>
      <c r="Y2458" s="5"/>
      <c r="Z2458" s="5"/>
      <c r="AA2458" s="5"/>
      <c r="AB2458" s="5"/>
      <c r="AC2458" s="5"/>
      <c r="AD2458" s="5"/>
      <c r="AE2458" s="5"/>
      <c r="AF2458" s="5"/>
      <c r="AG2458" s="5"/>
    </row>
    <row r="2459" ht="15.75" customHeight="1">
      <c r="K2459" t="s">
        <v>4239</v>
      </c>
      <c r="L2459" t="str">
        <f>B171</f>
        <v>H3</v>
      </c>
      <c r="N2459" t="s">
        <v>4240</v>
      </c>
      <c r="O2459">
        <v>1.8105101E7</v>
      </c>
      <c r="P2459">
        <v>1.5993221E7</v>
      </c>
      <c r="Q2459" t="s">
        <v>419</v>
      </c>
      <c r="R2459" s="5"/>
      <c r="S2459" s="5"/>
      <c r="T2459" s="5"/>
      <c r="U2459" s="5"/>
      <c r="V2459" s="5"/>
      <c r="W2459" s="5"/>
      <c r="X2459" s="5"/>
      <c r="Y2459" s="5"/>
      <c r="Z2459" s="5"/>
      <c r="AA2459" s="5"/>
      <c r="AB2459" s="5"/>
      <c r="AC2459" s="5"/>
      <c r="AD2459" s="5"/>
      <c r="AE2459" s="5"/>
      <c r="AF2459" s="5"/>
      <c r="AG2459" s="5"/>
    </row>
    <row r="2460" ht="15.75" customHeight="1">
      <c r="K2460" t="s">
        <v>4241</v>
      </c>
      <c r="L2460" t="str">
        <f>B171</f>
        <v>H3</v>
      </c>
      <c r="N2460" t="s">
        <v>4242</v>
      </c>
      <c r="O2460">
        <v>1.8422011E7</v>
      </c>
      <c r="P2460">
        <v>1.6310131E7</v>
      </c>
      <c r="Q2460" t="s">
        <v>431</v>
      </c>
      <c r="R2460" s="5"/>
      <c r="S2460" s="5"/>
      <c r="T2460" s="5"/>
      <c r="U2460" s="5"/>
      <c r="V2460" s="5"/>
      <c r="W2460" s="5"/>
      <c r="X2460" s="5"/>
      <c r="Y2460" s="5"/>
      <c r="Z2460" s="5"/>
      <c r="AA2460" s="5"/>
      <c r="AB2460" s="5"/>
      <c r="AC2460" s="5"/>
      <c r="AD2460" s="5"/>
      <c r="AE2460" s="5"/>
      <c r="AF2460" s="5"/>
      <c r="AG2460" s="5"/>
    </row>
    <row r="2461" ht="15.75" customHeight="1">
      <c r="K2461" t="s">
        <v>4243</v>
      </c>
      <c r="L2461" t="str">
        <f>B171</f>
        <v>H3</v>
      </c>
      <c r="N2461" t="s">
        <v>4244</v>
      </c>
      <c r="O2461">
        <v>1.8639924E7</v>
      </c>
      <c r="P2461">
        <v>1.6528044E7</v>
      </c>
      <c r="Q2461" t="s">
        <v>473</v>
      </c>
      <c r="R2461" s="5"/>
      <c r="S2461" s="5"/>
      <c r="T2461" s="5"/>
      <c r="U2461" s="5"/>
      <c r="V2461" s="5"/>
      <c r="W2461" s="5"/>
      <c r="X2461" s="5"/>
      <c r="Y2461" s="5"/>
      <c r="Z2461" s="5"/>
      <c r="AA2461" s="5"/>
      <c r="AB2461" s="5"/>
      <c r="AC2461" s="5"/>
      <c r="AD2461" s="5"/>
      <c r="AE2461" s="5"/>
      <c r="AF2461" s="5"/>
      <c r="AG2461" s="5"/>
    </row>
    <row r="2462" ht="15.75" customHeight="1">
      <c r="K2462" t="s">
        <v>4245</v>
      </c>
      <c r="L2462" t="str">
        <f>B171</f>
        <v>H3</v>
      </c>
      <c r="N2462" t="s">
        <v>4246</v>
      </c>
      <c r="O2462">
        <v>1.8786572E7</v>
      </c>
      <c r="P2462">
        <v>1.6674692E7</v>
      </c>
      <c r="Q2462" t="s">
        <v>452</v>
      </c>
      <c r="R2462" s="5"/>
      <c r="S2462" s="5"/>
      <c r="T2462" s="5"/>
      <c r="U2462" s="5"/>
      <c r="V2462" s="5"/>
      <c r="W2462" s="5"/>
      <c r="X2462" s="5"/>
      <c r="Y2462" s="5"/>
      <c r="Z2462" s="5"/>
      <c r="AA2462" s="5"/>
      <c r="AB2462" s="5"/>
      <c r="AC2462" s="5"/>
      <c r="AD2462" s="5"/>
      <c r="AE2462" s="5"/>
      <c r="AF2462" s="5"/>
      <c r="AG2462" s="5"/>
    </row>
    <row r="2463" ht="15.75" customHeight="1">
      <c r="K2463" t="s">
        <v>4247</v>
      </c>
      <c r="L2463" t="str">
        <f>B171</f>
        <v>H3</v>
      </c>
      <c r="N2463" t="s">
        <v>4248</v>
      </c>
      <c r="O2463">
        <v>1.8817532E7</v>
      </c>
      <c r="P2463">
        <v>1.6705652E7</v>
      </c>
      <c r="Q2463" t="s">
        <v>476</v>
      </c>
      <c r="R2463" s="5"/>
      <c r="S2463" s="5"/>
      <c r="T2463" s="5"/>
      <c r="U2463" s="5"/>
      <c r="V2463" s="5"/>
      <c r="W2463" s="5"/>
      <c r="X2463" s="5"/>
      <c r="Y2463" s="5"/>
      <c r="Z2463" s="5"/>
      <c r="AA2463" s="5"/>
      <c r="AB2463" s="5"/>
      <c r="AC2463" s="5"/>
      <c r="AD2463" s="5"/>
      <c r="AE2463" s="5"/>
      <c r="AF2463" s="5"/>
      <c r="AG2463" s="5"/>
    </row>
    <row r="2464" ht="15.75" customHeight="1">
      <c r="K2464" t="s">
        <v>4249</v>
      </c>
      <c r="L2464" t="str">
        <f>B171</f>
        <v>H3</v>
      </c>
      <c r="N2464" t="s">
        <v>4250</v>
      </c>
      <c r="O2464">
        <v>1.894977E7</v>
      </c>
      <c r="P2464">
        <v>1.683789E7</v>
      </c>
      <c r="Q2464" t="s">
        <v>419</v>
      </c>
      <c r="R2464" s="5"/>
      <c r="S2464" s="5"/>
      <c r="T2464" s="5"/>
      <c r="U2464" s="5"/>
      <c r="V2464" s="5"/>
      <c r="W2464" s="5"/>
      <c r="X2464" s="5"/>
      <c r="Y2464" s="5"/>
      <c r="Z2464" s="5"/>
      <c r="AA2464" s="5"/>
      <c r="AB2464" s="5"/>
      <c r="AC2464" s="5"/>
      <c r="AD2464" s="5"/>
      <c r="AE2464" s="5"/>
      <c r="AF2464" s="5"/>
      <c r="AG2464" s="5"/>
    </row>
    <row r="2465" ht="15.75" customHeight="1">
      <c r="K2465" t="s">
        <v>4251</v>
      </c>
      <c r="L2465" t="str">
        <f>B171</f>
        <v>H3</v>
      </c>
      <c r="N2465" t="s">
        <v>4252</v>
      </c>
      <c r="O2465">
        <v>1.8952844E7</v>
      </c>
      <c r="P2465">
        <v>1.6840964E7</v>
      </c>
      <c r="Q2465" t="s">
        <v>435</v>
      </c>
      <c r="R2465" s="5"/>
      <c r="S2465" s="5"/>
      <c r="T2465" s="5"/>
      <c r="U2465" s="5"/>
      <c r="V2465" s="5"/>
      <c r="W2465" s="5"/>
      <c r="X2465" s="5"/>
      <c r="Y2465" s="5"/>
      <c r="Z2465" s="5"/>
      <c r="AA2465" s="5"/>
      <c r="AB2465" s="5"/>
      <c r="AC2465" s="5"/>
      <c r="AD2465" s="5"/>
      <c r="AE2465" s="5"/>
      <c r="AF2465" s="5"/>
      <c r="AG2465" s="5"/>
    </row>
    <row r="2466" ht="15.75" customHeight="1">
      <c r="K2466" t="s">
        <v>4253</v>
      </c>
      <c r="L2466" t="str">
        <f>B171</f>
        <v>H3</v>
      </c>
      <c r="N2466" t="s">
        <v>4254</v>
      </c>
      <c r="O2466">
        <v>1.9076816E7</v>
      </c>
      <c r="P2466">
        <v>1.6964936E7</v>
      </c>
      <c r="Q2466" t="s">
        <v>435</v>
      </c>
      <c r="R2466" s="5"/>
      <c r="S2466" s="5"/>
      <c r="T2466" s="5"/>
      <c r="U2466" s="5"/>
      <c r="V2466" s="5"/>
      <c r="W2466" s="5"/>
      <c r="X2466" s="5"/>
      <c r="Y2466" s="5"/>
      <c r="Z2466" s="5"/>
      <c r="AA2466" s="5"/>
      <c r="AB2466" s="5"/>
      <c r="AC2466" s="5"/>
      <c r="AD2466" s="5"/>
      <c r="AE2466" s="5"/>
      <c r="AF2466" s="5"/>
      <c r="AG2466" s="5"/>
    </row>
    <row r="2467" ht="15.75" customHeight="1">
      <c r="K2467" t="s">
        <v>4255</v>
      </c>
      <c r="L2467" t="str">
        <f>B171</f>
        <v>H3</v>
      </c>
      <c r="N2467" t="s">
        <v>4256</v>
      </c>
      <c r="O2467">
        <v>1.9200004E7</v>
      </c>
      <c r="P2467">
        <v>1.7088124E7</v>
      </c>
      <c r="Q2467" t="s">
        <v>431</v>
      </c>
      <c r="R2467" s="5"/>
      <c r="S2467" s="5"/>
      <c r="T2467" s="5"/>
      <c r="U2467" s="5"/>
      <c r="V2467" s="5"/>
      <c r="W2467" s="5"/>
      <c r="X2467" s="5"/>
      <c r="Y2467" s="5"/>
      <c r="Z2467" s="5"/>
      <c r="AA2467" s="5"/>
      <c r="AB2467" s="5"/>
      <c r="AC2467" s="5"/>
      <c r="AD2467" s="5"/>
      <c r="AE2467" s="5"/>
      <c r="AF2467" s="5"/>
      <c r="AG2467" s="5"/>
    </row>
    <row r="2468" ht="15.75" customHeight="1">
      <c r="K2468" t="s">
        <v>4257</v>
      </c>
      <c r="L2468" t="str">
        <f>B171</f>
        <v>H3</v>
      </c>
      <c r="N2468" t="s">
        <v>4258</v>
      </c>
      <c r="O2468">
        <v>1.923459E7</v>
      </c>
      <c r="P2468">
        <v>1.712271E7</v>
      </c>
      <c r="Q2468" t="s">
        <v>423</v>
      </c>
      <c r="R2468" s="5"/>
      <c r="S2468" s="5"/>
      <c r="T2468" s="5"/>
      <c r="U2468" s="5"/>
      <c r="V2468" s="5"/>
      <c r="W2468" s="5"/>
      <c r="X2468" s="5"/>
      <c r="Y2468" s="5"/>
      <c r="Z2468" s="5"/>
      <c r="AA2468" s="5"/>
      <c r="AB2468" s="5"/>
      <c r="AC2468" s="5"/>
      <c r="AD2468" s="5"/>
      <c r="AE2468" s="5"/>
      <c r="AF2468" s="5"/>
      <c r="AG2468" s="5"/>
    </row>
    <row r="2469" ht="15.75" customHeight="1">
      <c r="K2469" t="s">
        <v>4259</v>
      </c>
      <c r="L2469" t="str">
        <f>B171</f>
        <v>H3</v>
      </c>
      <c r="N2469" t="s">
        <v>4260</v>
      </c>
      <c r="O2469">
        <v>1.937458E7</v>
      </c>
      <c r="P2469">
        <v>1.72627E7</v>
      </c>
      <c r="Q2469" t="s">
        <v>423</v>
      </c>
      <c r="R2469" s="5"/>
      <c r="S2469" s="5"/>
      <c r="T2469" s="5"/>
      <c r="U2469" s="5"/>
      <c r="V2469" s="5"/>
      <c r="W2469" s="5"/>
      <c r="X2469" s="5"/>
      <c r="Y2469" s="5"/>
      <c r="Z2469" s="5"/>
      <c r="AA2469" s="5"/>
      <c r="AB2469" s="5"/>
      <c r="AC2469" s="5"/>
      <c r="AD2469" s="5"/>
      <c r="AE2469" s="5"/>
      <c r="AF2469" s="5"/>
      <c r="AG2469" s="5"/>
    </row>
    <row r="2470" ht="15.75" customHeight="1">
      <c r="K2470" t="s">
        <v>4261</v>
      </c>
      <c r="L2470" t="str">
        <f>B171</f>
        <v>H3</v>
      </c>
      <c r="N2470" t="s">
        <v>4262</v>
      </c>
      <c r="O2470">
        <v>1.9475667E7</v>
      </c>
      <c r="P2470">
        <v>1.7363787E7</v>
      </c>
      <c r="Q2470" t="s">
        <v>423</v>
      </c>
      <c r="R2470" s="5"/>
      <c r="S2470" s="5"/>
      <c r="T2470" s="5"/>
      <c r="U2470" s="5"/>
      <c r="V2470" s="5"/>
      <c r="W2470" s="5"/>
      <c r="X2470" s="5"/>
      <c r="Y2470" s="5"/>
      <c r="Z2470" s="5"/>
      <c r="AA2470" s="5"/>
      <c r="AB2470" s="5"/>
      <c r="AC2470" s="5"/>
      <c r="AD2470" s="5"/>
      <c r="AE2470" s="5"/>
      <c r="AF2470" s="5"/>
      <c r="AG2470" s="5"/>
    </row>
    <row r="2471" ht="15.75" customHeight="1">
      <c r="K2471" t="s">
        <v>4263</v>
      </c>
      <c r="L2471" t="str">
        <f>B171</f>
        <v>H3</v>
      </c>
      <c r="N2471" t="s">
        <v>4264</v>
      </c>
      <c r="O2471">
        <v>2.0065917E7</v>
      </c>
      <c r="P2471">
        <v>1.7954037E7</v>
      </c>
      <c r="Q2471" t="s">
        <v>419</v>
      </c>
      <c r="R2471" s="5"/>
      <c r="S2471" s="5"/>
      <c r="T2471" s="5"/>
      <c r="U2471" s="5"/>
      <c r="V2471" s="5"/>
      <c r="W2471" s="5"/>
      <c r="X2471" s="5"/>
      <c r="Y2471" s="5"/>
      <c r="Z2471" s="5"/>
      <c r="AA2471" s="5"/>
      <c r="AB2471" s="5"/>
      <c r="AC2471" s="5"/>
      <c r="AD2471" s="5"/>
      <c r="AE2471" s="5"/>
      <c r="AF2471" s="5"/>
      <c r="AG2471" s="5"/>
    </row>
    <row r="2472" ht="15.75" customHeight="1">
      <c r="K2472" t="s">
        <v>4265</v>
      </c>
      <c r="L2472" t="str">
        <f>B171</f>
        <v>H3</v>
      </c>
      <c r="N2472" t="s">
        <v>4266</v>
      </c>
      <c r="O2472">
        <v>2.1190678E7</v>
      </c>
      <c r="P2472">
        <v>1.9028792E7</v>
      </c>
      <c r="Q2472" t="s">
        <v>427</v>
      </c>
      <c r="R2472" s="5"/>
      <c r="S2472" s="5"/>
      <c r="T2472" s="5"/>
      <c r="U2472" s="5"/>
      <c r="V2472" s="5"/>
      <c r="W2472" s="5"/>
      <c r="X2472" s="5"/>
      <c r="Y2472" s="5"/>
      <c r="Z2472" s="5"/>
      <c r="AA2472" s="5"/>
      <c r="AB2472" s="5"/>
      <c r="AC2472" s="5"/>
      <c r="AD2472" s="5"/>
      <c r="AE2472" s="5"/>
      <c r="AF2472" s="5"/>
      <c r="AG2472" s="5"/>
    </row>
    <row r="2473" ht="15.75" customHeight="1">
      <c r="K2473" t="s">
        <v>4267</v>
      </c>
      <c r="L2473" t="str">
        <f>B171</f>
        <v>H3</v>
      </c>
      <c r="N2473" t="s">
        <v>4268</v>
      </c>
      <c r="O2473">
        <v>2.1226052E7</v>
      </c>
      <c r="P2473">
        <v>1.9064166E7</v>
      </c>
      <c r="Q2473" t="s">
        <v>431</v>
      </c>
      <c r="R2473" s="5"/>
      <c r="S2473" s="5"/>
      <c r="T2473" s="5"/>
      <c r="U2473" s="5"/>
      <c r="V2473" s="5"/>
      <c r="W2473" s="5"/>
      <c r="X2473" s="5"/>
      <c r="Y2473" s="5"/>
      <c r="Z2473" s="5"/>
      <c r="AA2473" s="5"/>
      <c r="AB2473" s="5"/>
      <c r="AC2473" s="5"/>
      <c r="AD2473" s="5"/>
      <c r="AE2473" s="5"/>
      <c r="AF2473" s="5"/>
      <c r="AG2473" s="5"/>
    </row>
    <row r="2474" ht="15.75" customHeight="1">
      <c r="K2474" t="s">
        <v>4269</v>
      </c>
      <c r="L2474" t="str">
        <f>B171</f>
        <v>H3</v>
      </c>
      <c r="N2474" t="s">
        <v>4270</v>
      </c>
      <c r="O2474">
        <v>2.1263505E7</v>
      </c>
      <c r="P2474">
        <v>1.9101619E7</v>
      </c>
      <c r="Q2474" t="s">
        <v>423</v>
      </c>
      <c r="R2474" s="5"/>
      <c r="S2474" s="5"/>
      <c r="T2474" s="5"/>
      <c r="U2474" s="5"/>
      <c r="V2474" s="5"/>
      <c r="W2474" s="5"/>
      <c r="X2474" s="5"/>
      <c r="Y2474" s="5"/>
      <c r="Z2474" s="5"/>
      <c r="AA2474" s="5"/>
      <c r="AB2474" s="5"/>
      <c r="AC2474" s="5"/>
      <c r="AD2474" s="5"/>
      <c r="AE2474" s="5"/>
      <c r="AF2474" s="5"/>
      <c r="AG2474" s="5"/>
    </row>
    <row r="2475" ht="15.75" customHeight="1">
      <c r="K2475" t="s">
        <v>4271</v>
      </c>
      <c r="L2475" t="str">
        <f>B171</f>
        <v>H3</v>
      </c>
      <c r="N2475" t="s">
        <v>4272</v>
      </c>
      <c r="O2475">
        <v>2.1305179E7</v>
      </c>
      <c r="P2475">
        <v>1.9143293E7</v>
      </c>
      <c r="Q2475" t="s">
        <v>525</v>
      </c>
      <c r="R2475" s="5"/>
      <c r="S2475" s="5"/>
      <c r="T2475" s="5"/>
      <c r="U2475" s="5"/>
      <c r="V2475" s="5"/>
      <c r="W2475" s="5"/>
      <c r="X2475" s="5"/>
      <c r="Y2475" s="5"/>
      <c r="Z2475" s="5"/>
      <c r="AA2475" s="5"/>
      <c r="AB2475" s="5"/>
      <c r="AC2475" s="5"/>
      <c r="AD2475" s="5"/>
      <c r="AE2475" s="5"/>
      <c r="AF2475" s="5"/>
      <c r="AG2475" s="5"/>
    </row>
    <row r="2476" ht="15.75" customHeight="1">
      <c r="K2476" t="s">
        <v>4273</v>
      </c>
      <c r="L2476" t="str">
        <f>B171</f>
        <v>H3</v>
      </c>
      <c r="N2476" t="s">
        <v>4274</v>
      </c>
      <c r="O2476">
        <v>2.1564841E7</v>
      </c>
      <c r="P2476">
        <v>1.9402955E7</v>
      </c>
      <c r="Q2476" t="s">
        <v>452</v>
      </c>
      <c r="R2476" s="5"/>
      <c r="S2476" s="5"/>
      <c r="T2476" s="5"/>
      <c r="U2476" s="5"/>
      <c r="V2476" s="5"/>
      <c r="W2476" s="5"/>
      <c r="X2476" s="5"/>
      <c r="Y2476" s="5"/>
      <c r="Z2476" s="5"/>
      <c r="AA2476" s="5"/>
      <c r="AB2476" s="5"/>
      <c r="AC2476" s="5"/>
      <c r="AD2476" s="5"/>
      <c r="AE2476" s="5"/>
      <c r="AF2476" s="5"/>
      <c r="AG2476" s="5"/>
    </row>
    <row r="2477" ht="15.75" customHeight="1">
      <c r="K2477" t="s">
        <v>4275</v>
      </c>
      <c r="L2477" t="str">
        <f>B171</f>
        <v>H3</v>
      </c>
      <c r="N2477" t="s">
        <v>4276</v>
      </c>
      <c r="O2477">
        <v>2.1568903E7</v>
      </c>
      <c r="P2477">
        <v>1.9407017E7</v>
      </c>
      <c r="Q2477" t="s">
        <v>423</v>
      </c>
      <c r="R2477" s="5"/>
      <c r="S2477" s="5"/>
      <c r="T2477" s="5"/>
      <c r="U2477" s="5"/>
      <c r="V2477" s="5"/>
      <c r="W2477" s="5"/>
      <c r="X2477" s="5"/>
      <c r="Y2477" s="5"/>
      <c r="Z2477" s="5"/>
      <c r="AA2477" s="5"/>
      <c r="AB2477" s="5"/>
      <c r="AC2477" s="5"/>
      <c r="AD2477" s="5"/>
      <c r="AE2477" s="5"/>
      <c r="AF2477" s="5"/>
      <c r="AG2477" s="5"/>
    </row>
    <row r="2478" ht="15.75" customHeight="1">
      <c r="K2478" t="s">
        <v>4277</v>
      </c>
      <c r="L2478" t="str">
        <f>B171</f>
        <v>H3</v>
      </c>
      <c r="N2478" t="s">
        <v>4278</v>
      </c>
      <c r="O2478">
        <v>2.177871E7</v>
      </c>
      <c r="P2478">
        <v>1.9616824E7</v>
      </c>
      <c r="Q2478" t="s">
        <v>435</v>
      </c>
      <c r="R2478" s="5"/>
      <c r="S2478" s="5"/>
      <c r="T2478" s="5"/>
      <c r="U2478" s="5"/>
      <c r="V2478" s="5"/>
      <c r="W2478" s="5"/>
      <c r="X2478" s="5"/>
      <c r="Y2478" s="5"/>
      <c r="Z2478" s="5"/>
      <c r="AA2478" s="5"/>
      <c r="AB2478" s="5"/>
      <c r="AC2478" s="5"/>
      <c r="AD2478" s="5"/>
      <c r="AE2478" s="5"/>
      <c r="AF2478" s="5"/>
      <c r="AG2478" s="5"/>
    </row>
    <row r="2479" ht="15.75" customHeight="1">
      <c r="K2479" t="s">
        <v>4279</v>
      </c>
      <c r="L2479" t="str">
        <f>B171</f>
        <v>H3</v>
      </c>
      <c r="N2479" t="s">
        <v>4280</v>
      </c>
      <c r="O2479">
        <v>2.1877554E7</v>
      </c>
      <c r="P2479">
        <v>1.9715668E7</v>
      </c>
      <c r="Q2479" t="s">
        <v>476</v>
      </c>
      <c r="R2479" s="5"/>
      <c r="S2479" s="5"/>
      <c r="T2479" s="5"/>
      <c r="U2479" s="5"/>
      <c r="V2479" s="5"/>
      <c r="W2479" s="5"/>
      <c r="X2479" s="5"/>
      <c r="Y2479" s="5"/>
      <c r="Z2479" s="5"/>
      <c r="AA2479" s="5"/>
      <c r="AB2479" s="5"/>
      <c r="AC2479" s="5"/>
      <c r="AD2479" s="5"/>
      <c r="AE2479" s="5"/>
      <c r="AF2479" s="5"/>
      <c r="AG2479" s="5"/>
    </row>
    <row r="2480" ht="15.75" customHeight="1">
      <c r="K2480" t="s">
        <v>4281</v>
      </c>
      <c r="L2480" t="str">
        <f>B171</f>
        <v>H3</v>
      </c>
      <c r="N2480" t="s">
        <v>4282</v>
      </c>
      <c r="O2480">
        <v>2.1963272E7</v>
      </c>
      <c r="P2480">
        <v>1.9801386E7</v>
      </c>
      <c r="Q2480" t="s">
        <v>431</v>
      </c>
      <c r="R2480" s="5"/>
      <c r="S2480" s="5"/>
      <c r="T2480" s="5"/>
      <c r="U2480" s="5"/>
      <c r="V2480" s="5"/>
      <c r="W2480" s="5"/>
      <c r="X2480" s="5"/>
      <c r="Y2480" s="5"/>
      <c r="Z2480" s="5"/>
      <c r="AA2480" s="5"/>
      <c r="AB2480" s="5"/>
      <c r="AC2480" s="5"/>
      <c r="AD2480" s="5"/>
      <c r="AE2480" s="5"/>
      <c r="AF2480" s="5"/>
      <c r="AG2480" s="5"/>
    </row>
    <row r="2481" ht="15.75" customHeight="1">
      <c r="K2481" t="s">
        <v>4283</v>
      </c>
      <c r="L2481" t="str">
        <f>B171</f>
        <v>H3</v>
      </c>
      <c r="N2481" t="s">
        <v>4284</v>
      </c>
      <c r="O2481">
        <v>2.2044605E7</v>
      </c>
      <c r="P2481">
        <v>1.9882719E7</v>
      </c>
      <c r="Q2481" t="s">
        <v>419</v>
      </c>
      <c r="R2481" s="5"/>
      <c r="S2481" s="5"/>
      <c r="T2481" s="5"/>
      <c r="U2481" s="5"/>
      <c r="V2481" s="5"/>
      <c r="W2481" s="5"/>
      <c r="X2481" s="5"/>
      <c r="Y2481" s="5"/>
      <c r="Z2481" s="5"/>
      <c r="AA2481" s="5"/>
      <c r="AB2481" s="5"/>
      <c r="AC2481" s="5"/>
      <c r="AD2481" s="5"/>
      <c r="AE2481" s="5"/>
      <c r="AF2481" s="5"/>
      <c r="AG2481" s="5"/>
    </row>
    <row r="2482" ht="15.75" customHeight="1">
      <c r="K2482" t="s">
        <v>4285</v>
      </c>
      <c r="L2482" t="str">
        <f>B171</f>
        <v>H3</v>
      </c>
      <c r="N2482" t="s">
        <v>4286</v>
      </c>
      <c r="O2482">
        <v>2.2053153E7</v>
      </c>
      <c r="P2482">
        <v>1.9891267E7</v>
      </c>
      <c r="Q2482" t="s">
        <v>419</v>
      </c>
      <c r="R2482" s="5"/>
      <c r="S2482" s="5"/>
      <c r="T2482" s="5"/>
      <c r="U2482" s="5"/>
      <c r="V2482" s="5"/>
      <c r="W2482" s="5"/>
      <c r="X2482" s="5"/>
      <c r="Y2482" s="5"/>
      <c r="Z2482" s="5"/>
      <c r="AA2482" s="5"/>
      <c r="AB2482" s="5"/>
      <c r="AC2482" s="5"/>
      <c r="AD2482" s="5"/>
      <c r="AE2482" s="5"/>
      <c r="AF2482" s="5"/>
      <c r="AG2482" s="5"/>
    </row>
    <row r="2483" ht="15.75" customHeight="1">
      <c r="K2483" t="s">
        <v>4287</v>
      </c>
      <c r="L2483" t="str">
        <f>B171</f>
        <v>H3</v>
      </c>
      <c r="N2483" t="s">
        <v>4288</v>
      </c>
      <c r="O2483">
        <v>2.2552528E7</v>
      </c>
      <c r="P2483">
        <v>2.0390642E7</v>
      </c>
      <c r="Q2483" t="s">
        <v>419</v>
      </c>
      <c r="R2483" s="5"/>
      <c r="S2483" s="5"/>
      <c r="T2483" s="5"/>
      <c r="U2483" s="5"/>
      <c r="V2483" s="5"/>
      <c r="W2483" s="5"/>
      <c r="X2483" s="5"/>
      <c r="Y2483" s="5"/>
      <c r="Z2483" s="5"/>
      <c r="AA2483" s="5"/>
      <c r="AB2483" s="5"/>
      <c r="AC2483" s="5"/>
      <c r="AD2483" s="5"/>
      <c r="AE2483" s="5"/>
      <c r="AF2483" s="5"/>
      <c r="AG2483" s="5"/>
    </row>
    <row r="2484" ht="15.75" customHeight="1">
      <c r="K2484" t="s">
        <v>4289</v>
      </c>
      <c r="L2484" t="str">
        <f>B171</f>
        <v>H3</v>
      </c>
      <c r="N2484" t="s">
        <v>4290</v>
      </c>
      <c r="O2484">
        <v>2.2573596E7</v>
      </c>
      <c r="P2484">
        <v>2.041171E7</v>
      </c>
      <c r="Q2484" t="s">
        <v>431</v>
      </c>
      <c r="R2484" s="5"/>
      <c r="S2484" s="5"/>
      <c r="T2484" s="5"/>
      <c r="U2484" s="5"/>
      <c r="V2484" s="5"/>
      <c r="W2484" s="5"/>
      <c r="X2484" s="5"/>
      <c r="Y2484" s="5"/>
      <c r="Z2484" s="5"/>
      <c r="AA2484" s="5"/>
      <c r="AB2484" s="5"/>
      <c r="AC2484" s="5"/>
      <c r="AD2484" s="5"/>
      <c r="AE2484" s="5"/>
      <c r="AF2484" s="5"/>
      <c r="AG2484" s="5"/>
    </row>
    <row r="2485" ht="15.75" customHeight="1">
      <c r="K2485" t="s">
        <v>4291</v>
      </c>
      <c r="L2485" t="str">
        <f>B171</f>
        <v>H3</v>
      </c>
      <c r="N2485" t="s">
        <v>4292</v>
      </c>
      <c r="O2485">
        <v>2.2628301E7</v>
      </c>
      <c r="P2485">
        <v>2.0466415E7</v>
      </c>
      <c r="Q2485" t="s">
        <v>419</v>
      </c>
      <c r="R2485" s="5"/>
      <c r="S2485" s="5"/>
      <c r="T2485" s="5"/>
      <c r="U2485" s="5"/>
      <c r="V2485" s="5"/>
      <c r="W2485" s="5"/>
      <c r="X2485" s="5"/>
      <c r="Y2485" s="5"/>
      <c r="Z2485" s="5"/>
      <c r="AA2485" s="5"/>
      <c r="AB2485" s="5"/>
      <c r="AC2485" s="5"/>
      <c r="AD2485" s="5"/>
      <c r="AE2485" s="5"/>
      <c r="AF2485" s="5"/>
      <c r="AG2485" s="5"/>
    </row>
    <row r="2486" ht="15.75" customHeight="1">
      <c r="K2486" t="s">
        <v>4293</v>
      </c>
      <c r="L2486" t="str">
        <f>B171</f>
        <v>H3</v>
      </c>
      <c r="N2486" t="s">
        <v>4294</v>
      </c>
      <c r="O2486">
        <v>2.2715277E7</v>
      </c>
      <c r="P2486">
        <v>2.0553391E7</v>
      </c>
      <c r="Q2486" t="s">
        <v>419</v>
      </c>
      <c r="R2486" s="5"/>
      <c r="S2486" s="5"/>
      <c r="T2486" s="5"/>
      <c r="U2486" s="5"/>
      <c r="V2486" s="5"/>
      <c r="W2486" s="5"/>
      <c r="X2486" s="5"/>
      <c r="Y2486" s="5"/>
      <c r="Z2486" s="5"/>
      <c r="AA2486" s="5"/>
      <c r="AB2486" s="5"/>
      <c r="AC2486" s="5"/>
      <c r="AD2486" s="5"/>
      <c r="AE2486" s="5"/>
      <c r="AF2486" s="5"/>
      <c r="AG2486" s="5"/>
    </row>
    <row r="2487" ht="15.75" customHeight="1">
      <c r="K2487" t="s">
        <v>4295</v>
      </c>
      <c r="L2487" t="str">
        <f>B171</f>
        <v>H3</v>
      </c>
      <c r="N2487" t="s">
        <v>4296</v>
      </c>
      <c r="O2487">
        <v>2.3003094E7</v>
      </c>
      <c r="P2487">
        <v>2.0841208E7</v>
      </c>
      <c r="Q2487" t="s">
        <v>419</v>
      </c>
      <c r="R2487" s="5"/>
      <c r="S2487" s="5"/>
      <c r="T2487" s="5"/>
      <c r="U2487" s="5"/>
      <c r="V2487" s="5"/>
      <c r="W2487" s="5"/>
      <c r="X2487" s="5"/>
      <c r="Y2487" s="5"/>
      <c r="Z2487" s="5"/>
      <c r="AA2487" s="5"/>
      <c r="AB2487" s="5"/>
      <c r="AC2487" s="5"/>
      <c r="AD2487" s="5"/>
      <c r="AE2487" s="5"/>
      <c r="AF2487" s="5"/>
      <c r="AG2487" s="5"/>
    </row>
    <row r="2488" ht="15.75" customHeight="1">
      <c r="K2488" t="s">
        <v>4297</v>
      </c>
      <c r="L2488" t="str">
        <f>B171</f>
        <v>H3</v>
      </c>
      <c r="N2488" t="s">
        <v>4298</v>
      </c>
      <c r="O2488">
        <v>2.3134639E7</v>
      </c>
      <c r="P2488">
        <v>2.0972753E7</v>
      </c>
      <c r="Q2488" t="s">
        <v>419</v>
      </c>
      <c r="R2488" s="5"/>
      <c r="S2488" s="5"/>
      <c r="T2488" s="5"/>
      <c r="U2488" s="5"/>
      <c r="V2488" s="5"/>
      <c r="W2488" s="5"/>
      <c r="X2488" s="5"/>
      <c r="Y2488" s="5"/>
      <c r="Z2488" s="5"/>
      <c r="AA2488" s="5"/>
      <c r="AB2488" s="5"/>
      <c r="AC2488" s="5"/>
      <c r="AD2488" s="5"/>
      <c r="AE2488" s="5"/>
      <c r="AF2488" s="5"/>
      <c r="AG2488" s="5"/>
    </row>
    <row r="2489" ht="15.75" customHeight="1">
      <c r="K2489" t="s">
        <v>4299</v>
      </c>
      <c r="L2489" t="str">
        <f>B171</f>
        <v>H3</v>
      </c>
      <c r="N2489" t="s">
        <v>4300</v>
      </c>
      <c r="O2489">
        <v>2.3387399E7</v>
      </c>
      <c r="P2489">
        <v>2.1225513E7</v>
      </c>
      <c r="Q2489" t="s">
        <v>431</v>
      </c>
      <c r="R2489" s="5"/>
      <c r="S2489" s="5"/>
      <c r="T2489" s="5"/>
      <c r="U2489" s="5"/>
      <c r="V2489" s="5"/>
      <c r="W2489" s="5"/>
      <c r="X2489" s="5"/>
      <c r="Y2489" s="5"/>
      <c r="Z2489" s="5"/>
      <c r="AA2489" s="5"/>
      <c r="AB2489" s="5"/>
      <c r="AC2489" s="5"/>
      <c r="AD2489" s="5"/>
      <c r="AE2489" s="5"/>
      <c r="AF2489" s="5"/>
      <c r="AG2489" s="5"/>
    </row>
    <row r="2490" ht="15.75" customHeight="1">
      <c r="K2490" t="s">
        <v>4301</v>
      </c>
      <c r="L2490" t="str">
        <f>B171</f>
        <v>H3</v>
      </c>
      <c r="N2490" t="s">
        <v>4302</v>
      </c>
      <c r="O2490">
        <v>2.340812E7</v>
      </c>
      <c r="P2490">
        <v>2.1246234E7</v>
      </c>
      <c r="Q2490" t="s">
        <v>435</v>
      </c>
      <c r="R2490" s="5"/>
      <c r="S2490" s="5"/>
      <c r="T2490" s="5"/>
      <c r="U2490" s="5"/>
      <c r="V2490" s="5"/>
      <c r="W2490" s="5"/>
      <c r="X2490" s="5"/>
      <c r="Y2490" s="5"/>
      <c r="Z2490" s="5"/>
      <c r="AA2490" s="5"/>
      <c r="AB2490" s="5"/>
      <c r="AC2490" s="5"/>
      <c r="AD2490" s="5"/>
      <c r="AE2490" s="5"/>
      <c r="AF2490" s="5"/>
      <c r="AG2490" s="5"/>
    </row>
    <row r="2491" ht="15.75" customHeight="1">
      <c r="K2491" t="s">
        <v>4303</v>
      </c>
      <c r="L2491" t="str">
        <f>B171</f>
        <v>H3</v>
      </c>
      <c r="N2491" t="s">
        <v>4304</v>
      </c>
      <c r="O2491">
        <v>2.345156E7</v>
      </c>
      <c r="P2491">
        <v>2.1289674E7</v>
      </c>
      <c r="Q2491" t="s">
        <v>419</v>
      </c>
      <c r="R2491" s="5"/>
      <c r="S2491" s="5"/>
      <c r="T2491" s="5"/>
      <c r="U2491" s="5"/>
      <c r="V2491" s="5"/>
      <c r="W2491" s="5"/>
      <c r="X2491" s="5"/>
      <c r="Y2491" s="5"/>
      <c r="Z2491" s="5"/>
      <c r="AA2491" s="5"/>
      <c r="AB2491" s="5"/>
      <c r="AC2491" s="5"/>
      <c r="AD2491" s="5"/>
      <c r="AE2491" s="5"/>
      <c r="AF2491" s="5"/>
      <c r="AG2491" s="5"/>
    </row>
    <row r="2492" ht="15.75" customHeight="1">
      <c r="K2492" t="s">
        <v>4305</v>
      </c>
      <c r="L2492" t="str">
        <f>B171</f>
        <v>H3</v>
      </c>
      <c r="N2492" t="s">
        <v>4306</v>
      </c>
      <c r="O2492">
        <v>2.3456778E7</v>
      </c>
      <c r="P2492">
        <v>2.1294892E7</v>
      </c>
      <c r="Q2492" t="s">
        <v>423</v>
      </c>
      <c r="R2492" s="5"/>
      <c r="S2492" s="5"/>
      <c r="T2492" s="5"/>
      <c r="U2492" s="5"/>
      <c r="V2492" s="5"/>
      <c r="W2492" s="5"/>
      <c r="X2492" s="5"/>
      <c r="Y2492" s="5"/>
      <c r="Z2492" s="5"/>
      <c r="AA2492" s="5"/>
      <c r="AB2492" s="5"/>
      <c r="AC2492" s="5"/>
      <c r="AD2492" s="5"/>
      <c r="AE2492" s="5"/>
      <c r="AF2492" s="5"/>
      <c r="AG2492" s="5"/>
    </row>
    <row r="2493" ht="15.75" customHeight="1">
      <c r="K2493" t="s">
        <v>4307</v>
      </c>
      <c r="L2493" t="str">
        <f>B171</f>
        <v>H3</v>
      </c>
      <c r="N2493" t="s">
        <v>4308</v>
      </c>
      <c r="O2493">
        <v>2.3479007E7</v>
      </c>
      <c r="P2493">
        <v>2.1317121E7</v>
      </c>
      <c r="Q2493" t="s">
        <v>459</v>
      </c>
      <c r="R2493" s="5"/>
      <c r="S2493" s="5"/>
      <c r="T2493" s="5"/>
      <c r="U2493" s="5"/>
      <c r="V2493" s="5"/>
      <c r="W2493" s="5"/>
      <c r="X2493" s="5"/>
      <c r="Y2493" s="5"/>
      <c r="Z2493" s="5"/>
      <c r="AA2493" s="5"/>
      <c r="AB2493" s="5"/>
      <c r="AC2493" s="5"/>
      <c r="AD2493" s="5"/>
      <c r="AE2493" s="5"/>
      <c r="AF2493" s="5"/>
      <c r="AG2493" s="5"/>
    </row>
    <row r="2494" ht="15.75" customHeight="1">
      <c r="K2494" t="s">
        <v>4309</v>
      </c>
      <c r="L2494" t="str">
        <f>B171</f>
        <v>H3</v>
      </c>
      <c r="N2494" t="s">
        <v>4310</v>
      </c>
      <c r="O2494">
        <v>2.3772822E7</v>
      </c>
      <c r="P2494">
        <v>2.1610936E7</v>
      </c>
      <c r="Q2494" t="s">
        <v>435</v>
      </c>
      <c r="R2494" s="5"/>
      <c r="S2494" s="5"/>
      <c r="T2494" s="5"/>
      <c r="U2494" s="5"/>
      <c r="V2494" s="5"/>
      <c r="W2494" s="5"/>
      <c r="X2494" s="5"/>
      <c r="Y2494" s="5"/>
      <c r="Z2494" s="5"/>
      <c r="AA2494" s="5"/>
      <c r="AB2494" s="5"/>
      <c r="AC2494" s="5"/>
      <c r="AD2494" s="5"/>
      <c r="AE2494" s="5"/>
      <c r="AF2494" s="5"/>
      <c r="AG2494" s="5"/>
    </row>
    <row r="2495" ht="15.75" customHeight="1">
      <c r="K2495" t="s">
        <v>4311</v>
      </c>
      <c r="L2495" t="str">
        <f>B171</f>
        <v>H3</v>
      </c>
      <c r="N2495" t="s">
        <v>4312</v>
      </c>
      <c r="O2495">
        <v>2.4413499E7</v>
      </c>
      <c r="P2495">
        <v>2.2267352E7</v>
      </c>
      <c r="Q2495" t="s">
        <v>419</v>
      </c>
      <c r="R2495" s="5"/>
      <c r="S2495" s="5"/>
      <c r="T2495" s="5"/>
      <c r="U2495" s="5"/>
      <c r="V2495" s="5"/>
      <c r="W2495" s="5"/>
      <c r="X2495" s="5"/>
      <c r="Y2495" s="5"/>
      <c r="Z2495" s="5"/>
      <c r="AA2495" s="5"/>
      <c r="AB2495" s="5"/>
      <c r="AC2495" s="5"/>
      <c r="AD2495" s="5"/>
      <c r="AE2495" s="5"/>
      <c r="AF2495" s="5"/>
      <c r="AG2495" s="5"/>
    </row>
    <row r="2496" ht="15.75" customHeight="1">
      <c r="K2496" t="s">
        <v>4313</v>
      </c>
      <c r="L2496" t="str">
        <f>B171</f>
        <v>H3</v>
      </c>
      <c r="N2496" t="s">
        <v>4314</v>
      </c>
      <c r="O2496">
        <v>2.3081504E7</v>
      </c>
      <c r="P2496">
        <v>2.0919618E7</v>
      </c>
      <c r="Q2496" t="s">
        <v>419</v>
      </c>
      <c r="R2496" s="5"/>
      <c r="S2496" s="5"/>
      <c r="T2496" s="5"/>
      <c r="U2496" s="5"/>
      <c r="V2496" s="5"/>
      <c r="W2496" s="5"/>
      <c r="X2496" s="5"/>
      <c r="Y2496" s="5"/>
      <c r="Z2496" s="5"/>
      <c r="AA2496" s="5"/>
      <c r="AB2496" s="5"/>
      <c r="AC2496" s="5"/>
      <c r="AD2496" s="5"/>
      <c r="AE2496" s="5"/>
      <c r="AF2496" s="5"/>
      <c r="AG2496" s="5"/>
    </row>
    <row r="2497" ht="15.75" customHeight="1">
      <c r="K2497" t="s">
        <v>4315</v>
      </c>
      <c r="L2497" t="str">
        <f t="shared" ref="L2497:L2498" si="50">B171</f>
        <v>H3</v>
      </c>
      <c r="N2497" t="s">
        <v>4316</v>
      </c>
      <c r="O2497">
        <v>2.2894144E7</v>
      </c>
      <c r="P2497">
        <v>2.0732258E7</v>
      </c>
      <c r="Q2497" t="s">
        <v>431</v>
      </c>
      <c r="R2497" s="5"/>
      <c r="S2497" s="5"/>
      <c r="T2497" s="5"/>
      <c r="U2497" s="5"/>
      <c r="V2497" s="5"/>
      <c r="W2497" s="5"/>
      <c r="X2497" s="5"/>
      <c r="Y2497" s="5"/>
      <c r="Z2497" s="5"/>
      <c r="AA2497" s="5"/>
      <c r="AB2497" s="5"/>
      <c r="AC2497" s="5"/>
      <c r="AD2497" s="5"/>
      <c r="AE2497" s="5"/>
      <c r="AF2497" s="5"/>
      <c r="AG2497" s="5"/>
    </row>
    <row r="2498" ht="15.75" customHeight="1">
      <c r="K2498" t="s">
        <v>4317</v>
      </c>
      <c r="L2498" t="str">
        <f t="shared" si="50"/>
        <v>H3~</v>
      </c>
      <c r="N2498" t="s">
        <v>4318</v>
      </c>
      <c r="O2498">
        <v>6930813.0</v>
      </c>
      <c r="P2498">
        <v>7062772.0</v>
      </c>
      <c r="Q2498" t="s">
        <v>459</v>
      </c>
      <c r="R2498" s="5"/>
      <c r="S2498" s="5"/>
      <c r="T2498" s="5"/>
      <c r="U2498" s="5"/>
      <c r="V2498" s="5"/>
      <c r="W2498" s="5"/>
      <c r="X2498" s="5"/>
      <c r="Y2498" s="5"/>
      <c r="Z2498" s="5"/>
      <c r="AA2498" s="5"/>
      <c r="AB2498" s="5"/>
      <c r="AC2498" s="5"/>
      <c r="AD2498" s="5"/>
      <c r="AE2498" s="5"/>
      <c r="AF2498" s="5"/>
      <c r="AG2498" s="5"/>
    </row>
    <row r="2499" ht="15.75" customHeight="1">
      <c r="K2499" t="s">
        <v>4319</v>
      </c>
      <c r="L2499" t="str">
        <f>B172</f>
        <v>H3~</v>
      </c>
      <c r="N2499" t="s">
        <v>4320</v>
      </c>
      <c r="O2499">
        <v>8692246.0</v>
      </c>
      <c r="P2499">
        <v>8824205.0</v>
      </c>
      <c r="Q2499" t="s">
        <v>431</v>
      </c>
      <c r="R2499" s="5"/>
      <c r="S2499" s="5"/>
      <c r="T2499" s="5"/>
      <c r="U2499" s="5"/>
      <c r="V2499" s="5"/>
      <c r="W2499" s="5"/>
      <c r="X2499" s="5"/>
      <c r="Y2499" s="5"/>
      <c r="Z2499" s="5"/>
      <c r="AA2499" s="5"/>
      <c r="AB2499" s="5"/>
      <c r="AC2499" s="5"/>
      <c r="AD2499" s="5"/>
      <c r="AE2499" s="5"/>
      <c r="AF2499" s="5"/>
      <c r="AG2499" s="5"/>
    </row>
    <row r="2500" ht="15.75" customHeight="1">
      <c r="K2500" t="s">
        <v>4321</v>
      </c>
      <c r="L2500" t="str">
        <f>B172</f>
        <v>H3~</v>
      </c>
      <c r="N2500" t="s">
        <v>4322</v>
      </c>
      <c r="O2500">
        <v>8712131.0</v>
      </c>
      <c r="P2500">
        <v>8844090.0</v>
      </c>
      <c r="Q2500" t="s">
        <v>419</v>
      </c>
      <c r="R2500" s="5"/>
      <c r="S2500" s="5"/>
      <c r="T2500" s="5"/>
      <c r="U2500" s="5"/>
      <c r="V2500" s="5"/>
      <c r="W2500" s="5"/>
      <c r="X2500" s="5"/>
      <c r="Y2500" s="5"/>
      <c r="Z2500" s="5"/>
      <c r="AA2500" s="5"/>
      <c r="AB2500" s="5"/>
      <c r="AC2500" s="5"/>
      <c r="AD2500" s="5"/>
      <c r="AE2500" s="5"/>
      <c r="AF2500" s="5"/>
      <c r="AG2500" s="5"/>
    </row>
    <row r="2501" ht="15.75" customHeight="1">
      <c r="K2501" t="s">
        <v>4323</v>
      </c>
      <c r="L2501" t="str">
        <f>B172</f>
        <v>H3~</v>
      </c>
      <c r="N2501" t="s">
        <v>4324</v>
      </c>
      <c r="O2501">
        <v>8735544.0</v>
      </c>
      <c r="P2501">
        <v>8867503.0</v>
      </c>
      <c r="Q2501" t="s">
        <v>448</v>
      </c>
      <c r="R2501" s="5"/>
      <c r="S2501" s="5"/>
      <c r="T2501" s="5"/>
      <c r="U2501" s="5"/>
      <c r="V2501" s="5"/>
      <c r="W2501" s="5"/>
      <c r="X2501" s="5"/>
      <c r="Y2501" s="5"/>
      <c r="Z2501" s="5"/>
      <c r="AA2501" s="5"/>
      <c r="AB2501" s="5"/>
      <c r="AC2501" s="5"/>
      <c r="AD2501" s="5"/>
      <c r="AE2501" s="5"/>
      <c r="AF2501" s="5"/>
      <c r="AG2501" s="5"/>
    </row>
    <row r="2502" ht="15.75" customHeight="1">
      <c r="K2502" t="s">
        <v>4325</v>
      </c>
      <c r="L2502" t="str">
        <f>B172</f>
        <v>H3~</v>
      </c>
      <c r="N2502" t="s">
        <v>4326</v>
      </c>
      <c r="O2502">
        <v>8816195.0</v>
      </c>
      <c r="P2502">
        <v>8948154.0</v>
      </c>
      <c r="Q2502" t="s">
        <v>459</v>
      </c>
      <c r="R2502" s="5"/>
      <c r="S2502" s="5"/>
      <c r="T2502" s="5"/>
      <c r="U2502" s="5"/>
      <c r="V2502" s="5"/>
      <c r="W2502" s="5"/>
      <c r="X2502" s="5"/>
      <c r="Y2502" s="5"/>
      <c r="Z2502" s="5"/>
      <c r="AA2502" s="5"/>
      <c r="AB2502" s="5"/>
      <c r="AC2502" s="5"/>
      <c r="AD2502" s="5"/>
      <c r="AE2502" s="5"/>
      <c r="AF2502" s="5"/>
      <c r="AG2502" s="5"/>
    </row>
    <row r="2503" ht="15.75" customHeight="1">
      <c r="K2503" t="s">
        <v>4327</v>
      </c>
      <c r="L2503" t="str">
        <f>B172</f>
        <v>H3~</v>
      </c>
      <c r="N2503" t="s">
        <v>4328</v>
      </c>
      <c r="O2503">
        <v>9764156.0</v>
      </c>
      <c r="P2503">
        <v>9926547.0</v>
      </c>
      <c r="Q2503" t="s">
        <v>419</v>
      </c>
      <c r="R2503" s="5"/>
      <c r="S2503" s="5"/>
      <c r="T2503" s="5"/>
      <c r="U2503" s="5"/>
      <c r="V2503" s="5"/>
      <c r="W2503" s="5"/>
      <c r="X2503" s="5"/>
      <c r="Y2503" s="5"/>
      <c r="Z2503" s="5"/>
      <c r="AA2503" s="5"/>
      <c r="AB2503" s="5"/>
      <c r="AC2503" s="5"/>
      <c r="AD2503" s="5"/>
      <c r="AE2503" s="5"/>
      <c r="AF2503" s="5"/>
      <c r="AG2503" s="5"/>
    </row>
    <row r="2504" ht="15.75" customHeight="1">
      <c r="K2504" t="s">
        <v>4329</v>
      </c>
      <c r="L2504" t="str">
        <f>B172</f>
        <v>H3~</v>
      </c>
      <c r="N2504" t="s">
        <v>4330</v>
      </c>
      <c r="O2504">
        <v>1.3561451E7</v>
      </c>
      <c r="P2504">
        <v>1.1405775E7</v>
      </c>
      <c r="Q2504" t="s">
        <v>459</v>
      </c>
      <c r="R2504" s="5"/>
      <c r="S2504" s="5"/>
      <c r="T2504" s="5"/>
      <c r="U2504" s="5"/>
      <c r="V2504" s="5"/>
      <c r="W2504" s="5"/>
      <c r="X2504" s="5"/>
      <c r="Y2504" s="5"/>
      <c r="Z2504" s="5"/>
      <c r="AA2504" s="5"/>
      <c r="AB2504" s="5"/>
      <c r="AC2504" s="5"/>
      <c r="AD2504" s="5"/>
      <c r="AE2504" s="5"/>
      <c r="AF2504" s="5"/>
      <c r="AG2504" s="5"/>
    </row>
    <row r="2505" ht="15.75" customHeight="1">
      <c r="K2505" t="s">
        <v>4331</v>
      </c>
      <c r="L2505" t="str">
        <f>B172</f>
        <v>H3~</v>
      </c>
      <c r="N2505" t="s">
        <v>4332</v>
      </c>
      <c r="O2505">
        <v>1.3999868E7</v>
      </c>
      <c r="P2505">
        <v>1.1879162E7</v>
      </c>
      <c r="Q2505" t="s">
        <v>525</v>
      </c>
      <c r="R2505" s="5"/>
      <c r="S2505" s="5"/>
      <c r="T2505" s="5"/>
      <c r="U2505" s="5"/>
      <c r="V2505" s="5"/>
      <c r="W2505" s="5"/>
      <c r="X2505" s="5"/>
      <c r="Y2505" s="5"/>
      <c r="Z2505" s="5"/>
      <c r="AA2505" s="5"/>
      <c r="AB2505" s="5"/>
      <c r="AC2505" s="5"/>
      <c r="AD2505" s="5"/>
      <c r="AE2505" s="5"/>
      <c r="AF2505" s="5"/>
      <c r="AG2505" s="5"/>
    </row>
    <row r="2506" ht="15.75" customHeight="1">
      <c r="K2506" t="s">
        <v>4333</v>
      </c>
      <c r="L2506" t="str">
        <f>B172</f>
        <v>H3~</v>
      </c>
      <c r="N2506" t="s">
        <v>4334</v>
      </c>
      <c r="O2506">
        <v>1.4017373E7</v>
      </c>
      <c r="P2506">
        <v>1.1896667E7</v>
      </c>
      <c r="Q2506" t="s">
        <v>427</v>
      </c>
      <c r="R2506" s="5"/>
      <c r="S2506" s="5"/>
      <c r="T2506" s="5"/>
      <c r="U2506" s="5"/>
      <c r="V2506" s="5"/>
      <c r="W2506" s="5"/>
      <c r="X2506" s="5"/>
      <c r="Y2506" s="5"/>
      <c r="Z2506" s="5"/>
      <c r="AA2506" s="5"/>
      <c r="AB2506" s="5"/>
      <c r="AC2506" s="5"/>
      <c r="AD2506" s="5"/>
      <c r="AE2506" s="5"/>
      <c r="AF2506" s="5"/>
      <c r="AG2506" s="5"/>
    </row>
    <row r="2507" ht="15.75" customHeight="1">
      <c r="K2507" t="s">
        <v>4335</v>
      </c>
      <c r="L2507" t="str">
        <f>B172</f>
        <v>H3~</v>
      </c>
      <c r="N2507" t="s">
        <v>4336</v>
      </c>
      <c r="O2507">
        <v>1.4135651E7</v>
      </c>
      <c r="P2507">
        <v>1.2014945E7</v>
      </c>
      <c r="Q2507" t="s">
        <v>423</v>
      </c>
      <c r="R2507" s="5"/>
      <c r="S2507" s="5"/>
      <c r="T2507" s="5"/>
      <c r="U2507" s="5"/>
      <c r="V2507" s="5"/>
      <c r="W2507" s="5"/>
      <c r="X2507" s="5"/>
      <c r="Y2507" s="5"/>
      <c r="Z2507" s="5"/>
      <c r="AA2507" s="5"/>
      <c r="AB2507" s="5"/>
      <c r="AC2507" s="5"/>
      <c r="AD2507" s="5"/>
      <c r="AE2507" s="5"/>
      <c r="AF2507" s="5"/>
      <c r="AG2507" s="5"/>
    </row>
    <row r="2508" ht="15.75" customHeight="1">
      <c r="K2508" t="s">
        <v>4337</v>
      </c>
      <c r="L2508" t="str">
        <f>B172</f>
        <v>H3~</v>
      </c>
      <c r="N2508" t="s">
        <v>4338</v>
      </c>
      <c r="O2508">
        <v>1.4387351E7</v>
      </c>
      <c r="P2508">
        <v>1.2266647E7</v>
      </c>
      <c r="Q2508" t="s">
        <v>473</v>
      </c>
      <c r="R2508" s="5"/>
      <c r="S2508" s="5"/>
      <c r="T2508" s="5"/>
      <c r="U2508" s="5"/>
      <c r="V2508" s="5"/>
      <c r="W2508" s="5"/>
      <c r="X2508" s="5"/>
      <c r="Y2508" s="5"/>
      <c r="Z2508" s="5"/>
      <c r="AA2508" s="5"/>
      <c r="AB2508" s="5"/>
      <c r="AC2508" s="5"/>
      <c r="AD2508" s="5"/>
      <c r="AE2508" s="5"/>
      <c r="AF2508" s="5"/>
      <c r="AG2508" s="5"/>
    </row>
    <row r="2509" ht="15.75" customHeight="1">
      <c r="K2509" t="s">
        <v>4339</v>
      </c>
      <c r="L2509" t="str">
        <f>B172</f>
        <v>H3~</v>
      </c>
      <c r="N2509" t="s">
        <v>4340</v>
      </c>
      <c r="O2509">
        <v>1.5143375E7</v>
      </c>
      <c r="P2509">
        <v>1.3031462E7</v>
      </c>
      <c r="Q2509" t="s">
        <v>419</v>
      </c>
      <c r="R2509" s="5"/>
      <c r="S2509" s="5"/>
      <c r="T2509" s="5"/>
      <c r="U2509" s="5"/>
      <c r="V2509" s="5"/>
      <c r="W2509" s="5"/>
      <c r="X2509" s="5"/>
      <c r="Y2509" s="5"/>
      <c r="Z2509" s="5"/>
      <c r="AA2509" s="5"/>
      <c r="AB2509" s="5"/>
      <c r="AC2509" s="5"/>
      <c r="AD2509" s="5"/>
      <c r="AE2509" s="5"/>
      <c r="AF2509" s="5"/>
      <c r="AG2509" s="5"/>
    </row>
    <row r="2510" ht="15.75" customHeight="1">
      <c r="K2510" t="s">
        <v>4341</v>
      </c>
      <c r="L2510" t="str">
        <f>B172</f>
        <v>H3~</v>
      </c>
      <c r="N2510" t="s">
        <v>4342</v>
      </c>
      <c r="O2510">
        <v>1.5298339E7</v>
      </c>
      <c r="P2510">
        <v>1.3186438E7</v>
      </c>
      <c r="Q2510" t="s">
        <v>431</v>
      </c>
      <c r="R2510" s="5"/>
      <c r="S2510" s="5"/>
      <c r="T2510" s="5"/>
      <c r="U2510" s="5"/>
      <c r="V2510" s="5"/>
      <c r="W2510" s="5"/>
      <c r="X2510" s="5"/>
      <c r="Y2510" s="5"/>
      <c r="Z2510" s="5"/>
      <c r="AA2510" s="5"/>
      <c r="AB2510" s="5"/>
      <c r="AC2510" s="5"/>
      <c r="AD2510" s="5"/>
      <c r="AE2510" s="5"/>
      <c r="AF2510" s="5"/>
      <c r="AG2510" s="5"/>
    </row>
    <row r="2511" ht="15.75" customHeight="1">
      <c r="K2511" t="s">
        <v>4343</v>
      </c>
      <c r="L2511" t="str">
        <f>B172</f>
        <v>H3~</v>
      </c>
      <c r="N2511" t="s">
        <v>4344</v>
      </c>
      <c r="O2511">
        <v>1.5559913E7</v>
      </c>
      <c r="P2511">
        <v>1.3448033E7</v>
      </c>
      <c r="Q2511" t="s">
        <v>431</v>
      </c>
      <c r="R2511" s="5"/>
      <c r="S2511" s="5"/>
      <c r="T2511" s="5"/>
      <c r="U2511" s="5"/>
      <c r="V2511" s="5"/>
      <c r="W2511" s="5"/>
      <c r="X2511" s="5"/>
      <c r="Y2511" s="5"/>
      <c r="Z2511" s="5"/>
      <c r="AA2511" s="5"/>
      <c r="AB2511" s="5"/>
      <c r="AC2511" s="5"/>
      <c r="AD2511" s="5"/>
      <c r="AE2511" s="5"/>
      <c r="AF2511" s="5"/>
      <c r="AG2511" s="5"/>
    </row>
    <row r="2512" ht="15.75" customHeight="1">
      <c r="K2512" t="s">
        <v>4345</v>
      </c>
      <c r="L2512" t="str">
        <f>B172</f>
        <v>H3~</v>
      </c>
      <c r="N2512" t="s">
        <v>4346</v>
      </c>
      <c r="O2512">
        <v>1.7796933E7</v>
      </c>
      <c r="P2512">
        <v>1.5685053E7</v>
      </c>
      <c r="Q2512" t="s">
        <v>423</v>
      </c>
      <c r="R2512" s="5"/>
      <c r="S2512" s="5"/>
      <c r="T2512" s="5"/>
      <c r="U2512" s="5"/>
      <c r="V2512" s="5"/>
      <c r="W2512" s="5"/>
      <c r="X2512" s="5"/>
      <c r="Y2512" s="5"/>
      <c r="Z2512" s="5"/>
      <c r="AA2512" s="5"/>
      <c r="AB2512" s="5"/>
      <c r="AC2512" s="5"/>
      <c r="AD2512" s="5"/>
      <c r="AE2512" s="5"/>
      <c r="AF2512" s="5"/>
      <c r="AG2512" s="5"/>
    </row>
    <row r="2513" ht="15.75" customHeight="1">
      <c r="K2513" t="s">
        <v>4347</v>
      </c>
      <c r="L2513" t="str">
        <f>B172</f>
        <v>H3~</v>
      </c>
      <c r="N2513" t="s">
        <v>4348</v>
      </c>
      <c r="O2513">
        <v>1.8846129E7</v>
      </c>
      <c r="P2513">
        <v>1.6734249E7</v>
      </c>
      <c r="Q2513" t="s">
        <v>423</v>
      </c>
      <c r="R2513" s="5"/>
      <c r="S2513" s="5"/>
      <c r="T2513" s="5"/>
      <c r="U2513" s="5"/>
      <c r="V2513" s="5"/>
      <c r="W2513" s="5"/>
      <c r="X2513" s="5"/>
      <c r="Y2513" s="5"/>
      <c r="Z2513" s="5"/>
      <c r="AA2513" s="5"/>
      <c r="AB2513" s="5"/>
      <c r="AC2513" s="5"/>
      <c r="AD2513" s="5"/>
      <c r="AE2513" s="5"/>
      <c r="AF2513" s="5"/>
      <c r="AG2513" s="5"/>
    </row>
    <row r="2514" ht="15.75" customHeight="1">
      <c r="K2514" t="s">
        <v>4349</v>
      </c>
      <c r="L2514" t="str">
        <f>B172</f>
        <v>H3~</v>
      </c>
      <c r="N2514" t="s">
        <v>4350</v>
      </c>
      <c r="O2514">
        <v>2.1109405E7</v>
      </c>
      <c r="P2514">
        <v>1.8947519E7</v>
      </c>
      <c r="Q2514" t="s">
        <v>427</v>
      </c>
      <c r="R2514" s="5"/>
      <c r="S2514" s="5"/>
      <c r="T2514" s="5"/>
      <c r="U2514" s="5"/>
      <c r="V2514" s="5"/>
      <c r="W2514" s="5"/>
      <c r="X2514" s="5"/>
      <c r="Y2514" s="5"/>
      <c r="Z2514" s="5"/>
      <c r="AA2514" s="5"/>
      <c r="AB2514" s="5"/>
      <c r="AC2514" s="5"/>
      <c r="AD2514" s="5"/>
      <c r="AE2514" s="5"/>
      <c r="AF2514" s="5"/>
      <c r="AG2514" s="5"/>
    </row>
    <row r="2515" ht="15.75" customHeight="1">
      <c r="K2515" t="s">
        <v>4351</v>
      </c>
      <c r="L2515" t="str">
        <f>B172</f>
        <v>H3~</v>
      </c>
      <c r="N2515" t="s">
        <v>4352</v>
      </c>
      <c r="O2515">
        <v>2.1121323E7</v>
      </c>
      <c r="P2515">
        <v>1.8959437E7</v>
      </c>
      <c r="Q2515" t="s">
        <v>423</v>
      </c>
      <c r="R2515" s="5"/>
      <c r="S2515" s="5"/>
      <c r="T2515" s="5"/>
      <c r="U2515" s="5"/>
      <c r="V2515" s="5"/>
      <c r="W2515" s="5"/>
      <c r="X2515" s="5"/>
      <c r="Y2515" s="5"/>
      <c r="Z2515" s="5"/>
      <c r="AA2515" s="5"/>
      <c r="AB2515" s="5"/>
      <c r="AC2515" s="5"/>
      <c r="AD2515" s="5"/>
      <c r="AE2515" s="5"/>
      <c r="AF2515" s="5"/>
      <c r="AG2515" s="5"/>
    </row>
    <row r="2516" ht="15.75" customHeight="1">
      <c r="K2516" t="s">
        <v>4353</v>
      </c>
      <c r="L2516" t="str">
        <f>B172</f>
        <v>H3~</v>
      </c>
      <c r="N2516" t="s">
        <v>4354</v>
      </c>
      <c r="O2516">
        <v>2.1805977E7</v>
      </c>
      <c r="P2516">
        <v>1.9644091E7</v>
      </c>
      <c r="Q2516" t="s">
        <v>476</v>
      </c>
      <c r="R2516" s="5"/>
      <c r="S2516" s="5"/>
      <c r="T2516" s="5"/>
      <c r="U2516" s="5"/>
      <c r="V2516" s="5"/>
      <c r="W2516" s="5"/>
      <c r="X2516" s="5"/>
      <c r="Y2516" s="5"/>
      <c r="Z2516" s="5"/>
      <c r="AA2516" s="5"/>
      <c r="AB2516" s="5"/>
      <c r="AC2516" s="5"/>
      <c r="AD2516" s="5"/>
      <c r="AE2516" s="5"/>
      <c r="AF2516" s="5"/>
      <c r="AG2516" s="5"/>
    </row>
    <row r="2517" ht="15.75" customHeight="1">
      <c r="K2517" t="s">
        <v>4355</v>
      </c>
      <c r="L2517" t="str">
        <f>B172</f>
        <v>H3~</v>
      </c>
      <c r="N2517" t="s">
        <v>4356</v>
      </c>
      <c r="O2517">
        <v>2.1850428E7</v>
      </c>
      <c r="P2517">
        <v>1.9688542E7</v>
      </c>
      <c r="Q2517" t="s">
        <v>419</v>
      </c>
      <c r="R2517" s="5"/>
      <c r="S2517" s="5"/>
      <c r="T2517" s="5"/>
      <c r="U2517" s="5"/>
      <c r="V2517" s="5"/>
      <c r="W2517" s="5"/>
      <c r="X2517" s="5"/>
      <c r="Y2517" s="5"/>
      <c r="Z2517" s="5"/>
      <c r="AA2517" s="5"/>
      <c r="AB2517" s="5"/>
      <c r="AC2517" s="5"/>
      <c r="AD2517" s="5"/>
      <c r="AE2517" s="5"/>
      <c r="AF2517" s="5"/>
      <c r="AG2517" s="5"/>
    </row>
    <row r="2518" ht="15.75" customHeight="1">
      <c r="K2518" t="s">
        <v>4357</v>
      </c>
      <c r="L2518" t="str">
        <f>B172</f>
        <v>H3~</v>
      </c>
      <c r="N2518" t="s">
        <v>4358</v>
      </c>
      <c r="O2518">
        <v>2.2547875E7</v>
      </c>
      <c r="P2518">
        <v>2.0385989E7</v>
      </c>
      <c r="Q2518" t="s">
        <v>431</v>
      </c>
      <c r="R2518" s="5"/>
      <c r="S2518" s="5"/>
      <c r="T2518" s="5"/>
      <c r="U2518" s="5"/>
      <c r="V2518" s="5"/>
      <c r="W2518" s="5"/>
      <c r="X2518" s="5"/>
      <c r="Y2518" s="5"/>
      <c r="Z2518" s="5"/>
      <c r="AA2518" s="5"/>
      <c r="AB2518" s="5"/>
      <c r="AC2518" s="5"/>
      <c r="AD2518" s="5"/>
      <c r="AE2518" s="5"/>
      <c r="AF2518" s="5"/>
      <c r="AG2518" s="5"/>
    </row>
    <row r="2519" ht="15.75" customHeight="1">
      <c r="K2519" t="s">
        <v>4359</v>
      </c>
      <c r="L2519" t="str">
        <f>B172</f>
        <v>H3~</v>
      </c>
      <c r="N2519" t="s">
        <v>4360</v>
      </c>
      <c r="O2519">
        <v>2.2592132E7</v>
      </c>
      <c r="P2519">
        <v>2.0430246E7</v>
      </c>
      <c r="Q2519" t="s">
        <v>459</v>
      </c>
      <c r="R2519" s="5"/>
      <c r="S2519" s="5"/>
      <c r="T2519" s="5"/>
      <c r="U2519" s="5"/>
      <c r="V2519" s="5"/>
      <c r="W2519" s="5"/>
      <c r="X2519" s="5"/>
      <c r="Y2519" s="5"/>
      <c r="Z2519" s="5"/>
      <c r="AA2519" s="5"/>
      <c r="AB2519" s="5"/>
      <c r="AC2519" s="5"/>
      <c r="AD2519" s="5"/>
      <c r="AE2519" s="5"/>
      <c r="AF2519" s="5"/>
      <c r="AG2519" s="5"/>
    </row>
    <row r="2520" ht="15.75" customHeight="1">
      <c r="K2520" t="s">
        <v>4361</v>
      </c>
      <c r="L2520" t="str">
        <f>B172</f>
        <v>H3~</v>
      </c>
      <c r="O2520">
        <v>2.3211204E7</v>
      </c>
      <c r="P2520">
        <v>2.1049318E7</v>
      </c>
      <c r="Q2520" t="s">
        <v>423</v>
      </c>
      <c r="R2520" s="5"/>
      <c r="S2520" s="5"/>
      <c r="T2520" s="5"/>
      <c r="U2520" s="5"/>
      <c r="V2520" s="5"/>
      <c r="W2520" s="5"/>
      <c r="X2520" s="5"/>
      <c r="Y2520" s="5"/>
      <c r="Z2520" s="5"/>
      <c r="AA2520" s="5"/>
      <c r="AB2520" s="5"/>
      <c r="AC2520" s="5"/>
      <c r="AD2520" s="5"/>
      <c r="AE2520" s="5"/>
      <c r="AF2520" s="5"/>
      <c r="AG2520" s="5"/>
    </row>
    <row r="2521" ht="15.75" customHeight="1">
      <c r="K2521" t="s">
        <v>4362</v>
      </c>
      <c r="L2521" t="str">
        <f>C173</f>
        <v>H3a</v>
      </c>
      <c r="O2521">
        <v>6932688.0</v>
      </c>
      <c r="P2521">
        <v>7064647.0</v>
      </c>
      <c r="Q2521" t="s">
        <v>427</v>
      </c>
      <c r="R2521" s="5"/>
      <c r="S2521" s="5"/>
      <c r="T2521" s="5"/>
      <c r="U2521" s="5"/>
      <c r="V2521" s="5"/>
      <c r="W2521" s="5"/>
      <c r="X2521" s="5"/>
      <c r="Y2521" s="5"/>
      <c r="Z2521" s="5"/>
      <c r="AA2521" s="5"/>
      <c r="AB2521" s="5"/>
      <c r="AC2521" s="5"/>
      <c r="AD2521" s="5"/>
      <c r="AE2521" s="5"/>
      <c r="AF2521" s="5"/>
      <c r="AG2521" s="5"/>
    </row>
    <row r="2522" ht="15.75" customHeight="1">
      <c r="K2522" t="s">
        <v>4363</v>
      </c>
      <c r="L2522" t="str">
        <f>C173</f>
        <v>H3a</v>
      </c>
      <c r="M2522" t="s">
        <v>4364</v>
      </c>
      <c r="N2522" t="s">
        <v>4365</v>
      </c>
      <c r="O2522">
        <v>8000696.0</v>
      </c>
      <c r="P2522">
        <v>8132655.0</v>
      </c>
      <c r="Q2522" t="s">
        <v>423</v>
      </c>
      <c r="R2522" s="5"/>
      <c r="S2522" s="5"/>
      <c r="T2522" s="5"/>
      <c r="U2522" s="5"/>
      <c r="V2522" s="5"/>
      <c r="W2522" s="5"/>
      <c r="X2522" s="5"/>
      <c r="Y2522" s="5"/>
      <c r="Z2522" s="5"/>
      <c r="AA2522" s="5"/>
      <c r="AB2522" s="5"/>
      <c r="AC2522" s="5"/>
      <c r="AD2522" s="5"/>
      <c r="AE2522" s="5"/>
      <c r="AF2522" s="5"/>
      <c r="AG2522" s="5"/>
    </row>
    <row r="2523" ht="15.75" customHeight="1">
      <c r="K2523" t="s">
        <v>4364</v>
      </c>
      <c r="L2523" t="str">
        <f>C173</f>
        <v>H3a</v>
      </c>
      <c r="M2523" t="s">
        <v>4363</v>
      </c>
      <c r="N2523" t="s">
        <v>4365</v>
      </c>
      <c r="O2523">
        <v>8000696.0</v>
      </c>
      <c r="P2523">
        <v>8132655.0</v>
      </c>
      <c r="Q2523" t="s">
        <v>423</v>
      </c>
      <c r="R2523" s="5"/>
      <c r="S2523" s="5"/>
      <c r="T2523" s="5"/>
      <c r="U2523" s="5"/>
      <c r="V2523" s="5"/>
      <c r="W2523" s="5"/>
      <c r="X2523" s="5"/>
      <c r="Y2523" s="5"/>
      <c r="Z2523" s="5"/>
      <c r="AA2523" s="5"/>
      <c r="AB2523" s="5"/>
      <c r="AC2523" s="5"/>
      <c r="AD2523" s="5"/>
      <c r="AE2523" s="5"/>
      <c r="AF2523" s="5"/>
      <c r="AG2523" s="5"/>
    </row>
    <row r="2524" ht="15.75" customHeight="1">
      <c r="K2524" t="s">
        <v>4366</v>
      </c>
      <c r="L2524" t="str">
        <f>C173</f>
        <v>H3a</v>
      </c>
      <c r="M2524" t="s">
        <v>4367</v>
      </c>
      <c r="N2524" t="s">
        <v>4368</v>
      </c>
      <c r="O2524">
        <v>1.5714793E7</v>
      </c>
      <c r="P2524">
        <v>1.3602913E7</v>
      </c>
      <c r="Q2524" t="s">
        <v>423</v>
      </c>
      <c r="R2524" s="5"/>
      <c r="S2524" s="5"/>
      <c r="T2524" s="5"/>
      <c r="U2524" s="5"/>
      <c r="V2524" s="5"/>
      <c r="W2524" s="5"/>
      <c r="X2524" s="5"/>
      <c r="Y2524" s="5"/>
      <c r="Z2524" s="5"/>
      <c r="AA2524" s="5"/>
      <c r="AB2524" s="5"/>
      <c r="AC2524" s="5"/>
      <c r="AD2524" s="5"/>
      <c r="AE2524" s="5"/>
      <c r="AF2524" s="5"/>
      <c r="AG2524" s="5"/>
    </row>
    <row r="2525" ht="15.75" customHeight="1">
      <c r="K2525" t="s">
        <v>4367</v>
      </c>
      <c r="L2525" t="str">
        <f>C173</f>
        <v>H3a</v>
      </c>
      <c r="M2525" t="s">
        <v>4366</v>
      </c>
      <c r="N2525" t="s">
        <v>4368</v>
      </c>
      <c r="O2525">
        <v>1.5714793E7</v>
      </c>
      <c r="P2525">
        <v>1.3602913E7</v>
      </c>
      <c r="Q2525" t="s">
        <v>423</v>
      </c>
      <c r="R2525" s="5"/>
      <c r="S2525" s="5"/>
      <c r="T2525" s="5"/>
      <c r="U2525" s="5"/>
      <c r="V2525" s="5"/>
      <c r="W2525" s="5"/>
      <c r="X2525" s="5"/>
      <c r="Y2525" s="5"/>
      <c r="Z2525" s="5"/>
      <c r="AA2525" s="5"/>
      <c r="AB2525" s="5"/>
      <c r="AC2525" s="5"/>
      <c r="AD2525" s="5"/>
      <c r="AE2525" s="5"/>
      <c r="AF2525" s="5"/>
      <c r="AG2525" s="5"/>
    </row>
    <row r="2526" ht="15.75" customHeight="1">
      <c r="K2526" t="s">
        <v>4369</v>
      </c>
      <c r="L2526" t="str">
        <f>C173</f>
        <v>H3a</v>
      </c>
      <c r="M2526" t="s">
        <v>4370</v>
      </c>
      <c r="N2526" t="s">
        <v>4371</v>
      </c>
      <c r="O2526">
        <v>8025371.0</v>
      </c>
      <c r="P2526">
        <v>8157330.0</v>
      </c>
      <c r="Q2526" t="s">
        <v>423</v>
      </c>
      <c r="R2526" s="5"/>
      <c r="S2526" s="5"/>
      <c r="T2526" s="5"/>
      <c r="U2526" s="5"/>
      <c r="V2526" s="5"/>
      <c r="W2526" s="5"/>
      <c r="X2526" s="5"/>
      <c r="Y2526" s="5"/>
      <c r="Z2526" s="5"/>
      <c r="AA2526" s="5"/>
      <c r="AB2526" s="5"/>
      <c r="AC2526" s="5"/>
      <c r="AD2526" s="5"/>
      <c r="AE2526" s="5"/>
      <c r="AF2526" s="5"/>
      <c r="AG2526" s="5"/>
    </row>
    <row r="2527" ht="15.75" customHeight="1">
      <c r="K2527" t="s">
        <v>4370</v>
      </c>
      <c r="L2527" t="str">
        <f>C173</f>
        <v>H3a</v>
      </c>
      <c r="M2527" t="s">
        <v>4369</v>
      </c>
      <c r="N2527" t="s">
        <v>4371</v>
      </c>
      <c r="O2527">
        <v>8025371.0</v>
      </c>
      <c r="P2527">
        <v>8157330.0</v>
      </c>
      <c r="Q2527" t="s">
        <v>423</v>
      </c>
      <c r="R2527" s="5"/>
      <c r="S2527" s="5"/>
      <c r="T2527" s="5"/>
      <c r="U2527" s="5"/>
      <c r="V2527" s="5"/>
      <c r="W2527" s="5"/>
      <c r="X2527" s="5"/>
      <c r="Y2527" s="5"/>
      <c r="Z2527" s="5"/>
      <c r="AA2527" s="5"/>
      <c r="AB2527" s="5"/>
      <c r="AC2527" s="5"/>
      <c r="AD2527" s="5"/>
      <c r="AE2527" s="5"/>
      <c r="AF2527" s="5"/>
      <c r="AG2527" s="5"/>
    </row>
    <row r="2528" ht="15.75" customHeight="1">
      <c r="K2528" t="s">
        <v>4372</v>
      </c>
      <c r="L2528" t="str">
        <f>C173</f>
        <v>H3a</v>
      </c>
      <c r="M2528" t="s">
        <v>4373</v>
      </c>
      <c r="N2528" t="s">
        <v>4374</v>
      </c>
      <c r="O2528">
        <v>2.266311E7</v>
      </c>
      <c r="P2528">
        <v>2.0501224E7</v>
      </c>
      <c r="Q2528" t="s">
        <v>476</v>
      </c>
      <c r="R2528" s="5"/>
      <c r="S2528" s="5"/>
      <c r="T2528" s="5"/>
      <c r="U2528" s="5"/>
      <c r="V2528" s="5"/>
      <c r="W2528" s="5"/>
      <c r="X2528" s="5"/>
      <c r="Y2528" s="5"/>
      <c r="Z2528" s="5"/>
      <c r="AA2528" s="5"/>
      <c r="AB2528" s="5"/>
      <c r="AC2528" s="5"/>
      <c r="AD2528" s="5"/>
      <c r="AE2528" s="5"/>
      <c r="AF2528" s="5"/>
      <c r="AG2528" s="5"/>
    </row>
    <row r="2529" ht="15.75" customHeight="1">
      <c r="K2529" t="s">
        <v>4373</v>
      </c>
      <c r="L2529" t="str">
        <f>C173</f>
        <v>H3a</v>
      </c>
      <c r="M2529" t="s">
        <v>4372</v>
      </c>
      <c r="N2529" t="s">
        <v>4374</v>
      </c>
      <c r="O2529">
        <v>2.266311E7</v>
      </c>
      <c r="P2529">
        <v>2.0501224E7</v>
      </c>
      <c r="Q2529" t="s">
        <v>476</v>
      </c>
      <c r="R2529" s="5"/>
      <c r="S2529" s="5"/>
      <c r="T2529" s="5"/>
      <c r="U2529" s="5"/>
      <c r="V2529" s="5"/>
      <c r="W2529" s="5"/>
      <c r="X2529" s="5"/>
      <c r="Y2529" s="5"/>
      <c r="Z2529" s="5"/>
      <c r="AA2529" s="5"/>
      <c r="AB2529" s="5"/>
      <c r="AC2529" s="5"/>
      <c r="AD2529" s="5"/>
      <c r="AE2529" s="5"/>
      <c r="AF2529" s="5"/>
      <c r="AG2529" s="5"/>
    </row>
    <row r="2530" ht="15.75" customHeight="1">
      <c r="K2530" t="s">
        <v>4375</v>
      </c>
      <c r="L2530" t="str">
        <f>C173</f>
        <v>H3a</v>
      </c>
      <c r="M2530" t="s">
        <v>4376</v>
      </c>
      <c r="N2530" t="s">
        <v>4377</v>
      </c>
      <c r="O2530">
        <v>2.3099693E7</v>
      </c>
      <c r="P2530">
        <v>2.0937807E7</v>
      </c>
      <c r="Q2530" t="s">
        <v>431</v>
      </c>
      <c r="R2530" s="5"/>
      <c r="S2530" s="5"/>
      <c r="T2530" s="5"/>
      <c r="U2530" s="5"/>
      <c r="V2530" s="5"/>
      <c r="W2530" s="5"/>
      <c r="X2530" s="5"/>
      <c r="Y2530" s="5"/>
      <c r="Z2530" s="5"/>
      <c r="AA2530" s="5"/>
      <c r="AB2530" s="5"/>
      <c r="AC2530" s="5"/>
      <c r="AD2530" s="5"/>
      <c r="AE2530" s="5"/>
      <c r="AF2530" s="5"/>
      <c r="AG2530" s="5"/>
    </row>
    <row r="2531" ht="15.75" customHeight="1">
      <c r="K2531" t="s">
        <v>4376</v>
      </c>
      <c r="L2531" t="str">
        <f>C173</f>
        <v>H3a</v>
      </c>
      <c r="M2531" t="s">
        <v>4375</v>
      </c>
      <c r="N2531" t="s">
        <v>4377</v>
      </c>
      <c r="O2531">
        <v>2.3099693E7</v>
      </c>
      <c r="P2531">
        <v>2.0937807E7</v>
      </c>
      <c r="Q2531" t="s">
        <v>431</v>
      </c>
      <c r="R2531" s="5"/>
      <c r="S2531" s="5"/>
      <c r="T2531" s="5"/>
      <c r="U2531" s="5"/>
      <c r="V2531" s="5"/>
      <c r="W2531" s="5"/>
      <c r="X2531" s="5"/>
      <c r="Y2531" s="5"/>
      <c r="Z2531" s="5"/>
      <c r="AA2531" s="5"/>
      <c r="AB2531" s="5"/>
      <c r="AC2531" s="5"/>
      <c r="AD2531" s="5"/>
      <c r="AE2531" s="5"/>
      <c r="AF2531" s="5"/>
      <c r="AG2531" s="5"/>
    </row>
    <row r="2532" ht="15.75" customHeight="1">
      <c r="K2532" t="s">
        <v>4378</v>
      </c>
      <c r="L2532" t="str">
        <f>C173</f>
        <v>H3a</v>
      </c>
      <c r="M2532" t="s">
        <v>4379</v>
      </c>
      <c r="N2532" t="s">
        <v>4380</v>
      </c>
      <c r="O2532">
        <v>7923304.0</v>
      </c>
      <c r="P2532">
        <v>8055263.0</v>
      </c>
      <c r="Q2532" t="s">
        <v>435</v>
      </c>
      <c r="R2532" s="5"/>
      <c r="S2532" s="5"/>
      <c r="T2532" s="5"/>
      <c r="U2532" s="5"/>
      <c r="V2532" s="5"/>
      <c r="W2532" s="5"/>
      <c r="X2532" s="5"/>
      <c r="Y2532" s="5"/>
      <c r="Z2532" s="5"/>
      <c r="AA2532" s="5"/>
      <c r="AB2532" s="5"/>
      <c r="AC2532" s="5"/>
      <c r="AD2532" s="5"/>
      <c r="AE2532" s="5"/>
      <c r="AF2532" s="5"/>
      <c r="AG2532" s="5"/>
    </row>
    <row r="2533" ht="15.75" customHeight="1">
      <c r="K2533" t="s">
        <v>4379</v>
      </c>
      <c r="L2533" t="str">
        <f>C173</f>
        <v>H3a</v>
      </c>
      <c r="M2533" t="s">
        <v>4378</v>
      </c>
      <c r="N2533" t="s">
        <v>4380</v>
      </c>
      <c r="O2533">
        <v>7923304.0</v>
      </c>
      <c r="P2533">
        <v>8055263.0</v>
      </c>
      <c r="Q2533" t="s">
        <v>435</v>
      </c>
      <c r="R2533" s="5"/>
      <c r="S2533" s="5"/>
      <c r="T2533" s="5"/>
      <c r="U2533" s="5"/>
      <c r="V2533" s="5"/>
      <c r="W2533" s="5"/>
      <c r="X2533" s="5"/>
      <c r="Y2533" s="5"/>
      <c r="Z2533" s="5"/>
      <c r="AA2533" s="5"/>
      <c r="AB2533" s="5"/>
      <c r="AC2533" s="5"/>
      <c r="AD2533" s="5"/>
      <c r="AE2533" s="5"/>
      <c r="AF2533" s="5"/>
      <c r="AG2533" s="5"/>
    </row>
    <row r="2534" ht="15.75" customHeight="1">
      <c r="K2534" t="s">
        <v>4381</v>
      </c>
      <c r="L2534" t="str">
        <f>C173</f>
        <v>H3a</v>
      </c>
      <c r="N2534" t="s">
        <v>4382</v>
      </c>
      <c r="O2534">
        <v>1.8622326E7</v>
      </c>
      <c r="P2534">
        <v>1.6510446E7</v>
      </c>
      <c r="Q2534" t="s">
        <v>423</v>
      </c>
      <c r="R2534" s="5"/>
      <c r="S2534" s="5"/>
      <c r="T2534" s="5"/>
      <c r="U2534" s="5"/>
      <c r="V2534" s="5"/>
      <c r="W2534" s="5"/>
      <c r="X2534" s="5"/>
      <c r="Y2534" s="5"/>
      <c r="Z2534" s="5"/>
      <c r="AA2534" s="5"/>
      <c r="AB2534" s="5"/>
      <c r="AC2534" s="5"/>
      <c r="AD2534" s="5"/>
      <c r="AE2534" s="5"/>
      <c r="AF2534" s="5"/>
      <c r="AG2534" s="5"/>
    </row>
    <row r="2535" ht="15.75" customHeight="1">
      <c r="K2535" t="s">
        <v>4383</v>
      </c>
      <c r="L2535" t="str">
        <f>C173</f>
        <v>H3a</v>
      </c>
      <c r="N2535" t="s">
        <v>4384</v>
      </c>
      <c r="O2535">
        <v>2794149.0</v>
      </c>
      <c r="P2535">
        <v>2926108.0</v>
      </c>
      <c r="Q2535" t="s">
        <v>419</v>
      </c>
      <c r="R2535" s="5"/>
      <c r="S2535" s="5"/>
      <c r="T2535" s="5"/>
      <c r="U2535" s="5"/>
      <c r="V2535" s="5"/>
      <c r="W2535" s="5"/>
      <c r="X2535" s="5"/>
      <c r="Y2535" s="5"/>
      <c r="Z2535" s="5"/>
      <c r="AA2535" s="5"/>
      <c r="AB2535" s="5"/>
      <c r="AC2535" s="5"/>
      <c r="AD2535" s="5"/>
      <c r="AE2535" s="5"/>
      <c r="AF2535" s="5"/>
      <c r="AG2535" s="5"/>
    </row>
    <row r="2536" ht="15.75" customHeight="1">
      <c r="K2536" t="s">
        <v>4385</v>
      </c>
      <c r="L2536" t="str">
        <f>C173</f>
        <v>H3a</v>
      </c>
      <c r="N2536" t="s">
        <v>4386</v>
      </c>
      <c r="O2536" t="s">
        <v>4387</v>
      </c>
      <c r="P2536" t="s">
        <v>4388</v>
      </c>
      <c r="Q2536" t="s">
        <v>4389</v>
      </c>
      <c r="R2536" s="5"/>
      <c r="S2536" s="5"/>
      <c r="T2536" s="5"/>
      <c r="U2536" s="5"/>
      <c r="V2536" s="5"/>
      <c r="W2536" s="5"/>
      <c r="X2536" s="5"/>
      <c r="Y2536" s="5"/>
      <c r="Z2536" s="5"/>
      <c r="AA2536" s="5"/>
      <c r="AB2536" s="5"/>
      <c r="AC2536" s="5"/>
      <c r="AD2536" s="5"/>
      <c r="AE2536" s="5"/>
      <c r="AF2536" s="5"/>
      <c r="AG2536" s="5"/>
    </row>
    <row r="2537" ht="15.75" customHeight="1">
      <c r="K2537" t="s">
        <v>4390</v>
      </c>
      <c r="L2537" t="str">
        <f>C173</f>
        <v>H3a</v>
      </c>
      <c r="N2537" t="s">
        <v>4391</v>
      </c>
      <c r="O2537">
        <v>6940519.0</v>
      </c>
      <c r="P2537">
        <v>7072478.0</v>
      </c>
      <c r="Q2537" t="s">
        <v>431</v>
      </c>
      <c r="R2537" s="5"/>
      <c r="S2537" s="5"/>
      <c r="T2537" s="5"/>
      <c r="U2537" s="5"/>
      <c r="V2537" s="5"/>
      <c r="W2537" s="5"/>
      <c r="X2537" s="5"/>
      <c r="Y2537" s="5"/>
      <c r="Z2537" s="5"/>
      <c r="AA2537" s="5"/>
      <c r="AB2537" s="5"/>
      <c r="AC2537" s="5"/>
      <c r="AD2537" s="5"/>
      <c r="AE2537" s="5"/>
      <c r="AF2537" s="5"/>
      <c r="AG2537" s="5"/>
    </row>
    <row r="2538" ht="15.75" customHeight="1">
      <c r="K2538" t="s">
        <v>4392</v>
      </c>
      <c r="L2538" t="str">
        <f>C173</f>
        <v>H3a</v>
      </c>
      <c r="N2538" t="s">
        <v>4393</v>
      </c>
      <c r="O2538">
        <v>7093596.0</v>
      </c>
      <c r="P2538">
        <v>7225555.0</v>
      </c>
      <c r="Q2538" t="s">
        <v>431</v>
      </c>
      <c r="R2538" s="5"/>
      <c r="S2538" s="5"/>
      <c r="T2538" s="5"/>
      <c r="U2538" s="5"/>
      <c r="V2538" s="5"/>
      <c r="W2538" s="5"/>
      <c r="X2538" s="5"/>
      <c r="Y2538" s="5"/>
      <c r="Z2538" s="5"/>
      <c r="AA2538" s="5"/>
      <c r="AB2538" s="5"/>
      <c r="AC2538" s="5"/>
      <c r="AD2538" s="5"/>
      <c r="AE2538" s="5"/>
      <c r="AF2538" s="5"/>
      <c r="AG2538" s="5"/>
    </row>
    <row r="2539" ht="15.75" customHeight="1">
      <c r="K2539" t="s">
        <v>4394</v>
      </c>
      <c r="L2539" t="str">
        <f>C173</f>
        <v>H3a</v>
      </c>
      <c r="N2539" t="s">
        <v>4395</v>
      </c>
      <c r="O2539">
        <v>7095003.0</v>
      </c>
      <c r="P2539">
        <v>7226962.0</v>
      </c>
      <c r="Q2539" t="s">
        <v>423</v>
      </c>
      <c r="R2539" s="5"/>
      <c r="S2539" s="5"/>
      <c r="T2539" s="5"/>
      <c r="U2539" s="5"/>
      <c r="V2539" s="5"/>
      <c r="W2539" s="5"/>
      <c r="X2539" s="5"/>
      <c r="Y2539" s="5"/>
      <c r="Z2539" s="5"/>
      <c r="AA2539" s="5"/>
      <c r="AB2539" s="5"/>
      <c r="AC2539" s="5"/>
      <c r="AD2539" s="5"/>
      <c r="AE2539" s="5"/>
      <c r="AF2539" s="5"/>
      <c r="AG2539" s="5"/>
    </row>
    <row r="2540" ht="15.75" customHeight="1">
      <c r="K2540" t="s">
        <v>4396</v>
      </c>
      <c r="L2540" t="str">
        <f>C173</f>
        <v>H3a</v>
      </c>
      <c r="N2540" t="s">
        <v>4397</v>
      </c>
      <c r="O2540">
        <v>7103630.0</v>
      </c>
      <c r="P2540">
        <v>7235589.0</v>
      </c>
      <c r="Q2540" t="s">
        <v>431</v>
      </c>
      <c r="R2540" s="5"/>
      <c r="S2540" s="5"/>
      <c r="T2540" s="5"/>
      <c r="U2540" s="5"/>
      <c r="V2540" s="5"/>
      <c r="W2540" s="5"/>
      <c r="X2540" s="5"/>
      <c r="Y2540" s="5"/>
      <c r="Z2540" s="5"/>
      <c r="AA2540" s="5"/>
      <c r="AB2540" s="5"/>
      <c r="AC2540" s="5"/>
      <c r="AD2540" s="5"/>
      <c r="AE2540" s="5"/>
      <c r="AF2540" s="5"/>
      <c r="AG2540" s="5"/>
    </row>
    <row r="2541" ht="15.75" customHeight="1">
      <c r="K2541" t="s">
        <v>4398</v>
      </c>
      <c r="L2541" t="str">
        <f>C173</f>
        <v>H3a</v>
      </c>
      <c r="O2541">
        <v>7257436.0</v>
      </c>
      <c r="P2541">
        <v>7389395.0</v>
      </c>
      <c r="Q2541" t="s">
        <v>435</v>
      </c>
      <c r="R2541" s="5"/>
      <c r="S2541" s="5"/>
      <c r="T2541" s="5"/>
      <c r="U2541" s="5"/>
      <c r="V2541" s="5"/>
      <c r="W2541" s="5"/>
      <c r="X2541" s="5"/>
      <c r="Y2541" s="5"/>
      <c r="Z2541" s="5"/>
      <c r="AA2541" s="5"/>
      <c r="AB2541" s="5"/>
      <c r="AC2541" s="5"/>
      <c r="AD2541" s="5"/>
      <c r="AE2541" s="5"/>
      <c r="AF2541" s="5"/>
      <c r="AG2541" s="5"/>
    </row>
    <row r="2542" ht="15.75" customHeight="1">
      <c r="K2542" t="s">
        <v>4399</v>
      </c>
      <c r="L2542" t="str">
        <f>C173</f>
        <v>H3a</v>
      </c>
      <c r="N2542" t="s">
        <v>4400</v>
      </c>
      <c r="O2542">
        <v>7267420.0</v>
      </c>
      <c r="P2542">
        <v>7399379.0</v>
      </c>
      <c r="Q2542" t="s">
        <v>419</v>
      </c>
      <c r="R2542" s="5"/>
      <c r="S2542" s="5"/>
      <c r="T2542" s="5"/>
      <c r="U2542" s="5"/>
      <c r="V2542" s="5"/>
      <c r="W2542" s="5"/>
      <c r="X2542" s="5"/>
      <c r="Y2542" s="5"/>
      <c r="Z2542" s="5"/>
      <c r="AA2542" s="5"/>
      <c r="AB2542" s="5"/>
      <c r="AC2542" s="5"/>
      <c r="AD2542" s="5"/>
      <c r="AE2542" s="5"/>
      <c r="AF2542" s="5"/>
      <c r="AG2542" s="5"/>
    </row>
    <row r="2543" ht="15.75" customHeight="1">
      <c r="K2543" t="s">
        <v>4401</v>
      </c>
      <c r="L2543" t="str">
        <f>C173</f>
        <v>H3a</v>
      </c>
      <c r="N2543" t="s">
        <v>4402</v>
      </c>
      <c r="O2543">
        <v>7576398.0</v>
      </c>
      <c r="P2543">
        <v>7708357.0</v>
      </c>
      <c r="Q2543" t="s">
        <v>431</v>
      </c>
      <c r="R2543" s="5"/>
      <c r="S2543" s="5"/>
      <c r="T2543" s="5"/>
      <c r="U2543" s="5"/>
      <c r="V2543" s="5"/>
      <c r="W2543" s="5"/>
      <c r="X2543" s="5"/>
      <c r="Y2543" s="5"/>
      <c r="Z2543" s="5"/>
      <c r="AA2543" s="5"/>
      <c r="AB2543" s="5"/>
      <c r="AC2543" s="5"/>
      <c r="AD2543" s="5"/>
      <c r="AE2543" s="5"/>
      <c r="AF2543" s="5"/>
      <c r="AG2543" s="5"/>
    </row>
    <row r="2544" ht="15.75" customHeight="1">
      <c r="K2544" t="s">
        <v>4403</v>
      </c>
      <c r="L2544" t="str">
        <f>C173</f>
        <v>H3a</v>
      </c>
      <c r="N2544" t="s">
        <v>4404</v>
      </c>
      <c r="O2544">
        <v>7649939.0</v>
      </c>
      <c r="P2544">
        <v>7781898.0</v>
      </c>
      <c r="Q2544" t="s">
        <v>427</v>
      </c>
      <c r="R2544" s="5"/>
      <c r="S2544" s="5"/>
      <c r="T2544" s="5"/>
      <c r="U2544" s="5"/>
      <c r="V2544" s="5"/>
      <c r="W2544" s="5"/>
      <c r="X2544" s="5"/>
      <c r="Y2544" s="5"/>
      <c r="Z2544" s="5"/>
      <c r="AA2544" s="5"/>
      <c r="AB2544" s="5"/>
      <c r="AC2544" s="5"/>
      <c r="AD2544" s="5"/>
      <c r="AE2544" s="5"/>
      <c r="AF2544" s="5"/>
      <c r="AG2544" s="5"/>
    </row>
    <row r="2545" ht="15.75" customHeight="1">
      <c r="K2545" t="s">
        <v>4405</v>
      </c>
      <c r="L2545" t="str">
        <f>C173</f>
        <v>H3a</v>
      </c>
      <c r="N2545" t="s">
        <v>4406</v>
      </c>
      <c r="O2545">
        <v>7687849.0</v>
      </c>
      <c r="P2545">
        <v>7819808.0</v>
      </c>
      <c r="Q2545" t="s">
        <v>435</v>
      </c>
      <c r="R2545" s="5"/>
      <c r="S2545" s="5"/>
      <c r="T2545" s="5"/>
      <c r="U2545" s="5"/>
      <c r="V2545" s="5"/>
      <c r="W2545" s="5"/>
      <c r="X2545" s="5"/>
      <c r="Y2545" s="5"/>
      <c r="Z2545" s="5"/>
      <c r="AA2545" s="5"/>
      <c r="AB2545" s="5"/>
      <c r="AC2545" s="5"/>
      <c r="AD2545" s="5"/>
      <c r="AE2545" s="5"/>
      <c r="AF2545" s="5"/>
      <c r="AG2545" s="5"/>
    </row>
    <row r="2546" ht="15.75" customHeight="1">
      <c r="K2546" t="s">
        <v>4407</v>
      </c>
      <c r="L2546" t="str">
        <f>C173</f>
        <v>H3a</v>
      </c>
      <c r="N2546" t="s">
        <v>4408</v>
      </c>
      <c r="O2546">
        <v>7699683.0</v>
      </c>
      <c r="P2546">
        <v>7831642.0</v>
      </c>
      <c r="Q2546" t="s">
        <v>427</v>
      </c>
      <c r="R2546" s="5"/>
      <c r="S2546" s="5"/>
      <c r="T2546" s="5"/>
      <c r="U2546" s="5"/>
      <c r="V2546" s="5"/>
      <c r="W2546" s="5"/>
      <c r="X2546" s="5"/>
      <c r="Y2546" s="5"/>
      <c r="Z2546" s="5"/>
      <c r="AA2546" s="5"/>
      <c r="AB2546" s="5"/>
      <c r="AC2546" s="5"/>
      <c r="AD2546" s="5"/>
      <c r="AE2546" s="5"/>
      <c r="AF2546" s="5"/>
      <c r="AG2546" s="5"/>
    </row>
    <row r="2547" ht="15.75" customHeight="1">
      <c r="K2547" t="s">
        <v>4409</v>
      </c>
      <c r="L2547" t="str">
        <f>C173</f>
        <v>H3a</v>
      </c>
      <c r="N2547" t="s">
        <v>4410</v>
      </c>
      <c r="O2547">
        <v>7842546.0</v>
      </c>
      <c r="P2547">
        <v>7974505.0</v>
      </c>
      <c r="Q2547" t="s">
        <v>419</v>
      </c>
      <c r="R2547" s="5"/>
      <c r="S2547" s="5"/>
      <c r="T2547" s="5"/>
      <c r="U2547" s="5"/>
      <c r="V2547" s="5"/>
      <c r="W2547" s="5"/>
      <c r="X2547" s="5"/>
      <c r="Y2547" s="5"/>
      <c r="Z2547" s="5"/>
      <c r="AA2547" s="5"/>
      <c r="AB2547" s="5"/>
      <c r="AC2547" s="5"/>
      <c r="AD2547" s="5"/>
      <c r="AE2547" s="5"/>
      <c r="AF2547" s="5"/>
      <c r="AG2547" s="5"/>
    </row>
    <row r="2548" ht="15.75" customHeight="1">
      <c r="K2548" t="s">
        <v>4411</v>
      </c>
      <c r="L2548" t="str">
        <f>C173</f>
        <v>H3a</v>
      </c>
      <c r="N2548" t="s">
        <v>4412</v>
      </c>
      <c r="O2548">
        <v>7951137.0</v>
      </c>
      <c r="P2548">
        <v>8083096.0</v>
      </c>
      <c r="Q2548" t="s">
        <v>431</v>
      </c>
      <c r="R2548" s="5"/>
      <c r="S2548" s="5"/>
      <c r="T2548" s="5"/>
      <c r="U2548" s="5"/>
      <c r="V2548" s="5"/>
      <c r="W2548" s="5"/>
      <c r="X2548" s="5"/>
      <c r="Y2548" s="5"/>
      <c r="Z2548" s="5"/>
      <c r="AA2548" s="5"/>
      <c r="AB2548" s="5"/>
      <c r="AC2548" s="5"/>
      <c r="AD2548" s="5"/>
      <c r="AE2548" s="5"/>
      <c r="AF2548" s="5"/>
      <c r="AG2548" s="5"/>
    </row>
    <row r="2549" ht="15.75" customHeight="1">
      <c r="K2549" t="s">
        <v>4413</v>
      </c>
      <c r="L2549" t="str">
        <f>C173</f>
        <v>H3a</v>
      </c>
      <c r="N2549" t="s">
        <v>4414</v>
      </c>
      <c r="O2549">
        <v>8492766.0</v>
      </c>
      <c r="P2549">
        <v>8624725.0</v>
      </c>
      <c r="Q2549" t="s">
        <v>435</v>
      </c>
      <c r="R2549" s="5"/>
      <c r="S2549" s="5"/>
      <c r="T2549" s="5"/>
      <c r="U2549" s="5"/>
      <c r="V2549" s="5"/>
      <c r="W2549" s="5"/>
      <c r="X2549" s="5"/>
      <c r="Y2549" s="5"/>
      <c r="Z2549" s="5"/>
      <c r="AA2549" s="5"/>
      <c r="AB2549" s="5"/>
      <c r="AC2549" s="5"/>
      <c r="AD2549" s="5"/>
      <c r="AE2549" s="5"/>
      <c r="AF2549" s="5"/>
      <c r="AG2549" s="5"/>
    </row>
    <row r="2550" ht="15.75" customHeight="1">
      <c r="K2550" t="s">
        <v>4415</v>
      </c>
      <c r="L2550" t="str">
        <f>C173</f>
        <v>H3a</v>
      </c>
      <c r="N2550" t="s">
        <v>4416</v>
      </c>
      <c r="O2550">
        <v>8546458.0</v>
      </c>
      <c r="P2550">
        <v>8678417.0</v>
      </c>
      <c r="Q2550" t="s">
        <v>423</v>
      </c>
      <c r="R2550" s="5"/>
      <c r="S2550" s="5"/>
      <c r="T2550" s="5"/>
      <c r="U2550" s="5"/>
      <c r="V2550" s="5"/>
      <c r="W2550" s="5"/>
      <c r="X2550" s="5"/>
      <c r="Y2550" s="5"/>
      <c r="Z2550" s="5"/>
      <c r="AA2550" s="5"/>
      <c r="AB2550" s="5"/>
      <c r="AC2550" s="5"/>
      <c r="AD2550" s="5"/>
      <c r="AE2550" s="5"/>
      <c r="AF2550" s="5"/>
      <c r="AG2550" s="5"/>
    </row>
    <row r="2551" ht="15.75" customHeight="1">
      <c r="K2551" t="s">
        <v>4417</v>
      </c>
      <c r="L2551" t="str">
        <f>C173</f>
        <v>H3a</v>
      </c>
      <c r="N2551" t="s">
        <v>4418</v>
      </c>
      <c r="O2551">
        <v>8804991.0</v>
      </c>
      <c r="P2551">
        <v>8936950.0</v>
      </c>
      <c r="Q2551" t="s">
        <v>476</v>
      </c>
      <c r="R2551" s="5"/>
      <c r="S2551" s="5"/>
      <c r="T2551" s="5"/>
      <c r="U2551" s="5"/>
      <c r="V2551" s="5"/>
      <c r="W2551" s="5"/>
      <c r="X2551" s="5"/>
      <c r="Y2551" s="5"/>
      <c r="Z2551" s="5"/>
      <c r="AA2551" s="5"/>
      <c r="AB2551" s="5"/>
      <c r="AC2551" s="5"/>
      <c r="AD2551" s="5"/>
      <c r="AE2551" s="5"/>
      <c r="AF2551" s="5"/>
      <c r="AG2551" s="5"/>
    </row>
    <row r="2552" ht="15.75" customHeight="1">
      <c r="K2552" t="s">
        <v>4419</v>
      </c>
      <c r="L2552" t="str">
        <f>C173</f>
        <v>H3a</v>
      </c>
      <c r="N2552" t="s">
        <v>4420</v>
      </c>
      <c r="O2552">
        <v>8870483.0</v>
      </c>
      <c r="P2552">
        <v>9002442.0</v>
      </c>
      <c r="Q2552" t="s">
        <v>419</v>
      </c>
      <c r="R2552" s="5"/>
      <c r="S2552" s="5"/>
      <c r="T2552" s="5"/>
      <c r="U2552" s="5"/>
      <c r="V2552" s="5"/>
      <c r="W2552" s="5"/>
      <c r="X2552" s="5"/>
      <c r="Y2552" s="5"/>
      <c r="Z2552" s="5"/>
      <c r="AA2552" s="5"/>
      <c r="AB2552" s="5"/>
      <c r="AC2552" s="5"/>
      <c r="AD2552" s="5"/>
      <c r="AE2552" s="5"/>
      <c r="AF2552" s="5"/>
      <c r="AG2552" s="5"/>
    </row>
    <row r="2553" ht="15.75" customHeight="1">
      <c r="K2553" t="s">
        <v>4421</v>
      </c>
      <c r="L2553" t="str">
        <f>C173</f>
        <v>H3a</v>
      </c>
      <c r="N2553" t="s">
        <v>4422</v>
      </c>
      <c r="O2553">
        <v>9078863.0</v>
      </c>
      <c r="P2553">
        <v>9241254.0</v>
      </c>
      <c r="Q2553" t="s">
        <v>476</v>
      </c>
      <c r="R2553" s="5"/>
      <c r="S2553" s="5"/>
      <c r="T2553" s="5"/>
      <c r="U2553" s="5"/>
      <c r="V2553" s="5"/>
      <c r="W2553" s="5"/>
      <c r="X2553" s="5"/>
      <c r="Y2553" s="5"/>
      <c r="Z2553" s="5"/>
      <c r="AA2553" s="5"/>
      <c r="AB2553" s="5"/>
      <c r="AC2553" s="5"/>
      <c r="AD2553" s="5"/>
      <c r="AE2553" s="5"/>
      <c r="AF2553" s="5"/>
      <c r="AG2553" s="5"/>
    </row>
    <row r="2554" ht="15.75" customHeight="1">
      <c r="K2554" t="s">
        <v>4423</v>
      </c>
      <c r="L2554" t="str">
        <f>C173</f>
        <v>H3a</v>
      </c>
      <c r="N2554" t="s">
        <v>4424</v>
      </c>
      <c r="O2554">
        <v>9460012.0</v>
      </c>
      <c r="P2554">
        <v>9622403.0</v>
      </c>
      <c r="Q2554" t="s">
        <v>427</v>
      </c>
      <c r="R2554" s="5"/>
      <c r="S2554" s="5"/>
      <c r="T2554" s="5"/>
      <c r="U2554" s="5"/>
      <c r="V2554" s="5"/>
      <c r="W2554" s="5"/>
      <c r="X2554" s="5"/>
      <c r="Y2554" s="5"/>
      <c r="Z2554" s="5"/>
      <c r="AA2554" s="5"/>
      <c r="AB2554" s="5"/>
      <c r="AC2554" s="5"/>
      <c r="AD2554" s="5"/>
      <c r="AE2554" s="5"/>
      <c r="AF2554" s="5"/>
      <c r="AG2554" s="5"/>
    </row>
    <row r="2555" ht="15.75" customHeight="1">
      <c r="K2555" t="s">
        <v>4425</v>
      </c>
      <c r="L2555" t="str">
        <f>C173</f>
        <v>H3a</v>
      </c>
      <c r="N2555" t="s">
        <v>4426</v>
      </c>
      <c r="O2555">
        <v>9821672.0</v>
      </c>
      <c r="P2555">
        <v>9984063.0</v>
      </c>
      <c r="Q2555" t="s">
        <v>473</v>
      </c>
      <c r="R2555" s="5"/>
      <c r="S2555" s="5"/>
      <c r="T2555" s="5"/>
      <c r="U2555" s="5"/>
      <c r="V2555" s="5"/>
      <c r="W2555" s="5"/>
      <c r="X2555" s="5"/>
      <c r="Y2555" s="5"/>
      <c r="Z2555" s="5"/>
      <c r="AA2555" s="5"/>
      <c r="AB2555" s="5"/>
      <c r="AC2555" s="5"/>
      <c r="AD2555" s="5"/>
      <c r="AE2555" s="5"/>
      <c r="AF2555" s="5"/>
      <c r="AG2555" s="5"/>
    </row>
    <row r="2556" ht="15.75" customHeight="1">
      <c r="K2556" t="s">
        <v>4427</v>
      </c>
      <c r="L2556" t="str">
        <f>C173</f>
        <v>H3a</v>
      </c>
      <c r="N2556" t="s">
        <v>4428</v>
      </c>
      <c r="O2556">
        <v>9848144.0</v>
      </c>
      <c r="P2556">
        <v>1.0010535E7</v>
      </c>
      <c r="Q2556" t="s">
        <v>448</v>
      </c>
      <c r="R2556" s="5"/>
      <c r="S2556" s="5"/>
      <c r="T2556" s="5"/>
      <c r="U2556" s="5"/>
      <c r="V2556" s="5"/>
      <c r="W2556" s="5"/>
      <c r="X2556" s="5"/>
      <c r="Y2556" s="5"/>
      <c r="Z2556" s="5"/>
      <c r="AA2556" s="5"/>
      <c r="AB2556" s="5"/>
      <c r="AC2556" s="5"/>
      <c r="AD2556" s="5"/>
      <c r="AE2556" s="5"/>
      <c r="AF2556" s="5"/>
      <c r="AG2556" s="5"/>
    </row>
    <row r="2557" ht="15.75" customHeight="1">
      <c r="K2557" t="s">
        <v>4429</v>
      </c>
      <c r="L2557" t="str">
        <f>C173</f>
        <v>H3a</v>
      </c>
      <c r="O2557">
        <v>9925638.0</v>
      </c>
      <c r="P2557">
        <v>1.0088029E7</v>
      </c>
      <c r="Q2557" t="s">
        <v>427</v>
      </c>
      <c r="R2557" s="5"/>
      <c r="S2557" s="5"/>
      <c r="T2557" s="5"/>
      <c r="U2557" s="5"/>
      <c r="V2557" s="5"/>
      <c r="W2557" s="5"/>
      <c r="X2557" s="5"/>
      <c r="Y2557" s="5"/>
      <c r="Z2557" s="5"/>
      <c r="AA2557" s="5"/>
      <c r="AB2557" s="5"/>
      <c r="AC2557" s="5"/>
      <c r="AD2557" s="5"/>
      <c r="AE2557" s="5"/>
      <c r="AF2557" s="5"/>
      <c r="AG2557" s="5"/>
    </row>
    <row r="2558" ht="15.75" customHeight="1">
      <c r="K2558" t="s">
        <v>4430</v>
      </c>
      <c r="L2558" t="str">
        <f>C173</f>
        <v>H3a</v>
      </c>
      <c r="O2558">
        <v>1.0053062E7</v>
      </c>
      <c r="P2558">
        <v>1.0215453E7</v>
      </c>
      <c r="Q2558" t="s">
        <v>452</v>
      </c>
      <c r="R2558" s="5"/>
      <c r="S2558" s="5"/>
      <c r="T2558" s="5"/>
      <c r="U2558" s="5"/>
      <c r="V2558" s="5"/>
      <c r="W2558" s="5"/>
      <c r="X2558" s="5"/>
      <c r="Y2558" s="5"/>
      <c r="Z2558" s="5"/>
      <c r="AA2558" s="5"/>
      <c r="AB2558" s="5"/>
      <c r="AC2558" s="5"/>
      <c r="AD2558" s="5"/>
      <c r="AE2558" s="5"/>
      <c r="AF2558" s="5"/>
      <c r="AG2558" s="5"/>
    </row>
    <row r="2559" ht="15.75" customHeight="1">
      <c r="K2559" t="s">
        <v>4431</v>
      </c>
      <c r="L2559" t="str">
        <f>C173</f>
        <v>H3a</v>
      </c>
      <c r="N2559" t="s">
        <v>4432</v>
      </c>
      <c r="O2559">
        <v>1.0080113E7</v>
      </c>
      <c r="P2559">
        <v>1.0242504E7</v>
      </c>
      <c r="Q2559" t="s">
        <v>423</v>
      </c>
      <c r="R2559" s="5"/>
      <c r="S2559" s="5"/>
      <c r="T2559" s="5"/>
      <c r="U2559" s="5"/>
      <c r="V2559" s="5"/>
      <c r="W2559" s="5"/>
      <c r="X2559" s="5"/>
      <c r="Y2559" s="5"/>
      <c r="Z2559" s="5"/>
      <c r="AA2559" s="5"/>
      <c r="AB2559" s="5"/>
      <c r="AC2559" s="5"/>
      <c r="AD2559" s="5"/>
      <c r="AE2559" s="5"/>
      <c r="AF2559" s="5"/>
      <c r="AG2559" s="5"/>
    </row>
    <row r="2560" ht="15.75" customHeight="1">
      <c r="K2560" t="s">
        <v>4433</v>
      </c>
      <c r="L2560" t="str">
        <f>C173</f>
        <v>H3a</v>
      </c>
      <c r="N2560" t="s">
        <v>4434</v>
      </c>
      <c r="O2560">
        <v>1.3196017E7</v>
      </c>
      <c r="P2560">
        <v>1.1040341E7</v>
      </c>
      <c r="Q2560" t="s">
        <v>419</v>
      </c>
      <c r="R2560" s="5"/>
      <c r="S2560" s="5"/>
      <c r="T2560" s="5"/>
      <c r="U2560" s="5"/>
      <c r="V2560" s="5"/>
      <c r="W2560" s="5"/>
      <c r="X2560" s="5"/>
      <c r="Y2560" s="5"/>
      <c r="Z2560" s="5"/>
      <c r="AA2560" s="5"/>
      <c r="AB2560" s="5"/>
      <c r="AC2560" s="5"/>
      <c r="AD2560" s="5"/>
      <c r="AE2560" s="5"/>
      <c r="AF2560" s="5"/>
      <c r="AG2560" s="5"/>
    </row>
    <row r="2561" ht="15.75" customHeight="1">
      <c r="K2561" t="s">
        <v>4435</v>
      </c>
      <c r="L2561" t="str">
        <f>C173</f>
        <v>H3a</v>
      </c>
      <c r="N2561" t="s">
        <v>4436</v>
      </c>
      <c r="O2561">
        <v>1.3646062E7</v>
      </c>
      <c r="P2561">
        <v>1.1490386E7</v>
      </c>
      <c r="Q2561" t="s">
        <v>427</v>
      </c>
      <c r="R2561" s="5"/>
      <c r="S2561" s="5"/>
      <c r="T2561" s="5"/>
      <c r="U2561" s="5"/>
      <c r="V2561" s="5"/>
      <c r="W2561" s="5"/>
      <c r="X2561" s="5"/>
      <c r="Y2561" s="5"/>
      <c r="Z2561" s="5"/>
      <c r="AA2561" s="5"/>
      <c r="AB2561" s="5"/>
      <c r="AC2561" s="5"/>
      <c r="AD2561" s="5"/>
      <c r="AE2561" s="5"/>
      <c r="AF2561" s="5"/>
      <c r="AG2561" s="5"/>
    </row>
    <row r="2562" ht="15.75" customHeight="1">
      <c r="K2562" t="s">
        <v>4437</v>
      </c>
      <c r="L2562" t="str">
        <f>C173</f>
        <v>H3a</v>
      </c>
      <c r="N2562" t="s">
        <v>4438</v>
      </c>
      <c r="O2562">
        <v>1.3864866E7</v>
      </c>
      <c r="P2562">
        <v>1.174416E7</v>
      </c>
      <c r="Q2562" t="s">
        <v>427</v>
      </c>
      <c r="R2562" s="5"/>
      <c r="S2562" s="5"/>
      <c r="T2562" s="5"/>
      <c r="U2562" s="5"/>
      <c r="V2562" s="5"/>
      <c r="W2562" s="5"/>
      <c r="X2562" s="5"/>
      <c r="Y2562" s="5"/>
      <c r="Z2562" s="5"/>
      <c r="AA2562" s="5"/>
      <c r="AB2562" s="5"/>
      <c r="AC2562" s="5"/>
      <c r="AD2562" s="5"/>
      <c r="AE2562" s="5"/>
      <c r="AF2562" s="5"/>
      <c r="AG2562" s="5"/>
    </row>
    <row r="2563" ht="15.75" customHeight="1">
      <c r="K2563" t="s">
        <v>4439</v>
      </c>
      <c r="L2563" t="str">
        <f>C173</f>
        <v>H3a</v>
      </c>
      <c r="N2563" t="s">
        <v>4440</v>
      </c>
      <c r="O2563">
        <v>1.3945376E7</v>
      </c>
      <c r="P2563">
        <v>1.182467E7</v>
      </c>
      <c r="Q2563" t="s">
        <v>553</v>
      </c>
      <c r="R2563" s="5"/>
      <c r="S2563" s="5"/>
      <c r="T2563" s="5"/>
      <c r="U2563" s="5"/>
      <c r="V2563" s="5"/>
      <c r="W2563" s="5"/>
      <c r="X2563" s="5"/>
      <c r="Y2563" s="5"/>
      <c r="Z2563" s="5"/>
      <c r="AA2563" s="5"/>
      <c r="AB2563" s="5"/>
      <c r="AC2563" s="5"/>
      <c r="AD2563" s="5"/>
      <c r="AE2563" s="5"/>
      <c r="AF2563" s="5"/>
      <c r="AG2563" s="5"/>
    </row>
    <row r="2564" ht="15.75" customHeight="1">
      <c r="K2564" t="s">
        <v>4441</v>
      </c>
      <c r="L2564" t="str">
        <f>C173</f>
        <v>H3a</v>
      </c>
      <c r="N2564" t="s">
        <v>4442</v>
      </c>
      <c r="O2564">
        <v>1.4016128E7</v>
      </c>
      <c r="P2564">
        <v>1.1895422E7</v>
      </c>
      <c r="Q2564" t="s">
        <v>419</v>
      </c>
      <c r="R2564" s="5"/>
      <c r="S2564" s="5"/>
      <c r="T2564" s="5"/>
      <c r="U2564" s="5"/>
      <c r="V2564" s="5"/>
      <c r="W2564" s="5"/>
      <c r="X2564" s="5"/>
      <c r="Y2564" s="5"/>
      <c r="Z2564" s="5"/>
      <c r="AA2564" s="5"/>
      <c r="AB2564" s="5"/>
      <c r="AC2564" s="5"/>
      <c r="AD2564" s="5"/>
      <c r="AE2564" s="5"/>
      <c r="AF2564" s="5"/>
      <c r="AG2564" s="5"/>
    </row>
    <row r="2565" ht="15.75" customHeight="1">
      <c r="K2565" t="s">
        <v>4443</v>
      </c>
      <c r="L2565" t="str">
        <f>C173</f>
        <v>H3a</v>
      </c>
      <c r="N2565" t="s">
        <v>4444</v>
      </c>
      <c r="O2565">
        <v>1.4138661E7</v>
      </c>
      <c r="P2565">
        <v>1.2017955E7</v>
      </c>
      <c r="Q2565" t="s">
        <v>431</v>
      </c>
      <c r="R2565" s="5"/>
      <c r="S2565" s="5"/>
      <c r="T2565" s="5"/>
      <c r="U2565" s="5"/>
      <c r="V2565" s="5"/>
      <c r="W2565" s="5"/>
      <c r="X2565" s="5"/>
      <c r="Y2565" s="5"/>
      <c r="Z2565" s="5"/>
      <c r="AA2565" s="5"/>
      <c r="AB2565" s="5"/>
      <c r="AC2565" s="5"/>
      <c r="AD2565" s="5"/>
      <c r="AE2565" s="5"/>
      <c r="AF2565" s="5"/>
      <c r="AG2565" s="5"/>
    </row>
    <row r="2566" ht="15.75" customHeight="1">
      <c r="K2566" t="s">
        <v>4445</v>
      </c>
      <c r="L2566" t="str">
        <f>C173</f>
        <v>H3a</v>
      </c>
      <c r="N2566" t="s">
        <v>4446</v>
      </c>
      <c r="O2566">
        <v>1.4660474E7</v>
      </c>
      <c r="P2566">
        <v>1.2548539E7</v>
      </c>
      <c r="Q2566" t="s">
        <v>525</v>
      </c>
      <c r="R2566" s="5"/>
      <c r="S2566" s="5"/>
      <c r="T2566" s="5"/>
      <c r="U2566" s="5"/>
      <c r="V2566" s="5"/>
      <c r="W2566" s="5"/>
      <c r="X2566" s="5"/>
      <c r="Y2566" s="5"/>
      <c r="Z2566" s="5"/>
      <c r="AA2566" s="5"/>
      <c r="AB2566" s="5"/>
      <c r="AC2566" s="5"/>
      <c r="AD2566" s="5"/>
      <c r="AE2566" s="5"/>
      <c r="AF2566" s="5"/>
      <c r="AG2566" s="5"/>
    </row>
    <row r="2567" ht="15.75" customHeight="1">
      <c r="K2567" t="s">
        <v>4447</v>
      </c>
      <c r="L2567" t="str">
        <f>C173</f>
        <v>H3a</v>
      </c>
      <c r="N2567" t="s">
        <v>4448</v>
      </c>
      <c r="O2567">
        <v>1.4796575E7</v>
      </c>
      <c r="P2567">
        <v>1.2684646E7</v>
      </c>
      <c r="Q2567" t="s">
        <v>419</v>
      </c>
      <c r="R2567" s="5"/>
      <c r="S2567" s="5"/>
      <c r="T2567" s="5"/>
      <c r="U2567" s="5"/>
      <c r="V2567" s="5"/>
      <c r="W2567" s="5"/>
      <c r="X2567" s="5"/>
      <c r="Y2567" s="5"/>
      <c r="Z2567" s="5"/>
      <c r="AA2567" s="5"/>
      <c r="AB2567" s="5"/>
      <c r="AC2567" s="5"/>
      <c r="AD2567" s="5"/>
      <c r="AE2567" s="5"/>
      <c r="AF2567" s="5"/>
      <c r="AG2567" s="5"/>
    </row>
    <row r="2568" ht="15.75" customHeight="1">
      <c r="K2568" t="s">
        <v>4449</v>
      </c>
      <c r="L2568" t="str">
        <f>C173</f>
        <v>H3a</v>
      </c>
      <c r="N2568" t="s">
        <v>4450</v>
      </c>
      <c r="O2568">
        <v>1.5398457E7</v>
      </c>
      <c r="P2568">
        <v>1.3286577E7</v>
      </c>
      <c r="Q2568" t="s">
        <v>473</v>
      </c>
      <c r="R2568" s="5"/>
      <c r="S2568" s="5"/>
      <c r="T2568" s="5"/>
      <c r="U2568" s="5"/>
      <c r="V2568" s="5"/>
      <c r="W2568" s="5"/>
      <c r="X2568" s="5"/>
      <c r="Y2568" s="5"/>
      <c r="Z2568" s="5"/>
      <c r="AA2568" s="5"/>
      <c r="AB2568" s="5"/>
      <c r="AC2568" s="5"/>
      <c r="AD2568" s="5"/>
      <c r="AE2568" s="5"/>
      <c r="AF2568" s="5"/>
      <c r="AG2568" s="5"/>
    </row>
    <row r="2569" ht="15.75" customHeight="1">
      <c r="K2569" t="s">
        <v>4451</v>
      </c>
      <c r="L2569" t="str">
        <f>C173</f>
        <v>H3a</v>
      </c>
      <c r="N2569" t="s">
        <v>4452</v>
      </c>
      <c r="O2569">
        <v>1.5800925E7</v>
      </c>
      <c r="P2569">
        <v>1.3689045E7</v>
      </c>
      <c r="Q2569" t="s">
        <v>423</v>
      </c>
      <c r="R2569" s="5"/>
      <c r="S2569" s="5"/>
      <c r="T2569" s="5"/>
      <c r="U2569" s="5"/>
      <c r="V2569" s="5"/>
      <c r="W2569" s="5"/>
      <c r="X2569" s="5"/>
      <c r="Y2569" s="5"/>
      <c r="Z2569" s="5"/>
      <c r="AA2569" s="5"/>
      <c r="AB2569" s="5"/>
      <c r="AC2569" s="5"/>
      <c r="AD2569" s="5"/>
      <c r="AE2569" s="5"/>
      <c r="AF2569" s="5"/>
      <c r="AG2569" s="5"/>
    </row>
    <row r="2570" ht="15.75" customHeight="1">
      <c r="K2570" t="s">
        <v>4453</v>
      </c>
      <c r="L2570" t="str">
        <f>C173</f>
        <v>H3a</v>
      </c>
      <c r="N2570" t="s">
        <v>4454</v>
      </c>
      <c r="O2570">
        <v>1.6433916E7</v>
      </c>
      <c r="P2570">
        <v>1.4322036E7</v>
      </c>
      <c r="Q2570" t="s">
        <v>431</v>
      </c>
      <c r="R2570" s="5"/>
      <c r="S2570" s="5"/>
      <c r="T2570" s="5"/>
      <c r="U2570" s="5"/>
      <c r="V2570" s="5"/>
      <c r="W2570" s="5"/>
      <c r="X2570" s="5"/>
      <c r="Y2570" s="5"/>
      <c r="Z2570" s="5"/>
      <c r="AA2570" s="5"/>
      <c r="AB2570" s="5"/>
      <c r="AC2570" s="5"/>
      <c r="AD2570" s="5"/>
      <c r="AE2570" s="5"/>
      <c r="AF2570" s="5"/>
      <c r="AG2570" s="5"/>
    </row>
    <row r="2571" ht="15.75" customHeight="1">
      <c r="K2571" t="s">
        <v>4455</v>
      </c>
      <c r="L2571" t="str">
        <f>C173</f>
        <v>H3a</v>
      </c>
      <c r="N2571" t="s">
        <v>4456</v>
      </c>
      <c r="O2571">
        <v>1.6728492E7</v>
      </c>
      <c r="P2571">
        <v>1.4616612E7</v>
      </c>
      <c r="Q2571" t="s">
        <v>553</v>
      </c>
      <c r="R2571" s="5"/>
      <c r="S2571" s="5"/>
      <c r="T2571" s="5"/>
      <c r="U2571" s="5"/>
      <c r="V2571" s="5"/>
      <c r="W2571" s="5"/>
      <c r="X2571" s="5"/>
      <c r="Y2571" s="5"/>
      <c r="Z2571" s="5"/>
      <c r="AA2571" s="5"/>
      <c r="AB2571" s="5"/>
      <c r="AC2571" s="5"/>
      <c r="AD2571" s="5"/>
      <c r="AE2571" s="5"/>
      <c r="AF2571" s="5"/>
      <c r="AG2571" s="5"/>
    </row>
    <row r="2572" ht="15.75" customHeight="1">
      <c r="K2572" t="s">
        <v>4457</v>
      </c>
      <c r="L2572" t="str">
        <f>C173</f>
        <v>H3a</v>
      </c>
      <c r="N2572" t="s">
        <v>4458</v>
      </c>
      <c r="O2572">
        <v>1.7248422E7</v>
      </c>
      <c r="P2572">
        <v>1.5136542E7</v>
      </c>
      <c r="Q2572" t="s">
        <v>427</v>
      </c>
      <c r="R2572" s="5"/>
      <c r="S2572" s="5"/>
      <c r="T2572" s="5"/>
      <c r="U2572" s="5"/>
      <c r="V2572" s="5"/>
      <c r="W2572" s="5"/>
      <c r="X2572" s="5"/>
      <c r="Y2572" s="5"/>
      <c r="Z2572" s="5"/>
      <c r="AA2572" s="5"/>
      <c r="AB2572" s="5"/>
      <c r="AC2572" s="5"/>
      <c r="AD2572" s="5"/>
      <c r="AE2572" s="5"/>
      <c r="AF2572" s="5"/>
      <c r="AG2572" s="5"/>
    </row>
    <row r="2573" ht="15.75" customHeight="1">
      <c r="K2573" t="s">
        <v>4459</v>
      </c>
      <c r="L2573" t="str">
        <f>C173</f>
        <v>H3a</v>
      </c>
      <c r="N2573" t="s">
        <v>4460</v>
      </c>
      <c r="O2573">
        <v>1.7339055E7</v>
      </c>
      <c r="P2573">
        <v>1.5227175E7</v>
      </c>
      <c r="Q2573" t="s">
        <v>459</v>
      </c>
      <c r="R2573" s="5"/>
      <c r="S2573" s="5"/>
      <c r="T2573" s="5"/>
      <c r="U2573" s="5"/>
      <c r="V2573" s="5"/>
      <c r="W2573" s="5"/>
      <c r="X2573" s="5"/>
      <c r="Y2573" s="5"/>
      <c r="Z2573" s="5"/>
      <c r="AA2573" s="5"/>
      <c r="AB2573" s="5"/>
      <c r="AC2573" s="5"/>
      <c r="AD2573" s="5"/>
      <c r="AE2573" s="5"/>
      <c r="AF2573" s="5"/>
      <c r="AG2573" s="5"/>
    </row>
    <row r="2574" ht="15.75" customHeight="1">
      <c r="K2574" t="s">
        <v>4461</v>
      </c>
      <c r="L2574" t="str">
        <f>C173</f>
        <v>H3a</v>
      </c>
      <c r="N2574" t="s">
        <v>4462</v>
      </c>
      <c r="O2574">
        <v>1.7381652E7</v>
      </c>
      <c r="P2574">
        <v>1.5269772E7</v>
      </c>
      <c r="Q2574" t="s">
        <v>419</v>
      </c>
      <c r="R2574" s="5"/>
      <c r="S2574" s="5"/>
      <c r="T2574" s="5"/>
      <c r="U2574" s="5"/>
      <c r="V2574" s="5"/>
      <c r="W2574" s="5"/>
      <c r="X2574" s="5"/>
      <c r="Y2574" s="5"/>
      <c r="Z2574" s="5"/>
      <c r="AA2574" s="5"/>
      <c r="AB2574" s="5"/>
      <c r="AC2574" s="5"/>
      <c r="AD2574" s="5"/>
      <c r="AE2574" s="5"/>
      <c r="AF2574" s="5"/>
      <c r="AG2574" s="5"/>
    </row>
    <row r="2575" ht="15.75" customHeight="1">
      <c r="K2575" t="s">
        <v>4463</v>
      </c>
      <c r="L2575" t="str">
        <f>C173</f>
        <v>H3a</v>
      </c>
      <c r="N2575" t="s">
        <v>4464</v>
      </c>
      <c r="O2575">
        <v>1.7488058E7</v>
      </c>
      <c r="P2575">
        <v>1.5376178E7</v>
      </c>
      <c r="Q2575" t="s">
        <v>427</v>
      </c>
      <c r="R2575" s="5"/>
      <c r="S2575" s="5"/>
      <c r="T2575" s="5"/>
      <c r="U2575" s="5"/>
      <c r="V2575" s="5"/>
      <c r="W2575" s="5"/>
      <c r="X2575" s="5"/>
      <c r="Y2575" s="5"/>
      <c r="Z2575" s="5"/>
      <c r="AA2575" s="5"/>
      <c r="AB2575" s="5"/>
      <c r="AC2575" s="5"/>
      <c r="AD2575" s="5"/>
      <c r="AE2575" s="5"/>
      <c r="AF2575" s="5"/>
      <c r="AG2575" s="5"/>
    </row>
    <row r="2576" ht="15.75" customHeight="1">
      <c r="K2576" t="s">
        <v>4465</v>
      </c>
      <c r="L2576" t="str">
        <f>C173</f>
        <v>H3a</v>
      </c>
      <c r="N2576" t="s">
        <v>4466</v>
      </c>
      <c r="O2576">
        <v>1.7537547E7</v>
      </c>
      <c r="P2576">
        <v>1.5425667E7</v>
      </c>
      <c r="Q2576" t="s">
        <v>427</v>
      </c>
      <c r="R2576" s="5"/>
      <c r="S2576" s="5"/>
      <c r="T2576" s="5"/>
      <c r="U2576" s="5"/>
      <c r="V2576" s="5"/>
      <c r="W2576" s="5"/>
      <c r="X2576" s="5"/>
      <c r="Y2576" s="5"/>
      <c r="Z2576" s="5"/>
      <c r="AA2576" s="5"/>
      <c r="AB2576" s="5"/>
      <c r="AC2576" s="5"/>
      <c r="AD2576" s="5"/>
      <c r="AE2576" s="5"/>
      <c r="AF2576" s="5"/>
      <c r="AG2576" s="5"/>
    </row>
    <row r="2577" ht="15.75" customHeight="1">
      <c r="K2577" t="s">
        <v>4467</v>
      </c>
      <c r="L2577" t="str">
        <f>C173</f>
        <v>H3a</v>
      </c>
      <c r="N2577" t="s">
        <v>4468</v>
      </c>
      <c r="O2577">
        <v>1.7606751E7</v>
      </c>
      <c r="P2577">
        <v>1.5494871E7</v>
      </c>
      <c r="Q2577" t="s">
        <v>452</v>
      </c>
      <c r="R2577" s="5"/>
      <c r="S2577" s="5"/>
      <c r="T2577" s="5"/>
      <c r="U2577" s="5"/>
      <c r="V2577" s="5"/>
      <c r="W2577" s="5"/>
      <c r="X2577" s="5"/>
      <c r="Y2577" s="5"/>
      <c r="Z2577" s="5"/>
      <c r="AA2577" s="5"/>
      <c r="AB2577" s="5"/>
      <c r="AC2577" s="5"/>
      <c r="AD2577" s="5"/>
      <c r="AE2577" s="5"/>
      <c r="AF2577" s="5"/>
      <c r="AG2577" s="5"/>
    </row>
    <row r="2578" ht="15.75" customHeight="1">
      <c r="K2578" t="s">
        <v>4469</v>
      </c>
      <c r="L2578" t="str">
        <f>C173</f>
        <v>H3a</v>
      </c>
      <c r="N2578" t="s">
        <v>4470</v>
      </c>
      <c r="O2578">
        <v>1.7641842E7</v>
      </c>
      <c r="P2578">
        <v>1.5529962E7</v>
      </c>
      <c r="Q2578" t="s">
        <v>476</v>
      </c>
      <c r="R2578" s="5"/>
      <c r="S2578" s="5"/>
      <c r="T2578" s="5"/>
      <c r="U2578" s="5"/>
      <c r="V2578" s="5"/>
      <c r="W2578" s="5"/>
      <c r="X2578" s="5"/>
      <c r="Y2578" s="5"/>
      <c r="Z2578" s="5"/>
      <c r="AA2578" s="5"/>
      <c r="AB2578" s="5"/>
      <c r="AC2578" s="5"/>
      <c r="AD2578" s="5"/>
      <c r="AE2578" s="5"/>
      <c r="AF2578" s="5"/>
      <c r="AG2578" s="5"/>
    </row>
    <row r="2579" ht="15.75" customHeight="1">
      <c r="K2579" t="s">
        <v>4471</v>
      </c>
      <c r="L2579" t="str">
        <f>C173</f>
        <v>H3a</v>
      </c>
      <c r="N2579" t="s">
        <v>4472</v>
      </c>
      <c r="O2579">
        <v>1.7748188E7</v>
      </c>
      <c r="P2579">
        <v>1.5636308E7</v>
      </c>
      <c r="Q2579" t="s">
        <v>423</v>
      </c>
      <c r="R2579" s="5"/>
      <c r="S2579" s="5"/>
      <c r="T2579" s="5"/>
      <c r="U2579" s="5"/>
      <c r="V2579" s="5"/>
      <c r="W2579" s="5"/>
      <c r="X2579" s="5"/>
      <c r="Y2579" s="5"/>
      <c r="Z2579" s="5"/>
      <c r="AA2579" s="5"/>
      <c r="AB2579" s="5"/>
      <c r="AC2579" s="5"/>
      <c r="AD2579" s="5"/>
      <c r="AE2579" s="5"/>
      <c r="AF2579" s="5"/>
      <c r="AG2579" s="5"/>
    </row>
    <row r="2580" ht="15.75" customHeight="1">
      <c r="K2580" t="s">
        <v>4473</v>
      </c>
      <c r="L2580" t="str">
        <f>C173</f>
        <v>H3a</v>
      </c>
      <c r="N2580" t="s">
        <v>4474</v>
      </c>
      <c r="O2580">
        <v>1.7918102E7</v>
      </c>
      <c r="P2580">
        <v>1.5806222E7</v>
      </c>
      <c r="Q2580" t="s">
        <v>423</v>
      </c>
      <c r="R2580" s="5"/>
      <c r="S2580" s="5"/>
      <c r="T2580" s="5"/>
      <c r="U2580" s="5"/>
      <c r="V2580" s="5"/>
      <c r="W2580" s="5"/>
      <c r="X2580" s="5"/>
      <c r="Y2580" s="5"/>
      <c r="Z2580" s="5"/>
      <c r="AA2580" s="5"/>
      <c r="AB2580" s="5"/>
      <c r="AC2580" s="5"/>
      <c r="AD2580" s="5"/>
      <c r="AE2580" s="5"/>
      <c r="AF2580" s="5"/>
      <c r="AG2580" s="5"/>
    </row>
    <row r="2581" ht="15.75" customHeight="1">
      <c r="K2581" t="s">
        <v>4475</v>
      </c>
      <c r="L2581" t="str">
        <f>C173</f>
        <v>H3a</v>
      </c>
      <c r="N2581" t="s">
        <v>4476</v>
      </c>
      <c r="O2581">
        <v>1.8096682E7</v>
      </c>
      <c r="P2581">
        <v>1.5984802E7</v>
      </c>
      <c r="Q2581" t="s">
        <v>435</v>
      </c>
      <c r="R2581" s="5"/>
      <c r="S2581" s="5"/>
      <c r="T2581" s="5"/>
      <c r="U2581" s="5"/>
      <c r="V2581" s="5"/>
      <c r="W2581" s="5"/>
      <c r="X2581" s="5"/>
      <c r="Y2581" s="5"/>
      <c r="Z2581" s="5"/>
      <c r="AA2581" s="5"/>
      <c r="AB2581" s="5"/>
      <c r="AC2581" s="5"/>
      <c r="AD2581" s="5"/>
      <c r="AE2581" s="5"/>
      <c r="AF2581" s="5"/>
      <c r="AG2581" s="5"/>
    </row>
    <row r="2582" ht="15.75" customHeight="1">
      <c r="K2582" t="s">
        <v>4477</v>
      </c>
      <c r="L2582" t="str">
        <f>C173</f>
        <v>H3a</v>
      </c>
      <c r="N2582" t="s">
        <v>4478</v>
      </c>
      <c r="O2582">
        <v>1.8563555E7</v>
      </c>
      <c r="P2582">
        <v>1.6451675E7</v>
      </c>
      <c r="Q2582" t="s">
        <v>525</v>
      </c>
      <c r="R2582" s="5"/>
      <c r="S2582" s="5"/>
      <c r="T2582" s="5"/>
      <c r="U2582" s="5"/>
      <c r="V2582" s="5"/>
      <c r="W2582" s="5"/>
      <c r="X2582" s="5"/>
      <c r="Y2582" s="5"/>
      <c r="Z2582" s="5"/>
      <c r="AA2582" s="5"/>
      <c r="AB2582" s="5"/>
      <c r="AC2582" s="5"/>
      <c r="AD2582" s="5"/>
      <c r="AE2582" s="5"/>
      <c r="AF2582" s="5"/>
      <c r="AG2582" s="5"/>
    </row>
    <row r="2583" ht="15.75" customHeight="1">
      <c r="K2583" t="s">
        <v>4479</v>
      </c>
      <c r="L2583" t="str">
        <f>C173</f>
        <v>H3a</v>
      </c>
      <c r="N2583" t="s">
        <v>4480</v>
      </c>
      <c r="O2583">
        <v>1.8569551E7</v>
      </c>
      <c r="P2583">
        <v>1.6457671E7</v>
      </c>
      <c r="Q2583" t="s">
        <v>427</v>
      </c>
      <c r="R2583" s="5"/>
      <c r="S2583" s="5"/>
      <c r="T2583" s="5"/>
      <c r="U2583" s="5"/>
      <c r="V2583" s="5"/>
      <c r="W2583" s="5"/>
      <c r="X2583" s="5"/>
      <c r="Y2583" s="5"/>
      <c r="Z2583" s="5"/>
      <c r="AA2583" s="5"/>
      <c r="AB2583" s="5"/>
      <c r="AC2583" s="5"/>
      <c r="AD2583" s="5"/>
      <c r="AE2583" s="5"/>
      <c r="AF2583" s="5"/>
      <c r="AG2583" s="5"/>
    </row>
    <row r="2584" ht="15.75" customHeight="1">
      <c r="K2584" t="s">
        <v>4481</v>
      </c>
      <c r="L2584" t="str">
        <f>C173</f>
        <v>H3a</v>
      </c>
      <c r="N2584" t="s">
        <v>4482</v>
      </c>
      <c r="O2584">
        <v>1.8840384E7</v>
      </c>
      <c r="P2584">
        <v>1.6728504E7</v>
      </c>
      <c r="Q2584" t="s">
        <v>423</v>
      </c>
      <c r="R2584" s="5"/>
      <c r="S2584" s="5"/>
      <c r="T2584" s="5"/>
      <c r="U2584" s="5"/>
      <c r="V2584" s="5"/>
      <c r="W2584" s="5"/>
      <c r="X2584" s="5"/>
      <c r="Y2584" s="5"/>
      <c r="Z2584" s="5"/>
      <c r="AA2584" s="5"/>
      <c r="AB2584" s="5"/>
      <c r="AC2584" s="5"/>
      <c r="AD2584" s="5"/>
      <c r="AE2584" s="5"/>
      <c r="AF2584" s="5"/>
      <c r="AG2584" s="5"/>
    </row>
    <row r="2585" ht="15.75" customHeight="1">
      <c r="K2585" t="s">
        <v>4483</v>
      </c>
      <c r="L2585" t="str">
        <f>C173</f>
        <v>H3a</v>
      </c>
      <c r="N2585" t="s">
        <v>4484</v>
      </c>
      <c r="O2585">
        <v>1.8970865E7</v>
      </c>
      <c r="P2585">
        <v>1.6858985E7</v>
      </c>
      <c r="Q2585" t="s">
        <v>431</v>
      </c>
      <c r="R2585" s="5"/>
      <c r="S2585" s="5"/>
      <c r="T2585" s="5"/>
      <c r="U2585" s="5"/>
      <c r="V2585" s="5"/>
      <c r="W2585" s="5"/>
      <c r="X2585" s="5"/>
      <c r="Y2585" s="5"/>
      <c r="Z2585" s="5"/>
      <c r="AA2585" s="5"/>
      <c r="AB2585" s="5"/>
      <c r="AC2585" s="5"/>
      <c r="AD2585" s="5"/>
      <c r="AE2585" s="5"/>
      <c r="AF2585" s="5"/>
      <c r="AG2585" s="5"/>
    </row>
    <row r="2586" ht="15.75" customHeight="1">
      <c r="K2586" t="s">
        <v>4485</v>
      </c>
      <c r="L2586" t="str">
        <f>C173</f>
        <v>H3a</v>
      </c>
      <c r="N2586" t="s">
        <v>4486</v>
      </c>
      <c r="O2586">
        <v>1.8970876E7</v>
      </c>
      <c r="P2586">
        <v>1.6858996E7</v>
      </c>
      <c r="Q2586" t="s">
        <v>431</v>
      </c>
      <c r="R2586" s="5"/>
      <c r="S2586" s="5"/>
      <c r="T2586" s="5"/>
      <c r="U2586" s="5"/>
      <c r="V2586" s="5"/>
      <c r="W2586" s="5"/>
      <c r="X2586" s="5"/>
      <c r="Y2586" s="5"/>
      <c r="Z2586" s="5"/>
      <c r="AA2586" s="5"/>
      <c r="AB2586" s="5"/>
      <c r="AC2586" s="5"/>
      <c r="AD2586" s="5"/>
      <c r="AE2586" s="5"/>
      <c r="AF2586" s="5"/>
      <c r="AG2586" s="5"/>
    </row>
    <row r="2587" ht="15.75" customHeight="1">
      <c r="K2587" t="s">
        <v>4487</v>
      </c>
      <c r="L2587" t="str">
        <f>C173</f>
        <v>H3a</v>
      </c>
      <c r="N2587" t="s">
        <v>4488</v>
      </c>
      <c r="O2587">
        <v>1.9038975E7</v>
      </c>
      <c r="P2587">
        <v>1.6927095E7</v>
      </c>
      <c r="Q2587" t="s">
        <v>419</v>
      </c>
      <c r="R2587" s="5"/>
      <c r="S2587" s="5"/>
      <c r="T2587" s="5"/>
      <c r="U2587" s="5"/>
      <c r="V2587" s="5"/>
      <c r="W2587" s="5"/>
      <c r="X2587" s="5"/>
      <c r="Y2587" s="5"/>
      <c r="Z2587" s="5"/>
      <c r="AA2587" s="5"/>
      <c r="AB2587" s="5"/>
      <c r="AC2587" s="5"/>
      <c r="AD2587" s="5"/>
      <c r="AE2587" s="5"/>
      <c r="AF2587" s="5"/>
      <c r="AG2587" s="5"/>
    </row>
    <row r="2588" ht="15.75" customHeight="1">
      <c r="K2588" t="s">
        <v>4489</v>
      </c>
      <c r="L2588" t="str">
        <f>C173</f>
        <v>H3a</v>
      </c>
      <c r="N2588" t="s">
        <v>4490</v>
      </c>
      <c r="O2588">
        <v>1.9108355E7</v>
      </c>
      <c r="P2588">
        <v>1.6996475E7</v>
      </c>
      <c r="Q2588" t="s">
        <v>431</v>
      </c>
      <c r="R2588" s="5"/>
      <c r="S2588" s="5"/>
      <c r="T2588" s="5"/>
      <c r="U2588" s="5"/>
      <c r="V2588" s="5"/>
      <c r="W2588" s="5"/>
      <c r="X2588" s="5"/>
      <c r="Y2588" s="5"/>
      <c r="Z2588" s="5"/>
      <c r="AA2588" s="5"/>
      <c r="AB2588" s="5"/>
      <c r="AC2588" s="5"/>
      <c r="AD2588" s="5"/>
      <c r="AE2588" s="5"/>
      <c r="AF2588" s="5"/>
      <c r="AG2588" s="5"/>
    </row>
    <row r="2589" ht="15.75" customHeight="1">
      <c r="K2589" t="s">
        <v>4491</v>
      </c>
      <c r="L2589" t="str">
        <f>C173</f>
        <v>H3a</v>
      </c>
      <c r="N2589" t="s">
        <v>4492</v>
      </c>
      <c r="O2589">
        <v>1.9162125E7</v>
      </c>
      <c r="P2589">
        <v>1.7050245E7</v>
      </c>
      <c r="Q2589" t="s">
        <v>423</v>
      </c>
      <c r="R2589" s="5"/>
      <c r="S2589" s="5"/>
      <c r="T2589" s="5"/>
      <c r="U2589" s="5"/>
      <c r="V2589" s="5"/>
      <c r="W2589" s="5"/>
      <c r="X2589" s="5"/>
      <c r="Y2589" s="5"/>
      <c r="Z2589" s="5"/>
      <c r="AA2589" s="5"/>
      <c r="AB2589" s="5"/>
      <c r="AC2589" s="5"/>
      <c r="AD2589" s="5"/>
      <c r="AE2589" s="5"/>
      <c r="AF2589" s="5"/>
      <c r="AG2589" s="5"/>
    </row>
    <row r="2590" ht="15.75" customHeight="1">
      <c r="K2590" t="s">
        <v>4493</v>
      </c>
      <c r="L2590" t="str">
        <f>C173</f>
        <v>H3a</v>
      </c>
      <c r="N2590" t="s">
        <v>4494</v>
      </c>
      <c r="O2590">
        <v>1.9162431E7</v>
      </c>
      <c r="P2590">
        <v>1.7050551E7</v>
      </c>
      <c r="Q2590" t="s">
        <v>419</v>
      </c>
      <c r="R2590" s="5"/>
      <c r="S2590" s="5"/>
      <c r="T2590" s="5"/>
      <c r="U2590" s="5"/>
      <c r="V2590" s="5"/>
      <c r="W2590" s="5"/>
      <c r="X2590" s="5"/>
      <c r="Y2590" s="5"/>
      <c r="Z2590" s="5"/>
      <c r="AA2590" s="5"/>
      <c r="AB2590" s="5"/>
      <c r="AC2590" s="5"/>
      <c r="AD2590" s="5"/>
      <c r="AE2590" s="5"/>
      <c r="AF2590" s="5"/>
      <c r="AG2590" s="5"/>
    </row>
    <row r="2591" ht="15.75" customHeight="1">
      <c r="K2591" t="s">
        <v>4495</v>
      </c>
      <c r="L2591" t="str">
        <f>C173</f>
        <v>H3a</v>
      </c>
      <c r="N2591" t="s">
        <v>4496</v>
      </c>
      <c r="O2591">
        <v>1.9273806E7</v>
      </c>
      <c r="P2591">
        <v>1.7161926E7</v>
      </c>
      <c r="Q2591" t="s">
        <v>435</v>
      </c>
      <c r="R2591" s="5"/>
      <c r="S2591" s="5"/>
      <c r="T2591" s="5"/>
      <c r="U2591" s="5"/>
      <c r="V2591" s="5"/>
      <c r="W2591" s="5"/>
      <c r="X2591" s="5"/>
      <c r="Y2591" s="5"/>
      <c r="Z2591" s="5"/>
      <c r="AA2591" s="5"/>
      <c r="AB2591" s="5"/>
      <c r="AC2591" s="5"/>
      <c r="AD2591" s="5"/>
      <c r="AE2591" s="5"/>
      <c r="AF2591" s="5"/>
      <c r="AG2591" s="5"/>
    </row>
    <row r="2592" ht="15.75" customHeight="1">
      <c r="K2592" t="s">
        <v>4497</v>
      </c>
      <c r="L2592" t="str">
        <f>C173</f>
        <v>H3a</v>
      </c>
      <c r="N2592" t="s">
        <v>4498</v>
      </c>
      <c r="O2592">
        <v>1.930145E7</v>
      </c>
      <c r="P2592">
        <v>1.718957E7</v>
      </c>
      <c r="Q2592" t="s">
        <v>431</v>
      </c>
      <c r="R2592" s="5"/>
      <c r="S2592" s="5"/>
      <c r="T2592" s="5"/>
      <c r="U2592" s="5"/>
      <c r="V2592" s="5"/>
      <c r="W2592" s="5"/>
      <c r="X2592" s="5"/>
      <c r="Y2592" s="5"/>
      <c r="Z2592" s="5"/>
      <c r="AA2592" s="5"/>
      <c r="AB2592" s="5"/>
      <c r="AC2592" s="5"/>
      <c r="AD2592" s="5"/>
      <c r="AE2592" s="5"/>
      <c r="AF2592" s="5"/>
      <c r="AG2592" s="5"/>
    </row>
    <row r="2593" ht="15.75" customHeight="1">
      <c r="K2593" t="s">
        <v>4499</v>
      </c>
      <c r="L2593" t="str">
        <f>C173</f>
        <v>H3a</v>
      </c>
      <c r="N2593" t="s">
        <v>4500</v>
      </c>
      <c r="O2593">
        <v>2.0811224E7</v>
      </c>
      <c r="P2593">
        <v>1.8649338E7</v>
      </c>
      <c r="Q2593" t="s">
        <v>435</v>
      </c>
      <c r="R2593" s="5"/>
      <c r="S2593" s="5"/>
      <c r="T2593" s="5"/>
      <c r="U2593" s="5"/>
      <c r="V2593" s="5"/>
      <c r="W2593" s="5"/>
      <c r="X2593" s="5"/>
      <c r="Y2593" s="5"/>
      <c r="Z2593" s="5"/>
      <c r="AA2593" s="5"/>
      <c r="AB2593" s="5"/>
      <c r="AC2593" s="5"/>
      <c r="AD2593" s="5"/>
      <c r="AE2593" s="5"/>
      <c r="AF2593" s="5"/>
      <c r="AG2593" s="5"/>
    </row>
    <row r="2594" ht="15.75" customHeight="1">
      <c r="K2594" t="s">
        <v>4501</v>
      </c>
      <c r="L2594" t="str">
        <f>C173</f>
        <v>H3a</v>
      </c>
      <c r="N2594" t="s">
        <v>4502</v>
      </c>
      <c r="O2594">
        <v>2.1058538E7</v>
      </c>
      <c r="P2594">
        <v>1.8896652E7</v>
      </c>
      <c r="Q2594" t="s">
        <v>419</v>
      </c>
      <c r="R2594" s="5"/>
      <c r="S2594" s="5"/>
      <c r="T2594" s="5"/>
      <c r="U2594" s="5"/>
      <c r="V2594" s="5"/>
      <c r="W2594" s="5"/>
      <c r="X2594" s="5"/>
      <c r="Y2594" s="5"/>
      <c r="Z2594" s="5"/>
      <c r="AA2594" s="5"/>
      <c r="AB2594" s="5"/>
      <c r="AC2594" s="5"/>
      <c r="AD2594" s="5"/>
      <c r="AE2594" s="5"/>
      <c r="AF2594" s="5"/>
      <c r="AG2594" s="5"/>
    </row>
    <row r="2595" ht="15.75" customHeight="1">
      <c r="K2595" t="s">
        <v>4503</v>
      </c>
      <c r="L2595" t="str">
        <f>C173</f>
        <v>H3a</v>
      </c>
      <c r="N2595" t="s">
        <v>4504</v>
      </c>
      <c r="O2595">
        <v>2.1140566E7</v>
      </c>
      <c r="P2595">
        <v>1.897868E7</v>
      </c>
      <c r="Q2595" t="s">
        <v>459</v>
      </c>
      <c r="R2595" s="5"/>
      <c r="S2595" s="5"/>
      <c r="T2595" s="5"/>
      <c r="U2595" s="5"/>
      <c r="V2595" s="5"/>
      <c r="W2595" s="5"/>
      <c r="X2595" s="5"/>
      <c r="Y2595" s="5"/>
      <c r="Z2595" s="5"/>
      <c r="AA2595" s="5"/>
      <c r="AB2595" s="5"/>
      <c r="AC2595" s="5"/>
      <c r="AD2595" s="5"/>
      <c r="AE2595" s="5"/>
      <c r="AF2595" s="5"/>
      <c r="AG2595" s="5"/>
    </row>
    <row r="2596" ht="15.75" customHeight="1">
      <c r="K2596" t="s">
        <v>4505</v>
      </c>
      <c r="L2596" t="str">
        <f>C173</f>
        <v>H3a</v>
      </c>
      <c r="N2596" t="s">
        <v>4506</v>
      </c>
      <c r="O2596">
        <v>2.1310011E7</v>
      </c>
      <c r="P2596">
        <v>1.9148125E7</v>
      </c>
      <c r="Q2596" t="s">
        <v>419</v>
      </c>
      <c r="R2596" s="5"/>
      <c r="S2596" s="5"/>
      <c r="T2596" s="5"/>
      <c r="U2596" s="5"/>
      <c r="V2596" s="5"/>
      <c r="W2596" s="5"/>
      <c r="X2596" s="5"/>
      <c r="Y2596" s="5"/>
      <c r="Z2596" s="5"/>
      <c r="AA2596" s="5"/>
      <c r="AB2596" s="5"/>
      <c r="AC2596" s="5"/>
      <c r="AD2596" s="5"/>
      <c r="AE2596" s="5"/>
      <c r="AF2596" s="5"/>
      <c r="AG2596" s="5"/>
    </row>
    <row r="2597" ht="15.75" customHeight="1">
      <c r="K2597" t="s">
        <v>4507</v>
      </c>
      <c r="L2597" t="str">
        <f>C173</f>
        <v>H3a</v>
      </c>
      <c r="N2597" t="s">
        <v>4508</v>
      </c>
      <c r="O2597">
        <v>2.1345877E7</v>
      </c>
      <c r="P2597">
        <v>1.9183991E7</v>
      </c>
      <c r="Q2597" t="s">
        <v>473</v>
      </c>
      <c r="R2597" s="5"/>
      <c r="S2597" s="5"/>
      <c r="T2597" s="5"/>
      <c r="U2597" s="5"/>
      <c r="V2597" s="5"/>
      <c r="W2597" s="5"/>
      <c r="X2597" s="5"/>
      <c r="Y2597" s="5"/>
      <c r="Z2597" s="5"/>
      <c r="AA2597" s="5"/>
      <c r="AB2597" s="5"/>
      <c r="AC2597" s="5"/>
      <c r="AD2597" s="5"/>
      <c r="AE2597" s="5"/>
      <c r="AF2597" s="5"/>
      <c r="AG2597" s="5"/>
    </row>
    <row r="2598" ht="15.75" customHeight="1">
      <c r="K2598" t="s">
        <v>4509</v>
      </c>
      <c r="L2598" t="str">
        <f>C173</f>
        <v>H3a</v>
      </c>
      <c r="N2598" t="s">
        <v>4510</v>
      </c>
      <c r="O2598">
        <v>2.134961E7</v>
      </c>
      <c r="P2598">
        <v>1.9187724E7</v>
      </c>
      <c r="Q2598" t="s">
        <v>459</v>
      </c>
      <c r="R2598" s="5"/>
      <c r="S2598" s="5"/>
      <c r="T2598" s="5"/>
      <c r="U2598" s="5"/>
      <c r="V2598" s="5"/>
      <c r="W2598" s="5"/>
      <c r="X2598" s="5"/>
      <c r="Y2598" s="5"/>
      <c r="Z2598" s="5"/>
      <c r="AA2598" s="5"/>
      <c r="AB2598" s="5"/>
      <c r="AC2598" s="5"/>
      <c r="AD2598" s="5"/>
      <c r="AE2598" s="5"/>
      <c r="AF2598" s="5"/>
      <c r="AG2598" s="5"/>
    </row>
    <row r="2599" ht="15.75" customHeight="1">
      <c r="K2599" t="s">
        <v>4511</v>
      </c>
      <c r="L2599" t="str">
        <f>C173</f>
        <v>H3a</v>
      </c>
      <c r="N2599" t="s">
        <v>4512</v>
      </c>
      <c r="O2599">
        <v>2.1349658E7</v>
      </c>
      <c r="P2599">
        <v>1.9187772E7</v>
      </c>
      <c r="Q2599" t="s">
        <v>476</v>
      </c>
      <c r="R2599" s="5"/>
      <c r="S2599" s="5"/>
      <c r="T2599" s="5"/>
      <c r="U2599" s="5"/>
      <c r="V2599" s="5"/>
      <c r="W2599" s="5"/>
      <c r="X2599" s="5"/>
      <c r="Y2599" s="5"/>
      <c r="Z2599" s="5"/>
      <c r="AA2599" s="5"/>
      <c r="AB2599" s="5"/>
      <c r="AC2599" s="5"/>
      <c r="AD2599" s="5"/>
      <c r="AE2599" s="5"/>
      <c r="AF2599" s="5"/>
      <c r="AG2599" s="5"/>
    </row>
    <row r="2600" ht="15.75" customHeight="1">
      <c r="K2600" t="s">
        <v>4513</v>
      </c>
      <c r="L2600" t="str">
        <f>C173</f>
        <v>H3a</v>
      </c>
      <c r="N2600" t="s">
        <v>4514</v>
      </c>
      <c r="O2600">
        <v>2.1455888E7</v>
      </c>
      <c r="P2600">
        <v>1.9294002E7</v>
      </c>
      <c r="Q2600" t="s">
        <v>423</v>
      </c>
      <c r="R2600" s="5"/>
      <c r="S2600" s="5"/>
      <c r="T2600" s="5"/>
      <c r="U2600" s="5"/>
      <c r="V2600" s="5"/>
      <c r="W2600" s="5"/>
      <c r="X2600" s="5"/>
      <c r="Y2600" s="5"/>
      <c r="Z2600" s="5"/>
      <c r="AA2600" s="5"/>
      <c r="AB2600" s="5"/>
      <c r="AC2600" s="5"/>
      <c r="AD2600" s="5"/>
      <c r="AE2600" s="5"/>
      <c r="AF2600" s="5"/>
      <c r="AG2600" s="5"/>
    </row>
    <row r="2601" ht="15.75" customHeight="1">
      <c r="K2601" t="s">
        <v>4515</v>
      </c>
      <c r="L2601" t="str">
        <f>C173</f>
        <v>H3a</v>
      </c>
      <c r="N2601" t="s">
        <v>4516</v>
      </c>
      <c r="O2601">
        <v>2.1516899E7</v>
      </c>
      <c r="P2601">
        <v>1.9355013E7</v>
      </c>
      <c r="Q2601" t="s">
        <v>459</v>
      </c>
      <c r="R2601" s="5"/>
      <c r="S2601" s="5"/>
      <c r="T2601" s="5"/>
      <c r="U2601" s="5"/>
      <c r="V2601" s="5"/>
      <c r="W2601" s="5"/>
      <c r="X2601" s="5"/>
      <c r="Y2601" s="5"/>
      <c r="Z2601" s="5"/>
      <c r="AA2601" s="5"/>
      <c r="AB2601" s="5"/>
      <c r="AC2601" s="5"/>
      <c r="AD2601" s="5"/>
      <c r="AE2601" s="5"/>
      <c r="AF2601" s="5"/>
      <c r="AG2601" s="5"/>
    </row>
    <row r="2602" ht="15.75" customHeight="1">
      <c r="K2602" t="s">
        <v>4517</v>
      </c>
      <c r="L2602" t="str">
        <f>C173</f>
        <v>H3a</v>
      </c>
      <c r="N2602" t="s">
        <v>4518</v>
      </c>
      <c r="O2602">
        <v>2.1632593E7</v>
      </c>
      <c r="P2602">
        <v>1.9470707E7</v>
      </c>
      <c r="Q2602" t="s">
        <v>427</v>
      </c>
      <c r="R2602" s="5"/>
      <c r="S2602" s="5"/>
      <c r="T2602" s="5"/>
      <c r="U2602" s="5"/>
      <c r="V2602" s="5"/>
      <c r="W2602" s="5"/>
      <c r="X2602" s="5"/>
      <c r="Y2602" s="5"/>
      <c r="Z2602" s="5"/>
      <c r="AA2602" s="5"/>
      <c r="AB2602" s="5"/>
      <c r="AC2602" s="5"/>
      <c r="AD2602" s="5"/>
      <c r="AE2602" s="5"/>
      <c r="AF2602" s="5"/>
      <c r="AG2602" s="5"/>
    </row>
    <row r="2603" ht="15.75" customHeight="1">
      <c r="K2603" t="s">
        <v>4519</v>
      </c>
      <c r="L2603" t="str">
        <f>C173</f>
        <v>H3a</v>
      </c>
      <c r="N2603" t="s">
        <v>4520</v>
      </c>
      <c r="O2603">
        <v>2.1857163E7</v>
      </c>
      <c r="P2603">
        <v>1.9695277E7</v>
      </c>
      <c r="Q2603" t="s">
        <v>525</v>
      </c>
      <c r="R2603" s="5"/>
      <c r="S2603" s="5"/>
      <c r="T2603" s="5"/>
      <c r="U2603" s="5"/>
      <c r="V2603" s="5"/>
      <c r="W2603" s="5"/>
      <c r="X2603" s="5"/>
      <c r="Y2603" s="5"/>
      <c r="Z2603" s="5"/>
      <c r="AA2603" s="5"/>
      <c r="AB2603" s="5"/>
      <c r="AC2603" s="5"/>
      <c r="AD2603" s="5"/>
      <c r="AE2603" s="5"/>
      <c r="AF2603" s="5"/>
      <c r="AG2603" s="5"/>
    </row>
    <row r="2604" ht="15.75" customHeight="1">
      <c r="K2604" t="s">
        <v>4521</v>
      </c>
      <c r="L2604" t="str">
        <f>C173</f>
        <v>H3a</v>
      </c>
      <c r="N2604" t="s">
        <v>4522</v>
      </c>
      <c r="O2604">
        <v>2.2052309E7</v>
      </c>
      <c r="P2604">
        <v>1.9890423E7</v>
      </c>
      <c r="Q2604" t="s">
        <v>553</v>
      </c>
      <c r="R2604" s="5"/>
      <c r="S2604" s="5"/>
      <c r="T2604" s="5"/>
      <c r="U2604" s="5"/>
      <c r="V2604" s="5"/>
      <c r="W2604" s="5"/>
      <c r="X2604" s="5"/>
      <c r="Y2604" s="5"/>
      <c r="Z2604" s="5"/>
      <c r="AA2604" s="5"/>
      <c r="AB2604" s="5"/>
      <c r="AC2604" s="5"/>
      <c r="AD2604" s="5"/>
      <c r="AE2604" s="5"/>
      <c r="AF2604" s="5"/>
      <c r="AG2604" s="5"/>
    </row>
    <row r="2605" ht="15.75" customHeight="1">
      <c r="K2605" t="s">
        <v>4523</v>
      </c>
      <c r="L2605" t="str">
        <f>C173</f>
        <v>H3a</v>
      </c>
      <c r="N2605" t="s">
        <v>4524</v>
      </c>
      <c r="O2605">
        <v>2.2068083E7</v>
      </c>
      <c r="P2605">
        <v>1.9906197E7</v>
      </c>
      <c r="Q2605" t="s">
        <v>419</v>
      </c>
      <c r="R2605" s="5"/>
      <c r="S2605" s="5"/>
      <c r="T2605" s="5"/>
      <c r="U2605" s="5"/>
      <c r="V2605" s="5"/>
      <c r="W2605" s="5"/>
      <c r="X2605" s="5"/>
      <c r="Y2605" s="5"/>
      <c r="Z2605" s="5"/>
      <c r="AA2605" s="5"/>
      <c r="AB2605" s="5"/>
      <c r="AC2605" s="5"/>
      <c r="AD2605" s="5"/>
      <c r="AE2605" s="5"/>
      <c r="AF2605" s="5"/>
      <c r="AG2605" s="5"/>
    </row>
    <row r="2606" ht="15.75" customHeight="1">
      <c r="K2606" t="s">
        <v>4525</v>
      </c>
      <c r="L2606" t="str">
        <f>C173</f>
        <v>H3a</v>
      </c>
      <c r="N2606" t="s">
        <v>4526</v>
      </c>
      <c r="O2606">
        <v>2.2179292E7</v>
      </c>
      <c r="P2606">
        <v>2.0017406E7</v>
      </c>
      <c r="Q2606" t="s">
        <v>452</v>
      </c>
      <c r="R2606" s="5"/>
      <c r="S2606" s="5"/>
      <c r="T2606" s="5"/>
      <c r="U2606" s="5"/>
      <c r="V2606" s="5"/>
      <c r="W2606" s="5"/>
      <c r="X2606" s="5"/>
      <c r="Y2606" s="5"/>
      <c r="Z2606" s="5"/>
      <c r="AA2606" s="5"/>
      <c r="AB2606" s="5"/>
      <c r="AC2606" s="5"/>
      <c r="AD2606" s="5"/>
      <c r="AE2606" s="5"/>
      <c r="AF2606" s="5"/>
      <c r="AG2606" s="5"/>
    </row>
    <row r="2607" ht="15.75" customHeight="1">
      <c r="K2607" t="s">
        <v>4527</v>
      </c>
      <c r="L2607" t="str">
        <f>C173</f>
        <v>H3a</v>
      </c>
      <c r="N2607" t="s">
        <v>4528</v>
      </c>
      <c r="O2607">
        <v>2.3016378E7</v>
      </c>
      <c r="P2607">
        <v>2.0854492E7</v>
      </c>
      <c r="Q2607" t="s">
        <v>423</v>
      </c>
      <c r="R2607" s="5"/>
      <c r="S2607" s="5"/>
      <c r="T2607" s="5"/>
      <c r="U2607" s="5"/>
      <c r="V2607" s="5"/>
      <c r="W2607" s="5"/>
      <c r="X2607" s="5"/>
      <c r="Y2607" s="5"/>
      <c r="Z2607" s="5"/>
      <c r="AA2607" s="5"/>
      <c r="AB2607" s="5"/>
      <c r="AC2607" s="5"/>
      <c r="AD2607" s="5"/>
      <c r="AE2607" s="5"/>
      <c r="AF2607" s="5"/>
      <c r="AG2607" s="5"/>
    </row>
    <row r="2608" ht="15.75" customHeight="1">
      <c r="K2608" t="s">
        <v>4529</v>
      </c>
      <c r="L2608" t="str">
        <f>C173</f>
        <v>H3a</v>
      </c>
      <c r="N2608" t="s">
        <v>4530</v>
      </c>
      <c r="O2608">
        <v>2.3129939E7</v>
      </c>
      <c r="P2608">
        <v>2.0968053E7</v>
      </c>
      <c r="Q2608" t="s">
        <v>459</v>
      </c>
      <c r="R2608" s="5"/>
      <c r="S2608" s="5"/>
      <c r="T2608" s="5"/>
      <c r="U2608" s="5"/>
      <c r="V2608" s="5"/>
      <c r="W2608" s="5"/>
      <c r="X2608" s="5"/>
      <c r="Y2608" s="5"/>
      <c r="Z2608" s="5"/>
      <c r="AA2608" s="5"/>
      <c r="AB2608" s="5"/>
      <c r="AC2608" s="5"/>
      <c r="AD2608" s="5"/>
      <c r="AE2608" s="5"/>
      <c r="AF2608" s="5"/>
      <c r="AG2608" s="5"/>
    </row>
    <row r="2609" ht="15.75" customHeight="1">
      <c r="K2609" t="s">
        <v>4531</v>
      </c>
      <c r="L2609" t="str">
        <f>C173</f>
        <v>H3a</v>
      </c>
      <c r="N2609" t="s">
        <v>4532</v>
      </c>
      <c r="O2609">
        <v>2.3156944E7</v>
      </c>
      <c r="P2609">
        <v>2.0995058E7</v>
      </c>
      <c r="Q2609" t="s">
        <v>525</v>
      </c>
      <c r="R2609" s="5"/>
      <c r="S2609" s="5"/>
      <c r="T2609" s="5"/>
      <c r="U2609" s="5"/>
      <c r="V2609" s="5"/>
      <c r="W2609" s="5"/>
      <c r="X2609" s="5"/>
      <c r="Y2609" s="5"/>
      <c r="Z2609" s="5"/>
      <c r="AA2609" s="5"/>
      <c r="AB2609" s="5"/>
      <c r="AC2609" s="5"/>
      <c r="AD2609" s="5"/>
      <c r="AE2609" s="5"/>
      <c r="AF2609" s="5"/>
      <c r="AG2609" s="5"/>
    </row>
    <row r="2610" ht="15.75" customHeight="1">
      <c r="K2610" t="s">
        <v>4533</v>
      </c>
      <c r="L2610" t="str">
        <f>C173</f>
        <v>H3a</v>
      </c>
      <c r="N2610" t="s">
        <v>4534</v>
      </c>
      <c r="O2610">
        <v>2.333889E7</v>
      </c>
      <c r="P2610">
        <v>2.1177004E7</v>
      </c>
      <c r="Q2610" t="s">
        <v>423</v>
      </c>
      <c r="R2610" s="5"/>
      <c r="S2610" s="5"/>
      <c r="T2610" s="5"/>
      <c r="U2610" s="5"/>
      <c r="V2610" s="5"/>
      <c r="W2610" s="5"/>
      <c r="X2610" s="5"/>
      <c r="Y2610" s="5"/>
      <c r="Z2610" s="5"/>
      <c r="AA2610" s="5"/>
      <c r="AB2610" s="5"/>
      <c r="AC2610" s="5"/>
      <c r="AD2610" s="5"/>
      <c r="AE2610" s="5"/>
      <c r="AF2610" s="5"/>
      <c r="AG2610" s="5"/>
    </row>
    <row r="2611" ht="15.75" customHeight="1">
      <c r="K2611" t="s">
        <v>4535</v>
      </c>
      <c r="L2611" t="str">
        <f>C173</f>
        <v>H3a</v>
      </c>
      <c r="N2611" t="s">
        <v>4536</v>
      </c>
      <c r="O2611">
        <v>2.3354687E7</v>
      </c>
      <c r="P2611">
        <v>2.1192801E7</v>
      </c>
      <c r="Q2611" t="s">
        <v>423</v>
      </c>
      <c r="R2611" s="5"/>
      <c r="S2611" s="5"/>
      <c r="T2611" s="5"/>
      <c r="U2611" s="5"/>
      <c r="V2611" s="5"/>
      <c r="W2611" s="5"/>
      <c r="X2611" s="5"/>
      <c r="Y2611" s="5"/>
      <c r="Z2611" s="5"/>
      <c r="AA2611" s="5"/>
      <c r="AB2611" s="5"/>
      <c r="AC2611" s="5"/>
      <c r="AD2611" s="5"/>
      <c r="AE2611" s="5"/>
      <c r="AF2611" s="5"/>
      <c r="AG2611" s="5"/>
    </row>
    <row r="2612" ht="15.75" customHeight="1">
      <c r="K2612" t="s">
        <v>4537</v>
      </c>
      <c r="L2612" t="str">
        <f>C173</f>
        <v>H3a</v>
      </c>
      <c r="N2612" t="s">
        <v>4538</v>
      </c>
      <c r="O2612">
        <v>2.3974451E7</v>
      </c>
      <c r="P2612">
        <v>2.1828304E7</v>
      </c>
      <c r="Q2612" t="s">
        <v>419</v>
      </c>
      <c r="R2612" s="5"/>
      <c r="S2612" s="5"/>
      <c r="T2612" s="5"/>
      <c r="U2612" s="5"/>
      <c r="V2612" s="5"/>
      <c r="W2612" s="5"/>
      <c r="X2612" s="5"/>
      <c r="Y2612" s="5"/>
      <c r="Z2612" s="5"/>
      <c r="AA2612" s="5"/>
      <c r="AB2612" s="5"/>
      <c r="AC2612" s="5"/>
      <c r="AD2612" s="5"/>
      <c r="AE2612" s="5"/>
      <c r="AF2612" s="5"/>
      <c r="AG2612" s="5"/>
    </row>
    <row r="2613" ht="15.75" customHeight="1">
      <c r="K2613" t="s">
        <v>4539</v>
      </c>
      <c r="L2613" t="str">
        <f>C173</f>
        <v>H3a</v>
      </c>
      <c r="O2613">
        <v>2.3996072E7</v>
      </c>
      <c r="P2613">
        <v>2.1849925E7</v>
      </c>
      <c r="Q2613" t="s">
        <v>476</v>
      </c>
      <c r="R2613" s="5"/>
      <c r="S2613" s="5"/>
      <c r="T2613" s="5"/>
      <c r="U2613" s="5"/>
      <c r="V2613" s="5"/>
      <c r="W2613" s="5"/>
      <c r="X2613" s="5"/>
      <c r="Y2613" s="5"/>
      <c r="Z2613" s="5"/>
      <c r="AA2613" s="5"/>
      <c r="AB2613" s="5"/>
      <c r="AC2613" s="5"/>
      <c r="AD2613" s="5"/>
      <c r="AE2613" s="5"/>
      <c r="AF2613" s="5"/>
      <c r="AG2613" s="5"/>
    </row>
    <row r="2614" ht="15.75" customHeight="1">
      <c r="K2614" t="s">
        <v>4540</v>
      </c>
      <c r="L2614" t="str">
        <f>C173</f>
        <v>H3a</v>
      </c>
      <c r="N2614" t="s">
        <v>4541</v>
      </c>
      <c r="O2614">
        <v>2.4385007E7</v>
      </c>
      <c r="P2614">
        <v>2.223886E7</v>
      </c>
      <c r="Q2614" t="s">
        <v>431</v>
      </c>
      <c r="R2614" s="5"/>
      <c r="S2614" s="5"/>
      <c r="T2614" s="5"/>
      <c r="U2614" s="5"/>
      <c r="V2614" s="5"/>
      <c r="W2614" s="5"/>
      <c r="X2614" s="5"/>
      <c r="Y2614" s="5"/>
      <c r="Z2614" s="5"/>
      <c r="AA2614" s="5"/>
      <c r="AB2614" s="5"/>
      <c r="AC2614" s="5"/>
      <c r="AD2614" s="5"/>
      <c r="AE2614" s="5"/>
      <c r="AF2614" s="5"/>
      <c r="AG2614" s="5"/>
    </row>
    <row r="2615" ht="15.75" customHeight="1">
      <c r="K2615" t="s">
        <v>4542</v>
      </c>
      <c r="L2615" t="str">
        <f>C173</f>
        <v>H3a</v>
      </c>
      <c r="N2615" t="s">
        <v>4543</v>
      </c>
      <c r="O2615">
        <v>2.8659956E7</v>
      </c>
      <c r="P2615">
        <v>2.6513809E7</v>
      </c>
      <c r="Q2615" t="s">
        <v>423</v>
      </c>
      <c r="R2615" s="5"/>
      <c r="S2615" s="5"/>
      <c r="T2615" s="5"/>
      <c r="U2615" s="5"/>
      <c r="V2615" s="5"/>
      <c r="W2615" s="5"/>
      <c r="X2615" s="5"/>
      <c r="Y2615" s="5"/>
      <c r="Z2615" s="5"/>
      <c r="AA2615" s="5"/>
      <c r="AB2615" s="5"/>
      <c r="AC2615" s="5"/>
      <c r="AD2615" s="5"/>
      <c r="AE2615" s="5"/>
      <c r="AF2615" s="5"/>
      <c r="AG2615" s="5"/>
    </row>
    <row r="2616" ht="15.75" customHeight="1">
      <c r="K2616" t="s">
        <v>4544</v>
      </c>
      <c r="L2616" t="str">
        <f>C173</f>
        <v>H3a</v>
      </c>
      <c r="N2616" t="s">
        <v>4545</v>
      </c>
      <c r="O2616">
        <v>2.8770756E7</v>
      </c>
      <c r="P2616">
        <v>2.6624609E7</v>
      </c>
      <c r="Q2616" t="s">
        <v>459</v>
      </c>
      <c r="R2616" s="5"/>
      <c r="S2616" s="5"/>
      <c r="T2616" s="5"/>
      <c r="U2616" s="5"/>
      <c r="V2616" s="5"/>
      <c r="W2616" s="5"/>
      <c r="X2616" s="5"/>
      <c r="Y2616" s="5"/>
      <c r="Z2616" s="5"/>
      <c r="AA2616" s="5"/>
      <c r="AB2616" s="5"/>
      <c r="AC2616" s="5"/>
      <c r="AD2616" s="5"/>
      <c r="AE2616" s="5"/>
      <c r="AF2616" s="5"/>
      <c r="AG2616" s="5"/>
    </row>
    <row r="2617" ht="15.75" customHeight="1">
      <c r="K2617" t="s">
        <v>4546</v>
      </c>
      <c r="L2617" t="str">
        <f>C173</f>
        <v>H3a</v>
      </c>
      <c r="O2617">
        <v>1.3826217E7</v>
      </c>
      <c r="P2617">
        <v>1.1705511E7</v>
      </c>
      <c r="Q2617" t="s">
        <v>427</v>
      </c>
      <c r="R2617" s="5"/>
      <c r="S2617" s="5"/>
      <c r="T2617" s="5"/>
      <c r="U2617" s="5"/>
      <c r="V2617" s="5"/>
      <c r="W2617" s="5"/>
      <c r="X2617" s="5"/>
      <c r="Y2617" s="5"/>
      <c r="Z2617" s="5"/>
      <c r="AA2617" s="5"/>
      <c r="AB2617" s="5"/>
      <c r="AC2617" s="5"/>
      <c r="AD2617" s="5"/>
      <c r="AE2617" s="5"/>
      <c r="AF2617" s="5"/>
      <c r="AG2617" s="5"/>
    </row>
    <row r="2618" ht="15.75" customHeight="1">
      <c r="K2618" t="s">
        <v>4547</v>
      </c>
      <c r="L2618" t="str">
        <f>D174</f>
        <v>H3a1</v>
      </c>
      <c r="O2618">
        <v>2.104332E7</v>
      </c>
      <c r="P2618">
        <v>1.8881434E7</v>
      </c>
      <c r="Q2618" t="s">
        <v>419</v>
      </c>
      <c r="R2618" s="5"/>
      <c r="S2618" s="5"/>
      <c r="T2618" s="5"/>
      <c r="U2618" s="5"/>
      <c r="V2618" s="5"/>
      <c r="W2618" s="5"/>
      <c r="X2618" s="5"/>
      <c r="Y2618" s="5"/>
      <c r="Z2618" s="5"/>
      <c r="AA2618" s="5"/>
      <c r="AB2618" s="5"/>
      <c r="AC2618" s="5"/>
      <c r="AD2618" s="5"/>
      <c r="AE2618" s="5"/>
      <c r="AF2618" s="5"/>
      <c r="AG2618" s="5"/>
    </row>
    <row r="2619" ht="15.75" customHeight="1">
      <c r="K2619" t="s">
        <v>4548</v>
      </c>
      <c r="L2619" t="str">
        <f>D174</f>
        <v>H3a1</v>
      </c>
      <c r="M2619" t="s">
        <v>4549</v>
      </c>
      <c r="N2619" t="s">
        <v>4550</v>
      </c>
      <c r="O2619">
        <v>1.7412306E7</v>
      </c>
      <c r="P2619">
        <v>1.5300426E7</v>
      </c>
      <c r="Q2619" t="s">
        <v>419</v>
      </c>
      <c r="R2619" s="5"/>
      <c r="S2619" s="5"/>
      <c r="T2619" s="5"/>
      <c r="U2619" s="5"/>
      <c r="V2619" s="5"/>
      <c r="W2619" s="5"/>
      <c r="X2619" s="5"/>
      <c r="Y2619" s="5"/>
      <c r="Z2619" s="5"/>
      <c r="AA2619" s="5"/>
      <c r="AB2619" s="5"/>
      <c r="AC2619" s="5"/>
      <c r="AD2619" s="5"/>
      <c r="AE2619" s="5"/>
      <c r="AF2619" s="5"/>
      <c r="AG2619" s="5"/>
    </row>
    <row r="2620" ht="15.75" customHeight="1">
      <c r="K2620" t="s">
        <v>4549</v>
      </c>
      <c r="L2620" t="str">
        <f>D174</f>
        <v>H3a1</v>
      </c>
      <c r="M2620" t="s">
        <v>4548</v>
      </c>
      <c r="N2620" t="s">
        <v>4550</v>
      </c>
      <c r="O2620">
        <v>1.7412306E7</v>
      </c>
      <c r="P2620">
        <v>1.5300426E7</v>
      </c>
      <c r="Q2620" t="s">
        <v>419</v>
      </c>
      <c r="R2620" s="5"/>
      <c r="S2620" s="5"/>
      <c r="T2620" s="5"/>
      <c r="U2620" s="5"/>
      <c r="V2620" s="5"/>
      <c r="W2620" s="5"/>
      <c r="X2620" s="5"/>
      <c r="Y2620" s="5"/>
      <c r="Z2620" s="5"/>
      <c r="AA2620" s="5"/>
      <c r="AB2620" s="5"/>
      <c r="AC2620" s="5"/>
      <c r="AD2620" s="5"/>
      <c r="AE2620" s="5"/>
      <c r="AF2620" s="5"/>
      <c r="AG2620" s="5"/>
    </row>
    <row r="2621" ht="15.75" customHeight="1">
      <c r="K2621" t="s">
        <v>4551</v>
      </c>
      <c r="L2621" t="str">
        <f>D174</f>
        <v>H3a1</v>
      </c>
      <c r="M2621" t="s">
        <v>4552</v>
      </c>
      <c r="N2621" t="s">
        <v>4553</v>
      </c>
      <c r="O2621">
        <v>1.8640327E7</v>
      </c>
      <c r="P2621">
        <v>1.6528447E7</v>
      </c>
      <c r="Q2621" t="s">
        <v>419</v>
      </c>
      <c r="R2621" s="5"/>
      <c r="S2621" s="5"/>
      <c r="T2621" s="5"/>
      <c r="U2621" s="5"/>
      <c r="V2621" s="5"/>
      <c r="W2621" s="5"/>
      <c r="X2621" s="5"/>
      <c r="Y2621" s="5"/>
      <c r="Z2621" s="5"/>
      <c r="AA2621" s="5"/>
      <c r="AB2621" s="5"/>
      <c r="AC2621" s="5"/>
      <c r="AD2621" s="5"/>
      <c r="AE2621" s="5"/>
      <c r="AF2621" s="5"/>
      <c r="AG2621" s="5"/>
    </row>
    <row r="2622" ht="15.75" customHeight="1">
      <c r="K2622" t="s">
        <v>4552</v>
      </c>
      <c r="L2622" t="str">
        <f>D174</f>
        <v>H3a1</v>
      </c>
      <c r="M2622" t="s">
        <v>4551</v>
      </c>
      <c r="N2622" t="s">
        <v>4553</v>
      </c>
      <c r="O2622">
        <v>1.8640327E7</v>
      </c>
      <c r="P2622">
        <v>1.6528447E7</v>
      </c>
      <c r="Q2622" t="s">
        <v>419</v>
      </c>
      <c r="R2622" s="5"/>
      <c r="S2622" s="5"/>
      <c r="T2622" s="5"/>
      <c r="U2622" s="5"/>
      <c r="V2622" s="5"/>
      <c r="W2622" s="5"/>
      <c r="X2622" s="5"/>
      <c r="Y2622" s="5"/>
      <c r="Z2622" s="5"/>
      <c r="AA2622" s="5"/>
      <c r="AB2622" s="5"/>
      <c r="AC2622" s="5"/>
      <c r="AD2622" s="5"/>
      <c r="AE2622" s="5"/>
      <c r="AF2622" s="5"/>
      <c r="AG2622" s="5"/>
    </row>
    <row r="2623" ht="15.75" customHeight="1">
      <c r="K2623" t="s">
        <v>4554</v>
      </c>
      <c r="L2623" t="str">
        <f>D174</f>
        <v>H3a1</v>
      </c>
      <c r="N2623" t="s">
        <v>4555</v>
      </c>
      <c r="O2623">
        <v>1.6065448E7</v>
      </c>
      <c r="P2623">
        <v>1.3953568E7</v>
      </c>
      <c r="Q2623" t="s">
        <v>419</v>
      </c>
      <c r="R2623" s="5"/>
      <c r="S2623" s="5"/>
      <c r="T2623" s="5"/>
      <c r="U2623" s="5"/>
      <c r="V2623" s="5"/>
      <c r="W2623" s="5"/>
      <c r="X2623" s="5"/>
      <c r="Y2623" s="5"/>
      <c r="Z2623" s="5"/>
      <c r="AA2623" s="5"/>
      <c r="AB2623" s="5"/>
      <c r="AC2623" s="5"/>
      <c r="AD2623" s="5"/>
      <c r="AE2623" s="5"/>
      <c r="AF2623" s="5"/>
      <c r="AG2623" s="5"/>
    </row>
    <row r="2624" ht="15.75" customHeight="1">
      <c r="K2624" t="s">
        <v>4556</v>
      </c>
      <c r="L2624" t="str">
        <f>D174</f>
        <v>H3a1</v>
      </c>
      <c r="N2624" t="s">
        <v>4557</v>
      </c>
      <c r="O2624">
        <v>2672087.0</v>
      </c>
      <c r="P2624">
        <v>2804046.0</v>
      </c>
      <c r="Q2624" t="s">
        <v>431</v>
      </c>
      <c r="R2624" s="5"/>
      <c r="S2624" s="5"/>
      <c r="T2624" s="5"/>
      <c r="U2624" s="5"/>
      <c r="V2624" s="5"/>
      <c r="W2624" s="5"/>
      <c r="X2624" s="5"/>
      <c r="Y2624" s="5"/>
      <c r="Z2624" s="5"/>
      <c r="AA2624" s="5"/>
      <c r="AB2624" s="5"/>
      <c r="AC2624" s="5"/>
      <c r="AD2624" s="5"/>
      <c r="AE2624" s="5"/>
      <c r="AF2624" s="5"/>
      <c r="AG2624" s="5"/>
    </row>
    <row r="2625" ht="15.75" customHeight="1">
      <c r="K2625" t="s">
        <v>4558</v>
      </c>
      <c r="L2625" t="str">
        <f>D174</f>
        <v>H3a1</v>
      </c>
      <c r="N2625" t="s">
        <v>4559</v>
      </c>
      <c r="O2625">
        <v>2843394.0</v>
      </c>
      <c r="P2625">
        <v>2975353.0</v>
      </c>
      <c r="Q2625" t="s">
        <v>473</v>
      </c>
      <c r="R2625" s="5"/>
      <c r="S2625" s="5"/>
      <c r="T2625" s="5"/>
      <c r="U2625" s="5"/>
      <c r="V2625" s="5"/>
      <c r="W2625" s="5"/>
      <c r="X2625" s="5"/>
      <c r="Y2625" s="5"/>
      <c r="Z2625" s="5"/>
      <c r="AA2625" s="5"/>
      <c r="AB2625" s="5"/>
      <c r="AC2625" s="5"/>
      <c r="AD2625" s="5"/>
      <c r="AE2625" s="5"/>
      <c r="AF2625" s="5"/>
      <c r="AG2625" s="5"/>
    </row>
    <row r="2626" ht="15.75" customHeight="1">
      <c r="K2626" t="s">
        <v>4560</v>
      </c>
      <c r="L2626" t="str">
        <f>D174</f>
        <v>H3a1</v>
      </c>
      <c r="N2626" t="s">
        <v>4561</v>
      </c>
      <c r="O2626">
        <v>2887269.0</v>
      </c>
      <c r="P2626">
        <v>3019228.0</v>
      </c>
      <c r="Q2626" t="s">
        <v>431</v>
      </c>
      <c r="R2626" s="5"/>
      <c r="S2626" s="5"/>
      <c r="T2626" s="5"/>
      <c r="U2626" s="5"/>
      <c r="V2626" s="5"/>
      <c r="W2626" s="5"/>
      <c r="X2626" s="5"/>
      <c r="Y2626" s="5"/>
      <c r="Z2626" s="5"/>
      <c r="AA2626" s="5"/>
      <c r="AB2626" s="5"/>
      <c r="AC2626" s="5"/>
      <c r="AD2626" s="5"/>
      <c r="AE2626" s="5"/>
      <c r="AF2626" s="5"/>
      <c r="AG2626" s="5"/>
    </row>
    <row r="2627" ht="15.75" customHeight="1">
      <c r="K2627" t="s">
        <v>4562</v>
      </c>
      <c r="L2627" t="str">
        <f>D174</f>
        <v>H3a1</v>
      </c>
      <c r="N2627" t="s">
        <v>4563</v>
      </c>
      <c r="O2627">
        <v>6733739.0</v>
      </c>
      <c r="P2627">
        <v>6865698.0</v>
      </c>
      <c r="Q2627" t="s">
        <v>431</v>
      </c>
      <c r="R2627" s="5"/>
      <c r="S2627" s="5"/>
      <c r="T2627" s="5"/>
      <c r="U2627" s="5"/>
      <c r="V2627" s="5"/>
      <c r="W2627" s="5"/>
      <c r="X2627" s="5"/>
      <c r="Y2627" s="5"/>
      <c r="Z2627" s="5"/>
      <c r="AA2627" s="5"/>
      <c r="AB2627" s="5"/>
      <c r="AC2627" s="5"/>
      <c r="AD2627" s="5"/>
      <c r="AE2627" s="5"/>
      <c r="AF2627" s="5"/>
      <c r="AG2627" s="5"/>
    </row>
    <row r="2628" ht="15.75" customHeight="1">
      <c r="K2628" t="s">
        <v>4564</v>
      </c>
      <c r="L2628" t="str">
        <f>D174</f>
        <v>H3a1</v>
      </c>
      <c r="N2628" t="s">
        <v>4565</v>
      </c>
      <c r="O2628">
        <v>6770008.0</v>
      </c>
      <c r="P2628">
        <v>6901967.0</v>
      </c>
      <c r="Q2628" t="s">
        <v>435</v>
      </c>
      <c r="R2628" s="5"/>
      <c r="S2628" s="5"/>
      <c r="T2628" s="5"/>
      <c r="U2628" s="5"/>
      <c r="V2628" s="5"/>
      <c r="W2628" s="5"/>
      <c r="X2628" s="5"/>
      <c r="Y2628" s="5"/>
      <c r="Z2628" s="5"/>
      <c r="AA2628" s="5"/>
      <c r="AB2628" s="5"/>
      <c r="AC2628" s="5"/>
      <c r="AD2628" s="5"/>
      <c r="AE2628" s="5"/>
      <c r="AF2628" s="5"/>
      <c r="AG2628" s="5"/>
    </row>
    <row r="2629" ht="15.75" customHeight="1">
      <c r="K2629" t="s">
        <v>4566</v>
      </c>
      <c r="L2629" t="str">
        <f>D174</f>
        <v>H3a1</v>
      </c>
      <c r="N2629" t="s">
        <v>4567</v>
      </c>
      <c r="O2629">
        <v>6771984.0</v>
      </c>
      <c r="P2629">
        <v>6903943.0</v>
      </c>
      <c r="Q2629" t="s">
        <v>423</v>
      </c>
      <c r="R2629" s="5"/>
      <c r="S2629" s="5"/>
      <c r="T2629" s="5"/>
      <c r="U2629" s="5"/>
      <c r="V2629" s="5"/>
      <c r="W2629" s="5"/>
      <c r="X2629" s="5"/>
      <c r="Y2629" s="5"/>
      <c r="Z2629" s="5"/>
      <c r="AA2629" s="5"/>
      <c r="AB2629" s="5"/>
      <c r="AC2629" s="5"/>
      <c r="AD2629" s="5"/>
      <c r="AE2629" s="5"/>
      <c r="AF2629" s="5"/>
      <c r="AG2629" s="5"/>
    </row>
    <row r="2630" ht="15.75" customHeight="1">
      <c r="K2630" t="s">
        <v>4568</v>
      </c>
      <c r="L2630" t="str">
        <f>D174</f>
        <v>H3a1</v>
      </c>
      <c r="N2630" t="s">
        <v>4569</v>
      </c>
      <c r="O2630">
        <v>6793908.0</v>
      </c>
      <c r="P2630">
        <v>6925867.0</v>
      </c>
      <c r="Q2630" t="s">
        <v>525</v>
      </c>
      <c r="R2630" s="5"/>
      <c r="S2630" s="5"/>
      <c r="T2630" s="5"/>
      <c r="U2630" s="5"/>
      <c r="V2630" s="5"/>
      <c r="W2630" s="5"/>
      <c r="X2630" s="5"/>
      <c r="Y2630" s="5"/>
      <c r="Z2630" s="5"/>
      <c r="AA2630" s="5"/>
      <c r="AB2630" s="5"/>
      <c r="AC2630" s="5"/>
      <c r="AD2630" s="5"/>
      <c r="AE2630" s="5"/>
      <c r="AF2630" s="5"/>
      <c r="AG2630" s="5"/>
    </row>
    <row r="2631" ht="15.75" customHeight="1">
      <c r="K2631" t="s">
        <v>4570</v>
      </c>
      <c r="L2631" t="str">
        <f>D174</f>
        <v>H3a1</v>
      </c>
      <c r="N2631" t="s">
        <v>4571</v>
      </c>
      <c r="O2631">
        <v>6820827.0</v>
      </c>
      <c r="P2631">
        <v>6952786.0</v>
      </c>
      <c r="Q2631" t="s">
        <v>423</v>
      </c>
      <c r="R2631" s="5"/>
      <c r="S2631" s="5"/>
      <c r="T2631" s="5"/>
      <c r="U2631" s="5"/>
      <c r="V2631" s="5"/>
      <c r="W2631" s="5"/>
      <c r="X2631" s="5"/>
      <c r="Y2631" s="5"/>
      <c r="Z2631" s="5"/>
      <c r="AA2631" s="5"/>
      <c r="AB2631" s="5"/>
      <c r="AC2631" s="5"/>
      <c r="AD2631" s="5"/>
      <c r="AE2631" s="5"/>
      <c r="AF2631" s="5"/>
      <c r="AG2631" s="5"/>
    </row>
    <row r="2632" ht="15.75" customHeight="1">
      <c r="K2632" t="s">
        <v>4572</v>
      </c>
      <c r="L2632" t="str">
        <f>D174</f>
        <v>H3a1</v>
      </c>
      <c r="N2632" t="s">
        <v>4573</v>
      </c>
      <c r="O2632">
        <v>6976631.0</v>
      </c>
      <c r="P2632">
        <v>7108590.0</v>
      </c>
      <c r="Q2632" t="s">
        <v>431</v>
      </c>
      <c r="R2632" s="5"/>
      <c r="S2632" s="5"/>
      <c r="T2632" s="5"/>
      <c r="U2632" s="5"/>
      <c r="V2632" s="5"/>
      <c r="W2632" s="5"/>
      <c r="X2632" s="5"/>
      <c r="Y2632" s="5"/>
      <c r="Z2632" s="5"/>
      <c r="AA2632" s="5"/>
      <c r="AB2632" s="5"/>
      <c r="AC2632" s="5"/>
      <c r="AD2632" s="5"/>
      <c r="AE2632" s="5"/>
      <c r="AF2632" s="5"/>
      <c r="AG2632" s="5"/>
    </row>
    <row r="2633" ht="15.75" customHeight="1">
      <c r="K2633" t="s">
        <v>4574</v>
      </c>
      <c r="L2633" t="str">
        <f>D174</f>
        <v>H3a1</v>
      </c>
      <c r="N2633" t="s">
        <v>4575</v>
      </c>
      <c r="O2633">
        <v>6991490.0</v>
      </c>
      <c r="P2633">
        <v>7123449.0</v>
      </c>
      <c r="Q2633" t="s">
        <v>423</v>
      </c>
      <c r="R2633" s="5"/>
      <c r="S2633" s="5"/>
      <c r="T2633" s="5"/>
      <c r="U2633" s="5"/>
      <c r="V2633" s="5"/>
      <c r="W2633" s="5"/>
      <c r="X2633" s="5"/>
      <c r="Y2633" s="5"/>
      <c r="Z2633" s="5"/>
      <c r="AA2633" s="5"/>
      <c r="AB2633" s="5"/>
      <c r="AC2633" s="5"/>
      <c r="AD2633" s="5"/>
      <c r="AE2633" s="5"/>
      <c r="AF2633" s="5"/>
      <c r="AG2633" s="5"/>
    </row>
    <row r="2634" ht="15.75" customHeight="1">
      <c r="K2634" t="s">
        <v>4576</v>
      </c>
      <c r="L2634" t="str">
        <f>D174</f>
        <v>H3a1</v>
      </c>
      <c r="N2634" t="s">
        <v>4577</v>
      </c>
      <c r="O2634">
        <v>7009431.0</v>
      </c>
      <c r="P2634">
        <v>7141390.0</v>
      </c>
      <c r="Q2634" t="s">
        <v>459</v>
      </c>
      <c r="R2634" s="5"/>
      <c r="S2634" s="5"/>
      <c r="T2634" s="5"/>
      <c r="U2634" s="5"/>
      <c r="V2634" s="5"/>
      <c r="W2634" s="5"/>
      <c r="X2634" s="5"/>
      <c r="Y2634" s="5"/>
      <c r="Z2634" s="5"/>
      <c r="AA2634" s="5"/>
      <c r="AB2634" s="5"/>
      <c r="AC2634" s="5"/>
      <c r="AD2634" s="5"/>
      <c r="AE2634" s="5"/>
      <c r="AF2634" s="5"/>
      <c r="AG2634" s="5"/>
    </row>
    <row r="2635" ht="15.75" customHeight="1">
      <c r="K2635" t="s">
        <v>4578</v>
      </c>
      <c r="L2635" t="str">
        <f>D174</f>
        <v>H3a1</v>
      </c>
      <c r="N2635" t="s">
        <v>4579</v>
      </c>
      <c r="O2635">
        <v>7089799.0</v>
      </c>
      <c r="P2635">
        <v>7221758.0</v>
      </c>
      <c r="Q2635" t="s">
        <v>431</v>
      </c>
      <c r="R2635" s="5"/>
      <c r="S2635" s="5"/>
      <c r="T2635" s="5"/>
      <c r="U2635" s="5"/>
      <c r="V2635" s="5"/>
      <c r="W2635" s="5"/>
      <c r="X2635" s="5"/>
      <c r="Y2635" s="5"/>
      <c r="Z2635" s="5"/>
      <c r="AA2635" s="5"/>
      <c r="AB2635" s="5"/>
      <c r="AC2635" s="5"/>
      <c r="AD2635" s="5"/>
      <c r="AE2635" s="5"/>
      <c r="AF2635" s="5"/>
      <c r="AG2635" s="5"/>
    </row>
    <row r="2636" ht="15.75" customHeight="1">
      <c r="K2636" t="s">
        <v>4580</v>
      </c>
      <c r="L2636" t="str">
        <f>D174</f>
        <v>H3a1</v>
      </c>
      <c r="N2636" t="s">
        <v>4581</v>
      </c>
      <c r="O2636">
        <v>7150119.0</v>
      </c>
      <c r="P2636">
        <v>7282078.0</v>
      </c>
      <c r="Q2636" t="s">
        <v>459</v>
      </c>
      <c r="R2636" s="5"/>
      <c r="S2636" s="5"/>
      <c r="T2636" s="5"/>
      <c r="U2636" s="5"/>
      <c r="V2636" s="5"/>
      <c r="W2636" s="5"/>
      <c r="X2636" s="5"/>
      <c r="Y2636" s="5"/>
      <c r="Z2636" s="5"/>
      <c r="AA2636" s="5"/>
      <c r="AB2636" s="5"/>
      <c r="AC2636" s="5"/>
      <c r="AD2636" s="5"/>
      <c r="AE2636" s="5"/>
      <c r="AF2636" s="5"/>
      <c r="AG2636" s="5"/>
    </row>
    <row r="2637" ht="15.75" customHeight="1">
      <c r="K2637" s="66" t="s">
        <v>4582</v>
      </c>
      <c r="L2637" t="str">
        <f>D174</f>
        <v>H3a1</v>
      </c>
      <c r="N2637" t="s">
        <v>4583</v>
      </c>
      <c r="O2637">
        <v>7178299.0</v>
      </c>
      <c r="P2637">
        <v>7310258.0</v>
      </c>
      <c r="Q2637" t="s">
        <v>476</v>
      </c>
      <c r="R2637" s="5"/>
      <c r="S2637" s="5"/>
      <c r="T2637" s="5"/>
      <c r="U2637" s="5"/>
      <c r="V2637" s="5"/>
      <c r="W2637" s="5"/>
      <c r="X2637" s="5"/>
      <c r="Y2637" s="5"/>
      <c r="Z2637" s="5"/>
      <c r="AA2637" s="5"/>
      <c r="AB2637" s="5"/>
      <c r="AC2637" s="5"/>
      <c r="AD2637" s="5"/>
      <c r="AE2637" s="5"/>
      <c r="AF2637" s="5"/>
      <c r="AG2637" s="5"/>
    </row>
    <row r="2638" ht="15.75" customHeight="1">
      <c r="K2638" t="s">
        <v>4584</v>
      </c>
      <c r="L2638" t="str">
        <f>D174</f>
        <v>H3a1</v>
      </c>
      <c r="N2638" t="s">
        <v>4585</v>
      </c>
      <c r="O2638">
        <v>7374046.0</v>
      </c>
      <c r="P2638">
        <v>7506005.0</v>
      </c>
      <c r="Q2638" t="s">
        <v>459</v>
      </c>
      <c r="R2638" s="5"/>
      <c r="S2638" s="5"/>
      <c r="T2638" s="5"/>
      <c r="U2638" s="5"/>
      <c r="V2638" s="5"/>
      <c r="W2638" s="5"/>
      <c r="X2638" s="5"/>
      <c r="Y2638" s="5"/>
      <c r="Z2638" s="5"/>
      <c r="AA2638" s="5"/>
      <c r="AB2638" s="5"/>
      <c r="AC2638" s="5"/>
      <c r="AD2638" s="5"/>
      <c r="AE2638" s="5"/>
      <c r="AF2638" s="5"/>
      <c r="AG2638" s="5"/>
    </row>
    <row r="2639" ht="15.75" customHeight="1">
      <c r="K2639" t="s">
        <v>4586</v>
      </c>
      <c r="L2639" t="str">
        <f>D174</f>
        <v>H3a1</v>
      </c>
      <c r="N2639" t="s">
        <v>4587</v>
      </c>
      <c r="O2639">
        <v>7390110.0</v>
      </c>
      <c r="P2639">
        <v>7522069.0</v>
      </c>
      <c r="Q2639" t="s">
        <v>431</v>
      </c>
      <c r="R2639" s="5"/>
      <c r="S2639" s="5"/>
      <c r="T2639" s="5"/>
      <c r="U2639" s="5"/>
      <c r="V2639" s="5"/>
      <c r="W2639" s="5"/>
      <c r="X2639" s="5"/>
      <c r="Y2639" s="5"/>
      <c r="Z2639" s="5"/>
      <c r="AA2639" s="5"/>
      <c r="AB2639" s="5"/>
      <c r="AC2639" s="5"/>
      <c r="AD2639" s="5"/>
      <c r="AE2639" s="5"/>
      <c r="AF2639" s="5"/>
      <c r="AG2639" s="5"/>
    </row>
    <row r="2640" ht="15.75" customHeight="1">
      <c r="K2640" t="s">
        <v>4588</v>
      </c>
      <c r="L2640" t="str">
        <f>D174</f>
        <v>H3a1</v>
      </c>
      <c r="N2640" t="s">
        <v>4589</v>
      </c>
      <c r="O2640">
        <v>7698386.0</v>
      </c>
      <c r="P2640">
        <v>7830345.0</v>
      </c>
      <c r="Q2640" t="s">
        <v>448</v>
      </c>
      <c r="R2640" s="5"/>
      <c r="S2640" s="5"/>
      <c r="T2640" s="5"/>
      <c r="U2640" s="5"/>
      <c r="V2640" s="5"/>
      <c r="W2640" s="5"/>
      <c r="X2640" s="5"/>
      <c r="Y2640" s="5"/>
      <c r="Z2640" s="5"/>
      <c r="AA2640" s="5"/>
      <c r="AB2640" s="5"/>
      <c r="AC2640" s="5"/>
      <c r="AD2640" s="5"/>
      <c r="AE2640" s="5"/>
      <c r="AF2640" s="5"/>
      <c r="AG2640" s="5"/>
    </row>
    <row r="2641" ht="15.75" customHeight="1">
      <c r="K2641" t="s">
        <v>4590</v>
      </c>
      <c r="L2641" t="str">
        <f>D174</f>
        <v>H3a1</v>
      </c>
      <c r="N2641" t="s">
        <v>4591</v>
      </c>
      <c r="O2641">
        <v>7785231.0</v>
      </c>
      <c r="P2641">
        <v>7917190.0</v>
      </c>
      <c r="Q2641" t="s">
        <v>435</v>
      </c>
      <c r="R2641" s="5"/>
      <c r="S2641" s="5"/>
      <c r="T2641" s="5"/>
      <c r="U2641" s="5"/>
      <c r="V2641" s="5"/>
      <c r="W2641" s="5"/>
      <c r="X2641" s="5"/>
      <c r="Y2641" s="5"/>
      <c r="Z2641" s="5"/>
      <c r="AA2641" s="5"/>
      <c r="AB2641" s="5"/>
      <c r="AC2641" s="5"/>
      <c r="AD2641" s="5"/>
      <c r="AE2641" s="5"/>
      <c r="AF2641" s="5"/>
      <c r="AG2641" s="5"/>
    </row>
    <row r="2642" ht="15.75" customHeight="1">
      <c r="K2642" t="s">
        <v>4592</v>
      </c>
      <c r="L2642" t="str">
        <f>D174</f>
        <v>H3a1</v>
      </c>
      <c r="N2642" t="s">
        <v>4593</v>
      </c>
      <c r="O2642">
        <v>7839784.0</v>
      </c>
      <c r="P2642">
        <v>7971743.0</v>
      </c>
      <c r="Q2642" t="s">
        <v>473</v>
      </c>
      <c r="R2642" s="5"/>
      <c r="S2642" s="5"/>
      <c r="T2642" s="5"/>
      <c r="U2642" s="5"/>
      <c r="V2642" s="5"/>
      <c r="W2642" s="5"/>
      <c r="X2642" s="5"/>
      <c r="Y2642" s="5"/>
      <c r="Z2642" s="5"/>
      <c r="AA2642" s="5"/>
      <c r="AB2642" s="5"/>
      <c r="AC2642" s="5"/>
      <c r="AD2642" s="5"/>
      <c r="AE2642" s="5"/>
      <c r="AF2642" s="5"/>
      <c r="AG2642" s="5"/>
    </row>
    <row r="2643" ht="15.75" customHeight="1">
      <c r="K2643" t="s">
        <v>4594</v>
      </c>
      <c r="L2643" t="str">
        <f>D174</f>
        <v>H3a1</v>
      </c>
      <c r="N2643" t="s">
        <v>4595</v>
      </c>
      <c r="O2643">
        <v>7934162.0</v>
      </c>
      <c r="P2643">
        <v>8066121.0</v>
      </c>
      <c r="Q2643" t="s">
        <v>525</v>
      </c>
      <c r="R2643" s="5"/>
      <c r="S2643" s="5"/>
      <c r="T2643" s="5"/>
      <c r="U2643" s="5"/>
      <c r="V2643" s="5"/>
      <c r="W2643" s="5"/>
      <c r="X2643" s="5"/>
      <c r="Y2643" s="5"/>
      <c r="Z2643" s="5"/>
      <c r="AA2643" s="5"/>
      <c r="AB2643" s="5"/>
      <c r="AC2643" s="5"/>
      <c r="AD2643" s="5"/>
      <c r="AE2643" s="5"/>
      <c r="AF2643" s="5"/>
      <c r="AG2643" s="5"/>
    </row>
    <row r="2644" ht="15.75" customHeight="1">
      <c r="K2644" t="s">
        <v>4596</v>
      </c>
      <c r="L2644" t="str">
        <f>D174</f>
        <v>H3a1</v>
      </c>
      <c r="N2644" t="s">
        <v>4597</v>
      </c>
      <c r="O2644">
        <v>7991417.0</v>
      </c>
      <c r="P2644">
        <v>8123376.0</v>
      </c>
      <c r="Q2644" t="s">
        <v>435</v>
      </c>
      <c r="R2644" s="5"/>
      <c r="S2644" s="5"/>
      <c r="T2644" s="5"/>
      <c r="U2644" s="5"/>
      <c r="V2644" s="5"/>
      <c r="W2644" s="5"/>
      <c r="X2644" s="5"/>
      <c r="Y2644" s="5"/>
      <c r="Z2644" s="5"/>
      <c r="AA2644" s="5"/>
      <c r="AB2644" s="5"/>
      <c r="AC2644" s="5"/>
      <c r="AD2644" s="5"/>
      <c r="AE2644" s="5"/>
      <c r="AF2644" s="5"/>
      <c r="AG2644" s="5"/>
    </row>
    <row r="2645" ht="15.75" customHeight="1">
      <c r="K2645" t="s">
        <v>4598</v>
      </c>
      <c r="L2645" t="str">
        <f>D174</f>
        <v>H3a1</v>
      </c>
      <c r="N2645" t="s">
        <v>4599</v>
      </c>
      <c r="O2645">
        <v>8187136.0</v>
      </c>
      <c r="P2645">
        <v>8319095.0</v>
      </c>
      <c r="Q2645" t="s">
        <v>525</v>
      </c>
      <c r="R2645" s="5"/>
      <c r="S2645" s="5"/>
      <c r="T2645" s="5"/>
      <c r="U2645" s="5"/>
      <c r="V2645" s="5"/>
      <c r="W2645" s="5"/>
      <c r="X2645" s="5"/>
      <c r="Y2645" s="5"/>
      <c r="Z2645" s="5"/>
      <c r="AA2645" s="5"/>
      <c r="AB2645" s="5"/>
      <c r="AC2645" s="5"/>
      <c r="AD2645" s="5"/>
      <c r="AE2645" s="5"/>
      <c r="AF2645" s="5"/>
      <c r="AG2645" s="5"/>
    </row>
    <row r="2646" ht="15.75" customHeight="1">
      <c r="K2646" t="s">
        <v>4600</v>
      </c>
      <c r="L2646" t="str">
        <f>D174</f>
        <v>H3a1</v>
      </c>
      <c r="N2646" t="s">
        <v>4601</v>
      </c>
      <c r="O2646">
        <v>8344374.0</v>
      </c>
      <c r="P2646">
        <v>8476333.0</v>
      </c>
      <c r="Q2646" t="s">
        <v>423</v>
      </c>
      <c r="R2646" s="5"/>
      <c r="S2646" s="5"/>
      <c r="T2646" s="5"/>
      <c r="U2646" s="5"/>
      <c r="V2646" s="5"/>
      <c r="W2646" s="5"/>
      <c r="X2646" s="5"/>
      <c r="Y2646" s="5"/>
      <c r="Z2646" s="5"/>
      <c r="AA2646" s="5"/>
      <c r="AB2646" s="5"/>
      <c r="AC2646" s="5"/>
      <c r="AD2646" s="5"/>
      <c r="AE2646" s="5"/>
      <c r="AF2646" s="5"/>
      <c r="AG2646" s="5"/>
    </row>
    <row r="2647" ht="15.75" customHeight="1">
      <c r="K2647" t="s">
        <v>4602</v>
      </c>
      <c r="L2647" t="str">
        <f>D174</f>
        <v>H3a1</v>
      </c>
      <c r="N2647" t="s">
        <v>4603</v>
      </c>
      <c r="O2647">
        <v>8372504.0</v>
      </c>
      <c r="P2647">
        <v>8504463.0</v>
      </c>
      <c r="Q2647" t="s">
        <v>525</v>
      </c>
      <c r="R2647" s="5"/>
      <c r="S2647" s="5"/>
      <c r="T2647" s="5"/>
      <c r="U2647" s="5"/>
      <c r="V2647" s="5"/>
      <c r="W2647" s="5"/>
      <c r="X2647" s="5"/>
      <c r="Y2647" s="5"/>
      <c r="Z2647" s="5"/>
      <c r="AA2647" s="5"/>
      <c r="AB2647" s="5"/>
      <c r="AC2647" s="5"/>
      <c r="AD2647" s="5"/>
      <c r="AE2647" s="5"/>
      <c r="AF2647" s="5"/>
      <c r="AG2647" s="5"/>
    </row>
    <row r="2648" ht="15.75" customHeight="1">
      <c r="K2648" t="s">
        <v>4604</v>
      </c>
      <c r="L2648" t="str">
        <f>D174</f>
        <v>H3a1</v>
      </c>
      <c r="N2648" t="s">
        <v>4605</v>
      </c>
      <c r="O2648">
        <v>8461655.0</v>
      </c>
      <c r="P2648">
        <v>8593614.0</v>
      </c>
      <c r="Q2648" t="s">
        <v>448</v>
      </c>
      <c r="R2648" s="5"/>
      <c r="S2648" s="5"/>
      <c r="T2648" s="5"/>
      <c r="U2648" s="5"/>
      <c r="V2648" s="5"/>
      <c r="W2648" s="5"/>
      <c r="X2648" s="5"/>
      <c r="Y2648" s="5"/>
      <c r="Z2648" s="5"/>
      <c r="AA2648" s="5"/>
      <c r="AB2648" s="5"/>
      <c r="AC2648" s="5"/>
      <c r="AD2648" s="5"/>
      <c r="AE2648" s="5"/>
      <c r="AF2648" s="5"/>
      <c r="AG2648" s="5"/>
    </row>
    <row r="2649" ht="15.75" customHeight="1">
      <c r="K2649" t="s">
        <v>4606</v>
      </c>
      <c r="L2649" t="str">
        <f>D174</f>
        <v>H3a1</v>
      </c>
      <c r="N2649" t="s">
        <v>4607</v>
      </c>
      <c r="O2649">
        <v>8464859.0</v>
      </c>
      <c r="P2649">
        <v>8596818.0</v>
      </c>
      <c r="Q2649" t="s">
        <v>431</v>
      </c>
      <c r="R2649" s="5"/>
      <c r="S2649" s="5"/>
      <c r="T2649" s="5"/>
      <c r="U2649" s="5"/>
      <c r="V2649" s="5"/>
      <c r="W2649" s="5"/>
      <c r="X2649" s="5"/>
      <c r="Y2649" s="5"/>
      <c r="Z2649" s="5"/>
      <c r="AA2649" s="5"/>
      <c r="AB2649" s="5"/>
      <c r="AC2649" s="5"/>
      <c r="AD2649" s="5"/>
      <c r="AE2649" s="5"/>
      <c r="AF2649" s="5"/>
      <c r="AG2649" s="5"/>
    </row>
    <row r="2650" ht="15.75" customHeight="1">
      <c r="K2650" t="s">
        <v>4608</v>
      </c>
      <c r="L2650" t="str">
        <f>D174</f>
        <v>H3a1</v>
      </c>
      <c r="N2650" t="s">
        <v>4609</v>
      </c>
      <c r="O2650">
        <v>8507967.0</v>
      </c>
      <c r="P2650">
        <v>8639926.0</v>
      </c>
      <c r="Q2650" t="s">
        <v>525</v>
      </c>
      <c r="R2650" s="5"/>
      <c r="S2650" s="5"/>
      <c r="T2650" s="5"/>
      <c r="U2650" s="5"/>
      <c r="V2650" s="5"/>
      <c r="W2650" s="5"/>
      <c r="X2650" s="5"/>
      <c r="Y2650" s="5"/>
      <c r="Z2650" s="5"/>
      <c r="AA2650" s="5"/>
      <c r="AB2650" s="5"/>
      <c r="AC2650" s="5"/>
      <c r="AD2650" s="5"/>
      <c r="AE2650" s="5"/>
      <c r="AF2650" s="5"/>
      <c r="AG2650" s="5"/>
    </row>
    <row r="2651" ht="15.75" customHeight="1">
      <c r="K2651" t="s">
        <v>4610</v>
      </c>
      <c r="L2651" t="str">
        <f>D174</f>
        <v>H3a1</v>
      </c>
      <c r="N2651" t="s">
        <v>4611</v>
      </c>
      <c r="O2651">
        <v>8615402.0</v>
      </c>
      <c r="P2651">
        <v>8747361.0</v>
      </c>
      <c r="Q2651" t="s">
        <v>476</v>
      </c>
      <c r="R2651" s="5"/>
      <c r="S2651" s="5"/>
      <c r="T2651" s="5"/>
      <c r="U2651" s="5"/>
      <c r="V2651" s="5"/>
      <c r="W2651" s="5"/>
      <c r="X2651" s="5"/>
      <c r="Y2651" s="5"/>
      <c r="Z2651" s="5"/>
      <c r="AA2651" s="5"/>
      <c r="AB2651" s="5"/>
      <c r="AC2651" s="5"/>
      <c r="AD2651" s="5"/>
      <c r="AE2651" s="5"/>
      <c r="AF2651" s="5"/>
      <c r="AG2651" s="5"/>
    </row>
    <row r="2652" ht="15.75" customHeight="1">
      <c r="K2652" t="s">
        <v>4612</v>
      </c>
      <c r="L2652" t="str">
        <f>D174</f>
        <v>H3a1</v>
      </c>
      <c r="N2652" t="s">
        <v>4613</v>
      </c>
      <c r="O2652">
        <v>8629524.0</v>
      </c>
      <c r="P2652">
        <v>8761483.0</v>
      </c>
      <c r="Q2652" t="s">
        <v>423</v>
      </c>
      <c r="R2652" s="5"/>
      <c r="S2652" s="5"/>
      <c r="T2652" s="5"/>
      <c r="U2652" s="5"/>
      <c r="V2652" s="5"/>
      <c r="W2652" s="5"/>
      <c r="X2652" s="5"/>
      <c r="Y2652" s="5"/>
      <c r="Z2652" s="5"/>
      <c r="AA2652" s="5"/>
      <c r="AB2652" s="5"/>
      <c r="AC2652" s="5"/>
      <c r="AD2652" s="5"/>
      <c r="AE2652" s="5"/>
      <c r="AF2652" s="5"/>
      <c r="AG2652" s="5"/>
    </row>
    <row r="2653" ht="15.75" customHeight="1">
      <c r="K2653" t="s">
        <v>4614</v>
      </c>
      <c r="L2653" t="str">
        <f>D174</f>
        <v>H3a1</v>
      </c>
      <c r="N2653" t="s">
        <v>4615</v>
      </c>
      <c r="O2653">
        <v>8745240.0</v>
      </c>
      <c r="P2653">
        <v>8877199.0</v>
      </c>
      <c r="Q2653" t="s">
        <v>435</v>
      </c>
      <c r="R2653" s="5"/>
      <c r="S2653" s="5"/>
      <c r="T2653" s="5"/>
      <c r="U2653" s="5"/>
      <c r="V2653" s="5"/>
      <c r="W2653" s="5"/>
      <c r="X2653" s="5"/>
      <c r="Y2653" s="5"/>
      <c r="Z2653" s="5"/>
      <c r="AA2653" s="5"/>
      <c r="AB2653" s="5"/>
      <c r="AC2653" s="5"/>
      <c r="AD2653" s="5"/>
      <c r="AE2653" s="5"/>
      <c r="AF2653" s="5"/>
      <c r="AG2653" s="5"/>
    </row>
    <row r="2654" ht="15.75" customHeight="1">
      <c r="K2654" t="s">
        <v>4616</v>
      </c>
      <c r="L2654" t="str">
        <f>D174</f>
        <v>H3a1</v>
      </c>
      <c r="N2654" t="s">
        <v>4617</v>
      </c>
      <c r="O2654">
        <v>8773905.0</v>
      </c>
      <c r="P2654">
        <v>8905864.0</v>
      </c>
      <c r="Q2654" t="s">
        <v>431</v>
      </c>
      <c r="R2654" s="5"/>
      <c r="S2654" s="5"/>
      <c r="T2654" s="5"/>
      <c r="U2654" s="5"/>
      <c r="V2654" s="5"/>
      <c r="W2654" s="5"/>
      <c r="X2654" s="5"/>
      <c r="Y2654" s="5"/>
      <c r="Z2654" s="5"/>
      <c r="AA2654" s="5"/>
      <c r="AB2654" s="5"/>
      <c r="AC2654" s="5"/>
      <c r="AD2654" s="5"/>
      <c r="AE2654" s="5"/>
      <c r="AF2654" s="5"/>
      <c r="AG2654" s="5"/>
    </row>
    <row r="2655" ht="15.75" customHeight="1">
      <c r="K2655" t="s">
        <v>4618</v>
      </c>
      <c r="L2655" t="str">
        <f>D174</f>
        <v>H3a1</v>
      </c>
      <c r="N2655" t="s">
        <v>4619</v>
      </c>
      <c r="O2655">
        <v>8839899.0</v>
      </c>
      <c r="P2655">
        <v>8971858.0</v>
      </c>
      <c r="Q2655" t="s">
        <v>435</v>
      </c>
      <c r="R2655" s="5"/>
      <c r="S2655" s="5"/>
      <c r="T2655" s="5"/>
      <c r="U2655" s="5"/>
      <c r="V2655" s="5"/>
      <c r="W2655" s="5"/>
      <c r="X2655" s="5"/>
      <c r="Y2655" s="5"/>
      <c r="Z2655" s="5"/>
      <c r="AA2655" s="5"/>
      <c r="AB2655" s="5"/>
      <c r="AC2655" s="5"/>
      <c r="AD2655" s="5"/>
      <c r="AE2655" s="5"/>
      <c r="AF2655" s="5"/>
      <c r="AG2655" s="5"/>
    </row>
    <row r="2656" ht="15.75" customHeight="1">
      <c r="K2656" t="s">
        <v>4620</v>
      </c>
      <c r="L2656" t="str">
        <f>D174</f>
        <v>H3a1</v>
      </c>
      <c r="N2656" t="s">
        <v>4621</v>
      </c>
      <c r="O2656">
        <v>9380794.0</v>
      </c>
      <c r="P2656">
        <v>9543185.0</v>
      </c>
      <c r="Q2656" t="s">
        <v>423</v>
      </c>
      <c r="R2656" s="5"/>
      <c r="S2656" s="5"/>
      <c r="T2656" s="5"/>
      <c r="U2656" s="5"/>
      <c r="V2656" s="5"/>
      <c r="W2656" s="5"/>
      <c r="X2656" s="5"/>
      <c r="Y2656" s="5"/>
      <c r="Z2656" s="5"/>
      <c r="AA2656" s="5"/>
      <c r="AB2656" s="5"/>
      <c r="AC2656" s="5"/>
      <c r="AD2656" s="5"/>
      <c r="AE2656" s="5"/>
      <c r="AF2656" s="5"/>
      <c r="AG2656" s="5"/>
    </row>
    <row r="2657" ht="15.75" customHeight="1">
      <c r="K2657" t="s">
        <v>4622</v>
      </c>
      <c r="L2657" t="str">
        <f>D174</f>
        <v>H3a1</v>
      </c>
      <c r="O2657">
        <v>9485352.0</v>
      </c>
      <c r="P2657">
        <v>9647743.0</v>
      </c>
      <c r="Q2657" t="s">
        <v>431</v>
      </c>
      <c r="R2657" s="5"/>
      <c r="S2657" s="5"/>
      <c r="T2657" s="5"/>
      <c r="U2657" s="5"/>
      <c r="V2657" s="5"/>
      <c r="W2657" s="5"/>
      <c r="X2657" s="5"/>
      <c r="Y2657" s="5"/>
      <c r="Z2657" s="5"/>
      <c r="AA2657" s="5"/>
      <c r="AB2657" s="5"/>
      <c r="AC2657" s="5"/>
      <c r="AD2657" s="5"/>
      <c r="AE2657" s="5"/>
      <c r="AF2657" s="5"/>
      <c r="AG2657" s="5"/>
    </row>
    <row r="2658" ht="15.75" customHeight="1">
      <c r="K2658" t="s">
        <v>4623</v>
      </c>
      <c r="L2658" t="str">
        <f>D174</f>
        <v>H3a1</v>
      </c>
      <c r="O2658">
        <v>1.0079422E7</v>
      </c>
      <c r="P2658">
        <v>1.0241813E7</v>
      </c>
      <c r="Q2658" t="s">
        <v>525</v>
      </c>
      <c r="R2658" s="5"/>
      <c r="S2658" s="5"/>
      <c r="T2658" s="5"/>
      <c r="U2658" s="5"/>
      <c r="V2658" s="5"/>
      <c r="W2658" s="5"/>
      <c r="X2658" s="5"/>
      <c r="Y2658" s="5"/>
      <c r="Z2658" s="5"/>
      <c r="AA2658" s="5"/>
      <c r="AB2658" s="5"/>
      <c r="AC2658" s="5"/>
      <c r="AD2658" s="5"/>
      <c r="AE2658" s="5"/>
      <c r="AF2658" s="5"/>
      <c r="AG2658" s="5"/>
    </row>
    <row r="2659" ht="15.75" customHeight="1">
      <c r="K2659" t="s">
        <v>4624</v>
      </c>
      <c r="L2659" t="str">
        <f>D174</f>
        <v>H3a1</v>
      </c>
      <c r="O2659">
        <v>1.3237059E7</v>
      </c>
      <c r="P2659">
        <v>1.1081383E7</v>
      </c>
      <c r="Q2659" t="s">
        <v>473</v>
      </c>
      <c r="R2659" s="5"/>
      <c r="S2659" s="5"/>
      <c r="T2659" s="5"/>
      <c r="U2659" s="5"/>
      <c r="V2659" s="5"/>
      <c r="W2659" s="5"/>
      <c r="X2659" s="5"/>
      <c r="Y2659" s="5"/>
      <c r="Z2659" s="5"/>
      <c r="AA2659" s="5"/>
      <c r="AB2659" s="5"/>
      <c r="AC2659" s="5"/>
      <c r="AD2659" s="5"/>
      <c r="AE2659" s="5"/>
      <c r="AF2659" s="5"/>
      <c r="AG2659" s="5"/>
    </row>
    <row r="2660" ht="15.75" customHeight="1">
      <c r="K2660" t="s">
        <v>4625</v>
      </c>
      <c r="L2660" t="str">
        <f>D174</f>
        <v>H3a1</v>
      </c>
      <c r="O2660">
        <v>1.3642312E7</v>
      </c>
      <c r="P2660">
        <v>1.1486636E7</v>
      </c>
      <c r="Q2660" t="s">
        <v>423</v>
      </c>
      <c r="R2660" s="5"/>
      <c r="S2660" s="5"/>
      <c r="T2660" s="5"/>
      <c r="U2660" s="5"/>
      <c r="V2660" s="5"/>
      <c r="W2660" s="5"/>
      <c r="X2660" s="5"/>
      <c r="Y2660" s="5"/>
      <c r="Z2660" s="5"/>
      <c r="AA2660" s="5"/>
      <c r="AB2660" s="5"/>
      <c r="AC2660" s="5"/>
      <c r="AD2660" s="5"/>
      <c r="AE2660" s="5"/>
      <c r="AF2660" s="5"/>
      <c r="AG2660" s="5"/>
    </row>
    <row r="2661" ht="15.75" customHeight="1">
      <c r="K2661" t="s">
        <v>4626</v>
      </c>
      <c r="L2661" t="str">
        <f>D174</f>
        <v>H3a1</v>
      </c>
      <c r="N2661" t="s">
        <v>4627</v>
      </c>
      <c r="O2661">
        <v>1.3685152E7</v>
      </c>
      <c r="P2661">
        <v>1.1529476E7</v>
      </c>
      <c r="Q2661" t="s">
        <v>553</v>
      </c>
      <c r="R2661" s="5"/>
      <c r="S2661" s="5"/>
      <c r="T2661" s="5"/>
      <c r="U2661" s="5"/>
      <c r="V2661" s="5"/>
      <c r="W2661" s="5"/>
      <c r="X2661" s="5"/>
      <c r="Y2661" s="5"/>
      <c r="Z2661" s="5"/>
      <c r="AA2661" s="5"/>
      <c r="AB2661" s="5"/>
      <c r="AC2661" s="5"/>
      <c r="AD2661" s="5"/>
      <c r="AE2661" s="5"/>
      <c r="AF2661" s="5"/>
      <c r="AG2661" s="5"/>
    </row>
    <row r="2662" ht="15.75" customHeight="1">
      <c r="K2662" t="s">
        <v>4628</v>
      </c>
      <c r="L2662" t="str">
        <f>D174</f>
        <v>H3a1</v>
      </c>
      <c r="N2662" t="s">
        <v>4629</v>
      </c>
      <c r="O2662">
        <v>1.3857266E7</v>
      </c>
      <c r="P2662">
        <v>1.173656E7</v>
      </c>
      <c r="Q2662" t="s">
        <v>419</v>
      </c>
      <c r="R2662" s="5"/>
      <c r="S2662" s="5"/>
      <c r="T2662" s="5"/>
      <c r="U2662" s="5"/>
      <c r="V2662" s="5"/>
      <c r="W2662" s="5"/>
      <c r="X2662" s="5"/>
      <c r="Y2662" s="5"/>
      <c r="Z2662" s="5"/>
      <c r="AA2662" s="5"/>
      <c r="AB2662" s="5"/>
      <c r="AC2662" s="5"/>
      <c r="AD2662" s="5"/>
      <c r="AE2662" s="5"/>
      <c r="AF2662" s="5"/>
      <c r="AG2662" s="5"/>
    </row>
    <row r="2663" ht="15.75" customHeight="1">
      <c r="K2663" t="s">
        <v>4630</v>
      </c>
      <c r="L2663" t="str">
        <f>D174</f>
        <v>H3a1</v>
      </c>
      <c r="N2663" t="s">
        <v>4631</v>
      </c>
      <c r="O2663">
        <v>1.4049265E7</v>
      </c>
      <c r="P2663">
        <v>1.1928559E7</v>
      </c>
      <c r="Q2663" t="s">
        <v>459</v>
      </c>
      <c r="R2663" s="5"/>
      <c r="S2663" s="5"/>
      <c r="T2663" s="5"/>
      <c r="U2663" s="5"/>
      <c r="V2663" s="5"/>
      <c r="W2663" s="5"/>
      <c r="X2663" s="5"/>
      <c r="Y2663" s="5"/>
      <c r="Z2663" s="5"/>
      <c r="AA2663" s="5"/>
      <c r="AB2663" s="5"/>
      <c r="AC2663" s="5"/>
      <c r="AD2663" s="5"/>
      <c r="AE2663" s="5"/>
      <c r="AF2663" s="5"/>
      <c r="AG2663" s="5"/>
    </row>
    <row r="2664" ht="15.75" customHeight="1">
      <c r="K2664" t="s">
        <v>4632</v>
      </c>
      <c r="L2664" t="str">
        <f>D174</f>
        <v>H3a1</v>
      </c>
      <c r="N2664" t="s">
        <v>4633</v>
      </c>
      <c r="O2664">
        <v>1.4066347E7</v>
      </c>
      <c r="P2664">
        <v>1.1945641E7</v>
      </c>
      <c r="Q2664" t="s">
        <v>419</v>
      </c>
      <c r="R2664" s="5"/>
      <c r="S2664" s="5"/>
      <c r="T2664" s="5"/>
      <c r="U2664" s="5"/>
      <c r="V2664" s="5"/>
      <c r="W2664" s="5"/>
      <c r="X2664" s="5"/>
      <c r="Y2664" s="5"/>
      <c r="Z2664" s="5"/>
      <c r="AA2664" s="5"/>
      <c r="AB2664" s="5"/>
      <c r="AC2664" s="5"/>
      <c r="AD2664" s="5"/>
      <c r="AE2664" s="5"/>
      <c r="AF2664" s="5"/>
      <c r="AG2664" s="5"/>
    </row>
    <row r="2665" ht="15.75" customHeight="1">
      <c r="K2665" t="s">
        <v>4634</v>
      </c>
      <c r="L2665" t="str">
        <f>D174</f>
        <v>H3a1</v>
      </c>
      <c r="N2665" t="s">
        <v>4635</v>
      </c>
      <c r="O2665">
        <v>1.4100464E7</v>
      </c>
      <c r="P2665">
        <v>1.1979758E7</v>
      </c>
      <c r="Q2665" t="s">
        <v>476</v>
      </c>
      <c r="R2665" s="5"/>
      <c r="S2665" s="5"/>
      <c r="T2665" s="5"/>
      <c r="U2665" s="5"/>
      <c r="V2665" s="5"/>
      <c r="W2665" s="5"/>
      <c r="X2665" s="5"/>
      <c r="Y2665" s="5"/>
      <c r="Z2665" s="5"/>
      <c r="AA2665" s="5"/>
      <c r="AB2665" s="5"/>
      <c r="AC2665" s="5"/>
      <c r="AD2665" s="5"/>
      <c r="AE2665" s="5"/>
      <c r="AF2665" s="5"/>
      <c r="AG2665" s="5"/>
    </row>
    <row r="2666" ht="15.75" customHeight="1">
      <c r="K2666" t="s">
        <v>4636</v>
      </c>
      <c r="L2666" t="str">
        <f>D174</f>
        <v>H3a1</v>
      </c>
      <c r="N2666" t="s">
        <v>4637</v>
      </c>
      <c r="O2666">
        <v>1.4167917E7</v>
      </c>
      <c r="P2666">
        <v>1.2047211E7</v>
      </c>
      <c r="Q2666" t="s">
        <v>459</v>
      </c>
      <c r="R2666" s="5"/>
      <c r="S2666" s="5"/>
      <c r="T2666" s="5"/>
      <c r="U2666" s="5"/>
      <c r="V2666" s="5"/>
      <c r="W2666" s="5"/>
      <c r="X2666" s="5"/>
      <c r="Y2666" s="5"/>
      <c r="Z2666" s="5"/>
      <c r="AA2666" s="5"/>
      <c r="AB2666" s="5"/>
      <c r="AC2666" s="5"/>
      <c r="AD2666" s="5"/>
      <c r="AE2666" s="5"/>
      <c r="AF2666" s="5"/>
      <c r="AG2666" s="5"/>
    </row>
    <row r="2667" ht="15.75" customHeight="1">
      <c r="K2667" t="s">
        <v>4638</v>
      </c>
      <c r="L2667" t="str">
        <f>D174</f>
        <v>H3a1</v>
      </c>
      <c r="N2667" t="s">
        <v>4639</v>
      </c>
      <c r="O2667">
        <v>1.417958E7</v>
      </c>
      <c r="P2667">
        <v>1.2058874E7</v>
      </c>
      <c r="Q2667" t="s">
        <v>427</v>
      </c>
      <c r="R2667" s="5"/>
      <c r="S2667" s="5"/>
      <c r="T2667" s="5"/>
      <c r="U2667" s="5"/>
      <c r="V2667" s="5"/>
      <c r="W2667" s="5"/>
      <c r="X2667" s="5"/>
      <c r="Y2667" s="5"/>
      <c r="Z2667" s="5"/>
      <c r="AA2667" s="5"/>
      <c r="AB2667" s="5"/>
      <c r="AC2667" s="5"/>
      <c r="AD2667" s="5"/>
      <c r="AE2667" s="5"/>
      <c r="AF2667" s="5"/>
      <c r="AG2667" s="5"/>
    </row>
    <row r="2668" ht="15.75" customHeight="1">
      <c r="K2668" t="s">
        <v>4640</v>
      </c>
      <c r="L2668" t="str">
        <f>D174</f>
        <v>H3a1</v>
      </c>
      <c r="N2668" t="s">
        <v>4641</v>
      </c>
      <c r="O2668">
        <v>1.4408636E7</v>
      </c>
      <c r="P2668">
        <v>1.2287934E7</v>
      </c>
      <c r="Q2668" t="s">
        <v>459</v>
      </c>
      <c r="R2668" s="5"/>
      <c r="S2668" s="5"/>
      <c r="T2668" s="5"/>
      <c r="U2668" s="5"/>
      <c r="V2668" s="5"/>
      <c r="W2668" s="5"/>
      <c r="X2668" s="5"/>
      <c r="Y2668" s="5"/>
      <c r="Z2668" s="5"/>
      <c r="AA2668" s="5"/>
      <c r="AB2668" s="5"/>
      <c r="AC2668" s="5"/>
      <c r="AD2668" s="5"/>
      <c r="AE2668" s="5"/>
      <c r="AF2668" s="5"/>
      <c r="AG2668" s="5"/>
    </row>
    <row r="2669" ht="15.75" customHeight="1">
      <c r="K2669" t="s">
        <v>4642</v>
      </c>
      <c r="L2669" t="str">
        <f>D174</f>
        <v>H3a1</v>
      </c>
      <c r="N2669" t="s">
        <v>4643</v>
      </c>
      <c r="O2669">
        <v>1.457972E7</v>
      </c>
      <c r="P2669">
        <v>1.246792E7</v>
      </c>
      <c r="Q2669" t="s">
        <v>459</v>
      </c>
      <c r="R2669" s="5"/>
      <c r="S2669" s="5"/>
      <c r="T2669" s="5"/>
      <c r="U2669" s="5"/>
      <c r="V2669" s="5"/>
      <c r="W2669" s="5"/>
      <c r="X2669" s="5"/>
      <c r="Y2669" s="5"/>
      <c r="Z2669" s="5"/>
      <c r="AA2669" s="5"/>
      <c r="AB2669" s="5"/>
      <c r="AC2669" s="5"/>
      <c r="AD2669" s="5"/>
      <c r="AE2669" s="5"/>
      <c r="AF2669" s="5"/>
      <c r="AG2669" s="5"/>
    </row>
    <row r="2670" ht="15.75" customHeight="1">
      <c r="K2670" t="s">
        <v>4644</v>
      </c>
      <c r="L2670" t="str">
        <f>D174</f>
        <v>H3a1</v>
      </c>
      <c r="N2670" t="s">
        <v>4645</v>
      </c>
      <c r="O2670">
        <v>1.4652055E7</v>
      </c>
      <c r="P2670">
        <v>1.254012E7</v>
      </c>
      <c r="Q2670" t="s">
        <v>435</v>
      </c>
      <c r="R2670" s="5"/>
      <c r="S2670" s="5"/>
      <c r="T2670" s="5"/>
      <c r="U2670" s="5"/>
      <c r="V2670" s="5"/>
      <c r="W2670" s="5"/>
      <c r="X2670" s="5"/>
      <c r="Y2670" s="5"/>
      <c r="Z2670" s="5"/>
      <c r="AA2670" s="5"/>
      <c r="AB2670" s="5"/>
      <c r="AC2670" s="5"/>
      <c r="AD2670" s="5"/>
      <c r="AE2670" s="5"/>
      <c r="AF2670" s="5"/>
      <c r="AG2670" s="5"/>
    </row>
    <row r="2671" ht="15.75" customHeight="1">
      <c r="K2671" t="s">
        <v>4646</v>
      </c>
      <c r="L2671" t="str">
        <f>D174</f>
        <v>H3a1</v>
      </c>
      <c r="N2671" t="s">
        <v>4647</v>
      </c>
      <c r="O2671">
        <v>1.4672726E7</v>
      </c>
      <c r="P2671">
        <v>1.2560792E7</v>
      </c>
      <c r="Q2671" t="s">
        <v>423</v>
      </c>
      <c r="R2671" s="5"/>
      <c r="S2671" s="5"/>
      <c r="T2671" s="5"/>
      <c r="U2671" s="5"/>
      <c r="V2671" s="5"/>
      <c r="W2671" s="5"/>
      <c r="X2671" s="5"/>
      <c r="Y2671" s="5"/>
      <c r="Z2671" s="5"/>
      <c r="AA2671" s="5"/>
      <c r="AB2671" s="5"/>
      <c r="AC2671" s="5"/>
      <c r="AD2671" s="5"/>
      <c r="AE2671" s="5"/>
      <c r="AF2671" s="5"/>
      <c r="AG2671" s="5"/>
    </row>
    <row r="2672" ht="15.75" customHeight="1">
      <c r="K2672" t="s">
        <v>4648</v>
      </c>
      <c r="L2672" t="str">
        <f>D174</f>
        <v>H3a1</v>
      </c>
      <c r="N2672" t="s">
        <v>4649</v>
      </c>
      <c r="O2672">
        <v>1.4682725E7</v>
      </c>
      <c r="P2672">
        <v>1.2570791E7</v>
      </c>
      <c r="Q2672" t="s">
        <v>427</v>
      </c>
      <c r="R2672" s="5"/>
      <c r="S2672" s="5"/>
      <c r="T2672" s="5"/>
      <c r="U2672" s="5"/>
      <c r="V2672" s="5"/>
      <c r="W2672" s="5"/>
      <c r="X2672" s="5"/>
      <c r="Y2672" s="5"/>
      <c r="Z2672" s="5"/>
      <c r="AA2672" s="5"/>
      <c r="AB2672" s="5"/>
      <c r="AC2672" s="5"/>
      <c r="AD2672" s="5"/>
      <c r="AE2672" s="5"/>
      <c r="AF2672" s="5"/>
      <c r="AG2672" s="5"/>
    </row>
    <row r="2673" ht="15.75" customHeight="1">
      <c r="K2673" t="s">
        <v>4650</v>
      </c>
      <c r="L2673" t="str">
        <f>D174</f>
        <v>H3a1</v>
      </c>
      <c r="N2673" t="s">
        <v>4651</v>
      </c>
      <c r="O2673">
        <v>1.4775934E7</v>
      </c>
      <c r="P2673">
        <v>1.2664003E7</v>
      </c>
      <c r="Q2673" t="s">
        <v>448</v>
      </c>
      <c r="R2673" s="5"/>
      <c r="S2673" s="5"/>
      <c r="T2673" s="5"/>
      <c r="U2673" s="5"/>
      <c r="V2673" s="5"/>
      <c r="W2673" s="5"/>
      <c r="X2673" s="5"/>
      <c r="Y2673" s="5"/>
      <c r="Z2673" s="5"/>
      <c r="AA2673" s="5"/>
      <c r="AB2673" s="5"/>
      <c r="AC2673" s="5"/>
      <c r="AD2673" s="5"/>
      <c r="AE2673" s="5"/>
      <c r="AF2673" s="5"/>
      <c r="AG2673" s="5"/>
    </row>
    <row r="2674" ht="15.75" customHeight="1">
      <c r="K2674" t="s">
        <v>4652</v>
      </c>
      <c r="L2674" t="str">
        <f>D174</f>
        <v>H3a1</v>
      </c>
      <c r="N2674" t="s">
        <v>4653</v>
      </c>
      <c r="O2674">
        <v>1.4786427E7</v>
      </c>
      <c r="P2674">
        <v>1.2674497E7</v>
      </c>
      <c r="Q2674" t="s">
        <v>427</v>
      </c>
      <c r="R2674" s="5"/>
      <c r="S2674" s="5"/>
      <c r="T2674" s="5"/>
      <c r="U2674" s="5"/>
      <c r="V2674" s="5"/>
      <c r="W2674" s="5"/>
      <c r="X2674" s="5"/>
      <c r="Y2674" s="5"/>
      <c r="Z2674" s="5"/>
      <c r="AA2674" s="5"/>
      <c r="AB2674" s="5"/>
      <c r="AC2674" s="5"/>
      <c r="AD2674" s="5"/>
      <c r="AE2674" s="5"/>
      <c r="AF2674" s="5"/>
      <c r="AG2674" s="5"/>
    </row>
    <row r="2675" ht="15.75" customHeight="1">
      <c r="K2675" t="s">
        <v>4654</v>
      </c>
      <c r="L2675" t="str">
        <f>D174</f>
        <v>H3a1</v>
      </c>
      <c r="N2675" t="s">
        <v>4655</v>
      </c>
      <c r="O2675">
        <v>1.4917714E7</v>
      </c>
      <c r="P2675">
        <v>1.2805781E7</v>
      </c>
      <c r="Q2675" t="s">
        <v>419</v>
      </c>
      <c r="R2675" s="5"/>
      <c r="S2675" s="5"/>
      <c r="T2675" s="5"/>
      <c r="U2675" s="5"/>
      <c r="V2675" s="5"/>
      <c r="W2675" s="5"/>
      <c r="X2675" s="5"/>
      <c r="Y2675" s="5"/>
      <c r="Z2675" s="5"/>
      <c r="AA2675" s="5"/>
      <c r="AB2675" s="5"/>
      <c r="AC2675" s="5"/>
      <c r="AD2675" s="5"/>
      <c r="AE2675" s="5"/>
      <c r="AF2675" s="5"/>
      <c r="AG2675" s="5"/>
    </row>
    <row r="2676" ht="15.75" customHeight="1">
      <c r="K2676" t="s">
        <v>4656</v>
      </c>
      <c r="L2676" t="str">
        <f>D174</f>
        <v>H3a1</v>
      </c>
      <c r="N2676" t="s">
        <v>4657</v>
      </c>
      <c r="O2676">
        <v>1.4943989E7</v>
      </c>
      <c r="P2676">
        <v>1.2832063E7</v>
      </c>
      <c r="Q2676" t="s">
        <v>435</v>
      </c>
      <c r="R2676" s="5"/>
      <c r="S2676" s="5"/>
      <c r="T2676" s="5"/>
      <c r="U2676" s="5"/>
      <c r="V2676" s="5"/>
      <c r="W2676" s="5"/>
      <c r="X2676" s="5"/>
      <c r="Y2676" s="5"/>
      <c r="Z2676" s="5"/>
      <c r="AA2676" s="5"/>
      <c r="AB2676" s="5"/>
      <c r="AC2676" s="5"/>
      <c r="AD2676" s="5"/>
      <c r="AE2676" s="5"/>
      <c r="AF2676" s="5"/>
      <c r="AG2676" s="5"/>
    </row>
    <row r="2677" ht="15.75" customHeight="1">
      <c r="K2677" t="s">
        <v>4658</v>
      </c>
      <c r="L2677" t="str">
        <f>D174</f>
        <v>H3a1</v>
      </c>
      <c r="N2677" t="s">
        <v>4659</v>
      </c>
      <c r="O2677">
        <v>1.5022357E7</v>
      </c>
      <c r="P2677">
        <v>1.2910446E7</v>
      </c>
      <c r="Q2677" t="s">
        <v>423</v>
      </c>
      <c r="R2677" s="5"/>
      <c r="S2677" s="5"/>
      <c r="T2677" s="5"/>
      <c r="U2677" s="5"/>
      <c r="V2677" s="5"/>
      <c r="W2677" s="5"/>
      <c r="X2677" s="5"/>
      <c r="Y2677" s="5"/>
      <c r="Z2677" s="5"/>
      <c r="AA2677" s="5"/>
      <c r="AB2677" s="5"/>
      <c r="AC2677" s="5"/>
      <c r="AD2677" s="5"/>
      <c r="AE2677" s="5"/>
      <c r="AF2677" s="5"/>
      <c r="AG2677" s="5"/>
    </row>
    <row r="2678" ht="15.75" customHeight="1">
      <c r="K2678" t="s">
        <v>4660</v>
      </c>
      <c r="L2678" t="str">
        <f>D174</f>
        <v>H3a1</v>
      </c>
      <c r="N2678" t="s">
        <v>4661</v>
      </c>
      <c r="O2678">
        <v>1.5071577E7</v>
      </c>
      <c r="P2678">
        <v>1.2959668E7</v>
      </c>
      <c r="Q2678" t="s">
        <v>435</v>
      </c>
      <c r="R2678" s="5"/>
      <c r="S2678" s="5"/>
      <c r="T2678" s="5"/>
      <c r="U2678" s="5"/>
      <c r="V2678" s="5"/>
      <c r="W2678" s="5"/>
      <c r="X2678" s="5"/>
      <c r="Y2678" s="5"/>
      <c r="Z2678" s="5"/>
      <c r="AA2678" s="5"/>
      <c r="AB2678" s="5"/>
      <c r="AC2678" s="5"/>
      <c r="AD2678" s="5"/>
      <c r="AE2678" s="5"/>
      <c r="AF2678" s="5"/>
      <c r="AG2678" s="5"/>
    </row>
    <row r="2679" ht="15.75" customHeight="1">
      <c r="K2679" t="s">
        <v>4662</v>
      </c>
      <c r="L2679" t="str">
        <f>D174</f>
        <v>H3a1</v>
      </c>
      <c r="N2679" t="s">
        <v>4663</v>
      </c>
      <c r="O2679">
        <v>1.5123558E7</v>
      </c>
      <c r="P2679">
        <v>1.3011645E7</v>
      </c>
      <c r="Q2679" t="s">
        <v>448</v>
      </c>
      <c r="R2679" s="5"/>
      <c r="S2679" s="5"/>
      <c r="T2679" s="5"/>
      <c r="U2679" s="5"/>
      <c r="V2679" s="5"/>
      <c r="W2679" s="5"/>
      <c r="X2679" s="5"/>
      <c r="Y2679" s="5"/>
      <c r="Z2679" s="5"/>
      <c r="AA2679" s="5"/>
      <c r="AB2679" s="5"/>
      <c r="AC2679" s="5"/>
      <c r="AD2679" s="5"/>
      <c r="AE2679" s="5"/>
      <c r="AF2679" s="5"/>
      <c r="AG2679" s="5"/>
    </row>
    <row r="2680" ht="15.75" customHeight="1">
      <c r="K2680" t="s">
        <v>4664</v>
      </c>
      <c r="L2680" t="str">
        <f>D174</f>
        <v>H3a1</v>
      </c>
      <c r="N2680" t="s">
        <v>4665</v>
      </c>
      <c r="O2680">
        <v>1.5153902E7</v>
      </c>
      <c r="P2680">
        <v>1.3041989E7</v>
      </c>
      <c r="Q2680" t="s">
        <v>435</v>
      </c>
      <c r="R2680" s="5"/>
      <c r="S2680" s="5"/>
      <c r="T2680" s="5"/>
      <c r="U2680" s="5"/>
      <c r="V2680" s="5"/>
      <c r="W2680" s="5"/>
      <c r="X2680" s="5"/>
      <c r="Y2680" s="5"/>
      <c r="Z2680" s="5"/>
      <c r="AA2680" s="5"/>
      <c r="AB2680" s="5"/>
      <c r="AC2680" s="5"/>
      <c r="AD2680" s="5"/>
      <c r="AE2680" s="5"/>
      <c r="AF2680" s="5"/>
      <c r="AG2680" s="5"/>
    </row>
    <row r="2681" ht="15.75" customHeight="1">
      <c r="K2681" t="s">
        <v>4666</v>
      </c>
      <c r="L2681" t="str">
        <f>D174</f>
        <v>H3a1</v>
      </c>
      <c r="N2681" t="s">
        <v>4667</v>
      </c>
      <c r="O2681">
        <v>1.5332597E7</v>
      </c>
      <c r="P2681">
        <v>1.3220715E7</v>
      </c>
      <c r="Q2681" t="s">
        <v>431</v>
      </c>
      <c r="R2681" s="5"/>
      <c r="S2681" s="5"/>
      <c r="T2681" s="5"/>
      <c r="U2681" s="5"/>
      <c r="V2681" s="5"/>
      <c r="W2681" s="5"/>
      <c r="X2681" s="5"/>
      <c r="Y2681" s="5"/>
      <c r="Z2681" s="5"/>
      <c r="AA2681" s="5"/>
      <c r="AB2681" s="5"/>
      <c r="AC2681" s="5"/>
      <c r="AD2681" s="5"/>
      <c r="AE2681" s="5"/>
      <c r="AF2681" s="5"/>
      <c r="AG2681" s="5"/>
    </row>
    <row r="2682" ht="15.75" customHeight="1">
      <c r="K2682" t="s">
        <v>4668</v>
      </c>
      <c r="L2682" t="str">
        <f>D174</f>
        <v>H3a1</v>
      </c>
      <c r="N2682" t="s">
        <v>4669</v>
      </c>
      <c r="O2682">
        <v>1.5456407E7</v>
      </c>
      <c r="P2682">
        <v>1.3344527E7</v>
      </c>
      <c r="Q2682" t="s">
        <v>419</v>
      </c>
      <c r="R2682" s="5"/>
      <c r="S2682" s="5"/>
      <c r="T2682" s="5"/>
      <c r="U2682" s="5"/>
      <c r="V2682" s="5"/>
      <c r="W2682" s="5"/>
      <c r="X2682" s="5"/>
      <c r="Y2682" s="5"/>
      <c r="Z2682" s="5"/>
      <c r="AA2682" s="5"/>
      <c r="AB2682" s="5"/>
      <c r="AC2682" s="5"/>
      <c r="AD2682" s="5"/>
      <c r="AE2682" s="5"/>
      <c r="AF2682" s="5"/>
      <c r="AG2682" s="5"/>
    </row>
    <row r="2683" ht="15.75" customHeight="1">
      <c r="K2683" t="s">
        <v>4670</v>
      </c>
      <c r="L2683" t="str">
        <f>D174</f>
        <v>H3a1</v>
      </c>
      <c r="N2683" t="s">
        <v>4671</v>
      </c>
      <c r="O2683">
        <v>1.5488014E7</v>
      </c>
      <c r="P2683">
        <v>1.3376134E7</v>
      </c>
      <c r="Q2683" t="s">
        <v>435</v>
      </c>
      <c r="R2683" s="5"/>
      <c r="S2683" s="5"/>
      <c r="T2683" s="5"/>
      <c r="U2683" s="5"/>
      <c r="V2683" s="5"/>
      <c r="W2683" s="5"/>
      <c r="X2683" s="5"/>
      <c r="Y2683" s="5"/>
      <c r="Z2683" s="5"/>
      <c r="AA2683" s="5"/>
      <c r="AB2683" s="5"/>
      <c r="AC2683" s="5"/>
      <c r="AD2683" s="5"/>
      <c r="AE2683" s="5"/>
      <c r="AF2683" s="5"/>
      <c r="AG2683" s="5"/>
    </row>
    <row r="2684" ht="15.75" customHeight="1">
      <c r="K2684" t="s">
        <v>4672</v>
      </c>
      <c r="L2684" t="str">
        <f>D174</f>
        <v>H3a1</v>
      </c>
      <c r="N2684" t="s">
        <v>4673</v>
      </c>
      <c r="O2684">
        <v>1.5493317E7</v>
      </c>
      <c r="P2684">
        <v>1.3381437E7</v>
      </c>
      <c r="Q2684" t="s">
        <v>431</v>
      </c>
      <c r="R2684" s="5"/>
      <c r="S2684" s="5"/>
      <c r="T2684" s="5"/>
      <c r="U2684" s="5"/>
      <c r="V2684" s="5"/>
      <c r="W2684" s="5"/>
      <c r="X2684" s="5"/>
      <c r="Y2684" s="5"/>
      <c r="Z2684" s="5"/>
      <c r="AA2684" s="5"/>
      <c r="AB2684" s="5"/>
      <c r="AC2684" s="5"/>
      <c r="AD2684" s="5"/>
      <c r="AE2684" s="5"/>
      <c r="AF2684" s="5"/>
      <c r="AG2684" s="5"/>
    </row>
    <row r="2685" ht="15.75" customHeight="1">
      <c r="K2685" t="s">
        <v>4674</v>
      </c>
      <c r="L2685" t="str">
        <f>D174</f>
        <v>H3a1</v>
      </c>
      <c r="N2685" t="s">
        <v>4675</v>
      </c>
      <c r="O2685">
        <v>1.557164E7</v>
      </c>
      <c r="P2685">
        <v>1.345976E7</v>
      </c>
      <c r="Q2685" t="s">
        <v>431</v>
      </c>
      <c r="R2685" s="5"/>
      <c r="S2685" s="5"/>
      <c r="T2685" s="5"/>
      <c r="U2685" s="5"/>
      <c r="V2685" s="5"/>
      <c r="W2685" s="5"/>
      <c r="X2685" s="5"/>
      <c r="Y2685" s="5"/>
      <c r="Z2685" s="5"/>
      <c r="AA2685" s="5"/>
      <c r="AB2685" s="5"/>
      <c r="AC2685" s="5"/>
      <c r="AD2685" s="5"/>
      <c r="AE2685" s="5"/>
      <c r="AF2685" s="5"/>
      <c r="AG2685" s="5"/>
    </row>
    <row r="2686" ht="15.75" customHeight="1">
      <c r="K2686" t="s">
        <v>4676</v>
      </c>
      <c r="L2686" t="str">
        <f>D174</f>
        <v>H3a1</v>
      </c>
      <c r="N2686" t="s">
        <v>4677</v>
      </c>
      <c r="O2686">
        <v>1.5633933E7</v>
      </c>
      <c r="P2686">
        <v>1.3522053E7</v>
      </c>
      <c r="Q2686" t="s">
        <v>419</v>
      </c>
      <c r="R2686" s="5"/>
      <c r="S2686" s="5"/>
      <c r="T2686" s="5"/>
      <c r="U2686" s="5"/>
      <c r="V2686" s="5"/>
      <c r="W2686" s="5"/>
      <c r="X2686" s="5"/>
      <c r="Y2686" s="5"/>
      <c r="Z2686" s="5"/>
      <c r="AA2686" s="5"/>
      <c r="AB2686" s="5"/>
      <c r="AC2686" s="5"/>
      <c r="AD2686" s="5"/>
      <c r="AE2686" s="5"/>
      <c r="AF2686" s="5"/>
      <c r="AG2686" s="5"/>
    </row>
    <row r="2687" ht="15.75" customHeight="1">
      <c r="K2687" t="s">
        <v>4678</v>
      </c>
      <c r="L2687" t="str">
        <f>D174</f>
        <v>H3a1</v>
      </c>
      <c r="N2687" t="s">
        <v>4679</v>
      </c>
      <c r="O2687">
        <v>1.5735173E7</v>
      </c>
      <c r="P2687">
        <v>1.3623293E7</v>
      </c>
      <c r="Q2687" t="s">
        <v>525</v>
      </c>
      <c r="R2687" s="5"/>
      <c r="S2687" s="5"/>
      <c r="T2687" s="5"/>
      <c r="U2687" s="5"/>
      <c r="V2687" s="5"/>
      <c r="W2687" s="5"/>
      <c r="X2687" s="5"/>
      <c r="Y2687" s="5"/>
      <c r="Z2687" s="5"/>
      <c r="AA2687" s="5"/>
      <c r="AB2687" s="5"/>
      <c r="AC2687" s="5"/>
      <c r="AD2687" s="5"/>
      <c r="AE2687" s="5"/>
      <c r="AF2687" s="5"/>
      <c r="AG2687" s="5"/>
    </row>
    <row r="2688" ht="15.75" customHeight="1">
      <c r="K2688" t="s">
        <v>4680</v>
      </c>
      <c r="L2688" t="str">
        <f>D174</f>
        <v>H3a1</v>
      </c>
      <c r="N2688" t="s">
        <v>4681</v>
      </c>
      <c r="O2688">
        <v>1.5735513E7</v>
      </c>
      <c r="P2688">
        <v>1.3623633E7</v>
      </c>
      <c r="Q2688" t="s">
        <v>435</v>
      </c>
      <c r="R2688" s="5"/>
      <c r="S2688" s="5"/>
      <c r="T2688" s="5"/>
      <c r="U2688" s="5"/>
      <c r="V2688" s="5"/>
      <c r="W2688" s="5"/>
      <c r="X2688" s="5"/>
      <c r="Y2688" s="5"/>
      <c r="Z2688" s="5"/>
      <c r="AA2688" s="5"/>
      <c r="AB2688" s="5"/>
      <c r="AC2688" s="5"/>
      <c r="AD2688" s="5"/>
      <c r="AE2688" s="5"/>
      <c r="AF2688" s="5"/>
      <c r="AG2688" s="5"/>
    </row>
    <row r="2689" ht="15.75" customHeight="1">
      <c r="K2689" t="s">
        <v>4682</v>
      </c>
      <c r="L2689" t="str">
        <f>D174</f>
        <v>H3a1</v>
      </c>
      <c r="N2689" t="s">
        <v>4683</v>
      </c>
      <c r="O2689">
        <v>1.573656E7</v>
      </c>
      <c r="P2689">
        <v>1.362468E7</v>
      </c>
      <c r="Q2689" t="s">
        <v>525</v>
      </c>
      <c r="R2689" s="5"/>
      <c r="S2689" s="5"/>
      <c r="T2689" s="5"/>
      <c r="U2689" s="5"/>
      <c r="V2689" s="5"/>
      <c r="W2689" s="5"/>
      <c r="X2689" s="5"/>
      <c r="Y2689" s="5"/>
      <c r="Z2689" s="5"/>
      <c r="AA2689" s="5"/>
      <c r="AB2689" s="5"/>
      <c r="AC2689" s="5"/>
      <c r="AD2689" s="5"/>
      <c r="AE2689" s="5"/>
      <c r="AF2689" s="5"/>
      <c r="AG2689" s="5"/>
    </row>
    <row r="2690" ht="15.75" customHeight="1">
      <c r="K2690" t="s">
        <v>4684</v>
      </c>
      <c r="L2690" t="str">
        <f>D174</f>
        <v>H3a1</v>
      </c>
      <c r="N2690" t="s">
        <v>4685</v>
      </c>
      <c r="O2690">
        <v>1.5932147E7</v>
      </c>
      <c r="P2690">
        <v>1.3820267E7</v>
      </c>
      <c r="Q2690" t="s">
        <v>431</v>
      </c>
      <c r="R2690" s="5"/>
      <c r="S2690" s="5"/>
      <c r="T2690" s="5"/>
      <c r="U2690" s="5"/>
      <c r="V2690" s="5"/>
      <c r="W2690" s="5"/>
      <c r="X2690" s="5"/>
      <c r="Y2690" s="5"/>
      <c r="Z2690" s="5"/>
      <c r="AA2690" s="5"/>
      <c r="AB2690" s="5"/>
      <c r="AC2690" s="5"/>
      <c r="AD2690" s="5"/>
      <c r="AE2690" s="5"/>
      <c r="AF2690" s="5"/>
      <c r="AG2690" s="5"/>
    </row>
    <row r="2691" ht="15.75" customHeight="1">
      <c r="K2691" t="s">
        <v>4686</v>
      </c>
      <c r="L2691" t="str">
        <f>D174</f>
        <v>H3a1</v>
      </c>
      <c r="O2691">
        <v>1.6092736E7</v>
      </c>
      <c r="P2691">
        <v>1.3980856E7</v>
      </c>
      <c r="Q2691" t="s">
        <v>431</v>
      </c>
      <c r="R2691" s="5"/>
      <c r="S2691" s="5"/>
      <c r="T2691" s="5"/>
      <c r="U2691" s="5"/>
      <c r="V2691" s="5"/>
      <c r="W2691" s="5"/>
      <c r="X2691" s="5"/>
      <c r="Y2691" s="5"/>
      <c r="Z2691" s="5"/>
      <c r="AA2691" s="5"/>
      <c r="AB2691" s="5"/>
      <c r="AC2691" s="5"/>
      <c r="AD2691" s="5"/>
      <c r="AE2691" s="5"/>
      <c r="AF2691" s="5"/>
      <c r="AG2691" s="5"/>
    </row>
    <row r="2692" ht="15.75" customHeight="1">
      <c r="K2692" t="s">
        <v>4687</v>
      </c>
      <c r="L2692" t="str">
        <f>D174</f>
        <v>H3a1</v>
      </c>
      <c r="N2692" t="s">
        <v>4688</v>
      </c>
      <c r="O2692">
        <v>1.6205314E7</v>
      </c>
      <c r="P2692">
        <v>1.4093434E7</v>
      </c>
      <c r="Q2692" t="s">
        <v>423</v>
      </c>
      <c r="R2692" s="5"/>
      <c r="S2692" s="5"/>
      <c r="T2692" s="5"/>
      <c r="U2692" s="5"/>
      <c r="V2692" s="5"/>
      <c r="W2692" s="5"/>
      <c r="X2692" s="5"/>
      <c r="Y2692" s="5"/>
      <c r="Z2692" s="5"/>
      <c r="AA2692" s="5"/>
      <c r="AB2692" s="5"/>
      <c r="AC2692" s="5"/>
      <c r="AD2692" s="5"/>
      <c r="AE2692" s="5"/>
      <c r="AF2692" s="5"/>
      <c r="AG2692" s="5"/>
    </row>
    <row r="2693" ht="15.75" customHeight="1">
      <c r="K2693" t="s">
        <v>4689</v>
      </c>
      <c r="L2693" t="str">
        <f>D174</f>
        <v>H3a1</v>
      </c>
      <c r="N2693" t="s">
        <v>4690</v>
      </c>
      <c r="O2693">
        <v>1.6472395E7</v>
      </c>
      <c r="P2693">
        <v>1.4360515E7</v>
      </c>
      <c r="Q2693" t="s">
        <v>435</v>
      </c>
      <c r="R2693" s="5"/>
      <c r="S2693" s="5"/>
      <c r="T2693" s="5"/>
      <c r="U2693" s="5"/>
      <c r="V2693" s="5"/>
      <c r="W2693" s="5"/>
      <c r="X2693" s="5"/>
      <c r="Y2693" s="5"/>
      <c r="Z2693" s="5"/>
      <c r="AA2693" s="5"/>
      <c r="AB2693" s="5"/>
      <c r="AC2693" s="5"/>
      <c r="AD2693" s="5"/>
      <c r="AE2693" s="5"/>
      <c r="AF2693" s="5"/>
      <c r="AG2693" s="5"/>
    </row>
    <row r="2694" ht="15.75" customHeight="1">
      <c r="K2694" t="s">
        <v>4691</v>
      </c>
      <c r="L2694" t="str">
        <f>D174</f>
        <v>H3a1</v>
      </c>
      <c r="N2694" t="s">
        <v>4692</v>
      </c>
      <c r="O2694">
        <v>1.6485902E7</v>
      </c>
      <c r="P2694">
        <v>1.4374022E7</v>
      </c>
      <c r="Q2694" t="s">
        <v>423</v>
      </c>
      <c r="R2694" s="5"/>
      <c r="S2694" s="5"/>
      <c r="T2694" s="5"/>
      <c r="U2694" s="5"/>
      <c r="V2694" s="5"/>
      <c r="W2694" s="5"/>
      <c r="X2694" s="5"/>
      <c r="Y2694" s="5"/>
      <c r="Z2694" s="5"/>
      <c r="AA2694" s="5"/>
      <c r="AB2694" s="5"/>
      <c r="AC2694" s="5"/>
      <c r="AD2694" s="5"/>
      <c r="AE2694" s="5"/>
      <c r="AF2694" s="5"/>
      <c r="AG2694" s="5"/>
    </row>
    <row r="2695" ht="15.75" customHeight="1">
      <c r="K2695" t="s">
        <v>4693</v>
      </c>
      <c r="L2695" t="str">
        <f>D174</f>
        <v>H3a1</v>
      </c>
      <c r="N2695" t="s">
        <v>4694</v>
      </c>
      <c r="O2695">
        <v>1.6560717E7</v>
      </c>
      <c r="P2695">
        <v>1.4448837E7</v>
      </c>
      <c r="Q2695" t="s">
        <v>435</v>
      </c>
      <c r="R2695" s="5"/>
      <c r="S2695" s="5"/>
      <c r="T2695" s="5"/>
      <c r="U2695" s="5"/>
      <c r="V2695" s="5"/>
      <c r="W2695" s="5"/>
      <c r="X2695" s="5"/>
      <c r="Y2695" s="5"/>
      <c r="Z2695" s="5"/>
      <c r="AA2695" s="5"/>
      <c r="AB2695" s="5"/>
      <c r="AC2695" s="5"/>
      <c r="AD2695" s="5"/>
      <c r="AE2695" s="5"/>
      <c r="AF2695" s="5"/>
      <c r="AG2695" s="5"/>
    </row>
    <row r="2696" ht="15.75" customHeight="1">
      <c r="K2696" t="s">
        <v>4695</v>
      </c>
      <c r="L2696" t="str">
        <f>D174</f>
        <v>H3a1</v>
      </c>
      <c r="N2696" t="s">
        <v>4696</v>
      </c>
      <c r="O2696">
        <v>1.6590383E7</v>
      </c>
      <c r="P2696">
        <v>1.4478503E7</v>
      </c>
      <c r="Q2696" t="s">
        <v>476</v>
      </c>
      <c r="R2696" s="5"/>
      <c r="S2696" s="5"/>
      <c r="T2696" s="5"/>
      <c r="U2696" s="5"/>
      <c r="V2696" s="5"/>
      <c r="W2696" s="5"/>
      <c r="X2696" s="5"/>
      <c r="Y2696" s="5"/>
      <c r="Z2696" s="5"/>
      <c r="AA2696" s="5"/>
      <c r="AB2696" s="5"/>
      <c r="AC2696" s="5"/>
      <c r="AD2696" s="5"/>
      <c r="AE2696" s="5"/>
      <c r="AF2696" s="5"/>
      <c r="AG2696" s="5"/>
    </row>
    <row r="2697" ht="15.75" customHeight="1">
      <c r="K2697" t="s">
        <v>4697</v>
      </c>
      <c r="L2697" t="str">
        <f>D174</f>
        <v>H3a1</v>
      </c>
      <c r="N2697" t="s">
        <v>4698</v>
      </c>
      <c r="O2697">
        <v>1.6667824E7</v>
      </c>
      <c r="P2697">
        <v>1.4555944E7</v>
      </c>
      <c r="Q2697" t="s">
        <v>423</v>
      </c>
      <c r="R2697" s="5"/>
      <c r="S2697" s="5"/>
      <c r="T2697" s="5"/>
      <c r="U2697" s="5"/>
      <c r="V2697" s="5"/>
      <c r="W2697" s="5"/>
      <c r="X2697" s="5"/>
      <c r="Y2697" s="5"/>
      <c r="Z2697" s="5"/>
      <c r="AA2697" s="5"/>
      <c r="AB2697" s="5"/>
      <c r="AC2697" s="5"/>
      <c r="AD2697" s="5"/>
      <c r="AE2697" s="5"/>
      <c r="AF2697" s="5"/>
      <c r="AG2697" s="5"/>
    </row>
    <row r="2698" ht="15.75" customHeight="1">
      <c r="K2698" t="s">
        <v>4699</v>
      </c>
      <c r="L2698" t="str">
        <f>D174</f>
        <v>H3a1</v>
      </c>
      <c r="N2698" t="s">
        <v>4700</v>
      </c>
      <c r="O2698">
        <v>1.6837987E7</v>
      </c>
      <c r="P2698">
        <v>1.4726107E7</v>
      </c>
      <c r="Q2698" t="s">
        <v>435</v>
      </c>
      <c r="R2698" s="5"/>
      <c r="S2698" s="5"/>
      <c r="T2698" s="5"/>
      <c r="U2698" s="5"/>
      <c r="V2698" s="5"/>
      <c r="W2698" s="5"/>
      <c r="X2698" s="5"/>
      <c r="Y2698" s="5"/>
      <c r="Z2698" s="5"/>
      <c r="AA2698" s="5"/>
      <c r="AB2698" s="5"/>
      <c r="AC2698" s="5"/>
      <c r="AD2698" s="5"/>
      <c r="AE2698" s="5"/>
      <c r="AF2698" s="5"/>
      <c r="AG2698" s="5"/>
    </row>
    <row r="2699" ht="15.75" customHeight="1">
      <c r="K2699" t="s">
        <v>4701</v>
      </c>
      <c r="L2699" t="str">
        <f>D174</f>
        <v>H3a1</v>
      </c>
      <c r="N2699" t="s">
        <v>4702</v>
      </c>
      <c r="O2699">
        <v>1.6906363E7</v>
      </c>
      <c r="P2699">
        <v>1.4794483E7</v>
      </c>
      <c r="Q2699" t="s">
        <v>452</v>
      </c>
      <c r="R2699" s="5"/>
      <c r="S2699" s="5"/>
      <c r="T2699" s="5"/>
      <c r="U2699" s="5"/>
      <c r="V2699" s="5"/>
      <c r="W2699" s="5"/>
      <c r="X2699" s="5"/>
      <c r="Y2699" s="5"/>
      <c r="Z2699" s="5"/>
      <c r="AA2699" s="5"/>
      <c r="AB2699" s="5"/>
      <c r="AC2699" s="5"/>
      <c r="AD2699" s="5"/>
      <c r="AE2699" s="5"/>
      <c r="AF2699" s="5"/>
      <c r="AG2699" s="5"/>
    </row>
    <row r="2700" ht="15.75" customHeight="1">
      <c r="K2700" t="s">
        <v>4703</v>
      </c>
      <c r="L2700" t="str">
        <f>D174</f>
        <v>H3a1</v>
      </c>
      <c r="N2700" t="s">
        <v>4704</v>
      </c>
      <c r="O2700">
        <v>1.72333E7</v>
      </c>
      <c r="P2700">
        <v>1.512142E7</v>
      </c>
      <c r="Q2700" t="s">
        <v>435</v>
      </c>
      <c r="R2700" s="5"/>
      <c r="S2700" s="5"/>
      <c r="T2700" s="5"/>
      <c r="U2700" s="5"/>
      <c r="V2700" s="5"/>
      <c r="W2700" s="5"/>
      <c r="X2700" s="5"/>
      <c r="Y2700" s="5"/>
      <c r="Z2700" s="5"/>
      <c r="AA2700" s="5"/>
      <c r="AB2700" s="5"/>
      <c r="AC2700" s="5"/>
      <c r="AD2700" s="5"/>
      <c r="AE2700" s="5"/>
      <c r="AF2700" s="5"/>
      <c r="AG2700" s="5"/>
    </row>
    <row r="2701" ht="15.75" customHeight="1">
      <c r="K2701" t="s">
        <v>4705</v>
      </c>
      <c r="L2701" t="str">
        <f>D174</f>
        <v>H3a1</v>
      </c>
      <c r="N2701" t="s">
        <v>4706</v>
      </c>
      <c r="O2701">
        <v>1.7248202E7</v>
      </c>
      <c r="P2701">
        <v>1.5136322E7</v>
      </c>
      <c r="Q2701" t="s">
        <v>419</v>
      </c>
      <c r="R2701" s="5"/>
      <c r="S2701" s="5"/>
      <c r="T2701" s="5"/>
      <c r="U2701" s="5"/>
      <c r="V2701" s="5"/>
      <c r="W2701" s="5"/>
      <c r="X2701" s="5"/>
      <c r="Y2701" s="5"/>
      <c r="Z2701" s="5"/>
      <c r="AA2701" s="5"/>
      <c r="AB2701" s="5"/>
      <c r="AC2701" s="5"/>
      <c r="AD2701" s="5"/>
      <c r="AE2701" s="5"/>
      <c r="AF2701" s="5"/>
      <c r="AG2701" s="5"/>
    </row>
    <row r="2702" ht="15.75" customHeight="1">
      <c r="K2702" t="s">
        <v>4707</v>
      </c>
      <c r="L2702" t="str">
        <f>D174</f>
        <v>H3a1</v>
      </c>
      <c r="N2702" t="s">
        <v>4708</v>
      </c>
      <c r="O2702">
        <v>1.7340652E7</v>
      </c>
      <c r="P2702">
        <v>1.5228772E7</v>
      </c>
      <c r="Q2702" t="s">
        <v>459</v>
      </c>
      <c r="R2702" s="5"/>
      <c r="S2702" s="5"/>
      <c r="T2702" s="5"/>
      <c r="U2702" s="5"/>
      <c r="V2702" s="5"/>
      <c r="W2702" s="5"/>
      <c r="X2702" s="5"/>
      <c r="Y2702" s="5"/>
      <c r="Z2702" s="5"/>
      <c r="AA2702" s="5"/>
      <c r="AB2702" s="5"/>
      <c r="AC2702" s="5"/>
      <c r="AD2702" s="5"/>
      <c r="AE2702" s="5"/>
      <c r="AF2702" s="5"/>
      <c r="AG2702" s="5"/>
    </row>
    <row r="2703" ht="15.75" customHeight="1">
      <c r="K2703" t="s">
        <v>4709</v>
      </c>
      <c r="L2703" t="str">
        <f>D174</f>
        <v>H3a1</v>
      </c>
      <c r="N2703" t="s">
        <v>4710</v>
      </c>
      <c r="O2703">
        <v>1.7344756E7</v>
      </c>
      <c r="P2703">
        <v>1.5232876E7</v>
      </c>
      <c r="Q2703" t="s">
        <v>459</v>
      </c>
      <c r="R2703" s="5"/>
      <c r="S2703" s="5"/>
      <c r="T2703" s="5"/>
      <c r="U2703" s="5"/>
      <c r="V2703" s="5"/>
      <c r="W2703" s="5"/>
      <c r="X2703" s="5"/>
      <c r="Y2703" s="5"/>
      <c r="Z2703" s="5"/>
      <c r="AA2703" s="5"/>
      <c r="AB2703" s="5"/>
      <c r="AC2703" s="5"/>
      <c r="AD2703" s="5"/>
      <c r="AE2703" s="5"/>
      <c r="AF2703" s="5"/>
      <c r="AG2703" s="5"/>
    </row>
    <row r="2704" ht="15.75" customHeight="1">
      <c r="K2704" t="s">
        <v>4711</v>
      </c>
      <c r="L2704" t="str">
        <f>D174</f>
        <v>H3a1</v>
      </c>
      <c r="N2704" t="s">
        <v>4712</v>
      </c>
      <c r="O2704">
        <v>1.7352498E7</v>
      </c>
      <c r="P2704">
        <v>1.5240618E7</v>
      </c>
      <c r="Q2704" t="s">
        <v>423</v>
      </c>
      <c r="R2704" s="5"/>
      <c r="S2704" s="5"/>
      <c r="T2704" s="5"/>
      <c r="U2704" s="5"/>
      <c r="V2704" s="5"/>
      <c r="W2704" s="5"/>
      <c r="X2704" s="5"/>
      <c r="Y2704" s="5"/>
      <c r="Z2704" s="5"/>
      <c r="AA2704" s="5"/>
      <c r="AB2704" s="5"/>
      <c r="AC2704" s="5"/>
      <c r="AD2704" s="5"/>
      <c r="AE2704" s="5"/>
      <c r="AF2704" s="5"/>
      <c r="AG2704" s="5"/>
    </row>
    <row r="2705" ht="15.75" customHeight="1">
      <c r="K2705" t="s">
        <v>4713</v>
      </c>
      <c r="L2705" t="str">
        <f>D174</f>
        <v>H3a1</v>
      </c>
      <c r="N2705" t="s">
        <v>4714</v>
      </c>
      <c r="O2705">
        <v>1.743534E7</v>
      </c>
      <c r="P2705">
        <v>1.532346E7</v>
      </c>
      <c r="Q2705" t="s">
        <v>419</v>
      </c>
      <c r="R2705" s="5"/>
      <c r="S2705" s="5"/>
      <c r="T2705" s="5"/>
      <c r="U2705" s="5"/>
      <c r="V2705" s="5"/>
      <c r="W2705" s="5"/>
      <c r="X2705" s="5"/>
      <c r="Y2705" s="5"/>
      <c r="Z2705" s="5"/>
      <c r="AA2705" s="5"/>
      <c r="AB2705" s="5"/>
      <c r="AC2705" s="5"/>
      <c r="AD2705" s="5"/>
      <c r="AE2705" s="5"/>
      <c r="AF2705" s="5"/>
      <c r="AG2705" s="5"/>
    </row>
    <row r="2706" ht="15.75" customHeight="1">
      <c r="K2706" t="s">
        <v>4715</v>
      </c>
      <c r="L2706" t="str">
        <f>D174</f>
        <v>H3a1</v>
      </c>
      <c r="N2706" t="s">
        <v>4716</v>
      </c>
      <c r="O2706">
        <v>1.7455038E7</v>
      </c>
      <c r="P2706">
        <v>1.5343158E7</v>
      </c>
      <c r="Q2706" t="s">
        <v>459</v>
      </c>
      <c r="R2706" s="5"/>
      <c r="S2706" s="5"/>
      <c r="T2706" s="5"/>
      <c r="U2706" s="5"/>
      <c r="V2706" s="5"/>
      <c r="W2706" s="5"/>
      <c r="X2706" s="5"/>
      <c r="Y2706" s="5"/>
      <c r="Z2706" s="5"/>
      <c r="AA2706" s="5"/>
      <c r="AB2706" s="5"/>
      <c r="AC2706" s="5"/>
      <c r="AD2706" s="5"/>
      <c r="AE2706" s="5"/>
      <c r="AF2706" s="5"/>
      <c r="AG2706" s="5"/>
    </row>
    <row r="2707" ht="15.75" customHeight="1">
      <c r="K2707" t="s">
        <v>4717</v>
      </c>
      <c r="L2707" t="str">
        <f>D174</f>
        <v>H3a1</v>
      </c>
      <c r="N2707" t="s">
        <v>4718</v>
      </c>
      <c r="O2707">
        <v>1.7480797E7</v>
      </c>
      <c r="P2707">
        <v>1.5368917E7</v>
      </c>
      <c r="Q2707" t="s">
        <v>419</v>
      </c>
      <c r="R2707" s="5"/>
      <c r="S2707" s="5"/>
      <c r="T2707" s="5"/>
      <c r="U2707" s="5"/>
      <c r="V2707" s="5"/>
      <c r="W2707" s="5"/>
      <c r="X2707" s="5"/>
      <c r="Y2707" s="5"/>
      <c r="Z2707" s="5"/>
      <c r="AA2707" s="5"/>
      <c r="AB2707" s="5"/>
      <c r="AC2707" s="5"/>
      <c r="AD2707" s="5"/>
      <c r="AE2707" s="5"/>
      <c r="AF2707" s="5"/>
      <c r="AG2707" s="5"/>
    </row>
    <row r="2708" ht="15.75" customHeight="1">
      <c r="K2708" t="s">
        <v>4719</v>
      </c>
      <c r="L2708" t="str">
        <f>D174</f>
        <v>H3a1</v>
      </c>
      <c r="N2708" t="s">
        <v>4720</v>
      </c>
      <c r="O2708">
        <v>1.7494504E7</v>
      </c>
      <c r="P2708">
        <v>1.5382624E7</v>
      </c>
      <c r="Q2708" t="s">
        <v>448</v>
      </c>
      <c r="R2708" s="5"/>
      <c r="S2708" s="5"/>
      <c r="T2708" s="5"/>
      <c r="U2708" s="5"/>
      <c r="V2708" s="5"/>
      <c r="W2708" s="5"/>
      <c r="X2708" s="5"/>
      <c r="Y2708" s="5"/>
      <c r="Z2708" s="5"/>
      <c r="AA2708" s="5"/>
      <c r="AB2708" s="5"/>
      <c r="AC2708" s="5"/>
      <c r="AD2708" s="5"/>
      <c r="AE2708" s="5"/>
      <c r="AF2708" s="5"/>
      <c r="AG2708" s="5"/>
    </row>
    <row r="2709" ht="15.75" customHeight="1">
      <c r="K2709" t="s">
        <v>4721</v>
      </c>
      <c r="L2709" t="str">
        <f>D174</f>
        <v>H3a1</v>
      </c>
      <c r="N2709" t="s">
        <v>4722</v>
      </c>
      <c r="O2709">
        <v>1.7517881E7</v>
      </c>
      <c r="P2709">
        <v>1.5406001E7</v>
      </c>
      <c r="Q2709" t="s">
        <v>435</v>
      </c>
      <c r="R2709" s="5"/>
      <c r="S2709" s="5"/>
      <c r="T2709" s="5"/>
      <c r="U2709" s="5"/>
      <c r="V2709" s="5"/>
      <c r="W2709" s="5"/>
      <c r="X2709" s="5"/>
      <c r="Y2709" s="5"/>
      <c r="Z2709" s="5"/>
      <c r="AA2709" s="5"/>
      <c r="AB2709" s="5"/>
      <c r="AC2709" s="5"/>
      <c r="AD2709" s="5"/>
      <c r="AE2709" s="5"/>
      <c r="AF2709" s="5"/>
      <c r="AG2709" s="5"/>
    </row>
    <row r="2710" ht="15.75" customHeight="1">
      <c r="K2710" t="s">
        <v>4723</v>
      </c>
      <c r="L2710" t="str">
        <f>D174</f>
        <v>H3a1</v>
      </c>
      <c r="N2710" t="s">
        <v>4724</v>
      </c>
      <c r="O2710">
        <v>1.7744381E7</v>
      </c>
      <c r="P2710">
        <v>1.5632501E7</v>
      </c>
      <c r="Q2710" t="s">
        <v>419</v>
      </c>
      <c r="R2710" s="5"/>
      <c r="S2710" s="5"/>
      <c r="T2710" s="5"/>
      <c r="U2710" s="5"/>
      <c r="V2710" s="5"/>
      <c r="W2710" s="5"/>
      <c r="X2710" s="5"/>
      <c r="Y2710" s="5"/>
      <c r="Z2710" s="5"/>
      <c r="AA2710" s="5"/>
      <c r="AB2710" s="5"/>
      <c r="AC2710" s="5"/>
      <c r="AD2710" s="5"/>
      <c r="AE2710" s="5"/>
      <c r="AF2710" s="5"/>
      <c r="AG2710" s="5"/>
    </row>
    <row r="2711" ht="15.75" customHeight="1">
      <c r="K2711" t="s">
        <v>4725</v>
      </c>
      <c r="L2711" t="str">
        <f>D174</f>
        <v>H3a1</v>
      </c>
      <c r="N2711" t="s">
        <v>4726</v>
      </c>
      <c r="O2711">
        <v>1.7895811E7</v>
      </c>
      <c r="P2711">
        <v>1.5783931E7</v>
      </c>
      <c r="Q2711" t="s">
        <v>419</v>
      </c>
      <c r="R2711" s="5"/>
      <c r="S2711" s="5"/>
      <c r="T2711" s="5"/>
      <c r="U2711" s="5"/>
      <c r="V2711" s="5"/>
      <c r="W2711" s="5"/>
      <c r="X2711" s="5"/>
      <c r="Y2711" s="5"/>
      <c r="Z2711" s="5"/>
      <c r="AA2711" s="5"/>
      <c r="AB2711" s="5"/>
      <c r="AC2711" s="5"/>
      <c r="AD2711" s="5"/>
      <c r="AE2711" s="5"/>
      <c r="AF2711" s="5"/>
      <c r="AG2711" s="5"/>
    </row>
    <row r="2712" ht="15.75" customHeight="1">
      <c r="K2712" t="s">
        <v>4727</v>
      </c>
      <c r="L2712" t="str">
        <f>D174</f>
        <v>H3a1</v>
      </c>
      <c r="N2712" t="s">
        <v>4728</v>
      </c>
      <c r="O2712">
        <v>1.7897994E7</v>
      </c>
      <c r="P2712">
        <v>1.5786114E7</v>
      </c>
      <c r="Q2712" t="s">
        <v>423</v>
      </c>
      <c r="R2712" s="5"/>
      <c r="S2712" s="5"/>
      <c r="T2712" s="5"/>
      <c r="U2712" s="5"/>
      <c r="V2712" s="5"/>
      <c r="W2712" s="5"/>
      <c r="X2712" s="5"/>
      <c r="Y2712" s="5"/>
      <c r="Z2712" s="5"/>
      <c r="AA2712" s="5"/>
      <c r="AB2712" s="5"/>
      <c r="AC2712" s="5"/>
      <c r="AD2712" s="5"/>
      <c r="AE2712" s="5"/>
      <c r="AF2712" s="5"/>
      <c r="AG2712" s="5"/>
    </row>
    <row r="2713" ht="15.75" customHeight="1">
      <c r="K2713" t="s">
        <v>4729</v>
      </c>
      <c r="L2713" t="str">
        <f>D174</f>
        <v>H3a1</v>
      </c>
      <c r="N2713" t="s">
        <v>4730</v>
      </c>
      <c r="O2713">
        <v>1.796122E7</v>
      </c>
      <c r="P2713">
        <v>1.584934E7</v>
      </c>
      <c r="Q2713" t="s">
        <v>435</v>
      </c>
      <c r="R2713" s="5"/>
      <c r="S2713" s="5"/>
      <c r="T2713" s="5"/>
      <c r="U2713" s="5"/>
      <c r="V2713" s="5"/>
      <c r="W2713" s="5"/>
      <c r="X2713" s="5"/>
      <c r="Y2713" s="5"/>
      <c r="Z2713" s="5"/>
      <c r="AA2713" s="5"/>
      <c r="AB2713" s="5"/>
      <c r="AC2713" s="5"/>
      <c r="AD2713" s="5"/>
      <c r="AE2713" s="5"/>
      <c r="AF2713" s="5"/>
      <c r="AG2713" s="5"/>
    </row>
    <row r="2714" ht="15.75" customHeight="1">
      <c r="K2714" t="s">
        <v>4731</v>
      </c>
      <c r="L2714" t="str">
        <f>D174</f>
        <v>H3a1</v>
      </c>
      <c r="N2714" t="s">
        <v>4732</v>
      </c>
      <c r="O2714">
        <v>1.7966342E7</v>
      </c>
      <c r="P2714">
        <v>1.5854462E7</v>
      </c>
      <c r="Q2714" t="s">
        <v>431</v>
      </c>
      <c r="R2714" s="5"/>
      <c r="S2714" s="5"/>
      <c r="T2714" s="5"/>
      <c r="U2714" s="5"/>
      <c r="V2714" s="5"/>
      <c r="W2714" s="5"/>
      <c r="X2714" s="5"/>
      <c r="Y2714" s="5"/>
      <c r="Z2714" s="5"/>
      <c r="AA2714" s="5"/>
      <c r="AB2714" s="5"/>
      <c r="AC2714" s="5"/>
      <c r="AD2714" s="5"/>
      <c r="AE2714" s="5"/>
      <c r="AF2714" s="5"/>
      <c r="AG2714" s="5"/>
    </row>
    <row r="2715" ht="15.75" customHeight="1">
      <c r="K2715" t="s">
        <v>4733</v>
      </c>
      <c r="L2715" t="str">
        <f>D174</f>
        <v>H3a1</v>
      </c>
      <c r="N2715" t="s">
        <v>4734</v>
      </c>
      <c r="O2715">
        <v>1.818611E7</v>
      </c>
      <c r="P2715">
        <v>1.607423E7</v>
      </c>
      <c r="Q2715" t="s">
        <v>473</v>
      </c>
      <c r="R2715" s="5"/>
      <c r="S2715" s="5"/>
      <c r="T2715" s="5"/>
      <c r="U2715" s="5"/>
      <c r="V2715" s="5"/>
      <c r="W2715" s="5"/>
      <c r="X2715" s="5"/>
      <c r="Y2715" s="5"/>
      <c r="Z2715" s="5"/>
      <c r="AA2715" s="5"/>
      <c r="AB2715" s="5"/>
      <c r="AC2715" s="5"/>
      <c r="AD2715" s="5"/>
      <c r="AE2715" s="5"/>
      <c r="AF2715" s="5"/>
      <c r="AG2715" s="5"/>
    </row>
    <row r="2716" ht="15.75" customHeight="1">
      <c r="K2716" t="s">
        <v>4735</v>
      </c>
      <c r="L2716" t="str">
        <f>D174</f>
        <v>H3a1</v>
      </c>
      <c r="N2716" t="s">
        <v>4736</v>
      </c>
      <c r="O2716">
        <v>1.8194886E7</v>
      </c>
      <c r="P2716">
        <v>1.6083006E7</v>
      </c>
      <c r="Q2716" t="s">
        <v>553</v>
      </c>
      <c r="R2716" s="5"/>
      <c r="S2716" s="5"/>
      <c r="T2716" s="5"/>
      <c r="U2716" s="5"/>
      <c r="V2716" s="5"/>
      <c r="W2716" s="5"/>
      <c r="X2716" s="5"/>
      <c r="Y2716" s="5"/>
      <c r="Z2716" s="5"/>
      <c r="AA2716" s="5"/>
      <c r="AB2716" s="5"/>
      <c r="AC2716" s="5"/>
      <c r="AD2716" s="5"/>
      <c r="AE2716" s="5"/>
      <c r="AF2716" s="5"/>
      <c r="AG2716" s="5"/>
    </row>
    <row r="2717" ht="15.75" customHeight="1">
      <c r="K2717" t="s">
        <v>4737</v>
      </c>
      <c r="L2717" t="str">
        <f>D174</f>
        <v>H3a1</v>
      </c>
      <c r="N2717" t="s">
        <v>4738</v>
      </c>
      <c r="O2717">
        <v>1.8399065E7</v>
      </c>
      <c r="P2717">
        <v>1.6287185E7</v>
      </c>
      <c r="Q2717" t="s">
        <v>525</v>
      </c>
      <c r="R2717" s="5"/>
      <c r="S2717" s="5"/>
      <c r="T2717" s="5"/>
      <c r="U2717" s="5"/>
      <c r="V2717" s="5"/>
      <c r="W2717" s="5"/>
      <c r="X2717" s="5"/>
      <c r="Y2717" s="5"/>
      <c r="Z2717" s="5"/>
      <c r="AA2717" s="5"/>
      <c r="AB2717" s="5"/>
      <c r="AC2717" s="5"/>
      <c r="AD2717" s="5"/>
      <c r="AE2717" s="5"/>
      <c r="AF2717" s="5"/>
      <c r="AG2717" s="5"/>
    </row>
    <row r="2718" ht="15.75" customHeight="1">
      <c r="K2718" t="s">
        <v>4739</v>
      </c>
      <c r="L2718" t="str">
        <f>D174</f>
        <v>H3a1</v>
      </c>
      <c r="N2718" t="s">
        <v>4740</v>
      </c>
      <c r="O2718">
        <v>1.8420066E7</v>
      </c>
      <c r="P2718">
        <v>1.6308186E7</v>
      </c>
      <c r="Q2718" t="s">
        <v>553</v>
      </c>
      <c r="R2718" s="5"/>
      <c r="S2718" s="5"/>
      <c r="T2718" s="5"/>
      <c r="U2718" s="5"/>
      <c r="V2718" s="5"/>
      <c r="W2718" s="5"/>
      <c r="X2718" s="5"/>
      <c r="Y2718" s="5"/>
      <c r="Z2718" s="5"/>
      <c r="AA2718" s="5"/>
      <c r="AB2718" s="5"/>
      <c r="AC2718" s="5"/>
      <c r="AD2718" s="5"/>
      <c r="AE2718" s="5"/>
      <c r="AF2718" s="5"/>
      <c r="AG2718" s="5"/>
    </row>
    <row r="2719" ht="15.75" customHeight="1">
      <c r="K2719" t="s">
        <v>4741</v>
      </c>
      <c r="L2719" t="str">
        <f>D174</f>
        <v>H3a1</v>
      </c>
      <c r="N2719" t="s">
        <v>4742</v>
      </c>
      <c r="O2719">
        <v>1.8796099E7</v>
      </c>
      <c r="P2719">
        <v>1.6684219E7</v>
      </c>
      <c r="Q2719" t="s">
        <v>423</v>
      </c>
      <c r="R2719" s="5"/>
      <c r="S2719" s="5"/>
      <c r="T2719" s="5"/>
      <c r="U2719" s="5"/>
      <c r="V2719" s="5"/>
      <c r="W2719" s="5"/>
      <c r="X2719" s="5"/>
      <c r="Y2719" s="5"/>
      <c r="Z2719" s="5"/>
      <c r="AA2719" s="5"/>
      <c r="AB2719" s="5"/>
      <c r="AC2719" s="5"/>
      <c r="AD2719" s="5"/>
      <c r="AE2719" s="5"/>
      <c r="AF2719" s="5"/>
      <c r="AG2719" s="5"/>
    </row>
    <row r="2720" ht="15.75" customHeight="1">
      <c r="K2720" t="s">
        <v>4743</v>
      </c>
      <c r="L2720" t="str">
        <f>D174</f>
        <v>H3a1</v>
      </c>
      <c r="N2720" t="s">
        <v>4744</v>
      </c>
      <c r="O2720">
        <v>1.8892982E7</v>
      </c>
      <c r="P2720">
        <v>1.6781102E7</v>
      </c>
      <c r="Q2720" t="s">
        <v>431</v>
      </c>
      <c r="R2720" s="5"/>
      <c r="S2720" s="5"/>
      <c r="T2720" s="5"/>
      <c r="U2720" s="5"/>
      <c r="V2720" s="5"/>
      <c r="W2720" s="5"/>
      <c r="X2720" s="5"/>
      <c r="Y2720" s="5"/>
      <c r="Z2720" s="5"/>
      <c r="AA2720" s="5"/>
      <c r="AB2720" s="5"/>
      <c r="AC2720" s="5"/>
      <c r="AD2720" s="5"/>
      <c r="AE2720" s="5"/>
      <c r="AF2720" s="5"/>
      <c r="AG2720" s="5"/>
    </row>
    <row r="2721" ht="15.75" customHeight="1">
      <c r="K2721" t="s">
        <v>4745</v>
      </c>
      <c r="L2721" t="str">
        <f>D174</f>
        <v>H3a1</v>
      </c>
      <c r="N2721" t="s">
        <v>4746</v>
      </c>
      <c r="O2721">
        <v>1.8968732E7</v>
      </c>
      <c r="P2721">
        <v>1.6856852E7</v>
      </c>
      <c r="Q2721" t="s">
        <v>419</v>
      </c>
      <c r="R2721" s="5"/>
      <c r="S2721" s="5"/>
      <c r="T2721" s="5"/>
      <c r="U2721" s="5"/>
      <c r="V2721" s="5"/>
      <c r="W2721" s="5"/>
      <c r="X2721" s="5"/>
      <c r="Y2721" s="5"/>
      <c r="Z2721" s="5"/>
      <c r="AA2721" s="5"/>
      <c r="AB2721" s="5"/>
      <c r="AC2721" s="5"/>
      <c r="AD2721" s="5"/>
      <c r="AE2721" s="5"/>
      <c r="AF2721" s="5"/>
      <c r="AG2721" s="5"/>
    </row>
    <row r="2722" ht="15.75" customHeight="1">
      <c r="K2722" t="s">
        <v>4747</v>
      </c>
      <c r="L2722" t="str">
        <f>D174</f>
        <v>H3a1</v>
      </c>
      <c r="N2722" t="s">
        <v>4748</v>
      </c>
      <c r="O2722">
        <v>1.8968875E7</v>
      </c>
      <c r="P2722">
        <v>1.6856995E7</v>
      </c>
      <c r="Q2722" t="s">
        <v>473</v>
      </c>
      <c r="R2722" s="5"/>
      <c r="S2722" s="5"/>
      <c r="T2722" s="5"/>
      <c r="U2722" s="5"/>
      <c r="V2722" s="5"/>
      <c r="W2722" s="5"/>
      <c r="X2722" s="5"/>
      <c r="Y2722" s="5"/>
      <c r="Z2722" s="5"/>
      <c r="AA2722" s="5"/>
      <c r="AB2722" s="5"/>
      <c r="AC2722" s="5"/>
      <c r="AD2722" s="5"/>
      <c r="AE2722" s="5"/>
      <c r="AF2722" s="5"/>
      <c r="AG2722" s="5"/>
    </row>
    <row r="2723" ht="15.75" customHeight="1">
      <c r="K2723" t="s">
        <v>4749</v>
      </c>
      <c r="L2723" t="str">
        <f>D174</f>
        <v>H3a1</v>
      </c>
      <c r="N2723" t="s">
        <v>4750</v>
      </c>
      <c r="O2723">
        <v>1.9030628E7</v>
      </c>
      <c r="P2723">
        <v>1.6918748E7</v>
      </c>
      <c r="Q2723" t="s">
        <v>473</v>
      </c>
      <c r="R2723" s="5"/>
      <c r="S2723" s="5"/>
      <c r="T2723" s="5"/>
      <c r="U2723" s="5"/>
      <c r="V2723" s="5"/>
      <c r="W2723" s="5"/>
      <c r="X2723" s="5"/>
      <c r="Y2723" s="5"/>
      <c r="Z2723" s="5"/>
      <c r="AA2723" s="5"/>
      <c r="AB2723" s="5"/>
      <c r="AC2723" s="5"/>
      <c r="AD2723" s="5"/>
      <c r="AE2723" s="5"/>
      <c r="AF2723" s="5"/>
      <c r="AG2723" s="5"/>
    </row>
    <row r="2724" ht="15.75" customHeight="1">
      <c r="K2724" t="s">
        <v>4751</v>
      </c>
      <c r="L2724" t="str">
        <f>D174</f>
        <v>H3a1</v>
      </c>
      <c r="N2724" t="s">
        <v>4752</v>
      </c>
      <c r="O2724">
        <v>1.9048591E7</v>
      </c>
      <c r="P2724">
        <v>1.6936711E7</v>
      </c>
      <c r="Q2724" t="s">
        <v>423</v>
      </c>
      <c r="R2724" s="5"/>
      <c r="S2724" s="5"/>
      <c r="T2724" s="5"/>
      <c r="U2724" s="5"/>
      <c r="V2724" s="5"/>
      <c r="W2724" s="5"/>
      <c r="X2724" s="5"/>
      <c r="Y2724" s="5"/>
      <c r="Z2724" s="5"/>
      <c r="AA2724" s="5"/>
      <c r="AB2724" s="5"/>
      <c r="AC2724" s="5"/>
      <c r="AD2724" s="5"/>
      <c r="AE2724" s="5"/>
      <c r="AF2724" s="5"/>
      <c r="AG2724" s="5"/>
    </row>
    <row r="2725" ht="15.75" customHeight="1">
      <c r="K2725" t="s">
        <v>4753</v>
      </c>
      <c r="L2725" t="str">
        <f>D174</f>
        <v>H3a1</v>
      </c>
      <c r="N2725" t="s">
        <v>4754</v>
      </c>
      <c r="O2725">
        <v>1.9214935E7</v>
      </c>
      <c r="P2725">
        <v>1.7103055E7</v>
      </c>
      <c r="Q2725" t="s">
        <v>431</v>
      </c>
      <c r="R2725" s="5"/>
      <c r="S2725" s="5"/>
      <c r="T2725" s="5"/>
      <c r="U2725" s="5"/>
      <c r="V2725" s="5"/>
      <c r="W2725" s="5"/>
      <c r="X2725" s="5"/>
      <c r="Y2725" s="5"/>
      <c r="Z2725" s="5"/>
      <c r="AA2725" s="5"/>
      <c r="AB2725" s="5"/>
      <c r="AC2725" s="5"/>
      <c r="AD2725" s="5"/>
      <c r="AE2725" s="5"/>
      <c r="AF2725" s="5"/>
      <c r="AG2725" s="5"/>
    </row>
    <row r="2726" ht="15.75" customHeight="1">
      <c r="K2726" t="s">
        <v>4755</v>
      </c>
      <c r="L2726" t="str">
        <f>D174</f>
        <v>H3a1</v>
      </c>
      <c r="N2726" t="s">
        <v>4756</v>
      </c>
      <c r="O2726">
        <v>1.9219275E7</v>
      </c>
      <c r="P2726">
        <v>1.7107395E7</v>
      </c>
      <c r="Q2726" t="s">
        <v>431</v>
      </c>
      <c r="R2726" s="5"/>
      <c r="S2726" s="5"/>
      <c r="T2726" s="5"/>
      <c r="U2726" s="5"/>
      <c r="V2726" s="5"/>
      <c r="W2726" s="5"/>
      <c r="X2726" s="5"/>
      <c r="Y2726" s="5"/>
      <c r="Z2726" s="5"/>
      <c r="AA2726" s="5"/>
      <c r="AB2726" s="5"/>
      <c r="AC2726" s="5"/>
      <c r="AD2726" s="5"/>
      <c r="AE2726" s="5"/>
      <c r="AF2726" s="5"/>
      <c r="AG2726" s="5"/>
    </row>
    <row r="2727" ht="15.75" customHeight="1">
      <c r="K2727" t="s">
        <v>4757</v>
      </c>
      <c r="L2727" t="str">
        <f>D174</f>
        <v>H3a1</v>
      </c>
      <c r="N2727" t="s">
        <v>4758</v>
      </c>
      <c r="O2727">
        <v>1.9296426E7</v>
      </c>
      <c r="P2727">
        <v>1.7184546E7</v>
      </c>
      <c r="Q2727" t="s">
        <v>435</v>
      </c>
      <c r="R2727" s="5"/>
      <c r="S2727" s="5"/>
      <c r="T2727" s="5"/>
      <c r="U2727" s="5"/>
      <c r="V2727" s="5"/>
      <c r="W2727" s="5"/>
      <c r="X2727" s="5"/>
      <c r="Y2727" s="5"/>
      <c r="Z2727" s="5"/>
      <c r="AA2727" s="5"/>
      <c r="AB2727" s="5"/>
      <c r="AC2727" s="5"/>
      <c r="AD2727" s="5"/>
      <c r="AE2727" s="5"/>
      <c r="AF2727" s="5"/>
      <c r="AG2727" s="5"/>
    </row>
    <row r="2728" ht="15.75" customHeight="1">
      <c r="K2728" t="s">
        <v>4759</v>
      </c>
      <c r="L2728" t="str">
        <f>D174</f>
        <v>H3a1</v>
      </c>
      <c r="N2728" t="s">
        <v>4760</v>
      </c>
      <c r="O2728">
        <v>1.9300705E7</v>
      </c>
      <c r="P2728">
        <v>1.7188825E7</v>
      </c>
      <c r="Q2728" t="s">
        <v>435</v>
      </c>
      <c r="R2728" s="5"/>
      <c r="S2728" s="5"/>
      <c r="T2728" s="5"/>
      <c r="U2728" s="5"/>
      <c r="V2728" s="5"/>
      <c r="W2728" s="5"/>
      <c r="X2728" s="5"/>
      <c r="Y2728" s="5"/>
      <c r="Z2728" s="5"/>
      <c r="AA2728" s="5"/>
      <c r="AB2728" s="5"/>
      <c r="AC2728" s="5"/>
      <c r="AD2728" s="5"/>
      <c r="AE2728" s="5"/>
      <c r="AF2728" s="5"/>
      <c r="AG2728" s="5"/>
    </row>
    <row r="2729" ht="15.75" customHeight="1">
      <c r="K2729" t="s">
        <v>4761</v>
      </c>
      <c r="L2729" t="str">
        <f>D174</f>
        <v>H3a1</v>
      </c>
      <c r="N2729" t="s">
        <v>4762</v>
      </c>
      <c r="O2729">
        <v>1.9306638E7</v>
      </c>
      <c r="P2729">
        <v>1.7194758E7</v>
      </c>
      <c r="Q2729" t="s">
        <v>473</v>
      </c>
      <c r="R2729" s="5"/>
      <c r="S2729" s="5"/>
      <c r="T2729" s="5"/>
      <c r="U2729" s="5"/>
      <c r="V2729" s="5"/>
      <c r="W2729" s="5"/>
      <c r="X2729" s="5"/>
      <c r="Y2729" s="5"/>
      <c r="Z2729" s="5"/>
      <c r="AA2729" s="5"/>
      <c r="AB2729" s="5"/>
      <c r="AC2729" s="5"/>
      <c r="AD2729" s="5"/>
      <c r="AE2729" s="5"/>
      <c r="AF2729" s="5"/>
      <c r="AG2729" s="5"/>
    </row>
    <row r="2730" ht="15.75" customHeight="1">
      <c r="K2730" t="s">
        <v>4763</v>
      </c>
      <c r="L2730" t="str">
        <f>D174</f>
        <v>H3a1</v>
      </c>
      <c r="N2730" t="s">
        <v>4764</v>
      </c>
      <c r="O2730">
        <v>1.9314555E7</v>
      </c>
      <c r="P2730">
        <v>1.7202675E7</v>
      </c>
      <c r="Q2730" t="s">
        <v>431</v>
      </c>
      <c r="R2730" s="5"/>
      <c r="S2730" s="5"/>
      <c r="T2730" s="5"/>
      <c r="U2730" s="5"/>
      <c r="V2730" s="5"/>
      <c r="W2730" s="5"/>
      <c r="X2730" s="5"/>
      <c r="Y2730" s="5"/>
      <c r="Z2730" s="5"/>
      <c r="AA2730" s="5"/>
      <c r="AB2730" s="5"/>
      <c r="AC2730" s="5"/>
      <c r="AD2730" s="5"/>
      <c r="AE2730" s="5"/>
      <c r="AF2730" s="5"/>
      <c r="AG2730" s="5"/>
    </row>
    <row r="2731" ht="15.75" customHeight="1">
      <c r="K2731" t="s">
        <v>4765</v>
      </c>
      <c r="L2731" t="str">
        <f>D174</f>
        <v>H3a1</v>
      </c>
      <c r="N2731" t="s">
        <v>4766</v>
      </c>
      <c r="O2731">
        <v>1.9369565E7</v>
      </c>
      <c r="P2731">
        <v>1.7257685E7</v>
      </c>
      <c r="Q2731" t="s">
        <v>476</v>
      </c>
      <c r="R2731" s="5"/>
      <c r="S2731" s="5"/>
      <c r="T2731" s="5"/>
      <c r="U2731" s="5"/>
      <c r="V2731" s="5"/>
      <c r="W2731" s="5"/>
      <c r="X2731" s="5"/>
      <c r="Y2731" s="5"/>
      <c r="Z2731" s="5"/>
      <c r="AA2731" s="5"/>
      <c r="AB2731" s="5"/>
      <c r="AC2731" s="5"/>
      <c r="AD2731" s="5"/>
      <c r="AE2731" s="5"/>
      <c r="AF2731" s="5"/>
      <c r="AG2731" s="5"/>
    </row>
    <row r="2732" ht="15.75" customHeight="1">
      <c r="K2732" t="s">
        <v>4767</v>
      </c>
      <c r="L2732" t="str">
        <f>D174</f>
        <v>H3a1</v>
      </c>
      <c r="N2732" t="s">
        <v>4768</v>
      </c>
      <c r="O2732">
        <v>1.9455443E7</v>
      </c>
      <c r="P2732">
        <v>1.7343563E7</v>
      </c>
      <c r="Q2732" t="s">
        <v>423</v>
      </c>
      <c r="R2732" s="5"/>
      <c r="S2732" s="5"/>
      <c r="T2732" s="5"/>
      <c r="U2732" s="5"/>
      <c r="V2732" s="5"/>
      <c r="W2732" s="5"/>
      <c r="X2732" s="5"/>
      <c r="Y2732" s="5"/>
      <c r="Z2732" s="5"/>
      <c r="AA2732" s="5"/>
      <c r="AB2732" s="5"/>
      <c r="AC2732" s="5"/>
      <c r="AD2732" s="5"/>
      <c r="AE2732" s="5"/>
      <c r="AF2732" s="5"/>
      <c r="AG2732" s="5"/>
    </row>
    <row r="2733" ht="15.75" customHeight="1">
      <c r="K2733" t="s">
        <v>4769</v>
      </c>
      <c r="L2733" t="str">
        <f>D174</f>
        <v>H3a1</v>
      </c>
      <c r="N2733" t="s">
        <v>4770</v>
      </c>
      <c r="O2733">
        <v>1.9523645E7</v>
      </c>
      <c r="P2733">
        <v>1.7411765E7</v>
      </c>
      <c r="Q2733" t="s">
        <v>419</v>
      </c>
      <c r="R2733" s="5"/>
      <c r="S2733" s="5"/>
      <c r="T2733" s="5"/>
      <c r="U2733" s="5"/>
      <c r="V2733" s="5"/>
      <c r="W2733" s="5"/>
      <c r="X2733" s="5"/>
      <c r="Y2733" s="5"/>
      <c r="Z2733" s="5"/>
      <c r="AA2733" s="5"/>
      <c r="AB2733" s="5"/>
      <c r="AC2733" s="5"/>
      <c r="AD2733" s="5"/>
      <c r="AE2733" s="5"/>
      <c r="AF2733" s="5"/>
      <c r="AG2733" s="5"/>
    </row>
    <row r="2734" ht="15.75" customHeight="1">
      <c r="K2734" t="s">
        <v>4771</v>
      </c>
      <c r="L2734" t="str">
        <f>D174</f>
        <v>H3a1</v>
      </c>
      <c r="N2734" t="s">
        <v>4772</v>
      </c>
      <c r="O2734">
        <v>1.9543406E7</v>
      </c>
      <c r="P2734">
        <v>1.7431526E7</v>
      </c>
      <c r="Q2734" t="s">
        <v>431</v>
      </c>
      <c r="R2734" s="5"/>
      <c r="S2734" s="5"/>
      <c r="T2734" s="5"/>
      <c r="U2734" s="5"/>
      <c r="V2734" s="5"/>
      <c r="W2734" s="5"/>
      <c r="X2734" s="5"/>
      <c r="Y2734" s="5"/>
      <c r="Z2734" s="5"/>
      <c r="AA2734" s="5"/>
      <c r="AB2734" s="5"/>
      <c r="AC2734" s="5"/>
      <c r="AD2734" s="5"/>
      <c r="AE2734" s="5"/>
      <c r="AF2734" s="5"/>
      <c r="AG2734" s="5"/>
    </row>
    <row r="2735" ht="15.75" customHeight="1">
      <c r="K2735" t="s">
        <v>4773</v>
      </c>
      <c r="L2735" t="str">
        <f>D174</f>
        <v>H3a1</v>
      </c>
      <c r="N2735" t="s">
        <v>4774</v>
      </c>
      <c r="O2735">
        <v>1.9556535E7</v>
      </c>
      <c r="P2735">
        <v>1.7444655E7</v>
      </c>
      <c r="Q2735" t="s">
        <v>419</v>
      </c>
      <c r="R2735" s="5"/>
      <c r="S2735" s="5"/>
      <c r="T2735" s="5"/>
      <c r="U2735" s="5"/>
      <c r="V2735" s="5"/>
      <c r="W2735" s="5"/>
      <c r="X2735" s="5"/>
      <c r="Y2735" s="5"/>
      <c r="Z2735" s="5"/>
      <c r="AA2735" s="5"/>
      <c r="AB2735" s="5"/>
      <c r="AC2735" s="5"/>
      <c r="AD2735" s="5"/>
      <c r="AE2735" s="5"/>
      <c r="AF2735" s="5"/>
      <c r="AG2735" s="5"/>
    </row>
    <row r="2736" ht="15.75" customHeight="1">
      <c r="K2736" t="s">
        <v>4775</v>
      </c>
      <c r="L2736" t="str">
        <f>D174</f>
        <v>H3a1</v>
      </c>
      <c r="O2736" t="s">
        <v>4776</v>
      </c>
      <c r="P2736" t="s">
        <v>4777</v>
      </c>
      <c r="Q2736" t="s">
        <v>4778</v>
      </c>
      <c r="R2736" s="5"/>
      <c r="S2736" s="5"/>
      <c r="T2736" s="5"/>
      <c r="U2736" s="5"/>
      <c r="V2736" s="5"/>
      <c r="W2736" s="5"/>
      <c r="X2736" s="5"/>
      <c r="Y2736" s="5"/>
      <c r="Z2736" s="5"/>
      <c r="AA2736" s="5"/>
      <c r="AB2736" s="5"/>
      <c r="AC2736" s="5"/>
      <c r="AD2736" s="5"/>
      <c r="AE2736" s="5"/>
      <c r="AF2736" s="5"/>
      <c r="AG2736" s="5"/>
    </row>
    <row r="2737" ht="15.75" customHeight="1">
      <c r="K2737" t="s">
        <v>4779</v>
      </c>
      <c r="L2737" t="str">
        <f>D174</f>
        <v>H3a1</v>
      </c>
      <c r="N2737" t="s">
        <v>4780</v>
      </c>
      <c r="O2737">
        <v>2.1176459E7</v>
      </c>
      <c r="P2737">
        <v>1.9014573E7</v>
      </c>
      <c r="Q2737" t="s">
        <v>431</v>
      </c>
      <c r="R2737" s="5"/>
      <c r="S2737" s="5"/>
      <c r="T2737" s="5"/>
      <c r="U2737" s="5"/>
      <c r="V2737" s="5"/>
      <c r="W2737" s="5"/>
      <c r="X2737" s="5"/>
      <c r="Y2737" s="5"/>
      <c r="Z2737" s="5"/>
      <c r="AA2737" s="5"/>
      <c r="AB2737" s="5"/>
      <c r="AC2737" s="5"/>
      <c r="AD2737" s="5"/>
      <c r="AE2737" s="5"/>
      <c r="AF2737" s="5"/>
      <c r="AG2737" s="5"/>
    </row>
    <row r="2738" ht="15.75" customHeight="1">
      <c r="K2738" t="s">
        <v>4781</v>
      </c>
      <c r="L2738" t="str">
        <f>D174</f>
        <v>H3a1</v>
      </c>
      <c r="N2738" t="s">
        <v>4782</v>
      </c>
      <c r="O2738">
        <v>2.1264931E7</v>
      </c>
      <c r="P2738">
        <v>1.9103045E7</v>
      </c>
      <c r="Q2738" t="s">
        <v>525</v>
      </c>
      <c r="R2738" s="5"/>
      <c r="S2738" s="5"/>
      <c r="T2738" s="5"/>
      <c r="U2738" s="5"/>
      <c r="V2738" s="5"/>
      <c r="W2738" s="5"/>
      <c r="X2738" s="5"/>
      <c r="Y2738" s="5"/>
      <c r="Z2738" s="5"/>
      <c r="AA2738" s="5"/>
      <c r="AB2738" s="5"/>
      <c r="AC2738" s="5"/>
      <c r="AD2738" s="5"/>
      <c r="AE2738" s="5"/>
      <c r="AF2738" s="5"/>
      <c r="AG2738" s="5"/>
    </row>
    <row r="2739" ht="15.75" customHeight="1">
      <c r="K2739" t="s">
        <v>4783</v>
      </c>
      <c r="L2739" t="str">
        <f>D174</f>
        <v>H3a1</v>
      </c>
      <c r="N2739" t="s">
        <v>4784</v>
      </c>
      <c r="O2739">
        <v>2.1270634E7</v>
      </c>
      <c r="P2739">
        <v>1.9108748E7</v>
      </c>
      <c r="Q2739" t="s">
        <v>427</v>
      </c>
      <c r="R2739" s="5"/>
      <c r="S2739" s="5"/>
      <c r="T2739" s="5"/>
      <c r="U2739" s="5"/>
      <c r="V2739" s="5"/>
      <c r="W2739" s="5"/>
      <c r="X2739" s="5"/>
      <c r="Y2739" s="5"/>
      <c r="Z2739" s="5"/>
      <c r="AA2739" s="5"/>
      <c r="AB2739" s="5"/>
      <c r="AC2739" s="5"/>
      <c r="AD2739" s="5"/>
      <c r="AE2739" s="5"/>
      <c r="AF2739" s="5"/>
      <c r="AG2739" s="5"/>
    </row>
    <row r="2740" ht="15.75" customHeight="1">
      <c r="K2740" t="s">
        <v>4785</v>
      </c>
      <c r="L2740" t="str">
        <f>D174</f>
        <v>H3a1</v>
      </c>
      <c r="N2740" t="s">
        <v>4786</v>
      </c>
      <c r="O2740">
        <v>2.1335361E7</v>
      </c>
      <c r="P2740">
        <v>1.9173475E7</v>
      </c>
      <c r="Q2740" t="s">
        <v>435</v>
      </c>
      <c r="R2740" s="5"/>
      <c r="S2740" s="5"/>
      <c r="T2740" s="5"/>
      <c r="U2740" s="5"/>
      <c r="V2740" s="5"/>
      <c r="W2740" s="5"/>
      <c r="X2740" s="5"/>
      <c r="Y2740" s="5"/>
      <c r="Z2740" s="5"/>
      <c r="AA2740" s="5"/>
      <c r="AB2740" s="5"/>
      <c r="AC2740" s="5"/>
      <c r="AD2740" s="5"/>
      <c r="AE2740" s="5"/>
      <c r="AF2740" s="5"/>
      <c r="AG2740" s="5"/>
    </row>
    <row r="2741" ht="15.75" customHeight="1">
      <c r="K2741" t="s">
        <v>4787</v>
      </c>
      <c r="L2741" t="str">
        <f>D174</f>
        <v>H3a1</v>
      </c>
      <c r="N2741" t="s">
        <v>4788</v>
      </c>
      <c r="O2741">
        <v>2.138534E7</v>
      </c>
      <c r="P2741">
        <v>1.9223454E7</v>
      </c>
      <c r="Q2741" t="s">
        <v>435</v>
      </c>
      <c r="R2741" s="5"/>
      <c r="S2741" s="5"/>
      <c r="T2741" s="5"/>
      <c r="U2741" s="5"/>
      <c r="V2741" s="5"/>
      <c r="W2741" s="5"/>
      <c r="X2741" s="5"/>
      <c r="Y2741" s="5"/>
      <c r="Z2741" s="5"/>
      <c r="AA2741" s="5"/>
      <c r="AB2741" s="5"/>
      <c r="AC2741" s="5"/>
      <c r="AD2741" s="5"/>
      <c r="AE2741" s="5"/>
      <c r="AF2741" s="5"/>
      <c r="AG2741" s="5"/>
    </row>
    <row r="2742" ht="15.75" customHeight="1">
      <c r="K2742" t="s">
        <v>4789</v>
      </c>
      <c r="L2742" t="str">
        <f>D174</f>
        <v>H3a1</v>
      </c>
      <c r="N2742" t="s">
        <v>4790</v>
      </c>
      <c r="O2742">
        <v>2.1522148E7</v>
      </c>
      <c r="P2742">
        <v>1.9360262E7</v>
      </c>
      <c r="Q2742" t="s">
        <v>423</v>
      </c>
      <c r="R2742" s="5"/>
      <c r="S2742" s="5"/>
      <c r="T2742" s="5"/>
      <c r="U2742" s="5"/>
      <c r="V2742" s="5"/>
      <c r="W2742" s="5"/>
      <c r="X2742" s="5"/>
      <c r="Y2742" s="5"/>
      <c r="Z2742" s="5"/>
      <c r="AA2742" s="5"/>
      <c r="AB2742" s="5"/>
      <c r="AC2742" s="5"/>
      <c r="AD2742" s="5"/>
      <c r="AE2742" s="5"/>
      <c r="AF2742" s="5"/>
      <c r="AG2742" s="5"/>
    </row>
    <row r="2743" ht="15.75" customHeight="1">
      <c r="K2743" t="s">
        <v>4791</v>
      </c>
      <c r="L2743" t="str">
        <f>D174</f>
        <v>H3a1</v>
      </c>
      <c r="N2743" t="s">
        <v>4792</v>
      </c>
      <c r="O2743">
        <v>2.1603982E7</v>
      </c>
      <c r="P2743">
        <v>1.9442096E7</v>
      </c>
      <c r="Q2743" t="s">
        <v>427</v>
      </c>
      <c r="R2743" s="5"/>
      <c r="S2743" s="5"/>
      <c r="T2743" s="5"/>
      <c r="U2743" s="5"/>
      <c r="V2743" s="5"/>
      <c r="W2743" s="5"/>
      <c r="X2743" s="5"/>
      <c r="Y2743" s="5"/>
      <c r="Z2743" s="5"/>
      <c r="AA2743" s="5"/>
      <c r="AB2743" s="5"/>
      <c r="AC2743" s="5"/>
      <c r="AD2743" s="5"/>
      <c r="AE2743" s="5"/>
      <c r="AF2743" s="5"/>
      <c r="AG2743" s="5"/>
    </row>
    <row r="2744" ht="15.75" customHeight="1">
      <c r="K2744" t="s">
        <v>4793</v>
      </c>
      <c r="L2744" t="str">
        <f>D174</f>
        <v>H3a1</v>
      </c>
      <c r="N2744" t="s">
        <v>4794</v>
      </c>
      <c r="O2744">
        <v>2.1733436E7</v>
      </c>
      <c r="P2744">
        <v>1.957155E7</v>
      </c>
      <c r="Q2744" t="s">
        <v>419</v>
      </c>
      <c r="R2744" s="5"/>
      <c r="S2744" s="5"/>
      <c r="T2744" s="5"/>
      <c r="U2744" s="5"/>
      <c r="V2744" s="5"/>
      <c r="W2744" s="5"/>
      <c r="X2744" s="5"/>
      <c r="Y2744" s="5"/>
      <c r="Z2744" s="5"/>
      <c r="AA2744" s="5"/>
      <c r="AB2744" s="5"/>
      <c r="AC2744" s="5"/>
      <c r="AD2744" s="5"/>
      <c r="AE2744" s="5"/>
      <c r="AF2744" s="5"/>
      <c r="AG2744" s="5"/>
    </row>
    <row r="2745" ht="15.75" customHeight="1">
      <c r="K2745" t="s">
        <v>4795</v>
      </c>
      <c r="L2745" t="str">
        <f>D174</f>
        <v>H3a1</v>
      </c>
      <c r="N2745" t="s">
        <v>4796</v>
      </c>
      <c r="O2745">
        <v>2.1865637E7</v>
      </c>
      <c r="P2745">
        <v>1.9703751E7</v>
      </c>
      <c r="Q2745" t="s">
        <v>476</v>
      </c>
      <c r="R2745" s="5"/>
      <c r="S2745" s="5"/>
      <c r="T2745" s="5"/>
      <c r="U2745" s="5"/>
      <c r="V2745" s="5"/>
      <c r="W2745" s="5"/>
      <c r="X2745" s="5"/>
      <c r="Y2745" s="5"/>
      <c r="Z2745" s="5"/>
      <c r="AA2745" s="5"/>
      <c r="AB2745" s="5"/>
      <c r="AC2745" s="5"/>
      <c r="AD2745" s="5"/>
      <c r="AE2745" s="5"/>
      <c r="AF2745" s="5"/>
      <c r="AG2745" s="5"/>
    </row>
    <row r="2746" ht="15.75" customHeight="1">
      <c r="K2746" t="s">
        <v>4797</v>
      </c>
      <c r="L2746" t="str">
        <f>D174</f>
        <v>H3a1</v>
      </c>
      <c r="O2746" t="s">
        <v>4798</v>
      </c>
      <c r="P2746" t="s">
        <v>4799</v>
      </c>
      <c r="Q2746" t="s">
        <v>2413</v>
      </c>
      <c r="R2746" s="5"/>
      <c r="S2746" s="5"/>
      <c r="T2746" s="5"/>
      <c r="U2746" s="5"/>
      <c r="V2746" s="5"/>
      <c r="W2746" s="5"/>
      <c r="X2746" s="5"/>
      <c r="Y2746" s="5"/>
      <c r="Z2746" s="5"/>
      <c r="AA2746" s="5"/>
      <c r="AB2746" s="5"/>
      <c r="AC2746" s="5"/>
      <c r="AD2746" s="5"/>
      <c r="AE2746" s="5"/>
      <c r="AF2746" s="5"/>
      <c r="AG2746" s="5"/>
    </row>
    <row r="2747" ht="15.75" customHeight="1">
      <c r="K2747" t="s">
        <v>4800</v>
      </c>
      <c r="L2747" t="str">
        <f>D174</f>
        <v>H3a1</v>
      </c>
      <c r="N2747" t="s">
        <v>4801</v>
      </c>
      <c r="O2747">
        <v>2.1963229E7</v>
      </c>
      <c r="P2747">
        <v>1.9801343E7</v>
      </c>
      <c r="Q2747" t="s">
        <v>423</v>
      </c>
      <c r="R2747" s="5"/>
      <c r="S2747" s="5"/>
      <c r="T2747" s="5"/>
      <c r="U2747" s="5"/>
      <c r="V2747" s="5"/>
      <c r="W2747" s="5"/>
      <c r="X2747" s="5"/>
      <c r="Y2747" s="5"/>
      <c r="Z2747" s="5"/>
      <c r="AA2747" s="5"/>
      <c r="AB2747" s="5"/>
      <c r="AC2747" s="5"/>
      <c r="AD2747" s="5"/>
      <c r="AE2747" s="5"/>
      <c r="AF2747" s="5"/>
      <c r="AG2747" s="5"/>
    </row>
    <row r="2748" ht="15.75" customHeight="1">
      <c r="K2748" t="s">
        <v>4802</v>
      </c>
      <c r="L2748" t="str">
        <f>D174</f>
        <v>H3a1</v>
      </c>
      <c r="N2748" t="s">
        <v>4803</v>
      </c>
      <c r="O2748">
        <v>2.1986292E7</v>
      </c>
      <c r="P2748">
        <v>1.9824406E7</v>
      </c>
      <c r="Q2748" t="s">
        <v>427</v>
      </c>
      <c r="R2748" s="5"/>
      <c r="S2748" s="5"/>
      <c r="T2748" s="5"/>
      <c r="U2748" s="5"/>
      <c r="V2748" s="5"/>
      <c r="W2748" s="5"/>
      <c r="X2748" s="5"/>
      <c r="Y2748" s="5"/>
      <c r="Z2748" s="5"/>
      <c r="AA2748" s="5"/>
      <c r="AB2748" s="5"/>
      <c r="AC2748" s="5"/>
      <c r="AD2748" s="5"/>
      <c r="AE2748" s="5"/>
      <c r="AF2748" s="5"/>
      <c r="AG2748" s="5"/>
    </row>
    <row r="2749" ht="15.75" customHeight="1">
      <c r="K2749" t="s">
        <v>4804</v>
      </c>
      <c r="L2749" t="str">
        <f>D174</f>
        <v>H3a1</v>
      </c>
      <c r="N2749" t="s">
        <v>4805</v>
      </c>
      <c r="O2749">
        <v>2.2064955E7</v>
      </c>
      <c r="P2749">
        <v>1.9903069E7</v>
      </c>
      <c r="Q2749" t="s">
        <v>419</v>
      </c>
      <c r="R2749" s="5"/>
      <c r="S2749" s="5"/>
      <c r="T2749" s="5"/>
      <c r="U2749" s="5"/>
      <c r="V2749" s="5"/>
      <c r="W2749" s="5"/>
      <c r="X2749" s="5"/>
      <c r="Y2749" s="5"/>
      <c r="Z2749" s="5"/>
      <c r="AA2749" s="5"/>
      <c r="AB2749" s="5"/>
      <c r="AC2749" s="5"/>
      <c r="AD2749" s="5"/>
      <c r="AE2749" s="5"/>
      <c r="AF2749" s="5"/>
      <c r="AG2749" s="5"/>
    </row>
    <row r="2750" ht="15.75" customHeight="1">
      <c r="K2750" t="s">
        <v>4806</v>
      </c>
      <c r="L2750" t="str">
        <f>D174</f>
        <v>H3a1</v>
      </c>
      <c r="N2750" t="s">
        <v>4807</v>
      </c>
      <c r="O2750">
        <v>2.2114723E7</v>
      </c>
      <c r="P2750">
        <v>1.9952837E7</v>
      </c>
      <c r="Q2750" t="s">
        <v>423</v>
      </c>
      <c r="R2750" s="5"/>
      <c r="S2750" s="5"/>
      <c r="T2750" s="5"/>
      <c r="U2750" s="5"/>
      <c r="V2750" s="5"/>
      <c r="W2750" s="5"/>
      <c r="X2750" s="5"/>
      <c r="Y2750" s="5"/>
      <c r="Z2750" s="5"/>
      <c r="AA2750" s="5"/>
      <c r="AB2750" s="5"/>
      <c r="AC2750" s="5"/>
      <c r="AD2750" s="5"/>
      <c r="AE2750" s="5"/>
      <c r="AF2750" s="5"/>
      <c r="AG2750" s="5"/>
    </row>
    <row r="2751" ht="15.75" customHeight="1">
      <c r="K2751" t="s">
        <v>4808</v>
      </c>
      <c r="L2751" t="str">
        <f>D174</f>
        <v>H3a1</v>
      </c>
      <c r="N2751" t="s">
        <v>4809</v>
      </c>
      <c r="O2751">
        <v>2.263985E7</v>
      </c>
      <c r="P2751">
        <v>2.0477964E7</v>
      </c>
      <c r="Q2751" t="s">
        <v>476</v>
      </c>
      <c r="R2751" s="5"/>
      <c r="S2751" s="5"/>
      <c r="T2751" s="5"/>
      <c r="U2751" s="5"/>
      <c r="V2751" s="5"/>
      <c r="W2751" s="5"/>
      <c r="X2751" s="5"/>
      <c r="Y2751" s="5"/>
      <c r="Z2751" s="5"/>
      <c r="AA2751" s="5"/>
      <c r="AB2751" s="5"/>
      <c r="AC2751" s="5"/>
      <c r="AD2751" s="5"/>
      <c r="AE2751" s="5"/>
      <c r="AF2751" s="5"/>
      <c r="AG2751" s="5"/>
    </row>
    <row r="2752" ht="15.75" customHeight="1">
      <c r="K2752" t="s">
        <v>4810</v>
      </c>
      <c r="L2752" t="str">
        <f>D174</f>
        <v>H3a1</v>
      </c>
      <c r="N2752" t="s">
        <v>4811</v>
      </c>
      <c r="O2752">
        <v>2.2692532E7</v>
      </c>
      <c r="P2752">
        <v>2.0530646E7</v>
      </c>
      <c r="Q2752" t="s">
        <v>431</v>
      </c>
      <c r="R2752" s="5"/>
      <c r="S2752" s="5"/>
      <c r="T2752" s="5"/>
      <c r="U2752" s="5"/>
      <c r="V2752" s="5"/>
      <c r="W2752" s="5"/>
      <c r="X2752" s="5"/>
      <c r="Y2752" s="5"/>
      <c r="Z2752" s="5"/>
      <c r="AA2752" s="5"/>
      <c r="AB2752" s="5"/>
      <c r="AC2752" s="5"/>
      <c r="AD2752" s="5"/>
      <c r="AE2752" s="5"/>
      <c r="AF2752" s="5"/>
      <c r="AG2752" s="5"/>
    </row>
    <row r="2753" ht="15.75" customHeight="1">
      <c r="K2753" t="s">
        <v>4812</v>
      </c>
      <c r="L2753" t="str">
        <f>D174</f>
        <v>H3a1</v>
      </c>
      <c r="N2753" t="s">
        <v>4813</v>
      </c>
      <c r="O2753">
        <v>2.2794973E7</v>
      </c>
      <c r="P2753">
        <v>2.0633087E7</v>
      </c>
      <c r="Q2753" t="s">
        <v>419</v>
      </c>
      <c r="R2753" s="5"/>
      <c r="S2753" s="5"/>
      <c r="T2753" s="5"/>
      <c r="U2753" s="5"/>
      <c r="V2753" s="5"/>
      <c r="W2753" s="5"/>
      <c r="X2753" s="5"/>
      <c r="Y2753" s="5"/>
      <c r="Z2753" s="5"/>
      <c r="AA2753" s="5"/>
      <c r="AB2753" s="5"/>
      <c r="AC2753" s="5"/>
      <c r="AD2753" s="5"/>
      <c r="AE2753" s="5"/>
      <c r="AF2753" s="5"/>
      <c r="AG2753" s="5"/>
    </row>
    <row r="2754" ht="15.75" customHeight="1">
      <c r="K2754" t="s">
        <v>4814</v>
      </c>
      <c r="L2754" t="str">
        <f>D174</f>
        <v>H3a1</v>
      </c>
      <c r="N2754" t="s">
        <v>4815</v>
      </c>
      <c r="O2754">
        <v>2.3121729E7</v>
      </c>
      <c r="P2754">
        <v>2.0959843E7</v>
      </c>
      <c r="Q2754" t="s">
        <v>423</v>
      </c>
      <c r="R2754" s="5"/>
      <c r="S2754" s="5"/>
      <c r="T2754" s="5"/>
      <c r="U2754" s="5"/>
      <c r="V2754" s="5"/>
      <c r="W2754" s="5"/>
      <c r="X2754" s="5"/>
      <c r="Y2754" s="5"/>
      <c r="Z2754" s="5"/>
      <c r="AA2754" s="5"/>
      <c r="AB2754" s="5"/>
      <c r="AC2754" s="5"/>
      <c r="AD2754" s="5"/>
      <c r="AE2754" s="5"/>
      <c r="AF2754" s="5"/>
      <c r="AG2754" s="5"/>
    </row>
    <row r="2755" ht="15.75" customHeight="1">
      <c r="K2755" t="s">
        <v>4816</v>
      </c>
      <c r="L2755" t="str">
        <f>D174</f>
        <v>H3a1</v>
      </c>
      <c r="N2755" t="s">
        <v>4817</v>
      </c>
      <c r="O2755">
        <v>2.325227E7</v>
      </c>
      <c r="P2755">
        <v>2.1090384E7</v>
      </c>
      <c r="Q2755" t="s">
        <v>435</v>
      </c>
      <c r="R2755" s="5"/>
      <c r="S2755" s="5"/>
      <c r="T2755" s="5"/>
      <c r="U2755" s="5"/>
      <c r="V2755" s="5"/>
      <c r="W2755" s="5"/>
      <c r="X2755" s="5"/>
      <c r="Y2755" s="5"/>
      <c r="Z2755" s="5"/>
      <c r="AA2755" s="5"/>
      <c r="AB2755" s="5"/>
      <c r="AC2755" s="5"/>
      <c r="AD2755" s="5"/>
      <c r="AE2755" s="5"/>
      <c r="AF2755" s="5"/>
      <c r="AG2755" s="5"/>
    </row>
    <row r="2756" ht="15.75" customHeight="1">
      <c r="K2756" t="s">
        <v>4818</v>
      </c>
      <c r="L2756" t="str">
        <f>D174</f>
        <v>H3a1</v>
      </c>
      <c r="N2756" t="s">
        <v>4819</v>
      </c>
      <c r="O2756">
        <v>2.3421535E7</v>
      </c>
      <c r="P2756">
        <v>2.1259649E7</v>
      </c>
      <c r="Q2756" t="s">
        <v>435</v>
      </c>
      <c r="R2756" s="5"/>
      <c r="S2756" s="5"/>
      <c r="T2756" s="5"/>
      <c r="U2756" s="5"/>
      <c r="V2756" s="5"/>
      <c r="W2756" s="5"/>
      <c r="X2756" s="5"/>
      <c r="Y2756" s="5"/>
      <c r="Z2756" s="5"/>
      <c r="AA2756" s="5"/>
      <c r="AB2756" s="5"/>
      <c r="AC2756" s="5"/>
      <c r="AD2756" s="5"/>
      <c r="AE2756" s="5"/>
      <c r="AF2756" s="5"/>
      <c r="AG2756" s="5"/>
    </row>
    <row r="2757" ht="15.75" customHeight="1">
      <c r="K2757" t="s">
        <v>4820</v>
      </c>
      <c r="L2757" t="str">
        <f>D174</f>
        <v>H3a1</v>
      </c>
      <c r="N2757" t="s">
        <v>4821</v>
      </c>
      <c r="O2757">
        <v>2.3434953E7</v>
      </c>
      <c r="P2757">
        <v>2.1273067E7</v>
      </c>
      <c r="Q2757" t="s">
        <v>431</v>
      </c>
      <c r="R2757" s="5"/>
      <c r="S2757" s="5"/>
      <c r="T2757" s="5"/>
      <c r="U2757" s="5"/>
      <c r="V2757" s="5"/>
      <c r="W2757" s="5"/>
      <c r="X2757" s="5"/>
      <c r="Y2757" s="5"/>
      <c r="Z2757" s="5"/>
      <c r="AA2757" s="5"/>
      <c r="AB2757" s="5"/>
      <c r="AC2757" s="5"/>
      <c r="AD2757" s="5"/>
      <c r="AE2757" s="5"/>
      <c r="AF2757" s="5"/>
      <c r="AG2757" s="5"/>
    </row>
    <row r="2758" ht="15.75" customHeight="1">
      <c r="K2758" t="s">
        <v>4822</v>
      </c>
      <c r="L2758" t="str">
        <f>D174</f>
        <v>H3a1</v>
      </c>
      <c r="N2758" t="s">
        <v>4823</v>
      </c>
      <c r="O2758">
        <v>2.3446647E7</v>
      </c>
      <c r="P2758">
        <v>2.1284761E7</v>
      </c>
      <c r="Q2758" t="s">
        <v>435</v>
      </c>
      <c r="R2758" s="5"/>
      <c r="S2758" s="5"/>
      <c r="T2758" s="5"/>
      <c r="U2758" s="5"/>
      <c r="V2758" s="5"/>
      <c r="W2758" s="5"/>
      <c r="X2758" s="5"/>
      <c r="Y2758" s="5"/>
      <c r="Z2758" s="5"/>
      <c r="AA2758" s="5"/>
      <c r="AB2758" s="5"/>
      <c r="AC2758" s="5"/>
      <c r="AD2758" s="5"/>
      <c r="AE2758" s="5"/>
      <c r="AF2758" s="5"/>
      <c r="AG2758" s="5"/>
    </row>
    <row r="2759" ht="15.75" customHeight="1">
      <c r="K2759" t="s">
        <v>4824</v>
      </c>
      <c r="L2759" t="str">
        <f>D174</f>
        <v>H3a1</v>
      </c>
      <c r="N2759" t="s">
        <v>4825</v>
      </c>
      <c r="O2759">
        <v>2.3448651E7</v>
      </c>
      <c r="P2759">
        <v>2.1286765E7</v>
      </c>
      <c r="Q2759" t="s">
        <v>423</v>
      </c>
      <c r="R2759" s="5"/>
      <c r="S2759" s="5"/>
      <c r="T2759" s="5"/>
      <c r="U2759" s="5"/>
      <c r="V2759" s="5"/>
      <c r="W2759" s="5"/>
      <c r="X2759" s="5"/>
      <c r="Y2759" s="5"/>
      <c r="Z2759" s="5"/>
      <c r="AA2759" s="5"/>
      <c r="AB2759" s="5"/>
      <c r="AC2759" s="5"/>
      <c r="AD2759" s="5"/>
      <c r="AE2759" s="5"/>
      <c r="AF2759" s="5"/>
      <c r="AG2759" s="5"/>
    </row>
    <row r="2760" ht="15.75" customHeight="1">
      <c r="K2760" t="s">
        <v>4826</v>
      </c>
      <c r="L2760" t="str">
        <f>D174</f>
        <v>H3a1</v>
      </c>
      <c r="N2760" t="s">
        <v>4827</v>
      </c>
      <c r="O2760">
        <v>2.3492051E7</v>
      </c>
      <c r="P2760">
        <v>2.1330165E7</v>
      </c>
      <c r="Q2760" t="s">
        <v>459</v>
      </c>
      <c r="R2760" s="5"/>
      <c r="S2760" s="5"/>
      <c r="T2760" s="5"/>
      <c r="U2760" s="5"/>
      <c r="V2760" s="5"/>
      <c r="W2760" s="5"/>
      <c r="X2760" s="5"/>
      <c r="Y2760" s="5"/>
      <c r="Z2760" s="5"/>
      <c r="AA2760" s="5"/>
      <c r="AB2760" s="5"/>
      <c r="AC2760" s="5"/>
      <c r="AD2760" s="5"/>
      <c r="AE2760" s="5"/>
      <c r="AF2760" s="5"/>
      <c r="AG2760" s="5"/>
    </row>
    <row r="2761" ht="15.75" customHeight="1">
      <c r="K2761" t="s">
        <v>4828</v>
      </c>
      <c r="L2761" t="str">
        <f>D174</f>
        <v>H3a1</v>
      </c>
      <c r="N2761" t="s">
        <v>4829</v>
      </c>
      <c r="O2761">
        <v>2.3526128E7</v>
      </c>
      <c r="P2761">
        <v>2.1364242E7</v>
      </c>
      <c r="Q2761" t="s">
        <v>423</v>
      </c>
      <c r="R2761" s="5"/>
      <c r="S2761" s="5"/>
      <c r="T2761" s="5"/>
      <c r="U2761" s="5"/>
      <c r="V2761" s="5"/>
      <c r="W2761" s="5"/>
      <c r="X2761" s="5"/>
      <c r="Y2761" s="5"/>
      <c r="Z2761" s="5"/>
      <c r="AA2761" s="5"/>
      <c r="AB2761" s="5"/>
      <c r="AC2761" s="5"/>
      <c r="AD2761" s="5"/>
      <c r="AE2761" s="5"/>
      <c r="AF2761" s="5"/>
      <c r="AG2761" s="5"/>
    </row>
    <row r="2762" ht="15.75" customHeight="1">
      <c r="K2762" t="s">
        <v>4830</v>
      </c>
      <c r="L2762" t="str">
        <f>D174</f>
        <v>H3a1</v>
      </c>
      <c r="N2762" t="s">
        <v>4831</v>
      </c>
      <c r="O2762">
        <v>2.3613643E7</v>
      </c>
      <c r="P2762">
        <v>2.1451757E7</v>
      </c>
      <c r="Q2762" t="s">
        <v>423</v>
      </c>
      <c r="R2762" s="5"/>
      <c r="S2762" s="5"/>
      <c r="T2762" s="5"/>
      <c r="U2762" s="5"/>
      <c r="V2762" s="5"/>
      <c r="W2762" s="5"/>
      <c r="X2762" s="5"/>
      <c r="Y2762" s="5"/>
      <c r="Z2762" s="5"/>
      <c r="AA2762" s="5"/>
      <c r="AB2762" s="5"/>
      <c r="AC2762" s="5"/>
      <c r="AD2762" s="5"/>
      <c r="AE2762" s="5"/>
      <c r="AF2762" s="5"/>
      <c r="AG2762" s="5"/>
    </row>
    <row r="2763" ht="15.75" customHeight="1">
      <c r="K2763" t="s">
        <v>4832</v>
      </c>
      <c r="L2763" t="str">
        <f>D174</f>
        <v>H3a1</v>
      </c>
      <c r="N2763" t="s">
        <v>4833</v>
      </c>
      <c r="O2763">
        <v>2.3757762E7</v>
      </c>
      <c r="P2763">
        <v>2.1595876E7</v>
      </c>
      <c r="Q2763" t="s">
        <v>423</v>
      </c>
      <c r="R2763" s="5"/>
      <c r="S2763" s="5"/>
      <c r="T2763" s="5"/>
      <c r="U2763" s="5"/>
      <c r="V2763" s="5"/>
      <c r="W2763" s="5"/>
      <c r="X2763" s="5"/>
      <c r="Y2763" s="5"/>
      <c r="Z2763" s="5"/>
      <c r="AA2763" s="5"/>
      <c r="AB2763" s="5"/>
      <c r="AC2763" s="5"/>
      <c r="AD2763" s="5"/>
      <c r="AE2763" s="5"/>
      <c r="AF2763" s="5"/>
      <c r="AG2763" s="5"/>
    </row>
    <row r="2764" ht="15.75" customHeight="1">
      <c r="K2764" t="s">
        <v>4834</v>
      </c>
      <c r="L2764" t="str">
        <f>D174</f>
        <v>H3a1</v>
      </c>
      <c r="N2764" t="s">
        <v>4835</v>
      </c>
      <c r="O2764">
        <v>2.3849641E7</v>
      </c>
      <c r="P2764">
        <v>2.1687755E7</v>
      </c>
      <c r="Q2764" t="s">
        <v>427</v>
      </c>
      <c r="R2764" s="5"/>
      <c r="S2764" s="5"/>
      <c r="T2764" s="5"/>
      <c r="U2764" s="5"/>
      <c r="V2764" s="5"/>
      <c r="W2764" s="5"/>
      <c r="X2764" s="5"/>
      <c r="Y2764" s="5"/>
      <c r="Z2764" s="5"/>
      <c r="AA2764" s="5"/>
      <c r="AB2764" s="5"/>
      <c r="AC2764" s="5"/>
      <c r="AD2764" s="5"/>
      <c r="AE2764" s="5"/>
      <c r="AF2764" s="5"/>
      <c r="AG2764" s="5"/>
    </row>
    <row r="2765" ht="15.75" customHeight="1">
      <c r="K2765" t="s">
        <v>4836</v>
      </c>
      <c r="L2765" t="str">
        <f>D174</f>
        <v>H3a1</v>
      </c>
      <c r="N2765" t="s">
        <v>4837</v>
      </c>
      <c r="O2765">
        <v>2.436338E7</v>
      </c>
      <c r="P2765">
        <v>2.2217233E7</v>
      </c>
      <c r="Q2765" t="s">
        <v>419</v>
      </c>
      <c r="R2765" s="5"/>
      <c r="S2765" s="5"/>
      <c r="T2765" s="5"/>
      <c r="U2765" s="5"/>
      <c r="V2765" s="5"/>
      <c r="W2765" s="5"/>
      <c r="X2765" s="5"/>
      <c r="Y2765" s="5"/>
      <c r="Z2765" s="5"/>
      <c r="AA2765" s="5"/>
      <c r="AB2765" s="5"/>
      <c r="AC2765" s="5"/>
      <c r="AD2765" s="5"/>
      <c r="AE2765" s="5"/>
      <c r="AF2765" s="5"/>
      <c r="AG2765" s="5"/>
    </row>
    <row r="2766" ht="15.75" customHeight="1">
      <c r="K2766" t="s">
        <v>4838</v>
      </c>
      <c r="L2766" t="str">
        <f>D174</f>
        <v>H3a1</v>
      </c>
      <c r="N2766" t="s">
        <v>4839</v>
      </c>
      <c r="O2766">
        <v>2.4440235E7</v>
      </c>
      <c r="P2766">
        <v>2.2294088E7</v>
      </c>
      <c r="Q2766" t="s">
        <v>419</v>
      </c>
      <c r="R2766" s="5"/>
      <c r="S2766" s="5"/>
      <c r="T2766" s="5"/>
      <c r="U2766" s="5"/>
      <c r="V2766" s="5"/>
      <c r="W2766" s="5"/>
      <c r="X2766" s="5"/>
      <c r="Y2766" s="5"/>
      <c r="Z2766" s="5"/>
      <c r="AA2766" s="5"/>
      <c r="AB2766" s="5"/>
      <c r="AC2766" s="5"/>
      <c r="AD2766" s="5"/>
      <c r="AE2766" s="5"/>
      <c r="AF2766" s="5"/>
      <c r="AG2766" s="5"/>
    </row>
    <row r="2767" ht="15.75" customHeight="1">
      <c r="K2767" t="s">
        <v>4840</v>
      </c>
      <c r="L2767" t="str">
        <f>D174</f>
        <v>H3a1</v>
      </c>
      <c r="N2767" t="s">
        <v>4841</v>
      </c>
      <c r="O2767">
        <v>2.4463179E7</v>
      </c>
      <c r="P2767">
        <v>2.2317032E7</v>
      </c>
      <c r="Q2767" t="s">
        <v>435</v>
      </c>
      <c r="R2767" s="5"/>
      <c r="S2767" s="5"/>
      <c r="T2767" s="5"/>
      <c r="U2767" s="5"/>
      <c r="V2767" s="5"/>
      <c r="W2767" s="5"/>
      <c r="X2767" s="5"/>
      <c r="Y2767" s="5"/>
      <c r="Z2767" s="5"/>
      <c r="AA2767" s="5"/>
      <c r="AB2767" s="5"/>
      <c r="AC2767" s="5"/>
      <c r="AD2767" s="5"/>
      <c r="AE2767" s="5"/>
      <c r="AF2767" s="5"/>
      <c r="AG2767" s="5"/>
    </row>
    <row r="2768" ht="15.75" customHeight="1">
      <c r="K2768" t="s">
        <v>4842</v>
      </c>
      <c r="L2768" t="str">
        <f>D174</f>
        <v>H3a1</v>
      </c>
      <c r="O2768">
        <v>2.4500505E7</v>
      </c>
      <c r="P2768">
        <v>2.2354358E7</v>
      </c>
      <c r="Q2768" t="s">
        <v>435</v>
      </c>
      <c r="R2768" s="5"/>
      <c r="S2768" s="5"/>
      <c r="T2768" s="5"/>
      <c r="U2768" s="5"/>
      <c r="V2768" s="5"/>
      <c r="W2768" s="5"/>
      <c r="X2768" s="5"/>
      <c r="Y2768" s="5"/>
      <c r="Z2768" s="5"/>
      <c r="AA2768" s="5"/>
      <c r="AB2768" s="5"/>
      <c r="AC2768" s="5"/>
      <c r="AD2768" s="5"/>
      <c r="AE2768" s="5"/>
      <c r="AF2768" s="5"/>
      <c r="AG2768" s="5"/>
    </row>
    <row r="2769" ht="15.75" customHeight="1">
      <c r="K2769" t="s">
        <v>4843</v>
      </c>
      <c r="L2769" t="str">
        <f>D174</f>
        <v>H3a1</v>
      </c>
      <c r="O2769">
        <v>2.8563503E7</v>
      </c>
      <c r="P2769">
        <v>2.6417356E7</v>
      </c>
      <c r="Q2769" t="s">
        <v>476</v>
      </c>
      <c r="R2769" s="5"/>
      <c r="S2769" s="5"/>
      <c r="T2769" s="5"/>
      <c r="U2769" s="5"/>
      <c r="V2769" s="5"/>
      <c r="W2769" s="5"/>
      <c r="X2769" s="5"/>
      <c r="Y2769" s="5"/>
      <c r="Z2769" s="5"/>
      <c r="AA2769" s="5"/>
      <c r="AB2769" s="5"/>
      <c r="AC2769" s="5"/>
      <c r="AD2769" s="5"/>
      <c r="AE2769" s="5"/>
      <c r="AF2769" s="5"/>
      <c r="AG2769" s="5"/>
    </row>
    <row r="2770" ht="15.75" customHeight="1">
      <c r="K2770" t="s">
        <v>4844</v>
      </c>
      <c r="L2770" t="str">
        <f>D174</f>
        <v>H3a1</v>
      </c>
      <c r="N2770" t="s">
        <v>4845</v>
      </c>
      <c r="O2770">
        <v>2.8751447E7</v>
      </c>
      <c r="P2770">
        <v>2.66053E7</v>
      </c>
      <c r="Q2770" t="s">
        <v>423</v>
      </c>
      <c r="R2770" s="5"/>
      <c r="S2770" s="5"/>
      <c r="T2770" s="5"/>
      <c r="U2770" s="5"/>
      <c r="V2770" s="5"/>
      <c r="W2770" s="5"/>
      <c r="X2770" s="5"/>
      <c r="Y2770" s="5"/>
      <c r="Z2770" s="5"/>
      <c r="AA2770" s="5"/>
      <c r="AB2770" s="5"/>
      <c r="AC2770" s="5"/>
      <c r="AD2770" s="5"/>
      <c r="AE2770" s="5"/>
      <c r="AF2770" s="5"/>
      <c r="AG2770" s="5"/>
    </row>
    <row r="2771" ht="15.75" customHeight="1">
      <c r="K2771" t="s">
        <v>4846</v>
      </c>
      <c r="L2771" t="str">
        <f t="shared" ref="L2771:L2772" si="51">D174</f>
        <v>H3a1</v>
      </c>
      <c r="O2771">
        <v>2.8788271E7</v>
      </c>
      <c r="P2771">
        <v>2.6642124E7</v>
      </c>
      <c r="Q2771" t="s">
        <v>431</v>
      </c>
      <c r="R2771" s="5"/>
      <c r="S2771" s="5"/>
      <c r="T2771" s="5"/>
      <c r="U2771" s="5"/>
      <c r="V2771" s="5"/>
      <c r="W2771" s="5"/>
      <c r="X2771" s="5"/>
      <c r="Y2771" s="5"/>
      <c r="Z2771" s="5"/>
      <c r="AA2771" s="5"/>
      <c r="AB2771" s="5"/>
      <c r="AC2771" s="5"/>
      <c r="AD2771" s="5"/>
      <c r="AE2771" s="5"/>
      <c r="AF2771" s="5"/>
      <c r="AG2771" s="5"/>
    </row>
    <row r="2772" ht="15.75" customHeight="1">
      <c r="K2772" t="s">
        <v>4847</v>
      </c>
      <c r="L2772" t="str">
        <f t="shared" si="51"/>
        <v>H3a1~</v>
      </c>
      <c r="N2772" t="s">
        <v>4848</v>
      </c>
      <c r="O2772">
        <v>2762031.0</v>
      </c>
      <c r="P2772">
        <v>2893990.0</v>
      </c>
      <c r="Q2772" t="s">
        <v>419</v>
      </c>
      <c r="R2772" s="5"/>
      <c r="S2772" s="5"/>
      <c r="T2772" s="5"/>
      <c r="U2772" s="5"/>
      <c r="V2772" s="5"/>
      <c r="W2772" s="5"/>
      <c r="X2772" s="5"/>
      <c r="Y2772" s="5"/>
      <c r="Z2772" s="5"/>
      <c r="AA2772" s="5"/>
      <c r="AB2772" s="5"/>
      <c r="AC2772" s="5"/>
      <c r="AD2772" s="5"/>
      <c r="AE2772" s="5"/>
      <c r="AF2772" s="5"/>
      <c r="AG2772" s="5"/>
    </row>
    <row r="2773" ht="15.75" customHeight="1">
      <c r="K2773" t="s">
        <v>4849</v>
      </c>
      <c r="L2773" t="str">
        <f>D175</f>
        <v>H3a1~</v>
      </c>
      <c r="N2773" t="s">
        <v>4850</v>
      </c>
      <c r="O2773">
        <v>6654512.0</v>
      </c>
      <c r="P2773">
        <v>6786471.0</v>
      </c>
      <c r="Q2773" t="s">
        <v>419</v>
      </c>
      <c r="R2773" s="5"/>
      <c r="S2773" s="5"/>
      <c r="T2773" s="5"/>
      <c r="U2773" s="5"/>
      <c r="V2773" s="5"/>
      <c r="W2773" s="5"/>
      <c r="X2773" s="5"/>
      <c r="Y2773" s="5"/>
      <c r="Z2773" s="5"/>
      <c r="AA2773" s="5"/>
      <c r="AB2773" s="5"/>
      <c r="AC2773" s="5"/>
      <c r="AD2773" s="5"/>
      <c r="AE2773" s="5"/>
      <c r="AF2773" s="5"/>
      <c r="AG2773" s="5"/>
    </row>
    <row r="2774" ht="15.75" customHeight="1">
      <c r="K2774" t="s">
        <v>4851</v>
      </c>
      <c r="L2774" t="str">
        <f>D175</f>
        <v>H3a1~</v>
      </c>
      <c r="N2774" t="s">
        <v>4852</v>
      </c>
      <c r="O2774">
        <v>8014100.0</v>
      </c>
      <c r="P2774">
        <v>8146059.0</v>
      </c>
      <c r="Q2774" t="s">
        <v>431</v>
      </c>
      <c r="R2774" s="5"/>
      <c r="S2774" s="5"/>
      <c r="T2774" s="5"/>
      <c r="U2774" s="5"/>
      <c r="V2774" s="5"/>
      <c r="W2774" s="5"/>
      <c r="X2774" s="5"/>
      <c r="Y2774" s="5"/>
      <c r="Z2774" s="5"/>
      <c r="AA2774" s="5"/>
      <c r="AB2774" s="5"/>
      <c r="AC2774" s="5"/>
      <c r="AD2774" s="5"/>
      <c r="AE2774" s="5"/>
      <c r="AF2774" s="5"/>
      <c r="AG2774" s="5"/>
    </row>
    <row r="2775" ht="15.75" customHeight="1">
      <c r="K2775" t="s">
        <v>4853</v>
      </c>
      <c r="L2775" t="str">
        <f>D175</f>
        <v>H3a1~</v>
      </c>
      <c r="N2775" t="s">
        <v>4854</v>
      </c>
      <c r="O2775">
        <v>9852807.0</v>
      </c>
      <c r="P2775">
        <v>1.0015198E7</v>
      </c>
      <c r="Q2775" t="s">
        <v>419</v>
      </c>
      <c r="R2775" s="5"/>
      <c r="S2775" s="5"/>
      <c r="T2775" s="5"/>
      <c r="U2775" s="5"/>
      <c r="V2775" s="5"/>
      <c r="W2775" s="5"/>
      <c r="X2775" s="5"/>
      <c r="Y2775" s="5"/>
      <c r="Z2775" s="5"/>
      <c r="AA2775" s="5"/>
      <c r="AB2775" s="5"/>
      <c r="AC2775" s="5"/>
      <c r="AD2775" s="5"/>
      <c r="AE2775" s="5"/>
      <c r="AF2775" s="5"/>
      <c r="AG2775" s="5"/>
    </row>
    <row r="2776" ht="15.75" customHeight="1">
      <c r="K2776" t="s">
        <v>4855</v>
      </c>
      <c r="L2776" t="str">
        <f>D175</f>
        <v>H3a1~</v>
      </c>
      <c r="N2776" t="s">
        <v>4856</v>
      </c>
      <c r="O2776">
        <v>1.5454535E7</v>
      </c>
      <c r="P2776">
        <v>1.3342655E7</v>
      </c>
      <c r="Q2776" t="s">
        <v>419</v>
      </c>
      <c r="R2776" s="5"/>
      <c r="S2776" s="5"/>
      <c r="T2776" s="5"/>
      <c r="U2776" s="5"/>
      <c r="V2776" s="5"/>
      <c r="W2776" s="5"/>
      <c r="X2776" s="5"/>
      <c r="Y2776" s="5"/>
      <c r="Z2776" s="5"/>
      <c r="AA2776" s="5"/>
      <c r="AB2776" s="5"/>
      <c r="AC2776" s="5"/>
      <c r="AD2776" s="5"/>
      <c r="AE2776" s="5"/>
      <c r="AF2776" s="5"/>
      <c r="AG2776" s="5"/>
    </row>
    <row r="2777" ht="15.75" customHeight="1">
      <c r="K2777" t="s">
        <v>4857</v>
      </c>
      <c r="L2777" t="str">
        <f>D175</f>
        <v>H3a1~</v>
      </c>
      <c r="N2777" t="s">
        <v>4858</v>
      </c>
      <c r="O2777">
        <v>1.7493503E7</v>
      </c>
      <c r="P2777">
        <v>1.5381623E7</v>
      </c>
      <c r="Q2777" t="s">
        <v>431</v>
      </c>
      <c r="R2777" s="5"/>
      <c r="S2777" s="5"/>
      <c r="T2777" s="5"/>
      <c r="U2777" s="5"/>
      <c r="V2777" s="5"/>
      <c r="W2777" s="5"/>
      <c r="X2777" s="5"/>
      <c r="Y2777" s="5"/>
      <c r="Z2777" s="5"/>
      <c r="AA2777" s="5"/>
      <c r="AB2777" s="5"/>
      <c r="AC2777" s="5"/>
      <c r="AD2777" s="5"/>
      <c r="AE2777" s="5"/>
      <c r="AF2777" s="5"/>
      <c r="AG2777" s="5"/>
    </row>
    <row r="2778" ht="15.75" customHeight="1">
      <c r="K2778" t="s">
        <v>4859</v>
      </c>
      <c r="L2778" t="str">
        <f>D175</f>
        <v>H3a1~</v>
      </c>
      <c r="N2778" t="s">
        <v>4860</v>
      </c>
      <c r="O2778">
        <v>2.1719556E7</v>
      </c>
      <c r="P2778">
        <v>1.955767E7</v>
      </c>
      <c r="Q2778" t="s">
        <v>525</v>
      </c>
      <c r="R2778" s="5"/>
      <c r="S2778" s="5"/>
      <c r="T2778" s="5"/>
      <c r="U2778" s="5"/>
      <c r="V2778" s="5"/>
      <c r="W2778" s="5"/>
      <c r="X2778" s="5"/>
      <c r="Y2778" s="5"/>
      <c r="Z2778" s="5"/>
      <c r="AA2778" s="5"/>
      <c r="AB2778" s="5"/>
      <c r="AC2778" s="5"/>
      <c r="AD2778" s="5"/>
      <c r="AE2778" s="5"/>
      <c r="AF2778" s="5"/>
      <c r="AG2778" s="5"/>
    </row>
    <row r="2779" ht="15.75" customHeight="1">
      <c r="K2779" t="s">
        <v>4861</v>
      </c>
      <c r="L2779" t="str">
        <f>D175</f>
        <v>H3a1~</v>
      </c>
      <c r="N2779" t="s">
        <v>4862</v>
      </c>
      <c r="O2779">
        <v>2.1847913E7</v>
      </c>
      <c r="P2779">
        <v>1.9686027E7</v>
      </c>
      <c r="Q2779" t="s">
        <v>452</v>
      </c>
      <c r="R2779" s="5"/>
      <c r="S2779" s="5"/>
      <c r="T2779" s="5"/>
      <c r="U2779" s="5"/>
      <c r="V2779" s="5"/>
      <c r="W2779" s="5"/>
      <c r="X2779" s="5"/>
      <c r="Y2779" s="5"/>
      <c r="Z2779" s="5"/>
      <c r="AA2779" s="5"/>
      <c r="AB2779" s="5"/>
      <c r="AC2779" s="5"/>
      <c r="AD2779" s="5"/>
      <c r="AE2779" s="5"/>
      <c r="AF2779" s="5"/>
      <c r="AG2779" s="5"/>
    </row>
    <row r="2780" ht="15.75" customHeight="1">
      <c r="K2780" t="s">
        <v>4863</v>
      </c>
      <c r="L2780" t="str">
        <f>D175</f>
        <v>H3a1~</v>
      </c>
      <c r="N2780" t="s">
        <v>4864</v>
      </c>
      <c r="O2780">
        <v>2.2513344E7</v>
      </c>
      <c r="P2780">
        <v>2.0351458E7</v>
      </c>
      <c r="Q2780" t="s">
        <v>423</v>
      </c>
      <c r="R2780" s="5"/>
      <c r="S2780" s="5"/>
      <c r="T2780" s="5"/>
      <c r="U2780" s="5"/>
      <c r="V2780" s="5"/>
      <c r="W2780" s="5"/>
      <c r="X2780" s="5"/>
      <c r="Y2780" s="5"/>
      <c r="Z2780" s="5"/>
      <c r="AA2780" s="5"/>
      <c r="AB2780" s="5"/>
      <c r="AC2780" s="5"/>
      <c r="AD2780" s="5"/>
      <c r="AE2780" s="5"/>
      <c r="AF2780" s="5"/>
      <c r="AG2780" s="5"/>
    </row>
    <row r="2781" ht="15.75" customHeight="1">
      <c r="K2781" t="s">
        <v>4865</v>
      </c>
      <c r="L2781" t="str">
        <f>E176</f>
        <v>H3a1a~</v>
      </c>
      <c r="N2781" t="s">
        <v>4866</v>
      </c>
      <c r="O2781">
        <v>2745637.0</v>
      </c>
      <c r="P2781">
        <v>2877596.0</v>
      </c>
      <c r="Q2781" t="s">
        <v>419</v>
      </c>
      <c r="R2781" s="5"/>
      <c r="S2781" s="5"/>
      <c r="T2781" s="5"/>
      <c r="U2781" s="5"/>
      <c r="V2781" s="5"/>
      <c r="W2781" s="5"/>
      <c r="X2781" s="5"/>
      <c r="Y2781" s="5"/>
      <c r="Z2781" s="5"/>
      <c r="AA2781" s="5"/>
      <c r="AB2781" s="5"/>
      <c r="AC2781" s="5"/>
      <c r="AD2781" s="5"/>
      <c r="AE2781" s="5"/>
      <c r="AF2781" s="5"/>
      <c r="AG2781" s="5"/>
    </row>
    <row r="2782" ht="15.75" customHeight="1">
      <c r="K2782" t="s">
        <v>4867</v>
      </c>
      <c r="L2782" t="str">
        <f>E176</f>
        <v>H3a1a~</v>
      </c>
      <c r="N2782" t="s">
        <v>4868</v>
      </c>
      <c r="O2782">
        <v>8551686.0</v>
      </c>
      <c r="P2782">
        <v>8683645.0</v>
      </c>
      <c r="Q2782" t="s">
        <v>476</v>
      </c>
      <c r="R2782" s="5"/>
      <c r="S2782" s="5"/>
      <c r="T2782" s="5"/>
      <c r="U2782" s="5"/>
      <c r="V2782" s="5"/>
      <c r="W2782" s="5"/>
      <c r="X2782" s="5"/>
      <c r="Y2782" s="5"/>
      <c r="Z2782" s="5"/>
      <c r="AA2782" s="5"/>
      <c r="AB2782" s="5"/>
      <c r="AC2782" s="5"/>
      <c r="AD2782" s="5"/>
      <c r="AE2782" s="5"/>
      <c r="AF2782" s="5"/>
      <c r="AG2782" s="5"/>
    </row>
    <row r="2783" ht="15.75" customHeight="1">
      <c r="K2783" t="s">
        <v>4869</v>
      </c>
      <c r="L2783" t="str">
        <f>E176</f>
        <v>H3a1a~</v>
      </c>
      <c r="N2783" t="s">
        <v>4870</v>
      </c>
      <c r="O2783">
        <v>1.5439846E7</v>
      </c>
      <c r="P2783">
        <v>1.3327966E7</v>
      </c>
      <c r="Q2783" t="s">
        <v>423</v>
      </c>
      <c r="R2783" s="5"/>
      <c r="S2783" s="5"/>
      <c r="T2783" s="5"/>
      <c r="U2783" s="5"/>
      <c r="V2783" s="5"/>
      <c r="W2783" s="5"/>
      <c r="X2783" s="5"/>
      <c r="Y2783" s="5"/>
      <c r="Z2783" s="5"/>
      <c r="AA2783" s="5"/>
      <c r="AB2783" s="5"/>
      <c r="AC2783" s="5"/>
      <c r="AD2783" s="5"/>
      <c r="AE2783" s="5"/>
      <c r="AF2783" s="5"/>
      <c r="AG2783" s="5"/>
    </row>
    <row r="2784" ht="15.75" customHeight="1">
      <c r="K2784" t="s">
        <v>4871</v>
      </c>
      <c r="L2784" t="str">
        <f>E176</f>
        <v>H3a1a~</v>
      </c>
      <c r="N2784" t="s">
        <v>4872</v>
      </c>
      <c r="O2784">
        <v>1.5618843E7</v>
      </c>
      <c r="P2784">
        <v>1.3506963E7</v>
      </c>
      <c r="Q2784" t="s">
        <v>448</v>
      </c>
      <c r="R2784" s="5"/>
      <c r="S2784" s="5"/>
      <c r="T2784" s="5"/>
      <c r="U2784" s="5"/>
      <c r="V2784" s="5"/>
      <c r="W2784" s="5"/>
      <c r="X2784" s="5"/>
      <c r="Y2784" s="5"/>
      <c r="Z2784" s="5"/>
      <c r="AA2784" s="5"/>
      <c r="AB2784" s="5"/>
      <c r="AC2784" s="5"/>
      <c r="AD2784" s="5"/>
      <c r="AE2784" s="5"/>
      <c r="AF2784" s="5"/>
      <c r="AG2784" s="5"/>
    </row>
    <row r="2785" ht="15.75" customHeight="1">
      <c r="K2785" t="s">
        <v>4873</v>
      </c>
      <c r="L2785" t="str">
        <f t="shared" ref="L2785:L2786" si="52">E176</f>
        <v>H3a1a~</v>
      </c>
      <c r="N2785" t="s">
        <v>4874</v>
      </c>
      <c r="O2785">
        <v>1.6321329E7</v>
      </c>
      <c r="P2785">
        <v>1.4209449E7</v>
      </c>
      <c r="Q2785" t="s">
        <v>431</v>
      </c>
      <c r="R2785" s="5"/>
      <c r="S2785" s="5"/>
      <c r="T2785" s="5"/>
      <c r="U2785" s="5"/>
      <c r="V2785" s="5"/>
      <c r="W2785" s="5"/>
      <c r="X2785" s="5"/>
      <c r="Y2785" s="5"/>
      <c r="Z2785" s="5"/>
      <c r="AA2785" s="5"/>
      <c r="AB2785" s="5"/>
      <c r="AC2785" s="5"/>
      <c r="AD2785" s="5"/>
      <c r="AE2785" s="5"/>
      <c r="AF2785" s="5"/>
      <c r="AG2785" s="5"/>
    </row>
    <row r="2786" ht="15.75" customHeight="1">
      <c r="K2786" t="s">
        <v>4875</v>
      </c>
      <c r="L2786" t="str">
        <f t="shared" si="52"/>
        <v>H3a1b~</v>
      </c>
      <c r="N2786" t="s">
        <v>4876</v>
      </c>
      <c r="O2786">
        <v>6702611.0</v>
      </c>
      <c r="P2786">
        <v>6834570.0</v>
      </c>
      <c r="Q2786" t="s">
        <v>431</v>
      </c>
      <c r="R2786" s="5"/>
      <c r="S2786" s="5"/>
      <c r="T2786" s="5"/>
      <c r="U2786" s="5"/>
      <c r="V2786" s="5"/>
      <c r="W2786" s="5"/>
      <c r="X2786" s="5"/>
      <c r="Y2786" s="5"/>
      <c r="Z2786" s="5"/>
      <c r="AA2786" s="5"/>
      <c r="AB2786" s="5"/>
      <c r="AC2786" s="5"/>
      <c r="AD2786" s="5"/>
      <c r="AE2786" s="5"/>
      <c r="AF2786" s="5"/>
      <c r="AG2786" s="5"/>
    </row>
    <row r="2787" ht="15.75" customHeight="1">
      <c r="K2787" t="s">
        <v>4877</v>
      </c>
      <c r="L2787" t="str">
        <f>E177</f>
        <v>H3a1b~</v>
      </c>
      <c r="N2787" t="s">
        <v>4878</v>
      </c>
      <c r="O2787">
        <v>1.6431793E7</v>
      </c>
      <c r="P2787">
        <v>1.4319913E7</v>
      </c>
      <c r="Q2787" t="s">
        <v>419</v>
      </c>
      <c r="R2787" s="5"/>
      <c r="S2787" s="5"/>
      <c r="T2787" s="5"/>
      <c r="U2787" s="5"/>
      <c r="V2787" s="5"/>
      <c r="W2787" s="5"/>
      <c r="X2787" s="5"/>
      <c r="Y2787" s="5"/>
      <c r="Z2787" s="5"/>
      <c r="AA2787" s="5"/>
      <c r="AB2787" s="5"/>
      <c r="AC2787" s="5"/>
      <c r="AD2787" s="5"/>
      <c r="AE2787" s="5"/>
      <c r="AF2787" s="5"/>
      <c r="AG2787" s="5"/>
    </row>
    <row r="2788" ht="15.75" customHeight="1">
      <c r="K2788" t="s">
        <v>4879</v>
      </c>
      <c r="L2788" t="str">
        <f>E177</f>
        <v>H3a1b~</v>
      </c>
      <c r="N2788" t="s">
        <v>4880</v>
      </c>
      <c r="O2788">
        <v>1.4857912E7</v>
      </c>
      <c r="P2788">
        <v>1.2745978E7</v>
      </c>
      <c r="Q2788" t="s">
        <v>419</v>
      </c>
      <c r="R2788" s="5"/>
      <c r="S2788" s="5"/>
      <c r="T2788" s="5"/>
      <c r="U2788" s="5"/>
      <c r="V2788" s="5"/>
      <c r="W2788" s="5"/>
      <c r="X2788" s="5"/>
      <c r="Y2788" s="5"/>
      <c r="Z2788" s="5"/>
      <c r="AA2788" s="5"/>
      <c r="AB2788" s="5"/>
      <c r="AC2788" s="5"/>
      <c r="AD2788" s="5"/>
      <c r="AE2788" s="5"/>
      <c r="AF2788" s="5"/>
      <c r="AG2788" s="5"/>
    </row>
    <row r="2789" ht="15.75" customHeight="1">
      <c r="K2789" t="s">
        <v>4881</v>
      </c>
      <c r="L2789" t="str">
        <f>E177</f>
        <v>H3a1b~</v>
      </c>
      <c r="N2789" t="s">
        <v>4882</v>
      </c>
      <c r="O2789">
        <v>1.7941617E7</v>
      </c>
      <c r="P2789">
        <v>1.5829737E7</v>
      </c>
      <c r="Q2789" t="s">
        <v>431</v>
      </c>
      <c r="R2789" s="5"/>
      <c r="S2789" s="5"/>
      <c r="T2789" s="5"/>
      <c r="U2789" s="5"/>
      <c r="V2789" s="5"/>
      <c r="W2789" s="5"/>
      <c r="X2789" s="5"/>
      <c r="Y2789" s="5"/>
      <c r="Z2789" s="5"/>
      <c r="AA2789" s="5"/>
      <c r="AB2789" s="5"/>
      <c r="AC2789" s="5"/>
      <c r="AD2789" s="5"/>
      <c r="AE2789" s="5"/>
      <c r="AF2789" s="5"/>
      <c r="AG2789" s="5"/>
    </row>
    <row r="2790" ht="15.75" customHeight="1">
      <c r="K2790" t="s">
        <v>4883</v>
      </c>
      <c r="L2790" t="str">
        <f t="shared" ref="L2790:L2791" si="53">E177</f>
        <v>H3a1b~</v>
      </c>
      <c r="O2790">
        <v>2.1545767E7</v>
      </c>
      <c r="P2790">
        <v>1.9383881E7</v>
      </c>
      <c r="Q2790" t="s">
        <v>476</v>
      </c>
      <c r="R2790" s="5"/>
      <c r="S2790" s="5"/>
      <c r="T2790" s="5"/>
      <c r="U2790" s="5"/>
      <c r="V2790" s="5"/>
      <c r="W2790" s="5"/>
      <c r="X2790" s="5"/>
      <c r="Y2790" s="5"/>
      <c r="Z2790" s="5"/>
      <c r="AA2790" s="5"/>
      <c r="AB2790" s="5"/>
      <c r="AC2790" s="5"/>
      <c r="AD2790" s="5"/>
      <c r="AE2790" s="5"/>
      <c r="AF2790" s="5"/>
      <c r="AG2790" s="5"/>
    </row>
    <row r="2791" ht="15.75" customHeight="1">
      <c r="K2791" t="s">
        <v>4884</v>
      </c>
      <c r="L2791" t="str">
        <f t="shared" si="53"/>
        <v>H3a1c~</v>
      </c>
      <c r="N2791" t="s">
        <v>4885</v>
      </c>
      <c r="O2791">
        <v>7947555.0</v>
      </c>
      <c r="P2791">
        <v>8079514.0</v>
      </c>
      <c r="Q2791" t="s">
        <v>448</v>
      </c>
      <c r="R2791" s="5"/>
      <c r="S2791" s="5"/>
      <c r="T2791" s="5"/>
      <c r="U2791" s="5"/>
      <c r="V2791" s="5"/>
      <c r="W2791" s="5"/>
      <c r="X2791" s="5"/>
      <c r="Y2791" s="5"/>
      <c r="Z2791" s="5"/>
      <c r="AA2791" s="5"/>
      <c r="AB2791" s="5"/>
      <c r="AC2791" s="5"/>
      <c r="AD2791" s="5"/>
      <c r="AE2791" s="5"/>
      <c r="AF2791" s="5"/>
      <c r="AG2791" s="5"/>
    </row>
    <row r="2792" ht="15.75" customHeight="1">
      <c r="K2792" t="s">
        <v>4886</v>
      </c>
      <c r="L2792" t="str">
        <f>E178</f>
        <v>H3a1c~</v>
      </c>
      <c r="N2792" t="s">
        <v>4887</v>
      </c>
      <c r="O2792">
        <v>8246865.0</v>
      </c>
      <c r="P2792">
        <v>8378824.0</v>
      </c>
      <c r="Q2792" t="s">
        <v>419</v>
      </c>
      <c r="R2792" s="5"/>
      <c r="S2792" s="5"/>
      <c r="T2792" s="5"/>
      <c r="U2792" s="5"/>
      <c r="V2792" s="5"/>
      <c r="W2792" s="5"/>
      <c r="X2792" s="5"/>
      <c r="Y2792" s="5"/>
      <c r="Z2792" s="5"/>
      <c r="AA2792" s="5"/>
      <c r="AB2792" s="5"/>
      <c r="AC2792" s="5"/>
      <c r="AD2792" s="5"/>
      <c r="AE2792" s="5"/>
      <c r="AF2792" s="5"/>
      <c r="AG2792" s="5"/>
    </row>
    <row r="2793" ht="15.75" customHeight="1">
      <c r="K2793" t="s">
        <v>4888</v>
      </c>
      <c r="L2793" t="str">
        <f>E178</f>
        <v>H3a1c~</v>
      </c>
      <c r="O2793">
        <v>2.284643E7</v>
      </c>
      <c r="P2793">
        <v>2.0684544E7</v>
      </c>
      <c r="Q2793" t="s">
        <v>435</v>
      </c>
      <c r="R2793" s="5"/>
      <c r="S2793" s="5"/>
      <c r="T2793" s="5"/>
      <c r="U2793" s="5"/>
      <c r="V2793" s="5"/>
      <c r="W2793" s="5"/>
      <c r="X2793" s="5"/>
      <c r="Y2793" s="5"/>
      <c r="Z2793" s="5"/>
      <c r="AA2793" s="5"/>
      <c r="AB2793" s="5"/>
      <c r="AC2793" s="5"/>
      <c r="AD2793" s="5"/>
      <c r="AE2793" s="5"/>
      <c r="AF2793" s="5"/>
      <c r="AG2793" s="5"/>
    </row>
    <row r="2794" ht="15.75" customHeight="1">
      <c r="K2794" t="s">
        <v>4889</v>
      </c>
      <c r="L2794" t="str">
        <f>E178</f>
        <v>H3a1c~</v>
      </c>
      <c r="N2794" t="s">
        <v>4890</v>
      </c>
      <c r="O2794">
        <v>1.7348089E7</v>
      </c>
      <c r="P2794">
        <v>1.5236209E7</v>
      </c>
      <c r="Q2794" t="s">
        <v>473</v>
      </c>
      <c r="R2794" s="5"/>
      <c r="S2794" s="5"/>
      <c r="T2794" s="5"/>
      <c r="U2794" s="5"/>
      <c r="V2794" s="5"/>
      <c r="W2794" s="5"/>
      <c r="X2794" s="5"/>
      <c r="Y2794" s="5"/>
      <c r="Z2794" s="5"/>
      <c r="AA2794" s="5"/>
      <c r="AB2794" s="5"/>
      <c r="AC2794" s="5"/>
      <c r="AD2794" s="5"/>
      <c r="AE2794" s="5"/>
      <c r="AF2794" s="5"/>
      <c r="AG2794" s="5"/>
    </row>
    <row r="2795" ht="15.75" customHeight="1">
      <c r="K2795" t="s">
        <v>4891</v>
      </c>
      <c r="L2795" t="str">
        <f>D179</f>
        <v>H3a2</v>
      </c>
      <c r="N2795" t="s">
        <v>4892</v>
      </c>
      <c r="O2795">
        <v>7403701.0</v>
      </c>
      <c r="P2795">
        <v>7535660.0</v>
      </c>
      <c r="Q2795" t="s">
        <v>423</v>
      </c>
      <c r="R2795" s="5"/>
      <c r="S2795" s="5"/>
      <c r="T2795" s="5"/>
      <c r="U2795" s="5"/>
      <c r="V2795" s="5"/>
      <c r="W2795" s="5"/>
      <c r="X2795" s="5"/>
      <c r="Y2795" s="5"/>
      <c r="Z2795" s="5"/>
      <c r="AA2795" s="5"/>
      <c r="AB2795" s="5"/>
      <c r="AC2795" s="5"/>
      <c r="AD2795" s="5"/>
      <c r="AE2795" s="5"/>
      <c r="AF2795" s="5"/>
      <c r="AG2795" s="5"/>
    </row>
    <row r="2796" ht="15.75" customHeight="1">
      <c r="K2796" t="s">
        <v>4893</v>
      </c>
      <c r="L2796" t="str">
        <f>D179</f>
        <v>H3a2</v>
      </c>
      <c r="M2796" t="s">
        <v>4894</v>
      </c>
      <c r="N2796" t="s">
        <v>4895</v>
      </c>
      <c r="O2796">
        <v>8350488.0</v>
      </c>
      <c r="P2796">
        <v>8482447.0</v>
      </c>
      <c r="Q2796" t="s">
        <v>435</v>
      </c>
      <c r="R2796" s="5"/>
      <c r="S2796" s="5"/>
      <c r="T2796" s="5"/>
      <c r="U2796" s="5"/>
      <c r="V2796" s="5"/>
      <c r="W2796" s="5"/>
      <c r="X2796" s="5"/>
      <c r="Y2796" s="5"/>
      <c r="Z2796" s="5"/>
      <c r="AA2796" s="5"/>
      <c r="AB2796" s="5"/>
      <c r="AC2796" s="5"/>
      <c r="AD2796" s="5"/>
      <c r="AE2796" s="5"/>
      <c r="AF2796" s="5"/>
      <c r="AG2796" s="5"/>
    </row>
    <row r="2797" ht="15.75" customHeight="1">
      <c r="K2797" t="s">
        <v>4894</v>
      </c>
      <c r="L2797" t="str">
        <f>D179</f>
        <v>H3a2</v>
      </c>
      <c r="M2797" t="s">
        <v>4893</v>
      </c>
      <c r="N2797" t="s">
        <v>4895</v>
      </c>
      <c r="O2797">
        <v>8350488.0</v>
      </c>
      <c r="P2797">
        <v>8482447.0</v>
      </c>
      <c r="Q2797" t="s">
        <v>435</v>
      </c>
      <c r="R2797" s="5"/>
      <c r="S2797" s="5"/>
      <c r="T2797" s="5"/>
      <c r="U2797" s="5"/>
      <c r="V2797" s="5"/>
      <c r="W2797" s="5"/>
      <c r="X2797" s="5"/>
      <c r="Y2797" s="5"/>
      <c r="Z2797" s="5"/>
      <c r="AA2797" s="5"/>
      <c r="AB2797" s="5"/>
      <c r="AC2797" s="5"/>
      <c r="AD2797" s="5"/>
      <c r="AE2797" s="5"/>
      <c r="AF2797" s="5"/>
      <c r="AG2797" s="5"/>
    </row>
    <row r="2798" ht="15.75" customHeight="1">
      <c r="K2798" t="s">
        <v>4896</v>
      </c>
      <c r="L2798" t="str">
        <f>D179</f>
        <v>H3a2</v>
      </c>
      <c r="N2798" t="s">
        <v>4897</v>
      </c>
      <c r="O2798">
        <v>7103283.0</v>
      </c>
      <c r="P2798">
        <v>7235242.0</v>
      </c>
      <c r="Q2798" t="s">
        <v>459</v>
      </c>
      <c r="R2798" s="5"/>
      <c r="S2798" s="5"/>
      <c r="T2798" s="5"/>
      <c r="U2798" s="5"/>
      <c r="V2798" s="5"/>
      <c r="W2798" s="5"/>
      <c r="X2798" s="5"/>
      <c r="Y2798" s="5"/>
      <c r="Z2798" s="5"/>
      <c r="AA2798" s="5"/>
      <c r="AB2798" s="5"/>
      <c r="AC2798" s="5"/>
      <c r="AD2798" s="5"/>
      <c r="AE2798" s="5"/>
      <c r="AF2798" s="5"/>
      <c r="AG2798" s="5"/>
    </row>
    <row r="2799" ht="15.75" customHeight="1">
      <c r="K2799" t="s">
        <v>4898</v>
      </c>
      <c r="L2799" t="str">
        <f>D179</f>
        <v>H3a2</v>
      </c>
      <c r="O2799">
        <v>7796710.0</v>
      </c>
      <c r="P2799">
        <v>7928669.0</v>
      </c>
      <c r="Q2799" t="s">
        <v>435</v>
      </c>
      <c r="R2799" s="5"/>
      <c r="S2799" s="5"/>
      <c r="T2799" s="5"/>
      <c r="U2799" s="5"/>
      <c r="V2799" s="5"/>
      <c r="W2799" s="5"/>
      <c r="X2799" s="5"/>
      <c r="Y2799" s="5"/>
      <c r="Z2799" s="5"/>
      <c r="AA2799" s="5"/>
      <c r="AB2799" s="5"/>
      <c r="AC2799" s="5"/>
      <c r="AD2799" s="5"/>
      <c r="AE2799" s="5"/>
      <c r="AF2799" s="5"/>
      <c r="AG2799" s="5"/>
    </row>
    <row r="2800" ht="15.75" customHeight="1">
      <c r="K2800" t="s">
        <v>4899</v>
      </c>
      <c r="L2800" t="str">
        <f>D179</f>
        <v>H3a2</v>
      </c>
      <c r="N2800" t="s">
        <v>4900</v>
      </c>
      <c r="O2800">
        <v>7996077.0</v>
      </c>
      <c r="P2800">
        <v>8128036.0</v>
      </c>
      <c r="Q2800" t="s">
        <v>476</v>
      </c>
      <c r="R2800" s="5"/>
      <c r="S2800" s="5"/>
      <c r="T2800" s="5"/>
      <c r="U2800" s="5"/>
      <c r="V2800" s="5"/>
      <c r="W2800" s="5"/>
      <c r="X2800" s="5"/>
      <c r="Y2800" s="5"/>
      <c r="Z2800" s="5"/>
      <c r="AA2800" s="5"/>
      <c r="AB2800" s="5"/>
      <c r="AC2800" s="5"/>
      <c r="AD2800" s="5"/>
      <c r="AE2800" s="5"/>
      <c r="AF2800" s="5"/>
      <c r="AG2800" s="5"/>
    </row>
    <row r="2801" ht="15.75" customHeight="1">
      <c r="K2801" t="s">
        <v>4901</v>
      </c>
      <c r="L2801" t="str">
        <f>D179</f>
        <v>H3a2</v>
      </c>
      <c r="N2801" t="s">
        <v>4902</v>
      </c>
      <c r="O2801">
        <v>8071284.0</v>
      </c>
      <c r="P2801">
        <v>8203243.0</v>
      </c>
      <c r="Q2801" t="s">
        <v>423</v>
      </c>
      <c r="R2801" s="5"/>
      <c r="S2801" s="5"/>
      <c r="T2801" s="5"/>
      <c r="U2801" s="5"/>
      <c r="V2801" s="5"/>
      <c r="W2801" s="5"/>
      <c r="X2801" s="5"/>
      <c r="Y2801" s="5"/>
      <c r="Z2801" s="5"/>
      <c r="AA2801" s="5"/>
      <c r="AB2801" s="5"/>
      <c r="AC2801" s="5"/>
      <c r="AD2801" s="5"/>
      <c r="AE2801" s="5"/>
      <c r="AF2801" s="5"/>
      <c r="AG2801" s="5"/>
    </row>
    <row r="2802" ht="15.75" customHeight="1">
      <c r="K2802" t="s">
        <v>4903</v>
      </c>
      <c r="L2802" t="str">
        <f>D179</f>
        <v>H3a2</v>
      </c>
      <c r="N2802" t="s">
        <v>4904</v>
      </c>
      <c r="O2802">
        <v>9912743.0</v>
      </c>
      <c r="P2802">
        <v>1.0075134E7</v>
      </c>
      <c r="Q2802" t="s">
        <v>423</v>
      </c>
      <c r="R2802" s="5"/>
      <c r="S2802" s="5"/>
      <c r="T2802" s="5"/>
      <c r="U2802" s="5"/>
      <c r="V2802" s="5"/>
      <c r="W2802" s="5"/>
      <c r="X2802" s="5"/>
      <c r="Y2802" s="5"/>
      <c r="Z2802" s="5"/>
      <c r="AA2802" s="5"/>
      <c r="AB2802" s="5"/>
      <c r="AC2802" s="5"/>
      <c r="AD2802" s="5"/>
      <c r="AE2802" s="5"/>
      <c r="AF2802" s="5"/>
      <c r="AG2802" s="5"/>
    </row>
    <row r="2803" ht="15.75" customHeight="1">
      <c r="K2803" t="s">
        <v>4905</v>
      </c>
      <c r="L2803" t="str">
        <f>D179</f>
        <v>H3a2</v>
      </c>
      <c r="O2803" t="s">
        <v>4906</v>
      </c>
      <c r="P2803" t="s">
        <v>4907</v>
      </c>
      <c r="Q2803" t="s">
        <v>4908</v>
      </c>
      <c r="R2803" s="5"/>
      <c r="S2803" s="5"/>
      <c r="T2803" s="5"/>
      <c r="U2803" s="5"/>
      <c r="V2803" s="5"/>
      <c r="W2803" s="5"/>
      <c r="X2803" s="5"/>
      <c r="Y2803" s="5"/>
      <c r="Z2803" s="5"/>
      <c r="AA2803" s="5"/>
      <c r="AB2803" s="5"/>
      <c r="AC2803" s="5"/>
      <c r="AD2803" s="5"/>
      <c r="AE2803" s="5"/>
      <c r="AF2803" s="5"/>
      <c r="AG2803" s="5"/>
    </row>
    <row r="2804" ht="15.75" customHeight="1">
      <c r="K2804" t="s">
        <v>4909</v>
      </c>
      <c r="L2804" t="str">
        <f>D179</f>
        <v>H3a2</v>
      </c>
      <c r="O2804">
        <v>1.3642658E7</v>
      </c>
      <c r="P2804">
        <v>1.1486982E7</v>
      </c>
      <c r="Q2804" t="s">
        <v>423</v>
      </c>
      <c r="R2804" s="5"/>
      <c r="S2804" s="5"/>
      <c r="T2804" s="5"/>
      <c r="U2804" s="5"/>
      <c r="V2804" s="5"/>
      <c r="W2804" s="5"/>
      <c r="X2804" s="5"/>
      <c r="Y2804" s="5"/>
      <c r="Z2804" s="5"/>
      <c r="AA2804" s="5"/>
      <c r="AB2804" s="5"/>
      <c r="AC2804" s="5"/>
      <c r="AD2804" s="5"/>
      <c r="AE2804" s="5"/>
      <c r="AF2804" s="5"/>
      <c r="AG2804" s="5"/>
    </row>
    <row r="2805" ht="15.75" customHeight="1">
      <c r="K2805" t="s">
        <v>4910</v>
      </c>
      <c r="L2805" t="str">
        <f>D179</f>
        <v>H3a2</v>
      </c>
      <c r="O2805">
        <v>1.3678448E7</v>
      </c>
      <c r="P2805">
        <v>1.1522772E7</v>
      </c>
      <c r="Q2805" t="s">
        <v>423</v>
      </c>
      <c r="R2805" s="5"/>
      <c r="S2805" s="5"/>
      <c r="T2805" s="5"/>
      <c r="U2805" s="5"/>
      <c r="V2805" s="5"/>
      <c r="W2805" s="5"/>
      <c r="X2805" s="5"/>
      <c r="Y2805" s="5"/>
      <c r="Z2805" s="5"/>
      <c r="AA2805" s="5"/>
      <c r="AB2805" s="5"/>
      <c r="AC2805" s="5"/>
      <c r="AD2805" s="5"/>
      <c r="AE2805" s="5"/>
      <c r="AF2805" s="5"/>
      <c r="AG2805" s="5"/>
    </row>
    <row r="2806" ht="15.75" customHeight="1">
      <c r="K2806" t="s">
        <v>4911</v>
      </c>
      <c r="L2806" t="str">
        <f>D179</f>
        <v>H3a2</v>
      </c>
      <c r="O2806">
        <v>1.384547E7</v>
      </c>
      <c r="P2806">
        <v>1.1724764E7</v>
      </c>
      <c r="Q2806" t="s">
        <v>423</v>
      </c>
      <c r="R2806" s="5"/>
      <c r="S2806" s="5"/>
      <c r="T2806" s="5"/>
      <c r="U2806" s="5"/>
      <c r="V2806" s="5"/>
      <c r="W2806" s="5"/>
      <c r="X2806" s="5"/>
      <c r="Y2806" s="5"/>
      <c r="Z2806" s="5"/>
      <c r="AA2806" s="5"/>
      <c r="AB2806" s="5"/>
      <c r="AC2806" s="5"/>
      <c r="AD2806" s="5"/>
      <c r="AE2806" s="5"/>
      <c r="AF2806" s="5"/>
      <c r="AG2806" s="5"/>
    </row>
    <row r="2807" ht="15.75" customHeight="1">
      <c r="K2807" t="s">
        <v>4912</v>
      </c>
      <c r="L2807" t="str">
        <f>D179</f>
        <v>H3a2</v>
      </c>
      <c r="N2807" t="s">
        <v>4913</v>
      </c>
      <c r="O2807">
        <v>1.4035373E7</v>
      </c>
      <c r="P2807">
        <v>1.1914667E7</v>
      </c>
      <c r="Q2807" t="s">
        <v>431</v>
      </c>
      <c r="R2807" s="5"/>
      <c r="S2807" s="5"/>
      <c r="T2807" s="5"/>
      <c r="U2807" s="5"/>
      <c r="V2807" s="5"/>
      <c r="W2807" s="5"/>
      <c r="X2807" s="5"/>
      <c r="Y2807" s="5"/>
      <c r="Z2807" s="5"/>
      <c r="AA2807" s="5"/>
      <c r="AB2807" s="5"/>
      <c r="AC2807" s="5"/>
      <c r="AD2807" s="5"/>
      <c r="AE2807" s="5"/>
      <c r="AF2807" s="5"/>
      <c r="AG2807" s="5"/>
    </row>
    <row r="2808" ht="15.75" customHeight="1">
      <c r="K2808" t="s">
        <v>4914</v>
      </c>
      <c r="L2808" t="str">
        <f>D179</f>
        <v>H3a2</v>
      </c>
      <c r="N2808" t="s">
        <v>4915</v>
      </c>
      <c r="O2808">
        <v>1.5491513E7</v>
      </c>
      <c r="P2808">
        <v>1.3379633E7</v>
      </c>
      <c r="Q2808" t="s">
        <v>423</v>
      </c>
      <c r="R2808" s="5"/>
      <c r="S2808" s="5"/>
      <c r="T2808" s="5"/>
      <c r="U2808" s="5"/>
      <c r="V2808" s="5"/>
      <c r="W2808" s="5"/>
      <c r="X2808" s="5"/>
      <c r="Y2808" s="5"/>
      <c r="Z2808" s="5"/>
      <c r="AA2808" s="5"/>
      <c r="AB2808" s="5"/>
      <c r="AC2808" s="5"/>
      <c r="AD2808" s="5"/>
      <c r="AE2808" s="5"/>
      <c r="AF2808" s="5"/>
      <c r="AG2808" s="5"/>
    </row>
    <row r="2809" ht="15.75" customHeight="1">
      <c r="K2809" t="s">
        <v>4916</v>
      </c>
      <c r="L2809" t="str">
        <f>D179</f>
        <v>H3a2</v>
      </c>
      <c r="N2809" t="s">
        <v>4917</v>
      </c>
      <c r="O2809">
        <v>1.693146E7</v>
      </c>
      <c r="P2809">
        <v>1.481958E7</v>
      </c>
      <c r="Q2809" t="s">
        <v>423</v>
      </c>
      <c r="R2809" s="5"/>
      <c r="S2809" s="5"/>
      <c r="T2809" s="5"/>
      <c r="U2809" s="5"/>
      <c r="V2809" s="5"/>
      <c r="W2809" s="5"/>
      <c r="X2809" s="5"/>
      <c r="Y2809" s="5"/>
      <c r="Z2809" s="5"/>
      <c r="AA2809" s="5"/>
      <c r="AB2809" s="5"/>
      <c r="AC2809" s="5"/>
      <c r="AD2809" s="5"/>
      <c r="AE2809" s="5"/>
      <c r="AF2809" s="5"/>
      <c r="AG2809" s="5"/>
    </row>
    <row r="2810" ht="15.75" customHeight="1">
      <c r="K2810" t="s">
        <v>4918</v>
      </c>
      <c r="L2810" t="str">
        <f>D179</f>
        <v>H3a2</v>
      </c>
      <c r="N2810" t="s">
        <v>4919</v>
      </c>
      <c r="O2810">
        <v>1.7066383E7</v>
      </c>
      <c r="P2810">
        <v>1.4954503E7</v>
      </c>
      <c r="Q2810" t="s">
        <v>423</v>
      </c>
      <c r="R2810" s="5"/>
      <c r="S2810" s="5"/>
      <c r="T2810" s="5"/>
      <c r="U2810" s="5"/>
      <c r="V2810" s="5"/>
      <c r="W2810" s="5"/>
      <c r="X2810" s="5"/>
      <c r="Y2810" s="5"/>
      <c r="Z2810" s="5"/>
      <c r="AA2810" s="5"/>
      <c r="AB2810" s="5"/>
      <c r="AC2810" s="5"/>
      <c r="AD2810" s="5"/>
      <c r="AE2810" s="5"/>
      <c r="AF2810" s="5"/>
      <c r="AG2810" s="5"/>
    </row>
    <row r="2811" ht="15.75" customHeight="1">
      <c r="K2811" t="s">
        <v>4920</v>
      </c>
      <c r="L2811" t="str">
        <f>D179</f>
        <v>H3a2</v>
      </c>
      <c r="N2811" t="s">
        <v>4921</v>
      </c>
      <c r="O2811">
        <v>1.7217248E7</v>
      </c>
      <c r="P2811">
        <v>1.5105368E7</v>
      </c>
      <c r="Q2811" t="s">
        <v>431</v>
      </c>
      <c r="R2811" s="5"/>
      <c r="S2811" s="5"/>
      <c r="T2811" s="5"/>
      <c r="U2811" s="5"/>
      <c r="V2811" s="5"/>
      <c r="W2811" s="5"/>
      <c r="X2811" s="5"/>
      <c r="Y2811" s="5"/>
      <c r="Z2811" s="5"/>
      <c r="AA2811" s="5"/>
      <c r="AB2811" s="5"/>
      <c r="AC2811" s="5"/>
      <c r="AD2811" s="5"/>
      <c r="AE2811" s="5"/>
      <c r="AF2811" s="5"/>
      <c r="AG2811" s="5"/>
    </row>
    <row r="2812" ht="15.75" customHeight="1">
      <c r="K2812" t="s">
        <v>4922</v>
      </c>
      <c r="L2812" t="str">
        <f>D179</f>
        <v>H3a2</v>
      </c>
      <c r="N2812" t="s">
        <v>4923</v>
      </c>
      <c r="O2812">
        <v>1.8937974E7</v>
      </c>
      <c r="P2812">
        <v>1.6826094E7</v>
      </c>
      <c r="Q2812" t="s">
        <v>427</v>
      </c>
      <c r="R2812" s="5"/>
      <c r="S2812" s="5"/>
      <c r="T2812" s="5"/>
      <c r="U2812" s="5"/>
      <c r="V2812" s="5"/>
      <c r="W2812" s="5"/>
      <c r="X2812" s="5"/>
      <c r="Y2812" s="5"/>
      <c r="Z2812" s="5"/>
      <c r="AA2812" s="5"/>
      <c r="AB2812" s="5"/>
      <c r="AC2812" s="5"/>
      <c r="AD2812" s="5"/>
      <c r="AE2812" s="5"/>
      <c r="AF2812" s="5"/>
      <c r="AG2812" s="5"/>
    </row>
    <row r="2813" ht="15.75" customHeight="1">
      <c r="K2813" t="s">
        <v>4924</v>
      </c>
      <c r="L2813" t="str">
        <f>D179</f>
        <v>H3a2</v>
      </c>
      <c r="N2813" t="s">
        <v>4925</v>
      </c>
      <c r="O2813">
        <v>1.9227527E7</v>
      </c>
      <c r="P2813">
        <v>1.7115647E7</v>
      </c>
      <c r="Q2813" t="s">
        <v>435</v>
      </c>
      <c r="R2813" s="5"/>
      <c r="S2813" s="5"/>
      <c r="T2813" s="5"/>
      <c r="U2813" s="5"/>
      <c r="V2813" s="5"/>
      <c r="W2813" s="5"/>
      <c r="X2813" s="5"/>
      <c r="Y2813" s="5"/>
      <c r="Z2813" s="5"/>
      <c r="AA2813" s="5"/>
      <c r="AB2813" s="5"/>
      <c r="AC2813" s="5"/>
      <c r="AD2813" s="5"/>
      <c r="AE2813" s="5"/>
      <c r="AF2813" s="5"/>
      <c r="AG2813" s="5"/>
    </row>
    <row r="2814" ht="15.75" customHeight="1">
      <c r="K2814" t="s">
        <v>4926</v>
      </c>
      <c r="L2814" t="str">
        <f>D179</f>
        <v>H3a2</v>
      </c>
      <c r="N2814" t="s">
        <v>4927</v>
      </c>
      <c r="O2814">
        <v>2.1311242E7</v>
      </c>
      <c r="P2814">
        <v>1.9149356E7</v>
      </c>
      <c r="Q2814" t="s">
        <v>459</v>
      </c>
      <c r="R2814" s="5"/>
      <c r="S2814" s="5"/>
      <c r="T2814" s="5"/>
      <c r="U2814" s="5"/>
      <c r="V2814" s="5"/>
      <c r="W2814" s="5"/>
      <c r="X2814" s="5"/>
      <c r="Y2814" s="5"/>
      <c r="Z2814" s="5"/>
      <c r="AA2814" s="5"/>
      <c r="AB2814" s="5"/>
      <c r="AC2814" s="5"/>
      <c r="AD2814" s="5"/>
      <c r="AE2814" s="5"/>
      <c r="AF2814" s="5"/>
      <c r="AG2814" s="5"/>
    </row>
    <row r="2815" ht="15.75" customHeight="1">
      <c r="K2815" t="s">
        <v>4928</v>
      </c>
      <c r="L2815" t="str">
        <f>D179</f>
        <v>H3a2</v>
      </c>
      <c r="N2815" t="s">
        <v>4929</v>
      </c>
      <c r="O2815">
        <v>2.1365756E7</v>
      </c>
      <c r="P2815">
        <v>1.920387E7</v>
      </c>
      <c r="Q2815" t="s">
        <v>419</v>
      </c>
      <c r="R2815" s="5"/>
      <c r="S2815" s="5"/>
      <c r="T2815" s="5"/>
      <c r="U2815" s="5"/>
      <c r="V2815" s="5"/>
      <c r="W2815" s="5"/>
      <c r="X2815" s="5"/>
      <c r="Y2815" s="5"/>
      <c r="Z2815" s="5"/>
      <c r="AA2815" s="5"/>
      <c r="AB2815" s="5"/>
      <c r="AC2815" s="5"/>
      <c r="AD2815" s="5"/>
      <c r="AE2815" s="5"/>
      <c r="AF2815" s="5"/>
      <c r="AG2815" s="5"/>
    </row>
    <row r="2816" ht="15.75" customHeight="1">
      <c r="K2816" t="s">
        <v>4930</v>
      </c>
      <c r="L2816" t="str">
        <f>D179</f>
        <v>H3a2</v>
      </c>
      <c r="N2816" t="s">
        <v>4931</v>
      </c>
      <c r="O2816">
        <v>2.1475177E7</v>
      </c>
      <c r="P2816">
        <v>1.9313291E7</v>
      </c>
      <c r="Q2816" t="s">
        <v>423</v>
      </c>
      <c r="R2816" s="5"/>
      <c r="S2816" s="5"/>
      <c r="T2816" s="5"/>
      <c r="U2816" s="5"/>
      <c r="V2816" s="5"/>
      <c r="W2816" s="5"/>
      <c r="X2816" s="5"/>
      <c r="Y2816" s="5"/>
      <c r="Z2816" s="5"/>
      <c r="AA2816" s="5"/>
      <c r="AB2816" s="5"/>
      <c r="AC2816" s="5"/>
      <c r="AD2816" s="5"/>
      <c r="AE2816" s="5"/>
      <c r="AF2816" s="5"/>
      <c r="AG2816" s="5"/>
    </row>
    <row r="2817" ht="15.75" customHeight="1">
      <c r="K2817" t="s">
        <v>4932</v>
      </c>
      <c r="L2817" t="str">
        <f>D179</f>
        <v>H3a2</v>
      </c>
      <c r="N2817" t="s">
        <v>4933</v>
      </c>
      <c r="O2817">
        <v>2.1604585E7</v>
      </c>
      <c r="P2817">
        <v>1.9442699E7</v>
      </c>
      <c r="Q2817" t="s">
        <v>419</v>
      </c>
      <c r="R2817" s="5"/>
      <c r="S2817" s="5"/>
      <c r="T2817" s="5"/>
      <c r="U2817" s="5"/>
      <c r="V2817" s="5"/>
      <c r="W2817" s="5"/>
      <c r="X2817" s="5"/>
      <c r="Y2817" s="5"/>
      <c r="Z2817" s="5"/>
      <c r="AA2817" s="5"/>
      <c r="AB2817" s="5"/>
      <c r="AC2817" s="5"/>
      <c r="AD2817" s="5"/>
      <c r="AE2817" s="5"/>
      <c r="AF2817" s="5"/>
      <c r="AG2817" s="5"/>
    </row>
    <row r="2818" ht="15.75" customHeight="1">
      <c r="K2818" t="s">
        <v>4934</v>
      </c>
      <c r="L2818" t="str">
        <f>D179</f>
        <v>H3a2</v>
      </c>
      <c r="N2818" t="s">
        <v>4935</v>
      </c>
      <c r="O2818">
        <v>2.1713817E7</v>
      </c>
      <c r="P2818">
        <v>1.9551931E7</v>
      </c>
      <c r="Q2818" t="s">
        <v>459</v>
      </c>
      <c r="R2818" s="5"/>
      <c r="S2818" s="5"/>
      <c r="T2818" s="5"/>
      <c r="U2818" s="5"/>
      <c r="V2818" s="5"/>
      <c r="W2818" s="5"/>
      <c r="X2818" s="5"/>
      <c r="Y2818" s="5"/>
      <c r="Z2818" s="5"/>
      <c r="AA2818" s="5"/>
      <c r="AB2818" s="5"/>
      <c r="AC2818" s="5"/>
      <c r="AD2818" s="5"/>
      <c r="AE2818" s="5"/>
      <c r="AF2818" s="5"/>
      <c r="AG2818" s="5"/>
    </row>
    <row r="2819" ht="15.75" customHeight="1">
      <c r="K2819" t="s">
        <v>4936</v>
      </c>
      <c r="L2819" t="str">
        <f>D179</f>
        <v>H3a2</v>
      </c>
      <c r="N2819" t="s">
        <v>4937</v>
      </c>
      <c r="O2819">
        <v>2.1795786E7</v>
      </c>
      <c r="P2819">
        <v>1.96339E7</v>
      </c>
      <c r="Q2819" t="s">
        <v>423</v>
      </c>
      <c r="R2819" s="5"/>
      <c r="S2819" s="5"/>
      <c r="T2819" s="5"/>
      <c r="U2819" s="5"/>
      <c r="V2819" s="5"/>
      <c r="W2819" s="5"/>
      <c r="X2819" s="5"/>
      <c r="Y2819" s="5"/>
      <c r="Z2819" s="5"/>
      <c r="AA2819" s="5"/>
      <c r="AB2819" s="5"/>
      <c r="AC2819" s="5"/>
      <c r="AD2819" s="5"/>
      <c r="AE2819" s="5"/>
      <c r="AF2819" s="5"/>
      <c r="AG2819" s="5"/>
    </row>
    <row r="2820" ht="15.75" customHeight="1">
      <c r="K2820" t="s">
        <v>4938</v>
      </c>
      <c r="L2820" t="str">
        <f>D179</f>
        <v>H3a2</v>
      </c>
      <c r="N2820" t="s">
        <v>4939</v>
      </c>
      <c r="O2820">
        <v>2.2191274E7</v>
      </c>
      <c r="P2820">
        <v>2.0029388E7</v>
      </c>
      <c r="Q2820" t="s">
        <v>553</v>
      </c>
      <c r="R2820" s="5"/>
      <c r="S2820" s="5"/>
      <c r="T2820" s="5"/>
      <c r="U2820" s="5"/>
      <c r="V2820" s="5"/>
      <c r="W2820" s="5"/>
      <c r="X2820" s="5"/>
      <c r="Y2820" s="5"/>
      <c r="Z2820" s="5"/>
      <c r="AA2820" s="5"/>
      <c r="AB2820" s="5"/>
      <c r="AC2820" s="5"/>
      <c r="AD2820" s="5"/>
      <c r="AE2820" s="5"/>
      <c r="AF2820" s="5"/>
      <c r="AG2820" s="5"/>
    </row>
    <row r="2821" ht="15.75" customHeight="1">
      <c r="K2821" t="s">
        <v>4940</v>
      </c>
      <c r="L2821" t="str">
        <f>D179</f>
        <v>H3a2</v>
      </c>
      <c r="N2821" t="s">
        <v>4941</v>
      </c>
      <c r="O2821">
        <v>2.2821487E7</v>
      </c>
      <c r="P2821">
        <v>2.0659601E7</v>
      </c>
      <c r="Q2821" t="s">
        <v>435</v>
      </c>
      <c r="R2821" s="5"/>
      <c r="S2821" s="5"/>
      <c r="T2821" s="5"/>
      <c r="U2821" s="5"/>
      <c r="V2821" s="5"/>
      <c r="W2821" s="5"/>
      <c r="X2821" s="5"/>
      <c r="Y2821" s="5"/>
      <c r="Z2821" s="5"/>
      <c r="AA2821" s="5"/>
      <c r="AB2821" s="5"/>
      <c r="AC2821" s="5"/>
      <c r="AD2821" s="5"/>
      <c r="AE2821" s="5"/>
      <c r="AF2821" s="5"/>
      <c r="AG2821" s="5"/>
    </row>
    <row r="2822" ht="15.75" customHeight="1">
      <c r="K2822" s="68" t="s">
        <v>4942</v>
      </c>
      <c r="L2822" s="68" t="str">
        <f>E180</f>
        <v>H3a2a</v>
      </c>
      <c r="M2822" s="68"/>
      <c r="N2822" s="68" t="s">
        <v>4943</v>
      </c>
      <c r="O2822" s="68">
        <v>1.5210026E7</v>
      </c>
      <c r="P2822" s="68">
        <v>2799742.0</v>
      </c>
      <c r="Q2822" t="s">
        <v>419</v>
      </c>
      <c r="R2822" s="5"/>
      <c r="S2822" s="5"/>
      <c r="T2822" s="5"/>
      <c r="U2822" s="5"/>
      <c r="V2822" s="5"/>
      <c r="W2822" s="5"/>
      <c r="X2822" s="5"/>
      <c r="Y2822" s="5"/>
      <c r="Z2822" s="5"/>
      <c r="AA2822" s="5"/>
      <c r="AB2822" s="5"/>
      <c r="AC2822" s="5"/>
      <c r="AD2822" s="5"/>
      <c r="AE2822" s="5"/>
      <c r="AF2822" s="5"/>
      <c r="AG2822" s="5"/>
    </row>
    <row r="2823" ht="15.75" customHeight="1">
      <c r="K2823" s="68" t="s">
        <v>4944</v>
      </c>
      <c r="L2823" s="68" t="str">
        <f>E180</f>
        <v>H3a2a</v>
      </c>
      <c r="M2823" s="68"/>
      <c r="N2823" s="68" t="s">
        <v>4945</v>
      </c>
      <c r="O2823" s="68">
        <v>6764656.0</v>
      </c>
      <c r="P2823" s="68">
        <v>6896615.0</v>
      </c>
      <c r="Q2823" t="s">
        <v>473</v>
      </c>
      <c r="R2823" s="5"/>
      <c r="S2823" s="5"/>
      <c r="T2823" s="5"/>
      <c r="U2823" s="5"/>
      <c r="V2823" s="5"/>
      <c r="W2823" s="5"/>
      <c r="X2823" s="5"/>
      <c r="Y2823" s="5"/>
      <c r="Z2823" s="5"/>
      <c r="AA2823" s="5"/>
      <c r="AB2823" s="5"/>
      <c r="AC2823" s="5"/>
      <c r="AD2823" s="5"/>
      <c r="AE2823" s="5"/>
      <c r="AF2823" s="5"/>
      <c r="AG2823" s="5"/>
    </row>
    <row r="2824" ht="15.75" customHeight="1">
      <c r="K2824" t="s">
        <v>4946</v>
      </c>
      <c r="L2824" t="str">
        <f>E180</f>
        <v>H3a2a</v>
      </c>
      <c r="N2824" t="s">
        <v>4947</v>
      </c>
      <c r="O2824">
        <v>6931142.0</v>
      </c>
      <c r="P2824">
        <v>7063101.0</v>
      </c>
      <c r="Q2824" t="s">
        <v>419</v>
      </c>
      <c r="R2824" s="5"/>
      <c r="S2824" s="5"/>
      <c r="T2824" s="5"/>
      <c r="U2824" s="5"/>
      <c r="V2824" s="5"/>
      <c r="W2824" s="5"/>
      <c r="X2824" s="5"/>
      <c r="Y2824" s="5"/>
      <c r="Z2824" s="5"/>
      <c r="AA2824" s="5"/>
      <c r="AB2824" s="5"/>
      <c r="AC2824" s="5"/>
      <c r="AD2824" s="5"/>
      <c r="AE2824" s="5"/>
      <c r="AF2824" s="5"/>
      <c r="AG2824" s="5"/>
    </row>
    <row r="2825" ht="15.75" customHeight="1">
      <c r="K2825" t="s">
        <v>4948</v>
      </c>
      <c r="L2825" t="str">
        <f>E180</f>
        <v>H3a2a</v>
      </c>
      <c r="N2825" t="s">
        <v>4949</v>
      </c>
      <c r="O2825">
        <v>7381916.0</v>
      </c>
      <c r="P2825">
        <v>7513875.0</v>
      </c>
      <c r="Q2825" t="s">
        <v>448</v>
      </c>
      <c r="R2825" s="5"/>
      <c r="S2825" s="5"/>
      <c r="T2825" s="5"/>
      <c r="U2825" s="5"/>
      <c r="V2825" s="5"/>
      <c r="W2825" s="5"/>
      <c r="X2825" s="5"/>
      <c r="Y2825" s="5"/>
      <c r="Z2825" s="5"/>
      <c r="AA2825" s="5"/>
      <c r="AB2825" s="5"/>
      <c r="AC2825" s="5"/>
      <c r="AD2825" s="5"/>
      <c r="AE2825" s="5"/>
      <c r="AF2825" s="5"/>
      <c r="AG2825" s="5"/>
    </row>
    <row r="2826" ht="15.75" customHeight="1">
      <c r="K2826" t="s">
        <v>4950</v>
      </c>
      <c r="L2826" t="str">
        <f>E180</f>
        <v>H3a2a</v>
      </c>
      <c r="N2826" t="s">
        <v>4951</v>
      </c>
      <c r="O2826">
        <v>7765262.0</v>
      </c>
      <c r="P2826">
        <v>7897221.0</v>
      </c>
      <c r="Q2826" t="s">
        <v>525</v>
      </c>
      <c r="R2826" s="5"/>
      <c r="S2826" s="5"/>
      <c r="T2826" s="5"/>
      <c r="U2826" s="5"/>
      <c r="V2826" s="5"/>
      <c r="W2826" s="5"/>
      <c r="X2826" s="5"/>
      <c r="Y2826" s="5"/>
      <c r="Z2826" s="5"/>
      <c r="AA2826" s="5"/>
      <c r="AB2826" s="5"/>
      <c r="AC2826" s="5"/>
      <c r="AD2826" s="5"/>
      <c r="AE2826" s="5"/>
      <c r="AF2826" s="5"/>
      <c r="AG2826" s="5"/>
    </row>
    <row r="2827" ht="15.75" customHeight="1">
      <c r="K2827" t="s">
        <v>4952</v>
      </c>
      <c r="L2827" t="str">
        <f>E180</f>
        <v>H3a2a</v>
      </c>
      <c r="N2827" t="s">
        <v>4953</v>
      </c>
      <c r="O2827">
        <v>8255033.0</v>
      </c>
      <c r="P2827">
        <v>8386992.0</v>
      </c>
      <c r="Q2827" t="s">
        <v>419</v>
      </c>
      <c r="R2827" s="5"/>
      <c r="S2827" s="5"/>
      <c r="T2827" s="5"/>
      <c r="U2827" s="5"/>
      <c r="V2827" s="5"/>
      <c r="W2827" s="5"/>
      <c r="X2827" s="5"/>
      <c r="Y2827" s="5"/>
      <c r="Z2827" s="5"/>
      <c r="AA2827" s="5"/>
      <c r="AB2827" s="5"/>
      <c r="AC2827" s="5"/>
      <c r="AD2827" s="5"/>
      <c r="AE2827" s="5"/>
      <c r="AF2827" s="5"/>
      <c r="AG2827" s="5"/>
    </row>
    <row r="2828" ht="15.75" customHeight="1">
      <c r="K2828" t="s">
        <v>4954</v>
      </c>
      <c r="L2828" t="str">
        <f>E180</f>
        <v>H3a2a</v>
      </c>
      <c r="N2828" t="s">
        <v>4955</v>
      </c>
      <c r="O2828">
        <v>8376171.0</v>
      </c>
      <c r="P2828">
        <v>8508130.0</v>
      </c>
      <c r="Q2828" t="s">
        <v>553</v>
      </c>
      <c r="R2828" s="5"/>
      <c r="S2828" s="5"/>
      <c r="T2828" s="5"/>
      <c r="U2828" s="5"/>
      <c r="V2828" s="5"/>
      <c r="W2828" s="5"/>
      <c r="X2828" s="5"/>
      <c r="Y2828" s="5"/>
      <c r="Z2828" s="5"/>
      <c r="AA2828" s="5"/>
      <c r="AB2828" s="5"/>
      <c r="AC2828" s="5"/>
      <c r="AD2828" s="5"/>
      <c r="AE2828" s="5"/>
      <c r="AF2828" s="5"/>
      <c r="AG2828" s="5"/>
    </row>
    <row r="2829" ht="15.75" customHeight="1">
      <c r="K2829" t="s">
        <v>4956</v>
      </c>
      <c r="L2829" t="str">
        <f>E180</f>
        <v>H3a2a</v>
      </c>
      <c r="N2829" t="s">
        <v>4957</v>
      </c>
      <c r="O2829">
        <v>8526215.0</v>
      </c>
      <c r="P2829">
        <v>8658174.0</v>
      </c>
      <c r="Q2829" t="s">
        <v>423</v>
      </c>
      <c r="R2829" s="5"/>
      <c r="S2829" s="5"/>
      <c r="T2829" s="5"/>
      <c r="U2829" s="5"/>
      <c r="V2829" s="5"/>
      <c r="W2829" s="5"/>
      <c r="X2829" s="5"/>
      <c r="Y2829" s="5"/>
      <c r="Z2829" s="5"/>
      <c r="AA2829" s="5"/>
      <c r="AB2829" s="5"/>
      <c r="AC2829" s="5"/>
      <c r="AD2829" s="5"/>
      <c r="AE2829" s="5"/>
      <c r="AF2829" s="5"/>
      <c r="AG2829" s="5"/>
    </row>
    <row r="2830" ht="15.75" customHeight="1">
      <c r="K2830" t="s">
        <v>4958</v>
      </c>
      <c r="L2830" t="str">
        <f>E180</f>
        <v>H3a2a</v>
      </c>
      <c r="N2830" t="s">
        <v>4959</v>
      </c>
      <c r="O2830">
        <v>8755189.0</v>
      </c>
      <c r="P2830">
        <v>8887148.0</v>
      </c>
      <c r="Q2830" t="s">
        <v>435</v>
      </c>
      <c r="R2830" s="5"/>
      <c r="S2830" s="5"/>
      <c r="T2830" s="5"/>
      <c r="U2830" s="5"/>
      <c r="V2830" s="5"/>
      <c r="W2830" s="5"/>
      <c r="X2830" s="5"/>
      <c r="Y2830" s="5"/>
      <c r="Z2830" s="5"/>
      <c r="AA2830" s="5"/>
      <c r="AB2830" s="5"/>
      <c r="AC2830" s="5"/>
      <c r="AD2830" s="5"/>
      <c r="AE2830" s="5"/>
      <c r="AF2830" s="5"/>
      <c r="AG2830" s="5"/>
    </row>
    <row r="2831" ht="15.75" customHeight="1">
      <c r="K2831" t="s">
        <v>4960</v>
      </c>
      <c r="L2831" t="str">
        <f>E180</f>
        <v>H3a2a</v>
      </c>
      <c r="N2831" t="s">
        <v>4961</v>
      </c>
      <c r="O2831">
        <v>9047114.0</v>
      </c>
      <c r="P2831">
        <v>9209505.0</v>
      </c>
      <c r="Q2831" t="s">
        <v>423</v>
      </c>
      <c r="R2831" s="5"/>
      <c r="S2831" s="5"/>
      <c r="T2831" s="5"/>
      <c r="U2831" s="5"/>
      <c r="V2831" s="5"/>
      <c r="W2831" s="5"/>
      <c r="X2831" s="5"/>
      <c r="Y2831" s="5"/>
      <c r="Z2831" s="5"/>
      <c r="AA2831" s="5"/>
      <c r="AB2831" s="5"/>
      <c r="AC2831" s="5"/>
      <c r="AD2831" s="5"/>
      <c r="AE2831" s="5"/>
      <c r="AF2831" s="5"/>
      <c r="AG2831" s="5"/>
    </row>
    <row r="2832" ht="15.75" customHeight="1">
      <c r="K2832" t="s">
        <v>4962</v>
      </c>
      <c r="L2832" t="str">
        <f>E180</f>
        <v>H3a2a</v>
      </c>
      <c r="N2832" t="s">
        <v>4963</v>
      </c>
      <c r="O2832">
        <v>1.3845491E7</v>
      </c>
      <c r="P2832">
        <v>1.1724785E7</v>
      </c>
      <c r="Q2832" t="s">
        <v>423</v>
      </c>
      <c r="R2832" s="5"/>
      <c r="S2832" s="5"/>
      <c r="T2832" s="5"/>
      <c r="U2832" s="5"/>
      <c r="V2832" s="5"/>
      <c r="W2832" s="5"/>
      <c r="X2832" s="5"/>
      <c r="Y2832" s="5"/>
      <c r="Z2832" s="5"/>
      <c r="AA2832" s="5"/>
      <c r="AB2832" s="5"/>
      <c r="AC2832" s="5"/>
      <c r="AD2832" s="5"/>
      <c r="AE2832" s="5"/>
      <c r="AF2832" s="5"/>
      <c r="AG2832" s="5"/>
    </row>
    <row r="2833" ht="15.75" customHeight="1">
      <c r="K2833" t="s">
        <v>4964</v>
      </c>
      <c r="L2833" t="str">
        <f>E180</f>
        <v>H3a2a</v>
      </c>
      <c r="O2833">
        <v>1.3861852E7</v>
      </c>
      <c r="P2833">
        <v>1.1741146E7</v>
      </c>
      <c r="Q2833" t="s">
        <v>435</v>
      </c>
      <c r="R2833" s="5"/>
      <c r="S2833" s="5"/>
      <c r="T2833" s="5"/>
      <c r="U2833" s="5"/>
      <c r="V2833" s="5"/>
      <c r="W2833" s="5"/>
      <c r="X2833" s="5"/>
      <c r="Y2833" s="5"/>
      <c r="Z2833" s="5"/>
      <c r="AA2833" s="5"/>
      <c r="AB2833" s="5"/>
      <c r="AC2833" s="5"/>
      <c r="AD2833" s="5"/>
      <c r="AE2833" s="5"/>
      <c r="AF2833" s="5"/>
      <c r="AG2833" s="5"/>
    </row>
    <row r="2834" ht="15.75" customHeight="1">
      <c r="K2834" t="s">
        <v>4965</v>
      </c>
      <c r="L2834" t="str">
        <f>E180</f>
        <v>H3a2a</v>
      </c>
      <c r="N2834" t="s">
        <v>4966</v>
      </c>
      <c r="O2834">
        <v>1.4263379E7</v>
      </c>
      <c r="P2834">
        <v>1.2142673E7</v>
      </c>
      <c r="Q2834" t="s">
        <v>431</v>
      </c>
      <c r="R2834" s="5"/>
      <c r="S2834" s="5"/>
      <c r="T2834" s="5"/>
      <c r="U2834" s="5"/>
      <c r="V2834" s="5"/>
      <c r="W2834" s="5"/>
      <c r="X2834" s="5"/>
      <c r="Y2834" s="5"/>
      <c r="Z2834" s="5"/>
      <c r="AA2834" s="5"/>
      <c r="AB2834" s="5"/>
      <c r="AC2834" s="5"/>
      <c r="AD2834" s="5"/>
      <c r="AE2834" s="5"/>
      <c r="AF2834" s="5"/>
      <c r="AG2834" s="5"/>
    </row>
    <row r="2835" ht="15.75" customHeight="1">
      <c r="K2835" t="s">
        <v>4967</v>
      </c>
      <c r="L2835" t="str">
        <f>E180</f>
        <v>H3a2a</v>
      </c>
      <c r="N2835" t="s">
        <v>4968</v>
      </c>
      <c r="O2835">
        <v>1.5022062E7</v>
      </c>
      <c r="P2835">
        <v>1.2910151E7</v>
      </c>
      <c r="Q2835" t="s">
        <v>419</v>
      </c>
      <c r="R2835" s="5"/>
      <c r="S2835" s="5"/>
      <c r="T2835" s="5"/>
      <c r="U2835" s="5"/>
      <c r="V2835" s="5"/>
      <c r="W2835" s="5"/>
      <c r="X2835" s="5"/>
      <c r="Y2835" s="5"/>
      <c r="Z2835" s="5"/>
      <c r="AA2835" s="5"/>
      <c r="AB2835" s="5"/>
      <c r="AC2835" s="5"/>
      <c r="AD2835" s="5"/>
      <c r="AE2835" s="5"/>
      <c r="AF2835" s="5"/>
      <c r="AG2835" s="5"/>
    </row>
    <row r="2836" ht="15.75" customHeight="1">
      <c r="K2836" t="s">
        <v>4969</v>
      </c>
      <c r="L2836" t="str">
        <f>E180</f>
        <v>H3a2a</v>
      </c>
      <c r="N2836" t="s">
        <v>4970</v>
      </c>
      <c r="O2836">
        <v>1.5062153E7</v>
      </c>
      <c r="P2836">
        <v>1.2950245E7</v>
      </c>
      <c r="Q2836" t="s">
        <v>431</v>
      </c>
      <c r="R2836" s="5"/>
      <c r="S2836" s="5"/>
      <c r="T2836" s="5"/>
      <c r="U2836" s="5"/>
      <c r="V2836" s="5"/>
      <c r="W2836" s="5"/>
      <c r="X2836" s="5"/>
      <c r="Y2836" s="5"/>
      <c r="Z2836" s="5"/>
      <c r="AA2836" s="5"/>
      <c r="AB2836" s="5"/>
      <c r="AC2836" s="5"/>
      <c r="AD2836" s="5"/>
      <c r="AE2836" s="5"/>
      <c r="AF2836" s="5"/>
      <c r="AG2836" s="5"/>
    </row>
    <row r="2837" ht="15.75" customHeight="1">
      <c r="K2837" t="s">
        <v>4971</v>
      </c>
      <c r="L2837" t="str">
        <f>E180</f>
        <v>H3a2a</v>
      </c>
      <c r="N2837" t="s">
        <v>4972</v>
      </c>
      <c r="O2837">
        <v>1.53137E7</v>
      </c>
      <c r="P2837">
        <v>1.3201805E7</v>
      </c>
      <c r="Q2837" t="s">
        <v>431</v>
      </c>
      <c r="R2837" s="5"/>
      <c r="S2837" s="5"/>
      <c r="T2837" s="5"/>
      <c r="U2837" s="5"/>
      <c r="V2837" s="5"/>
      <c r="W2837" s="5"/>
      <c r="X2837" s="5"/>
      <c r="Y2837" s="5"/>
      <c r="Z2837" s="5"/>
      <c r="AA2837" s="5"/>
      <c r="AB2837" s="5"/>
      <c r="AC2837" s="5"/>
      <c r="AD2837" s="5"/>
      <c r="AE2837" s="5"/>
      <c r="AF2837" s="5"/>
      <c r="AG2837" s="5"/>
    </row>
    <row r="2838" ht="15.75" customHeight="1">
      <c r="K2838" t="s">
        <v>4973</v>
      </c>
      <c r="L2838" t="str">
        <f>E180</f>
        <v>H3a2a</v>
      </c>
      <c r="N2838" t="s">
        <v>4974</v>
      </c>
      <c r="O2838">
        <v>1.5730211E7</v>
      </c>
      <c r="P2838">
        <v>1.3618331E7</v>
      </c>
      <c r="Q2838" t="s">
        <v>431</v>
      </c>
      <c r="R2838" s="5"/>
      <c r="S2838" s="5"/>
      <c r="T2838" s="5"/>
      <c r="U2838" s="5"/>
      <c r="V2838" s="5"/>
      <c r="W2838" s="5"/>
      <c r="X2838" s="5"/>
      <c r="Y2838" s="5"/>
      <c r="Z2838" s="5"/>
      <c r="AA2838" s="5"/>
      <c r="AB2838" s="5"/>
      <c r="AC2838" s="5"/>
      <c r="AD2838" s="5"/>
      <c r="AE2838" s="5"/>
      <c r="AF2838" s="5"/>
      <c r="AG2838" s="5"/>
    </row>
    <row r="2839" ht="15.75" customHeight="1">
      <c r="K2839" t="s">
        <v>4975</v>
      </c>
      <c r="L2839" t="str">
        <f>E180</f>
        <v>H3a2a</v>
      </c>
      <c r="N2839" t="s">
        <v>4976</v>
      </c>
      <c r="O2839">
        <v>1.5751128E7</v>
      </c>
      <c r="P2839">
        <v>1.3639248E7</v>
      </c>
      <c r="Q2839" t="s">
        <v>448</v>
      </c>
      <c r="R2839" s="5"/>
      <c r="S2839" s="5"/>
      <c r="T2839" s="5"/>
      <c r="U2839" s="5"/>
      <c r="V2839" s="5"/>
      <c r="W2839" s="5"/>
      <c r="X2839" s="5"/>
      <c r="Y2839" s="5"/>
      <c r="Z2839" s="5"/>
      <c r="AA2839" s="5"/>
      <c r="AB2839" s="5"/>
      <c r="AC2839" s="5"/>
      <c r="AD2839" s="5"/>
      <c r="AE2839" s="5"/>
      <c r="AF2839" s="5"/>
      <c r="AG2839" s="5"/>
    </row>
    <row r="2840" ht="15.75" customHeight="1">
      <c r="K2840" t="s">
        <v>4977</v>
      </c>
      <c r="L2840" t="str">
        <f>E180</f>
        <v>H3a2a</v>
      </c>
      <c r="N2840" t="s">
        <v>4978</v>
      </c>
      <c r="O2840">
        <v>1.6553645E7</v>
      </c>
      <c r="P2840">
        <v>1.4441765E7</v>
      </c>
      <c r="Q2840" t="s">
        <v>431</v>
      </c>
      <c r="R2840" s="5"/>
      <c r="S2840" s="5"/>
      <c r="T2840" s="5"/>
      <c r="U2840" s="5"/>
      <c r="V2840" s="5"/>
      <c r="W2840" s="5"/>
      <c r="X2840" s="5"/>
      <c r="Y2840" s="5"/>
      <c r="Z2840" s="5"/>
      <c r="AA2840" s="5"/>
      <c r="AB2840" s="5"/>
      <c r="AC2840" s="5"/>
      <c r="AD2840" s="5"/>
      <c r="AE2840" s="5"/>
      <c r="AF2840" s="5"/>
      <c r="AG2840" s="5"/>
    </row>
    <row r="2841" ht="15.75" customHeight="1">
      <c r="K2841" t="s">
        <v>4979</v>
      </c>
      <c r="L2841" t="str">
        <f>E180</f>
        <v>H3a2a</v>
      </c>
      <c r="N2841" t="s">
        <v>4980</v>
      </c>
      <c r="O2841">
        <v>1.6746602E7</v>
      </c>
      <c r="P2841">
        <v>1.4634722E7</v>
      </c>
      <c r="Q2841" t="s">
        <v>473</v>
      </c>
      <c r="R2841" s="5"/>
      <c r="S2841" s="5"/>
      <c r="T2841" s="5"/>
      <c r="U2841" s="5"/>
      <c r="V2841" s="5"/>
      <c r="W2841" s="5"/>
      <c r="X2841" s="5"/>
      <c r="Y2841" s="5"/>
      <c r="Z2841" s="5"/>
      <c r="AA2841" s="5"/>
      <c r="AB2841" s="5"/>
      <c r="AC2841" s="5"/>
      <c r="AD2841" s="5"/>
      <c r="AE2841" s="5"/>
      <c r="AF2841" s="5"/>
      <c r="AG2841" s="5"/>
    </row>
    <row r="2842" ht="15.75" customHeight="1">
      <c r="K2842" t="s">
        <v>4981</v>
      </c>
      <c r="L2842" t="str">
        <f>E180</f>
        <v>H3a2a</v>
      </c>
      <c r="N2842" t="s">
        <v>4982</v>
      </c>
      <c r="O2842">
        <v>1.7198554E7</v>
      </c>
      <c r="P2842">
        <v>1.5086674E7</v>
      </c>
      <c r="Q2842" t="s">
        <v>423</v>
      </c>
      <c r="R2842" s="5"/>
      <c r="S2842" s="5"/>
      <c r="T2842" s="5"/>
      <c r="U2842" s="5"/>
      <c r="V2842" s="5"/>
      <c r="W2842" s="5"/>
      <c r="X2842" s="5"/>
      <c r="Y2842" s="5"/>
      <c r="Z2842" s="5"/>
      <c r="AA2842" s="5"/>
      <c r="AB2842" s="5"/>
      <c r="AC2842" s="5"/>
      <c r="AD2842" s="5"/>
      <c r="AE2842" s="5"/>
      <c r="AF2842" s="5"/>
      <c r="AG2842" s="5"/>
    </row>
    <row r="2843" ht="15.75" customHeight="1">
      <c r="K2843" t="s">
        <v>4983</v>
      </c>
      <c r="L2843" t="str">
        <f>E180</f>
        <v>H3a2a</v>
      </c>
      <c r="N2843" t="s">
        <v>4984</v>
      </c>
      <c r="O2843">
        <v>1.7440354E7</v>
      </c>
      <c r="P2843">
        <v>1.5328474E7</v>
      </c>
      <c r="Q2843" t="s">
        <v>448</v>
      </c>
      <c r="R2843" s="5"/>
      <c r="S2843" s="5"/>
      <c r="T2843" s="5"/>
      <c r="U2843" s="5"/>
      <c r="V2843" s="5"/>
      <c r="W2843" s="5"/>
      <c r="X2843" s="5"/>
      <c r="Y2843" s="5"/>
      <c r="Z2843" s="5"/>
      <c r="AA2843" s="5"/>
      <c r="AB2843" s="5"/>
      <c r="AC2843" s="5"/>
      <c r="AD2843" s="5"/>
      <c r="AE2843" s="5"/>
      <c r="AF2843" s="5"/>
      <c r="AG2843" s="5"/>
    </row>
    <row r="2844" ht="15.75" customHeight="1">
      <c r="K2844" t="s">
        <v>4985</v>
      </c>
      <c r="L2844" t="str">
        <f>E180</f>
        <v>H3a2a</v>
      </c>
      <c r="N2844" t="s">
        <v>4986</v>
      </c>
      <c r="O2844">
        <v>1.7506576E7</v>
      </c>
      <c r="P2844">
        <v>1.5394696E7</v>
      </c>
      <c r="Q2844" t="s">
        <v>419</v>
      </c>
      <c r="R2844" s="5"/>
      <c r="S2844" s="5"/>
      <c r="T2844" s="5"/>
      <c r="U2844" s="5"/>
      <c r="V2844" s="5"/>
      <c r="W2844" s="5"/>
      <c r="X2844" s="5"/>
      <c r="Y2844" s="5"/>
      <c r="Z2844" s="5"/>
      <c r="AA2844" s="5"/>
      <c r="AB2844" s="5"/>
      <c r="AC2844" s="5"/>
      <c r="AD2844" s="5"/>
      <c r="AE2844" s="5"/>
      <c r="AF2844" s="5"/>
      <c r="AG2844" s="5"/>
    </row>
    <row r="2845" ht="15.75" customHeight="1">
      <c r="K2845" t="s">
        <v>4987</v>
      </c>
      <c r="L2845" t="str">
        <f>E180</f>
        <v>H3a2a</v>
      </c>
      <c r="N2845" t="s">
        <v>4988</v>
      </c>
      <c r="O2845">
        <v>1.7527589E7</v>
      </c>
      <c r="P2845">
        <v>1.5415709E7</v>
      </c>
      <c r="Q2845" t="s">
        <v>553</v>
      </c>
      <c r="R2845" s="5"/>
      <c r="S2845" s="5"/>
      <c r="T2845" s="5"/>
      <c r="U2845" s="5"/>
      <c r="V2845" s="5"/>
      <c r="W2845" s="5"/>
      <c r="X2845" s="5"/>
      <c r="Y2845" s="5"/>
      <c r="Z2845" s="5"/>
      <c r="AA2845" s="5"/>
      <c r="AB2845" s="5"/>
      <c r="AC2845" s="5"/>
      <c r="AD2845" s="5"/>
      <c r="AE2845" s="5"/>
      <c r="AF2845" s="5"/>
      <c r="AG2845" s="5"/>
    </row>
    <row r="2846" ht="15.75" customHeight="1">
      <c r="K2846" t="s">
        <v>4989</v>
      </c>
      <c r="L2846" t="str">
        <f>E180</f>
        <v>H3a2a</v>
      </c>
      <c r="N2846" t="s">
        <v>4990</v>
      </c>
      <c r="O2846">
        <v>1.7545645E7</v>
      </c>
      <c r="P2846">
        <v>1.5433765E7</v>
      </c>
      <c r="Q2846" t="s">
        <v>452</v>
      </c>
      <c r="R2846" s="5"/>
      <c r="S2846" s="5"/>
      <c r="T2846" s="5"/>
      <c r="U2846" s="5"/>
      <c r="V2846" s="5"/>
      <c r="W2846" s="5"/>
      <c r="X2846" s="5"/>
      <c r="Y2846" s="5"/>
      <c r="Z2846" s="5"/>
      <c r="AA2846" s="5"/>
      <c r="AB2846" s="5"/>
      <c r="AC2846" s="5"/>
      <c r="AD2846" s="5"/>
      <c r="AE2846" s="5"/>
      <c r="AF2846" s="5"/>
      <c r="AG2846" s="5"/>
    </row>
    <row r="2847" ht="15.75" customHeight="1">
      <c r="K2847" t="s">
        <v>4991</v>
      </c>
      <c r="L2847" t="str">
        <f>E180</f>
        <v>H3a2a</v>
      </c>
      <c r="N2847" t="s">
        <v>4992</v>
      </c>
      <c r="O2847">
        <v>1.7812245E7</v>
      </c>
      <c r="P2847">
        <v>1.5700365E7</v>
      </c>
      <c r="Q2847" t="s">
        <v>427</v>
      </c>
      <c r="R2847" s="5"/>
      <c r="S2847" s="5"/>
      <c r="T2847" s="5"/>
      <c r="U2847" s="5"/>
      <c r="V2847" s="5"/>
      <c r="W2847" s="5"/>
      <c r="X2847" s="5"/>
      <c r="Y2847" s="5"/>
      <c r="Z2847" s="5"/>
      <c r="AA2847" s="5"/>
      <c r="AB2847" s="5"/>
      <c r="AC2847" s="5"/>
      <c r="AD2847" s="5"/>
      <c r="AE2847" s="5"/>
      <c r="AF2847" s="5"/>
      <c r="AG2847" s="5"/>
    </row>
    <row r="2848" ht="15.75" customHeight="1">
      <c r="K2848" t="s">
        <v>4993</v>
      </c>
      <c r="L2848" t="str">
        <f>E180</f>
        <v>H3a2a</v>
      </c>
      <c r="N2848" t="s">
        <v>4994</v>
      </c>
      <c r="O2848">
        <v>1.7965824E7</v>
      </c>
      <c r="P2848">
        <v>1.5853944E7</v>
      </c>
      <c r="Q2848" t="s">
        <v>419</v>
      </c>
      <c r="R2848" s="5"/>
      <c r="S2848" s="5"/>
      <c r="T2848" s="5"/>
      <c r="U2848" s="5"/>
      <c r="V2848" s="5"/>
      <c r="W2848" s="5"/>
      <c r="X2848" s="5"/>
      <c r="Y2848" s="5"/>
      <c r="Z2848" s="5"/>
      <c r="AA2848" s="5"/>
      <c r="AB2848" s="5"/>
      <c r="AC2848" s="5"/>
      <c r="AD2848" s="5"/>
      <c r="AE2848" s="5"/>
      <c r="AF2848" s="5"/>
      <c r="AG2848" s="5"/>
    </row>
    <row r="2849" ht="15.75" customHeight="1">
      <c r="K2849" t="s">
        <v>4995</v>
      </c>
      <c r="L2849" t="str">
        <f>E180</f>
        <v>H3a2a</v>
      </c>
      <c r="O2849">
        <v>1.7976931E7</v>
      </c>
      <c r="P2849">
        <v>1.5865051E7</v>
      </c>
      <c r="Q2849" t="s">
        <v>423</v>
      </c>
      <c r="R2849" s="5"/>
      <c r="S2849" s="5"/>
      <c r="T2849" s="5"/>
      <c r="U2849" s="5"/>
      <c r="V2849" s="5"/>
      <c r="W2849" s="5"/>
      <c r="X2849" s="5"/>
      <c r="Y2849" s="5"/>
      <c r="Z2849" s="5"/>
      <c r="AA2849" s="5"/>
      <c r="AB2849" s="5"/>
      <c r="AC2849" s="5"/>
      <c r="AD2849" s="5"/>
      <c r="AE2849" s="5"/>
      <c r="AF2849" s="5"/>
      <c r="AG2849" s="5"/>
    </row>
    <row r="2850" ht="15.75" customHeight="1">
      <c r="K2850" t="s">
        <v>4996</v>
      </c>
      <c r="L2850" t="str">
        <f>E180</f>
        <v>H3a2a</v>
      </c>
      <c r="N2850" t="s">
        <v>4997</v>
      </c>
      <c r="O2850">
        <v>1.8582219E7</v>
      </c>
      <c r="P2850">
        <v>1.6470339E7</v>
      </c>
      <c r="Q2850" t="s">
        <v>525</v>
      </c>
      <c r="R2850" s="5"/>
      <c r="S2850" s="5"/>
      <c r="T2850" s="5"/>
      <c r="U2850" s="5"/>
      <c r="V2850" s="5"/>
      <c r="W2850" s="5"/>
      <c r="X2850" s="5"/>
      <c r="Y2850" s="5"/>
      <c r="Z2850" s="5"/>
      <c r="AA2850" s="5"/>
      <c r="AB2850" s="5"/>
      <c r="AC2850" s="5"/>
      <c r="AD2850" s="5"/>
      <c r="AE2850" s="5"/>
      <c r="AF2850" s="5"/>
      <c r="AG2850" s="5"/>
    </row>
    <row r="2851" ht="15.75" customHeight="1">
      <c r="K2851" t="s">
        <v>4998</v>
      </c>
      <c r="L2851" t="str">
        <f>E180</f>
        <v>H3a2a</v>
      </c>
      <c r="N2851" t="s">
        <v>4999</v>
      </c>
      <c r="O2851">
        <v>1.8773788E7</v>
      </c>
      <c r="P2851">
        <v>1.6661908E7</v>
      </c>
      <c r="Q2851" t="s">
        <v>419</v>
      </c>
      <c r="R2851" s="5"/>
      <c r="S2851" s="5"/>
      <c r="T2851" s="5"/>
      <c r="U2851" s="5"/>
      <c r="V2851" s="5"/>
      <c r="W2851" s="5"/>
      <c r="X2851" s="5"/>
      <c r="Y2851" s="5"/>
      <c r="Z2851" s="5"/>
      <c r="AA2851" s="5"/>
      <c r="AB2851" s="5"/>
      <c r="AC2851" s="5"/>
      <c r="AD2851" s="5"/>
      <c r="AE2851" s="5"/>
      <c r="AF2851" s="5"/>
      <c r="AG2851" s="5"/>
    </row>
    <row r="2852" ht="15.75" customHeight="1">
      <c r="K2852" t="s">
        <v>5000</v>
      </c>
      <c r="L2852" t="str">
        <f>E180</f>
        <v>H3a2a</v>
      </c>
      <c r="N2852" t="s">
        <v>5001</v>
      </c>
      <c r="O2852">
        <v>1.9014602E7</v>
      </c>
      <c r="P2852">
        <v>1.6902722E7</v>
      </c>
      <c r="Q2852" t="s">
        <v>459</v>
      </c>
      <c r="R2852" s="5"/>
      <c r="S2852" s="5"/>
      <c r="T2852" s="5"/>
      <c r="U2852" s="5"/>
      <c r="V2852" s="5"/>
      <c r="W2852" s="5"/>
      <c r="X2852" s="5"/>
      <c r="Y2852" s="5"/>
      <c r="Z2852" s="5"/>
      <c r="AA2852" s="5"/>
      <c r="AB2852" s="5"/>
      <c r="AC2852" s="5"/>
      <c r="AD2852" s="5"/>
      <c r="AE2852" s="5"/>
      <c r="AF2852" s="5"/>
      <c r="AG2852" s="5"/>
    </row>
    <row r="2853" ht="15.75" customHeight="1">
      <c r="K2853" t="s">
        <v>5002</v>
      </c>
      <c r="L2853" t="str">
        <f>E180</f>
        <v>H3a2a</v>
      </c>
      <c r="N2853" t="s">
        <v>5003</v>
      </c>
      <c r="O2853">
        <v>1.9226793E7</v>
      </c>
      <c r="P2853">
        <v>1.7114913E7</v>
      </c>
      <c r="Q2853" t="s">
        <v>419</v>
      </c>
      <c r="R2853" s="5"/>
      <c r="S2853" s="5"/>
      <c r="T2853" s="5"/>
      <c r="U2853" s="5"/>
      <c r="V2853" s="5"/>
      <c r="W2853" s="5"/>
      <c r="X2853" s="5"/>
      <c r="Y2853" s="5"/>
      <c r="Z2853" s="5"/>
      <c r="AA2853" s="5"/>
      <c r="AB2853" s="5"/>
      <c r="AC2853" s="5"/>
      <c r="AD2853" s="5"/>
      <c r="AE2853" s="5"/>
      <c r="AF2853" s="5"/>
      <c r="AG2853" s="5"/>
    </row>
    <row r="2854" ht="15.75" customHeight="1">
      <c r="K2854" t="s">
        <v>5004</v>
      </c>
      <c r="L2854" t="str">
        <f>E180</f>
        <v>H3a2a</v>
      </c>
      <c r="O2854">
        <v>1.927912E7</v>
      </c>
      <c r="P2854">
        <v>1.716724E7</v>
      </c>
      <c r="Q2854" t="s">
        <v>423</v>
      </c>
      <c r="R2854" s="5"/>
      <c r="S2854" s="5"/>
      <c r="T2854" s="5"/>
      <c r="U2854" s="5"/>
      <c r="V2854" s="5"/>
      <c r="W2854" s="5"/>
      <c r="X2854" s="5"/>
      <c r="Y2854" s="5"/>
      <c r="Z2854" s="5"/>
      <c r="AA2854" s="5"/>
      <c r="AB2854" s="5"/>
      <c r="AC2854" s="5"/>
      <c r="AD2854" s="5"/>
      <c r="AE2854" s="5"/>
      <c r="AF2854" s="5"/>
      <c r="AG2854" s="5"/>
    </row>
    <row r="2855" ht="15.75" customHeight="1">
      <c r="K2855" t="s">
        <v>5005</v>
      </c>
      <c r="L2855" t="str">
        <f>E180</f>
        <v>H3a2a</v>
      </c>
      <c r="N2855" t="s">
        <v>5006</v>
      </c>
      <c r="O2855">
        <v>1.9463168E7</v>
      </c>
      <c r="P2855">
        <v>1.7351288E7</v>
      </c>
      <c r="Q2855" t="s">
        <v>419</v>
      </c>
      <c r="R2855" s="5"/>
      <c r="S2855" s="5"/>
      <c r="T2855" s="5"/>
      <c r="U2855" s="5"/>
      <c r="V2855" s="5"/>
      <c r="W2855" s="5"/>
      <c r="X2855" s="5"/>
      <c r="Y2855" s="5"/>
      <c r="Z2855" s="5"/>
      <c r="AA2855" s="5"/>
      <c r="AB2855" s="5"/>
      <c r="AC2855" s="5"/>
      <c r="AD2855" s="5"/>
      <c r="AE2855" s="5"/>
      <c r="AF2855" s="5"/>
      <c r="AG2855" s="5"/>
    </row>
    <row r="2856" ht="15.75" customHeight="1">
      <c r="K2856" t="s">
        <v>5007</v>
      </c>
      <c r="L2856" t="str">
        <f>E180</f>
        <v>H3a2a</v>
      </c>
      <c r="N2856" t="s">
        <v>5008</v>
      </c>
      <c r="O2856">
        <v>2.1167947E7</v>
      </c>
      <c r="P2856">
        <v>1.9006061E7</v>
      </c>
      <c r="Q2856" t="s">
        <v>525</v>
      </c>
      <c r="R2856" s="5"/>
      <c r="S2856" s="5"/>
      <c r="T2856" s="5"/>
      <c r="U2856" s="5"/>
      <c r="V2856" s="5"/>
      <c r="W2856" s="5"/>
      <c r="X2856" s="5"/>
      <c r="Y2856" s="5"/>
      <c r="Z2856" s="5"/>
      <c r="AA2856" s="5"/>
      <c r="AB2856" s="5"/>
      <c r="AC2856" s="5"/>
      <c r="AD2856" s="5"/>
      <c r="AE2856" s="5"/>
      <c r="AF2856" s="5"/>
      <c r="AG2856" s="5"/>
    </row>
    <row r="2857" ht="15.75" customHeight="1">
      <c r="K2857" t="s">
        <v>5009</v>
      </c>
      <c r="L2857" t="str">
        <f>E180</f>
        <v>H3a2a</v>
      </c>
      <c r="N2857" t="s">
        <v>5010</v>
      </c>
      <c r="O2857">
        <v>2.1168944E7</v>
      </c>
      <c r="P2857">
        <v>1.9007058E7</v>
      </c>
      <c r="Q2857" t="s">
        <v>423</v>
      </c>
      <c r="R2857" s="5"/>
      <c r="S2857" s="5"/>
      <c r="T2857" s="5"/>
      <c r="U2857" s="5"/>
      <c r="V2857" s="5"/>
      <c r="W2857" s="5"/>
      <c r="X2857" s="5"/>
      <c r="Y2857" s="5"/>
      <c r="Z2857" s="5"/>
      <c r="AA2857" s="5"/>
      <c r="AB2857" s="5"/>
      <c r="AC2857" s="5"/>
      <c r="AD2857" s="5"/>
      <c r="AE2857" s="5"/>
      <c r="AF2857" s="5"/>
      <c r="AG2857" s="5"/>
    </row>
    <row r="2858" ht="15.75" customHeight="1">
      <c r="K2858" t="s">
        <v>5011</v>
      </c>
      <c r="L2858" t="str">
        <f>E180</f>
        <v>H3a2a</v>
      </c>
      <c r="O2858">
        <v>2.2517987E7</v>
      </c>
      <c r="P2858">
        <v>2.0356101E7</v>
      </c>
      <c r="Q2858" t="s">
        <v>431</v>
      </c>
      <c r="R2858" s="5"/>
      <c r="S2858" s="5"/>
      <c r="T2858" s="5"/>
      <c r="U2858" s="5"/>
      <c r="V2858" s="5"/>
      <c r="W2858" s="5"/>
      <c r="X2858" s="5"/>
      <c r="Y2858" s="5"/>
      <c r="Z2858" s="5"/>
      <c r="AA2858" s="5"/>
      <c r="AB2858" s="5"/>
      <c r="AC2858" s="5"/>
      <c r="AD2858" s="5"/>
      <c r="AE2858" s="5"/>
      <c r="AF2858" s="5"/>
      <c r="AG2858" s="5"/>
    </row>
    <row r="2859" ht="15.75" customHeight="1">
      <c r="K2859" t="s">
        <v>5012</v>
      </c>
      <c r="L2859" t="str">
        <f>E180</f>
        <v>H3a2a</v>
      </c>
      <c r="N2859" t="s">
        <v>5013</v>
      </c>
      <c r="O2859">
        <v>2.2658673E7</v>
      </c>
      <c r="P2859">
        <v>2.0496787E7</v>
      </c>
      <c r="Q2859" t="s">
        <v>473</v>
      </c>
      <c r="R2859" s="5"/>
      <c r="S2859" s="5"/>
      <c r="T2859" s="5"/>
      <c r="U2859" s="5"/>
      <c r="V2859" s="5"/>
      <c r="W2859" s="5"/>
      <c r="X2859" s="5"/>
      <c r="Y2859" s="5"/>
      <c r="Z2859" s="5"/>
      <c r="AA2859" s="5"/>
      <c r="AB2859" s="5"/>
      <c r="AC2859" s="5"/>
      <c r="AD2859" s="5"/>
      <c r="AE2859" s="5"/>
      <c r="AF2859" s="5"/>
      <c r="AG2859" s="5"/>
    </row>
    <row r="2860" ht="15.75" customHeight="1">
      <c r="K2860" t="s">
        <v>5014</v>
      </c>
      <c r="L2860" t="str">
        <f>E180</f>
        <v>H3a2a</v>
      </c>
      <c r="N2860" t="s">
        <v>5015</v>
      </c>
      <c r="O2860">
        <v>2.3450377E7</v>
      </c>
      <c r="P2860">
        <v>2.1288491E7</v>
      </c>
      <c r="Q2860" t="s">
        <v>459</v>
      </c>
      <c r="R2860" s="5"/>
      <c r="S2860" s="5"/>
      <c r="T2860" s="5"/>
      <c r="U2860" s="5"/>
      <c r="V2860" s="5"/>
      <c r="W2860" s="5"/>
      <c r="X2860" s="5"/>
      <c r="Y2860" s="5"/>
      <c r="Z2860" s="5"/>
      <c r="AA2860" s="5"/>
      <c r="AB2860" s="5"/>
      <c r="AC2860" s="5"/>
      <c r="AD2860" s="5"/>
      <c r="AE2860" s="5"/>
      <c r="AF2860" s="5"/>
      <c r="AG2860" s="5"/>
    </row>
    <row r="2861" ht="15.75" customHeight="1">
      <c r="K2861" t="s">
        <v>5016</v>
      </c>
      <c r="L2861" t="str">
        <f>E180</f>
        <v>H3a2a</v>
      </c>
      <c r="N2861" t="s">
        <v>5017</v>
      </c>
      <c r="O2861">
        <v>2.3599176E7</v>
      </c>
      <c r="P2861">
        <v>2.143729E7</v>
      </c>
      <c r="Q2861" t="s">
        <v>525</v>
      </c>
      <c r="R2861" s="5"/>
      <c r="S2861" s="5"/>
      <c r="T2861" s="5"/>
      <c r="U2861" s="5"/>
      <c r="V2861" s="5"/>
      <c r="W2861" s="5"/>
      <c r="X2861" s="5"/>
      <c r="Y2861" s="5"/>
      <c r="Z2861" s="5"/>
      <c r="AA2861" s="5"/>
      <c r="AB2861" s="5"/>
      <c r="AC2861" s="5"/>
      <c r="AD2861" s="5"/>
      <c r="AE2861" s="5"/>
      <c r="AF2861" s="5"/>
      <c r="AG2861" s="5"/>
    </row>
    <row r="2862" ht="15.75" customHeight="1">
      <c r="K2862" t="s">
        <v>5018</v>
      </c>
      <c r="L2862" t="str">
        <f>E180</f>
        <v>H3a2a</v>
      </c>
      <c r="O2862">
        <v>2.3994768E7</v>
      </c>
      <c r="P2862">
        <v>2.1848621E7</v>
      </c>
      <c r="Q2862" t="s">
        <v>419</v>
      </c>
      <c r="R2862" s="5"/>
      <c r="S2862" s="5"/>
      <c r="T2862" s="5"/>
      <c r="U2862" s="5"/>
      <c r="V2862" s="5"/>
      <c r="W2862" s="5"/>
      <c r="X2862" s="5"/>
      <c r="Y2862" s="5"/>
      <c r="Z2862" s="5"/>
      <c r="AA2862" s="5"/>
      <c r="AB2862" s="5"/>
      <c r="AC2862" s="5"/>
      <c r="AD2862" s="5"/>
      <c r="AE2862" s="5"/>
      <c r="AF2862" s="5"/>
      <c r="AG2862" s="5"/>
    </row>
    <row r="2863" ht="15.75" customHeight="1">
      <c r="K2863" t="s">
        <v>5019</v>
      </c>
      <c r="L2863" t="str">
        <f>E180</f>
        <v>H3a2a</v>
      </c>
      <c r="N2863" t="s">
        <v>5020</v>
      </c>
      <c r="O2863">
        <v>2.4431594E7</v>
      </c>
      <c r="P2863">
        <v>2.2285447E7</v>
      </c>
      <c r="Q2863" t="s">
        <v>423</v>
      </c>
      <c r="R2863" s="5"/>
      <c r="S2863" s="5"/>
      <c r="T2863" s="5"/>
      <c r="U2863" s="5"/>
      <c r="V2863" s="5"/>
      <c r="W2863" s="5"/>
      <c r="X2863" s="5"/>
      <c r="Y2863" s="5"/>
      <c r="Z2863" s="5"/>
      <c r="AA2863" s="5"/>
      <c r="AB2863" s="5"/>
      <c r="AC2863" s="5"/>
      <c r="AD2863" s="5"/>
      <c r="AE2863" s="5"/>
      <c r="AF2863" s="5"/>
      <c r="AG2863" s="5"/>
    </row>
    <row r="2864" ht="15.75" customHeight="1">
      <c r="K2864" t="s">
        <v>5021</v>
      </c>
      <c r="L2864" t="str">
        <f>E180</f>
        <v>H3a2a</v>
      </c>
      <c r="O2864">
        <v>2.4517214E7</v>
      </c>
      <c r="P2864">
        <v>2.2371067E7</v>
      </c>
      <c r="Q2864" t="s">
        <v>435</v>
      </c>
      <c r="R2864" s="5"/>
      <c r="S2864" s="5"/>
      <c r="T2864" s="5"/>
      <c r="U2864" s="5"/>
      <c r="V2864" s="5"/>
      <c r="W2864" s="5"/>
      <c r="X2864" s="5"/>
      <c r="Y2864" s="5"/>
      <c r="Z2864" s="5"/>
      <c r="AA2864" s="5"/>
      <c r="AB2864" s="5"/>
      <c r="AC2864" s="5"/>
      <c r="AD2864" s="5"/>
      <c r="AE2864" s="5"/>
      <c r="AF2864" s="5"/>
      <c r="AG2864" s="5"/>
    </row>
    <row r="2865" ht="15.75" customHeight="1">
      <c r="K2865" t="s">
        <v>5022</v>
      </c>
      <c r="L2865" t="str">
        <f>E180</f>
        <v>H3a2a</v>
      </c>
      <c r="N2865" t="s">
        <v>5023</v>
      </c>
      <c r="O2865">
        <v>2.8602706E7</v>
      </c>
      <c r="P2865">
        <v>2.6456559E7</v>
      </c>
      <c r="Q2865" t="s">
        <v>435</v>
      </c>
      <c r="R2865" s="5"/>
      <c r="S2865" s="5"/>
      <c r="T2865" s="5"/>
      <c r="U2865" s="5"/>
      <c r="V2865" s="5"/>
      <c r="W2865" s="5"/>
      <c r="X2865" s="5"/>
      <c r="Y2865" s="5"/>
      <c r="Z2865" s="5"/>
      <c r="AA2865" s="5"/>
      <c r="AB2865" s="5"/>
      <c r="AC2865" s="5"/>
      <c r="AD2865" s="5"/>
      <c r="AE2865" s="5"/>
      <c r="AF2865" s="5"/>
      <c r="AG2865" s="5"/>
    </row>
    <row r="2866" ht="15.75" customHeight="1">
      <c r="K2866" t="s">
        <v>5024</v>
      </c>
      <c r="L2866" t="str">
        <f>E180</f>
        <v>H3a2a</v>
      </c>
      <c r="O2866">
        <v>2.8771219E7</v>
      </c>
      <c r="P2866">
        <v>2.6625072E7</v>
      </c>
      <c r="Q2866" t="s">
        <v>419</v>
      </c>
      <c r="R2866" s="5"/>
      <c r="S2866" s="5"/>
      <c r="T2866" s="5"/>
      <c r="U2866" s="5"/>
      <c r="V2866" s="5"/>
      <c r="W2866" s="5"/>
      <c r="X2866" s="5"/>
      <c r="Y2866" s="5"/>
      <c r="Z2866" s="5"/>
      <c r="AA2866" s="5"/>
      <c r="AB2866" s="5"/>
      <c r="AC2866" s="5"/>
      <c r="AD2866" s="5"/>
      <c r="AE2866" s="5"/>
      <c r="AF2866" s="5"/>
      <c r="AG2866" s="5"/>
    </row>
    <row r="2867" ht="15.75" customHeight="1">
      <c r="K2867" t="s">
        <v>5025</v>
      </c>
      <c r="L2867" t="str">
        <f>E180</f>
        <v>H3a2a</v>
      </c>
      <c r="O2867">
        <v>2.8775796E7</v>
      </c>
      <c r="P2867">
        <v>2.6629649E7</v>
      </c>
      <c r="Q2867" t="s">
        <v>476</v>
      </c>
      <c r="R2867" s="5"/>
      <c r="S2867" s="5"/>
      <c r="T2867" s="5"/>
      <c r="U2867" s="5"/>
      <c r="V2867" s="5"/>
      <c r="W2867" s="5"/>
      <c r="X2867" s="5"/>
      <c r="Y2867" s="5"/>
      <c r="Z2867" s="5"/>
      <c r="AA2867" s="5"/>
      <c r="AB2867" s="5"/>
      <c r="AC2867" s="5"/>
      <c r="AD2867" s="5"/>
      <c r="AE2867" s="5"/>
      <c r="AF2867" s="5"/>
      <c r="AG2867" s="5"/>
    </row>
    <row r="2868" ht="15.75" customHeight="1">
      <c r="K2868" s="68" t="s">
        <v>5026</v>
      </c>
      <c r="L2868" s="68" t="str">
        <f>E180</f>
        <v>H3a2a</v>
      </c>
      <c r="M2868" s="68" t="s">
        <v>5027</v>
      </c>
      <c r="N2868" s="68" t="s">
        <v>5028</v>
      </c>
      <c r="O2868" s="68">
        <v>1.5210026E7</v>
      </c>
      <c r="P2868" s="68">
        <v>1.3098112E7</v>
      </c>
      <c r="Q2868" t="s">
        <v>435</v>
      </c>
      <c r="R2868" s="5"/>
      <c r="S2868" s="5"/>
      <c r="T2868" s="5"/>
      <c r="U2868" s="5"/>
      <c r="V2868" s="5"/>
      <c r="W2868" s="5"/>
      <c r="X2868" s="5"/>
      <c r="Y2868" s="5"/>
      <c r="Z2868" s="5"/>
      <c r="AA2868" s="5"/>
      <c r="AB2868" s="5"/>
      <c r="AC2868" s="5"/>
      <c r="AD2868" s="5"/>
      <c r="AE2868" s="5"/>
      <c r="AF2868" s="5"/>
      <c r="AG2868" s="5"/>
    </row>
    <row r="2869" ht="15.75" customHeight="1">
      <c r="K2869" s="68" t="s">
        <v>5029</v>
      </c>
      <c r="L2869" s="68" t="str">
        <f t="shared" ref="L2869:L2870" si="54">E180</f>
        <v>H3a2a</v>
      </c>
      <c r="M2869" s="68" t="s">
        <v>5030</v>
      </c>
      <c r="N2869" s="68" t="s">
        <v>5031</v>
      </c>
      <c r="O2869" s="68">
        <v>1.9198375E7</v>
      </c>
      <c r="P2869" s="68">
        <v>1.7086495E7</v>
      </c>
      <c r="Q2869" t="s">
        <v>431</v>
      </c>
      <c r="R2869" s="5"/>
      <c r="S2869" s="5"/>
      <c r="T2869" s="5"/>
      <c r="U2869" s="5"/>
      <c r="V2869" s="5"/>
      <c r="W2869" s="5"/>
      <c r="X2869" s="5"/>
      <c r="Y2869" s="5"/>
      <c r="Z2869" s="5"/>
      <c r="AA2869" s="5"/>
      <c r="AB2869" s="5"/>
      <c r="AC2869" s="5"/>
      <c r="AD2869" s="5"/>
      <c r="AE2869" s="5"/>
      <c r="AF2869" s="5"/>
      <c r="AG2869" s="5"/>
    </row>
    <row r="2870" ht="15.75" customHeight="1">
      <c r="K2870" t="s">
        <v>323</v>
      </c>
      <c r="L2870" t="str">
        <f t="shared" si="54"/>
        <v>H3a2a~</v>
      </c>
      <c r="N2870" t="s">
        <v>5032</v>
      </c>
      <c r="O2870">
        <v>8666166.0</v>
      </c>
      <c r="P2870">
        <v>8798125.0</v>
      </c>
      <c r="Q2870" t="s">
        <v>448</v>
      </c>
      <c r="R2870" s="5"/>
      <c r="S2870" s="5"/>
      <c r="T2870" s="5"/>
      <c r="U2870" s="5"/>
      <c r="V2870" s="5"/>
      <c r="W2870" s="5"/>
      <c r="X2870" s="5"/>
      <c r="Y2870" s="5"/>
      <c r="Z2870" s="5"/>
      <c r="AA2870" s="5"/>
      <c r="AB2870" s="5"/>
      <c r="AC2870" s="5"/>
      <c r="AD2870" s="5"/>
      <c r="AE2870" s="5"/>
      <c r="AF2870" s="5"/>
      <c r="AG2870" s="5"/>
    </row>
    <row r="2871" ht="15.75" customHeight="1">
      <c r="K2871" t="s">
        <v>5033</v>
      </c>
      <c r="L2871" t="str">
        <f>F182</f>
        <v>H3a2a1</v>
      </c>
      <c r="N2871" t="s">
        <v>5034</v>
      </c>
      <c r="O2871">
        <v>7711848.0</v>
      </c>
      <c r="P2871">
        <v>7843807.0</v>
      </c>
      <c r="Q2871" t="s">
        <v>435</v>
      </c>
      <c r="R2871" s="5"/>
      <c r="S2871" s="5"/>
      <c r="T2871" s="5"/>
      <c r="U2871" s="5"/>
      <c r="V2871" s="5"/>
      <c r="W2871" s="5"/>
      <c r="X2871" s="5"/>
      <c r="Y2871" s="5"/>
      <c r="Z2871" s="5"/>
      <c r="AA2871" s="5"/>
      <c r="AB2871" s="5"/>
      <c r="AC2871" s="5"/>
      <c r="AD2871" s="5"/>
      <c r="AE2871" s="5"/>
      <c r="AF2871" s="5"/>
      <c r="AG2871" s="5"/>
    </row>
    <row r="2872" ht="15.75" customHeight="1">
      <c r="K2872" t="s">
        <v>5035</v>
      </c>
      <c r="L2872" t="str">
        <f>F182</f>
        <v>H3a2a1</v>
      </c>
      <c r="N2872" t="s">
        <v>5036</v>
      </c>
      <c r="O2872">
        <v>1.5567343E7</v>
      </c>
      <c r="P2872">
        <v>1.3455463E7</v>
      </c>
      <c r="Q2872" t="s">
        <v>435</v>
      </c>
      <c r="R2872" s="5"/>
      <c r="S2872" s="5"/>
      <c r="T2872" s="5"/>
      <c r="U2872" s="5"/>
      <c r="V2872" s="5"/>
      <c r="W2872" s="5"/>
      <c r="X2872" s="5"/>
      <c r="Y2872" s="5"/>
      <c r="Z2872" s="5"/>
      <c r="AA2872" s="5"/>
      <c r="AB2872" s="5"/>
      <c r="AC2872" s="5"/>
      <c r="AD2872" s="5"/>
      <c r="AE2872" s="5"/>
      <c r="AF2872" s="5"/>
      <c r="AG2872" s="5"/>
    </row>
    <row r="2873" ht="15.75" customHeight="1">
      <c r="K2873" t="s">
        <v>5037</v>
      </c>
      <c r="L2873" t="str">
        <f>F182</f>
        <v>H3a2a1</v>
      </c>
      <c r="N2873" t="s">
        <v>5038</v>
      </c>
      <c r="O2873">
        <v>1.381306E7</v>
      </c>
      <c r="P2873">
        <v>1.1692354E7</v>
      </c>
      <c r="Q2873" t="s">
        <v>419</v>
      </c>
      <c r="R2873" s="5"/>
      <c r="S2873" s="5"/>
      <c r="T2873" s="5"/>
      <c r="U2873" s="5"/>
      <c r="V2873" s="5"/>
      <c r="W2873" s="5"/>
      <c r="X2873" s="5"/>
      <c r="Y2873" s="5"/>
      <c r="Z2873" s="5"/>
      <c r="AA2873" s="5"/>
      <c r="AB2873" s="5"/>
      <c r="AC2873" s="5"/>
      <c r="AD2873" s="5"/>
      <c r="AE2873" s="5"/>
      <c r="AF2873" s="5"/>
      <c r="AG2873" s="5"/>
    </row>
    <row r="2874" ht="15.75" customHeight="1">
      <c r="K2874" t="s">
        <v>5039</v>
      </c>
      <c r="L2874" t="str">
        <f>G183</f>
        <v>H3a2a1a</v>
      </c>
      <c r="M2874" t="s">
        <v>5040</v>
      </c>
      <c r="N2874" t="s">
        <v>5041</v>
      </c>
      <c r="O2874">
        <v>7266736.0</v>
      </c>
      <c r="P2874">
        <v>7398695.0</v>
      </c>
      <c r="Q2874" t="s">
        <v>419</v>
      </c>
      <c r="R2874" s="5"/>
      <c r="S2874" s="5"/>
      <c r="T2874" s="5"/>
      <c r="U2874" s="5"/>
      <c r="V2874" s="5"/>
      <c r="W2874" s="5"/>
      <c r="X2874" s="5"/>
      <c r="Y2874" s="5"/>
      <c r="Z2874" s="5"/>
      <c r="AA2874" s="5"/>
      <c r="AB2874" s="5"/>
      <c r="AC2874" s="5"/>
      <c r="AD2874" s="5"/>
      <c r="AE2874" s="5"/>
      <c r="AF2874" s="5"/>
      <c r="AG2874" s="5"/>
    </row>
    <row r="2875" ht="15.75" customHeight="1">
      <c r="K2875" t="s">
        <v>5040</v>
      </c>
      <c r="L2875" t="str">
        <f>G183</f>
        <v>H3a2a1a</v>
      </c>
      <c r="M2875" t="s">
        <v>5039</v>
      </c>
      <c r="N2875" t="s">
        <v>5041</v>
      </c>
      <c r="O2875">
        <v>7266736.0</v>
      </c>
      <c r="P2875">
        <v>7398695.0</v>
      </c>
      <c r="Q2875" t="s">
        <v>419</v>
      </c>
      <c r="R2875" s="5"/>
      <c r="S2875" s="5"/>
      <c r="T2875" s="5"/>
      <c r="U2875" s="5"/>
      <c r="V2875" s="5"/>
      <c r="W2875" s="5"/>
      <c r="X2875" s="5"/>
      <c r="Y2875" s="5"/>
      <c r="Z2875" s="5"/>
      <c r="AA2875" s="5"/>
      <c r="AB2875" s="5"/>
      <c r="AC2875" s="5"/>
      <c r="AD2875" s="5"/>
      <c r="AE2875" s="5"/>
      <c r="AF2875" s="5"/>
      <c r="AG2875" s="5"/>
    </row>
    <row r="2876" ht="15.75" customHeight="1">
      <c r="K2876" t="s">
        <v>5042</v>
      </c>
      <c r="L2876" t="str">
        <f>G183</f>
        <v>H3a2a1a</v>
      </c>
      <c r="M2876" t="s">
        <v>5043</v>
      </c>
      <c r="N2876" t="s">
        <v>5044</v>
      </c>
      <c r="O2876">
        <v>6862757.0</v>
      </c>
      <c r="P2876">
        <v>6994716.0</v>
      </c>
      <c r="Q2876" t="s">
        <v>476</v>
      </c>
      <c r="R2876" s="5"/>
      <c r="S2876" s="5"/>
      <c r="T2876" s="5"/>
      <c r="U2876" s="5"/>
      <c r="V2876" s="5"/>
      <c r="W2876" s="5"/>
      <c r="X2876" s="5"/>
      <c r="Y2876" s="5"/>
      <c r="Z2876" s="5"/>
      <c r="AA2876" s="5"/>
      <c r="AB2876" s="5"/>
      <c r="AC2876" s="5"/>
      <c r="AD2876" s="5"/>
      <c r="AE2876" s="5"/>
      <c r="AF2876" s="5"/>
      <c r="AG2876" s="5"/>
    </row>
    <row r="2877" ht="15.75" customHeight="1">
      <c r="K2877" t="s">
        <v>5043</v>
      </c>
      <c r="L2877" t="str">
        <f>G183</f>
        <v>H3a2a1a</v>
      </c>
      <c r="M2877" t="s">
        <v>5042</v>
      </c>
      <c r="N2877" t="s">
        <v>5044</v>
      </c>
      <c r="O2877">
        <v>6862757.0</v>
      </c>
      <c r="P2877">
        <v>6994716.0</v>
      </c>
      <c r="Q2877" t="s">
        <v>476</v>
      </c>
      <c r="R2877" s="5"/>
      <c r="S2877" s="5"/>
      <c r="T2877" s="5"/>
      <c r="U2877" s="5"/>
      <c r="V2877" s="5"/>
      <c r="W2877" s="5"/>
      <c r="X2877" s="5"/>
      <c r="Y2877" s="5"/>
      <c r="Z2877" s="5"/>
      <c r="AA2877" s="5"/>
      <c r="AB2877" s="5"/>
      <c r="AC2877" s="5"/>
      <c r="AD2877" s="5"/>
      <c r="AE2877" s="5"/>
      <c r="AF2877" s="5"/>
      <c r="AG2877" s="5"/>
    </row>
    <row r="2878" ht="15.75" customHeight="1">
      <c r="K2878" t="s">
        <v>5045</v>
      </c>
      <c r="L2878" t="str">
        <f>G183</f>
        <v>H3a2a1a</v>
      </c>
      <c r="M2878" t="s">
        <v>5046</v>
      </c>
      <c r="N2878" t="s">
        <v>5047</v>
      </c>
      <c r="O2878">
        <v>8285501.0</v>
      </c>
      <c r="P2878">
        <v>8417460.0</v>
      </c>
      <c r="Q2878" t="s">
        <v>435</v>
      </c>
      <c r="R2878" s="5"/>
      <c r="S2878" s="5"/>
      <c r="T2878" s="5"/>
      <c r="U2878" s="5"/>
      <c r="V2878" s="5"/>
      <c r="W2878" s="5"/>
      <c r="X2878" s="5"/>
      <c r="Y2878" s="5"/>
      <c r="Z2878" s="5"/>
      <c r="AA2878" s="5"/>
      <c r="AB2878" s="5"/>
      <c r="AC2878" s="5"/>
      <c r="AD2878" s="5"/>
      <c r="AE2878" s="5"/>
      <c r="AF2878" s="5"/>
      <c r="AG2878" s="5"/>
    </row>
    <row r="2879" ht="15.75" customHeight="1">
      <c r="K2879" t="s">
        <v>5046</v>
      </c>
      <c r="L2879" t="str">
        <f>G183</f>
        <v>H3a2a1a</v>
      </c>
      <c r="M2879" t="s">
        <v>5045</v>
      </c>
      <c r="N2879" t="s">
        <v>5047</v>
      </c>
      <c r="O2879">
        <v>8285501.0</v>
      </c>
      <c r="P2879">
        <v>8417460.0</v>
      </c>
      <c r="Q2879" t="s">
        <v>435</v>
      </c>
      <c r="R2879" s="5"/>
      <c r="S2879" s="5"/>
      <c r="T2879" s="5"/>
      <c r="U2879" s="5"/>
      <c r="V2879" s="5"/>
      <c r="W2879" s="5"/>
      <c r="X2879" s="5"/>
      <c r="Y2879" s="5"/>
      <c r="Z2879" s="5"/>
      <c r="AA2879" s="5"/>
      <c r="AB2879" s="5"/>
      <c r="AC2879" s="5"/>
      <c r="AD2879" s="5"/>
      <c r="AE2879" s="5"/>
      <c r="AF2879" s="5"/>
      <c r="AG2879" s="5"/>
    </row>
    <row r="2880" ht="15.75" customHeight="1">
      <c r="K2880" t="s">
        <v>5048</v>
      </c>
      <c r="L2880" t="str">
        <f>G183</f>
        <v>H3a2a1a</v>
      </c>
      <c r="M2880" t="s">
        <v>5049</v>
      </c>
      <c r="O2880">
        <v>9796101.0</v>
      </c>
      <c r="P2880">
        <v>9958492.0</v>
      </c>
      <c r="Q2880" t="s">
        <v>419</v>
      </c>
      <c r="R2880" s="5"/>
      <c r="S2880" s="5"/>
      <c r="T2880" s="5"/>
      <c r="U2880" s="5"/>
      <c r="V2880" s="5"/>
      <c r="W2880" s="5"/>
      <c r="X2880" s="5"/>
      <c r="Y2880" s="5"/>
      <c r="Z2880" s="5"/>
      <c r="AA2880" s="5"/>
      <c r="AB2880" s="5"/>
      <c r="AC2880" s="5"/>
      <c r="AD2880" s="5"/>
      <c r="AE2880" s="5"/>
      <c r="AF2880" s="5"/>
      <c r="AG2880" s="5"/>
    </row>
    <row r="2881" ht="15.75" customHeight="1">
      <c r="K2881" t="s">
        <v>5049</v>
      </c>
      <c r="L2881" t="str">
        <f>G183</f>
        <v>H3a2a1a</v>
      </c>
      <c r="M2881" t="s">
        <v>5048</v>
      </c>
      <c r="O2881">
        <v>9796101.0</v>
      </c>
      <c r="P2881">
        <v>9958492.0</v>
      </c>
      <c r="Q2881" t="s">
        <v>419</v>
      </c>
      <c r="R2881" s="5"/>
      <c r="S2881" s="5"/>
      <c r="T2881" s="5"/>
      <c r="U2881" s="5"/>
      <c r="V2881" s="5"/>
      <c r="W2881" s="5"/>
      <c r="X2881" s="5"/>
      <c r="Y2881" s="5"/>
      <c r="Z2881" s="5"/>
      <c r="AA2881" s="5"/>
      <c r="AB2881" s="5"/>
      <c r="AC2881" s="5"/>
      <c r="AD2881" s="5"/>
      <c r="AE2881" s="5"/>
      <c r="AF2881" s="5"/>
      <c r="AG2881" s="5"/>
    </row>
    <row r="2882" ht="15.75" customHeight="1">
      <c r="K2882" t="s">
        <v>5050</v>
      </c>
      <c r="L2882" t="str">
        <f>G183</f>
        <v>H3a2a1a</v>
      </c>
      <c r="M2882" t="s">
        <v>5051</v>
      </c>
      <c r="N2882" t="s">
        <v>5052</v>
      </c>
      <c r="O2882">
        <v>1.4922337E7</v>
      </c>
      <c r="P2882">
        <v>1.2810402E7</v>
      </c>
      <c r="Q2882" t="s">
        <v>448</v>
      </c>
      <c r="R2882" s="5"/>
      <c r="S2882" s="5"/>
      <c r="T2882" s="5"/>
      <c r="U2882" s="5"/>
      <c r="V2882" s="5"/>
      <c r="W2882" s="5"/>
      <c r="X2882" s="5"/>
      <c r="Y2882" s="5"/>
      <c r="Z2882" s="5"/>
      <c r="AA2882" s="5"/>
      <c r="AB2882" s="5"/>
      <c r="AC2882" s="5"/>
      <c r="AD2882" s="5"/>
      <c r="AE2882" s="5"/>
      <c r="AF2882" s="5"/>
      <c r="AG2882" s="5"/>
    </row>
    <row r="2883" ht="15.75" customHeight="1">
      <c r="K2883" t="s">
        <v>5051</v>
      </c>
      <c r="L2883" t="str">
        <f>G183</f>
        <v>H3a2a1a</v>
      </c>
      <c r="M2883" t="s">
        <v>5050</v>
      </c>
      <c r="N2883" t="s">
        <v>5052</v>
      </c>
      <c r="O2883">
        <v>1.4922337E7</v>
      </c>
      <c r="P2883">
        <v>1.2810402E7</v>
      </c>
      <c r="Q2883" t="s">
        <v>448</v>
      </c>
      <c r="R2883" s="5"/>
      <c r="S2883" s="5"/>
      <c r="T2883" s="5"/>
      <c r="U2883" s="5"/>
      <c r="V2883" s="5"/>
      <c r="W2883" s="5"/>
      <c r="X2883" s="5"/>
      <c r="Y2883" s="5"/>
      <c r="Z2883" s="5"/>
      <c r="AA2883" s="5"/>
      <c r="AB2883" s="5"/>
      <c r="AC2883" s="5"/>
      <c r="AD2883" s="5"/>
      <c r="AE2883" s="5"/>
      <c r="AF2883" s="5"/>
      <c r="AG2883" s="5"/>
    </row>
    <row r="2884" ht="15.75" customHeight="1">
      <c r="K2884" t="s">
        <v>5053</v>
      </c>
      <c r="L2884" t="str">
        <f>G183</f>
        <v>H3a2a1a</v>
      </c>
      <c r="M2884" t="s">
        <v>5054</v>
      </c>
      <c r="N2884" t="s">
        <v>5055</v>
      </c>
      <c r="O2884">
        <v>1.4989572E7</v>
      </c>
      <c r="P2884">
        <v>1.2877657E7</v>
      </c>
      <c r="Q2884" t="s">
        <v>419</v>
      </c>
      <c r="R2884" s="5"/>
      <c r="S2884" s="5"/>
      <c r="T2884" s="5"/>
      <c r="U2884" s="5"/>
      <c r="V2884" s="5"/>
      <c r="W2884" s="5"/>
      <c r="X2884" s="5"/>
      <c r="Y2884" s="5"/>
      <c r="Z2884" s="5"/>
      <c r="AA2884" s="5"/>
      <c r="AB2884" s="5"/>
      <c r="AC2884" s="5"/>
      <c r="AD2884" s="5"/>
      <c r="AE2884" s="5"/>
      <c r="AF2884" s="5"/>
      <c r="AG2884" s="5"/>
    </row>
    <row r="2885" ht="15.75" customHeight="1">
      <c r="K2885" t="s">
        <v>5054</v>
      </c>
      <c r="L2885" t="str">
        <f>G183</f>
        <v>H3a2a1a</v>
      </c>
      <c r="M2885" t="s">
        <v>5053</v>
      </c>
      <c r="N2885" t="s">
        <v>5055</v>
      </c>
      <c r="O2885">
        <v>1.4989572E7</v>
      </c>
      <c r="P2885">
        <v>1.2877657E7</v>
      </c>
      <c r="Q2885" t="s">
        <v>419</v>
      </c>
      <c r="R2885" s="5"/>
      <c r="S2885" s="5"/>
      <c r="T2885" s="5"/>
      <c r="U2885" s="5"/>
      <c r="V2885" s="5"/>
      <c r="W2885" s="5"/>
      <c r="X2885" s="5"/>
      <c r="Y2885" s="5"/>
      <c r="Z2885" s="5"/>
      <c r="AA2885" s="5"/>
      <c r="AB2885" s="5"/>
      <c r="AC2885" s="5"/>
      <c r="AD2885" s="5"/>
      <c r="AE2885" s="5"/>
      <c r="AF2885" s="5"/>
      <c r="AG2885" s="5"/>
    </row>
    <row r="2886" ht="15.75" customHeight="1">
      <c r="K2886" t="s">
        <v>5056</v>
      </c>
      <c r="L2886" t="str">
        <f>G183</f>
        <v>H3a2a1a</v>
      </c>
      <c r="M2886" t="s">
        <v>5057</v>
      </c>
      <c r="N2886" t="s">
        <v>5058</v>
      </c>
      <c r="O2886">
        <v>1.5516029E7</v>
      </c>
      <c r="P2886">
        <v>1.3404149E7</v>
      </c>
      <c r="Q2886" t="s">
        <v>431</v>
      </c>
      <c r="R2886" s="5"/>
      <c r="S2886" s="5"/>
      <c r="T2886" s="5"/>
      <c r="U2886" s="5"/>
      <c r="V2886" s="5"/>
      <c r="W2886" s="5"/>
      <c r="X2886" s="5"/>
      <c r="Y2886" s="5"/>
      <c r="Z2886" s="5"/>
      <c r="AA2886" s="5"/>
      <c r="AB2886" s="5"/>
      <c r="AC2886" s="5"/>
      <c r="AD2886" s="5"/>
      <c r="AE2886" s="5"/>
      <c r="AF2886" s="5"/>
      <c r="AG2886" s="5"/>
    </row>
    <row r="2887" ht="15.75" customHeight="1">
      <c r="K2887" t="s">
        <v>5057</v>
      </c>
      <c r="L2887" t="str">
        <f>G183</f>
        <v>H3a2a1a</v>
      </c>
      <c r="M2887" t="s">
        <v>5056</v>
      </c>
      <c r="N2887" t="s">
        <v>5058</v>
      </c>
      <c r="O2887">
        <v>1.5516029E7</v>
      </c>
      <c r="P2887">
        <v>1.3404149E7</v>
      </c>
      <c r="Q2887" t="s">
        <v>431</v>
      </c>
      <c r="R2887" s="5"/>
      <c r="S2887" s="5"/>
      <c r="T2887" s="5"/>
      <c r="U2887" s="5"/>
      <c r="V2887" s="5"/>
      <c r="W2887" s="5"/>
      <c r="X2887" s="5"/>
      <c r="Y2887" s="5"/>
      <c r="Z2887" s="5"/>
      <c r="AA2887" s="5"/>
      <c r="AB2887" s="5"/>
      <c r="AC2887" s="5"/>
      <c r="AD2887" s="5"/>
      <c r="AE2887" s="5"/>
      <c r="AF2887" s="5"/>
      <c r="AG2887" s="5"/>
    </row>
    <row r="2888" ht="15.75" customHeight="1">
      <c r="K2888" t="s">
        <v>5059</v>
      </c>
      <c r="L2888" t="str">
        <f>G183</f>
        <v>H3a2a1a</v>
      </c>
      <c r="M2888" t="s">
        <v>5060</v>
      </c>
      <c r="N2888" t="s">
        <v>5061</v>
      </c>
      <c r="O2888">
        <v>1.623909E7</v>
      </c>
      <c r="P2888">
        <v>1.412721E7</v>
      </c>
      <c r="Q2888" t="s">
        <v>459</v>
      </c>
      <c r="R2888" s="5"/>
      <c r="S2888" s="5"/>
      <c r="T2888" s="5"/>
      <c r="U2888" s="5"/>
      <c r="V2888" s="5"/>
      <c r="W2888" s="5"/>
      <c r="X2888" s="5"/>
      <c r="Y2888" s="5"/>
      <c r="Z2888" s="5"/>
      <c r="AA2888" s="5"/>
      <c r="AB2888" s="5"/>
      <c r="AC2888" s="5"/>
      <c r="AD2888" s="5"/>
      <c r="AE2888" s="5"/>
      <c r="AF2888" s="5"/>
      <c r="AG2888" s="5"/>
    </row>
    <row r="2889" ht="15.75" customHeight="1">
      <c r="K2889" t="s">
        <v>5060</v>
      </c>
      <c r="L2889" t="str">
        <f>G183</f>
        <v>H3a2a1a</v>
      </c>
      <c r="M2889" t="s">
        <v>5059</v>
      </c>
      <c r="N2889" t="s">
        <v>5061</v>
      </c>
      <c r="O2889">
        <v>1.623909E7</v>
      </c>
      <c r="P2889">
        <v>1.412721E7</v>
      </c>
      <c r="Q2889" t="s">
        <v>459</v>
      </c>
      <c r="R2889" s="5"/>
      <c r="S2889" s="5"/>
      <c r="T2889" s="5"/>
      <c r="U2889" s="5"/>
      <c r="V2889" s="5"/>
      <c r="W2889" s="5"/>
      <c r="X2889" s="5"/>
      <c r="Y2889" s="5"/>
      <c r="Z2889" s="5"/>
      <c r="AA2889" s="5"/>
      <c r="AB2889" s="5"/>
      <c r="AC2889" s="5"/>
      <c r="AD2889" s="5"/>
      <c r="AE2889" s="5"/>
      <c r="AF2889" s="5"/>
      <c r="AG2889" s="5"/>
    </row>
    <row r="2890" ht="15.75" customHeight="1">
      <c r="K2890" t="s">
        <v>5062</v>
      </c>
      <c r="L2890" t="str">
        <f>G183</f>
        <v>H3a2a1a</v>
      </c>
      <c r="M2890" t="s">
        <v>5063</v>
      </c>
      <c r="N2890" t="s">
        <v>5064</v>
      </c>
      <c r="O2890">
        <v>1.6369257E7</v>
      </c>
      <c r="P2890">
        <v>1.4257377E7</v>
      </c>
      <c r="Q2890" t="s">
        <v>423</v>
      </c>
      <c r="R2890" s="5"/>
      <c r="S2890" s="5"/>
      <c r="T2890" s="5"/>
      <c r="U2890" s="5"/>
      <c r="V2890" s="5"/>
      <c r="W2890" s="5"/>
      <c r="X2890" s="5"/>
      <c r="Y2890" s="5"/>
      <c r="Z2890" s="5"/>
      <c r="AA2890" s="5"/>
      <c r="AB2890" s="5"/>
      <c r="AC2890" s="5"/>
      <c r="AD2890" s="5"/>
      <c r="AE2890" s="5"/>
      <c r="AF2890" s="5"/>
      <c r="AG2890" s="5"/>
    </row>
    <row r="2891" ht="15.75" customHeight="1">
      <c r="K2891" t="s">
        <v>5063</v>
      </c>
      <c r="L2891" t="str">
        <f>G183</f>
        <v>H3a2a1a</v>
      </c>
      <c r="M2891" t="s">
        <v>5062</v>
      </c>
      <c r="N2891" t="s">
        <v>5064</v>
      </c>
      <c r="O2891">
        <v>1.6369257E7</v>
      </c>
      <c r="P2891">
        <v>1.4257377E7</v>
      </c>
      <c r="Q2891" t="s">
        <v>423</v>
      </c>
      <c r="R2891" s="5"/>
      <c r="S2891" s="5"/>
      <c r="T2891" s="5"/>
      <c r="U2891" s="5"/>
      <c r="V2891" s="5"/>
      <c r="W2891" s="5"/>
      <c r="X2891" s="5"/>
      <c r="Y2891" s="5"/>
      <c r="Z2891" s="5"/>
      <c r="AA2891" s="5"/>
      <c r="AB2891" s="5"/>
      <c r="AC2891" s="5"/>
      <c r="AD2891" s="5"/>
      <c r="AE2891" s="5"/>
      <c r="AF2891" s="5"/>
      <c r="AG2891" s="5"/>
    </row>
    <row r="2892" ht="15.75" customHeight="1">
      <c r="K2892" t="s">
        <v>5065</v>
      </c>
      <c r="L2892" t="str">
        <f>G183</f>
        <v>H3a2a1a</v>
      </c>
      <c r="M2892" t="s">
        <v>5066</v>
      </c>
      <c r="N2892" t="s">
        <v>5067</v>
      </c>
      <c r="O2892">
        <v>1.6487065E7</v>
      </c>
      <c r="P2892">
        <v>1.4375185E7</v>
      </c>
      <c r="Q2892" t="s">
        <v>553</v>
      </c>
      <c r="R2892" s="5"/>
      <c r="S2892" s="5"/>
      <c r="T2892" s="5"/>
      <c r="U2892" s="5"/>
      <c r="V2892" s="5"/>
      <c r="W2892" s="5"/>
      <c r="X2892" s="5"/>
      <c r="Y2892" s="5"/>
      <c r="Z2892" s="5"/>
      <c r="AA2892" s="5"/>
      <c r="AB2892" s="5"/>
      <c r="AC2892" s="5"/>
      <c r="AD2892" s="5"/>
      <c r="AE2892" s="5"/>
      <c r="AF2892" s="5"/>
      <c r="AG2892" s="5"/>
    </row>
    <row r="2893" ht="15.75" customHeight="1">
      <c r="K2893" t="s">
        <v>5066</v>
      </c>
      <c r="L2893" t="str">
        <f>G183</f>
        <v>H3a2a1a</v>
      </c>
      <c r="M2893" t="s">
        <v>5065</v>
      </c>
      <c r="N2893" t="s">
        <v>5067</v>
      </c>
      <c r="O2893">
        <v>1.6487065E7</v>
      </c>
      <c r="P2893">
        <v>1.4375185E7</v>
      </c>
      <c r="Q2893" t="s">
        <v>553</v>
      </c>
      <c r="R2893" s="5"/>
      <c r="S2893" s="5"/>
      <c r="T2893" s="5"/>
      <c r="U2893" s="5"/>
      <c r="V2893" s="5"/>
      <c r="W2893" s="5"/>
      <c r="X2893" s="5"/>
      <c r="Y2893" s="5"/>
      <c r="Z2893" s="5"/>
      <c r="AA2893" s="5"/>
      <c r="AB2893" s="5"/>
      <c r="AC2893" s="5"/>
      <c r="AD2893" s="5"/>
      <c r="AE2893" s="5"/>
      <c r="AF2893" s="5"/>
      <c r="AG2893" s="5"/>
    </row>
    <row r="2894" ht="15.75" customHeight="1">
      <c r="K2894" t="s">
        <v>5068</v>
      </c>
      <c r="L2894" t="str">
        <f>G183</f>
        <v>H3a2a1a</v>
      </c>
      <c r="M2894" t="s">
        <v>5069</v>
      </c>
      <c r="N2894" t="s">
        <v>5070</v>
      </c>
      <c r="O2894">
        <v>1.6804718E7</v>
      </c>
      <c r="P2894">
        <v>1.4692838E7</v>
      </c>
      <c r="Q2894" t="s">
        <v>525</v>
      </c>
      <c r="R2894" s="5"/>
      <c r="S2894" s="5"/>
      <c r="T2894" s="5"/>
      <c r="U2894" s="5"/>
      <c r="V2894" s="5"/>
      <c r="W2894" s="5"/>
      <c r="X2894" s="5"/>
      <c r="Y2894" s="5"/>
      <c r="Z2894" s="5"/>
      <c r="AA2894" s="5"/>
      <c r="AB2894" s="5"/>
      <c r="AC2894" s="5"/>
      <c r="AD2894" s="5"/>
      <c r="AE2894" s="5"/>
      <c r="AF2894" s="5"/>
      <c r="AG2894" s="5"/>
    </row>
    <row r="2895" ht="15.75" customHeight="1">
      <c r="K2895" t="s">
        <v>5069</v>
      </c>
      <c r="L2895" t="str">
        <f>G183</f>
        <v>H3a2a1a</v>
      </c>
      <c r="M2895" t="s">
        <v>5068</v>
      </c>
      <c r="N2895" t="s">
        <v>5070</v>
      </c>
      <c r="O2895">
        <v>1.6804718E7</v>
      </c>
      <c r="P2895">
        <v>1.4692838E7</v>
      </c>
      <c r="Q2895" t="s">
        <v>525</v>
      </c>
      <c r="R2895" s="5"/>
      <c r="S2895" s="5"/>
      <c r="T2895" s="5"/>
      <c r="U2895" s="5"/>
      <c r="V2895" s="5"/>
      <c r="W2895" s="5"/>
      <c r="X2895" s="5"/>
      <c r="Y2895" s="5"/>
      <c r="Z2895" s="5"/>
      <c r="AA2895" s="5"/>
      <c r="AB2895" s="5"/>
      <c r="AC2895" s="5"/>
      <c r="AD2895" s="5"/>
      <c r="AE2895" s="5"/>
      <c r="AF2895" s="5"/>
      <c r="AG2895" s="5"/>
    </row>
    <row r="2896" ht="15.75" customHeight="1">
      <c r="K2896" t="s">
        <v>5071</v>
      </c>
      <c r="L2896" t="str">
        <f>G183</f>
        <v>H3a2a1a</v>
      </c>
      <c r="M2896" t="s">
        <v>5072</v>
      </c>
      <c r="N2896" t="s">
        <v>5073</v>
      </c>
      <c r="O2896">
        <v>1.685403E7</v>
      </c>
      <c r="P2896">
        <v>1.474215E7</v>
      </c>
      <c r="Q2896" t="s">
        <v>423</v>
      </c>
      <c r="R2896" s="5"/>
      <c r="S2896" s="5"/>
      <c r="T2896" s="5"/>
      <c r="U2896" s="5"/>
      <c r="V2896" s="5"/>
      <c r="W2896" s="5"/>
      <c r="X2896" s="5"/>
      <c r="Y2896" s="5"/>
      <c r="Z2896" s="5"/>
      <c r="AA2896" s="5"/>
      <c r="AB2896" s="5"/>
      <c r="AC2896" s="5"/>
      <c r="AD2896" s="5"/>
      <c r="AE2896" s="5"/>
      <c r="AF2896" s="5"/>
      <c r="AG2896" s="5"/>
    </row>
    <row r="2897" ht="15.75" customHeight="1">
      <c r="K2897" t="s">
        <v>5072</v>
      </c>
      <c r="L2897" t="str">
        <f>G183</f>
        <v>H3a2a1a</v>
      </c>
      <c r="M2897" t="s">
        <v>5071</v>
      </c>
      <c r="N2897" t="s">
        <v>5073</v>
      </c>
      <c r="O2897">
        <v>1.685403E7</v>
      </c>
      <c r="P2897">
        <v>1.474215E7</v>
      </c>
      <c r="Q2897" t="s">
        <v>423</v>
      </c>
      <c r="R2897" s="5"/>
      <c r="S2897" s="5"/>
      <c r="T2897" s="5"/>
      <c r="U2897" s="5"/>
      <c r="V2897" s="5"/>
      <c r="W2897" s="5"/>
      <c r="X2897" s="5"/>
      <c r="Y2897" s="5"/>
      <c r="Z2897" s="5"/>
      <c r="AA2897" s="5"/>
      <c r="AB2897" s="5"/>
      <c r="AC2897" s="5"/>
      <c r="AD2897" s="5"/>
      <c r="AE2897" s="5"/>
      <c r="AF2897" s="5"/>
      <c r="AG2897" s="5"/>
    </row>
    <row r="2898" ht="15.75" customHeight="1">
      <c r="K2898" t="s">
        <v>5074</v>
      </c>
      <c r="L2898" t="str">
        <f>G183</f>
        <v>H3a2a1a</v>
      </c>
      <c r="M2898" t="s">
        <v>5075</v>
      </c>
      <c r="N2898" t="s">
        <v>5076</v>
      </c>
      <c r="O2898">
        <v>1.6864952E7</v>
      </c>
      <c r="P2898">
        <v>1.4753072E7</v>
      </c>
      <c r="Q2898" t="s">
        <v>525</v>
      </c>
      <c r="R2898" s="5"/>
      <c r="S2898" s="5"/>
      <c r="T2898" s="5"/>
      <c r="U2898" s="5"/>
      <c r="V2898" s="5"/>
      <c r="W2898" s="5"/>
      <c r="X2898" s="5"/>
      <c r="Y2898" s="5"/>
      <c r="Z2898" s="5"/>
      <c r="AA2898" s="5"/>
      <c r="AB2898" s="5"/>
      <c r="AC2898" s="5"/>
      <c r="AD2898" s="5"/>
      <c r="AE2898" s="5"/>
      <c r="AF2898" s="5"/>
      <c r="AG2898" s="5"/>
    </row>
    <row r="2899" ht="15.75" customHeight="1">
      <c r="K2899" t="s">
        <v>5075</v>
      </c>
      <c r="L2899" t="str">
        <f>G183</f>
        <v>H3a2a1a</v>
      </c>
      <c r="M2899" t="s">
        <v>5074</v>
      </c>
      <c r="N2899" t="s">
        <v>5076</v>
      </c>
      <c r="O2899">
        <v>1.6864952E7</v>
      </c>
      <c r="P2899">
        <v>1.4753072E7</v>
      </c>
      <c r="Q2899" t="s">
        <v>525</v>
      </c>
      <c r="R2899" s="5"/>
      <c r="S2899" s="5"/>
      <c r="T2899" s="5"/>
      <c r="U2899" s="5"/>
      <c r="V2899" s="5"/>
      <c r="W2899" s="5"/>
      <c r="X2899" s="5"/>
      <c r="Y2899" s="5"/>
      <c r="Z2899" s="5"/>
      <c r="AA2899" s="5"/>
      <c r="AB2899" s="5"/>
      <c r="AC2899" s="5"/>
      <c r="AD2899" s="5"/>
      <c r="AE2899" s="5"/>
      <c r="AF2899" s="5"/>
      <c r="AG2899" s="5"/>
    </row>
    <row r="2900" ht="15.75" customHeight="1">
      <c r="K2900" t="s">
        <v>5077</v>
      </c>
      <c r="L2900" t="str">
        <f>G183</f>
        <v>H3a2a1a</v>
      </c>
      <c r="M2900" t="s">
        <v>5078</v>
      </c>
      <c r="N2900" t="s">
        <v>5079</v>
      </c>
      <c r="O2900">
        <v>1.7116506E7</v>
      </c>
      <c r="P2900">
        <v>1.5004626E7</v>
      </c>
      <c r="Q2900" t="s">
        <v>419</v>
      </c>
      <c r="R2900" s="5"/>
      <c r="S2900" s="5"/>
      <c r="T2900" s="5"/>
      <c r="U2900" s="5"/>
      <c r="V2900" s="5"/>
      <c r="W2900" s="5"/>
      <c r="X2900" s="5"/>
      <c r="Y2900" s="5"/>
      <c r="Z2900" s="5"/>
      <c r="AA2900" s="5"/>
      <c r="AB2900" s="5"/>
      <c r="AC2900" s="5"/>
      <c r="AD2900" s="5"/>
      <c r="AE2900" s="5"/>
      <c r="AF2900" s="5"/>
      <c r="AG2900" s="5"/>
    </row>
    <row r="2901" ht="15.75" customHeight="1">
      <c r="K2901" t="s">
        <v>5078</v>
      </c>
      <c r="L2901" t="str">
        <f>G183</f>
        <v>H3a2a1a</v>
      </c>
      <c r="M2901" t="s">
        <v>5077</v>
      </c>
      <c r="N2901" t="s">
        <v>5079</v>
      </c>
      <c r="O2901">
        <v>1.7116506E7</v>
      </c>
      <c r="P2901">
        <v>1.5004626E7</v>
      </c>
      <c r="Q2901" t="s">
        <v>419</v>
      </c>
      <c r="R2901" s="5"/>
      <c r="S2901" s="5"/>
      <c r="T2901" s="5"/>
      <c r="U2901" s="5"/>
      <c r="V2901" s="5"/>
      <c r="W2901" s="5"/>
      <c r="X2901" s="5"/>
      <c r="Y2901" s="5"/>
      <c r="Z2901" s="5"/>
      <c r="AA2901" s="5"/>
      <c r="AB2901" s="5"/>
      <c r="AC2901" s="5"/>
      <c r="AD2901" s="5"/>
      <c r="AE2901" s="5"/>
      <c r="AF2901" s="5"/>
      <c r="AG2901" s="5"/>
    </row>
    <row r="2902" ht="15.75" customHeight="1">
      <c r="K2902" t="s">
        <v>5080</v>
      </c>
      <c r="L2902" t="str">
        <f>G183</f>
        <v>H3a2a1a</v>
      </c>
      <c r="M2902" t="s">
        <v>5081</v>
      </c>
      <c r="N2902" t="s">
        <v>5082</v>
      </c>
      <c r="O2902">
        <v>1.8099508E7</v>
      </c>
      <c r="P2902">
        <v>1.5987628E7</v>
      </c>
      <c r="Q2902" t="s">
        <v>423</v>
      </c>
      <c r="R2902" s="5"/>
      <c r="S2902" s="5"/>
      <c r="T2902" s="5"/>
      <c r="U2902" s="5"/>
      <c r="V2902" s="5"/>
      <c r="W2902" s="5"/>
      <c r="X2902" s="5"/>
      <c r="Y2902" s="5"/>
      <c r="Z2902" s="5"/>
      <c r="AA2902" s="5"/>
      <c r="AB2902" s="5"/>
      <c r="AC2902" s="5"/>
      <c r="AD2902" s="5"/>
      <c r="AE2902" s="5"/>
      <c r="AF2902" s="5"/>
      <c r="AG2902" s="5"/>
    </row>
    <row r="2903" ht="15.75" customHeight="1">
      <c r="K2903" t="s">
        <v>5081</v>
      </c>
      <c r="L2903" t="str">
        <f>G183</f>
        <v>H3a2a1a</v>
      </c>
      <c r="M2903" t="s">
        <v>5080</v>
      </c>
      <c r="N2903" t="s">
        <v>5082</v>
      </c>
      <c r="O2903">
        <v>1.8099508E7</v>
      </c>
      <c r="P2903">
        <v>1.5987628E7</v>
      </c>
      <c r="Q2903" t="s">
        <v>423</v>
      </c>
      <c r="R2903" s="5"/>
      <c r="S2903" s="5"/>
      <c r="T2903" s="5"/>
      <c r="U2903" s="5"/>
      <c r="V2903" s="5"/>
      <c r="W2903" s="5"/>
      <c r="X2903" s="5"/>
      <c r="Y2903" s="5"/>
      <c r="Z2903" s="5"/>
      <c r="AA2903" s="5"/>
      <c r="AB2903" s="5"/>
      <c r="AC2903" s="5"/>
      <c r="AD2903" s="5"/>
      <c r="AE2903" s="5"/>
      <c r="AF2903" s="5"/>
      <c r="AG2903" s="5"/>
    </row>
    <row r="2904" ht="15.75" customHeight="1">
      <c r="K2904" t="s">
        <v>5083</v>
      </c>
      <c r="L2904" t="str">
        <f>G183</f>
        <v>H3a2a1a</v>
      </c>
      <c r="M2904" t="s">
        <v>5084</v>
      </c>
      <c r="N2904" t="s">
        <v>5085</v>
      </c>
      <c r="O2904">
        <v>1.9141516E7</v>
      </c>
      <c r="P2904">
        <v>1.7029636E7</v>
      </c>
      <c r="Q2904" t="s">
        <v>459</v>
      </c>
      <c r="R2904" s="5"/>
      <c r="S2904" s="5"/>
      <c r="T2904" s="5"/>
      <c r="U2904" s="5"/>
      <c r="V2904" s="5"/>
      <c r="W2904" s="5"/>
      <c r="X2904" s="5"/>
      <c r="Y2904" s="5"/>
      <c r="Z2904" s="5"/>
      <c r="AA2904" s="5"/>
      <c r="AB2904" s="5"/>
      <c r="AC2904" s="5"/>
      <c r="AD2904" s="5"/>
      <c r="AE2904" s="5"/>
      <c r="AF2904" s="5"/>
      <c r="AG2904" s="5"/>
    </row>
    <row r="2905" ht="15.75" customHeight="1">
      <c r="K2905" t="s">
        <v>5084</v>
      </c>
      <c r="L2905" t="str">
        <f>G183</f>
        <v>H3a2a1a</v>
      </c>
      <c r="M2905" t="s">
        <v>5083</v>
      </c>
      <c r="N2905" t="s">
        <v>5085</v>
      </c>
      <c r="O2905">
        <v>1.9141516E7</v>
      </c>
      <c r="P2905">
        <v>1.7029636E7</v>
      </c>
      <c r="Q2905" t="s">
        <v>459</v>
      </c>
      <c r="R2905" s="5"/>
      <c r="S2905" s="5"/>
      <c r="T2905" s="5"/>
      <c r="U2905" s="5"/>
      <c r="V2905" s="5"/>
      <c r="W2905" s="5"/>
      <c r="X2905" s="5"/>
      <c r="Y2905" s="5"/>
      <c r="Z2905" s="5"/>
      <c r="AA2905" s="5"/>
      <c r="AB2905" s="5"/>
      <c r="AC2905" s="5"/>
      <c r="AD2905" s="5"/>
      <c r="AE2905" s="5"/>
      <c r="AF2905" s="5"/>
      <c r="AG2905" s="5"/>
    </row>
    <row r="2906" ht="15.75" customHeight="1">
      <c r="K2906" t="s">
        <v>5086</v>
      </c>
      <c r="L2906" t="str">
        <f>G183</f>
        <v>H3a2a1a</v>
      </c>
      <c r="M2906" t="s">
        <v>5087</v>
      </c>
      <c r="N2906" t="s">
        <v>5088</v>
      </c>
      <c r="O2906">
        <v>1.9192425E7</v>
      </c>
      <c r="P2906">
        <v>1.7080545E7</v>
      </c>
      <c r="Q2906" t="s">
        <v>431</v>
      </c>
      <c r="R2906" s="5"/>
      <c r="S2906" s="5"/>
      <c r="T2906" s="5"/>
      <c r="U2906" s="5"/>
      <c r="V2906" s="5"/>
      <c r="W2906" s="5"/>
      <c r="X2906" s="5"/>
      <c r="Y2906" s="5"/>
      <c r="Z2906" s="5"/>
      <c r="AA2906" s="5"/>
      <c r="AB2906" s="5"/>
      <c r="AC2906" s="5"/>
      <c r="AD2906" s="5"/>
      <c r="AE2906" s="5"/>
      <c r="AF2906" s="5"/>
      <c r="AG2906" s="5"/>
    </row>
    <row r="2907" ht="15.75" customHeight="1">
      <c r="K2907" t="s">
        <v>5087</v>
      </c>
      <c r="L2907" t="str">
        <f>G183</f>
        <v>H3a2a1a</v>
      </c>
      <c r="M2907" t="s">
        <v>5086</v>
      </c>
      <c r="N2907" t="s">
        <v>5088</v>
      </c>
      <c r="O2907">
        <v>1.9192425E7</v>
      </c>
      <c r="P2907">
        <v>1.7080545E7</v>
      </c>
      <c r="Q2907" t="s">
        <v>431</v>
      </c>
      <c r="R2907" s="5"/>
      <c r="S2907" s="5"/>
      <c r="T2907" s="5"/>
      <c r="U2907" s="5"/>
      <c r="V2907" s="5"/>
      <c r="W2907" s="5"/>
      <c r="X2907" s="5"/>
      <c r="Y2907" s="5"/>
      <c r="Z2907" s="5"/>
      <c r="AA2907" s="5"/>
      <c r="AB2907" s="5"/>
      <c r="AC2907" s="5"/>
      <c r="AD2907" s="5"/>
      <c r="AE2907" s="5"/>
      <c r="AF2907" s="5"/>
      <c r="AG2907" s="5"/>
    </row>
    <row r="2908" ht="15.75" customHeight="1">
      <c r="K2908" t="s">
        <v>5089</v>
      </c>
      <c r="L2908" t="str">
        <f>G183</f>
        <v>H3a2a1a</v>
      </c>
      <c r="M2908" t="s">
        <v>5090</v>
      </c>
      <c r="N2908" t="s">
        <v>5091</v>
      </c>
      <c r="O2908">
        <v>1.9475693E7</v>
      </c>
      <c r="P2908">
        <v>1.7363813E7</v>
      </c>
      <c r="Q2908" t="s">
        <v>459</v>
      </c>
      <c r="R2908" s="5"/>
      <c r="S2908" s="5"/>
      <c r="T2908" s="5"/>
      <c r="U2908" s="5"/>
      <c r="V2908" s="5"/>
      <c r="W2908" s="5"/>
      <c r="X2908" s="5"/>
      <c r="Y2908" s="5"/>
      <c r="Z2908" s="5"/>
      <c r="AA2908" s="5"/>
      <c r="AB2908" s="5"/>
      <c r="AC2908" s="5"/>
      <c r="AD2908" s="5"/>
      <c r="AE2908" s="5"/>
      <c r="AF2908" s="5"/>
      <c r="AG2908" s="5"/>
    </row>
    <row r="2909" ht="15.75" customHeight="1">
      <c r="K2909" t="s">
        <v>5090</v>
      </c>
      <c r="L2909" t="str">
        <f>G183</f>
        <v>H3a2a1a</v>
      </c>
      <c r="M2909" t="s">
        <v>5089</v>
      </c>
      <c r="N2909" t="s">
        <v>5091</v>
      </c>
      <c r="O2909">
        <v>1.9475693E7</v>
      </c>
      <c r="P2909">
        <v>1.7363813E7</v>
      </c>
      <c r="Q2909" t="s">
        <v>459</v>
      </c>
      <c r="R2909" s="5"/>
      <c r="S2909" s="5"/>
      <c r="T2909" s="5"/>
      <c r="U2909" s="5"/>
      <c r="V2909" s="5"/>
      <c r="W2909" s="5"/>
      <c r="X2909" s="5"/>
      <c r="Y2909" s="5"/>
      <c r="Z2909" s="5"/>
      <c r="AA2909" s="5"/>
      <c r="AB2909" s="5"/>
      <c r="AC2909" s="5"/>
      <c r="AD2909" s="5"/>
      <c r="AE2909" s="5"/>
      <c r="AF2909" s="5"/>
      <c r="AG2909" s="5"/>
    </row>
    <row r="2910" ht="15.75" customHeight="1">
      <c r="K2910" t="s">
        <v>5092</v>
      </c>
      <c r="L2910" t="str">
        <f>G183</f>
        <v>H3a2a1a</v>
      </c>
      <c r="M2910" t="s">
        <v>5093</v>
      </c>
      <c r="O2910">
        <v>2.1041763E7</v>
      </c>
      <c r="P2910">
        <v>1.8879877E7</v>
      </c>
      <c r="Q2910" t="s">
        <v>431</v>
      </c>
      <c r="R2910" s="5"/>
      <c r="S2910" s="5"/>
      <c r="T2910" s="5"/>
      <c r="U2910" s="5"/>
      <c r="V2910" s="5"/>
      <c r="W2910" s="5"/>
      <c r="X2910" s="5"/>
      <c r="Y2910" s="5"/>
      <c r="Z2910" s="5"/>
      <c r="AA2910" s="5"/>
      <c r="AB2910" s="5"/>
      <c r="AC2910" s="5"/>
      <c r="AD2910" s="5"/>
      <c r="AE2910" s="5"/>
      <c r="AF2910" s="5"/>
      <c r="AG2910" s="5"/>
    </row>
    <row r="2911" ht="15.75" customHeight="1">
      <c r="K2911" t="s">
        <v>5093</v>
      </c>
      <c r="L2911" t="str">
        <f>G183</f>
        <v>H3a2a1a</v>
      </c>
      <c r="M2911" t="s">
        <v>5092</v>
      </c>
      <c r="O2911">
        <v>2.1041763E7</v>
      </c>
      <c r="P2911">
        <v>1.8879877E7</v>
      </c>
      <c r="Q2911" t="s">
        <v>431</v>
      </c>
      <c r="R2911" s="5"/>
      <c r="S2911" s="5"/>
      <c r="T2911" s="5"/>
      <c r="U2911" s="5"/>
      <c r="V2911" s="5"/>
      <c r="W2911" s="5"/>
      <c r="X2911" s="5"/>
      <c r="Y2911" s="5"/>
      <c r="Z2911" s="5"/>
      <c r="AA2911" s="5"/>
      <c r="AB2911" s="5"/>
      <c r="AC2911" s="5"/>
      <c r="AD2911" s="5"/>
      <c r="AE2911" s="5"/>
      <c r="AF2911" s="5"/>
      <c r="AG2911" s="5"/>
    </row>
    <row r="2912" ht="15.75" customHeight="1">
      <c r="K2912" t="s">
        <v>5094</v>
      </c>
      <c r="L2912" t="str">
        <f>G183</f>
        <v>H3a2a1a</v>
      </c>
      <c r="M2912" t="s">
        <v>5095</v>
      </c>
      <c r="N2912" t="s">
        <v>5096</v>
      </c>
      <c r="O2912">
        <v>2.1402262E7</v>
      </c>
      <c r="P2912">
        <v>1.9240376E7</v>
      </c>
      <c r="Q2912" t="s">
        <v>419</v>
      </c>
      <c r="R2912" s="5"/>
      <c r="S2912" s="5"/>
      <c r="T2912" s="5"/>
      <c r="U2912" s="5"/>
      <c r="V2912" s="5"/>
      <c r="W2912" s="5"/>
      <c r="X2912" s="5"/>
      <c r="Y2912" s="5"/>
      <c r="Z2912" s="5"/>
      <c r="AA2912" s="5"/>
      <c r="AB2912" s="5"/>
      <c r="AC2912" s="5"/>
      <c r="AD2912" s="5"/>
      <c r="AE2912" s="5"/>
      <c r="AF2912" s="5"/>
      <c r="AG2912" s="5"/>
    </row>
    <row r="2913" ht="15.75" customHeight="1">
      <c r="K2913" t="s">
        <v>5095</v>
      </c>
      <c r="L2913" t="str">
        <f>G183</f>
        <v>H3a2a1a</v>
      </c>
      <c r="M2913" t="s">
        <v>5094</v>
      </c>
      <c r="N2913" t="s">
        <v>5096</v>
      </c>
      <c r="O2913">
        <v>2.1402262E7</v>
      </c>
      <c r="P2913">
        <v>1.9240376E7</v>
      </c>
      <c r="Q2913" t="s">
        <v>419</v>
      </c>
      <c r="R2913" s="5"/>
      <c r="S2913" s="5"/>
      <c r="T2913" s="5"/>
      <c r="U2913" s="5"/>
      <c r="V2913" s="5"/>
      <c r="W2913" s="5"/>
      <c r="X2913" s="5"/>
      <c r="Y2913" s="5"/>
      <c r="Z2913" s="5"/>
      <c r="AA2913" s="5"/>
      <c r="AB2913" s="5"/>
      <c r="AC2913" s="5"/>
      <c r="AD2913" s="5"/>
      <c r="AE2913" s="5"/>
      <c r="AF2913" s="5"/>
      <c r="AG2913" s="5"/>
    </row>
    <row r="2914" ht="15.75" customHeight="1">
      <c r="K2914" t="s">
        <v>5097</v>
      </c>
      <c r="L2914" t="str">
        <f>G183</f>
        <v>H3a2a1a</v>
      </c>
      <c r="M2914" t="s">
        <v>5098</v>
      </c>
      <c r="N2914" t="s">
        <v>5099</v>
      </c>
      <c r="O2914">
        <v>2.1482101E7</v>
      </c>
      <c r="P2914">
        <v>1.9320215E7</v>
      </c>
      <c r="Q2914" t="s">
        <v>427</v>
      </c>
      <c r="R2914" s="5"/>
      <c r="S2914" s="5"/>
      <c r="T2914" s="5"/>
      <c r="U2914" s="5"/>
      <c r="V2914" s="5"/>
      <c r="W2914" s="5"/>
      <c r="X2914" s="5"/>
      <c r="Y2914" s="5"/>
      <c r="Z2914" s="5"/>
      <c r="AA2914" s="5"/>
      <c r="AB2914" s="5"/>
      <c r="AC2914" s="5"/>
      <c r="AD2914" s="5"/>
      <c r="AE2914" s="5"/>
      <c r="AF2914" s="5"/>
      <c r="AG2914" s="5"/>
    </row>
    <row r="2915" ht="15.75" customHeight="1">
      <c r="K2915" t="s">
        <v>5098</v>
      </c>
      <c r="L2915" t="str">
        <f>G183</f>
        <v>H3a2a1a</v>
      </c>
      <c r="M2915" t="s">
        <v>5097</v>
      </c>
      <c r="N2915" t="s">
        <v>5099</v>
      </c>
      <c r="O2915">
        <v>2.1482101E7</v>
      </c>
      <c r="P2915">
        <v>1.9320215E7</v>
      </c>
      <c r="Q2915" t="s">
        <v>427</v>
      </c>
      <c r="R2915" s="5"/>
      <c r="S2915" s="5"/>
      <c r="T2915" s="5"/>
      <c r="U2915" s="5"/>
      <c r="V2915" s="5"/>
      <c r="W2915" s="5"/>
      <c r="X2915" s="5"/>
      <c r="Y2915" s="5"/>
      <c r="Z2915" s="5"/>
      <c r="AA2915" s="5"/>
      <c r="AB2915" s="5"/>
      <c r="AC2915" s="5"/>
      <c r="AD2915" s="5"/>
      <c r="AE2915" s="5"/>
      <c r="AF2915" s="5"/>
      <c r="AG2915" s="5"/>
    </row>
    <row r="2916" ht="15.75" customHeight="1">
      <c r="K2916" t="s">
        <v>5100</v>
      </c>
      <c r="L2916" t="str">
        <f>G183</f>
        <v>H3a2a1a</v>
      </c>
      <c r="M2916" t="s">
        <v>5101</v>
      </c>
      <c r="N2916" t="s">
        <v>5102</v>
      </c>
      <c r="O2916">
        <v>2.2626639E7</v>
      </c>
      <c r="P2916">
        <v>2.0464753E7</v>
      </c>
      <c r="Q2916" t="s">
        <v>431</v>
      </c>
      <c r="R2916" s="5"/>
      <c r="S2916" s="5"/>
      <c r="T2916" s="5"/>
      <c r="U2916" s="5"/>
      <c r="V2916" s="5"/>
      <c r="W2916" s="5"/>
      <c r="X2916" s="5"/>
      <c r="Y2916" s="5"/>
      <c r="Z2916" s="5"/>
      <c r="AA2916" s="5"/>
      <c r="AB2916" s="5"/>
      <c r="AC2916" s="5"/>
      <c r="AD2916" s="5"/>
      <c r="AE2916" s="5"/>
      <c r="AF2916" s="5"/>
      <c r="AG2916" s="5"/>
    </row>
    <row r="2917" ht="15.75" customHeight="1">
      <c r="K2917" t="s">
        <v>5101</v>
      </c>
      <c r="L2917" t="str">
        <f>G183</f>
        <v>H3a2a1a</v>
      </c>
      <c r="M2917" t="s">
        <v>5100</v>
      </c>
      <c r="N2917" t="s">
        <v>5102</v>
      </c>
      <c r="O2917">
        <v>2.2626639E7</v>
      </c>
      <c r="P2917">
        <v>2.0464753E7</v>
      </c>
      <c r="Q2917" t="s">
        <v>431</v>
      </c>
      <c r="R2917" s="5"/>
      <c r="S2917" s="5"/>
      <c r="T2917" s="5"/>
      <c r="U2917" s="5"/>
      <c r="V2917" s="5"/>
      <c r="W2917" s="5"/>
      <c r="X2917" s="5"/>
      <c r="Y2917" s="5"/>
      <c r="Z2917" s="5"/>
      <c r="AA2917" s="5"/>
      <c r="AB2917" s="5"/>
      <c r="AC2917" s="5"/>
      <c r="AD2917" s="5"/>
      <c r="AE2917" s="5"/>
      <c r="AF2917" s="5"/>
      <c r="AG2917" s="5"/>
    </row>
    <row r="2918" ht="15.75" customHeight="1">
      <c r="K2918" t="s">
        <v>5103</v>
      </c>
      <c r="L2918" t="str">
        <f>G183</f>
        <v>H3a2a1a</v>
      </c>
      <c r="M2918" t="s">
        <v>5104</v>
      </c>
      <c r="N2918" t="s">
        <v>5105</v>
      </c>
      <c r="O2918">
        <v>2.3415729E7</v>
      </c>
      <c r="P2918">
        <v>2.1253843E7</v>
      </c>
      <c r="Q2918" t="s">
        <v>452</v>
      </c>
      <c r="R2918" s="5"/>
      <c r="S2918" s="5"/>
      <c r="T2918" s="5"/>
      <c r="U2918" s="5"/>
      <c r="V2918" s="5"/>
      <c r="W2918" s="5"/>
      <c r="X2918" s="5"/>
      <c r="Y2918" s="5"/>
      <c r="Z2918" s="5"/>
      <c r="AA2918" s="5"/>
      <c r="AB2918" s="5"/>
      <c r="AC2918" s="5"/>
      <c r="AD2918" s="5"/>
      <c r="AE2918" s="5"/>
      <c r="AF2918" s="5"/>
      <c r="AG2918" s="5"/>
    </row>
    <row r="2919" ht="15.75" customHeight="1">
      <c r="K2919" t="s">
        <v>5104</v>
      </c>
      <c r="L2919" t="str">
        <f>G183</f>
        <v>H3a2a1a</v>
      </c>
      <c r="M2919" t="s">
        <v>5103</v>
      </c>
      <c r="N2919" t="s">
        <v>5105</v>
      </c>
      <c r="O2919">
        <v>2.3415729E7</v>
      </c>
      <c r="P2919">
        <v>2.1253843E7</v>
      </c>
      <c r="Q2919" t="s">
        <v>452</v>
      </c>
      <c r="R2919" s="5"/>
      <c r="S2919" s="5"/>
      <c r="T2919" s="5"/>
      <c r="U2919" s="5"/>
      <c r="V2919" s="5"/>
      <c r="W2919" s="5"/>
      <c r="X2919" s="5"/>
      <c r="Y2919" s="5"/>
      <c r="Z2919" s="5"/>
      <c r="AA2919" s="5"/>
      <c r="AB2919" s="5"/>
      <c r="AC2919" s="5"/>
      <c r="AD2919" s="5"/>
      <c r="AE2919" s="5"/>
      <c r="AF2919" s="5"/>
      <c r="AG2919" s="5"/>
    </row>
    <row r="2920" ht="15.75" customHeight="1">
      <c r="K2920" t="s">
        <v>5106</v>
      </c>
      <c r="L2920" t="str">
        <f>G183</f>
        <v>H3a2a1a</v>
      </c>
      <c r="M2920" t="s">
        <v>5107</v>
      </c>
      <c r="N2920" t="s">
        <v>5108</v>
      </c>
      <c r="O2920">
        <v>2.2140814E7</v>
      </c>
      <c r="P2920">
        <v>1.9978928E7</v>
      </c>
      <c r="Q2920" t="s">
        <v>431</v>
      </c>
      <c r="R2920" s="5"/>
      <c r="S2920" s="5"/>
      <c r="T2920" s="5"/>
      <c r="U2920" s="5"/>
      <c r="V2920" s="5"/>
      <c r="W2920" s="5"/>
      <c r="X2920" s="5"/>
      <c r="Y2920" s="5"/>
      <c r="Z2920" s="5"/>
      <c r="AA2920" s="5"/>
      <c r="AB2920" s="5"/>
      <c r="AC2920" s="5"/>
      <c r="AD2920" s="5"/>
      <c r="AE2920" s="5"/>
      <c r="AF2920" s="5"/>
      <c r="AG2920" s="5"/>
    </row>
    <row r="2921" ht="15.75" customHeight="1">
      <c r="K2921" t="s">
        <v>5107</v>
      </c>
      <c r="L2921" t="str">
        <f>G183</f>
        <v>H3a2a1a</v>
      </c>
      <c r="M2921" t="s">
        <v>5106</v>
      </c>
      <c r="N2921" t="s">
        <v>5108</v>
      </c>
      <c r="O2921">
        <v>2.2140814E7</v>
      </c>
      <c r="P2921">
        <v>1.9978928E7</v>
      </c>
      <c r="Q2921" t="s">
        <v>431</v>
      </c>
      <c r="R2921" s="5"/>
      <c r="S2921" s="5"/>
      <c r="T2921" s="5"/>
      <c r="U2921" s="5"/>
      <c r="V2921" s="5"/>
      <c r="W2921" s="5"/>
      <c r="X2921" s="5"/>
      <c r="Y2921" s="5"/>
      <c r="Z2921" s="5"/>
      <c r="AA2921" s="5"/>
      <c r="AB2921" s="5"/>
      <c r="AC2921" s="5"/>
      <c r="AD2921" s="5"/>
      <c r="AE2921" s="5"/>
      <c r="AF2921" s="5"/>
      <c r="AG2921" s="5"/>
    </row>
    <row r="2922" ht="15.75" customHeight="1">
      <c r="K2922" t="s">
        <v>5109</v>
      </c>
      <c r="L2922" t="str">
        <f>G183</f>
        <v>H3a2a1a</v>
      </c>
      <c r="M2922" t="s">
        <v>5110</v>
      </c>
      <c r="N2922" t="s">
        <v>5111</v>
      </c>
      <c r="O2922">
        <v>1.5191843E7</v>
      </c>
      <c r="P2922">
        <v>1.3079929E7</v>
      </c>
      <c r="Q2922" t="s">
        <v>419</v>
      </c>
      <c r="R2922" s="5"/>
      <c r="S2922" s="5"/>
      <c r="T2922" s="5"/>
      <c r="U2922" s="5"/>
      <c r="V2922" s="5"/>
      <c r="W2922" s="5"/>
      <c r="X2922" s="5"/>
      <c r="Y2922" s="5"/>
      <c r="Z2922" s="5"/>
      <c r="AA2922" s="5"/>
      <c r="AB2922" s="5"/>
      <c r="AC2922" s="5"/>
      <c r="AD2922" s="5"/>
      <c r="AE2922" s="5"/>
      <c r="AF2922" s="5"/>
      <c r="AG2922" s="5"/>
    </row>
    <row r="2923" ht="15.75" customHeight="1">
      <c r="K2923" t="s">
        <v>5110</v>
      </c>
      <c r="L2923" t="str">
        <f>G183</f>
        <v>H3a2a1a</v>
      </c>
      <c r="M2923" t="s">
        <v>5109</v>
      </c>
      <c r="N2923" t="s">
        <v>5111</v>
      </c>
      <c r="O2923">
        <v>1.5191843E7</v>
      </c>
      <c r="P2923">
        <v>1.3079929E7</v>
      </c>
      <c r="Q2923" t="s">
        <v>419</v>
      </c>
      <c r="R2923" s="5"/>
      <c r="S2923" s="5"/>
      <c r="T2923" s="5"/>
      <c r="U2923" s="5"/>
      <c r="V2923" s="5"/>
      <c r="W2923" s="5"/>
      <c r="X2923" s="5"/>
      <c r="Y2923" s="5"/>
      <c r="Z2923" s="5"/>
      <c r="AA2923" s="5"/>
      <c r="AB2923" s="5"/>
      <c r="AC2923" s="5"/>
      <c r="AD2923" s="5"/>
      <c r="AE2923" s="5"/>
      <c r="AF2923" s="5"/>
      <c r="AG2923" s="5"/>
    </row>
    <row r="2924" ht="15.75" customHeight="1">
      <c r="K2924" t="s">
        <v>5112</v>
      </c>
      <c r="L2924" t="str">
        <f>G183</f>
        <v>H3a2a1a</v>
      </c>
      <c r="M2924" t="s">
        <v>5113</v>
      </c>
      <c r="N2924" t="s">
        <v>5114</v>
      </c>
      <c r="O2924">
        <v>2.2762572E7</v>
      </c>
      <c r="P2924">
        <v>2.0600686E7</v>
      </c>
      <c r="Q2924" t="s">
        <v>423</v>
      </c>
      <c r="R2924" s="5"/>
      <c r="S2924" s="5"/>
      <c r="T2924" s="5"/>
      <c r="U2924" s="5"/>
      <c r="V2924" s="5"/>
      <c r="W2924" s="5"/>
      <c r="X2924" s="5"/>
      <c r="Y2924" s="5"/>
      <c r="Z2924" s="5"/>
      <c r="AA2924" s="5"/>
      <c r="AB2924" s="5"/>
      <c r="AC2924" s="5"/>
      <c r="AD2924" s="5"/>
      <c r="AE2924" s="5"/>
      <c r="AF2924" s="5"/>
      <c r="AG2924" s="5"/>
    </row>
    <row r="2925" ht="15.75" customHeight="1">
      <c r="K2925" t="s">
        <v>5113</v>
      </c>
      <c r="L2925" t="str">
        <f>G183</f>
        <v>H3a2a1a</v>
      </c>
      <c r="M2925" t="s">
        <v>5112</v>
      </c>
      <c r="N2925" t="s">
        <v>5114</v>
      </c>
      <c r="O2925">
        <v>2.2762572E7</v>
      </c>
      <c r="P2925">
        <v>2.0600686E7</v>
      </c>
      <c r="Q2925" t="s">
        <v>423</v>
      </c>
      <c r="R2925" s="5"/>
      <c r="S2925" s="5"/>
      <c r="T2925" s="5"/>
      <c r="U2925" s="5"/>
      <c r="V2925" s="5"/>
      <c r="W2925" s="5"/>
      <c r="X2925" s="5"/>
      <c r="Y2925" s="5"/>
      <c r="Z2925" s="5"/>
      <c r="AA2925" s="5"/>
      <c r="AB2925" s="5"/>
      <c r="AC2925" s="5"/>
      <c r="AD2925" s="5"/>
      <c r="AE2925" s="5"/>
      <c r="AF2925" s="5"/>
      <c r="AG2925" s="5"/>
    </row>
    <row r="2926" ht="15.75" customHeight="1">
      <c r="K2926" t="s">
        <v>5115</v>
      </c>
      <c r="L2926" t="str">
        <f>G183</f>
        <v>H3a2a1a</v>
      </c>
      <c r="M2926" t="s">
        <v>5116</v>
      </c>
      <c r="N2926" t="s">
        <v>5117</v>
      </c>
      <c r="O2926">
        <v>1.4253526E7</v>
      </c>
      <c r="P2926">
        <v>1.213282E7</v>
      </c>
      <c r="Q2926" t="s">
        <v>473</v>
      </c>
      <c r="R2926" s="5"/>
      <c r="S2926" s="5"/>
      <c r="T2926" s="5"/>
      <c r="U2926" s="5"/>
      <c r="V2926" s="5"/>
      <c r="W2926" s="5"/>
      <c r="X2926" s="5"/>
      <c r="Y2926" s="5"/>
      <c r="Z2926" s="5"/>
      <c r="AA2926" s="5"/>
      <c r="AB2926" s="5"/>
      <c r="AC2926" s="5"/>
      <c r="AD2926" s="5"/>
      <c r="AE2926" s="5"/>
      <c r="AF2926" s="5"/>
      <c r="AG2926" s="5"/>
    </row>
    <row r="2927" ht="15.75" customHeight="1">
      <c r="K2927" t="s">
        <v>5116</v>
      </c>
      <c r="L2927" t="str">
        <f>G183</f>
        <v>H3a2a1a</v>
      </c>
      <c r="M2927" t="s">
        <v>5115</v>
      </c>
      <c r="N2927" t="s">
        <v>5117</v>
      </c>
      <c r="O2927">
        <v>1.4253526E7</v>
      </c>
      <c r="P2927">
        <v>1.213282E7</v>
      </c>
      <c r="Q2927" t="s">
        <v>473</v>
      </c>
      <c r="R2927" s="5"/>
      <c r="S2927" s="5"/>
      <c r="T2927" s="5"/>
      <c r="U2927" s="5"/>
      <c r="V2927" s="5"/>
      <c r="W2927" s="5"/>
      <c r="X2927" s="5"/>
      <c r="Y2927" s="5"/>
      <c r="Z2927" s="5"/>
      <c r="AA2927" s="5"/>
      <c r="AB2927" s="5"/>
      <c r="AC2927" s="5"/>
      <c r="AD2927" s="5"/>
      <c r="AE2927" s="5"/>
      <c r="AF2927" s="5"/>
      <c r="AG2927" s="5"/>
    </row>
    <row r="2928" ht="15.75" customHeight="1">
      <c r="K2928" t="s">
        <v>5118</v>
      </c>
      <c r="L2928" t="str">
        <f>G183</f>
        <v>H3a2a1a</v>
      </c>
      <c r="M2928" t="s">
        <v>5119</v>
      </c>
      <c r="N2928" t="s">
        <v>5120</v>
      </c>
      <c r="O2928">
        <v>1.7772963E7</v>
      </c>
      <c r="P2928">
        <v>1.5661083E7</v>
      </c>
      <c r="Q2928" t="s">
        <v>423</v>
      </c>
      <c r="R2928" s="5"/>
      <c r="S2928" s="5"/>
      <c r="T2928" s="5"/>
      <c r="U2928" s="5"/>
      <c r="V2928" s="5"/>
      <c r="W2928" s="5"/>
      <c r="X2928" s="5"/>
      <c r="Y2928" s="5"/>
      <c r="Z2928" s="5"/>
      <c r="AA2928" s="5"/>
      <c r="AB2928" s="5"/>
      <c r="AC2928" s="5"/>
      <c r="AD2928" s="5"/>
      <c r="AE2928" s="5"/>
      <c r="AF2928" s="5"/>
      <c r="AG2928" s="5"/>
    </row>
    <row r="2929" ht="15.75" customHeight="1">
      <c r="K2929" t="s">
        <v>5119</v>
      </c>
      <c r="L2929" t="str">
        <f>G183</f>
        <v>H3a2a1a</v>
      </c>
      <c r="M2929" t="s">
        <v>5118</v>
      </c>
      <c r="N2929" t="s">
        <v>5120</v>
      </c>
      <c r="O2929">
        <v>1.7772963E7</v>
      </c>
      <c r="P2929">
        <v>1.5661083E7</v>
      </c>
      <c r="Q2929" t="s">
        <v>423</v>
      </c>
      <c r="R2929" s="5"/>
      <c r="S2929" s="5"/>
      <c r="T2929" s="5"/>
      <c r="U2929" s="5"/>
      <c r="V2929" s="5"/>
      <c r="W2929" s="5"/>
      <c r="X2929" s="5"/>
      <c r="Y2929" s="5"/>
      <c r="Z2929" s="5"/>
      <c r="AA2929" s="5"/>
      <c r="AB2929" s="5"/>
      <c r="AC2929" s="5"/>
      <c r="AD2929" s="5"/>
      <c r="AE2929" s="5"/>
      <c r="AF2929" s="5"/>
      <c r="AG2929" s="5"/>
    </row>
    <row r="2930" ht="15.75" customHeight="1">
      <c r="K2930" t="s">
        <v>5121</v>
      </c>
      <c r="L2930" t="str">
        <f>G183</f>
        <v>H3a2a1a</v>
      </c>
      <c r="M2930" t="s">
        <v>5122</v>
      </c>
      <c r="N2930" t="s">
        <v>5123</v>
      </c>
      <c r="O2930">
        <v>1.9118259E7</v>
      </c>
      <c r="P2930">
        <v>1.7006379E7</v>
      </c>
      <c r="Q2930" t="s">
        <v>431</v>
      </c>
      <c r="R2930" s="5"/>
      <c r="S2930" s="5"/>
      <c r="T2930" s="5"/>
      <c r="U2930" s="5"/>
      <c r="V2930" s="5"/>
      <c r="W2930" s="5"/>
      <c r="X2930" s="5"/>
      <c r="Y2930" s="5"/>
      <c r="Z2930" s="5"/>
      <c r="AA2930" s="5"/>
      <c r="AB2930" s="5"/>
      <c r="AC2930" s="5"/>
      <c r="AD2930" s="5"/>
      <c r="AE2930" s="5"/>
      <c r="AF2930" s="5"/>
      <c r="AG2930" s="5"/>
    </row>
    <row r="2931" ht="15.75" customHeight="1">
      <c r="K2931" t="s">
        <v>5122</v>
      </c>
      <c r="L2931" t="str">
        <f>G183</f>
        <v>H3a2a1a</v>
      </c>
      <c r="M2931" t="s">
        <v>5121</v>
      </c>
      <c r="N2931" t="s">
        <v>5123</v>
      </c>
      <c r="O2931">
        <v>1.9118259E7</v>
      </c>
      <c r="P2931">
        <v>1.7006379E7</v>
      </c>
      <c r="Q2931" t="s">
        <v>431</v>
      </c>
      <c r="R2931" s="5"/>
      <c r="S2931" s="5"/>
      <c r="T2931" s="5"/>
      <c r="U2931" s="5"/>
      <c r="V2931" s="5"/>
      <c r="W2931" s="5"/>
      <c r="X2931" s="5"/>
      <c r="Y2931" s="5"/>
      <c r="Z2931" s="5"/>
      <c r="AA2931" s="5"/>
      <c r="AB2931" s="5"/>
      <c r="AC2931" s="5"/>
      <c r="AD2931" s="5"/>
      <c r="AE2931" s="5"/>
      <c r="AF2931" s="5"/>
      <c r="AG2931" s="5"/>
    </row>
    <row r="2932" ht="15.75" customHeight="1">
      <c r="K2932" t="s">
        <v>5124</v>
      </c>
      <c r="L2932" t="str">
        <f>G183</f>
        <v>H3a2a1a</v>
      </c>
      <c r="M2932" t="s">
        <v>5125</v>
      </c>
      <c r="N2932" t="s">
        <v>5126</v>
      </c>
      <c r="O2932">
        <v>2.3364664E7</v>
      </c>
      <c r="P2932">
        <v>2.1202778E7</v>
      </c>
      <c r="Q2932" t="s">
        <v>459</v>
      </c>
      <c r="R2932" s="5"/>
      <c r="S2932" s="5"/>
      <c r="T2932" s="5"/>
      <c r="U2932" s="5"/>
      <c r="V2932" s="5"/>
      <c r="W2932" s="5"/>
      <c r="X2932" s="5"/>
      <c r="Y2932" s="5"/>
      <c r="Z2932" s="5"/>
      <c r="AA2932" s="5"/>
      <c r="AB2932" s="5"/>
      <c r="AC2932" s="5"/>
      <c r="AD2932" s="5"/>
      <c r="AE2932" s="5"/>
      <c r="AF2932" s="5"/>
      <c r="AG2932" s="5"/>
    </row>
    <row r="2933" ht="15.75" customHeight="1">
      <c r="K2933" t="s">
        <v>5125</v>
      </c>
      <c r="L2933" t="str">
        <f>G183</f>
        <v>H3a2a1a</v>
      </c>
      <c r="M2933" t="s">
        <v>5124</v>
      </c>
      <c r="N2933" t="s">
        <v>5126</v>
      </c>
      <c r="O2933">
        <v>2.3364664E7</v>
      </c>
      <c r="P2933">
        <v>2.1202778E7</v>
      </c>
      <c r="Q2933" t="s">
        <v>459</v>
      </c>
      <c r="R2933" s="5"/>
      <c r="S2933" s="5"/>
      <c r="T2933" s="5"/>
      <c r="U2933" s="5"/>
      <c r="V2933" s="5"/>
      <c r="W2933" s="5"/>
      <c r="X2933" s="5"/>
      <c r="Y2933" s="5"/>
      <c r="Z2933" s="5"/>
      <c r="AA2933" s="5"/>
      <c r="AB2933" s="5"/>
      <c r="AC2933" s="5"/>
      <c r="AD2933" s="5"/>
      <c r="AE2933" s="5"/>
      <c r="AF2933" s="5"/>
      <c r="AG2933" s="5"/>
    </row>
    <row r="2934" ht="15.75" customHeight="1">
      <c r="K2934" t="s">
        <v>5127</v>
      </c>
      <c r="L2934" t="str">
        <f>G183</f>
        <v>H3a2a1a</v>
      </c>
      <c r="M2934" t="s">
        <v>5128</v>
      </c>
      <c r="N2934" t="s">
        <v>5129</v>
      </c>
      <c r="O2934">
        <v>1.6863382E7</v>
      </c>
      <c r="P2934">
        <v>1.4751502E7</v>
      </c>
      <c r="Q2934" t="s">
        <v>525</v>
      </c>
      <c r="R2934" s="5"/>
      <c r="S2934" s="5"/>
      <c r="T2934" s="5"/>
      <c r="U2934" s="5"/>
      <c r="V2934" s="5"/>
      <c r="W2934" s="5"/>
      <c r="X2934" s="5"/>
      <c r="Y2934" s="5"/>
      <c r="Z2934" s="5"/>
      <c r="AA2934" s="5"/>
      <c r="AB2934" s="5"/>
      <c r="AC2934" s="5"/>
      <c r="AD2934" s="5"/>
      <c r="AE2934" s="5"/>
      <c r="AF2934" s="5"/>
      <c r="AG2934" s="5"/>
    </row>
    <row r="2935" ht="15.75" customHeight="1">
      <c r="K2935" t="s">
        <v>5128</v>
      </c>
      <c r="L2935" t="str">
        <f>G183</f>
        <v>H3a2a1a</v>
      </c>
      <c r="M2935" t="s">
        <v>5127</v>
      </c>
      <c r="N2935" t="s">
        <v>5129</v>
      </c>
      <c r="O2935">
        <v>1.6863382E7</v>
      </c>
      <c r="P2935">
        <v>1.4751502E7</v>
      </c>
      <c r="Q2935" t="s">
        <v>525</v>
      </c>
      <c r="R2935" s="5"/>
      <c r="S2935" s="5"/>
      <c r="T2935" s="5"/>
      <c r="U2935" s="5"/>
      <c r="V2935" s="5"/>
      <c r="W2935" s="5"/>
      <c r="X2935" s="5"/>
      <c r="Y2935" s="5"/>
      <c r="Z2935" s="5"/>
      <c r="AA2935" s="5"/>
      <c r="AB2935" s="5"/>
      <c r="AC2935" s="5"/>
      <c r="AD2935" s="5"/>
      <c r="AE2935" s="5"/>
      <c r="AF2935" s="5"/>
      <c r="AG2935" s="5"/>
    </row>
    <row r="2936" ht="15.75" customHeight="1">
      <c r="K2936" t="s">
        <v>5130</v>
      </c>
      <c r="L2936" t="str">
        <f>G183</f>
        <v>H3a2a1a</v>
      </c>
      <c r="M2936" t="s">
        <v>5131</v>
      </c>
      <c r="N2936" t="s">
        <v>5132</v>
      </c>
      <c r="O2936">
        <v>1.9086393E7</v>
      </c>
      <c r="P2936">
        <v>1.6974513E7</v>
      </c>
      <c r="Q2936" t="s">
        <v>427</v>
      </c>
      <c r="R2936" s="5"/>
      <c r="S2936" s="5"/>
      <c r="T2936" s="5"/>
      <c r="U2936" s="5"/>
      <c r="V2936" s="5"/>
      <c r="W2936" s="5"/>
      <c r="X2936" s="5"/>
      <c r="Y2936" s="5"/>
      <c r="Z2936" s="5"/>
      <c r="AA2936" s="5"/>
      <c r="AB2936" s="5"/>
      <c r="AC2936" s="5"/>
      <c r="AD2936" s="5"/>
      <c r="AE2936" s="5"/>
      <c r="AF2936" s="5"/>
      <c r="AG2936" s="5"/>
    </row>
    <row r="2937" ht="15.75" customHeight="1">
      <c r="K2937" t="s">
        <v>5131</v>
      </c>
      <c r="L2937" t="str">
        <f>G183</f>
        <v>H3a2a1a</v>
      </c>
      <c r="M2937" t="s">
        <v>5130</v>
      </c>
      <c r="N2937" t="s">
        <v>5132</v>
      </c>
      <c r="O2937">
        <v>1.9086393E7</v>
      </c>
      <c r="P2937">
        <v>1.6974513E7</v>
      </c>
      <c r="Q2937" t="s">
        <v>427</v>
      </c>
      <c r="R2937" s="5"/>
      <c r="S2937" s="5"/>
      <c r="T2937" s="5"/>
      <c r="U2937" s="5"/>
      <c r="V2937" s="5"/>
      <c r="W2937" s="5"/>
      <c r="X2937" s="5"/>
      <c r="Y2937" s="5"/>
      <c r="Z2937" s="5"/>
      <c r="AA2937" s="5"/>
      <c r="AB2937" s="5"/>
      <c r="AC2937" s="5"/>
      <c r="AD2937" s="5"/>
      <c r="AE2937" s="5"/>
      <c r="AF2937" s="5"/>
      <c r="AG2937" s="5"/>
    </row>
    <row r="2938" ht="15.75" customHeight="1">
      <c r="K2938" t="s">
        <v>5133</v>
      </c>
      <c r="L2938" t="str">
        <f>G183</f>
        <v>H3a2a1a</v>
      </c>
      <c r="M2938" t="s">
        <v>5134</v>
      </c>
      <c r="N2938" t="s">
        <v>5135</v>
      </c>
      <c r="O2938">
        <v>2.1094717E7</v>
      </c>
      <c r="P2938">
        <v>1.8932831E7</v>
      </c>
      <c r="Q2938" t="s">
        <v>452</v>
      </c>
      <c r="R2938" s="5"/>
      <c r="S2938" s="5"/>
      <c r="T2938" s="5"/>
      <c r="U2938" s="5"/>
      <c r="V2938" s="5"/>
      <c r="W2938" s="5"/>
      <c r="X2938" s="5"/>
      <c r="Y2938" s="5"/>
      <c r="Z2938" s="5"/>
      <c r="AA2938" s="5"/>
      <c r="AB2938" s="5"/>
      <c r="AC2938" s="5"/>
      <c r="AD2938" s="5"/>
      <c r="AE2938" s="5"/>
      <c r="AF2938" s="5"/>
      <c r="AG2938" s="5"/>
    </row>
    <row r="2939" ht="15.75" customHeight="1">
      <c r="K2939" t="s">
        <v>5134</v>
      </c>
      <c r="L2939" t="str">
        <f>G183</f>
        <v>H3a2a1a</v>
      </c>
      <c r="M2939" t="s">
        <v>5133</v>
      </c>
      <c r="N2939" t="s">
        <v>5135</v>
      </c>
      <c r="O2939">
        <v>2.1094717E7</v>
      </c>
      <c r="P2939">
        <v>1.8932831E7</v>
      </c>
      <c r="Q2939" t="s">
        <v>452</v>
      </c>
      <c r="R2939" s="5"/>
      <c r="S2939" s="5"/>
      <c r="T2939" s="5"/>
      <c r="U2939" s="5"/>
      <c r="V2939" s="5"/>
      <c r="W2939" s="5"/>
      <c r="X2939" s="5"/>
      <c r="Y2939" s="5"/>
      <c r="Z2939" s="5"/>
      <c r="AA2939" s="5"/>
      <c r="AB2939" s="5"/>
      <c r="AC2939" s="5"/>
      <c r="AD2939" s="5"/>
      <c r="AE2939" s="5"/>
      <c r="AF2939" s="5"/>
      <c r="AG2939" s="5"/>
    </row>
    <row r="2940" ht="15.75" customHeight="1">
      <c r="K2940" t="s">
        <v>5136</v>
      </c>
      <c r="L2940" t="str">
        <f>H184</f>
        <v>H3a2a1a1~</v>
      </c>
      <c r="N2940" t="s">
        <v>5137</v>
      </c>
      <c r="O2940">
        <v>2.3549756E7</v>
      </c>
      <c r="P2940">
        <v>2.138787E7</v>
      </c>
      <c r="Q2940" t="s">
        <v>419</v>
      </c>
      <c r="R2940" s="5"/>
      <c r="S2940" s="5"/>
      <c r="T2940" s="5"/>
      <c r="U2940" s="5"/>
      <c r="V2940" s="5"/>
      <c r="W2940" s="5"/>
      <c r="X2940" s="5"/>
      <c r="Y2940" s="5"/>
      <c r="Z2940" s="5"/>
      <c r="AA2940" s="5"/>
      <c r="AB2940" s="5"/>
      <c r="AC2940" s="5"/>
      <c r="AD2940" s="5"/>
      <c r="AE2940" s="5"/>
      <c r="AF2940" s="5"/>
      <c r="AG2940" s="5"/>
    </row>
    <row r="2941" ht="15.75" customHeight="1">
      <c r="K2941" t="s">
        <v>5138</v>
      </c>
      <c r="L2941" t="str">
        <f>H184</f>
        <v>H3a2a1a1~</v>
      </c>
      <c r="N2941" t="s">
        <v>5139</v>
      </c>
      <c r="O2941">
        <v>1.909153E7</v>
      </c>
      <c r="P2941">
        <v>1.697965E7</v>
      </c>
      <c r="Q2941" t="s">
        <v>419</v>
      </c>
      <c r="R2941" s="5"/>
      <c r="S2941" s="5"/>
      <c r="T2941" s="5"/>
      <c r="U2941" s="5"/>
      <c r="V2941" s="5"/>
      <c r="W2941" s="5"/>
      <c r="X2941" s="5"/>
      <c r="Y2941" s="5"/>
      <c r="Z2941" s="5"/>
      <c r="AA2941" s="5"/>
      <c r="AB2941" s="5"/>
      <c r="AC2941" s="5"/>
      <c r="AD2941" s="5"/>
      <c r="AE2941" s="5"/>
      <c r="AF2941" s="5"/>
      <c r="AG2941" s="5"/>
    </row>
    <row r="2942" ht="15.75" customHeight="1">
      <c r="K2942" t="s">
        <v>5140</v>
      </c>
      <c r="L2942" t="str">
        <f>H184</f>
        <v>H3a2a1a1~</v>
      </c>
      <c r="O2942">
        <v>1.5668297E7</v>
      </c>
      <c r="P2942">
        <v>1.3556417E7</v>
      </c>
      <c r="Q2942" t="s">
        <v>419</v>
      </c>
      <c r="R2942" s="5"/>
      <c r="S2942" s="5"/>
      <c r="T2942" s="5"/>
      <c r="U2942" s="5"/>
      <c r="V2942" s="5"/>
      <c r="W2942" s="5"/>
      <c r="X2942" s="5"/>
      <c r="Y2942" s="5"/>
      <c r="Z2942" s="5"/>
      <c r="AA2942" s="5"/>
      <c r="AB2942" s="5"/>
      <c r="AC2942" s="5"/>
      <c r="AD2942" s="5"/>
      <c r="AE2942" s="5"/>
      <c r="AF2942" s="5"/>
      <c r="AG2942" s="5"/>
    </row>
    <row r="2943" ht="15.75" customHeight="1">
      <c r="K2943" t="s">
        <v>5141</v>
      </c>
      <c r="L2943" t="str">
        <f>H184</f>
        <v>H3a2a1a1~</v>
      </c>
      <c r="N2943" t="s">
        <v>5142</v>
      </c>
      <c r="O2943">
        <v>2.2686307E7</v>
      </c>
      <c r="P2943">
        <v>2.0524421E7</v>
      </c>
      <c r="Q2943" t="s">
        <v>427</v>
      </c>
      <c r="R2943" s="5"/>
      <c r="S2943" s="5"/>
      <c r="T2943" s="5"/>
      <c r="U2943" s="5"/>
      <c r="V2943" s="5"/>
      <c r="W2943" s="5"/>
      <c r="X2943" s="5"/>
      <c r="Y2943" s="5"/>
      <c r="Z2943" s="5"/>
      <c r="AA2943" s="5"/>
      <c r="AB2943" s="5"/>
      <c r="AC2943" s="5"/>
      <c r="AD2943" s="5"/>
      <c r="AE2943" s="5"/>
      <c r="AF2943" s="5"/>
      <c r="AG2943" s="5"/>
    </row>
    <row r="2944" ht="15.75" customHeight="1">
      <c r="K2944" t="s">
        <v>5143</v>
      </c>
      <c r="L2944" t="str">
        <f>H184</f>
        <v>H3a2a1a1~</v>
      </c>
      <c r="N2944" t="s">
        <v>5144</v>
      </c>
      <c r="O2944">
        <v>7921535.0</v>
      </c>
      <c r="P2944">
        <v>8053494.0</v>
      </c>
      <c r="Q2944" t="s">
        <v>427</v>
      </c>
      <c r="R2944" s="5"/>
      <c r="S2944" s="5"/>
      <c r="T2944" s="5"/>
      <c r="U2944" s="5"/>
      <c r="V2944" s="5"/>
      <c r="W2944" s="5"/>
      <c r="X2944" s="5"/>
      <c r="Y2944" s="5"/>
      <c r="Z2944" s="5"/>
      <c r="AA2944" s="5"/>
      <c r="AB2944" s="5"/>
      <c r="AC2944" s="5"/>
      <c r="AD2944" s="5"/>
      <c r="AE2944" s="5"/>
      <c r="AF2944" s="5"/>
      <c r="AG2944" s="5"/>
    </row>
    <row r="2945" ht="15.75" customHeight="1">
      <c r="K2945" t="s">
        <v>5145</v>
      </c>
      <c r="L2945" t="str">
        <f>I185</f>
        <v>H3a2a1a1a~</v>
      </c>
      <c r="N2945" t="s">
        <v>5146</v>
      </c>
      <c r="O2945">
        <v>6791421.0</v>
      </c>
      <c r="P2945">
        <v>6923380.0</v>
      </c>
      <c r="Q2945" t="s">
        <v>435</v>
      </c>
      <c r="R2945" s="5"/>
      <c r="S2945" s="5"/>
      <c r="T2945" s="5"/>
      <c r="U2945" s="5"/>
      <c r="V2945" s="5"/>
      <c r="W2945" s="5"/>
      <c r="X2945" s="5"/>
      <c r="Y2945" s="5"/>
      <c r="Z2945" s="5"/>
      <c r="AA2945" s="5"/>
      <c r="AB2945" s="5"/>
      <c r="AC2945" s="5"/>
      <c r="AD2945" s="5"/>
      <c r="AE2945" s="5"/>
      <c r="AF2945" s="5"/>
      <c r="AG2945" s="5"/>
    </row>
    <row r="2946" ht="15.75" customHeight="1">
      <c r="K2946" t="s">
        <v>5147</v>
      </c>
      <c r="L2946" t="str">
        <f>I185</f>
        <v>H3a2a1a1a~</v>
      </c>
      <c r="N2946" t="s">
        <v>5148</v>
      </c>
      <c r="O2946">
        <v>6938655.0</v>
      </c>
      <c r="P2946">
        <v>7070614.0</v>
      </c>
      <c r="Q2946" t="s">
        <v>448</v>
      </c>
      <c r="R2946" s="5"/>
      <c r="S2946" s="5"/>
      <c r="T2946" s="5"/>
      <c r="U2946" s="5"/>
      <c r="V2946" s="5"/>
      <c r="W2946" s="5"/>
      <c r="X2946" s="5"/>
      <c r="Y2946" s="5"/>
      <c r="Z2946" s="5"/>
      <c r="AA2946" s="5"/>
      <c r="AB2946" s="5"/>
      <c r="AC2946" s="5"/>
      <c r="AD2946" s="5"/>
      <c r="AE2946" s="5"/>
      <c r="AF2946" s="5"/>
      <c r="AG2946" s="5"/>
    </row>
    <row r="2947" ht="15.75" customHeight="1">
      <c r="K2947" t="s">
        <v>5149</v>
      </c>
      <c r="L2947" t="str">
        <f>I185</f>
        <v>H3a2a1a1a~</v>
      </c>
      <c r="N2947" t="s">
        <v>5150</v>
      </c>
      <c r="O2947">
        <v>2711685.0</v>
      </c>
      <c r="P2947">
        <v>2843644.0</v>
      </c>
      <c r="Q2947" t="s">
        <v>435</v>
      </c>
      <c r="R2947" s="5"/>
      <c r="S2947" s="5"/>
      <c r="T2947" s="5"/>
      <c r="U2947" s="5"/>
      <c r="V2947" s="5"/>
      <c r="W2947" s="5"/>
      <c r="X2947" s="5"/>
      <c r="Y2947" s="5"/>
      <c r="Z2947" s="5"/>
      <c r="AA2947" s="5"/>
      <c r="AB2947" s="5"/>
      <c r="AC2947" s="5"/>
      <c r="AD2947" s="5"/>
      <c r="AE2947" s="5"/>
      <c r="AF2947" s="5"/>
      <c r="AG2947" s="5"/>
    </row>
    <row r="2948" ht="15.75" customHeight="1">
      <c r="K2948" t="s">
        <v>5151</v>
      </c>
      <c r="L2948" t="str">
        <f t="shared" ref="L2948:L2949" si="55">I185</f>
        <v>H3a2a1a1a~</v>
      </c>
      <c r="N2948" t="s">
        <v>5152</v>
      </c>
      <c r="O2948">
        <v>7173813.0</v>
      </c>
      <c r="P2948">
        <v>7305772.0</v>
      </c>
      <c r="Q2948" t="s">
        <v>435</v>
      </c>
      <c r="R2948" s="5"/>
      <c r="S2948" s="5"/>
      <c r="T2948" s="5"/>
      <c r="U2948" s="5"/>
      <c r="V2948" s="5"/>
      <c r="W2948" s="5"/>
      <c r="X2948" s="5"/>
      <c r="Y2948" s="5"/>
      <c r="Z2948" s="5"/>
      <c r="AA2948" s="5"/>
      <c r="AB2948" s="5"/>
      <c r="AC2948" s="5"/>
      <c r="AD2948" s="5"/>
      <c r="AE2948" s="5"/>
      <c r="AF2948" s="5"/>
      <c r="AG2948" s="5"/>
    </row>
    <row r="2949" ht="15.75" customHeight="1">
      <c r="K2949" t="s">
        <v>5153</v>
      </c>
      <c r="L2949" t="str">
        <f t="shared" si="55"/>
        <v>H3a2a1a1b~</v>
      </c>
      <c r="O2949">
        <v>7431508.0</v>
      </c>
      <c r="P2949">
        <v>7563467.0</v>
      </c>
      <c r="Q2949" t="s">
        <v>435</v>
      </c>
      <c r="R2949" s="5"/>
      <c r="S2949" s="5"/>
      <c r="T2949" s="5"/>
      <c r="U2949" s="5"/>
      <c r="V2949" s="5"/>
      <c r="W2949" s="5"/>
      <c r="X2949" s="5"/>
      <c r="Y2949" s="5"/>
      <c r="Z2949" s="5"/>
      <c r="AA2949" s="5"/>
      <c r="AB2949" s="5"/>
      <c r="AC2949" s="5"/>
      <c r="AD2949" s="5"/>
      <c r="AE2949" s="5"/>
      <c r="AF2949" s="5"/>
      <c r="AG2949" s="5"/>
    </row>
    <row r="2950" ht="15.75" customHeight="1">
      <c r="K2950" t="s">
        <v>5154</v>
      </c>
      <c r="L2950" t="str">
        <f>I186</f>
        <v>H3a2a1a1b~</v>
      </c>
      <c r="O2950">
        <v>7763135.0</v>
      </c>
      <c r="P2950">
        <v>7895094.0</v>
      </c>
      <c r="Q2950" t="s">
        <v>427</v>
      </c>
      <c r="R2950" s="5"/>
      <c r="S2950" s="5"/>
      <c r="T2950" s="5"/>
      <c r="U2950" s="5"/>
      <c r="V2950" s="5"/>
      <c r="W2950" s="5"/>
      <c r="X2950" s="5"/>
      <c r="Y2950" s="5"/>
      <c r="Z2950" s="5"/>
      <c r="AA2950" s="5"/>
      <c r="AB2950" s="5"/>
      <c r="AC2950" s="5"/>
      <c r="AD2950" s="5"/>
      <c r="AE2950" s="5"/>
      <c r="AF2950" s="5"/>
      <c r="AG2950" s="5"/>
    </row>
    <row r="2951" ht="15.75" customHeight="1">
      <c r="K2951" t="s">
        <v>5155</v>
      </c>
      <c r="L2951" t="str">
        <f>I186</f>
        <v>H3a2a1a1b~</v>
      </c>
      <c r="O2951">
        <v>7877064.0</v>
      </c>
      <c r="P2951">
        <v>8009023.0</v>
      </c>
      <c r="Q2951" t="s">
        <v>419</v>
      </c>
      <c r="R2951" s="5"/>
      <c r="S2951" s="5"/>
      <c r="T2951" s="5"/>
      <c r="U2951" s="5"/>
      <c r="V2951" s="5"/>
      <c r="W2951" s="5"/>
      <c r="X2951" s="5"/>
      <c r="Y2951" s="5"/>
      <c r="Z2951" s="5"/>
      <c r="AA2951" s="5"/>
      <c r="AB2951" s="5"/>
      <c r="AC2951" s="5"/>
      <c r="AD2951" s="5"/>
      <c r="AE2951" s="5"/>
      <c r="AF2951" s="5"/>
      <c r="AG2951" s="5"/>
    </row>
    <row r="2952" ht="15.75" customHeight="1">
      <c r="K2952" t="s">
        <v>5156</v>
      </c>
      <c r="L2952" t="str">
        <f>I186</f>
        <v>H3a2a1a1b~</v>
      </c>
      <c r="O2952">
        <v>7919344.0</v>
      </c>
      <c r="P2952">
        <v>8051303.0</v>
      </c>
      <c r="Q2952" t="s">
        <v>419</v>
      </c>
      <c r="R2952" s="5"/>
      <c r="S2952" s="5"/>
      <c r="T2952" s="5"/>
      <c r="U2952" s="5"/>
      <c r="V2952" s="5"/>
      <c r="W2952" s="5"/>
      <c r="X2952" s="5"/>
      <c r="Y2952" s="5"/>
      <c r="Z2952" s="5"/>
      <c r="AA2952" s="5"/>
      <c r="AB2952" s="5"/>
      <c r="AC2952" s="5"/>
      <c r="AD2952" s="5"/>
      <c r="AE2952" s="5"/>
      <c r="AF2952" s="5"/>
      <c r="AG2952" s="5"/>
    </row>
    <row r="2953" ht="15.75" customHeight="1">
      <c r="K2953" t="s">
        <v>5157</v>
      </c>
      <c r="L2953" t="str">
        <f>I186</f>
        <v>H3a2a1a1b~</v>
      </c>
      <c r="O2953">
        <v>8464949.0</v>
      </c>
      <c r="P2953">
        <v>8596908.0</v>
      </c>
      <c r="Q2953" t="s">
        <v>419</v>
      </c>
      <c r="R2953" s="5"/>
      <c r="S2953" s="5"/>
      <c r="T2953" s="5"/>
      <c r="U2953" s="5"/>
      <c r="V2953" s="5"/>
      <c r="W2953" s="5"/>
      <c r="X2953" s="5"/>
      <c r="Y2953" s="5"/>
      <c r="Z2953" s="5"/>
      <c r="AA2953" s="5"/>
      <c r="AB2953" s="5"/>
      <c r="AC2953" s="5"/>
      <c r="AD2953" s="5"/>
      <c r="AE2953" s="5"/>
      <c r="AF2953" s="5"/>
      <c r="AG2953" s="5"/>
    </row>
    <row r="2954" ht="15.75" customHeight="1">
      <c r="K2954" t="s">
        <v>5158</v>
      </c>
      <c r="L2954" t="str">
        <f>H187</f>
        <v>H3a2a1a2~</v>
      </c>
      <c r="O2954">
        <v>7320887.0</v>
      </c>
      <c r="P2954">
        <v>7452846.0</v>
      </c>
      <c r="Q2954" t="s">
        <v>435</v>
      </c>
      <c r="R2954" s="5"/>
      <c r="S2954" s="5"/>
      <c r="T2954" s="5"/>
      <c r="U2954" s="5"/>
      <c r="V2954" s="5"/>
      <c r="W2954" s="5"/>
      <c r="X2954" s="5"/>
      <c r="Y2954" s="5"/>
      <c r="Z2954" s="5"/>
      <c r="AA2954" s="5"/>
      <c r="AB2954" s="5"/>
      <c r="AC2954" s="5"/>
      <c r="AD2954" s="5"/>
      <c r="AE2954" s="5"/>
      <c r="AF2954" s="5"/>
      <c r="AG2954" s="5"/>
    </row>
    <row r="2955" ht="15.75" customHeight="1">
      <c r="K2955" t="s">
        <v>5159</v>
      </c>
      <c r="L2955" t="str">
        <f>H187</f>
        <v>H3a2a1a2~</v>
      </c>
      <c r="O2955">
        <v>7361039.0</v>
      </c>
      <c r="P2955">
        <v>7492998.0</v>
      </c>
      <c r="Q2955" t="s">
        <v>553</v>
      </c>
      <c r="R2955" s="5"/>
      <c r="S2955" s="5"/>
      <c r="T2955" s="5"/>
      <c r="U2955" s="5"/>
      <c r="V2955" s="5"/>
      <c r="W2955" s="5"/>
      <c r="X2955" s="5"/>
      <c r="Y2955" s="5"/>
      <c r="Z2955" s="5"/>
      <c r="AA2955" s="5"/>
      <c r="AB2955" s="5"/>
      <c r="AC2955" s="5"/>
      <c r="AD2955" s="5"/>
      <c r="AE2955" s="5"/>
      <c r="AF2955" s="5"/>
      <c r="AG2955" s="5"/>
    </row>
    <row r="2956" ht="15.75" customHeight="1">
      <c r="K2956" t="s">
        <v>5160</v>
      </c>
      <c r="L2956" t="str">
        <f>H187</f>
        <v>H3a2a1a2~</v>
      </c>
      <c r="O2956">
        <v>7521831.0</v>
      </c>
      <c r="P2956">
        <v>7653790.0</v>
      </c>
      <c r="Q2956" t="s">
        <v>423</v>
      </c>
      <c r="R2956" s="5"/>
      <c r="S2956" s="5"/>
      <c r="T2956" s="5"/>
      <c r="U2956" s="5"/>
      <c r="V2956" s="5"/>
      <c r="W2956" s="5"/>
      <c r="X2956" s="5"/>
      <c r="Y2956" s="5"/>
      <c r="Z2956" s="5"/>
      <c r="AA2956" s="5"/>
      <c r="AB2956" s="5"/>
      <c r="AC2956" s="5"/>
      <c r="AD2956" s="5"/>
      <c r="AE2956" s="5"/>
      <c r="AF2956" s="5"/>
      <c r="AG2956" s="5"/>
    </row>
    <row r="2957" ht="15.75" customHeight="1">
      <c r="K2957" t="s">
        <v>5161</v>
      </c>
      <c r="L2957" t="str">
        <f>H187</f>
        <v>H3a2a1a2~</v>
      </c>
      <c r="N2957" t="s">
        <v>5162</v>
      </c>
      <c r="O2957">
        <v>8068612.0</v>
      </c>
      <c r="P2957">
        <v>8200571.0</v>
      </c>
      <c r="Q2957" t="s">
        <v>525</v>
      </c>
      <c r="R2957" s="5"/>
      <c r="S2957" s="5"/>
      <c r="T2957" s="5"/>
      <c r="U2957" s="5"/>
      <c r="V2957" s="5"/>
      <c r="W2957" s="5"/>
      <c r="X2957" s="5"/>
      <c r="Y2957" s="5"/>
      <c r="Z2957" s="5"/>
      <c r="AA2957" s="5"/>
      <c r="AB2957" s="5"/>
      <c r="AC2957" s="5"/>
      <c r="AD2957" s="5"/>
      <c r="AE2957" s="5"/>
      <c r="AF2957" s="5"/>
      <c r="AG2957" s="5"/>
    </row>
    <row r="2958" ht="15.75" customHeight="1">
      <c r="K2958" t="s">
        <v>5163</v>
      </c>
      <c r="L2958" t="str">
        <f>H187</f>
        <v>H3a2a1a2~</v>
      </c>
      <c r="O2958">
        <v>8108825.0</v>
      </c>
      <c r="P2958">
        <v>8240784.0</v>
      </c>
      <c r="Q2958" t="s">
        <v>473</v>
      </c>
      <c r="R2958" s="5"/>
      <c r="S2958" s="5"/>
      <c r="T2958" s="5"/>
      <c r="U2958" s="5"/>
      <c r="V2958" s="5"/>
      <c r="W2958" s="5"/>
      <c r="X2958" s="5"/>
      <c r="Y2958" s="5"/>
      <c r="Z2958" s="5"/>
      <c r="AA2958" s="5"/>
      <c r="AB2958" s="5"/>
      <c r="AC2958" s="5"/>
      <c r="AD2958" s="5"/>
      <c r="AE2958" s="5"/>
      <c r="AF2958" s="5"/>
      <c r="AG2958" s="5"/>
    </row>
    <row r="2959" ht="15.75" customHeight="1">
      <c r="K2959" t="s">
        <v>5164</v>
      </c>
      <c r="L2959" t="str">
        <f>G188</f>
        <v>H3a2a1b~</v>
      </c>
      <c r="N2959" t="s">
        <v>5165</v>
      </c>
      <c r="O2959">
        <v>2863350.0</v>
      </c>
      <c r="P2959">
        <v>2995309.0</v>
      </c>
      <c r="Q2959" t="s">
        <v>423</v>
      </c>
      <c r="R2959" s="5"/>
      <c r="S2959" s="5"/>
      <c r="T2959" s="5"/>
      <c r="U2959" s="5"/>
      <c r="V2959" s="5"/>
      <c r="W2959" s="5"/>
      <c r="X2959" s="5"/>
      <c r="Y2959" s="5"/>
      <c r="Z2959" s="5"/>
      <c r="AA2959" s="5"/>
      <c r="AB2959" s="5"/>
      <c r="AC2959" s="5"/>
      <c r="AD2959" s="5"/>
      <c r="AE2959" s="5"/>
      <c r="AF2959" s="5"/>
      <c r="AG2959" s="5"/>
    </row>
    <row r="2960" ht="15.75" customHeight="1">
      <c r="K2960" t="s">
        <v>5166</v>
      </c>
      <c r="L2960" t="str">
        <f>G188</f>
        <v>H3a2a1b~</v>
      </c>
      <c r="N2960" t="s">
        <v>5167</v>
      </c>
      <c r="O2960">
        <v>6718604.0</v>
      </c>
      <c r="P2960">
        <v>6850563.0</v>
      </c>
      <c r="Q2960" t="s">
        <v>525</v>
      </c>
      <c r="R2960" s="5"/>
      <c r="S2960" s="5"/>
      <c r="T2960" s="5"/>
      <c r="U2960" s="5"/>
      <c r="V2960" s="5"/>
      <c r="W2960" s="5"/>
      <c r="X2960" s="5"/>
      <c r="Y2960" s="5"/>
      <c r="Z2960" s="5"/>
      <c r="AA2960" s="5"/>
      <c r="AB2960" s="5"/>
      <c r="AC2960" s="5"/>
      <c r="AD2960" s="5"/>
      <c r="AE2960" s="5"/>
      <c r="AF2960" s="5"/>
      <c r="AG2960" s="5"/>
    </row>
    <row r="2961" ht="15.75" customHeight="1">
      <c r="K2961" t="s">
        <v>5168</v>
      </c>
      <c r="L2961" t="str">
        <f>G188</f>
        <v>H3a2a1b~</v>
      </c>
      <c r="N2961" t="s">
        <v>5169</v>
      </c>
      <c r="O2961">
        <v>7057725.0</v>
      </c>
      <c r="P2961">
        <v>7189684.0</v>
      </c>
      <c r="Q2961" t="s">
        <v>525</v>
      </c>
      <c r="R2961" s="5"/>
      <c r="S2961" s="5"/>
      <c r="T2961" s="5"/>
      <c r="U2961" s="5"/>
      <c r="V2961" s="5"/>
      <c r="W2961" s="5"/>
      <c r="X2961" s="5"/>
      <c r="Y2961" s="5"/>
      <c r="Z2961" s="5"/>
      <c r="AA2961" s="5"/>
      <c r="AB2961" s="5"/>
      <c r="AC2961" s="5"/>
      <c r="AD2961" s="5"/>
      <c r="AE2961" s="5"/>
      <c r="AF2961" s="5"/>
      <c r="AG2961" s="5"/>
    </row>
    <row r="2962" ht="15.75" customHeight="1">
      <c r="K2962" t="s">
        <v>5170</v>
      </c>
      <c r="L2962" t="str">
        <f>G188</f>
        <v>H3a2a1b~</v>
      </c>
      <c r="N2962" t="s">
        <v>5171</v>
      </c>
      <c r="O2962">
        <v>7080022.0</v>
      </c>
      <c r="P2962">
        <v>7211981.0</v>
      </c>
      <c r="Q2962" t="s">
        <v>423</v>
      </c>
      <c r="R2962" s="5"/>
      <c r="S2962" s="5"/>
      <c r="T2962" s="5"/>
      <c r="U2962" s="5"/>
      <c r="V2962" s="5"/>
      <c r="W2962" s="5"/>
      <c r="X2962" s="5"/>
      <c r="Y2962" s="5"/>
      <c r="Z2962" s="5"/>
      <c r="AA2962" s="5"/>
      <c r="AB2962" s="5"/>
      <c r="AC2962" s="5"/>
      <c r="AD2962" s="5"/>
      <c r="AE2962" s="5"/>
      <c r="AF2962" s="5"/>
      <c r="AG2962" s="5"/>
    </row>
    <row r="2963" ht="15.75" customHeight="1">
      <c r="K2963" t="s">
        <v>5172</v>
      </c>
      <c r="L2963" t="str">
        <f>F189</f>
        <v>H3a2a2</v>
      </c>
      <c r="N2963" t="s">
        <v>5173</v>
      </c>
      <c r="O2963">
        <v>6620430.0</v>
      </c>
      <c r="P2963">
        <v>6752389.0</v>
      </c>
      <c r="Q2963" t="s">
        <v>427</v>
      </c>
      <c r="R2963" s="5"/>
      <c r="S2963" s="5"/>
      <c r="T2963" s="5"/>
      <c r="U2963" s="5"/>
      <c r="V2963" s="5"/>
      <c r="W2963" s="5"/>
      <c r="X2963" s="5"/>
      <c r="Y2963" s="5"/>
      <c r="Z2963" s="5"/>
      <c r="AA2963" s="5"/>
      <c r="AB2963" s="5"/>
      <c r="AC2963" s="5"/>
      <c r="AD2963" s="5"/>
      <c r="AE2963" s="5"/>
      <c r="AF2963" s="5"/>
      <c r="AG2963" s="5"/>
    </row>
    <row r="2964" ht="15.75" customHeight="1">
      <c r="K2964" t="s">
        <v>5174</v>
      </c>
      <c r="L2964" t="str">
        <f>F189</f>
        <v>H3a2a2</v>
      </c>
      <c r="M2964" t="s">
        <v>5175</v>
      </c>
      <c r="N2964" t="s">
        <v>5176</v>
      </c>
      <c r="O2964">
        <v>7718251.0</v>
      </c>
      <c r="P2964">
        <v>7850210.0</v>
      </c>
      <c r="Q2964" t="s">
        <v>435</v>
      </c>
      <c r="R2964" s="5"/>
      <c r="S2964" s="5"/>
      <c r="T2964" s="5"/>
      <c r="U2964" s="5"/>
      <c r="V2964" s="5"/>
      <c r="W2964" s="5"/>
      <c r="X2964" s="5"/>
      <c r="Y2964" s="5"/>
      <c r="Z2964" s="5"/>
      <c r="AA2964" s="5"/>
      <c r="AB2964" s="5"/>
      <c r="AC2964" s="5"/>
      <c r="AD2964" s="5"/>
      <c r="AE2964" s="5"/>
      <c r="AF2964" s="5"/>
      <c r="AG2964" s="5"/>
    </row>
    <row r="2965" ht="15.75" customHeight="1">
      <c r="K2965" t="s">
        <v>5175</v>
      </c>
      <c r="L2965" t="str">
        <f>F189</f>
        <v>H3a2a2</v>
      </c>
      <c r="M2965" t="s">
        <v>5174</v>
      </c>
      <c r="N2965" t="s">
        <v>5176</v>
      </c>
      <c r="O2965">
        <v>7718251.0</v>
      </c>
      <c r="P2965">
        <v>7850210.0</v>
      </c>
      <c r="Q2965" t="s">
        <v>435</v>
      </c>
      <c r="R2965" s="5"/>
      <c r="S2965" s="5"/>
      <c r="T2965" s="5"/>
      <c r="U2965" s="5"/>
      <c r="V2965" s="5"/>
      <c r="W2965" s="5"/>
      <c r="X2965" s="5"/>
      <c r="Y2965" s="5"/>
      <c r="Z2965" s="5"/>
      <c r="AA2965" s="5"/>
      <c r="AB2965" s="5"/>
      <c r="AC2965" s="5"/>
      <c r="AD2965" s="5"/>
      <c r="AE2965" s="5"/>
      <c r="AF2965" s="5"/>
      <c r="AG2965" s="5"/>
    </row>
    <row r="2966" ht="15.75" customHeight="1">
      <c r="K2966" t="s">
        <v>5177</v>
      </c>
      <c r="L2966" t="str">
        <f>F189</f>
        <v>H3a2a2</v>
      </c>
      <c r="N2966" t="s">
        <v>5178</v>
      </c>
      <c r="O2966">
        <v>1.8803983E7</v>
      </c>
      <c r="P2966">
        <v>1.6692103E7</v>
      </c>
      <c r="Q2966" t="s">
        <v>435</v>
      </c>
      <c r="R2966" s="5"/>
      <c r="S2966" s="5"/>
      <c r="T2966" s="5"/>
      <c r="U2966" s="5"/>
      <c r="V2966" s="5"/>
      <c r="W2966" s="5"/>
      <c r="X2966" s="5"/>
      <c r="Y2966" s="5"/>
      <c r="Z2966" s="5"/>
      <c r="AA2966" s="5"/>
      <c r="AB2966" s="5"/>
      <c r="AC2966" s="5"/>
      <c r="AD2966" s="5"/>
      <c r="AE2966" s="5"/>
      <c r="AF2966" s="5"/>
      <c r="AG2966" s="5"/>
    </row>
    <row r="2967" ht="15.75" customHeight="1">
      <c r="K2967" t="s">
        <v>5179</v>
      </c>
      <c r="L2967" t="str">
        <f>F189</f>
        <v>H3a2a2</v>
      </c>
      <c r="M2967" t="s">
        <v>5180</v>
      </c>
      <c r="N2967" t="s">
        <v>5181</v>
      </c>
      <c r="O2967">
        <v>8194463.0</v>
      </c>
      <c r="P2967">
        <v>8326422.0</v>
      </c>
      <c r="Q2967" t="s">
        <v>419</v>
      </c>
      <c r="R2967" s="5"/>
      <c r="S2967" s="5"/>
      <c r="T2967" s="5"/>
      <c r="U2967" s="5"/>
      <c r="V2967" s="5"/>
      <c r="W2967" s="5"/>
      <c r="X2967" s="5"/>
      <c r="Y2967" s="5"/>
      <c r="Z2967" s="5"/>
      <c r="AA2967" s="5"/>
      <c r="AB2967" s="5"/>
      <c r="AC2967" s="5"/>
      <c r="AD2967" s="5"/>
      <c r="AE2967" s="5"/>
      <c r="AF2967" s="5"/>
      <c r="AG2967" s="5"/>
    </row>
    <row r="2968" ht="15.75" customHeight="1">
      <c r="K2968" t="s">
        <v>5180</v>
      </c>
      <c r="L2968" t="str">
        <f>F189</f>
        <v>H3a2a2</v>
      </c>
      <c r="M2968" t="s">
        <v>5179</v>
      </c>
      <c r="N2968" t="s">
        <v>5181</v>
      </c>
      <c r="O2968">
        <v>8194463.0</v>
      </c>
      <c r="P2968">
        <v>8326422.0</v>
      </c>
      <c r="Q2968" t="s">
        <v>419</v>
      </c>
      <c r="R2968" s="5"/>
      <c r="S2968" s="5"/>
      <c r="T2968" s="5"/>
      <c r="U2968" s="5"/>
      <c r="V2968" s="5"/>
      <c r="W2968" s="5"/>
      <c r="X2968" s="5"/>
      <c r="Y2968" s="5"/>
      <c r="Z2968" s="5"/>
      <c r="AA2968" s="5"/>
      <c r="AB2968" s="5"/>
      <c r="AC2968" s="5"/>
      <c r="AD2968" s="5"/>
      <c r="AE2968" s="5"/>
      <c r="AF2968" s="5"/>
      <c r="AG2968" s="5"/>
    </row>
    <row r="2969" ht="15.75" customHeight="1">
      <c r="K2969" t="s">
        <v>5182</v>
      </c>
      <c r="L2969" t="str">
        <f>F189</f>
        <v>H3a2a2</v>
      </c>
      <c r="N2969" t="s">
        <v>5183</v>
      </c>
      <c r="O2969">
        <v>6902241.0</v>
      </c>
      <c r="P2969">
        <v>7034200.0</v>
      </c>
      <c r="Q2969" t="s">
        <v>419</v>
      </c>
      <c r="R2969" s="5"/>
      <c r="S2969" s="5"/>
      <c r="T2969" s="5"/>
      <c r="U2969" s="5"/>
      <c r="V2969" s="5"/>
      <c r="W2969" s="5"/>
      <c r="X2969" s="5"/>
      <c r="Y2969" s="5"/>
      <c r="Z2969" s="5"/>
      <c r="AA2969" s="5"/>
      <c r="AB2969" s="5"/>
      <c r="AC2969" s="5"/>
      <c r="AD2969" s="5"/>
      <c r="AE2969" s="5"/>
      <c r="AF2969" s="5"/>
      <c r="AG2969" s="5"/>
    </row>
    <row r="2970" ht="15.75" customHeight="1">
      <c r="K2970" t="s">
        <v>5184</v>
      </c>
      <c r="L2970" t="str">
        <f>F189</f>
        <v>H3a2a2</v>
      </c>
      <c r="N2970" t="s">
        <v>5185</v>
      </c>
      <c r="O2970">
        <v>8335702.0</v>
      </c>
      <c r="P2970">
        <v>8467661.0</v>
      </c>
      <c r="Q2970" t="s">
        <v>459</v>
      </c>
      <c r="R2970" s="5"/>
      <c r="S2970" s="5"/>
      <c r="T2970" s="5"/>
      <c r="U2970" s="5"/>
      <c r="V2970" s="5"/>
      <c r="W2970" s="5"/>
      <c r="X2970" s="5"/>
      <c r="Y2970" s="5"/>
      <c r="Z2970" s="5"/>
      <c r="AA2970" s="5"/>
      <c r="AB2970" s="5"/>
      <c r="AC2970" s="5"/>
      <c r="AD2970" s="5"/>
      <c r="AE2970" s="5"/>
      <c r="AF2970" s="5"/>
      <c r="AG2970" s="5"/>
    </row>
    <row r="2971" ht="15.75" customHeight="1">
      <c r="K2971" t="s">
        <v>5186</v>
      </c>
      <c r="L2971" t="str">
        <f>F189</f>
        <v>H3a2a2</v>
      </c>
      <c r="N2971" t="s">
        <v>5187</v>
      </c>
      <c r="O2971">
        <v>8646341.0</v>
      </c>
      <c r="P2971">
        <v>8778300.0</v>
      </c>
      <c r="Q2971" t="s">
        <v>431</v>
      </c>
      <c r="R2971" s="5"/>
      <c r="S2971" s="5"/>
      <c r="T2971" s="5"/>
      <c r="U2971" s="5"/>
      <c r="V2971" s="5"/>
      <c r="W2971" s="5"/>
      <c r="X2971" s="5"/>
      <c r="Y2971" s="5"/>
      <c r="Z2971" s="5"/>
      <c r="AA2971" s="5"/>
      <c r="AB2971" s="5"/>
      <c r="AC2971" s="5"/>
      <c r="AD2971" s="5"/>
      <c r="AE2971" s="5"/>
      <c r="AF2971" s="5"/>
      <c r="AG2971" s="5"/>
    </row>
    <row r="2972" ht="15.75" customHeight="1">
      <c r="K2972" t="s">
        <v>5188</v>
      </c>
      <c r="L2972" t="str">
        <f>F189</f>
        <v>H3a2a2</v>
      </c>
      <c r="N2972" t="s">
        <v>5189</v>
      </c>
      <c r="O2972">
        <v>8685772.0</v>
      </c>
      <c r="P2972">
        <v>8817731.0</v>
      </c>
      <c r="Q2972" t="s">
        <v>427</v>
      </c>
      <c r="R2972" s="5"/>
      <c r="S2972" s="5"/>
      <c r="T2972" s="5"/>
      <c r="U2972" s="5"/>
      <c r="V2972" s="5"/>
      <c r="W2972" s="5"/>
      <c r="X2972" s="5"/>
      <c r="Y2972" s="5"/>
      <c r="Z2972" s="5"/>
      <c r="AA2972" s="5"/>
      <c r="AB2972" s="5"/>
      <c r="AC2972" s="5"/>
      <c r="AD2972" s="5"/>
      <c r="AE2972" s="5"/>
      <c r="AF2972" s="5"/>
      <c r="AG2972" s="5"/>
    </row>
    <row r="2973" ht="15.75" customHeight="1">
      <c r="K2973" t="s">
        <v>5190</v>
      </c>
      <c r="L2973" t="str">
        <f>F189</f>
        <v>H3a2a2</v>
      </c>
      <c r="O2973">
        <v>9464948.0</v>
      </c>
      <c r="P2973">
        <v>9627339.0</v>
      </c>
      <c r="Q2973" t="s">
        <v>473</v>
      </c>
      <c r="R2973" s="5"/>
      <c r="S2973" s="5"/>
      <c r="T2973" s="5"/>
      <c r="U2973" s="5"/>
      <c r="V2973" s="5"/>
      <c r="W2973" s="5"/>
      <c r="X2973" s="5"/>
      <c r="Y2973" s="5"/>
      <c r="Z2973" s="5"/>
      <c r="AA2973" s="5"/>
      <c r="AB2973" s="5"/>
      <c r="AC2973" s="5"/>
      <c r="AD2973" s="5"/>
      <c r="AE2973" s="5"/>
      <c r="AF2973" s="5"/>
      <c r="AG2973" s="5"/>
    </row>
    <row r="2974" ht="15.75" customHeight="1">
      <c r="K2974" t="s">
        <v>5191</v>
      </c>
      <c r="L2974" t="str">
        <f>F189</f>
        <v>H3a2a2</v>
      </c>
      <c r="O2974">
        <v>1.3647725E7</v>
      </c>
      <c r="P2974">
        <v>1.1492049E7</v>
      </c>
      <c r="Q2974" t="s">
        <v>419</v>
      </c>
      <c r="R2974" s="5"/>
      <c r="S2974" s="5"/>
      <c r="T2974" s="5"/>
      <c r="U2974" s="5"/>
      <c r="V2974" s="5"/>
      <c r="W2974" s="5"/>
      <c r="X2974" s="5"/>
      <c r="Y2974" s="5"/>
      <c r="Z2974" s="5"/>
      <c r="AA2974" s="5"/>
      <c r="AB2974" s="5"/>
      <c r="AC2974" s="5"/>
      <c r="AD2974" s="5"/>
      <c r="AE2974" s="5"/>
      <c r="AF2974" s="5"/>
      <c r="AG2974" s="5"/>
    </row>
    <row r="2975" ht="15.75" customHeight="1">
      <c r="K2975" t="s">
        <v>5192</v>
      </c>
      <c r="L2975" t="str">
        <f>F189</f>
        <v>H3a2a2</v>
      </c>
      <c r="N2975" t="s">
        <v>5193</v>
      </c>
      <c r="O2975">
        <v>1.4130996E7</v>
      </c>
      <c r="P2975">
        <v>1.201029E7</v>
      </c>
      <c r="Q2975" t="s">
        <v>427</v>
      </c>
      <c r="R2975" s="5"/>
      <c r="S2975" s="5"/>
      <c r="T2975" s="5"/>
      <c r="U2975" s="5"/>
      <c r="V2975" s="5"/>
      <c r="W2975" s="5"/>
      <c r="X2975" s="5"/>
      <c r="Y2975" s="5"/>
      <c r="Z2975" s="5"/>
      <c r="AA2975" s="5"/>
      <c r="AB2975" s="5"/>
      <c r="AC2975" s="5"/>
      <c r="AD2975" s="5"/>
      <c r="AE2975" s="5"/>
      <c r="AF2975" s="5"/>
      <c r="AG2975" s="5"/>
    </row>
    <row r="2976" ht="15.75" customHeight="1">
      <c r="K2976" t="s">
        <v>5194</v>
      </c>
      <c r="L2976" t="str">
        <f>F189</f>
        <v>H3a2a2</v>
      </c>
      <c r="O2976">
        <v>1.4230392E7</v>
      </c>
      <c r="P2976">
        <v>1.2109686E7</v>
      </c>
      <c r="Q2976" t="s">
        <v>419</v>
      </c>
      <c r="R2976" s="5"/>
      <c r="S2976" s="5"/>
      <c r="T2976" s="5"/>
      <c r="U2976" s="5"/>
      <c r="V2976" s="5"/>
      <c r="W2976" s="5"/>
      <c r="X2976" s="5"/>
      <c r="Y2976" s="5"/>
      <c r="Z2976" s="5"/>
      <c r="AA2976" s="5"/>
      <c r="AB2976" s="5"/>
      <c r="AC2976" s="5"/>
      <c r="AD2976" s="5"/>
      <c r="AE2976" s="5"/>
      <c r="AF2976" s="5"/>
      <c r="AG2976" s="5"/>
    </row>
    <row r="2977" ht="15.75" customHeight="1">
      <c r="K2977" t="s">
        <v>5195</v>
      </c>
      <c r="L2977" t="str">
        <f>F189</f>
        <v>H3a2a2</v>
      </c>
      <c r="N2977" t="s">
        <v>5196</v>
      </c>
      <c r="O2977">
        <v>1.4518049E7</v>
      </c>
      <c r="P2977">
        <v>1.240625E7</v>
      </c>
      <c r="Q2977" t="s">
        <v>435</v>
      </c>
      <c r="R2977" s="5"/>
      <c r="S2977" s="5"/>
      <c r="T2977" s="5"/>
      <c r="U2977" s="5"/>
      <c r="V2977" s="5"/>
      <c r="W2977" s="5"/>
      <c r="X2977" s="5"/>
      <c r="Y2977" s="5"/>
      <c r="Z2977" s="5"/>
      <c r="AA2977" s="5"/>
      <c r="AB2977" s="5"/>
      <c r="AC2977" s="5"/>
      <c r="AD2977" s="5"/>
      <c r="AE2977" s="5"/>
      <c r="AF2977" s="5"/>
      <c r="AG2977" s="5"/>
    </row>
    <row r="2978" ht="15.75" customHeight="1">
      <c r="K2978" t="s">
        <v>5197</v>
      </c>
      <c r="L2978" t="str">
        <f>F189</f>
        <v>H3a2a2</v>
      </c>
      <c r="N2978" t="s">
        <v>5198</v>
      </c>
      <c r="O2978">
        <v>1.457191E7</v>
      </c>
      <c r="P2978">
        <v>1.246011E7</v>
      </c>
      <c r="Q2978" t="s">
        <v>435</v>
      </c>
      <c r="R2978" s="5"/>
      <c r="S2978" s="5"/>
      <c r="T2978" s="5"/>
      <c r="U2978" s="5"/>
      <c r="V2978" s="5"/>
      <c r="W2978" s="5"/>
      <c r="X2978" s="5"/>
      <c r="Y2978" s="5"/>
      <c r="Z2978" s="5"/>
      <c r="AA2978" s="5"/>
      <c r="AB2978" s="5"/>
      <c r="AC2978" s="5"/>
      <c r="AD2978" s="5"/>
      <c r="AE2978" s="5"/>
      <c r="AF2978" s="5"/>
      <c r="AG2978" s="5"/>
    </row>
    <row r="2979" ht="15.75" customHeight="1">
      <c r="K2979" t="s">
        <v>5199</v>
      </c>
      <c r="L2979" t="str">
        <f>F189</f>
        <v>H3a2a2</v>
      </c>
      <c r="N2979" t="s">
        <v>5200</v>
      </c>
      <c r="O2979">
        <v>1.510057E7</v>
      </c>
      <c r="P2979">
        <v>1.2988658E7</v>
      </c>
      <c r="Q2979" t="s">
        <v>431</v>
      </c>
      <c r="R2979" s="5"/>
      <c r="S2979" s="5"/>
      <c r="T2979" s="5"/>
      <c r="U2979" s="5"/>
      <c r="V2979" s="5"/>
      <c r="W2979" s="5"/>
      <c r="X2979" s="5"/>
      <c r="Y2979" s="5"/>
      <c r="Z2979" s="5"/>
      <c r="AA2979" s="5"/>
      <c r="AB2979" s="5"/>
      <c r="AC2979" s="5"/>
      <c r="AD2979" s="5"/>
      <c r="AE2979" s="5"/>
      <c r="AF2979" s="5"/>
      <c r="AG2979" s="5"/>
    </row>
    <row r="2980" ht="15.75" customHeight="1">
      <c r="K2980" t="s">
        <v>5201</v>
      </c>
      <c r="L2980" t="str">
        <f>F189</f>
        <v>H3a2a2</v>
      </c>
      <c r="N2980" t="s">
        <v>5202</v>
      </c>
      <c r="O2980">
        <v>1.573934E7</v>
      </c>
      <c r="P2980">
        <v>1.362746E7</v>
      </c>
      <c r="Q2980" t="s">
        <v>473</v>
      </c>
      <c r="R2980" s="5"/>
      <c r="S2980" s="5"/>
      <c r="T2980" s="5"/>
      <c r="U2980" s="5"/>
      <c r="V2980" s="5"/>
      <c r="W2980" s="5"/>
      <c r="X2980" s="5"/>
      <c r="Y2980" s="5"/>
      <c r="Z2980" s="5"/>
      <c r="AA2980" s="5"/>
      <c r="AB2980" s="5"/>
      <c r="AC2980" s="5"/>
      <c r="AD2980" s="5"/>
      <c r="AE2980" s="5"/>
      <c r="AF2980" s="5"/>
      <c r="AG2980" s="5"/>
    </row>
    <row r="2981" ht="15.75" customHeight="1">
      <c r="K2981" t="s">
        <v>5203</v>
      </c>
      <c r="L2981" t="str">
        <f>F189</f>
        <v>H3a2a2</v>
      </c>
      <c r="N2981" t="s">
        <v>5204</v>
      </c>
      <c r="O2981">
        <v>1.6219153E7</v>
      </c>
      <c r="P2981">
        <v>1.4107273E7</v>
      </c>
      <c r="Q2981" t="s">
        <v>435</v>
      </c>
      <c r="R2981" s="5"/>
      <c r="S2981" s="5"/>
      <c r="T2981" s="5"/>
      <c r="U2981" s="5"/>
      <c r="V2981" s="5"/>
      <c r="W2981" s="5"/>
      <c r="X2981" s="5"/>
      <c r="Y2981" s="5"/>
      <c r="Z2981" s="5"/>
      <c r="AA2981" s="5"/>
      <c r="AB2981" s="5"/>
      <c r="AC2981" s="5"/>
      <c r="AD2981" s="5"/>
      <c r="AE2981" s="5"/>
      <c r="AF2981" s="5"/>
      <c r="AG2981" s="5"/>
    </row>
    <row r="2982" ht="15.75" customHeight="1">
      <c r="K2982" t="s">
        <v>5205</v>
      </c>
      <c r="L2982" t="str">
        <f>F189</f>
        <v>H3a2a2</v>
      </c>
      <c r="N2982" t="s">
        <v>5206</v>
      </c>
      <c r="O2982">
        <v>1.7073386E7</v>
      </c>
      <c r="P2982">
        <v>1.4961506E7</v>
      </c>
      <c r="Q2982" t="s">
        <v>435</v>
      </c>
      <c r="R2982" s="5"/>
      <c r="S2982" s="5"/>
      <c r="T2982" s="5"/>
      <c r="U2982" s="5"/>
      <c r="V2982" s="5"/>
      <c r="W2982" s="5"/>
      <c r="X2982" s="5"/>
      <c r="Y2982" s="5"/>
      <c r="Z2982" s="5"/>
      <c r="AA2982" s="5"/>
      <c r="AB2982" s="5"/>
      <c r="AC2982" s="5"/>
      <c r="AD2982" s="5"/>
      <c r="AE2982" s="5"/>
      <c r="AF2982" s="5"/>
      <c r="AG2982" s="5"/>
    </row>
    <row r="2983" ht="15.75" customHeight="1">
      <c r="K2983" t="s">
        <v>5207</v>
      </c>
      <c r="L2983" t="str">
        <f>F189</f>
        <v>H3a2a2</v>
      </c>
      <c r="N2983" t="s">
        <v>5208</v>
      </c>
      <c r="O2983">
        <v>1.7162472E7</v>
      </c>
      <c r="P2983">
        <v>1.5050592E7</v>
      </c>
      <c r="Q2983" t="s">
        <v>448</v>
      </c>
      <c r="R2983" s="5"/>
      <c r="S2983" s="5"/>
      <c r="T2983" s="5"/>
      <c r="U2983" s="5"/>
      <c r="V2983" s="5"/>
      <c r="W2983" s="5"/>
      <c r="X2983" s="5"/>
      <c r="Y2983" s="5"/>
      <c r="Z2983" s="5"/>
      <c r="AA2983" s="5"/>
      <c r="AB2983" s="5"/>
      <c r="AC2983" s="5"/>
      <c r="AD2983" s="5"/>
      <c r="AE2983" s="5"/>
      <c r="AF2983" s="5"/>
      <c r="AG2983" s="5"/>
    </row>
    <row r="2984" ht="15.75" customHeight="1">
      <c r="K2984" t="s">
        <v>5209</v>
      </c>
      <c r="L2984" t="str">
        <f>F189</f>
        <v>H3a2a2</v>
      </c>
      <c r="N2984" t="s">
        <v>5210</v>
      </c>
      <c r="O2984">
        <v>1.7192151E7</v>
      </c>
      <c r="P2984">
        <v>1.5080271E7</v>
      </c>
      <c r="Q2984" t="s">
        <v>452</v>
      </c>
      <c r="R2984" s="5"/>
      <c r="S2984" s="5"/>
      <c r="T2984" s="5"/>
      <c r="U2984" s="5"/>
      <c r="V2984" s="5"/>
      <c r="W2984" s="5"/>
      <c r="X2984" s="5"/>
      <c r="Y2984" s="5"/>
      <c r="Z2984" s="5"/>
      <c r="AA2984" s="5"/>
      <c r="AB2984" s="5"/>
      <c r="AC2984" s="5"/>
      <c r="AD2984" s="5"/>
      <c r="AE2984" s="5"/>
      <c r="AF2984" s="5"/>
      <c r="AG2984" s="5"/>
    </row>
    <row r="2985" ht="15.75" customHeight="1">
      <c r="K2985" t="s">
        <v>5211</v>
      </c>
      <c r="L2985" t="str">
        <f>F189</f>
        <v>H3a2a2</v>
      </c>
      <c r="N2985" t="s">
        <v>5212</v>
      </c>
      <c r="O2985">
        <v>1.7754902E7</v>
      </c>
      <c r="P2985">
        <v>1.5643022E7</v>
      </c>
      <c r="Q2985" t="s">
        <v>419</v>
      </c>
      <c r="R2985" s="5"/>
      <c r="S2985" s="5"/>
      <c r="T2985" s="5"/>
      <c r="U2985" s="5"/>
      <c r="V2985" s="5"/>
      <c r="W2985" s="5"/>
      <c r="X2985" s="5"/>
      <c r="Y2985" s="5"/>
      <c r="Z2985" s="5"/>
      <c r="AA2985" s="5"/>
      <c r="AB2985" s="5"/>
      <c r="AC2985" s="5"/>
      <c r="AD2985" s="5"/>
      <c r="AE2985" s="5"/>
      <c r="AF2985" s="5"/>
      <c r="AG2985" s="5"/>
    </row>
    <row r="2986" ht="15.75" customHeight="1">
      <c r="K2986" t="s">
        <v>5213</v>
      </c>
      <c r="L2986" t="str">
        <f>F189</f>
        <v>H3a2a2</v>
      </c>
      <c r="N2986" t="s">
        <v>5214</v>
      </c>
      <c r="O2986">
        <v>1.8097041E7</v>
      </c>
      <c r="P2986">
        <v>1.5985161E7</v>
      </c>
      <c r="Q2986" t="s">
        <v>525</v>
      </c>
      <c r="R2986" s="5"/>
      <c r="S2986" s="5"/>
      <c r="T2986" s="5"/>
      <c r="U2986" s="5"/>
      <c r="V2986" s="5"/>
      <c r="W2986" s="5"/>
      <c r="X2986" s="5"/>
      <c r="Y2986" s="5"/>
      <c r="Z2986" s="5"/>
      <c r="AA2986" s="5"/>
      <c r="AB2986" s="5"/>
      <c r="AC2986" s="5"/>
      <c r="AD2986" s="5"/>
      <c r="AE2986" s="5"/>
      <c r="AF2986" s="5"/>
      <c r="AG2986" s="5"/>
    </row>
    <row r="2987" ht="15.75" customHeight="1">
      <c r="K2987" t="s">
        <v>5215</v>
      </c>
      <c r="L2987" t="str">
        <f>F189</f>
        <v>H3a2a2</v>
      </c>
      <c r="O2987">
        <v>1.8268749E7</v>
      </c>
      <c r="P2987">
        <v>1.6156869E7</v>
      </c>
      <c r="Q2987" t="s">
        <v>525</v>
      </c>
      <c r="R2987" s="5"/>
      <c r="S2987" s="5"/>
      <c r="T2987" s="5"/>
      <c r="U2987" s="5"/>
      <c r="V2987" s="5"/>
      <c r="W2987" s="5"/>
      <c r="X2987" s="5"/>
      <c r="Y2987" s="5"/>
      <c r="Z2987" s="5"/>
      <c r="AA2987" s="5"/>
      <c r="AB2987" s="5"/>
      <c r="AC2987" s="5"/>
      <c r="AD2987" s="5"/>
      <c r="AE2987" s="5"/>
      <c r="AF2987" s="5"/>
      <c r="AG2987" s="5"/>
    </row>
    <row r="2988" ht="15.75" customHeight="1">
      <c r="K2988" t="s">
        <v>5216</v>
      </c>
      <c r="L2988" t="str">
        <f>F189</f>
        <v>H3a2a2</v>
      </c>
      <c r="N2988" t="s">
        <v>5217</v>
      </c>
      <c r="O2988">
        <v>1.8878949E7</v>
      </c>
      <c r="P2988">
        <v>1.6767069E7</v>
      </c>
      <c r="Q2988" t="s">
        <v>553</v>
      </c>
      <c r="R2988" s="5"/>
      <c r="S2988" s="5"/>
      <c r="T2988" s="5"/>
      <c r="U2988" s="5"/>
      <c r="V2988" s="5"/>
      <c r="W2988" s="5"/>
      <c r="X2988" s="5"/>
      <c r="Y2988" s="5"/>
      <c r="Z2988" s="5"/>
      <c r="AA2988" s="5"/>
      <c r="AB2988" s="5"/>
      <c r="AC2988" s="5"/>
      <c r="AD2988" s="5"/>
      <c r="AE2988" s="5"/>
      <c r="AF2988" s="5"/>
      <c r="AG2988" s="5"/>
    </row>
    <row r="2989" ht="15.75" customHeight="1">
      <c r="K2989" t="s">
        <v>5218</v>
      </c>
      <c r="L2989" t="str">
        <f>F189</f>
        <v>H3a2a2</v>
      </c>
      <c r="N2989" t="s">
        <v>5219</v>
      </c>
      <c r="O2989">
        <v>1.8922459E7</v>
      </c>
      <c r="P2989">
        <v>1.6810579E7</v>
      </c>
      <c r="Q2989" t="s">
        <v>419</v>
      </c>
      <c r="R2989" s="5"/>
      <c r="S2989" s="5"/>
      <c r="T2989" s="5"/>
      <c r="U2989" s="5"/>
      <c r="V2989" s="5"/>
      <c r="W2989" s="5"/>
      <c r="X2989" s="5"/>
      <c r="Y2989" s="5"/>
      <c r="Z2989" s="5"/>
      <c r="AA2989" s="5"/>
      <c r="AB2989" s="5"/>
      <c r="AC2989" s="5"/>
      <c r="AD2989" s="5"/>
      <c r="AE2989" s="5"/>
      <c r="AF2989" s="5"/>
      <c r="AG2989" s="5"/>
    </row>
    <row r="2990" ht="15.75" customHeight="1">
      <c r="K2990" t="s">
        <v>5220</v>
      </c>
      <c r="L2990" t="str">
        <f>F189</f>
        <v>H3a2a2</v>
      </c>
      <c r="M2990" t="s">
        <v>5221</v>
      </c>
      <c r="N2990" t="s">
        <v>5222</v>
      </c>
      <c r="O2990">
        <v>1.898489E7</v>
      </c>
      <c r="P2990">
        <v>1.687301E7</v>
      </c>
      <c r="Q2990" t="s">
        <v>435</v>
      </c>
      <c r="R2990" s="5"/>
      <c r="S2990" s="5"/>
      <c r="T2990" s="5"/>
      <c r="U2990" s="5"/>
      <c r="V2990" s="5"/>
      <c r="W2990" s="5"/>
      <c r="X2990" s="5"/>
      <c r="Y2990" s="5"/>
      <c r="Z2990" s="5"/>
      <c r="AA2990" s="5"/>
      <c r="AB2990" s="5"/>
      <c r="AC2990" s="5"/>
      <c r="AD2990" s="5"/>
      <c r="AE2990" s="5"/>
      <c r="AF2990" s="5"/>
      <c r="AG2990" s="5"/>
    </row>
    <row r="2991" ht="15.75" customHeight="1">
      <c r="K2991" t="s">
        <v>5221</v>
      </c>
      <c r="L2991" t="str">
        <f>F189</f>
        <v>H3a2a2</v>
      </c>
      <c r="M2991" t="s">
        <v>5220</v>
      </c>
      <c r="N2991" t="s">
        <v>5222</v>
      </c>
      <c r="O2991">
        <v>1.898489E7</v>
      </c>
      <c r="P2991">
        <v>1.687301E7</v>
      </c>
      <c r="Q2991" t="s">
        <v>435</v>
      </c>
      <c r="R2991" s="5"/>
      <c r="S2991" s="5"/>
      <c r="T2991" s="5"/>
      <c r="U2991" s="5"/>
      <c r="V2991" s="5"/>
      <c r="W2991" s="5"/>
      <c r="X2991" s="5"/>
      <c r="Y2991" s="5"/>
      <c r="Z2991" s="5"/>
      <c r="AA2991" s="5"/>
      <c r="AB2991" s="5"/>
      <c r="AC2991" s="5"/>
      <c r="AD2991" s="5"/>
      <c r="AE2991" s="5"/>
      <c r="AF2991" s="5"/>
      <c r="AG2991" s="5"/>
    </row>
    <row r="2992" ht="15.75" customHeight="1">
      <c r="K2992" t="s">
        <v>5223</v>
      </c>
      <c r="L2992" t="str">
        <f>F189</f>
        <v>H3a2a2</v>
      </c>
      <c r="N2992" t="s">
        <v>5224</v>
      </c>
      <c r="O2992">
        <v>1.9350404E7</v>
      </c>
      <c r="P2992">
        <v>1.7238524E7</v>
      </c>
      <c r="Q2992" t="s">
        <v>423</v>
      </c>
      <c r="R2992" s="5"/>
      <c r="S2992" s="5"/>
      <c r="T2992" s="5"/>
      <c r="U2992" s="5"/>
      <c r="V2992" s="5"/>
      <c r="W2992" s="5"/>
      <c r="X2992" s="5"/>
      <c r="Y2992" s="5"/>
      <c r="Z2992" s="5"/>
      <c r="AA2992" s="5"/>
      <c r="AB2992" s="5"/>
      <c r="AC2992" s="5"/>
      <c r="AD2992" s="5"/>
      <c r="AE2992" s="5"/>
      <c r="AF2992" s="5"/>
      <c r="AG2992" s="5"/>
    </row>
    <row r="2993" ht="15.75" customHeight="1">
      <c r="K2993" t="s">
        <v>5225</v>
      </c>
      <c r="L2993" t="str">
        <f>F189</f>
        <v>H3a2a2</v>
      </c>
      <c r="N2993" t="s">
        <v>5226</v>
      </c>
      <c r="O2993">
        <v>1.9507144E7</v>
      </c>
      <c r="P2993">
        <v>1.7395264E7</v>
      </c>
      <c r="Q2993" t="s">
        <v>435</v>
      </c>
      <c r="R2993" s="5"/>
      <c r="S2993" s="5"/>
      <c r="T2993" s="5"/>
      <c r="U2993" s="5"/>
      <c r="V2993" s="5"/>
      <c r="W2993" s="5"/>
      <c r="X2993" s="5"/>
      <c r="Y2993" s="5"/>
      <c r="Z2993" s="5"/>
      <c r="AA2993" s="5"/>
      <c r="AB2993" s="5"/>
      <c r="AC2993" s="5"/>
      <c r="AD2993" s="5"/>
      <c r="AE2993" s="5"/>
      <c r="AF2993" s="5"/>
      <c r="AG2993" s="5"/>
    </row>
    <row r="2994" ht="15.75" customHeight="1">
      <c r="K2994" t="s">
        <v>5227</v>
      </c>
      <c r="L2994" t="str">
        <f>F189</f>
        <v>H3a2a2</v>
      </c>
      <c r="N2994" t="s">
        <v>5228</v>
      </c>
      <c r="O2994">
        <v>2.1111777E7</v>
      </c>
      <c r="P2994">
        <v>1.8949891E7</v>
      </c>
      <c r="Q2994" t="s">
        <v>423</v>
      </c>
      <c r="R2994" s="5"/>
      <c r="S2994" s="5"/>
      <c r="T2994" s="5"/>
      <c r="U2994" s="5"/>
      <c r="V2994" s="5"/>
      <c r="W2994" s="5"/>
      <c r="X2994" s="5"/>
      <c r="Y2994" s="5"/>
      <c r="Z2994" s="5"/>
      <c r="AA2994" s="5"/>
      <c r="AB2994" s="5"/>
      <c r="AC2994" s="5"/>
      <c r="AD2994" s="5"/>
      <c r="AE2994" s="5"/>
      <c r="AF2994" s="5"/>
      <c r="AG2994" s="5"/>
    </row>
    <row r="2995" ht="15.75" customHeight="1">
      <c r="K2995" t="s">
        <v>5229</v>
      </c>
      <c r="L2995" t="str">
        <f>F189</f>
        <v>H3a2a2</v>
      </c>
      <c r="N2995" t="s">
        <v>5230</v>
      </c>
      <c r="O2995">
        <v>2.1295158E7</v>
      </c>
      <c r="P2995">
        <v>1.9133272E7</v>
      </c>
      <c r="Q2995" t="s">
        <v>448</v>
      </c>
      <c r="R2995" s="5"/>
      <c r="S2995" s="5"/>
      <c r="T2995" s="5"/>
      <c r="U2995" s="5"/>
      <c r="V2995" s="5"/>
      <c r="W2995" s="5"/>
      <c r="X2995" s="5"/>
      <c r="Y2995" s="5"/>
      <c r="Z2995" s="5"/>
      <c r="AA2995" s="5"/>
      <c r="AB2995" s="5"/>
      <c r="AC2995" s="5"/>
      <c r="AD2995" s="5"/>
      <c r="AE2995" s="5"/>
      <c r="AF2995" s="5"/>
      <c r="AG2995" s="5"/>
    </row>
    <row r="2996" ht="15.75" customHeight="1">
      <c r="K2996" t="s">
        <v>5231</v>
      </c>
      <c r="L2996" t="str">
        <f>F189</f>
        <v>H3a2a2</v>
      </c>
      <c r="N2996" t="s">
        <v>5232</v>
      </c>
      <c r="O2996">
        <v>2.1295857E7</v>
      </c>
      <c r="P2996">
        <v>1.9133971E7</v>
      </c>
      <c r="Q2996" t="s">
        <v>431</v>
      </c>
      <c r="R2996" s="5"/>
      <c r="S2996" s="5"/>
      <c r="T2996" s="5"/>
      <c r="U2996" s="5"/>
      <c r="V2996" s="5"/>
      <c r="W2996" s="5"/>
      <c r="X2996" s="5"/>
      <c r="Y2996" s="5"/>
      <c r="Z2996" s="5"/>
      <c r="AA2996" s="5"/>
      <c r="AB2996" s="5"/>
      <c r="AC2996" s="5"/>
      <c r="AD2996" s="5"/>
      <c r="AE2996" s="5"/>
      <c r="AF2996" s="5"/>
      <c r="AG2996" s="5"/>
    </row>
    <row r="2997" ht="15.75" customHeight="1">
      <c r="K2997" t="s">
        <v>5233</v>
      </c>
      <c r="L2997" t="str">
        <f>F189</f>
        <v>H3a2a2</v>
      </c>
      <c r="N2997" t="s">
        <v>5234</v>
      </c>
      <c r="O2997">
        <v>2.1312307E7</v>
      </c>
      <c r="P2997">
        <v>1.9150421E7</v>
      </c>
      <c r="Q2997" t="s">
        <v>423</v>
      </c>
      <c r="R2997" s="5"/>
      <c r="S2997" s="5"/>
      <c r="T2997" s="5"/>
      <c r="U2997" s="5"/>
      <c r="V2997" s="5"/>
      <c r="W2997" s="5"/>
      <c r="X2997" s="5"/>
      <c r="Y2997" s="5"/>
      <c r="Z2997" s="5"/>
      <c r="AA2997" s="5"/>
      <c r="AB2997" s="5"/>
      <c r="AC2997" s="5"/>
      <c r="AD2997" s="5"/>
      <c r="AE2997" s="5"/>
      <c r="AF2997" s="5"/>
      <c r="AG2997" s="5"/>
    </row>
    <row r="2998" ht="15.75" customHeight="1">
      <c r="K2998" t="s">
        <v>5235</v>
      </c>
      <c r="L2998" t="str">
        <f>F189</f>
        <v>H3a2a2</v>
      </c>
      <c r="N2998" t="s">
        <v>5236</v>
      </c>
      <c r="O2998">
        <v>2.1940265E7</v>
      </c>
      <c r="P2998">
        <v>1.9778379E7</v>
      </c>
      <c r="Q2998" t="s">
        <v>435</v>
      </c>
      <c r="R2998" s="5"/>
      <c r="S2998" s="5"/>
      <c r="T2998" s="5"/>
      <c r="U2998" s="5"/>
      <c r="V2998" s="5"/>
      <c r="W2998" s="5"/>
      <c r="X2998" s="5"/>
      <c r="Y2998" s="5"/>
      <c r="Z2998" s="5"/>
      <c r="AA2998" s="5"/>
      <c r="AB2998" s="5"/>
      <c r="AC2998" s="5"/>
      <c r="AD2998" s="5"/>
      <c r="AE2998" s="5"/>
      <c r="AF2998" s="5"/>
      <c r="AG2998" s="5"/>
    </row>
    <row r="2999" ht="15.75" customHeight="1">
      <c r="K2999" t="s">
        <v>5237</v>
      </c>
      <c r="L2999" t="str">
        <f>F189</f>
        <v>H3a2a2</v>
      </c>
      <c r="N2999" t="s">
        <v>5238</v>
      </c>
      <c r="O2999">
        <v>2.1969081E7</v>
      </c>
      <c r="P2999">
        <v>1.9807195E7</v>
      </c>
      <c r="Q2999" t="s">
        <v>452</v>
      </c>
      <c r="R2999" s="5"/>
      <c r="S2999" s="5"/>
      <c r="T2999" s="5"/>
      <c r="U2999" s="5"/>
      <c r="V2999" s="5"/>
      <c r="W2999" s="5"/>
      <c r="X2999" s="5"/>
      <c r="Y2999" s="5"/>
      <c r="Z2999" s="5"/>
      <c r="AA2999" s="5"/>
      <c r="AB2999" s="5"/>
      <c r="AC2999" s="5"/>
      <c r="AD2999" s="5"/>
      <c r="AE2999" s="5"/>
      <c r="AF2999" s="5"/>
      <c r="AG2999" s="5"/>
    </row>
    <row r="3000" ht="15.75" customHeight="1">
      <c r="K3000" t="s">
        <v>5239</v>
      </c>
      <c r="L3000" t="str">
        <f>F189</f>
        <v>H3a2a2</v>
      </c>
      <c r="N3000" t="s">
        <v>5240</v>
      </c>
      <c r="O3000">
        <v>2.2168457E7</v>
      </c>
      <c r="P3000">
        <v>2.0006571E7</v>
      </c>
      <c r="Q3000" t="s">
        <v>427</v>
      </c>
      <c r="R3000" s="5"/>
      <c r="S3000" s="5"/>
      <c r="T3000" s="5"/>
      <c r="U3000" s="5"/>
      <c r="V3000" s="5"/>
      <c r="W3000" s="5"/>
      <c r="X3000" s="5"/>
      <c r="Y3000" s="5"/>
      <c r="Z3000" s="5"/>
      <c r="AA3000" s="5"/>
      <c r="AB3000" s="5"/>
      <c r="AC3000" s="5"/>
      <c r="AD3000" s="5"/>
      <c r="AE3000" s="5"/>
      <c r="AF3000" s="5"/>
      <c r="AG3000" s="5"/>
    </row>
    <row r="3001" ht="15.75" customHeight="1">
      <c r="K3001" t="s">
        <v>5241</v>
      </c>
      <c r="L3001" t="str">
        <f>F189</f>
        <v>H3a2a2</v>
      </c>
      <c r="N3001" t="s">
        <v>5242</v>
      </c>
      <c r="O3001">
        <v>2.3506633E7</v>
      </c>
      <c r="P3001">
        <v>2.1344747E7</v>
      </c>
      <c r="Q3001" t="s">
        <v>435</v>
      </c>
      <c r="R3001" s="5"/>
      <c r="S3001" s="5"/>
      <c r="T3001" s="5"/>
      <c r="U3001" s="5"/>
      <c r="V3001" s="5"/>
      <c r="W3001" s="5"/>
      <c r="X3001" s="5"/>
      <c r="Y3001" s="5"/>
      <c r="Z3001" s="5"/>
      <c r="AA3001" s="5"/>
      <c r="AB3001" s="5"/>
      <c r="AC3001" s="5"/>
      <c r="AD3001" s="5"/>
      <c r="AE3001" s="5"/>
      <c r="AF3001" s="5"/>
      <c r="AG3001" s="5"/>
    </row>
    <row r="3002" ht="15.75" customHeight="1">
      <c r="K3002" t="s">
        <v>5243</v>
      </c>
      <c r="L3002" t="str">
        <f>F189</f>
        <v>H3a2a2</v>
      </c>
      <c r="N3002" t="s">
        <v>5244</v>
      </c>
      <c r="O3002">
        <v>2.3968303E7</v>
      </c>
      <c r="P3002">
        <v>2.1822156E7</v>
      </c>
      <c r="Q3002" t="s">
        <v>431</v>
      </c>
      <c r="R3002" s="5"/>
      <c r="S3002" s="5"/>
      <c r="T3002" s="5"/>
      <c r="U3002" s="5"/>
      <c r="V3002" s="5"/>
      <c r="W3002" s="5"/>
      <c r="X3002" s="5"/>
      <c r="Y3002" s="5"/>
      <c r="Z3002" s="5"/>
      <c r="AA3002" s="5"/>
      <c r="AB3002" s="5"/>
      <c r="AC3002" s="5"/>
      <c r="AD3002" s="5"/>
      <c r="AE3002" s="5"/>
      <c r="AF3002" s="5"/>
      <c r="AG3002" s="5"/>
    </row>
    <row r="3003" ht="15.75" customHeight="1">
      <c r="K3003" t="s">
        <v>5245</v>
      </c>
      <c r="L3003" t="str">
        <f>F189</f>
        <v>H3a2a2</v>
      </c>
      <c r="N3003" t="s">
        <v>5246</v>
      </c>
      <c r="O3003">
        <v>2.8748707E7</v>
      </c>
      <c r="P3003">
        <v>2.660256E7</v>
      </c>
      <c r="Q3003" t="s">
        <v>423</v>
      </c>
      <c r="R3003" s="5"/>
      <c r="S3003" s="5"/>
      <c r="T3003" s="5"/>
      <c r="U3003" s="5"/>
      <c r="V3003" s="5"/>
      <c r="W3003" s="5"/>
      <c r="X3003" s="5"/>
      <c r="Y3003" s="5"/>
      <c r="Z3003" s="5"/>
      <c r="AA3003" s="5"/>
      <c r="AB3003" s="5"/>
      <c r="AC3003" s="5"/>
      <c r="AD3003" s="5"/>
      <c r="AE3003" s="5"/>
      <c r="AF3003" s="5"/>
      <c r="AG3003" s="5"/>
    </row>
    <row r="3004" ht="15.75" customHeight="1">
      <c r="K3004" t="s">
        <v>5247</v>
      </c>
      <c r="L3004" t="str">
        <f>F189</f>
        <v>H3a2a2</v>
      </c>
      <c r="O3004">
        <v>2.8788341E7</v>
      </c>
      <c r="P3004">
        <v>2.6642194E7</v>
      </c>
      <c r="Q3004" t="s">
        <v>452</v>
      </c>
      <c r="R3004" s="5"/>
      <c r="S3004" s="5"/>
      <c r="T3004" s="5"/>
      <c r="U3004" s="5"/>
      <c r="V3004" s="5"/>
      <c r="W3004" s="5"/>
      <c r="X3004" s="5"/>
      <c r="Y3004" s="5"/>
      <c r="Z3004" s="5"/>
      <c r="AA3004" s="5"/>
      <c r="AB3004" s="5"/>
      <c r="AC3004" s="5"/>
      <c r="AD3004" s="5"/>
      <c r="AE3004" s="5"/>
      <c r="AF3004" s="5"/>
      <c r="AG3004" s="5"/>
    </row>
    <row r="3005" ht="15.75" customHeight="1">
      <c r="K3005" t="s">
        <v>5248</v>
      </c>
      <c r="L3005" t="str">
        <f>F189</f>
        <v>H3a2a2</v>
      </c>
      <c r="N3005" t="s">
        <v>5249</v>
      </c>
      <c r="O3005">
        <v>2.8788525E7</v>
      </c>
      <c r="P3005">
        <v>2.6642378E7</v>
      </c>
      <c r="Q3005" t="s">
        <v>431</v>
      </c>
      <c r="R3005" s="5"/>
      <c r="S3005" s="5"/>
      <c r="T3005" s="5"/>
      <c r="U3005" s="5"/>
      <c r="V3005" s="5"/>
      <c r="W3005" s="5"/>
      <c r="X3005" s="5"/>
      <c r="Y3005" s="5"/>
      <c r="Z3005" s="5"/>
      <c r="AA3005" s="5"/>
      <c r="AB3005" s="5"/>
      <c r="AC3005" s="5"/>
      <c r="AD3005" s="5"/>
      <c r="AE3005" s="5"/>
      <c r="AF3005" s="5"/>
      <c r="AG3005" s="5"/>
    </row>
    <row r="3006" ht="15.75" customHeight="1">
      <c r="K3006" t="s">
        <v>5250</v>
      </c>
      <c r="L3006" t="str">
        <f>G190</f>
        <v>H3a2a2a~</v>
      </c>
      <c r="N3006" t="s">
        <v>5251</v>
      </c>
      <c r="O3006">
        <v>6945141.0</v>
      </c>
      <c r="P3006">
        <v>7077100.0</v>
      </c>
      <c r="Q3006" t="s">
        <v>423</v>
      </c>
      <c r="R3006" s="5"/>
      <c r="S3006" s="5"/>
      <c r="T3006" s="5"/>
      <c r="U3006" s="5"/>
      <c r="V3006" s="5"/>
      <c r="W3006" s="5"/>
      <c r="X3006" s="5"/>
      <c r="Y3006" s="5"/>
      <c r="Z3006" s="5"/>
      <c r="AA3006" s="5"/>
      <c r="AB3006" s="5"/>
      <c r="AC3006" s="5"/>
      <c r="AD3006" s="5"/>
      <c r="AE3006" s="5"/>
      <c r="AF3006" s="5"/>
      <c r="AG3006" s="5"/>
    </row>
    <row r="3007" ht="15.75" customHeight="1">
      <c r="K3007" t="s">
        <v>5252</v>
      </c>
      <c r="L3007" t="str">
        <f t="shared" ref="L3007:L3008" si="56">G190</f>
        <v>H3a2a2a~</v>
      </c>
      <c r="N3007" t="s">
        <v>5253</v>
      </c>
      <c r="O3007">
        <v>7695290.0</v>
      </c>
      <c r="P3007">
        <v>7827249.0</v>
      </c>
      <c r="Q3007" t="s">
        <v>476</v>
      </c>
      <c r="R3007" s="5"/>
      <c r="S3007" s="5"/>
      <c r="T3007" s="5"/>
      <c r="U3007" s="5"/>
      <c r="V3007" s="5"/>
      <c r="W3007" s="5"/>
      <c r="X3007" s="5"/>
      <c r="Y3007" s="5"/>
      <c r="Z3007" s="5"/>
      <c r="AA3007" s="5"/>
      <c r="AB3007" s="5"/>
      <c r="AC3007" s="5"/>
      <c r="AD3007" s="5"/>
      <c r="AE3007" s="5"/>
      <c r="AF3007" s="5"/>
      <c r="AG3007" s="5"/>
    </row>
    <row r="3008" ht="15.75" customHeight="1">
      <c r="K3008" t="s">
        <v>5254</v>
      </c>
      <c r="L3008" t="str">
        <f t="shared" si="56"/>
        <v>H3a2a2b~</v>
      </c>
      <c r="N3008" t="s">
        <v>5255</v>
      </c>
      <c r="O3008">
        <v>6661253.0</v>
      </c>
      <c r="P3008">
        <v>6793212.0</v>
      </c>
      <c r="Q3008" t="s">
        <v>435</v>
      </c>
      <c r="R3008" s="5"/>
      <c r="S3008" s="5"/>
      <c r="T3008" s="5"/>
      <c r="U3008" s="5"/>
      <c r="V3008" s="5"/>
      <c r="W3008" s="5"/>
      <c r="X3008" s="5"/>
      <c r="Y3008" s="5"/>
      <c r="Z3008" s="5"/>
      <c r="AA3008" s="5"/>
      <c r="AB3008" s="5"/>
      <c r="AC3008" s="5"/>
      <c r="AD3008" s="5"/>
      <c r="AE3008" s="5"/>
      <c r="AF3008" s="5"/>
      <c r="AG3008" s="5"/>
    </row>
    <row r="3009" ht="15.75" customHeight="1">
      <c r="K3009" t="s">
        <v>5256</v>
      </c>
      <c r="L3009" t="str">
        <f>G191</f>
        <v>H3a2a2b~</v>
      </c>
      <c r="N3009" t="s">
        <v>5257</v>
      </c>
      <c r="O3009">
        <v>6823950.0</v>
      </c>
      <c r="P3009">
        <v>6955909.0</v>
      </c>
      <c r="Q3009" t="s">
        <v>423</v>
      </c>
      <c r="R3009" s="5"/>
      <c r="S3009" s="5"/>
      <c r="T3009" s="5"/>
      <c r="U3009" s="5"/>
      <c r="V3009" s="5"/>
      <c r="W3009" s="5"/>
      <c r="X3009" s="5"/>
      <c r="Y3009" s="5"/>
      <c r="Z3009" s="5"/>
      <c r="AA3009" s="5"/>
      <c r="AB3009" s="5"/>
      <c r="AC3009" s="5"/>
      <c r="AD3009" s="5"/>
      <c r="AE3009" s="5"/>
      <c r="AF3009" s="5"/>
      <c r="AG3009" s="5"/>
    </row>
    <row r="3010" ht="15.75" customHeight="1">
      <c r="K3010" t="s">
        <v>5258</v>
      </c>
      <c r="L3010" t="str">
        <f>G191</f>
        <v>H3a2a2b~</v>
      </c>
      <c r="N3010" t="s">
        <v>5259</v>
      </c>
      <c r="O3010">
        <v>6871965.0</v>
      </c>
      <c r="P3010">
        <v>7003924.0</v>
      </c>
      <c r="Q3010" t="s">
        <v>419</v>
      </c>
      <c r="R3010" s="5"/>
      <c r="S3010" s="5"/>
      <c r="T3010" s="5"/>
      <c r="U3010" s="5"/>
      <c r="V3010" s="5"/>
      <c r="W3010" s="5"/>
      <c r="X3010" s="5"/>
      <c r="Y3010" s="5"/>
      <c r="Z3010" s="5"/>
      <c r="AA3010" s="5"/>
      <c r="AB3010" s="5"/>
      <c r="AC3010" s="5"/>
      <c r="AD3010" s="5"/>
      <c r="AE3010" s="5"/>
      <c r="AF3010" s="5"/>
      <c r="AG3010" s="5"/>
    </row>
    <row r="3011" ht="15.75" customHeight="1">
      <c r="K3011" t="s">
        <v>5260</v>
      </c>
      <c r="L3011" t="str">
        <f>G191</f>
        <v>H3a2a2b~</v>
      </c>
      <c r="N3011" t="s">
        <v>5261</v>
      </c>
      <c r="O3011">
        <v>6935144.0</v>
      </c>
      <c r="P3011">
        <v>7067103.0</v>
      </c>
      <c r="Q3011" t="s">
        <v>419</v>
      </c>
      <c r="R3011" s="5"/>
      <c r="S3011" s="5"/>
      <c r="T3011" s="5"/>
      <c r="U3011" s="5"/>
      <c r="V3011" s="5"/>
      <c r="W3011" s="5"/>
      <c r="X3011" s="5"/>
      <c r="Y3011" s="5"/>
      <c r="Z3011" s="5"/>
      <c r="AA3011" s="5"/>
      <c r="AB3011" s="5"/>
      <c r="AC3011" s="5"/>
      <c r="AD3011" s="5"/>
      <c r="AE3011" s="5"/>
      <c r="AF3011" s="5"/>
      <c r="AG3011" s="5"/>
    </row>
    <row r="3012" ht="15.75" customHeight="1">
      <c r="K3012" t="s">
        <v>5262</v>
      </c>
      <c r="L3012" t="str">
        <f>E192</f>
        <v>H3a2b</v>
      </c>
      <c r="N3012" t="s">
        <v>5263</v>
      </c>
      <c r="O3012">
        <v>2772101.0</v>
      </c>
      <c r="P3012">
        <v>2904060.0</v>
      </c>
      <c r="Q3012" t="s">
        <v>431</v>
      </c>
      <c r="R3012" s="5"/>
      <c r="S3012" s="5"/>
      <c r="T3012" s="5"/>
      <c r="U3012" s="5"/>
      <c r="V3012" s="5"/>
      <c r="W3012" s="5"/>
      <c r="X3012" s="5"/>
      <c r="Y3012" s="5"/>
      <c r="Z3012" s="5"/>
      <c r="AA3012" s="5"/>
      <c r="AB3012" s="5"/>
      <c r="AC3012" s="5"/>
      <c r="AD3012" s="5"/>
      <c r="AE3012" s="5"/>
      <c r="AF3012" s="5"/>
      <c r="AG3012" s="5"/>
    </row>
    <row r="3013" ht="15.75" customHeight="1">
      <c r="K3013" t="s">
        <v>5264</v>
      </c>
      <c r="L3013" t="str">
        <f>E192</f>
        <v>H3a2b</v>
      </c>
      <c r="N3013" t="s">
        <v>5265</v>
      </c>
      <c r="O3013">
        <v>2.1135728E7</v>
      </c>
      <c r="P3013">
        <v>1.8973842E7</v>
      </c>
      <c r="Q3013" t="s">
        <v>435</v>
      </c>
      <c r="R3013" s="5"/>
      <c r="S3013" s="5"/>
      <c r="T3013" s="5"/>
      <c r="U3013" s="5"/>
      <c r="V3013" s="5"/>
      <c r="W3013" s="5"/>
      <c r="X3013" s="5"/>
      <c r="Y3013" s="5"/>
      <c r="Z3013" s="5"/>
      <c r="AA3013" s="5"/>
      <c r="AB3013" s="5"/>
      <c r="AC3013" s="5"/>
      <c r="AD3013" s="5"/>
      <c r="AE3013" s="5"/>
      <c r="AF3013" s="5"/>
      <c r="AG3013" s="5"/>
    </row>
    <row r="3014" ht="15.75" customHeight="1">
      <c r="K3014" t="s">
        <v>5266</v>
      </c>
      <c r="L3014" t="str">
        <f>E192</f>
        <v>H3a2b</v>
      </c>
      <c r="N3014" t="s">
        <v>5267</v>
      </c>
      <c r="O3014">
        <v>2740797.0</v>
      </c>
      <c r="P3014">
        <v>2872756.0</v>
      </c>
      <c r="Q3014" t="s">
        <v>476</v>
      </c>
      <c r="R3014" s="5"/>
      <c r="S3014" s="5"/>
      <c r="T3014" s="5"/>
      <c r="U3014" s="5"/>
      <c r="V3014" s="5"/>
      <c r="W3014" s="5"/>
      <c r="X3014" s="5"/>
      <c r="Y3014" s="5"/>
      <c r="Z3014" s="5"/>
      <c r="AA3014" s="5"/>
      <c r="AB3014" s="5"/>
      <c r="AC3014" s="5"/>
      <c r="AD3014" s="5"/>
      <c r="AE3014" s="5"/>
      <c r="AF3014" s="5"/>
      <c r="AG3014" s="5"/>
    </row>
    <row r="3015" ht="15.75" customHeight="1">
      <c r="K3015" t="s">
        <v>5268</v>
      </c>
      <c r="L3015" t="str">
        <f>E192</f>
        <v>H3a2b</v>
      </c>
      <c r="N3015" t="s">
        <v>5269</v>
      </c>
      <c r="O3015">
        <v>2778332.0</v>
      </c>
      <c r="P3015">
        <v>2910291.0</v>
      </c>
      <c r="Q3015" t="s">
        <v>431</v>
      </c>
      <c r="R3015" s="5"/>
      <c r="S3015" s="5"/>
      <c r="T3015" s="5"/>
      <c r="U3015" s="5"/>
      <c r="V3015" s="5"/>
      <c r="W3015" s="5"/>
      <c r="X3015" s="5"/>
      <c r="Y3015" s="5"/>
      <c r="Z3015" s="5"/>
      <c r="AA3015" s="5"/>
      <c r="AB3015" s="5"/>
      <c r="AC3015" s="5"/>
      <c r="AD3015" s="5"/>
      <c r="AE3015" s="5"/>
      <c r="AF3015" s="5"/>
      <c r="AG3015" s="5"/>
    </row>
    <row r="3016" ht="15.75" customHeight="1">
      <c r="K3016" t="s">
        <v>5270</v>
      </c>
      <c r="L3016" t="str">
        <f>E192</f>
        <v>H3a2b</v>
      </c>
      <c r="N3016" t="s">
        <v>5271</v>
      </c>
      <c r="O3016">
        <v>6766724.0</v>
      </c>
      <c r="P3016">
        <v>6898683.0</v>
      </c>
      <c r="Q3016" t="s">
        <v>419</v>
      </c>
      <c r="R3016" s="5"/>
      <c r="S3016" s="5"/>
      <c r="T3016" s="5"/>
      <c r="U3016" s="5"/>
      <c r="V3016" s="5"/>
      <c r="W3016" s="5"/>
      <c r="X3016" s="5"/>
      <c r="Y3016" s="5"/>
      <c r="Z3016" s="5"/>
      <c r="AA3016" s="5"/>
      <c r="AB3016" s="5"/>
      <c r="AC3016" s="5"/>
      <c r="AD3016" s="5"/>
      <c r="AE3016" s="5"/>
      <c r="AF3016" s="5"/>
      <c r="AG3016" s="5"/>
    </row>
    <row r="3017" ht="15.75" customHeight="1">
      <c r="K3017" t="s">
        <v>5272</v>
      </c>
      <c r="L3017" t="str">
        <f>E192</f>
        <v>H3a2b</v>
      </c>
      <c r="N3017" t="s">
        <v>5273</v>
      </c>
      <c r="O3017">
        <v>6773825.0</v>
      </c>
      <c r="P3017">
        <v>6905784.0</v>
      </c>
      <c r="Q3017" t="s">
        <v>419</v>
      </c>
      <c r="R3017" s="5"/>
      <c r="S3017" s="5"/>
      <c r="T3017" s="5"/>
      <c r="U3017" s="5"/>
      <c r="V3017" s="5"/>
      <c r="W3017" s="5"/>
      <c r="X3017" s="5"/>
      <c r="Y3017" s="5"/>
      <c r="Z3017" s="5"/>
      <c r="AA3017" s="5"/>
      <c r="AB3017" s="5"/>
      <c r="AC3017" s="5"/>
      <c r="AD3017" s="5"/>
      <c r="AE3017" s="5"/>
      <c r="AF3017" s="5"/>
      <c r="AG3017" s="5"/>
    </row>
    <row r="3018" ht="15.75" customHeight="1">
      <c r="K3018" t="s">
        <v>5274</v>
      </c>
      <c r="L3018" t="str">
        <f>E192</f>
        <v>H3a2b</v>
      </c>
      <c r="N3018" t="s">
        <v>5275</v>
      </c>
      <c r="O3018">
        <v>6812309.0</v>
      </c>
      <c r="P3018">
        <v>6944268.0</v>
      </c>
      <c r="Q3018" t="s">
        <v>419</v>
      </c>
      <c r="R3018" s="5"/>
      <c r="S3018" s="5"/>
      <c r="T3018" s="5"/>
      <c r="U3018" s="5"/>
      <c r="V3018" s="5"/>
      <c r="W3018" s="5"/>
      <c r="X3018" s="5"/>
      <c r="Y3018" s="5"/>
      <c r="Z3018" s="5"/>
      <c r="AA3018" s="5"/>
      <c r="AB3018" s="5"/>
      <c r="AC3018" s="5"/>
      <c r="AD3018" s="5"/>
      <c r="AE3018" s="5"/>
      <c r="AF3018" s="5"/>
      <c r="AG3018" s="5"/>
    </row>
    <row r="3019" ht="15.75" customHeight="1">
      <c r="K3019" t="s">
        <v>5276</v>
      </c>
      <c r="L3019" t="str">
        <f>E192</f>
        <v>H3a2b</v>
      </c>
      <c r="N3019" t="s">
        <v>5277</v>
      </c>
      <c r="O3019">
        <v>6900465.0</v>
      </c>
      <c r="P3019">
        <v>7032424.0</v>
      </c>
      <c r="Q3019" t="s">
        <v>459</v>
      </c>
      <c r="R3019" s="5"/>
      <c r="S3019" s="5"/>
      <c r="T3019" s="5"/>
      <c r="U3019" s="5"/>
      <c r="V3019" s="5"/>
      <c r="W3019" s="5"/>
      <c r="X3019" s="5"/>
      <c r="Y3019" s="5"/>
      <c r="Z3019" s="5"/>
      <c r="AA3019" s="5"/>
      <c r="AB3019" s="5"/>
      <c r="AC3019" s="5"/>
      <c r="AD3019" s="5"/>
      <c r="AE3019" s="5"/>
      <c r="AF3019" s="5"/>
      <c r="AG3019" s="5"/>
    </row>
    <row r="3020" ht="15.75" customHeight="1">
      <c r="K3020" t="s">
        <v>5278</v>
      </c>
      <c r="L3020" t="str">
        <f>E192</f>
        <v>H3a2b</v>
      </c>
      <c r="N3020" t="s">
        <v>5279</v>
      </c>
      <c r="O3020">
        <v>6960519.0</v>
      </c>
      <c r="P3020">
        <v>7092478.0</v>
      </c>
      <c r="Q3020" t="s">
        <v>459</v>
      </c>
      <c r="R3020" s="5"/>
      <c r="S3020" s="5"/>
      <c r="T3020" s="5"/>
      <c r="U3020" s="5"/>
      <c r="V3020" s="5"/>
      <c r="W3020" s="5"/>
      <c r="X3020" s="5"/>
      <c r="Y3020" s="5"/>
      <c r="Z3020" s="5"/>
      <c r="AA3020" s="5"/>
      <c r="AB3020" s="5"/>
      <c r="AC3020" s="5"/>
      <c r="AD3020" s="5"/>
      <c r="AE3020" s="5"/>
      <c r="AF3020" s="5"/>
      <c r="AG3020" s="5"/>
    </row>
    <row r="3021" ht="15.75" customHeight="1">
      <c r="K3021" t="s">
        <v>5280</v>
      </c>
      <c r="L3021" t="str">
        <f>E192</f>
        <v>H3a2b</v>
      </c>
      <c r="N3021" t="s">
        <v>5281</v>
      </c>
      <c r="O3021">
        <v>7086870.0</v>
      </c>
      <c r="P3021">
        <v>7218829.0</v>
      </c>
      <c r="Q3021" t="s">
        <v>419</v>
      </c>
      <c r="R3021" s="5"/>
      <c r="S3021" s="5"/>
      <c r="T3021" s="5"/>
      <c r="U3021" s="5"/>
      <c r="V3021" s="5"/>
      <c r="W3021" s="5"/>
      <c r="X3021" s="5"/>
      <c r="Y3021" s="5"/>
      <c r="Z3021" s="5"/>
      <c r="AA3021" s="5"/>
      <c r="AB3021" s="5"/>
      <c r="AC3021" s="5"/>
      <c r="AD3021" s="5"/>
      <c r="AE3021" s="5"/>
      <c r="AF3021" s="5"/>
      <c r="AG3021" s="5"/>
    </row>
    <row r="3022" ht="15.75" customHeight="1">
      <c r="K3022" t="s">
        <v>5282</v>
      </c>
      <c r="L3022" t="str">
        <f>E192</f>
        <v>H3a2b</v>
      </c>
      <c r="O3022">
        <v>7123666.0</v>
      </c>
      <c r="P3022">
        <v>7255625.0</v>
      </c>
      <c r="Q3022" t="s">
        <v>459</v>
      </c>
      <c r="R3022" s="5"/>
      <c r="S3022" s="5"/>
      <c r="T3022" s="5"/>
      <c r="U3022" s="5"/>
      <c r="V3022" s="5"/>
      <c r="W3022" s="5"/>
      <c r="X3022" s="5"/>
      <c r="Y3022" s="5"/>
      <c r="Z3022" s="5"/>
      <c r="AA3022" s="5"/>
      <c r="AB3022" s="5"/>
      <c r="AC3022" s="5"/>
      <c r="AD3022" s="5"/>
      <c r="AE3022" s="5"/>
      <c r="AF3022" s="5"/>
      <c r="AG3022" s="5"/>
    </row>
    <row r="3023" ht="15.75" customHeight="1">
      <c r="K3023" t="s">
        <v>5283</v>
      </c>
      <c r="L3023" t="str">
        <f>E192</f>
        <v>H3a2b</v>
      </c>
      <c r="N3023" t="s">
        <v>5284</v>
      </c>
      <c r="O3023">
        <v>7279152.0</v>
      </c>
      <c r="P3023">
        <v>7411111.0</v>
      </c>
      <c r="Q3023" t="s">
        <v>427</v>
      </c>
      <c r="R3023" s="5"/>
      <c r="S3023" s="5"/>
      <c r="T3023" s="5"/>
      <c r="U3023" s="5"/>
      <c r="V3023" s="5"/>
      <c r="W3023" s="5"/>
      <c r="X3023" s="5"/>
      <c r="Y3023" s="5"/>
      <c r="Z3023" s="5"/>
      <c r="AA3023" s="5"/>
      <c r="AB3023" s="5"/>
      <c r="AC3023" s="5"/>
      <c r="AD3023" s="5"/>
      <c r="AE3023" s="5"/>
      <c r="AF3023" s="5"/>
      <c r="AG3023" s="5"/>
    </row>
    <row r="3024" ht="15.75" customHeight="1">
      <c r="K3024" t="s">
        <v>5285</v>
      </c>
      <c r="L3024" t="str">
        <f>E192</f>
        <v>H3a2b</v>
      </c>
      <c r="N3024" t="s">
        <v>5286</v>
      </c>
      <c r="O3024">
        <v>7397885.0</v>
      </c>
      <c r="P3024">
        <v>7529844.0</v>
      </c>
      <c r="Q3024" t="s">
        <v>435</v>
      </c>
      <c r="R3024" s="5"/>
      <c r="S3024" s="5"/>
      <c r="T3024" s="5"/>
      <c r="U3024" s="5"/>
      <c r="V3024" s="5"/>
      <c r="W3024" s="5"/>
      <c r="X3024" s="5"/>
      <c r="Y3024" s="5"/>
      <c r="Z3024" s="5"/>
      <c r="AA3024" s="5"/>
      <c r="AB3024" s="5"/>
      <c r="AC3024" s="5"/>
      <c r="AD3024" s="5"/>
      <c r="AE3024" s="5"/>
      <c r="AF3024" s="5"/>
      <c r="AG3024" s="5"/>
    </row>
    <row r="3025" ht="15.75" customHeight="1">
      <c r="K3025" t="s">
        <v>5287</v>
      </c>
      <c r="L3025" t="str">
        <f>E192</f>
        <v>H3a2b</v>
      </c>
      <c r="N3025" t="s">
        <v>5288</v>
      </c>
      <c r="O3025">
        <v>7559020.0</v>
      </c>
      <c r="P3025">
        <v>7690979.0</v>
      </c>
      <c r="Q3025" t="s">
        <v>553</v>
      </c>
      <c r="R3025" s="5"/>
      <c r="S3025" s="5"/>
      <c r="T3025" s="5"/>
      <c r="U3025" s="5"/>
      <c r="V3025" s="5"/>
      <c r="W3025" s="5"/>
      <c r="X3025" s="5"/>
      <c r="Y3025" s="5"/>
      <c r="Z3025" s="5"/>
      <c r="AA3025" s="5"/>
      <c r="AB3025" s="5"/>
      <c r="AC3025" s="5"/>
      <c r="AD3025" s="5"/>
      <c r="AE3025" s="5"/>
      <c r="AF3025" s="5"/>
      <c r="AG3025" s="5"/>
    </row>
    <row r="3026" ht="15.75" customHeight="1">
      <c r="K3026" t="s">
        <v>5289</v>
      </c>
      <c r="L3026" t="str">
        <f>E192</f>
        <v>H3a2b</v>
      </c>
      <c r="N3026" t="s">
        <v>5290</v>
      </c>
      <c r="O3026">
        <v>7578436.0</v>
      </c>
      <c r="P3026">
        <v>7710395.0</v>
      </c>
      <c r="Q3026" t="s">
        <v>419</v>
      </c>
      <c r="R3026" s="5"/>
      <c r="S3026" s="5"/>
      <c r="T3026" s="5"/>
      <c r="U3026" s="5"/>
      <c r="V3026" s="5"/>
      <c r="W3026" s="5"/>
      <c r="X3026" s="5"/>
      <c r="Y3026" s="5"/>
      <c r="Z3026" s="5"/>
      <c r="AA3026" s="5"/>
      <c r="AB3026" s="5"/>
      <c r="AC3026" s="5"/>
      <c r="AD3026" s="5"/>
      <c r="AE3026" s="5"/>
      <c r="AF3026" s="5"/>
      <c r="AG3026" s="5"/>
    </row>
    <row r="3027" ht="15.75" customHeight="1">
      <c r="K3027" t="s">
        <v>5291</v>
      </c>
      <c r="L3027" t="str">
        <f>E192</f>
        <v>H3a2b</v>
      </c>
      <c r="N3027" t="s">
        <v>5292</v>
      </c>
      <c r="O3027">
        <v>7761427.0</v>
      </c>
      <c r="P3027">
        <v>7893386.0</v>
      </c>
      <c r="Q3027" t="s">
        <v>419</v>
      </c>
      <c r="R3027" s="5"/>
      <c r="S3027" s="5"/>
      <c r="T3027" s="5"/>
      <c r="U3027" s="5"/>
      <c r="V3027" s="5"/>
      <c r="W3027" s="5"/>
      <c r="X3027" s="5"/>
      <c r="Y3027" s="5"/>
      <c r="Z3027" s="5"/>
      <c r="AA3027" s="5"/>
      <c r="AB3027" s="5"/>
      <c r="AC3027" s="5"/>
      <c r="AD3027" s="5"/>
      <c r="AE3027" s="5"/>
      <c r="AF3027" s="5"/>
      <c r="AG3027" s="5"/>
    </row>
    <row r="3028" ht="15.75" customHeight="1">
      <c r="K3028" t="s">
        <v>5293</v>
      </c>
      <c r="L3028" t="str">
        <f>E192</f>
        <v>H3a2b</v>
      </c>
      <c r="N3028" t="s">
        <v>5294</v>
      </c>
      <c r="O3028">
        <v>7982566.0</v>
      </c>
      <c r="P3028">
        <v>8114525.0</v>
      </c>
      <c r="Q3028" t="s">
        <v>452</v>
      </c>
      <c r="R3028" s="5"/>
      <c r="S3028" s="5"/>
      <c r="T3028" s="5"/>
      <c r="U3028" s="5"/>
      <c r="V3028" s="5"/>
      <c r="W3028" s="5"/>
      <c r="X3028" s="5"/>
      <c r="Y3028" s="5"/>
      <c r="Z3028" s="5"/>
      <c r="AA3028" s="5"/>
      <c r="AB3028" s="5"/>
      <c r="AC3028" s="5"/>
      <c r="AD3028" s="5"/>
      <c r="AE3028" s="5"/>
      <c r="AF3028" s="5"/>
      <c r="AG3028" s="5"/>
    </row>
    <row r="3029" ht="15.75" customHeight="1">
      <c r="K3029" t="s">
        <v>5295</v>
      </c>
      <c r="L3029" t="str">
        <f>E192</f>
        <v>H3a2b</v>
      </c>
      <c r="N3029" t="s">
        <v>5296</v>
      </c>
      <c r="O3029">
        <v>8555290.0</v>
      </c>
      <c r="P3029">
        <v>8687249.0</v>
      </c>
      <c r="Q3029" t="s">
        <v>419</v>
      </c>
      <c r="R3029" s="5"/>
      <c r="S3029" s="5"/>
      <c r="T3029" s="5"/>
      <c r="U3029" s="5"/>
      <c r="V3029" s="5"/>
      <c r="W3029" s="5"/>
      <c r="X3029" s="5"/>
      <c r="Y3029" s="5"/>
      <c r="Z3029" s="5"/>
      <c r="AA3029" s="5"/>
      <c r="AB3029" s="5"/>
      <c r="AC3029" s="5"/>
      <c r="AD3029" s="5"/>
      <c r="AE3029" s="5"/>
      <c r="AF3029" s="5"/>
      <c r="AG3029" s="5"/>
    </row>
    <row r="3030" ht="15.75" customHeight="1">
      <c r="K3030" t="s">
        <v>5297</v>
      </c>
      <c r="L3030" t="str">
        <f>E192</f>
        <v>H3a2b</v>
      </c>
      <c r="N3030" t="s">
        <v>5298</v>
      </c>
      <c r="O3030">
        <v>8568952.0</v>
      </c>
      <c r="P3030">
        <v>8700911.0</v>
      </c>
      <c r="Q3030" t="s">
        <v>423</v>
      </c>
      <c r="R3030" s="5"/>
      <c r="S3030" s="5"/>
      <c r="T3030" s="5"/>
      <c r="U3030" s="5"/>
      <c r="V3030" s="5"/>
      <c r="W3030" s="5"/>
      <c r="X3030" s="5"/>
      <c r="Y3030" s="5"/>
      <c r="Z3030" s="5"/>
      <c r="AA3030" s="5"/>
      <c r="AB3030" s="5"/>
      <c r="AC3030" s="5"/>
      <c r="AD3030" s="5"/>
      <c r="AE3030" s="5"/>
      <c r="AF3030" s="5"/>
      <c r="AG3030" s="5"/>
    </row>
    <row r="3031" ht="15.75" customHeight="1">
      <c r="K3031" t="s">
        <v>5299</v>
      </c>
      <c r="L3031" t="str">
        <f>E192</f>
        <v>H3a2b</v>
      </c>
      <c r="N3031" t="s">
        <v>5300</v>
      </c>
      <c r="O3031">
        <v>8665181.0</v>
      </c>
      <c r="P3031">
        <v>8797140.0</v>
      </c>
      <c r="Q3031" t="s">
        <v>427</v>
      </c>
      <c r="R3031" s="5"/>
      <c r="S3031" s="5"/>
      <c r="T3031" s="5"/>
      <c r="U3031" s="5"/>
      <c r="V3031" s="5"/>
      <c r="W3031" s="5"/>
      <c r="X3031" s="5"/>
      <c r="Y3031" s="5"/>
      <c r="Z3031" s="5"/>
      <c r="AA3031" s="5"/>
      <c r="AB3031" s="5"/>
      <c r="AC3031" s="5"/>
      <c r="AD3031" s="5"/>
      <c r="AE3031" s="5"/>
      <c r="AF3031" s="5"/>
      <c r="AG3031" s="5"/>
    </row>
    <row r="3032" ht="15.75" customHeight="1">
      <c r="K3032" t="s">
        <v>5301</v>
      </c>
      <c r="L3032" t="str">
        <f>E192</f>
        <v>H3a2b</v>
      </c>
      <c r="N3032" t="s">
        <v>5302</v>
      </c>
      <c r="O3032">
        <v>8709276.0</v>
      </c>
      <c r="P3032">
        <v>8841235.0</v>
      </c>
      <c r="Q3032" t="s">
        <v>525</v>
      </c>
      <c r="R3032" s="5"/>
      <c r="S3032" s="5"/>
      <c r="T3032" s="5"/>
      <c r="U3032" s="5"/>
      <c r="V3032" s="5"/>
      <c r="W3032" s="5"/>
      <c r="X3032" s="5"/>
      <c r="Y3032" s="5"/>
      <c r="Z3032" s="5"/>
      <c r="AA3032" s="5"/>
      <c r="AB3032" s="5"/>
      <c r="AC3032" s="5"/>
      <c r="AD3032" s="5"/>
      <c r="AE3032" s="5"/>
      <c r="AF3032" s="5"/>
      <c r="AG3032" s="5"/>
    </row>
    <row r="3033" ht="15.75" customHeight="1">
      <c r="K3033" t="s">
        <v>5303</v>
      </c>
      <c r="L3033" t="str">
        <f>E192</f>
        <v>H3a2b</v>
      </c>
      <c r="N3033" t="s">
        <v>5304</v>
      </c>
      <c r="O3033">
        <v>8715587.0</v>
      </c>
      <c r="P3033">
        <v>8847546.0</v>
      </c>
      <c r="Q3033" t="s">
        <v>431</v>
      </c>
      <c r="R3033" s="5"/>
      <c r="S3033" s="5"/>
      <c r="T3033" s="5"/>
      <c r="U3033" s="5"/>
      <c r="V3033" s="5"/>
      <c r="W3033" s="5"/>
      <c r="X3033" s="5"/>
      <c r="Y3033" s="5"/>
      <c r="Z3033" s="5"/>
      <c r="AA3033" s="5"/>
      <c r="AB3033" s="5"/>
      <c r="AC3033" s="5"/>
      <c r="AD3033" s="5"/>
      <c r="AE3033" s="5"/>
      <c r="AF3033" s="5"/>
      <c r="AG3033" s="5"/>
    </row>
    <row r="3034" ht="15.75" customHeight="1">
      <c r="K3034" t="s">
        <v>5305</v>
      </c>
      <c r="L3034" t="str">
        <f>E192</f>
        <v>H3a2b</v>
      </c>
      <c r="N3034" t="s">
        <v>5306</v>
      </c>
      <c r="O3034">
        <v>9076732.0</v>
      </c>
      <c r="P3034">
        <v>9239123.0</v>
      </c>
      <c r="Q3034" t="s">
        <v>419</v>
      </c>
      <c r="R3034" s="5"/>
      <c r="S3034" s="5"/>
      <c r="T3034" s="5"/>
      <c r="U3034" s="5"/>
      <c r="V3034" s="5"/>
      <c r="W3034" s="5"/>
      <c r="X3034" s="5"/>
      <c r="Y3034" s="5"/>
      <c r="Z3034" s="5"/>
      <c r="AA3034" s="5"/>
      <c r="AB3034" s="5"/>
      <c r="AC3034" s="5"/>
      <c r="AD3034" s="5"/>
      <c r="AE3034" s="5"/>
      <c r="AF3034" s="5"/>
      <c r="AG3034" s="5"/>
    </row>
    <row r="3035" ht="15.75" customHeight="1">
      <c r="K3035" t="s">
        <v>5307</v>
      </c>
      <c r="L3035" t="str">
        <f>E192</f>
        <v>H3a2b</v>
      </c>
      <c r="N3035" t="s">
        <v>5308</v>
      </c>
      <c r="O3035">
        <v>9139518.0</v>
      </c>
      <c r="P3035">
        <v>9301909.0</v>
      </c>
      <c r="Q3035" t="s">
        <v>423</v>
      </c>
      <c r="R3035" s="5"/>
      <c r="S3035" s="5"/>
      <c r="T3035" s="5"/>
      <c r="U3035" s="5"/>
      <c r="V3035" s="5"/>
      <c r="W3035" s="5"/>
      <c r="X3035" s="5"/>
      <c r="Y3035" s="5"/>
      <c r="Z3035" s="5"/>
      <c r="AA3035" s="5"/>
      <c r="AB3035" s="5"/>
      <c r="AC3035" s="5"/>
      <c r="AD3035" s="5"/>
      <c r="AE3035" s="5"/>
      <c r="AF3035" s="5"/>
      <c r="AG3035" s="5"/>
    </row>
    <row r="3036" ht="15.75" customHeight="1">
      <c r="K3036" t="s">
        <v>5309</v>
      </c>
      <c r="L3036" t="str">
        <f>E192</f>
        <v>H3a2b</v>
      </c>
      <c r="O3036">
        <v>1.0007734E7</v>
      </c>
      <c r="P3036">
        <v>1.0170125E7</v>
      </c>
      <c r="Q3036" t="s">
        <v>448</v>
      </c>
      <c r="R3036" s="5"/>
      <c r="S3036" s="5"/>
      <c r="T3036" s="5"/>
      <c r="U3036" s="5"/>
      <c r="V3036" s="5"/>
      <c r="W3036" s="5"/>
      <c r="X3036" s="5"/>
      <c r="Y3036" s="5"/>
      <c r="Z3036" s="5"/>
      <c r="AA3036" s="5"/>
      <c r="AB3036" s="5"/>
      <c r="AC3036" s="5"/>
      <c r="AD3036" s="5"/>
      <c r="AE3036" s="5"/>
      <c r="AF3036" s="5"/>
      <c r="AG3036" s="5"/>
    </row>
    <row r="3037" ht="15.75" customHeight="1">
      <c r="K3037" t="s">
        <v>5310</v>
      </c>
      <c r="L3037" t="str">
        <f>E192</f>
        <v>H3a2b</v>
      </c>
      <c r="O3037">
        <v>1.0064138E7</v>
      </c>
      <c r="P3037">
        <v>1.0226529E7</v>
      </c>
      <c r="Q3037" t="s">
        <v>427</v>
      </c>
      <c r="R3037" s="5"/>
      <c r="S3037" s="5"/>
      <c r="T3037" s="5"/>
      <c r="U3037" s="5"/>
      <c r="V3037" s="5"/>
      <c r="W3037" s="5"/>
      <c r="X3037" s="5"/>
      <c r="Y3037" s="5"/>
      <c r="Z3037" s="5"/>
      <c r="AA3037" s="5"/>
      <c r="AB3037" s="5"/>
      <c r="AC3037" s="5"/>
      <c r="AD3037" s="5"/>
      <c r="AE3037" s="5"/>
      <c r="AF3037" s="5"/>
      <c r="AG3037" s="5"/>
    </row>
    <row r="3038" ht="15.75" customHeight="1">
      <c r="K3038" t="s">
        <v>5311</v>
      </c>
      <c r="L3038" t="str">
        <f>E192</f>
        <v>H3a2b</v>
      </c>
      <c r="O3038">
        <v>1.3227618E7</v>
      </c>
      <c r="P3038">
        <v>1.1071942E7</v>
      </c>
      <c r="Q3038" t="s">
        <v>448</v>
      </c>
      <c r="R3038" s="5"/>
      <c r="S3038" s="5"/>
      <c r="T3038" s="5"/>
      <c r="U3038" s="5"/>
      <c r="V3038" s="5"/>
      <c r="W3038" s="5"/>
      <c r="X3038" s="5"/>
      <c r="Y3038" s="5"/>
      <c r="Z3038" s="5"/>
      <c r="AA3038" s="5"/>
      <c r="AB3038" s="5"/>
      <c r="AC3038" s="5"/>
      <c r="AD3038" s="5"/>
      <c r="AE3038" s="5"/>
      <c r="AF3038" s="5"/>
      <c r="AG3038" s="5"/>
    </row>
    <row r="3039" ht="15.75" customHeight="1">
      <c r="K3039" t="s">
        <v>5312</v>
      </c>
      <c r="L3039" t="str">
        <f>E192</f>
        <v>H3a2b</v>
      </c>
      <c r="O3039">
        <v>1.3558448E7</v>
      </c>
      <c r="P3039">
        <v>1.1402772E7</v>
      </c>
      <c r="Q3039" t="s">
        <v>427</v>
      </c>
      <c r="R3039" s="5"/>
      <c r="S3039" s="5"/>
      <c r="T3039" s="5"/>
      <c r="U3039" s="5"/>
      <c r="V3039" s="5"/>
      <c r="W3039" s="5"/>
      <c r="X3039" s="5"/>
      <c r="Y3039" s="5"/>
      <c r="Z3039" s="5"/>
      <c r="AA3039" s="5"/>
      <c r="AB3039" s="5"/>
      <c r="AC3039" s="5"/>
      <c r="AD3039" s="5"/>
      <c r="AE3039" s="5"/>
      <c r="AF3039" s="5"/>
      <c r="AG3039" s="5"/>
    </row>
    <row r="3040" ht="15.75" customHeight="1">
      <c r="K3040" t="s">
        <v>5313</v>
      </c>
      <c r="L3040" t="str">
        <f>E192</f>
        <v>H3a2b</v>
      </c>
      <c r="N3040" t="s">
        <v>5314</v>
      </c>
      <c r="O3040">
        <v>1.3646643E7</v>
      </c>
      <c r="P3040">
        <v>1.1490967E7</v>
      </c>
      <c r="Q3040" t="s">
        <v>423</v>
      </c>
      <c r="R3040" s="5"/>
      <c r="S3040" s="5"/>
      <c r="T3040" s="5"/>
      <c r="U3040" s="5"/>
      <c r="V3040" s="5"/>
      <c r="W3040" s="5"/>
      <c r="X3040" s="5"/>
      <c r="Y3040" s="5"/>
      <c r="Z3040" s="5"/>
      <c r="AA3040" s="5"/>
      <c r="AB3040" s="5"/>
      <c r="AC3040" s="5"/>
      <c r="AD3040" s="5"/>
      <c r="AE3040" s="5"/>
      <c r="AF3040" s="5"/>
      <c r="AG3040" s="5"/>
    </row>
    <row r="3041" ht="15.75" customHeight="1">
      <c r="K3041" t="s">
        <v>5315</v>
      </c>
      <c r="L3041" t="str">
        <f>E192</f>
        <v>H3a2b</v>
      </c>
      <c r="O3041">
        <v>1.3663826E7</v>
      </c>
      <c r="P3041">
        <v>1.150815E7</v>
      </c>
      <c r="Q3041" t="s">
        <v>427</v>
      </c>
      <c r="R3041" s="5"/>
      <c r="S3041" s="5"/>
      <c r="T3041" s="5"/>
      <c r="U3041" s="5"/>
      <c r="V3041" s="5"/>
      <c r="W3041" s="5"/>
      <c r="X3041" s="5"/>
      <c r="Y3041" s="5"/>
      <c r="Z3041" s="5"/>
      <c r="AA3041" s="5"/>
      <c r="AB3041" s="5"/>
      <c r="AC3041" s="5"/>
      <c r="AD3041" s="5"/>
      <c r="AE3041" s="5"/>
      <c r="AF3041" s="5"/>
      <c r="AG3041" s="5"/>
    </row>
    <row r="3042" ht="15.75" customHeight="1">
      <c r="K3042" t="s">
        <v>5316</v>
      </c>
      <c r="L3042" t="str">
        <f>E192</f>
        <v>H3a2b</v>
      </c>
      <c r="N3042" t="s">
        <v>5317</v>
      </c>
      <c r="O3042">
        <v>1.3667785E7</v>
      </c>
      <c r="P3042">
        <v>1.1512109E7</v>
      </c>
      <c r="Q3042" t="s">
        <v>452</v>
      </c>
      <c r="R3042" s="5"/>
      <c r="S3042" s="5"/>
      <c r="T3042" s="5"/>
      <c r="U3042" s="5"/>
      <c r="V3042" s="5"/>
      <c r="W3042" s="5"/>
      <c r="X3042" s="5"/>
      <c r="Y3042" s="5"/>
      <c r="Z3042" s="5"/>
      <c r="AA3042" s="5"/>
      <c r="AB3042" s="5"/>
      <c r="AC3042" s="5"/>
      <c r="AD3042" s="5"/>
      <c r="AE3042" s="5"/>
      <c r="AF3042" s="5"/>
      <c r="AG3042" s="5"/>
    </row>
    <row r="3043" ht="15.75" customHeight="1">
      <c r="K3043" t="s">
        <v>5318</v>
      </c>
      <c r="L3043" t="str">
        <f>E192</f>
        <v>H3a2b</v>
      </c>
      <c r="O3043">
        <v>1.36787E7</v>
      </c>
      <c r="P3043">
        <v>1.1523024E7</v>
      </c>
      <c r="Q3043" t="s">
        <v>435</v>
      </c>
      <c r="R3043" s="5"/>
      <c r="S3043" s="5"/>
      <c r="T3043" s="5"/>
      <c r="U3043" s="5"/>
      <c r="V3043" s="5"/>
      <c r="W3043" s="5"/>
      <c r="X3043" s="5"/>
      <c r="Y3043" s="5"/>
      <c r="Z3043" s="5"/>
      <c r="AA3043" s="5"/>
      <c r="AB3043" s="5"/>
      <c r="AC3043" s="5"/>
      <c r="AD3043" s="5"/>
      <c r="AE3043" s="5"/>
      <c r="AF3043" s="5"/>
      <c r="AG3043" s="5"/>
    </row>
    <row r="3044" ht="15.75" customHeight="1">
      <c r="K3044" t="s">
        <v>5319</v>
      </c>
      <c r="L3044" t="str">
        <f>E192</f>
        <v>H3a2b</v>
      </c>
      <c r="O3044">
        <v>1.3807854E7</v>
      </c>
      <c r="P3044">
        <v>1.1687148E7</v>
      </c>
      <c r="Q3044" t="s">
        <v>431</v>
      </c>
      <c r="R3044" s="5"/>
      <c r="S3044" s="5"/>
      <c r="T3044" s="5"/>
      <c r="U3044" s="5"/>
      <c r="V3044" s="5"/>
      <c r="W3044" s="5"/>
      <c r="X3044" s="5"/>
      <c r="Y3044" s="5"/>
      <c r="Z3044" s="5"/>
      <c r="AA3044" s="5"/>
      <c r="AB3044" s="5"/>
      <c r="AC3044" s="5"/>
      <c r="AD3044" s="5"/>
      <c r="AE3044" s="5"/>
      <c r="AF3044" s="5"/>
      <c r="AG3044" s="5"/>
    </row>
    <row r="3045" ht="15.75" customHeight="1">
      <c r="K3045" t="s">
        <v>5320</v>
      </c>
      <c r="L3045" t="str">
        <f>E192</f>
        <v>H3a2b</v>
      </c>
      <c r="N3045" t="s">
        <v>5321</v>
      </c>
      <c r="O3045">
        <v>1.3822193E7</v>
      </c>
      <c r="P3045">
        <v>1.1701487E7</v>
      </c>
      <c r="Q3045" t="s">
        <v>473</v>
      </c>
      <c r="R3045" s="5"/>
      <c r="S3045" s="5"/>
      <c r="T3045" s="5"/>
      <c r="U3045" s="5"/>
      <c r="V3045" s="5"/>
      <c r="W3045" s="5"/>
      <c r="X3045" s="5"/>
      <c r="Y3045" s="5"/>
      <c r="Z3045" s="5"/>
      <c r="AA3045" s="5"/>
      <c r="AB3045" s="5"/>
      <c r="AC3045" s="5"/>
      <c r="AD3045" s="5"/>
      <c r="AE3045" s="5"/>
      <c r="AF3045" s="5"/>
      <c r="AG3045" s="5"/>
    </row>
    <row r="3046" ht="15.75" customHeight="1">
      <c r="K3046" t="s">
        <v>5322</v>
      </c>
      <c r="L3046" t="str">
        <f>E192</f>
        <v>H3a2b</v>
      </c>
      <c r="N3046" t="s">
        <v>5323</v>
      </c>
      <c r="O3046">
        <v>1.4584282E7</v>
      </c>
      <c r="P3046">
        <v>1.2472482E7</v>
      </c>
      <c r="Q3046" t="s">
        <v>419</v>
      </c>
      <c r="R3046" s="5"/>
      <c r="S3046" s="5"/>
      <c r="T3046" s="5"/>
      <c r="U3046" s="5"/>
      <c r="V3046" s="5"/>
      <c r="W3046" s="5"/>
      <c r="X3046" s="5"/>
      <c r="Y3046" s="5"/>
      <c r="Z3046" s="5"/>
      <c r="AA3046" s="5"/>
      <c r="AB3046" s="5"/>
      <c r="AC3046" s="5"/>
      <c r="AD3046" s="5"/>
      <c r="AE3046" s="5"/>
      <c r="AF3046" s="5"/>
      <c r="AG3046" s="5"/>
    </row>
    <row r="3047" ht="15.75" customHeight="1">
      <c r="K3047" t="s">
        <v>5324</v>
      </c>
      <c r="L3047" t="str">
        <f>E192</f>
        <v>H3a2b</v>
      </c>
      <c r="N3047" t="s">
        <v>5325</v>
      </c>
      <c r="O3047">
        <v>1.4642423E7</v>
      </c>
      <c r="P3047">
        <v>1.2530492E7</v>
      </c>
      <c r="Q3047" t="s">
        <v>419</v>
      </c>
      <c r="R3047" s="5"/>
      <c r="S3047" s="5"/>
      <c r="T3047" s="5"/>
      <c r="U3047" s="5"/>
      <c r="V3047" s="5"/>
      <c r="W3047" s="5"/>
      <c r="X3047" s="5"/>
      <c r="Y3047" s="5"/>
      <c r="Z3047" s="5"/>
      <c r="AA3047" s="5"/>
      <c r="AB3047" s="5"/>
      <c r="AC3047" s="5"/>
      <c r="AD3047" s="5"/>
      <c r="AE3047" s="5"/>
      <c r="AF3047" s="5"/>
      <c r="AG3047" s="5"/>
    </row>
    <row r="3048" ht="15.75" customHeight="1">
      <c r="K3048" t="s">
        <v>5326</v>
      </c>
      <c r="L3048" t="str">
        <f>E192</f>
        <v>H3a2b</v>
      </c>
      <c r="N3048" t="s">
        <v>5327</v>
      </c>
      <c r="O3048">
        <v>1.4718506E7</v>
      </c>
      <c r="P3048">
        <v>1.2606574E7</v>
      </c>
      <c r="Q3048" t="s">
        <v>473</v>
      </c>
      <c r="R3048" s="5"/>
      <c r="S3048" s="5"/>
      <c r="T3048" s="5"/>
      <c r="U3048" s="5"/>
      <c r="V3048" s="5"/>
      <c r="W3048" s="5"/>
      <c r="X3048" s="5"/>
      <c r="Y3048" s="5"/>
      <c r="Z3048" s="5"/>
      <c r="AA3048" s="5"/>
      <c r="AB3048" s="5"/>
      <c r="AC3048" s="5"/>
      <c r="AD3048" s="5"/>
      <c r="AE3048" s="5"/>
      <c r="AF3048" s="5"/>
      <c r="AG3048" s="5"/>
    </row>
    <row r="3049" ht="15.75" customHeight="1">
      <c r="K3049" t="s">
        <v>5328</v>
      </c>
      <c r="L3049" t="str">
        <f>E192</f>
        <v>H3a2b</v>
      </c>
      <c r="N3049" t="s">
        <v>5329</v>
      </c>
      <c r="O3049">
        <v>1.4780505E7</v>
      </c>
      <c r="P3049">
        <v>1.2668575E7</v>
      </c>
      <c r="Q3049" t="s">
        <v>423</v>
      </c>
      <c r="R3049" s="5"/>
      <c r="S3049" s="5"/>
      <c r="T3049" s="5"/>
      <c r="U3049" s="5"/>
      <c r="V3049" s="5"/>
      <c r="W3049" s="5"/>
      <c r="X3049" s="5"/>
      <c r="Y3049" s="5"/>
      <c r="Z3049" s="5"/>
      <c r="AA3049" s="5"/>
      <c r="AB3049" s="5"/>
      <c r="AC3049" s="5"/>
      <c r="AD3049" s="5"/>
      <c r="AE3049" s="5"/>
      <c r="AF3049" s="5"/>
      <c r="AG3049" s="5"/>
    </row>
    <row r="3050" ht="15.75" customHeight="1">
      <c r="K3050" t="s">
        <v>5330</v>
      </c>
      <c r="L3050" t="str">
        <f>E192</f>
        <v>H3a2b</v>
      </c>
      <c r="N3050" t="s">
        <v>5331</v>
      </c>
      <c r="O3050">
        <v>1.4894363E7</v>
      </c>
      <c r="P3050">
        <v>1.2782429E7</v>
      </c>
      <c r="Q3050" t="s">
        <v>553</v>
      </c>
      <c r="R3050" s="5"/>
      <c r="S3050" s="5"/>
      <c r="T3050" s="5"/>
      <c r="U3050" s="5"/>
      <c r="V3050" s="5"/>
      <c r="W3050" s="5"/>
      <c r="X3050" s="5"/>
      <c r="Y3050" s="5"/>
      <c r="Z3050" s="5"/>
      <c r="AA3050" s="5"/>
      <c r="AB3050" s="5"/>
      <c r="AC3050" s="5"/>
      <c r="AD3050" s="5"/>
      <c r="AE3050" s="5"/>
      <c r="AF3050" s="5"/>
      <c r="AG3050" s="5"/>
    </row>
    <row r="3051" ht="15.75" customHeight="1">
      <c r="K3051" t="s">
        <v>5332</v>
      </c>
      <c r="L3051" t="str">
        <f>E192</f>
        <v>H3a2b</v>
      </c>
      <c r="N3051" t="s">
        <v>5333</v>
      </c>
      <c r="O3051">
        <v>1.4930983E7</v>
      </c>
      <c r="P3051">
        <v>1.2819048E7</v>
      </c>
      <c r="Q3051" t="s">
        <v>423</v>
      </c>
      <c r="R3051" s="5"/>
      <c r="S3051" s="5"/>
      <c r="T3051" s="5"/>
      <c r="U3051" s="5"/>
      <c r="V3051" s="5"/>
      <c r="W3051" s="5"/>
      <c r="X3051" s="5"/>
      <c r="Y3051" s="5"/>
      <c r="Z3051" s="5"/>
      <c r="AA3051" s="5"/>
      <c r="AB3051" s="5"/>
      <c r="AC3051" s="5"/>
      <c r="AD3051" s="5"/>
      <c r="AE3051" s="5"/>
      <c r="AF3051" s="5"/>
      <c r="AG3051" s="5"/>
    </row>
    <row r="3052" ht="15.75" customHeight="1">
      <c r="K3052" t="s">
        <v>5334</v>
      </c>
      <c r="L3052" t="str">
        <f>E192</f>
        <v>H3a2b</v>
      </c>
      <c r="N3052" t="s">
        <v>5335</v>
      </c>
      <c r="O3052">
        <v>1.4965273E7</v>
      </c>
      <c r="P3052">
        <v>1.2853348E7</v>
      </c>
      <c r="Q3052" t="s">
        <v>423</v>
      </c>
      <c r="R3052" s="5"/>
      <c r="S3052" s="5"/>
      <c r="T3052" s="5"/>
      <c r="U3052" s="5"/>
      <c r="V3052" s="5"/>
      <c r="W3052" s="5"/>
      <c r="X3052" s="5"/>
      <c r="Y3052" s="5"/>
      <c r="Z3052" s="5"/>
      <c r="AA3052" s="5"/>
      <c r="AB3052" s="5"/>
      <c r="AC3052" s="5"/>
      <c r="AD3052" s="5"/>
      <c r="AE3052" s="5"/>
      <c r="AF3052" s="5"/>
      <c r="AG3052" s="5"/>
    </row>
    <row r="3053" ht="15.75" customHeight="1">
      <c r="K3053" t="s">
        <v>5336</v>
      </c>
      <c r="L3053" t="str">
        <f>E192</f>
        <v>H3a2b</v>
      </c>
      <c r="N3053" t="s">
        <v>5337</v>
      </c>
      <c r="O3053">
        <v>1.5063322E7</v>
      </c>
      <c r="P3053">
        <v>1.2951414E7</v>
      </c>
      <c r="Q3053" t="s">
        <v>427</v>
      </c>
      <c r="R3053" s="5"/>
      <c r="S3053" s="5"/>
      <c r="T3053" s="5"/>
      <c r="U3053" s="5"/>
      <c r="V3053" s="5"/>
      <c r="W3053" s="5"/>
      <c r="X3053" s="5"/>
      <c r="Y3053" s="5"/>
      <c r="Z3053" s="5"/>
      <c r="AA3053" s="5"/>
      <c r="AB3053" s="5"/>
      <c r="AC3053" s="5"/>
      <c r="AD3053" s="5"/>
      <c r="AE3053" s="5"/>
      <c r="AF3053" s="5"/>
      <c r="AG3053" s="5"/>
    </row>
    <row r="3054" ht="15.75" customHeight="1">
      <c r="K3054" t="s">
        <v>5338</v>
      </c>
      <c r="L3054" t="str">
        <f>E192</f>
        <v>H3a2b</v>
      </c>
      <c r="N3054" t="s">
        <v>5339</v>
      </c>
      <c r="O3054">
        <v>1.5129687E7</v>
      </c>
      <c r="P3054">
        <v>1.3017774E7</v>
      </c>
      <c r="Q3054" t="s">
        <v>419</v>
      </c>
      <c r="R3054" s="5"/>
      <c r="S3054" s="5"/>
      <c r="T3054" s="5"/>
      <c r="U3054" s="5"/>
      <c r="V3054" s="5"/>
      <c r="W3054" s="5"/>
      <c r="X3054" s="5"/>
      <c r="Y3054" s="5"/>
      <c r="Z3054" s="5"/>
      <c r="AA3054" s="5"/>
      <c r="AB3054" s="5"/>
      <c r="AC3054" s="5"/>
      <c r="AD3054" s="5"/>
      <c r="AE3054" s="5"/>
      <c r="AF3054" s="5"/>
      <c r="AG3054" s="5"/>
    </row>
    <row r="3055" ht="15.75" customHeight="1">
      <c r="K3055" t="s">
        <v>5340</v>
      </c>
      <c r="L3055" t="str">
        <f>E192</f>
        <v>H3a2b</v>
      </c>
      <c r="N3055" t="s">
        <v>5341</v>
      </c>
      <c r="O3055">
        <v>1.5212128E7</v>
      </c>
      <c r="P3055">
        <v>1.3100214E7</v>
      </c>
      <c r="Q3055" t="s">
        <v>435</v>
      </c>
      <c r="R3055" s="5"/>
      <c r="S3055" s="5"/>
      <c r="T3055" s="5"/>
      <c r="U3055" s="5"/>
      <c r="V3055" s="5"/>
      <c r="W3055" s="5"/>
      <c r="X3055" s="5"/>
      <c r="Y3055" s="5"/>
      <c r="Z3055" s="5"/>
      <c r="AA3055" s="5"/>
      <c r="AB3055" s="5"/>
      <c r="AC3055" s="5"/>
      <c r="AD3055" s="5"/>
      <c r="AE3055" s="5"/>
      <c r="AF3055" s="5"/>
      <c r="AG3055" s="5"/>
    </row>
    <row r="3056" ht="15.75" customHeight="1">
      <c r="K3056" t="s">
        <v>5342</v>
      </c>
      <c r="L3056" t="str">
        <f>E192</f>
        <v>H3a2b</v>
      </c>
      <c r="O3056">
        <v>1.5231215E7</v>
      </c>
      <c r="P3056">
        <v>1.3119301E7</v>
      </c>
      <c r="Q3056" t="s">
        <v>423</v>
      </c>
      <c r="R3056" s="5"/>
      <c r="S3056" s="5"/>
      <c r="T3056" s="5"/>
      <c r="U3056" s="5"/>
      <c r="V3056" s="5"/>
      <c r="W3056" s="5"/>
      <c r="X3056" s="5"/>
      <c r="Y3056" s="5"/>
      <c r="Z3056" s="5"/>
      <c r="AA3056" s="5"/>
      <c r="AB3056" s="5"/>
      <c r="AC3056" s="5"/>
      <c r="AD3056" s="5"/>
      <c r="AE3056" s="5"/>
      <c r="AF3056" s="5"/>
      <c r="AG3056" s="5"/>
    </row>
    <row r="3057" ht="15.75" customHeight="1">
      <c r="K3057" t="s">
        <v>5343</v>
      </c>
      <c r="L3057" t="str">
        <f>E192</f>
        <v>H3a2b</v>
      </c>
      <c r="N3057" t="s">
        <v>5344</v>
      </c>
      <c r="O3057">
        <v>1.5265883E7</v>
      </c>
      <c r="P3057">
        <v>1.3153972E7</v>
      </c>
      <c r="Q3057" t="s">
        <v>435</v>
      </c>
      <c r="R3057" s="5"/>
      <c r="S3057" s="5"/>
      <c r="T3057" s="5"/>
      <c r="U3057" s="5"/>
      <c r="V3057" s="5"/>
      <c r="W3057" s="5"/>
      <c r="X3057" s="5"/>
      <c r="Y3057" s="5"/>
      <c r="Z3057" s="5"/>
      <c r="AA3057" s="5"/>
      <c r="AB3057" s="5"/>
      <c r="AC3057" s="5"/>
      <c r="AD3057" s="5"/>
      <c r="AE3057" s="5"/>
      <c r="AF3057" s="5"/>
      <c r="AG3057" s="5"/>
    </row>
    <row r="3058" ht="15.75" customHeight="1">
      <c r="K3058" t="s">
        <v>5345</v>
      </c>
      <c r="L3058" t="str">
        <f>E192</f>
        <v>H3a2b</v>
      </c>
      <c r="N3058" t="s">
        <v>5346</v>
      </c>
      <c r="O3058">
        <v>1.5304642E7</v>
      </c>
      <c r="P3058">
        <v>1.3192741E7</v>
      </c>
      <c r="Q3058" t="s">
        <v>448</v>
      </c>
      <c r="R3058" s="5"/>
      <c r="S3058" s="5"/>
      <c r="T3058" s="5"/>
      <c r="U3058" s="5"/>
      <c r="V3058" s="5"/>
      <c r="W3058" s="5"/>
      <c r="X3058" s="5"/>
      <c r="Y3058" s="5"/>
      <c r="Z3058" s="5"/>
      <c r="AA3058" s="5"/>
      <c r="AB3058" s="5"/>
      <c r="AC3058" s="5"/>
      <c r="AD3058" s="5"/>
      <c r="AE3058" s="5"/>
      <c r="AF3058" s="5"/>
      <c r="AG3058" s="5"/>
    </row>
    <row r="3059" ht="15.75" customHeight="1">
      <c r="K3059" t="s">
        <v>5347</v>
      </c>
      <c r="L3059" t="str">
        <f>E192</f>
        <v>H3a2b</v>
      </c>
      <c r="N3059" t="s">
        <v>5348</v>
      </c>
      <c r="O3059">
        <v>1.5327212E7</v>
      </c>
      <c r="P3059">
        <v>1.321533E7</v>
      </c>
      <c r="Q3059" t="s">
        <v>423</v>
      </c>
      <c r="R3059" s="5"/>
      <c r="S3059" s="5"/>
      <c r="T3059" s="5"/>
      <c r="U3059" s="5"/>
      <c r="V3059" s="5"/>
      <c r="W3059" s="5"/>
      <c r="X3059" s="5"/>
      <c r="Y3059" s="5"/>
      <c r="Z3059" s="5"/>
      <c r="AA3059" s="5"/>
      <c r="AB3059" s="5"/>
      <c r="AC3059" s="5"/>
      <c r="AD3059" s="5"/>
      <c r="AE3059" s="5"/>
      <c r="AF3059" s="5"/>
      <c r="AG3059" s="5"/>
    </row>
    <row r="3060" ht="15.75" customHeight="1">
      <c r="K3060" t="s">
        <v>5349</v>
      </c>
      <c r="L3060" t="str">
        <f>E192</f>
        <v>H3a2b</v>
      </c>
      <c r="N3060" t="s">
        <v>5350</v>
      </c>
      <c r="O3060">
        <v>1.5397608E7</v>
      </c>
      <c r="P3060">
        <v>1.3285728E7</v>
      </c>
      <c r="Q3060" t="s">
        <v>431</v>
      </c>
      <c r="R3060" s="5"/>
      <c r="S3060" s="5"/>
      <c r="T3060" s="5"/>
      <c r="U3060" s="5"/>
      <c r="V3060" s="5"/>
      <c r="W3060" s="5"/>
      <c r="X3060" s="5"/>
      <c r="Y3060" s="5"/>
      <c r="Z3060" s="5"/>
      <c r="AA3060" s="5"/>
      <c r="AB3060" s="5"/>
      <c r="AC3060" s="5"/>
      <c r="AD3060" s="5"/>
      <c r="AE3060" s="5"/>
      <c r="AF3060" s="5"/>
      <c r="AG3060" s="5"/>
    </row>
    <row r="3061" ht="15.75" customHeight="1">
      <c r="K3061" t="s">
        <v>5351</v>
      </c>
      <c r="L3061" t="str">
        <f>E192</f>
        <v>H3a2b</v>
      </c>
      <c r="N3061" t="s">
        <v>5352</v>
      </c>
      <c r="O3061">
        <v>1.5487949E7</v>
      </c>
      <c r="P3061">
        <v>1.3376069E7</v>
      </c>
      <c r="Q3061" t="s">
        <v>419</v>
      </c>
      <c r="R3061" s="5"/>
      <c r="S3061" s="5"/>
      <c r="T3061" s="5"/>
      <c r="U3061" s="5"/>
      <c r="V3061" s="5"/>
      <c r="W3061" s="5"/>
      <c r="X3061" s="5"/>
      <c r="Y3061" s="5"/>
      <c r="Z3061" s="5"/>
      <c r="AA3061" s="5"/>
      <c r="AB3061" s="5"/>
      <c r="AC3061" s="5"/>
      <c r="AD3061" s="5"/>
      <c r="AE3061" s="5"/>
      <c r="AF3061" s="5"/>
      <c r="AG3061" s="5"/>
    </row>
    <row r="3062" ht="15.75" customHeight="1">
      <c r="K3062" t="s">
        <v>5353</v>
      </c>
      <c r="L3062" t="str">
        <f>E192</f>
        <v>H3a2b</v>
      </c>
      <c r="N3062" t="s">
        <v>5354</v>
      </c>
      <c r="O3062">
        <v>1.5581471E7</v>
      </c>
      <c r="P3062">
        <v>1.3469591E7</v>
      </c>
      <c r="Q3062" t="s">
        <v>431</v>
      </c>
      <c r="R3062" s="5"/>
      <c r="S3062" s="5"/>
      <c r="T3062" s="5"/>
      <c r="U3062" s="5"/>
      <c r="V3062" s="5"/>
      <c r="W3062" s="5"/>
      <c r="X3062" s="5"/>
      <c r="Y3062" s="5"/>
      <c r="Z3062" s="5"/>
      <c r="AA3062" s="5"/>
      <c r="AB3062" s="5"/>
      <c r="AC3062" s="5"/>
      <c r="AD3062" s="5"/>
      <c r="AE3062" s="5"/>
      <c r="AF3062" s="5"/>
      <c r="AG3062" s="5"/>
    </row>
    <row r="3063" ht="15.75" customHeight="1">
      <c r="K3063" t="s">
        <v>5355</v>
      </c>
      <c r="L3063" t="str">
        <f>E192</f>
        <v>H3a2b</v>
      </c>
      <c r="N3063" t="s">
        <v>5356</v>
      </c>
      <c r="O3063">
        <v>1.5602128E7</v>
      </c>
      <c r="P3063">
        <v>1.3490248E7</v>
      </c>
      <c r="Q3063" t="s">
        <v>427</v>
      </c>
      <c r="R3063" s="5"/>
      <c r="S3063" s="5"/>
      <c r="T3063" s="5"/>
      <c r="U3063" s="5"/>
      <c r="V3063" s="5"/>
      <c r="W3063" s="5"/>
      <c r="X3063" s="5"/>
      <c r="Y3063" s="5"/>
      <c r="Z3063" s="5"/>
      <c r="AA3063" s="5"/>
      <c r="AB3063" s="5"/>
      <c r="AC3063" s="5"/>
      <c r="AD3063" s="5"/>
      <c r="AE3063" s="5"/>
      <c r="AF3063" s="5"/>
      <c r="AG3063" s="5"/>
    </row>
    <row r="3064" ht="15.75" customHeight="1">
      <c r="K3064" t="s">
        <v>5357</v>
      </c>
      <c r="L3064" t="str">
        <f>E192</f>
        <v>H3a2b</v>
      </c>
      <c r="N3064" t="s">
        <v>5358</v>
      </c>
      <c r="O3064">
        <v>1.5621641E7</v>
      </c>
      <c r="P3064">
        <v>1.3509761E7</v>
      </c>
      <c r="Q3064" t="s">
        <v>473</v>
      </c>
      <c r="R3064" s="5"/>
      <c r="S3064" s="5"/>
      <c r="T3064" s="5"/>
      <c r="U3064" s="5"/>
      <c r="V3064" s="5"/>
      <c r="W3064" s="5"/>
      <c r="X3064" s="5"/>
      <c r="Y3064" s="5"/>
      <c r="Z3064" s="5"/>
      <c r="AA3064" s="5"/>
      <c r="AB3064" s="5"/>
      <c r="AC3064" s="5"/>
      <c r="AD3064" s="5"/>
      <c r="AE3064" s="5"/>
      <c r="AF3064" s="5"/>
      <c r="AG3064" s="5"/>
    </row>
    <row r="3065" ht="15.75" customHeight="1">
      <c r="K3065" t="s">
        <v>5359</v>
      </c>
      <c r="L3065" t="str">
        <f>E192</f>
        <v>H3a2b</v>
      </c>
      <c r="N3065" t="s">
        <v>5360</v>
      </c>
      <c r="O3065">
        <v>1.575861E7</v>
      </c>
      <c r="P3065">
        <v>1.364673E7</v>
      </c>
      <c r="Q3065" t="s">
        <v>423</v>
      </c>
      <c r="R3065" s="5"/>
      <c r="S3065" s="5"/>
      <c r="T3065" s="5"/>
      <c r="U3065" s="5"/>
      <c r="V3065" s="5"/>
      <c r="W3065" s="5"/>
      <c r="X3065" s="5"/>
      <c r="Y3065" s="5"/>
      <c r="Z3065" s="5"/>
      <c r="AA3065" s="5"/>
      <c r="AB3065" s="5"/>
      <c r="AC3065" s="5"/>
      <c r="AD3065" s="5"/>
      <c r="AE3065" s="5"/>
      <c r="AF3065" s="5"/>
      <c r="AG3065" s="5"/>
    </row>
    <row r="3066" ht="15.75" customHeight="1">
      <c r="K3066" t="s">
        <v>5361</v>
      </c>
      <c r="L3066" t="str">
        <f>E192</f>
        <v>H3a2b</v>
      </c>
      <c r="N3066" t="s">
        <v>5362</v>
      </c>
      <c r="O3066">
        <v>1.5859294E7</v>
      </c>
      <c r="P3066">
        <v>1.3747414E7</v>
      </c>
      <c r="Q3066" t="s">
        <v>431</v>
      </c>
      <c r="R3066" s="5"/>
      <c r="S3066" s="5"/>
      <c r="T3066" s="5"/>
      <c r="U3066" s="5"/>
      <c r="V3066" s="5"/>
      <c r="W3066" s="5"/>
      <c r="X3066" s="5"/>
      <c r="Y3066" s="5"/>
      <c r="Z3066" s="5"/>
      <c r="AA3066" s="5"/>
      <c r="AB3066" s="5"/>
      <c r="AC3066" s="5"/>
      <c r="AD3066" s="5"/>
      <c r="AE3066" s="5"/>
      <c r="AF3066" s="5"/>
      <c r="AG3066" s="5"/>
    </row>
    <row r="3067" ht="15.75" customHeight="1">
      <c r="K3067" t="s">
        <v>5363</v>
      </c>
      <c r="L3067" t="str">
        <f>E192</f>
        <v>H3a2b</v>
      </c>
      <c r="N3067" t="s">
        <v>5364</v>
      </c>
      <c r="O3067">
        <v>1.6221844E7</v>
      </c>
      <c r="P3067">
        <v>1.4109964E7</v>
      </c>
      <c r="Q3067" t="s">
        <v>553</v>
      </c>
      <c r="R3067" s="5"/>
      <c r="S3067" s="5"/>
      <c r="T3067" s="5"/>
      <c r="U3067" s="5"/>
      <c r="V3067" s="5"/>
      <c r="W3067" s="5"/>
      <c r="X3067" s="5"/>
      <c r="Y3067" s="5"/>
      <c r="Z3067" s="5"/>
      <c r="AA3067" s="5"/>
      <c r="AB3067" s="5"/>
      <c r="AC3067" s="5"/>
      <c r="AD3067" s="5"/>
      <c r="AE3067" s="5"/>
      <c r="AF3067" s="5"/>
      <c r="AG3067" s="5"/>
    </row>
    <row r="3068" ht="15.75" customHeight="1">
      <c r="K3068" t="s">
        <v>5365</v>
      </c>
      <c r="L3068" t="str">
        <f>E192</f>
        <v>H3a2b</v>
      </c>
      <c r="N3068" t="s">
        <v>5366</v>
      </c>
      <c r="O3068">
        <v>1.6237518E7</v>
      </c>
      <c r="P3068">
        <v>1.4125638E7</v>
      </c>
      <c r="Q3068" t="s">
        <v>427</v>
      </c>
      <c r="R3068" s="5"/>
      <c r="S3068" s="5"/>
      <c r="T3068" s="5"/>
      <c r="U3068" s="5"/>
      <c r="V3068" s="5"/>
      <c r="W3068" s="5"/>
      <c r="X3068" s="5"/>
      <c r="Y3068" s="5"/>
      <c r="Z3068" s="5"/>
      <c r="AA3068" s="5"/>
      <c r="AB3068" s="5"/>
      <c r="AC3068" s="5"/>
      <c r="AD3068" s="5"/>
      <c r="AE3068" s="5"/>
      <c r="AF3068" s="5"/>
      <c r="AG3068" s="5"/>
    </row>
    <row r="3069" ht="15.75" customHeight="1">
      <c r="K3069" t="s">
        <v>5367</v>
      </c>
      <c r="L3069" t="str">
        <f>E192</f>
        <v>H3a2b</v>
      </c>
      <c r="N3069" t="s">
        <v>5368</v>
      </c>
      <c r="O3069">
        <v>1.6260262E7</v>
      </c>
      <c r="P3069">
        <v>1.4148382E7</v>
      </c>
      <c r="Q3069" t="s">
        <v>423</v>
      </c>
      <c r="R3069" s="5"/>
      <c r="S3069" s="5"/>
      <c r="T3069" s="5"/>
      <c r="U3069" s="5"/>
      <c r="V3069" s="5"/>
      <c r="W3069" s="5"/>
      <c r="X3069" s="5"/>
      <c r="Y3069" s="5"/>
      <c r="Z3069" s="5"/>
      <c r="AA3069" s="5"/>
      <c r="AB3069" s="5"/>
      <c r="AC3069" s="5"/>
      <c r="AD3069" s="5"/>
      <c r="AE3069" s="5"/>
      <c r="AF3069" s="5"/>
      <c r="AG3069" s="5"/>
    </row>
    <row r="3070" ht="15.75" customHeight="1">
      <c r="K3070" t="s">
        <v>5369</v>
      </c>
      <c r="L3070" t="str">
        <f>E192</f>
        <v>H3a2b</v>
      </c>
      <c r="N3070" t="s">
        <v>5370</v>
      </c>
      <c r="O3070">
        <v>1.6406697E7</v>
      </c>
      <c r="P3070">
        <v>1.4294817E7</v>
      </c>
      <c r="Q3070" t="s">
        <v>423</v>
      </c>
      <c r="R3070" s="5"/>
      <c r="S3070" s="5"/>
      <c r="T3070" s="5"/>
      <c r="U3070" s="5"/>
      <c r="V3070" s="5"/>
      <c r="W3070" s="5"/>
      <c r="X3070" s="5"/>
      <c r="Y3070" s="5"/>
      <c r="Z3070" s="5"/>
      <c r="AA3070" s="5"/>
      <c r="AB3070" s="5"/>
      <c r="AC3070" s="5"/>
      <c r="AD3070" s="5"/>
      <c r="AE3070" s="5"/>
      <c r="AF3070" s="5"/>
      <c r="AG3070" s="5"/>
    </row>
    <row r="3071" ht="15.75" customHeight="1">
      <c r="K3071" t="s">
        <v>5371</v>
      </c>
      <c r="L3071" t="str">
        <f>E192</f>
        <v>H3a2b</v>
      </c>
      <c r="N3071" t="s">
        <v>5372</v>
      </c>
      <c r="O3071">
        <v>1.642666E7</v>
      </c>
      <c r="P3071">
        <v>1.431478E7</v>
      </c>
      <c r="Q3071" t="s">
        <v>427</v>
      </c>
      <c r="R3071" s="5"/>
      <c r="S3071" s="5"/>
      <c r="T3071" s="5"/>
      <c r="U3071" s="5"/>
      <c r="V3071" s="5"/>
      <c r="W3071" s="5"/>
      <c r="X3071" s="5"/>
      <c r="Y3071" s="5"/>
      <c r="Z3071" s="5"/>
      <c r="AA3071" s="5"/>
      <c r="AB3071" s="5"/>
      <c r="AC3071" s="5"/>
      <c r="AD3071" s="5"/>
      <c r="AE3071" s="5"/>
      <c r="AF3071" s="5"/>
      <c r="AG3071" s="5"/>
    </row>
    <row r="3072" ht="15.75" customHeight="1">
      <c r="K3072" t="s">
        <v>5373</v>
      </c>
      <c r="L3072" t="str">
        <f>E192</f>
        <v>H3a2b</v>
      </c>
      <c r="N3072" t="s">
        <v>5374</v>
      </c>
      <c r="O3072">
        <v>1.6485919E7</v>
      </c>
      <c r="P3072">
        <v>1.4374039E7</v>
      </c>
      <c r="Q3072" t="s">
        <v>431</v>
      </c>
      <c r="R3072" s="5"/>
      <c r="S3072" s="5"/>
      <c r="T3072" s="5"/>
      <c r="U3072" s="5"/>
      <c r="V3072" s="5"/>
      <c r="W3072" s="5"/>
      <c r="X3072" s="5"/>
      <c r="Y3072" s="5"/>
      <c r="Z3072" s="5"/>
      <c r="AA3072" s="5"/>
      <c r="AB3072" s="5"/>
      <c r="AC3072" s="5"/>
      <c r="AD3072" s="5"/>
      <c r="AE3072" s="5"/>
      <c r="AF3072" s="5"/>
      <c r="AG3072" s="5"/>
    </row>
    <row r="3073" ht="15.75" customHeight="1">
      <c r="K3073" t="s">
        <v>5375</v>
      </c>
      <c r="L3073" t="str">
        <f>E192</f>
        <v>H3a2b</v>
      </c>
      <c r="N3073" t="s">
        <v>5376</v>
      </c>
      <c r="O3073">
        <v>1.6505338E7</v>
      </c>
      <c r="P3073">
        <v>1.4393458E7</v>
      </c>
      <c r="Q3073" t="s">
        <v>448</v>
      </c>
      <c r="R3073" s="5"/>
      <c r="S3073" s="5"/>
      <c r="T3073" s="5"/>
      <c r="U3073" s="5"/>
      <c r="V3073" s="5"/>
      <c r="W3073" s="5"/>
      <c r="X3073" s="5"/>
      <c r="Y3073" s="5"/>
      <c r="Z3073" s="5"/>
      <c r="AA3073" s="5"/>
      <c r="AB3073" s="5"/>
      <c r="AC3073" s="5"/>
      <c r="AD3073" s="5"/>
      <c r="AE3073" s="5"/>
      <c r="AF3073" s="5"/>
      <c r="AG3073" s="5"/>
    </row>
    <row r="3074" ht="15.75" customHeight="1">
      <c r="K3074" t="s">
        <v>5377</v>
      </c>
      <c r="L3074" t="str">
        <f>E192</f>
        <v>H3a2b</v>
      </c>
      <c r="O3074">
        <v>1.6868512E7</v>
      </c>
      <c r="P3074">
        <v>1.4756632E7</v>
      </c>
      <c r="Q3074" t="s">
        <v>459</v>
      </c>
      <c r="R3074" s="5"/>
      <c r="S3074" s="5"/>
      <c r="T3074" s="5"/>
      <c r="U3074" s="5"/>
      <c r="V3074" s="5"/>
      <c r="W3074" s="5"/>
      <c r="X3074" s="5"/>
      <c r="Y3074" s="5"/>
      <c r="Z3074" s="5"/>
      <c r="AA3074" s="5"/>
      <c r="AB3074" s="5"/>
      <c r="AC3074" s="5"/>
      <c r="AD3074" s="5"/>
      <c r="AE3074" s="5"/>
      <c r="AF3074" s="5"/>
      <c r="AG3074" s="5"/>
    </row>
    <row r="3075" ht="15.75" customHeight="1">
      <c r="K3075" t="s">
        <v>5378</v>
      </c>
      <c r="L3075" t="str">
        <f>E192</f>
        <v>H3a2b</v>
      </c>
      <c r="N3075" t="s">
        <v>5379</v>
      </c>
      <c r="O3075">
        <v>1.6922E7</v>
      </c>
      <c r="P3075">
        <v>1.481012E7</v>
      </c>
      <c r="Q3075" t="s">
        <v>423</v>
      </c>
      <c r="R3075" s="5"/>
      <c r="S3075" s="5"/>
      <c r="T3075" s="5"/>
      <c r="U3075" s="5"/>
      <c r="V3075" s="5"/>
      <c r="W3075" s="5"/>
      <c r="X3075" s="5"/>
      <c r="Y3075" s="5"/>
      <c r="Z3075" s="5"/>
      <c r="AA3075" s="5"/>
      <c r="AB3075" s="5"/>
      <c r="AC3075" s="5"/>
      <c r="AD3075" s="5"/>
      <c r="AE3075" s="5"/>
      <c r="AF3075" s="5"/>
      <c r="AG3075" s="5"/>
    </row>
    <row r="3076" ht="15.75" customHeight="1">
      <c r="K3076" t="s">
        <v>5380</v>
      </c>
      <c r="L3076" t="str">
        <f>E192</f>
        <v>H3a2b</v>
      </c>
      <c r="N3076" t="s">
        <v>5381</v>
      </c>
      <c r="O3076">
        <v>1.7000299E7</v>
      </c>
      <c r="P3076">
        <v>1.4888419E7</v>
      </c>
      <c r="Q3076" t="s">
        <v>427</v>
      </c>
      <c r="R3076" s="5"/>
      <c r="S3076" s="5"/>
      <c r="T3076" s="5"/>
      <c r="U3076" s="5"/>
      <c r="V3076" s="5"/>
      <c r="W3076" s="5"/>
      <c r="X3076" s="5"/>
      <c r="Y3076" s="5"/>
      <c r="Z3076" s="5"/>
      <c r="AA3076" s="5"/>
      <c r="AB3076" s="5"/>
      <c r="AC3076" s="5"/>
      <c r="AD3076" s="5"/>
      <c r="AE3076" s="5"/>
      <c r="AF3076" s="5"/>
      <c r="AG3076" s="5"/>
    </row>
    <row r="3077" ht="15.75" customHeight="1">
      <c r="K3077" t="s">
        <v>5382</v>
      </c>
      <c r="L3077" t="str">
        <f>E192</f>
        <v>H3a2b</v>
      </c>
      <c r="N3077" t="s">
        <v>5383</v>
      </c>
      <c r="O3077">
        <v>1.7030879E7</v>
      </c>
      <c r="P3077">
        <v>1.4918999E7</v>
      </c>
      <c r="Q3077" t="s">
        <v>423</v>
      </c>
      <c r="R3077" s="5"/>
      <c r="S3077" s="5"/>
      <c r="T3077" s="5"/>
      <c r="U3077" s="5"/>
      <c r="V3077" s="5"/>
      <c r="W3077" s="5"/>
      <c r="X3077" s="5"/>
      <c r="Y3077" s="5"/>
      <c r="Z3077" s="5"/>
      <c r="AA3077" s="5"/>
      <c r="AB3077" s="5"/>
      <c r="AC3077" s="5"/>
      <c r="AD3077" s="5"/>
      <c r="AE3077" s="5"/>
      <c r="AF3077" s="5"/>
      <c r="AG3077" s="5"/>
    </row>
    <row r="3078" ht="15.75" customHeight="1">
      <c r="K3078" t="s">
        <v>5384</v>
      </c>
      <c r="L3078" t="str">
        <f>E192</f>
        <v>H3a2b</v>
      </c>
      <c r="N3078" t="s">
        <v>5385</v>
      </c>
      <c r="O3078">
        <v>1.7519295E7</v>
      </c>
      <c r="P3078">
        <v>1.5407415E7</v>
      </c>
      <c r="Q3078" t="s">
        <v>431</v>
      </c>
      <c r="R3078" s="5"/>
      <c r="S3078" s="5"/>
      <c r="T3078" s="5"/>
      <c r="U3078" s="5"/>
      <c r="V3078" s="5"/>
      <c r="W3078" s="5"/>
      <c r="X3078" s="5"/>
      <c r="Y3078" s="5"/>
      <c r="Z3078" s="5"/>
      <c r="AA3078" s="5"/>
      <c r="AB3078" s="5"/>
      <c r="AC3078" s="5"/>
      <c r="AD3078" s="5"/>
      <c r="AE3078" s="5"/>
      <c r="AF3078" s="5"/>
      <c r="AG3078" s="5"/>
    </row>
    <row r="3079" ht="15.75" customHeight="1">
      <c r="K3079" t="s">
        <v>5386</v>
      </c>
      <c r="L3079" t="str">
        <f>E192</f>
        <v>H3a2b</v>
      </c>
      <c r="N3079" t="s">
        <v>5387</v>
      </c>
      <c r="O3079">
        <v>1.7536797E7</v>
      </c>
      <c r="P3079">
        <v>1.5424917E7</v>
      </c>
      <c r="Q3079" t="s">
        <v>525</v>
      </c>
      <c r="R3079" s="5"/>
      <c r="S3079" s="5"/>
      <c r="T3079" s="5"/>
      <c r="U3079" s="5"/>
      <c r="V3079" s="5"/>
      <c r="W3079" s="5"/>
      <c r="X3079" s="5"/>
      <c r="Y3079" s="5"/>
      <c r="Z3079" s="5"/>
      <c r="AA3079" s="5"/>
      <c r="AB3079" s="5"/>
      <c r="AC3079" s="5"/>
      <c r="AD3079" s="5"/>
      <c r="AE3079" s="5"/>
      <c r="AF3079" s="5"/>
      <c r="AG3079" s="5"/>
    </row>
    <row r="3080" ht="15.75" customHeight="1">
      <c r="K3080" t="s">
        <v>5388</v>
      </c>
      <c r="L3080" t="str">
        <f>E192</f>
        <v>H3a2b</v>
      </c>
      <c r="N3080" t="s">
        <v>5389</v>
      </c>
      <c r="O3080">
        <v>1.7672718E7</v>
      </c>
      <c r="P3080">
        <v>1.5560838E7</v>
      </c>
      <c r="Q3080" t="s">
        <v>525</v>
      </c>
      <c r="R3080" s="5"/>
      <c r="S3080" s="5"/>
      <c r="T3080" s="5"/>
      <c r="U3080" s="5"/>
      <c r="V3080" s="5"/>
      <c r="W3080" s="5"/>
      <c r="X3080" s="5"/>
      <c r="Y3080" s="5"/>
      <c r="Z3080" s="5"/>
      <c r="AA3080" s="5"/>
      <c r="AB3080" s="5"/>
      <c r="AC3080" s="5"/>
      <c r="AD3080" s="5"/>
      <c r="AE3080" s="5"/>
      <c r="AF3080" s="5"/>
      <c r="AG3080" s="5"/>
    </row>
    <row r="3081" ht="15.75" customHeight="1">
      <c r="K3081" t="s">
        <v>5390</v>
      </c>
      <c r="L3081" t="str">
        <f>E192</f>
        <v>H3a2b</v>
      </c>
      <c r="N3081" t="s">
        <v>5391</v>
      </c>
      <c r="O3081">
        <v>1.7742958E7</v>
      </c>
      <c r="P3081">
        <v>1.5631078E7</v>
      </c>
      <c r="Q3081" t="s">
        <v>431</v>
      </c>
      <c r="R3081" s="5"/>
      <c r="S3081" s="5"/>
      <c r="T3081" s="5"/>
      <c r="U3081" s="5"/>
      <c r="V3081" s="5"/>
      <c r="W3081" s="5"/>
      <c r="X3081" s="5"/>
      <c r="Y3081" s="5"/>
      <c r="Z3081" s="5"/>
      <c r="AA3081" s="5"/>
      <c r="AB3081" s="5"/>
      <c r="AC3081" s="5"/>
      <c r="AD3081" s="5"/>
      <c r="AE3081" s="5"/>
      <c r="AF3081" s="5"/>
      <c r="AG3081" s="5"/>
    </row>
    <row r="3082" ht="15.75" customHeight="1">
      <c r="K3082" t="s">
        <v>5392</v>
      </c>
      <c r="L3082" t="str">
        <f>E192</f>
        <v>H3a2b</v>
      </c>
      <c r="N3082" t="s">
        <v>5393</v>
      </c>
      <c r="O3082">
        <v>1.7898009E7</v>
      </c>
      <c r="P3082">
        <v>1.5786129E7</v>
      </c>
      <c r="Q3082" t="s">
        <v>435</v>
      </c>
      <c r="R3082" s="5"/>
      <c r="S3082" s="5"/>
      <c r="T3082" s="5"/>
      <c r="U3082" s="5"/>
      <c r="V3082" s="5"/>
      <c r="W3082" s="5"/>
      <c r="X3082" s="5"/>
      <c r="Y3082" s="5"/>
      <c r="Z3082" s="5"/>
      <c r="AA3082" s="5"/>
      <c r="AB3082" s="5"/>
      <c r="AC3082" s="5"/>
      <c r="AD3082" s="5"/>
      <c r="AE3082" s="5"/>
      <c r="AF3082" s="5"/>
      <c r="AG3082" s="5"/>
    </row>
    <row r="3083" ht="15.75" customHeight="1">
      <c r="K3083" t="s">
        <v>5394</v>
      </c>
      <c r="L3083" t="str">
        <f>E192</f>
        <v>H3a2b</v>
      </c>
      <c r="N3083" t="s">
        <v>5395</v>
      </c>
      <c r="O3083">
        <v>1.7903326E7</v>
      </c>
      <c r="P3083">
        <v>1.5791446E7</v>
      </c>
      <c r="Q3083" t="s">
        <v>427</v>
      </c>
      <c r="R3083" s="5"/>
      <c r="S3083" s="5"/>
      <c r="T3083" s="5"/>
      <c r="U3083" s="5"/>
      <c r="V3083" s="5"/>
      <c r="W3083" s="5"/>
      <c r="X3083" s="5"/>
      <c r="Y3083" s="5"/>
      <c r="Z3083" s="5"/>
      <c r="AA3083" s="5"/>
      <c r="AB3083" s="5"/>
      <c r="AC3083" s="5"/>
      <c r="AD3083" s="5"/>
      <c r="AE3083" s="5"/>
      <c r="AF3083" s="5"/>
      <c r="AG3083" s="5"/>
    </row>
    <row r="3084" ht="15.75" customHeight="1">
      <c r="K3084" t="s">
        <v>5396</v>
      </c>
      <c r="L3084" t="str">
        <f>E192</f>
        <v>H3a2b</v>
      </c>
      <c r="N3084" t="s">
        <v>5397</v>
      </c>
      <c r="O3084">
        <v>1.79395E7</v>
      </c>
      <c r="P3084">
        <v>1.582762E7</v>
      </c>
      <c r="Q3084" t="s">
        <v>476</v>
      </c>
      <c r="R3084" s="5"/>
      <c r="S3084" s="5"/>
      <c r="T3084" s="5"/>
      <c r="U3084" s="5"/>
      <c r="V3084" s="5"/>
      <c r="W3084" s="5"/>
      <c r="X3084" s="5"/>
      <c r="Y3084" s="5"/>
      <c r="Z3084" s="5"/>
      <c r="AA3084" s="5"/>
      <c r="AB3084" s="5"/>
      <c r="AC3084" s="5"/>
      <c r="AD3084" s="5"/>
      <c r="AE3084" s="5"/>
      <c r="AF3084" s="5"/>
      <c r="AG3084" s="5"/>
    </row>
    <row r="3085" ht="15.75" customHeight="1">
      <c r="K3085" t="s">
        <v>5398</v>
      </c>
      <c r="L3085" t="str">
        <f>E192</f>
        <v>H3a2b</v>
      </c>
      <c r="O3085">
        <v>1.7973239E7</v>
      </c>
      <c r="P3085">
        <v>1.5861359E7</v>
      </c>
      <c r="Q3085" t="s">
        <v>419</v>
      </c>
      <c r="R3085" s="5"/>
      <c r="S3085" s="5"/>
      <c r="T3085" s="5"/>
      <c r="U3085" s="5"/>
      <c r="V3085" s="5"/>
      <c r="W3085" s="5"/>
      <c r="X3085" s="5"/>
      <c r="Y3085" s="5"/>
      <c r="Z3085" s="5"/>
      <c r="AA3085" s="5"/>
      <c r="AB3085" s="5"/>
      <c r="AC3085" s="5"/>
      <c r="AD3085" s="5"/>
      <c r="AE3085" s="5"/>
      <c r="AF3085" s="5"/>
      <c r="AG3085" s="5"/>
    </row>
    <row r="3086" ht="15.75" customHeight="1">
      <c r="K3086" t="s">
        <v>5399</v>
      </c>
      <c r="L3086" t="str">
        <f>E192</f>
        <v>H3a2b</v>
      </c>
      <c r="N3086" t="s">
        <v>5400</v>
      </c>
      <c r="O3086">
        <v>1.8164326E7</v>
      </c>
      <c r="P3086">
        <v>1.6052446E7</v>
      </c>
      <c r="Q3086" t="s">
        <v>423</v>
      </c>
      <c r="R3086" s="5"/>
      <c r="S3086" s="5"/>
      <c r="T3086" s="5"/>
      <c r="U3086" s="5"/>
      <c r="V3086" s="5"/>
      <c r="W3086" s="5"/>
      <c r="X3086" s="5"/>
      <c r="Y3086" s="5"/>
      <c r="Z3086" s="5"/>
      <c r="AA3086" s="5"/>
      <c r="AB3086" s="5"/>
      <c r="AC3086" s="5"/>
      <c r="AD3086" s="5"/>
      <c r="AE3086" s="5"/>
      <c r="AF3086" s="5"/>
      <c r="AG3086" s="5"/>
    </row>
    <row r="3087" ht="15.75" customHeight="1">
      <c r="K3087" t="s">
        <v>5401</v>
      </c>
      <c r="L3087" t="str">
        <f>E192</f>
        <v>H3a2b</v>
      </c>
      <c r="N3087" t="s">
        <v>5402</v>
      </c>
      <c r="O3087">
        <v>1.8188639E7</v>
      </c>
      <c r="P3087">
        <v>1.6076759E7</v>
      </c>
      <c r="Q3087" t="s">
        <v>427</v>
      </c>
      <c r="R3087" s="5"/>
      <c r="S3087" s="5"/>
      <c r="T3087" s="5"/>
      <c r="U3087" s="5"/>
      <c r="V3087" s="5"/>
      <c r="W3087" s="5"/>
      <c r="X3087" s="5"/>
      <c r="Y3087" s="5"/>
      <c r="Z3087" s="5"/>
      <c r="AA3087" s="5"/>
      <c r="AB3087" s="5"/>
      <c r="AC3087" s="5"/>
      <c r="AD3087" s="5"/>
      <c r="AE3087" s="5"/>
      <c r="AF3087" s="5"/>
      <c r="AG3087" s="5"/>
    </row>
    <row r="3088" ht="15.75" customHeight="1">
      <c r="K3088" t="s">
        <v>5403</v>
      </c>
      <c r="L3088" t="str">
        <f>E192</f>
        <v>H3a2b</v>
      </c>
      <c r="O3088">
        <v>1.8257491E7</v>
      </c>
      <c r="P3088">
        <v>1.6145611E7</v>
      </c>
      <c r="Q3088" t="s">
        <v>431</v>
      </c>
      <c r="R3088" s="5"/>
      <c r="S3088" s="5"/>
      <c r="T3088" s="5"/>
      <c r="U3088" s="5"/>
      <c r="V3088" s="5"/>
      <c r="W3088" s="5"/>
      <c r="X3088" s="5"/>
      <c r="Y3088" s="5"/>
      <c r="Z3088" s="5"/>
      <c r="AA3088" s="5"/>
      <c r="AB3088" s="5"/>
      <c r="AC3088" s="5"/>
      <c r="AD3088" s="5"/>
      <c r="AE3088" s="5"/>
      <c r="AF3088" s="5"/>
      <c r="AG3088" s="5"/>
    </row>
    <row r="3089" ht="15.75" customHeight="1">
      <c r="K3089" t="s">
        <v>5404</v>
      </c>
      <c r="L3089" t="str">
        <f>E192</f>
        <v>H3a2b</v>
      </c>
      <c r="O3089">
        <v>1.8539769E7</v>
      </c>
      <c r="P3089">
        <v>1.6427889E7</v>
      </c>
      <c r="Q3089" t="s">
        <v>459</v>
      </c>
      <c r="R3089" s="5"/>
      <c r="S3089" s="5"/>
      <c r="T3089" s="5"/>
      <c r="U3089" s="5"/>
      <c r="V3089" s="5"/>
      <c r="W3089" s="5"/>
      <c r="X3089" s="5"/>
      <c r="Y3089" s="5"/>
      <c r="Z3089" s="5"/>
      <c r="AA3089" s="5"/>
      <c r="AB3089" s="5"/>
      <c r="AC3089" s="5"/>
      <c r="AD3089" s="5"/>
      <c r="AE3089" s="5"/>
      <c r="AF3089" s="5"/>
      <c r="AG3089" s="5"/>
    </row>
    <row r="3090" ht="15.75" customHeight="1">
      <c r="K3090" t="s">
        <v>5405</v>
      </c>
      <c r="L3090" t="str">
        <f>E192</f>
        <v>H3a2b</v>
      </c>
      <c r="N3090" t="s">
        <v>5406</v>
      </c>
      <c r="O3090">
        <v>1.8670266E7</v>
      </c>
      <c r="P3090">
        <v>1.6558386E7</v>
      </c>
      <c r="Q3090" t="s">
        <v>419</v>
      </c>
      <c r="R3090" s="5"/>
      <c r="S3090" s="5"/>
      <c r="T3090" s="5"/>
      <c r="U3090" s="5"/>
      <c r="V3090" s="5"/>
      <c r="W3090" s="5"/>
      <c r="X3090" s="5"/>
      <c r="Y3090" s="5"/>
      <c r="Z3090" s="5"/>
      <c r="AA3090" s="5"/>
      <c r="AB3090" s="5"/>
      <c r="AC3090" s="5"/>
      <c r="AD3090" s="5"/>
      <c r="AE3090" s="5"/>
      <c r="AF3090" s="5"/>
      <c r="AG3090" s="5"/>
    </row>
    <row r="3091" ht="15.75" customHeight="1">
      <c r="K3091" t="s">
        <v>5407</v>
      </c>
      <c r="L3091" t="str">
        <f>E192</f>
        <v>H3a2b</v>
      </c>
      <c r="N3091" t="s">
        <v>5408</v>
      </c>
      <c r="O3091">
        <v>1.875701E7</v>
      </c>
      <c r="P3091">
        <v>1.664513E7</v>
      </c>
      <c r="Q3091" t="s">
        <v>427</v>
      </c>
      <c r="R3091" s="5"/>
      <c r="S3091" s="5"/>
      <c r="T3091" s="5"/>
      <c r="U3091" s="5"/>
      <c r="V3091" s="5"/>
      <c r="W3091" s="5"/>
      <c r="X3091" s="5"/>
      <c r="Y3091" s="5"/>
      <c r="Z3091" s="5"/>
      <c r="AA3091" s="5"/>
      <c r="AB3091" s="5"/>
      <c r="AC3091" s="5"/>
      <c r="AD3091" s="5"/>
      <c r="AE3091" s="5"/>
      <c r="AF3091" s="5"/>
      <c r="AG3091" s="5"/>
    </row>
    <row r="3092" ht="15.75" customHeight="1">
      <c r="K3092" t="s">
        <v>5409</v>
      </c>
      <c r="L3092" t="str">
        <f>E192</f>
        <v>H3a2b</v>
      </c>
      <c r="N3092" t="s">
        <v>5410</v>
      </c>
      <c r="O3092">
        <v>1.8882795E7</v>
      </c>
      <c r="P3092">
        <v>1.6770915E7</v>
      </c>
      <c r="Q3092" t="s">
        <v>419</v>
      </c>
      <c r="R3092" s="5"/>
      <c r="S3092" s="5"/>
      <c r="T3092" s="5"/>
      <c r="U3092" s="5"/>
      <c r="V3092" s="5"/>
      <c r="W3092" s="5"/>
      <c r="X3092" s="5"/>
      <c r="Y3092" s="5"/>
      <c r="Z3092" s="5"/>
      <c r="AA3092" s="5"/>
      <c r="AB3092" s="5"/>
      <c r="AC3092" s="5"/>
      <c r="AD3092" s="5"/>
      <c r="AE3092" s="5"/>
      <c r="AF3092" s="5"/>
      <c r="AG3092" s="5"/>
    </row>
    <row r="3093" ht="15.75" customHeight="1">
      <c r="K3093" t="s">
        <v>5411</v>
      </c>
      <c r="L3093" t="str">
        <f>E192</f>
        <v>H3a2b</v>
      </c>
      <c r="N3093" t="s">
        <v>5412</v>
      </c>
      <c r="O3093">
        <v>1.8916661E7</v>
      </c>
      <c r="P3093">
        <v>1.6804781E7</v>
      </c>
      <c r="Q3093" t="s">
        <v>423</v>
      </c>
      <c r="R3093" s="5"/>
      <c r="S3093" s="5"/>
      <c r="T3093" s="5"/>
      <c r="U3093" s="5"/>
      <c r="V3093" s="5"/>
      <c r="W3093" s="5"/>
      <c r="X3093" s="5"/>
      <c r="Y3093" s="5"/>
      <c r="Z3093" s="5"/>
      <c r="AA3093" s="5"/>
      <c r="AB3093" s="5"/>
      <c r="AC3093" s="5"/>
      <c r="AD3093" s="5"/>
      <c r="AE3093" s="5"/>
      <c r="AF3093" s="5"/>
      <c r="AG3093" s="5"/>
    </row>
    <row r="3094" ht="15.75" customHeight="1">
      <c r="K3094" t="s">
        <v>5413</v>
      </c>
      <c r="L3094" t="str">
        <f>E192</f>
        <v>H3a2b</v>
      </c>
      <c r="N3094" t="s">
        <v>5414</v>
      </c>
      <c r="O3094">
        <v>1.893723E7</v>
      </c>
      <c r="P3094">
        <v>1.682535E7</v>
      </c>
      <c r="Q3094" t="s">
        <v>448</v>
      </c>
      <c r="R3094" s="5"/>
      <c r="S3094" s="5"/>
      <c r="T3094" s="5"/>
      <c r="U3094" s="5"/>
      <c r="V3094" s="5"/>
      <c r="W3094" s="5"/>
      <c r="X3094" s="5"/>
      <c r="Y3094" s="5"/>
      <c r="Z3094" s="5"/>
      <c r="AA3094" s="5"/>
      <c r="AB3094" s="5"/>
      <c r="AC3094" s="5"/>
      <c r="AD3094" s="5"/>
      <c r="AE3094" s="5"/>
      <c r="AF3094" s="5"/>
      <c r="AG3094" s="5"/>
    </row>
    <row r="3095" ht="15.75" customHeight="1">
      <c r="K3095" t="s">
        <v>5415</v>
      </c>
      <c r="L3095" t="str">
        <f>E192</f>
        <v>H3a2b</v>
      </c>
      <c r="N3095" t="s">
        <v>5416</v>
      </c>
      <c r="O3095">
        <v>1.8994051E7</v>
      </c>
      <c r="P3095">
        <v>1.6882171E7</v>
      </c>
      <c r="Q3095" t="s">
        <v>431</v>
      </c>
      <c r="R3095" s="5"/>
      <c r="S3095" s="5"/>
      <c r="T3095" s="5"/>
      <c r="U3095" s="5"/>
      <c r="V3095" s="5"/>
      <c r="W3095" s="5"/>
      <c r="X3095" s="5"/>
      <c r="Y3095" s="5"/>
      <c r="Z3095" s="5"/>
      <c r="AA3095" s="5"/>
      <c r="AB3095" s="5"/>
      <c r="AC3095" s="5"/>
      <c r="AD3095" s="5"/>
      <c r="AE3095" s="5"/>
      <c r="AF3095" s="5"/>
      <c r="AG3095" s="5"/>
    </row>
    <row r="3096" ht="15.75" customHeight="1">
      <c r="K3096" t="s">
        <v>5417</v>
      </c>
      <c r="L3096" t="str">
        <f>E192</f>
        <v>H3a2b</v>
      </c>
      <c r="N3096" t="s">
        <v>5418</v>
      </c>
      <c r="O3096">
        <v>1.9150279E7</v>
      </c>
      <c r="P3096">
        <v>1.7038399E7</v>
      </c>
      <c r="Q3096" t="s">
        <v>423</v>
      </c>
      <c r="R3096" s="5"/>
      <c r="S3096" s="5"/>
      <c r="T3096" s="5"/>
      <c r="U3096" s="5"/>
      <c r="V3096" s="5"/>
      <c r="W3096" s="5"/>
      <c r="X3096" s="5"/>
      <c r="Y3096" s="5"/>
      <c r="Z3096" s="5"/>
      <c r="AA3096" s="5"/>
      <c r="AB3096" s="5"/>
      <c r="AC3096" s="5"/>
      <c r="AD3096" s="5"/>
      <c r="AE3096" s="5"/>
      <c r="AF3096" s="5"/>
      <c r="AG3096" s="5"/>
    </row>
    <row r="3097" ht="15.75" customHeight="1">
      <c r="K3097" t="s">
        <v>5419</v>
      </c>
      <c r="L3097" t="str">
        <f>E192</f>
        <v>H3a2b</v>
      </c>
      <c r="N3097" t="s">
        <v>5420</v>
      </c>
      <c r="O3097">
        <v>1.9189977E7</v>
      </c>
      <c r="P3097">
        <v>1.7078097E7</v>
      </c>
      <c r="Q3097" t="s">
        <v>435</v>
      </c>
      <c r="R3097" s="5"/>
      <c r="S3097" s="5"/>
      <c r="T3097" s="5"/>
      <c r="U3097" s="5"/>
      <c r="V3097" s="5"/>
      <c r="W3097" s="5"/>
      <c r="X3097" s="5"/>
      <c r="Y3097" s="5"/>
      <c r="Z3097" s="5"/>
      <c r="AA3097" s="5"/>
      <c r="AB3097" s="5"/>
      <c r="AC3097" s="5"/>
      <c r="AD3097" s="5"/>
      <c r="AE3097" s="5"/>
      <c r="AF3097" s="5"/>
      <c r="AG3097" s="5"/>
    </row>
    <row r="3098" ht="15.75" customHeight="1">
      <c r="K3098" t="s">
        <v>5421</v>
      </c>
      <c r="L3098" t="str">
        <f>E192</f>
        <v>H3a2b</v>
      </c>
      <c r="N3098" t="s">
        <v>5422</v>
      </c>
      <c r="O3098">
        <v>1.9249126E7</v>
      </c>
      <c r="P3098">
        <v>1.7137246E7</v>
      </c>
      <c r="Q3098" t="s">
        <v>423</v>
      </c>
      <c r="R3098" s="5"/>
      <c r="S3098" s="5"/>
      <c r="T3098" s="5"/>
      <c r="U3098" s="5"/>
      <c r="V3098" s="5"/>
      <c r="W3098" s="5"/>
      <c r="X3098" s="5"/>
      <c r="Y3098" s="5"/>
      <c r="Z3098" s="5"/>
      <c r="AA3098" s="5"/>
      <c r="AB3098" s="5"/>
      <c r="AC3098" s="5"/>
      <c r="AD3098" s="5"/>
      <c r="AE3098" s="5"/>
      <c r="AF3098" s="5"/>
      <c r="AG3098" s="5"/>
    </row>
    <row r="3099" ht="15.75" customHeight="1">
      <c r="K3099" t="s">
        <v>5423</v>
      </c>
      <c r="L3099" t="str">
        <f>E192</f>
        <v>H3a2b</v>
      </c>
      <c r="N3099" t="s">
        <v>5424</v>
      </c>
      <c r="O3099">
        <v>1.9291951E7</v>
      </c>
      <c r="P3099">
        <v>1.7180071E7</v>
      </c>
      <c r="Q3099" t="s">
        <v>431</v>
      </c>
      <c r="R3099" s="5"/>
      <c r="S3099" s="5"/>
      <c r="T3099" s="5"/>
      <c r="U3099" s="5"/>
      <c r="V3099" s="5"/>
      <c r="W3099" s="5"/>
      <c r="X3099" s="5"/>
      <c r="Y3099" s="5"/>
      <c r="Z3099" s="5"/>
      <c r="AA3099" s="5"/>
      <c r="AB3099" s="5"/>
      <c r="AC3099" s="5"/>
      <c r="AD3099" s="5"/>
      <c r="AE3099" s="5"/>
      <c r="AF3099" s="5"/>
      <c r="AG3099" s="5"/>
    </row>
    <row r="3100" ht="15.75" customHeight="1">
      <c r="K3100" t="s">
        <v>5425</v>
      </c>
      <c r="L3100" t="str">
        <f>E192</f>
        <v>H3a2b</v>
      </c>
      <c r="N3100" t="s">
        <v>5426</v>
      </c>
      <c r="O3100">
        <v>1.9419577E7</v>
      </c>
      <c r="P3100">
        <v>1.7307697E7</v>
      </c>
      <c r="Q3100" t="s">
        <v>427</v>
      </c>
      <c r="R3100" s="5"/>
      <c r="S3100" s="5"/>
      <c r="T3100" s="5"/>
      <c r="U3100" s="5"/>
      <c r="V3100" s="5"/>
      <c r="W3100" s="5"/>
      <c r="X3100" s="5"/>
      <c r="Y3100" s="5"/>
      <c r="Z3100" s="5"/>
      <c r="AA3100" s="5"/>
      <c r="AB3100" s="5"/>
      <c r="AC3100" s="5"/>
      <c r="AD3100" s="5"/>
      <c r="AE3100" s="5"/>
      <c r="AF3100" s="5"/>
      <c r="AG3100" s="5"/>
    </row>
    <row r="3101" ht="15.75" customHeight="1">
      <c r="K3101" t="s">
        <v>5427</v>
      </c>
      <c r="L3101" t="str">
        <f>E192</f>
        <v>H3a2b</v>
      </c>
      <c r="N3101" t="s">
        <v>5428</v>
      </c>
      <c r="O3101">
        <v>1.9453123E7</v>
      </c>
      <c r="P3101">
        <v>1.7341243E7</v>
      </c>
      <c r="Q3101" t="s">
        <v>423</v>
      </c>
      <c r="R3101" s="5"/>
      <c r="S3101" s="5"/>
      <c r="T3101" s="5"/>
      <c r="U3101" s="5"/>
      <c r="V3101" s="5"/>
      <c r="W3101" s="5"/>
      <c r="X3101" s="5"/>
      <c r="Y3101" s="5"/>
      <c r="Z3101" s="5"/>
      <c r="AA3101" s="5"/>
      <c r="AB3101" s="5"/>
      <c r="AC3101" s="5"/>
      <c r="AD3101" s="5"/>
      <c r="AE3101" s="5"/>
      <c r="AF3101" s="5"/>
      <c r="AG3101" s="5"/>
    </row>
    <row r="3102" ht="15.75" customHeight="1">
      <c r="K3102" t="s">
        <v>5429</v>
      </c>
      <c r="L3102" t="str">
        <f>E192</f>
        <v>H3a2b</v>
      </c>
      <c r="N3102" t="s">
        <v>5430</v>
      </c>
      <c r="O3102">
        <v>1.9478021E7</v>
      </c>
      <c r="P3102">
        <v>1.7366141E7</v>
      </c>
      <c r="Q3102" t="s">
        <v>452</v>
      </c>
      <c r="R3102" s="5"/>
      <c r="S3102" s="5"/>
      <c r="T3102" s="5"/>
      <c r="U3102" s="5"/>
      <c r="V3102" s="5"/>
      <c r="W3102" s="5"/>
      <c r="X3102" s="5"/>
      <c r="Y3102" s="5"/>
      <c r="Z3102" s="5"/>
      <c r="AA3102" s="5"/>
      <c r="AB3102" s="5"/>
      <c r="AC3102" s="5"/>
      <c r="AD3102" s="5"/>
      <c r="AE3102" s="5"/>
      <c r="AF3102" s="5"/>
      <c r="AG3102" s="5"/>
    </row>
    <row r="3103" ht="15.75" customHeight="1">
      <c r="K3103" t="s">
        <v>5431</v>
      </c>
      <c r="L3103" t="str">
        <f>E192</f>
        <v>H3a2b</v>
      </c>
      <c r="N3103" t="s">
        <v>5432</v>
      </c>
      <c r="O3103">
        <v>2.1457428E7</v>
      </c>
      <c r="P3103">
        <v>1.9295542E7</v>
      </c>
      <c r="Q3103" t="s">
        <v>423</v>
      </c>
      <c r="R3103" s="5"/>
      <c r="S3103" s="5"/>
      <c r="T3103" s="5"/>
      <c r="U3103" s="5"/>
      <c r="V3103" s="5"/>
      <c r="W3103" s="5"/>
      <c r="X3103" s="5"/>
      <c r="Y3103" s="5"/>
      <c r="Z3103" s="5"/>
      <c r="AA3103" s="5"/>
      <c r="AB3103" s="5"/>
      <c r="AC3103" s="5"/>
      <c r="AD3103" s="5"/>
      <c r="AE3103" s="5"/>
      <c r="AF3103" s="5"/>
      <c r="AG3103" s="5"/>
    </row>
    <row r="3104" ht="15.75" customHeight="1">
      <c r="K3104" t="s">
        <v>5433</v>
      </c>
      <c r="L3104" t="str">
        <f>E192</f>
        <v>H3a2b</v>
      </c>
      <c r="N3104" t="s">
        <v>5434</v>
      </c>
      <c r="O3104">
        <v>2.1619904E7</v>
      </c>
      <c r="P3104">
        <v>1.9458018E7</v>
      </c>
      <c r="Q3104" t="s">
        <v>431</v>
      </c>
      <c r="R3104" s="5"/>
      <c r="S3104" s="5"/>
      <c r="T3104" s="5"/>
      <c r="U3104" s="5"/>
      <c r="V3104" s="5"/>
      <c r="W3104" s="5"/>
      <c r="X3104" s="5"/>
      <c r="Y3104" s="5"/>
      <c r="Z3104" s="5"/>
      <c r="AA3104" s="5"/>
      <c r="AB3104" s="5"/>
      <c r="AC3104" s="5"/>
      <c r="AD3104" s="5"/>
      <c r="AE3104" s="5"/>
      <c r="AF3104" s="5"/>
      <c r="AG3104" s="5"/>
    </row>
    <row r="3105" ht="15.75" customHeight="1">
      <c r="K3105" t="s">
        <v>5435</v>
      </c>
      <c r="L3105" t="str">
        <f>E192</f>
        <v>H3a2b</v>
      </c>
      <c r="N3105" t="s">
        <v>5436</v>
      </c>
      <c r="O3105">
        <v>2.1643764E7</v>
      </c>
      <c r="P3105">
        <v>1.9481878E7</v>
      </c>
      <c r="Q3105" t="s">
        <v>423</v>
      </c>
      <c r="R3105" s="5"/>
      <c r="S3105" s="5"/>
      <c r="T3105" s="5"/>
      <c r="U3105" s="5"/>
      <c r="V3105" s="5"/>
      <c r="W3105" s="5"/>
      <c r="X3105" s="5"/>
      <c r="Y3105" s="5"/>
      <c r="Z3105" s="5"/>
      <c r="AA3105" s="5"/>
      <c r="AB3105" s="5"/>
      <c r="AC3105" s="5"/>
      <c r="AD3105" s="5"/>
      <c r="AE3105" s="5"/>
      <c r="AF3105" s="5"/>
      <c r="AG3105" s="5"/>
    </row>
    <row r="3106" ht="15.75" customHeight="1">
      <c r="K3106" t="s">
        <v>5437</v>
      </c>
      <c r="L3106" t="str">
        <f>E192</f>
        <v>H3a2b</v>
      </c>
      <c r="O3106">
        <v>2.1832031E7</v>
      </c>
      <c r="P3106">
        <v>1.9670145E7</v>
      </c>
      <c r="Q3106" t="s">
        <v>459</v>
      </c>
      <c r="R3106" s="5"/>
      <c r="S3106" s="5"/>
      <c r="T3106" s="5"/>
      <c r="U3106" s="5"/>
      <c r="V3106" s="5"/>
      <c r="W3106" s="5"/>
      <c r="X3106" s="5"/>
      <c r="Y3106" s="5"/>
      <c r="Z3106" s="5"/>
      <c r="AA3106" s="5"/>
      <c r="AB3106" s="5"/>
      <c r="AC3106" s="5"/>
      <c r="AD3106" s="5"/>
      <c r="AE3106" s="5"/>
      <c r="AF3106" s="5"/>
      <c r="AG3106" s="5"/>
    </row>
    <row r="3107" ht="15.75" customHeight="1">
      <c r="K3107" t="s">
        <v>5438</v>
      </c>
      <c r="L3107" t="str">
        <f>E192</f>
        <v>H3a2b</v>
      </c>
      <c r="N3107" t="s">
        <v>5439</v>
      </c>
      <c r="O3107">
        <v>2.1870976E7</v>
      </c>
      <c r="P3107">
        <v>1.970909E7</v>
      </c>
      <c r="Q3107" t="s">
        <v>431</v>
      </c>
      <c r="R3107" s="5"/>
      <c r="S3107" s="5"/>
      <c r="T3107" s="5"/>
      <c r="U3107" s="5"/>
      <c r="V3107" s="5"/>
      <c r="W3107" s="5"/>
      <c r="X3107" s="5"/>
      <c r="Y3107" s="5"/>
      <c r="Z3107" s="5"/>
      <c r="AA3107" s="5"/>
      <c r="AB3107" s="5"/>
      <c r="AC3107" s="5"/>
      <c r="AD3107" s="5"/>
      <c r="AE3107" s="5"/>
      <c r="AF3107" s="5"/>
      <c r="AG3107" s="5"/>
    </row>
    <row r="3108" ht="15.75" customHeight="1">
      <c r="K3108" t="s">
        <v>5440</v>
      </c>
      <c r="L3108" t="str">
        <f>E192</f>
        <v>H3a2b</v>
      </c>
      <c r="N3108" t="s">
        <v>5441</v>
      </c>
      <c r="O3108">
        <v>2.1880461E7</v>
      </c>
      <c r="P3108">
        <v>1.9718575E7</v>
      </c>
      <c r="Q3108" t="s">
        <v>423</v>
      </c>
      <c r="R3108" s="5"/>
      <c r="S3108" s="5"/>
      <c r="T3108" s="5"/>
      <c r="U3108" s="5"/>
      <c r="V3108" s="5"/>
      <c r="W3108" s="5"/>
      <c r="X3108" s="5"/>
      <c r="Y3108" s="5"/>
      <c r="Z3108" s="5"/>
      <c r="AA3108" s="5"/>
      <c r="AB3108" s="5"/>
      <c r="AC3108" s="5"/>
      <c r="AD3108" s="5"/>
      <c r="AE3108" s="5"/>
      <c r="AF3108" s="5"/>
      <c r="AG3108" s="5"/>
    </row>
    <row r="3109" ht="15.75" customHeight="1">
      <c r="K3109" t="s">
        <v>5442</v>
      </c>
      <c r="L3109" t="str">
        <f>E192</f>
        <v>H3a2b</v>
      </c>
      <c r="N3109" t="s">
        <v>5443</v>
      </c>
      <c r="O3109">
        <v>2.1894888E7</v>
      </c>
      <c r="P3109">
        <v>1.9733002E7</v>
      </c>
      <c r="Q3109" t="s">
        <v>476</v>
      </c>
      <c r="R3109" s="5"/>
      <c r="S3109" s="5"/>
      <c r="T3109" s="5"/>
      <c r="U3109" s="5"/>
      <c r="V3109" s="5"/>
      <c r="W3109" s="5"/>
      <c r="X3109" s="5"/>
      <c r="Y3109" s="5"/>
      <c r="Z3109" s="5"/>
      <c r="AA3109" s="5"/>
      <c r="AB3109" s="5"/>
      <c r="AC3109" s="5"/>
      <c r="AD3109" s="5"/>
      <c r="AE3109" s="5"/>
      <c r="AF3109" s="5"/>
      <c r="AG3109" s="5"/>
    </row>
    <row r="3110" ht="15.75" customHeight="1">
      <c r="K3110" t="s">
        <v>5444</v>
      </c>
      <c r="L3110" t="str">
        <f>E192</f>
        <v>H3a2b</v>
      </c>
      <c r="N3110" t="s">
        <v>5445</v>
      </c>
      <c r="O3110">
        <v>2.2053992E7</v>
      </c>
      <c r="P3110">
        <v>1.9892106E7</v>
      </c>
      <c r="Q3110" t="s">
        <v>431</v>
      </c>
      <c r="R3110" s="5"/>
      <c r="S3110" s="5"/>
      <c r="T3110" s="5"/>
      <c r="U3110" s="5"/>
      <c r="V3110" s="5"/>
      <c r="W3110" s="5"/>
      <c r="X3110" s="5"/>
      <c r="Y3110" s="5"/>
      <c r="Z3110" s="5"/>
      <c r="AA3110" s="5"/>
      <c r="AB3110" s="5"/>
      <c r="AC3110" s="5"/>
      <c r="AD3110" s="5"/>
      <c r="AE3110" s="5"/>
      <c r="AF3110" s="5"/>
      <c r="AG3110" s="5"/>
    </row>
    <row r="3111" ht="15.75" customHeight="1">
      <c r="K3111" t="s">
        <v>5446</v>
      </c>
      <c r="L3111" t="str">
        <f>E192</f>
        <v>H3a2b</v>
      </c>
      <c r="N3111" t="s">
        <v>5447</v>
      </c>
      <c r="O3111">
        <v>2.2060785E7</v>
      </c>
      <c r="P3111">
        <v>1.9898899E7</v>
      </c>
      <c r="Q3111" t="s">
        <v>435</v>
      </c>
      <c r="R3111" s="5"/>
      <c r="S3111" s="5"/>
      <c r="T3111" s="5"/>
      <c r="U3111" s="5"/>
      <c r="V3111" s="5"/>
      <c r="W3111" s="5"/>
      <c r="X3111" s="5"/>
      <c r="Y3111" s="5"/>
      <c r="Z3111" s="5"/>
      <c r="AA3111" s="5"/>
      <c r="AB3111" s="5"/>
      <c r="AC3111" s="5"/>
      <c r="AD3111" s="5"/>
      <c r="AE3111" s="5"/>
      <c r="AF3111" s="5"/>
      <c r="AG3111" s="5"/>
    </row>
    <row r="3112" ht="15.75" customHeight="1">
      <c r="K3112" t="s">
        <v>5448</v>
      </c>
      <c r="L3112" t="str">
        <f>E192</f>
        <v>H3a2b</v>
      </c>
      <c r="N3112" t="s">
        <v>5449</v>
      </c>
      <c r="O3112">
        <v>2.2068127E7</v>
      </c>
      <c r="P3112">
        <v>1.9906241E7</v>
      </c>
      <c r="Q3112" t="s">
        <v>448</v>
      </c>
      <c r="R3112" s="5"/>
      <c r="S3112" s="5"/>
      <c r="T3112" s="5"/>
      <c r="U3112" s="5"/>
      <c r="V3112" s="5"/>
      <c r="W3112" s="5"/>
      <c r="X3112" s="5"/>
      <c r="Y3112" s="5"/>
      <c r="Z3112" s="5"/>
      <c r="AA3112" s="5"/>
      <c r="AB3112" s="5"/>
      <c r="AC3112" s="5"/>
      <c r="AD3112" s="5"/>
      <c r="AE3112" s="5"/>
      <c r="AF3112" s="5"/>
      <c r="AG3112" s="5"/>
    </row>
    <row r="3113" ht="15.75" customHeight="1">
      <c r="K3113" t="s">
        <v>5450</v>
      </c>
      <c r="L3113" t="str">
        <f>E192</f>
        <v>H3a2b</v>
      </c>
      <c r="N3113" t="s">
        <v>5451</v>
      </c>
      <c r="O3113">
        <v>2.2201524E7</v>
      </c>
      <c r="P3113">
        <v>2.0039638E7</v>
      </c>
      <c r="Q3113" t="s">
        <v>525</v>
      </c>
      <c r="R3113" s="5"/>
      <c r="S3113" s="5"/>
      <c r="T3113" s="5"/>
      <c r="U3113" s="5"/>
      <c r="V3113" s="5"/>
      <c r="W3113" s="5"/>
      <c r="X3113" s="5"/>
      <c r="Y3113" s="5"/>
      <c r="Z3113" s="5"/>
      <c r="AA3113" s="5"/>
      <c r="AB3113" s="5"/>
      <c r="AC3113" s="5"/>
      <c r="AD3113" s="5"/>
      <c r="AE3113" s="5"/>
      <c r="AF3113" s="5"/>
      <c r="AG3113" s="5"/>
    </row>
    <row r="3114" ht="15.75" customHeight="1">
      <c r="K3114" t="s">
        <v>5452</v>
      </c>
      <c r="L3114" t="str">
        <f>E192</f>
        <v>H3a2b</v>
      </c>
      <c r="N3114" t="s">
        <v>5453</v>
      </c>
      <c r="O3114">
        <v>2.2673461E7</v>
      </c>
      <c r="P3114">
        <v>2.0511575E7</v>
      </c>
      <c r="Q3114" t="s">
        <v>448</v>
      </c>
      <c r="R3114" s="5"/>
      <c r="S3114" s="5"/>
      <c r="T3114" s="5"/>
      <c r="U3114" s="5"/>
      <c r="V3114" s="5"/>
      <c r="W3114" s="5"/>
      <c r="X3114" s="5"/>
      <c r="Y3114" s="5"/>
      <c r="Z3114" s="5"/>
      <c r="AA3114" s="5"/>
      <c r="AB3114" s="5"/>
      <c r="AC3114" s="5"/>
      <c r="AD3114" s="5"/>
      <c r="AE3114" s="5"/>
      <c r="AF3114" s="5"/>
      <c r="AG3114" s="5"/>
    </row>
    <row r="3115" ht="15.75" customHeight="1">
      <c r="K3115" t="s">
        <v>5454</v>
      </c>
      <c r="L3115" t="str">
        <f>E192</f>
        <v>H3a2b</v>
      </c>
      <c r="N3115" t="s">
        <v>5455</v>
      </c>
      <c r="O3115">
        <v>2.2865289E7</v>
      </c>
      <c r="P3115">
        <v>2.0703403E7</v>
      </c>
      <c r="Q3115" t="s">
        <v>423</v>
      </c>
      <c r="R3115" s="5"/>
      <c r="S3115" s="5"/>
      <c r="T3115" s="5"/>
      <c r="U3115" s="5"/>
      <c r="V3115" s="5"/>
      <c r="W3115" s="5"/>
      <c r="X3115" s="5"/>
      <c r="Y3115" s="5"/>
      <c r="Z3115" s="5"/>
      <c r="AA3115" s="5"/>
      <c r="AB3115" s="5"/>
      <c r="AC3115" s="5"/>
      <c r="AD3115" s="5"/>
      <c r="AE3115" s="5"/>
      <c r="AF3115" s="5"/>
      <c r="AG3115" s="5"/>
    </row>
    <row r="3116" ht="15.75" customHeight="1">
      <c r="K3116" t="s">
        <v>5456</v>
      </c>
      <c r="L3116" t="str">
        <f>E192</f>
        <v>H3a2b</v>
      </c>
      <c r="N3116" t="s">
        <v>5457</v>
      </c>
      <c r="O3116">
        <v>2.2970463E7</v>
      </c>
      <c r="P3116">
        <v>2.0808577E7</v>
      </c>
      <c r="Q3116" t="s">
        <v>419</v>
      </c>
      <c r="R3116" s="5"/>
      <c r="S3116" s="5"/>
      <c r="T3116" s="5"/>
      <c r="U3116" s="5"/>
      <c r="V3116" s="5"/>
      <c r="W3116" s="5"/>
      <c r="X3116" s="5"/>
      <c r="Y3116" s="5"/>
      <c r="Z3116" s="5"/>
      <c r="AA3116" s="5"/>
      <c r="AB3116" s="5"/>
      <c r="AC3116" s="5"/>
      <c r="AD3116" s="5"/>
      <c r="AE3116" s="5"/>
      <c r="AF3116" s="5"/>
      <c r="AG3116" s="5"/>
    </row>
    <row r="3117" ht="15.75" customHeight="1">
      <c r="K3117" t="s">
        <v>5458</v>
      </c>
      <c r="L3117" t="str">
        <f>E192</f>
        <v>H3a2b</v>
      </c>
      <c r="N3117" t="s">
        <v>5459</v>
      </c>
      <c r="O3117">
        <v>2.3073303E7</v>
      </c>
      <c r="P3117">
        <v>2.0911417E7</v>
      </c>
      <c r="Q3117" t="s">
        <v>435</v>
      </c>
      <c r="R3117" s="5"/>
      <c r="S3117" s="5"/>
      <c r="T3117" s="5"/>
      <c r="U3117" s="5"/>
      <c r="V3117" s="5"/>
      <c r="W3117" s="5"/>
      <c r="X3117" s="5"/>
      <c r="Y3117" s="5"/>
      <c r="Z3117" s="5"/>
      <c r="AA3117" s="5"/>
      <c r="AB3117" s="5"/>
      <c r="AC3117" s="5"/>
      <c r="AD3117" s="5"/>
      <c r="AE3117" s="5"/>
      <c r="AF3117" s="5"/>
      <c r="AG3117" s="5"/>
    </row>
    <row r="3118" ht="15.75" customHeight="1">
      <c r="K3118" t="s">
        <v>5460</v>
      </c>
      <c r="L3118" t="str">
        <f>E192</f>
        <v>H3a2b</v>
      </c>
      <c r="N3118" t="s">
        <v>5461</v>
      </c>
      <c r="O3118">
        <v>2.3125286E7</v>
      </c>
      <c r="P3118">
        <v>2.09634E7</v>
      </c>
      <c r="Q3118" t="s">
        <v>423</v>
      </c>
      <c r="R3118" s="5"/>
      <c r="S3118" s="5"/>
      <c r="T3118" s="5"/>
      <c r="U3118" s="5"/>
      <c r="V3118" s="5"/>
      <c r="W3118" s="5"/>
      <c r="X3118" s="5"/>
      <c r="Y3118" s="5"/>
      <c r="Z3118" s="5"/>
      <c r="AA3118" s="5"/>
      <c r="AB3118" s="5"/>
      <c r="AC3118" s="5"/>
      <c r="AD3118" s="5"/>
      <c r="AE3118" s="5"/>
      <c r="AF3118" s="5"/>
      <c r="AG3118" s="5"/>
    </row>
    <row r="3119" ht="15.75" customHeight="1">
      <c r="K3119" t="s">
        <v>5462</v>
      </c>
      <c r="L3119" t="str">
        <f>E192</f>
        <v>H3a2b</v>
      </c>
      <c r="O3119">
        <v>2.3205744E7</v>
      </c>
      <c r="P3119">
        <v>2.1043858E7</v>
      </c>
      <c r="Q3119" t="s">
        <v>448</v>
      </c>
      <c r="R3119" s="5"/>
      <c r="S3119" s="5"/>
      <c r="T3119" s="5"/>
      <c r="U3119" s="5"/>
      <c r="V3119" s="5"/>
      <c r="W3119" s="5"/>
      <c r="X3119" s="5"/>
      <c r="Y3119" s="5"/>
      <c r="Z3119" s="5"/>
      <c r="AA3119" s="5"/>
      <c r="AB3119" s="5"/>
      <c r="AC3119" s="5"/>
      <c r="AD3119" s="5"/>
      <c r="AE3119" s="5"/>
      <c r="AF3119" s="5"/>
      <c r="AG3119" s="5"/>
    </row>
    <row r="3120" ht="15.75" customHeight="1">
      <c r="K3120" t="s">
        <v>5463</v>
      </c>
      <c r="L3120" t="str">
        <f>E192</f>
        <v>H3a2b</v>
      </c>
      <c r="N3120" t="s">
        <v>5464</v>
      </c>
      <c r="O3120">
        <v>2.3299183E7</v>
      </c>
      <c r="P3120">
        <v>2.1137297E7</v>
      </c>
      <c r="Q3120" t="s">
        <v>419</v>
      </c>
      <c r="R3120" s="5"/>
      <c r="S3120" s="5"/>
      <c r="T3120" s="5"/>
      <c r="U3120" s="5"/>
      <c r="V3120" s="5"/>
      <c r="W3120" s="5"/>
      <c r="X3120" s="5"/>
      <c r="Y3120" s="5"/>
      <c r="Z3120" s="5"/>
      <c r="AA3120" s="5"/>
      <c r="AB3120" s="5"/>
      <c r="AC3120" s="5"/>
      <c r="AD3120" s="5"/>
      <c r="AE3120" s="5"/>
      <c r="AF3120" s="5"/>
      <c r="AG3120" s="5"/>
    </row>
    <row r="3121" ht="15.75" customHeight="1">
      <c r="K3121" t="s">
        <v>5465</v>
      </c>
      <c r="L3121" t="str">
        <f>E192</f>
        <v>H3a2b</v>
      </c>
      <c r="N3121" t="s">
        <v>5466</v>
      </c>
      <c r="O3121">
        <v>2.3364697E7</v>
      </c>
      <c r="P3121">
        <v>2.1202811E7</v>
      </c>
      <c r="Q3121" t="s">
        <v>423</v>
      </c>
      <c r="R3121" s="5"/>
      <c r="S3121" s="5"/>
      <c r="T3121" s="5"/>
      <c r="U3121" s="5"/>
      <c r="V3121" s="5"/>
      <c r="W3121" s="5"/>
      <c r="X3121" s="5"/>
      <c r="Y3121" s="5"/>
      <c r="Z3121" s="5"/>
      <c r="AA3121" s="5"/>
      <c r="AB3121" s="5"/>
      <c r="AC3121" s="5"/>
      <c r="AD3121" s="5"/>
      <c r="AE3121" s="5"/>
      <c r="AF3121" s="5"/>
      <c r="AG3121" s="5"/>
    </row>
    <row r="3122" ht="15.75" customHeight="1">
      <c r="K3122" t="s">
        <v>5467</v>
      </c>
      <c r="L3122" t="str">
        <f>E192</f>
        <v>H3a2b</v>
      </c>
      <c r="N3122" t="s">
        <v>5468</v>
      </c>
      <c r="O3122">
        <v>2.3388631E7</v>
      </c>
      <c r="P3122">
        <v>2.1226745E7</v>
      </c>
      <c r="Q3122" t="s">
        <v>431</v>
      </c>
      <c r="R3122" s="5"/>
      <c r="S3122" s="5"/>
      <c r="T3122" s="5"/>
      <c r="U3122" s="5"/>
      <c r="V3122" s="5"/>
      <c r="W3122" s="5"/>
      <c r="X3122" s="5"/>
      <c r="Y3122" s="5"/>
      <c r="Z3122" s="5"/>
      <c r="AA3122" s="5"/>
      <c r="AB3122" s="5"/>
      <c r="AC3122" s="5"/>
      <c r="AD3122" s="5"/>
      <c r="AE3122" s="5"/>
      <c r="AF3122" s="5"/>
      <c r="AG3122" s="5"/>
    </row>
    <row r="3123" ht="15.75" customHeight="1">
      <c r="K3123" t="s">
        <v>5469</v>
      </c>
      <c r="L3123" t="str">
        <f>E192</f>
        <v>H3a2b</v>
      </c>
      <c r="N3123" t="s">
        <v>5470</v>
      </c>
      <c r="O3123">
        <v>2.3499867E7</v>
      </c>
      <c r="P3123">
        <v>2.1337981E7</v>
      </c>
      <c r="Q3123" t="s">
        <v>459</v>
      </c>
      <c r="R3123" s="5"/>
      <c r="S3123" s="5"/>
      <c r="T3123" s="5"/>
      <c r="U3123" s="5"/>
      <c r="V3123" s="5"/>
      <c r="W3123" s="5"/>
      <c r="X3123" s="5"/>
      <c r="Y3123" s="5"/>
      <c r="Z3123" s="5"/>
      <c r="AA3123" s="5"/>
      <c r="AB3123" s="5"/>
      <c r="AC3123" s="5"/>
      <c r="AD3123" s="5"/>
      <c r="AE3123" s="5"/>
      <c r="AF3123" s="5"/>
      <c r="AG3123" s="5"/>
    </row>
    <row r="3124" ht="15.75" customHeight="1">
      <c r="K3124" t="s">
        <v>5471</v>
      </c>
      <c r="L3124" t="str">
        <f>E192</f>
        <v>H3a2b</v>
      </c>
      <c r="N3124" t="s">
        <v>5472</v>
      </c>
      <c r="O3124">
        <v>2.3615802E7</v>
      </c>
      <c r="P3124">
        <v>2.1453916E7</v>
      </c>
      <c r="Q3124" t="s">
        <v>423</v>
      </c>
      <c r="R3124" s="5"/>
      <c r="S3124" s="5"/>
      <c r="T3124" s="5"/>
      <c r="U3124" s="5"/>
      <c r="V3124" s="5"/>
      <c r="W3124" s="5"/>
      <c r="X3124" s="5"/>
      <c r="Y3124" s="5"/>
      <c r="Z3124" s="5"/>
      <c r="AA3124" s="5"/>
      <c r="AB3124" s="5"/>
      <c r="AC3124" s="5"/>
      <c r="AD3124" s="5"/>
      <c r="AE3124" s="5"/>
      <c r="AF3124" s="5"/>
      <c r="AG3124" s="5"/>
    </row>
    <row r="3125" ht="15.75" customHeight="1">
      <c r="K3125" t="s">
        <v>5473</v>
      </c>
      <c r="L3125" t="str">
        <f>E192</f>
        <v>H3a2b</v>
      </c>
      <c r="N3125" t="s">
        <v>5474</v>
      </c>
      <c r="O3125">
        <v>2.380915E7</v>
      </c>
      <c r="P3125">
        <v>2.1647264E7</v>
      </c>
      <c r="Q3125" t="s">
        <v>419</v>
      </c>
      <c r="R3125" s="5"/>
      <c r="S3125" s="5"/>
      <c r="T3125" s="5"/>
      <c r="U3125" s="5"/>
      <c r="V3125" s="5"/>
      <c r="W3125" s="5"/>
      <c r="X3125" s="5"/>
      <c r="Y3125" s="5"/>
      <c r="Z3125" s="5"/>
      <c r="AA3125" s="5"/>
      <c r="AB3125" s="5"/>
      <c r="AC3125" s="5"/>
      <c r="AD3125" s="5"/>
      <c r="AE3125" s="5"/>
      <c r="AF3125" s="5"/>
      <c r="AG3125" s="5"/>
    </row>
    <row r="3126" ht="15.75" customHeight="1">
      <c r="K3126" t="s">
        <v>5475</v>
      </c>
      <c r="L3126" t="str">
        <f>E192</f>
        <v>H3a2b</v>
      </c>
      <c r="O3126">
        <v>2.4364448E7</v>
      </c>
      <c r="P3126">
        <v>2.2218301E7</v>
      </c>
      <c r="Q3126" t="s">
        <v>448</v>
      </c>
      <c r="R3126" s="5"/>
      <c r="S3126" s="5"/>
      <c r="T3126" s="5"/>
      <c r="U3126" s="5"/>
      <c r="V3126" s="5"/>
      <c r="W3126" s="5"/>
      <c r="X3126" s="5"/>
      <c r="Y3126" s="5"/>
      <c r="Z3126" s="5"/>
      <c r="AA3126" s="5"/>
      <c r="AB3126" s="5"/>
      <c r="AC3126" s="5"/>
      <c r="AD3126" s="5"/>
      <c r="AE3126" s="5"/>
      <c r="AF3126" s="5"/>
      <c r="AG3126" s="5"/>
    </row>
    <row r="3127" ht="15.75" customHeight="1">
      <c r="K3127" t="s">
        <v>5476</v>
      </c>
      <c r="L3127" t="str">
        <f>E192</f>
        <v>H3a2b</v>
      </c>
      <c r="N3127" t="s">
        <v>5477</v>
      </c>
      <c r="O3127">
        <v>2.4466101E7</v>
      </c>
      <c r="P3127">
        <v>2.2319954E7</v>
      </c>
      <c r="Q3127" t="s">
        <v>419</v>
      </c>
      <c r="R3127" s="5"/>
      <c r="S3127" s="5"/>
      <c r="T3127" s="5"/>
      <c r="U3127" s="5"/>
      <c r="V3127" s="5"/>
      <c r="W3127" s="5"/>
      <c r="X3127" s="5"/>
      <c r="Y3127" s="5"/>
      <c r="Z3127" s="5"/>
      <c r="AA3127" s="5"/>
      <c r="AB3127" s="5"/>
      <c r="AC3127" s="5"/>
      <c r="AD3127" s="5"/>
      <c r="AE3127" s="5"/>
      <c r="AF3127" s="5"/>
      <c r="AG3127" s="5"/>
    </row>
    <row r="3128" ht="15.75" customHeight="1">
      <c r="K3128" t="s">
        <v>5478</v>
      </c>
      <c r="L3128" t="str">
        <f>E192</f>
        <v>H3a2b</v>
      </c>
      <c r="O3128">
        <v>2.8589301E7</v>
      </c>
      <c r="P3128">
        <v>2.6443154E7</v>
      </c>
      <c r="Q3128" t="s">
        <v>423</v>
      </c>
      <c r="R3128" s="5"/>
      <c r="S3128" s="5"/>
      <c r="T3128" s="5"/>
      <c r="U3128" s="5"/>
      <c r="V3128" s="5"/>
      <c r="W3128" s="5"/>
      <c r="X3128" s="5"/>
      <c r="Y3128" s="5"/>
      <c r="Z3128" s="5"/>
      <c r="AA3128" s="5"/>
      <c r="AB3128" s="5"/>
      <c r="AC3128" s="5"/>
      <c r="AD3128" s="5"/>
      <c r="AE3128" s="5"/>
      <c r="AF3128" s="5"/>
      <c r="AG3128" s="5"/>
    </row>
    <row r="3129" ht="15.75" customHeight="1">
      <c r="K3129" t="s">
        <v>5479</v>
      </c>
      <c r="L3129" t="str">
        <f>E192</f>
        <v>H3a2b</v>
      </c>
      <c r="N3129" t="s">
        <v>5480</v>
      </c>
      <c r="O3129">
        <v>2.8620074E7</v>
      </c>
      <c r="P3129">
        <v>2.6473927E7</v>
      </c>
      <c r="Q3129" t="s">
        <v>525</v>
      </c>
      <c r="R3129" s="5"/>
      <c r="S3129" s="5"/>
      <c r="T3129" s="5"/>
      <c r="U3129" s="5"/>
      <c r="V3129" s="5"/>
      <c r="W3129" s="5"/>
      <c r="X3129" s="5"/>
      <c r="Y3129" s="5"/>
      <c r="Z3129" s="5"/>
      <c r="AA3129" s="5"/>
      <c r="AB3129" s="5"/>
      <c r="AC3129" s="5"/>
      <c r="AD3129" s="5"/>
      <c r="AE3129" s="5"/>
      <c r="AF3129" s="5"/>
      <c r="AG3129" s="5"/>
    </row>
    <row r="3130" ht="15.75" customHeight="1">
      <c r="K3130" t="s">
        <v>5481</v>
      </c>
      <c r="L3130" t="str">
        <f>E192</f>
        <v>H3a2b</v>
      </c>
      <c r="N3130" t="s">
        <v>5482</v>
      </c>
      <c r="O3130">
        <v>2.8653159E7</v>
      </c>
      <c r="P3130">
        <v>2.6507012E7</v>
      </c>
      <c r="Q3130" t="s">
        <v>476</v>
      </c>
      <c r="R3130" s="5"/>
      <c r="S3130" s="5"/>
      <c r="T3130" s="5"/>
      <c r="U3130" s="5"/>
      <c r="V3130" s="5"/>
      <c r="W3130" s="5"/>
      <c r="X3130" s="5"/>
      <c r="Y3130" s="5"/>
      <c r="Z3130" s="5"/>
      <c r="AA3130" s="5"/>
      <c r="AB3130" s="5"/>
      <c r="AC3130" s="5"/>
      <c r="AD3130" s="5"/>
      <c r="AE3130" s="5"/>
      <c r="AF3130" s="5"/>
      <c r="AG3130" s="5"/>
    </row>
    <row r="3131" ht="15.75" customHeight="1">
      <c r="K3131" t="s">
        <v>5483</v>
      </c>
      <c r="L3131" t="str">
        <f>E192</f>
        <v>H3a2b</v>
      </c>
      <c r="N3131" t="s">
        <v>5484</v>
      </c>
      <c r="O3131">
        <v>2.8764114E7</v>
      </c>
      <c r="P3131">
        <v>2.6617967E7</v>
      </c>
      <c r="Q3131" t="s">
        <v>423</v>
      </c>
      <c r="R3131" s="5"/>
      <c r="S3131" s="5"/>
      <c r="T3131" s="5"/>
      <c r="U3131" s="5"/>
      <c r="V3131" s="5"/>
      <c r="W3131" s="5"/>
      <c r="X3131" s="5"/>
      <c r="Y3131" s="5"/>
      <c r="Z3131" s="5"/>
      <c r="AA3131" s="5"/>
      <c r="AB3131" s="5"/>
      <c r="AC3131" s="5"/>
      <c r="AD3131" s="5"/>
      <c r="AE3131" s="5"/>
      <c r="AF3131" s="5"/>
      <c r="AG3131" s="5"/>
    </row>
    <row r="3132" ht="15.75" customHeight="1">
      <c r="K3132" t="s">
        <v>5485</v>
      </c>
      <c r="L3132" t="str">
        <f>E192</f>
        <v>H3a2b</v>
      </c>
      <c r="N3132" t="s">
        <v>5486</v>
      </c>
      <c r="O3132">
        <v>1.7748673E7</v>
      </c>
      <c r="P3132">
        <v>1.5636793E7</v>
      </c>
      <c r="Q3132" t="s">
        <v>419</v>
      </c>
      <c r="R3132" s="5"/>
      <c r="S3132" s="5"/>
      <c r="T3132" s="5"/>
      <c r="U3132" s="5"/>
      <c r="V3132" s="5"/>
      <c r="W3132" s="5"/>
      <c r="X3132" s="5"/>
      <c r="Y3132" s="5"/>
      <c r="Z3132" s="5"/>
      <c r="AA3132" s="5"/>
      <c r="AB3132" s="5"/>
      <c r="AC3132" s="5"/>
      <c r="AD3132" s="5"/>
      <c r="AE3132" s="5"/>
      <c r="AF3132" s="5"/>
      <c r="AG3132" s="5"/>
    </row>
    <row r="3133" ht="15.75" customHeight="1">
      <c r="K3133" t="s">
        <v>5487</v>
      </c>
      <c r="L3133" t="str">
        <f>F193</f>
        <v>H3a2b1~</v>
      </c>
      <c r="N3133" t="s">
        <v>5488</v>
      </c>
      <c r="O3133">
        <v>2887863.0</v>
      </c>
      <c r="P3133">
        <v>3019822.0</v>
      </c>
      <c r="Q3133" t="s">
        <v>435</v>
      </c>
      <c r="R3133" s="5"/>
      <c r="S3133" s="5"/>
      <c r="T3133" s="5"/>
      <c r="U3133" s="5"/>
      <c r="V3133" s="5"/>
      <c r="W3133" s="5"/>
      <c r="X3133" s="5"/>
      <c r="Y3133" s="5"/>
      <c r="Z3133" s="5"/>
      <c r="AA3133" s="5"/>
      <c r="AB3133" s="5"/>
      <c r="AC3133" s="5"/>
      <c r="AD3133" s="5"/>
      <c r="AE3133" s="5"/>
      <c r="AF3133" s="5"/>
      <c r="AG3133" s="5"/>
    </row>
    <row r="3134" ht="15.75" customHeight="1">
      <c r="K3134" t="s">
        <v>5489</v>
      </c>
      <c r="L3134" t="str">
        <f>F193</f>
        <v>H3a2b1~</v>
      </c>
      <c r="N3134" t="s">
        <v>5490</v>
      </c>
      <c r="O3134">
        <v>8866252.0</v>
      </c>
      <c r="P3134">
        <v>8998211.0</v>
      </c>
      <c r="Q3134" t="s">
        <v>448</v>
      </c>
      <c r="R3134" s="5"/>
      <c r="S3134" s="5"/>
      <c r="T3134" s="5"/>
      <c r="U3134" s="5"/>
      <c r="V3134" s="5"/>
      <c r="W3134" s="5"/>
      <c r="X3134" s="5"/>
      <c r="Y3134" s="5"/>
      <c r="Z3134" s="5"/>
      <c r="AA3134" s="5"/>
      <c r="AB3134" s="5"/>
      <c r="AC3134" s="5"/>
      <c r="AD3134" s="5"/>
      <c r="AE3134" s="5"/>
      <c r="AF3134" s="5"/>
      <c r="AG3134" s="5"/>
    </row>
    <row r="3135" ht="15.75" customHeight="1">
      <c r="K3135" t="s">
        <v>5491</v>
      </c>
      <c r="L3135" t="str">
        <f>F193</f>
        <v>H3a2b1~</v>
      </c>
      <c r="N3135" t="s">
        <v>5492</v>
      </c>
      <c r="O3135">
        <v>1.5512936E7</v>
      </c>
      <c r="P3135">
        <v>1.3401056E7</v>
      </c>
      <c r="Q3135" t="s">
        <v>431</v>
      </c>
      <c r="R3135" s="5"/>
      <c r="S3135" s="5"/>
      <c r="T3135" s="5"/>
      <c r="U3135" s="5"/>
      <c r="V3135" s="5"/>
      <c r="W3135" s="5"/>
      <c r="X3135" s="5"/>
      <c r="Y3135" s="5"/>
      <c r="Z3135" s="5"/>
      <c r="AA3135" s="5"/>
      <c r="AB3135" s="5"/>
      <c r="AC3135" s="5"/>
      <c r="AD3135" s="5"/>
      <c r="AE3135" s="5"/>
      <c r="AF3135" s="5"/>
      <c r="AG3135" s="5"/>
    </row>
    <row r="3136" ht="15.75" customHeight="1">
      <c r="K3136" t="s">
        <v>5493</v>
      </c>
      <c r="L3136" t="str">
        <f t="shared" ref="L3136:L3137" si="57">F193</f>
        <v>H3a2b1~</v>
      </c>
      <c r="N3136" t="s">
        <v>5494</v>
      </c>
      <c r="O3136">
        <v>2.1533752E7</v>
      </c>
      <c r="P3136">
        <v>1.9371866E7</v>
      </c>
      <c r="Q3136" t="s">
        <v>459</v>
      </c>
      <c r="R3136" s="5"/>
      <c r="S3136" s="5"/>
      <c r="T3136" s="5"/>
      <c r="U3136" s="5"/>
      <c r="V3136" s="5"/>
      <c r="W3136" s="5"/>
      <c r="X3136" s="5"/>
      <c r="Y3136" s="5"/>
      <c r="Z3136" s="5"/>
      <c r="AA3136" s="5"/>
      <c r="AB3136" s="5"/>
      <c r="AC3136" s="5"/>
      <c r="AD3136" s="5"/>
      <c r="AE3136" s="5"/>
      <c r="AF3136" s="5"/>
      <c r="AG3136" s="5"/>
    </row>
    <row r="3137" ht="15.75" customHeight="1">
      <c r="K3137" t="s">
        <v>5495</v>
      </c>
      <c r="L3137" t="str">
        <f t="shared" si="57"/>
        <v>H3a2b2~</v>
      </c>
      <c r="N3137" t="s">
        <v>5496</v>
      </c>
      <c r="O3137">
        <v>8840883.0</v>
      </c>
      <c r="P3137">
        <v>8972842.0</v>
      </c>
      <c r="Q3137" t="s">
        <v>459</v>
      </c>
      <c r="R3137" s="5"/>
      <c r="S3137" s="5"/>
      <c r="T3137" s="5"/>
      <c r="U3137" s="5"/>
      <c r="V3137" s="5"/>
      <c r="W3137" s="5"/>
      <c r="X3137" s="5"/>
      <c r="Y3137" s="5"/>
      <c r="Z3137" s="5"/>
      <c r="AA3137" s="5"/>
      <c r="AB3137" s="5"/>
      <c r="AC3137" s="5"/>
      <c r="AD3137" s="5"/>
      <c r="AE3137" s="5"/>
      <c r="AF3137" s="5"/>
      <c r="AG3137" s="5"/>
    </row>
    <row r="3138" ht="15.75" customHeight="1">
      <c r="K3138" t="s">
        <v>5497</v>
      </c>
      <c r="L3138" t="str">
        <f>F194</f>
        <v>H3a2b2~</v>
      </c>
      <c r="N3138" t="s">
        <v>5498</v>
      </c>
      <c r="O3138">
        <v>1.7443326E7</v>
      </c>
      <c r="P3138">
        <v>1.5331446E7</v>
      </c>
      <c r="Q3138" t="s">
        <v>473</v>
      </c>
      <c r="R3138" s="5"/>
      <c r="S3138" s="5"/>
      <c r="T3138" s="5"/>
      <c r="U3138" s="5"/>
      <c r="V3138" s="5"/>
      <c r="W3138" s="5"/>
      <c r="X3138" s="5"/>
      <c r="Y3138" s="5"/>
      <c r="Z3138" s="5"/>
      <c r="AA3138" s="5"/>
      <c r="AB3138" s="5"/>
      <c r="AC3138" s="5"/>
      <c r="AD3138" s="5"/>
      <c r="AE3138" s="5"/>
      <c r="AF3138" s="5"/>
      <c r="AG3138" s="5"/>
    </row>
    <row r="3139" ht="15.75" customHeight="1">
      <c r="K3139" t="s">
        <v>5499</v>
      </c>
      <c r="L3139" t="str">
        <f>F194</f>
        <v>H3a2b2~</v>
      </c>
      <c r="N3139" t="s">
        <v>5500</v>
      </c>
      <c r="O3139">
        <v>2.342273E7</v>
      </c>
      <c r="P3139">
        <v>2.1260844E7</v>
      </c>
      <c r="Q3139" t="s">
        <v>459</v>
      </c>
      <c r="R3139" s="5"/>
      <c r="S3139" s="5"/>
      <c r="T3139" s="5"/>
      <c r="U3139" s="5"/>
      <c r="V3139" s="5"/>
      <c r="W3139" s="5"/>
      <c r="X3139" s="5"/>
      <c r="Y3139" s="5"/>
      <c r="Z3139" s="5"/>
      <c r="AA3139" s="5"/>
      <c r="AB3139" s="5"/>
      <c r="AC3139" s="5"/>
      <c r="AD3139" s="5"/>
      <c r="AE3139" s="5"/>
      <c r="AF3139" s="5"/>
      <c r="AG3139" s="5"/>
    </row>
    <row r="3140" ht="15.75" customHeight="1">
      <c r="K3140" t="s">
        <v>5501</v>
      </c>
      <c r="L3140" t="str">
        <f>F194</f>
        <v>H3a2b2~</v>
      </c>
      <c r="O3140">
        <v>2.3994719E7</v>
      </c>
      <c r="P3140">
        <v>2.1848572E7</v>
      </c>
      <c r="Q3140" t="s">
        <v>419</v>
      </c>
      <c r="R3140" s="5"/>
      <c r="S3140" s="5"/>
      <c r="T3140" s="5"/>
      <c r="U3140" s="5"/>
      <c r="V3140" s="5"/>
      <c r="W3140" s="5"/>
      <c r="X3140" s="5"/>
      <c r="Y3140" s="5"/>
      <c r="Z3140" s="5"/>
      <c r="AA3140" s="5"/>
      <c r="AB3140" s="5"/>
      <c r="AC3140" s="5"/>
      <c r="AD3140" s="5"/>
      <c r="AE3140" s="5"/>
      <c r="AF3140" s="5"/>
      <c r="AG3140" s="5"/>
    </row>
    <row r="3141" ht="15.75" customHeight="1">
      <c r="K3141" t="s">
        <v>5502</v>
      </c>
      <c r="L3141" t="str">
        <f>C195</f>
        <v>H3b</v>
      </c>
      <c r="N3141" t="s">
        <v>5503</v>
      </c>
      <c r="O3141">
        <v>2878605.0</v>
      </c>
      <c r="P3141">
        <v>3010564.0</v>
      </c>
      <c r="Q3141" t="s">
        <v>473</v>
      </c>
      <c r="R3141" s="5"/>
      <c r="S3141" s="5"/>
      <c r="T3141" s="5"/>
      <c r="U3141" s="5"/>
      <c r="V3141" s="5"/>
      <c r="W3141" s="5"/>
      <c r="X3141" s="5"/>
      <c r="Y3141" s="5"/>
      <c r="Z3141" s="5"/>
      <c r="AA3141" s="5"/>
      <c r="AB3141" s="5"/>
      <c r="AC3141" s="5"/>
      <c r="AD3141" s="5"/>
      <c r="AE3141" s="5"/>
      <c r="AF3141" s="5"/>
      <c r="AG3141" s="5"/>
    </row>
    <row r="3142" ht="15.75" customHeight="1">
      <c r="K3142" t="s">
        <v>5504</v>
      </c>
      <c r="L3142" t="str">
        <f>C195</f>
        <v>H3b</v>
      </c>
      <c r="N3142" t="s">
        <v>5505</v>
      </c>
      <c r="O3142">
        <v>2.122589E7</v>
      </c>
      <c r="P3142">
        <v>1.9064004E7</v>
      </c>
      <c r="Q3142" t="s">
        <v>473</v>
      </c>
      <c r="R3142" s="5"/>
      <c r="S3142" s="5"/>
      <c r="T3142" s="5"/>
      <c r="U3142" s="5"/>
      <c r="V3142" s="5"/>
      <c r="W3142" s="5"/>
      <c r="X3142" s="5"/>
      <c r="Y3142" s="5"/>
      <c r="Z3142" s="5"/>
      <c r="AA3142" s="5"/>
      <c r="AB3142" s="5"/>
      <c r="AC3142" s="5"/>
      <c r="AD3142" s="5"/>
      <c r="AE3142" s="5"/>
      <c r="AF3142" s="5"/>
      <c r="AG3142" s="5"/>
    </row>
    <row r="3143" ht="15.75" customHeight="1">
      <c r="K3143" t="s">
        <v>5506</v>
      </c>
      <c r="L3143" t="str">
        <f>C195</f>
        <v>H3b</v>
      </c>
      <c r="N3143" t="s">
        <v>5507</v>
      </c>
      <c r="O3143">
        <v>2.128844E7</v>
      </c>
      <c r="P3143">
        <v>1.9126554E7</v>
      </c>
      <c r="Q3143" t="s">
        <v>419</v>
      </c>
      <c r="R3143" s="5"/>
      <c r="S3143" s="5"/>
      <c r="T3143" s="5"/>
      <c r="U3143" s="5"/>
      <c r="V3143" s="5"/>
      <c r="W3143" s="5"/>
      <c r="X3143" s="5"/>
      <c r="Y3143" s="5"/>
      <c r="Z3143" s="5"/>
      <c r="AA3143" s="5"/>
      <c r="AB3143" s="5"/>
      <c r="AC3143" s="5"/>
      <c r="AD3143" s="5"/>
      <c r="AE3143" s="5"/>
      <c r="AF3143" s="5"/>
      <c r="AG3143" s="5"/>
    </row>
    <row r="3144" ht="15.75" customHeight="1">
      <c r="K3144" t="s">
        <v>5508</v>
      </c>
      <c r="L3144" t="str">
        <f>C195</f>
        <v>H3b</v>
      </c>
      <c r="N3144" t="s">
        <v>5509</v>
      </c>
      <c r="O3144">
        <v>2.2184956E7</v>
      </c>
      <c r="P3144">
        <v>2.002307E7</v>
      </c>
      <c r="Q3144" t="s">
        <v>525</v>
      </c>
      <c r="R3144" s="5"/>
      <c r="S3144" s="5"/>
      <c r="T3144" s="5"/>
      <c r="U3144" s="5"/>
      <c r="V3144" s="5"/>
      <c r="W3144" s="5"/>
      <c r="X3144" s="5"/>
      <c r="Y3144" s="5"/>
      <c r="Z3144" s="5"/>
      <c r="AA3144" s="5"/>
      <c r="AB3144" s="5"/>
      <c r="AC3144" s="5"/>
      <c r="AD3144" s="5"/>
      <c r="AE3144" s="5"/>
      <c r="AF3144" s="5"/>
      <c r="AG3144" s="5"/>
    </row>
    <row r="3145" ht="15.75" customHeight="1">
      <c r="K3145" t="s">
        <v>5510</v>
      </c>
      <c r="L3145" t="str">
        <f>C195</f>
        <v>H3b</v>
      </c>
      <c r="M3145" t="s">
        <v>5511</v>
      </c>
      <c r="N3145" t="s">
        <v>5512</v>
      </c>
      <c r="O3145">
        <v>1.9555539E7</v>
      </c>
      <c r="P3145">
        <v>1.7443659E7</v>
      </c>
      <c r="Q3145" t="s">
        <v>419</v>
      </c>
      <c r="R3145" s="5"/>
      <c r="S3145" s="5"/>
      <c r="T3145" s="5"/>
      <c r="U3145" s="5"/>
      <c r="V3145" s="5"/>
      <c r="W3145" s="5"/>
      <c r="X3145" s="5"/>
      <c r="Y3145" s="5"/>
      <c r="Z3145" s="5"/>
      <c r="AA3145" s="5"/>
      <c r="AB3145" s="5"/>
      <c r="AC3145" s="5"/>
      <c r="AD3145" s="5"/>
      <c r="AE3145" s="5"/>
      <c r="AF3145" s="5"/>
      <c r="AG3145" s="5"/>
    </row>
    <row r="3146" ht="15.75" customHeight="1">
      <c r="K3146" t="s">
        <v>5511</v>
      </c>
      <c r="L3146" t="str">
        <f>C195</f>
        <v>H3b</v>
      </c>
      <c r="M3146" t="s">
        <v>5510</v>
      </c>
      <c r="N3146" t="s">
        <v>5512</v>
      </c>
      <c r="O3146">
        <v>1.9555539E7</v>
      </c>
      <c r="P3146">
        <v>1.7443659E7</v>
      </c>
      <c r="Q3146" t="s">
        <v>419</v>
      </c>
      <c r="R3146" s="5"/>
      <c r="S3146" s="5"/>
      <c r="T3146" s="5"/>
      <c r="U3146" s="5"/>
      <c r="V3146" s="5"/>
      <c r="W3146" s="5"/>
      <c r="X3146" s="5"/>
      <c r="Y3146" s="5"/>
      <c r="Z3146" s="5"/>
      <c r="AA3146" s="5"/>
      <c r="AB3146" s="5"/>
      <c r="AC3146" s="5"/>
      <c r="AD3146" s="5"/>
      <c r="AE3146" s="5"/>
      <c r="AF3146" s="5"/>
      <c r="AG3146" s="5"/>
    </row>
    <row r="3147" ht="15.75" customHeight="1">
      <c r="K3147" t="s">
        <v>5513</v>
      </c>
      <c r="L3147" t="str">
        <f>C195</f>
        <v>H3b</v>
      </c>
      <c r="N3147" t="s">
        <v>5514</v>
      </c>
      <c r="O3147">
        <v>1.765179E7</v>
      </c>
      <c r="P3147">
        <v>1.553991E7</v>
      </c>
      <c r="Q3147" t="s">
        <v>431</v>
      </c>
      <c r="R3147" s="5"/>
      <c r="S3147" s="5"/>
      <c r="T3147" s="5"/>
      <c r="U3147" s="5"/>
      <c r="V3147" s="5"/>
      <c r="W3147" s="5"/>
      <c r="X3147" s="5"/>
      <c r="Y3147" s="5"/>
      <c r="Z3147" s="5"/>
      <c r="AA3147" s="5"/>
      <c r="AB3147" s="5"/>
      <c r="AC3147" s="5"/>
      <c r="AD3147" s="5"/>
      <c r="AE3147" s="5"/>
      <c r="AF3147" s="5"/>
      <c r="AG3147" s="5"/>
    </row>
    <row r="3148" ht="15.75" customHeight="1">
      <c r="K3148" t="s">
        <v>5515</v>
      </c>
      <c r="L3148" t="str">
        <f>C195</f>
        <v>H3b</v>
      </c>
      <c r="N3148" t="s">
        <v>5516</v>
      </c>
      <c r="O3148">
        <v>2913033.0</v>
      </c>
      <c r="P3148">
        <v>3044992.0</v>
      </c>
      <c r="Q3148" t="s">
        <v>423</v>
      </c>
      <c r="R3148" s="5"/>
      <c r="S3148" s="5"/>
      <c r="T3148" s="5"/>
      <c r="U3148" s="5"/>
      <c r="V3148" s="5"/>
      <c r="W3148" s="5"/>
      <c r="X3148" s="5"/>
      <c r="Y3148" s="5"/>
      <c r="Z3148" s="5"/>
      <c r="AA3148" s="5"/>
      <c r="AB3148" s="5"/>
      <c r="AC3148" s="5"/>
      <c r="AD3148" s="5"/>
      <c r="AE3148" s="5"/>
      <c r="AF3148" s="5"/>
      <c r="AG3148" s="5"/>
    </row>
    <row r="3149" ht="15.75" customHeight="1">
      <c r="K3149" t="s">
        <v>5517</v>
      </c>
      <c r="L3149" t="str">
        <f>C195</f>
        <v>H3b</v>
      </c>
      <c r="N3149" t="s">
        <v>5518</v>
      </c>
      <c r="O3149">
        <v>7146100.0</v>
      </c>
      <c r="P3149">
        <v>7278059.0</v>
      </c>
      <c r="Q3149" t="s">
        <v>423</v>
      </c>
      <c r="R3149" s="5"/>
      <c r="S3149" s="5"/>
      <c r="T3149" s="5"/>
      <c r="U3149" s="5"/>
      <c r="V3149" s="5"/>
      <c r="W3149" s="5"/>
      <c r="X3149" s="5"/>
      <c r="Y3149" s="5"/>
      <c r="Z3149" s="5"/>
      <c r="AA3149" s="5"/>
      <c r="AB3149" s="5"/>
      <c r="AC3149" s="5"/>
      <c r="AD3149" s="5"/>
      <c r="AE3149" s="5"/>
      <c r="AF3149" s="5"/>
      <c r="AG3149" s="5"/>
    </row>
    <row r="3150" ht="15.75" customHeight="1">
      <c r="K3150" t="s">
        <v>5519</v>
      </c>
      <c r="L3150" t="str">
        <f>C195</f>
        <v>H3b</v>
      </c>
      <c r="N3150" t="s">
        <v>5520</v>
      </c>
      <c r="O3150">
        <v>7265358.0</v>
      </c>
      <c r="P3150">
        <v>7397317.0</v>
      </c>
      <c r="Q3150" t="s">
        <v>423</v>
      </c>
      <c r="R3150" s="5"/>
      <c r="S3150" s="5"/>
      <c r="T3150" s="5"/>
      <c r="U3150" s="5"/>
      <c r="V3150" s="5"/>
      <c r="W3150" s="5"/>
      <c r="X3150" s="5"/>
      <c r="Y3150" s="5"/>
      <c r="Z3150" s="5"/>
      <c r="AA3150" s="5"/>
      <c r="AB3150" s="5"/>
      <c r="AC3150" s="5"/>
      <c r="AD3150" s="5"/>
      <c r="AE3150" s="5"/>
      <c r="AF3150" s="5"/>
      <c r="AG3150" s="5"/>
    </row>
    <row r="3151" ht="15.75" customHeight="1">
      <c r="K3151" t="s">
        <v>5521</v>
      </c>
      <c r="L3151" t="str">
        <f>C195</f>
        <v>H3b</v>
      </c>
      <c r="N3151" t="s">
        <v>5522</v>
      </c>
      <c r="O3151">
        <v>7283179.0</v>
      </c>
      <c r="P3151">
        <v>7415138.0</v>
      </c>
      <c r="Q3151" t="s">
        <v>423</v>
      </c>
      <c r="R3151" s="5"/>
      <c r="S3151" s="5"/>
      <c r="T3151" s="5"/>
      <c r="U3151" s="5"/>
      <c r="V3151" s="5"/>
      <c r="W3151" s="5"/>
      <c r="X3151" s="5"/>
      <c r="Y3151" s="5"/>
      <c r="Z3151" s="5"/>
      <c r="AA3151" s="5"/>
      <c r="AB3151" s="5"/>
      <c r="AC3151" s="5"/>
      <c r="AD3151" s="5"/>
      <c r="AE3151" s="5"/>
      <c r="AF3151" s="5"/>
      <c r="AG3151" s="5"/>
    </row>
    <row r="3152" ht="15.75" customHeight="1">
      <c r="K3152" t="s">
        <v>5523</v>
      </c>
      <c r="L3152" t="str">
        <f>C195</f>
        <v>H3b</v>
      </c>
      <c r="N3152" t="s">
        <v>5524</v>
      </c>
      <c r="O3152">
        <v>7319659.0</v>
      </c>
      <c r="P3152">
        <v>7451618.0</v>
      </c>
      <c r="Q3152" t="s">
        <v>452</v>
      </c>
      <c r="R3152" s="5"/>
      <c r="S3152" s="5"/>
      <c r="T3152" s="5"/>
      <c r="U3152" s="5"/>
      <c r="V3152" s="5"/>
      <c r="W3152" s="5"/>
      <c r="X3152" s="5"/>
      <c r="Y3152" s="5"/>
      <c r="Z3152" s="5"/>
      <c r="AA3152" s="5"/>
      <c r="AB3152" s="5"/>
      <c r="AC3152" s="5"/>
      <c r="AD3152" s="5"/>
      <c r="AE3152" s="5"/>
      <c r="AF3152" s="5"/>
      <c r="AG3152" s="5"/>
    </row>
    <row r="3153" ht="15.75" customHeight="1">
      <c r="K3153" t="s">
        <v>5525</v>
      </c>
      <c r="L3153" t="str">
        <f>C195</f>
        <v>H3b</v>
      </c>
      <c r="N3153" t="s">
        <v>5526</v>
      </c>
      <c r="O3153">
        <v>7861892.0</v>
      </c>
      <c r="P3153">
        <v>7993851.0</v>
      </c>
      <c r="Q3153" t="s">
        <v>423</v>
      </c>
      <c r="R3153" s="5"/>
      <c r="S3153" s="5"/>
      <c r="T3153" s="5"/>
      <c r="U3153" s="5"/>
      <c r="V3153" s="5"/>
      <c r="W3153" s="5"/>
      <c r="X3153" s="5"/>
      <c r="Y3153" s="5"/>
      <c r="Z3153" s="5"/>
      <c r="AA3153" s="5"/>
      <c r="AB3153" s="5"/>
      <c r="AC3153" s="5"/>
      <c r="AD3153" s="5"/>
      <c r="AE3153" s="5"/>
      <c r="AF3153" s="5"/>
      <c r="AG3153" s="5"/>
    </row>
    <row r="3154" ht="15.75" customHeight="1">
      <c r="K3154" t="s">
        <v>5527</v>
      </c>
      <c r="L3154" t="str">
        <f>C195</f>
        <v>H3b</v>
      </c>
      <c r="N3154" t="s">
        <v>5528</v>
      </c>
      <c r="O3154">
        <v>8099876.0</v>
      </c>
      <c r="P3154">
        <v>8231835.0</v>
      </c>
      <c r="Q3154" t="s">
        <v>431</v>
      </c>
      <c r="R3154" s="5"/>
      <c r="S3154" s="5"/>
      <c r="T3154" s="5"/>
      <c r="U3154" s="5"/>
      <c r="V3154" s="5"/>
      <c r="W3154" s="5"/>
      <c r="X3154" s="5"/>
      <c r="Y3154" s="5"/>
      <c r="Z3154" s="5"/>
      <c r="AA3154" s="5"/>
      <c r="AB3154" s="5"/>
      <c r="AC3154" s="5"/>
      <c r="AD3154" s="5"/>
      <c r="AE3154" s="5"/>
      <c r="AF3154" s="5"/>
      <c r="AG3154" s="5"/>
    </row>
    <row r="3155" ht="15.75" customHeight="1">
      <c r="K3155" t="s">
        <v>5529</v>
      </c>
      <c r="L3155" t="str">
        <f>C195</f>
        <v>H3b</v>
      </c>
      <c r="N3155" t="s">
        <v>5530</v>
      </c>
      <c r="O3155">
        <v>8121886.0</v>
      </c>
      <c r="P3155">
        <v>8253845.0</v>
      </c>
      <c r="Q3155" t="s">
        <v>452</v>
      </c>
      <c r="R3155" s="5"/>
      <c r="S3155" s="5"/>
      <c r="T3155" s="5"/>
      <c r="U3155" s="5"/>
      <c r="V3155" s="5"/>
      <c r="W3155" s="5"/>
      <c r="X3155" s="5"/>
      <c r="Y3155" s="5"/>
      <c r="Z3155" s="5"/>
      <c r="AA3155" s="5"/>
      <c r="AB3155" s="5"/>
      <c r="AC3155" s="5"/>
      <c r="AD3155" s="5"/>
      <c r="AE3155" s="5"/>
      <c r="AF3155" s="5"/>
      <c r="AG3155" s="5"/>
    </row>
    <row r="3156" ht="15.75" customHeight="1">
      <c r="K3156" t="s">
        <v>5531</v>
      </c>
      <c r="L3156" t="str">
        <f>C195</f>
        <v>H3b</v>
      </c>
      <c r="O3156" t="s">
        <v>5532</v>
      </c>
      <c r="P3156" t="s">
        <v>5533</v>
      </c>
      <c r="Q3156" t="s">
        <v>5534</v>
      </c>
      <c r="R3156" s="5"/>
      <c r="S3156" s="5"/>
      <c r="T3156" s="5"/>
      <c r="U3156" s="5"/>
      <c r="V3156" s="5"/>
      <c r="W3156" s="5"/>
      <c r="X3156" s="5"/>
      <c r="Y3156" s="5"/>
      <c r="Z3156" s="5"/>
      <c r="AA3156" s="5"/>
      <c r="AB3156" s="5"/>
      <c r="AC3156" s="5"/>
      <c r="AD3156" s="5"/>
      <c r="AE3156" s="5"/>
      <c r="AF3156" s="5"/>
      <c r="AG3156" s="5"/>
    </row>
    <row r="3157" ht="15.75" customHeight="1">
      <c r="K3157" t="s">
        <v>5535</v>
      </c>
      <c r="L3157" t="str">
        <f>C195</f>
        <v>H3b</v>
      </c>
      <c r="N3157" t="s">
        <v>5536</v>
      </c>
      <c r="O3157">
        <v>8315228.0</v>
      </c>
      <c r="P3157">
        <v>8447187.0</v>
      </c>
      <c r="Q3157" t="s">
        <v>525</v>
      </c>
      <c r="R3157" s="5"/>
      <c r="S3157" s="5"/>
      <c r="T3157" s="5"/>
      <c r="U3157" s="5"/>
      <c r="V3157" s="5"/>
      <c r="W3157" s="5"/>
      <c r="X3157" s="5"/>
      <c r="Y3157" s="5"/>
      <c r="Z3157" s="5"/>
      <c r="AA3157" s="5"/>
      <c r="AB3157" s="5"/>
      <c r="AC3157" s="5"/>
      <c r="AD3157" s="5"/>
      <c r="AE3157" s="5"/>
      <c r="AF3157" s="5"/>
      <c r="AG3157" s="5"/>
    </row>
    <row r="3158" ht="15.75" customHeight="1">
      <c r="K3158" t="s">
        <v>5537</v>
      </c>
      <c r="L3158" t="str">
        <f>C195</f>
        <v>H3b</v>
      </c>
      <c r="N3158" t="s">
        <v>5538</v>
      </c>
      <c r="O3158">
        <v>8536318.0</v>
      </c>
      <c r="P3158">
        <v>8668277.0</v>
      </c>
      <c r="Q3158" t="s">
        <v>419</v>
      </c>
      <c r="R3158" s="5"/>
      <c r="S3158" s="5"/>
      <c r="T3158" s="5"/>
      <c r="U3158" s="5"/>
      <c r="V3158" s="5"/>
      <c r="W3158" s="5"/>
      <c r="X3158" s="5"/>
      <c r="Y3158" s="5"/>
      <c r="Z3158" s="5"/>
      <c r="AA3158" s="5"/>
      <c r="AB3158" s="5"/>
      <c r="AC3158" s="5"/>
      <c r="AD3158" s="5"/>
      <c r="AE3158" s="5"/>
      <c r="AF3158" s="5"/>
      <c r="AG3158" s="5"/>
    </row>
    <row r="3159" ht="15.75" customHeight="1">
      <c r="K3159" t="s">
        <v>5539</v>
      </c>
      <c r="L3159" t="str">
        <f>C195</f>
        <v>H3b</v>
      </c>
      <c r="N3159" t="s">
        <v>5540</v>
      </c>
      <c r="O3159">
        <v>9446962.0</v>
      </c>
      <c r="P3159">
        <v>9609353.0</v>
      </c>
      <c r="Q3159" t="s">
        <v>525</v>
      </c>
      <c r="R3159" s="5"/>
      <c r="S3159" s="5"/>
      <c r="T3159" s="5"/>
      <c r="U3159" s="5"/>
      <c r="V3159" s="5"/>
      <c r="W3159" s="5"/>
      <c r="X3159" s="5"/>
      <c r="Y3159" s="5"/>
      <c r="Z3159" s="5"/>
      <c r="AA3159" s="5"/>
      <c r="AB3159" s="5"/>
      <c r="AC3159" s="5"/>
      <c r="AD3159" s="5"/>
      <c r="AE3159" s="5"/>
      <c r="AF3159" s="5"/>
      <c r="AG3159" s="5"/>
    </row>
    <row r="3160" ht="15.75" customHeight="1">
      <c r="K3160" t="s">
        <v>5541</v>
      </c>
      <c r="L3160" t="str">
        <f>C195</f>
        <v>H3b</v>
      </c>
      <c r="O3160">
        <v>1.0037112E7</v>
      </c>
      <c r="P3160">
        <v>1.0199503E7</v>
      </c>
      <c r="Q3160" t="s">
        <v>423</v>
      </c>
      <c r="R3160" s="5"/>
      <c r="S3160" s="5"/>
      <c r="T3160" s="5"/>
      <c r="U3160" s="5"/>
      <c r="V3160" s="5"/>
      <c r="W3160" s="5"/>
      <c r="X3160" s="5"/>
      <c r="Y3160" s="5"/>
      <c r="Z3160" s="5"/>
      <c r="AA3160" s="5"/>
      <c r="AB3160" s="5"/>
      <c r="AC3160" s="5"/>
      <c r="AD3160" s="5"/>
      <c r="AE3160" s="5"/>
      <c r="AF3160" s="5"/>
      <c r="AG3160" s="5"/>
    </row>
    <row r="3161" ht="15.75" customHeight="1">
      <c r="K3161" t="s">
        <v>5542</v>
      </c>
      <c r="L3161" t="str">
        <f>C195</f>
        <v>H3b</v>
      </c>
      <c r="O3161">
        <v>1.0081698E7</v>
      </c>
      <c r="P3161">
        <v>1.0244089E7</v>
      </c>
      <c r="Q3161" t="s">
        <v>553</v>
      </c>
      <c r="R3161" s="5"/>
      <c r="S3161" s="5"/>
      <c r="T3161" s="5"/>
      <c r="U3161" s="5"/>
      <c r="V3161" s="5"/>
      <c r="W3161" s="5"/>
      <c r="X3161" s="5"/>
      <c r="Y3161" s="5"/>
      <c r="Z3161" s="5"/>
      <c r="AA3161" s="5"/>
      <c r="AB3161" s="5"/>
      <c r="AC3161" s="5"/>
      <c r="AD3161" s="5"/>
      <c r="AE3161" s="5"/>
      <c r="AF3161" s="5"/>
      <c r="AG3161" s="5"/>
    </row>
    <row r="3162" ht="15.75" customHeight="1">
      <c r="K3162" t="s">
        <v>5543</v>
      </c>
      <c r="L3162" t="str">
        <f>C195</f>
        <v>H3b</v>
      </c>
      <c r="O3162">
        <v>1.359641E7</v>
      </c>
      <c r="P3162">
        <v>1.1440734E7</v>
      </c>
      <c r="Q3162" t="s">
        <v>419</v>
      </c>
      <c r="R3162" s="5"/>
      <c r="S3162" s="5"/>
      <c r="T3162" s="5"/>
      <c r="U3162" s="5"/>
      <c r="V3162" s="5"/>
      <c r="W3162" s="5"/>
      <c r="X3162" s="5"/>
      <c r="Y3162" s="5"/>
      <c r="Z3162" s="5"/>
      <c r="AA3162" s="5"/>
      <c r="AB3162" s="5"/>
      <c r="AC3162" s="5"/>
      <c r="AD3162" s="5"/>
      <c r="AE3162" s="5"/>
      <c r="AF3162" s="5"/>
      <c r="AG3162" s="5"/>
    </row>
    <row r="3163" ht="15.75" customHeight="1">
      <c r="K3163" t="s">
        <v>5544</v>
      </c>
      <c r="L3163" t="str">
        <f>C195</f>
        <v>H3b</v>
      </c>
      <c r="N3163" t="s">
        <v>5545</v>
      </c>
      <c r="O3163">
        <v>1.3665798E7</v>
      </c>
      <c r="P3163">
        <v>1.1510122E7</v>
      </c>
      <c r="Q3163" t="s">
        <v>423</v>
      </c>
      <c r="R3163" s="5"/>
      <c r="S3163" s="5"/>
      <c r="T3163" s="5"/>
      <c r="U3163" s="5"/>
      <c r="V3163" s="5"/>
      <c r="W3163" s="5"/>
      <c r="X3163" s="5"/>
      <c r="Y3163" s="5"/>
      <c r="Z3163" s="5"/>
      <c r="AA3163" s="5"/>
      <c r="AB3163" s="5"/>
      <c r="AC3163" s="5"/>
      <c r="AD3163" s="5"/>
      <c r="AE3163" s="5"/>
      <c r="AF3163" s="5"/>
      <c r="AG3163" s="5"/>
    </row>
    <row r="3164" ht="15.75" customHeight="1">
      <c r="K3164" t="s">
        <v>5546</v>
      </c>
      <c r="L3164" t="str">
        <f>C195</f>
        <v>H3b</v>
      </c>
      <c r="N3164" t="s">
        <v>5547</v>
      </c>
      <c r="O3164">
        <v>1.3684259E7</v>
      </c>
      <c r="P3164">
        <v>1.1528583E7</v>
      </c>
      <c r="Q3164" t="s">
        <v>525</v>
      </c>
      <c r="R3164" s="5"/>
      <c r="S3164" s="5"/>
      <c r="T3164" s="5"/>
      <c r="U3164" s="5"/>
      <c r="V3164" s="5"/>
      <c r="W3164" s="5"/>
      <c r="X3164" s="5"/>
      <c r="Y3164" s="5"/>
      <c r="Z3164" s="5"/>
      <c r="AA3164" s="5"/>
      <c r="AB3164" s="5"/>
      <c r="AC3164" s="5"/>
      <c r="AD3164" s="5"/>
      <c r="AE3164" s="5"/>
      <c r="AF3164" s="5"/>
      <c r="AG3164" s="5"/>
    </row>
    <row r="3165" ht="15.75" customHeight="1">
      <c r="K3165" t="s">
        <v>5548</v>
      </c>
      <c r="L3165" t="str">
        <f>C195</f>
        <v>H3b</v>
      </c>
      <c r="O3165">
        <v>1.3844699E7</v>
      </c>
      <c r="P3165">
        <v>1.1723993E7</v>
      </c>
      <c r="Q3165" t="s">
        <v>427</v>
      </c>
      <c r="R3165" s="5"/>
      <c r="S3165" s="5"/>
      <c r="T3165" s="5"/>
      <c r="U3165" s="5"/>
      <c r="V3165" s="5"/>
      <c r="W3165" s="5"/>
      <c r="X3165" s="5"/>
      <c r="Y3165" s="5"/>
      <c r="Z3165" s="5"/>
      <c r="AA3165" s="5"/>
      <c r="AB3165" s="5"/>
      <c r="AC3165" s="5"/>
      <c r="AD3165" s="5"/>
      <c r="AE3165" s="5"/>
      <c r="AF3165" s="5"/>
      <c r="AG3165" s="5"/>
    </row>
    <row r="3166" ht="15.75" customHeight="1">
      <c r="K3166" t="s">
        <v>5549</v>
      </c>
      <c r="L3166" t="str">
        <f>C195</f>
        <v>H3b</v>
      </c>
      <c r="N3166" t="s">
        <v>5550</v>
      </c>
      <c r="O3166">
        <v>1.3846844E7</v>
      </c>
      <c r="P3166">
        <v>1.1726138E7</v>
      </c>
      <c r="Q3166" t="s">
        <v>419</v>
      </c>
      <c r="R3166" s="5"/>
      <c r="S3166" s="5"/>
      <c r="T3166" s="5"/>
      <c r="U3166" s="5"/>
      <c r="V3166" s="5"/>
      <c r="W3166" s="5"/>
      <c r="X3166" s="5"/>
      <c r="Y3166" s="5"/>
      <c r="Z3166" s="5"/>
      <c r="AA3166" s="5"/>
      <c r="AB3166" s="5"/>
      <c r="AC3166" s="5"/>
      <c r="AD3166" s="5"/>
      <c r="AE3166" s="5"/>
      <c r="AF3166" s="5"/>
      <c r="AG3166" s="5"/>
    </row>
    <row r="3167" ht="15.75" customHeight="1">
      <c r="K3167" t="s">
        <v>5551</v>
      </c>
      <c r="L3167" t="str">
        <f>C195</f>
        <v>H3b</v>
      </c>
      <c r="N3167" t="s">
        <v>5552</v>
      </c>
      <c r="O3167">
        <v>1.4725613E7</v>
      </c>
      <c r="P3167">
        <v>1.2613681E7</v>
      </c>
      <c r="Q3167" t="s">
        <v>525</v>
      </c>
      <c r="R3167" s="5"/>
      <c r="S3167" s="5"/>
      <c r="T3167" s="5"/>
      <c r="U3167" s="5"/>
      <c r="V3167" s="5"/>
      <c r="W3167" s="5"/>
      <c r="X3167" s="5"/>
      <c r="Y3167" s="5"/>
      <c r="Z3167" s="5"/>
      <c r="AA3167" s="5"/>
      <c r="AB3167" s="5"/>
      <c r="AC3167" s="5"/>
      <c r="AD3167" s="5"/>
      <c r="AE3167" s="5"/>
      <c r="AF3167" s="5"/>
      <c r="AG3167" s="5"/>
    </row>
    <row r="3168" ht="15.75" customHeight="1">
      <c r="K3168" t="s">
        <v>5553</v>
      </c>
      <c r="L3168" t="str">
        <f>C195</f>
        <v>H3b</v>
      </c>
      <c r="N3168" t="s">
        <v>5554</v>
      </c>
      <c r="O3168">
        <v>1.4782405E7</v>
      </c>
      <c r="P3168">
        <v>1.2670475E7</v>
      </c>
      <c r="Q3168" t="s">
        <v>448</v>
      </c>
      <c r="R3168" s="5"/>
      <c r="S3168" s="5"/>
      <c r="T3168" s="5"/>
      <c r="U3168" s="5"/>
      <c r="V3168" s="5"/>
      <c r="W3168" s="5"/>
      <c r="X3168" s="5"/>
      <c r="Y3168" s="5"/>
      <c r="Z3168" s="5"/>
      <c r="AA3168" s="5"/>
      <c r="AB3168" s="5"/>
      <c r="AC3168" s="5"/>
      <c r="AD3168" s="5"/>
      <c r="AE3168" s="5"/>
      <c r="AF3168" s="5"/>
      <c r="AG3168" s="5"/>
    </row>
    <row r="3169" ht="15.75" customHeight="1">
      <c r="K3169" t="s">
        <v>5555</v>
      </c>
      <c r="L3169" t="str">
        <f>C195</f>
        <v>H3b</v>
      </c>
      <c r="N3169" t="s">
        <v>5556</v>
      </c>
      <c r="O3169">
        <v>1.4936956E7</v>
      </c>
      <c r="P3169">
        <v>1.2825021E7</v>
      </c>
      <c r="Q3169" t="s">
        <v>423</v>
      </c>
      <c r="R3169" s="5"/>
      <c r="S3169" s="5"/>
      <c r="T3169" s="5"/>
      <c r="U3169" s="5"/>
      <c r="V3169" s="5"/>
      <c r="W3169" s="5"/>
      <c r="X3169" s="5"/>
      <c r="Y3169" s="5"/>
      <c r="Z3169" s="5"/>
      <c r="AA3169" s="5"/>
      <c r="AB3169" s="5"/>
      <c r="AC3169" s="5"/>
      <c r="AD3169" s="5"/>
      <c r="AE3169" s="5"/>
      <c r="AF3169" s="5"/>
      <c r="AG3169" s="5"/>
    </row>
    <row r="3170" ht="15.75" customHeight="1">
      <c r="K3170" t="s">
        <v>5557</v>
      </c>
      <c r="L3170" t="str">
        <f>C195</f>
        <v>H3b</v>
      </c>
      <c r="N3170" t="s">
        <v>5558</v>
      </c>
      <c r="O3170">
        <v>1.5103568E7</v>
      </c>
      <c r="P3170">
        <v>1.2991656E7</v>
      </c>
      <c r="Q3170" t="s">
        <v>476</v>
      </c>
      <c r="R3170" s="5"/>
      <c r="S3170" s="5"/>
      <c r="T3170" s="5"/>
      <c r="U3170" s="5"/>
      <c r="V3170" s="5"/>
      <c r="W3170" s="5"/>
      <c r="X3170" s="5"/>
      <c r="Y3170" s="5"/>
      <c r="Z3170" s="5"/>
      <c r="AA3170" s="5"/>
      <c r="AB3170" s="5"/>
      <c r="AC3170" s="5"/>
      <c r="AD3170" s="5"/>
      <c r="AE3170" s="5"/>
      <c r="AF3170" s="5"/>
      <c r="AG3170" s="5"/>
    </row>
    <row r="3171" ht="15.75" customHeight="1">
      <c r="K3171" t="s">
        <v>5559</v>
      </c>
      <c r="L3171" t="str">
        <f>C195</f>
        <v>H3b</v>
      </c>
      <c r="N3171" t="s">
        <v>5560</v>
      </c>
      <c r="O3171">
        <v>1.526529E7</v>
      </c>
      <c r="P3171">
        <v>1.3153379E7</v>
      </c>
      <c r="Q3171" t="s">
        <v>525</v>
      </c>
      <c r="R3171" s="5"/>
      <c r="S3171" s="5"/>
      <c r="T3171" s="5"/>
      <c r="U3171" s="5"/>
      <c r="V3171" s="5"/>
      <c r="W3171" s="5"/>
      <c r="X3171" s="5"/>
      <c r="Y3171" s="5"/>
      <c r="Z3171" s="5"/>
      <c r="AA3171" s="5"/>
      <c r="AB3171" s="5"/>
      <c r="AC3171" s="5"/>
      <c r="AD3171" s="5"/>
      <c r="AE3171" s="5"/>
      <c r="AF3171" s="5"/>
      <c r="AG3171" s="5"/>
    </row>
    <row r="3172" ht="15.75" customHeight="1">
      <c r="K3172" t="s">
        <v>5561</v>
      </c>
      <c r="L3172" t="str">
        <f>C195</f>
        <v>H3b</v>
      </c>
      <c r="N3172" t="s">
        <v>5562</v>
      </c>
      <c r="O3172">
        <v>1.5691221E7</v>
      </c>
      <c r="P3172">
        <v>1.3579341E7</v>
      </c>
      <c r="Q3172" t="s">
        <v>476</v>
      </c>
      <c r="R3172" s="5"/>
      <c r="S3172" s="5"/>
      <c r="T3172" s="5"/>
      <c r="U3172" s="5"/>
      <c r="V3172" s="5"/>
      <c r="W3172" s="5"/>
      <c r="X3172" s="5"/>
      <c r="Y3172" s="5"/>
      <c r="Z3172" s="5"/>
      <c r="AA3172" s="5"/>
      <c r="AB3172" s="5"/>
      <c r="AC3172" s="5"/>
      <c r="AD3172" s="5"/>
      <c r="AE3172" s="5"/>
      <c r="AF3172" s="5"/>
      <c r="AG3172" s="5"/>
    </row>
    <row r="3173" ht="15.75" customHeight="1">
      <c r="K3173" t="s">
        <v>5563</v>
      </c>
      <c r="L3173" t="str">
        <f>C195</f>
        <v>H3b</v>
      </c>
      <c r="N3173" t="s">
        <v>5564</v>
      </c>
      <c r="O3173">
        <v>1.5804015E7</v>
      </c>
      <c r="P3173">
        <v>1.3692135E7</v>
      </c>
      <c r="Q3173" t="s">
        <v>419</v>
      </c>
      <c r="R3173" s="5"/>
      <c r="S3173" s="5"/>
      <c r="T3173" s="5"/>
      <c r="U3173" s="5"/>
      <c r="V3173" s="5"/>
      <c r="W3173" s="5"/>
      <c r="X3173" s="5"/>
      <c r="Y3173" s="5"/>
      <c r="Z3173" s="5"/>
      <c r="AA3173" s="5"/>
      <c r="AB3173" s="5"/>
      <c r="AC3173" s="5"/>
      <c r="AD3173" s="5"/>
      <c r="AE3173" s="5"/>
      <c r="AF3173" s="5"/>
      <c r="AG3173" s="5"/>
    </row>
    <row r="3174" ht="15.75" customHeight="1">
      <c r="K3174" t="s">
        <v>5565</v>
      </c>
      <c r="L3174" t="str">
        <f>C195</f>
        <v>H3b</v>
      </c>
      <c r="N3174" t="s">
        <v>5566</v>
      </c>
      <c r="O3174">
        <v>1.5984996E7</v>
      </c>
      <c r="P3174">
        <v>1.3873116E7</v>
      </c>
      <c r="Q3174" t="s">
        <v>419</v>
      </c>
      <c r="R3174" s="5"/>
      <c r="S3174" s="5"/>
      <c r="T3174" s="5"/>
      <c r="U3174" s="5"/>
      <c r="V3174" s="5"/>
      <c r="W3174" s="5"/>
      <c r="X3174" s="5"/>
      <c r="Y3174" s="5"/>
      <c r="Z3174" s="5"/>
      <c r="AA3174" s="5"/>
      <c r="AB3174" s="5"/>
      <c r="AC3174" s="5"/>
      <c r="AD3174" s="5"/>
      <c r="AE3174" s="5"/>
      <c r="AF3174" s="5"/>
      <c r="AG3174" s="5"/>
    </row>
    <row r="3175" ht="15.75" customHeight="1">
      <c r="K3175" t="s">
        <v>5567</v>
      </c>
      <c r="L3175" t="str">
        <f>C195</f>
        <v>H3b</v>
      </c>
      <c r="N3175" t="s">
        <v>5568</v>
      </c>
      <c r="O3175">
        <v>1.6062152E7</v>
      </c>
      <c r="P3175">
        <v>1.3950272E7</v>
      </c>
      <c r="Q3175" t="s">
        <v>431</v>
      </c>
      <c r="R3175" s="5"/>
      <c r="S3175" s="5"/>
      <c r="T3175" s="5"/>
      <c r="U3175" s="5"/>
      <c r="V3175" s="5"/>
      <c r="W3175" s="5"/>
      <c r="X3175" s="5"/>
      <c r="Y3175" s="5"/>
      <c r="Z3175" s="5"/>
      <c r="AA3175" s="5"/>
      <c r="AB3175" s="5"/>
      <c r="AC3175" s="5"/>
      <c r="AD3175" s="5"/>
      <c r="AE3175" s="5"/>
      <c r="AF3175" s="5"/>
      <c r="AG3175" s="5"/>
    </row>
    <row r="3176" ht="15.75" customHeight="1">
      <c r="K3176" t="s">
        <v>5569</v>
      </c>
      <c r="L3176" t="str">
        <f>C195</f>
        <v>H3b</v>
      </c>
      <c r="N3176" t="s">
        <v>5570</v>
      </c>
      <c r="O3176">
        <v>1.6531664E7</v>
      </c>
      <c r="P3176">
        <v>1.4419784E7</v>
      </c>
      <c r="Q3176" t="s">
        <v>525</v>
      </c>
      <c r="R3176" s="5"/>
      <c r="S3176" s="5"/>
      <c r="T3176" s="5"/>
      <c r="U3176" s="5"/>
      <c r="V3176" s="5"/>
      <c r="W3176" s="5"/>
      <c r="X3176" s="5"/>
      <c r="Y3176" s="5"/>
      <c r="Z3176" s="5"/>
      <c r="AA3176" s="5"/>
      <c r="AB3176" s="5"/>
      <c r="AC3176" s="5"/>
      <c r="AD3176" s="5"/>
      <c r="AE3176" s="5"/>
      <c r="AF3176" s="5"/>
      <c r="AG3176" s="5"/>
    </row>
    <row r="3177" ht="15.75" customHeight="1">
      <c r="K3177" t="s">
        <v>5571</v>
      </c>
      <c r="L3177" t="str">
        <f>C195</f>
        <v>H3b</v>
      </c>
      <c r="N3177" t="s">
        <v>5572</v>
      </c>
      <c r="O3177">
        <v>1.723982E7</v>
      </c>
      <c r="P3177">
        <v>1.512794E7</v>
      </c>
      <c r="Q3177" t="s">
        <v>473</v>
      </c>
      <c r="R3177" s="5"/>
      <c r="S3177" s="5"/>
      <c r="T3177" s="5"/>
      <c r="U3177" s="5"/>
      <c r="V3177" s="5"/>
      <c r="W3177" s="5"/>
      <c r="X3177" s="5"/>
      <c r="Y3177" s="5"/>
      <c r="Z3177" s="5"/>
      <c r="AA3177" s="5"/>
      <c r="AB3177" s="5"/>
      <c r="AC3177" s="5"/>
      <c r="AD3177" s="5"/>
      <c r="AE3177" s="5"/>
      <c r="AF3177" s="5"/>
      <c r="AG3177" s="5"/>
    </row>
    <row r="3178" ht="15.75" customHeight="1">
      <c r="K3178" t="s">
        <v>5573</v>
      </c>
      <c r="L3178" t="str">
        <f>C195</f>
        <v>H3b</v>
      </c>
      <c r="N3178" t="s">
        <v>5574</v>
      </c>
      <c r="O3178">
        <v>1.7421981E7</v>
      </c>
      <c r="P3178">
        <v>1.5310101E7</v>
      </c>
      <c r="Q3178" t="s">
        <v>419</v>
      </c>
      <c r="R3178" s="5"/>
      <c r="S3178" s="5"/>
      <c r="T3178" s="5"/>
      <c r="U3178" s="5"/>
      <c r="V3178" s="5"/>
      <c r="W3178" s="5"/>
      <c r="X3178" s="5"/>
      <c r="Y3178" s="5"/>
      <c r="Z3178" s="5"/>
      <c r="AA3178" s="5"/>
      <c r="AB3178" s="5"/>
      <c r="AC3178" s="5"/>
      <c r="AD3178" s="5"/>
      <c r="AE3178" s="5"/>
      <c r="AF3178" s="5"/>
      <c r="AG3178" s="5"/>
    </row>
    <row r="3179" ht="15.75" customHeight="1">
      <c r="K3179" t="s">
        <v>5575</v>
      </c>
      <c r="L3179" t="str">
        <f>C195</f>
        <v>H3b</v>
      </c>
      <c r="N3179" t="s">
        <v>5576</v>
      </c>
      <c r="O3179">
        <v>1.7425433E7</v>
      </c>
      <c r="P3179">
        <v>1.5313553E7</v>
      </c>
      <c r="Q3179" t="s">
        <v>459</v>
      </c>
      <c r="R3179" s="5"/>
      <c r="S3179" s="5"/>
      <c r="T3179" s="5"/>
      <c r="U3179" s="5"/>
      <c r="V3179" s="5"/>
      <c r="W3179" s="5"/>
      <c r="X3179" s="5"/>
      <c r="Y3179" s="5"/>
      <c r="Z3179" s="5"/>
      <c r="AA3179" s="5"/>
      <c r="AB3179" s="5"/>
      <c r="AC3179" s="5"/>
      <c r="AD3179" s="5"/>
      <c r="AE3179" s="5"/>
      <c r="AF3179" s="5"/>
      <c r="AG3179" s="5"/>
    </row>
    <row r="3180" ht="15.75" customHeight="1">
      <c r="K3180" t="s">
        <v>5577</v>
      </c>
      <c r="L3180" t="str">
        <f>C195</f>
        <v>H3b</v>
      </c>
      <c r="N3180" t="s">
        <v>5578</v>
      </c>
      <c r="O3180">
        <v>1.7445387E7</v>
      </c>
      <c r="P3180">
        <v>1.5333507E7</v>
      </c>
      <c r="Q3180" t="s">
        <v>423</v>
      </c>
      <c r="R3180" s="5"/>
      <c r="S3180" s="5"/>
      <c r="T3180" s="5"/>
      <c r="U3180" s="5"/>
      <c r="V3180" s="5"/>
      <c r="W3180" s="5"/>
      <c r="X3180" s="5"/>
      <c r="Y3180" s="5"/>
      <c r="Z3180" s="5"/>
      <c r="AA3180" s="5"/>
      <c r="AB3180" s="5"/>
      <c r="AC3180" s="5"/>
      <c r="AD3180" s="5"/>
      <c r="AE3180" s="5"/>
      <c r="AF3180" s="5"/>
      <c r="AG3180" s="5"/>
    </row>
    <row r="3181" ht="15.75" customHeight="1">
      <c r="K3181" t="s">
        <v>5579</v>
      </c>
      <c r="L3181" t="str">
        <f>C195</f>
        <v>H3b</v>
      </c>
      <c r="N3181" t="s">
        <v>5580</v>
      </c>
      <c r="O3181">
        <v>1.7555823E7</v>
      </c>
      <c r="P3181">
        <v>1.5443943E7</v>
      </c>
      <c r="Q3181" t="s">
        <v>431</v>
      </c>
      <c r="R3181" s="5"/>
      <c r="S3181" s="5"/>
      <c r="T3181" s="5"/>
      <c r="U3181" s="5"/>
      <c r="V3181" s="5"/>
      <c r="W3181" s="5"/>
      <c r="X3181" s="5"/>
      <c r="Y3181" s="5"/>
      <c r="Z3181" s="5"/>
      <c r="AA3181" s="5"/>
      <c r="AB3181" s="5"/>
      <c r="AC3181" s="5"/>
      <c r="AD3181" s="5"/>
      <c r="AE3181" s="5"/>
      <c r="AF3181" s="5"/>
      <c r="AG3181" s="5"/>
    </row>
    <row r="3182" ht="15.75" customHeight="1">
      <c r="K3182" t="s">
        <v>5581</v>
      </c>
      <c r="L3182" t="str">
        <f>C195</f>
        <v>H3b</v>
      </c>
      <c r="N3182" t="s">
        <v>5582</v>
      </c>
      <c r="O3182">
        <v>1.7589835E7</v>
      </c>
      <c r="P3182">
        <v>1.5477955E7</v>
      </c>
      <c r="Q3182" t="s">
        <v>435</v>
      </c>
      <c r="R3182" s="5"/>
      <c r="S3182" s="5"/>
      <c r="T3182" s="5"/>
      <c r="U3182" s="5"/>
      <c r="V3182" s="5"/>
      <c r="W3182" s="5"/>
      <c r="X3182" s="5"/>
      <c r="Y3182" s="5"/>
      <c r="Z3182" s="5"/>
      <c r="AA3182" s="5"/>
      <c r="AB3182" s="5"/>
      <c r="AC3182" s="5"/>
      <c r="AD3182" s="5"/>
      <c r="AE3182" s="5"/>
      <c r="AF3182" s="5"/>
      <c r="AG3182" s="5"/>
    </row>
    <row r="3183" ht="15.75" customHeight="1">
      <c r="K3183" t="s">
        <v>5583</v>
      </c>
      <c r="L3183" t="str">
        <f>C195</f>
        <v>H3b</v>
      </c>
      <c r="N3183" t="s">
        <v>5584</v>
      </c>
      <c r="O3183">
        <v>1.7744663E7</v>
      </c>
      <c r="P3183">
        <v>1.5632783E7</v>
      </c>
      <c r="Q3183" t="s">
        <v>431</v>
      </c>
      <c r="R3183" s="5"/>
      <c r="S3183" s="5"/>
      <c r="T3183" s="5"/>
      <c r="U3183" s="5"/>
      <c r="V3183" s="5"/>
      <c r="W3183" s="5"/>
      <c r="X3183" s="5"/>
      <c r="Y3183" s="5"/>
      <c r="Z3183" s="5"/>
      <c r="AA3183" s="5"/>
      <c r="AB3183" s="5"/>
      <c r="AC3183" s="5"/>
      <c r="AD3183" s="5"/>
      <c r="AE3183" s="5"/>
      <c r="AF3183" s="5"/>
      <c r="AG3183" s="5"/>
    </row>
    <row r="3184" ht="15.75" customHeight="1">
      <c r="K3184" t="s">
        <v>5585</v>
      </c>
      <c r="L3184" t="str">
        <f>C195</f>
        <v>H3b</v>
      </c>
      <c r="N3184" t="s">
        <v>5586</v>
      </c>
      <c r="O3184">
        <v>1.793866E7</v>
      </c>
      <c r="P3184">
        <v>1.582678E7</v>
      </c>
      <c r="Q3184" t="s">
        <v>476</v>
      </c>
      <c r="R3184" s="5"/>
      <c r="S3184" s="5"/>
      <c r="T3184" s="5"/>
      <c r="U3184" s="5"/>
      <c r="V3184" s="5"/>
      <c r="W3184" s="5"/>
      <c r="X3184" s="5"/>
      <c r="Y3184" s="5"/>
      <c r="Z3184" s="5"/>
      <c r="AA3184" s="5"/>
      <c r="AB3184" s="5"/>
      <c r="AC3184" s="5"/>
      <c r="AD3184" s="5"/>
      <c r="AE3184" s="5"/>
      <c r="AF3184" s="5"/>
      <c r="AG3184" s="5"/>
    </row>
    <row r="3185" ht="15.75" customHeight="1">
      <c r="K3185" t="s">
        <v>5587</v>
      </c>
      <c r="L3185" t="str">
        <f>C195</f>
        <v>H3b</v>
      </c>
      <c r="N3185" t="s">
        <v>5588</v>
      </c>
      <c r="O3185">
        <v>1.8133107E7</v>
      </c>
      <c r="P3185">
        <v>1.6021227E7</v>
      </c>
      <c r="Q3185" t="s">
        <v>423</v>
      </c>
      <c r="R3185" s="5"/>
      <c r="S3185" s="5"/>
      <c r="T3185" s="5"/>
      <c r="U3185" s="5"/>
      <c r="V3185" s="5"/>
      <c r="W3185" s="5"/>
      <c r="X3185" s="5"/>
      <c r="Y3185" s="5"/>
      <c r="Z3185" s="5"/>
      <c r="AA3185" s="5"/>
      <c r="AB3185" s="5"/>
      <c r="AC3185" s="5"/>
      <c r="AD3185" s="5"/>
      <c r="AE3185" s="5"/>
      <c r="AF3185" s="5"/>
      <c r="AG3185" s="5"/>
    </row>
    <row r="3186" ht="15.75" customHeight="1">
      <c r="K3186" t="s">
        <v>5589</v>
      </c>
      <c r="L3186" t="str">
        <f>C195</f>
        <v>H3b</v>
      </c>
      <c r="N3186" t="s">
        <v>5590</v>
      </c>
      <c r="O3186">
        <v>1.855409E7</v>
      </c>
      <c r="P3186">
        <v>1.644221E7</v>
      </c>
      <c r="Q3186" t="s">
        <v>423</v>
      </c>
      <c r="R3186" s="5"/>
      <c r="S3186" s="5"/>
      <c r="T3186" s="5"/>
      <c r="U3186" s="5"/>
      <c r="V3186" s="5"/>
      <c r="W3186" s="5"/>
      <c r="X3186" s="5"/>
      <c r="Y3186" s="5"/>
      <c r="Z3186" s="5"/>
      <c r="AA3186" s="5"/>
      <c r="AB3186" s="5"/>
      <c r="AC3186" s="5"/>
      <c r="AD3186" s="5"/>
      <c r="AE3186" s="5"/>
      <c r="AF3186" s="5"/>
      <c r="AG3186" s="5"/>
    </row>
    <row r="3187" ht="15.75" customHeight="1">
      <c r="K3187" t="s">
        <v>5591</v>
      </c>
      <c r="L3187" t="str">
        <f>C195</f>
        <v>H3b</v>
      </c>
      <c r="N3187" t="s">
        <v>5592</v>
      </c>
      <c r="O3187">
        <v>1.8637938E7</v>
      </c>
      <c r="P3187">
        <v>1.6526058E7</v>
      </c>
      <c r="Q3187" t="s">
        <v>419</v>
      </c>
      <c r="R3187" s="5"/>
      <c r="S3187" s="5"/>
      <c r="T3187" s="5"/>
      <c r="U3187" s="5"/>
      <c r="V3187" s="5"/>
      <c r="W3187" s="5"/>
      <c r="X3187" s="5"/>
      <c r="Y3187" s="5"/>
      <c r="Z3187" s="5"/>
      <c r="AA3187" s="5"/>
      <c r="AB3187" s="5"/>
      <c r="AC3187" s="5"/>
      <c r="AD3187" s="5"/>
      <c r="AE3187" s="5"/>
      <c r="AF3187" s="5"/>
      <c r="AG3187" s="5"/>
    </row>
    <row r="3188" ht="15.75" customHeight="1">
      <c r="K3188" t="s">
        <v>5593</v>
      </c>
      <c r="L3188" t="str">
        <f>C195</f>
        <v>H3b</v>
      </c>
      <c r="O3188">
        <v>2.1042733E7</v>
      </c>
      <c r="P3188">
        <v>1.8880847E7</v>
      </c>
      <c r="Q3188" t="s">
        <v>448</v>
      </c>
      <c r="R3188" s="5"/>
      <c r="S3188" s="5"/>
      <c r="T3188" s="5"/>
      <c r="U3188" s="5"/>
      <c r="V3188" s="5"/>
      <c r="W3188" s="5"/>
      <c r="X3188" s="5"/>
      <c r="Y3188" s="5"/>
      <c r="Z3188" s="5"/>
      <c r="AA3188" s="5"/>
      <c r="AB3188" s="5"/>
      <c r="AC3188" s="5"/>
      <c r="AD3188" s="5"/>
      <c r="AE3188" s="5"/>
      <c r="AF3188" s="5"/>
      <c r="AG3188" s="5"/>
    </row>
    <row r="3189" ht="15.75" customHeight="1">
      <c r="K3189" t="s">
        <v>5594</v>
      </c>
      <c r="L3189" t="str">
        <f>C195</f>
        <v>H3b</v>
      </c>
      <c r="N3189" t="s">
        <v>5595</v>
      </c>
      <c r="O3189">
        <v>2.1272791E7</v>
      </c>
      <c r="P3189">
        <v>1.9110905E7</v>
      </c>
      <c r="Q3189" t="s">
        <v>423</v>
      </c>
      <c r="R3189" s="5"/>
      <c r="S3189" s="5"/>
      <c r="T3189" s="5"/>
      <c r="U3189" s="5"/>
      <c r="V3189" s="5"/>
      <c r="W3189" s="5"/>
      <c r="X3189" s="5"/>
      <c r="Y3189" s="5"/>
      <c r="Z3189" s="5"/>
      <c r="AA3189" s="5"/>
      <c r="AB3189" s="5"/>
      <c r="AC3189" s="5"/>
      <c r="AD3189" s="5"/>
      <c r="AE3189" s="5"/>
      <c r="AF3189" s="5"/>
      <c r="AG3189" s="5"/>
    </row>
    <row r="3190" ht="15.75" customHeight="1">
      <c r="K3190" t="s">
        <v>5596</v>
      </c>
      <c r="L3190" t="str">
        <f>C195</f>
        <v>H3b</v>
      </c>
      <c r="N3190" t="s">
        <v>5597</v>
      </c>
      <c r="O3190">
        <v>2.176337E7</v>
      </c>
      <c r="P3190">
        <v>1.9601484E7</v>
      </c>
      <c r="Q3190" t="s">
        <v>419</v>
      </c>
      <c r="R3190" s="5"/>
      <c r="S3190" s="5"/>
      <c r="T3190" s="5"/>
      <c r="U3190" s="5"/>
      <c r="V3190" s="5"/>
      <c r="W3190" s="5"/>
      <c r="X3190" s="5"/>
      <c r="Y3190" s="5"/>
      <c r="Z3190" s="5"/>
      <c r="AA3190" s="5"/>
      <c r="AB3190" s="5"/>
      <c r="AC3190" s="5"/>
      <c r="AD3190" s="5"/>
      <c r="AE3190" s="5"/>
      <c r="AF3190" s="5"/>
      <c r="AG3190" s="5"/>
    </row>
    <row r="3191" ht="15.75" customHeight="1">
      <c r="K3191" t="s">
        <v>5598</v>
      </c>
      <c r="L3191" t="str">
        <f>C195</f>
        <v>H3b</v>
      </c>
      <c r="N3191" t="s">
        <v>5599</v>
      </c>
      <c r="O3191">
        <v>2.2191824E7</v>
      </c>
      <c r="P3191">
        <v>2.0029938E7</v>
      </c>
      <c r="Q3191" t="s">
        <v>459</v>
      </c>
      <c r="R3191" s="5"/>
      <c r="S3191" s="5"/>
      <c r="T3191" s="5"/>
      <c r="U3191" s="5"/>
      <c r="V3191" s="5"/>
      <c r="W3191" s="5"/>
      <c r="X3191" s="5"/>
      <c r="Y3191" s="5"/>
      <c r="Z3191" s="5"/>
      <c r="AA3191" s="5"/>
      <c r="AB3191" s="5"/>
      <c r="AC3191" s="5"/>
      <c r="AD3191" s="5"/>
      <c r="AE3191" s="5"/>
      <c r="AF3191" s="5"/>
      <c r="AG3191" s="5"/>
    </row>
    <row r="3192" ht="15.75" customHeight="1">
      <c r="K3192" t="s">
        <v>5600</v>
      </c>
      <c r="L3192" t="str">
        <f>C195</f>
        <v>H3b</v>
      </c>
      <c r="N3192" t="s">
        <v>5601</v>
      </c>
      <c r="O3192">
        <v>2.2560423E7</v>
      </c>
      <c r="P3192">
        <v>2.0398537E7</v>
      </c>
      <c r="Q3192" t="s">
        <v>435</v>
      </c>
      <c r="R3192" s="5"/>
      <c r="S3192" s="5"/>
      <c r="T3192" s="5"/>
      <c r="U3192" s="5"/>
      <c r="V3192" s="5"/>
      <c r="W3192" s="5"/>
      <c r="X3192" s="5"/>
      <c r="Y3192" s="5"/>
      <c r="Z3192" s="5"/>
      <c r="AA3192" s="5"/>
      <c r="AB3192" s="5"/>
      <c r="AC3192" s="5"/>
      <c r="AD3192" s="5"/>
      <c r="AE3192" s="5"/>
      <c r="AF3192" s="5"/>
      <c r="AG3192" s="5"/>
    </row>
    <row r="3193" ht="15.75" customHeight="1">
      <c r="K3193" t="s">
        <v>5602</v>
      </c>
      <c r="L3193" t="str">
        <f>C195</f>
        <v>H3b</v>
      </c>
      <c r="N3193" t="s">
        <v>5603</v>
      </c>
      <c r="O3193">
        <v>2.2872137E7</v>
      </c>
      <c r="P3193">
        <v>2.0710251E7</v>
      </c>
      <c r="Q3193" t="s">
        <v>419</v>
      </c>
      <c r="R3193" s="5"/>
      <c r="S3193" s="5"/>
      <c r="T3193" s="5"/>
      <c r="U3193" s="5"/>
      <c r="V3193" s="5"/>
      <c r="W3193" s="5"/>
      <c r="X3193" s="5"/>
      <c r="Y3193" s="5"/>
      <c r="Z3193" s="5"/>
      <c r="AA3193" s="5"/>
      <c r="AB3193" s="5"/>
      <c r="AC3193" s="5"/>
      <c r="AD3193" s="5"/>
      <c r="AE3193" s="5"/>
      <c r="AF3193" s="5"/>
      <c r="AG3193" s="5"/>
    </row>
    <row r="3194" ht="15.75" customHeight="1">
      <c r="K3194" t="s">
        <v>5604</v>
      </c>
      <c r="L3194" t="str">
        <f>C195</f>
        <v>H3b</v>
      </c>
      <c r="N3194" t="s">
        <v>5605</v>
      </c>
      <c r="O3194">
        <v>2.2938377E7</v>
      </c>
      <c r="P3194">
        <v>2.0776491E7</v>
      </c>
      <c r="Q3194" t="s">
        <v>435</v>
      </c>
      <c r="R3194" s="5"/>
      <c r="S3194" s="5"/>
      <c r="T3194" s="5"/>
      <c r="U3194" s="5"/>
      <c r="V3194" s="5"/>
      <c r="W3194" s="5"/>
      <c r="X3194" s="5"/>
      <c r="Y3194" s="5"/>
      <c r="Z3194" s="5"/>
      <c r="AA3194" s="5"/>
      <c r="AB3194" s="5"/>
      <c r="AC3194" s="5"/>
      <c r="AD3194" s="5"/>
      <c r="AE3194" s="5"/>
      <c r="AF3194" s="5"/>
      <c r="AG3194" s="5"/>
    </row>
    <row r="3195" ht="15.75" customHeight="1">
      <c r="K3195" t="s">
        <v>5606</v>
      </c>
      <c r="L3195" t="str">
        <f>C195</f>
        <v>H3b</v>
      </c>
      <c r="N3195" t="s">
        <v>5607</v>
      </c>
      <c r="O3195">
        <v>2.3428062E7</v>
      </c>
      <c r="P3195">
        <v>2.1266176E7</v>
      </c>
      <c r="Q3195" t="s">
        <v>448</v>
      </c>
      <c r="R3195" s="5"/>
      <c r="S3195" s="5"/>
      <c r="T3195" s="5"/>
      <c r="U3195" s="5"/>
      <c r="V3195" s="5"/>
      <c r="W3195" s="5"/>
      <c r="X3195" s="5"/>
      <c r="Y3195" s="5"/>
      <c r="Z3195" s="5"/>
      <c r="AA3195" s="5"/>
      <c r="AB3195" s="5"/>
      <c r="AC3195" s="5"/>
      <c r="AD3195" s="5"/>
      <c r="AE3195" s="5"/>
      <c r="AF3195" s="5"/>
      <c r="AG3195" s="5"/>
    </row>
    <row r="3196" ht="15.75" customHeight="1">
      <c r="K3196" t="s">
        <v>5608</v>
      </c>
      <c r="L3196" t="str">
        <f>C195</f>
        <v>H3b</v>
      </c>
      <c r="N3196" t="s">
        <v>5609</v>
      </c>
      <c r="O3196">
        <v>2.3754859E7</v>
      </c>
      <c r="P3196">
        <v>2.1592973E7</v>
      </c>
      <c r="Q3196" t="s">
        <v>419</v>
      </c>
      <c r="R3196" s="5"/>
      <c r="S3196" s="5"/>
      <c r="T3196" s="5"/>
      <c r="U3196" s="5"/>
      <c r="V3196" s="5"/>
      <c r="W3196" s="5"/>
      <c r="X3196" s="5"/>
      <c r="Y3196" s="5"/>
      <c r="Z3196" s="5"/>
      <c r="AA3196" s="5"/>
      <c r="AB3196" s="5"/>
      <c r="AC3196" s="5"/>
      <c r="AD3196" s="5"/>
      <c r="AE3196" s="5"/>
      <c r="AF3196" s="5"/>
      <c r="AG3196" s="5"/>
    </row>
    <row r="3197" ht="15.75" customHeight="1">
      <c r="K3197" t="s">
        <v>5610</v>
      </c>
      <c r="L3197" t="str">
        <f>C195</f>
        <v>H3b</v>
      </c>
      <c r="N3197" t="s">
        <v>5611</v>
      </c>
      <c r="O3197">
        <v>2.44298E7</v>
      </c>
      <c r="P3197">
        <v>2.2283653E7</v>
      </c>
      <c r="Q3197" t="s">
        <v>423</v>
      </c>
      <c r="R3197" s="5"/>
      <c r="S3197" s="5"/>
      <c r="T3197" s="5"/>
      <c r="U3197" s="5"/>
      <c r="V3197" s="5"/>
      <c r="W3197" s="5"/>
      <c r="X3197" s="5"/>
      <c r="Y3197" s="5"/>
      <c r="Z3197" s="5"/>
      <c r="AA3197" s="5"/>
      <c r="AB3197" s="5"/>
      <c r="AC3197" s="5"/>
      <c r="AD3197" s="5"/>
      <c r="AE3197" s="5"/>
      <c r="AF3197" s="5"/>
      <c r="AG3197" s="5"/>
    </row>
    <row r="3198" ht="15.75" customHeight="1">
      <c r="K3198" t="s">
        <v>5612</v>
      </c>
      <c r="L3198" t="str">
        <f>C195</f>
        <v>H3b</v>
      </c>
      <c r="O3198">
        <v>2.8781379E7</v>
      </c>
      <c r="P3198">
        <v>2.6635232E7</v>
      </c>
      <c r="Q3198" t="s">
        <v>423</v>
      </c>
      <c r="R3198" s="5"/>
      <c r="S3198" s="5"/>
      <c r="T3198" s="5"/>
      <c r="U3198" s="5"/>
      <c r="V3198" s="5"/>
      <c r="W3198" s="5"/>
      <c r="X3198" s="5"/>
      <c r="Y3198" s="5"/>
      <c r="Z3198" s="5"/>
      <c r="AA3198" s="5"/>
      <c r="AB3198" s="5"/>
      <c r="AC3198" s="5"/>
      <c r="AD3198" s="5"/>
      <c r="AE3198" s="5"/>
      <c r="AF3198" s="5"/>
      <c r="AG3198" s="5"/>
    </row>
    <row r="3199" ht="15.75" customHeight="1">
      <c r="K3199" t="s">
        <v>5613</v>
      </c>
      <c r="L3199" t="str">
        <f t="shared" ref="L3199:L3200" si="58">C195</f>
        <v>H3b</v>
      </c>
      <c r="O3199">
        <v>2.8786239E7</v>
      </c>
      <c r="P3199">
        <v>2.6640092E7</v>
      </c>
      <c r="Q3199" t="s">
        <v>452</v>
      </c>
      <c r="R3199" s="5"/>
      <c r="S3199" s="5"/>
      <c r="T3199" s="5"/>
      <c r="U3199" s="5"/>
      <c r="V3199" s="5"/>
      <c r="W3199" s="5"/>
      <c r="X3199" s="5"/>
      <c r="Y3199" s="5"/>
      <c r="Z3199" s="5"/>
      <c r="AA3199" s="5"/>
      <c r="AB3199" s="5"/>
      <c r="AC3199" s="5"/>
      <c r="AD3199" s="5"/>
      <c r="AE3199" s="5"/>
      <c r="AF3199" s="5"/>
      <c r="AG3199" s="5"/>
    </row>
    <row r="3200" ht="15.75" customHeight="1">
      <c r="K3200" t="s">
        <v>353</v>
      </c>
      <c r="L3200" t="str">
        <f t="shared" si="58"/>
        <v>H3b~</v>
      </c>
      <c r="N3200" t="s">
        <v>5614</v>
      </c>
      <c r="O3200">
        <v>2.2795571E7</v>
      </c>
      <c r="P3200">
        <v>2.0633685E7</v>
      </c>
      <c r="Q3200" t="s">
        <v>419</v>
      </c>
      <c r="R3200" s="5"/>
      <c r="S3200" s="5"/>
      <c r="T3200" s="5"/>
      <c r="U3200" s="5"/>
      <c r="V3200" s="5"/>
      <c r="W3200" s="5"/>
      <c r="X3200" s="5"/>
      <c r="Y3200" s="5"/>
      <c r="Z3200" s="5"/>
      <c r="AA3200" s="5"/>
      <c r="AB3200" s="5"/>
      <c r="AC3200" s="5"/>
      <c r="AD3200" s="5"/>
      <c r="AE3200" s="5"/>
      <c r="AF3200" s="5"/>
      <c r="AG3200" s="5"/>
    </row>
    <row r="3201" ht="15.75" customHeight="1">
      <c r="K3201" t="s">
        <v>5615</v>
      </c>
      <c r="L3201" t="str">
        <f>D197</f>
        <v>H3b1</v>
      </c>
      <c r="N3201" t="s">
        <v>5616</v>
      </c>
      <c r="O3201">
        <v>2894961.0</v>
      </c>
      <c r="P3201">
        <v>3026920.0</v>
      </c>
      <c r="Q3201" t="s">
        <v>423</v>
      </c>
      <c r="R3201" s="5"/>
      <c r="S3201" s="5"/>
      <c r="T3201" s="5"/>
      <c r="U3201" s="5"/>
      <c r="V3201" s="5"/>
      <c r="W3201" s="5"/>
      <c r="X3201" s="5"/>
      <c r="Y3201" s="5"/>
      <c r="Z3201" s="5"/>
      <c r="AA3201" s="5"/>
      <c r="AB3201" s="5"/>
      <c r="AC3201" s="5"/>
      <c r="AD3201" s="5"/>
      <c r="AE3201" s="5"/>
      <c r="AF3201" s="5"/>
      <c r="AG3201" s="5"/>
    </row>
    <row r="3202" ht="15.75" customHeight="1">
      <c r="K3202" t="s">
        <v>5617</v>
      </c>
      <c r="L3202" t="str">
        <f>D197</f>
        <v>H3b1</v>
      </c>
      <c r="N3202" t="s">
        <v>5618</v>
      </c>
      <c r="O3202">
        <v>1.4818741E7</v>
      </c>
      <c r="P3202">
        <v>1.2706812E7</v>
      </c>
      <c r="Q3202" t="s">
        <v>419</v>
      </c>
      <c r="R3202" s="5"/>
      <c r="S3202" s="5"/>
      <c r="T3202" s="5"/>
      <c r="U3202" s="5"/>
      <c r="V3202" s="5"/>
      <c r="W3202" s="5"/>
      <c r="X3202" s="5"/>
      <c r="Y3202" s="5"/>
      <c r="Z3202" s="5"/>
      <c r="AA3202" s="5"/>
      <c r="AB3202" s="5"/>
      <c r="AC3202" s="5"/>
      <c r="AD3202" s="5"/>
      <c r="AE3202" s="5"/>
      <c r="AF3202" s="5"/>
      <c r="AG3202" s="5"/>
    </row>
    <row r="3203" ht="15.75" customHeight="1">
      <c r="K3203" t="s">
        <v>5619</v>
      </c>
      <c r="L3203" t="str">
        <f>D197</f>
        <v>H3b1</v>
      </c>
      <c r="N3203" t="s">
        <v>5620</v>
      </c>
      <c r="O3203">
        <v>6690333.0</v>
      </c>
      <c r="P3203">
        <v>6822292.0</v>
      </c>
      <c r="Q3203" t="s">
        <v>452</v>
      </c>
      <c r="R3203" s="5"/>
      <c r="S3203" s="5"/>
      <c r="T3203" s="5"/>
      <c r="U3203" s="5"/>
      <c r="V3203" s="5"/>
      <c r="W3203" s="5"/>
      <c r="X3203" s="5"/>
      <c r="Y3203" s="5"/>
      <c r="Z3203" s="5"/>
      <c r="AA3203" s="5"/>
      <c r="AB3203" s="5"/>
      <c r="AC3203" s="5"/>
      <c r="AD3203" s="5"/>
      <c r="AE3203" s="5"/>
      <c r="AF3203" s="5"/>
      <c r="AG3203" s="5"/>
    </row>
    <row r="3204" ht="15.75" customHeight="1">
      <c r="K3204" t="s">
        <v>5621</v>
      </c>
      <c r="L3204" t="str">
        <f>D197</f>
        <v>H3b1</v>
      </c>
      <c r="N3204" t="s">
        <v>5622</v>
      </c>
      <c r="O3204">
        <v>6733112.0</v>
      </c>
      <c r="P3204">
        <v>6865071.0</v>
      </c>
      <c r="Q3204" t="s">
        <v>431</v>
      </c>
      <c r="R3204" s="5"/>
      <c r="S3204" s="5"/>
      <c r="T3204" s="5"/>
      <c r="U3204" s="5"/>
      <c r="V3204" s="5"/>
      <c r="W3204" s="5"/>
      <c r="X3204" s="5"/>
      <c r="Y3204" s="5"/>
      <c r="Z3204" s="5"/>
      <c r="AA3204" s="5"/>
      <c r="AB3204" s="5"/>
      <c r="AC3204" s="5"/>
      <c r="AD3204" s="5"/>
      <c r="AE3204" s="5"/>
      <c r="AF3204" s="5"/>
      <c r="AG3204" s="5"/>
    </row>
    <row r="3205" ht="15.75" customHeight="1">
      <c r="K3205" t="s">
        <v>5623</v>
      </c>
      <c r="L3205" t="str">
        <f>D197</f>
        <v>H3b1</v>
      </c>
      <c r="N3205" t="s">
        <v>5624</v>
      </c>
      <c r="O3205">
        <v>6813305.0</v>
      </c>
      <c r="P3205">
        <v>6945264.0</v>
      </c>
      <c r="Q3205" t="s">
        <v>452</v>
      </c>
      <c r="R3205" s="5"/>
      <c r="S3205" s="5"/>
      <c r="T3205" s="5"/>
      <c r="U3205" s="5"/>
      <c r="V3205" s="5"/>
      <c r="W3205" s="5"/>
      <c r="X3205" s="5"/>
      <c r="Y3205" s="5"/>
      <c r="Z3205" s="5"/>
      <c r="AA3205" s="5"/>
      <c r="AB3205" s="5"/>
      <c r="AC3205" s="5"/>
      <c r="AD3205" s="5"/>
      <c r="AE3205" s="5"/>
      <c r="AF3205" s="5"/>
      <c r="AG3205" s="5"/>
    </row>
    <row r="3206" ht="15.75" customHeight="1">
      <c r="K3206" t="s">
        <v>5625</v>
      </c>
      <c r="L3206" t="str">
        <f>D197</f>
        <v>H3b1</v>
      </c>
      <c r="N3206" t="s">
        <v>5626</v>
      </c>
      <c r="O3206">
        <v>6872089.0</v>
      </c>
      <c r="P3206">
        <v>7004048.0</v>
      </c>
      <c r="Q3206" t="s">
        <v>431</v>
      </c>
      <c r="R3206" s="5"/>
      <c r="S3206" s="5"/>
      <c r="T3206" s="5"/>
      <c r="U3206" s="5"/>
      <c r="V3206" s="5"/>
      <c r="W3206" s="5"/>
      <c r="X3206" s="5"/>
      <c r="Y3206" s="5"/>
      <c r="Z3206" s="5"/>
      <c r="AA3206" s="5"/>
      <c r="AB3206" s="5"/>
      <c r="AC3206" s="5"/>
      <c r="AD3206" s="5"/>
      <c r="AE3206" s="5"/>
      <c r="AF3206" s="5"/>
      <c r="AG3206" s="5"/>
    </row>
    <row r="3207" ht="15.75" customHeight="1">
      <c r="K3207" t="s">
        <v>5627</v>
      </c>
      <c r="L3207" t="str">
        <f>D197</f>
        <v>H3b1</v>
      </c>
      <c r="N3207" t="s">
        <v>5628</v>
      </c>
      <c r="O3207">
        <v>7036918.0</v>
      </c>
      <c r="P3207">
        <v>7168877.0</v>
      </c>
      <c r="Q3207" t="s">
        <v>419</v>
      </c>
      <c r="R3207" s="5"/>
      <c r="S3207" s="5"/>
      <c r="T3207" s="5"/>
      <c r="U3207" s="5"/>
      <c r="V3207" s="5"/>
      <c r="W3207" s="5"/>
      <c r="X3207" s="5"/>
      <c r="Y3207" s="5"/>
      <c r="Z3207" s="5"/>
      <c r="AA3207" s="5"/>
      <c r="AB3207" s="5"/>
      <c r="AC3207" s="5"/>
      <c r="AD3207" s="5"/>
      <c r="AE3207" s="5"/>
      <c r="AF3207" s="5"/>
      <c r="AG3207" s="5"/>
    </row>
    <row r="3208" ht="15.75" customHeight="1">
      <c r="K3208" t="s">
        <v>5629</v>
      </c>
      <c r="L3208" t="str">
        <f>D197</f>
        <v>H3b1</v>
      </c>
      <c r="N3208" t="s">
        <v>5630</v>
      </c>
      <c r="O3208">
        <v>7051705.0</v>
      </c>
      <c r="P3208">
        <v>7183664.0</v>
      </c>
      <c r="Q3208" t="s">
        <v>419</v>
      </c>
      <c r="R3208" s="5"/>
      <c r="S3208" s="5"/>
      <c r="T3208" s="5"/>
      <c r="U3208" s="5"/>
      <c r="V3208" s="5"/>
      <c r="W3208" s="5"/>
      <c r="X3208" s="5"/>
      <c r="Y3208" s="5"/>
      <c r="Z3208" s="5"/>
      <c r="AA3208" s="5"/>
      <c r="AB3208" s="5"/>
      <c r="AC3208" s="5"/>
      <c r="AD3208" s="5"/>
      <c r="AE3208" s="5"/>
      <c r="AF3208" s="5"/>
      <c r="AG3208" s="5"/>
    </row>
    <row r="3209" ht="15.75" customHeight="1">
      <c r="K3209" t="s">
        <v>5631</v>
      </c>
      <c r="L3209" t="str">
        <f>D197</f>
        <v>H3b1</v>
      </c>
      <c r="N3209" t="s">
        <v>5632</v>
      </c>
      <c r="O3209">
        <v>7130639.0</v>
      </c>
      <c r="P3209">
        <v>7262598.0</v>
      </c>
      <c r="Q3209" t="s">
        <v>423</v>
      </c>
      <c r="R3209" s="5"/>
      <c r="S3209" s="5"/>
      <c r="T3209" s="5"/>
      <c r="U3209" s="5"/>
      <c r="V3209" s="5"/>
      <c r="W3209" s="5"/>
      <c r="X3209" s="5"/>
      <c r="Y3209" s="5"/>
      <c r="Z3209" s="5"/>
      <c r="AA3209" s="5"/>
      <c r="AB3209" s="5"/>
      <c r="AC3209" s="5"/>
      <c r="AD3209" s="5"/>
      <c r="AE3209" s="5"/>
      <c r="AF3209" s="5"/>
      <c r="AG3209" s="5"/>
    </row>
    <row r="3210" ht="15.75" customHeight="1">
      <c r="K3210" t="s">
        <v>5633</v>
      </c>
      <c r="L3210" t="str">
        <f>D197</f>
        <v>H3b1</v>
      </c>
      <c r="N3210" t="s">
        <v>5634</v>
      </c>
      <c r="O3210">
        <v>7217266.0</v>
      </c>
      <c r="P3210">
        <v>7349225.0</v>
      </c>
      <c r="Q3210" t="s">
        <v>459</v>
      </c>
      <c r="R3210" s="5"/>
      <c r="S3210" s="5"/>
      <c r="T3210" s="5"/>
      <c r="U3210" s="5"/>
      <c r="V3210" s="5"/>
      <c r="W3210" s="5"/>
      <c r="X3210" s="5"/>
      <c r="Y3210" s="5"/>
      <c r="Z3210" s="5"/>
      <c r="AA3210" s="5"/>
      <c r="AB3210" s="5"/>
      <c r="AC3210" s="5"/>
      <c r="AD3210" s="5"/>
      <c r="AE3210" s="5"/>
      <c r="AF3210" s="5"/>
      <c r="AG3210" s="5"/>
    </row>
    <row r="3211" ht="15.75" customHeight="1">
      <c r="K3211" t="s">
        <v>5635</v>
      </c>
      <c r="L3211" t="str">
        <f>D197</f>
        <v>H3b1</v>
      </c>
      <c r="N3211" t="s">
        <v>5636</v>
      </c>
      <c r="O3211">
        <v>7242980.0</v>
      </c>
      <c r="P3211">
        <v>7374939.0</v>
      </c>
      <c r="Q3211" t="s">
        <v>476</v>
      </c>
      <c r="R3211" s="5"/>
      <c r="S3211" s="5"/>
      <c r="T3211" s="5"/>
      <c r="U3211" s="5"/>
      <c r="V3211" s="5"/>
      <c r="W3211" s="5"/>
      <c r="X3211" s="5"/>
      <c r="Y3211" s="5"/>
      <c r="Z3211" s="5"/>
      <c r="AA3211" s="5"/>
      <c r="AB3211" s="5"/>
      <c r="AC3211" s="5"/>
      <c r="AD3211" s="5"/>
      <c r="AE3211" s="5"/>
      <c r="AF3211" s="5"/>
      <c r="AG3211" s="5"/>
    </row>
    <row r="3212" ht="15.75" customHeight="1">
      <c r="K3212" t="s">
        <v>5637</v>
      </c>
      <c r="L3212" t="str">
        <f>D197</f>
        <v>H3b1</v>
      </c>
      <c r="N3212" t="s">
        <v>5638</v>
      </c>
      <c r="O3212">
        <v>7280566.0</v>
      </c>
      <c r="P3212">
        <v>7412525.0</v>
      </c>
      <c r="Q3212" t="s">
        <v>435</v>
      </c>
      <c r="R3212" s="5"/>
      <c r="S3212" s="5"/>
      <c r="T3212" s="5"/>
      <c r="U3212" s="5"/>
      <c r="V3212" s="5"/>
      <c r="W3212" s="5"/>
      <c r="X3212" s="5"/>
      <c r="Y3212" s="5"/>
      <c r="Z3212" s="5"/>
      <c r="AA3212" s="5"/>
      <c r="AB3212" s="5"/>
      <c r="AC3212" s="5"/>
      <c r="AD3212" s="5"/>
      <c r="AE3212" s="5"/>
      <c r="AF3212" s="5"/>
      <c r="AG3212" s="5"/>
    </row>
    <row r="3213" ht="15.75" customHeight="1">
      <c r="K3213" t="s">
        <v>5639</v>
      </c>
      <c r="L3213" t="str">
        <f>D197</f>
        <v>H3b1</v>
      </c>
      <c r="N3213" t="s">
        <v>5640</v>
      </c>
      <c r="O3213">
        <v>7334151.0</v>
      </c>
      <c r="P3213">
        <v>7466110.0</v>
      </c>
      <c r="Q3213" t="s">
        <v>423</v>
      </c>
      <c r="R3213" s="5"/>
      <c r="S3213" s="5"/>
      <c r="T3213" s="5"/>
      <c r="U3213" s="5"/>
      <c r="V3213" s="5"/>
      <c r="W3213" s="5"/>
      <c r="X3213" s="5"/>
      <c r="Y3213" s="5"/>
      <c r="Z3213" s="5"/>
      <c r="AA3213" s="5"/>
      <c r="AB3213" s="5"/>
      <c r="AC3213" s="5"/>
      <c r="AD3213" s="5"/>
      <c r="AE3213" s="5"/>
      <c r="AF3213" s="5"/>
      <c r="AG3213" s="5"/>
    </row>
    <row r="3214" ht="15.75" customHeight="1">
      <c r="K3214" t="s">
        <v>5641</v>
      </c>
      <c r="L3214" t="str">
        <f>D197</f>
        <v>H3b1</v>
      </c>
      <c r="N3214" t="s">
        <v>5642</v>
      </c>
      <c r="O3214">
        <v>7389428.0</v>
      </c>
      <c r="P3214">
        <v>7521387.0</v>
      </c>
      <c r="Q3214" t="s">
        <v>419</v>
      </c>
      <c r="R3214" s="5"/>
      <c r="S3214" s="5"/>
      <c r="T3214" s="5"/>
      <c r="U3214" s="5"/>
      <c r="V3214" s="5"/>
      <c r="W3214" s="5"/>
      <c r="X3214" s="5"/>
      <c r="Y3214" s="5"/>
      <c r="Z3214" s="5"/>
      <c r="AA3214" s="5"/>
      <c r="AB3214" s="5"/>
      <c r="AC3214" s="5"/>
      <c r="AD3214" s="5"/>
      <c r="AE3214" s="5"/>
      <c r="AF3214" s="5"/>
      <c r="AG3214" s="5"/>
    </row>
    <row r="3215" ht="15.75" customHeight="1">
      <c r="K3215" t="s">
        <v>5643</v>
      </c>
      <c r="L3215" t="str">
        <f>D197</f>
        <v>H3b1</v>
      </c>
      <c r="N3215" t="s">
        <v>5644</v>
      </c>
      <c r="O3215">
        <v>7641358.0</v>
      </c>
      <c r="P3215">
        <v>7773317.0</v>
      </c>
      <c r="Q3215" t="s">
        <v>423</v>
      </c>
      <c r="R3215" s="5"/>
      <c r="S3215" s="5"/>
      <c r="T3215" s="5"/>
      <c r="U3215" s="5"/>
      <c r="V3215" s="5"/>
      <c r="W3215" s="5"/>
      <c r="X3215" s="5"/>
      <c r="Y3215" s="5"/>
      <c r="Z3215" s="5"/>
      <c r="AA3215" s="5"/>
      <c r="AB3215" s="5"/>
      <c r="AC3215" s="5"/>
      <c r="AD3215" s="5"/>
      <c r="AE3215" s="5"/>
      <c r="AF3215" s="5"/>
      <c r="AG3215" s="5"/>
    </row>
    <row r="3216" ht="15.75" customHeight="1">
      <c r="K3216" t="s">
        <v>5645</v>
      </c>
      <c r="L3216" t="str">
        <f>D197</f>
        <v>H3b1</v>
      </c>
      <c r="N3216" t="s">
        <v>5646</v>
      </c>
      <c r="O3216">
        <v>7689996.0</v>
      </c>
      <c r="P3216">
        <v>7821955.0</v>
      </c>
      <c r="Q3216" t="s">
        <v>435</v>
      </c>
      <c r="R3216" s="5"/>
      <c r="S3216" s="5"/>
      <c r="T3216" s="5"/>
      <c r="U3216" s="5"/>
      <c r="V3216" s="5"/>
      <c r="W3216" s="5"/>
      <c r="X3216" s="5"/>
      <c r="Y3216" s="5"/>
      <c r="Z3216" s="5"/>
      <c r="AA3216" s="5"/>
      <c r="AB3216" s="5"/>
      <c r="AC3216" s="5"/>
      <c r="AD3216" s="5"/>
      <c r="AE3216" s="5"/>
      <c r="AF3216" s="5"/>
      <c r="AG3216" s="5"/>
    </row>
    <row r="3217" ht="15.75" customHeight="1">
      <c r="K3217" t="s">
        <v>5647</v>
      </c>
      <c r="L3217" t="str">
        <f>D197</f>
        <v>H3b1</v>
      </c>
      <c r="N3217" t="s">
        <v>5648</v>
      </c>
      <c r="O3217">
        <v>7749203.0</v>
      </c>
      <c r="P3217">
        <v>7881162.0</v>
      </c>
      <c r="Q3217" t="s">
        <v>435</v>
      </c>
      <c r="R3217" s="5"/>
      <c r="S3217" s="5"/>
      <c r="T3217" s="5"/>
      <c r="U3217" s="5"/>
      <c r="V3217" s="5"/>
      <c r="W3217" s="5"/>
      <c r="X3217" s="5"/>
      <c r="Y3217" s="5"/>
      <c r="Z3217" s="5"/>
      <c r="AA3217" s="5"/>
      <c r="AB3217" s="5"/>
      <c r="AC3217" s="5"/>
      <c r="AD3217" s="5"/>
      <c r="AE3217" s="5"/>
      <c r="AF3217" s="5"/>
      <c r="AG3217" s="5"/>
    </row>
    <row r="3218" ht="15.75" customHeight="1">
      <c r="K3218" t="s">
        <v>5649</v>
      </c>
      <c r="L3218" t="str">
        <f>D197</f>
        <v>H3b1</v>
      </c>
      <c r="N3218" t="s">
        <v>5650</v>
      </c>
      <c r="O3218">
        <v>7764084.0</v>
      </c>
      <c r="P3218">
        <v>7896043.0</v>
      </c>
      <c r="Q3218" t="s">
        <v>427</v>
      </c>
      <c r="R3218" s="5"/>
      <c r="S3218" s="5"/>
      <c r="T3218" s="5"/>
      <c r="U3218" s="5"/>
      <c r="V3218" s="5"/>
      <c r="W3218" s="5"/>
      <c r="X3218" s="5"/>
      <c r="Y3218" s="5"/>
      <c r="Z3218" s="5"/>
      <c r="AA3218" s="5"/>
      <c r="AB3218" s="5"/>
      <c r="AC3218" s="5"/>
      <c r="AD3218" s="5"/>
      <c r="AE3218" s="5"/>
      <c r="AF3218" s="5"/>
      <c r="AG3218" s="5"/>
    </row>
    <row r="3219" ht="15.75" customHeight="1">
      <c r="K3219" t="s">
        <v>5651</v>
      </c>
      <c r="L3219" t="str">
        <f>D197</f>
        <v>H3b1</v>
      </c>
      <c r="N3219" t="s">
        <v>5652</v>
      </c>
      <c r="O3219">
        <v>7806415.0</v>
      </c>
      <c r="P3219">
        <v>7938374.0</v>
      </c>
      <c r="Q3219" t="s">
        <v>553</v>
      </c>
      <c r="R3219" s="5"/>
      <c r="S3219" s="5"/>
      <c r="T3219" s="5"/>
      <c r="U3219" s="5"/>
      <c r="V3219" s="5"/>
      <c r="W3219" s="5"/>
      <c r="X3219" s="5"/>
      <c r="Y3219" s="5"/>
      <c r="Z3219" s="5"/>
      <c r="AA3219" s="5"/>
      <c r="AB3219" s="5"/>
      <c r="AC3219" s="5"/>
      <c r="AD3219" s="5"/>
      <c r="AE3219" s="5"/>
      <c r="AF3219" s="5"/>
      <c r="AG3219" s="5"/>
    </row>
    <row r="3220" ht="15.75" customHeight="1">
      <c r="K3220" t="s">
        <v>5653</v>
      </c>
      <c r="L3220" t="str">
        <f>D197</f>
        <v>H3b1</v>
      </c>
      <c r="N3220" t="s">
        <v>5654</v>
      </c>
      <c r="O3220">
        <v>7810765.0</v>
      </c>
      <c r="P3220">
        <v>7942724.0</v>
      </c>
      <c r="Q3220" t="s">
        <v>448</v>
      </c>
      <c r="R3220" s="5"/>
      <c r="S3220" s="5"/>
      <c r="T3220" s="5"/>
      <c r="U3220" s="5"/>
      <c r="V3220" s="5"/>
      <c r="W3220" s="5"/>
      <c r="X3220" s="5"/>
      <c r="Y3220" s="5"/>
      <c r="Z3220" s="5"/>
      <c r="AA3220" s="5"/>
      <c r="AB3220" s="5"/>
      <c r="AC3220" s="5"/>
      <c r="AD3220" s="5"/>
      <c r="AE3220" s="5"/>
      <c r="AF3220" s="5"/>
      <c r="AG3220" s="5"/>
    </row>
    <row r="3221" ht="15.75" customHeight="1">
      <c r="K3221" t="s">
        <v>5655</v>
      </c>
      <c r="L3221" t="str">
        <f>D197</f>
        <v>H3b1</v>
      </c>
      <c r="N3221" t="s">
        <v>5656</v>
      </c>
      <c r="O3221">
        <v>7818483.0</v>
      </c>
      <c r="P3221">
        <v>7950442.0</v>
      </c>
      <c r="Q3221" t="s">
        <v>431</v>
      </c>
      <c r="R3221" s="5"/>
      <c r="S3221" s="5"/>
      <c r="T3221" s="5"/>
      <c r="U3221" s="5"/>
      <c r="V3221" s="5"/>
      <c r="W3221" s="5"/>
      <c r="X3221" s="5"/>
      <c r="Y3221" s="5"/>
      <c r="Z3221" s="5"/>
      <c r="AA3221" s="5"/>
      <c r="AB3221" s="5"/>
      <c r="AC3221" s="5"/>
      <c r="AD3221" s="5"/>
      <c r="AE3221" s="5"/>
      <c r="AF3221" s="5"/>
      <c r="AG3221" s="5"/>
    </row>
    <row r="3222" ht="15.75" customHeight="1">
      <c r="K3222" t="s">
        <v>5657</v>
      </c>
      <c r="L3222" t="str">
        <f>D197</f>
        <v>H3b1</v>
      </c>
      <c r="N3222" t="s">
        <v>5658</v>
      </c>
      <c r="O3222">
        <v>7869116.0</v>
      </c>
      <c r="P3222">
        <v>8001075.0</v>
      </c>
      <c r="Q3222" t="s">
        <v>435</v>
      </c>
      <c r="R3222" s="5"/>
      <c r="S3222" s="5"/>
      <c r="T3222" s="5"/>
      <c r="U3222" s="5"/>
      <c r="V3222" s="5"/>
      <c r="W3222" s="5"/>
      <c r="X3222" s="5"/>
      <c r="Y3222" s="5"/>
      <c r="Z3222" s="5"/>
      <c r="AA3222" s="5"/>
      <c r="AB3222" s="5"/>
      <c r="AC3222" s="5"/>
      <c r="AD3222" s="5"/>
      <c r="AE3222" s="5"/>
      <c r="AF3222" s="5"/>
      <c r="AG3222" s="5"/>
    </row>
    <row r="3223" ht="15.75" customHeight="1">
      <c r="K3223" t="s">
        <v>5659</v>
      </c>
      <c r="L3223" t="str">
        <f>D197</f>
        <v>H3b1</v>
      </c>
      <c r="N3223" t="s">
        <v>5660</v>
      </c>
      <c r="O3223">
        <v>7871433.0</v>
      </c>
      <c r="P3223">
        <v>8003392.0</v>
      </c>
      <c r="Q3223" t="s">
        <v>423</v>
      </c>
      <c r="R3223" s="5"/>
      <c r="S3223" s="5"/>
      <c r="T3223" s="5"/>
      <c r="U3223" s="5"/>
      <c r="V3223" s="5"/>
      <c r="W3223" s="5"/>
      <c r="X3223" s="5"/>
      <c r="Y3223" s="5"/>
      <c r="Z3223" s="5"/>
      <c r="AA3223" s="5"/>
      <c r="AB3223" s="5"/>
      <c r="AC3223" s="5"/>
      <c r="AD3223" s="5"/>
      <c r="AE3223" s="5"/>
      <c r="AF3223" s="5"/>
      <c r="AG3223" s="5"/>
    </row>
    <row r="3224" ht="15.75" customHeight="1">
      <c r="K3224" t="s">
        <v>5661</v>
      </c>
      <c r="L3224" t="str">
        <f>D197</f>
        <v>H3b1</v>
      </c>
      <c r="N3224" t="s">
        <v>5662</v>
      </c>
      <c r="O3224">
        <v>7875232.0</v>
      </c>
      <c r="P3224">
        <v>8007191.0</v>
      </c>
      <c r="Q3224" t="s">
        <v>419</v>
      </c>
      <c r="R3224" s="5"/>
      <c r="S3224" s="5"/>
      <c r="T3224" s="5"/>
      <c r="U3224" s="5"/>
      <c r="V3224" s="5"/>
      <c r="W3224" s="5"/>
      <c r="X3224" s="5"/>
      <c r="Y3224" s="5"/>
      <c r="Z3224" s="5"/>
      <c r="AA3224" s="5"/>
      <c r="AB3224" s="5"/>
      <c r="AC3224" s="5"/>
      <c r="AD3224" s="5"/>
      <c r="AE3224" s="5"/>
      <c r="AF3224" s="5"/>
      <c r="AG3224" s="5"/>
    </row>
    <row r="3225" ht="15.75" customHeight="1">
      <c r="K3225" t="s">
        <v>5663</v>
      </c>
      <c r="L3225" t="str">
        <f>D197</f>
        <v>H3b1</v>
      </c>
      <c r="N3225" t="s">
        <v>5664</v>
      </c>
      <c r="O3225">
        <v>7880908.0</v>
      </c>
      <c r="P3225">
        <v>8012867.0</v>
      </c>
      <c r="Q3225" t="s">
        <v>431</v>
      </c>
      <c r="R3225" s="5"/>
      <c r="S3225" s="5"/>
      <c r="T3225" s="5"/>
      <c r="U3225" s="5"/>
      <c r="V3225" s="5"/>
      <c r="W3225" s="5"/>
      <c r="X3225" s="5"/>
      <c r="Y3225" s="5"/>
      <c r="Z3225" s="5"/>
      <c r="AA3225" s="5"/>
      <c r="AB3225" s="5"/>
      <c r="AC3225" s="5"/>
      <c r="AD3225" s="5"/>
      <c r="AE3225" s="5"/>
      <c r="AF3225" s="5"/>
      <c r="AG3225" s="5"/>
    </row>
    <row r="3226" ht="15.75" customHeight="1">
      <c r="K3226" t="s">
        <v>5665</v>
      </c>
      <c r="L3226" t="str">
        <f>D197</f>
        <v>H3b1</v>
      </c>
      <c r="N3226" t="s">
        <v>5666</v>
      </c>
      <c r="O3226">
        <v>7917041.0</v>
      </c>
      <c r="P3226">
        <v>8049000.0</v>
      </c>
      <c r="Q3226" t="s">
        <v>448</v>
      </c>
      <c r="R3226" s="5"/>
      <c r="S3226" s="5"/>
      <c r="T3226" s="5"/>
      <c r="U3226" s="5"/>
      <c r="V3226" s="5"/>
      <c r="W3226" s="5"/>
      <c r="X3226" s="5"/>
      <c r="Y3226" s="5"/>
      <c r="Z3226" s="5"/>
      <c r="AA3226" s="5"/>
      <c r="AB3226" s="5"/>
      <c r="AC3226" s="5"/>
      <c r="AD3226" s="5"/>
      <c r="AE3226" s="5"/>
      <c r="AF3226" s="5"/>
      <c r="AG3226" s="5"/>
    </row>
    <row r="3227" ht="15.75" customHeight="1">
      <c r="K3227" t="s">
        <v>5667</v>
      </c>
      <c r="L3227" t="str">
        <f>D197</f>
        <v>H3b1</v>
      </c>
      <c r="N3227" t="s">
        <v>5668</v>
      </c>
      <c r="O3227">
        <v>8035924.0</v>
      </c>
      <c r="P3227">
        <v>8167883.0</v>
      </c>
      <c r="Q3227" t="s">
        <v>452</v>
      </c>
      <c r="R3227" s="5"/>
      <c r="S3227" s="5"/>
      <c r="T3227" s="5"/>
      <c r="U3227" s="5"/>
      <c r="V3227" s="5"/>
      <c r="W3227" s="5"/>
      <c r="X3227" s="5"/>
      <c r="Y3227" s="5"/>
      <c r="Z3227" s="5"/>
      <c r="AA3227" s="5"/>
      <c r="AB3227" s="5"/>
      <c r="AC3227" s="5"/>
      <c r="AD3227" s="5"/>
      <c r="AE3227" s="5"/>
      <c r="AF3227" s="5"/>
      <c r="AG3227" s="5"/>
    </row>
    <row r="3228" ht="15.75" customHeight="1">
      <c r="K3228" t="s">
        <v>5669</v>
      </c>
      <c r="L3228" t="str">
        <f>D197</f>
        <v>H3b1</v>
      </c>
      <c r="N3228" t="s">
        <v>5670</v>
      </c>
      <c r="O3228">
        <v>8062697.0</v>
      </c>
      <c r="P3228">
        <v>8194656.0</v>
      </c>
      <c r="Q3228" t="s">
        <v>423</v>
      </c>
      <c r="R3228" s="5"/>
      <c r="S3228" s="5"/>
      <c r="T3228" s="5"/>
      <c r="U3228" s="5"/>
      <c r="V3228" s="5"/>
      <c r="W3228" s="5"/>
      <c r="X3228" s="5"/>
      <c r="Y3228" s="5"/>
      <c r="Z3228" s="5"/>
      <c r="AA3228" s="5"/>
      <c r="AB3228" s="5"/>
      <c r="AC3228" s="5"/>
      <c r="AD3228" s="5"/>
      <c r="AE3228" s="5"/>
      <c r="AF3228" s="5"/>
      <c r="AG3228" s="5"/>
    </row>
    <row r="3229" ht="15.75" customHeight="1">
      <c r="K3229" t="s">
        <v>5671</v>
      </c>
      <c r="L3229" t="str">
        <f>D197</f>
        <v>H3b1</v>
      </c>
      <c r="N3229" t="s">
        <v>5672</v>
      </c>
      <c r="O3229">
        <v>8313621.0</v>
      </c>
      <c r="P3229">
        <v>8445580.0</v>
      </c>
      <c r="Q3229" t="s">
        <v>423</v>
      </c>
      <c r="R3229" s="5"/>
      <c r="S3229" s="5"/>
      <c r="T3229" s="5"/>
      <c r="U3229" s="5"/>
      <c r="V3229" s="5"/>
      <c r="W3229" s="5"/>
      <c r="X3229" s="5"/>
      <c r="Y3229" s="5"/>
      <c r="Z3229" s="5"/>
      <c r="AA3229" s="5"/>
      <c r="AB3229" s="5"/>
      <c r="AC3229" s="5"/>
      <c r="AD3229" s="5"/>
      <c r="AE3229" s="5"/>
      <c r="AF3229" s="5"/>
      <c r="AG3229" s="5"/>
    </row>
    <row r="3230" ht="15.75" customHeight="1">
      <c r="K3230" t="s">
        <v>5673</v>
      </c>
      <c r="L3230" t="str">
        <f>D197</f>
        <v>H3b1</v>
      </c>
      <c r="N3230" t="s">
        <v>5674</v>
      </c>
      <c r="O3230">
        <v>8356313.0</v>
      </c>
      <c r="P3230">
        <v>8488272.0</v>
      </c>
      <c r="Q3230" t="s">
        <v>525</v>
      </c>
      <c r="R3230" s="5"/>
      <c r="S3230" s="5"/>
      <c r="T3230" s="5"/>
      <c r="U3230" s="5"/>
      <c r="V3230" s="5"/>
      <c r="W3230" s="5"/>
      <c r="X3230" s="5"/>
      <c r="Y3230" s="5"/>
      <c r="Z3230" s="5"/>
      <c r="AA3230" s="5"/>
      <c r="AB3230" s="5"/>
      <c r="AC3230" s="5"/>
      <c r="AD3230" s="5"/>
      <c r="AE3230" s="5"/>
      <c r="AF3230" s="5"/>
      <c r="AG3230" s="5"/>
    </row>
    <row r="3231" ht="15.75" customHeight="1">
      <c r="K3231" t="s">
        <v>5675</v>
      </c>
      <c r="L3231" t="str">
        <f>D197</f>
        <v>H3b1</v>
      </c>
      <c r="N3231" t="s">
        <v>5676</v>
      </c>
      <c r="O3231">
        <v>8466518.0</v>
      </c>
      <c r="P3231">
        <v>8598477.0</v>
      </c>
      <c r="Q3231" t="s">
        <v>476</v>
      </c>
      <c r="R3231" s="5"/>
      <c r="S3231" s="5"/>
      <c r="T3231" s="5"/>
      <c r="U3231" s="5"/>
      <c r="V3231" s="5"/>
      <c r="W3231" s="5"/>
      <c r="X3231" s="5"/>
      <c r="Y3231" s="5"/>
      <c r="Z3231" s="5"/>
      <c r="AA3231" s="5"/>
      <c r="AB3231" s="5"/>
      <c r="AC3231" s="5"/>
      <c r="AD3231" s="5"/>
      <c r="AE3231" s="5"/>
      <c r="AF3231" s="5"/>
      <c r="AG3231" s="5"/>
    </row>
    <row r="3232" ht="15.75" customHeight="1">
      <c r="K3232" t="s">
        <v>5677</v>
      </c>
      <c r="L3232" t="str">
        <f>D197</f>
        <v>H3b1</v>
      </c>
      <c r="N3232" t="s">
        <v>5678</v>
      </c>
      <c r="O3232">
        <v>8488207.0</v>
      </c>
      <c r="P3232">
        <v>8620166.0</v>
      </c>
      <c r="Q3232" t="s">
        <v>423</v>
      </c>
      <c r="R3232" s="5"/>
      <c r="S3232" s="5"/>
      <c r="T3232" s="5"/>
      <c r="U3232" s="5"/>
      <c r="V3232" s="5"/>
      <c r="W3232" s="5"/>
      <c r="X3232" s="5"/>
      <c r="Y3232" s="5"/>
      <c r="Z3232" s="5"/>
      <c r="AA3232" s="5"/>
      <c r="AB3232" s="5"/>
      <c r="AC3232" s="5"/>
      <c r="AD3232" s="5"/>
      <c r="AE3232" s="5"/>
      <c r="AF3232" s="5"/>
      <c r="AG3232" s="5"/>
    </row>
    <row r="3233" ht="15.75" customHeight="1">
      <c r="K3233" t="s">
        <v>5679</v>
      </c>
      <c r="L3233" t="str">
        <f>D197</f>
        <v>H3b1</v>
      </c>
      <c r="N3233" t="s">
        <v>5680</v>
      </c>
      <c r="O3233">
        <v>8510939.0</v>
      </c>
      <c r="P3233">
        <v>8642898.0</v>
      </c>
      <c r="Q3233" t="s">
        <v>423</v>
      </c>
      <c r="R3233" s="5"/>
      <c r="S3233" s="5"/>
      <c r="T3233" s="5"/>
      <c r="U3233" s="5"/>
      <c r="V3233" s="5"/>
      <c r="W3233" s="5"/>
      <c r="X3233" s="5"/>
      <c r="Y3233" s="5"/>
      <c r="Z3233" s="5"/>
      <c r="AA3233" s="5"/>
      <c r="AB3233" s="5"/>
      <c r="AC3233" s="5"/>
      <c r="AD3233" s="5"/>
      <c r="AE3233" s="5"/>
      <c r="AF3233" s="5"/>
      <c r="AG3233" s="5"/>
    </row>
    <row r="3234" ht="15.75" customHeight="1">
      <c r="K3234" t="s">
        <v>5681</v>
      </c>
      <c r="L3234" t="str">
        <f>D197</f>
        <v>H3b1</v>
      </c>
      <c r="N3234" t="s">
        <v>5682</v>
      </c>
      <c r="O3234">
        <v>8512415.0</v>
      </c>
      <c r="P3234">
        <v>8644374.0</v>
      </c>
      <c r="Q3234" t="s">
        <v>476</v>
      </c>
      <c r="R3234" s="5"/>
      <c r="S3234" s="5"/>
      <c r="T3234" s="5"/>
      <c r="U3234" s="5"/>
      <c r="V3234" s="5"/>
      <c r="W3234" s="5"/>
      <c r="X3234" s="5"/>
      <c r="Y3234" s="5"/>
      <c r="Z3234" s="5"/>
      <c r="AA3234" s="5"/>
      <c r="AB3234" s="5"/>
      <c r="AC3234" s="5"/>
      <c r="AD3234" s="5"/>
      <c r="AE3234" s="5"/>
      <c r="AF3234" s="5"/>
      <c r="AG3234" s="5"/>
    </row>
    <row r="3235" ht="15.75" customHeight="1">
      <c r="K3235" t="s">
        <v>5683</v>
      </c>
      <c r="L3235" t="str">
        <f>D197</f>
        <v>H3b1</v>
      </c>
      <c r="N3235" t="s">
        <v>5684</v>
      </c>
      <c r="O3235">
        <v>8530179.0</v>
      </c>
      <c r="P3235">
        <v>8662138.0</v>
      </c>
      <c r="Q3235" t="s">
        <v>431</v>
      </c>
      <c r="R3235" s="5"/>
      <c r="S3235" s="5"/>
      <c r="T3235" s="5"/>
      <c r="U3235" s="5"/>
      <c r="V3235" s="5"/>
      <c r="W3235" s="5"/>
      <c r="X3235" s="5"/>
      <c r="Y3235" s="5"/>
      <c r="Z3235" s="5"/>
      <c r="AA3235" s="5"/>
      <c r="AB3235" s="5"/>
      <c r="AC3235" s="5"/>
      <c r="AD3235" s="5"/>
      <c r="AE3235" s="5"/>
      <c r="AF3235" s="5"/>
      <c r="AG3235" s="5"/>
    </row>
    <row r="3236" ht="15.75" customHeight="1">
      <c r="K3236" t="s">
        <v>5685</v>
      </c>
      <c r="L3236" t="str">
        <f>D197</f>
        <v>H3b1</v>
      </c>
      <c r="N3236" t="s">
        <v>5686</v>
      </c>
      <c r="O3236">
        <v>8532736.0</v>
      </c>
      <c r="P3236">
        <v>8664695.0</v>
      </c>
      <c r="Q3236" t="s">
        <v>435</v>
      </c>
      <c r="R3236" s="5"/>
      <c r="S3236" s="5"/>
      <c r="T3236" s="5"/>
      <c r="U3236" s="5"/>
      <c r="V3236" s="5"/>
      <c r="W3236" s="5"/>
      <c r="X3236" s="5"/>
      <c r="Y3236" s="5"/>
      <c r="Z3236" s="5"/>
      <c r="AA3236" s="5"/>
      <c r="AB3236" s="5"/>
      <c r="AC3236" s="5"/>
      <c r="AD3236" s="5"/>
      <c r="AE3236" s="5"/>
      <c r="AF3236" s="5"/>
      <c r="AG3236" s="5"/>
    </row>
    <row r="3237" ht="15.75" customHeight="1">
      <c r="K3237" t="s">
        <v>5687</v>
      </c>
      <c r="L3237" t="str">
        <f>D197</f>
        <v>H3b1</v>
      </c>
      <c r="N3237" t="s">
        <v>5688</v>
      </c>
      <c r="O3237">
        <v>8646878.0</v>
      </c>
      <c r="P3237">
        <v>8778837.0</v>
      </c>
      <c r="Q3237" t="s">
        <v>435</v>
      </c>
      <c r="R3237" s="5"/>
      <c r="S3237" s="5"/>
      <c r="T3237" s="5"/>
      <c r="U3237" s="5"/>
      <c r="V3237" s="5"/>
      <c r="W3237" s="5"/>
      <c r="X3237" s="5"/>
      <c r="Y3237" s="5"/>
      <c r="Z3237" s="5"/>
      <c r="AA3237" s="5"/>
      <c r="AB3237" s="5"/>
      <c r="AC3237" s="5"/>
      <c r="AD3237" s="5"/>
      <c r="AE3237" s="5"/>
      <c r="AF3237" s="5"/>
      <c r="AG3237" s="5"/>
    </row>
    <row r="3238" ht="15.75" customHeight="1">
      <c r="K3238" t="s">
        <v>5689</v>
      </c>
      <c r="L3238" t="str">
        <f>D197</f>
        <v>H3b1</v>
      </c>
      <c r="N3238" t="s">
        <v>5690</v>
      </c>
      <c r="O3238">
        <v>8678375.0</v>
      </c>
      <c r="P3238">
        <v>8810334.0</v>
      </c>
      <c r="Q3238" t="s">
        <v>476</v>
      </c>
      <c r="R3238" s="5"/>
      <c r="S3238" s="5"/>
      <c r="T3238" s="5"/>
      <c r="U3238" s="5"/>
      <c r="V3238" s="5"/>
      <c r="W3238" s="5"/>
      <c r="X3238" s="5"/>
      <c r="Y3238" s="5"/>
      <c r="Z3238" s="5"/>
      <c r="AA3238" s="5"/>
      <c r="AB3238" s="5"/>
      <c r="AC3238" s="5"/>
      <c r="AD3238" s="5"/>
      <c r="AE3238" s="5"/>
      <c r="AF3238" s="5"/>
      <c r="AG3238" s="5"/>
    </row>
    <row r="3239" ht="15.75" customHeight="1">
      <c r="K3239" t="s">
        <v>5691</v>
      </c>
      <c r="L3239" t="str">
        <f>D197</f>
        <v>H3b1</v>
      </c>
      <c r="N3239" t="s">
        <v>5692</v>
      </c>
      <c r="O3239">
        <v>8786514.0</v>
      </c>
      <c r="P3239">
        <v>8918473.0</v>
      </c>
      <c r="Q3239" t="s">
        <v>459</v>
      </c>
      <c r="R3239" s="5"/>
      <c r="S3239" s="5"/>
      <c r="T3239" s="5"/>
      <c r="U3239" s="5"/>
      <c r="V3239" s="5"/>
      <c r="W3239" s="5"/>
      <c r="X3239" s="5"/>
      <c r="Y3239" s="5"/>
      <c r="Z3239" s="5"/>
      <c r="AA3239" s="5"/>
      <c r="AB3239" s="5"/>
      <c r="AC3239" s="5"/>
      <c r="AD3239" s="5"/>
      <c r="AE3239" s="5"/>
      <c r="AF3239" s="5"/>
      <c r="AG3239" s="5"/>
    </row>
    <row r="3240" ht="15.75" customHeight="1">
      <c r="K3240" t="s">
        <v>5693</v>
      </c>
      <c r="L3240" t="str">
        <f>D197</f>
        <v>H3b1</v>
      </c>
      <c r="N3240" t="s">
        <v>5694</v>
      </c>
      <c r="O3240">
        <v>8858564.0</v>
      </c>
      <c r="P3240">
        <v>8990523.0</v>
      </c>
      <c r="Q3240" t="s">
        <v>553</v>
      </c>
      <c r="R3240" s="5"/>
      <c r="S3240" s="5"/>
      <c r="T3240" s="5"/>
      <c r="U3240" s="5"/>
      <c r="V3240" s="5"/>
      <c r="W3240" s="5"/>
      <c r="X3240" s="5"/>
      <c r="Y3240" s="5"/>
      <c r="Z3240" s="5"/>
      <c r="AA3240" s="5"/>
      <c r="AB3240" s="5"/>
      <c r="AC3240" s="5"/>
      <c r="AD3240" s="5"/>
      <c r="AE3240" s="5"/>
      <c r="AF3240" s="5"/>
      <c r="AG3240" s="5"/>
    </row>
    <row r="3241" ht="15.75" customHeight="1">
      <c r="K3241" t="s">
        <v>5695</v>
      </c>
      <c r="L3241" t="str">
        <f>D197</f>
        <v>H3b1</v>
      </c>
      <c r="N3241" t="s">
        <v>5696</v>
      </c>
      <c r="O3241">
        <v>9091955.0</v>
      </c>
      <c r="P3241">
        <v>9254346.0</v>
      </c>
      <c r="Q3241" t="s">
        <v>419</v>
      </c>
      <c r="R3241" s="5"/>
      <c r="S3241" s="5"/>
      <c r="T3241" s="5"/>
      <c r="U3241" s="5"/>
      <c r="V3241" s="5"/>
      <c r="W3241" s="5"/>
      <c r="X3241" s="5"/>
      <c r="Y3241" s="5"/>
      <c r="Z3241" s="5"/>
      <c r="AA3241" s="5"/>
      <c r="AB3241" s="5"/>
      <c r="AC3241" s="5"/>
      <c r="AD3241" s="5"/>
      <c r="AE3241" s="5"/>
      <c r="AF3241" s="5"/>
      <c r="AG3241" s="5"/>
    </row>
    <row r="3242" ht="15.75" customHeight="1">
      <c r="K3242" t="s">
        <v>5697</v>
      </c>
      <c r="L3242" t="str">
        <f>D197</f>
        <v>H3b1</v>
      </c>
      <c r="N3242" t="s">
        <v>5698</v>
      </c>
      <c r="O3242">
        <v>9440267.0</v>
      </c>
      <c r="P3242">
        <v>9602658.0</v>
      </c>
      <c r="Q3242" t="s">
        <v>423</v>
      </c>
      <c r="R3242" s="5"/>
      <c r="S3242" s="5"/>
      <c r="T3242" s="5"/>
      <c r="U3242" s="5"/>
      <c r="V3242" s="5"/>
      <c r="W3242" s="5"/>
      <c r="X3242" s="5"/>
      <c r="Y3242" s="5"/>
      <c r="Z3242" s="5"/>
      <c r="AA3242" s="5"/>
      <c r="AB3242" s="5"/>
      <c r="AC3242" s="5"/>
      <c r="AD3242" s="5"/>
      <c r="AE3242" s="5"/>
      <c r="AF3242" s="5"/>
      <c r="AG3242" s="5"/>
    </row>
    <row r="3243" ht="15.75" customHeight="1">
      <c r="K3243" t="s">
        <v>5699</v>
      </c>
      <c r="L3243" t="str">
        <f>D197</f>
        <v>H3b1</v>
      </c>
      <c r="N3243" t="s">
        <v>5700</v>
      </c>
      <c r="O3243">
        <v>9460710.0</v>
      </c>
      <c r="P3243">
        <v>9623101.0</v>
      </c>
      <c r="Q3243" t="s">
        <v>419</v>
      </c>
      <c r="R3243" s="5"/>
      <c r="S3243" s="5"/>
      <c r="T3243" s="5"/>
      <c r="U3243" s="5"/>
      <c r="V3243" s="5"/>
      <c r="W3243" s="5"/>
      <c r="X3243" s="5"/>
      <c r="Y3243" s="5"/>
      <c r="Z3243" s="5"/>
      <c r="AA3243" s="5"/>
      <c r="AB3243" s="5"/>
      <c r="AC3243" s="5"/>
      <c r="AD3243" s="5"/>
      <c r="AE3243" s="5"/>
      <c r="AF3243" s="5"/>
      <c r="AG3243" s="5"/>
    </row>
    <row r="3244" ht="15.75" customHeight="1">
      <c r="K3244" t="s">
        <v>5701</v>
      </c>
      <c r="L3244" t="str">
        <f>D197</f>
        <v>H3b1</v>
      </c>
      <c r="O3244">
        <v>9462277.0</v>
      </c>
      <c r="P3244">
        <v>9624668.0</v>
      </c>
      <c r="Q3244" t="s">
        <v>427</v>
      </c>
      <c r="R3244" s="5"/>
      <c r="S3244" s="5"/>
      <c r="T3244" s="5"/>
      <c r="U3244" s="5"/>
      <c r="V3244" s="5"/>
      <c r="W3244" s="5"/>
      <c r="X3244" s="5"/>
      <c r="Y3244" s="5"/>
      <c r="Z3244" s="5"/>
      <c r="AA3244" s="5"/>
      <c r="AB3244" s="5"/>
      <c r="AC3244" s="5"/>
      <c r="AD3244" s="5"/>
      <c r="AE3244" s="5"/>
      <c r="AF3244" s="5"/>
      <c r="AG3244" s="5"/>
    </row>
    <row r="3245" ht="15.75" customHeight="1">
      <c r="K3245" t="s">
        <v>5702</v>
      </c>
      <c r="L3245" t="str">
        <f>D197</f>
        <v>H3b1</v>
      </c>
      <c r="N3245" t="s">
        <v>5703</v>
      </c>
      <c r="O3245">
        <v>9831204.0</v>
      </c>
      <c r="P3245">
        <v>9993595.0</v>
      </c>
      <c r="Q3245" t="s">
        <v>423</v>
      </c>
      <c r="R3245" s="5"/>
      <c r="S3245" s="5"/>
      <c r="T3245" s="5"/>
      <c r="U3245" s="5"/>
      <c r="V3245" s="5"/>
      <c r="W3245" s="5"/>
      <c r="X3245" s="5"/>
      <c r="Y3245" s="5"/>
      <c r="Z3245" s="5"/>
      <c r="AA3245" s="5"/>
      <c r="AB3245" s="5"/>
      <c r="AC3245" s="5"/>
      <c r="AD3245" s="5"/>
      <c r="AE3245" s="5"/>
      <c r="AF3245" s="5"/>
      <c r="AG3245" s="5"/>
    </row>
    <row r="3246" ht="15.75" customHeight="1">
      <c r="K3246" t="s">
        <v>5704</v>
      </c>
      <c r="L3246" t="str">
        <f>D197</f>
        <v>H3b1</v>
      </c>
      <c r="N3246" t="s">
        <v>5705</v>
      </c>
      <c r="O3246">
        <v>9837484.0</v>
      </c>
      <c r="P3246">
        <v>9999875.0</v>
      </c>
      <c r="Q3246" t="s">
        <v>423</v>
      </c>
      <c r="R3246" s="5"/>
      <c r="S3246" s="5"/>
      <c r="T3246" s="5"/>
      <c r="U3246" s="5"/>
      <c r="V3246" s="5"/>
      <c r="W3246" s="5"/>
      <c r="X3246" s="5"/>
      <c r="Y3246" s="5"/>
      <c r="Z3246" s="5"/>
      <c r="AA3246" s="5"/>
      <c r="AB3246" s="5"/>
      <c r="AC3246" s="5"/>
      <c r="AD3246" s="5"/>
      <c r="AE3246" s="5"/>
      <c r="AF3246" s="5"/>
      <c r="AG3246" s="5"/>
    </row>
    <row r="3247" ht="15.75" customHeight="1">
      <c r="K3247" t="s">
        <v>5706</v>
      </c>
      <c r="L3247" t="str">
        <f>D197</f>
        <v>H3b1</v>
      </c>
      <c r="O3247">
        <v>9971826.0</v>
      </c>
      <c r="P3247">
        <v>1.0134217E7</v>
      </c>
      <c r="Q3247" t="s">
        <v>431</v>
      </c>
      <c r="R3247" s="5"/>
      <c r="S3247" s="5"/>
      <c r="T3247" s="5"/>
      <c r="U3247" s="5"/>
      <c r="V3247" s="5"/>
      <c r="W3247" s="5"/>
      <c r="X3247" s="5"/>
      <c r="Y3247" s="5"/>
      <c r="Z3247" s="5"/>
      <c r="AA3247" s="5"/>
      <c r="AB3247" s="5"/>
      <c r="AC3247" s="5"/>
      <c r="AD3247" s="5"/>
      <c r="AE3247" s="5"/>
      <c r="AF3247" s="5"/>
      <c r="AG3247" s="5"/>
    </row>
    <row r="3248" ht="15.75" customHeight="1">
      <c r="K3248" t="s">
        <v>5707</v>
      </c>
      <c r="L3248" t="str">
        <f>D197</f>
        <v>H3b1</v>
      </c>
      <c r="N3248" t="s">
        <v>5708</v>
      </c>
      <c r="O3248">
        <v>1.3132008E7</v>
      </c>
      <c r="P3248">
        <v>1.0621494E7</v>
      </c>
      <c r="Q3248" t="s">
        <v>427</v>
      </c>
      <c r="R3248" s="5"/>
      <c r="S3248" s="5"/>
      <c r="T3248" s="5"/>
      <c r="U3248" s="5"/>
      <c r="V3248" s="5"/>
      <c r="W3248" s="5"/>
      <c r="X3248" s="5"/>
      <c r="Y3248" s="5"/>
      <c r="Z3248" s="5"/>
      <c r="AA3248" s="5"/>
      <c r="AB3248" s="5"/>
      <c r="AC3248" s="5"/>
      <c r="AD3248" s="5"/>
      <c r="AE3248" s="5"/>
      <c r="AF3248" s="5"/>
      <c r="AG3248" s="5"/>
    </row>
    <row r="3249" ht="15.75" customHeight="1">
      <c r="K3249" t="s">
        <v>5709</v>
      </c>
      <c r="L3249" t="str">
        <f>D197</f>
        <v>H3b1</v>
      </c>
      <c r="O3249">
        <v>1.3399833E7</v>
      </c>
      <c r="P3249">
        <v>1.1244157E7</v>
      </c>
      <c r="Q3249" t="s">
        <v>435</v>
      </c>
      <c r="R3249" s="5"/>
      <c r="S3249" s="5"/>
      <c r="T3249" s="5"/>
      <c r="U3249" s="5"/>
      <c r="V3249" s="5"/>
      <c r="W3249" s="5"/>
      <c r="X3249" s="5"/>
      <c r="Y3249" s="5"/>
      <c r="Z3249" s="5"/>
      <c r="AA3249" s="5"/>
      <c r="AB3249" s="5"/>
      <c r="AC3249" s="5"/>
      <c r="AD3249" s="5"/>
      <c r="AE3249" s="5"/>
      <c r="AF3249" s="5"/>
      <c r="AG3249" s="5"/>
    </row>
    <row r="3250" ht="15.75" customHeight="1">
      <c r="K3250" t="s">
        <v>5710</v>
      </c>
      <c r="L3250" t="str">
        <f>D197</f>
        <v>H3b1</v>
      </c>
      <c r="O3250">
        <v>1.365938E7</v>
      </c>
      <c r="P3250">
        <v>1.1503704E7</v>
      </c>
      <c r="Q3250" t="s">
        <v>452</v>
      </c>
      <c r="R3250" s="5"/>
      <c r="S3250" s="5"/>
      <c r="T3250" s="5"/>
      <c r="U3250" s="5"/>
      <c r="V3250" s="5"/>
      <c r="W3250" s="5"/>
      <c r="X3250" s="5"/>
      <c r="Y3250" s="5"/>
      <c r="Z3250" s="5"/>
      <c r="AA3250" s="5"/>
      <c r="AB3250" s="5"/>
      <c r="AC3250" s="5"/>
      <c r="AD3250" s="5"/>
      <c r="AE3250" s="5"/>
      <c r="AF3250" s="5"/>
      <c r="AG3250" s="5"/>
    </row>
    <row r="3251" ht="15.75" customHeight="1">
      <c r="K3251" t="s">
        <v>5711</v>
      </c>
      <c r="L3251" t="str">
        <f>D197</f>
        <v>H3b1</v>
      </c>
      <c r="O3251">
        <v>1.3807522E7</v>
      </c>
      <c r="P3251">
        <v>1.1686816E7</v>
      </c>
      <c r="Q3251" t="s">
        <v>423</v>
      </c>
      <c r="R3251" s="5"/>
      <c r="S3251" s="5"/>
      <c r="T3251" s="5"/>
      <c r="U3251" s="5"/>
      <c r="V3251" s="5"/>
      <c r="W3251" s="5"/>
      <c r="X3251" s="5"/>
      <c r="Y3251" s="5"/>
      <c r="Z3251" s="5"/>
      <c r="AA3251" s="5"/>
      <c r="AB3251" s="5"/>
      <c r="AC3251" s="5"/>
      <c r="AD3251" s="5"/>
      <c r="AE3251" s="5"/>
      <c r="AF3251" s="5"/>
      <c r="AG3251" s="5"/>
    </row>
    <row r="3252" ht="15.75" customHeight="1">
      <c r="K3252" t="s">
        <v>5712</v>
      </c>
      <c r="L3252" t="str">
        <f>D197</f>
        <v>H3b1</v>
      </c>
      <c r="O3252">
        <v>1.3859194E7</v>
      </c>
      <c r="P3252">
        <v>1.1738488E7</v>
      </c>
      <c r="Q3252" t="s">
        <v>431</v>
      </c>
      <c r="R3252" s="5"/>
      <c r="S3252" s="5"/>
      <c r="T3252" s="5"/>
      <c r="U3252" s="5"/>
      <c r="V3252" s="5"/>
      <c r="W3252" s="5"/>
      <c r="X3252" s="5"/>
      <c r="Y3252" s="5"/>
      <c r="Z3252" s="5"/>
      <c r="AA3252" s="5"/>
      <c r="AB3252" s="5"/>
      <c r="AC3252" s="5"/>
      <c r="AD3252" s="5"/>
      <c r="AE3252" s="5"/>
      <c r="AF3252" s="5"/>
      <c r="AG3252" s="5"/>
    </row>
    <row r="3253" ht="15.75" customHeight="1">
      <c r="K3253" t="s">
        <v>5713</v>
      </c>
      <c r="L3253" t="str">
        <f>D197</f>
        <v>H3b1</v>
      </c>
      <c r="N3253" t="s">
        <v>5714</v>
      </c>
      <c r="O3253">
        <v>1.3922043E7</v>
      </c>
      <c r="P3253">
        <v>1.1801337E7</v>
      </c>
      <c r="Q3253" t="s">
        <v>431</v>
      </c>
      <c r="R3253" s="5"/>
      <c r="S3253" s="5"/>
      <c r="T3253" s="5"/>
      <c r="U3253" s="5"/>
      <c r="V3253" s="5"/>
      <c r="W3253" s="5"/>
      <c r="X3253" s="5"/>
      <c r="Y3253" s="5"/>
      <c r="Z3253" s="5"/>
      <c r="AA3253" s="5"/>
      <c r="AB3253" s="5"/>
      <c r="AC3253" s="5"/>
      <c r="AD3253" s="5"/>
      <c r="AE3253" s="5"/>
      <c r="AF3253" s="5"/>
      <c r="AG3253" s="5"/>
    </row>
    <row r="3254" ht="15.75" customHeight="1">
      <c r="K3254" t="s">
        <v>5715</v>
      </c>
      <c r="L3254" t="str">
        <f>D197</f>
        <v>H3b1</v>
      </c>
      <c r="N3254" t="s">
        <v>5716</v>
      </c>
      <c r="O3254">
        <v>1.3941816E7</v>
      </c>
      <c r="P3254">
        <v>1.182111E7</v>
      </c>
      <c r="Q3254" t="s">
        <v>525</v>
      </c>
      <c r="R3254" s="5"/>
      <c r="S3254" s="5"/>
      <c r="T3254" s="5"/>
      <c r="U3254" s="5"/>
      <c r="V3254" s="5"/>
      <c r="W3254" s="5"/>
      <c r="X3254" s="5"/>
      <c r="Y3254" s="5"/>
      <c r="Z3254" s="5"/>
      <c r="AA3254" s="5"/>
      <c r="AB3254" s="5"/>
      <c r="AC3254" s="5"/>
      <c r="AD3254" s="5"/>
      <c r="AE3254" s="5"/>
      <c r="AF3254" s="5"/>
      <c r="AG3254" s="5"/>
    </row>
    <row r="3255" ht="15.75" customHeight="1">
      <c r="K3255" t="s">
        <v>5717</v>
      </c>
      <c r="L3255" t="str">
        <f>D197</f>
        <v>H3b1</v>
      </c>
      <c r="N3255" t="s">
        <v>5718</v>
      </c>
      <c r="O3255">
        <v>1.4008436E7</v>
      </c>
      <c r="P3255">
        <v>1.188773E7</v>
      </c>
      <c r="Q3255" t="s">
        <v>423</v>
      </c>
      <c r="R3255" s="5"/>
      <c r="S3255" s="5"/>
      <c r="T3255" s="5"/>
      <c r="U3255" s="5"/>
      <c r="V3255" s="5"/>
      <c r="W3255" s="5"/>
      <c r="X3255" s="5"/>
      <c r="Y3255" s="5"/>
      <c r="Z3255" s="5"/>
      <c r="AA3255" s="5"/>
      <c r="AB3255" s="5"/>
      <c r="AC3255" s="5"/>
      <c r="AD3255" s="5"/>
      <c r="AE3255" s="5"/>
      <c r="AF3255" s="5"/>
      <c r="AG3255" s="5"/>
    </row>
    <row r="3256" ht="15.75" customHeight="1">
      <c r="K3256" t="s">
        <v>5719</v>
      </c>
      <c r="L3256" t="str">
        <f>D197</f>
        <v>H3b1</v>
      </c>
      <c r="N3256" t="s">
        <v>5720</v>
      </c>
      <c r="O3256">
        <v>1.409326E7</v>
      </c>
      <c r="P3256">
        <v>1.1972554E7</v>
      </c>
      <c r="Q3256" t="s">
        <v>525</v>
      </c>
      <c r="R3256" s="5"/>
      <c r="S3256" s="5"/>
      <c r="T3256" s="5"/>
      <c r="U3256" s="5"/>
      <c r="V3256" s="5"/>
      <c r="W3256" s="5"/>
      <c r="X3256" s="5"/>
      <c r="Y3256" s="5"/>
      <c r="Z3256" s="5"/>
      <c r="AA3256" s="5"/>
      <c r="AB3256" s="5"/>
      <c r="AC3256" s="5"/>
      <c r="AD3256" s="5"/>
      <c r="AE3256" s="5"/>
      <c r="AF3256" s="5"/>
      <c r="AG3256" s="5"/>
    </row>
    <row r="3257" ht="15.75" customHeight="1">
      <c r="K3257" t="s">
        <v>5721</v>
      </c>
      <c r="L3257" t="str">
        <f>D197</f>
        <v>H3b1</v>
      </c>
      <c r="N3257" t="s">
        <v>5722</v>
      </c>
      <c r="O3257">
        <v>1.4197992E7</v>
      </c>
      <c r="P3257">
        <v>1.2077286E7</v>
      </c>
      <c r="Q3257" t="s">
        <v>419</v>
      </c>
      <c r="R3257" s="5"/>
      <c r="S3257" s="5"/>
      <c r="T3257" s="5"/>
      <c r="U3257" s="5"/>
      <c r="V3257" s="5"/>
      <c r="W3257" s="5"/>
      <c r="X3257" s="5"/>
      <c r="Y3257" s="5"/>
      <c r="Z3257" s="5"/>
      <c r="AA3257" s="5"/>
      <c r="AB3257" s="5"/>
      <c r="AC3257" s="5"/>
      <c r="AD3257" s="5"/>
      <c r="AE3257" s="5"/>
      <c r="AF3257" s="5"/>
      <c r="AG3257" s="5"/>
    </row>
    <row r="3258" ht="15.75" customHeight="1">
      <c r="K3258" t="s">
        <v>5723</v>
      </c>
      <c r="L3258" t="str">
        <f>D197</f>
        <v>H3b1</v>
      </c>
      <c r="N3258" t="s">
        <v>5724</v>
      </c>
      <c r="O3258">
        <v>1.4198327E7</v>
      </c>
      <c r="P3258">
        <v>1.2077621E7</v>
      </c>
      <c r="Q3258" t="s">
        <v>452</v>
      </c>
      <c r="R3258" s="5"/>
      <c r="S3258" s="5"/>
      <c r="T3258" s="5"/>
      <c r="U3258" s="5"/>
      <c r="V3258" s="5"/>
      <c r="W3258" s="5"/>
      <c r="X3258" s="5"/>
      <c r="Y3258" s="5"/>
      <c r="Z3258" s="5"/>
      <c r="AA3258" s="5"/>
      <c r="AB3258" s="5"/>
      <c r="AC3258" s="5"/>
      <c r="AD3258" s="5"/>
      <c r="AE3258" s="5"/>
      <c r="AF3258" s="5"/>
      <c r="AG3258" s="5"/>
    </row>
    <row r="3259" ht="15.75" customHeight="1">
      <c r="K3259" t="s">
        <v>5725</v>
      </c>
      <c r="L3259" t="str">
        <f>D197</f>
        <v>H3b1</v>
      </c>
      <c r="N3259" t="s">
        <v>5726</v>
      </c>
      <c r="O3259">
        <v>1.4216988E7</v>
      </c>
      <c r="P3259">
        <v>1.2096282E7</v>
      </c>
      <c r="Q3259" t="s">
        <v>435</v>
      </c>
      <c r="R3259" s="5"/>
      <c r="S3259" s="5"/>
      <c r="T3259" s="5"/>
      <c r="U3259" s="5"/>
      <c r="V3259" s="5"/>
      <c r="W3259" s="5"/>
      <c r="X3259" s="5"/>
      <c r="Y3259" s="5"/>
      <c r="Z3259" s="5"/>
      <c r="AA3259" s="5"/>
      <c r="AB3259" s="5"/>
      <c r="AC3259" s="5"/>
      <c r="AD3259" s="5"/>
      <c r="AE3259" s="5"/>
      <c r="AF3259" s="5"/>
      <c r="AG3259" s="5"/>
    </row>
    <row r="3260" ht="15.75" customHeight="1">
      <c r="K3260" t="s">
        <v>5727</v>
      </c>
      <c r="L3260" t="str">
        <f>D197</f>
        <v>H3b1</v>
      </c>
      <c r="N3260" t="s">
        <v>5728</v>
      </c>
      <c r="O3260">
        <v>1.4295668E7</v>
      </c>
      <c r="P3260">
        <v>1.2174962E7</v>
      </c>
      <c r="Q3260" t="s">
        <v>419</v>
      </c>
      <c r="R3260" s="5"/>
      <c r="S3260" s="5"/>
      <c r="T3260" s="5"/>
      <c r="U3260" s="5"/>
      <c r="V3260" s="5"/>
      <c r="W3260" s="5"/>
      <c r="X3260" s="5"/>
      <c r="Y3260" s="5"/>
      <c r="Z3260" s="5"/>
      <c r="AA3260" s="5"/>
      <c r="AB3260" s="5"/>
      <c r="AC3260" s="5"/>
      <c r="AD3260" s="5"/>
      <c r="AE3260" s="5"/>
      <c r="AF3260" s="5"/>
      <c r="AG3260" s="5"/>
    </row>
    <row r="3261" ht="15.75" customHeight="1">
      <c r="K3261" t="s">
        <v>5729</v>
      </c>
      <c r="L3261" t="str">
        <f>D197</f>
        <v>H3b1</v>
      </c>
      <c r="N3261" t="s">
        <v>5730</v>
      </c>
      <c r="O3261">
        <v>1.4303859E7</v>
      </c>
      <c r="P3261">
        <v>1.2183153E7</v>
      </c>
      <c r="Q3261" t="s">
        <v>419</v>
      </c>
      <c r="R3261" s="5"/>
      <c r="S3261" s="5"/>
      <c r="T3261" s="5"/>
      <c r="U3261" s="5"/>
      <c r="V3261" s="5"/>
      <c r="W3261" s="5"/>
      <c r="X3261" s="5"/>
      <c r="Y3261" s="5"/>
      <c r="Z3261" s="5"/>
      <c r="AA3261" s="5"/>
      <c r="AB3261" s="5"/>
      <c r="AC3261" s="5"/>
      <c r="AD3261" s="5"/>
      <c r="AE3261" s="5"/>
      <c r="AF3261" s="5"/>
      <c r="AG3261" s="5"/>
    </row>
    <row r="3262" ht="15.75" customHeight="1">
      <c r="K3262" t="s">
        <v>5731</v>
      </c>
      <c r="L3262" t="str">
        <f>D197</f>
        <v>H3b1</v>
      </c>
      <c r="N3262" t="s">
        <v>5732</v>
      </c>
      <c r="O3262">
        <v>1.4368094E7</v>
      </c>
      <c r="P3262">
        <v>1.224739E7</v>
      </c>
      <c r="Q3262" t="s">
        <v>452</v>
      </c>
      <c r="R3262" s="5"/>
      <c r="S3262" s="5"/>
      <c r="T3262" s="5"/>
      <c r="U3262" s="5"/>
      <c r="V3262" s="5"/>
      <c r="W3262" s="5"/>
      <c r="X3262" s="5"/>
      <c r="Y3262" s="5"/>
      <c r="Z3262" s="5"/>
      <c r="AA3262" s="5"/>
      <c r="AB3262" s="5"/>
      <c r="AC3262" s="5"/>
      <c r="AD3262" s="5"/>
      <c r="AE3262" s="5"/>
      <c r="AF3262" s="5"/>
      <c r="AG3262" s="5"/>
    </row>
    <row r="3263" ht="15.75" customHeight="1">
      <c r="K3263" t="s">
        <v>5733</v>
      </c>
      <c r="L3263" t="str">
        <f>D197</f>
        <v>H3b1</v>
      </c>
      <c r="N3263" t="s">
        <v>5734</v>
      </c>
      <c r="O3263">
        <v>1.444968E7</v>
      </c>
      <c r="P3263">
        <v>1.2328953E7</v>
      </c>
      <c r="Q3263" t="s">
        <v>419</v>
      </c>
      <c r="R3263" s="5"/>
      <c r="S3263" s="5"/>
      <c r="T3263" s="5"/>
      <c r="U3263" s="5"/>
      <c r="V3263" s="5"/>
      <c r="W3263" s="5"/>
      <c r="X3263" s="5"/>
      <c r="Y3263" s="5"/>
      <c r="Z3263" s="5"/>
      <c r="AA3263" s="5"/>
      <c r="AB3263" s="5"/>
      <c r="AC3263" s="5"/>
      <c r="AD3263" s="5"/>
      <c r="AE3263" s="5"/>
      <c r="AF3263" s="5"/>
      <c r="AG3263" s="5"/>
    </row>
    <row r="3264" ht="15.75" customHeight="1">
      <c r="K3264" t="s">
        <v>5735</v>
      </c>
      <c r="L3264" t="str">
        <f>D197</f>
        <v>H3b1</v>
      </c>
      <c r="N3264" t="s">
        <v>5736</v>
      </c>
      <c r="O3264">
        <v>1.4688708E7</v>
      </c>
      <c r="P3264">
        <v>1.2576774E7</v>
      </c>
      <c r="Q3264" t="s">
        <v>452</v>
      </c>
      <c r="R3264" s="5"/>
      <c r="S3264" s="5"/>
      <c r="T3264" s="5"/>
      <c r="U3264" s="5"/>
      <c r="V3264" s="5"/>
      <c r="W3264" s="5"/>
      <c r="X3264" s="5"/>
      <c r="Y3264" s="5"/>
      <c r="Z3264" s="5"/>
      <c r="AA3264" s="5"/>
      <c r="AB3264" s="5"/>
      <c r="AC3264" s="5"/>
      <c r="AD3264" s="5"/>
      <c r="AE3264" s="5"/>
      <c r="AF3264" s="5"/>
      <c r="AG3264" s="5"/>
    </row>
    <row r="3265" ht="15.75" customHeight="1">
      <c r="K3265" t="s">
        <v>5737</v>
      </c>
      <c r="L3265" t="str">
        <f>D197</f>
        <v>H3b1</v>
      </c>
      <c r="N3265" t="s">
        <v>5738</v>
      </c>
      <c r="O3265">
        <v>1.468951E7</v>
      </c>
      <c r="P3265">
        <v>1.2577576E7</v>
      </c>
      <c r="Q3265" t="s">
        <v>525</v>
      </c>
      <c r="R3265" s="5"/>
      <c r="S3265" s="5"/>
      <c r="T3265" s="5"/>
      <c r="U3265" s="5"/>
      <c r="V3265" s="5"/>
      <c r="W3265" s="5"/>
      <c r="X3265" s="5"/>
      <c r="Y3265" s="5"/>
      <c r="Z3265" s="5"/>
      <c r="AA3265" s="5"/>
      <c r="AB3265" s="5"/>
      <c r="AC3265" s="5"/>
      <c r="AD3265" s="5"/>
      <c r="AE3265" s="5"/>
      <c r="AF3265" s="5"/>
      <c r="AG3265" s="5"/>
    </row>
    <row r="3266" ht="15.75" customHeight="1">
      <c r="K3266" t="s">
        <v>5739</v>
      </c>
      <c r="L3266" t="str">
        <f>D197</f>
        <v>H3b1</v>
      </c>
      <c r="N3266" t="s">
        <v>5740</v>
      </c>
      <c r="O3266">
        <v>1.4817395E7</v>
      </c>
      <c r="P3266">
        <v>1.2705466E7</v>
      </c>
      <c r="Q3266" t="s">
        <v>431</v>
      </c>
      <c r="R3266" s="5"/>
      <c r="S3266" s="5"/>
      <c r="T3266" s="5"/>
      <c r="U3266" s="5"/>
      <c r="V3266" s="5"/>
      <c r="W3266" s="5"/>
      <c r="X3266" s="5"/>
      <c r="Y3266" s="5"/>
      <c r="Z3266" s="5"/>
      <c r="AA3266" s="5"/>
      <c r="AB3266" s="5"/>
      <c r="AC3266" s="5"/>
      <c r="AD3266" s="5"/>
      <c r="AE3266" s="5"/>
      <c r="AF3266" s="5"/>
      <c r="AG3266" s="5"/>
    </row>
    <row r="3267" ht="15.75" customHeight="1">
      <c r="K3267" t="s">
        <v>5741</v>
      </c>
      <c r="L3267" t="str">
        <f>D197</f>
        <v>H3b1</v>
      </c>
      <c r="N3267" t="s">
        <v>5742</v>
      </c>
      <c r="O3267">
        <v>1.4874164E7</v>
      </c>
      <c r="P3267">
        <v>1.2762234E7</v>
      </c>
      <c r="Q3267" t="s">
        <v>459</v>
      </c>
      <c r="R3267" s="5"/>
      <c r="S3267" s="5"/>
      <c r="T3267" s="5"/>
      <c r="U3267" s="5"/>
      <c r="V3267" s="5"/>
      <c r="W3267" s="5"/>
      <c r="X3267" s="5"/>
      <c r="Y3267" s="5"/>
      <c r="Z3267" s="5"/>
      <c r="AA3267" s="5"/>
      <c r="AB3267" s="5"/>
      <c r="AC3267" s="5"/>
      <c r="AD3267" s="5"/>
      <c r="AE3267" s="5"/>
      <c r="AF3267" s="5"/>
      <c r="AG3267" s="5"/>
    </row>
    <row r="3268" ht="15.75" customHeight="1">
      <c r="K3268" t="s">
        <v>5743</v>
      </c>
      <c r="L3268" t="str">
        <f>D197</f>
        <v>H3b1</v>
      </c>
      <c r="N3268" t="s">
        <v>5744</v>
      </c>
      <c r="O3268">
        <v>1.5006337E7</v>
      </c>
      <c r="P3268">
        <v>1.2894422E7</v>
      </c>
      <c r="Q3268" t="s">
        <v>423</v>
      </c>
      <c r="R3268" s="5"/>
      <c r="S3268" s="5"/>
      <c r="T3268" s="5"/>
      <c r="U3268" s="5"/>
      <c r="V3268" s="5"/>
      <c r="W3268" s="5"/>
      <c r="X3268" s="5"/>
      <c r="Y3268" s="5"/>
      <c r="Z3268" s="5"/>
      <c r="AA3268" s="5"/>
      <c r="AB3268" s="5"/>
      <c r="AC3268" s="5"/>
      <c r="AD3268" s="5"/>
      <c r="AE3268" s="5"/>
      <c r="AF3268" s="5"/>
      <c r="AG3268" s="5"/>
    </row>
    <row r="3269" ht="15.75" customHeight="1">
      <c r="K3269" t="s">
        <v>5745</v>
      </c>
      <c r="L3269" t="str">
        <f>D197</f>
        <v>H3b1</v>
      </c>
      <c r="N3269" t="s">
        <v>5746</v>
      </c>
      <c r="O3269">
        <v>1.5127421E7</v>
      </c>
      <c r="P3269">
        <v>1.3015508E7</v>
      </c>
      <c r="Q3269" t="s">
        <v>423</v>
      </c>
      <c r="R3269" s="5"/>
      <c r="S3269" s="5"/>
      <c r="T3269" s="5"/>
      <c r="U3269" s="5"/>
      <c r="V3269" s="5"/>
      <c r="W3269" s="5"/>
      <c r="X3269" s="5"/>
      <c r="Y3269" s="5"/>
      <c r="Z3269" s="5"/>
      <c r="AA3269" s="5"/>
      <c r="AB3269" s="5"/>
      <c r="AC3269" s="5"/>
      <c r="AD3269" s="5"/>
      <c r="AE3269" s="5"/>
      <c r="AF3269" s="5"/>
      <c r="AG3269" s="5"/>
    </row>
    <row r="3270" ht="15.75" customHeight="1">
      <c r="K3270" t="s">
        <v>5747</v>
      </c>
      <c r="L3270" t="str">
        <f>D197</f>
        <v>H3b1</v>
      </c>
      <c r="N3270" t="s">
        <v>5748</v>
      </c>
      <c r="O3270">
        <v>1.5177307E7</v>
      </c>
      <c r="P3270">
        <v>1.3065393E7</v>
      </c>
      <c r="Q3270" t="s">
        <v>423</v>
      </c>
      <c r="R3270" s="5"/>
      <c r="S3270" s="5"/>
      <c r="T3270" s="5"/>
      <c r="U3270" s="5"/>
      <c r="V3270" s="5"/>
      <c r="W3270" s="5"/>
      <c r="X3270" s="5"/>
      <c r="Y3270" s="5"/>
      <c r="Z3270" s="5"/>
      <c r="AA3270" s="5"/>
      <c r="AB3270" s="5"/>
      <c r="AC3270" s="5"/>
      <c r="AD3270" s="5"/>
      <c r="AE3270" s="5"/>
      <c r="AF3270" s="5"/>
      <c r="AG3270" s="5"/>
    </row>
    <row r="3271" ht="15.75" customHeight="1">
      <c r="K3271" t="s">
        <v>5749</v>
      </c>
      <c r="L3271" t="str">
        <f>D197</f>
        <v>H3b1</v>
      </c>
      <c r="N3271" t="s">
        <v>5750</v>
      </c>
      <c r="O3271">
        <v>1.5188721E7</v>
      </c>
      <c r="P3271">
        <v>1.3076807E7</v>
      </c>
      <c r="Q3271" t="s">
        <v>435</v>
      </c>
      <c r="R3271" s="5"/>
      <c r="S3271" s="5"/>
      <c r="T3271" s="5"/>
      <c r="U3271" s="5"/>
      <c r="V3271" s="5"/>
      <c r="W3271" s="5"/>
      <c r="X3271" s="5"/>
      <c r="Y3271" s="5"/>
      <c r="Z3271" s="5"/>
      <c r="AA3271" s="5"/>
      <c r="AB3271" s="5"/>
      <c r="AC3271" s="5"/>
      <c r="AD3271" s="5"/>
      <c r="AE3271" s="5"/>
      <c r="AF3271" s="5"/>
      <c r="AG3271" s="5"/>
    </row>
    <row r="3272" ht="15.75" customHeight="1">
      <c r="K3272" t="s">
        <v>5751</v>
      </c>
      <c r="L3272" t="str">
        <f>D197</f>
        <v>H3b1</v>
      </c>
      <c r="N3272" t="s">
        <v>5752</v>
      </c>
      <c r="O3272">
        <v>1.537481E7</v>
      </c>
      <c r="P3272">
        <v>1.326293E7</v>
      </c>
      <c r="Q3272" t="s">
        <v>525</v>
      </c>
      <c r="R3272" s="5"/>
      <c r="S3272" s="5"/>
      <c r="T3272" s="5"/>
      <c r="U3272" s="5"/>
      <c r="V3272" s="5"/>
      <c r="W3272" s="5"/>
      <c r="X3272" s="5"/>
      <c r="Y3272" s="5"/>
      <c r="Z3272" s="5"/>
      <c r="AA3272" s="5"/>
      <c r="AB3272" s="5"/>
      <c r="AC3272" s="5"/>
      <c r="AD3272" s="5"/>
      <c r="AE3272" s="5"/>
      <c r="AF3272" s="5"/>
      <c r="AG3272" s="5"/>
    </row>
    <row r="3273" ht="15.75" customHeight="1">
      <c r="K3273" t="s">
        <v>5753</v>
      </c>
      <c r="L3273" t="str">
        <f>D197</f>
        <v>H3b1</v>
      </c>
      <c r="N3273" t="s">
        <v>5754</v>
      </c>
      <c r="O3273">
        <v>1.5447643E7</v>
      </c>
      <c r="P3273">
        <v>1.3335763E7</v>
      </c>
      <c r="Q3273" t="s">
        <v>419</v>
      </c>
      <c r="R3273" s="5"/>
      <c r="S3273" s="5"/>
      <c r="T3273" s="5"/>
      <c r="U3273" s="5"/>
      <c r="V3273" s="5"/>
      <c r="W3273" s="5"/>
      <c r="X3273" s="5"/>
      <c r="Y3273" s="5"/>
      <c r="Z3273" s="5"/>
      <c r="AA3273" s="5"/>
      <c r="AB3273" s="5"/>
      <c r="AC3273" s="5"/>
      <c r="AD3273" s="5"/>
      <c r="AE3273" s="5"/>
      <c r="AF3273" s="5"/>
      <c r="AG3273" s="5"/>
    </row>
    <row r="3274" ht="15.75" customHeight="1">
      <c r="K3274" t="s">
        <v>5755</v>
      </c>
      <c r="L3274" t="str">
        <f>D197</f>
        <v>H3b1</v>
      </c>
      <c r="N3274" t="s">
        <v>5756</v>
      </c>
      <c r="O3274">
        <v>1.5512547E7</v>
      </c>
      <c r="P3274">
        <v>1.3400667E7</v>
      </c>
      <c r="Q3274" t="s">
        <v>419</v>
      </c>
      <c r="R3274" s="5"/>
      <c r="S3274" s="5"/>
      <c r="T3274" s="5"/>
      <c r="U3274" s="5"/>
      <c r="V3274" s="5"/>
      <c r="W3274" s="5"/>
      <c r="X3274" s="5"/>
      <c r="Y3274" s="5"/>
      <c r="Z3274" s="5"/>
      <c r="AA3274" s="5"/>
      <c r="AB3274" s="5"/>
      <c r="AC3274" s="5"/>
      <c r="AD3274" s="5"/>
      <c r="AE3274" s="5"/>
      <c r="AF3274" s="5"/>
      <c r="AG3274" s="5"/>
    </row>
    <row r="3275" ht="15.75" customHeight="1">
      <c r="K3275" t="s">
        <v>5757</v>
      </c>
      <c r="L3275" t="str">
        <f>D197</f>
        <v>H3b1</v>
      </c>
      <c r="N3275" t="s">
        <v>5758</v>
      </c>
      <c r="O3275">
        <v>1.5521953E7</v>
      </c>
      <c r="P3275">
        <v>1.3410073E7</v>
      </c>
      <c r="Q3275" t="s">
        <v>553</v>
      </c>
      <c r="R3275" s="5"/>
      <c r="S3275" s="5"/>
      <c r="T3275" s="5"/>
      <c r="U3275" s="5"/>
      <c r="V3275" s="5"/>
      <c r="W3275" s="5"/>
      <c r="X3275" s="5"/>
      <c r="Y3275" s="5"/>
      <c r="Z3275" s="5"/>
      <c r="AA3275" s="5"/>
      <c r="AB3275" s="5"/>
      <c r="AC3275" s="5"/>
      <c r="AD3275" s="5"/>
      <c r="AE3275" s="5"/>
      <c r="AF3275" s="5"/>
      <c r="AG3275" s="5"/>
    </row>
    <row r="3276" ht="15.75" customHeight="1">
      <c r="K3276" t="s">
        <v>5759</v>
      </c>
      <c r="L3276" t="str">
        <f>D197</f>
        <v>H3b1</v>
      </c>
      <c r="N3276" t="s">
        <v>5760</v>
      </c>
      <c r="O3276">
        <v>1.5544565E7</v>
      </c>
      <c r="P3276">
        <v>1.3432685E7</v>
      </c>
      <c r="Q3276" t="s">
        <v>431</v>
      </c>
      <c r="R3276" s="5"/>
      <c r="S3276" s="5"/>
      <c r="T3276" s="5"/>
      <c r="U3276" s="5"/>
      <c r="V3276" s="5"/>
      <c r="W3276" s="5"/>
      <c r="X3276" s="5"/>
      <c r="Y3276" s="5"/>
      <c r="Z3276" s="5"/>
      <c r="AA3276" s="5"/>
      <c r="AB3276" s="5"/>
      <c r="AC3276" s="5"/>
      <c r="AD3276" s="5"/>
      <c r="AE3276" s="5"/>
      <c r="AF3276" s="5"/>
      <c r="AG3276" s="5"/>
    </row>
    <row r="3277" ht="15.75" customHeight="1">
      <c r="K3277" t="s">
        <v>5761</v>
      </c>
      <c r="L3277" t="str">
        <f>D197</f>
        <v>H3b1</v>
      </c>
      <c r="N3277" t="s">
        <v>5762</v>
      </c>
      <c r="O3277">
        <v>1.5776801E7</v>
      </c>
      <c r="P3277">
        <v>1.3664921E7</v>
      </c>
      <c r="Q3277" t="s">
        <v>419</v>
      </c>
      <c r="R3277" s="5"/>
      <c r="S3277" s="5"/>
      <c r="T3277" s="5"/>
      <c r="U3277" s="5"/>
      <c r="V3277" s="5"/>
      <c r="W3277" s="5"/>
      <c r="X3277" s="5"/>
      <c r="Y3277" s="5"/>
      <c r="Z3277" s="5"/>
      <c r="AA3277" s="5"/>
      <c r="AB3277" s="5"/>
      <c r="AC3277" s="5"/>
      <c r="AD3277" s="5"/>
      <c r="AE3277" s="5"/>
      <c r="AF3277" s="5"/>
      <c r="AG3277" s="5"/>
    </row>
    <row r="3278" ht="15.75" customHeight="1">
      <c r="K3278" t="s">
        <v>5763</v>
      </c>
      <c r="L3278" t="str">
        <f>D197</f>
        <v>H3b1</v>
      </c>
      <c r="N3278" t="s">
        <v>5764</v>
      </c>
      <c r="O3278">
        <v>1.5798335E7</v>
      </c>
      <c r="P3278">
        <v>1.3686455E7</v>
      </c>
      <c r="Q3278" t="s">
        <v>435</v>
      </c>
      <c r="R3278" s="5"/>
      <c r="S3278" s="5"/>
      <c r="T3278" s="5"/>
      <c r="U3278" s="5"/>
      <c r="V3278" s="5"/>
      <c r="W3278" s="5"/>
      <c r="X3278" s="5"/>
      <c r="Y3278" s="5"/>
      <c r="Z3278" s="5"/>
      <c r="AA3278" s="5"/>
      <c r="AB3278" s="5"/>
      <c r="AC3278" s="5"/>
      <c r="AD3278" s="5"/>
      <c r="AE3278" s="5"/>
      <c r="AF3278" s="5"/>
      <c r="AG3278" s="5"/>
    </row>
    <row r="3279" ht="15.75" customHeight="1">
      <c r="K3279" t="s">
        <v>5765</v>
      </c>
      <c r="L3279" t="str">
        <f>D197</f>
        <v>H3b1</v>
      </c>
      <c r="O3279">
        <v>1.5892722E7</v>
      </c>
      <c r="P3279">
        <v>1.3780842E7</v>
      </c>
      <c r="Q3279" t="s">
        <v>435</v>
      </c>
      <c r="R3279" s="5"/>
      <c r="S3279" s="5"/>
      <c r="T3279" s="5"/>
      <c r="U3279" s="5"/>
      <c r="V3279" s="5"/>
      <c r="W3279" s="5"/>
      <c r="X3279" s="5"/>
      <c r="Y3279" s="5"/>
      <c r="Z3279" s="5"/>
      <c r="AA3279" s="5"/>
      <c r="AB3279" s="5"/>
      <c r="AC3279" s="5"/>
      <c r="AD3279" s="5"/>
      <c r="AE3279" s="5"/>
      <c r="AF3279" s="5"/>
      <c r="AG3279" s="5"/>
    </row>
    <row r="3280" ht="15.75" customHeight="1">
      <c r="K3280" t="s">
        <v>5766</v>
      </c>
      <c r="L3280" t="str">
        <f>D197</f>
        <v>H3b1</v>
      </c>
      <c r="N3280" t="s">
        <v>5767</v>
      </c>
      <c r="O3280">
        <v>1.625431E7</v>
      </c>
      <c r="P3280">
        <v>1.414243E7</v>
      </c>
      <c r="Q3280" t="s">
        <v>419</v>
      </c>
      <c r="R3280" s="5"/>
      <c r="S3280" s="5"/>
      <c r="T3280" s="5"/>
      <c r="U3280" s="5"/>
      <c r="V3280" s="5"/>
      <c r="W3280" s="5"/>
      <c r="X3280" s="5"/>
      <c r="Y3280" s="5"/>
      <c r="Z3280" s="5"/>
      <c r="AA3280" s="5"/>
      <c r="AB3280" s="5"/>
      <c r="AC3280" s="5"/>
      <c r="AD3280" s="5"/>
      <c r="AE3280" s="5"/>
      <c r="AF3280" s="5"/>
      <c r="AG3280" s="5"/>
    </row>
    <row r="3281" ht="15.75" customHeight="1">
      <c r="K3281" t="s">
        <v>5768</v>
      </c>
      <c r="L3281" t="str">
        <f>D197</f>
        <v>H3b1</v>
      </c>
      <c r="N3281" t="s">
        <v>5769</v>
      </c>
      <c r="O3281">
        <v>1.6356691E7</v>
      </c>
      <c r="P3281">
        <v>1.4244811E7</v>
      </c>
      <c r="Q3281" t="s">
        <v>473</v>
      </c>
      <c r="R3281" s="5"/>
      <c r="S3281" s="5"/>
      <c r="T3281" s="5"/>
      <c r="U3281" s="5"/>
      <c r="V3281" s="5"/>
      <c r="W3281" s="5"/>
      <c r="X3281" s="5"/>
      <c r="Y3281" s="5"/>
      <c r="Z3281" s="5"/>
      <c r="AA3281" s="5"/>
      <c r="AB3281" s="5"/>
      <c r="AC3281" s="5"/>
      <c r="AD3281" s="5"/>
      <c r="AE3281" s="5"/>
      <c r="AF3281" s="5"/>
      <c r="AG3281" s="5"/>
    </row>
    <row r="3282" ht="15.75" customHeight="1">
      <c r="K3282" t="s">
        <v>5770</v>
      </c>
      <c r="L3282" t="str">
        <f>D197</f>
        <v>H3b1</v>
      </c>
      <c r="N3282" t="s">
        <v>5771</v>
      </c>
      <c r="O3282">
        <v>1.6364946E7</v>
      </c>
      <c r="P3282">
        <v>1.4253066E7</v>
      </c>
      <c r="Q3282" t="s">
        <v>423</v>
      </c>
      <c r="R3282" s="5"/>
      <c r="S3282" s="5"/>
      <c r="T3282" s="5"/>
      <c r="U3282" s="5"/>
      <c r="V3282" s="5"/>
      <c r="W3282" s="5"/>
      <c r="X3282" s="5"/>
      <c r="Y3282" s="5"/>
      <c r="Z3282" s="5"/>
      <c r="AA3282" s="5"/>
      <c r="AB3282" s="5"/>
      <c r="AC3282" s="5"/>
      <c r="AD3282" s="5"/>
      <c r="AE3282" s="5"/>
      <c r="AF3282" s="5"/>
      <c r="AG3282" s="5"/>
    </row>
    <row r="3283" ht="15.75" customHeight="1">
      <c r="K3283" t="s">
        <v>5772</v>
      </c>
      <c r="L3283" t="str">
        <f>D197</f>
        <v>H3b1</v>
      </c>
      <c r="N3283" t="s">
        <v>5773</v>
      </c>
      <c r="O3283">
        <v>1.6387428E7</v>
      </c>
      <c r="P3283">
        <v>1.4275548E7</v>
      </c>
      <c r="Q3283" t="s">
        <v>435</v>
      </c>
      <c r="R3283" s="5"/>
      <c r="S3283" s="5"/>
      <c r="T3283" s="5"/>
      <c r="U3283" s="5"/>
      <c r="V3283" s="5"/>
      <c r="W3283" s="5"/>
      <c r="X3283" s="5"/>
      <c r="Y3283" s="5"/>
      <c r="Z3283" s="5"/>
      <c r="AA3283" s="5"/>
      <c r="AB3283" s="5"/>
      <c r="AC3283" s="5"/>
      <c r="AD3283" s="5"/>
      <c r="AE3283" s="5"/>
      <c r="AF3283" s="5"/>
      <c r="AG3283" s="5"/>
    </row>
    <row r="3284" ht="15.75" customHeight="1">
      <c r="K3284" t="s">
        <v>5774</v>
      </c>
      <c r="L3284" t="str">
        <f>D197</f>
        <v>H3b1</v>
      </c>
      <c r="N3284" t="s">
        <v>5775</v>
      </c>
      <c r="O3284">
        <v>1.6414741E7</v>
      </c>
      <c r="P3284">
        <v>1.4302861E7</v>
      </c>
      <c r="Q3284" t="s">
        <v>476</v>
      </c>
      <c r="R3284" s="5"/>
      <c r="S3284" s="5"/>
      <c r="T3284" s="5"/>
      <c r="U3284" s="5"/>
      <c r="V3284" s="5"/>
      <c r="W3284" s="5"/>
      <c r="X3284" s="5"/>
      <c r="Y3284" s="5"/>
      <c r="Z3284" s="5"/>
      <c r="AA3284" s="5"/>
      <c r="AB3284" s="5"/>
      <c r="AC3284" s="5"/>
      <c r="AD3284" s="5"/>
      <c r="AE3284" s="5"/>
      <c r="AF3284" s="5"/>
      <c r="AG3284" s="5"/>
    </row>
    <row r="3285" ht="15.75" customHeight="1">
      <c r="K3285" t="s">
        <v>5776</v>
      </c>
      <c r="L3285" t="str">
        <f>D197</f>
        <v>H3b1</v>
      </c>
      <c r="N3285" t="s">
        <v>5777</v>
      </c>
      <c r="O3285">
        <v>1.6564806E7</v>
      </c>
      <c r="P3285">
        <v>1.4452926E7</v>
      </c>
      <c r="Q3285" t="s">
        <v>419</v>
      </c>
      <c r="R3285" s="5"/>
      <c r="S3285" s="5"/>
      <c r="T3285" s="5"/>
      <c r="U3285" s="5"/>
      <c r="V3285" s="5"/>
      <c r="W3285" s="5"/>
      <c r="X3285" s="5"/>
      <c r="Y3285" s="5"/>
      <c r="Z3285" s="5"/>
      <c r="AA3285" s="5"/>
      <c r="AB3285" s="5"/>
      <c r="AC3285" s="5"/>
      <c r="AD3285" s="5"/>
      <c r="AE3285" s="5"/>
      <c r="AF3285" s="5"/>
      <c r="AG3285" s="5"/>
    </row>
    <row r="3286" ht="15.75" customHeight="1">
      <c r="K3286" t="s">
        <v>5778</v>
      </c>
      <c r="L3286" t="str">
        <f>D197</f>
        <v>H3b1</v>
      </c>
      <c r="N3286" t="s">
        <v>5779</v>
      </c>
      <c r="O3286">
        <v>1.6682632E7</v>
      </c>
      <c r="P3286">
        <v>1.4570752E7</v>
      </c>
      <c r="Q3286" t="s">
        <v>459</v>
      </c>
      <c r="R3286" s="5"/>
      <c r="S3286" s="5"/>
      <c r="T3286" s="5"/>
      <c r="U3286" s="5"/>
      <c r="V3286" s="5"/>
      <c r="W3286" s="5"/>
      <c r="X3286" s="5"/>
      <c r="Y3286" s="5"/>
      <c r="Z3286" s="5"/>
      <c r="AA3286" s="5"/>
      <c r="AB3286" s="5"/>
      <c r="AC3286" s="5"/>
      <c r="AD3286" s="5"/>
      <c r="AE3286" s="5"/>
      <c r="AF3286" s="5"/>
      <c r="AG3286" s="5"/>
    </row>
    <row r="3287" ht="15.75" customHeight="1">
      <c r="K3287" t="s">
        <v>5780</v>
      </c>
      <c r="L3287" t="str">
        <f>D197</f>
        <v>H3b1</v>
      </c>
      <c r="N3287" t="s">
        <v>5781</v>
      </c>
      <c r="O3287">
        <v>1.6770224E7</v>
      </c>
      <c r="P3287">
        <v>1.4658344E7</v>
      </c>
      <c r="Q3287" t="s">
        <v>473</v>
      </c>
      <c r="R3287" s="5"/>
      <c r="S3287" s="5"/>
      <c r="T3287" s="5"/>
      <c r="U3287" s="5"/>
      <c r="V3287" s="5"/>
      <c r="W3287" s="5"/>
      <c r="X3287" s="5"/>
      <c r="Y3287" s="5"/>
      <c r="Z3287" s="5"/>
      <c r="AA3287" s="5"/>
      <c r="AB3287" s="5"/>
      <c r="AC3287" s="5"/>
      <c r="AD3287" s="5"/>
      <c r="AE3287" s="5"/>
      <c r="AF3287" s="5"/>
      <c r="AG3287" s="5"/>
    </row>
    <row r="3288" ht="15.75" customHeight="1">
      <c r="K3288" t="s">
        <v>5782</v>
      </c>
      <c r="L3288" t="str">
        <f>D197</f>
        <v>H3b1</v>
      </c>
      <c r="N3288" t="s">
        <v>5783</v>
      </c>
      <c r="O3288">
        <v>1.6772415E7</v>
      </c>
      <c r="P3288">
        <v>1.4660535E7</v>
      </c>
      <c r="Q3288" t="s">
        <v>423</v>
      </c>
      <c r="R3288" s="5"/>
      <c r="S3288" s="5"/>
      <c r="T3288" s="5"/>
      <c r="U3288" s="5"/>
      <c r="V3288" s="5"/>
      <c r="W3288" s="5"/>
      <c r="X3288" s="5"/>
      <c r="Y3288" s="5"/>
      <c r="Z3288" s="5"/>
      <c r="AA3288" s="5"/>
      <c r="AB3288" s="5"/>
      <c r="AC3288" s="5"/>
      <c r="AD3288" s="5"/>
      <c r="AE3288" s="5"/>
      <c r="AF3288" s="5"/>
      <c r="AG3288" s="5"/>
    </row>
    <row r="3289" ht="15.75" customHeight="1">
      <c r="K3289" t="s">
        <v>5784</v>
      </c>
      <c r="L3289" t="str">
        <f>D197</f>
        <v>H3b1</v>
      </c>
      <c r="N3289" t="s">
        <v>5785</v>
      </c>
      <c r="O3289">
        <v>1.6775615E7</v>
      </c>
      <c r="P3289">
        <v>1.4663735E7</v>
      </c>
      <c r="Q3289" t="s">
        <v>476</v>
      </c>
      <c r="R3289" s="5"/>
      <c r="S3289" s="5"/>
      <c r="T3289" s="5"/>
      <c r="U3289" s="5"/>
      <c r="V3289" s="5"/>
      <c r="W3289" s="5"/>
      <c r="X3289" s="5"/>
      <c r="Y3289" s="5"/>
      <c r="Z3289" s="5"/>
      <c r="AA3289" s="5"/>
      <c r="AB3289" s="5"/>
      <c r="AC3289" s="5"/>
      <c r="AD3289" s="5"/>
      <c r="AE3289" s="5"/>
      <c r="AF3289" s="5"/>
      <c r="AG3289" s="5"/>
    </row>
    <row r="3290" ht="15.75" customHeight="1">
      <c r="K3290" t="s">
        <v>5786</v>
      </c>
      <c r="L3290" t="str">
        <f>D197</f>
        <v>H3b1</v>
      </c>
      <c r="N3290" t="s">
        <v>5787</v>
      </c>
      <c r="O3290">
        <v>1.685642E7</v>
      </c>
      <c r="P3290">
        <v>1.474454E7</v>
      </c>
      <c r="Q3290" t="s">
        <v>553</v>
      </c>
      <c r="R3290" s="5"/>
      <c r="S3290" s="5"/>
      <c r="T3290" s="5"/>
      <c r="U3290" s="5"/>
      <c r="V3290" s="5"/>
      <c r="W3290" s="5"/>
      <c r="X3290" s="5"/>
      <c r="Y3290" s="5"/>
      <c r="Z3290" s="5"/>
      <c r="AA3290" s="5"/>
      <c r="AB3290" s="5"/>
      <c r="AC3290" s="5"/>
      <c r="AD3290" s="5"/>
      <c r="AE3290" s="5"/>
      <c r="AF3290" s="5"/>
      <c r="AG3290" s="5"/>
    </row>
    <row r="3291" ht="15.75" customHeight="1">
      <c r="K3291" t="s">
        <v>5788</v>
      </c>
      <c r="L3291" t="str">
        <f>D197</f>
        <v>H3b1</v>
      </c>
      <c r="N3291" t="s">
        <v>5789</v>
      </c>
      <c r="O3291">
        <v>1.6914007E7</v>
      </c>
      <c r="P3291">
        <v>1.4802127E7</v>
      </c>
      <c r="Q3291" t="s">
        <v>423</v>
      </c>
      <c r="R3291" s="5"/>
      <c r="S3291" s="5"/>
      <c r="T3291" s="5"/>
      <c r="U3291" s="5"/>
      <c r="V3291" s="5"/>
      <c r="W3291" s="5"/>
      <c r="X3291" s="5"/>
      <c r="Y3291" s="5"/>
      <c r="Z3291" s="5"/>
      <c r="AA3291" s="5"/>
      <c r="AB3291" s="5"/>
      <c r="AC3291" s="5"/>
      <c r="AD3291" s="5"/>
      <c r="AE3291" s="5"/>
      <c r="AF3291" s="5"/>
      <c r="AG3291" s="5"/>
    </row>
    <row r="3292" ht="15.75" customHeight="1">
      <c r="K3292" t="s">
        <v>5790</v>
      </c>
      <c r="L3292" t="str">
        <f>D197</f>
        <v>H3b1</v>
      </c>
      <c r="N3292" t="s">
        <v>5791</v>
      </c>
      <c r="O3292">
        <v>1.7038449E7</v>
      </c>
      <c r="P3292">
        <v>1.4926569E7</v>
      </c>
      <c r="Q3292" t="s">
        <v>419</v>
      </c>
      <c r="R3292" s="5"/>
      <c r="S3292" s="5"/>
      <c r="T3292" s="5"/>
      <c r="U3292" s="5"/>
      <c r="V3292" s="5"/>
      <c r="W3292" s="5"/>
      <c r="X3292" s="5"/>
      <c r="Y3292" s="5"/>
      <c r="Z3292" s="5"/>
      <c r="AA3292" s="5"/>
      <c r="AB3292" s="5"/>
      <c r="AC3292" s="5"/>
      <c r="AD3292" s="5"/>
      <c r="AE3292" s="5"/>
      <c r="AF3292" s="5"/>
      <c r="AG3292" s="5"/>
    </row>
    <row r="3293" ht="15.75" customHeight="1">
      <c r="K3293" t="s">
        <v>5792</v>
      </c>
      <c r="L3293" t="str">
        <f>D197</f>
        <v>H3b1</v>
      </c>
      <c r="N3293" t="s">
        <v>5793</v>
      </c>
      <c r="O3293">
        <v>1.7424804E7</v>
      </c>
      <c r="P3293">
        <v>1.5312924E7</v>
      </c>
      <c r="Q3293" t="s">
        <v>419</v>
      </c>
      <c r="R3293" s="5"/>
      <c r="S3293" s="5"/>
      <c r="T3293" s="5"/>
      <c r="U3293" s="5"/>
      <c r="V3293" s="5"/>
      <c r="W3293" s="5"/>
      <c r="X3293" s="5"/>
      <c r="Y3293" s="5"/>
      <c r="Z3293" s="5"/>
      <c r="AA3293" s="5"/>
      <c r="AB3293" s="5"/>
      <c r="AC3293" s="5"/>
      <c r="AD3293" s="5"/>
      <c r="AE3293" s="5"/>
      <c r="AF3293" s="5"/>
      <c r="AG3293" s="5"/>
    </row>
    <row r="3294" ht="15.75" customHeight="1">
      <c r="K3294" t="s">
        <v>5794</v>
      </c>
      <c r="L3294" t="str">
        <f>D197</f>
        <v>H3b1</v>
      </c>
      <c r="N3294" t="s">
        <v>5795</v>
      </c>
      <c r="O3294">
        <v>1.7494604E7</v>
      </c>
      <c r="P3294">
        <v>1.5382724E7</v>
      </c>
      <c r="Q3294" t="s">
        <v>423</v>
      </c>
      <c r="R3294" s="5"/>
      <c r="S3294" s="5"/>
      <c r="T3294" s="5"/>
      <c r="U3294" s="5"/>
      <c r="V3294" s="5"/>
      <c r="W3294" s="5"/>
      <c r="X3294" s="5"/>
      <c r="Y3294" s="5"/>
      <c r="Z3294" s="5"/>
      <c r="AA3294" s="5"/>
      <c r="AB3294" s="5"/>
      <c r="AC3294" s="5"/>
      <c r="AD3294" s="5"/>
      <c r="AE3294" s="5"/>
      <c r="AF3294" s="5"/>
      <c r="AG3294" s="5"/>
    </row>
    <row r="3295" ht="15.75" customHeight="1">
      <c r="K3295" t="s">
        <v>5796</v>
      </c>
      <c r="L3295" t="str">
        <f>D197</f>
        <v>H3b1</v>
      </c>
      <c r="N3295" t="s">
        <v>5797</v>
      </c>
      <c r="O3295">
        <v>1.7494609E7</v>
      </c>
      <c r="P3295">
        <v>1.5382729E7</v>
      </c>
      <c r="Q3295" t="s">
        <v>435</v>
      </c>
      <c r="R3295" s="5"/>
      <c r="S3295" s="5"/>
      <c r="T3295" s="5"/>
      <c r="U3295" s="5"/>
      <c r="V3295" s="5"/>
      <c r="W3295" s="5"/>
      <c r="X3295" s="5"/>
      <c r="Y3295" s="5"/>
      <c r="Z3295" s="5"/>
      <c r="AA3295" s="5"/>
      <c r="AB3295" s="5"/>
      <c r="AC3295" s="5"/>
      <c r="AD3295" s="5"/>
      <c r="AE3295" s="5"/>
      <c r="AF3295" s="5"/>
      <c r="AG3295" s="5"/>
    </row>
    <row r="3296" ht="15.75" customHeight="1">
      <c r="K3296" t="s">
        <v>5798</v>
      </c>
      <c r="L3296" t="str">
        <f>D197</f>
        <v>H3b1</v>
      </c>
      <c r="N3296" t="s">
        <v>5799</v>
      </c>
      <c r="O3296">
        <v>1.7530988E7</v>
      </c>
      <c r="P3296">
        <v>1.5419108E7</v>
      </c>
      <c r="Q3296" t="s">
        <v>427</v>
      </c>
      <c r="R3296" s="5"/>
      <c r="S3296" s="5"/>
      <c r="T3296" s="5"/>
      <c r="U3296" s="5"/>
      <c r="V3296" s="5"/>
      <c r="W3296" s="5"/>
      <c r="X3296" s="5"/>
      <c r="Y3296" s="5"/>
      <c r="Z3296" s="5"/>
      <c r="AA3296" s="5"/>
      <c r="AB3296" s="5"/>
      <c r="AC3296" s="5"/>
      <c r="AD3296" s="5"/>
      <c r="AE3296" s="5"/>
      <c r="AF3296" s="5"/>
      <c r="AG3296" s="5"/>
    </row>
    <row r="3297" ht="15.75" customHeight="1">
      <c r="K3297" t="s">
        <v>5800</v>
      </c>
      <c r="L3297" t="str">
        <f>D197</f>
        <v>H3b1</v>
      </c>
      <c r="N3297" t="s">
        <v>5801</v>
      </c>
      <c r="O3297">
        <v>1.756579E7</v>
      </c>
      <c r="P3297">
        <v>1.545391E7</v>
      </c>
      <c r="Q3297" t="s">
        <v>431</v>
      </c>
      <c r="R3297" s="5"/>
      <c r="S3297" s="5"/>
      <c r="T3297" s="5"/>
      <c r="U3297" s="5"/>
      <c r="V3297" s="5"/>
      <c r="W3297" s="5"/>
      <c r="X3297" s="5"/>
      <c r="Y3297" s="5"/>
      <c r="Z3297" s="5"/>
      <c r="AA3297" s="5"/>
      <c r="AB3297" s="5"/>
      <c r="AC3297" s="5"/>
      <c r="AD3297" s="5"/>
      <c r="AE3297" s="5"/>
      <c r="AF3297" s="5"/>
      <c r="AG3297" s="5"/>
    </row>
    <row r="3298" ht="15.75" customHeight="1">
      <c r="K3298" t="s">
        <v>5802</v>
      </c>
      <c r="L3298" t="str">
        <f>D197</f>
        <v>H3b1</v>
      </c>
      <c r="N3298" t="s">
        <v>5803</v>
      </c>
      <c r="O3298">
        <v>1.7567057E7</v>
      </c>
      <c r="P3298">
        <v>1.5455177E7</v>
      </c>
      <c r="Q3298" t="s">
        <v>525</v>
      </c>
      <c r="R3298" s="5"/>
      <c r="S3298" s="5"/>
      <c r="T3298" s="5"/>
      <c r="U3298" s="5"/>
      <c r="V3298" s="5"/>
      <c r="W3298" s="5"/>
      <c r="X3298" s="5"/>
      <c r="Y3298" s="5"/>
      <c r="Z3298" s="5"/>
      <c r="AA3298" s="5"/>
      <c r="AB3298" s="5"/>
      <c r="AC3298" s="5"/>
      <c r="AD3298" s="5"/>
      <c r="AE3298" s="5"/>
      <c r="AF3298" s="5"/>
      <c r="AG3298" s="5"/>
    </row>
    <row r="3299" ht="15.75" customHeight="1">
      <c r="K3299" t="s">
        <v>5804</v>
      </c>
      <c r="L3299" t="str">
        <f>D197</f>
        <v>H3b1</v>
      </c>
      <c r="N3299" t="s">
        <v>5805</v>
      </c>
      <c r="O3299">
        <v>1.7575987E7</v>
      </c>
      <c r="P3299">
        <v>1.5464107E7</v>
      </c>
      <c r="Q3299" t="s">
        <v>435</v>
      </c>
      <c r="R3299" s="5"/>
      <c r="S3299" s="5"/>
      <c r="T3299" s="5"/>
      <c r="U3299" s="5"/>
      <c r="V3299" s="5"/>
      <c r="W3299" s="5"/>
      <c r="X3299" s="5"/>
      <c r="Y3299" s="5"/>
      <c r="Z3299" s="5"/>
      <c r="AA3299" s="5"/>
      <c r="AB3299" s="5"/>
      <c r="AC3299" s="5"/>
      <c r="AD3299" s="5"/>
      <c r="AE3299" s="5"/>
      <c r="AF3299" s="5"/>
      <c r="AG3299" s="5"/>
    </row>
    <row r="3300" ht="15.75" customHeight="1">
      <c r="K3300" t="s">
        <v>5806</v>
      </c>
      <c r="L3300" t="str">
        <f>D197</f>
        <v>H3b1</v>
      </c>
      <c r="N3300" t="s">
        <v>5807</v>
      </c>
      <c r="O3300">
        <v>1.7586114E7</v>
      </c>
      <c r="P3300">
        <v>1.5474234E7</v>
      </c>
      <c r="Q3300" t="s">
        <v>423</v>
      </c>
      <c r="R3300" s="5"/>
      <c r="S3300" s="5"/>
      <c r="T3300" s="5"/>
      <c r="U3300" s="5"/>
      <c r="V3300" s="5"/>
      <c r="W3300" s="5"/>
      <c r="X3300" s="5"/>
      <c r="Y3300" s="5"/>
      <c r="Z3300" s="5"/>
      <c r="AA3300" s="5"/>
      <c r="AB3300" s="5"/>
      <c r="AC3300" s="5"/>
      <c r="AD3300" s="5"/>
      <c r="AE3300" s="5"/>
      <c r="AF3300" s="5"/>
      <c r="AG3300" s="5"/>
    </row>
    <row r="3301" ht="15.75" customHeight="1">
      <c r="K3301" t="s">
        <v>5808</v>
      </c>
      <c r="L3301" t="str">
        <f>D197</f>
        <v>H3b1</v>
      </c>
      <c r="N3301" t="s">
        <v>5809</v>
      </c>
      <c r="O3301">
        <v>1.7690996E7</v>
      </c>
      <c r="P3301">
        <v>1.5579116E7</v>
      </c>
      <c r="Q3301" t="s">
        <v>423</v>
      </c>
      <c r="R3301" s="5"/>
      <c r="S3301" s="5"/>
      <c r="T3301" s="5"/>
      <c r="U3301" s="5"/>
      <c r="V3301" s="5"/>
      <c r="W3301" s="5"/>
      <c r="X3301" s="5"/>
      <c r="Y3301" s="5"/>
      <c r="Z3301" s="5"/>
      <c r="AA3301" s="5"/>
      <c r="AB3301" s="5"/>
      <c r="AC3301" s="5"/>
      <c r="AD3301" s="5"/>
      <c r="AE3301" s="5"/>
      <c r="AF3301" s="5"/>
      <c r="AG3301" s="5"/>
    </row>
    <row r="3302" ht="15.75" customHeight="1">
      <c r="K3302" t="s">
        <v>5810</v>
      </c>
      <c r="L3302" t="str">
        <f>D197</f>
        <v>H3b1</v>
      </c>
      <c r="N3302" t="s">
        <v>5811</v>
      </c>
      <c r="O3302">
        <v>1.7708959E7</v>
      </c>
      <c r="P3302">
        <v>1.5597079E7</v>
      </c>
      <c r="Q3302" t="s">
        <v>435</v>
      </c>
      <c r="R3302" s="5"/>
      <c r="S3302" s="5"/>
      <c r="T3302" s="5"/>
      <c r="U3302" s="5"/>
      <c r="V3302" s="5"/>
      <c r="W3302" s="5"/>
      <c r="X3302" s="5"/>
      <c r="Y3302" s="5"/>
      <c r="Z3302" s="5"/>
      <c r="AA3302" s="5"/>
      <c r="AB3302" s="5"/>
      <c r="AC3302" s="5"/>
      <c r="AD3302" s="5"/>
      <c r="AE3302" s="5"/>
      <c r="AF3302" s="5"/>
      <c r="AG3302" s="5"/>
    </row>
    <row r="3303" ht="15.75" customHeight="1">
      <c r="K3303" t="s">
        <v>5812</v>
      </c>
      <c r="L3303" t="str">
        <f>D197</f>
        <v>H3b1</v>
      </c>
      <c r="N3303" t="s">
        <v>5813</v>
      </c>
      <c r="O3303">
        <v>1.7732608E7</v>
      </c>
      <c r="P3303">
        <v>1.5620728E7</v>
      </c>
      <c r="Q3303" t="s">
        <v>431</v>
      </c>
      <c r="R3303" s="5"/>
      <c r="S3303" s="5"/>
      <c r="T3303" s="5"/>
      <c r="U3303" s="5"/>
      <c r="V3303" s="5"/>
      <c r="W3303" s="5"/>
      <c r="X3303" s="5"/>
      <c r="Y3303" s="5"/>
      <c r="Z3303" s="5"/>
      <c r="AA3303" s="5"/>
      <c r="AB3303" s="5"/>
      <c r="AC3303" s="5"/>
      <c r="AD3303" s="5"/>
      <c r="AE3303" s="5"/>
      <c r="AF3303" s="5"/>
      <c r="AG3303" s="5"/>
    </row>
    <row r="3304" ht="15.75" customHeight="1">
      <c r="K3304" t="s">
        <v>5814</v>
      </c>
      <c r="L3304" t="str">
        <f>D197</f>
        <v>H3b1</v>
      </c>
      <c r="N3304" t="s">
        <v>5815</v>
      </c>
      <c r="O3304">
        <v>1.7797591E7</v>
      </c>
      <c r="P3304">
        <v>1.5685711E7</v>
      </c>
      <c r="Q3304" t="s">
        <v>459</v>
      </c>
      <c r="R3304" s="5"/>
      <c r="S3304" s="5"/>
      <c r="T3304" s="5"/>
      <c r="U3304" s="5"/>
      <c r="V3304" s="5"/>
      <c r="W3304" s="5"/>
      <c r="X3304" s="5"/>
      <c r="Y3304" s="5"/>
      <c r="Z3304" s="5"/>
      <c r="AA3304" s="5"/>
      <c r="AB3304" s="5"/>
      <c r="AC3304" s="5"/>
      <c r="AD3304" s="5"/>
      <c r="AE3304" s="5"/>
      <c r="AF3304" s="5"/>
      <c r="AG3304" s="5"/>
    </row>
    <row r="3305" ht="15.75" customHeight="1">
      <c r="K3305" t="s">
        <v>5816</v>
      </c>
      <c r="L3305" t="str">
        <f>D197</f>
        <v>H3b1</v>
      </c>
      <c r="N3305" t="s">
        <v>5817</v>
      </c>
      <c r="O3305">
        <v>1.7832509E7</v>
      </c>
      <c r="P3305">
        <v>1.5720629E7</v>
      </c>
      <c r="Q3305" t="s">
        <v>423</v>
      </c>
      <c r="R3305" s="5"/>
      <c r="S3305" s="5"/>
      <c r="T3305" s="5"/>
      <c r="U3305" s="5"/>
      <c r="V3305" s="5"/>
      <c r="W3305" s="5"/>
      <c r="X3305" s="5"/>
      <c r="Y3305" s="5"/>
      <c r="Z3305" s="5"/>
      <c r="AA3305" s="5"/>
      <c r="AB3305" s="5"/>
      <c r="AC3305" s="5"/>
      <c r="AD3305" s="5"/>
      <c r="AE3305" s="5"/>
      <c r="AF3305" s="5"/>
      <c r="AG3305" s="5"/>
    </row>
    <row r="3306" ht="15.75" customHeight="1">
      <c r="K3306" t="s">
        <v>5818</v>
      </c>
      <c r="L3306" t="str">
        <f>D197</f>
        <v>H3b1</v>
      </c>
      <c r="N3306" t="s">
        <v>5819</v>
      </c>
      <c r="O3306">
        <v>1.7894578E7</v>
      </c>
      <c r="P3306">
        <v>1.5782698E7</v>
      </c>
      <c r="Q3306" t="s">
        <v>435</v>
      </c>
      <c r="R3306" s="5"/>
      <c r="S3306" s="5"/>
      <c r="T3306" s="5"/>
      <c r="U3306" s="5"/>
      <c r="V3306" s="5"/>
      <c r="W3306" s="5"/>
      <c r="X3306" s="5"/>
      <c r="Y3306" s="5"/>
      <c r="Z3306" s="5"/>
      <c r="AA3306" s="5"/>
      <c r="AB3306" s="5"/>
      <c r="AC3306" s="5"/>
      <c r="AD3306" s="5"/>
      <c r="AE3306" s="5"/>
      <c r="AF3306" s="5"/>
      <c r="AG3306" s="5"/>
    </row>
    <row r="3307" ht="15.75" customHeight="1">
      <c r="K3307" t="s">
        <v>5820</v>
      </c>
      <c r="L3307" t="str">
        <f>D197</f>
        <v>H3b1</v>
      </c>
      <c r="N3307" t="s">
        <v>5821</v>
      </c>
      <c r="O3307">
        <v>1.791595E7</v>
      </c>
      <c r="P3307">
        <v>1.580407E7</v>
      </c>
      <c r="Q3307" t="s">
        <v>431</v>
      </c>
      <c r="R3307" s="5"/>
      <c r="S3307" s="5"/>
      <c r="T3307" s="5"/>
      <c r="U3307" s="5"/>
      <c r="V3307" s="5"/>
      <c r="W3307" s="5"/>
      <c r="X3307" s="5"/>
      <c r="Y3307" s="5"/>
      <c r="Z3307" s="5"/>
      <c r="AA3307" s="5"/>
      <c r="AB3307" s="5"/>
      <c r="AC3307" s="5"/>
      <c r="AD3307" s="5"/>
      <c r="AE3307" s="5"/>
      <c r="AF3307" s="5"/>
      <c r="AG3307" s="5"/>
    </row>
    <row r="3308" ht="15.75" customHeight="1">
      <c r="K3308" t="s">
        <v>5822</v>
      </c>
      <c r="L3308" t="str">
        <f>D197</f>
        <v>H3b1</v>
      </c>
      <c r="N3308" t="s">
        <v>5823</v>
      </c>
      <c r="O3308">
        <v>1.8065737E7</v>
      </c>
      <c r="P3308">
        <v>1.5953857E7</v>
      </c>
      <c r="Q3308" t="s">
        <v>423</v>
      </c>
      <c r="R3308" s="5"/>
      <c r="S3308" s="5"/>
      <c r="T3308" s="5"/>
      <c r="U3308" s="5"/>
      <c r="V3308" s="5"/>
      <c r="W3308" s="5"/>
      <c r="X3308" s="5"/>
      <c r="Y3308" s="5"/>
      <c r="Z3308" s="5"/>
      <c r="AA3308" s="5"/>
      <c r="AB3308" s="5"/>
      <c r="AC3308" s="5"/>
      <c r="AD3308" s="5"/>
      <c r="AE3308" s="5"/>
      <c r="AF3308" s="5"/>
      <c r="AG3308" s="5"/>
    </row>
    <row r="3309" ht="15.75" customHeight="1">
      <c r="K3309" t="s">
        <v>5824</v>
      </c>
      <c r="L3309" t="str">
        <f>D197</f>
        <v>H3b1</v>
      </c>
      <c r="N3309" t="s">
        <v>5825</v>
      </c>
      <c r="O3309">
        <v>1.8070286E7</v>
      </c>
      <c r="P3309">
        <v>1.5958406E7</v>
      </c>
      <c r="Q3309" t="s">
        <v>427</v>
      </c>
      <c r="R3309" s="5"/>
      <c r="S3309" s="5"/>
      <c r="T3309" s="5"/>
      <c r="U3309" s="5"/>
      <c r="V3309" s="5"/>
      <c r="W3309" s="5"/>
      <c r="X3309" s="5"/>
      <c r="Y3309" s="5"/>
      <c r="Z3309" s="5"/>
      <c r="AA3309" s="5"/>
      <c r="AB3309" s="5"/>
      <c r="AC3309" s="5"/>
      <c r="AD3309" s="5"/>
      <c r="AE3309" s="5"/>
      <c r="AF3309" s="5"/>
      <c r="AG3309" s="5"/>
    </row>
    <row r="3310" ht="15.75" customHeight="1">
      <c r="K3310" t="s">
        <v>5826</v>
      </c>
      <c r="L3310" t="str">
        <f>D197</f>
        <v>H3b1</v>
      </c>
      <c r="N3310" t="s">
        <v>5827</v>
      </c>
      <c r="O3310">
        <v>1.8102218E7</v>
      </c>
      <c r="P3310">
        <v>1.5990338E7</v>
      </c>
      <c r="Q3310" t="s">
        <v>431</v>
      </c>
      <c r="R3310" s="5"/>
      <c r="S3310" s="5"/>
      <c r="T3310" s="5"/>
      <c r="U3310" s="5"/>
      <c r="V3310" s="5"/>
      <c r="W3310" s="5"/>
      <c r="X3310" s="5"/>
      <c r="Y3310" s="5"/>
      <c r="Z3310" s="5"/>
      <c r="AA3310" s="5"/>
      <c r="AB3310" s="5"/>
      <c r="AC3310" s="5"/>
      <c r="AD3310" s="5"/>
      <c r="AE3310" s="5"/>
      <c r="AF3310" s="5"/>
      <c r="AG3310" s="5"/>
    </row>
    <row r="3311" ht="15.75" customHeight="1">
      <c r="K3311" t="s">
        <v>5828</v>
      </c>
      <c r="L3311" t="str">
        <f>D197</f>
        <v>H3b1</v>
      </c>
      <c r="N3311" t="s">
        <v>5829</v>
      </c>
      <c r="O3311">
        <v>1.8133852E7</v>
      </c>
      <c r="P3311">
        <v>1.6021972E7</v>
      </c>
      <c r="Q3311" t="s">
        <v>423</v>
      </c>
      <c r="R3311" s="5"/>
      <c r="S3311" s="5"/>
      <c r="T3311" s="5"/>
      <c r="U3311" s="5"/>
      <c r="V3311" s="5"/>
      <c r="W3311" s="5"/>
      <c r="X3311" s="5"/>
      <c r="Y3311" s="5"/>
      <c r="Z3311" s="5"/>
      <c r="AA3311" s="5"/>
      <c r="AB3311" s="5"/>
      <c r="AC3311" s="5"/>
      <c r="AD3311" s="5"/>
      <c r="AE3311" s="5"/>
      <c r="AF3311" s="5"/>
      <c r="AG3311" s="5"/>
    </row>
    <row r="3312" ht="15.75" customHeight="1">
      <c r="K3312" t="s">
        <v>5830</v>
      </c>
      <c r="L3312" t="str">
        <f>D197</f>
        <v>H3b1</v>
      </c>
      <c r="N3312" t="s">
        <v>5831</v>
      </c>
      <c r="O3312">
        <v>1.820422E7</v>
      </c>
      <c r="P3312">
        <v>1.609234E7</v>
      </c>
      <c r="Q3312" t="s">
        <v>525</v>
      </c>
      <c r="R3312" s="5"/>
      <c r="S3312" s="5"/>
      <c r="T3312" s="5"/>
      <c r="U3312" s="5"/>
      <c r="V3312" s="5"/>
      <c r="W3312" s="5"/>
      <c r="X3312" s="5"/>
      <c r="Y3312" s="5"/>
      <c r="Z3312" s="5"/>
      <c r="AA3312" s="5"/>
      <c r="AB3312" s="5"/>
      <c r="AC3312" s="5"/>
      <c r="AD3312" s="5"/>
      <c r="AE3312" s="5"/>
      <c r="AF3312" s="5"/>
      <c r="AG3312" s="5"/>
    </row>
    <row r="3313" ht="15.75" customHeight="1">
      <c r="K3313" t="s">
        <v>5832</v>
      </c>
      <c r="L3313" t="str">
        <f>D197</f>
        <v>H3b1</v>
      </c>
      <c r="N3313" t="s">
        <v>5833</v>
      </c>
      <c r="O3313">
        <v>1.8226748E7</v>
      </c>
      <c r="P3313">
        <v>1.6114868E7</v>
      </c>
      <c r="Q3313" t="s">
        <v>525</v>
      </c>
      <c r="R3313" s="5"/>
      <c r="S3313" s="5"/>
      <c r="T3313" s="5"/>
      <c r="U3313" s="5"/>
      <c r="V3313" s="5"/>
      <c r="W3313" s="5"/>
      <c r="X3313" s="5"/>
      <c r="Y3313" s="5"/>
      <c r="Z3313" s="5"/>
      <c r="AA3313" s="5"/>
      <c r="AB3313" s="5"/>
      <c r="AC3313" s="5"/>
      <c r="AD3313" s="5"/>
      <c r="AE3313" s="5"/>
      <c r="AF3313" s="5"/>
      <c r="AG3313" s="5"/>
    </row>
    <row r="3314" ht="15.75" customHeight="1">
      <c r="K3314" t="s">
        <v>5834</v>
      </c>
      <c r="L3314" t="str">
        <f>D197</f>
        <v>H3b1</v>
      </c>
      <c r="O3314">
        <v>1.8262804E7</v>
      </c>
      <c r="P3314">
        <v>1.6150924E7</v>
      </c>
      <c r="Q3314" t="s">
        <v>419</v>
      </c>
      <c r="R3314" s="5"/>
      <c r="S3314" s="5"/>
      <c r="T3314" s="5"/>
      <c r="U3314" s="5"/>
      <c r="V3314" s="5"/>
      <c r="W3314" s="5"/>
      <c r="X3314" s="5"/>
      <c r="Y3314" s="5"/>
      <c r="Z3314" s="5"/>
      <c r="AA3314" s="5"/>
      <c r="AB3314" s="5"/>
      <c r="AC3314" s="5"/>
      <c r="AD3314" s="5"/>
      <c r="AE3314" s="5"/>
      <c r="AF3314" s="5"/>
      <c r="AG3314" s="5"/>
    </row>
    <row r="3315" ht="15.75" customHeight="1">
      <c r="K3315" t="s">
        <v>5835</v>
      </c>
      <c r="L3315" t="str">
        <f>D197</f>
        <v>H3b1</v>
      </c>
      <c r="O3315">
        <v>1.8267548E7</v>
      </c>
      <c r="P3315">
        <v>1.6155668E7</v>
      </c>
      <c r="Q3315" t="s">
        <v>452</v>
      </c>
      <c r="R3315" s="5"/>
      <c r="S3315" s="5"/>
      <c r="T3315" s="5"/>
      <c r="U3315" s="5"/>
      <c r="V3315" s="5"/>
      <c r="W3315" s="5"/>
      <c r="X3315" s="5"/>
      <c r="Y3315" s="5"/>
      <c r="Z3315" s="5"/>
      <c r="AA3315" s="5"/>
      <c r="AB3315" s="5"/>
      <c r="AC3315" s="5"/>
      <c r="AD3315" s="5"/>
      <c r="AE3315" s="5"/>
      <c r="AF3315" s="5"/>
      <c r="AG3315" s="5"/>
    </row>
    <row r="3316" ht="15.75" customHeight="1">
      <c r="K3316" t="s">
        <v>5836</v>
      </c>
      <c r="L3316" t="str">
        <f>D197</f>
        <v>H3b1</v>
      </c>
      <c r="O3316">
        <v>1.8382791E7</v>
      </c>
      <c r="P3316">
        <v>1.6270911E7</v>
      </c>
      <c r="Q3316" t="s">
        <v>476</v>
      </c>
      <c r="R3316" s="5"/>
      <c r="S3316" s="5"/>
      <c r="T3316" s="5"/>
      <c r="U3316" s="5"/>
      <c r="V3316" s="5"/>
      <c r="W3316" s="5"/>
      <c r="X3316" s="5"/>
      <c r="Y3316" s="5"/>
      <c r="Z3316" s="5"/>
      <c r="AA3316" s="5"/>
      <c r="AB3316" s="5"/>
      <c r="AC3316" s="5"/>
      <c r="AD3316" s="5"/>
      <c r="AE3316" s="5"/>
      <c r="AF3316" s="5"/>
      <c r="AG3316" s="5"/>
    </row>
    <row r="3317" ht="15.75" customHeight="1">
      <c r="K3317" t="s">
        <v>5837</v>
      </c>
      <c r="L3317" t="str">
        <f>D197</f>
        <v>H3b1</v>
      </c>
      <c r="N3317" t="s">
        <v>5838</v>
      </c>
      <c r="O3317">
        <v>1.8694515E7</v>
      </c>
      <c r="P3317">
        <v>1.6582635E7</v>
      </c>
      <c r="Q3317" t="s">
        <v>452</v>
      </c>
      <c r="R3317" s="5"/>
      <c r="S3317" s="5"/>
      <c r="T3317" s="5"/>
      <c r="U3317" s="5"/>
      <c r="V3317" s="5"/>
      <c r="W3317" s="5"/>
      <c r="X3317" s="5"/>
      <c r="Y3317" s="5"/>
      <c r="Z3317" s="5"/>
      <c r="AA3317" s="5"/>
      <c r="AB3317" s="5"/>
      <c r="AC3317" s="5"/>
      <c r="AD3317" s="5"/>
      <c r="AE3317" s="5"/>
      <c r="AF3317" s="5"/>
      <c r="AG3317" s="5"/>
    </row>
    <row r="3318" ht="15.75" customHeight="1">
      <c r="K3318" t="s">
        <v>5839</v>
      </c>
      <c r="L3318" t="str">
        <f>D197</f>
        <v>H3b1</v>
      </c>
      <c r="N3318" t="s">
        <v>5840</v>
      </c>
      <c r="O3318">
        <v>1.8798405E7</v>
      </c>
      <c r="P3318">
        <v>1.6686525E7</v>
      </c>
      <c r="Q3318" t="s">
        <v>525</v>
      </c>
      <c r="R3318" s="5"/>
      <c r="S3318" s="5"/>
      <c r="T3318" s="5"/>
      <c r="U3318" s="5"/>
      <c r="V3318" s="5"/>
      <c r="W3318" s="5"/>
      <c r="X3318" s="5"/>
      <c r="Y3318" s="5"/>
      <c r="Z3318" s="5"/>
      <c r="AA3318" s="5"/>
      <c r="AB3318" s="5"/>
      <c r="AC3318" s="5"/>
      <c r="AD3318" s="5"/>
      <c r="AE3318" s="5"/>
      <c r="AF3318" s="5"/>
      <c r="AG3318" s="5"/>
    </row>
    <row r="3319" ht="15.75" customHeight="1">
      <c r="K3319" t="s">
        <v>5841</v>
      </c>
      <c r="L3319" t="str">
        <f>D197</f>
        <v>H3b1</v>
      </c>
      <c r="N3319" t="s">
        <v>5842</v>
      </c>
      <c r="O3319">
        <v>1.8848438E7</v>
      </c>
      <c r="P3319">
        <v>1.6736558E7</v>
      </c>
      <c r="Q3319" t="s">
        <v>423</v>
      </c>
      <c r="R3319" s="5"/>
      <c r="S3319" s="5"/>
      <c r="T3319" s="5"/>
      <c r="U3319" s="5"/>
      <c r="V3319" s="5"/>
      <c r="W3319" s="5"/>
      <c r="X3319" s="5"/>
      <c r="Y3319" s="5"/>
      <c r="Z3319" s="5"/>
      <c r="AA3319" s="5"/>
      <c r="AB3319" s="5"/>
      <c r="AC3319" s="5"/>
      <c r="AD3319" s="5"/>
      <c r="AE3319" s="5"/>
      <c r="AF3319" s="5"/>
      <c r="AG3319" s="5"/>
    </row>
    <row r="3320" ht="15.75" customHeight="1">
      <c r="K3320" t="s">
        <v>5843</v>
      </c>
      <c r="L3320" t="str">
        <f>D197</f>
        <v>H3b1</v>
      </c>
      <c r="N3320" t="s">
        <v>5844</v>
      </c>
      <c r="O3320">
        <v>1.8888695E7</v>
      </c>
      <c r="P3320">
        <v>1.6776815E7</v>
      </c>
      <c r="Q3320" t="s">
        <v>476</v>
      </c>
      <c r="R3320" s="5"/>
      <c r="S3320" s="5"/>
      <c r="T3320" s="5"/>
      <c r="U3320" s="5"/>
      <c r="V3320" s="5"/>
      <c r="W3320" s="5"/>
      <c r="X3320" s="5"/>
      <c r="Y3320" s="5"/>
      <c r="Z3320" s="5"/>
      <c r="AA3320" s="5"/>
      <c r="AB3320" s="5"/>
      <c r="AC3320" s="5"/>
      <c r="AD3320" s="5"/>
      <c r="AE3320" s="5"/>
      <c r="AF3320" s="5"/>
      <c r="AG3320" s="5"/>
    </row>
    <row r="3321" ht="15.75" customHeight="1">
      <c r="K3321" t="s">
        <v>5845</v>
      </c>
      <c r="L3321" t="str">
        <f>D197</f>
        <v>H3b1</v>
      </c>
      <c r="N3321" t="s">
        <v>5846</v>
      </c>
      <c r="O3321">
        <v>1.8917298E7</v>
      </c>
      <c r="P3321">
        <v>1.6805418E7</v>
      </c>
      <c r="Q3321" t="s">
        <v>435</v>
      </c>
      <c r="R3321" s="5"/>
      <c r="S3321" s="5"/>
      <c r="T3321" s="5"/>
      <c r="U3321" s="5"/>
      <c r="V3321" s="5"/>
      <c r="W3321" s="5"/>
      <c r="X3321" s="5"/>
      <c r="Y3321" s="5"/>
      <c r="Z3321" s="5"/>
      <c r="AA3321" s="5"/>
      <c r="AB3321" s="5"/>
      <c r="AC3321" s="5"/>
      <c r="AD3321" s="5"/>
      <c r="AE3321" s="5"/>
      <c r="AF3321" s="5"/>
      <c r="AG3321" s="5"/>
    </row>
    <row r="3322" ht="15.75" customHeight="1">
      <c r="K3322" t="s">
        <v>5847</v>
      </c>
      <c r="L3322" t="str">
        <f>D197</f>
        <v>H3b1</v>
      </c>
      <c r="N3322" t="s">
        <v>5848</v>
      </c>
      <c r="O3322">
        <v>1.8930161E7</v>
      </c>
      <c r="P3322">
        <v>1.6818281E7</v>
      </c>
      <c r="Q3322" t="s">
        <v>476</v>
      </c>
      <c r="R3322" s="5"/>
      <c r="S3322" s="5"/>
      <c r="T3322" s="5"/>
      <c r="U3322" s="5"/>
      <c r="V3322" s="5"/>
      <c r="W3322" s="5"/>
      <c r="X3322" s="5"/>
      <c r="Y3322" s="5"/>
      <c r="Z3322" s="5"/>
      <c r="AA3322" s="5"/>
      <c r="AB3322" s="5"/>
      <c r="AC3322" s="5"/>
      <c r="AD3322" s="5"/>
      <c r="AE3322" s="5"/>
      <c r="AF3322" s="5"/>
      <c r="AG3322" s="5"/>
    </row>
    <row r="3323" ht="15.75" customHeight="1">
      <c r="K3323" t="s">
        <v>5849</v>
      </c>
      <c r="L3323" t="str">
        <f>D197</f>
        <v>H3b1</v>
      </c>
      <c r="N3323" t="s">
        <v>5850</v>
      </c>
      <c r="O3323">
        <v>1.9011849E7</v>
      </c>
      <c r="P3323">
        <v>1.6899969E7</v>
      </c>
      <c r="Q3323" t="s">
        <v>423</v>
      </c>
      <c r="R3323" s="5"/>
      <c r="S3323" s="5"/>
      <c r="T3323" s="5"/>
      <c r="U3323" s="5"/>
      <c r="V3323" s="5"/>
      <c r="W3323" s="5"/>
      <c r="X3323" s="5"/>
      <c r="Y3323" s="5"/>
      <c r="Z3323" s="5"/>
      <c r="AA3323" s="5"/>
      <c r="AB3323" s="5"/>
      <c r="AC3323" s="5"/>
      <c r="AD3323" s="5"/>
      <c r="AE3323" s="5"/>
      <c r="AF3323" s="5"/>
      <c r="AG3323" s="5"/>
    </row>
    <row r="3324" ht="15.75" customHeight="1">
      <c r="K3324" t="s">
        <v>5851</v>
      </c>
      <c r="L3324" t="str">
        <f>D197</f>
        <v>H3b1</v>
      </c>
      <c r="N3324" t="s">
        <v>5852</v>
      </c>
      <c r="O3324">
        <v>1.9072082E7</v>
      </c>
      <c r="P3324">
        <v>1.6960202E7</v>
      </c>
      <c r="Q3324" t="s">
        <v>459</v>
      </c>
      <c r="R3324" s="5"/>
      <c r="S3324" s="5"/>
      <c r="T3324" s="5"/>
      <c r="U3324" s="5"/>
      <c r="V3324" s="5"/>
      <c r="W3324" s="5"/>
      <c r="X3324" s="5"/>
      <c r="Y3324" s="5"/>
      <c r="Z3324" s="5"/>
      <c r="AA3324" s="5"/>
      <c r="AB3324" s="5"/>
      <c r="AC3324" s="5"/>
      <c r="AD3324" s="5"/>
      <c r="AE3324" s="5"/>
      <c r="AF3324" s="5"/>
      <c r="AG3324" s="5"/>
    </row>
    <row r="3325" ht="15.75" customHeight="1">
      <c r="K3325" t="s">
        <v>5853</v>
      </c>
      <c r="L3325" t="str">
        <f>D197</f>
        <v>H3b1</v>
      </c>
      <c r="N3325" t="s">
        <v>5854</v>
      </c>
      <c r="O3325">
        <v>1.908065E7</v>
      </c>
      <c r="P3325">
        <v>1.696877E7</v>
      </c>
      <c r="Q3325" t="s">
        <v>427</v>
      </c>
      <c r="R3325" s="5"/>
      <c r="S3325" s="5"/>
      <c r="T3325" s="5"/>
      <c r="U3325" s="5"/>
      <c r="V3325" s="5"/>
      <c r="W3325" s="5"/>
      <c r="X3325" s="5"/>
      <c r="Y3325" s="5"/>
      <c r="Z3325" s="5"/>
      <c r="AA3325" s="5"/>
      <c r="AB3325" s="5"/>
      <c r="AC3325" s="5"/>
      <c r="AD3325" s="5"/>
      <c r="AE3325" s="5"/>
      <c r="AF3325" s="5"/>
      <c r="AG3325" s="5"/>
    </row>
    <row r="3326" ht="15.75" customHeight="1">
      <c r="K3326" t="s">
        <v>5855</v>
      </c>
      <c r="L3326" t="str">
        <f>D197</f>
        <v>H3b1</v>
      </c>
      <c r="N3326" t="s">
        <v>5856</v>
      </c>
      <c r="O3326">
        <v>1.9124776E7</v>
      </c>
      <c r="P3326">
        <v>1.7012896E7</v>
      </c>
      <c r="Q3326" t="s">
        <v>476</v>
      </c>
      <c r="R3326" s="5"/>
      <c r="S3326" s="5"/>
      <c r="T3326" s="5"/>
      <c r="U3326" s="5"/>
      <c r="V3326" s="5"/>
      <c r="W3326" s="5"/>
      <c r="X3326" s="5"/>
      <c r="Y3326" s="5"/>
      <c r="Z3326" s="5"/>
      <c r="AA3326" s="5"/>
      <c r="AB3326" s="5"/>
      <c r="AC3326" s="5"/>
      <c r="AD3326" s="5"/>
      <c r="AE3326" s="5"/>
      <c r="AF3326" s="5"/>
      <c r="AG3326" s="5"/>
    </row>
    <row r="3327" ht="15.75" customHeight="1">
      <c r="K3327" t="s">
        <v>5857</v>
      </c>
      <c r="L3327" t="str">
        <f>D197</f>
        <v>H3b1</v>
      </c>
      <c r="N3327" t="s">
        <v>5858</v>
      </c>
      <c r="O3327">
        <v>1.9139454E7</v>
      </c>
      <c r="P3327">
        <v>1.7027574E7</v>
      </c>
      <c r="Q3327" t="s">
        <v>452</v>
      </c>
      <c r="R3327" s="5"/>
      <c r="S3327" s="5"/>
      <c r="T3327" s="5"/>
      <c r="U3327" s="5"/>
      <c r="V3327" s="5"/>
      <c r="W3327" s="5"/>
      <c r="X3327" s="5"/>
      <c r="Y3327" s="5"/>
      <c r="Z3327" s="5"/>
      <c r="AA3327" s="5"/>
      <c r="AB3327" s="5"/>
      <c r="AC3327" s="5"/>
      <c r="AD3327" s="5"/>
      <c r="AE3327" s="5"/>
      <c r="AF3327" s="5"/>
      <c r="AG3327" s="5"/>
    </row>
    <row r="3328" ht="15.75" customHeight="1">
      <c r="K3328" t="s">
        <v>5859</v>
      </c>
      <c r="L3328" t="str">
        <f>D197</f>
        <v>H3b1</v>
      </c>
      <c r="N3328" t="s">
        <v>5860</v>
      </c>
      <c r="O3328">
        <v>1.9147156E7</v>
      </c>
      <c r="P3328">
        <v>1.7035276E7</v>
      </c>
      <c r="Q3328" t="s">
        <v>473</v>
      </c>
      <c r="R3328" s="5"/>
      <c r="S3328" s="5"/>
      <c r="T3328" s="5"/>
      <c r="U3328" s="5"/>
      <c r="V3328" s="5"/>
      <c r="W3328" s="5"/>
      <c r="X3328" s="5"/>
      <c r="Y3328" s="5"/>
      <c r="Z3328" s="5"/>
      <c r="AA3328" s="5"/>
      <c r="AB3328" s="5"/>
      <c r="AC3328" s="5"/>
      <c r="AD3328" s="5"/>
      <c r="AE3328" s="5"/>
      <c r="AF3328" s="5"/>
      <c r="AG3328" s="5"/>
    </row>
    <row r="3329" ht="15.75" customHeight="1">
      <c r="K3329" t="s">
        <v>5861</v>
      </c>
      <c r="L3329" t="str">
        <f>D197</f>
        <v>H3b1</v>
      </c>
      <c r="N3329" t="s">
        <v>5862</v>
      </c>
      <c r="O3329">
        <v>1.9218453E7</v>
      </c>
      <c r="P3329">
        <v>1.7106573E7</v>
      </c>
      <c r="Q3329" t="s">
        <v>525</v>
      </c>
      <c r="R3329" s="5"/>
      <c r="S3329" s="5"/>
      <c r="T3329" s="5"/>
      <c r="U3329" s="5"/>
      <c r="V3329" s="5"/>
      <c r="W3329" s="5"/>
      <c r="X3329" s="5"/>
      <c r="Y3329" s="5"/>
      <c r="Z3329" s="5"/>
      <c r="AA3329" s="5"/>
      <c r="AB3329" s="5"/>
      <c r="AC3329" s="5"/>
      <c r="AD3329" s="5"/>
      <c r="AE3329" s="5"/>
      <c r="AF3329" s="5"/>
      <c r="AG3329" s="5"/>
    </row>
    <row r="3330" ht="15.75" customHeight="1">
      <c r="K3330" t="s">
        <v>5863</v>
      </c>
      <c r="L3330" t="str">
        <f>D197</f>
        <v>H3b1</v>
      </c>
      <c r="N3330" t="s">
        <v>5864</v>
      </c>
      <c r="O3330">
        <v>1.9380191E7</v>
      </c>
      <c r="P3330">
        <v>1.7268311E7</v>
      </c>
      <c r="Q3330" t="s">
        <v>419</v>
      </c>
      <c r="R3330" s="5"/>
      <c r="S3330" s="5"/>
      <c r="T3330" s="5"/>
      <c r="U3330" s="5"/>
      <c r="V3330" s="5"/>
      <c r="W3330" s="5"/>
      <c r="X3330" s="5"/>
      <c r="Y3330" s="5"/>
      <c r="Z3330" s="5"/>
      <c r="AA3330" s="5"/>
      <c r="AB3330" s="5"/>
      <c r="AC3330" s="5"/>
      <c r="AD3330" s="5"/>
      <c r="AE3330" s="5"/>
      <c r="AF3330" s="5"/>
      <c r="AG3330" s="5"/>
    </row>
    <row r="3331" ht="15.75" customHeight="1">
      <c r="K3331" t="s">
        <v>5865</v>
      </c>
      <c r="L3331" t="str">
        <f>D197</f>
        <v>H3b1</v>
      </c>
      <c r="N3331" t="s">
        <v>5866</v>
      </c>
      <c r="O3331">
        <v>1.9549028E7</v>
      </c>
      <c r="P3331">
        <v>1.7437148E7</v>
      </c>
      <c r="Q3331" t="s">
        <v>525</v>
      </c>
      <c r="R3331" s="5"/>
      <c r="S3331" s="5"/>
      <c r="T3331" s="5"/>
      <c r="U3331" s="5"/>
      <c r="V3331" s="5"/>
      <c r="W3331" s="5"/>
      <c r="X3331" s="5"/>
      <c r="Y3331" s="5"/>
      <c r="Z3331" s="5"/>
      <c r="AA3331" s="5"/>
      <c r="AB3331" s="5"/>
      <c r="AC3331" s="5"/>
      <c r="AD3331" s="5"/>
      <c r="AE3331" s="5"/>
      <c r="AF3331" s="5"/>
      <c r="AG3331" s="5"/>
    </row>
    <row r="3332" ht="15.75" customHeight="1">
      <c r="K3332" t="s">
        <v>5867</v>
      </c>
      <c r="L3332" t="str">
        <f>D197</f>
        <v>H3b1</v>
      </c>
      <c r="O3332">
        <v>2.0810626E7</v>
      </c>
      <c r="P3332">
        <v>1.864874E7</v>
      </c>
      <c r="Q3332" t="s">
        <v>435</v>
      </c>
      <c r="R3332" s="5"/>
      <c r="S3332" s="5"/>
      <c r="T3332" s="5"/>
      <c r="U3332" s="5"/>
      <c r="V3332" s="5"/>
      <c r="W3332" s="5"/>
      <c r="X3332" s="5"/>
      <c r="Y3332" s="5"/>
      <c r="Z3332" s="5"/>
      <c r="AA3332" s="5"/>
      <c r="AB3332" s="5"/>
      <c r="AC3332" s="5"/>
      <c r="AD3332" s="5"/>
      <c r="AE3332" s="5"/>
      <c r="AF3332" s="5"/>
      <c r="AG3332" s="5"/>
    </row>
    <row r="3333" ht="15.75" customHeight="1">
      <c r="K3333" t="s">
        <v>5868</v>
      </c>
      <c r="L3333" t="str">
        <f>D197</f>
        <v>H3b1</v>
      </c>
      <c r="N3333" t="s">
        <v>5869</v>
      </c>
      <c r="O3333">
        <v>2.1177964E7</v>
      </c>
      <c r="P3333">
        <v>1.9016078E7</v>
      </c>
      <c r="Q3333" t="s">
        <v>419</v>
      </c>
      <c r="R3333" s="5"/>
      <c r="S3333" s="5"/>
      <c r="T3333" s="5"/>
      <c r="U3333" s="5"/>
      <c r="V3333" s="5"/>
      <c r="W3333" s="5"/>
      <c r="X3333" s="5"/>
      <c r="Y3333" s="5"/>
      <c r="Z3333" s="5"/>
      <c r="AA3333" s="5"/>
      <c r="AB3333" s="5"/>
      <c r="AC3333" s="5"/>
      <c r="AD3333" s="5"/>
      <c r="AE3333" s="5"/>
      <c r="AF3333" s="5"/>
      <c r="AG3333" s="5"/>
    </row>
    <row r="3334" ht="15.75" customHeight="1">
      <c r="K3334" t="s">
        <v>5870</v>
      </c>
      <c r="L3334" t="str">
        <f>D197</f>
        <v>H3b1</v>
      </c>
      <c r="N3334" t="s">
        <v>5871</v>
      </c>
      <c r="O3334">
        <v>2.1256927E7</v>
      </c>
      <c r="P3334">
        <v>1.9095041E7</v>
      </c>
      <c r="Q3334" t="s">
        <v>423</v>
      </c>
      <c r="R3334" s="5"/>
      <c r="S3334" s="5"/>
      <c r="T3334" s="5"/>
      <c r="U3334" s="5"/>
      <c r="V3334" s="5"/>
      <c r="W3334" s="5"/>
      <c r="X3334" s="5"/>
      <c r="Y3334" s="5"/>
      <c r="Z3334" s="5"/>
      <c r="AA3334" s="5"/>
      <c r="AB3334" s="5"/>
      <c r="AC3334" s="5"/>
      <c r="AD3334" s="5"/>
      <c r="AE3334" s="5"/>
      <c r="AF3334" s="5"/>
      <c r="AG3334" s="5"/>
    </row>
    <row r="3335" ht="15.75" customHeight="1">
      <c r="K3335" t="s">
        <v>5872</v>
      </c>
      <c r="L3335" t="str">
        <f>D197</f>
        <v>H3b1</v>
      </c>
      <c r="N3335" t="s">
        <v>5873</v>
      </c>
      <c r="O3335">
        <v>2.1264263E7</v>
      </c>
      <c r="P3335">
        <v>1.9102377E7</v>
      </c>
      <c r="Q3335" t="s">
        <v>427</v>
      </c>
      <c r="R3335" s="5"/>
      <c r="S3335" s="5"/>
      <c r="T3335" s="5"/>
      <c r="U3335" s="5"/>
      <c r="V3335" s="5"/>
      <c r="W3335" s="5"/>
      <c r="X3335" s="5"/>
      <c r="Y3335" s="5"/>
      <c r="Z3335" s="5"/>
      <c r="AA3335" s="5"/>
      <c r="AB3335" s="5"/>
      <c r="AC3335" s="5"/>
      <c r="AD3335" s="5"/>
      <c r="AE3335" s="5"/>
      <c r="AF3335" s="5"/>
      <c r="AG3335" s="5"/>
    </row>
    <row r="3336" ht="15.75" customHeight="1">
      <c r="K3336" t="s">
        <v>5874</v>
      </c>
      <c r="L3336" t="str">
        <f>D197</f>
        <v>H3b1</v>
      </c>
      <c r="N3336" t="s">
        <v>5875</v>
      </c>
      <c r="O3336">
        <v>2.1267477E7</v>
      </c>
      <c r="P3336">
        <v>1.9105591E7</v>
      </c>
      <c r="Q3336" t="s">
        <v>473</v>
      </c>
      <c r="R3336" s="5"/>
      <c r="S3336" s="5"/>
      <c r="T3336" s="5"/>
      <c r="U3336" s="5"/>
      <c r="V3336" s="5"/>
      <c r="W3336" s="5"/>
      <c r="X3336" s="5"/>
      <c r="Y3336" s="5"/>
      <c r="Z3336" s="5"/>
      <c r="AA3336" s="5"/>
      <c r="AB3336" s="5"/>
      <c r="AC3336" s="5"/>
      <c r="AD3336" s="5"/>
      <c r="AE3336" s="5"/>
      <c r="AF3336" s="5"/>
      <c r="AG3336" s="5"/>
    </row>
    <row r="3337" ht="15.75" customHeight="1">
      <c r="K3337" t="s">
        <v>5876</v>
      </c>
      <c r="L3337" t="str">
        <f>D197</f>
        <v>H3b1</v>
      </c>
      <c r="N3337" t="s">
        <v>5877</v>
      </c>
      <c r="O3337">
        <v>2.1268E7</v>
      </c>
      <c r="P3337">
        <v>1.9106114E7</v>
      </c>
      <c r="Q3337" t="s">
        <v>423</v>
      </c>
      <c r="R3337" s="5"/>
      <c r="S3337" s="5"/>
      <c r="T3337" s="5"/>
      <c r="U3337" s="5"/>
      <c r="V3337" s="5"/>
      <c r="W3337" s="5"/>
      <c r="X3337" s="5"/>
      <c r="Y3337" s="5"/>
      <c r="Z3337" s="5"/>
      <c r="AA3337" s="5"/>
      <c r="AB3337" s="5"/>
      <c r="AC3337" s="5"/>
      <c r="AD3337" s="5"/>
      <c r="AE3337" s="5"/>
      <c r="AF3337" s="5"/>
      <c r="AG3337" s="5"/>
    </row>
    <row r="3338" ht="15.75" customHeight="1">
      <c r="K3338" t="s">
        <v>5878</v>
      </c>
      <c r="L3338" t="str">
        <f>D197</f>
        <v>H3b1</v>
      </c>
      <c r="N3338" t="s">
        <v>5879</v>
      </c>
      <c r="O3338">
        <v>2.1332253E7</v>
      </c>
      <c r="P3338">
        <v>1.9170367E7</v>
      </c>
      <c r="Q3338" t="s">
        <v>427</v>
      </c>
      <c r="R3338" s="5"/>
      <c r="S3338" s="5"/>
      <c r="T3338" s="5"/>
      <c r="U3338" s="5"/>
      <c r="V3338" s="5"/>
      <c r="W3338" s="5"/>
      <c r="X3338" s="5"/>
      <c r="Y3338" s="5"/>
      <c r="Z3338" s="5"/>
      <c r="AA3338" s="5"/>
      <c r="AB3338" s="5"/>
      <c r="AC3338" s="5"/>
      <c r="AD3338" s="5"/>
      <c r="AE3338" s="5"/>
      <c r="AF3338" s="5"/>
      <c r="AG3338" s="5"/>
    </row>
    <row r="3339" ht="15.75" customHeight="1">
      <c r="K3339" t="s">
        <v>5880</v>
      </c>
      <c r="L3339" t="str">
        <f>D197</f>
        <v>H3b1</v>
      </c>
      <c r="N3339" t="s">
        <v>5881</v>
      </c>
      <c r="O3339">
        <v>2.1356535E7</v>
      </c>
      <c r="P3339">
        <v>1.9194649E7</v>
      </c>
      <c r="Q3339" t="s">
        <v>423</v>
      </c>
      <c r="R3339" s="5"/>
      <c r="S3339" s="5"/>
      <c r="T3339" s="5"/>
      <c r="U3339" s="5"/>
      <c r="V3339" s="5"/>
      <c r="W3339" s="5"/>
      <c r="X3339" s="5"/>
      <c r="Y3339" s="5"/>
      <c r="Z3339" s="5"/>
      <c r="AA3339" s="5"/>
      <c r="AB3339" s="5"/>
      <c r="AC3339" s="5"/>
      <c r="AD3339" s="5"/>
      <c r="AE3339" s="5"/>
      <c r="AF3339" s="5"/>
      <c r="AG3339" s="5"/>
    </row>
    <row r="3340" ht="15.75" customHeight="1">
      <c r="K3340" t="s">
        <v>5882</v>
      </c>
      <c r="L3340" t="str">
        <f>D197</f>
        <v>H3b1</v>
      </c>
      <c r="N3340" t="s">
        <v>5883</v>
      </c>
      <c r="O3340">
        <v>2.1418345E7</v>
      </c>
      <c r="P3340">
        <v>1.9256459E7</v>
      </c>
      <c r="Q3340" t="s">
        <v>419</v>
      </c>
      <c r="R3340" s="5"/>
      <c r="S3340" s="5"/>
      <c r="T3340" s="5"/>
      <c r="U3340" s="5"/>
      <c r="V3340" s="5"/>
      <c r="W3340" s="5"/>
      <c r="X3340" s="5"/>
      <c r="Y3340" s="5"/>
      <c r="Z3340" s="5"/>
      <c r="AA3340" s="5"/>
      <c r="AB3340" s="5"/>
      <c r="AC3340" s="5"/>
      <c r="AD3340" s="5"/>
      <c r="AE3340" s="5"/>
      <c r="AF3340" s="5"/>
      <c r="AG3340" s="5"/>
    </row>
    <row r="3341" ht="15.75" customHeight="1">
      <c r="K3341" t="s">
        <v>5884</v>
      </c>
      <c r="L3341" t="str">
        <f>D197</f>
        <v>H3b1</v>
      </c>
      <c r="N3341" t="s">
        <v>5885</v>
      </c>
      <c r="O3341">
        <v>2.1458066E7</v>
      </c>
      <c r="P3341">
        <v>1.929618E7</v>
      </c>
      <c r="Q3341" t="s">
        <v>431</v>
      </c>
      <c r="R3341" s="5"/>
      <c r="S3341" s="5"/>
      <c r="T3341" s="5"/>
      <c r="U3341" s="5"/>
      <c r="V3341" s="5"/>
      <c r="W3341" s="5"/>
      <c r="X3341" s="5"/>
      <c r="Y3341" s="5"/>
      <c r="Z3341" s="5"/>
      <c r="AA3341" s="5"/>
      <c r="AB3341" s="5"/>
      <c r="AC3341" s="5"/>
      <c r="AD3341" s="5"/>
      <c r="AE3341" s="5"/>
      <c r="AF3341" s="5"/>
      <c r="AG3341" s="5"/>
    </row>
    <row r="3342" ht="15.75" customHeight="1">
      <c r="K3342" t="s">
        <v>5886</v>
      </c>
      <c r="L3342" t="str">
        <f>D197</f>
        <v>H3b1</v>
      </c>
      <c r="N3342" t="s">
        <v>5887</v>
      </c>
      <c r="O3342">
        <v>2.1459068E7</v>
      </c>
      <c r="P3342">
        <v>1.9297182E7</v>
      </c>
      <c r="Q3342" t="s">
        <v>423</v>
      </c>
      <c r="R3342" s="5"/>
      <c r="S3342" s="5"/>
      <c r="T3342" s="5"/>
      <c r="U3342" s="5"/>
      <c r="V3342" s="5"/>
      <c r="W3342" s="5"/>
      <c r="X3342" s="5"/>
      <c r="Y3342" s="5"/>
      <c r="Z3342" s="5"/>
      <c r="AA3342" s="5"/>
      <c r="AB3342" s="5"/>
      <c r="AC3342" s="5"/>
      <c r="AD3342" s="5"/>
      <c r="AE3342" s="5"/>
      <c r="AF3342" s="5"/>
      <c r="AG3342" s="5"/>
    </row>
    <row r="3343" ht="15.75" customHeight="1">
      <c r="K3343" t="s">
        <v>5888</v>
      </c>
      <c r="L3343" t="str">
        <f>D197</f>
        <v>H3b1</v>
      </c>
      <c r="N3343" t="s">
        <v>5889</v>
      </c>
      <c r="O3343">
        <v>2.1486056E7</v>
      </c>
      <c r="P3343">
        <v>1.932417E7</v>
      </c>
      <c r="Q3343" t="s">
        <v>435</v>
      </c>
      <c r="R3343" s="5"/>
      <c r="S3343" s="5"/>
      <c r="T3343" s="5"/>
      <c r="U3343" s="5"/>
      <c r="V3343" s="5"/>
      <c r="W3343" s="5"/>
      <c r="X3343" s="5"/>
      <c r="Y3343" s="5"/>
      <c r="Z3343" s="5"/>
      <c r="AA3343" s="5"/>
      <c r="AB3343" s="5"/>
      <c r="AC3343" s="5"/>
      <c r="AD3343" s="5"/>
      <c r="AE3343" s="5"/>
      <c r="AF3343" s="5"/>
      <c r="AG3343" s="5"/>
    </row>
    <row r="3344" ht="15.75" customHeight="1">
      <c r="K3344" t="s">
        <v>5890</v>
      </c>
      <c r="L3344" t="str">
        <f>D197</f>
        <v>H3b1</v>
      </c>
      <c r="N3344" t="s">
        <v>5891</v>
      </c>
      <c r="O3344">
        <v>2.1517653E7</v>
      </c>
      <c r="P3344">
        <v>1.9355767E7</v>
      </c>
      <c r="Q3344" t="s">
        <v>476</v>
      </c>
      <c r="R3344" s="5"/>
      <c r="S3344" s="5"/>
      <c r="T3344" s="5"/>
      <c r="U3344" s="5"/>
      <c r="V3344" s="5"/>
      <c r="W3344" s="5"/>
      <c r="X3344" s="5"/>
      <c r="Y3344" s="5"/>
      <c r="Z3344" s="5"/>
      <c r="AA3344" s="5"/>
      <c r="AB3344" s="5"/>
      <c r="AC3344" s="5"/>
      <c r="AD3344" s="5"/>
      <c r="AE3344" s="5"/>
      <c r="AF3344" s="5"/>
      <c r="AG3344" s="5"/>
    </row>
    <row r="3345" ht="15.75" customHeight="1">
      <c r="K3345" t="s">
        <v>5892</v>
      </c>
      <c r="L3345" t="str">
        <f>D197</f>
        <v>H3b1</v>
      </c>
      <c r="N3345" t="s">
        <v>5893</v>
      </c>
      <c r="O3345">
        <v>2.1595295E7</v>
      </c>
      <c r="P3345">
        <v>1.9433409E7</v>
      </c>
      <c r="Q3345" t="s">
        <v>423</v>
      </c>
      <c r="R3345" s="5"/>
      <c r="S3345" s="5"/>
      <c r="T3345" s="5"/>
      <c r="U3345" s="5"/>
      <c r="V3345" s="5"/>
      <c r="W3345" s="5"/>
      <c r="X3345" s="5"/>
      <c r="Y3345" s="5"/>
      <c r="Z3345" s="5"/>
      <c r="AA3345" s="5"/>
      <c r="AB3345" s="5"/>
      <c r="AC3345" s="5"/>
      <c r="AD3345" s="5"/>
      <c r="AE3345" s="5"/>
      <c r="AF3345" s="5"/>
      <c r="AG3345" s="5"/>
    </row>
    <row r="3346" ht="15.75" customHeight="1">
      <c r="K3346" t="s">
        <v>5894</v>
      </c>
      <c r="L3346" t="str">
        <f>D197</f>
        <v>H3b1</v>
      </c>
      <c r="N3346" t="s">
        <v>5895</v>
      </c>
      <c r="O3346">
        <v>2.1620962E7</v>
      </c>
      <c r="P3346">
        <v>1.9459076E7</v>
      </c>
      <c r="Q3346" t="s">
        <v>427</v>
      </c>
      <c r="R3346" s="5"/>
      <c r="S3346" s="5"/>
      <c r="T3346" s="5"/>
      <c r="U3346" s="5"/>
      <c r="V3346" s="5"/>
      <c r="W3346" s="5"/>
      <c r="X3346" s="5"/>
      <c r="Y3346" s="5"/>
      <c r="Z3346" s="5"/>
      <c r="AA3346" s="5"/>
      <c r="AB3346" s="5"/>
      <c r="AC3346" s="5"/>
      <c r="AD3346" s="5"/>
      <c r="AE3346" s="5"/>
      <c r="AF3346" s="5"/>
      <c r="AG3346" s="5"/>
    </row>
    <row r="3347" ht="15.75" customHeight="1">
      <c r="K3347" t="s">
        <v>5896</v>
      </c>
      <c r="L3347" t="str">
        <f>D197</f>
        <v>H3b1</v>
      </c>
      <c r="N3347" t="s">
        <v>5897</v>
      </c>
      <c r="O3347">
        <v>2.1784948E7</v>
      </c>
      <c r="P3347">
        <v>1.9623062E7</v>
      </c>
      <c r="Q3347" t="s">
        <v>459</v>
      </c>
      <c r="R3347" s="5"/>
      <c r="S3347" s="5"/>
      <c r="T3347" s="5"/>
      <c r="U3347" s="5"/>
      <c r="V3347" s="5"/>
      <c r="W3347" s="5"/>
      <c r="X3347" s="5"/>
      <c r="Y3347" s="5"/>
      <c r="Z3347" s="5"/>
      <c r="AA3347" s="5"/>
      <c r="AB3347" s="5"/>
      <c r="AC3347" s="5"/>
      <c r="AD3347" s="5"/>
      <c r="AE3347" s="5"/>
      <c r="AF3347" s="5"/>
      <c r="AG3347" s="5"/>
    </row>
    <row r="3348" ht="15.75" customHeight="1">
      <c r="K3348" t="s">
        <v>5898</v>
      </c>
      <c r="L3348" t="str">
        <f>D197</f>
        <v>H3b1</v>
      </c>
      <c r="N3348" t="s">
        <v>5899</v>
      </c>
      <c r="O3348">
        <v>2.1796411E7</v>
      </c>
      <c r="P3348">
        <v>1.9634525E7</v>
      </c>
      <c r="Q3348" t="s">
        <v>419</v>
      </c>
      <c r="R3348" s="5"/>
      <c r="S3348" s="5"/>
      <c r="T3348" s="5"/>
      <c r="U3348" s="5"/>
      <c r="V3348" s="5"/>
      <c r="W3348" s="5"/>
      <c r="X3348" s="5"/>
      <c r="Y3348" s="5"/>
      <c r="Z3348" s="5"/>
      <c r="AA3348" s="5"/>
      <c r="AB3348" s="5"/>
      <c r="AC3348" s="5"/>
      <c r="AD3348" s="5"/>
      <c r="AE3348" s="5"/>
      <c r="AF3348" s="5"/>
      <c r="AG3348" s="5"/>
    </row>
    <row r="3349" ht="15.75" customHeight="1">
      <c r="K3349" t="s">
        <v>5900</v>
      </c>
      <c r="L3349" t="str">
        <f>D197</f>
        <v>H3b1</v>
      </c>
      <c r="O3349">
        <v>2.1838261E7</v>
      </c>
      <c r="P3349">
        <v>1.9676375E7</v>
      </c>
      <c r="Q3349" t="s">
        <v>452</v>
      </c>
      <c r="R3349" s="5"/>
      <c r="S3349" s="5"/>
      <c r="T3349" s="5"/>
      <c r="U3349" s="5"/>
      <c r="V3349" s="5"/>
      <c r="W3349" s="5"/>
      <c r="X3349" s="5"/>
      <c r="Y3349" s="5"/>
      <c r="Z3349" s="5"/>
      <c r="AA3349" s="5"/>
      <c r="AB3349" s="5"/>
      <c r="AC3349" s="5"/>
      <c r="AD3349" s="5"/>
      <c r="AE3349" s="5"/>
      <c r="AF3349" s="5"/>
      <c r="AG3349" s="5"/>
    </row>
    <row r="3350" ht="15.75" customHeight="1">
      <c r="K3350" t="s">
        <v>5901</v>
      </c>
      <c r="L3350" t="str">
        <f>D197</f>
        <v>H3b1</v>
      </c>
      <c r="N3350" t="s">
        <v>5902</v>
      </c>
      <c r="O3350">
        <v>2.1880192E7</v>
      </c>
      <c r="P3350">
        <v>1.9718306E7</v>
      </c>
      <c r="Q3350" t="s">
        <v>435</v>
      </c>
      <c r="R3350" s="5"/>
      <c r="S3350" s="5"/>
      <c r="T3350" s="5"/>
      <c r="U3350" s="5"/>
      <c r="V3350" s="5"/>
      <c r="W3350" s="5"/>
      <c r="X3350" s="5"/>
      <c r="Y3350" s="5"/>
      <c r="Z3350" s="5"/>
      <c r="AA3350" s="5"/>
      <c r="AB3350" s="5"/>
      <c r="AC3350" s="5"/>
      <c r="AD3350" s="5"/>
      <c r="AE3350" s="5"/>
      <c r="AF3350" s="5"/>
      <c r="AG3350" s="5"/>
    </row>
    <row r="3351" ht="15.75" customHeight="1">
      <c r="K3351" t="s">
        <v>5903</v>
      </c>
      <c r="L3351" t="str">
        <f>D197</f>
        <v>H3b1</v>
      </c>
      <c r="N3351" t="s">
        <v>5904</v>
      </c>
      <c r="O3351">
        <v>2.2096962E7</v>
      </c>
      <c r="P3351">
        <v>1.9935076E7</v>
      </c>
      <c r="Q3351" t="s">
        <v>448</v>
      </c>
      <c r="R3351" s="5"/>
      <c r="S3351" s="5"/>
      <c r="T3351" s="5"/>
      <c r="U3351" s="5"/>
      <c r="V3351" s="5"/>
      <c r="W3351" s="5"/>
      <c r="X3351" s="5"/>
      <c r="Y3351" s="5"/>
      <c r="Z3351" s="5"/>
      <c r="AA3351" s="5"/>
      <c r="AB3351" s="5"/>
      <c r="AC3351" s="5"/>
      <c r="AD3351" s="5"/>
      <c r="AE3351" s="5"/>
      <c r="AF3351" s="5"/>
      <c r="AG3351" s="5"/>
    </row>
    <row r="3352" ht="15.75" customHeight="1">
      <c r="K3352" t="s">
        <v>5905</v>
      </c>
      <c r="L3352" t="str">
        <f>D197</f>
        <v>H3b1</v>
      </c>
      <c r="N3352" t="s">
        <v>5906</v>
      </c>
      <c r="O3352">
        <v>2.2175951E7</v>
      </c>
      <c r="P3352">
        <v>2.0014065E7</v>
      </c>
      <c r="Q3352" t="s">
        <v>476</v>
      </c>
      <c r="R3352" s="5"/>
      <c r="S3352" s="5"/>
      <c r="T3352" s="5"/>
      <c r="U3352" s="5"/>
      <c r="V3352" s="5"/>
      <c r="W3352" s="5"/>
      <c r="X3352" s="5"/>
      <c r="Y3352" s="5"/>
      <c r="Z3352" s="5"/>
      <c r="AA3352" s="5"/>
      <c r="AB3352" s="5"/>
      <c r="AC3352" s="5"/>
      <c r="AD3352" s="5"/>
      <c r="AE3352" s="5"/>
      <c r="AF3352" s="5"/>
      <c r="AG3352" s="5"/>
    </row>
    <row r="3353" ht="15.75" customHeight="1">
      <c r="K3353" t="s">
        <v>5907</v>
      </c>
      <c r="L3353" t="str">
        <f>D197</f>
        <v>H3b1</v>
      </c>
      <c r="N3353" t="s">
        <v>5908</v>
      </c>
      <c r="O3353">
        <v>2.2178989E7</v>
      </c>
      <c r="P3353">
        <v>2.0017103E7</v>
      </c>
      <c r="Q3353" t="s">
        <v>435</v>
      </c>
      <c r="R3353" s="5"/>
      <c r="S3353" s="5"/>
      <c r="T3353" s="5"/>
      <c r="U3353" s="5"/>
      <c r="V3353" s="5"/>
      <c r="W3353" s="5"/>
      <c r="X3353" s="5"/>
      <c r="Y3353" s="5"/>
      <c r="Z3353" s="5"/>
      <c r="AA3353" s="5"/>
      <c r="AB3353" s="5"/>
      <c r="AC3353" s="5"/>
      <c r="AD3353" s="5"/>
      <c r="AE3353" s="5"/>
      <c r="AF3353" s="5"/>
      <c r="AG3353" s="5"/>
    </row>
    <row r="3354" ht="15.75" customHeight="1">
      <c r="K3354" t="s">
        <v>5909</v>
      </c>
      <c r="L3354" t="str">
        <f>D197</f>
        <v>H3b1</v>
      </c>
      <c r="O3354">
        <v>2.251734E7</v>
      </c>
      <c r="P3354">
        <v>2.0355454E7</v>
      </c>
      <c r="Q3354" t="s">
        <v>553</v>
      </c>
      <c r="R3354" s="5"/>
      <c r="S3354" s="5"/>
      <c r="T3354" s="5"/>
      <c r="U3354" s="5"/>
      <c r="V3354" s="5"/>
      <c r="W3354" s="5"/>
      <c r="X3354" s="5"/>
      <c r="Y3354" s="5"/>
      <c r="Z3354" s="5"/>
      <c r="AA3354" s="5"/>
      <c r="AB3354" s="5"/>
      <c r="AC3354" s="5"/>
      <c r="AD3354" s="5"/>
      <c r="AE3354" s="5"/>
      <c r="AF3354" s="5"/>
      <c r="AG3354" s="5"/>
    </row>
    <row r="3355" ht="15.75" customHeight="1">
      <c r="K3355" t="s">
        <v>5910</v>
      </c>
      <c r="L3355" t="str">
        <f>D197</f>
        <v>H3b1</v>
      </c>
      <c r="O3355">
        <v>2.2527024E7</v>
      </c>
      <c r="P3355">
        <v>2.0365138E7</v>
      </c>
      <c r="Q3355" t="s">
        <v>435</v>
      </c>
      <c r="R3355" s="5"/>
      <c r="S3355" s="5"/>
      <c r="T3355" s="5"/>
      <c r="U3355" s="5"/>
      <c r="V3355" s="5"/>
      <c r="W3355" s="5"/>
      <c r="X3355" s="5"/>
      <c r="Y3355" s="5"/>
      <c r="Z3355" s="5"/>
      <c r="AA3355" s="5"/>
      <c r="AB3355" s="5"/>
      <c r="AC3355" s="5"/>
      <c r="AD3355" s="5"/>
      <c r="AE3355" s="5"/>
      <c r="AF3355" s="5"/>
      <c r="AG3355" s="5"/>
    </row>
    <row r="3356" ht="15.75" customHeight="1">
      <c r="K3356" t="s">
        <v>5911</v>
      </c>
      <c r="L3356" t="str">
        <f>D197</f>
        <v>H3b1</v>
      </c>
      <c r="N3356" t="s">
        <v>5912</v>
      </c>
      <c r="O3356">
        <v>2.2714279E7</v>
      </c>
      <c r="P3356">
        <v>2.0552393E7</v>
      </c>
      <c r="Q3356" t="s">
        <v>419</v>
      </c>
      <c r="R3356" s="5"/>
      <c r="S3356" s="5"/>
      <c r="T3356" s="5"/>
      <c r="U3356" s="5"/>
      <c r="V3356" s="5"/>
      <c r="W3356" s="5"/>
      <c r="X3356" s="5"/>
      <c r="Y3356" s="5"/>
      <c r="Z3356" s="5"/>
      <c r="AA3356" s="5"/>
      <c r="AB3356" s="5"/>
      <c r="AC3356" s="5"/>
      <c r="AD3356" s="5"/>
      <c r="AE3356" s="5"/>
      <c r="AF3356" s="5"/>
      <c r="AG3356" s="5"/>
    </row>
    <row r="3357" ht="15.75" customHeight="1">
      <c r="K3357" t="s">
        <v>5913</v>
      </c>
      <c r="L3357" t="str">
        <f>D197</f>
        <v>H3b1</v>
      </c>
      <c r="N3357" t="s">
        <v>5914</v>
      </c>
      <c r="O3357">
        <v>2.2962067E7</v>
      </c>
      <c r="P3357">
        <v>2.0800181E7</v>
      </c>
      <c r="Q3357" t="s">
        <v>476</v>
      </c>
      <c r="R3357" s="5"/>
      <c r="S3357" s="5"/>
      <c r="T3357" s="5"/>
      <c r="U3357" s="5"/>
      <c r="V3357" s="5"/>
      <c r="W3357" s="5"/>
      <c r="X3357" s="5"/>
      <c r="Y3357" s="5"/>
      <c r="Z3357" s="5"/>
      <c r="AA3357" s="5"/>
      <c r="AB3357" s="5"/>
      <c r="AC3357" s="5"/>
      <c r="AD3357" s="5"/>
      <c r="AE3357" s="5"/>
      <c r="AF3357" s="5"/>
      <c r="AG3357" s="5"/>
    </row>
    <row r="3358" ht="15.75" customHeight="1">
      <c r="K3358" t="s">
        <v>5915</v>
      </c>
      <c r="L3358" t="str">
        <f>D197</f>
        <v>H3b1</v>
      </c>
      <c r="N3358" t="s">
        <v>5916</v>
      </c>
      <c r="O3358">
        <v>2.3062215E7</v>
      </c>
      <c r="P3358">
        <v>2.0900329E7</v>
      </c>
      <c r="Q3358" t="s">
        <v>419</v>
      </c>
      <c r="R3358" s="5"/>
      <c r="S3358" s="5"/>
      <c r="T3358" s="5"/>
      <c r="U3358" s="5"/>
      <c r="V3358" s="5"/>
      <c r="W3358" s="5"/>
      <c r="X3358" s="5"/>
      <c r="Y3358" s="5"/>
      <c r="Z3358" s="5"/>
      <c r="AA3358" s="5"/>
      <c r="AB3358" s="5"/>
      <c r="AC3358" s="5"/>
      <c r="AD3358" s="5"/>
      <c r="AE3358" s="5"/>
      <c r="AF3358" s="5"/>
      <c r="AG3358" s="5"/>
    </row>
    <row r="3359" ht="15.75" customHeight="1">
      <c r="K3359" t="s">
        <v>5917</v>
      </c>
      <c r="L3359" t="str">
        <f>D197</f>
        <v>H3b1</v>
      </c>
      <c r="N3359" t="s">
        <v>5918</v>
      </c>
      <c r="O3359">
        <v>2.3069164E7</v>
      </c>
      <c r="P3359">
        <v>2.0907278E7</v>
      </c>
      <c r="Q3359" t="s">
        <v>473</v>
      </c>
      <c r="R3359" s="5"/>
      <c r="S3359" s="5"/>
      <c r="T3359" s="5"/>
      <c r="U3359" s="5"/>
      <c r="V3359" s="5"/>
      <c r="W3359" s="5"/>
      <c r="X3359" s="5"/>
      <c r="Y3359" s="5"/>
      <c r="Z3359" s="5"/>
      <c r="AA3359" s="5"/>
      <c r="AB3359" s="5"/>
      <c r="AC3359" s="5"/>
      <c r="AD3359" s="5"/>
      <c r="AE3359" s="5"/>
      <c r="AF3359" s="5"/>
      <c r="AG3359" s="5"/>
    </row>
    <row r="3360" ht="15.75" customHeight="1">
      <c r="K3360" t="s">
        <v>5919</v>
      </c>
      <c r="L3360" t="str">
        <f>D197</f>
        <v>H3b1</v>
      </c>
      <c r="N3360" t="s">
        <v>5920</v>
      </c>
      <c r="O3360">
        <v>2.3188862E7</v>
      </c>
      <c r="P3360">
        <v>2.1026976E7</v>
      </c>
      <c r="Q3360" t="s">
        <v>431</v>
      </c>
      <c r="R3360" s="5"/>
      <c r="S3360" s="5"/>
      <c r="T3360" s="5"/>
      <c r="U3360" s="5"/>
      <c r="V3360" s="5"/>
      <c r="W3360" s="5"/>
      <c r="X3360" s="5"/>
      <c r="Y3360" s="5"/>
      <c r="Z3360" s="5"/>
      <c r="AA3360" s="5"/>
      <c r="AB3360" s="5"/>
      <c r="AC3360" s="5"/>
      <c r="AD3360" s="5"/>
      <c r="AE3360" s="5"/>
      <c r="AF3360" s="5"/>
      <c r="AG3360" s="5"/>
    </row>
    <row r="3361" ht="15.75" customHeight="1">
      <c r="K3361" t="s">
        <v>5921</v>
      </c>
      <c r="L3361" t="str">
        <f>D197</f>
        <v>H3b1</v>
      </c>
      <c r="O3361">
        <v>2.3195281E7</v>
      </c>
      <c r="P3361">
        <v>2.1033395E7</v>
      </c>
      <c r="Q3361" t="s">
        <v>452</v>
      </c>
      <c r="R3361" s="5"/>
      <c r="S3361" s="5"/>
      <c r="T3361" s="5"/>
      <c r="U3361" s="5"/>
      <c r="V3361" s="5"/>
      <c r="W3361" s="5"/>
      <c r="X3361" s="5"/>
      <c r="Y3361" s="5"/>
      <c r="Z3361" s="5"/>
      <c r="AA3361" s="5"/>
      <c r="AB3361" s="5"/>
      <c r="AC3361" s="5"/>
      <c r="AD3361" s="5"/>
      <c r="AE3361" s="5"/>
      <c r="AF3361" s="5"/>
      <c r="AG3361" s="5"/>
    </row>
    <row r="3362" ht="15.75" customHeight="1">
      <c r="K3362" t="s">
        <v>5922</v>
      </c>
      <c r="L3362" t="str">
        <f>D197</f>
        <v>H3b1</v>
      </c>
      <c r="N3362" t="s">
        <v>5923</v>
      </c>
      <c r="O3362">
        <v>2.3361497E7</v>
      </c>
      <c r="P3362">
        <v>2.1199611E7</v>
      </c>
      <c r="Q3362" t="s">
        <v>419</v>
      </c>
      <c r="R3362" s="5"/>
      <c r="S3362" s="5"/>
      <c r="T3362" s="5"/>
      <c r="U3362" s="5"/>
      <c r="V3362" s="5"/>
      <c r="W3362" s="5"/>
      <c r="X3362" s="5"/>
      <c r="Y3362" s="5"/>
      <c r="Z3362" s="5"/>
      <c r="AA3362" s="5"/>
      <c r="AB3362" s="5"/>
      <c r="AC3362" s="5"/>
      <c r="AD3362" s="5"/>
      <c r="AE3362" s="5"/>
      <c r="AF3362" s="5"/>
      <c r="AG3362" s="5"/>
    </row>
    <row r="3363" ht="15.75" customHeight="1">
      <c r="K3363" t="s">
        <v>5924</v>
      </c>
      <c r="L3363" t="str">
        <f>D197</f>
        <v>H3b1</v>
      </c>
      <c r="N3363" t="s">
        <v>5925</v>
      </c>
      <c r="O3363">
        <v>2.3417979E7</v>
      </c>
      <c r="P3363">
        <v>2.1256093E7</v>
      </c>
      <c r="Q3363" t="s">
        <v>473</v>
      </c>
      <c r="R3363" s="5"/>
      <c r="S3363" s="5"/>
      <c r="T3363" s="5"/>
      <c r="U3363" s="5"/>
      <c r="V3363" s="5"/>
      <c r="W3363" s="5"/>
      <c r="X3363" s="5"/>
      <c r="Y3363" s="5"/>
      <c r="Z3363" s="5"/>
      <c r="AA3363" s="5"/>
      <c r="AB3363" s="5"/>
      <c r="AC3363" s="5"/>
      <c r="AD3363" s="5"/>
      <c r="AE3363" s="5"/>
      <c r="AF3363" s="5"/>
      <c r="AG3363" s="5"/>
    </row>
    <row r="3364" ht="15.75" customHeight="1">
      <c r="K3364" t="s">
        <v>5926</v>
      </c>
      <c r="L3364" t="str">
        <f>D197</f>
        <v>H3b1</v>
      </c>
      <c r="N3364" t="s">
        <v>5927</v>
      </c>
      <c r="O3364">
        <v>2.3434047E7</v>
      </c>
      <c r="P3364">
        <v>2.1272161E7</v>
      </c>
      <c r="Q3364" t="s">
        <v>423</v>
      </c>
      <c r="R3364" s="5"/>
      <c r="S3364" s="5"/>
      <c r="T3364" s="5"/>
      <c r="U3364" s="5"/>
      <c r="V3364" s="5"/>
      <c r="W3364" s="5"/>
      <c r="X3364" s="5"/>
      <c r="Y3364" s="5"/>
      <c r="Z3364" s="5"/>
      <c r="AA3364" s="5"/>
      <c r="AB3364" s="5"/>
      <c r="AC3364" s="5"/>
      <c r="AD3364" s="5"/>
      <c r="AE3364" s="5"/>
      <c r="AF3364" s="5"/>
      <c r="AG3364" s="5"/>
    </row>
    <row r="3365" ht="15.75" customHeight="1">
      <c r="K3365" t="s">
        <v>5928</v>
      </c>
      <c r="L3365" t="str">
        <f>D197</f>
        <v>H3b1</v>
      </c>
      <c r="N3365" t="s">
        <v>5929</v>
      </c>
      <c r="O3365">
        <v>2.3593665E7</v>
      </c>
      <c r="P3365">
        <v>2.1431779E7</v>
      </c>
      <c r="Q3365" t="s">
        <v>525</v>
      </c>
      <c r="R3365" s="5"/>
      <c r="S3365" s="5"/>
      <c r="T3365" s="5"/>
      <c r="U3365" s="5"/>
      <c r="V3365" s="5"/>
      <c r="W3365" s="5"/>
      <c r="X3365" s="5"/>
      <c r="Y3365" s="5"/>
      <c r="Z3365" s="5"/>
      <c r="AA3365" s="5"/>
      <c r="AB3365" s="5"/>
      <c r="AC3365" s="5"/>
      <c r="AD3365" s="5"/>
      <c r="AE3365" s="5"/>
      <c r="AF3365" s="5"/>
      <c r="AG3365" s="5"/>
    </row>
    <row r="3366" ht="15.75" customHeight="1">
      <c r="K3366" t="s">
        <v>5930</v>
      </c>
      <c r="L3366" t="str">
        <f>D197</f>
        <v>H3b1</v>
      </c>
      <c r="N3366" t="s">
        <v>5931</v>
      </c>
      <c r="O3366">
        <v>2.3808244E7</v>
      </c>
      <c r="P3366">
        <v>2.1646358E7</v>
      </c>
      <c r="Q3366" t="s">
        <v>476</v>
      </c>
      <c r="R3366" s="5"/>
      <c r="S3366" s="5"/>
      <c r="T3366" s="5"/>
      <c r="U3366" s="5"/>
      <c r="V3366" s="5"/>
      <c r="W3366" s="5"/>
      <c r="X3366" s="5"/>
      <c r="Y3366" s="5"/>
      <c r="Z3366" s="5"/>
      <c r="AA3366" s="5"/>
      <c r="AB3366" s="5"/>
      <c r="AC3366" s="5"/>
      <c r="AD3366" s="5"/>
      <c r="AE3366" s="5"/>
      <c r="AF3366" s="5"/>
      <c r="AG3366" s="5"/>
    </row>
    <row r="3367" ht="15.75" customHeight="1">
      <c r="K3367" t="s">
        <v>5932</v>
      </c>
      <c r="L3367" t="str">
        <f>D197</f>
        <v>H3b1</v>
      </c>
      <c r="N3367" t="s">
        <v>5933</v>
      </c>
      <c r="O3367">
        <v>2.3981401E7</v>
      </c>
      <c r="P3367">
        <v>2.1835254E7</v>
      </c>
      <c r="Q3367" t="s">
        <v>431</v>
      </c>
      <c r="R3367" s="5"/>
      <c r="S3367" s="5"/>
      <c r="T3367" s="5"/>
      <c r="U3367" s="5"/>
      <c r="V3367" s="5"/>
      <c r="W3367" s="5"/>
      <c r="X3367" s="5"/>
      <c r="Y3367" s="5"/>
      <c r="Z3367" s="5"/>
      <c r="AA3367" s="5"/>
      <c r="AB3367" s="5"/>
      <c r="AC3367" s="5"/>
      <c r="AD3367" s="5"/>
      <c r="AE3367" s="5"/>
      <c r="AF3367" s="5"/>
      <c r="AG3367" s="5"/>
    </row>
    <row r="3368" ht="15.75" customHeight="1">
      <c r="K3368" t="s">
        <v>5934</v>
      </c>
      <c r="L3368" t="str">
        <f>D197</f>
        <v>H3b1</v>
      </c>
      <c r="O3368">
        <v>2.3992686E7</v>
      </c>
      <c r="P3368">
        <v>2.1846539E7</v>
      </c>
      <c r="Q3368" t="s">
        <v>476</v>
      </c>
      <c r="R3368" s="5"/>
      <c r="S3368" s="5"/>
      <c r="T3368" s="5"/>
      <c r="U3368" s="5"/>
      <c r="V3368" s="5"/>
      <c r="W3368" s="5"/>
      <c r="X3368" s="5"/>
      <c r="Y3368" s="5"/>
      <c r="Z3368" s="5"/>
      <c r="AA3368" s="5"/>
      <c r="AB3368" s="5"/>
      <c r="AC3368" s="5"/>
      <c r="AD3368" s="5"/>
      <c r="AE3368" s="5"/>
      <c r="AF3368" s="5"/>
      <c r="AG3368" s="5"/>
    </row>
    <row r="3369" ht="15.75" customHeight="1">
      <c r="K3369" t="s">
        <v>5935</v>
      </c>
      <c r="L3369" t="str">
        <f>D197</f>
        <v>H3b1</v>
      </c>
      <c r="N3369" t="s">
        <v>5936</v>
      </c>
      <c r="O3369">
        <v>2.440332E7</v>
      </c>
      <c r="P3369">
        <v>2.2257173E7</v>
      </c>
      <c r="Q3369" t="s">
        <v>473</v>
      </c>
      <c r="R3369" s="5"/>
      <c r="S3369" s="5"/>
      <c r="T3369" s="5"/>
      <c r="U3369" s="5"/>
      <c r="V3369" s="5"/>
      <c r="W3369" s="5"/>
      <c r="X3369" s="5"/>
      <c r="Y3369" s="5"/>
      <c r="Z3369" s="5"/>
      <c r="AA3369" s="5"/>
      <c r="AB3369" s="5"/>
      <c r="AC3369" s="5"/>
      <c r="AD3369" s="5"/>
      <c r="AE3369" s="5"/>
      <c r="AF3369" s="5"/>
      <c r="AG3369" s="5"/>
    </row>
    <row r="3370" ht="15.75" customHeight="1">
      <c r="K3370" t="s">
        <v>5937</v>
      </c>
      <c r="L3370" t="str">
        <f>D197</f>
        <v>H3b1</v>
      </c>
      <c r="N3370" t="s">
        <v>5938</v>
      </c>
      <c r="O3370">
        <v>2.441391E7</v>
      </c>
      <c r="P3370">
        <v>2.2267763E7</v>
      </c>
      <c r="Q3370" t="s">
        <v>431</v>
      </c>
      <c r="R3370" s="5"/>
      <c r="S3370" s="5"/>
      <c r="T3370" s="5"/>
      <c r="U3370" s="5"/>
      <c r="V3370" s="5"/>
      <c r="W3370" s="5"/>
      <c r="X3370" s="5"/>
      <c r="Y3370" s="5"/>
      <c r="Z3370" s="5"/>
      <c r="AA3370" s="5"/>
      <c r="AB3370" s="5"/>
      <c r="AC3370" s="5"/>
      <c r="AD3370" s="5"/>
      <c r="AE3370" s="5"/>
      <c r="AF3370" s="5"/>
      <c r="AG3370" s="5"/>
    </row>
    <row r="3371" ht="15.75" customHeight="1">
      <c r="K3371" t="s">
        <v>5939</v>
      </c>
      <c r="L3371" t="str">
        <f>D197</f>
        <v>H3b1</v>
      </c>
      <c r="N3371" t="s">
        <v>5940</v>
      </c>
      <c r="O3371">
        <v>2.4425088E7</v>
      </c>
      <c r="P3371">
        <v>2.2278941E7</v>
      </c>
      <c r="Q3371" t="s">
        <v>435</v>
      </c>
      <c r="R3371" s="5"/>
      <c r="S3371" s="5"/>
      <c r="T3371" s="5"/>
      <c r="U3371" s="5"/>
      <c r="V3371" s="5"/>
      <c r="W3371" s="5"/>
      <c r="X3371" s="5"/>
      <c r="Y3371" s="5"/>
      <c r="Z3371" s="5"/>
      <c r="AA3371" s="5"/>
      <c r="AB3371" s="5"/>
      <c r="AC3371" s="5"/>
      <c r="AD3371" s="5"/>
      <c r="AE3371" s="5"/>
      <c r="AF3371" s="5"/>
      <c r="AG3371" s="5"/>
    </row>
    <row r="3372" ht="15.75" customHeight="1">
      <c r="K3372" t="s">
        <v>5941</v>
      </c>
      <c r="L3372" t="str">
        <f>D197</f>
        <v>H3b1</v>
      </c>
      <c r="O3372">
        <v>2.8595631E7</v>
      </c>
      <c r="P3372">
        <v>2.6449484E7</v>
      </c>
      <c r="Q3372" t="s">
        <v>419</v>
      </c>
      <c r="R3372" s="5"/>
      <c r="S3372" s="5"/>
      <c r="T3372" s="5"/>
      <c r="U3372" s="5"/>
      <c r="V3372" s="5"/>
      <c r="W3372" s="5"/>
      <c r="X3372" s="5"/>
      <c r="Y3372" s="5"/>
      <c r="Z3372" s="5"/>
      <c r="AA3372" s="5"/>
      <c r="AB3372" s="5"/>
      <c r="AC3372" s="5"/>
      <c r="AD3372" s="5"/>
      <c r="AE3372" s="5"/>
      <c r="AF3372" s="5"/>
      <c r="AG3372" s="5"/>
    </row>
    <row r="3373" ht="15.75" customHeight="1">
      <c r="K3373" t="s">
        <v>5942</v>
      </c>
      <c r="L3373" t="str">
        <f>D197</f>
        <v>H3b1</v>
      </c>
      <c r="N3373" t="s">
        <v>5943</v>
      </c>
      <c r="O3373">
        <v>2.8661288E7</v>
      </c>
      <c r="P3373">
        <v>2.6515141E7</v>
      </c>
      <c r="Q3373" t="s">
        <v>423</v>
      </c>
      <c r="R3373" s="5"/>
      <c r="S3373" s="5"/>
      <c r="T3373" s="5"/>
      <c r="U3373" s="5"/>
      <c r="V3373" s="5"/>
      <c r="W3373" s="5"/>
      <c r="X3373" s="5"/>
      <c r="Y3373" s="5"/>
      <c r="Z3373" s="5"/>
      <c r="AA3373" s="5"/>
      <c r="AB3373" s="5"/>
      <c r="AC3373" s="5"/>
      <c r="AD3373" s="5"/>
      <c r="AE3373" s="5"/>
      <c r="AF3373" s="5"/>
      <c r="AG3373" s="5"/>
    </row>
    <row r="3374" ht="15.75" customHeight="1">
      <c r="K3374" t="s">
        <v>5944</v>
      </c>
      <c r="L3374" t="str">
        <f>D197</f>
        <v>H3b1</v>
      </c>
      <c r="N3374" t="s">
        <v>5945</v>
      </c>
      <c r="O3374">
        <v>2.3490572E7</v>
      </c>
      <c r="P3374">
        <v>2.1328686E7</v>
      </c>
      <c r="Q3374" t="s">
        <v>423</v>
      </c>
      <c r="R3374" s="5"/>
      <c r="S3374" s="5"/>
      <c r="T3374" s="5"/>
      <c r="U3374" s="5"/>
      <c r="V3374" s="5"/>
      <c r="W3374" s="5"/>
      <c r="X3374" s="5"/>
      <c r="Y3374" s="5"/>
      <c r="Z3374" s="5"/>
      <c r="AA3374" s="5"/>
      <c r="AB3374" s="5"/>
      <c r="AC3374" s="5"/>
      <c r="AD3374" s="5"/>
      <c r="AE3374" s="5"/>
      <c r="AF3374" s="5"/>
      <c r="AG3374" s="5"/>
    </row>
    <row r="3375" ht="15.75" customHeight="1">
      <c r="K3375" t="s">
        <v>5946</v>
      </c>
      <c r="L3375" t="str">
        <f>D197</f>
        <v>H3b1</v>
      </c>
      <c r="N3375" t="s">
        <v>5947</v>
      </c>
      <c r="O3375">
        <v>2.3502589E7</v>
      </c>
      <c r="P3375">
        <v>2.1340703E7</v>
      </c>
      <c r="Q3375" t="s">
        <v>423</v>
      </c>
      <c r="R3375" s="5"/>
      <c r="S3375" s="5"/>
      <c r="T3375" s="5"/>
      <c r="U3375" s="5"/>
      <c r="V3375" s="5"/>
      <c r="W3375" s="5"/>
      <c r="X3375" s="5"/>
      <c r="Y3375" s="5"/>
      <c r="Z3375" s="5"/>
      <c r="AA3375" s="5"/>
      <c r="AB3375" s="5"/>
      <c r="AC3375" s="5"/>
      <c r="AD3375" s="5"/>
      <c r="AE3375" s="5"/>
      <c r="AF3375" s="5"/>
      <c r="AG3375" s="5"/>
    </row>
    <row r="3376" ht="15.75" customHeight="1">
      <c r="K3376" t="s">
        <v>5948</v>
      </c>
      <c r="L3376" t="str">
        <f>E198</f>
        <v>H3b1a~</v>
      </c>
      <c r="M3376" t="s">
        <v>5949</v>
      </c>
      <c r="N3376" t="s">
        <v>5950</v>
      </c>
      <c r="O3376">
        <v>8498830.0</v>
      </c>
      <c r="P3376">
        <v>8630789.0</v>
      </c>
      <c r="Q3376" t="s">
        <v>423</v>
      </c>
      <c r="R3376" s="5"/>
      <c r="S3376" s="5"/>
      <c r="T3376" s="5"/>
      <c r="U3376" s="5"/>
      <c r="V3376" s="5"/>
      <c r="W3376" s="5"/>
      <c r="X3376" s="5"/>
      <c r="Y3376" s="5"/>
      <c r="Z3376" s="5"/>
      <c r="AA3376" s="5"/>
      <c r="AB3376" s="5"/>
      <c r="AC3376" s="5"/>
      <c r="AD3376" s="5"/>
      <c r="AE3376" s="5"/>
      <c r="AF3376" s="5"/>
      <c r="AG3376" s="5"/>
    </row>
    <row r="3377" ht="15.75" customHeight="1">
      <c r="K3377" t="s">
        <v>5951</v>
      </c>
      <c r="L3377" t="str">
        <f>E198</f>
        <v>H3b1a~</v>
      </c>
      <c r="M3377" t="s">
        <v>5952</v>
      </c>
      <c r="N3377" t="s">
        <v>5950</v>
      </c>
      <c r="O3377">
        <v>8498830.0</v>
      </c>
      <c r="P3377">
        <v>8630789.0</v>
      </c>
      <c r="Q3377" t="s">
        <v>423</v>
      </c>
      <c r="R3377" s="5"/>
      <c r="S3377" s="5"/>
      <c r="T3377" s="5"/>
      <c r="U3377" s="5"/>
      <c r="V3377" s="5"/>
      <c r="W3377" s="5"/>
      <c r="X3377" s="5"/>
      <c r="Y3377" s="5"/>
      <c r="Z3377" s="5"/>
      <c r="AA3377" s="5"/>
      <c r="AB3377" s="5"/>
      <c r="AC3377" s="5"/>
      <c r="AD3377" s="5"/>
      <c r="AE3377" s="5"/>
      <c r="AF3377" s="5"/>
      <c r="AG3377" s="5"/>
    </row>
    <row r="3378" ht="15.75" customHeight="1">
      <c r="K3378" t="s">
        <v>5953</v>
      </c>
      <c r="L3378" t="str">
        <f>E198</f>
        <v>H3b1a~</v>
      </c>
      <c r="M3378" t="s">
        <v>5954</v>
      </c>
      <c r="N3378" t="s">
        <v>5950</v>
      </c>
      <c r="O3378">
        <v>8498830.0</v>
      </c>
      <c r="P3378">
        <v>8630789.0</v>
      </c>
      <c r="Q3378" t="s">
        <v>423</v>
      </c>
      <c r="R3378" s="5"/>
      <c r="S3378" s="5"/>
      <c r="T3378" s="5"/>
      <c r="U3378" s="5"/>
      <c r="V3378" s="5"/>
      <c r="W3378" s="5"/>
      <c r="X3378" s="5"/>
      <c r="Y3378" s="5"/>
      <c r="Z3378" s="5"/>
      <c r="AA3378" s="5"/>
      <c r="AB3378" s="5"/>
      <c r="AC3378" s="5"/>
      <c r="AD3378" s="5"/>
      <c r="AE3378" s="5"/>
      <c r="AF3378" s="5"/>
      <c r="AG3378" s="5"/>
    </row>
    <row r="3379" ht="15.75" customHeight="1">
      <c r="K3379" t="s">
        <v>5955</v>
      </c>
      <c r="L3379" t="str">
        <f>E198</f>
        <v>H3b1a~</v>
      </c>
      <c r="N3379" t="s">
        <v>5956</v>
      </c>
      <c r="O3379">
        <v>1.4298573E7</v>
      </c>
      <c r="P3379">
        <v>1.2177867E7</v>
      </c>
      <c r="Q3379" t="s">
        <v>476</v>
      </c>
      <c r="R3379" s="5"/>
      <c r="S3379" s="5"/>
      <c r="T3379" s="5"/>
      <c r="U3379" s="5"/>
      <c r="V3379" s="5"/>
      <c r="W3379" s="5"/>
      <c r="X3379" s="5"/>
      <c r="Y3379" s="5"/>
      <c r="Z3379" s="5"/>
      <c r="AA3379" s="5"/>
      <c r="AB3379" s="5"/>
      <c r="AC3379" s="5"/>
      <c r="AD3379" s="5"/>
      <c r="AE3379" s="5"/>
      <c r="AF3379" s="5"/>
      <c r="AG3379" s="5"/>
    </row>
    <row r="3380" ht="15.75" customHeight="1">
      <c r="K3380" t="s">
        <v>5957</v>
      </c>
      <c r="L3380" t="str">
        <f>E198</f>
        <v>H3b1a~</v>
      </c>
      <c r="N3380" t="s">
        <v>5958</v>
      </c>
      <c r="O3380">
        <v>1.661543E7</v>
      </c>
      <c r="P3380">
        <v>1.450355E7</v>
      </c>
      <c r="Q3380" t="s">
        <v>553</v>
      </c>
      <c r="R3380" s="5"/>
      <c r="S3380" s="5"/>
      <c r="T3380" s="5"/>
      <c r="U3380" s="5"/>
      <c r="V3380" s="5"/>
      <c r="W3380" s="5"/>
      <c r="X3380" s="5"/>
      <c r="Y3380" s="5"/>
      <c r="Z3380" s="5"/>
      <c r="AA3380" s="5"/>
      <c r="AB3380" s="5"/>
      <c r="AC3380" s="5"/>
      <c r="AD3380" s="5"/>
      <c r="AE3380" s="5"/>
      <c r="AF3380" s="5"/>
      <c r="AG3380" s="5"/>
    </row>
    <row r="3381" ht="15.75" customHeight="1">
      <c r="K3381" t="s">
        <v>5959</v>
      </c>
      <c r="L3381" t="str">
        <f>E198</f>
        <v>H3b1a~</v>
      </c>
      <c r="N3381" t="s">
        <v>5960</v>
      </c>
      <c r="O3381">
        <v>1.7585058E7</v>
      </c>
      <c r="P3381">
        <v>1.5473178E7</v>
      </c>
      <c r="Q3381" t="s">
        <v>435</v>
      </c>
      <c r="R3381" s="5"/>
      <c r="S3381" s="5"/>
      <c r="T3381" s="5"/>
      <c r="U3381" s="5"/>
      <c r="V3381" s="5"/>
      <c r="W3381" s="5"/>
      <c r="X3381" s="5"/>
      <c r="Y3381" s="5"/>
      <c r="Z3381" s="5"/>
      <c r="AA3381" s="5"/>
      <c r="AB3381" s="5"/>
      <c r="AC3381" s="5"/>
      <c r="AD3381" s="5"/>
      <c r="AE3381" s="5"/>
      <c r="AF3381" s="5"/>
      <c r="AG3381" s="5"/>
    </row>
    <row r="3382" ht="15.75" customHeight="1">
      <c r="K3382" t="s">
        <v>5961</v>
      </c>
      <c r="L3382" t="str">
        <f t="shared" ref="L3382:L3383" si="59">E198</f>
        <v>H3b1a~</v>
      </c>
      <c r="O3382">
        <v>1.8546394E7</v>
      </c>
      <c r="P3382">
        <v>1.6434514E7</v>
      </c>
      <c r="Q3382" t="s">
        <v>427</v>
      </c>
      <c r="R3382" s="5"/>
      <c r="S3382" s="5"/>
      <c r="T3382" s="5"/>
      <c r="U3382" s="5"/>
      <c r="V3382" s="5"/>
      <c r="W3382" s="5"/>
      <c r="X3382" s="5"/>
      <c r="Y3382" s="5"/>
      <c r="Z3382" s="5"/>
      <c r="AA3382" s="5"/>
      <c r="AB3382" s="5"/>
      <c r="AC3382" s="5"/>
      <c r="AD3382" s="5"/>
      <c r="AE3382" s="5"/>
      <c r="AF3382" s="5"/>
      <c r="AG3382" s="5"/>
    </row>
    <row r="3383" ht="15.75" customHeight="1">
      <c r="K3383" t="s">
        <v>5962</v>
      </c>
      <c r="L3383" t="str">
        <f t="shared" si="59"/>
        <v>H3b1b~</v>
      </c>
      <c r="M3383" t="s">
        <v>5963</v>
      </c>
      <c r="N3383" t="s">
        <v>5964</v>
      </c>
      <c r="O3383">
        <v>1.4627552E7</v>
      </c>
      <c r="P3383">
        <v>1.251562E7</v>
      </c>
      <c r="Q3383" t="s">
        <v>419</v>
      </c>
      <c r="R3383" s="5"/>
      <c r="S3383" s="5"/>
      <c r="T3383" s="5"/>
      <c r="U3383" s="5"/>
      <c r="V3383" s="5"/>
      <c r="W3383" s="5"/>
      <c r="X3383" s="5"/>
      <c r="Y3383" s="5"/>
      <c r="Z3383" s="5"/>
      <c r="AA3383" s="5"/>
      <c r="AB3383" s="5"/>
      <c r="AC3383" s="5"/>
      <c r="AD3383" s="5"/>
      <c r="AE3383" s="5"/>
      <c r="AF3383" s="5"/>
      <c r="AG3383" s="5"/>
    </row>
    <row r="3384" ht="15.75" customHeight="1">
      <c r="K3384" t="s">
        <v>5963</v>
      </c>
      <c r="L3384" t="str">
        <f>E199</f>
        <v>H3b1b~</v>
      </c>
      <c r="M3384" t="s">
        <v>5962</v>
      </c>
      <c r="N3384" t="s">
        <v>5964</v>
      </c>
      <c r="O3384">
        <v>1.4627552E7</v>
      </c>
      <c r="P3384">
        <v>1.251562E7</v>
      </c>
      <c r="Q3384" t="s">
        <v>419</v>
      </c>
      <c r="R3384" s="5"/>
      <c r="S3384" s="5"/>
      <c r="T3384" s="5"/>
      <c r="U3384" s="5"/>
      <c r="V3384" s="5"/>
      <c r="W3384" s="5"/>
      <c r="X3384" s="5"/>
      <c r="Y3384" s="5"/>
      <c r="Z3384" s="5"/>
      <c r="AA3384" s="5"/>
      <c r="AB3384" s="5"/>
      <c r="AC3384" s="5"/>
      <c r="AD3384" s="5"/>
      <c r="AE3384" s="5"/>
      <c r="AF3384" s="5"/>
      <c r="AG3384" s="5"/>
    </row>
    <row r="3385" ht="15.75" customHeight="1">
      <c r="K3385" t="s">
        <v>5965</v>
      </c>
      <c r="L3385" t="str">
        <f>E199</f>
        <v>H3b1b~</v>
      </c>
      <c r="N3385" t="s">
        <v>5966</v>
      </c>
      <c r="O3385">
        <v>8742831.0</v>
      </c>
      <c r="P3385">
        <v>8874790.0</v>
      </c>
      <c r="Q3385" t="s">
        <v>419</v>
      </c>
      <c r="R3385" s="5"/>
      <c r="S3385" s="5"/>
      <c r="T3385" s="5"/>
      <c r="U3385" s="5"/>
      <c r="V3385" s="5"/>
      <c r="W3385" s="5"/>
      <c r="X3385" s="5"/>
      <c r="Y3385" s="5"/>
      <c r="Z3385" s="5"/>
      <c r="AA3385" s="5"/>
      <c r="AB3385" s="5"/>
      <c r="AC3385" s="5"/>
      <c r="AD3385" s="5"/>
      <c r="AE3385" s="5"/>
      <c r="AF3385" s="5"/>
      <c r="AG3385" s="5"/>
    </row>
    <row r="3386" ht="15.75" customHeight="1">
      <c r="K3386" t="s">
        <v>5967</v>
      </c>
      <c r="L3386" t="str">
        <f>E199</f>
        <v>H3b1b~</v>
      </c>
      <c r="N3386" t="s">
        <v>5968</v>
      </c>
      <c r="O3386">
        <v>1.5318803E7</v>
      </c>
      <c r="P3386">
        <v>1.3206909E7</v>
      </c>
      <c r="Q3386" t="s">
        <v>419</v>
      </c>
      <c r="R3386" s="5"/>
      <c r="S3386" s="5"/>
      <c r="T3386" s="5"/>
      <c r="U3386" s="5"/>
      <c r="V3386" s="5"/>
      <c r="W3386" s="5"/>
      <c r="X3386" s="5"/>
      <c r="Y3386" s="5"/>
      <c r="Z3386" s="5"/>
      <c r="AA3386" s="5"/>
      <c r="AB3386" s="5"/>
      <c r="AC3386" s="5"/>
      <c r="AD3386" s="5"/>
      <c r="AE3386" s="5"/>
      <c r="AF3386" s="5"/>
      <c r="AG3386" s="5"/>
    </row>
    <row r="3387" ht="15.75" customHeight="1">
      <c r="K3387" t="s">
        <v>5969</v>
      </c>
      <c r="L3387" t="str">
        <f>E199</f>
        <v>H3b1b~</v>
      </c>
      <c r="O3387">
        <v>1.9033526E7</v>
      </c>
      <c r="P3387">
        <v>1.6921646E7</v>
      </c>
      <c r="Q3387" t="s">
        <v>431</v>
      </c>
      <c r="R3387" s="5"/>
      <c r="S3387" s="5"/>
      <c r="T3387" s="5"/>
      <c r="U3387" s="5"/>
      <c r="V3387" s="5"/>
      <c r="W3387" s="5"/>
      <c r="X3387" s="5"/>
      <c r="Y3387" s="5"/>
      <c r="Z3387" s="5"/>
      <c r="AA3387" s="5"/>
      <c r="AB3387" s="5"/>
      <c r="AC3387" s="5"/>
      <c r="AD3387" s="5"/>
      <c r="AE3387" s="5"/>
      <c r="AF3387" s="5"/>
      <c r="AG3387" s="5"/>
    </row>
    <row r="3388" ht="15.75" customHeight="1">
      <c r="K3388" t="s">
        <v>5970</v>
      </c>
      <c r="L3388" t="str">
        <f>E199</f>
        <v>H3b1b~</v>
      </c>
      <c r="N3388" t="s">
        <v>5971</v>
      </c>
      <c r="O3388">
        <v>2.1890023E7</v>
      </c>
      <c r="P3388">
        <v>1.9728137E7</v>
      </c>
      <c r="Q3388" t="s">
        <v>476</v>
      </c>
      <c r="R3388" s="5"/>
      <c r="S3388" s="5"/>
      <c r="T3388" s="5"/>
      <c r="U3388" s="5"/>
      <c r="V3388" s="5"/>
      <c r="W3388" s="5"/>
      <c r="X3388" s="5"/>
      <c r="Y3388" s="5"/>
      <c r="Z3388" s="5"/>
      <c r="AA3388" s="5"/>
      <c r="AB3388" s="5"/>
      <c r="AC3388" s="5"/>
      <c r="AD3388" s="5"/>
      <c r="AE3388" s="5"/>
      <c r="AF3388" s="5"/>
      <c r="AG3388" s="5"/>
    </row>
    <row r="3389" ht="15.75" customHeight="1">
      <c r="K3389" t="s">
        <v>5961</v>
      </c>
      <c r="L3389" t="str">
        <f t="shared" ref="L3389:L3390" si="60">E199</f>
        <v>H3b1b~</v>
      </c>
      <c r="O3389">
        <v>1.8546394E7</v>
      </c>
      <c r="P3389">
        <v>1.6434514E7</v>
      </c>
      <c r="Q3389" t="s">
        <v>427</v>
      </c>
      <c r="R3389" s="5"/>
      <c r="S3389" s="5"/>
      <c r="T3389" s="5"/>
      <c r="U3389" s="5"/>
      <c r="V3389" s="5"/>
      <c r="W3389" s="5"/>
      <c r="X3389" s="5"/>
      <c r="Y3389" s="5"/>
      <c r="Z3389" s="5"/>
      <c r="AA3389" s="5"/>
      <c r="AB3389" s="5"/>
      <c r="AC3389" s="5"/>
      <c r="AD3389" s="5"/>
      <c r="AE3389" s="5"/>
      <c r="AF3389" s="5"/>
      <c r="AG3389" s="5"/>
    </row>
    <row r="3390" ht="15.75" customHeight="1">
      <c r="K3390" t="s">
        <v>5972</v>
      </c>
      <c r="L3390" t="str">
        <f t="shared" si="60"/>
        <v>H3b1c~</v>
      </c>
      <c r="O3390">
        <v>2762414.0</v>
      </c>
      <c r="P3390">
        <v>2894373.0</v>
      </c>
      <c r="Q3390" t="s">
        <v>419</v>
      </c>
      <c r="R3390" s="5"/>
      <c r="S3390" s="5"/>
      <c r="T3390" s="5"/>
      <c r="U3390" s="5"/>
      <c r="V3390" s="5"/>
      <c r="W3390" s="5"/>
      <c r="X3390" s="5"/>
      <c r="Y3390" s="5"/>
      <c r="Z3390" s="5"/>
      <c r="AA3390" s="5"/>
      <c r="AB3390" s="5"/>
      <c r="AC3390" s="5"/>
      <c r="AD3390" s="5"/>
      <c r="AE3390" s="5"/>
      <c r="AF3390" s="5"/>
      <c r="AG3390" s="5"/>
    </row>
    <row r="3391" ht="15.75" customHeight="1">
      <c r="K3391" t="s">
        <v>5973</v>
      </c>
      <c r="L3391" t="str">
        <f>E200</f>
        <v>H3b1c~</v>
      </c>
      <c r="O3391">
        <v>2798331.0</v>
      </c>
      <c r="P3391">
        <v>2930290.0</v>
      </c>
      <c r="Q3391" t="s">
        <v>435</v>
      </c>
      <c r="R3391" s="5"/>
      <c r="S3391" s="5"/>
      <c r="T3391" s="5"/>
      <c r="U3391" s="5"/>
      <c r="V3391" s="5"/>
      <c r="W3391" s="5"/>
      <c r="X3391" s="5"/>
      <c r="Y3391" s="5"/>
      <c r="Z3391" s="5"/>
      <c r="AA3391" s="5"/>
      <c r="AB3391" s="5"/>
      <c r="AC3391" s="5"/>
      <c r="AD3391" s="5"/>
      <c r="AE3391" s="5"/>
      <c r="AF3391" s="5"/>
      <c r="AG3391" s="5"/>
    </row>
    <row r="3392" ht="15.75" customHeight="1">
      <c r="K3392" t="s">
        <v>5974</v>
      </c>
      <c r="L3392" t="str">
        <f>E200</f>
        <v>H3b1c~</v>
      </c>
      <c r="O3392">
        <v>2842389.0</v>
      </c>
      <c r="P3392">
        <v>2974348.0</v>
      </c>
      <c r="Q3392" t="s">
        <v>435</v>
      </c>
      <c r="R3392" s="5"/>
      <c r="S3392" s="5"/>
      <c r="T3392" s="5"/>
      <c r="U3392" s="5"/>
      <c r="V3392" s="5"/>
      <c r="W3392" s="5"/>
      <c r="X3392" s="5"/>
      <c r="Y3392" s="5"/>
      <c r="Z3392" s="5"/>
      <c r="AA3392" s="5"/>
      <c r="AB3392" s="5"/>
      <c r="AC3392" s="5"/>
      <c r="AD3392" s="5"/>
      <c r="AE3392" s="5"/>
      <c r="AF3392" s="5"/>
      <c r="AG3392" s="5"/>
    </row>
    <row r="3393" ht="15.75" customHeight="1">
      <c r="K3393" t="s">
        <v>5975</v>
      </c>
      <c r="L3393" t="str">
        <f>E200</f>
        <v>H3b1c~</v>
      </c>
      <c r="N3393" t="s">
        <v>5976</v>
      </c>
      <c r="O3393">
        <v>2874154.0</v>
      </c>
      <c r="P3393">
        <v>3006113.0</v>
      </c>
      <c r="Q3393" t="s">
        <v>419</v>
      </c>
      <c r="R3393" s="5"/>
      <c r="S3393" s="5"/>
      <c r="T3393" s="5"/>
      <c r="U3393" s="5"/>
      <c r="V3393" s="5"/>
      <c r="W3393" s="5"/>
      <c r="X3393" s="5"/>
      <c r="Y3393" s="5"/>
      <c r="Z3393" s="5"/>
      <c r="AA3393" s="5"/>
      <c r="AB3393" s="5"/>
      <c r="AC3393" s="5"/>
      <c r="AD3393" s="5"/>
      <c r="AE3393" s="5"/>
      <c r="AF3393" s="5"/>
      <c r="AG3393" s="5"/>
    </row>
    <row r="3394" ht="15.75" customHeight="1">
      <c r="K3394" t="s">
        <v>5977</v>
      </c>
      <c r="L3394" t="str">
        <f>D201</f>
        <v>H3b2</v>
      </c>
      <c r="N3394" t="s">
        <v>5978</v>
      </c>
      <c r="O3394">
        <v>2722909.0</v>
      </c>
      <c r="P3394">
        <v>2854868.0</v>
      </c>
      <c r="Q3394" t="s">
        <v>435</v>
      </c>
      <c r="R3394" s="5"/>
      <c r="S3394" s="5"/>
      <c r="T3394" s="5"/>
      <c r="U3394" s="5"/>
      <c r="V3394" s="5"/>
      <c r="W3394" s="5"/>
      <c r="X3394" s="5"/>
      <c r="Y3394" s="5"/>
      <c r="Z3394" s="5"/>
      <c r="AA3394" s="5"/>
      <c r="AB3394" s="5"/>
      <c r="AC3394" s="5"/>
      <c r="AD3394" s="5"/>
      <c r="AE3394" s="5"/>
      <c r="AF3394" s="5"/>
      <c r="AG3394" s="5"/>
    </row>
    <row r="3395" ht="15.75" customHeight="1">
      <c r="K3395" t="s">
        <v>5979</v>
      </c>
      <c r="L3395" t="str">
        <f>D201</f>
        <v>H3b2</v>
      </c>
      <c r="N3395" t="s">
        <v>5980</v>
      </c>
      <c r="O3395">
        <v>7434638.0</v>
      </c>
      <c r="P3395">
        <v>7566597.0</v>
      </c>
      <c r="Q3395" t="s">
        <v>435</v>
      </c>
      <c r="R3395" s="5"/>
      <c r="S3395" s="5"/>
      <c r="T3395" s="5"/>
      <c r="U3395" s="5"/>
      <c r="V3395" s="5"/>
      <c r="W3395" s="5"/>
      <c r="X3395" s="5"/>
      <c r="Y3395" s="5"/>
      <c r="Z3395" s="5"/>
      <c r="AA3395" s="5"/>
      <c r="AB3395" s="5"/>
      <c r="AC3395" s="5"/>
      <c r="AD3395" s="5"/>
      <c r="AE3395" s="5"/>
      <c r="AF3395" s="5"/>
      <c r="AG3395" s="5"/>
    </row>
    <row r="3396" ht="15.75" customHeight="1">
      <c r="K3396" t="s">
        <v>5981</v>
      </c>
      <c r="L3396" t="str">
        <f>D201</f>
        <v>H3b2</v>
      </c>
      <c r="N3396" t="s">
        <v>5982</v>
      </c>
      <c r="O3396">
        <v>6690904.0</v>
      </c>
      <c r="P3396">
        <v>6822863.0</v>
      </c>
      <c r="Q3396" t="s">
        <v>431</v>
      </c>
      <c r="R3396" s="5"/>
      <c r="S3396" s="5"/>
      <c r="T3396" s="5"/>
      <c r="U3396" s="5"/>
      <c r="V3396" s="5"/>
      <c r="W3396" s="5"/>
      <c r="X3396" s="5"/>
      <c r="Y3396" s="5"/>
      <c r="Z3396" s="5"/>
      <c r="AA3396" s="5"/>
      <c r="AB3396" s="5"/>
      <c r="AC3396" s="5"/>
      <c r="AD3396" s="5"/>
      <c r="AE3396" s="5"/>
      <c r="AF3396" s="5"/>
      <c r="AG3396" s="5"/>
    </row>
    <row r="3397" ht="15.75" customHeight="1">
      <c r="K3397" t="s">
        <v>5983</v>
      </c>
      <c r="L3397" t="str">
        <f>D201</f>
        <v>H3b2</v>
      </c>
      <c r="N3397" t="s">
        <v>5984</v>
      </c>
      <c r="O3397">
        <v>7834686.0</v>
      </c>
      <c r="P3397">
        <v>7966645.0</v>
      </c>
      <c r="Q3397" t="s">
        <v>435</v>
      </c>
      <c r="R3397" s="5"/>
      <c r="S3397" s="5"/>
      <c r="T3397" s="5"/>
      <c r="U3397" s="5"/>
      <c r="V3397" s="5"/>
      <c r="W3397" s="5"/>
      <c r="X3397" s="5"/>
      <c r="Y3397" s="5"/>
      <c r="Z3397" s="5"/>
      <c r="AA3397" s="5"/>
      <c r="AB3397" s="5"/>
      <c r="AC3397" s="5"/>
      <c r="AD3397" s="5"/>
      <c r="AE3397" s="5"/>
      <c r="AF3397" s="5"/>
      <c r="AG3397" s="5"/>
    </row>
    <row r="3398" ht="15.75" customHeight="1">
      <c r="K3398" t="s">
        <v>5985</v>
      </c>
      <c r="L3398" t="str">
        <f>E202</f>
        <v>H3b2a~</v>
      </c>
      <c r="N3398" t="s">
        <v>5986</v>
      </c>
      <c r="O3398">
        <v>6868486.0</v>
      </c>
      <c r="P3398">
        <v>7000445.0</v>
      </c>
      <c r="Q3398" t="s">
        <v>427</v>
      </c>
      <c r="R3398" s="5"/>
      <c r="S3398" s="5"/>
      <c r="T3398" s="5"/>
      <c r="U3398" s="5"/>
      <c r="V3398" s="5"/>
      <c r="W3398" s="5"/>
      <c r="X3398" s="5"/>
      <c r="Y3398" s="5"/>
      <c r="Z3398" s="5"/>
      <c r="AA3398" s="5"/>
      <c r="AB3398" s="5"/>
      <c r="AC3398" s="5"/>
      <c r="AD3398" s="5"/>
      <c r="AE3398" s="5"/>
      <c r="AF3398" s="5"/>
      <c r="AG3398" s="5"/>
    </row>
    <row r="3399" ht="15.75" customHeight="1">
      <c r="K3399" t="s">
        <v>5987</v>
      </c>
      <c r="L3399" t="str">
        <f>E202</f>
        <v>H3b2a~</v>
      </c>
      <c r="N3399" t="s">
        <v>5988</v>
      </c>
      <c r="O3399">
        <v>6772089.0</v>
      </c>
      <c r="P3399">
        <v>6904048.0</v>
      </c>
      <c r="Q3399" t="s">
        <v>419</v>
      </c>
      <c r="R3399" s="5"/>
      <c r="S3399" s="5"/>
      <c r="T3399" s="5"/>
      <c r="U3399" s="5"/>
      <c r="V3399" s="5"/>
      <c r="W3399" s="5"/>
      <c r="X3399" s="5"/>
      <c r="Y3399" s="5"/>
      <c r="Z3399" s="5"/>
      <c r="AA3399" s="5"/>
      <c r="AB3399" s="5"/>
      <c r="AC3399" s="5"/>
      <c r="AD3399" s="5"/>
      <c r="AE3399" s="5"/>
      <c r="AF3399" s="5"/>
      <c r="AG3399" s="5"/>
    </row>
    <row r="3400" ht="15.75" customHeight="1">
      <c r="K3400" t="s">
        <v>5989</v>
      </c>
      <c r="L3400" t="str">
        <f>E202</f>
        <v>H3b2a~</v>
      </c>
      <c r="N3400" t="s">
        <v>5990</v>
      </c>
      <c r="O3400">
        <v>7147759.0</v>
      </c>
      <c r="P3400">
        <v>7279718.0</v>
      </c>
      <c r="Q3400" t="s">
        <v>419</v>
      </c>
      <c r="R3400" s="5"/>
      <c r="S3400" s="5"/>
      <c r="T3400" s="5"/>
      <c r="U3400" s="5"/>
      <c r="V3400" s="5"/>
      <c r="W3400" s="5"/>
      <c r="X3400" s="5"/>
      <c r="Y3400" s="5"/>
      <c r="Z3400" s="5"/>
      <c r="AA3400" s="5"/>
      <c r="AB3400" s="5"/>
      <c r="AC3400" s="5"/>
      <c r="AD3400" s="5"/>
      <c r="AE3400" s="5"/>
      <c r="AF3400" s="5"/>
      <c r="AG3400" s="5"/>
    </row>
    <row r="3401" ht="15.75" customHeight="1">
      <c r="K3401" t="s">
        <v>5991</v>
      </c>
      <c r="L3401" t="str">
        <f t="shared" ref="L3401:L3402" si="61">E202</f>
        <v>H3b2a~</v>
      </c>
      <c r="N3401" t="s">
        <v>5992</v>
      </c>
      <c r="O3401">
        <v>7349145.0</v>
      </c>
      <c r="P3401">
        <v>7481104.0</v>
      </c>
      <c r="Q3401" t="s">
        <v>448</v>
      </c>
      <c r="R3401" s="5"/>
      <c r="S3401" s="5"/>
      <c r="T3401" s="5"/>
      <c r="U3401" s="5"/>
      <c r="V3401" s="5"/>
      <c r="W3401" s="5"/>
      <c r="X3401" s="5"/>
      <c r="Y3401" s="5"/>
      <c r="Z3401" s="5"/>
      <c r="AA3401" s="5"/>
      <c r="AB3401" s="5"/>
      <c r="AC3401" s="5"/>
      <c r="AD3401" s="5"/>
      <c r="AE3401" s="5"/>
      <c r="AF3401" s="5"/>
      <c r="AG3401" s="5"/>
    </row>
    <row r="3402" ht="15.75" customHeight="1">
      <c r="K3402" t="s">
        <v>5993</v>
      </c>
      <c r="L3402" t="str">
        <f t="shared" si="61"/>
        <v>H3b2b~</v>
      </c>
      <c r="O3402">
        <v>2844127.0</v>
      </c>
      <c r="P3402">
        <v>2976086.0</v>
      </c>
      <c r="Q3402" t="s">
        <v>423</v>
      </c>
      <c r="R3402" s="5"/>
      <c r="S3402" s="5"/>
      <c r="T3402" s="5"/>
      <c r="U3402" s="5"/>
      <c r="V3402" s="5"/>
      <c r="W3402" s="5"/>
      <c r="X3402" s="5"/>
      <c r="Y3402" s="5"/>
      <c r="Z3402" s="5"/>
      <c r="AA3402" s="5"/>
      <c r="AB3402" s="5"/>
      <c r="AC3402" s="5"/>
      <c r="AD3402" s="5"/>
      <c r="AE3402" s="5"/>
      <c r="AF3402" s="5"/>
      <c r="AG3402" s="5"/>
    </row>
    <row r="3403" ht="15.75" customHeight="1">
      <c r="K3403" t="s">
        <v>5994</v>
      </c>
      <c r="L3403" t="str">
        <f>E203</f>
        <v>H3b2b~</v>
      </c>
      <c r="O3403">
        <v>2865382.0</v>
      </c>
      <c r="P3403">
        <v>2997341.0</v>
      </c>
      <c r="Q3403" t="s">
        <v>431</v>
      </c>
      <c r="R3403" s="5"/>
      <c r="S3403" s="5"/>
      <c r="T3403" s="5"/>
      <c r="U3403" s="5"/>
      <c r="V3403" s="5"/>
      <c r="W3403" s="5"/>
      <c r="X3403" s="5"/>
      <c r="Y3403" s="5"/>
      <c r="Z3403" s="5"/>
      <c r="AA3403" s="5"/>
      <c r="AB3403" s="5"/>
      <c r="AC3403" s="5"/>
      <c r="AD3403" s="5"/>
      <c r="AE3403" s="5"/>
      <c r="AF3403" s="5"/>
      <c r="AG3403" s="5"/>
    </row>
    <row r="3404" ht="15.75" customHeight="1">
      <c r="K3404" t="s">
        <v>5995</v>
      </c>
      <c r="L3404" t="str">
        <f>E203</f>
        <v>H3b2b~</v>
      </c>
      <c r="O3404">
        <v>2867413.0</v>
      </c>
      <c r="P3404">
        <v>2999372.0</v>
      </c>
      <c r="Q3404" t="s">
        <v>419</v>
      </c>
      <c r="R3404" s="5"/>
      <c r="S3404" s="5"/>
      <c r="T3404" s="5"/>
      <c r="U3404" s="5"/>
      <c r="V3404" s="5"/>
      <c r="W3404" s="5"/>
      <c r="X3404" s="5"/>
      <c r="Y3404" s="5"/>
      <c r="Z3404" s="5"/>
      <c r="AA3404" s="5"/>
      <c r="AB3404" s="5"/>
      <c r="AC3404" s="5"/>
      <c r="AD3404" s="5"/>
      <c r="AE3404" s="5"/>
      <c r="AF3404" s="5"/>
      <c r="AG3404" s="5"/>
    </row>
    <row r="3405" ht="15.75" customHeight="1">
      <c r="K3405" t="s">
        <v>5996</v>
      </c>
      <c r="L3405" t="str">
        <f>E203</f>
        <v>H3b2b~</v>
      </c>
      <c r="O3405">
        <v>6695781.0</v>
      </c>
      <c r="P3405">
        <v>6827740.0</v>
      </c>
      <c r="Q3405" t="s">
        <v>427</v>
      </c>
      <c r="R3405" s="5"/>
      <c r="S3405" s="5"/>
      <c r="T3405" s="5"/>
      <c r="U3405" s="5"/>
      <c r="V3405" s="5"/>
      <c r="W3405" s="5"/>
      <c r="X3405" s="5"/>
      <c r="Y3405" s="5"/>
      <c r="Z3405" s="5"/>
      <c r="AA3405" s="5"/>
      <c r="AB3405" s="5"/>
      <c r="AC3405" s="5"/>
      <c r="AD3405" s="5"/>
      <c r="AE3405" s="5"/>
      <c r="AF3405" s="5"/>
      <c r="AG3405" s="5"/>
    </row>
    <row r="3406" ht="15.75" customHeight="1">
      <c r="K3406" t="s">
        <v>5997</v>
      </c>
      <c r="L3406" t="str">
        <f>E203</f>
        <v>H3b2b~</v>
      </c>
      <c r="O3406">
        <v>6715888.0</v>
      </c>
      <c r="P3406">
        <v>6847847.0</v>
      </c>
      <c r="Q3406" t="s">
        <v>423</v>
      </c>
      <c r="R3406" s="5"/>
      <c r="S3406" s="5"/>
      <c r="T3406" s="5"/>
      <c r="U3406" s="5"/>
      <c r="V3406" s="5"/>
      <c r="W3406" s="5"/>
      <c r="X3406" s="5"/>
      <c r="Y3406" s="5"/>
      <c r="Z3406" s="5"/>
      <c r="AA3406" s="5"/>
      <c r="AB3406" s="5"/>
      <c r="AC3406" s="5"/>
      <c r="AD3406" s="5"/>
      <c r="AE3406" s="5"/>
      <c r="AF3406" s="5"/>
      <c r="AG3406" s="5"/>
    </row>
  </sheetData>
  <autoFilter ref="$K$265:$Z$3406"/>
  <mergeCells count="47">
    <mergeCell ref="C5:L5"/>
    <mergeCell ref="C8:L8"/>
    <mergeCell ref="B14:L14"/>
    <mergeCell ref="B15:J15"/>
    <mergeCell ref="B26:L26"/>
    <mergeCell ref="B27:L27"/>
    <mergeCell ref="B28:L28"/>
    <mergeCell ref="B33:M33"/>
    <mergeCell ref="C35:M35"/>
    <mergeCell ref="D36:N36"/>
    <mergeCell ref="D37:N37"/>
    <mergeCell ref="E38:O38"/>
    <mergeCell ref="H48:P48"/>
    <mergeCell ref="H51:P51"/>
    <mergeCell ref="K62:R62"/>
    <mergeCell ref="J82:P82"/>
    <mergeCell ref="I105:P105"/>
    <mergeCell ref="J106:Q106"/>
    <mergeCell ref="G117:N117"/>
    <mergeCell ref="H118:O118"/>
    <mergeCell ref="F130:N130"/>
    <mergeCell ref="F135:N135"/>
    <mergeCell ref="H138:O138"/>
    <mergeCell ref="H141:O141"/>
    <mergeCell ref="C149:M149"/>
    <mergeCell ref="C150:M150"/>
    <mergeCell ref="D151:N151"/>
    <mergeCell ref="E153:N153"/>
    <mergeCell ref="F155:N155"/>
    <mergeCell ref="E159:N159"/>
    <mergeCell ref="F161:N161"/>
    <mergeCell ref="F166:N166"/>
    <mergeCell ref="G167:N167"/>
    <mergeCell ref="C171:M171"/>
    <mergeCell ref="C172:M172"/>
    <mergeCell ref="D195:M195"/>
    <mergeCell ref="E197:N197"/>
    <mergeCell ref="A224:K224"/>
    <mergeCell ref="A228:L228"/>
    <mergeCell ref="A229:K229"/>
    <mergeCell ref="D173:N173"/>
    <mergeCell ref="E174:N174"/>
    <mergeCell ref="E179:N179"/>
    <mergeCell ref="F180:N180"/>
    <mergeCell ref="H183:O183"/>
    <mergeCell ref="G189:O189"/>
    <mergeCell ref="F192:N192"/>
  </mergeCells>
  <hyperlinks>
    <hyperlink r:id="rId1" ref="K15"/>
    <hyperlink r:id="rId2" ref="G18"/>
    <hyperlink r:id="rId3" ref="H30"/>
    <hyperlink r:id="rId4" ref="A234"/>
    <hyperlink r:id="rId5" ref="A235"/>
    <hyperlink r:id="rId6" ref="A236"/>
    <hyperlink r:id="rId7" ref="A237"/>
    <hyperlink r:id="rId8" ref="A239"/>
    <hyperlink r:id="rId9" ref="A240"/>
    <hyperlink r:id="rId10" ref="A241"/>
    <hyperlink r:id="rId11" ref="A242"/>
    <hyperlink r:id="rId12" ref="A243"/>
    <hyperlink r:id="rId13" ref="A247"/>
    <hyperlink r:id="rId14" ref="A248"/>
  </hyperlinks>
  <drawing r:id="rId15"/>
</worksheet>
</file>