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<sst xmlns="http://schemas.openxmlformats.org/spreadsheetml/2006/main" count="1453" uniqueCount="873">
  <si>
    <t xml:space="preserve">Could you adopt this page by donating your time to maintain it?        Details at: </t>
  </si>
  <si>
    <t>Y-DNA Haplogroup T and its Subclades - 2018</t>
  </si>
  <si>
    <t xml:space="preserve"> Downloading this spreadsheet as Excel retains format.  Links may not copy to new sheet.</t>
  </si>
  <si>
    <t>The entire work is identified by the Version Number and date given on</t>
  </si>
  <si>
    <t>Directions for citing the document are listed on</t>
  </si>
  <si>
    <t>Last revision date for this specific page: 1 January 2018</t>
  </si>
  <si>
    <t>Because of continuing research, structure of the Y-DNA Haplogroup Tree changes,  ISOGG does its best to update it.</t>
  </si>
  <si>
    <t>If differences need clarification or if you find  broken links on this page, e-mail:</t>
  </si>
  <si>
    <t>LINKS:</t>
  </si>
  <si>
    <t>Copyright 2018, International Society of Genetic Genealogy.</t>
  </si>
  <si>
    <t>All Rights Reserved.</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</si>
  <si>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</si>
  <si>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</si>
  <si>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</si>
  <si>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</si>
  <si>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</si>
  <si>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</si>
  <si>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</si>
  <si>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</si>
  <si>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 xml:space="preserve">bold </t>
    </r>
    <r>
      <rPr>
        <rFont val="Times New Roman"/>
        <sz val="12.0"/>
      </rPr>
      <t>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</si>
  <si>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</si>
  <si>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</si>
  <si>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T:</t>
  </si>
  <si>
    <t>T</t>
  </si>
  <si>
    <r>
      <rPr>
        <b/>
      </rPr>
      <t>M184/Page34/USP9Y+3178</t>
    </r>
    <r>
      <rPr/>
      <t xml:space="preserve">, CTS150, CTS482/PF5596, CTS493/PF5597, </t>
    </r>
    <r>
      <rPr>
        <i/>
      </rPr>
      <t>CTS549/L1322/PF5598,</t>
    </r>
    <r>
      <rPr/>
      <t xml:space="preserve"> CTS573, CTS3585/PF5618, CTS3837, CTS4014, </t>
    </r>
    <r>
      <rPr>
        <i/>
      </rPr>
      <t>CTS4201/PF5621,</t>
    </r>
    <r>
      <rPr/>
      <t xml:space="preserve"> CTS4652/PF5547, CTS5035, CTS5268/PF7471, CTS5336/PF5626, CTS6045/PF5629, CTS6275/PF7447, CTS6887/PF5637, CTS7164, CTS7263, CTS7426, CTS7749/L810/PF5640, CTS8247, CTS8994, CTS10416/PF5655, CTS10700, CTS10879, CTS11569, CTS12657, L445, L452, L455/PF5670, </t>
    </r>
    <r>
      <rPr>
        <i/>
      </rPr>
      <t>L692</t>
    </r>
    <r>
      <rPr/>
      <t xml:space="preserve">, M193, M272/PF5667, Page129, PF5529, PF5537, PF5568, PF5587, PF5589, PF5590, PF5603, PF5607, </t>
    </r>
    <r>
      <rPr>
        <i/>
      </rPr>
      <t>PF5609</t>
    </r>
    <r>
      <rPr/>
      <t xml:space="preserve">, </t>
    </r>
    <r>
      <rPr>
        <i/>
      </rPr>
      <t>PF5612</t>
    </r>
    <r>
      <rPr/>
      <t>, PF5613, PF5657, PF5661, PF5674, PF5678, PF7460, PF7464, PF7466, PF7480</t>
    </r>
  </si>
  <si>
    <t>T1</t>
  </si>
  <si>
    <r>
      <rPr>
        <b/>
      </rPr>
      <t>L206</t>
    </r>
    <r>
      <rPr/>
      <t>, CTS5987, CTS6276, CTS6577, CTS6805/PF5636, CTS8004/PF5641, CTS8397/PF5646, CTS9308, CTS10278, L490, PF5602, PF5604, PF5659, PF5666, PF5673, PF7465, PF7481</t>
    </r>
  </si>
  <si>
    <t>T1~</t>
  </si>
  <si>
    <t xml:space="preserve">CTS2336, CTS6004, CTS6214/PF5631, PF5518, PF5592, PF5664 </t>
  </si>
  <si>
    <t>T1a</t>
  </si>
  <si>
    <r>
      <rPr>
        <b/>
      </rPr>
      <t>M70/Page46/PF5662</t>
    </r>
    <r>
      <rPr/>
      <t>, CTS5332.1/PF7472.1, CTS5364, CTS6375, CTS9268/PF5651, CTS11054, CTS11746,  Page78, PF5588, PF5608, PF5610, PF5660, PF7463</t>
    </r>
  </si>
  <si>
    <t>T1a1</t>
  </si>
  <si>
    <r>
      <rPr>
        <b/>
      </rPr>
      <t>L162/Page21</t>
    </r>
    <r>
      <rPr/>
      <t>, L454, CTS484, CTS550, CTS3271, CTS5542/PF5627, CTS5690, CTS8065/PF5642, CTS11078, CTS11556, L299/PF5675, L453/PF5617, PF5567, PF5593, PF5594, PF5658, FGC3945.2/Z526.2</t>
    </r>
  </si>
  <si>
    <t>T1a1a</t>
  </si>
  <si>
    <r>
      <rPr>
        <b/>
      </rPr>
      <t>L208/Page2</t>
    </r>
    <r>
      <rPr/>
      <t>, CTS931, CTS1818, CTS2611, CTS4085/PF5620, CTS4916, CTS6000/PF7446, CTS7169/PF7448, CTS9163, CTS9506/PF7450, L905</t>
    </r>
  </si>
  <si>
    <t>T1a1a1</t>
  </si>
  <si>
    <t>CTS11451</t>
  </si>
  <si>
    <t>T1a1a1a</t>
  </si>
  <si>
    <t>PF7455</t>
  </si>
  <si>
    <t>T1a1a1a1</t>
  </si>
  <si>
    <t>Y12643</t>
  </si>
  <si>
    <t>T1a1a1a1a</t>
  </si>
  <si>
    <t>Y12641</t>
  </si>
  <si>
    <t>T1a1a1a1a1</t>
  </si>
  <si>
    <t>Y15122</t>
  </si>
  <si>
    <t>T1a1a1a1b</t>
  </si>
  <si>
    <t>PF7433</t>
  </si>
  <si>
    <t>T1a1a1a1b1</t>
  </si>
  <si>
    <t>PF7445</t>
  </si>
  <si>
    <t>T1a1a1a1b1a</t>
  </si>
  <si>
    <r>
      <rPr>
        <b/>
      </rPr>
      <t>PF7444</t>
    </r>
    <r>
      <t>, PF7453, PF7457, PF7458</t>
    </r>
  </si>
  <si>
    <t>T1a1a1b</t>
  </si>
  <si>
    <t>FGC3995/Y4119</t>
  </si>
  <si>
    <t>T1a1a1b1</t>
  </si>
  <si>
    <t>Y16244</t>
  </si>
  <si>
    <t>T1a1a1b1a</t>
  </si>
  <si>
    <t>FGC40894/Y18472</t>
  </si>
  <si>
    <t>T1a1a1b1a1</t>
  </si>
  <si>
    <t>Y14121</t>
  </si>
  <si>
    <t>T1a1a1b2</t>
  </si>
  <si>
    <t>CTS2214</t>
  </si>
  <si>
    <t>T1a1a1b2a</t>
  </si>
  <si>
    <t>Y15127</t>
  </si>
  <si>
    <t>T1a1a1b2a1</t>
  </si>
  <si>
    <t>Y15711</t>
  </si>
  <si>
    <t>T1a1a1b2a1a</t>
  </si>
  <si>
    <t>Y15709</t>
  </si>
  <si>
    <t>T1a1a1b2a1b</t>
  </si>
  <si>
    <t>FGC41002/Y19196</t>
  </si>
  <si>
    <t>T1a1a1b2a2</t>
  </si>
  <si>
    <t>Y3781</t>
  </si>
  <si>
    <t>T1a1a1b2a2a</t>
  </si>
  <si>
    <t>Y3824</t>
  </si>
  <si>
    <t>T1a1a1b2a2a1</t>
  </si>
  <si>
    <t>Y3782</t>
  </si>
  <si>
    <t>T1a1a1b2a2a1a</t>
  </si>
  <si>
    <t>Y3836</t>
  </si>
  <si>
    <t>T1a1a1b2a2a2</t>
  </si>
  <si>
    <t>Y9102</t>
  </si>
  <si>
    <t>T1a1a1b2a2a2a</t>
  </si>
  <si>
    <t>Y16247</t>
  </si>
  <si>
    <t>T1a1a1b2a2a2b</t>
  </si>
  <si>
    <t>Y9104</t>
  </si>
  <si>
    <t>T1a1a1b2a2a2b1</t>
  </si>
  <si>
    <t>Y16241</t>
  </si>
  <si>
    <t>T1a1a1b2a2a2b1a</t>
  </si>
  <si>
    <t>Y16240</t>
  </si>
  <si>
    <t>T1a1a1b2a2a2b2</t>
  </si>
  <si>
    <t>FGC40425/Y19159</t>
  </si>
  <si>
    <t>T1a1a1b2a2a2b2a</t>
  </si>
  <si>
    <t xml:space="preserve">FGC40529/Y19161 </t>
  </si>
  <si>
    <t>T1a1a1b2b</t>
  </si>
  <si>
    <r>
      <rPr>
        <b/>
      </rPr>
      <t>Z709</t>
    </r>
    <r>
      <t xml:space="preserve">, </t>
    </r>
    <r>
      <rPr>
        <i/>
      </rPr>
      <t>CTS4647</t>
    </r>
  </si>
  <si>
    <t>T1a1a1b2b1</t>
  </si>
  <si>
    <t>Y9109</t>
  </si>
  <si>
    <t>T1a1a1b2b1a</t>
  </si>
  <si>
    <t>Y18004</t>
  </si>
  <si>
    <t>T1a1a1b2b1a1</t>
  </si>
  <si>
    <t>Y18003</t>
  </si>
  <si>
    <t>T1a1a1b2b2</t>
  </si>
  <si>
    <r>
      <rPr>
        <b/>
      </rPr>
      <t>FGC3988/Z710, CTS8512</t>
    </r>
    <r>
      <t>, FGC3993/Z714, Z713</t>
    </r>
  </si>
  <si>
    <t>T1a1a1b2b2a</t>
  </si>
  <si>
    <t>Y6409</t>
  </si>
  <si>
    <t>T1a1a1b2b2b</t>
  </si>
  <si>
    <t>CTS660/L906</t>
  </si>
  <si>
    <t>T1a1a1b2b2b1</t>
  </si>
  <si>
    <t>CTS8603</t>
  </si>
  <si>
    <t>T1a1a1b2b2b1a</t>
  </si>
  <si>
    <r>
      <rPr>
        <b/>
      </rPr>
      <t>P77</t>
    </r>
    <r>
      <t>, CTS2860, CTS7225/L907, CTS11968</t>
    </r>
  </si>
  <si>
    <t>T1a1a1b2b2b1a1</t>
  </si>
  <si>
    <t>CTS6174</t>
  </si>
  <si>
    <t>T1a1a1b2b2b1a1a</t>
  </si>
  <si>
    <t>CTS6507</t>
  </si>
  <si>
    <t>T1a1a1b2b2b1a1a1</t>
  </si>
  <si>
    <t>CTS9882</t>
  </si>
  <si>
    <t>T1a1a1b2b2b1a1a1a</t>
  </si>
  <si>
    <t>Y15648</t>
  </si>
  <si>
    <t>T1a1a1b2b2b1a1a1a1</t>
  </si>
  <si>
    <t>FGC40667/Y19381</t>
  </si>
  <si>
    <t>T1a1a1b2b2b1a1a1b</t>
  </si>
  <si>
    <t xml:space="preserve"> FGC4018/Y4981 </t>
  </si>
  <si>
    <t>T1a1a1b2b2b1a1a1b1</t>
  </si>
  <si>
    <t>Y16136</t>
  </si>
  <si>
    <t>T1a1a1b2b2b1a1a1b2</t>
  </si>
  <si>
    <t>FGC4040/SK1718/Y5675</t>
  </si>
  <si>
    <t>T1a1a1b2b2b1a1a1b2a</t>
  </si>
  <si>
    <t xml:space="preserve">FGC4065/Y5685 </t>
  </si>
  <si>
    <t>T1a1a1b2b2b1a1a1b2a1</t>
  </si>
  <si>
    <t>FGC4016/Y8852</t>
  </si>
  <si>
    <t>T1a1a1b2b2b1a1a1c</t>
  </si>
  <si>
    <t>CTS6901</t>
  </si>
  <si>
    <t>T1a1a1b2b2b1a1a2</t>
  </si>
  <si>
    <t>CTS6280</t>
  </si>
  <si>
    <t>T1a1a1b2b2b1a1a3</t>
  </si>
  <si>
    <t>Y16021</t>
  </si>
  <si>
    <t>T1a1a1b2b2b1a1a4</t>
  </si>
  <si>
    <t>Y11696</t>
  </si>
  <si>
    <t>T1a1a1c~</t>
  </si>
  <si>
    <t>P321</t>
  </si>
  <si>
    <t>T1a1a1c1~</t>
  </si>
  <si>
    <t>P317</t>
  </si>
  <si>
    <t>T1a1a2</t>
  </si>
  <si>
    <t>Y16897</t>
  </si>
  <si>
    <t>T1a1a2a</t>
  </si>
  <si>
    <t>Z19963</t>
  </si>
  <si>
    <t>T1a2</t>
  </si>
  <si>
    <r>
      <rPr>
        <b/>
      </rPr>
      <t>L131</t>
    </r>
    <r>
      <t>, CTS2157</t>
    </r>
  </si>
  <si>
    <t>T1a2a~</t>
  </si>
  <si>
    <t>CTS2201, CTS2293, CTS4806, CTS7239, CTS8309, CTS8438, CTS9429, CTS9794, CTS11227, CTS12018, CTS13009.1, S11611, S11658, S12150, S15560, S16112, S17330, S22136/SK1475</t>
  </si>
  <si>
    <t>T1a2a</t>
  </si>
  <si>
    <t xml:space="preserve">PH141/Y13244 </t>
  </si>
  <si>
    <t>T1a2a1</t>
  </si>
  <si>
    <r>
      <rPr>
        <b/>
      </rPr>
      <t>P322</t>
    </r>
    <r>
      <t>, P328</t>
    </r>
  </si>
  <si>
    <t>T1a2b</t>
  </si>
  <si>
    <r>
      <rPr>
        <b/>
      </rPr>
      <t>L446</t>
    </r>
    <r>
      <t xml:space="preserve">, </t>
    </r>
    <r>
      <rPr>
        <i/>
      </rPr>
      <t>CTS1482, CTS2161, CTS2880, CTS6788, CTS6930, CTS11660, CTS11796, CTS12108, S16483, S23032</t>
    </r>
  </si>
  <si>
    <t>T1a2b1</t>
  </si>
  <si>
    <r>
      <rPr>
        <b/>
        <i/>
      </rPr>
      <t>CTS933</t>
    </r>
    <r>
      <rPr>
        <i/>
      </rPr>
      <t>, CTS6071, CTS10803, CTS12204</t>
    </r>
  </si>
  <si>
    <t>T1a2b1a</t>
  </si>
  <si>
    <r>
      <rPr>
        <b/>
        <i/>
      </rPr>
      <t>CTS3767</t>
    </r>
    <r>
      <rPr>
        <i/>
      </rPr>
      <t>, CTS11984</t>
    </r>
    <r>
      <rPr>
        <i/>
      </rPr>
      <t>, CTS54, CTS1774, CTS6312, CTS6769, CTS7303, CTS8618, CTS8625, CTS8855, CTS9603, CTS11753, PH388, SK1478</t>
    </r>
  </si>
  <si>
    <t>T1a2b1a1</t>
  </si>
  <si>
    <r>
      <rPr>
        <b/>
        <i/>
      </rPr>
      <t>CTS8862</t>
    </r>
    <r>
      <rPr>
        <i/>
      </rPr>
      <t>, CTS8489, CTS9984, CTS10538</t>
    </r>
  </si>
  <si>
    <t>T1a2b1a1a</t>
  </si>
  <si>
    <t>Y17493</t>
  </si>
  <si>
    <t>T1a2b2</t>
  </si>
  <si>
    <t>FGC23010/Y7381</t>
  </si>
  <si>
    <t>T1a2b2a</t>
  </si>
  <si>
    <t xml:space="preserve">FGC23024/Y7438 </t>
  </si>
  <si>
    <t>T1a3</t>
  </si>
  <si>
    <t>FGC1350/Y11151</t>
  </si>
  <si>
    <t>T1a3a</t>
  </si>
  <si>
    <t xml:space="preserve">Y11675/Z9798 </t>
  </si>
  <si>
    <t>T1a3b</t>
  </si>
  <si>
    <t>FGC1340/Y8614</t>
  </si>
  <si>
    <t>T1a3b1</t>
  </si>
  <si>
    <t>L1255</t>
  </si>
  <si>
    <t>T1a3b1a</t>
  </si>
  <si>
    <t>FGC1408/Y9221</t>
  </si>
  <si>
    <t>T1a3b2</t>
  </si>
  <si>
    <t>Y13280</t>
  </si>
  <si>
    <t>T1a3b2a</t>
  </si>
  <si>
    <t>Y13698</t>
  </si>
  <si>
    <t>T1a3b2a1</t>
  </si>
  <si>
    <t>SK1474/Y13718</t>
  </si>
  <si>
    <t>T1a3b2a1a</t>
  </si>
  <si>
    <t xml:space="preserve">FGC41095/Y19167 </t>
  </si>
  <si>
    <t>T1a3b2a1b</t>
  </si>
  <si>
    <t>Y13293</t>
  </si>
  <si>
    <t>T1a3b2a1b1</t>
  </si>
  <si>
    <t>Y13279</t>
  </si>
  <si>
    <t>T2</t>
  </si>
  <si>
    <r>
      <rPr>
        <b/>
        <i/>
      </rPr>
      <t>PH110</t>
    </r>
    <r>
      <rPr>
        <i/>
      </rPr>
      <t>, PH196, PH478, PH526, PH550, PH768, PH933, PH1092, PH1106, PH1172, PH1268, PH1294, PH1343, PH1378, PH1434, PH1457, PH1546, PH1579, PH1583, PH1633, PH1691, PH1841, PH1867, PH1883, PH2017, PH2156, PH2279, PH2292, PH2328, PH2855, PH2861, PH2900, PH2933, PH2990, PH3010, PH3131, PH3150, PH3341, PH3399, PH3422, PH3474, PH3561, PH3721, PH3842, PH3862, PH3868, PH3922, PH3943, PH3996, PH4121, PH4216, PH4431, PH4591, PH4676, PH4746, PH4802, PH4834, PH4842, PH4892, PH4935, PH5136, PH5171, PH5181, PH5212, PH5256, PH5433</t>
    </r>
  </si>
  <si>
    <t>MUTATION INFORMATION AT BOTTOM HERE</t>
  </si>
  <si>
    <t>NOTES:</t>
  </si>
  <si>
    <t>Haplogroup T was formerly called K2 and was first called T in the Karafet et al (2008) paper.</t>
  </si>
  <si>
    <t xml:space="preserve">Identical SNPs that were discovered separately are listed in alphabetical order, not necessarily in the order of discovery, </t>
  </si>
  <si>
    <t>and separated by "/". Examples M184/USP9Y+3178</t>
  </si>
  <si>
    <t>Mutations previously on tree but found so far only in one man or in closely related men:</t>
  </si>
  <si>
    <t>M320 is downstream of M70. It was reported in a single Druze sample in Shen et al (2004).</t>
  </si>
  <si>
    <t>Its placement relative to other SNPs under M70 is unknown. Listed 8 August 2012.</t>
  </si>
  <si>
    <t xml:space="preserve">P330 is downstream of L162. It was reported in a single Assyrian sample in Mendez et al (2011). </t>
  </si>
  <si>
    <t>Its placement relative to L905 is unknown. Listed 8 August 2012.</t>
  </si>
  <si>
    <t>P327 is downstream of P322. It was reported in four closely related Palestinian samples in Mendez et al (2011). Listed 8 August 2012.</t>
  </si>
  <si>
    <t>L1254 is downstream of L1255 and found in one branch of a Kuwaiti family. Listed 7 October 2012.</t>
  </si>
  <si>
    <t>L447 is downstream of L446 and found in a single Armenian sample. Listed 11 January 2013.</t>
  </si>
  <si>
    <r>
      <rPr>
        <rFont val="Times New Roman"/>
        <b/>
        <color rgb="FF000000"/>
        <sz val="12.0"/>
      </rPr>
      <t>Y-DNA haplogroup T</t>
    </r>
    <r>
      <rPr>
        <rFont val="Times New Roman"/>
        <color rgb="FF000000"/>
        <sz val="12.0"/>
      </rPr>
      <t xml:space="preserve"> is found at low frequencies throughout Europe and in parts of the Middle East, North Africa, and East Africa.  A famous person in Haplogroup T was Thomas Jefferson (1743-1826), the third President of the United States from 1801 to 1809.</t>
    </r>
  </si>
  <si>
    <t>References:</t>
  </si>
  <si>
    <t>Alonso et al, The Place of the Basques in the European Y-chromosome Diversity Landscape. (available by subscription) European Journal of Human Genetics, 13:1293-1302, 2005.</t>
  </si>
  <si>
    <t>Bortolini et al, Y-Chromosome Evidence for Differing Ancient Demographic Histories in the Americas. American Journal of Human Genetics, 73:524–539, (2003).</t>
  </si>
  <si>
    <t>Capredon et al, Tracing Arab-Islamic Inheritance in Madagascar: Study of the Y-chromosome and Mitochondrial DNA in the Antemoro. PLoS ONE 8(11): e80932. doi:10.1371/journal.pone.0080932, 2013.</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</si>
  <si>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</si>
  <si>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</si>
  <si>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Flores et al, Reduced Genetic Structure of the Iberian Peninsula Revealed by Y-chromosome Analysis: Implications for Population Demography. (pdf) European Journal of Human Genetics, 12:855-863, 2004.</t>
  </si>
  <si>
    <t>Francalacci et al, Low-Pass DNA Sequencing of 1200 Sardinians Reconstructs European Y-Chromosome Phylogeny. Science: Vol. 341 no. 6145, pp. 565-569, DOI: 10.1126/science.1237947, 2 August 2013.</t>
  </si>
  <si>
    <t>Herrera et al, Neolithic Patrilineal Signals Indicate that the Armenian Plateau was Repopulated by Agriculturalists. European Journal of Human Genetics, 10.1038/ejhg.2011.192, 2011.</t>
  </si>
  <si>
    <t>Karafet et al, New Binary Polymorphisms Reshape and Increase Resolution of the Human Y-Chromosomal Haplogroup Tree. Abstract. Genome Research, published online April 2, 2008. Supplementary Material.</t>
  </si>
  <si>
    <t>Kivisild et al, The Genetic Heritage of the Earliest Settlers Persists in Both Indian Tribal and Caste Populations. (pdf) American Journal of Human Genetics, 72:313-332, 2003.</t>
  </si>
  <si>
    <t>Mendez et al, Increased Resolution of Y Chromosome Haplogroup T Defines Relationships among Populations of the Near East, Europe, and Africa. Human Biology 83(1):39-53, 2011.</t>
  </si>
  <si>
    <t>Regueiro et al, Iran: Tricontinental Nexus for Y-Chromosome Driven Migration. (abstract) Human Heredity, Vol. 61, No 3, 132-143, 2006.</t>
  </si>
  <si>
    <t>Semino et al, Ethiopians and Khoisan Share the Deepest Clades of the Human Y-Chromosome Phylogeny. (pdf) American Journal of Human Genetics, 70:265-268, 2002.</t>
  </si>
  <si>
    <t>Rozen et al, Remarkably Little Variation in Proteins Encoded by the Y Chromosome's Single-Copy Genes, Implying Effective Purifying Selection. American Journal of Human Genetics. 2009 December 11; 85(6): 923-928.</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</si>
  <si>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</si>
  <si>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</si>
  <si>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Su et al, Y-chromosome Evidence for a Northward Migration of Modern Humans into Eastern Asia during the Last Ice Age. (pdf) American Journal of Human Genetics, 65:1718-1724, 1999.</t>
  </si>
  <si>
    <t>Thangaraj et al, Genetic Affinities of the Andaman Islanders, a Vanishing Human Population. (pdf) Current Biology, 13:86-93, 2003.</t>
  </si>
  <si>
    <t>Additional Resources:</t>
  </si>
  <si>
    <t>ISOGG Wiki</t>
  </si>
  <si>
    <t>What you need to know about Genetic Genealogy.</t>
  </si>
  <si>
    <t>The Y-DNA Haplogroup T (former K2) Project,</t>
  </si>
  <si>
    <t>Gareth Henson, Peter Hrechdakian.</t>
  </si>
  <si>
    <t>Corrections/Additions made since 1 January 2018:</t>
  </si>
  <si>
    <t>None</t>
  </si>
  <si>
    <t>Back to</t>
  </si>
  <si>
    <t>MUTATION INFORMATION --&gt;&gt;</t>
  </si>
  <si>
    <t xml:space="preserve"> </t>
  </si>
  <si>
    <t>If copying this section just below, choose Paste Special, then Values, otherwise the haplogroup contents will not copy</t>
  </si>
  <si>
    <t>Name</t>
  </si>
  <si>
    <t>Haplogroup</t>
  </si>
  <si>
    <t>Other Names in Tree</t>
  </si>
  <si>
    <t>rs #</t>
  </si>
  <si>
    <t>Build 37 #</t>
  </si>
  <si>
    <t>Build 38 #</t>
  </si>
  <si>
    <t>Mutation info</t>
  </si>
  <si>
    <t>M184</t>
  </si>
  <si>
    <t>Page34; USP9Y+3178</t>
  </si>
  <si>
    <t>rs20320</t>
  </si>
  <si>
    <t>G-&gt;A</t>
  </si>
  <si>
    <t>Page34</t>
  </si>
  <si>
    <t>M184; USP9Y+3178</t>
  </si>
  <si>
    <t>USP9Y+3178</t>
  </si>
  <si>
    <t>M184; Page34</t>
  </si>
  <si>
    <t>CTS150</t>
  </si>
  <si>
    <t>rs758149605</t>
  </si>
  <si>
    <t>A-&gt;G</t>
  </si>
  <si>
    <t>CTS482</t>
  </si>
  <si>
    <t>PF5596</t>
  </si>
  <si>
    <t>rs3860033</t>
  </si>
  <si>
    <t>C-&gt;T</t>
  </si>
  <si>
    <t>CTS493</t>
  </si>
  <si>
    <t>PF5597</t>
  </si>
  <si>
    <t>rs771391278</t>
  </si>
  <si>
    <t>CTS549</t>
  </si>
  <si>
    <t>L1322; PF5598</t>
  </si>
  <si>
    <t>rs745767786</t>
  </si>
  <si>
    <t>L1322</t>
  </si>
  <si>
    <t>CTS549; PF5598</t>
  </si>
  <si>
    <t>PF5598</t>
  </si>
  <si>
    <t>CTS549; L1322</t>
  </si>
  <si>
    <t>CTS573</t>
  </si>
  <si>
    <t>rs753345811</t>
  </si>
  <si>
    <t>CTS3585</t>
  </si>
  <si>
    <t>PF5618</t>
  </si>
  <si>
    <t>rs752003914</t>
  </si>
  <si>
    <t>G-&gt;T</t>
  </si>
  <si>
    <t>CTS3837</t>
  </si>
  <si>
    <t>rs1037393299</t>
  </si>
  <si>
    <t>T-&gt;A</t>
  </si>
  <si>
    <t>CTS4014</t>
  </si>
  <si>
    <t>rs756239985</t>
  </si>
  <si>
    <t>CTS4201</t>
  </si>
  <si>
    <t>PF5621</t>
  </si>
  <si>
    <t>rs762664954</t>
  </si>
  <si>
    <t>CTS4652</t>
  </si>
  <si>
    <t>PF5547</t>
  </si>
  <si>
    <t>rs746003593</t>
  </si>
  <si>
    <t>CTS5035</t>
  </si>
  <si>
    <t>rs775256715</t>
  </si>
  <si>
    <t>C-&gt;A</t>
  </si>
  <si>
    <t>CTS5268</t>
  </si>
  <si>
    <t>PF7471</t>
  </si>
  <si>
    <t>rs775534358</t>
  </si>
  <si>
    <t>CTS5336</t>
  </si>
  <si>
    <t>PF5626</t>
  </si>
  <si>
    <t>rs750077348</t>
  </si>
  <si>
    <t>CTS6045</t>
  </si>
  <si>
    <t>PF5629</t>
  </si>
  <si>
    <t>rs769285513</t>
  </si>
  <si>
    <t>A-&gt;T</t>
  </si>
  <si>
    <t>CTS6275</t>
  </si>
  <si>
    <t>PF7447</t>
  </si>
  <si>
    <t>rs775878726</t>
  </si>
  <si>
    <t>CTS6887</t>
  </si>
  <si>
    <t>PF5637</t>
  </si>
  <si>
    <t>rs746985345</t>
  </si>
  <si>
    <t>T-&gt;C</t>
  </si>
  <si>
    <t>CTS7164</t>
  </si>
  <si>
    <t>rs745579243</t>
  </si>
  <si>
    <t>CTS7263</t>
  </si>
  <si>
    <t>rs777229743</t>
  </si>
  <si>
    <t>CTS7426</t>
  </si>
  <si>
    <t>rs766259866</t>
  </si>
  <si>
    <t>CTS7749</t>
  </si>
  <si>
    <t>L810; PF5640</t>
  </si>
  <si>
    <t>rs753404231</t>
  </si>
  <si>
    <t>L810</t>
  </si>
  <si>
    <t>CTS7749; PF5640</t>
  </si>
  <si>
    <t>PF5640</t>
  </si>
  <si>
    <t>CTS7749; L810</t>
  </si>
  <si>
    <t>CTS8247</t>
  </si>
  <si>
    <t>rs751403261</t>
  </si>
  <si>
    <t>CTS8994</t>
  </si>
  <si>
    <t>rs772494730</t>
  </si>
  <si>
    <t>CTS10416</t>
  </si>
  <si>
    <t>PF5655</t>
  </si>
  <si>
    <t>rs778604738</t>
  </si>
  <si>
    <t>CTS10700</t>
  </si>
  <si>
    <t>rs780715848</t>
  </si>
  <si>
    <t>CTS10879</t>
  </si>
  <si>
    <t>rs752472586</t>
  </si>
  <si>
    <t>CTS11569</t>
  </si>
  <si>
    <t>rs912483262</t>
  </si>
  <si>
    <t>CTS12657</t>
  </si>
  <si>
    <t>rs750335180</t>
  </si>
  <si>
    <t>L445</t>
  </si>
  <si>
    <t>L452</t>
  </si>
  <si>
    <t>rs775471717</t>
  </si>
  <si>
    <t>L455</t>
  </si>
  <si>
    <t>PF5670</t>
  </si>
  <si>
    <t>rs749749781</t>
  </si>
  <si>
    <t>L692</t>
  </si>
  <si>
    <t>rs772201605</t>
  </si>
  <si>
    <t>M193</t>
  </si>
  <si>
    <t>del-&gt;AACA</t>
  </si>
  <si>
    <t>M272</t>
  </si>
  <si>
    <t>PF5667</t>
  </si>
  <si>
    <t>rs9341308</t>
  </si>
  <si>
    <t>Page129</t>
  </si>
  <si>
    <t>rs72625385</t>
  </si>
  <si>
    <t>PF5529</t>
  </si>
  <si>
    <t>rs768282266</t>
  </si>
  <si>
    <t>PF5537</t>
  </si>
  <si>
    <t>A-&gt;C</t>
  </si>
  <si>
    <t>PF5568</t>
  </si>
  <si>
    <t>rs755480273</t>
  </si>
  <si>
    <t>PF5587</t>
  </si>
  <si>
    <t>rs866943518</t>
  </si>
  <si>
    <t>PF5589</t>
  </si>
  <si>
    <t>rs774461039</t>
  </si>
  <si>
    <t>PF5590</t>
  </si>
  <si>
    <t>PF5603</t>
  </si>
  <si>
    <t>rs758144877</t>
  </si>
  <si>
    <t>PF5607</t>
  </si>
  <si>
    <t>rs746427564</t>
  </si>
  <si>
    <t>PF5609</t>
  </si>
  <si>
    <t>rs757188978</t>
  </si>
  <si>
    <t>PF5612</t>
  </si>
  <si>
    <t>rs1170134696</t>
  </si>
  <si>
    <t>PF5613</t>
  </si>
  <si>
    <t>PF5657</t>
  </si>
  <si>
    <t>rs751602139</t>
  </si>
  <si>
    <t>PF5661</t>
  </si>
  <si>
    <t>rs761444321</t>
  </si>
  <si>
    <t>PF5674</t>
  </si>
  <si>
    <t>rs756418236</t>
  </si>
  <si>
    <t>PF5678</t>
  </si>
  <si>
    <t>rs746005496</t>
  </si>
  <si>
    <t>PF7460</t>
  </si>
  <si>
    <t>PF7464</t>
  </si>
  <si>
    <t>rs777284856</t>
  </si>
  <si>
    <t>PF7466</t>
  </si>
  <si>
    <t>rs762965719</t>
  </si>
  <si>
    <t>PF7480</t>
  </si>
  <si>
    <t>rs747111450</t>
  </si>
  <si>
    <t>C-&gt;G</t>
  </si>
  <si>
    <t>L206</t>
  </si>
  <si>
    <t>18162486..18162487</t>
  </si>
  <si>
    <t>16050606..16050607</t>
  </si>
  <si>
    <t>T-&gt;del</t>
  </si>
  <si>
    <t>CTS5987</t>
  </si>
  <si>
    <t>rs769317579</t>
  </si>
  <si>
    <t>CTS6276</t>
  </si>
  <si>
    <t>rs780917008</t>
  </si>
  <si>
    <t>CTS6577</t>
  </si>
  <si>
    <t>rs767784232</t>
  </si>
  <si>
    <t>CTS6805</t>
  </si>
  <si>
    <t>PF5636</t>
  </si>
  <si>
    <t>rs749435175</t>
  </si>
  <si>
    <t>CTS8004</t>
  </si>
  <si>
    <t>PF5641</t>
  </si>
  <si>
    <t>rs756850544</t>
  </si>
  <si>
    <t>CTS8397</t>
  </si>
  <si>
    <t>PF5646</t>
  </si>
  <si>
    <t>rs961386640</t>
  </si>
  <si>
    <t>CTS9308</t>
  </si>
  <si>
    <t>rs758471592</t>
  </si>
  <si>
    <t>CTS10278</t>
  </si>
  <si>
    <t>rs771344201</t>
  </si>
  <si>
    <t>L490</t>
  </si>
  <si>
    <t>rs2040607</t>
  </si>
  <si>
    <t>PF5602</t>
  </si>
  <si>
    <t>rs773764738</t>
  </si>
  <si>
    <t>PF5604</t>
  </si>
  <si>
    <t>rs764180448</t>
  </si>
  <si>
    <t>PF5659</t>
  </si>
  <si>
    <t>rs764930993</t>
  </si>
  <si>
    <t>PF5666</t>
  </si>
  <si>
    <t>rs777842711</t>
  </si>
  <si>
    <t>PF5673</t>
  </si>
  <si>
    <t>rs761129097</t>
  </si>
  <si>
    <t>PF7465</t>
  </si>
  <si>
    <t>rs752491784</t>
  </si>
  <si>
    <t>PF7481</t>
  </si>
  <si>
    <t>rs779888747</t>
  </si>
  <si>
    <t>CTS2336</t>
  </si>
  <si>
    <t>rs767489554</t>
  </si>
  <si>
    <t>CTS6004</t>
  </si>
  <si>
    <t>rs747076427</t>
  </si>
  <si>
    <t>G-&gt;C</t>
  </si>
  <si>
    <t>CTS6214</t>
  </si>
  <si>
    <t>PF5631</t>
  </si>
  <si>
    <t>rs751398181</t>
  </si>
  <si>
    <t>PF5518</t>
  </si>
  <si>
    <t>PF5592</t>
  </si>
  <si>
    <t>PF5664</t>
  </si>
  <si>
    <t>M70</t>
  </si>
  <si>
    <t>Page46; PF5662</t>
  </si>
  <si>
    <t>rs2032672</t>
  </si>
  <si>
    <t>Page46</t>
  </si>
  <si>
    <t>M70; PF5662</t>
  </si>
  <si>
    <t>PF5662</t>
  </si>
  <si>
    <t>M70; Page46</t>
  </si>
  <si>
    <t>CTS5332.1</t>
  </si>
  <si>
    <t>PF7472.1</t>
  </si>
  <si>
    <t>rs769562543</t>
  </si>
  <si>
    <t>CTS5364</t>
  </si>
  <si>
    <t>rs765259367</t>
  </si>
  <si>
    <t>CTS6375</t>
  </si>
  <si>
    <t>rs758182709</t>
  </si>
  <si>
    <t>CTS9268</t>
  </si>
  <si>
    <t>PF5651</t>
  </si>
  <si>
    <t>rs772941343</t>
  </si>
  <si>
    <t>CTS11054</t>
  </si>
  <si>
    <t>rs755850798</t>
  </si>
  <si>
    <t>CTS11746</t>
  </si>
  <si>
    <t>rs776230618</t>
  </si>
  <si>
    <t>Page78</t>
  </si>
  <si>
    <t>rs34941773</t>
  </si>
  <si>
    <t>PF5588</t>
  </si>
  <si>
    <t>PF5608</t>
  </si>
  <si>
    <t>rs768011965</t>
  </si>
  <si>
    <t>PF5610</t>
  </si>
  <si>
    <t>rs773833751</t>
  </si>
  <si>
    <t>PF5660</t>
  </si>
  <si>
    <t>rs780331513</t>
  </si>
  <si>
    <t>PF7463</t>
  </si>
  <si>
    <t>rs753416454</t>
  </si>
  <si>
    <t>L162</t>
  </si>
  <si>
    <t>Page21</t>
  </si>
  <si>
    <t>rs34179999</t>
  </si>
  <si>
    <t>L454</t>
  </si>
  <si>
    <t>rs767302270</t>
  </si>
  <si>
    <t>CTS484</t>
  </si>
  <si>
    <t>rs764203597</t>
  </si>
  <si>
    <t>CTS550</t>
  </si>
  <si>
    <t>rs760922237</t>
  </si>
  <si>
    <t>CTS3271</t>
  </si>
  <si>
    <t>rs745578970</t>
  </si>
  <si>
    <t>CTS5542</t>
  </si>
  <si>
    <t>PF5627</t>
  </si>
  <si>
    <t>rs761819722</t>
  </si>
  <si>
    <t>CTS5690</t>
  </si>
  <si>
    <t>rs766687538</t>
  </si>
  <si>
    <t>CTS8065</t>
  </si>
  <si>
    <t>PF5642</t>
  </si>
  <si>
    <t>rs766005886</t>
  </si>
  <si>
    <t>CTS11078</t>
  </si>
  <si>
    <t>rs751103327</t>
  </si>
  <si>
    <t>CTS11556</t>
  </si>
  <si>
    <t>rs990692167</t>
  </si>
  <si>
    <t>L299</t>
  </si>
  <si>
    <t>PF5675</t>
  </si>
  <si>
    <t>rs755506380</t>
  </si>
  <si>
    <t>L453</t>
  </si>
  <si>
    <t>PF5617</t>
  </si>
  <si>
    <t>rs759214048</t>
  </si>
  <si>
    <t>PF5567</t>
  </si>
  <si>
    <t>rs777281015</t>
  </si>
  <si>
    <t>PF5593</t>
  </si>
  <si>
    <t>PF5594</t>
  </si>
  <si>
    <t>rs770612758</t>
  </si>
  <si>
    <t>PF5658</t>
  </si>
  <si>
    <t>rs762960884</t>
  </si>
  <si>
    <t>FGC3945.2</t>
  </si>
  <si>
    <t>Z526.2</t>
  </si>
  <si>
    <t>rs369249246</t>
  </si>
  <si>
    <t>L208</t>
  </si>
  <si>
    <t>Page2</t>
  </si>
  <si>
    <t>rs35815655</t>
  </si>
  <si>
    <t>CTS931</t>
  </si>
  <si>
    <t>rs767393843</t>
  </si>
  <si>
    <t>CTS1818</t>
  </si>
  <si>
    <t>rs750245725</t>
  </si>
  <si>
    <t>CTS2611</t>
  </si>
  <si>
    <t>rs773101637</t>
  </si>
  <si>
    <t>CTS4085</t>
  </si>
  <si>
    <t>PF5620</t>
  </si>
  <si>
    <t>rs756827413</t>
  </si>
  <si>
    <t>T-&gt;G</t>
  </si>
  <si>
    <t>CTS4916</t>
  </si>
  <si>
    <t>rs768557695</t>
  </si>
  <si>
    <t>CTS6000</t>
  </si>
  <si>
    <t>PF7446</t>
  </si>
  <si>
    <t>rs746048209</t>
  </si>
  <si>
    <t>CTS7169</t>
  </si>
  <si>
    <t>PF7448</t>
  </si>
  <si>
    <t>rs765178058</t>
  </si>
  <si>
    <t>CTS9163</t>
  </si>
  <si>
    <t>rs764043034</t>
  </si>
  <si>
    <t>CTS9506</t>
  </si>
  <si>
    <t>PF7450</t>
  </si>
  <si>
    <t>rs757129658</t>
  </si>
  <si>
    <t>L905</t>
  </si>
  <si>
    <t>rs761210514</t>
  </si>
  <si>
    <t>rs756819854</t>
  </si>
  <si>
    <t>PF7444</t>
  </si>
  <si>
    <t>PF7453</t>
  </si>
  <si>
    <t>rs778150389</t>
  </si>
  <si>
    <t>PF7457</t>
  </si>
  <si>
    <t>PF7458</t>
  </si>
  <si>
    <t>FGC3995</t>
  </si>
  <si>
    <t>Y4119</t>
  </si>
  <si>
    <t>rs1042907593</t>
  </si>
  <si>
    <t>FGC40894</t>
  </si>
  <si>
    <t>Y18472</t>
  </si>
  <si>
    <t>rs749518707</t>
  </si>
  <si>
    <t>rs1046782293</t>
  </si>
  <si>
    <t>FGC41002</t>
  </si>
  <si>
    <t>Y19196</t>
  </si>
  <si>
    <t>rs974213263</t>
  </si>
  <si>
    <t>rs991537546</t>
  </si>
  <si>
    <t>FGC40425</t>
  </si>
  <si>
    <t>Y19159</t>
  </si>
  <si>
    <t>FGC40529</t>
  </si>
  <si>
    <t>Y19161</t>
  </si>
  <si>
    <t>Z709</t>
  </si>
  <si>
    <t>rs763327841</t>
  </si>
  <si>
    <t>CTS4647</t>
  </si>
  <si>
    <t>rs751410016</t>
  </si>
  <si>
    <t>rs913269618</t>
  </si>
  <si>
    <t>FGC3988</t>
  </si>
  <si>
    <t>Z710</t>
  </si>
  <si>
    <t>rs774543323</t>
  </si>
  <si>
    <t>CTS8512</t>
  </si>
  <si>
    <t>rs781377207</t>
  </si>
  <si>
    <t>FGC3993</t>
  </si>
  <si>
    <t>Z714</t>
  </si>
  <si>
    <t>rs375635391</t>
  </si>
  <si>
    <t>Z713</t>
  </si>
  <si>
    <t>rs762609852</t>
  </si>
  <si>
    <t>rs993757508</t>
  </si>
  <si>
    <t>CTS660</t>
  </si>
  <si>
    <t>L906</t>
  </si>
  <si>
    <t>rs200332530</t>
  </si>
  <si>
    <t>rs753537431</t>
  </si>
  <si>
    <t>P77</t>
  </si>
  <si>
    <t>rs796564269</t>
  </si>
  <si>
    <t>CTS2860</t>
  </si>
  <si>
    <t>rs766106380</t>
  </si>
  <si>
    <t>CTS7225</t>
  </si>
  <si>
    <t>L907</t>
  </si>
  <si>
    <t>rs776102734</t>
  </si>
  <si>
    <t>CTS11968</t>
  </si>
  <si>
    <t>rs761285211</t>
  </si>
  <si>
    <t>rs866804481</t>
  </si>
  <si>
    <t>rs776665642</t>
  </si>
  <si>
    <t>rs764878716</t>
  </si>
  <si>
    <t>FGC40667</t>
  </si>
  <si>
    <t>Y19381</t>
  </si>
  <si>
    <t>FGC4018</t>
  </si>
  <si>
    <t>Y4981</t>
  </si>
  <si>
    <t>rs1048026330</t>
  </si>
  <si>
    <t>FGC4040</t>
  </si>
  <si>
    <t>SK1718; Y5675</t>
  </si>
  <si>
    <t>rs868575389</t>
  </si>
  <si>
    <t>SK1718</t>
  </si>
  <si>
    <t>FGC4040; Y5675</t>
  </si>
  <si>
    <t>Y5675</t>
  </si>
  <si>
    <t>FGC4040; SK1718</t>
  </si>
  <si>
    <t>FGC4065</t>
  </si>
  <si>
    <t>Y5685</t>
  </si>
  <si>
    <t>rs868345558</t>
  </si>
  <si>
    <t>FGC4016</t>
  </si>
  <si>
    <t>Y8852</t>
  </si>
  <si>
    <t>rs762298393</t>
  </si>
  <si>
    <t>rs759198693</t>
  </si>
  <si>
    <t>rs778240450</t>
  </si>
  <si>
    <t>rs959623004</t>
  </si>
  <si>
    <t>rs986358683</t>
  </si>
  <si>
    <t>L131</t>
  </si>
  <si>
    <t>rs2215828</t>
  </si>
  <si>
    <t>CTS2157</t>
  </si>
  <si>
    <t>rs765656566</t>
  </si>
  <si>
    <t>CTS2201</t>
  </si>
  <si>
    <t>rs753175683</t>
  </si>
  <si>
    <t>CTS2293</t>
  </si>
  <si>
    <t>rs751108699</t>
  </si>
  <si>
    <t>CTS4806</t>
  </si>
  <si>
    <t>CTS7239</t>
  </si>
  <si>
    <t>rs759755507</t>
  </si>
  <si>
    <t>CTS8309</t>
  </si>
  <si>
    <t>rs763441289</t>
  </si>
  <si>
    <t>CTS8438</t>
  </si>
  <si>
    <t>rs763120510</t>
  </si>
  <si>
    <t>CTS9429</t>
  </si>
  <si>
    <t>rs760950383</t>
  </si>
  <si>
    <t>CTS9794</t>
  </si>
  <si>
    <t>rs748177031</t>
  </si>
  <si>
    <t>CTS11227</t>
  </si>
  <si>
    <t>rs778016480</t>
  </si>
  <si>
    <t>CTS12018</t>
  </si>
  <si>
    <t>rs766520172</t>
  </si>
  <si>
    <t>CTS13009.1</t>
  </si>
  <si>
    <t>S11611</t>
  </si>
  <si>
    <t>rs755109146</t>
  </si>
  <si>
    <t>S11658</t>
  </si>
  <si>
    <t>rs757158107</t>
  </si>
  <si>
    <t>S12150</t>
  </si>
  <si>
    <t>rs780060669</t>
  </si>
  <si>
    <t>S15560</t>
  </si>
  <si>
    <t>rs746092820</t>
  </si>
  <si>
    <t>S16112</t>
  </si>
  <si>
    <t>rs760671714</t>
  </si>
  <si>
    <t>S17330</t>
  </si>
  <si>
    <t>rs748481817</t>
  </si>
  <si>
    <t>S22136</t>
  </si>
  <si>
    <t>SK1475</t>
  </si>
  <si>
    <t>rs781451883</t>
  </si>
  <si>
    <t>PH141</t>
  </si>
  <si>
    <t>Y13244</t>
  </si>
  <si>
    <t>rs752883829</t>
  </si>
  <si>
    <t>P322</t>
  </si>
  <si>
    <t>rs766660066</t>
  </si>
  <si>
    <t>P328</t>
  </si>
  <si>
    <t>rs749120054</t>
  </si>
  <si>
    <t>L446</t>
  </si>
  <si>
    <t>rs765328997</t>
  </si>
  <si>
    <t>CTS1482</t>
  </si>
  <si>
    <t>CTS2161</t>
  </si>
  <si>
    <t>rs747587829</t>
  </si>
  <si>
    <t>CTS2880</t>
  </si>
  <si>
    <t>rs773987640</t>
  </si>
  <si>
    <t>CTS6788</t>
  </si>
  <si>
    <t>rs769696882</t>
  </si>
  <si>
    <t>CTS6930</t>
  </si>
  <si>
    <t>CTS11660</t>
  </si>
  <si>
    <t>rs1012975302</t>
  </si>
  <si>
    <t>CTS11796</t>
  </si>
  <si>
    <t>rs758655171</t>
  </si>
  <si>
    <t>CTS12108</t>
  </si>
  <si>
    <t>rs761392954</t>
  </si>
  <si>
    <t>S16483</t>
  </si>
  <si>
    <t>rs752379496</t>
  </si>
  <si>
    <t>S23032</t>
  </si>
  <si>
    <t>rs749441129</t>
  </si>
  <si>
    <t>CTS933</t>
  </si>
  <si>
    <t>rs774625164</t>
  </si>
  <si>
    <t>CTS6071</t>
  </si>
  <si>
    <t>rs773981330</t>
  </si>
  <si>
    <t>CTS10803</t>
  </si>
  <si>
    <t>rs779515027</t>
  </si>
  <si>
    <t>CTS12204</t>
  </si>
  <si>
    <t>rs776222007</t>
  </si>
  <si>
    <t>CTS3767</t>
  </si>
  <si>
    <t>rs755157880</t>
  </si>
  <si>
    <t>CTS11984</t>
  </si>
  <si>
    <t>rs766932353</t>
  </si>
  <si>
    <t>CTS54</t>
  </si>
  <si>
    <t>rs746967056</t>
  </si>
  <si>
    <t>CTS1774</t>
  </si>
  <si>
    <t>rs766257559</t>
  </si>
  <si>
    <t>CTS6312</t>
  </si>
  <si>
    <t>rs757429853</t>
  </si>
  <si>
    <t>CTS6769</t>
  </si>
  <si>
    <t>rs749756086</t>
  </si>
  <si>
    <t>CTS7303</t>
  </si>
  <si>
    <t>rs752006330</t>
  </si>
  <si>
    <t>CTS8618</t>
  </si>
  <si>
    <t>rs767800764</t>
  </si>
  <si>
    <t>CTS8625</t>
  </si>
  <si>
    <t>rs774530301</t>
  </si>
  <si>
    <t>CTS8855</t>
  </si>
  <si>
    <t>rs747012901</t>
  </si>
  <si>
    <t>CTS9603</t>
  </si>
  <si>
    <t>rs779117600</t>
  </si>
  <si>
    <t>CTS11753</t>
  </si>
  <si>
    <t>rs772396967</t>
  </si>
  <si>
    <t>PH388</t>
  </si>
  <si>
    <t>rs758832399</t>
  </si>
  <si>
    <t>SK1478</t>
  </si>
  <si>
    <t>rs774313522</t>
  </si>
  <si>
    <t>CTS8862</t>
  </si>
  <si>
    <t>rs773515931</t>
  </si>
  <si>
    <t>CTS8489</t>
  </si>
  <si>
    <t>rs746154125</t>
  </si>
  <si>
    <t>CTS9984</t>
  </si>
  <si>
    <t>rs773175161</t>
  </si>
  <si>
    <t>CTS10538</t>
  </si>
  <si>
    <t>rs753691755</t>
  </si>
  <si>
    <t>FGC23010</t>
  </si>
  <si>
    <t>Y7381</t>
  </si>
  <si>
    <t>FGC23024</t>
  </si>
  <si>
    <t>Y7438</t>
  </si>
  <si>
    <t>FGC1350</t>
  </si>
  <si>
    <t>Y11151</t>
  </si>
  <si>
    <t>rs866711742</t>
  </si>
  <si>
    <t>Y11675</t>
  </si>
  <si>
    <t>Z9798</t>
  </si>
  <si>
    <t>rs774531771</t>
  </si>
  <si>
    <t>FGC1340</t>
  </si>
  <si>
    <t>Y8614</t>
  </si>
  <si>
    <t>rs867572589</t>
  </si>
  <si>
    <t>rs866651514</t>
  </si>
  <si>
    <t>FGC1408</t>
  </si>
  <si>
    <t>Y9221</t>
  </si>
  <si>
    <t>rs867694229</t>
  </si>
  <si>
    <t>rs868209329</t>
  </si>
  <si>
    <t>SK1474</t>
  </si>
  <si>
    <t>Y13718</t>
  </si>
  <si>
    <t>rs866117035</t>
  </si>
  <si>
    <t>FGC41095</t>
  </si>
  <si>
    <t>Y19167</t>
  </si>
  <si>
    <t>rs865836249</t>
  </si>
  <si>
    <t>PH110</t>
  </si>
  <si>
    <t>rs780245732</t>
  </si>
  <si>
    <t>PH196</t>
  </si>
  <si>
    <t>rs746638338</t>
  </si>
  <si>
    <t>PH478</t>
  </si>
  <si>
    <t>rs752166643</t>
  </si>
  <si>
    <t>PH526</t>
  </si>
  <si>
    <t>rs775608481</t>
  </si>
  <si>
    <t>PH550</t>
  </si>
  <si>
    <t>rs745648724</t>
  </si>
  <si>
    <t>PH768</t>
  </si>
  <si>
    <t>rs767365717</t>
  </si>
  <si>
    <t>PH933</t>
  </si>
  <si>
    <t>rs779296673</t>
  </si>
  <si>
    <t>PH1092</t>
  </si>
  <si>
    <t>rs781044106</t>
  </si>
  <si>
    <t>PH1106</t>
  </si>
  <si>
    <t>rs773330467</t>
  </si>
  <si>
    <t>PH1172</t>
  </si>
  <si>
    <t>rs745510116</t>
  </si>
  <si>
    <t>PH1268</t>
  </si>
  <si>
    <t>rs770696126</t>
  </si>
  <si>
    <t>PH1294</t>
  </si>
  <si>
    <t>rs765225466</t>
  </si>
  <si>
    <t>PH1343</t>
  </si>
  <si>
    <t>rs770524785</t>
  </si>
  <si>
    <t>PH1378</t>
  </si>
  <si>
    <t>rs768813422</t>
  </si>
  <si>
    <t>PH1434</t>
  </si>
  <si>
    <t>rs779889553</t>
  </si>
  <si>
    <t>PH1457</t>
  </si>
  <si>
    <t>rs776657923</t>
  </si>
  <si>
    <t>PH1546</t>
  </si>
  <si>
    <t>rs747305998</t>
  </si>
  <si>
    <t>PH1579</t>
  </si>
  <si>
    <t>rs772365544</t>
  </si>
  <si>
    <t>PH1583</t>
  </si>
  <si>
    <t>rs750399188</t>
  </si>
  <si>
    <t>PH1633</t>
  </si>
  <si>
    <t>rs769231302</t>
  </si>
  <si>
    <t>PH1691</t>
  </si>
  <si>
    <t>rs764970572</t>
  </si>
  <si>
    <t>PH1841</t>
  </si>
  <si>
    <t>rs757379050</t>
  </si>
  <si>
    <t>PH1867</t>
  </si>
  <si>
    <t>rs756585720</t>
  </si>
  <si>
    <t>PH1883</t>
  </si>
  <si>
    <t>rs748088214</t>
  </si>
  <si>
    <t>PH2017</t>
  </si>
  <si>
    <t>rs751190334</t>
  </si>
  <si>
    <t>PH2156</t>
  </si>
  <si>
    <t>rs766950555</t>
  </si>
  <si>
    <t>PH2279</t>
  </si>
  <si>
    <t>rs763867388</t>
  </si>
  <si>
    <t>PH2292</t>
  </si>
  <si>
    <t>rs753325131</t>
  </si>
  <si>
    <t>PH2328</t>
  </si>
  <si>
    <t>rs753071144</t>
  </si>
  <si>
    <t>PH2855</t>
  </si>
  <si>
    <t>rs745867098</t>
  </si>
  <si>
    <t>PH2861</t>
  </si>
  <si>
    <t>rs766509131</t>
  </si>
  <si>
    <t>PH2900</t>
  </si>
  <si>
    <t>rs765136654</t>
  </si>
  <si>
    <t>PH2933</t>
  </si>
  <si>
    <t>rs751996224</t>
  </si>
  <si>
    <t>PH2990</t>
  </si>
  <si>
    <t>rs754651630</t>
  </si>
  <si>
    <t>PH3010</t>
  </si>
  <si>
    <t>rs748413831</t>
  </si>
  <si>
    <t>PH3131</t>
  </si>
  <si>
    <t>rs770557531</t>
  </si>
  <si>
    <t>PH3150</t>
  </si>
  <si>
    <t>rs761120766</t>
  </si>
  <si>
    <t>PH3341</t>
  </si>
  <si>
    <t>rs755674569</t>
  </si>
  <si>
    <t>PH3399</t>
  </si>
  <si>
    <t>rs753042562</t>
  </si>
  <si>
    <t>PH3422</t>
  </si>
  <si>
    <t>rs757053225</t>
  </si>
  <si>
    <t>PH3474</t>
  </si>
  <si>
    <t>rs772025002</t>
  </si>
  <si>
    <t>PH3561</t>
  </si>
  <si>
    <t>rs779654013</t>
  </si>
  <si>
    <t>PH3721</t>
  </si>
  <si>
    <t>rs780141516</t>
  </si>
  <si>
    <t>PH3842</t>
  </si>
  <si>
    <t>rs760779118</t>
  </si>
  <si>
    <t>PH3862</t>
  </si>
  <si>
    <t>rs748926404</t>
  </si>
  <si>
    <t>PH3868</t>
  </si>
  <si>
    <t>rs780468944</t>
  </si>
  <si>
    <t>PH3922</t>
  </si>
  <si>
    <t>rs747789504</t>
  </si>
  <si>
    <t>PH3943</t>
  </si>
  <si>
    <t>rs769404253</t>
  </si>
  <si>
    <t>PH3996</t>
  </si>
  <si>
    <t>rs781592919</t>
  </si>
  <si>
    <t>PH4121</t>
  </si>
  <si>
    <t>rs746358742</t>
  </si>
  <si>
    <t>PH4216</t>
  </si>
  <si>
    <t>rs755273123</t>
  </si>
  <si>
    <t>PH4431</t>
  </si>
  <si>
    <t>rs766571499</t>
  </si>
  <si>
    <t>PH4591</t>
  </si>
  <si>
    <t>rs770787831</t>
  </si>
  <si>
    <t>PH4676</t>
  </si>
  <si>
    <t>rs770706104</t>
  </si>
  <si>
    <t>PH4746</t>
  </si>
  <si>
    <t>rs781116336</t>
  </si>
  <si>
    <t>PH4802</t>
  </si>
  <si>
    <t>rs760102971</t>
  </si>
  <si>
    <t>PH4834</t>
  </si>
  <si>
    <t>rs754563261</t>
  </si>
  <si>
    <t>PH4842</t>
  </si>
  <si>
    <t>rs779796278</t>
  </si>
  <si>
    <t>PH4892</t>
  </si>
  <si>
    <t>rs773920871</t>
  </si>
  <si>
    <t>PH4935</t>
  </si>
  <si>
    <t>rs764128199</t>
  </si>
  <si>
    <t>PH5136</t>
  </si>
  <si>
    <t>rs768648596</t>
  </si>
  <si>
    <t>PH5171</t>
  </si>
  <si>
    <t>rs763758368</t>
  </si>
  <si>
    <t>PH5181</t>
  </si>
  <si>
    <t>rs774811586</t>
  </si>
  <si>
    <t>PH5212</t>
  </si>
  <si>
    <t>rs764898316</t>
  </si>
  <si>
    <t>PH5256</t>
  </si>
  <si>
    <t>rs751003669</t>
  </si>
  <si>
    <t>PH5433</t>
  </si>
  <si>
    <t>rs774487376</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</si>
</sst>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font>
    <font>
      <name val="Arial"/>
    </font>
    <font>
      <sz val="14.0"/>
      <color rgb="FFFFFFFF"/>
      <name val="Arial"/>
    </font>
    <font>
      <b/>
      <u/>
      <sz val="12.0"/>
      <color rgb="FFFFFFFF"/>
      <name val="Arial"/>
    </font>
    <font>
      <b/>
      <sz val="24.0"/>
      <name val="Times New Roman"/>
    </font>
    <font>
      <i/>
      <color rgb="FFCC0000"/>
    </font>
    <font/>
    <font>
      <u/>
      <color rgb="FF0000FF"/>
    </font>
    <font>
      <u/>
      <color rgb="FF0000FF"/>
    </font>
    <font>
      <sz val="12.0"/>
      <name val="Times New Roman"/>
    </font>
    <font>
      <b/>
    </font>
    <font>
      <u/>
      <sz val="12.0"/>
      <color rgb="FF0000FF"/>
      <name val="Times New Roman"/>
    </font>
    <font>
      <u/>
      <sz val="12.0"/>
      <color rgb="FF0000FF"/>
      <name val="Times New Roman"/>
    </font>
    <font>
      <sz val="12.0"/>
      <color rgb="FFCC0000"/>
      <name val="Times New Roman"/>
    </font>
    <font>
      <sz val="12.0"/>
      <color rgb="FF999999"/>
      <name val="Times New Roman"/>
    </font>
    <font>
      <u/>
      <sz val="12.0"/>
      <color rgb="FF0000FF"/>
      <name val="Times New Roman"/>
    </font>
    <font>
      <color rgb="FFFFFFFF"/>
    </font>
    <font>
      <color rgb="FF999999"/>
    </font>
    <font>
      <b/>
      <i/>
    </font>
    <font>
      <b/>
      <i/>
      <sz val="10.0"/>
      <color rgb="FF000000"/>
      <name val="Arial"/>
    </font>
    <font>
      <i/>
    </font>
    <font>
      <b/>
      <sz val="12.0"/>
    </font>
    <font>
      <b/>
      <sz val="12.0"/>
      <color rgb="FF000000"/>
      <name val="Times New Roman"/>
    </font>
    <font>
      <sz val="12.0"/>
      <color rgb="FF000000"/>
      <name val="Times New Roman"/>
    </font>
    <font>
      <color rgb="FF000000"/>
      <name val="Arial"/>
    </font>
    <font>
      <u/>
      <sz val="12.0"/>
      <color rgb="FF000000"/>
      <name val="Times New Roman"/>
    </font>
    <font>
      <u/>
      <sz val="12.0"/>
      <color rgb="FF0066CC"/>
      <name val="Times New Roman"/>
    </font>
    <font>
      <u/>
      <sz val="12.0"/>
      <color rgb="FF0066CC"/>
      <name val="Times New Roman"/>
    </font>
    <font>
      <b/>
      <sz val="12.0"/>
      <name val="Arial"/>
    </font>
    <font>
      <color rgb="FFCC0000"/>
      <name val="Arial"/>
    </font>
    <font>
      <b/>
      <name val="Arial"/>
    </font>
    <font>
      <sz val="11.0"/>
      <color rgb="FF000000"/>
      <name val="Calibri"/>
    </font>
  </fonts>
  <fills count="10">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s>
  <borders count="5">
    <border/>
    <border>
      <right/>
    </border>
    <border>
      <left style="thin">
        <color rgb="FFCC0000"/>
      </left>
      <top style="thin">
        <color rgb="FFCC0000"/>
      </top>
      <bottom style="thin">
        <color rgb="FFCC0000"/>
      </bottom>
    </border>
    <border>
      <top style="thin">
        <color rgb="FFCC0000"/>
      </top>
      <bottom style="thin">
        <color rgb="FFCC0000"/>
      </bottom>
    </border>
    <border>
      <right style="thin">
        <color rgb="FFCC0000"/>
      </right>
      <top style="thin">
        <color rgb="FFCC0000"/>
      </top>
      <bottom style="thin">
        <color rgb="FFCC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2" fontId="1" numFmtId="0" xfId="0" applyAlignment="1" applyFill="1" applyFont="1">
      <alignment vertical="bottom"/>
    </xf>
    <xf borderId="1" fillId="2" fontId="2" numFmtId="0" xfId="0" applyAlignment="1" applyBorder="1" applyFont="1">
      <alignment readingOrder="0" shrinkToFit="0" vertical="bottom" wrapText="0"/>
    </xf>
    <xf borderId="1" fillId="2" fontId="1" numFmtId="0" xfId="0" applyAlignment="1" applyBorder="1" applyFont="1">
      <alignment vertical="bottom"/>
    </xf>
    <xf borderId="1" fillId="2" fontId="3" numFmtId="0" xfId="0" applyAlignment="1" applyBorder="1" applyFont="1">
      <alignment vertical="bottom"/>
    </xf>
    <xf borderId="0" fillId="3" fontId="4" numFmtId="0" xfId="0" applyAlignment="1" applyFill="1" applyFont="1">
      <alignment horizontal="center"/>
    </xf>
    <xf borderId="2" fillId="0" fontId="5" numFmtId="0" xfId="0" applyAlignment="1" applyBorder="1" applyFont="1">
      <alignment horizontal="center"/>
    </xf>
    <xf borderId="3" fillId="0" fontId="6" numFmtId="0" xfId="0" applyBorder="1" applyFont="1"/>
    <xf borderId="4" fillId="0" fontId="6" numFmtId="0" xfId="0" applyBorder="1" applyFont="1"/>
    <xf borderId="0" fillId="0" fontId="7" numFmtId="0" xfId="0" applyFont="1"/>
    <xf borderId="0" fillId="0" fontId="8" numFmtId="0" xfId="0" applyFont="1"/>
    <xf borderId="0" fillId="4" fontId="9" numFmtId="0" xfId="0" applyFill="1" applyFont="1"/>
    <xf borderId="0" fillId="4" fontId="6" numFmtId="0" xfId="0" applyFont="1"/>
    <xf borderId="0" fillId="0" fontId="10" numFmtId="0" xfId="0" applyFont="1"/>
    <xf borderId="0" fillId="0" fontId="9" numFmtId="0" xfId="0" applyFont="1"/>
    <xf borderId="0" fillId="0" fontId="11" numFmtId="0" xfId="0" applyFont="1"/>
    <xf borderId="0" fillId="0" fontId="12" numFmtId="0" xfId="0" applyAlignment="1" applyFont="1">
      <alignment horizontal="right"/>
    </xf>
    <xf borderId="0" fillId="0" fontId="13" numFmtId="0" xfId="0" applyFont="1"/>
    <xf borderId="0" fillId="0" fontId="14" numFmtId="0" xfId="0" applyAlignment="1" applyFont="1">
      <alignment horizontal="right"/>
    </xf>
    <xf borderId="0" fillId="4" fontId="9" numFmtId="0" xfId="0" applyAlignment="1" applyFont="1">
      <alignment shrinkToFit="0" wrapText="1"/>
    </xf>
    <xf borderId="0" fillId="4" fontId="9" numFmtId="0" xfId="0" applyAlignment="1" applyFont="1">
      <alignment shrinkToFit="0" vertical="center" wrapText="1"/>
    </xf>
    <xf borderId="0" fillId="0" fontId="15" numFmtId="0" xfId="0" applyFont="1"/>
    <xf borderId="0" fillId="5" fontId="16" numFmtId="0" xfId="0" applyAlignment="1" applyFill="1" applyFont="1">
      <alignment vertical="center"/>
    </xf>
    <xf borderId="0" fillId="0" fontId="6" numFmtId="0" xfId="0" applyAlignment="1" applyFont="1">
      <alignment shrinkToFit="0" wrapText="1"/>
    </xf>
    <xf borderId="0" fillId="6" fontId="16" numFmtId="0" xfId="0" applyAlignment="1" applyFill="1" applyFont="1">
      <alignment vertical="center"/>
    </xf>
    <xf borderId="0" fillId="0" fontId="17" numFmtId="0" xfId="0" applyFont="1"/>
    <xf borderId="0" fillId="0" fontId="18" numFmtId="0" xfId="0" applyFont="1"/>
    <xf borderId="0" fillId="0" fontId="19" numFmtId="0" xfId="0" applyAlignment="1" applyFont="1">
      <alignment horizontal="left"/>
    </xf>
    <xf borderId="0" fillId="0" fontId="17" numFmtId="0" xfId="0" applyAlignment="1" applyFont="1">
      <alignment shrinkToFit="0" wrapText="1"/>
    </xf>
    <xf borderId="0" fillId="0" fontId="20" numFmtId="0" xfId="0" applyFont="1"/>
    <xf borderId="0" fillId="0" fontId="20" numFmtId="0" xfId="0" applyAlignment="1" applyFont="1">
      <alignment shrinkToFit="0" wrapText="1"/>
    </xf>
    <xf borderId="0" fillId="7" fontId="21" numFmtId="0" xfId="0" applyAlignment="1" applyFill="1" applyFont="1">
      <alignment readingOrder="0"/>
    </xf>
    <xf borderId="0" fillId="7" fontId="21" numFmtId="0" xfId="0" applyFont="1"/>
    <xf borderId="0" fillId="7" fontId="6" numFmtId="0" xfId="0" applyFont="1"/>
    <xf borderId="0" fillId="0" fontId="22" numFmtId="0" xfId="0" applyAlignment="1" applyFont="1">
      <alignment horizontal="left"/>
    </xf>
    <xf borderId="0" fillId="0" fontId="23" numFmtId="0" xfId="0" applyAlignment="1" applyFont="1">
      <alignment horizontal="left"/>
    </xf>
    <xf borderId="0" fillId="8" fontId="24" numFmtId="0" xfId="0" applyFill="1" applyFont="1"/>
    <xf borderId="0" fillId="0" fontId="25" numFmtId="0" xfId="0" applyAlignment="1" applyFont="1">
      <alignment horizontal="left"/>
    </xf>
    <xf borderId="0" fillId="0" fontId="23" numFmtId="0" xfId="0" applyAlignment="1" applyFont="1">
      <alignment horizontal="left" shrinkToFit="0" wrapText="1"/>
    </xf>
    <xf borderId="0" fillId="0" fontId="26" numFmtId="0" xfId="0" applyAlignment="1" applyFont="1">
      <alignment horizontal="left"/>
    </xf>
    <xf borderId="0" fillId="0" fontId="27" numFmtId="0" xfId="0" applyAlignment="1" applyFont="1">
      <alignment horizontal="left"/>
    </xf>
    <xf borderId="0" fillId="0" fontId="1" numFmtId="0" xfId="0" applyAlignment="1" applyFont="1">
      <alignment vertical="bottom"/>
    </xf>
    <xf borderId="1" fillId="9" fontId="28" numFmtId="0" xfId="0" applyAlignment="1" applyBorder="1" applyFill="1" applyFont="1">
      <alignment shrinkToFit="0" vertical="bottom" wrapText="0"/>
    </xf>
    <xf borderId="1" fillId="9" fontId="1" numFmtId="0" xfId="0" applyAlignment="1" applyBorder="1" applyFont="1">
      <alignment vertical="bottom"/>
    </xf>
    <xf borderId="0" fillId="9" fontId="1" numFmtId="0" xfId="0" applyAlignment="1" applyFont="1">
      <alignment vertical="bottom"/>
    </xf>
    <xf borderId="0" fillId="0" fontId="29" numFmtId="0" xfId="0" applyAlignment="1" applyFont="1">
      <alignment vertical="bottom"/>
    </xf>
    <xf borderId="0" fillId="0" fontId="29" numFmtId="0" xfId="0" applyAlignment="1" applyFont="1">
      <alignment shrinkToFit="0" vertical="bottom" wrapText="0"/>
    </xf>
    <xf borderId="0" fillId="0" fontId="30" numFmtId="0" xfId="0" applyAlignment="1" applyFont="1">
      <alignment shrinkToFit="0" vertical="bottom" wrapText="1"/>
    </xf>
    <xf borderId="0" fillId="8" fontId="1" numFmtId="0" xfId="0" applyAlignment="1" applyFont="1">
      <alignment vertical="bottom"/>
    </xf>
    <xf borderId="0" fillId="8" fontId="31" numFmtId="0" xfId="0" applyAlignment="1" applyFont="1">
      <alignment vertical="bottom"/>
    </xf>
    <xf borderId="0" fillId="8" fontId="31" numFmtId="0" xfId="0" applyAlignment="1" applyFont="1">
      <alignment horizontal="right" vertical="bottom"/>
    </xf>
    <xf borderId="0" fillId="8"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228600</xdr:colOff>
      <xdr:row>6</xdr:row>
      <xdr:rowOff>57150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www.ncbi.nlm.nih.gov/pubmed/16770078" TargetMode="External"/><Relationship Id="rId10" Type="http://schemas.openxmlformats.org/officeDocument/2006/relationships/hyperlink" Target="http://www.bioone.org/doi/abs/10.3378/027.083.0103" TargetMode="External"/><Relationship Id="rId13" Type="http://schemas.openxmlformats.org/officeDocument/2006/relationships/hyperlink" Target="http://www.ncbi.nlm.nih.gov/pmc/articles/PMC2790577/?tool=pubmed" TargetMode="External"/><Relationship Id="rId12" Type="http://schemas.openxmlformats.org/officeDocument/2006/relationships/hyperlink" Target="http://www.journals.uchicago.edu/AJHG/journal/issues/v70n1/013375/013375.web.pdf" TargetMode="External"/><Relationship Id="rId1" Type="http://schemas.openxmlformats.org/officeDocument/2006/relationships/hyperlink" Target="http://www.ncbi.nlm.nih.gov/pubmed/16094307" TargetMode="External"/><Relationship Id="rId2" Type="http://schemas.openxmlformats.org/officeDocument/2006/relationships/hyperlink" Target="http://www.pubmedcentral.nih.gov/articlerender.fcgi?artid=1180678" TargetMode="External"/><Relationship Id="rId3" Type="http://schemas.openxmlformats.org/officeDocument/2006/relationships/hyperlink" Target="http://www.plosone.org/article/info:doi/10.1371/journal.pone.0080932" TargetMode="External"/><Relationship Id="rId4" Type="http://schemas.openxmlformats.org/officeDocument/2006/relationships/hyperlink" Target="http://hpgl.stanford.edu/publications/HG_2004_v114_p127-148.pdf" TargetMode="External"/><Relationship Id="rId9" Type="http://schemas.openxmlformats.org/officeDocument/2006/relationships/hyperlink" Target="http://hpgl.stanford.edu/publications/AJHG_2003_v72_p313-332.pdf" TargetMode="External"/><Relationship Id="rId15" Type="http://schemas.openxmlformats.org/officeDocument/2006/relationships/hyperlink" Target="http://evolutsioon.ut.ee/publications/Shen2004.pdf" TargetMode="External"/><Relationship Id="rId14" Type="http://schemas.openxmlformats.org/officeDocument/2006/relationships/hyperlink" Target="http://hpgl.stanford.edu/publications/AJHG_2006_v78_p202-221.pdf" TargetMode="External"/><Relationship Id="rId17" Type="http://schemas.openxmlformats.org/officeDocument/2006/relationships/hyperlink" Target="http://hpgl.stanford.edu/publications/CB_2002_p1-18.pdf" TargetMode="External"/><Relationship Id="rId16" Type="http://schemas.openxmlformats.org/officeDocument/2006/relationships/hyperlink" Target="http://hpgl.stanford.edu/publications/AJHG_1999_v65_p1718.pdf" TargetMode="External"/><Relationship Id="rId5" Type="http://schemas.openxmlformats.org/officeDocument/2006/relationships/hyperlink" Target="http://www.ncbi.nlm.nih.gov/pubmed/11910562" TargetMode="External"/><Relationship Id="rId19" Type="http://schemas.openxmlformats.org/officeDocument/2006/relationships/hyperlink" Target="http://www.familytreedna.com/public/Y-Haplogroup-K2" TargetMode="External"/><Relationship Id="rId6" Type="http://schemas.openxmlformats.org/officeDocument/2006/relationships/hyperlink" Target="http://hpgl.stanford.edu/publications/EJHG_2004_v12_p855.pdf" TargetMode="External"/><Relationship Id="rId18" Type="http://schemas.openxmlformats.org/officeDocument/2006/relationships/hyperlink" Target="http://www.isogg.org/wiki/Wiki_Welcome_Page" TargetMode="External"/><Relationship Id="rId7" Type="http://schemas.openxmlformats.org/officeDocument/2006/relationships/hyperlink" Target="http://www.sciencemag.org/content/341/6145/565" TargetMode="External"/><Relationship Id="rId8" Type="http://schemas.openxmlformats.org/officeDocument/2006/relationships/hyperlink" Target="http://www.nature.com/ejhg/journal/vaop/ncurrent/full/ejhg2011192a.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4.88"/>
    <col customWidth="1" min="2" max="2" width="5.5"/>
    <col customWidth="1" min="3" max="3" width="5.63"/>
    <col customWidth="1" min="4" max="4" width="5.88"/>
    <col customWidth="1" min="5" max="5" width="6.25"/>
    <col customWidth="1" min="6" max="6" width="7.88"/>
    <col customWidth="1" min="7" max="7" width="9.25"/>
    <col customWidth="1" min="8" max="8" width="9.0"/>
    <col customWidth="1" min="9" max="9" width="11.25"/>
    <col customWidth="1" min="10" max="10" width="11.13"/>
    <col customWidth="1" min="13" max="13" width="13.38"/>
    <col customWidth="1" min="14" max="14" width="14.63"/>
    <col customWidth="1" min="15" max="15" width="15.0"/>
    <col customWidth="1" min="16" max="16" width="16.75"/>
    <col customWidth="1" min="17" max="17" width="16.63"/>
    <col customWidth="1" min="18" max="18" width="18.0"/>
    <col customWidth="1" min="19" max="19" width="19.13"/>
    <col customWidth="1" min="20" max="20" width="20.25"/>
  </cols>
  <sheetData>
    <row r="1" ht="15.75" customHeight="1">
      <c r="A1" s="1"/>
      <c r="B1" s="1"/>
      <c r="C1" s="1"/>
      <c r="D1" s="1"/>
      <c r="E1" s="1"/>
      <c r="F1" s="1"/>
      <c r="G1" s="1"/>
      <c r="H1" s="1"/>
      <c r="I1" s="1"/>
      <c r="J1" s="1"/>
      <c r="K1" s="1"/>
      <c r="L1" s="1"/>
      <c r="M1" s="1"/>
    </row>
    <row r="2" ht="15.75" customHeight="1">
      <c r="A2" s="1"/>
      <c r="B2" s="2" t="s">
        <v>0</v>
      </c>
      <c r="C2" s="3"/>
      <c r="D2" s="3"/>
      <c r="E2" s="3"/>
      <c r="F2" s="3"/>
      <c r="G2" s="3"/>
      <c r="H2" s="3"/>
      <c r="I2" s="3"/>
      <c r="J2" s="3"/>
      <c r="K2" s="1"/>
      <c r="L2" s="4" t="str">
        <f>HYPERLINK("https://docs.google.com/document/d/14H-GcOivKmVTygAlbVeGDYouCGU5tDpvhrppbbqiRKM/","Adoption Page")</f>
        <v>Adoption Page</v>
      </c>
      <c r="M2" s="1"/>
    </row>
    <row r="3" ht="15.75" customHeight="1">
      <c r="A3" s="1"/>
      <c r="B3" s="1"/>
      <c r="C3" s="1"/>
      <c r="D3" s="1"/>
      <c r="E3" s="1"/>
      <c r="F3" s="1"/>
      <c r="G3" s="1"/>
      <c r="H3" s="1"/>
      <c r="I3" s="1"/>
      <c r="J3" s="1"/>
      <c r="K3" s="1"/>
      <c r="L3" s="1"/>
      <c r="M3" s="1"/>
    </row>
    <row r="4" ht="15.75" customHeight="1"/>
    <row r="5" ht="15.75" customHeight="1">
      <c r="C5" s="5" t="s">
        <v>1</v>
      </c>
    </row>
    <row r="6" ht="15.75" customHeight="1"/>
    <row r="7" ht="15.75" customHeight="1"/>
    <row r="8" ht="15.75" customHeight="1">
      <c r="C8" s="6" t="s">
        <v>2</v>
      </c>
      <c r="D8" s="7"/>
      <c r="E8" s="7"/>
      <c r="F8" s="7"/>
      <c r="G8" s="7"/>
      <c r="H8" s="7"/>
      <c r="I8" s="7"/>
      <c r="J8" s="7"/>
      <c r="K8" s="7"/>
      <c r="L8" s="8"/>
    </row>
    <row r="9" ht="15.75" customHeight="1"/>
    <row r="10" ht="15.75" customHeight="1">
      <c r="C10" t="s">
        <v>3</v>
      </c>
      <c r="J10" s="9" t="str">
        <f>HYPERLINK("https://isogg.org/tree/2018/index18.html","Main Page.")</f>
        <v>Main Page.</v>
      </c>
    </row>
    <row r="11" ht="15.75" customHeight="1">
      <c r="C11" t="s">
        <v>4</v>
      </c>
      <c r="H11" s="9" t="str">
        <f>HYPERLINK("https://isogg.org/tree/2018/index18.html","Main Page.")</f>
        <v>Main Page.</v>
      </c>
    </row>
    <row r="12" ht="15.75" customHeight="1">
      <c r="F12" s="10" t="str">
        <f>HYPERLINK("https://isogg.org/tree/ISOGG_YDNA_Version_History.html","Version History")</f>
        <v>Version History</v>
      </c>
      <c r="H12" t="s">
        <v>5</v>
      </c>
    </row>
    <row r="13" ht="15.75" customHeight="1"/>
    <row r="14" ht="15.75" customHeight="1">
      <c r="B14" s="11" t="s">
        <v>6</v>
      </c>
      <c r="C14" s="11"/>
      <c r="D14" s="11"/>
      <c r="E14" s="11"/>
      <c r="F14" s="11"/>
      <c r="G14" s="11"/>
      <c r="H14" s="11"/>
      <c r="I14" s="11"/>
      <c r="J14" s="11"/>
      <c r="K14" s="11"/>
      <c r="L14" s="11"/>
    </row>
    <row r="15" ht="15.75" customHeight="1">
      <c r="B15" s="11" t="s">
        <v>7</v>
      </c>
      <c r="C15" s="11"/>
      <c r="D15" s="11"/>
      <c r="E15" s="11"/>
      <c r="F15" s="11"/>
      <c r="G15" s="11"/>
      <c r="H15" s="11"/>
      <c r="I15" s="11"/>
      <c r="J15" s="12"/>
      <c r="K15" s="10" t="str">
        <f>HYPERLINK("mailto:dnagrouper2@gmail.com","Ray Banks")</f>
        <v>Ray Banks</v>
      </c>
    </row>
    <row r="16" ht="15.75" customHeight="1"/>
    <row r="17" ht="15.75" customHeight="1">
      <c r="A17" s="13" t="s">
        <v>8</v>
      </c>
      <c r="B17" s="14"/>
      <c r="C17" s="15" t="str">
        <f>HYPERLINK("https://isogg.org/tree/2018/index18.html","Main Page.")</f>
        <v>Main Page.</v>
      </c>
      <c r="D17" s="14"/>
      <c r="E17" s="14"/>
      <c r="F17" s="15" t="str">
        <f>HYPERLINK("https://docs.google.com/spreadsheets/d/1bYiTv-Zo2N2eynFJkhs8SRPMWWYMSBD4zwsRzagtp-c/edit#gid=0","Listing Criteria")</f>
        <v>Listing Criteria</v>
      </c>
      <c r="G17" s="14"/>
      <c r="H17" s="14"/>
      <c r="I17" s="16" t="str">
        <f>HYPERLINK("https://isogg.org/tree/2018/ISOGG_All_Papers18.html","Papers/Presentations Cited")</f>
        <v>Papers/Presentations Cited</v>
      </c>
      <c r="K17" s="16" t="str">
        <f>HYPERLINK("https://docs.google.com/spreadsheets/d/1fyWMHOYKcR-t77kV-cN79A6B5-aBpQS8Y7W5juVKLV8/edit#gid=1904113265","Y-DNA Tree Trunk")</f>
        <v>Y-DNA Tree Trunk</v>
      </c>
      <c r="L17" s="14"/>
    </row>
    <row r="18" ht="15.75" customHeight="1">
      <c r="B18" s="14"/>
      <c r="C18" s="14"/>
      <c r="D18" s="14"/>
      <c r="E18" s="14"/>
      <c r="F18" s="14"/>
      <c r="G18" s="15" t="str">
        <f>HYPERLINK("https://isogg.org/tree/2018/ISOGG_Glossary18.html","Glossary")</f>
        <v>Glossary</v>
      </c>
      <c r="H18" s="14"/>
      <c r="J18" s="15" t="str">
        <f>HYPERLINK("https://isogg.org/tree/2018/ISOGG_YDNA_SNP_Index18.html","SNP Index")</f>
        <v>SNP Index</v>
      </c>
      <c r="K18" s="14"/>
      <c r="L18" s="14"/>
      <c r="M18" t="s">
        <v>9</v>
      </c>
    </row>
    <row r="19" ht="15.75" customHeight="1">
      <c r="N19" t="s">
        <v>10</v>
      </c>
    </row>
    <row r="20" ht="15.75" customHeight="1">
      <c r="A20" s="13" t="s">
        <v>11</v>
      </c>
      <c r="D20" s="17" t="s">
        <v>12</v>
      </c>
      <c r="E20" s="14"/>
      <c r="F20" s="14"/>
      <c r="G20" s="14"/>
      <c r="H20" s="14"/>
      <c r="I20" s="14" t="s">
        <v>13</v>
      </c>
      <c r="J20" s="14"/>
      <c r="K20" s="14"/>
      <c r="L20" s="18" t="s">
        <v>14</v>
      </c>
      <c r="M20" s="14"/>
    </row>
    <row r="21" ht="15.75" customHeight="1"/>
    <row r="22" ht="15.75" customHeight="1">
      <c r="A22" s="13" t="s">
        <v>15</v>
      </c>
      <c r="D22" t="s">
        <v>16</v>
      </c>
    </row>
    <row r="23" ht="15.75" customHeight="1">
      <c r="D23" t="s">
        <v>17</v>
      </c>
    </row>
    <row r="24" ht="15.75" customHeight="1">
      <c r="D24" t="s">
        <v>18</v>
      </c>
    </row>
    <row r="25" ht="15.75" customHeight="1"/>
    <row r="26" ht="15.75" customHeight="1">
      <c r="A26" s="14"/>
      <c r="B26" s="19" t="s">
        <v>19</v>
      </c>
      <c r="M26" s="14"/>
      <c r="N26" s="14"/>
      <c r="O26" s="14"/>
      <c r="P26" s="14"/>
      <c r="Q26" s="14"/>
      <c r="R26" s="14"/>
      <c r="S26" s="14"/>
      <c r="T26" s="14"/>
      <c r="U26" s="14"/>
      <c r="V26" s="14"/>
      <c r="W26" s="14"/>
      <c r="X26" s="14"/>
      <c r="Y26" s="14"/>
      <c r="Z26" s="14"/>
      <c r="AA26" s="14"/>
      <c r="AB26" s="14"/>
      <c r="AC26" s="14"/>
      <c r="AD26" s="14"/>
      <c r="AE26" s="14"/>
      <c r="AF26" s="14"/>
      <c r="AG26" s="14"/>
    </row>
    <row r="27" ht="15.75" customHeight="1">
      <c r="A27" s="14"/>
      <c r="B27" s="20" t="s">
        <v>20</v>
      </c>
      <c r="M27" s="14"/>
      <c r="N27" s="14"/>
      <c r="O27" s="14"/>
      <c r="P27" s="14"/>
      <c r="Q27" s="14"/>
      <c r="R27" s="14"/>
      <c r="S27" s="14"/>
      <c r="T27" s="14"/>
      <c r="U27" s="14"/>
      <c r="V27" s="14"/>
      <c r="W27" s="14"/>
      <c r="X27" s="14"/>
      <c r="Y27" s="14"/>
      <c r="Z27" s="14"/>
      <c r="AA27" s="14"/>
      <c r="AB27" s="14"/>
      <c r="AC27" s="14"/>
      <c r="AD27" s="14"/>
      <c r="AE27" s="14"/>
      <c r="AF27" s="14"/>
      <c r="AG27" s="14"/>
    </row>
    <row r="28" ht="15.75" customHeight="1">
      <c r="A28" s="14"/>
      <c r="B28" s="20" t="s">
        <v>21</v>
      </c>
      <c r="M28" s="14"/>
      <c r="N28" s="14"/>
      <c r="O28" s="14"/>
      <c r="P28" s="14"/>
      <c r="Q28" s="14"/>
      <c r="R28" s="14"/>
      <c r="S28" s="14"/>
      <c r="T28" s="14"/>
      <c r="U28" s="14"/>
      <c r="V28" s="14"/>
      <c r="W28" s="14"/>
      <c r="X28" s="14"/>
      <c r="Y28" s="14"/>
      <c r="Z28" s="14"/>
      <c r="AA28" s="14"/>
      <c r="AB28" s="14"/>
      <c r="AC28" s="14"/>
      <c r="AD28" s="14"/>
      <c r="AE28" s="14"/>
      <c r="AF28" s="14"/>
      <c r="AG28" s="14"/>
    </row>
    <row r="29" ht="15.75" customHeight="1"/>
    <row r="30" ht="15.75" customHeight="1">
      <c r="B30" s="14"/>
      <c r="C30" s="14" t="s">
        <v>22</v>
      </c>
      <c r="D30" s="14"/>
      <c r="E30" s="14"/>
      <c r="F30" s="14"/>
      <c r="G30" s="21" t="str">
        <f>HYPERLINK("mailto:Gareth.Henson@hotmail.co.uk","Gareth Henson")</f>
        <v>Gareth Henson</v>
      </c>
    </row>
    <row r="31" ht="15.75" customHeight="1"/>
    <row r="32" ht="15.75" customHeight="1"/>
    <row r="33" ht="15.75" customHeight="1">
      <c r="A33" s="22" t="s">
        <v>23</v>
      </c>
      <c r="B33" s="23" t="s">
        <v>24</v>
      </c>
    </row>
    <row r="34" ht="15.75" customHeight="1">
      <c r="B34" s="22" t="s">
        <v>25</v>
      </c>
      <c r="C34" s="23" t="s">
        <v>26</v>
      </c>
    </row>
    <row r="35" ht="15.75" customHeight="1">
      <c r="B35" s="24" t="s">
        <v>27</v>
      </c>
      <c r="C35" s="25" t="s">
        <v>28</v>
      </c>
    </row>
    <row r="36" ht="15.75" customHeight="1">
      <c r="C36" s="22" t="s">
        <v>29</v>
      </c>
      <c r="D36" s="23" t="s">
        <v>30</v>
      </c>
    </row>
    <row r="37" ht="15.75" customHeight="1">
      <c r="D37" s="22" t="s">
        <v>31</v>
      </c>
      <c r="E37" s="23" t="s">
        <v>32</v>
      </c>
    </row>
    <row r="38" ht="15.75" customHeight="1">
      <c r="E38" s="22" t="s">
        <v>33</v>
      </c>
      <c r="F38" s="23" t="s">
        <v>34</v>
      </c>
    </row>
    <row r="39" ht="15.75" customHeight="1">
      <c r="F39" s="22" t="s">
        <v>35</v>
      </c>
      <c r="G39" s="13" t="s">
        <v>36</v>
      </c>
    </row>
    <row r="40" ht="15.75" customHeight="1">
      <c r="G40" s="22" t="s">
        <v>37</v>
      </c>
      <c r="H40" s="26" t="s">
        <v>38</v>
      </c>
    </row>
    <row r="41" ht="15.75" customHeight="1">
      <c r="H41" s="22" t="s">
        <v>39</v>
      </c>
      <c r="I41" s="26" t="s">
        <v>40</v>
      </c>
    </row>
    <row r="42" ht="15.75" customHeight="1">
      <c r="I42" s="22" t="s">
        <v>41</v>
      </c>
      <c r="J42" s="26" t="s">
        <v>42</v>
      </c>
    </row>
    <row r="43" ht="15.75" customHeight="1">
      <c r="J43" s="22" t="s">
        <v>43</v>
      </c>
      <c r="K43" s="26" t="s">
        <v>44</v>
      </c>
    </row>
    <row r="44" ht="15.75" customHeight="1">
      <c r="I44" s="22" t="s">
        <v>45</v>
      </c>
      <c r="J44" s="26" t="s">
        <v>46</v>
      </c>
    </row>
    <row r="45" ht="15.75" customHeight="1">
      <c r="J45" s="22" t="s">
        <v>47</v>
      </c>
      <c r="K45" s="26" t="s">
        <v>48</v>
      </c>
    </row>
    <row r="46" ht="15.75" customHeight="1">
      <c r="K46" s="22" t="s">
        <v>49</v>
      </c>
      <c r="L46" t="s">
        <v>50</v>
      </c>
    </row>
    <row r="47" ht="15.75" customHeight="1">
      <c r="G47" s="22" t="s">
        <v>51</v>
      </c>
      <c r="H47" s="26" t="s">
        <v>52</v>
      </c>
    </row>
    <row r="48" ht="15.75" customHeight="1">
      <c r="H48" s="22" t="s">
        <v>53</v>
      </c>
      <c r="I48" s="26" t="s">
        <v>54</v>
      </c>
    </row>
    <row r="49" ht="15.75" customHeight="1">
      <c r="I49" s="22" t="s">
        <v>55</v>
      </c>
      <c r="J49" s="26" t="s">
        <v>56</v>
      </c>
    </row>
    <row r="50" ht="15.75" customHeight="1">
      <c r="J50" s="22" t="s">
        <v>57</v>
      </c>
      <c r="K50" s="26" t="s">
        <v>58</v>
      </c>
    </row>
    <row r="51" ht="15.75" customHeight="1">
      <c r="H51" s="22" t="s">
        <v>59</v>
      </c>
      <c r="I51" s="13" t="s">
        <v>60</v>
      </c>
    </row>
    <row r="52" ht="15.75" customHeight="1">
      <c r="I52" s="22" t="s">
        <v>61</v>
      </c>
      <c r="J52" s="26" t="s">
        <v>62</v>
      </c>
    </row>
    <row r="53" ht="15.75" customHeight="1">
      <c r="J53" s="22" t="s">
        <v>63</v>
      </c>
      <c r="K53" s="26" t="s">
        <v>64</v>
      </c>
    </row>
    <row r="54" ht="15.75" customHeight="1">
      <c r="K54" s="22" t="s">
        <v>65</v>
      </c>
      <c r="L54" s="26" t="s">
        <v>66</v>
      </c>
    </row>
    <row r="55" ht="15.75" customHeight="1">
      <c r="K55" s="22" t="s">
        <v>67</v>
      </c>
      <c r="L55" s="26" t="s">
        <v>68</v>
      </c>
    </row>
    <row r="56" ht="15.75" customHeight="1">
      <c r="J56" s="22" t="s">
        <v>69</v>
      </c>
      <c r="K56" s="26" t="s">
        <v>70</v>
      </c>
    </row>
    <row r="57" ht="15.75" customHeight="1">
      <c r="K57" s="22" t="s">
        <v>71</v>
      </c>
      <c r="L57" s="26" t="s">
        <v>72</v>
      </c>
    </row>
    <row r="58" ht="15.75" customHeight="1">
      <c r="L58" s="22" t="s">
        <v>73</v>
      </c>
      <c r="M58" s="26" t="s">
        <v>74</v>
      </c>
    </row>
    <row r="59" ht="15.75" customHeight="1">
      <c r="M59" s="22" t="s">
        <v>75</v>
      </c>
      <c r="N59" s="26" t="s">
        <v>76</v>
      </c>
    </row>
    <row r="60" ht="15.75" customHeight="1">
      <c r="L60" s="22" t="s">
        <v>77</v>
      </c>
      <c r="M60" s="26" t="s">
        <v>78</v>
      </c>
    </row>
    <row r="61" ht="15.75" customHeight="1">
      <c r="M61" s="22" t="s">
        <v>79</v>
      </c>
      <c r="N61" s="26" t="s">
        <v>80</v>
      </c>
    </row>
    <row r="62" ht="15.75" customHeight="1">
      <c r="M62" s="22" t="s">
        <v>81</v>
      </c>
      <c r="N62" s="26" t="s">
        <v>82</v>
      </c>
    </row>
    <row r="63" ht="15.75" customHeight="1">
      <c r="N63" s="22" t="s">
        <v>83</v>
      </c>
      <c r="O63" s="26" t="s">
        <v>84</v>
      </c>
    </row>
    <row r="64" ht="15.75" customHeight="1">
      <c r="O64" s="22" t="s">
        <v>85</v>
      </c>
      <c r="P64" s="26" t="s">
        <v>86</v>
      </c>
    </row>
    <row r="65" ht="15.75" customHeight="1">
      <c r="N65" s="22" t="s">
        <v>87</v>
      </c>
      <c r="O65" s="27" t="s">
        <v>88</v>
      </c>
    </row>
    <row r="66" ht="15.75" customHeight="1">
      <c r="O66" s="22" t="s">
        <v>89</v>
      </c>
      <c r="P66" s="26" t="s">
        <v>90</v>
      </c>
    </row>
    <row r="67" ht="15.75" customHeight="1">
      <c r="I67" s="22" t="s">
        <v>91</v>
      </c>
      <c r="J67" t="s">
        <v>92</v>
      </c>
    </row>
    <row r="68" ht="15.75" customHeight="1">
      <c r="J68" s="22" t="s">
        <v>93</v>
      </c>
      <c r="K68" s="26" t="s">
        <v>94</v>
      </c>
    </row>
    <row r="69" ht="15.75" customHeight="1">
      <c r="K69" s="22" t="s">
        <v>95</v>
      </c>
      <c r="L69" s="26" t="s">
        <v>96</v>
      </c>
    </row>
    <row r="70" ht="15.75" customHeight="1">
      <c r="L70" s="22" t="s">
        <v>97</v>
      </c>
      <c r="M70" s="26" t="s">
        <v>98</v>
      </c>
    </row>
    <row r="71" ht="15.75" customHeight="1">
      <c r="J71" s="22" t="s">
        <v>99</v>
      </c>
      <c r="K71" t="s">
        <v>100</v>
      </c>
    </row>
    <row r="72" ht="15.75" customHeight="1">
      <c r="K72" s="22" t="s">
        <v>101</v>
      </c>
      <c r="L72" s="13" t="s">
        <v>102</v>
      </c>
    </row>
    <row r="73" ht="15.75" customHeight="1">
      <c r="K73" s="22" t="s">
        <v>103</v>
      </c>
      <c r="L73" s="13" t="s">
        <v>104</v>
      </c>
    </row>
    <row r="74" ht="15.75" customHeight="1">
      <c r="L74" s="22" t="s">
        <v>105</v>
      </c>
      <c r="M74" s="26" t="s">
        <v>106</v>
      </c>
    </row>
    <row r="75" ht="15.75" customHeight="1">
      <c r="M75" s="22" t="s">
        <v>107</v>
      </c>
      <c r="N75" t="s">
        <v>108</v>
      </c>
    </row>
    <row r="76" ht="15.75" customHeight="1">
      <c r="N76" s="22" t="s">
        <v>109</v>
      </c>
      <c r="O76" s="26" t="s">
        <v>110</v>
      </c>
    </row>
    <row r="77" ht="15.75" customHeight="1">
      <c r="O77" s="22" t="s">
        <v>111</v>
      </c>
      <c r="P77" s="13" t="s">
        <v>112</v>
      </c>
    </row>
    <row r="78" ht="15.75" customHeight="1">
      <c r="P78" s="22" t="s">
        <v>113</v>
      </c>
      <c r="Q78" s="13" t="s">
        <v>114</v>
      </c>
    </row>
    <row r="79" ht="15.75" customHeight="1">
      <c r="Q79" s="22" t="s">
        <v>115</v>
      </c>
      <c r="R79" s="26" t="s">
        <v>116</v>
      </c>
    </row>
    <row r="80" ht="15.75" customHeight="1">
      <c r="R80" s="22" t="s">
        <v>117</v>
      </c>
      <c r="S80" s="26" t="s">
        <v>118</v>
      </c>
    </row>
    <row r="81" ht="15.75" customHeight="1">
      <c r="Q81" s="22" t="s">
        <v>119</v>
      </c>
      <c r="R81" s="26" t="s">
        <v>120</v>
      </c>
    </row>
    <row r="82" ht="15.75" customHeight="1">
      <c r="R82" s="22" t="s">
        <v>121</v>
      </c>
      <c r="S82" s="26" t="s">
        <v>122</v>
      </c>
    </row>
    <row r="83" ht="15.75" customHeight="1">
      <c r="R83" s="22" t="s">
        <v>123</v>
      </c>
      <c r="S83" s="27" t="s">
        <v>124</v>
      </c>
    </row>
    <row r="84" ht="15.75" customHeight="1">
      <c r="S84" s="22" t="s">
        <v>125</v>
      </c>
      <c r="T84" s="26" t="s">
        <v>126</v>
      </c>
    </row>
    <row r="85" ht="15.75" customHeight="1">
      <c r="T85" s="22" t="s">
        <v>127</v>
      </c>
      <c r="U85" s="26" t="s">
        <v>128</v>
      </c>
    </row>
    <row r="86" ht="15.75" customHeight="1">
      <c r="Q86" s="22" t="s">
        <v>129</v>
      </c>
      <c r="R86" s="26" t="s">
        <v>130</v>
      </c>
    </row>
    <row r="87" ht="15.75" customHeight="1">
      <c r="P87" s="22" t="s">
        <v>131</v>
      </c>
      <c r="Q87" s="26" t="s">
        <v>132</v>
      </c>
    </row>
    <row r="88" ht="15.75" customHeight="1">
      <c r="P88" s="22" t="s">
        <v>133</v>
      </c>
      <c r="Q88" s="26" t="s">
        <v>134</v>
      </c>
    </row>
    <row r="89" ht="15.75" customHeight="1">
      <c r="P89" s="22" t="s">
        <v>135</v>
      </c>
      <c r="Q89" s="26" t="s">
        <v>136</v>
      </c>
    </row>
    <row r="90" ht="15.75" customHeight="1">
      <c r="G90" s="24" t="s">
        <v>137</v>
      </c>
      <c r="H90" s="25" t="s">
        <v>138</v>
      </c>
    </row>
    <row r="91" ht="15.75" customHeight="1">
      <c r="H91" s="24" t="s">
        <v>139</v>
      </c>
      <c r="I91" s="25" t="s">
        <v>140</v>
      </c>
    </row>
    <row r="92" ht="15.75" customHeight="1">
      <c r="F92" s="22" t="s">
        <v>141</v>
      </c>
      <c r="G92" s="26" t="s">
        <v>142</v>
      </c>
    </row>
    <row r="93" ht="15.75" customHeight="1">
      <c r="G93" s="22" t="s">
        <v>143</v>
      </c>
      <c r="H93" s="26" t="s">
        <v>144</v>
      </c>
    </row>
    <row r="94" ht="15.75" customHeight="1">
      <c r="D94" s="22" t="s">
        <v>145</v>
      </c>
      <c r="E94" t="s">
        <v>146</v>
      </c>
    </row>
    <row r="95" ht="15.75" customHeight="1">
      <c r="D95" s="24" t="s">
        <v>147</v>
      </c>
      <c r="E95" s="28" t="s">
        <v>148</v>
      </c>
    </row>
    <row r="96" ht="15.75" customHeight="1">
      <c r="E96" s="22" t="s">
        <v>149</v>
      </c>
      <c r="F96" s="26" t="s">
        <v>150</v>
      </c>
    </row>
    <row r="97" ht="15.75" customHeight="1">
      <c r="F97" s="22" t="s">
        <v>151</v>
      </c>
      <c r="G97" t="s">
        <v>152</v>
      </c>
    </row>
    <row r="98" ht="15.75" customHeight="1">
      <c r="E98" s="22" t="s">
        <v>153</v>
      </c>
      <c r="F98" t="s">
        <v>154</v>
      </c>
    </row>
    <row r="99" ht="15.75" customHeight="1">
      <c r="F99" s="22" t="s">
        <v>155</v>
      </c>
      <c r="G99" s="29" t="s">
        <v>156</v>
      </c>
    </row>
    <row r="100" ht="15.75" customHeight="1">
      <c r="G100" s="22" t="s">
        <v>157</v>
      </c>
      <c r="H100" s="30" t="s">
        <v>158</v>
      </c>
    </row>
    <row r="101" ht="15.75" customHeight="1">
      <c r="H101" s="22" t="s">
        <v>159</v>
      </c>
      <c r="I101" s="29" t="s">
        <v>160</v>
      </c>
    </row>
    <row r="102" ht="15.75" customHeight="1">
      <c r="I102" s="22" t="s">
        <v>161</v>
      </c>
      <c r="J102" s="26" t="s">
        <v>162</v>
      </c>
    </row>
    <row r="103" ht="15.75" customHeight="1">
      <c r="F103" s="22" t="s">
        <v>163</v>
      </c>
      <c r="G103" s="26" t="s">
        <v>164</v>
      </c>
    </row>
    <row r="104" ht="15.75" customHeight="1">
      <c r="G104" s="22" t="s">
        <v>165</v>
      </c>
      <c r="H104" s="26" t="s">
        <v>166</v>
      </c>
    </row>
    <row r="105" ht="15.75" customHeight="1">
      <c r="D105" s="22" t="s">
        <v>167</v>
      </c>
      <c r="E105" s="27" t="s">
        <v>168</v>
      </c>
    </row>
    <row r="106" ht="15.75" customHeight="1">
      <c r="E106" s="22" t="s">
        <v>169</v>
      </c>
      <c r="F106" s="26" t="s">
        <v>170</v>
      </c>
    </row>
    <row r="107" ht="15.75" customHeight="1">
      <c r="E107" s="22" t="s">
        <v>171</v>
      </c>
      <c r="F107" s="26" t="s">
        <v>172</v>
      </c>
    </row>
    <row r="108" ht="15.75" customHeight="1">
      <c r="F108" s="22" t="s">
        <v>173</v>
      </c>
      <c r="G108" s="13" t="s">
        <v>174</v>
      </c>
    </row>
    <row r="109" ht="15.75" customHeight="1">
      <c r="G109" s="22" t="s">
        <v>175</v>
      </c>
      <c r="H109" s="26" t="s">
        <v>176</v>
      </c>
    </row>
    <row r="110" ht="15.75" customHeight="1">
      <c r="F110" s="22" t="s">
        <v>177</v>
      </c>
      <c r="G110" s="26" t="s">
        <v>178</v>
      </c>
    </row>
    <row r="111" ht="15.75" customHeight="1">
      <c r="G111" s="22" t="s">
        <v>179</v>
      </c>
      <c r="H111" s="26" t="s">
        <v>180</v>
      </c>
    </row>
    <row r="112" ht="15.75" customHeight="1">
      <c r="H112" s="22" t="s">
        <v>181</v>
      </c>
      <c r="I112" s="26" t="s">
        <v>182</v>
      </c>
    </row>
    <row r="113" ht="15.75" customHeight="1">
      <c r="I113" s="22" t="s">
        <v>183</v>
      </c>
      <c r="J113" s="26" t="s">
        <v>184</v>
      </c>
    </row>
    <row r="114" ht="15.75" customHeight="1">
      <c r="I114" s="22" t="s">
        <v>185</v>
      </c>
      <c r="J114" s="27" t="s">
        <v>186</v>
      </c>
    </row>
    <row r="115" ht="15.75" customHeight="1">
      <c r="J115" s="22" t="s">
        <v>187</v>
      </c>
      <c r="K115" s="26" t="s">
        <v>188</v>
      </c>
    </row>
    <row r="116" ht="15.75" customHeight="1">
      <c r="B116" s="22" t="s">
        <v>189</v>
      </c>
      <c r="C116" s="30" t="s">
        <v>190</v>
      </c>
    </row>
    <row r="117" ht="15.75" customHeight="1"/>
    <row r="118" ht="15.75" customHeight="1">
      <c r="B118" s="31" t="s">
        <v>191</v>
      </c>
      <c r="C118" s="32"/>
      <c r="D118" s="32"/>
      <c r="E118" s="32"/>
      <c r="F118" s="32"/>
      <c r="G118" s="32"/>
      <c r="H118" s="33"/>
    </row>
    <row r="119" ht="15.75" customHeight="1"/>
    <row r="120" ht="15.75" customHeight="1"/>
    <row r="121" ht="15.75" customHeight="1">
      <c r="A121" s="34" t="s">
        <v>192</v>
      </c>
    </row>
    <row r="122" ht="15.75" customHeight="1">
      <c r="A122" s="35" t="s">
        <v>193</v>
      </c>
    </row>
    <row r="123" ht="15.75" customHeight="1">
      <c r="A123" s="35" t="s">
        <v>194</v>
      </c>
    </row>
    <row r="124" ht="15.75" customHeight="1">
      <c r="B124" s="36" t="s">
        <v>195</v>
      </c>
    </row>
    <row r="125" ht="15.75" customHeight="1">
      <c r="C125" s="37" t="s">
        <v>196</v>
      </c>
    </row>
    <row r="126" ht="15.75" customHeight="1">
      <c r="C126" s="35" t="s">
        <v>197</v>
      </c>
    </row>
    <row r="127" ht="15.75" customHeight="1">
      <c r="C127" s="35"/>
      <c r="D127" s="36" t="s">
        <v>198</v>
      </c>
    </row>
    <row r="128" ht="15.75" customHeight="1">
      <c r="C128" s="35" t="s">
        <v>199</v>
      </c>
    </row>
    <row r="129" ht="15.75" customHeight="1">
      <c r="C129" s="35"/>
      <c r="D129" s="36" t="s">
        <v>200</v>
      </c>
    </row>
    <row r="130" ht="15.75" customHeight="1">
      <c r="C130" s="35" t="s">
        <v>201</v>
      </c>
    </row>
    <row r="131" ht="15.75" customHeight="1">
      <c r="C131" s="35" t="s">
        <v>202</v>
      </c>
    </row>
    <row r="132" ht="15.75" customHeight="1">
      <c r="C132" s="35" t="s">
        <v>203</v>
      </c>
      <c r="D132" s="35"/>
      <c r="E132" s="35"/>
      <c r="F132" s="35"/>
      <c r="G132" s="35"/>
      <c r="H132" s="35"/>
      <c r="I132" s="35"/>
      <c r="J132" s="35"/>
      <c r="K132" s="35"/>
      <c r="L132" s="35"/>
      <c r="M132" s="35"/>
    </row>
    <row r="133" ht="15.75" customHeight="1"/>
    <row r="134" ht="15.75" customHeight="1">
      <c r="A134" s="38" t="s">
        <v>204</v>
      </c>
      <c r="M134" s="38"/>
    </row>
    <row r="135" ht="15.75" customHeight="1"/>
    <row r="136" ht="15.75" customHeight="1">
      <c r="A136" s="34" t="s">
        <v>205</v>
      </c>
    </row>
    <row r="137" ht="15.75" customHeight="1">
      <c r="A137" s="39" t="s">
        <v>206</v>
      </c>
    </row>
    <row r="138" ht="15.75" customHeight="1">
      <c r="A138" s="39" t="s">
        <v>207</v>
      </c>
    </row>
    <row r="139" ht="15.75" customHeight="1">
      <c r="A139" s="39" t="s">
        <v>208</v>
      </c>
    </row>
    <row r="140" ht="15.75" customHeight="1">
      <c r="A140" s="39" t="s">
        <v>209</v>
      </c>
    </row>
    <row r="141" ht="15.75" customHeight="1">
      <c r="A141" s="39" t="s">
        <v>210</v>
      </c>
    </row>
    <row r="142" ht="15.75" customHeight="1">
      <c r="A142" s="39" t="s">
        <v>211</v>
      </c>
    </row>
    <row r="143" ht="15.75" customHeight="1">
      <c r="A143" s="39" t="s">
        <v>212</v>
      </c>
    </row>
    <row r="144" ht="15.75" customHeight="1">
      <c r="A144" s="39" t="s">
        <v>213</v>
      </c>
    </row>
    <row r="145" ht="15.75" customHeight="1">
      <c r="A145" s="39" t="s">
        <v>214</v>
      </c>
    </row>
    <row r="146" ht="15.75" customHeight="1">
      <c r="A146" s="39" t="s">
        <v>215</v>
      </c>
    </row>
    <row r="147" ht="15.75" customHeight="1">
      <c r="A147" s="39" t="s">
        <v>216</v>
      </c>
    </row>
    <row r="148" ht="15.75" customHeight="1">
      <c r="A148" s="39" t="s">
        <v>217</v>
      </c>
    </row>
    <row r="149" ht="15.75" customHeight="1">
      <c r="A149" s="39" t="s">
        <v>218</v>
      </c>
    </row>
    <row r="150" ht="15.75" customHeight="1">
      <c r="A150" s="39" t="s">
        <v>219</v>
      </c>
    </row>
    <row r="151" ht="15.75" customHeight="1">
      <c r="A151" s="39" t="s">
        <v>220</v>
      </c>
    </row>
    <row r="152" ht="15.75" customHeight="1">
      <c r="A152" s="39" t="s">
        <v>221</v>
      </c>
    </row>
    <row r="153" ht="15.75" customHeight="1">
      <c r="A153" s="39" t="s">
        <v>222</v>
      </c>
    </row>
    <row r="154" ht="15.75" customHeight="1">
      <c r="A154" s="39" t="s">
        <v>223</v>
      </c>
    </row>
    <row r="155" ht="15.75" customHeight="1"/>
    <row r="156" ht="15.75" customHeight="1">
      <c r="A156" s="34" t="s">
        <v>224</v>
      </c>
    </row>
    <row r="157" ht="15.75" customHeight="1">
      <c r="A157" s="39" t="s">
        <v>225</v>
      </c>
      <c r="D157" s="35" t="s">
        <v>226</v>
      </c>
    </row>
    <row r="158" ht="15.75" customHeight="1">
      <c r="A158" s="39" t="s">
        <v>227</v>
      </c>
      <c r="H158" s="35" t="s">
        <v>228</v>
      </c>
    </row>
    <row r="159" ht="15.75" customHeight="1"/>
    <row r="160" ht="15.75" customHeight="1">
      <c r="A160" s="34" t="s">
        <v>229</v>
      </c>
    </row>
    <row r="161" ht="15.75" customHeight="1">
      <c r="B161" t="s">
        <v>230</v>
      </c>
    </row>
    <row r="162" ht="15.75" customHeight="1"/>
    <row r="163" ht="15.75" customHeight="1">
      <c r="A163" s="14" t="s">
        <v>231</v>
      </c>
    </row>
    <row r="164" ht="15.75" customHeight="1">
      <c r="B164" s="40" t="str">
        <f>HYPERLINK("https://isogg.org/tree/2018/index18.html","Main Page")</f>
        <v>Main Page</v>
      </c>
    </row>
    <row r="165" ht="15.75" customHeight="1">
      <c r="B165" s="40" t="str">
        <f>HYPERLINK("https://docs.google.com/spreadsheets/d/1fyWMHOYKcR-t77kV-cN79A6B5-aBpQS8Y7W5juVKLV8/edit#gid=1904113265","Y-DNA Tree Trunk")</f>
        <v>Y-DNA Tree Trunk</v>
      </c>
    </row>
    <row r="166" ht="15.75" customHeight="1">
      <c r="B166" s="40" t="str">
        <f>HYPERLINK("https://isogg.org/tree/2018/ISOGG_YDNA_SNP_Index18.html","SNP Index")</f>
        <v>SNP Index</v>
      </c>
    </row>
    <row r="167" ht="15.75" customHeight="1">
      <c r="B167" s="40" t="str">
        <f>HYPERLINK("https://isogg.org/tree/2018/ISOGG_All_Papers18.html","Papers/Presentations Cited")</f>
        <v>Papers/Presentations Cited</v>
      </c>
    </row>
    <row r="168" ht="15.75" customHeight="1">
      <c r="B168" s="40" t="str">
        <f>HYPERLINK("https://isogg.org/tree/2018/ISOGG_Glossary18.html","Glossary")</f>
        <v>Glossary</v>
      </c>
    </row>
    <row r="169" ht="15.75" customHeight="1">
      <c r="B169" s="40" t="str">
        <f>HYPERLINK("https://docs.google.com/spreadsheets/d/1bYiTv-Zo2N2eynFJkhs8SRPMWWYMSBD4zwsRzagtp-c/edit#gid=0","Listing Criteria")</f>
        <v>Listing Criteria</v>
      </c>
    </row>
    <row r="170" ht="15.75" customHeight="1"/>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row>
    <row r="172" ht="15.75" customHeight="1">
      <c r="A172" s="42" t="s">
        <v>232</v>
      </c>
      <c r="B172" s="43"/>
      <c r="C172" s="43"/>
      <c r="D172" s="43"/>
      <c r="E172" s="43"/>
      <c r="F172" s="44"/>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row>
    <row r="173" ht="15.75" customHeight="1">
      <c r="A173" s="41"/>
      <c r="B173" s="41"/>
      <c r="C173" s="41"/>
      <c r="D173" s="41"/>
      <c r="E173" s="41"/>
      <c r="F173" s="41"/>
      <c r="G173" s="41"/>
      <c r="H173" s="41"/>
      <c r="I173" s="41"/>
      <c r="J173" s="45" t="s">
        <v>233</v>
      </c>
      <c r="K173" s="46" t="s">
        <v>234</v>
      </c>
      <c r="L173" s="41"/>
      <c r="M173" s="41"/>
      <c r="N173" s="41"/>
      <c r="O173" s="41"/>
      <c r="P173" s="41"/>
      <c r="Q173" s="41"/>
      <c r="R173" s="41"/>
      <c r="S173" s="41"/>
      <c r="T173" s="41"/>
      <c r="U173" s="41"/>
      <c r="V173" s="41"/>
      <c r="W173" s="41"/>
      <c r="X173" s="41"/>
      <c r="Y173" s="41"/>
      <c r="Z173" s="41"/>
      <c r="AA173" s="41"/>
      <c r="AB173" s="41"/>
      <c r="AC173" s="41"/>
      <c r="AD173" s="41"/>
      <c r="AE173" s="41"/>
      <c r="AF173" s="41"/>
      <c r="AG173" s="41"/>
    </row>
    <row r="174" ht="15.75" customHeight="1">
      <c r="A174" s="41"/>
      <c r="B174" s="41"/>
      <c r="C174" s="41"/>
      <c r="D174" s="41"/>
      <c r="E174" s="41"/>
      <c r="F174" s="41"/>
      <c r="G174" s="41"/>
      <c r="H174" s="41"/>
      <c r="I174" s="41"/>
      <c r="J174" s="41" t="s">
        <v>233</v>
      </c>
      <c r="K174" s="47" t="s">
        <v>235</v>
      </c>
      <c r="L174" s="47" t="s">
        <v>236</v>
      </c>
      <c r="M174" s="47" t="s">
        <v>237</v>
      </c>
      <c r="N174" s="47" t="s">
        <v>238</v>
      </c>
      <c r="O174" s="47" t="s">
        <v>239</v>
      </c>
      <c r="P174" s="47" t="s">
        <v>240</v>
      </c>
      <c r="Q174" s="47" t="s">
        <v>241</v>
      </c>
      <c r="R174" s="41"/>
      <c r="S174" s="41"/>
      <c r="T174" s="41"/>
      <c r="U174" s="41"/>
      <c r="V174" s="41"/>
      <c r="W174" s="41"/>
      <c r="X174" s="41"/>
      <c r="Y174" s="41"/>
      <c r="Z174" s="41"/>
      <c r="AA174" s="41"/>
      <c r="AB174" s="41"/>
      <c r="AC174" s="41"/>
      <c r="AD174" s="41"/>
      <c r="AE174" s="41"/>
      <c r="AF174" s="41"/>
    </row>
    <row r="175" ht="15.75" customHeight="1">
      <c r="A175" s="41"/>
      <c r="B175" s="41"/>
      <c r="C175" s="41" t="s">
        <v>233</v>
      </c>
      <c r="D175" s="41" t="s">
        <v>233</v>
      </c>
      <c r="E175" s="42" t="s">
        <v>232</v>
      </c>
      <c r="F175" s="43"/>
      <c r="G175" s="43"/>
      <c r="H175" s="43"/>
      <c r="I175" s="43"/>
      <c r="J175" s="44"/>
      <c r="K175" s="48" t="s">
        <v>242</v>
      </c>
      <c r="L175" s="48" t="str">
        <f>A33</f>
        <v>T</v>
      </c>
      <c r="M175" s="48" t="s">
        <v>243</v>
      </c>
      <c r="N175" s="49" t="s">
        <v>244</v>
      </c>
      <c r="O175" s="50">
        <v>1.4898163E7</v>
      </c>
      <c r="P175" s="50">
        <v>1.2786229E7</v>
      </c>
      <c r="Q175" s="48" t="s">
        <v>245</v>
      </c>
      <c r="R175" s="41"/>
      <c r="S175" s="41"/>
      <c r="T175" s="41"/>
      <c r="U175" s="41"/>
      <c r="V175" s="41"/>
      <c r="W175" s="41"/>
      <c r="X175" s="41"/>
      <c r="Y175" s="41"/>
      <c r="Z175" s="41"/>
      <c r="AA175" s="41"/>
      <c r="AB175" s="41"/>
      <c r="AC175" s="41"/>
      <c r="AD175" s="41"/>
      <c r="AE175" s="41"/>
      <c r="AF175" s="41"/>
    </row>
    <row r="176" ht="15.75" customHeight="1">
      <c r="A176" s="41"/>
      <c r="B176" s="41"/>
      <c r="C176" s="41"/>
      <c r="D176" s="41"/>
      <c r="E176" s="41"/>
      <c r="F176" s="41"/>
      <c r="G176" s="41"/>
      <c r="H176" s="41"/>
      <c r="I176" s="41"/>
      <c r="J176" s="41"/>
      <c r="K176" s="48" t="s">
        <v>246</v>
      </c>
      <c r="L176" s="48" t="str">
        <f>A33</f>
        <v>T</v>
      </c>
      <c r="M176" s="48" t="s">
        <v>247</v>
      </c>
      <c r="N176" s="48" t="s">
        <v>244</v>
      </c>
      <c r="O176" s="51">
        <v>1.4898163E7</v>
      </c>
      <c r="P176" s="51">
        <v>1.2786229E7</v>
      </c>
      <c r="Q176" s="48" t="s">
        <v>245</v>
      </c>
      <c r="R176" s="41"/>
      <c r="S176" s="41"/>
      <c r="T176" s="41"/>
      <c r="U176" s="41"/>
      <c r="V176" s="41"/>
      <c r="W176" s="41"/>
      <c r="X176" s="41"/>
      <c r="Y176" s="41"/>
      <c r="Z176" s="41"/>
      <c r="AA176" s="41"/>
      <c r="AB176" s="41"/>
      <c r="AC176" s="41"/>
      <c r="AD176" s="41"/>
      <c r="AE176" s="41"/>
      <c r="AF176" s="41"/>
    </row>
    <row r="177" ht="15.75" customHeight="1">
      <c r="K177" t="s">
        <v>248</v>
      </c>
      <c r="L177" t="str">
        <f>A33</f>
        <v>T</v>
      </c>
      <c r="M177" t="s">
        <v>249</v>
      </c>
      <c r="N177" t="s">
        <v>244</v>
      </c>
      <c r="O177">
        <v>1.4898163E7</v>
      </c>
      <c r="P177">
        <v>1.2786229E7</v>
      </c>
      <c r="Q177" t="s">
        <v>245</v>
      </c>
      <c r="R177" s="41"/>
      <c r="S177" s="41"/>
      <c r="T177" s="41"/>
      <c r="U177" s="41"/>
      <c r="V177" s="41"/>
      <c r="W177" s="41"/>
      <c r="X177" s="41"/>
      <c r="Y177" s="41"/>
      <c r="Z177" s="41"/>
      <c r="AA177" s="41"/>
      <c r="AB177" s="41"/>
      <c r="AC177" s="41"/>
      <c r="AD177" s="41"/>
    </row>
    <row r="178" ht="15.75" customHeight="1">
      <c r="K178" t="s">
        <v>250</v>
      </c>
      <c r="L178" t="str">
        <f>A33</f>
        <v>T</v>
      </c>
      <c r="N178" t="s">
        <v>251</v>
      </c>
      <c r="O178">
        <v>2765271.0</v>
      </c>
      <c r="P178">
        <v>2897230.0</v>
      </c>
      <c r="Q178" t="s">
        <v>252</v>
      </c>
      <c r="R178" s="41"/>
      <c r="S178" s="41"/>
      <c r="T178" s="41"/>
      <c r="U178" s="41"/>
      <c r="V178" s="41"/>
      <c r="W178" s="41"/>
      <c r="X178" s="41"/>
      <c r="Y178" s="41"/>
      <c r="Z178" s="41"/>
      <c r="AA178" s="41"/>
      <c r="AB178" s="41"/>
      <c r="AC178" s="41"/>
      <c r="AD178" s="41"/>
    </row>
    <row r="179" ht="15.75" customHeight="1">
      <c r="K179" t="s">
        <v>253</v>
      </c>
      <c r="L179" t="str">
        <f>A33</f>
        <v>T</v>
      </c>
      <c r="M179" t="s">
        <v>254</v>
      </c>
      <c r="N179" t="s">
        <v>255</v>
      </c>
      <c r="O179">
        <v>6781398.0</v>
      </c>
      <c r="P179">
        <v>6913357.0</v>
      </c>
      <c r="Q179" t="s">
        <v>256</v>
      </c>
      <c r="R179" s="41"/>
      <c r="S179" s="41"/>
      <c r="T179" s="41"/>
      <c r="U179" s="41"/>
      <c r="V179" s="41"/>
      <c r="W179" s="41"/>
      <c r="X179" s="41"/>
      <c r="Y179" s="41"/>
      <c r="Z179" s="41"/>
      <c r="AA179" s="41"/>
      <c r="AB179" s="41"/>
      <c r="AC179" s="41"/>
      <c r="AD179" s="41"/>
    </row>
    <row r="180" ht="15.75" customHeight="1">
      <c r="K180" t="s">
        <v>254</v>
      </c>
      <c r="L180" t="str">
        <f>A33</f>
        <v>T</v>
      </c>
      <c r="M180" t="s">
        <v>253</v>
      </c>
      <c r="N180" t="s">
        <v>255</v>
      </c>
      <c r="O180">
        <v>6781398.0</v>
      </c>
      <c r="P180">
        <v>6913357.0</v>
      </c>
      <c r="Q180" t="s">
        <v>256</v>
      </c>
      <c r="R180" s="41"/>
      <c r="S180" s="41"/>
      <c r="T180" s="41"/>
      <c r="U180" s="41"/>
      <c r="V180" s="41"/>
      <c r="W180" s="41"/>
      <c r="X180" s="41"/>
      <c r="Y180" s="41"/>
      <c r="Z180" s="41"/>
      <c r="AA180" s="41"/>
      <c r="AB180" s="41"/>
      <c r="AC180" s="41"/>
      <c r="AD180" s="41"/>
    </row>
    <row r="181" ht="15.75" customHeight="1">
      <c r="K181" t="s">
        <v>257</v>
      </c>
      <c r="L181" t="str">
        <f>A33</f>
        <v>T</v>
      </c>
      <c r="M181" t="s">
        <v>258</v>
      </c>
      <c r="N181" t="s">
        <v>259</v>
      </c>
      <c r="O181">
        <v>6794129.0</v>
      </c>
      <c r="P181">
        <v>6926088.0</v>
      </c>
      <c r="Q181" t="s">
        <v>245</v>
      </c>
      <c r="R181" s="41"/>
      <c r="S181" s="41"/>
      <c r="T181" s="41"/>
      <c r="U181" s="41"/>
      <c r="V181" s="41"/>
      <c r="W181" s="41"/>
      <c r="X181" s="41"/>
      <c r="Y181" s="41"/>
      <c r="Z181" s="41"/>
      <c r="AA181" s="41"/>
      <c r="AB181" s="41"/>
      <c r="AC181" s="41"/>
      <c r="AD181" s="41"/>
    </row>
    <row r="182" ht="15.75" customHeight="1">
      <c r="K182" t="s">
        <v>258</v>
      </c>
      <c r="L182" t="str">
        <f>A33</f>
        <v>T</v>
      </c>
      <c r="M182" t="s">
        <v>257</v>
      </c>
      <c r="N182" t="s">
        <v>259</v>
      </c>
      <c r="O182">
        <v>6794129.0</v>
      </c>
      <c r="P182">
        <v>6926088.0</v>
      </c>
      <c r="Q182" t="s">
        <v>245</v>
      </c>
      <c r="R182" s="41"/>
      <c r="S182" s="41"/>
      <c r="T182" s="41"/>
      <c r="U182" s="41"/>
      <c r="V182" s="41"/>
      <c r="W182" s="41"/>
      <c r="X182" s="41"/>
      <c r="Y182" s="41"/>
      <c r="Z182" s="41"/>
      <c r="AA182" s="41"/>
      <c r="AB182" s="41"/>
      <c r="AC182" s="41"/>
      <c r="AD182" s="41"/>
    </row>
    <row r="183" ht="15.75" customHeight="1">
      <c r="K183" t="s">
        <v>260</v>
      </c>
      <c r="L183" t="str">
        <f>A33</f>
        <v>T</v>
      </c>
      <c r="M183" t="s">
        <v>261</v>
      </c>
      <c r="N183" t="s">
        <v>262</v>
      </c>
      <c r="O183">
        <v>6835512.0</v>
      </c>
      <c r="P183">
        <v>6967471.0</v>
      </c>
      <c r="Q183" t="s">
        <v>245</v>
      </c>
      <c r="R183" s="41"/>
      <c r="S183" s="41"/>
      <c r="T183" s="41"/>
      <c r="U183" s="41"/>
      <c r="V183" s="41"/>
      <c r="W183" s="41"/>
      <c r="X183" s="41"/>
      <c r="Y183" s="41"/>
      <c r="Z183" s="41"/>
      <c r="AA183" s="41"/>
      <c r="AB183" s="41"/>
      <c r="AC183" s="41"/>
      <c r="AD183" s="41"/>
    </row>
    <row r="184" ht="15.75" customHeight="1">
      <c r="K184" t="s">
        <v>263</v>
      </c>
      <c r="L184" t="str">
        <f>A33</f>
        <v>T</v>
      </c>
      <c r="M184" t="s">
        <v>264</v>
      </c>
      <c r="N184" t="s">
        <v>262</v>
      </c>
      <c r="O184">
        <v>6835512.0</v>
      </c>
      <c r="P184">
        <v>6967471.0</v>
      </c>
      <c r="Q184" t="s">
        <v>245</v>
      </c>
      <c r="R184" s="41"/>
      <c r="S184" s="41"/>
      <c r="T184" s="41"/>
      <c r="U184" s="41"/>
      <c r="V184" s="41"/>
      <c r="W184" s="41"/>
      <c r="X184" s="41"/>
      <c r="Y184" s="41"/>
      <c r="Z184" s="41"/>
      <c r="AA184" s="41"/>
      <c r="AB184" s="41"/>
      <c r="AC184" s="41"/>
      <c r="AD184" s="41"/>
    </row>
    <row r="185" ht="15.75" customHeight="1">
      <c r="K185" t="s">
        <v>265</v>
      </c>
      <c r="L185" t="str">
        <f>A33</f>
        <v>T</v>
      </c>
      <c r="M185" t="s">
        <v>266</v>
      </c>
      <c r="N185" t="s">
        <v>262</v>
      </c>
      <c r="O185">
        <v>6835512.0</v>
      </c>
      <c r="P185">
        <v>6967471.0</v>
      </c>
      <c r="Q185" t="s">
        <v>245</v>
      </c>
      <c r="R185" s="41"/>
      <c r="S185" s="41"/>
      <c r="T185" s="41"/>
      <c r="U185" s="41"/>
      <c r="V185" s="41"/>
      <c r="W185" s="41"/>
      <c r="X185" s="41"/>
      <c r="Y185" s="41"/>
      <c r="Z185" s="41"/>
      <c r="AA185" s="41"/>
      <c r="AB185" s="41"/>
      <c r="AC185" s="41"/>
      <c r="AD185" s="41"/>
    </row>
    <row r="186" ht="15.75" customHeight="1">
      <c r="K186" t="s">
        <v>267</v>
      </c>
      <c r="L186" t="str">
        <f>A33</f>
        <v>T</v>
      </c>
      <c r="N186" t="s">
        <v>268</v>
      </c>
      <c r="O186">
        <v>6854139.0</v>
      </c>
      <c r="P186">
        <v>6986098.0</v>
      </c>
      <c r="Q186" t="s">
        <v>256</v>
      </c>
      <c r="R186" s="41"/>
      <c r="S186" s="41"/>
      <c r="T186" s="41"/>
      <c r="U186" s="41"/>
      <c r="V186" s="41"/>
      <c r="W186" s="41"/>
      <c r="X186" s="41"/>
      <c r="Y186" s="41"/>
      <c r="Z186" s="41"/>
      <c r="AA186" s="41"/>
      <c r="AB186" s="41"/>
      <c r="AC186" s="41"/>
      <c r="AD186" s="41"/>
    </row>
    <row r="187" ht="15.75" customHeight="1">
      <c r="K187" t="s">
        <v>269</v>
      </c>
      <c r="L187" t="str">
        <f>A33</f>
        <v>T</v>
      </c>
      <c r="M187" t="s">
        <v>270</v>
      </c>
      <c r="N187" t="s">
        <v>271</v>
      </c>
      <c r="O187">
        <v>1.5046891E7</v>
      </c>
      <c r="P187">
        <v>1.2934981E7</v>
      </c>
      <c r="Q187" t="s">
        <v>272</v>
      </c>
      <c r="R187" s="41"/>
      <c r="S187" s="41"/>
      <c r="T187" s="41"/>
      <c r="U187" s="41"/>
      <c r="V187" s="41"/>
      <c r="W187" s="41"/>
      <c r="X187" s="41"/>
      <c r="Y187" s="41"/>
      <c r="Z187" s="41"/>
      <c r="AA187" s="41"/>
      <c r="AB187" s="41"/>
      <c r="AC187" s="41"/>
      <c r="AD187" s="41"/>
    </row>
    <row r="188" ht="15.75" customHeight="1">
      <c r="K188" t="s">
        <v>270</v>
      </c>
      <c r="L188" t="str">
        <f>A33</f>
        <v>T</v>
      </c>
      <c r="M188" t="s">
        <v>269</v>
      </c>
      <c r="N188" t="s">
        <v>271</v>
      </c>
      <c r="O188">
        <v>1.5046891E7</v>
      </c>
      <c r="P188">
        <v>1.2934981E7</v>
      </c>
      <c r="Q188" t="s">
        <v>272</v>
      </c>
      <c r="R188" s="41"/>
      <c r="S188" s="41"/>
      <c r="T188" s="41"/>
      <c r="U188" s="41"/>
      <c r="V188" s="41"/>
      <c r="W188" s="41"/>
      <c r="X188" s="41"/>
      <c r="Y188" s="41"/>
      <c r="Z188" s="41"/>
      <c r="AA188" s="41"/>
      <c r="AB188" s="41"/>
      <c r="AC188" s="41"/>
      <c r="AD188" s="41"/>
    </row>
    <row r="189" ht="15.75" customHeight="1">
      <c r="K189" t="s">
        <v>273</v>
      </c>
      <c r="L189" t="str">
        <f>A33</f>
        <v>T</v>
      </c>
      <c r="N189" t="s">
        <v>274</v>
      </c>
      <c r="O189">
        <v>1.5219813E7</v>
      </c>
      <c r="P189">
        <v>1.3107899E7</v>
      </c>
      <c r="Q189" t="s">
        <v>275</v>
      </c>
      <c r="R189" s="41"/>
      <c r="S189" s="41"/>
      <c r="T189" s="41"/>
      <c r="U189" s="41"/>
      <c r="V189" s="41"/>
      <c r="W189" s="41"/>
      <c r="X189" s="41"/>
      <c r="Y189" s="41"/>
      <c r="Z189" s="41"/>
      <c r="AA189" s="41"/>
      <c r="AB189" s="41"/>
      <c r="AC189" s="41"/>
      <c r="AD189" s="41"/>
    </row>
    <row r="190" ht="15.75" customHeight="1">
      <c r="K190" t="s">
        <v>276</v>
      </c>
      <c r="L190" t="str">
        <f>A33</f>
        <v>T</v>
      </c>
      <c r="N190" t="s">
        <v>277</v>
      </c>
      <c r="O190">
        <v>1.5335205E7</v>
      </c>
      <c r="P190">
        <v>1.3223323E7</v>
      </c>
      <c r="Q190" t="s">
        <v>252</v>
      </c>
      <c r="R190" s="41"/>
      <c r="S190" s="41"/>
      <c r="T190" s="41"/>
      <c r="U190" s="41"/>
      <c r="V190" s="41"/>
      <c r="W190" s="41"/>
      <c r="X190" s="41"/>
      <c r="Y190" s="41"/>
      <c r="Z190" s="41"/>
      <c r="AA190" s="41"/>
      <c r="AB190" s="41"/>
      <c r="AC190" s="41"/>
      <c r="AD190" s="41"/>
    </row>
    <row r="191" ht="15.75" customHeight="1">
      <c r="K191" t="s">
        <v>278</v>
      </c>
      <c r="L191" t="str">
        <f>A33</f>
        <v>T</v>
      </c>
      <c r="M191" t="s">
        <v>279</v>
      </c>
      <c r="N191" t="s">
        <v>280</v>
      </c>
      <c r="O191">
        <v>1.5473615E7</v>
      </c>
      <c r="P191">
        <v>1.3361735E7</v>
      </c>
      <c r="Q191" t="s">
        <v>256</v>
      </c>
      <c r="R191" s="41"/>
      <c r="S191" s="41"/>
      <c r="T191" s="41"/>
      <c r="U191" s="41"/>
      <c r="V191" s="41"/>
      <c r="W191" s="41"/>
      <c r="X191" s="41"/>
      <c r="Y191" s="41"/>
      <c r="Z191" s="41"/>
      <c r="AA191" s="41"/>
      <c r="AB191" s="41"/>
      <c r="AC191" s="41"/>
      <c r="AD191" s="41"/>
    </row>
    <row r="192" ht="15.75" customHeight="1">
      <c r="K192" t="s">
        <v>279</v>
      </c>
      <c r="L192" t="str">
        <f>A33</f>
        <v>T</v>
      </c>
      <c r="M192" t="s">
        <v>278</v>
      </c>
      <c r="N192" t="s">
        <v>280</v>
      </c>
      <c r="O192">
        <v>1.5473615E7</v>
      </c>
      <c r="P192">
        <v>1.3361735E7</v>
      </c>
      <c r="Q192" t="s">
        <v>256</v>
      </c>
      <c r="R192" s="41"/>
      <c r="S192" s="41"/>
      <c r="T192" s="41"/>
      <c r="U192" s="41"/>
      <c r="V192" s="41"/>
      <c r="W192" s="41"/>
      <c r="X192" s="41"/>
      <c r="Y192" s="41"/>
      <c r="Z192" s="41"/>
      <c r="AA192" s="41"/>
      <c r="AB192" s="41"/>
      <c r="AC192" s="41"/>
      <c r="AD192" s="41"/>
    </row>
    <row r="193" ht="15.75" customHeight="1">
      <c r="K193" t="s">
        <v>281</v>
      </c>
      <c r="L193" t="str">
        <f>A33</f>
        <v>T</v>
      </c>
      <c r="M193" t="s">
        <v>282</v>
      </c>
      <c r="N193" t="s">
        <v>283</v>
      </c>
      <c r="O193">
        <v>1.5752377E7</v>
      </c>
      <c r="P193">
        <v>1.3640497E7</v>
      </c>
      <c r="Q193" t="s">
        <v>252</v>
      </c>
      <c r="R193" s="41"/>
      <c r="S193" s="41"/>
      <c r="T193" s="41"/>
      <c r="U193" s="41"/>
      <c r="V193" s="41"/>
      <c r="W193" s="41"/>
      <c r="X193" s="41"/>
      <c r="Y193" s="41"/>
      <c r="Z193" s="41"/>
      <c r="AA193" s="41"/>
      <c r="AB193" s="41"/>
      <c r="AC193" s="41"/>
      <c r="AD193" s="41"/>
    </row>
    <row r="194" ht="15.75" customHeight="1">
      <c r="K194" t="s">
        <v>282</v>
      </c>
      <c r="L194" t="str">
        <f>A33</f>
        <v>T</v>
      </c>
      <c r="M194" t="s">
        <v>281</v>
      </c>
      <c r="N194" t="s">
        <v>283</v>
      </c>
      <c r="O194">
        <v>1.5752377E7</v>
      </c>
      <c r="P194">
        <v>1.3640497E7</v>
      </c>
      <c r="Q194" t="s">
        <v>252</v>
      </c>
      <c r="R194" s="41"/>
      <c r="S194" s="41"/>
      <c r="T194" s="41"/>
      <c r="U194" s="41"/>
      <c r="V194" s="41"/>
      <c r="W194" s="41"/>
      <c r="X194" s="41"/>
      <c r="Y194" s="41"/>
      <c r="Z194" s="41"/>
      <c r="AA194" s="41"/>
      <c r="AB194" s="41"/>
      <c r="AC194" s="41"/>
      <c r="AD194" s="41"/>
    </row>
    <row r="195" ht="15.75" customHeight="1">
      <c r="K195" t="s">
        <v>284</v>
      </c>
      <c r="L195" t="str">
        <f>A33</f>
        <v>T</v>
      </c>
      <c r="N195" t="s">
        <v>285</v>
      </c>
      <c r="O195">
        <v>1.5973979E7</v>
      </c>
      <c r="P195">
        <v>1.3862099E7</v>
      </c>
      <c r="Q195" t="s">
        <v>286</v>
      </c>
      <c r="R195" s="41"/>
      <c r="S195" s="41"/>
      <c r="T195" s="41"/>
      <c r="U195" s="41"/>
      <c r="V195" s="41"/>
      <c r="W195" s="41"/>
      <c r="X195" s="41"/>
      <c r="Y195" s="41"/>
      <c r="Z195" s="41"/>
      <c r="AA195" s="41"/>
      <c r="AB195" s="41"/>
      <c r="AC195" s="41"/>
      <c r="AD195" s="41"/>
    </row>
    <row r="196" ht="15.75" customHeight="1">
      <c r="K196" t="s">
        <v>287</v>
      </c>
      <c r="L196" t="str">
        <f>A33</f>
        <v>T</v>
      </c>
      <c r="M196" t="s">
        <v>288</v>
      </c>
      <c r="N196" t="s">
        <v>289</v>
      </c>
      <c r="O196">
        <v>1.6174116E7</v>
      </c>
      <c r="P196">
        <v>1.4062236E7</v>
      </c>
      <c r="Q196" t="s">
        <v>256</v>
      </c>
      <c r="R196" s="41"/>
      <c r="S196" s="41"/>
      <c r="T196" s="41"/>
      <c r="U196" s="41"/>
      <c r="V196" s="41"/>
      <c r="W196" s="41"/>
      <c r="X196" s="41"/>
      <c r="Y196" s="41"/>
      <c r="Z196" s="41"/>
      <c r="AA196" s="41"/>
      <c r="AB196" s="41"/>
      <c r="AC196" s="41"/>
      <c r="AD196" s="41"/>
    </row>
    <row r="197" ht="15.75" customHeight="1">
      <c r="K197" t="s">
        <v>288</v>
      </c>
      <c r="L197" t="str">
        <f>A33</f>
        <v>T</v>
      </c>
      <c r="M197" t="s">
        <v>287</v>
      </c>
      <c r="N197" t="s">
        <v>289</v>
      </c>
      <c r="O197">
        <v>1.6174116E7</v>
      </c>
      <c r="P197">
        <v>1.4062236E7</v>
      </c>
      <c r="Q197" t="s">
        <v>256</v>
      </c>
      <c r="R197" s="41"/>
      <c r="S197" s="41"/>
      <c r="T197" s="41"/>
      <c r="U197" s="41"/>
      <c r="V197" s="41"/>
      <c r="W197" s="41"/>
      <c r="X197" s="41"/>
      <c r="Y197" s="41"/>
      <c r="Z197" s="41"/>
      <c r="AA197" s="41"/>
      <c r="AB197" s="41"/>
      <c r="AC197" s="41"/>
      <c r="AD197" s="41"/>
    </row>
    <row r="198" ht="15.75" customHeight="1">
      <c r="K198" t="s">
        <v>290</v>
      </c>
      <c r="L198" t="str">
        <f>A33</f>
        <v>T</v>
      </c>
      <c r="M198" t="s">
        <v>291</v>
      </c>
      <c r="N198" t="s">
        <v>292</v>
      </c>
      <c r="O198">
        <v>1.6213628E7</v>
      </c>
      <c r="P198">
        <v>1.4101748E7</v>
      </c>
      <c r="Q198" t="s">
        <v>256</v>
      </c>
      <c r="R198" s="41"/>
      <c r="S198" s="41"/>
      <c r="T198" s="41"/>
      <c r="U198" s="41"/>
      <c r="V198" s="41"/>
      <c r="W198" s="41"/>
      <c r="X198" s="41"/>
      <c r="Y198" s="41"/>
      <c r="Z198" s="41"/>
      <c r="AA198" s="41"/>
      <c r="AB198" s="41"/>
      <c r="AC198" s="41"/>
      <c r="AD198" s="41"/>
    </row>
    <row r="199" ht="15.75" customHeight="1">
      <c r="K199" t="s">
        <v>291</v>
      </c>
      <c r="L199" t="str">
        <f>A33</f>
        <v>T</v>
      </c>
      <c r="M199" t="s">
        <v>290</v>
      </c>
      <c r="N199" t="s">
        <v>292</v>
      </c>
      <c r="O199">
        <v>1.6213628E7</v>
      </c>
      <c r="P199">
        <v>1.4101748E7</v>
      </c>
      <c r="Q199" t="s">
        <v>256</v>
      </c>
      <c r="R199" s="41"/>
      <c r="S199" s="41"/>
      <c r="T199" s="41"/>
      <c r="U199" s="41"/>
      <c r="V199" s="41"/>
      <c r="W199" s="41"/>
      <c r="X199" s="41"/>
      <c r="Y199" s="41"/>
      <c r="Z199" s="41"/>
      <c r="AA199" s="41"/>
      <c r="AB199" s="41"/>
      <c r="AC199" s="41"/>
      <c r="AD199" s="41"/>
    </row>
    <row r="200" ht="15.75" customHeight="1">
      <c r="K200" t="s">
        <v>293</v>
      </c>
      <c r="L200" t="str">
        <f>A33</f>
        <v>T</v>
      </c>
      <c r="M200" t="s">
        <v>294</v>
      </c>
      <c r="N200" t="s">
        <v>295</v>
      </c>
      <c r="O200">
        <v>1.6633204E7</v>
      </c>
      <c r="P200">
        <v>1.4521324E7</v>
      </c>
      <c r="Q200" t="s">
        <v>296</v>
      </c>
      <c r="R200" s="41"/>
      <c r="S200" s="41"/>
      <c r="T200" s="41"/>
      <c r="U200" s="41"/>
      <c r="V200" s="41"/>
      <c r="W200" s="41"/>
      <c r="X200" s="41"/>
      <c r="Y200" s="41"/>
      <c r="Z200" s="41"/>
      <c r="AA200" s="41"/>
      <c r="AB200" s="41"/>
      <c r="AC200" s="41"/>
      <c r="AD200" s="41"/>
    </row>
    <row r="201" ht="15.75" customHeight="1">
      <c r="K201" t="s">
        <v>294</v>
      </c>
      <c r="L201" t="str">
        <f>A33</f>
        <v>T</v>
      </c>
      <c r="M201" t="s">
        <v>293</v>
      </c>
      <c r="N201" t="s">
        <v>295</v>
      </c>
      <c r="O201">
        <v>1.6633204E7</v>
      </c>
      <c r="P201">
        <v>1.4521324E7</v>
      </c>
      <c r="Q201" t="s">
        <v>296</v>
      </c>
      <c r="R201" s="41"/>
      <c r="S201" s="41"/>
      <c r="T201" s="41"/>
      <c r="U201" s="41"/>
      <c r="V201" s="41"/>
      <c r="W201" s="41"/>
      <c r="X201" s="41"/>
      <c r="Y201" s="41"/>
      <c r="Z201" s="41"/>
      <c r="AA201" s="41"/>
      <c r="AB201" s="41"/>
      <c r="AC201" s="41"/>
      <c r="AD201" s="41"/>
    </row>
    <row r="202" ht="15.75" customHeight="1">
      <c r="K202" t="s">
        <v>297</v>
      </c>
      <c r="L202" t="str">
        <f>A33</f>
        <v>T</v>
      </c>
      <c r="M202" t="s">
        <v>298</v>
      </c>
      <c r="N202" t="s">
        <v>299</v>
      </c>
      <c r="O202">
        <v>1.6789929E7</v>
      </c>
      <c r="P202">
        <v>1.4678049E7</v>
      </c>
      <c r="Q202" t="s">
        <v>252</v>
      </c>
      <c r="R202" s="41"/>
      <c r="S202" s="41"/>
      <c r="T202" s="41"/>
      <c r="U202" s="41"/>
      <c r="V202" s="41"/>
      <c r="W202" s="41"/>
      <c r="X202" s="41"/>
      <c r="Y202" s="41"/>
      <c r="Z202" s="41"/>
      <c r="AA202" s="41"/>
      <c r="AB202" s="41"/>
      <c r="AC202" s="41"/>
      <c r="AD202" s="41"/>
    </row>
    <row r="203" ht="15.75" customHeight="1">
      <c r="K203" t="s">
        <v>298</v>
      </c>
      <c r="L203" t="str">
        <f>A33</f>
        <v>T</v>
      </c>
      <c r="M203" t="s">
        <v>297</v>
      </c>
      <c r="N203" t="s">
        <v>299</v>
      </c>
      <c r="O203">
        <v>1.6789929E7</v>
      </c>
      <c r="P203">
        <v>1.4678049E7</v>
      </c>
      <c r="Q203" t="s">
        <v>252</v>
      </c>
      <c r="R203" s="41"/>
      <c r="S203" s="41"/>
      <c r="T203" s="41"/>
      <c r="U203" s="41"/>
      <c r="V203" s="41"/>
      <c r="W203" s="41"/>
      <c r="X203" s="41"/>
      <c r="Y203" s="41"/>
      <c r="Z203" s="41"/>
      <c r="AA203" s="41"/>
      <c r="AB203" s="41"/>
      <c r="AC203" s="41"/>
      <c r="AD203" s="41"/>
    </row>
    <row r="204" ht="15.75" customHeight="1">
      <c r="K204" t="s">
        <v>300</v>
      </c>
      <c r="L204" t="str">
        <f>A33</f>
        <v>T</v>
      </c>
      <c r="M204" t="s">
        <v>301</v>
      </c>
      <c r="N204" t="s">
        <v>302</v>
      </c>
      <c r="O204">
        <v>1.7172942E7</v>
      </c>
      <c r="P204">
        <v>1.5061062E7</v>
      </c>
      <c r="Q204" t="s">
        <v>303</v>
      </c>
      <c r="R204" s="41"/>
      <c r="S204" s="41"/>
      <c r="T204" s="41"/>
      <c r="U204" s="41"/>
      <c r="V204" s="41"/>
      <c r="W204" s="41"/>
      <c r="X204" s="41"/>
      <c r="Y204" s="41"/>
      <c r="Z204" s="41"/>
      <c r="AA204" s="41"/>
      <c r="AB204" s="41"/>
      <c r="AC204" s="41"/>
      <c r="AD204" s="41"/>
    </row>
    <row r="205" ht="15.75" customHeight="1">
      <c r="K205" t="s">
        <v>301</v>
      </c>
      <c r="L205" t="str">
        <f>A33</f>
        <v>T</v>
      </c>
      <c r="M205" t="s">
        <v>300</v>
      </c>
      <c r="N205" t="s">
        <v>302</v>
      </c>
      <c r="O205">
        <v>1.7172942E7</v>
      </c>
      <c r="P205">
        <v>1.5061062E7</v>
      </c>
      <c r="Q205" t="s">
        <v>303</v>
      </c>
      <c r="R205" s="41"/>
      <c r="S205" s="41"/>
      <c r="T205" s="41"/>
      <c r="U205" s="41"/>
      <c r="V205" s="41"/>
      <c r="W205" s="41"/>
      <c r="X205" s="41"/>
      <c r="Y205" s="41"/>
      <c r="Z205" s="41"/>
      <c r="AA205" s="41"/>
      <c r="AB205" s="41"/>
      <c r="AC205" s="41"/>
      <c r="AD205" s="41"/>
    </row>
    <row r="206" ht="15.75" customHeight="1">
      <c r="K206" t="s">
        <v>304</v>
      </c>
      <c r="L206" t="str">
        <f>A33</f>
        <v>T</v>
      </c>
      <c r="N206" t="s">
        <v>305</v>
      </c>
      <c r="O206">
        <v>1.7331255E7</v>
      </c>
      <c r="P206">
        <v>1.5219375E7</v>
      </c>
      <c r="Q206" t="s">
        <v>303</v>
      </c>
      <c r="R206" s="41"/>
      <c r="S206" s="41"/>
      <c r="T206" s="41"/>
      <c r="U206" s="41"/>
      <c r="V206" s="41"/>
      <c r="W206" s="41"/>
      <c r="X206" s="41"/>
      <c r="Y206" s="41"/>
      <c r="Z206" s="41"/>
      <c r="AA206" s="41"/>
      <c r="AB206" s="41"/>
      <c r="AC206" s="41"/>
      <c r="AD206" s="41"/>
    </row>
    <row r="207" ht="15.75" customHeight="1">
      <c r="K207" t="s">
        <v>306</v>
      </c>
      <c r="L207" t="str">
        <f>A33</f>
        <v>T</v>
      </c>
      <c r="N207" t="s">
        <v>307</v>
      </c>
      <c r="O207">
        <v>1.7384624E7</v>
      </c>
      <c r="P207">
        <v>1.5272744E7</v>
      </c>
      <c r="Q207" t="s">
        <v>303</v>
      </c>
      <c r="R207" s="41"/>
      <c r="S207" s="41"/>
      <c r="T207" s="41"/>
      <c r="U207" s="41"/>
      <c r="V207" s="41"/>
      <c r="W207" s="41"/>
      <c r="X207" s="41"/>
      <c r="Y207" s="41"/>
      <c r="Z207" s="41"/>
      <c r="AA207" s="41"/>
      <c r="AB207" s="41"/>
      <c r="AC207" s="41"/>
      <c r="AD207" s="41"/>
    </row>
    <row r="208" ht="15.75" customHeight="1">
      <c r="K208" t="s">
        <v>308</v>
      </c>
      <c r="L208" t="str">
        <f>A33</f>
        <v>T</v>
      </c>
      <c r="N208" t="s">
        <v>309</v>
      </c>
      <c r="O208">
        <v>1.7473499E7</v>
      </c>
      <c r="P208">
        <v>1.5361619E7</v>
      </c>
      <c r="Q208" t="s">
        <v>296</v>
      </c>
      <c r="R208" s="41"/>
      <c r="S208" s="41"/>
      <c r="T208" s="41"/>
      <c r="U208" s="41"/>
      <c r="V208" s="41"/>
      <c r="W208" s="41"/>
      <c r="X208" s="41"/>
      <c r="Y208" s="41"/>
      <c r="Z208" s="41"/>
      <c r="AA208" s="41"/>
      <c r="AB208" s="41"/>
      <c r="AC208" s="41"/>
      <c r="AD208" s="41"/>
    </row>
    <row r="209" ht="15.75" customHeight="1">
      <c r="K209" t="s">
        <v>310</v>
      </c>
      <c r="L209" t="str">
        <f>A33</f>
        <v>T</v>
      </c>
      <c r="M209" t="s">
        <v>311</v>
      </c>
      <c r="N209" t="s">
        <v>312</v>
      </c>
      <c r="O209">
        <v>1.7644174E7</v>
      </c>
      <c r="P209">
        <v>1.5532294E7</v>
      </c>
      <c r="Q209" t="s">
        <v>256</v>
      </c>
      <c r="R209" s="41"/>
      <c r="S209" s="41"/>
      <c r="T209" s="41"/>
      <c r="U209" s="41"/>
      <c r="V209" s="41"/>
      <c r="W209" s="41"/>
      <c r="X209" s="41"/>
      <c r="Y209" s="41"/>
      <c r="Z209" s="41"/>
      <c r="AA209" s="41"/>
      <c r="AB209" s="41"/>
      <c r="AC209" s="41"/>
      <c r="AD209" s="41"/>
    </row>
    <row r="210" ht="15.75" customHeight="1">
      <c r="K210" t="s">
        <v>313</v>
      </c>
      <c r="L210" t="str">
        <f>A33</f>
        <v>T</v>
      </c>
      <c r="M210" t="s">
        <v>314</v>
      </c>
      <c r="N210" t="s">
        <v>312</v>
      </c>
      <c r="O210">
        <v>1.7644174E7</v>
      </c>
      <c r="P210">
        <v>1.5532294E7</v>
      </c>
      <c r="Q210" t="s">
        <v>256</v>
      </c>
      <c r="R210" s="41"/>
      <c r="S210" s="41"/>
      <c r="T210" s="41"/>
      <c r="U210" s="41"/>
      <c r="V210" s="41"/>
      <c r="W210" s="41"/>
      <c r="X210" s="41"/>
      <c r="Y210" s="41"/>
      <c r="Z210" s="41"/>
      <c r="AA210" s="41"/>
      <c r="AB210" s="41"/>
      <c r="AC210" s="41"/>
      <c r="AD210" s="41"/>
    </row>
    <row r="211" ht="15.75" customHeight="1">
      <c r="K211" t="s">
        <v>315</v>
      </c>
      <c r="L211" t="str">
        <f>A33</f>
        <v>T</v>
      </c>
      <c r="M211" t="s">
        <v>316</v>
      </c>
      <c r="N211" t="s">
        <v>312</v>
      </c>
      <c r="O211">
        <v>1.7644174E7</v>
      </c>
      <c r="P211">
        <v>1.5532294E7</v>
      </c>
      <c r="Q211" t="s">
        <v>256</v>
      </c>
      <c r="R211" s="41"/>
      <c r="S211" s="41"/>
      <c r="T211" s="41"/>
      <c r="U211" s="41"/>
      <c r="V211" s="41"/>
      <c r="W211" s="41"/>
      <c r="X211" s="41"/>
      <c r="Y211" s="41"/>
      <c r="Z211" s="41"/>
      <c r="AA211" s="41"/>
      <c r="AB211" s="41"/>
      <c r="AC211" s="41"/>
      <c r="AD211" s="41"/>
    </row>
    <row r="212" ht="15.75" customHeight="1">
      <c r="K212" t="s">
        <v>317</v>
      </c>
      <c r="L212" t="str">
        <f>A33</f>
        <v>T</v>
      </c>
      <c r="N212" t="s">
        <v>318</v>
      </c>
      <c r="O212">
        <v>1.789799E7</v>
      </c>
      <c r="P212">
        <v>1.578611E7</v>
      </c>
      <c r="Q212" t="s">
        <v>256</v>
      </c>
      <c r="R212" s="41"/>
      <c r="S212" s="41"/>
      <c r="T212" s="41"/>
      <c r="U212" s="41"/>
      <c r="V212" s="41"/>
      <c r="W212" s="41"/>
      <c r="X212" s="41"/>
      <c r="Y212" s="41"/>
      <c r="Z212" s="41"/>
      <c r="AA212" s="41"/>
      <c r="AB212" s="41"/>
      <c r="AC212" s="41"/>
      <c r="AD212" s="41"/>
    </row>
    <row r="213" ht="15.75" customHeight="1">
      <c r="K213" t="s">
        <v>319</v>
      </c>
      <c r="L213" t="str">
        <f>A33</f>
        <v>T</v>
      </c>
      <c r="N213" t="s">
        <v>320</v>
      </c>
      <c r="O213">
        <v>1.8605721E7</v>
      </c>
      <c r="P213">
        <v>1.6493841E7</v>
      </c>
      <c r="Q213" t="s">
        <v>256</v>
      </c>
      <c r="R213" s="41"/>
      <c r="S213" s="41"/>
      <c r="T213" s="41"/>
      <c r="U213" s="41"/>
      <c r="V213" s="41"/>
      <c r="W213" s="41"/>
      <c r="X213" s="41"/>
      <c r="Y213" s="41"/>
      <c r="Z213" s="41"/>
      <c r="AA213" s="41"/>
      <c r="AB213" s="41"/>
      <c r="AC213" s="41"/>
      <c r="AD213" s="41"/>
    </row>
    <row r="214" ht="15.75" customHeight="1">
      <c r="K214" t="s">
        <v>321</v>
      </c>
      <c r="L214" t="str">
        <f>A33</f>
        <v>T</v>
      </c>
      <c r="M214" t="s">
        <v>322</v>
      </c>
      <c r="N214" t="s">
        <v>323</v>
      </c>
      <c r="O214">
        <v>1.9443432E7</v>
      </c>
      <c r="P214">
        <v>1.7331552E7</v>
      </c>
      <c r="Q214" t="s">
        <v>256</v>
      </c>
      <c r="R214" s="41"/>
      <c r="S214" s="41"/>
      <c r="T214" s="41"/>
      <c r="U214" s="41"/>
      <c r="V214" s="41"/>
      <c r="W214" s="41"/>
      <c r="X214" s="41"/>
      <c r="Y214" s="41"/>
      <c r="Z214" s="41"/>
      <c r="AA214" s="41"/>
      <c r="AB214" s="41"/>
      <c r="AC214" s="41"/>
      <c r="AD214" s="41"/>
    </row>
    <row r="215" ht="15.75" customHeight="1">
      <c r="K215" t="s">
        <v>322</v>
      </c>
      <c r="L215" t="str">
        <f>A33</f>
        <v>T</v>
      </c>
      <c r="M215" t="s">
        <v>321</v>
      </c>
      <c r="N215" t="s">
        <v>323</v>
      </c>
      <c r="O215">
        <v>1.9443432E7</v>
      </c>
      <c r="P215">
        <v>1.7331552E7</v>
      </c>
      <c r="Q215" t="s">
        <v>256</v>
      </c>
      <c r="R215" s="41"/>
      <c r="S215" s="41"/>
      <c r="T215" s="41"/>
      <c r="U215" s="41"/>
      <c r="V215" s="41"/>
      <c r="W215" s="41"/>
      <c r="X215" s="41"/>
      <c r="Y215" s="41"/>
      <c r="Z215" s="41"/>
      <c r="AA215" s="41"/>
      <c r="AB215" s="41"/>
      <c r="AC215" s="41"/>
      <c r="AD215" s="41"/>
    </row>
    <row r="216" ht="15.75" customHeight="1">
      <c r="K216" t="s">
        <v>324</v>
      </c>
      <c r="L216" t="str">
        <f>A33</f>
        <v>T</v>
      </c>
      <c r="N216" t="s">
        <v>325</v>
      </c>
      <c r="O216">
        <v>2.2712606E7</v>
      </c>
      <c r="P216">
        <v>2.055072E7</v>
      </c>
      <c r="Q216" t="s">
        <v>245</v>
      </c>
      <c r="R216" s="41"/>
      <c r="S216" s="41"/>
      <c r="T216" s="41"/>
      <c r="U216" s="41"/>
      <c r="V216" s="41"/>
      <c r="W216" s="41"/>
      <c r="X216" s="41"/>
      <c r="Y216" s="41"/>
      <c r="Z216" s="41"/>
      <c r="AA216" s="41"/>
      <c r="AB216" s="41"/>
      <c r="AC216" s="41"/>
      <c r="AD216" s="41"/>
    </row>
    <row r="217" ht="15.75" customHeight="1">
      <c r="K217" t="s">
        <v>326</v>
      </c>
      <c r="L217" t="str">
        <f>A33</f>
        <v>T</v>
      </c>
      <c r="N217" t="s">
        <v>327</v>
      </c>
      <c r="O217">
        <v>2.2815955E7</v>
      </c>
      <c r="P217">
        <v>2.0654069E7</v>
      </c>
      <c r="Q217" t="s">
        <v>286</v>
      </c>
      <c r="R217" s="41"/>
      <c r="S217" s="41"/>
      <c r="T217" s="41"/>
      <c r="U217" s="41"/>
      <c r="V217" s="41"/>
      <c r="W217" s="41"/>
      <c r="X217" s="41"/>
      <c r="Y217" s="41"/>
      <c r="Z217" s="41"/>
      <c r="AA217" s="41"/>
      <c r="AB217" s="41"/>
      <c r="AC217" s="41"/>
      <c r="AD217" s="41"/>
    </row>
    <row r="218" ht="15.75" customHeight="1">
      <c r="K218" t="s">
        <v>328</v>
      </c>
      <c r="L218" t="str">
        <f>A33</f>
        <v>T</v>
      </c>
      <c r="N218" t="s">
        <v>329</v>
      </c>
      <c r="O218">
        <v>2.3163364E7</v>
      </c>
      <c r="P218">
        <v>2.1001478E7</v>
      </c>
      <c r="Q218" t="s">
        <v>286</v>
      </c>
      <c r="R218" s="41"/>
      <c r="S218" s="41"/>
      <c r="T218" s="41"/>
      <c r="U218" s="41"/>
      <c r="V218" s="41"/>
      <c r="W218" s="41"/>
      <c r="X218" s="41"/>
      <c r="Y218" s="41"/>
      <c r="Z218" s="41"/>
      <c r="AA218" s="41"/>
      <c r="AB218" s="41"/>
      <c r="AC218" s="41"/>
      <c r="AD218" s="41"/>
    </row>
    <row r="219" ht="15.75" customHeight="1">
      <c r="K219" t="s">
        <v>330</v>
      </c>
      <c r="L219" t="str">
        <f>A33</f>
        <v>T</v>
      </c>
      <c r="N219" t="s">
        <v>331</v>
      </c>
      <c r="O219">
        <v>2.8659336E7</v>
      </c>
      <c r="P219">
        <v>2.6513189E7</v>
      </c>
      <c r="Q219" t="s">
        <v>252</v>
      </c>
      <c r="R219" s="41"/>
      <c r="S219" s="41"/>
      <c r="T219" s="41"/>
      <c r="U219" s="41"/>
      <c r="V219" s="41"/>
      <c r="W219" s="41"/>
      <c r="X219" s="41"/>
      <c r="Y219" s="41"/>
      <c r="Z219" s="41"/>
      <c r="AA219" s="41"/>
      <c r="AB219" s="41"/>
      <c r="AC219" s="41"/>
      <c r="AD219" s="41"/>
    </row>
    <row r="220" ht="15.75" customHeight="1">
      <c r="K220" t="s">
        <v>332</v>
      </c>
      <c r="L220" t="str">
        <f>A33</f>
        <v>T</v>
      </c>
      <c r="O220">
        <v>3436384.0</v>
      </c>
      <c r="P220">
        <v>3568343.0</v>
      </c>
      <c r="Q220" t="s">
        <v>272</v>
      </c>
      <c r="R220" s="41"/>
      <c r="S220" s="41"/>
      <c r="T220" s="41"/>
      <c r="U220" s="41"/>
      <c r="V220" s="41"/>
      <c r="W220" s="41"/>
      <c r="X220" s="41"/>
      <c r="Y220" s="41"/>
      <c r="Z220" s="41"/>
      <c r="AA220" s="41"/>
      <c r="AB220" s="41"/>
      <c r="AC220" s="41"/>
      <c r="AD220" s="41"/>
    </row>
    <row r="221" ht="15.75" customHeight="1">
      <c r="K221" t="s">
        <v>333</v>
      </c>
      <c r="L221" t="str">
        <f>A33</f>
        <v>T</v>
      </c>
      <c r="N221" t="s">
        <v>334</v>
      </c>
      <c r="O221">
        <v>1.4423799E7</v>
      </c>
      <c r="P221">
        <v>1.2303074E7</v>
      </c>
      <c r="Q221" t="s">
        <v>245</v>
      </c>
      <c r="R221" s="41"/>
      <c r="S221" s="41"/>
      <c r="T221" s="41"/>
      <c r="U221" s="41"/>
      <c r="V221" s="41"/>
      <c r="W221" s="41"/>
      <c r="X221" s="41"/>
      <c r="Y221" s="41"/>
      <c r="Z221" s="41"/>
      <c r="AA221" s="41"/>
      <c r="AB221" s="41"/>
      <c r="AC221" s="41"/>
      <c r="AD221" s="41"/>
    </row>
    <row r="222" ht="15.75" customHeight="1">
      <c r="K222" t="s">
        <v>335</v>
      </c>
      <c r="L222" t="str">
        <f>A33</f>
        <v>T</v>
      </c>
      <c r="M222" t="s">
        <v>336</v>
      </c>
      <c r="N222" t="s">
        <v>337</v>
      </c>
      <c r="O222">
        <v>2.3249407E7</v>
      </c>
      <c r="P222">
        <v>2.1087521E7</v>
      </c>
      <c r="Q222" t="s">
        <v>272</v>
      </c>
      <c r="R222" s="41"/>
      <c r="S222" s="41"/>
      <c r="T222" s="41"/>
      <c r="U222" s="41"/>
      <c r="V222" s="41"/>
      <c r="W222" s="41"/>
      <c r="X222" s="41"/>
      <c r="Y222" s="41"/>
      <c r="Z222" s="41"/>
      <c r="AA222" s="41"/>
      <c r="AB222" s="41"/>
      <c r="AC222" s="41"/>
      <c r="AD222" s="41"/>
    </row>
    <row r="223" ht="15.75" customHeight="1">
      <c r="K223" t="s">
        <v>336</v>
      </c>
      <c r="L223" t="str">
        <f>A33</f>
        <v>T</v>
      </c>
      <c r="M223" t="s">
        <v>335</v>
      </c>
      <c r="N223" t="s">
        <v>337</v>
      </c>
      <c r="O223">
        <v>2.3249407E7</v>
      </c>
      <c r="P223">
        <v>2.1087521E7</v>
      </c>
      <c r="Q223" t="s">
        <v>272</v>
      </c>
      <c r="R223" s="41"/>
      <c r="S223" s="41"/>
      <c r="T223" s="41"/>
      <c r="U223" s="41"/>
      <c r="V223" s="41"/>
      <c r="W223" s="41"/>
      <c r="X223" s="41"/>
      <c r="Y223" s="41"/>
      <c r="Z223" s="41"/>
      <c r="AA223" s="41"/>
      <c r="AB223" s="41"/>
      <c r="AC223" s="41"/>
      <c r="AD223" s="41"/>
    </row>
    <row r="224" ht="15.75" customHeight="1">
      <c r="K224" t="s">
        <v>338</v>
      </c>
      <c r="L224" t="str">
        <f>A33</f>
        <v>T</v>
      </c>
      <c r="N224" t="s">
        <v>339</v>
      </c>
      <c r="O224">
        <v>2.4376919E7</v>
      </c>
      <c r="P224">
        <v>2.2230772E7</v>
      </c>
      <c r="Q224" t="s">
        <v>245</v>
      </c>
      <c r="R224" s="41"/>
      <c r="S224" s="41"/>
      <c r="T224" s="41"/>
      <c r="U224" s="41"/>
      <c r="V224" s="41"/>
      <c r="W224" s="41"/>
      <c r="X224" s="41"/>
      <c r="Y224" s="41"/>
      <c r="Z224" s="41"/>
      <c r="AA224" s="41"/>
      <c r="AB224" s="41"/>
      <c r="AC224" s="41"/>
      <c r="AD224" s="41"/>
    </row>
    <row r="225" ht="15.75" customHeight="1">
      <c r="K225" t="s">
        <v>340</v>
      </c>
      <c r="L225" t="str">
        <f>A33</f>
        <v>T</v>
      </c>
      <c r="O225">
        <v>1.5014505E7</v>
      </c>
      <c r="P225">
        <v>1.2902593E7</v>
      </c>
      <c r="Q225" t="s">
        <v>341</v>
      </c>
      <c r="R225" s="41"/>
      <c r="S225" s="41"/>
      <c r="T225" s="41"/>
      <c r="U225" s="41"/>
      <c r="V225" s="41"/>
      <c r="W225" s="41"/>
      <c r="X225" s="41"/>
      <c r="Y225" s="41"/>
      <c r="Z225" s="41"/>
      <c r="AA225" s="41"/>
      <c r="AB225" s="41"/>
      <c r="AC225" s="41"/>
      <c r="AD225" s="41"/>
    </row>
    <row r="226" ht="15.75" customHeight="1">
      <c r="K226" t="s">
        <v>342</v>
      </c>
      <c r="L226" t="str">
        <f>A33</f>
        <v>T</v>
      </c>
      <c r="M226" t="s">
        <v>343</v>
      </c>
      <c r="N226" t="s">
        <v>344</v>
      </c>
      <c r="O226">
        <v>2.2738775E7</v>
      </c>
      <c r="P226">
        <v>2.0576889E7</v>
      </c>
      <c r="Q226" t="s">
        <v>252</v>
      </c>
      <c r="R226" s="41"/>
      <c r="S226" s="41"/>
      <c r="T226" s="41"/>
      <c r="U226" s="41"/>
      <c r="V226" s="41"/>
      <c r="W226" s="41"/>
      <c r="X226" s="41"/>
      <c r="Y226" s="41"/>
      <c r="Z226" s="41"/>
      <c r="AA226" s="41"/>
      <c r="AB226" s="41"/>
      <c r="AC226" s="41"/>
      <c r="AD226" s="41"/>
    </row>
    <row r="227" ht="15.75" customHeight="1">
      <c r="K227" t="s">
        <v>343</v>
      </c>
      <c r="L227" t="str">
        <f>A33</f>
        <v>T</v>
      </c>
      <c r="M227" t="s">
        <v>342</v>
      </c>
      <c r="N227" t="s">
        <v>344</v>
      </c>
      <c r="O227">
        <v>2.2738775E7</v>
      </c>
      <c r="P227">
        <v>2.0576889E7</v>
      </c>
      <c r="Q227" t="s">
        <v>252</v>
      </c>
      <c r="R227" s="41"/>
      <c r="S227" s="41"/>
      <c r="T227" s="41"/>
      <c r="U227" s="41"/>
      <c r="V227" s="41"/>
      <c r="W227" s="41"/>
      <c r="X227" s="41"/>
      <c r="Y227" s="41"/>
      <c r="Z227" s="41"/>
      <c r="AA227" s="41"/>
      <c r="AB227" s="41"/>
      <c r="AC227" s="41"/>
      <c r="AD227" s="41"/>
    </row>
    <row r="228" ht="15.75" customHeight="1">
      <c r="K228" t="s">
        <v>345</v>
      </c>
      <c r="L228" t="str">
        <f>A33</f>
        <v>T</v>
      </c>
      <c r="N228" t="s">
        <v>346</v>
      </c>
      <c r="O228">
        <v>1.5472563E7</v>
      </c>
      <c r="P228">
        <v>1.3360683E7</v>
      </c>
      <c r="Q228" t="s">
        <v>256</v>
      </c>
      <c r="R228" s="41"/>
      <c r="S228" s="41"/>
      <c r="T228" s="41"/>
      <c r="U228" s="41"/>
      <c r="V228" s="41"/>
      <c r="W228" s="41"/>
      <c r="X228" s="41"/>
      <c r="Y228" s="41"/>
      <c r="Z228" s="41"/>
      <c r="AA228" s="41"/>
      <c r="AB228" s="41"/>
      <c r="AC228" s="41"/>
      <c r="AD228" s="41"/>
    </row>
    <row r="229" ht="15.75" customHeight="1">
      <c r="K229" t="s">
        <v>347</v>
      </c>
      <c r="L229" t="str">
        <f>A33</f>
        <v>T</v>
      </c>
      <c r="N229" t="s">
        <v>348</v>
      </c>
      <c r="O229">
        <v>8269171.0</v>
      </c>
      <c r="P229">
        <v>8401130.0</v>
      </c>
      <c r="Q229" t="s">
        <v>303</v>
      </c>
      <c r="R229" s="41"/>
      <c r="S229" s="41"/>
      <c r="T229" s="41"/>
      <c r="U229" s="41"/>
      <c r="V229" s="41"/>
      <c r="W229" s="41"/>
      <c r="X229" s="41"/>
      <c r="Y229" s="41"/>
      <c r="Z229" s="41"/>
      <c r="AA229" s="41"/>
      <c r="AB229" s="41"/>
      <c r="AC229" s="41"/>
      <c r="AD229" s="41"/>
    </row>
    <row r="230" ht="15.75" customHeight="1">
      <c r="K230" t="s">
        <v>349</v>
      </c>
      <c r="L230" t="str">
        <f>A33</f>
        <v>T</v>
      </c>
      <c r="O230">
        <v>1.3231889E7</v>
      </c>
      <c r="P230">
        <v>1.1076213E7</v>
      </c>
      <c r="Q230" t="s">
        <v>350</v>
      </c>
      <c r="R230" s="41"/>
      <c r="S230" s="41"/>
      <c r="T230" s="41"/>
      <c r="U230" s="41"/>
      <c r="V230" s="41"/>
      <c r="W230" s="41"/>
      <c r="X230" s="41"/>
      <c r="Y230" s="41"/>
      <c r="Z230" s="41"/>
      <c r="AA230" s="41"/>
      <c r="AB230" s="41"/>
      <c r="AC230" s="41"/>
      <c r="AD230" s="41"/>
    </row>
    <row r="231" ht="15.75" customHeight="1">
      <c r="K231" t="s">
        <v>351</v>
      </c>
      <c r="L231" t="str">
        <f>A33</f>
        <v>T</v>
      </c>
      <c r="N231" t="s">
        <v>352</v>
      </c>
      <c r="O231">
        <v>2.1532604E7</v>
      </c>
      <c r="P231">
        <v>1.9370718E7</v>
      </c>
      <c r="Q231" t="s">
        <v>245</v>
      </c>
      <c r="R231" s="41"/>
      <c r="S231" s="41"/>
      <c r="T231" s="41"/>
      <c r="U231" s="41"/>
      <c r="V231" s="41"/>
      <c r="W231" s="41"/>
      <c r="X231" s="41"/>
      <c r="Y231" s="41"/>
      <c r="Z231" s="41"/>
      <c r="AA231" s="41"/>
      <c r="AB231" s="41"/>
      <c r="AC231" s="41"/>
      <c r="AD231" s="41"/>
    </row>
    <row r="232" ht="15.75" customHeight="1">
      <c r="K232" t="s">
        <v>353</v>
      </c>
      <c r="L232" t="str">
        <f>A33</f>
        <v>T</v>
      </c>
      <c r="N232" t="s">
        <v>354</v>
      </c>
      <c r="O232">
        <v>2.3589272E7</v>
      </c>
      <c r="P232">
        <v>2.1427386E7</v>
      </c>
      <c r="Q232" t="s">
        <v>256</v>
      </c>
      <c r="R232" s="41"/>
      <c r="S232" s="41"/>
      <c r="T232" s="41"/>
      <c r="U232" s="41"/>
      <c r="V232" s="41"/>
      <c r="W232" s="41"/>
      <c r="X232" s="41"/>
      <c r="Y232" s="41"/>
      <c r="Z232" s="41"/>
      <c r="AA232" s="41"/>
      <c r="AB232" s="41"/>
      <c r="AC232" s="41"/>
      <c r="AD232" s="41"/>
    </row>
    <row r="233" ht="15.75" customHeight="1">
      <c r="K233" t="s">
        <v>355</v>
      </c>
      <c r="L233" t="str">
        <f>A33</f>
        <v>T</v>
      </c>
      <c r="N233" t="s">
        <v>356</v>
      </c>
      <c r="O233">
        <v>2.866723E7</v>
      </c>
      <c r="P233">
        <v>2.6521083E7</v>
      </c>
      <c r="Q233" t="s">
        <v>256</v>
      </c>
      <c r="R233" s="41"/>
      <c r="S233" s="41"/>
      <c r="T233" s="41"/>
      <c r="U233" s="41"/>
      <c r="V233" s="41"/>
      <c r="W233" s="41"/>
      <c r="X233" s="41"/>
      <c r="Y233" s="41"/>
      <c r="Z233" s="41"/>
      <c r="AA233" s="41"/>
      <c r="AB233" s="41"/>
      <c r="AC233" s="41"/>
      <c r="AD233" s="41"/>
    </row>
    <row r="234" ht="15.75" customHeight="1">
      <c r="K234" t="s">
        <v>357</v>
      </c>
      <c r="L234" t="str">
        <f>A33</f>
        <v>T</v>
      </c>
      <c r="O234">
        <v>4169261.0</v>
      </c>
      <c r="P234">
        <v>4301220.0</v>
      </c>
      <c r="Q234" t="s">
        <v>275</v>
      </c>
      <c r="R234" s="41"/>
      <c r="S234" s="41"/>
      <c r="T234" s="41"/>
      <c r="U234" s="41"/>
      <c r="V234" s="41"/>
      <c r="W234" s="41"/>
      <c r="X234" s="41"/>
      <c r="Y234" s="41"/>
      <c r="Z234" s="41"/>
      <c r="AA234" s="41"/>
      <c r="AB234" s="41"/>
      <c r="AC234" s="41"/>
      <c r="AD234" s="41"/>
    </row>
    <row r="235" ht="15.75" customHeight="1">
      <c r="K235" t="s">
        <v>358</v>
      </c>
      <c r="L235" t="str">
        <f>A33</f>
        <v>T</v>
      </c>
      <c r="N235" t="s">
        <v>359</v>
      </c>
      <c r="O235">
        <v>7697959.0</v>
      </c>
      <c r="P235">
        <v>7829918.0</v>
      </c>
      <c r="Q235" t="s">
        <v>303</v>
      </c>
      <c r="R235" s="41"/>
      <c r="S235" s="41"/>
      <c r="T235" s="41"/>
      <c r="U235" s="41"/>
      <c r="V235" s="41"/>
      <c r="W235" s="41"/>
      <c r="X235" s="41"/>
      <c r="Y235" s="41"/>
      <c r="Z235" s="41"/>
      <c r="AA235" s="41"/>
      <c r="AB235" s="41"/>
      <c r="AC235" s="41"/>
      <c r="AD235" s="41"/>
    </row>
    <row r="236" ht="15.75" customHeight="1">
      <c r="K236" t="s">
        <v>360</v>
      </c>
      <c r="L236" t="str">
        <f>A33</f>
        <v>T</v>
      </c>
      <c r="N236" t="s">
        <v>361</v>
      </c>
      <c r="O236">
        <v>8459278.0</v>
      </c>
      <c r="P236">
        <v>8591237.0</v>
      </c>
      <c r="Q236" t="s">
        <v>245</v>
      </c>
      <c r="R236" s="41"/>
      <c r="S236" s="41"/>
      <c r="T236" s="41"/>
      <c r="U236" s="41"/>
      <c r="V236" s="41"/>
      <c r="W236" s="41"/>
      <c r="X236" s="41"/>
      <c r="Y236" s="41"/>
      <c r="Z236" s="41"/>
      <c r="AA236" s="41"/>
      <c r="AB236" s="41"/>
      <c r="AC236" s="41"/>
      <c r="AD236" s="41"/>
    </row>
    <row r="237" ht="15.75" customHeight="1">
      <c r="K237" t="s">
        <v>362</v>
      </c>
      <c r="L237" t="str">
        <f>A33</f>
        <v>T</v>
      </c>
      <c r="N237" t="s">
        <v>363</v>
      </c>
      <c r="O237">
        <v>8886086.0</v>
      </c>
      <c r="P237">
        <v>9018045.0</v>
      </c>
      <c r="Q237" t="s">
        <v>245</v>
      </c>
      <c r="R237" s="41"/>
      <c r="S237" s="41"/>
      <c r="T237" s="41"/>
      <c r="U237" s="41"/>
      <c r="V237" s="41"/>
      <c r="W237" s="41"/>
      <c r="X237" s="41"/>
      <c r="Y237" s="41"/>
      <c r="Z237" s="41"/>
      <c r="AA237" s="41"/>
      <c r="AB237" s="41"/>
      <c r="AC237" s="41"/>
      <c r="AD237" s="41"/>
    </row>
    <row r="238" ht="15.75" customHeight="1">
      <c r="K238" t="s">
        <v>364</v>
      </c>
      <c r="L238" t="str">
        <f>A33</f>
        <v>T</v>
      </c>
      <c r="N238" t="s">
        <v>365</v>
      </c>
      <c r="O238">
        <v>1.3232973E7</v>
      </c>
      <c r="P238">
        <v>1.1077297E7</v>
      </c>
      <c r="Q238" t="s">
        <v>245</v>
      </c>
      <c r="R238" s="41"/>
      <c r="S238" s="41"/>
      <c r="T238" s="41"/>
      <c r="U238" s="41"/>
      <c r="V238" s="41"/>
      <c r="W238" s="41"/>
      <c r="X238" s="41"/>
      <c r="Y238" s="41"/>
      <c r="Z238" s="41"/>
      <c r="AA238" s="41"/>
      <c r="AB238" s="41"/>
      <c r="AC238" s="41"/>
      <c r="AD238" s="41"/>
    </row>
    <row r="239" ht="15.75" customHeight="1">
      <c r="K239" t="s">
        <v>366</v>
      </c>
      <c r="L239" t="str">
        <f>A33</f>
        <v>T</v>
      </c>
      <c r="O239">
        <v>1.3578398E7</v>
      </c>
      <c r="P239">
        <v>1.1422722E7</v>
      </c>
      <c r="Q239" t="s">
        <v>245</v>
      </c>
      <c r="R239" s="41"/>
      <c r="S239" s="41"/>
      <c r="T239" s="41"/>
      <c r="U239" s="41"/>
      <c r="V239" s="41"/>
      <c r="W239" s="41"/>
      <c r="X239" s="41"/>
      <c r="Y239" s="41"/>
      <c r="Z239" s="41"/>
      <c r="AA239" s="41"/>
      <c r="AB239" s="41"/>
      <c r="AC239" s="41"/>
      <c r="AD239" s="41"/>
    </row>
    <row r="240" ht="15.75" customHeight="1">
      <c r="K240" t="s">
        <v>367</v>
      </c>
      <c r="L240" t="str">
        <f>A33</f>
        <v>T</v>
      </c>
      <c r="N240" t="s">
        <v>368</v>
      </c>
      <c r="O240">
        <v>2.1051456E7</v>
      </c>
      <c r="P240">
        <v>1.888957E7</v>
      </c>
      <c r="Q240" t="s">
        <v>245</v>
      </c>
      <c r="R240" s="41"/>
      <c r="S240" s="41"/>
      <c r="T240" s="41"/>
      <c r="U240" s="41"/>
      <c r="V240" s="41"/>
      <c r="W240" s="41"/>
      <c r="X240" s="41"/>
      <c r="Y240" s="41"/>
      <c r="Z240" s="41"/>
      <c r="AA240" s="41"/>
      <c r="AB240" s="41"/>
      <c r="AC240" s="41"/>
      <c r="AD240" s="41"/>
    </row>
    <row r="241" ht="15.75" customHeight="1">
      <c r="K241" t="s">
        <v>369</v>
      </c>
      <c r="L241" t="str">
        <f>A33</f>
        <v>T</v>
      </c>
      <c r="N241" t="s">
        <v>370</v>
      </c>
      <c r="O241">
        <v>2.1703373E7</v>
      </c>
      <c r="P241">
        <v>1.9541487E7</v>
      </c>
      <c r="Q241" t="s">
        <v>286</v>
      </c>
      <c r="R241" s="41"/>
      <c r="S241" s="41"/>
      <c r="T241" s="41"/>
      <c r="U241" s="41"/>
      <c r="V241" s="41"/>
      <c r="W241" s="41"/>
      <c r="X241" s="41"/>
      <c r="Y241" s="41"/>
      <c r="Z241" s="41"/>
      <c r="AA241" s="41"/>
      <c r="AB241" s="41"/>
      <c r="AC241" s="41"/>
      <c r="AD241" s="41"/>
    </row>
    <row r="242" ht="15.75" customHeight="1">
      <c r="K242" t="s">
        <v>371</v>
      </c>
      <c r="L242" t="str">
        <f>A33</f>
        <v>T</v>
      </c>
      <c r="N242" t="s">
        <v>372</v>
      </c>
      <c r="O242">
        <v>2.3568001E7</v>
      </c>
      <c r="P242">
        <v>2.1406115E7</v>
      </c>
      <c r="Q242" t="s">
        <v>245</v>
      </c>
      <c r="R242" s="41"/>
      <c r="S242" s="41"/>
      <c r="T242" s="41"/>
      <c r="U242" s="41"/>
      <c r="V242" s="41"/>
      <c r="W242" s="41"/>
      <c r="X242" s="41"/>
      <c r="Y242" s="41"/>
      <c r="Z242" s="41"/>
      <c r="AA242" s="41"/>
      <c r="AB242" s="41"/>
      <c r="AC242" s="41"/>
      <c r="AD242" s="41"/>
    </row>
    <row r="243" ht="15.75" customHeight="1">
      <c r="K243" t="s">
        <v>373</v>
      </c>
      <c r="L243" t="str">
        <f>A33</f>
        <v>T</v>
      </c>
      <c r="N243" t="s">
        <v>374</v>
      </c>
      <c r="O243">
        <v>2.4453331E7</v>
      </c>
      <c r="P243">
        <v>2.2307184E7</v>
      </c>
      <c r="Q243" t="s">
        <v>245</v>
      </c>
      <c r="R243" s="41"/>
      <c r="S243" s="41"/>
      <c r="T243" s="41"/>
      <c r="U243" s="41"/>
      <c r="V243" s="41"/>
      <c r="W243" s="41"/>
      <c r="X243" s="41"/>
      <c r="Y243" s="41"/>
      <c r="Z243" s="41"/>
      <c r="AA243" s="41"/>
      <c r="AB243" s="41"/>
      <c r="AC243" s="41"/>
      <c r="AD243" s="41"/>
    </row>
    <row r="244" ht="15.75" customHeight="1">
      <c r="K244" t="s">
        <v>375</v>
      </c>
      <c r="L244" t="str">
        <f>A33</f>
        <v>T</v>
      </c>
      <c r="O244">
        <v>5403274.0</v>
      </c>
      <c r="P244">
        <v>5535233.0</v>
      </c>
      <c r="Q244" t="s">
        <v>303</v>
      </c>
      <c r="R244" s="41"/>
      <c r="S244" s="41"/>
      <c r="T244" s="41"/>
      <c r="U244" s="41"/>
      <c r="V244" s="41"/>
      <c r="W244" s="41"/>
      <c r="X244" s="41"/>
      <c r="Y244" s="41"/>
      <c r="Z244" s="41"/>
      <c r="AA244" s="41"/>
      <c r="AB244" s="41"/>
      <c r="AC244" s="41"/>
      <c r="AD244" s="41"/>
    </row>
    <row r="245" ht="15.75" customHeight="1">
      <c r="K245" t="s">
        <v>376</v>
      </c>
      <c r="L245" t="str">
        <f>A33</f>
        <v>T</v>
      </c>
      <c r="N245" t="s">
        <v>377</v>
      </c>
      <c r="O245">
        <v>8581339.0</v>
      </c>
      <c r="P245">
        <v>8713298.0</v>
      </c>
      <c r="Q245" t="s">
        <v>256</v>
      </c>
      <c r="R245" s="41"/>
      <c r="S245" s="41"/>
      <c r="T245" s="41"/>
      <c r="U245" s="41"/>
      <c r="V245" s="41"/>
      <c r="W245" s="41"/>
      <c r="X245" s="41"/>
      <c r="Y245" s="41"/>
      <c r="Z245" s="41"/>
      <c r="AA245" s="41"/>
      <c r="AB245" s="41"/>
      <c r="AC245" s="41"/>
      <c r="AD245" s="41"/>
    </row>
    <row r="246" ht="15.75" customHeight="1">
      <c r="K246" t="s">
        <v>378</v>
      </c>
      <c r="L246" t="str">
        <f>A33</f>
        <v>T</v>
      </c>
      <c r="N246" t="s">
        <v>379</v>
      </c>
      <c r="O246">
        <v>1.3904842E7</v>
      </c>
      <c r="P246">
        <v>1.1784136E7</v>
      </c>
      <c r="Q246" t="s">
        <v>296</v>
      </c>
      <c r="R246" s="41"/>
      <c r="S246" s="41"/>
      <c r="T246" s="41"/>
      <c r="U246" s="41"/>
      <c r="V246" s="41"/>
      <c r="W246" s="41"/>
      <c r="X246" s="41"/>
      <c r="Y246" s="41"/>
      <c r="Z246" s="41"/>
      <c r="AA246" s="41"/>
      <c r="AB246" s="41"/>
      <c r="AC246" s="41"/>
      <c r="AD246" s="41"/>
    </row>
    <row r="247" ht="15.75" customHeight="1">
      <c r="K247" t="s">
        <v>380</v>
      </c>
      <c r="L247" t="str">
        <f>A33</f>
        <v>T</v>
      </c>
      <c r="N247" t="s">
        <v>381</v>
      </c>
      <c r="O247">
        <v>2.1481191E7</v>
      </c>
      <c r="P247">
        <v>1.9319305E7</v>
      </c>
      <c r="Q247" t="s">
        <v>382</v>
      </c>
      <c r="R247" s="41"/>
      <c r="S247" s="41"/>
      <c r="T247" s="41"/>
      <c r="U247" s="41"/>
      <c r="V247" s="41"/>
      <c r="W247" s="41"/>
      <c r="X247" s="41"/>
      <c r="Y247" s="41"/>
      <c r="Z247" s="41"/>
      <c r="AA247" s="41"/>
      <c r="AB247" s="41"/>
      <c r="AC247" s="41"/>
      <c r="AD247" s="41"/>
    </row>
    <row r="248" ht="15.75" customHeight="1">
      <c r="K248" t="s">
        <v>383</v>
      </c>
      <c r="L248" t="str">
        <f>B34</f>
        <v>T1</v>
      </c>
      <c r="O248" t="s">
        <v>384</v>
      </c>
      <c r="P248" t="s">
        <v>385</v>
      </c>
      <c r="Q248" t="s">
        <v>386</v>
      </c>
      <c r="R248" s="41"/>
      <c r="S248" s="41"/>
      <c r="T248" s="41"/>
      <c r="U248" s="41"/>
      <c r="V248" s="41"/>
      <c r="W248" s="41"/>
      <c r="X248" s="41"/>
      <c r="Y248" s="41"/>
      <c r="Z248" s="41"/>
      <c r="AA248" s="41"/>
      <c r="AB248" s="41"/>
      <c r="AC248" s="41"/>
      <c r="AD248" s="41"/>
    </row>
    <row r="249" ht="15.75" customHeight="1">
      <c r="K249" t="s">
        <v>387</v>
      </c>
      <c r="L249" t="str">
        <f>B34</f>
        <v>T1</v>
      </c>
      <c r="N249" t="s">
        <v>388</v>
      </c>
      <c r="O249">
        <v>1.6595426E7</v>
      </c>
      <c r="P249">
        <v>1.4483546E7</v>
      </c>
      <c r="Q249" t="s">
        <v>252</v>
      </c>
      <c r="R249" s="41"/>
      <c r="S249" s="41"/>
      <c r="T249" s="41"/>
      <c r="U249" s="41"/>
      <c r="V249" s="41"/>
      <c r="W249" s="41"/>
      <c r="X249" s="41"/>
      <c r="Y249" s="41"/>
      <c r="Z249" s="41"/>
      <c r="AA249" s="41"/>
      <c r="AB249" s="41"/>
      <c r="AC249" s="41"/>
      <c r="AD249" s="41"/>
    </row>
    <row r="250" ht="15.75" customHeight="1">
      <c r="K250" t="s">
        <v>389</v>
      </c>
      <c r="L250" t="str">
        <f>B34</f>
        <v>T1</v>
      </c>
      <c r="N250" t="s">
        <v>390</v>
      </c>
      <c r="O250">
        <v>1.6790253E7</v>
      </c>
      <c r="P250">
        <v>1.4678373E7</v>
      </c>
      <c r="Q250" t="s">
        <v>256</v>
      </c>
      <c r="R250" s="41"/>
      <c r="S250" s="41"/>
      <c r="T250" s="41"/>
      <c r="U250" s="41"/>
      <c r="V250" s="41"/>
      <c r="W250" s="41"/>
      <c r="X250" s="41"/>
      <c r="Y250" s="41"/>
      <c r="Z250" s="41"/>
      <c r="AA250" s="41"/>
      <c r="AB250" s="41"/>
      <c r="AC250" s="41"/>
      <c r="AD250" s="41"/>
    </row>
    <row r="251" ht="15.75" customHeight="1">
      <c r="K251" t="s">
        <v>391</v>
      </c>
      <c r="L251" t="str">
        <f>B34</f>
        <v>T1</v>
      </c>
      <c r="N251" t="s">
        <v>392</v>
      </c>
      <c r="O251">
        <v>1.6989642E7</v>
      </c>
      <c r="P251">
        <v>1.4877762E7</v>
      </c>
      <c r="Q251" t="s">
        <v>252</v>
      </c>
      <c r="R251" s="41"/>
      <c r="S251" s="41"/>
      <c r="T251" s="41"/>
      <c r="U251" s="41"/>
      <c r="V251" s="41"/>
      <c r="W251" s="41"/>
      <c r="X251" s="41"/>
      <c r="Y251" s="41"/>
      <c r="Z251" s="41"/>
      <c r="AA251" s="41"/>
      <c r="AB251" s="41"/>
      <c r="AC251" s="41"/>
      <c r="AD251" s="41"/>
    </row>
    <row r="252" ht="15.75" customHeight="1">
      <c r="K252" t="s">
        <v>393</v>
      </c>
      <c r="L252" t="str">
        <f>B34</f>
        <v>T1</v>
      </c>
      <c r="M252" t="s">
        <v>394</v>
      </c>
      <c r="N252" t="s">
        <v>395</v>
      </c>
      <c r="O252">
        <v>1.7117713E7</v>
      </c>
      <c r="P252">
        <v>1.5005833E7</v>
      </c>
      <c r="Q252" t="s">
        <v>303</v>
      </c>
      <c r="R252" s="41"/>
      <c r="S252" s="41"/>
      <c r="T252" s="41"/>
      <c r="U252" s="41"/>
      <c r="V252" s="41"/>
      <c r="W252" s="41"/>
      <c r="X252" s="41"/>
      <c r="Y252" s="41"/>
      <c r="Z252" s="41"/>
      <c r="AA252" s="41"/>
      <c r="AB252" s="41"/>
      <c r="AC252" s="41"/>
      <c r="AD252" s="41"/>
    </row>
    <row r="253" ht="15.75" customHeight="1">
      <c r="K253" t="s">
        <v>394</v>
      </c>
      <c r="L253" t="str">
        <f>B34</f>
        <v>T1</v>
      </c>
      <c r="M253" t="s">
        <v>393</v>
      </c>
      <c r="N253" t="s">
        <v>395</v>
      </c>
      <c r="O253">
        <v>1.7117713E7</v>
      </c>
      <c r="P253">
        <v>1.5005833E7</v>
      </c>
      <c r="Q253" t="s">
        <v>303</v>
      </c>
      <c r="R253" s="41"/>
      <c r="S253" s="41"/>
      <c r="T253" s="41"/>
      <c r="U253" s="41"/>
      <c r="V253" s="41"/>
      <c r="W253" s="41"/>
      <c r="X253" s="41"/>
      <c r="Y253" s="41"/>
      <c r="Z253" s="41"/>
      <c r="AA253" s="41"/>
      <c r="AB253" s="41"/>
      <c r="AC253" s="41"/>
      <c r="AD253" s="41"/>
    </row>
    <row r="254" ht="15.75" customHeight="1">
      <c r="K254" t="s">
        <v>396</v>
      </c>
      <c r="L254" t="str">
        <f>B34</f>
        <v>T1</v>
      </c>
      <c r="M254" t="s">
        <v>397</v>
      </c>
      <c r="N254" t="s">
        <v>398</v>
      </c>
      <c r="O254">
        <v>1.7792858E7</v>
      </c>
      <c r="P254">
        <v>1.5680978E7</v>
      </c>
      <c r="Q254" t="s">
        <v>245</v>
      </c>
      <c r="R254" s="41"/>
      <c r="S254" s="41"/>
      <c r="T254" s="41"/>
      <c r="U254" s="41"/>
      <c r="V254" s="41"/>
      <c r="W254" s="41"/>
      <c r="X254" s="41"/>
      <c r="Y254" s="41"/>
      <c r="Z254" s="41"/>
      <c r="AA254" s="41"/>
      <c r="AB254" s="41"/>
      <c r="AC254" s="41"/>
      <c r="AD254" s="41"/>
    </row>
    <row r="255" ht="15.75" customHeight="1">
      <c r="K255" t="s">
        <v>397</v>
      </c>
      <c r="L255" t="str">
        <f>B34</f>
        <v>T1</v>
      </c>
      <c r="M255" t="s">
        <v>396</v>
      </c>
      <c r="N255" t="s">
        <v>398</v>
      </c>
      <c r="O255">
        <v>1.7792858E7</v>
      </c>
      <c r="P255">
        <v>1.5680978E7</v>
      </c>
      <c r="Q255" t="s">
        <v>245</v>
      </c>
      <c r="R255" s="41"/>
      <c r="S255" s="41"/>
      <c r="T255" s="41"/>
      <c r="U255" s="41"/>
      <c r="V255" s="41"/>
      <c r="W255" s="41"/>
      <c r="X255" s="41"/>
      <c r="Y255" s="41"/>
      <c r="Z255" s="41"/>
      <c r="AA255" s="41"/>
      <c r="AB255" s="41"/>
      <c r="AC255" s="41"/>
      <c r="AD255" s="41"/>
    </row>
    <row r="256" ht="15.75" customHeight="1">
      <c r="K256" t="s">
        <v>399</v>
      </c>
      <c r="L256" t="str">
        <f>B34</f>
        <v>T1</v>
      </c>
      <c r="M256" t="s">
        <v>400</v>
      </c>
      <c r="N256" t="s">
        <v>401</v>
      </c>
      <c r="O256">
        <v>1.7977306E7</v>
      </c>
      <c r="P256">
        <v>1.5865426E7</v>
      </c>
      <c r="Q256" t="s">
        <v>382</v>
      </c>
      <c r="R256" s="41"/>
      <c r="S256" s="41"/>
      <c r="T256" s="41"/>
      <c r="U256" s="41"/>
      <c r="V256" s="41"/>
      <c r="W256" s="41"/>
      <c r="X256" s="41"/>
      <c r="Y256" s="41"/>
      <c r="Z256" s="41"/>
      <c r="AA256" s="41"/>
      <c r="AB256" s="41"/>
      <c r="AC256" s="41"/>
      <c r="AD256" s="41"/>
    </row>
    <row r="257" ht="15.75" customHeight="1">
      <c r="K257" t="s">
        <v>400</v>
      </c>
      <c r="L257" t="str">
        <f>B34</f>
        <v>T1</v>
      </c>
      <c r="M257" t="s">
        <v>399</v>
      </c>
      <c r="N257" t="s">
        <v>401</v>
      </c>
      <c r="O257">
        <v>1.7977306E7</v>
      </c>
      <c r="P257">
        <v>1.5865426E7</v>
      </c>
      <c r="Q257" t="s">
        <v>382</v>
      </c>
      <c r="R257" s="41"/>
      <c r="S257" s="41"/>
      <c r="T257" s="41"/>
      <c r="U257" s="41"/>
      <c r="V257" s="41"/>
      <c r="W257" s="41"/>
      <c r="X257" s="41"/>
      <c r="Y257" s="41"/>
      <c r="Z257" s="41"/>
      <c r="AA257" s="41"/>
      <c r="AB257" s="41"/>
      <c r="AC257" s="41"/>
      <c r="AD257" s="41"/>
    </row>
    <row r="258" ht="15.75" customHeight="1">
      <c r="K258" t="s">
        <v>402</v>
      </c>
      <c r="L258" t="str">
        <f>B34</f>
        <v>T1</v>
      </c>
      <c r="N258" t="s">
        <v>403</v>
      </c>
      <c r="O258">
        <v>1.8814514E7</v>
      </c>
      <c r="P258">
        <v>1.6702634E7</v>
      </c>
      <c r="Q258" t="s">
        <v>286</v>
      </c>
      <c r="R258" s="41"/>
      <c r="S258" s="41"/>
      <c r="T258" s="41"/>
      <c r="U258" s="41"/>
      <c r="V258" s="41"/>
      <c r="W258" s="41"/>
      <c r="X258" s="41"/>
      <c r="Y258" s="41"/>
      <c r="Z258" s="41"/>
      <c r="AA258" s="41"/>
      <c r="AB258" s="41"/>
      <c r="AC258" s="41"/>
      <c r="AD258" s="41"/>
    </row>
    <row r="259" ht="15.75" customHeight="1">
      <c r="K259" t="s">
        <v>404</v>
      </c>
      <c r="L259" t="str">
        <f>B34</f>
        <v>T1</v>
      </c>
      <c r="N259" t="s">
        <v>405</v>
      </c>
      <c r="O259">
        <v>1.9368421E7</v>
      </c>
      <c r="P259">
        <v>1.7256541E7</v>
      </c>
      <c r="Q259" t="s">
        <v>245</v>
      </c>
      <c r="R259" s="41"/>
      <c r="S259" s="41"/>
      <c r="T259" s="41"/>
      <c r="U259" s="41"/>
      <c r="V259" s="41"/>
      <c r="W259" s="41"/>
      <c r="X259" s="41"/>
      <c r="Y259" s="41"/>
      <c r="Z259" s="41"/>
      <c r="AA259" s="41"/>
      <c r="AB259" s="41"/>
      <c r="AC259" s="41"/>
      <c r="AD259" s="41"/>
    </row>
    <row r="260" ht="15.75" customHeight="1">
      <c r="K260" t="s">
        <v>406</v>
      </c>
      <c r="L260" t="str">
        <f>B34</f>
        <v>T1</v>
      </c>
      <c r="N260" t="s">
        <v>407</v>
      </c>
      <c r="O260">
        <v>1.452963E7</v>
      </c>
      <c r="P260">
        <v>1.2417831E7</v>
      </c>
      <c r="Q260" t="s">
        <v>245</v>
      </c>
      <c r="R260" s="41"/>
      <c r="S260" s="41"/>
      <c r="T260" s="41"/>
      <c r="U260" s="41"/>
      <c r="V260" s="41"/>
      <c r="W260" s="41"/>
      <c r="X260" s="41"/>
      <c r="Y260" s="41"/>
      <c r="Z260" s="41"/>
      <c r="AA260" s="41"/>
      <c r="AB260" s="41"/>
      <c r="AC260" s="41"/>
      <c r="AD260" s="41"/>
    </row>
    <row r="261" ht="15.75" customHeight="1">
      <c r="K261" t="s">
        <v>408</v>
      </c>
      <c r="L261" t="str">
        <f>B34</f>
        <v>T1</v>
      </c>
      <c r="N261" t="s">
        <v>409</v>
      </c>
      <c r="O261">
        <v>7567739.0</v>
      </c>
      <c r="P261">
        <v>7699698.0</v>
      </c>
      <c r="Q261" t="s">
        <v>272</v>
      </c>
      <c r="R261" s="41"/>
      <c r="S261" s="41"/>
      <c r="T261" s="41"/>
      <c r="U261" s="41"/>
      <c r="V261" s="41"/>
      <c r="W261" s="41"/>
      <c r="X261" s="41"/>
      <c r="Y261" s="41"/>
      <c r="Z261" s="41"/>
      <c r="AA261" s="41"/>
      <c r="AB261" s="41"/>
      <c r="AC261" s="41"/>
      <c r="AD261" s="41"/>
    </row>
    <row r="262" ht="15.75" customHeight="1">
      <c r="K262" t="s">
        <v>410</v>
      </c>
      <c r="L262" t="str">
        <f>B34</f>
        <v>T1</v>
      </c>
      <c r="N262" t="s">
        <v>411</v>
      </c>
      <c r="O262">
        <v>7890461.0</v>
      </c>
      <c r="P262">
        <v>8022420.0</v>
      </c>
      <c r="Q262" t="s">
        <v>256</v>
      </c>
      <c r="R262" s="41"/>
      <c r="S262" s="41"/>
      <c r="T262" s="41"/>
      <c r="U262" s="41"/>
      <c r="V262" s="41"/>
      <c r="W262" s="41"/>
      <c r="X262" s="41"/>
      <c r="Y262" s="41"/>
      <c r="Z262" s="41"/>
      <c r="AA262" s="41"/>
      <c r="AB262" s="41"/>
      <c r="AC262" s="41"/>
      <c r="AD262" s="41"/>
    </row>
    <row r="263" ht="15.75" customHeight="1">
      <c r="K263" t="s">
        <v>412</v>
      </c>
      <c r="L263" t="str">
        <f>B34</f>
        <v>T1</v>
      </c>
      <c r="N263" t="s">
        <v>413</v>
      </c>
      <c r="O263">
        <v>2.1235914E7</v>
      </c>
      <c r="P263">
        <v>1.9074028E7</v>
      </c>
      <c r="Q263" t="s">
        <v>245</v>
      </c>
      <c r="R263" s="41"/>
      <c r="S263" s="41"/>
      <c r="T263" s="41"/>
      <c r="U263" s="41"/>
      <c r="V263" s="41"/>
      <c r="W263" s="41"/>
      <c r="X263" s="41"/>
      <c r="Y263" s="41"/>
      <c r="Z263" s="41"/>
      <c r="AA263" s="41"/>
      <c r="AB263" s="41"/>
      <c r="AC263" s="41"/>
      <c r="AD263" s="41"/>
    </row>
    <row r="264" ht="15.75" customHeight="1">
      <c r="K264" t="s">
        <v>414</v>
      </c>
      <c r="L264" t="str">
        <f>B34</f>
        <v>T1</v>
      </c>
      <c r="N264" t="s">
        <v>415</v>
      </c>
      <c r="O264">
        <v>2.2539488E7</v>
      </c>
      <c r="P264">
        <v>2.0377602E7</v>
      </c>
      <c r="Q264" t="s">
        <v>256</v>
      </c>
      <c r="R264" s="41"/>
      <c r="S264" s="41"/>
      <c r="T264" s="41"/>
      <c r="U264" s="41"/>
      <c r="V264" s="41"/>
      <c r="W264" s="41"/>
      <c r="X264" s="41"/>
      <c r="Y264" s="41"/>
      <c r="Z264" s="41"/>
      <c r="AA264" s="41"/>
      <c r="AB264" s="41"/>
      <c r="AC264" s="41"/>
      <c r="AD264" s="41"/>
    </row>
    <row r="265" ht="15.75" customHeight="1">
      <c r="K265" t="s">
        <v>416</v>
      </c>
      <c r="L265" t="str">
        <f>B34</f>
        <v>T1</v>
      </c>
      <c r="N265" t="s">
        <v>417</v>
      </c>
      <c r="O265">
        <v>2.3502371E7</v>
      </c>
      <c r="P265">
        <v>2.1340485E7</v>
      </c>
      <c r="Q265" t="s">
        <v>245</v>
      </c>
      <c r="R265" s="41"/>
      <c r="S265" s="41"/>
      <c r="T265" s="41"/>
      <c r="U265" s="41"/>
      <c r="V265" s="41"/>
      <c r="W265" s="41"/>
      <c r="X265" s="41"/>
      <c r="Y265" s="41"/>
      <c r="Z265" s="41"/>
      <c r="AA265" s="41"/>
      <c r="AB265" s="41"/>
      <c r="AC265" s="41"/>
      <c r="AD265" s="41"/>
    </row>
    <row r="266" ht="15.75" customHeight="1">
      <c r="K266" t="s">
        <v>418</v>
      </c>
      <c r="L266" t="str">
        <f>B34</f>
        <v>T1</v>
      </c>
      <c r="N266" t="s">
        <v>419</v>
      </c>
      <c r="O266">
        <v>9418014.0</v>
      </c>
      <c r="P266">
        <v>9580405.0</v>
      </c>
      <c r="Q266" t="s">
        <v>245</v>
      </c>
      <c r="R266" s="41"/>
      <c r="S266" s="41"/>
      <c r="T266" s="41"/>
      <c r="U266" s="41"/>
      <c r="V266" s="41"/>
      <c r="W266" s="41"/>
      <c r="X266" s="41"/>
      <c r="Y266" s="41"/>
      <c r="Z266" s="41"/>
      <c r="AA266" s="41"/>
      <c r="AB266" s="41"/>
      <c r="AC266" s="41"/>
      <c r="AD266" s="41"/>
    </row>
    <row r="267" ht="15.75" customHeight="1">
      <c r="K267" t="s">
        <v>420</v>
      </c>
      <c r="L267" t="str">
        <f t="shared" ref="L267:L268" si="1">B34</f>
        <v>T1</v>
      </c>
      <c r="N267" t="s">
        <v>421</v>
      </c>
      <c r="O267">
        <v>2.166774E7</v>
      </c>
      <c r="P267">
        <v>1.9505854E7</v>
      </c>
      <c r="Q267" t="s">
        <v>252</v>
      </c>
      <c r="R267" s="41"/>
      <c r="S267" s="41"/>
      <c r="T267" s="41"/>
      <c r="U267" s="41"/>
      <c r="V267" s="41"/>
      <c r="W267" s="41"/>
      <c r="X267" s="41"/>
      <c r="Y267" s="41"/>
      <c r="Z267" s="41"/>
      <c r="AA267" s="41"/>
      <c r="AB267" s="41"/>
      <c r="AC267" s="41"/>
      <c r="AD267" s="41"/>
    </row>
    <row r="268" ht="15.75" customHeight="1">
      <c r="K268" t="s">
        <v>422</v>
      </c>
      <c r="L268" t="str">
        <f t="shared" si="1"/>
        <v>T1~</v>
      </c>
      <c r="N268" t="s">
        <v>423</v>
      </c>
      <c r="O268">
        <v>1.4266253E7</v>
      </c>
      <c r="P268">
        <v>1.2145547E7</v>
      </c>
      <c r="Q268" t="s">
        <v>252</v>
      </c>
      <c r="R268" s="41"/>
      <c r="S268" s="41"/>
      <c r="T268" s="41"/>
      <c r="U268" s="41"/>
      <c r="V268" s="41"/>
      <c r="W268" s="41"/>
      <c r="X268" s="41"/>
      <c r="Y268" s="41"/>
      <c r="Z268" s="41"/>
      <c r="AA268" s="41"/>
      <c r="AB268" s="41"/>
      <c r="AC268" s="41"/>
      <c r="AD268" s="41"/>
    </row>
    <row r="269" ht="15.75" customHeight="1">
      <c r="K269" t="s">
        <v>424</v>
      </c>
      <c r="L269" t="str">
        <f>B35</f>
        <v>T1~</v>
      </c>
      <c r="N269" t="s">
        <v>425</v>
      </c>
      <c r="O269">
        <v>1.6605237E7</v>
      </c>
      <c r="P269">
        <v>1.4493357E7</v>
      </c>
      <c r="Q269" t="s">
        <v>426</v>
      </c>
      <c r="R269" s="41"/>
      <c r="S269" s="41"/>
      <c r="T269" s="41"/>
      <c r="U269" s="41"/>
      <c r="V269" s="41"/>
      <c r="W269" s="41"/>
      <c r="X269" s="41"/>
      <c r="Y269" s="41"/>
      <c r="Z269" s="41"/>
      <c r="AA269" s="41"/>
      <c r="AB269" s="41"/>
      <c r="AC269" s="41"/>
      <c r="AD269" s="41"/>
    </row>
    <row r="270" ht="15.75" customHeight="1">
      <c r="K270" t="s">
        <v>427</v>
      </c>
      <c r="L270" t="str">
        <f>B35</f>
        <v>T1~</v>
      </c>
      <c r="M270" t="s">
        <v>428</v>
      </c>
      <c r="N270" t="s">
        <v>429</v>
      </c>
      <c r="O270">
        <v>1.6733756E7</v>
      </c>
      <c r="P270">
        <v>1.4621876E7</v>
      </c>
      <c r="Q270" t="s">
        <v>350</v>
      </c>
      <c r="R270" s="41"/>
      <c r="S270" s="41"/>
      <c r="T270" s="41"/>
      <c r="U270" s="41"/>
      <c r="V270" s="41"/>
      <c r="W270" s="41"/>
      <c r="X270" s="41"/>
      <c r="Y270" s="41"/>
      <c r="Z270" s="41"/>
      <c r="AA270" s="41"/>
      <c r="AB270" s="41"/>
      <c r="AC270" s="41"/>
      <c r="AD270" s="41"/>
    </row>
    <row r="271" ht="15.75" customHeight="1">
      <c r="K271" t="s">
        <v>428</v>
      </c>
      <c r="L271" t="str">
        <f>B35</f>
        <v>T1~</v>
      </c>
      <c r="M271" t="s">
        <v>427</v>
      </c>
      <c r="N271" t="s">
        <v>429</v>
      </c>
      <c r="O271">
        <v>1.6733756E7</v>
      </c>
      <c r="P271">
        <v>1.4621876E7</v>
      </c>
      <c r="Q271" t="s">
        <v>350</v>
      </c>
      <c r="R271" s="41"/>
      <c r="S271" s="41"/>
      <c r="T271" s="41"/>
      <c r="U271" s="41"/>
      <c r="V271" s="41"/>
      <c r="W271" s="41"/>
      <c r="X271" s="41"/>
      <c r="Y271" s="41"/>
      <c r="Z271" s="41"/>
      <c r="AA271" s="41"/>
      <c r="AB271" s="41"/>
      <c r="AC271" s="41"/>
      <c r="AD271" s="41"/>
    </row>
    <row r="272" ht="15.75" customHeight="1">
      <c r="K272" t="s">
        <v>430</v>
      </c>
      <c r="L272" t="str">
        <f>B35</f>
        <v>T1~</v>
      </c>
      <c r="O272">
        <v>3829332.0</v>
      </c>
      <c r="P272">
        <v>3961291.0</v>
      </c>
      <c r="Q272" t="s">
        <v>303</v>
      </c>
      <c r="R272" s="41"/>
      <c r="S272" s="41"/>
      <c r="T272" s="41"/>
      <c r="U272" s="41"/>
      <c r="V272" s="41"/>
      <c r="W272" s="41"/>
      <c r="X272" s="41"/>
      <c r="Y272" s="41"/>
      <c r="Z272" s="41"/>
      <c r="AA272" s="41"/>
      <c r="AB272" s="41"/>
      <c r="AC272" s="41"/>
      <c r="AD272" s="41"/>
    </row>
    <row r="273" ht="15.75" customHeight="1">
      <c r="K273" t="s">
        <v>431</v>
      </c>
      <c r="L273" t="str">
        <f>B35</f>
        <v>T1~</v>
      </c>
      <c r="O273">
        <v>6074287.0</v>
      </c>
      <c r="P273">
        <v>6206246.0</v>
      </c>
      <c r="Q273" t="s">
        <v>286</v>
      </c>
      <c r="R273" s="41"/>
      <c r="S273" s="41"/>
      <c r="T273" s="41"/>
      <c r="U273" s="41"/>
      <c r="V273" s="41"/>
      <c r="W273" s="41"/>
      <c r="X273" s="41"/>
      <c r="Y273" s="41"/>
      <c r="Z273" s="41"/>
      <c r="AA273" s="41"/>
      <c r="AB273" s="41"/>
      <c r="AC273" s="41"/>
      <c r="AD273" s="41"/>
    </row>
    <row r="274" ht="15.75" customHeight="1">
      <c r="K274" t="s">
        <v>432</v>
      </c>
      <c r="L274" t="str">
        <f>B35</f>
        <v>T1~</v>
      </c>
      <c r="O274">
        <v>2.2216517E7</v>
      </c>
      <c r="P274">
        <v>2.0054631E7</v>
      </c>
      <c r="Q274" t="s">
        <v>303</v>
      </c>
      <c r="R274" s="41"/>
      <c r="S274" s="41"/>
      <c r="T274" s="41"/>
      <c r="U274" s="41"/>
      <c r="V274" s="41"/>
      <c r="W274" s="41"/>
      <c r="X274" s="41"/>
      <c r="Y274" s="41"/>
      <c r="Z274" s="41"/>
      <c r="AA274" s="41"/>
      <c r="AB274" s="41"/>
      <c r="AC274" s="41"/>
      <c r="AD274" s="41"/>
    </row>
    <row r="275" ht="15.75" customHeight="1">
      <c r="K275" t="s">
        <v>433</v>
      </c>
      <c r="L275" t="str">
        <f>C36</f>
        <v>T1a</v>
      </c>
      <c r="M275" t="s">
        <v>434</v>
      </c>
      <c r="N275" t="s">
        <v>435</v>
      </c>
      <c r="O275">
        <v>2.1893881E7</v>
      </c>
      <c r="P275">
        <v>1.9731995E7</v>
      </c>
      <c r="Q275" t="s">
        <v>350</v>
      </c>
      <c r="R275" s="41"/>
      <c r="S275" s="41"/>
      <c r="T275" s="41"/>
      <c r="U275" s="41"/>
      <c r="V275" s="41"/>
      <c r="W275" s="41"/>
      <c r="X275" s="41"/>
      <c r="Y275" s="41"/>
      <c r="Z275" s="41"/>
      <c r="AA275" s="41"/>
      <c r="AB275" s="41"/>
      <c r="AC275" s="41"/>
      <c r="AD275" s="41"/>
    </row>
    <row r="276" ht="15.75" customHeight="1">
      <c r="K276" t="s">
        <v>436</v>
      </c>
      <c r="L276" t="str">
        <f>C36</f>
        <v>T1a</v>
      </c>
      <c r="M276" t="s">
        <v>437</v>
      </c>
      <c r="N276" t="s">
        <v>435</v>
      </c>
      <c r="O276">
        <v>2.1893881E7</v>
      </c>
      <c r="P276">
        <v>1.9731995E7</v>
      </c>
      <c r="Q276" t="s">
        <v>350</v>
      </c>
      <c r="R276" s="41"/>
      <c r="S276" s="41"/>
      <c r="T276" s="41"/>
      <c r="U276" s="41"/>
      <c r="V276" s="41"/>
      <c r="W276" s="41"/>
      <c r="X276" s="41"/>
      <c r="Y276" s="41"/>
      <c r="Z276" s="41"/>
      <c r="AA276" s="41"/>
      <c r="AB276" s="41"/>
      <c r="AC276" s="41"/>
      <c r="AD276" s="41"/>
    </row>
    <row r="277" ht="15.75" customHeight="1">
      <c r="K277" t="s">
        <v>438</v>
      </c>
      <c r="L277" t="str">
        <f>C36</f>
        <v>T1a</v>
      </c>
      <c r="M277" t="s">
        <v>439</v>
      </c>
      <c r="N277" t="s">
        <v>435</v>
      </c>
      <c r="O277">
        <v>2.1893881E7</v>
      </c>
      <c r="P277">
        <v>1.9731995E7</v>
      </c>
      <c r="Q277" t="s">
        <v>350</v>
      </c>
      <c r="R277" s="41"/>
      <c r="S277" s="41"/>
      <c r="T277" s="41"/>
      <c r="U277" s="41"/>
      <c r="V277" s="41"/>
      <c r="W277" s="41"/>
      <c r="X277" s="41"/>
      <c r="Y277" s="41"/>
      <c r="Z277" s="41"/>
      <c r="AA277" s="41"/>
      <c r="AB277" s="41"/>
      <c r="AC277" s="41"/>
      <c r="AD277" s="41"/>
    </row>
    <row r="278" ht="15.75" customHeight="1">
      <c r="K278" t="s">
        <v>440</v>
      </c>
      <c r="L278" t="str">
        <f>C36</f>
        <v>T1a</v>
      </c>
      <c r="M278" t="s">
        <v>441</v>
      </c>
      <c r="N278" t="s">
        <v>442</v>
      </c>
      <c r="O278">
        <v>1.6212441E7</v>
      </c>
      <c r="P278">
        <v>1.4100561E7</v>
      </c>
      <c r="Q278" t="s">
        <v>245</v>
      </c>
      <c r="R278" s="41"/>
      <c r="S278" s="41"/>
      <c r="T278" s="41"/>
      <c r="U278" s="41"/>
      <c r="V278" s="41"/>
      <c r="W278" s="41"/>
      <c r="X278" s="41"/>
      <c r="Y278" s="41"/>
      <c r="Z278" s="41"/>
      <c r="AA278" s="41"/>
      <c r="AB278" s="41"/>
      <c r="AC278" s="41"/>
      <c r="AD278" s="41"/>
    </row>
    <row r="279" ht="15.75" customHeight="1">
      <c r="K279" t="s">
        <v>441</v>
      </c>
      <c r="L279" t="str">
        <f>C36</f>
        <v>T1a</v>
      </c>
      <c r="M279" t="s">
        <v>440</v>
      </c>
      <c r="N279" t="s">
        <v>442</v>
      </c>
      <c r="O279">
        <v>1.6212441E7</v>
      </c>
      <c r="P279">
        <v>1.4100561E7</v>
      </c>
      <c r="Q279" t="s">
        <v>245</v>
      </c>
      <c r="R279" s="41"/>
      <c r="S279" s="41"/>
      <c r="T279" s="41"/>
      <c r="U279" s="41"/>
      <c r="V279" s="41"/>
      <c r="W279" s="41"/>
      <c r="X279" s="41"/>
      <c r="Y279" s="41"/>
      <c r="Z279" s="41"/>
      <c r="AA279" s="41"/>
      <c r="AB279" s="41"/>
      <c r="AC279" s="41"/>
      <c r="AD279" s="41"/>
    </row>
    <row r="280" ht="15.75" customHeight="1">
      <c r="K280" t="s">
        <v>443</v>
      </c>
      <c r="L280" t="str">
        <f>C36</f>
        <v>T1a</v>
      </c>
      <c r="N280" t="s">
        <v>444</v>
      </c>
      <c r="O280">
        <v>1.6224726E7</v>
      </c>
      <c r="P280">
        <v>1.4112846E7</v>
      </c>
      <c r="Q280" t="s">
        <v>245</v>
      </c>
      <c r="R280" s="41"/>
      <c r="S280" s="41"/>
      <c r="T280" s="41"/>
      <c r="U280" s="41"/>
      <c r="V280" s="41"/>
      <c r="W280" s="41"/>
      <c r="X280" s="41"/>
      <c r="Y280" s="41"/>
      <c r="Z280" s="41"/>
      <c r="AA280" s="41"/>
      <c r="AB280" s="41"/>
      <c r="AC280" s="41"/>
      <c r="AD280" s="41"/>
    </row>
    <row r="281" ht="15.75" customHeight="1">
      <c r="K281" t="s">
        <v>445</v>
      </c>
      <c r="L281" t="str">
        <f>C36</f>
        <v>T1a</v>
      </c>
      <c r="N281" t="s">
        <v>446</v>
      </c>
      <c r="O281">
        <v>1.6862927E7</v>
      </c>
      <c r="P281">
        <v>1.4751047E7</v>
      </c>
      <c r="Q281" t="s">
        <v>245</v>
      </c>
      <c r="R281" s="41"/>
      <c r="S281" s="41"/>
      <c r="T281" s="41"/>
      <c r="U281" s="41"/>
      <c r="V281" s="41"/>
      <c r="W281" s="41"/>
      <c r="X281" s="41"/>
      <c r="Y281" s="41"/>
      <c r="Z281" s="41"/>
      <c r="AA281" s="41"/>
      <c r="AB281" s="41"/>
      <c r="AC281" s="41"/>
      <c r="AD281" s="41"/>
    </row>
    <row r="282" ht="15.75" customHeight="1">
      <c r="K282" t="s">
        <v>447</v>
      </c>
      <c r="L282" t="str">
        <f>C36</f>
        <v>T1a</v>
      </c>
      <c r="M282" t="s">
        <v>448</v>
      </c>
      <c r="N282" t="s">
        <v>449</v>
      </c>
      <c r="O282">
        <v>1.8788069E7</v>
      </c>
      <c r="P282">
        <v>1.6676189E7</v>
      </c>
      <c r="Q282" t="s">
        <v>256</v>
      </c>
      <c r="R282" s="41"/>
      <c r="S282" s="41"/>
      <c r="T282" s="41"/>
      <c r="U282" s="41"/>
      <c r="V282" s="41"/>
      <c r="W282" s="41"/>
      <c r="X282" s="41"/>
      <c r="Y282" s="41"/>
      <c r="Z282" s="41"/>
      <c r="AA282" s="41"/>
      <c r="AB282" s="41"/>
      <c r="AC282" s="41"/>
      <c r="AD282" s="41"/>
    </row>
    <row r="283" ht="15.75" customHeight="1">
      <c r="K283" t="s">
        <v>448</v>
      </c>
      <c r="L283" t="str">
        <f>C36</f>
        <v>T1a</v>
      </c>
      <c r="M283" t="s">
        <v>447</v>
      </c>
      <c r="N283" t="s">
        <v>449</v>
      </c>
      <c r="O283">
        <v>1.8788069E7</v>
      </c>
      <c r="P283">
        <v>1.6676189E7</v>
      </c>
      <c r="Q283" t="s">
        <v>256</v>
      </c>
      <c r="R283" s="41"/>
      <c r="S283" s="41"/>
      <c r="T283" s="41"/>
      <c r="U283" s="41"/>
      <c r="V283" s="41"/>
      <c r="W283" s="41"/>
      <c r="X283" s="41"/>
      <c r="Y283" s="41"/>
      <c r="Z283" s="41"/>
      <c r="AA283" s="41"/>
      <c r="AB283" s="41"/>
      <c r="AC283" s="41"/>
      <c r="AD283" s="41"/>
    </row>
    <row r="284" ht="15.75" customHeight="1">
      <c r="K284" t="s">
        <v>450</v>
      </c>
      <c r="L284" t="str">
        <f>C36</f>
        <v>T1a</v>
      </c>
      <c r="N284" t="s">
        <v>451</v>
      </c>
      <c r="O284">
        <v>2.2923054E7</v>
      </c>
      <c r="P284">
        <v>2.0761168E7</v>
      </c>
      <c r="Q284" t="s">
        <v>245</v>
      </c>
      <c r="R284" s="41"/>
      <c r="S284" s="41"/>
      <c r="T284" s="41"/>
      <c r="U284" s="41"/>
      <c r="V284" s="41"/>
      <c r="W284" s="41"/>
      <c r="X284" s="41"/>
      <c r="Y284" s="41"/>
      <c r="Z284" s="41"/>
      <c r="AA284" s="41"/>
      <c r="AB284" s="41"/>
      <c r="AC284" s="41"/>
      <c r="AD284" s="41"/>
    </row>
    <row r="285" ht="15.75" customHeight="1">
      <c r="K285" t="s">
        <v>452</v>
      </c>
      <c r="L285" t="str">
        <f>C36</f>
        <v>T1a</v>
      </c>
      <c r="N285" t="s">
        <v>453</v>
      </c>
      <c r="O285">
        <v>2.3248079E7</v>
      </c>
      <c r="P285">
        <v>2.1086193E7</v>
      </c>
      <c r="Q285" t="s">
        <v>382</v>
      </c>
      <c r="R285" s="41"/>
      <c r="S285" s="41"/>
      <c r="T285" s="41"/>
      <c r="U285" s="41"/>
      <c r="V285" s="41"/>
      <c r="W285" s="41"/>
      <c r="X285" s="41"/>
      <c r="Y285" s="41"/>
      <c r="Z285" s="41"/>
      <c r="AA285" s="41"/>
      <c r="AB285" s="41"/>
      <c r="AC285" s="41"/>
      <c r="AD285" s="41"/>
    </row>
    <row r="286" ht="15.75" customHeight="1">
      <c r="K286" t="s">
        <v>454</v>
      </c>
      <c r="L286" t="str">
        <f>C36</f>
        <v>T1a</v>
      </c>
      <c r="N286" t="s">
        <v>455</v>
      </c>
      <c r="O286">
        <v>1.484865E7</v>
      </c>
      <c r="P286">
        <v>1.2736716E7</v>
      </c>
      <c r="Q286" t="s">
        <v>426</v>
      </c>
      <c r="R286" s="41"/>
      <c r="S286" s="41"/>
      <c r="T286" s="41"/>
      <c r="U286" s="41"/>
      <c r="V286" s="41"/>
      <c r="W286" s="41"/>
      <c r="X286" s="41"/>
      <c r="Y286" s="41"/>
      <c r="Z286" s="41"/>
      <c r="AA286" s="41"/>
      <c r="AB286" s="41"/>
      <c r="AC286" s="41"/>
      <c r="AD286" s="41"/>
    </row>
    <row r="287" ht="15.75" customHeight="1">
      <c r="K287" t="s">
        <v>456</v>
      </c>
      <c r="L287" t="str">
        <f>C36</f>
        <v>T1a</v>
      </c>
      <c r="O287">
        <v>2.4360028E7</v>
      </c>
      <c r="P287">
        <v>2.2213881E7</v>
      </c>
      <c r="Q287" t="s">
        <v>245</v>
      </c>
      <c r="R287" s="41"/>
      <c r="S287" s="41"/>
      <c r="T287" s="41"/>
      <c r="U287" s="41"/>
      <c r="V287" s="41"/>
      <c r="W287" s="41"/>
      <c r="X287" s="41"/>
      <c r="Y287" s="41"/>
      <c r="Z287" s="41"/>
      <c r="AA287" s="41"/>
      <c r="AB287" s="41"/>
      <c r="AC287" s="41"/>
      <c r="AD287" s="41"/>
    </row>
    <row r="288" ht="15.75" customHeight="1">
      <c r="K288" t="s">
        <v>457</v>
      </c>
      <c r="L288" t="str">
        <f>C36</f>
        <v>T1a</v>
      </c>
      <c r="N288" t="s">
        <v>458</v>
      </c>
      <c r="O288">
        <v>8823191.0</v>
      </c>
      <c r="P288">
        <v>8955150.0</v>
      </c>
      <c r="Q288" t="s">
        <v>275</v>
      </c>
      <c r="R288" s="41"/>
      <c r="S288" s="41"/>
      <c r="T288" s="41"/>
      <c r="U288" s="41"/>
      <c r="V288" s="41"/>
      <c r="W288" s="41"/>
      <c r="X288" s="41"/>
      <c r="Y288" s="41"/>
      <c r="Z288" s="41"/>
      <c r="AA288" s="41"/>
      <c r="AB288" s="41"/>
      <c r="AC288" s="41"/>
      <c r="AD288" s="41"/>
    </row>
    <row r="289" ht="15.75" customHeight="1">
      <c r="K289" t="s">
        <v>459</v>
      </c>
      <c r="L289" t="str">
        <f>C36</f>
        <v>T1a</v>
      </c>
      <c r="N289" t="s">
        <v>460</v>
      </c>
      <c r="O289">
        <v>9124204.0</v>
      </c>
      <c r="P289">
        <v>9286595.0</v>
      </c>
      <c r="Q289" t="s">
        <v>303</v>
      </c>
      <c r="R289" s="41"/>
      <c r="S289" s="41"/>
      <c r="T289" s="41"/>
      <c r="U289" s="41"/>
      <c r="V289" s="41"/>
      <c r="W289" s="41"/>
      <c r="X289" s="41"/>
      <c r="Y289" s="41"/>
      <c r="Z289" s="41"/>
      <c r="AA289" s="41"/>
      <c r="AB289" s="41"/>
      <c r="AC289" s="41"/>
      <c r="AD289" s="41"/>
    </row>
    <row r="290" ht="15.75" customHeight="1">
      <c r="K290" t="s">
        <v>461</v>
      </c>
      <c r="L290" t="str">
        <f>C36</f>
        <v>T1a</v>
      </c>
      <c r="N290" t="s">
        <v>462</v>
      </c>
      <c r="O290">
        <v>2.1504756E7</v>
      </c>
      <c r="P290">
        <v>1.934287E7</v>
      </c>
      <c r="Q290" t="s">
        <v>272</v>
      </c>
      <c r="R290" s="41"/>
      <c r="S290" s="41"/>
      <c r="T290" s="41"/>
      <c r="U290" s="41"/>
      <c r="V290" s="41"/>
      <c r="W290" s="41"/>
      <c r="X290" s="41"/>
      <c r="Y290" s="41"/>
      <c r="Z290" s="41"/>
      <c r="AA290" s="41"/>
      <c r="AB290" s="41"/>
      <c r="AC290" s="41"/>
      <c r="AD290" s="41"/>
    </row>
    <row r="291" ht="15.75" customHeight="1">
      <c r="K291" t="s">
        <v>463</v>
      </c>
      <c r="L291" t="str">
        <f>C36</f>
        <v>T1a</v>
      </c>
      <c r="N291" t="s">
        <v>464</v>
      </c>
      <c r="O291">
        <v>8391078.0</v>
      </c>
      <c r="P291">
        <v>8523037.0</v>
      </c>
      <c r="Q291" t="s">
        <v>252</v>
      </c>
      <c r="R291" s="41"/>
      <c r="S291" s="41"/>
      <c r="T291" s="41"/>
      <c r="U291" s="41"/>
      <c r="V291" s="41"/>
      <c r="W291" s="41"/>
      <c r="X291" s="41"/>
      <c r="Y291" s="41"/>
      <c r="Z291" s="41"/>
      <c r="AA291" s="41"/>
      <c r="AB291" s="41"/>
      <c r="AC291" s="41"/>
      <c r="AD291" s="41"/>
    </row>
    <row r="292" ht="15.75" customHeight="1">
      <c r="K292" t="s">
        <v>465</v>
      </c>
      <c r="L292" t="str">
        <f>D37</f>
        <v>T1a1</v>
      </c>
      <c r="M292" t="s">
        <v>466</v>
      </c>
      <c r="N292" t="s">
        <v>467</v>
      </c>
      <c r="O292">
        <v>1.6019072E7</v>
      </c>
      <c r="P292">
        <v>1.3907192E7</v>
      </c>
      <c r="Q292" t="s">
        <v>426</v>
      </c>
      <c r="R292" s="41"/>
      <c r="S292" s="41"/>
      <c r="T292" s="41"/>
      <c r="U292" s="41"/>
      <c r="V292" s="41"/>
      <c r="W292" s="41"/>
      <c r="X292" s="41"/>
      <c r="Y292" s="41"/>
      <c r="Z292" s="41"/>
      <c r="AA292" s="41"/>
      <c r="AB292" s="41"/>
      <c r="AC292" s="41"/>
      <c r="AD292" s="41"/>
    </row>
    <row r="293" ht="15.75" customHeight="1">
      <c r="K293" t="s">
        <v>466</v>
      </c>
      <c r="L293" t="str">
        <f>D37</f>
        <v>T1a1</v>
      </c>
      <c r="M293" t="s">
        <v>465</v>
      </c>
      <c r="N293" t="s">
        <v>467</v>
      </c>
      <c r="O293">
        <v>1.6019072E7</v>
      </c>
      <c r="P293">
        <v>1.3907192E7</v>
      </c>
      <c r="Q293" t="s">
        <v>426</v>
      </c>
      <c r="R293" s="41"/>
      <c r="S293" s="41"/>
      <c r="T293" s="41"/>
      <c r="U293" s="41"/>
      <c r="V293" s="41"/>
      <c r="W293" s="41"/>
      <c r="X293" s="41"/>
      <c r="Y293" s="41"/>
      <c r="Z293" s="41"/>
      <c r="AA293" s="41"/>
      <c r="AB293" s="41"/>
      <c r="AC293" s="41"/>
      <c r="AD293" s="41"/>
    </row>
    <row r="294" ht="15.75" customHeight="1">
      <c r="K294" t="s">
        <v>468</v>
      </c>
      <c r="L294" t="str">
        <f>D37</f>
        <v>T1a1</v>
      </c>
      <c r="N294" t="s">
        <v>469</v>
      </c>
      <c r="O294">
        <v>1.4577272E7</v>
      </c>
      <c r="P294">
        <v>1.2465472E7</v>
      </c>
      <c r="Q294" t="s">
        <v>256</v>
      </c>
      <c r="R294" s="41"/>
      <c r="S294" s="41"/>
      <c r="T294" s="41"/>
      <c r="U294" s="41"/>
      <c r="V294" s="41"/>
      <c r="W294" s="41"/>
      <c r="X294" s="41"/>
      <c r="Y294" s="41"/>
      <c r="Z294" s="41"/>
      <c r="AA294" s="41"/>
      <c r="AB294" s="41"/>
      <c r="AC294" s="41"/>
      <c r="AD294" s="41"/>
    </row>
    <row r="295" ht="15.75" customHeight="1">
      <c r="K295" t="s">
        <v>470</v>
      </c>
      <c r="L295" t="str">
        <f>D37</f>
        <v>T1a1</v>
      </c>
      <c r="N295" t="s">
        <v>471</v>
      </c>
      <c r="O295">
        <v>6782868.0</v>
      </c>
      <c r="P295">
        <v>6914827.0</v>
      </c>
      <c r="Q295" t="s">
        <v>252</v>
      </c>
      <c r="R295" s="41"/>
      <c r="S295" s="41"/>
      <c r="T295" s="41"/>
      <c r="U295" s="41"/>
      <c r="V295" s="41"/>
      <c r="W295" s="41"/>
      <c r="X295" s="41"/>
      <c r="Y295" s="41"/>
      <c r="Z295" s="41"/>
      <c r="AA295" s="41"/>
      <c r="AB295" s="41"/>
      <c r="AC295" s="41"/>
      <c r="AD295" s="41"/>
    </row>
    <row r="296" ht="15.75" customHeight="1">
      <c r="K296" t="s">
        <v>472</v>
      </c>
      <c r="L296" t="str">
        <f>D37</f>
        <v>T1a1</v>
      </c>
      <c r="N296" t="s">
        <v>473</v>
      </c>
      <c r="O296">
        <v>6837868.0</v>
      </c>
      <c r="P296">
        <v>6969827.0</v>
      </c>
      <c r="Q296" t="s">
        <v>252</v>
      </c>
      <c r="R296" s="41"/>
      <c r="S296" s="41"/>
      <c r="T296" s="41"/>
      <c r="U296" s="41"/>
      <c r="V296" s="41"/>
      <c r="W296" s="41"/>
      <c r="X296" s="41"/>
      <c r="Y296" s="41"/>
      <c r="Z296" s="41"/>
      <c r="AA296" s="41"/>
      <c r="AB296" s="41"/>
      <c r="AC296" s="41"/>
      <c r="AD296" s="41"/>
    </row>
    <row r="297" ht="15.75" customHeight="1">
      <c r="K297" t="s">
        <v>474</v>
      </c>
      <c r="L297" t="str">
        <f>D37</f>
        <v>T1a1</v>
      </c>
      <c r="N297" t="s">
        <v>475</v>
      </c>
      <c r="O297">
        <v>1.478414E7</v>
      </c>
      <c r="P297">
        <v>1.267221E7</v>
      </c>
      <c r="Q297" t="s">
        <v>272</v>
      </c>
      <c r="R297" s="41"/>
      <c r="S297" s="41"/>
      <c r="T297" s="41"/>
      <c r="U297" s="41"/>
      <c r="V297" s="41"/>
      <c r="W297" s="41"/>
      <c r="X297" s="41"/>
      <c r="Y297" s="41"/>
      <c r="Z297" s="41"/>
      <c r="AA297" s="41"/>
      <c r="AB297" s="41"/>
      <c r="AC297" s="41"/>
      <c r="AD297" s="41"/>
    </row>
    <row r="298" ht="15.75" customHeight="1">
      <c r="K298" t="s">
        <v>476</v>
      </c>
      <c r="L298" t="str">
        <f>D37</f>
        <v>T1a1</v>
      </c>
      <c r="M298" t="s">
        <v>477</v>
      </c>
      <c r="N298" t="s">
        <v>478</v>
      </c>
      <c r="O298">
        <v>1.6350661E7</v>
      </c>
      <c r="P298">
        <v>1.4238781E7</v>
      </c>
      <c r="Q298" t="s">
        <v>350</v>
      </c>
      <c r="R298" s="41"/>
      <c r="S298" s="41"/>
      <c r="T298" s="41"/>
      <c r="U298" s="41"/>
      <c r="V298" s="41"/>
      <c r="W298" s="41"/>
      <c r="X298" s="41"/>
      <c r="Y298" s="41"/>
      <c r="Z298" s="41"/>
      <c r="AA298" s="41"/>
      <c r="AB298" s="41"/>
      <c r="AC298" s="41"/>
      <c r="AD298" s="41"/>
    </row>
    <row r="299" ht="15.75" customHeight="1">
      <c r="K299" t="s">
        <v>477</v>
      </c>
      <c r="L299" t="str">
        <f>D37</f>
        <v>T1a1</v>
      </c>
      <c r="M299" t="s">
        <v>476</v>
      </c>
      <c r="N299" t="s">
        <v>478</v>
      </c>
      <c r="O299">
        <v>1.6350661E7</v>
      </c>
      <c r="P299">
        <v>1.4238781E7</v>
      </c>
      <c r="Q299" t="s">
        <v>350</v>
      </c>
      <c r="R299" s="41"/>
      <c r="S299" s="41"/>
      <c r="T299" s="41"/>
      <c r="U299" s="41"/>
      <c r="V299" s="41"/>
      <c r="W299" s="41"/>
      <c r="X299" s="41"/>
      <c r="Y299" s="41"/>
      <c r="Z299" s="41"/>
      <c r="AA299" s="41"/>
      <c r="AB299" s="41"/>
      <c r="AC299" s="41"/>
      <c r="AD299" s="41"/>
    </row>
    <row r="300" ht="15.75" customHeight="1">
      <c r="K300" t="s">
        <v>479</v>
      </c>
      <c r="L300" t="str">
        <f>D37</f>
        <v>T1a1</v>
      </c>
      <c r="N300" t="s">
        <v>480</v>
      </c>
      <c r="O300">
        <v>1.6433905E7</v>
      </c>
      <c r="P300">
        <v>1.4322025E7</v>
      </c>
      <c r="Q300" t="s">
        <v>382</v>
      </c>
      <c r="R300" s="41"/>
      <c r="S300" s="41"/>
      <c r="T300" s="41"/>
      <c r="U300" s="41"/>
      <c r="V300" s="41"/>
      <c r="W300" s="41"/>
      <c r="X300" s="41"/>
      <c r="Y300" s="41"/>
      <c r="Z300" s="41"/>
      <c r="AA300" s="41"/>
      <c r="AB300" s="41"/>
      <c r="AC300" s="41"/>
      <c r="AD300" s="41"/>
    </row>
    <row r="301" ht="15.75" customHeight="1">
      <c r="K301" t="s">
        <v>481</v>
      </c>
      <c r="L301" t="str">
        <f>D37</f>
        <v>T1a1</v>
      </c>
      <c r="M301" t="s">
        <v>482</v>
      </c>
      <c r="N301" t="s">
        <v>483</v>
      </c>
      <c r="O301">
        <v>1.7819177E7</v>
      </c>
      <c r="P301">
        <v>1.5707297E7</v>
      </c>
      <c r="Q301" t="s">
        <v>252</v>
      </c>
      <c r="R301" s="41"/>
      <c r="S301" s="41"/>
      <c r="T301" s="41"/>
      <c r="U301" s="41"/>
      <c r="V301" s="41"/>
      <c r="W301" s="41"/>
      <c r="X301" s="41"/>
      <c r="Y301" s="41"/>
      <c r="Z301" s="41"/>
      <c r="AA301" s="41"/>
      <c r="AB301" s="41"/>
      <c r="AC301" s="41"/>
      <c r="AD301" s="41"/>
    </row>
    <row r="302" ht="15.75" customHeight="1">
      <c r="K302" t="s">
        <v>482</v>
      </c>
      <c r="L302" t="str">
        <f>D37</f>
        <v>T1a1</v>
      </c>
      <c r="M302" t="s">
        <v>481</v>
      </c>
      <c r="N302" t="s">
        <v>483</v>
      </c>
      <c r="O302">
        <v>1.7819177E7</v>
      </c>
      <c r="P302">
        <v>1.5707297E7</v>
      </c>
      <c r="Q302" t="s">
        <v>252</v>
      </c>
      <c r="R302" s="41"/>
      <c r="S302" s="41"/>
      <c r="T302" s="41"/>
      <c r="U302" s="41"/>
      <c r="V302" s="41"/>
      <c r="W302" s="41"/>
      <c r="X302" s="41"/>
      <c r="Y302" s="41"/>
      <c r="Z302" s="41"/>
      <c r="AA302" s="41"/>
      <c r="AB302" s="41"/>
      <c r="AC302" s="41"/>
      <c r="AD302" s="41"/>
    </row>
    <row r="303" ht="15.75" customHeight="1">
      <c r="K303" t="s">
        <v>484</v>
      </c>
      <c r="L303" t="str">
        <f>D37</f>
        <v>T1a1</v>
      </c>
      <c r="N303" t="s">
        <v>485</v>
      </c>
      <c r="O303">
        <v>2.2937229E7</v>
      </c>
      <c r="P303">
        <v>2.0775343E7</v>
      </c>
      <c r="Q303" t="s">
        <v>256</v>
      </c>
      <c r="R303" s="41"/>
      <c r="S303" s="41"/>
      <c r="T303" s="41"/>
      <c r="U303" s="41"/>
      <c r="V303" s="41"/>
      <c r="W303" s="41"/>
      <c r="X303" s="41"/>
      <c r="Y303" s="41"/>
      <c r="Z303" s="41"/>
      <c r="AA303" s="41"/>
      <c r="AB303" s="41"/>
      <c r="AC303" s="41"/>
      <c r="AD303" s="41"/>
    </row>
    <row r="304" ht="15.75" customHeight="1">
      <c r="K304" t="s">
        <v>486</v>
      </c>
      <c r="L304" t="str">
        <f>D37</f>
        <v>T1a1</v>
      </c>
      <c r="N304" t="s">
        <v>487</v>
      </c>
      <c r="O304">
        <v>2.3160461E7</v>
      </c>
      <c r="P304">
        <v>2.0998575E7</v>
      </c>
      <c r="Q304" t="s">
        <v>296</v>
      </c>
      <c r="R304" s="41"/>
      <c r="S304" s="41"/>
      <c r="T304" s="41"/>
      <c r="U304" s="41"/>
      <c r="V304" s="41"/>
      <c r="W304" s="41"/>
      <c r="X304" s="41"/>
      <c r="Y304" s="41"/>
      <c r="Z304" s="41"/>
      <c r="AA304" s="41"/>
      <c r="AB304" s="41"/>
      <c r="AC304" s="41"/>
      <c r="AD304" s="41"/>
    </row>
    <row r="305" ht="15.75" customHeight="1">
      <c r="K305" t="s">
        <v>488</v>
      </c>
      <c r="L305" t="str">
        <f>D37</f>
        <v>T1a1</v>
      </c>
      <c r="M305" t="s">
        <v>489</v>
      </c>
      <c r="N305" t="s">
        <v>490</v>
      </c>
      <c r="O305">
        <v>2.3612472E7</v>
      </c>
      <c r="P305">
        <v>2.1450586E7</v>
      </c>
      <c r="Q305" t="s">
        <v>426</v>
      </c>
      <c r="R305" s="41"/>
      <c r="S305" s="41"/>
      <c r="T305" s="41"/>
      <c r="U305" s="41"/>
      <c r="V305" s="41"/>
      <c r="W305" s="41"/>
      <c r="X305" s="41"/>
      <c r="Y305" s="41"/>
      <c r="Z305" s="41"/>
      <c r="AA305" s="41"/>
      <c r="AB305" s="41"/>
      <c r="AC305" s="41"/>
      <c r="AD305" s="41"/>
    </row>
    <row r="306" ht="15.75" customHeight="1">
      <c r="K306" t="s">
        <v>489</v>
      </c>
      <c r="L306" t="str">
        <f>D37</f>
        <v>T1a1</v>
      </c>
      <c r="M306" t="s">
        <v>488</v>
      </c>
      <c r="N306" t="s">
        <v>490</v>
      </c>
      <c r="O306">
        <v>2.3612472E7</v>
      </c>
      <c r="P306">
        <v>2.1450586E7</v>
      </c>
      <c r="Q306" t="s">
        <v>426</v>
      </c>
      <c r="R306" s="41"/>
      <c r="S306" s="41"/>
      <c r="T306" s="41"/>
      <c r="U306" s="41"/>
      <c r="V306" s="41"/>
      <c r="W306" s="41"/>
      <c r="X306" s="41"/>
      <c r="Y306" s="41"/>
      <c r="Z306" s="41"/>
      <c r="AA306" s="41"/>
      <c r="AB306" s="41"/>
      <c r="AC306" s="41"/>
      <c r="AD306" s="41"/>
    </row>
    <row r="307" ht="15.75" customHeight="1">
      <c r="K307" t="s">
        <v>491</v>
      </c>
      <c r="L307" t="str">
        <f>D37</f>
        <v>T1a1</v>
      </c>
      <c r="M307" t="s">
        <v>492</v>
      </c>
      <c r="N307" t="s">
        <v>493</v>
      </c>
      <c r="O307">
        <v>1.4577209E7</v>
      </c>
      <c r="P307">
        <v>1.2465409E7</v>
      </c>
      <c r="Q307" t="s">
        <v>382</v>
      </c>
      <c r="R307" s="41"/>
      <c r="S307" s="41"/>
      <c r="T307" s="41"/>
      <c r="U307" s="41"/>
      <c r="V307" s="41"/>
      <c r="W307" s="41"/>
      <c r="X307" s="41"/>
      <c r="Y307" s="41"/>
      <c r="Z307" s="41"/>
      <c r="AA307" s="41"/>
      <c r="AB307" s="41"/>
      <c r="AC307" s="41"/>
      <c r="AD307" s="41"/>
    </row>
    <row r="308" ht="15.75" customHeight="1">
      <c r="K308" t="s">
        <v>492</v>
      </c>
      <c r="L308" t="str">
        <f>D37</f>
        <v>T1a1</v>
      </c>
      <c r="M308" t="s">
        <v>491</v>
      </c>
      <c r="N308" t="s">
        <v>493</v>
      </c>
      <c r="O308">
        <v>1.4577209E7</v>
      </c>
      <c r="P308">
        <v>1.2465409E7</v>
      </c>
      <c r="Q308" t="s">
        <v>382</v>
      </c>
      <c r="R308" s="41"/>
      <c r="S308" s="41"/>
      <c r="T308" s="41"/>
      <c r="U308" s="41"/>
      <c r="V308" s="41"/>
      <c r="W308" s="41"/>
      <c r="X308" s="41"/>
      <c r="Y308" s="41"/>
      <c r="Z308" s="41"/>
      <c r="AA308" s="41"/>
      <c r="AB308" s="41"/>
      <c r="AC308" s="41"/>
      <c r="AD308" s="41"/>
    </row>
    <row r="309" ht="15.75" customHeight="1">
      <c r="K309" t="s">
        <v>494</v>
      </c>
      <c r="L309" t="str">
        <f>D37</f>
        <v>T1a1</v>
      </c>
      <c r="N309" t="s">
        <v>495</v>
      </c>
      <c r="O309">
        <v>2.1472296E7</v>
      </c>
      <c r="P309">
        <v>1.931041E7</v>
      </c>
      <c r="Q309" t="s">
        <v>252</v>
      </c>
      <c r="R309" s="41"/>
      <c r="S309" s="41"/>
      <c r="T309" s="41"/>
      <c r="U309" s="41"/>
      <c r="V309" s="41"/>
      <c r="W309" s="41"/>
      <c r="X309" s="41"/>
      <c r="Y309" s="41"/>
      <c r="Z309" s="41"/>
      <c r="AA309" s="41"/>
      <c r="AB309" s="41"/>
      <c r="AC309" s="41"/>
      <c r="AD309" s="41"/>
    </row>
    <row r="310" ht="15.75" customHeight="1">
      <c r="K310" t="s">
        <v>496</v>
      </c>
      <c r="L310" t="str">
        <f>D37</f>
        <v>T1a1</v>
      </c>
      <c r="O310">
        <v>6086853.0</v>
      </c>
      <c r="P310">
        <v>6218812.0</v>
      </c>
      <c r="Q310" t="s">
        <v>350</v>
      </c>
      <c r="R310" s="41"/>
      <c r="S310" s="41"/>
      <c r="T310" s="41"/>
      <c r="U310" s="41"/>
      <c r="V310" s="41"/>
      <c r="W310" s="41"/>
      <c r="X310" s="41"/>
      <c r="Y310" s="41"/>
      <c r="Z310" s="41"/>
      <c r="AA310" s="41"/>
      <c r="AB310" s="41"/>
      <c r="AC310" s="41"/>
      <c r="AD310" s="41"/>
    </row>
    <row r="311" ht="15.75" customHeight="1">
      <c r="K311" t="s">
        <v>497</v>
      </c>
      <c r="L311" t="str">
        <f>D37</f>
        <v>T1a1</v>
      </c>
      <c r="N311" t="s">
        <v>498</v>
      </c>
      <c r="O311">
        <v>6667013.0</v>
      </c>
      <c r="P311">
        <v>6798972.0</v>
      </c>
      <c r="Q311" t="s">
        <v>303</v>
      </c>
      <c r="R311" s="41"/>
      <c r="S311" s="41"/>
      <c r="T311" s="41"/>
      <c r="U311" s="41"/>
      <c r="V311" s="41"/>
      <c r="W311" s="41"/>
      <c r="X311" s="41"/>
      <c r="Y311" s="41"/>
      <c r="Z311" s="41"/>
      <c r="AA311" s="41"/>
      <c r="AB311" s="41"/>
      <c r="AC311" s="41"/>
      <c r="AD311" s="41"/>
    </row>
    <row r="312" ht="15.75" customHeight="1">
      <c r="K312" t="s">
        <v>499</v>
      </c>
      <c r="L312" t="str">
        <f>D37</f>
        <v>T1a1</v>
      </c>
      <c r="N312" t="s">
        <v>500</v>
      </c>
      <c r="O312">
        <v>2.1211777E7</v>
      </c>
      <c r="P312">
        <v>1.9049891E7</v>
      </c>
      <c r="Q312" t="s">
        <v>272</v>
      </c>
      <c r="R312" s="41"/>
      <c r="S312" s="41"/>
      <c r="T312" s="41"/>
      <c r="U312" s="41"/>
      <c r="V312" s="41"/>
      <c r="W312" s="41"/>
      <c r="X312" s="41"/>
      <c r="Y312" s="41"/>
      <c r="Z312" s="41"/>
      <c r="AA312" s="41"/>
      <c r="AB312" s="41"/>
      <c r="AC312" s="41"/>
      <c r="AD312" s="41"/>
    </row>
    <row r="313" ht="15.75" customHeight="1">
      <c r="K313" t="s">
        <v>501</v>
      </c>
      <c r="L313" t="str">
        <f>D37</f>
        <v>T1a1</v>
      </c>
      <c r="M313" t="s">
        <v>502</v>
      </c>
      <c r="N313" t="s">
        <v>503</v>
      </c>
      <c r="O313">
        <v>8032311.0</v>
      </c>
      <c r="P313">
        <v>8164270.0</v>
      </c>
      <c r="Q313" t="s">
        <v>245</v>
      </c>
      <c r="R313" s="41"/>
      <c r="S313" s="41"/>
      <c r="T313" s="41"/>
      <c r="U313" s="41"/>
      <c r="V313" s="41"/>
      <c r="W313" s="41"/>
      <c r="X313" s="41"/>
      <c r="Y313" s="41"/>
      <c r="Z313" s="41"/>
      <c r="AA313" s="41"/>
      <c r="AB313" s="41"/>
      <c r="AC313" s="41"/>
      <c r="AD313" s="41"/>
    </row>
    <row r="314" ht="15.75" customHeight="1">
      <c r="K314" t="s">
        <v>502</v>
      </c>
      <c r="L314" t="str">
        <f>D37</f>
        <v>T1a1</v>
      </c>
      <c r="M314" t="s">
        <v>501</v>
      </c>
      <c r="N314" t="s">
        <v>503</v>
      </c>
      <c r="O314">
        <v>8032311.0</v>
      </c>
      <c r="P314">
        <v>8164270.0</v>
      </c>
      <c r="Q314" t="s">
        <v>245</v>
      </c>
      <c r="R314" s="41"/>
      <c r="S314" s="41"/>
      <c r="T314" s="41"/>
      <c r="U314" s="41"/>
      <c r="V314" s="41"/>
      <c r="W314" s="41"/>
      <c r="X314" s="41"/>
      <c r="Y314" s="41"/>
      <c r="Z314" s="41"/>
      <c r="AA314" s="41"/>
      <c r="AB314" s="41"/>
      <c r="AC314" s="41"/>
      <c r="AD314" s="41"/>
    </row>
    <row r="315" ht="15.75" customHeight="1">
      <c r="K315" t="s">
        <v>504</v>
      </c>
      <c r="L315" t="str">
        <f>E38</f>
        <v>T1a1a</v>
      </c>
      <c r="M315" t="s">
        <v>505</v>
      </c>
      <c r="N315" t="s">
        <v>506</v>
      </c>
      <c r="O315">
        <v>6736443.0</v>
      </c>
      <c r="P315">
        <v>6868402.0</v>
      </c>
      <c r="Q315" t="s">
        <v>256</v>
      </c>
      <c r="R315" s="41"/>
      <c r="S315" s="41"/>
      <c r="T315" s="41"/>
      <c r="U315" s="41"/>
      <c r="V315" s="41"/>
      <c r="W315" s="41"/>
      <c r="X315" s="41"/>
      <c r="Y315" s="41"/>
      <c r="Z315" s="41"/>
      <c r="AA315" s="41"/>
      <c r="AB315" s="41"/>
      <c r="AC315" s="41"/>
      <c r="AD315" s="41"/>
    </row>
    <row r="316" ht="15.75" customHeight="1">
      <c r="K316" t="s">
        <v>505</v>
      </c>
      <c r="L316" t="str">
        <f>E38</f>
        <v>T1a1a</v>
      </c>
      <c r="M316" t="s">
        <v>504</v>
      </c>
      <c r="N316" t="s">
        <v>506</v>
      </c>
      <c r="O316">
        <v>6736443.0</v>
      </c>
      <c r="P316">
        <v>6868402.0</v>
      </c>
      <c r="Q316" t="s">
        <v>256</v>
      </c>
      <c r="R316" s="41"/>
      <c r="S316" s="41"/>
      <c r="T316" s="41"/>
      <c r="U316" s="41"/>
      <c r="V316" s="41"/>
      <c r="W316" s="41"/>
      <c r="X316" s="41"/>
      <c r="Y316" s="41"/>
      <c r="Z316" s="41"/>
      <c r="AA316" s="41"/>
      <c r="AB316" s="41"/>
      <c r="AC316" s="41"/>
      <c r="AD316" s="41"/>
    </row>
    <row r="317" ht="15.75" customHeight="1">
      <c r="K317" t="s">
        <v>507</v>
      </c>
      <c r="L317" t="str">
        <f>E38</f>
        <v>T1a1a</v>
      </c>
      <c r="N317" t="s">
        <v>508</v>
      </c>
      <c r="O317">
        <v>7091745.0</v>
      </c>
      <c r="P317">
        <v>7223704.0</v>
      </c>
      <c r="Q317" t="s">
        <v>303</v>
      </c>
      <c r="R317" s="41"/>
      <c r="S317" s="41"/>
      <c r="T317" s="41"/>
      <c r="U317" s="41"/>
      <c r="V317" s="41"/>
      <c r="W317" s="41"/>
      <c r="X317" s="41"/>
      <c r="Y317" s="41"/>
      <c r="Z317" s="41"/>
      <c r="AA317" s="41"/>
      <c r="AB317" s="41"/>
      <c r="AC317" s="41"/>
      <c r="AD317" s="41"/>
    </row>
    <row r="318" ht="15.75" customHeight="1">
      <c r="K318" t="s">
        <v>509</v>
      </c>
      <c r="L318" t="str">
        <f>E38</f>
        <v>T1a1a</v>
      </c>
      <c r="N318" t="s">
        <v>510</v>
      </c>
      <c r="O318">
        <v>1.4082729E7</v>
      </c>
      <c r="P318">
        <v>1.1962023E7</v>
      </c>
      <c r="Q318" t="s">
        <v>303</v>
      </c>
      <c r="R318" s="41"/>
      <c r="S318" s="41"/>
      <c r="T318" s="41"/>
      <c r="U318" s="41"/>
      <c r="V318" s="41"/>
      <c r="W318" s="41"/>
      <c r="X318" s="41"/>
      <c r="Y318" s="41"/>
      <c r="Z318" s="41"/>
      <c r="AA318" s="41"/>
      <c r="AB318" s="41"/>
      <c r="AC318" s="41"/>
      <c r="AD318" s="41"/>
    </row>
    <row r="319" ht="15.75" customHeight="1">
      <c r="K319" t="s">
        <v>511</v>
      </c>
      <c r="L319" t="str">
        <f>E38</f>
        <v>T1a1a</v>
      </c>
      <c r="N319" t="s">
        <v>512</v>
      </c>
      <c r="O319">
        <v>1.438976E7</v>
      </c>
      <c r="P319">
        <v>1.2269056E7</v>
      </c>
      <c r="Q319" t="s">
        <v>245</v>
      </c>
      <c r="R319" s="41"/>
      <c r="S319" s="41"/>
      <c r="T319" s="41"/>
      <c r="U319" s="41"/>
      <c r="V319" s="41"/>
      <c r="W319" s="41"/>
      <c r="X319" s="41"/>
      <c r="Y319" s="41"/>
      <c r="Z319" s="41"/>
      <c r="AA319" s="41"/>
      <c r="AB319" s="41"/>
      <c r="AC319" s="41"/>
      <c r="AD319" s="41"/>
    </row>
    <row r="320" ht="15.75" customHeight="1">
      <c r="K320" t="s">
        <v>513</v>
      </c>
      <c r="L320" t="str">
        <f>E38</f>
        <v>T1a1a</v>
      </c>
      <c r="M320" t="s">
        <v>514</v>
      </c>
      <c r="N320" t="s">
        <v>515</v>
      </c>
      <c r="O320">
        <v>1.5385073E7</v>
      </c>
      <c r="P320">
        <v>1.3273193E7</v>
      </c>
      <c r="Q320" t="s">
        <v>516</v>
      </c>
      <c r="R320" s="41"/>
      <c r="S320" s="41"/>
      <c r="T320" s="41"/>
      <c r="U320" s="41"/>
      <c r="V320" s="41"/>
      <c r="W320" s="41"/>
      <c r="X320" s="41"/>
      <c r="Y320" s="41"/>
      <c r="Z320" s="41"/>
      <c r="AA320" s="41"/>
      <c r="AB320" s="41"/>
      <c r="AC320" s="41"/>
      <c r="AD320" s="41"/>
    </row>
    <row r="321" ht="15.75" customHeight="1">
      <c r="K321" t="s">
        <v>514</v>
      </c>
      <c r="L321" t="str">
        <f>E38</f>
        <v>T1a1a</v>
      </c>
      <c r="M321" t="s">
        <v>513</v>
      </c>
      <c r="N321" t="s">
        <v>515</v>
      </c>
      <c r="O321">
        <v>1.5385073E7</v>
      </c>
      <c r="P321">
        <v>1.3273193E7</v>
      </c>
      <c r="Q321" t="s">
        <v>516</v>
      </c>
      <c r="R321" s="41"/>
      <c r="S321" s="41"/>
      <c r="T321" s="41"/>
      <c r="U321" s="41"/>
      <c r="V321" s="41"/>
      <c r="W321" s="41"/>
      <c r="X321" s="41"/>
      <c r="Y321" s="41"/>
      <c r="Z321" s="41"/>
      <c r="AA321" s="41"/>
      <c r="AB321" s="41"/>
      <c r="AC321" s="41"/>
      <c r="AD321" s="41"/>
    </row>
    <row r="322" ht="15.75" customHeight="1">
      <c r="K322" t="s">
        <v>517</v>
      </c>
      <c r="L322" t="str">
        <f>E38</f>
        <v>T1a1a</v>
      </c>
      <c r="N322" t="s">
        <v>518</v>
      </c>
      <c r="O322">
        <v>1.5900621E7</v>
      </c>
      <c r="P322">
        <v>1.3788741E7</v>
      </c>
      <c r="Q322" t="s">
        <v>245</v>
      </c>
      <c r="R322" s="41"/>
      <c r="S322" s="41"/>
      <c r="T322" s="41"/>
      <c r="U322" s="41"/>
      <c r="V322" s="41"/>
      <c r="W322" s="41"/>
      <c r="X322" s="41"/>
      <c r="Y322" s="41"/>
      <c r="Z322" s="41"/>
      <c r="AA322" s="41"/>
      <c r="AB322" s="41"/>
      <c r="AC322" s="41"/>
      <c r="AD322" s="41"/>
    </row>
    <row r="323" ht="15.75" customHeight="1">
      <c r="K323" t="s">
        <v>519</v>
      </c>
      <c r="L323" t="str">
        <f>E38</f>
        <v>T1a1a</v>
      </c>
      <c r="M323" t="s">
        <v>520</v>
      </c>
      <c r="N323" t="s">
        <v>521</v>
      </c>
      <c r="O323">
        <v>1.660475E7</v>
      </c>
      <c r="P323">
        <v>1.449287E7</v>
      </c>
      <c r="Q323" t="s">
        <v>245</v>
      </c>
      <c r="R323" s="41"/>
      <c r="S323" s="41"/>
      <c r="T323" s="41"/>
      <c r="U323" s="41"/>
      <c r="V323" s="41"/>
      <c r="W323" s="41"/>
      <c r="X323" s="41"/>
      <c r="Y323" s="41"/>
      <c r="Z323" s="41"/>
      <c r="AA323" s="41"/>
      <c r="AB323" s="41"/>
      <c r="AC323" s="41"/>
      <c r="AD323" s="41"/>
    </row>
    <row r="324" ht="15.75" customHeight="1">
      <c r="K324" t="s">
        <v>520</v>
      </c>
      <c r="L324" t="str">
        <f>E38</f>
        <v>T1a1a</v>
      </c>
      <c r="M324" t="s">
        <v>519</v>
      </c>
      <c r="N324" t="s">
        <v>521</v>
      </c>
      <c r="O324">
        <v>1.660475E7</v>
      </c>
      <c r="P324">
        <v>1.449287E7</v>
      </c>
      <c r="Q324" t="s">
        <v>245</v>
      </c>
      <c r="R324" s="41"/>
      <c r="S324" s="41"/>
      <c r="T324" s="41"/>
      <c r="U324" s="41"/>
      <c r="V324" s="41"/>
      <c r="W324" s="41"/>
      <c r="X324" s="41"/>
      <c r="Y324" s="41"/>
      <c r="Z324" s="41"/>
      <c r="AA324" s="41"/>
      <c r="AB324" s="41"/>
      <c r="AC324" s="41"/>
      <c r="AD324" s="41"/>
    </row>
    <row r="325" ht="15.75" customHeight="1">
      <c r="K325" t="s">
        <v>522</v>
      </c>
      <c r="L325" t="str">
        <f>E38</f>
        <v>T1a1a</v>
      </c>
      <c r="M325" t="s">
        <v>523</v>
      </c>
      <c r="N325" t="s">
        <v>524</v>
      </c>
      <c r="O325">
        <v>1.7332851E7</v>
      </c>
      <c r="P325">
        <v>1.5220971E7</v>
      </c>
      <c r="Q325" t="s">
        <v>382</v>
      </c>
      <c r="R325" s="41"/>
      <c r="S325" s="41"/>
      <c r="T325" s="41"/>
      <c r="U325" s="41"/>
      <c r="V325" s="41"/>
      <c r="W325" s="41"/>
      <c r="X325" s="41"/>
      <c r="Y325" s="41"/>
      <c r="Z325" s="41"/>
      <c r="AA325" s="41"/>
      <c r="AB325" s="41"/>
      <c r="AC325" s="41"/>
      <c r="AD325" s="41"/>
    </row>
    <row r="326" ht="15.75" customHeight="1">
      <c r="K326" t="s">
        <v>523</v>
      </c>
      <c r="L326" t="str">
        <f>E38</f>
        <v>T1a1a</v>
      </c>
      <c r="M326" t="s">
        <v>522</v>
      </c>
      <c r="N326" t="s">
        <v>524</v>
      </c>
      <c r="O326">
        <v>1.7332851E7</v>
      </c>
      <c r="P326">
        <v>1.5220971E7</v>
      </c>
      <c r="Q326" t="s">
        <v>382</v>
      </c>
      <c r="R326" s="41"/>
      <c r="S326" s="41"/>
      <c r="T326" s="41"/>
      <c r="U326" s="41"/>
      <c r="V326" s="41"/>
      <c r="W326" s="41"/>
      <c r="X326" s="41"/>
      <c r="Y326" s="41"/>
      <c r="Z326" s="41"/>
      <c r="AA326" s="41"/>
      <c r="AB326" s="41"/>
      <c r="AC326" s="41"/>
      <c r="AD326" s="41"/>
    </row>
    <row r="327" ht="15.75" customHeight="1">
      <c r="K327" t="s">
        <v>525</v>
      </c>
      <c r="L327" t="str">
        <f>E38</f>
        <v>T1a1a</v>
      </c>
      <c r="N327" t="s">
        <v>526</v>
      </c>
      <c r="O327">
        <v>1.872176E7</v>
      </c>
      <c r="P327">
        <v>1.660988E7</v>
      </c>
      <c r="Q327" t="s">
        <v>256</v>
      </c>
      <c r="R327" s="41"/>
      <c r="S327" s="41"/>
      <c r="T327" s="41"/>
      <c r="U327" s="41"/>
      <c r="V327" s="41"/>
      <c r="W327" s="41"/>
      <c r="X327" s="41"/>
      <c r="Y327" s="41"/>
      <c r="Z327" s="41"/>
      <c r="AA327" s="41"/>
      <c r="AB327" s="41"/>
      <c r="AC327" s="41"/>
      <c r="AD327" s="41"/>
    </row>
    <row r="328" ht="15.75" customHeight="1">
      <c r="K328" t="s">
        <v>527</v>
      </c>
      <c r="L328" t="str">
        <f>E38</f>
        <v>T1a1a</v>
      </c>
      <c r="M328" t="s">
        <v>528</v>
      </c>
      <c r="N328" t="s">
        <v>529</v>
      </c>
      <c r="O328">
        <v>1.8941095E7</v>
      </c>
      <c r="P328">
        <v>1.6829215E7</v>
      </c>
      <c r="Q328" t="s">
        <v>272</v>
      </c>
      <c r="R328" s="41"/>
      <c r="S328" s="41"/>
      <c r="T328" s="41"/>
      <c r="U328" s="41"/>
      <c r="V328" s="41"/>
      <c r="W328" s="41"/>
      <c r="X328" s="41"/>
      <c r="Y328" s="41"/>
      <c r="Z328" s="41"/>
      <c r="AA328" s="41"/>
      <c r="AB328" s="41"/>
      <c r="AC328" s="41"/>
      <c r="AD328" s="41"/>
    </row>
    <row r="329" ht="15.75" customHeight="1">
      <c r="K329" t="s">
        <v>528</v>
      </c>
      <c r="L329" t="str">
        <f>E38</f>
        <v>T1a1a</v>
      </c>
      <c r="M329" t="s">
        <v>527</v>
      </c>
      <c r="N329" t="s">
        <v>529</v>
      </c>
      <c r="O329">
        <v>1.8941095E7</v>
      </c>
      <c r="P329">
        <v>1.6829215E7</v>
      </c>
      <c r="Q329" t="s">
        <v>272</v>
      </c>
      <c r="R329" s="41"/>
      <c r="S329" s="41"/>
      <c r="T329" s="41"/>
      <c r="U329" s="41"/>
      <c r="V329" s="41"/>
      <c r="W329" s="41"/>
      <c r="X329" s="41"/>
      <c r="Y329" s="41"/>
      <c r="Z329" s="41"/>
      <c r="AA329" s="41"/>
      <c r="AB329" s="41"/>
      <c r="AC329" s="41"/>
      <c r="AD329" s="41"/>
    </row>
    <row r="330" ht="15.75" customHeight="1">
      <c r="K330" t="s">
        <v>530</v>
      </c>
      <c r="L330" t="str">
        <f>E38</f>
        <v>T1a1a</v>
      </c>
      <c r="N330" t="s">
        <v>531</v>
      </c>
      <c r="O330">
        <v>6659212.0</v>
      </c>
      <c r="P330">
        <v>6791171.0</v>
      </c>
      <c r="Q330" t="s">
        <v>350</v>
      </c>
      <c r="R330" s="41"/>
      <c r="S330" s="41"/>
      <c r="T330" s="41"/>
      <c r="U330" s="41"/>
      <c r="V330" s="41"/>
      <c r="W330" s="41"/>
      <c r="X330" s="41"/>
      <c r="Y330" s="41"/>
      <c r="Z330" s="41"/>
      <c r="AA330" s="41"/>
      <c r="AB330" s="41"/>
      <c r="AC330" s="41"/>
      <c r="AD330" s="41"/>
    </row>
    <row r="331" ht="15.75" customHeight="1">
      <c r="K331" t="s">
        <v>36</v>
      </c>
      <c r="L331" t="str">
        <f>F39</f>
        <v>T1a1a1</v>
      </c>
      <c r="N331" t="s">
        <v>532</v>
      </c>
      <c r="O331">
        <v>2.3115893E7</v>
      </c>
      <c r="P331">
        <v>2.0954007E7</v>
      </c>
      <c r="Q331" t="s">
        <v>286</v>
      </c>
      <c r="R331" s="41"/>
      <c r="S331" s="41"/>
      <c r="T331" s="41"/>
      <c r="U331" s="41"/>
      <c r="V331" s="41"/>
      <c r="W331" s="41"/>
      <c r="X331" s="41"/>
      <c r="Y331" s="41"/>
      <c r="Z331" s="41"/>
      <c r="AA331" s="41"/>
      <c r="AB331" s="41"/>
      <c r="AC331" s="41"/>
      <c r="AD331" s="41"/>
    </row>
    <row r="332" ht="15.75" customHeight="1">
      <c r="K332" t="s">
        <v>38</v>
      </c>
      <c r="L332" t="str">
        <f>G40</f>
        <v>T1a1a1a</v>
      </c>
      <c r="O332">
        <v>2.2462031E7</v>
      </c>
      <c r="P332">
        <v>2.0300145E7</v>
      </c>
      <c r="Q332" t="s">
        <v>426</v>
      </c>
      <c r="R332" s="41"/>
      <c r="S332" s="41"/>
      <c r="T332" s="41"/>
      <c r="U332" s="41"/>
      <c r="V332" s="41"/>
      <c r="W332" s="41"/>
      <c r="X332" s="41"/>
      <c r="Y332" s="41"/>
      <c r="Z332" s="41"/>
      <c r="AA332" s="41"/>
      <c r="AB332" s="41"/>
      <c r="AC332" s="41"/>
      <c r="AD332" s="41"/>
    </row>
    <row r="333" ht="15.75" customHeight="1">
      <c r="K333" t="s">
        <v>40</v>
      </c>
      <c r="L333" t="str">
        <f>H41</f>
        <v>T1a1a1a1</v>
      </c>
      <c r="O333">
        <v>8806614.0</v>
      </c>
      <c r="P333">
        <v>8938573.0</v>
      </c>
      <c r="Q333" t="s">
        <v>272</v>
      </c>
      <c r="R333" s="41"/>
      <c r="S333" s="41"/>
      <c r="T333" s="41"/>
      <c r="U333" s="41"/>
      <c r="V333" s="41"/>
      <c r="W333" s="41"/>
      <c r="X333" s="41"/>
      <c r="Y333" s="41"/>
      <c r="Z333" s="41"/>
      <c r="AA333" s="41"/>
      <c r="AB333" s="41"/>
      <c r="AC333" s="41"/>
      <c r="AD333" s="41"/>
    </row>
    <row r="334" ht="15.75" customHeight="1">
      <c r="K334" t="s">
        <v>42</v>
      </c>
      <c r="L334" t="str">
        <f>I42</f>
        <v>T1a1a1a1a</v>
      </c>
      <c r="O334">
        <v>8433936.0</v>
      </c>
      <c r="P334">
        <v>8565895.0</v>
      </c>
      <c r="Q334" t="s">
        <v>286</v>
      </c>
      <c r="R334" s="41"/>
      <c r="S334" s="41"/>
      <c r="T334" s="41"/>
      <c r="U334" s="41"/>
      <c r="V334" s="41"/>
      <c r="W334" s="41"/>
      <c r="X334" s="41"/>
      <c r="Y334" s="41"/>
      <c r="Z334" s="41"/>
      <c r="AA334" s="41"/>
      <c r="AB334" s="41"/>
      <c r="AC334" s="41"/>
      <c r="AD334" s="41"/>
    </row>
    <row r="335" ht="15.75" customHeight="1">
      <c r="K335" t="s">
        <v>44</v>
      </c>
      <c r="L335" t="str">
        <f>J43</f>
        <v>T1a1a1a1a1</v>
      </c>
      <c r="O335">
        <v>8892873.0</v>
      </c>
      <c r="P335">
        <v>9024832.0</v>
      </c>
      <c r="Q335" t="s">
        <v>256</v>
      </c>
      <c r="R335" s="41"/>
      <c r="S335" s="41"/>
      <c r="T335" s="41"/>
      <c r="U335" s="41"/>
      <c r="V335" s="41"/>
      <c r="W335" s="41"/>
      <c r="X335" s="41"/>
      <c r="Y335" s="41"/>
      <c r="Z335" s="41"/>
      <c r="AA335" s="41"/>
      <c r="AB335" s="41"/>
      <c r="AC335" s="41"/>
      <c r="AD335" s="41"/>
    </row>
    <row r="336" ht="15.75" customHeight="1">
      <c r="K336" t="s">
        <v>46</v>
      </c>
      <c r="L336" t="str">
        <f>I44</f>
        <v>T1a1a1a1b</v>
      </c>
      <c r="O336">
        <v>9387646.0</v>
      </c>
      <c r="P336">
        <v>9550037.0</v>
      </c>
      <c r="Q336" t="s">
        <v>426</v>
      </c>
      <c r="R336" s="41"/>
      <c r="S336" s="41"/>
      <c r="T336" s="41"/>
      <c r="U336" s="41"/>
      <c r="V336" s="41"/>
      <c r="W336" s="41"/>
      <c r="X336" s="41"/>
      <c r="Y336" s="41"/>
      <c r="Z336" s="41"/>
      <c r="AA336" s="41"/>
      <c r="AB336" s="41"/>
      <c r="AC336" s="41"/>
      <c r="AD336" s="41"/>
    </row>
    <row r="337" ht="15.75" customHeight="1">
      <c r="K337" t="s">
        <v>48</v>
      </c>
      <c r="L337" t="str">
        <f>J45</f>
        <v>T1a1a1a1b1</v>
      </c>
      <c r="O337">
        <v>1.6554745E7</v>
      </c>
      <c r="P337">
        <v>1.4442865E7</v>
      </c>
      <c r="Q337" t="s">
        <v>245</v>
      </c>
      <c r="R337" s="41"/>
      <c r="S337" s="41"/>
      <c r="T337" s="41"/>
      <c r="U337" s="41"/>
      <c r="V337" s="41"/>
      <c r="W337" s="41"/>
      <c r="X337" s="41"/>
      <c r="Y337" s="41"/>
      <c r="Z337" s="41"/>
      <c r="AA337" s="41"/>
      <c r="AB337" s="41"/>
      <c r="AC337" s="41"/>
      <c r="AD337" s="41"/>
    </row>
    <row r="338" ht="15.75" customHeight="1">
      <c r="K338" t="s">
        <v>533</v>
      </c>
      <c r="L338" t="str">
        <f>K46</f>
        <v>T1a1a1a1b1a</v>
      </c>
      <c r="O338">
        <v>1.5357442E7</v>
      </c>
      <c r="P338">
        <v>1.3245561E7</v>
      </c>
      <c r="Q338" t="s">
        <v>245</v>
      </c>
      <c r="R338" s="41"/>
      <c r="S338" s="41"/>
      <c r="T338" s="41"/>
      <c r="U338" s="41"/>
      <c r="V338" s="41"/>
      <c r="W338" s="41"/>
      <c r="X338" s="41"/>
      <c r="Y338" s="41"/>
      <c r="Z338" s="41"/>
      <c r="AA338" s="41"/>
      <c r="AB338" s="41"/>
      <c r="AC338" s="41"/>
      <c r="AD338" s="41"/>
    </row>
    <row r="339" ht="15.75" customHeight="1">
      <c r="K339" t="s">
        <v>534</v>
      </c>
      <c r="L339" t="str">
        <f>K46</f>
        <v>T1a1a1a1b1a</v>
      </c>
      <c r="N339" t="s">
        <v>535</v>
      </c>
      <c r="O339">
        <v>1.9397234E7</v>
      </c>
      <c r="P339">
        <v>1.7285354E7</v>
      </c>
      <c r="Q339" t="s">
        <v>245</v>
      </c>
      <c r="R339" s="41"/>
      <c r="S339" s="41"/>
      <c r="T339" s="41"/>
      <c r="U339" s="41"/>
      <c r="V339" s="41"/>
      <c r="W339" s="41"/>
      <c r="X339" s="41"/>
      <c r="Y339" s="41"/>
      <c r="Z339" s="41"/>
      <c r="AA339" s="41"/>
      <c r="AB339" s="41"/>
      <c r="AC339" s="41"/>
      <c r="AD339" s="41"/>
    </row>
    <row r="340" ht="15.75" customHeight="1">
      <c r="K340" t="s">
        <v>536</v>
      </c>
      <c r="L340" t="str">
        <f>K46</f>
        <v>T1a1a1a1b1a</v>
      </c>
      <c r="O340">
        <v>2.2945511E7</v>
      </c>
      <c r="P340">
        <v>2.0783625E7</v>
      </c>
      <c r="Q340" t="s">
        <v>252</v>
      </c>
      <c r="R340" s="41"/>
      <c r="S340" s="41"/>
      <c r="T340" s="41"/>
      <c r="U340" s="41"/>
      <c r="V340" s="41"/>
      <c r="W340" s="41"/>
      <c r="X340" s="41"/>
      <c r="Y340" s="41"/>
      <c r="Z340" s="41"/>
      <c r="AA340" s="41"/>
      <c r="AB340" s="41"/>
      <c r="AC340" s="41"/>
      <c r="AD340" s="41"/>
    </row>
    <row r="341" ht="15.75" customHeight="1">
      <c r="K341" t="s">
        <v>537</v>
      </c>
      <c r="L341" t="str">
        <f>K46</f>
        <v>T1a1a1a1b1a</v>
      </c>
      <c r="O341">
        <v>2.3188462E7</v>
      </c>
      <c r="P341">
        <v>2.1026576E7</v>
      </c>
      <c r="Q341" t="s">
        <v>252</v>
      </c>
      <c r="R341" s="41"/>
      <c r="S341" s="41"/>
      <c r="T341" s="41"/>
      <c r="U341" s="41"/>
      <c r="V341" s="41"/>
      <c r="W341" s="41"/>
      <c r="X341" s="41"/>
      <c r="Y341" s="41"/>
      <c r="Z341" s="41"/>
      <c r="AA341" s="41"/>
      <c r="AB341" s="41"/>
      <c r="AC341" s="41"/>
      <c r="AD341" s="41"/>
    </row>
    <row r="342" ht="15.75" customHeight="1">
      <c r="K342" t="s">
        <v>538</v>
      </c>
      <c r="L342" t="str">
        <f>G47</f>
        <v>T1a1a1b</v>
      </c>
      <c r="M342" t="s">
        <v>539</v>
      </c>
      <c r="N342" t="s">
        <v>540</v>
      </c>
      <c r="O342">
        <v>1.8266751E7</v>
      </c>
      <c r="P342">
        <v>1.6154871E7</v>
      </c>
      <c r="Q342" t="s">
        <v>252</v>
      </c>
      <c r="R342" s="41"/>
      <c r="S342" s="41"/>
      <c r="T342" s="41"/>
      <c r="U342" s="41"/>
      <c r="V342" s="41"/>
      <c r="W342" s="41"/>
      <c r="X342" s="41"/>
      <c r="Y342" s="41"/>
      <c r="Z342" s="41"/>
      <c r="AA342" s="41"/>
      <c r="AB342" s="41"/>
      <c r="AC342" s="41"/>
      <c r="AD342" s="41"/>
    </row>
    <row r="343" ht="15.75" customHeight="1">
      <c r="K343" t="s">
        <v>539</v>
      </c>
      <c r="L343" t="str">
        <f>G47</f>
        <v>T1a1a1b</v>
      </c>
      <c r="M343" t="s">
        <v>538</v>
      </c>
      <c r="N343" t="s">
        <v>540</v>
      </c>
      <c r="O343">
        <v>1.8266751E7</v>
      </c>
      <c r="P343">
        <v>1.6154871E7</v>
      </c>
      <c r="Q343" t="s">
        <v>252</v>
      </c>
      <c r="R343" s="41"/>
      <c r="S343" s="41"/>
      <c r="T343" s="41"/>
      <c r="U343" s="41"/>
      <c r="V343" s="41"/>
      <c r="W343" s="41"/>
      <c r="X343" s="41"/>
      <c r="Y343" s="41"/>
      <c r="Z343" s="41"/>
      <c r="AA343" s="41"/>
      <c r="AB343" s="41"/>
      <c r="AC343" s="41"/>
      <c r="AD343" s="41"/>
    </row>
    <row r="344" ht="15.75" customHeight="1">
      <c r="K344" t="s">
        <v>54</v>
      </c>
      <c r="L344" t="str">
        <f>H48</f>
        <v>T1a1a1b1</v>
      </c>
      <c r="N344" t="s">
        <v>540</v>
      </c>
      <c r="O344">
        <v>1.8266751E7</v>
      </c>
      <c r="P344">
        <v>1.6154871E7</v>
      </c>
      <c r="Q344" t="s">
        <v>252</v>
      </c>
      <c r="R344" s="41"/>
      <c r="S344" s="41"/>
      <c r="T344" s="41"/>
      <c r="U344" s="41"/>
      <c r="V344" s="41"/>
      <c r="W344" s="41"/>
      <c r="X344" s="41"/>
      <c r="Y344" s="41"/>
      <c r="Z344" s="41"/>
      <c r="AA344" s="41"/>
      <c r="AB344" s="41"/>
      <c r="AC344" s="41"/>
      <c r="AD344" s="41"/>
    </row>
    <row r="345" ht="15.75" customHeight="1">
      <c r="K345" t="s">
        <v>541</v>
      </c>
      <c r="L345" t="str">
        <f>I49</f>
        <v>T1a1a1b1a</v>
      </c>
      <c r="M345" t="s">
        <v>542</v>
      </c>
      <c r="O345">
        <v>1.5433288E7</v>
      </c>
      <c r="P345">
        <v>1.3321408E7</v>
      </c>
      <c r="Q345" t="s">
        <v>426</v>
      </c>
      <c r="R345" s="41"/>
      <c r="S345" s="41"/>
      <c r="T345" s="41"/>
      <c r="U345" s="41"/>
      <c r="V345" s="41"/>
      <c r="W345" s="41"/>
      <c r="X345" s="41"/>
      <c r="Y345" s="41"/>
      <c r="Z345" s="41"/>
      <c r="AA345" s="41"/>
      <c r="AB345" s="41"/>
      <c r="AC345" s="41"/>
      <c r="AD345" s="41"/>
    </row>
    <row r="346" ht="15.75" customHeight="1">
      <c r="K346" t="s">
        <v>542</v>
      </c>
      <c r="L346" t="str">
        <f>I49</f>
        <v>T1a1a1b1a</v>
      </c>
      <c r="M346" t="s">
        <v>541</v>
      </c>
      <c r="O346">
        <v>1.5433288E7</v>
      </c>
      <c r="P346">
        <v>1.3321408E7</v>
      </c>
      <c r="Q346" t="s">
        <v>426</v>
      </c>
      <c r="R346" s="41"/>
      <c r="S346" s="41"/>
      <c r="T346" s="41"/>
      <c r="U346" s="41"/>
      <c r="V346" s="41"/>
      <c r="W346" s="41"/>
      <c r="X346" s="41"/>
      <c r="Y346" s="41"/>
      <c r="Z346" s="41"/>
      <c r="AA346" s="41"/>
      <c r="AB346" s="41"/>
      <c r="AC346" s="41"/>
      <c r="AD346" s="41"/>
    </row>
    <row r="347" ht="15.75" customHeight="1">
      <c r="K347" t="s">
        <v>58</v>
      </c>
      <c r="L347" t="str">
        <f>J50</f>
        <v>T1a1a1b1a1</v>
      </c>
      <c r="O347">
        <v>2.1464085E7</v>
      </c>
      <c r="P347">
        <v>1.9302199E7</v>
      </c>
      <c r="Q347" t="s">
        <v>256</v>
      </c>
      <c r="R347" s="41"/>
      <c r="S347" s="41"/>
      <c r="T347" s="41"/>
      <c r="U347" s="41"/>
      <c r="V347" s="41"/>
      <c r="W347" s="41"/>
      <c r="X347" s="41"/>
      <c r="Y347" s="41"/>
      <c r="Z347" s="41"/>
      <c r="AA347" s="41"/>
      <c r="AB347" s="41"/>
      <c r="AC347" s="41"/>
      <c r="AD347" s="41"/>
    </row>
    <row r="348" ht="15.75" customHeight="1">
      <c r="K348" t="s">
        <v>60</v>
      </c>
      <c r="L348" t="str">
        <f>H51</f>
        <v>T1a1a1b2</v>
      </c>
      <c r="N348" t="s">
        <v>543</v>
      </c>
      <c r="O348">
        <v>1.4220156E7</v>
      </c>
      <c r="P348">
        <v>1.209945E7</v>
      </c>
      <c r="Q348" t="s">
        <v>245</v>
      </c>
      <c r="R348" s="41"/>
      <c r="S348" s="41"/>
      <c r="T348" s="41"/>
      <c r="U348" s="41"/>
      <c r="V348" s="41"/>
      <c r="W348" s="41"/>
      <c r="X348" s="41"/>
      <c r="Y348" s="41"/>
      <c r="Z348" s="41"/>
      <c r="AA348" s="41"/>
      <c r="AB348" s="41"/>
      <c r="AC348" s="41"/>
      <c r="AD348" s="41"/>
    </row>
    <row r="349" ht="15.75" customHeight="1">
      <c r="K349" t="s">
        <v>62</v>
      </c>
      <c r="L349" t="str">
        <f>I52</f>
        <v>T1a1a1b2a</v>
      </c>
      <c r="N349" t="s">
        <v>544</v>
      </c>
      <c r="O349">
        <v>2.4363882E7</v>
      </c>
      <c r="P349">
        <v>2.2217735E7</v>
      </c>
      <c r="Q349" t="s">
        <v>256</v>
      </c>
      <c r="R349" s="41"/>
      <c r="S349" s="41"/>
      <c r="T349" s="41"/>
      <c r="U349" s="41"/>
      <c r="V349" s="41"/>
      <c r="W349" s="41"/>
      <c r="X349" s="41"/>
      <c r="Y349" s="41"/>
      <c r="Z349" s="41"/>
      <c r="AA349" s="41"/>
      <c r="AB349" s="41"/>
      <c r="AC349" s="41"/>
      <c r="AD349" s="41"/>
    </row>
    <row r="350" ht="15.75" customHeight="1">
      <c r="K350" t="s">
        <v>64</v>
      </c>
      <c r="L350" t="str">
        <f>J53</f>
        <v>T1a1a1b2a1</v>
      </c>
      <c r="O350">
        <v>2.1196384E7</v>
      </c>
      <c r="P350">
        <v>1.9034498E7</v>
      </c>
      <c r="Q350" t="s">
        <v>350</v>
      </c>
      <c r="R350" s="41"/>
      <c r="S350" s="41"/>
      <c r="T350" s="41"/>
      <c r="U350" s="41"/>
      <c r="V350" s="41"/>
      <c r="W350" s="41"/>
      <c r="X350" s="41"/>
      <c r="Y350" s="41"/>
      <c r="Z350" s="41"/>
      <c r="AA350" s="41"/>
      <c r="AB350" s="41"/>
      <c r="AC350" s="41"/>
      <c r="AD350" s="41"/>
    </row>
    <row r="351" ht="15.75" customHeight="1">
      <c r="K351" t="s">
        <v>66</v>
      </c>
      <c r="L351" t="str">
        <f t="shared" ref="L351:L352" si="2">K54</f>
        <v>T1a1a1b2a1a</v>
      </c>
      <c r="O351">
        <v>1.5552197E7</v>
      </c>
      <c r="P351">
        <v>1.3440317E7</v>
      </c>
      <c r="Q351" t="s">
        <v>426</v>
      </c>
      <c r="R351" s="41"/>
      <c r="S351" s="41"/>
      <c r="T351" s="41"/>
      <c r="U351" s="41"/>
      <c r="V351" s="41"/>
      <c r="W351" s="41"/>
      <c r="X351" s="41"/>
      <c r="Y351" s="41"/>
      <c r="Z351" s="41"/>
      <c r="AA351" s="41"/>
      <c r="AB351" s="41"/>
      <c r="AC351" s="41"/>
      <c r="AD351" s="41"/>
    </row>
    <row r="352" ht="15.75" customHeight="1">
      <c r="K352" t="s">
        <v>545</v>
      </c>
      <c r="L352" t="str">
        <f t="shared" si="2"/>
        <v>T1a1a1b2a1b</v>
      </c>
      <c r="M352" t="s">
        <v>546</v>
      </c>
      <c r="O352">
        <v>2.1738526E7</v>
      </c>
      <c r="P352">
        <v>1.957664E7</v>
      </c>
      <c r="Q352" t="s">
        <v>245</v>
      </c>
      <c r="R352" s="41"/>
      <c r="S352" s="41"/>
      <c r="T352" s="41"/>
      <c r="U352" s="41"/>
      <c r="V352" s="41"/>
      <c r="W352" s="41"/>
      <c r="X352" s="41"/>
      <c r="Y352" s="41"/>
      <c r="Z352" s="41"/>
      <c r="AA352" s="41"/>
      <c r="AB352" s="41"/>
      <c r="AC352" s="41"/>
      <c r="AD352" s="41"/>
    </row>
    <row r="353" ht="15.75" customHeight="1">
      <c r="K353" t="s">
        <v>546</v>
      </c>
      <c r="L353" t="str">
        <f>K55</f>
        <v>T1a1a1b2a1b</v>
      </c>
      <c r="M353" t="s">
        <v>545</v>
      </c>
      <c r="O353">
        <v>2.1738526E7</v>
      </c>
      <c r="P353">
        <v>1.957664E7</v>
      </c>
      <c r="Q353" t="s">
        <v>245</v>
      </c>
      <c r="R353" s="41"/>
      <c r="S353" s="41"/>
      <c r="T353" s="41"/>
      <c r="U353" s="41"/>
      <c r="V353" s="41"/>
      <c r="W353" s="41"/>
      <c r="X353" s="41"/>
      <c r="Y353" s="41"/>
      <c r="Z353" s="41"/>
      <c r="AA353" s="41"/>
      <c r="AB353" s="41"/>
      <c r="AC353" s="41"/>
      <c r="AD353" s="41"/>
    </row>
    <row r="354" ht="15.75" customHeight="1">
      <c r="K354" t="s">
        <v>70</v>
      </c>
      <c r="L354" t="str">
        <f>J56</f>
        <v>T1a1a1b2a2</v>
      </c>
      <c r="N354" t="s">
        <v>547</v>
      </c>
      <c r="O354">
        <v>6918934.0</v>
      </c>
      <c r="P354">
        <v>7050893.0</v>
      </c>
      <c r="Q354" t="s">
        <v>296</v>
      </c>
      <c r="R354" s="41"/>
      <c r="S354" s="41"/>
      <c r="T354" s="41"/>
      <c r="U354" s="41"/>
      <c r="V354" s="41"/>
      <c r="W354" s="41"/>
      <c r="X354" s="41"/>
      <c r="Y354" s="41"/>
      <c r="Z354" s="41"/>
      <c r="AA354" s="41"/>
      <c r="AB354" s="41"/>
      <c r="AC354" s="41"/>
      <c r="AD354" s="41"/>
    </row>
    <row r="355" ht="15.75" customHeight="1">
      <c r="K355" t="s">
        <v>72</v>
      </c>
      <c r="L355" t="str">
        <f>K57</f>
        <v>T1a1a1b2a2a</v>
      </c>
      <c r="N355" t="s">
        <v>548</v>
      </c>
      <c r="O355">
        <v>7695868.0</v>
      </c>
      <c r="P355">
        <v>7827827.0</v>
      </c>
      <c r="Q355" t="s">
        <v>245</v>
      </c>
      <c r="R355" s="41"/>
      <c r="S355" s="41"/>
      <c r="T355" s="41"/>
      <c r="U355" s="41"/>
      <c r="V355" s="41"/>
      <c r="W355" s="41"/>
      <c r="X355" s="41"/>
      <c r="Y355" s="41"/>
      <c r="Z355" s="41"/>
      <c r="AA355" s="41"/>
      <c r="AB355" s="41"/>
      <c r="AC355" s="41"/>
      <c r="AD355" s="41"/>
    </row>
    <row r="356" ht="15.75" customHeight="1">
      <c r="K356" t="s">
        <v>74</v>
      </c>
      <c r="L356" t="str">
        <f>L58</f>
        <v>T1a1a1b2a2a1</v>
      </c>
      <c r="O356">
        <v>7215495.0</v>
      </c>
      <c r="P356">
        <v>7347454.0</v>
      </c>
      <c r="Q356" t="s">
        <v>252</v>
      </c>
      <c r="R356" s="41"/>
      <c r="S356" s="41"/>
      <c r="T356" s="41"/>
      <c r="U356" s="41"/>
      <c r="V356" s="41"/>
      <c r="W356" s="41"/>
      <c r="X356" s="41"/>
      <c r="Y356" s="41"/>
      <c r="Z356" s="41"/>
      <c r="AA356" s="41"/>
      <c r="AB356" s="41"/>
      <c r="AC356" s="41"/>
      <c r="AD356" s="41"/>
    </row>
    <row r="357" ht="15.75" customHeight="1">
      <c r="K357" t="s">
        <v>76</v>
      </c>
      <c r="L357" t="str">
        <f>M59</f>
        <v>T1a1a1b2a2a1a</v>
      </c>
      <c r="O357">
        <v>1.4003134E7</v>
      </c>
      <c r="P357">
        <v>1.1882428E7</v>
      </c>
      <c r="Q357" t="s">
        <v>303</v>
      </c>
      <c r="R357" s="41"/>
      <c r="S357" s="41"/>
      <c r="T357" s="41"/>
      <c r="U357" s="41"/>
      <c r="V357" s="41"/>
      <c r="W357" s="41"/>
      <c r="X357" s="41"/>
      <c r="Y357" s="41"/>
      <c r="Z357" s="41"/>
      <c r="AA357" s="41"/>
      <c r="AB357" s="41"/>
      <c r="AC357" s="41"/>
      <c r="AD357" s="41"/>
    </row>
    <row r="358" ht="15.75" customHeight="1">
      <c r="K358" t="s">
        <v>78</v>
      </c>
      <c r="L358" t="str">
        <f>L60</f>
        <v>T1a1a1b2a2a2</v>
      </c>
      <c r="O358">
        <v>8048236.0</v>
      </c>
      <c r="P358">
        <v>8180195.0</v>
      </c>
      <c r="Q358" t="s">
        <v>296</v>
      </c>
      <c r="R358" s="41"/>
      <c r="S358" s="41"/>
      <c r="T358" s="41"/>
      <c r="U358" s="41"/>
      <c r="V358" s="41"/>
      <c r="W358" s="41"/>
      <c r="X358" s="41"/>
      <c r="Y358" s="41"/>
      <c r="Z358" s="41"/>
      <c r="AA358" s="41"/>
      <c r="AB358" s="41"/>
      <c r="AC358" s="41"/>
      <c r="AD358" s="41"/>
    </row>
    <row r="359" ht="15.75" customHeight="1">
      <c r="K359" t="s">
        <v>80</v>
      </c>
      <c r="L359" t="str">
        <f t="shared" ref="L359:L360" si="3">M61</f>
        <v>T1a1a1b2a2a2a</v>
      </c>
      <c r="O359">
        <v>1.8426471E7</v>
      </c>
      <c r="P359">
        <v>1.6314591E7</v>
      </c>
      <c r="Q359" t="s">
        <v>272</v>
      </c>
      <c r="R359" s="41"/>
      <c r="S359" s="41"/>
      <c r="T359" s="41"/>
      <c r="U359" s="41"/>
      <c r="V359" s="41"/>
      <c r="W359" s="41"/>
      <c r="X359" s="41"/>
      <c r="Y359" s="41"/>
      <c r="Z359" s="41"/>
      <c r="AA359" s="41"/>
      <c r="AB359" s="41"/>
      <c r="AC359" s="41"/>
      <c r="AD359" s="41"/>
    </row>
    <row r="360" ht="15.75" customHeight="1">
      <c r="K360" t="s">
        <v>82</v>
      </c>
      <c r="L360" t="str">
        <f t="shared" si="3"/>
        <v>T1a1a1b2a2a2b</v>
      </c>
      <c r="O360">
        <v>8867069.0</v>
      </c>
      <c r="P360">
        <v>8999028.0</v>
      </c>
      <c r="Q360" t="s">
        <v>286</v>
      </c>
      <c r="R360" s="41"/>
      <c r="S360" s="41"/>
      <c r="T360" s="41"/>
      <c r="U360" s="41"/>
      <c r="V360" s="41"/>
      <c r="W360" s="41"/>
      <c r="X360" s="41"/>
      <c r="Y360" s="41"/>
      <c r="Z360" s="41"/>
      <c r="AA360" s="41"/>
      <c r="AB360" s="41"/>
      <c r="AC360" s="41"/>
      <c r="AD360" s="41"/>
    </row>
    <row r="361" ht="15.75" customHeight="1">
      <c r="K361" t="s">
        <v>84</v>
      </c>
      <c r="L361" t="str">
        <f>N63</f>
        <v>T1a1a1b2a2a2b1</v>
      </c>
      <c r="O361">
        <v>1.9194215E7</v>
      </c>
      <c r="P361">
        <v>1.7082335E7</v>
      </c>
      <c r="Q361" t="s">
        <v>256</v>
      </c>
      <c r="R361" s="41"/>
      <c r="S361" s="41"/>
      <c r="T361" s="41"/>
      <c r="U361" s="41"/>
      <c r="V361" s="41"/>
      <c r="W361" s="41"/>
      <c r="X361" s="41"/>
      <c r="Y361" s="41"/>
      <c r="Z361" s="41"/>
      <c r="AA361" s="41"/>
      <c r="AB361" s="41"/>
      <c r="AC361" s="41"/>
      <c r="AD361" s="41"/>
    </row>
    <row r="362" ht="15.75" customHeight="1">
      <c r="K362" t="s">
        <v>86</v>
      </c>
      <c r="L362" t="str">
        <f>O64</f>
        <v>T1a1a1b2a2a2b1a</v>
      </c>
      <c r="O362">
        <v>1.6928123E7</v>
      </c>
      <c r="P362">
        <v>1.4816243E7</v>
      </c>
      <c r="Q362" t="s">
        <v>245</v>
      </c>
      <c r="R362" s="41"/>
      <c r="S362" s="41"/>
      <c r="T362" s="41"/>
      <c r="U362" s="41"/>
      <c r="V362" s="41"/>
      <c r="W362" s="41"/>
      <c r="X362" s="41"/>
      <c r="Y362" s="41"/>
      <c r="Z362" s="41"/>
      <c r="AA362" s="41"/>
      <c r="AB362" s="41"/>
      <c r="AC362" s="41"/>
      <c r="AD362" s="41"/>
    </row>
    <row r="363" ht="15.75" customHeight="1">
      <c r="K363" t="s">
        <v>549</v>
      </c>
      <c r="L363" t="str">
        <f>N65</f>
        <v>T1a1a1b2a2a2b2</v>
      </c>
      <c r="M363" t="s">
        <v>550</v>
      </c>
      <c r="O363">
        <v>1.3804077E7</v>
      </c>
      <c r="P363">
        <v>1.1683371E7</v>
      </c>
      <c r="Q363" t="s">
        <v>252</v>
      </c>
      <c r="R363" s="41"/>
      <c r="S363" s="41"/>
      <c r="T363" s="41"/>
      <c r="U363" s="41"/>
      <c r="V363" s="41"/>
      <c r="W363" s="41"/>
      <c r="X363" s="41"/>
      <c r="Y363" s="41"/>
      <c r="Z363" s="41"/>
      <c r="AA363" s="41"/>
      <c r="AB363" s="41"/>
      <c r="AC363" s="41"/>
      <c r="AD363" s="41"/>
    </row>
    <row r="364" ht="15.75" customHeight="1">
      <c r="K364" t="s">
        <v>550</v>
      </c>
      <c r="L364" t="str">
        <f>N65</f>
        <v>T1a1a1b2a2a2b2</v>
      </c>
      <c r="M364" t="s">
        <v>549</v>
      </c>
      <c r="O364">
        <v>1.3804077E7</v>
      </c>
      <c r="P364">
        <v>1.1683371E7</v>
      </c>
      <c r="Q364" t="s">
        <v>252</v>
      </c>
      <c r="R364" s="41"/>
      <c r="S364" s="41"/>
      <c r="T364" s="41"/>
      <c r="U364" s="41"/>
      <c r="V364" s="41"/>
      <c r="W364" s="41"/>
      <c r="X364" s="41"/>
      <c r="Y364" s="41"/>
      <c r="Z364" s="41"/>
      <c r="AA364" s="41"/>
      <c r="AB364" s="41"/>
      <c r="AC364" s="41"/>
      <c r="AD364" s="41"/>
    </row>
    <row r="365" ht="15.75" customHeight="1">
      <c r="K365" t="s">
        <v>551</v>
      </c>
      <c r="L365" t="str">
        <f>O66</f>
        <v>T1a1a1b2a2a2b2a</v>
      </c>
      <c r="M365" t="s">
        <v>552</v>
      </c>
      <c r="O365">
        <v>1.470565E7</v>
      </c>
      <c r="P365">
        <v>1.2593716E7</v>
      </c>
      <c r="Q365" t="s">
        <v>426</v>
      </c>
      <c r="R365" s="41"/>
      <c r="S365" s="41"/>
      <c r="T365" s="41"/>
      <c r="U365" s="41"/>
      <c r="V365" s="41"/>
      <c r="W365" s="41"/>
      <c r="X365" s="41"/>
      <c r="Y365" s="41"/>
      <c r="Z365" s="41"/>
      <c r="AA365" s="41"/>
      <c r="AB365" s="41"/>
      <c r="AC365" s="41"/>
      <c r="AD365" s="41"/>
    </row>
    <row r="366" ht="15.75" customHeight="1">
      <c r="K366" t="s">
        <v>552</v>
      </c>
      <c r="L366" t="str">
        <f>O66</f>
        <v>T1a1a1b2a2a2b2a</v>
      </c>
      <c r="M366" t="s">
        <v>551</v>
      </c>
      <c r="O366">
        <v>1.470565E7</v>
      </c>
      <c r="P366">
        <v>1.2593716E7</v>
      </c>
      <c r="Q366" t="s">
        <v>426</v>
      </c>
      <c r="R366" s="41"/>
      <c r="S366" s="41"/>
      <c r="T366" s="41"/>
      <c r="U366" s="41"/>
      <c r="V366" s="41"/>
      <c r="W366" s="41"/>
      <c r="X366" s="41"/>
      <c r="Y366" s="41"/>
      <c r="Z366" s="41"/>
      <c r="AA366" s="41"/>
      <c r="AB366" s="41"/>
      <c r="AC366" s="41"/>
      <c r="AD366" s="41"/>
    </row>
    <row r="367" ht="15.75" customHeight="1">
      <c r="K367" t="s">
        <v>553</v>
      </c>
      <c r="L367" t="str">
        <f>I67</f>
        <v>T1a1a1b2b</v>
      </c>
      <c r="N367" t="s">
        <v>554</v>
      </c>
      <c r="O367">
        <v>6890722.0</v>
      </c>
      <c r="P367">
        <v>7022681.0</v>
      </c>
      <c r="Q367" t="s">
        <v>303</v>
      </c>
      <c r="R367" s="41"/>
      <c r="S367" s="41"/>
      <c r="T367" s="41"/>
      <c r="U367" s="41"/>
      <c r="V367" s="41"/>
      <c r="W367" s="41"/>
      <c r="X367" s="41"/>
      <c r="Y367" s="41"/>
      <c r="Z367" s="41"/>
      <c r="AA367" s="41"/>
      <c r="AB367" s="41"/>
      <c r="AC367" s="41"/>
      <c r="AD367" s="41"/>
    </row>
    <row r="368" ht="15.75" customHeight="1">
      <c r="K368" t="s">
        <v>555</v>
      </c>
      <c r="L368" t="str">
        <f>I67</f>
        <v>T1a1a1b2b</v>
      </c>
      <c r="N368" t="s">
        <v>556</v>
      </c>
      <c r="O368">
        <v>1.5748815E7</v>
      </c>
      <c r="P368">
        <v>1.3636935E7</v>
      </c>
      <c r="Q368" t="s">
        <v>303</v>
      </c>
      <c r="R368" s="41"/>
      <c r="S368" s="41"/>
      <c r="T368" s="41"/>
      <c r="U368" s="41"/>
      <c r="V368" s="41"/>
      <c r="W368" s="41"/>
      <c r="X368" s="41"/>
      <c r="Y368" s="41"/>
      <c r="Z368" s="41"/>
      <c r="AA368" s="41"/>
      <c r="AB368" s="41"/>
      <c r="AC368" s="41"/>
      <c r="AD368" s="41"/>
    </row>
    <row r="369" ht="15.75" customHeight="1">
      <c r="K369" t="s">
        <v>94</v>
      </c>
      <c r="L369" t="str">
        <f>J68</f>
        <v>T1a1a1b2b1</v>
      </c>
      <c r="N369" t="s">
        <v>557</v>
      </c>
      <c r="O369">
        <v>2.1656905E7</v>
      </c>
      <c r="P369">
        <v>1.9495019E7</v>
      </c>
      <c r="Q369" t="s">
        <v>245</v>
      </c>
      <c r="R369" s="41"/>
      <c r="S369" s="41"/>
      <c r="T369" s="41"/>
      <c r="U369" s="41"/>
      <c r="V369" s="41"/>
      <c r="W369" s="41"/>
      <c r="X369" s="41"/>
      <c r="Y369" s="41"/>
      <c r="Z369" s="41"/>
      <c r="AA369" s="41"/>
      <c r="AB369" s="41"/>
      <c r="AC369" s="41"/>
      <c r="AD369" s="41"/>
    </row>
    <row r="370" ht="15.75" customHeight="1">
      <c r="K370" t="s">
        <v>96</v>
      </c>
      <c r="L370" t="str">
        <f>K69</f>
        <v>T1a1a1b2b1a</v>
      </c>
      <c r="O370">
        <v>8588851.0</v>
      </c>
      <c r="P370">
        <v>8720810.0</v>
      </c>
      <c r="Q370" t="s">
        <v>275</v>
      </c>
      <c r="R370" s="41"/>
      <c r="S370" s="41"/>
      <c r="T370" s="41"/>
      <c r="U370" s="41"/>
      <c r="V370" s="41"/>
      <c r="W370" s="41"/>
      <c r="X370" s="41"/>
      <c r="Y370" s="41"/>
      <c r="Z370" s="41"/>
      <c r="AA370" s="41"/>
      <c r="AB370" s="41"/>
      <c r="AC370" s="41"/>
      <c r="AD370" s="41"/>
    </row>
    <row r="371" ht="15.75" customHeight="1">
      <c r="K371" t="s">
        <v>98</v>
      </c>
      <c r="L371" t="str">
        <f>L70</f>
        <v>T1a1a1b2b1a1</v>
      </c>
      <c r="O371">
        <v>7804756.0</v>
      </c>
      <c r="P371">
        <v>7936715.0</v>
      </c>
      <c r="Q371" t="s">
        <v>245</v>
      </c>
      <c r="R371" s="41"/>
      <c r="S371" s="41"/>
      <c r="T371" s="41"/>
      <c r="U371" s="41"/>
      <c r="V371" s="41"/>
      <c r="W371" s="41"/>
      <c r="X371" s="41"/>
      <c r="Y371" s="41"/>
      <c r="Z371" s="41"/>
      <c r="AA371" s="41"/>
      <c r="AB371" s="41"/>
      <c r="AC371" s="41"/>
      <c r="AD371" s="41"/>
    </row>
    <row r="372" ht="15.75" customHeight="1">
      <c r="K372" t="s">
        <v>558</v>
      </c>
      <c r="L372" t="str">
        <f>J71</f>
        <v>T1a1a1b2b2</v>
      </c>
      <c r="M372" t="s">
        <v>559</v>
      </c>
      <c r="N372" t="s">
        <v>560</v>
      </c>
      <c r="O372">
        <v>8304456.0</v>
      </c>
      <c r="P372">
        <v>8436415.0</v>
      </c>
      <c r="Q372" t="s">
        <v>245</v>
      </c>
      <c r="R372" s="41"/>
      <c r="S372" s="41"/>
      <c r="T372" s="41"/>
      <c r="U372" s="41"/>
      <c r="V372" s="41"/>
      <c r="W372" s="41"/>
      <c r="X372" s="41"/>
      <c r="Y372" s="41"/>
      <c r="Z372" s="41"/>
      <c r="AA372" s="41"/>
      <c r="AB372" s="41"/>
      <c r="AC372" s="41"/>
      <c r="AD372" s="41"/>
    </row>
    <row r="373" ht="15.75" customHeight="1">
      <c r="K373" t="s">
        <v>559</v>
      </c>
      <c r="L373" t="str">
        <f>J71</f>
        <v>T1a1a1b2b2</v>
      </c>
      <c r="M373" t="s">
        <v>558</v>
      </c>
      <c r="N373" t="s">
        <v>560</v>
      </c>
      <c r="O373">
        <v>8304456.0</v>
      </c>
      <c r="P373">
        <v>8436415.0</v>
      </c>
      <c r="Q373" t="s">
        <v>245</v>
      </c>
      <c r="R373" s="41"/>
      <c r="S373" s="41"/>
      <c r="T373" s="41"/>
      <c r="U373" s="41"/>
      <c r="V373" s="41"/>
      <c r="W373" s="41"/>
      <c r="X373" s="41"/>
      <c r="Y373" s="41"/>
      <c r="Z373" s="41"/>
      <c r="AA373" s="41"/>
      <c r="AB373" s="41"/>
      <c r="AC373" s="41"/>
      <c r="AD373" s="41"/>
    </row>
    <row r="374" ht="15.75" customHeight="1">
      <c r="K374" t="s">
        <v>561</v>
      </c>
      <c r="L374" t="str">
        <f>J71</f>
        <v>T1a1a1b2b2</v>
      </c>
      <c r="N374" t="s">
        <v>562</v>
      </c>
      <c r="O374">
        <v>1.8061004E7</v>
      </c>
      <c r="P374">
        <v>1.5949124E7</v>
      </c>
      <c r="Q374" t="s">
        <v>272</v>
      </c>
      <c r="R374" s="41"/>
      <c r="S374" s="41"/>
      <c r="T374" s="41"/>
      <c r="U374" s="41"/>
      <c r="V374" s="41"/>
      <c r="W374" s="41"/>
      <c r="X374" s="41"/>
      <c r="Y374" s="41"/>
      <c r="Z374" s="41"/>
      <c r="AA374" s="41"/>
      <c r="AB374" s="41"/>
      <c r="AC374" s="41"/>
      <c r="AD374" s="41"/>
    </row>
    <row r="375" ht="15.75" customHeight="1">
      <c r="K375" t="s">
        <v>563</v>
      </c>
      <c r="L375" t="str">
        <f>J71</f>
        <v>T1a1a1b2b2</v>
      </c>
      <c r="M375" t="s">
        <v>564</v>
      </c>
      <c r="N375" t="s">
        <v>565</v>
      </c>
      <c r="O375">
        <v>1.755341E7</v>
      </c>
      <c r="P375">
        <v>1.544153E7</v>
      </c>
      <c r="Q375" t="s">
        <v>286</v>
      </c>
      <c r="R375" s="41"/>
      <c r="S375" s="41"/>
      <c r="T375" s="41"/>
      <c r="U375" s="41"/>
      <c r="V375" s="41"/>
      <c r="W375" s="41"/>
      <c r="X375" s="41"/>
      <c r="Y375" s="41"/>
      <c r="Z375" s="41"/>
      <c r="AA375" s="41"/>
      <c r="AB375" s="41"/>
      <c r="AC375" s="41"/>
      <c r="AD375" s="41"/>
    </row>
    <row r="376" ht="15.75" customHeight="1">
      <c r="K376" t="s">
        <v>564</v>
      </c>
      <c r="L376" t="str">
        <f>J71</f>
        <v>T1a1a1b2b2</v>
      </c>
      <c r="M376" t="s">
        <v>563</v>
      </c>
      <c r="N376" t="s">
        <v>565</v>
      </c>
      <c r="O376">
        <v>1.755341E7</v>
      </c>
      <c r="P376">
        <v>1.544153E7</v>
      </c>
      <c r="Q376" t="s">
        <v>286</v>
      </c>
      <c r="R376" s="41"/>
      <c r="S376" s="41"/>
      <c r="T376" s="41"/>
      <c r="U376" s="41"/>
      <c r="V376" s="41"/>
      <c r="W376" s="41"/>
      <c r="X376" s="41"/>
      <c r="Y376" s="41"/>
      <c r="Z376" s="41"/>
      <c r="AA376" s="41"/>
      <c r="AB376" s="41"/>
      <c r="AC376" s="41"/>
      <c r="AD376" s="41"/>
    </row>
    <row r="377" ht="15.75" customHeight="1">
      <c r="K377" t="s">
        <v>566</v>
      </c>
      <c r="L377" t="str">
        <f>J71</f>
        <v>T1a1a1b2b2</v>
      </c>
      <c r="N377" t="s">
        <v>567</v>
      </c>
      <c r="O377">
        <v>1.4343435E7</v>
      </c>
      <c r="P377">
        <v>1.222273E7</v>
      </c>
      <c r="Q377" t="s">
        <v>286</v>
      </c>
      <c r="R377" s="41"/>
      <c r="S377" s="41"/>
      <c r="T377" s="41"/>
      <c r="U377" s="41"/>
      <c r="V377" s="41"/>
      <c r="W377" s="41"/>
      <c r="X377" s="41"/>
      <c r="Y377" s="41"/>
      <c r="Z377" s="41"/>
      <c r="AA377" s="41"/>
      <c r="AB377" s="41"/>
      <c r="AC377" s="41"/>
      <c r="AD377" s="41"/>
    </row>
    <row r="378" ht="15.75" customHeight="1">
      <c r="K378" t="s">
        <v>102</v>
      </c>
      <c r="L378" t="str">
        <f t="shared" ref="L378:L379" si="4">K72</f>
        <v>T1a1a1b2b2a</v>
      </c>
      <c r="N378" t="s">
        <v>568</v>
      </c>
      <c r="O378">
        <v>6659977.0</v>
      </c>
      <c r="P378">
        <v>6791936.0</v>
      </c>
      <c r="Q378" t="s">
        <v>516</v>
      </c>
      <c r="R378" s="41"/>
      <c r="S378" s="41"/>
      <c r="T378" s="41"/>
      <c r="U378" s="41"/>
      <c r="V378" s="41"/>
      <c r="W378" s="41"/>
      <c r="X378" s="41"/>
      <c r="Y378" s="41"/>
      <c r="Z378" s="41"/>
      <c r="AA378" s="41"/>
      <c r="AB378" s="41"/>
      <c r="AC378" s="41"/>
      <c r="AD378" s="41"/>
    </row>
    <row r="379" ht="15.75" customHeight="1">
      <c r="K379" t="s">
        <v>569</v>
      </c>
      <c r="L379" t="str">
        <f t="shared" si="4"/>
        <v>T1a1a1b2b2b</v>
      </c>
      <c r="M379" t="s">
        <v>570</v>
      </c>
      <c r="N379" t="s">
        <v>571</v>
      </c>
      <c r="O379">
        <v>6931957.0</v>
      </c>
      <c r="P379">
        <v>7063916.0</v>
      </c>
      <c r="Q379" t="s">
        <v>272</v>
      </c>
      <c r="R379" s="41"/>
      <c r="S379" s="41"/>
      <c r="T379" s="41"/>
      <c r="U379" s="41"/>
      <c r="V379" s="41"/>
      <c r="W379" s="41"/>
      <c r="X379" s="41"/>
      <c r="Y379" s="41"/>
      <c r="Z379" s="41"/>
      <c r="AA379" s="41"/>
      <c r="AB379" s="41"/>
      <c r="AC379" s="41"/>
      <c r="AD379" s="41"/>
    </row>
    <row r="380" ht="15.75" customHeight="1">
      <c r="K380" t="s">
        <v>570</v>
      </c>
      <c r="L380" t="str">
        <f>K73</f>
        <v>T1a1a1b2b2b</v>
      </c>
      <c r="M380" t="s">
        <v>569</v>
      </c>
      <c r="N380" t="s">
        <v>571</v>
      </c>
      <c r="O380">
        <v>6931957.0</v>
      </c>
      <c r="P380">
        <v>7063916.0</v>
      </c>
      <c r="Q380" t="s">
        <v>272</v>
      </c>
      <c r="R380" s="41"/>
      <c r="S380" s="41"/>
      <c r="T380" s="41"/>
      <c r="U380" s="41"/>
      <c r="V380" s="41"/>
      <c r="W380" s="41"/>
      <c r="X380" s="41"/>
      <c r="Y380" s="41"/>
      <c r="Z380" s="41"/>
      <c r="AA380" s="41"/>
      <c r="AB380" s="41"/>
      <c r="AC380" s="41"/>
      <c r="AD380" s="41"/>
    </row>
    <row r="381" ht="15.75" customHeight="1">
      <c r="K381" t="s">
        <v>106</v>
      </c>
      <c r="L381" t="str">
        <f>L74</f>
        <v>T1a1a1b2b2b1</v>
      </c>
      <c r="N381" t="s">
        <v>572</v>
      </c>
      <c r="O381">
        <v>1.8103259E7</v>
      </c>
      <c r="P381">
        <v>1.5991379E7</v>
      </c>
      <c r="Q381" t="s">
        <v>245</v>
      </c>
      <c r="R381" s="41"/>
      <c r="S381" s="41"/>
      <c r="T381" s="41"/>
      <c r="U381" s="41"/>
      <c r="V381" s="41"/>
      <c r="W381" s="41"/>
      <c r="X381" s="41"/>
      <c r="Y381" s="41"/>
      <c r="Z381" s="41"/>
      <c r="AA381" s="41"/>
      <c r="AB381" s="41"/>
      <c r="AC381" s="41"/>
      <c r="AD381" s="41"/>
    </row>
    <row r="382" ht="15.75" customHeight="1">
      <c r="K382" t="s">
        <v>573</v>
      </c>
      <c r="L382" t="str">
        <f>M75</f>
        <v>T1a1a1b2b2b1a</v>
      </c>
      <c r="N382" t="s">
        <v>574</v>
      </c>
      <c r="O382">
        <v>1.4926202E7</v>
      </c>
      <c r="P382">
        <v>1.2814267E7</v>
      </c>
      <c r="Q382" t="s">
        <v>245</v>
      </c>
      <c r="R382" s="41"/>
      <c r="S382" s="41"/>
      <c r="T382" s="41"/>
      <c r="U382" s="41"/>
      <c r="V382" s="41"/>
      <c r="W382" s="41"/>
      <c r="X382" s="41"/>
      <c r="Y382" s="41"/>
      <c r="Z382" s="41"/>
      <c r="AA382" s="41"/>
      <c r="AB382" s="41"/>
      <c r="AC382" s="41"/>
      <c r="AD382" s="41"/>
    </row>
    <row r="383" ht="15.75" customHeight="1">
      <c r="K383" t="s">
        <v>575</v>
      </c>
      <c r="L383" t="str">
        <f>M75</f>
        <v>T1a1a1b2b2b1a</v>
      </c>
      <c r="N383" t="s">
        <v>576</v>
      </c>
      <c r="O383">
        <v>1.4529342E7</v>
      </c>
      <c r="P383">
        <v>1.2417543E7</v>
      </c>
      <c r="Q383" t="s">
        <v>286</v>
      </c>
      <c r="R383" s="41"/>
      <c r="S383" s="41"/>
      <c r="T383" s="41"/>
      <c r="U383" s="41"/>
      <c r="V383" s="41"/>
      <c r="W383" s="41"/>
      <c r="X383" s="41"/>
      <c r="Y383" s="41"/>
      <c r="Z383" s="41"/>
      <c r="AA383" s="41"/>
      <c r="AB383" s="41"/>
      <c r="AC383" s="41"/>
      <c r="AD383" s="41"/>
    </row>
    <row r="384" ht="15.75" customHeight="1">
      <c r="K384" t="s">
        <v>577</v>
      </c>
      <c r="L384" t="str">
        <f>M75</f>
        <v>T1a1a1b2b2b1a</v>
      </c>
      <c r="M384" t="s">
        <v>578</v>
      </c>
      <c r="N384" t="s">
        <v>579</v>
      </c>
      <c r="O384">
        <v>1.7364892E7</v>
      </c>
      <c r="P384">
        <v>1.5253012E7</v>
      </c>
      <c r="Q384" t="s">
        <v>272</v>
      </c>
      <c r="R384" s="41"/>
      <c r="S384" s="41"/>
      <c r="T384" s="41"/>
      <c r="U384" s="41"/>
      <c r="V384" s="41"/>
      <c r="W384" s="41"/>
      <c r="X384" s="41"/>
      <c r="Y384" s="41"/>
      <c r="Z384" s="41"/>
      <c r="AA384" s="41"/>
      <c r="AB384" s="41"/>
      <c r="AC384" s="41"/>
      <c r="AD384" s="41"/>
    </row>
    <row r="385" ht="15.75" customHeight="1">
      <c r="K385" t="s">
        <v>578</v>
      </c>
      <c r="L385" t="str">
        <f>M75</f>
        <v>T1a1a1b2b2b1a</v>
      </c>
      <c r="M385" t="s">
        <v>577</v>
      </c>
      <c r="N385" t="s">
        <v>579</v>
      </c>
      <c r="O385">
        <v>1.7364892E7</v>
      </c>
      <c r="P385">
        <v>1.5253012E7</v>
      </c>
      <c r="Q385" t="s">
        <v>272</v>
      </c>
      <c r="R385" s="41"/>
      <c r="S385" s="41"/>
      <c r="T385" s="41"/>
      <c r="U385" s="41"/>
      <c r="V385" s="41"/>
      <c r="W385" s="41"/>
      <c r="X385" s="41"/>
      <c r="Y385" s="41"/>
      <c r="Z385" s="41"/>
      <c r="AA385" s="41"/>
      <c r="AB385" s="41"/>
      <c r="AC385" s="41"/>
      <c r="AD385" s="41"/>
    </row>
    <row r="386" ht="15.75" customHeight="1">
      <c r="K386" t="s">
        <v>580</v>
      </c>
      <c r="L386" t="str">
        <f>M75</f>
        <v>T1a1a1b2b2b1a</v>
      </c>
      <c r="N386" t="s">
        <v>581</v>
      </c>
      <c r="O386">
        <v>2.3390048E7</v>
      </c>
      <c r="P386">
        <v>2.1228162E7</v>
      </c>
      <c r="Q386" t="s">
        <v>256</v>
      </c>
      <c r="R386" s="41"/>
      <c r="S386" s="41"/>
      <c r="T386" s="41"/>
      <c r="U386" s="41"/>
      <c r="V386" s="41"/>
      <c r="W386" s="41"/>
      <c r="X386" s="41"/>
      <c r="Y386" s="41"/>
      <c r="Z386" s="41"/>
      <c r="AA386" s="41"/>
      <c r="AB386" s="41"/>
      <c r="AC386" s="41"/>
      <c r="AD386" s="41"/>
    </row>
    <row r="387" ht="15.75" customHeight="1">
      <c r="K387" t="s">
        <v>110</v>
      </c>
      <c r="L387" t="str">
        <f>N76</f>
        <v>T1a1a1b2b2b1a1</v>
      </c>
      <c r="N387" t="s">
        <v>582</v>
      </c>
      <c r="O387">
        <v>1.671027E7</v>
      </c>
      <c r="P387">
        <v>1.459839E7</v>
      </c>
      <c r="Q387" t="s">
        <v>245</v>
      </c>
      <c r="R387" s="41"/>
      <c r="S387" s="41"/>
      <c r="T387" s="41"/>
      <c r="U387" s="41"/>
      <c r="V387" s="41"/>
      <c r="W387" s="41"/>
      <c r="X387" s="41"/>
      <c r="Y387" s="41"/>
      <c r="Z387" s="41"/>
      <c r="AA387" s="41"/>
      <c r="AB387" s="41"/>
      <c r="AC387" s="41"/>
      <c r="AD387" s="41"/>
    </row>
    <row r="388" ht="15.75" customHeight="1">
      <c r="K388" t="s">
        <v>112</v>
      </c>
      <c r="L388" t="str">
        <f>O77</f>
        <v>T1a1a1b2b2b1a1a</v>
      </c>
      <c r="N388" t="s">
        <v>583</v>
      </c>
      <c r="O388">
        <v>1.6949553E7</v>
      </c>
      <c r="P388">
        <v>1.4837673E7</v>
      </c>
      <c r="Q388" t="s">
        <v>303</v>
      </c>
      <c r="R388" s="41"/>
      <c r="S388" s="41"/>
      <c r="T388" s="41"/>
      <c r="U388" s="41"/>
      <c r="V388" s="41"/>
      <c r="W388" s="41"/>
      <c r="X388" s="41"/>
      <c r="Y388" s="41"/>
      <c r="Z388" s="41"/>
      <c r="AA388" s="41"/>
      <c r="AB388" s="41"/>
      <c r="AC388" s="41"/>
      <c r="AD388" s="41"/>
    </row>
    <row r="389" ht="15.75" customHeight="1">
      <c r="K389" t="s">
        <v>114</v>
      </c>
      <c r="L389" t="str">
        <f>P78</f>
        <v>T1a1a1b2b2b1a1a1</v>
      </c>
      <c r="N389" t="s">
        <v>584</v>
      </c>
      <c r="O389">
        <v>1.9118773E7</v>
      </c>
      <c r="P389">
        <v>1.7006893E7</v>
      </c>
      <c r="Q389" t="s">
        <v>245</v>
      </c>
      <c r="R389" s="41"/>
      <c r="S389" s="41"/>
      <c r="T389" s="41"/>
      <c r="U389" s="41"/>
      <c r="V389" s="41"/>
      <c r="W389" s="41"/>
      <c r="X389" s="41"/>
      <c r="Y389" s="41"/>
      <c r="Z389" s="41"/>
      <c r="AA389" s="41"/>
      <c r="AB389" s="41"/>
      <c r="AC389" s="41"/>
      <c r="AD389" s="41"/>
    </row>
    <row r="390" ht="15.75" customHeight="1">
      <c r="K390" t="s">
        <v>116</v>
      </c>
      <c r="L390" t="str">
        <f>Q79</f>
        <v>T1a1a1b2b2b1a1a1a</v>
      </c>
      <c r="O390">
        <v>7427236.0</v>
      </c>
      <c r="P390">
        <v>7559195.0</v>
      </c>
      <c r="Q390" t="s">
        <v>245</v>
      </c>
      <c r="R390" s="41"/>
      <c r="S390" s="41"/>
      <c r="T390" s="41"/>
      <c r="U390" s="41"/>
      <c r="V390" s="41"/>
      <c r="W390" s="41"/>
      <c r="X390" s="41"/>
      <c r="Y390" s="41"/>
      <c r="Z390" s="41"/>
      <c r="AA390" s="41"/>
      <c r="AB390" s="41"/>
      <c r="AC390" s="41"/>
      <c r="AD390" s="41"/>
    </row>
    <row r="391" ht="15.75" customHeight="1">
      <c r="K391" t="s">
        <v>585</v>
      </c>
      <c r="L391" t="str">
        <f>R80</f>
        <v>T1a1a1b2b2b1a1a1a1</v>
      </c>
      <c r="M391" t="s">
        <v>586</v>
      </c>
      <c r="O391">
        <v>1.8979534E7</v>
      </c>
      <c r="P391">
        <v>1.6867654E7</v>
      </c>
      <c r="Q391" t="s">
        <v>245</v>
      </c>
      <c r="R391" s="41"/>
      <c r="S391" s="41"/>
      <c r="T391" s="41"/>
      <c r="U391" s="41"/>
      <c r="V391" s="41"/>
      <c r="W391" s="41"/>
      <c r="X391" s="41"/>
      <c r="Y391" s="41"/>
      <c r="Z391" s="41"/>
      <c r="AA391" s="41"/>
      <c r="AB391" s="41"/>
      <c r="AC391" s="41"/>
      <c r="AD391" s="41"/>
    </row>
    <row r="392" ht="15.75" customHeight="1">
      <c r="K392" t="s">
        <v>586</v>
      </c>
      <c r="L392" t="str">
        <f>R80</f>
        <v>T1a1a1b2b2b1a1a1a1</v>
      </c>
      <c r="M392" t="s">
        <v>585</v>
      </c>
      <c r="O392">
        <v>1.8979534E7</v>
      </c>
      <c r="P392">
        <v>1.6867654E7</v>
      </c>
      <c r="Q392" t="s">
        <v>245</v>
      </c>
      <c r="R392" s="41"/>
      <c r="S392" s="41"/>
      <c r="T392" s="41"/>
      <c r="U392" s="41"/>
      <c r="V392" s="41"/>
      <c r="W392" s="41"/>
      <c r="X392" s="41"/>
      <c r="Y392" s="41"/>
      <c r="Z392" s="41"/>
      <c r="AA392" s="41"/>
      <c r="AB392" s="41"/>
      <c r="AC392" s="41"/>
      <c r="AD392" s="41"/>
    </row>
    <row r="393" ht="15.75" customHeight="1">
      <c r="K393" t="s">
        <v>587</v>
      </c>
      <c r="L393" t="str">
        <f>Q81</f>
        <v>T1a1a1b2b2b1a1a1b</v>
      </c>
      <c r="M393" t="s">
        <v>588</v>
      </c>
      <c r="N393" t="s">
        <v>589</v>
      </c>
      <c r="O393">
        <v>1.3863804E7</v>
      </c>
      <c r="P393">
        <v>1.1743098E7</v>
      </c>
      <c r="Q393" t="s">
        <v>245</v>
      </c>
      <c r="R393" s="41"/>
      <c r="S393" s="41"/>
      <c r="T393" s="41"/>
      <c r="U393" s="41"/>
      <c r="V393" s="41"/>
      <c r="W393" s="41"/>
      <c r="X393" s="41"/>
      <c r="Y393" s="41"/>
      <c r="Z393" s="41"/>
      <c r="AA393" s="41"/>
      <c r="AB393" s="41"/>
      <c r="AC393" s="41"/>
      <c r="AD393" s="41"/>
    </row>
    <row r="394" ht="15.75" customHeight="1">
      <c r="K394" t="s">
        <v>588</v>
      </c>
      <c r="L394" t="str">
        <f>Q81</f>
        <v>T1a1a1b2b2b1a1a1b</v>
      </c>
      <c r="M394" t="s">
        <v>587</v>
      </c>
      <c r="N394" t="s">
        <v>589</v>
      </c>
      <c r="O394">
        <v>1.3863804E7</v>
      </c>
      <c r="P394">
        <v>1.1743098E7</v>
      </c>
      <c r="Q394" t="s">
        <v>245</v>
      </c>
      <c r="R394" s="41"/>
      <c r="S394" s="41"/>
      <c r="T394" s="41"/>
      <c r="U394" s="41"/>
      <c r="V394" s="41"/>
      <c r="W394" s="41"/>
      <c r="X394" s="41"/>
      <c r="Y394" s="41"/>
      <c r="Z394" s="41"/>
      <c r="AA394" s="41"/>
      <c r="AB394" s="41"/>
      <c r="AC394" s="41"/>
      <c r="AD394" s="41"/>
    </row>
    <row r="395" ht="15.75" customHeight="1">
      <c r="K395" t="s">
        <v>122</v>
      </c>
      <c r="L395" t="str">
        <f t="shared" ref="L395:L396" si="5">R82</f>
        <v>T1a1a1b2b2b1a1a1b1</v>
      </c>
      <c r="O395">
        <v>1.5733397E7</v>
      </c>
      <c r="P395">
        <v>1.3621517E7</v>
      </c>
      <c r="Q395" t="s">
        <v>303</v>
      </c>
      <c r="R395" s="41"/>
      <c r="S395" s="41"/>
      <c r="T395" s="41"/>
      <c r="U395" s="41"/>
      <c r="V395" s="41"/>
      <c r="W395" s="41"/>
      <c r="X395" s="41"/>
      <c r="Y395" s="41"/>
      <c r="Z395" s="41"/>
      <c r="AA395" s="41"/>
      <c r="AB395" s="41"/>
      <c r="AC395" s="41"/>
      <c r="AD395" s="41"/>
    </row>
    <row r="396" ht="15.75" customHeight="1">
      <c r="K396" t="s">
        <v>590</v>
      </c>
      <c r="L396" t="str">
        <f t="shared" si="5"/>
        <v>T1a1a1b2b2b1a1a1b2</v>
      </c>
      <c r="M396" t="s">
        <v>591</v>
      </c>
      <c r="N396" t="s">
        <v>592</v>
      </c>
      <c r="O396">
        <v>8484192.0</v>
      </c>
      <c r="P396">
        <v>8616151.0</v>
      </c>
      <c r="Q396" t="s">
        <v>245</v>
      </c>
      <c r="R396" s="41"/>
      <c r="S396" s="41"/>
      <c r="T396" s="41"/>
      <c r="U396" s="41"/>
      <c r="V396" s="41"/>
      <c r="W396" s="41"/>
      <c r="X396" s="41"/>
      <c r="Y396" s="41"/>
      <c r="Z396" s="41"/>
      <c r="AA396" s="41"/>
      <c r="AB396" s="41"/>
      <c r="AC396" s="41"/>
      <c r="AD396" s="41"/>
    </row>
    <row r="397" ht="15.75" customHeight="1">
      <c r="K397" t="s">
        <v>593</v>
      </c>
      <c r="L397" t="str">
        <f>R83</f>
        <v>T1a1a1b2b2b1a1a1b2</v>
      </c>
      <c r="M397" t="s">
        <v>594</v>
      </c>
      <c r="N397" t="s">
        <v>592</v>
      </c>
      <c r="O397">
        <v>8484192.0</v>
      </c>
      <c r="P397">
        <v>8616151.0</v>
      </c>
      <c r="Q397" t="s">
        <v>245</v>
      </c>
      <c r="R397" s="41"/>
      <c r="S397" s="41"/>
      <c r="T397" s="41"/>
      <c r="U397" s="41"/>
      <c r="V397" s="41"/>
      <c r="W397" s="41"/>
      <c r="X397" s="41"/>
      <c r="Y397" s="41"/>
      <c r="Z397" s="41"/>
      <c r="AA397" s="41"/>
      <c r="AB397" s="41"/>
      <c r="AC397" s="41"/>
      <c r="AD397" s="41"/>
    </row>
    <row r="398" ht="15.75" customHeight="1">
      <c r="K398" t="s">
        <v>595</v>
      </c>
      <c r="L398" t="str">
        <f>R83</f>
        <v>T1a1a1b2b2b1a1a1b2</v>
      </c>
      <c r="M398" t="s">
        <v>596</v>
      </c>
      <c r="N398" t="s">
        <v>592</v>
      </c>
      <c r="O398">
        <v>8484192.0</v>
      </c>
      <c r="P398">
        <v>8616151.0</v>
      </c>
      <c r="Q398" t="s">
        <v>245</v>
      </c>
      <c r="R398" s="41"/>
      <c r="S398" s="41"/>
      <c r="T398" s="41"/>
      <c r="U398" s="41"/>
      <c r="V398" s="41"/>
      <c r="W398" s="41"/>
      <c r="X398" s="41"/>
      <c r="Y398" s="41"/>
      <c r="Z398" s="41"/>
      <c r="AA398" s="41"/>
      <c r="AB398" s="41"/>
      <c r="AC398" s="41"/>
      <c r="AD398" s="41"/>
    </row>
    <row r="399" ht="15.75" customHeight="1">
      <c r="K399" t="s">
        <v>597</v>
      </c>
      <c r="L399" t="str">
        <f>S84</f>
        <v>T1a1a1b2b2b1a1a1b2a</v>
      </c>
      <c r="M399" t="s">
        <v>598</v>
      </c>
      <c r="N399" t="s">
        <v>599</v>
      </c>
      <c r="O399">
        <v>2.3861496E7</v>
      </c>
      <c r="P399">
        <v>2.169961E7</v>
      </c>
      <c r="Q399" t="s">
        <v>272</v>
      </c>
      <c r="R399" s="41"/>
      <c r="S399" s="41"/>
      <c r="T399" s="41"/>
      <c r="U399" s="41"/>
      <c r="V399" s="41"/>
      <c r="W399" s="41"/>
      <c r="X399" s="41"/>
      <c r="Y399" s="41"/>
      <c r="Z399" s="41"/>
      <c r="AA399" s="41"/>
      <c r="AB399" s="41"/>
      <c r="AC399" s="41"/>
      <c r="AD399" s="41"/>
    </row>
    <row r="400" ht="15.75" customHeight="1">
      <c r="K400" t="s">
        <v>598</v>
      </c>
      <c r="L400" t="str">
        <f>S84</f>
        <v>T1a1a1b2b2b1a1a1b2a</v>
      </c>
      <c r="M400" t="s">
        <v>597</v>
      </c>
      <c r="N400" t="s">
        <v>599</v>
      </c>
      <c r="O400">
        <v>2.3861496E7</v>
      </c>
      <c r="P400">
        <v>2.169961E7</v>
      </c>
      <c r="Q400" t="s">
        <v>272</v>
      </c>
      <c r="R400" s="41"/>
      <c r="S400" s="41"/>
      <c r="T400" s="41"/>
      <c r="U400" s="41"/>
      <c r="V400" s="41"/>
      <c r="W400" s="41"/>
      <c r="X400" s="41"/>
      <c r="Y400" s="41"/>
      <c r="Z400" s="41"/>
      <c r="AA400" s="41"/>
      <c r="AB400" s="41"/>
      <c r="AC400" s="41"/>
      <c r="AD400" s="41"/>
    </row>
    <row r="401" ht="15.75" customHeight="1">
      <c r="K401" t="s">
        <v>600</v>
      </c>
      <c r="L401" t="str">
        <f>T85</f>
        <v>T1a1a1b2b2b1a1a1b2a1</v>
      </c>
      <c r="M401" t="s">
        <v>601</v>
      </c>
      <c r="N401" t="s">
        <v>602</v>
      </c>
      <c r="O401">
        <v>2662351.0</v>
      </c>
      <c r="P401">
        <v>2794310.0</v>
      </c>
      <c r="Q401" t="s">
        <v>245</v>
      </c>
      <c r="R401" s="41"/>
      <c r="S401" s="41"/>
      <c r="T401" s="41"/>
      <c r="U401" s="41"/>
      <c r="V401" s="41"/>
      <c r="W401" s="41"/>
      <c r="X401" s="41"/>
      <c r="Y401" s="41"/>
      <c r="Z401" s="41"/>
      <c r="AA401" s="41"/>
      <c r="AB401" s="41"/>
      <c r="AC401" s="41"/>
      <c r="AD401" s="41"/>
    </row>
    <row r="402" ht="15.75" customHeight="1">
      <c r="K402" t="s">
        <v>601</v>
      </c>
      <c r="L402" t="str">
        <f>T85</f>
        <v>T1a1a1b2b2b1a1a1b2a1</v>
      </c>
      <c r="M402" t="s">
        <v>600</v>
      </c>
      <c r="N402" t="s">
        <v>602</v>
      </c>
      <c r="O402">
        <v>2662351.0</v>
      </c>
      <c r="P402">
        <v>2794310.0</v>
      </c>
      <c r="Q402" t="s">
        <v>245</v>
      </c>
      <c r="R402" s="41"/>
      <c r="S402" s="41"/>
      <c r="T402" s="41"/>
      <c r="U402" s="41"/>
      <c r="V402" s="41"/>
      <c r="W402" s="41"/>
      <c r="X402" s="41"/>
      <c r="Y402" s="41"/>
      <c r="Z402" s="41"/>
      <c r="AA402" s="41"/>
      <c r="AB402" s="41"/>
      <c r="AC402" s="41"/>
      <c r="AD402" s="41"/>
    </row>
    <row r="403" ht="15.75" customHeight="1">
      <c r="K403" t="s">
        <v>130</v>
      </c>
      <c r="L403" t="str">
        <f>Q86</f>
        <v>T1a1a1b2b2b1a1a1c</v>
      </c>
      <c r="N403" t="s">
        <v>603</v>
      </c>
      <c r="O403">
        <v>1.7179227E7</v>
      </c>
      <c r="P403">
        <v>1.5067347E7</v>
      </c>
      <c r="Q403" t="s">
        <v>272</v>
      </c>
      <c r="R403" s="41"/>
      <c r="S403" s="41"/>
      <c r="T403" s="41"/>
      <c r="U403" s="41"/>
      <c r="V403" s="41"/>
      <c r="W403" s="41"/>
      <c r="X403" s="41"/>
      <c r="Y403" s="41"/>
      <c r="Z403" s="41"/>
      <c r="AA403" s="41"/>
      <c r="AB403" s="41"/>
      <c r="AC403" s="41"/>
      <c r="AD403" s="41"/>
    </row>
    <row r="404" ht="15.75" customHeight="1">
      <c r="K404" t="s">
        <v>132</v>
      </c>
      <c r="L404" t="str">
        <f t="shared" ref="L404:L406" si="6">P87</f>
        <v>T1a1a1b2b2b1a1a2</v>
      </c>
      <c r="N404" t="s">
        <v>604</v>
      </c>
      <c r="O404">
        <v>1.679373E7</v>
      </c>
      <c r="P404">
        <v>1.468185E7</v>
      </c>
      <c r="Q404" t="s">
        <v>245</v>
      </c>
      <c r="R404" s="41"/>
      <c r="S404" s="41"/>
      <c r="T404" s="41"/>
      <c r="U404" s="41"/>
      <c r="V404" s="41"/>
      <c r="W404" s="41"/>
      <c r="X404" s="41"/>
      <c r="Y404" s="41"/>
      <c r="Z404" s="41"/>
      <c r="AA404" s="41"/>
      <c r="AB404" s="41"/>
      <c r="AC404" s="41"/>
      <c r="AD404" s="41"/>
    </row>
    <row r="405" ht="15.75" customHeight="1">
      <c r="K405" t="s">
        <v>134</v>
      </c>
      <c r="L405" t="str">
        <f t="shared" si="6"/>
        <v>T1a1a1b2b2b1a1a3</v>
      </c>
      <c r="O405">
        <v>8885073.0</v>
      </c>
      <c r="P405">
        <v>9017032.0</v>
      </c>
      <c r="Q405" t="s">
        <v>256</v>
      </c>
      <c r="R405" s="41"/>
      <c r="S405" s="41"/>
      <c r="T405" s="41"/>
      <c r="U405" s="41"/>
      <c r="V405" s="41"/>
      <c r="W405" s="41"/>
      <c r="X405" s="41"/>
      <c r="Y405" s="41"/>
      <c r="Z405" s="41"/>
      <c r="AA405" s="41"/>
      <c r="AB405" s="41"/>
      <c r="AC405" s="41"/>
      <c r="AD405" s="41"/>
    </row>
    <row r="406" ht="15.75" customHeight="1">
      <c r="K406" t="s">
        <v>136</v>
      </c>
      <c r="L406" t="str">
        <f t="shared" si="6"/>
        <v>T1a1a1b2b2b1a1a4</v>
      </c>
      <c r="O406">
        <v>1.5045583E7</v>
      </c>
      <c r="P406">
        <v>1.2933673E7</v>
      </c>
      <c r="Q406" t="s">
        <v>303</v>
      </c>
      <c r="R406" s="41"/>
      <c r="S406" s="41"/>
      <c r="T406" s="41"/>
      <c r="U406" s="41"/>
      <c r="V406" s="41"/>
      <c r="W406" s="41"/>
      <c r="X406" s="41"/>
      <c r="Y406" s="41"/>
      <c r="Z406" s="41"/>
      <c r="AA406" s="41"/>
      <c r="AB406" s="41"/>
      <c r="AC406" s="41"/>
      <c r="AD406" s="41"/>
    </row>
    <row r="407" ht="15.75" customHeight="1">
      <c r="K407" t="s">
        <v>138</v>
      </c>
      <c r="L407" t="str">
        <f>G90</f>
        <v>T1a1a1c~</v>
      </c>
      <c r="O407">
        <v>1.6018726E7</v>
      </c>
      <c r="P407">
        <v>1.3906846E7</v>
      </c>
      <c r="Q407" t="s">
        <v>256</v>
      </c>
      <c r="R407" s="41"/>
      <c r="S407" s="41"/>
      <c r="T407" s="41"/>
      <c r="U407" s="41"/>
      <c r="V407" s="41"/>
      <c r="W407" s="41"/>
      <c r="X407" s="41"/>
      <c r="Y407" s="41"/>
      <c r="Z407" s="41"/>
      <c r="AA407" s="41"/>
      <c r="AB407" s="41"/>
      <c r="AC407" s="41"/>
      <c r="AD407" s="41"/>
    </row>
    <row r="408" ht="15.75" customHeight="1">
      <c r="K408" t="s">
        <v>140</v>
      </c>
      <c r="L408" t="str">
        <f>H91</f>
        <v>T1a1a1c1~</v>
      </c>
      <c r="O408">
        <v>1.6020373E7</v>
      </c>
      <c r="P408">
        <v>1.3908493E7</v>
      </c>
      <c r="Q408" t="s">
        <v>256</v>
      </c>
      <c r="R408" s="41"/>
      <c r="S408" s="41"/>
      <c r="T408" s="41"/>
      <c r="U408" s="41"/>
      <c r="V408" s="41"/>
      <c r="W408" s="41"/>
      <c r="X408" s="41"/>
      <c r="Y408" s="41"/>
      <c r="Z408" s="41"/>
      <c r="AA408" s="41"/>
      <c r="AB408" s="41"/>
      <c r="AC408" s="41"/>
      <c r="AD408" s="41"/>
    </row>
    <row r="409" ht="15.75" customHeight="1">
      <c r="K409" t="s">
        <v>142</v>
      </c>
      <c r="L409" t="str">
        <f>F92</f>
        <v>T1a1a2</v>
      </c>
      <c r="N409" t="s">
        <v>605</v>
      </c>
      <c r="O409">
        <v>6799492.0</v>
      </c>
      <c r="P409">
        <v>6931451.0</v>
      </c>
      <c r="Q409" t="s">
        <v>252</v>
      </c>
      <c r="R409" s="41"/>
      <c r="S409" s="41"/>
      <c r="T409" s="41"/>
      <c r="U409" s="41"/>
      <c r="V409" s="41"/>
      <c r="W409" s="41"/>
      <c r="X409" s="41"/>
      <c r="Y409" s="41"/>
      <c r="Z409" s="41"/>
      <c r="AA409" s="41"/>
      <c r="AB409" s="41"/>
      <c r="AC409" s="41"/>
      <c r="AD409" s="41"/>
    </row>
    <row r="410" ht="15.75" customHeight="1">
      <c r="K410" t="s">
        <v>144</v>
      </c>
      <c r="L410" t="str">
        <f>G93</f>
        <v>T1a1a2a</v>
      </c>
      <c r="N410" t="s">
        <v>606</v>
      </c>
      <c r="O410">
        <v>1.9118061E7</v>
      </c>
      <c r="P410">
        <v>1.7006181E7</v>
      </c>
      <c r="Q410" t="s">
        <v>382</v>
      </c>
      <c r="R410" s="41"/>
      <c r="S410" s="41"/>
      <c r="T410" s="41"/>
      <c r="U410" s="41"/>
      <c r="V410" s="41"/>
      <c r="W410" s="41"/>
      <c r="X410" s="41"/>
      <c r="Y410" s="41"/>
      <c r="Z410" s="41"/>
      <c r="AA410" s="41"/>
      <c r="AB410" s="41"/>
      <c r="AC410" s="41"/>
      <c r="AD410" s="41"/>
    </row>
    <row r="411" ht="15.75" customHeight="1">
      <c r="K411" t="s">
        <v>607</v>
      </c>
      <c r="L411" t="str">
        <f>D94</f>
        <v>T1a2</v>
      </c>
      <c r="N411" t="s">
        <v>608</v>
      </c>
      <c r="O411">
        <v>1.9372808E7</v>
      </c>
      <c r="P411">
        <v>1.7260928E7</v>
      </c>
      <c r="Q411" t="s">
        <v>256</v>
      </c>
      <c r="R411" s="41"/>
      <c r="S411" s="41"/>
      <c r="T411" s="41"/>
      <c r="U411" s="41"/>
      <c r="V411" s="41"/>
      <c r="W411" s="41"/>
      <c r="X411" s="41"/>
      <c r="Y411" s="41"/>
      <c r="Z411" s="41"/>
      <c r="AA411" s="41"/>
      <c r="AB411" s="41"/>
      <c r="AC411" s="41"/>
      <c r="AD411" s="41"/>
    </row>
    <row r="412" ht="15.75" customHeight="1">
      <c r="K412" t="s">
        <v>609</v>
      </c>
      <c r="L412" t="str">
        <f t="shared" ref="L412:L413" si="7">D94</f>
        <v>T1a2</v>
      </c>
      <c r="N412" t="s">
        <v>610</v>
      </c>
      <c r="O412">
        <v>1.4201429E7</v>
      </c>
      <c r="P412">
        <v>1.2080723E7</v>
      </c>
      <c r="Q412" t="s">
        <v>245</v>
      </c>
      <c r="R412" s="41"/>
      <c r="S412" s="41"/>
      <c r="T412" s="41"/>
      <c r="U412" s="41"/>
      <c r="V412" s="41"/>
      <c r="W412" s="41"/>
      <c r="X412" s="41"/>
      <c r="Y412" s="41"/>
      <c r="Z412" s="41"/>
      <c r="AA412" s="41"/>
      <c r="AB412" s="41"/>
      <c r="AC412" s="41"/>
      <c r="AD412" s="41"/>
    </row>
    <row r="413" ht="15.75" customHeight="1">
      <c r="K413" t="s">
        <v>611</v>
      </c>
      <c r="L413" t="str">
        <f t="shared" si="7"/>
        <v>T1a2a~</v>
      </c>
      <c r="N413" t="s">
        <v>612</v>
      </c>
      <c r="O413">
        <v>1.4216869E7</v>
      </c>
      <c r="P413">
        <v>1.2096163E7</v>
      </c>
      <c r="Q413" t="s">
        <v>272</v>
      </c>
      <c r="R413" s="41"/>
      <c r="S413" s="41"/>
      <c r="T413" s="41"/>
      <c r="U413" s="41"/>
      <c r="V413" s="41"/>
      <c r="W413" s="41"/>
      <c r="X413" s="41"/>
      <c r="Y413" s="41"/>
      <c r="Z413" s="41"/>
      <c r="AA413" s="41"/>
      <c r="AB413" s="41"/>
      <c r="AC413" s="41"/>
      <c r="AD413" s="41"/>
    </row>
    <row r="414" ht="15.75" customHeight="1">
      <c r="K414" t="s">
        <v>613</v>
      </c>
      <c r="L414" t="str">
        <f>D95</f>
        <v>T1a2a~</v>
      </c>
      <c r="N414" t="s">
        <v>614</v>
      </c>
      <c r="O414">
        <v>1.4251124E7</v>
      </c>
      <c r="P414">
        <v>1.2130418E7</v>
      </c>
      <c r="Q414" t="s">
        <v>272</v>
      </c>
      <c r="R414" s="41"/>
      <c r="S414" s="41"/>
      <c r="T414" s="41"/>
      <c r="U414" s="41"/>
      <c r="V414" s="41"/>
      <c r="W414" s="41"/>
      <c r="X414" s="41"/>
      <c r="Y414" s="41"/>
      <c r="Z414" s="41"/>
      <c r="AA414" s="41"/>
      <c r="AB414" s="41"/>
      <c r="AC414" s="41"/>
      <c r="AD414" s="41"/>
    </row>
    <row r="415" ht="15.75" customHeight="1">
      <c r="K415" t="s">
        <v>615</v>
      </c>
      <c r="L415" t="str">
        <f>D95</f>
        <v>T1a2a~</v>
      </c>
      <c r="O415">
        <v>1.5834829E7</v>
      </c>
      <c r="P415">
        <v>1.3722949E7</v>
      </c>
      <c r="Q415" t="s">
        <v>275</v>
      </c>
      <c r="R415" s="41"/>
      <c r="S415" s="41"/>
      <c r="T415" s="41"/>
      <c r="U415" s="41"/>
      <c r="V415" s="41"/>
      <c r="W415" s="41"/>
      <c r="X415" s="41"/>
      <c r="Y415" s="41"/>
      <c r="Z415" s="41"/>
      <c r="AA415" s="41"/>
      <c r="AB415" s="41"/>
      <c r="AC415" s="41"/>
      <c r="AD415" s="41"/>
    </row>
    <row r="416" ht="15.75" customHeight="1">
      <c r="K416" t="s">
        <v>616</v>
      </c>
      <c r="L416" t="str">
        <f>D95</f>
        <v>T1a2a~</v>
      </c>
      <c r="N416" t="s">
        <v>617</v>
      </c>
      <c r="O416">
        <v>1.7371481E7</v>
      </c>
      <c r="P416">
        <v>1.5259601E7</v>
      </c>
      <c r="Q416" t="s">
        <v>516</v>
      </c>
      <c r="R416" s="41"/>
      <c r="S416" s="41"/>
      <c r="T416" s="41"/>
      <c r="U416" s="41"/>
      <c r="V416" s="41"/>
      <c r="W416" s="41"/>
      <c r="X416" s="41"/>
      <c r="Y416" s="41"/>
      <c r="Z416" s="41"/>
      <c r="AA416" s="41"/>
      <c r="AB416" s="41"/>
      <c r="AC416" s="41"/>
      <c r="AD416" s="41"/>
    </row>
    <row r="417" ht="15.75" customHeight="1">
      <c r="K417" t="s">
        <v>618</v>
      </c>
      <c r="L417" t="str">
        <f>D95</f>
        <v>T1a2a~</v>
      </c>
      <c r="N417" t="s">
        <v>619</v>
      </c>
      <c r="O417">
        <v>1.7928421E7</v>
      </c>
      <c r="P417">
        <v>1.5816541E7</v>
      </c>
      <c r="Q417" t="s">
        <v>286</v>
      </c>
      <c r="R417" s="41"/>
      <c r="S417" s="41"/>
      <c r="T417" s="41"/>
      <c r="U417" s="41"/>
      <c r="V417" s="41"/>
      <c r="W417" s="41"/>
      <c r="X417" s="41"/>
      <c r="Y417" s="41"/>
      <c r="Z417" s="41"/>
      <c r="AA417" s="41"/>
      <c r="AB417" s="41"/>
      <c r="AC417" s="41"/>
      <c r="AD417" s="41"/>
    </row>
    <row r="418" ht="15.75" customHeight="1">
      <c r="K418" t="s">
        <v>620</v>
      </c>
      <c r="L418" t="str">
        <f>D95</f>
        <v>T1a2a~</v>
      </c>
      <c r="N418" t="s">
        <v>621</v>
      </c>
      <c r="O418">
        <v>1.8029635E7</v>
      </c>
      <c r="P418">
        <v>1.5917755E7</v>
      </c>
      <c r="Q418" t="s">
        <v>296</v>
      </c>
      <c r="R418" s="41"/>
      <c r="S418" s="41"/>
      <c r="T418" s="41"/>
      <c r="U418" s="41"/>
      <c r="V418" s="41"/>
      <c r="W418" s="41"/>
      <c r="X418" s="41"/>
      <c r="Y418" s="41"/>
      <c r="Z418" s="41"/>
      <c r="AA418" s="41"/>
      <c r="AB418" s="41"/>
      <c r="AC418" s="41"/>
      <c r="AD418" s="41"/>
    </row>
    <row r="419" ht="15.75" customHeight="1">
      <c r="K419" t="s">
        <v>622</v>
      </c>
      <c r="L419" t="str">
        <f>D95</f>
        <v>T1a2a~</v>
      </c>
      <c r="N419" t="s">
        <v>623</v>
      </c>
      <c r="O419">
        <v>1.8889251E7</v>
      </c>
      <c r="P419">
        <v>1.6777371E7</v>
      </c>
      <c r="Q419" t="s">
        <v>256</v>
      </c>
      <c r="R419" s="41"/>
      <c r="S419" s="41"/>
      <c r="T419" s="41"/>
      <c r="U419" s="41"/>
      <c r="V419" s="41"/>
      <c r="W419" s="41"/>
      <c r="X419" s="41"/>
      <c r="Y419" s="41"/>
      <c r="Z419" s="41"/>
      <c r="AA419" s="41"/>
      <c r="AB419" s="41"/>
      <c r="AC419" s="41"/>
      <c r="AD419" s="41"/>
    </row>
    <row r="420" ht="15.75" customHeight="1">
      <c r="K420" t="s">
        <v>624</v>
      </c>
      <c r="L420" t="str">
        <f>D95</f>
        <v>T1a2a~</v>
      </c>
      <c r="N420" t="s">
        <v>625</v>
      </c>
      <c r="O420">
        <v>1.9072194E7</v>
      </c>
      <c r="P420">
        <v>1.6960314E7</v>
      </c>
      <c r="Q420" t="s">
        <v>245</v>
      </c>
      <c r="R420" s="41"/>
      <c r="S420" s="41"/>
      <c r="T420" s="41"/>
      <c r="U420" s="41"/>
      <c r="V420" s="41"/>
      <c r="W420" s="41"/>
      <c r="X420" s="41"/>
      <c r="Y420" s="41"/>
      <c r="Z420" s="41"/>
      <c r="AA420" s="41"/>
      <c r="AB420" s="41"/>
      <c r="AC420" s="41"/>
      <c r="AD420" s="41"/>
    </row>
    <row r="421" ht="15.75" customHeight="1">
      <c r="K421" t="s">
        <v>626</v>
      </c>
      <c r="L421" t="str">
        <f>D95</f>
        <v>T1a2a~</v>
      </c>
      <c r="N421" t="s">
        <v>627</v>
      </c>
      <c r="O421">
        <v>2.3022949E7</v>
      </c>
      <c r="P421">
        <v>2.0861063E7</v>
      </c>
      <c r="Q421" t="s">
        <v>252</v>
      </c>
      <c r="R421" s="41"/>
      <c r="S421" s="41"/>
      <c r="T421" s="41"/>
      <c r="U421" s="41"/>
      <c r="V421" s="41"/>
      <c r="W421" s="41"/>
      <c r="X421" s="41"/>
      <c r="Y421" s="41"/>
      <c r="Z421" s="41"/>
      <c r="AA421" s="41"/>
      <c r="AB421" s="41"/>
      <c r="AC421" s="41"/>
      <c r="AD421" s="41"/>
    </row>
    <row r="422" ht="15.75" customHeight="1">
      <c r="K422" t="s">
        <v>628</v>
      </c>
      <c r="L422" t="str">
        <f>D95</f>
        <v>T1a2a~</v>
      </c>
      <c r="N422" t="s">
        <v>629</v>
      </c>
      <c r="O422">
        <v>2.3423886E7</v>
      </c>
      <c r="P422">
        <v>2.1262E7</v>
      </c>
      <c r="Q422" t="s">
        <v>303</v>
      </c>
      <c r="R422" s="41"/>
      <c r="S422" s="41"/>
      <c r="T422" s="41"/>
      <c r="U422" s="41"/>
      <c r="V422" s="41"/>
      <c r="W422" s="41"/>
      <c r="X422" s="41"/>
      <c r="Y422" s="41"/>
      <c r="Z422" s="41"/>
      <c r="AA422" s="41"/>
      <c r="AB422" s="41"/>
      <c r="AC422" s="41"/>
      <c r="AD422" s="41"/>
    </row>
    <row r="423" ht="15.75" customHeight="1">
      <c r="K423" t="s">
        <v>630</v>
      </c>
      <c r="L423" t="str">
        <f>D95</f>
        <v>T1a2a~</v>
      </c>
      <c r="O423">
        <v>2.8779164E7</v>
      </c>
      <c r="P423">
        <v>2.6633017E7</v>
      </c>
      <c r="Q423" t="s">
        <v>256</v>
      </c>
      <c r="R423" s="41"/>
      <c r="S423" s="41"/>
      <c r="T423" s="41"/>
      <c r="U423" s="41"/>
      <c r="V423" s="41"/>
      <c r="W423" s="41"/>
      <c r="X423" s="41"/>
      <c r="Y423" s="41"/>
      <c r="Z423" s="41"/>
      <c r="AA423" s="41"/>
      <c r="AB423" s="41"/>
      <c r="AC423" s="41"/>
      <c r="AD423" s="41"/>
    </row>
    <row r="424" ht="15.75" customHeight="1">
      <c r="K424" t="s">
        <v>631</v>
      </c>
      <c r="L424" t="str">
        <f>D95</f>
        <v>T1a2a~</v>
      </c>
      <c r="N424" t="s">
        <v>632</v>
      </c>
      <c r="O424">
        <v>8537272.0</v>
      </c>
      <c r="P424">
        <v>8669231.0</v>
      </c>
      <c r="Q424" t="s">
        <v>286</v>
      </c>
      <c r="R424" s="41"/>
      <c r="S424" s="41"/>
      <c r="T424" s="41"/>
      <c r="U424" s="41"/>
      <c r="V424" s="41"/>
      <c r="W424" s="41"/>
      <c r="X424" s="41"/>
      <c r="Y424" s="41"/>
      <c r="Z424" s="41"/>
      <c r="AA424" s="41"/>
      <c r="AB424" s="41"/>
      <c r="AC424" s="41"/>
      <c r="AD424" s="41"/>
    </row>
    <row r="425" ht="15.75" customHeight="1">
      <c r="K425" t="s">
        <v>633</v>
      </c>
      <c r="L425" t="str">
        <f>D95</f>
        <v>T1a2a~</v>
      </c>
      <c r="N425" t="s">
        <v>634</v>
      </c>
      <c r="O425">
        <v>8570149.0</v>
      </c>
      <c r="P425">
        <v>8702108.0</v>
      </c>
      <c r="Q425" t="s">
        <v>256</v>
      </c>
      <c r="R425" s="41"/>
      <c r="S425" s="41"/>
      <c r="T425" s="41"/>
      <c r="U425" s="41"/>
      <c r="V425" s="41"/>
      <c r="W425" s="41"/>
      <c r="X425" s="41"/>
      <c r="Y425" s="41"/>
      <c r="Z425" s="41"/>
      <c r="AA425" s="41"/>
      <c r="AB425" s="41"/>
      <c r="AC425" s="41"/>
      <c r="AD425" s="41"/>
    </row>
    <row r="426" ht="15.75" customHeight="1">
      <c r="K426" t="s">
        <v>635</v>
      </c>
      <c r="L426" t="str">
        <f>D95</f>
        <v>T1a2a~</v>
      </c>
      <c r="N426" t="s">
        <v>636</v>
      </c>
      <c r="O426">
        <v>9066475.0</v>
      </c>
      <c r="P426">
        <v>9228866.0</v>
      </c>
      <c r="Q426" t="s">
        <v>256</v>
      </c>
      <c r="R426" s="41"/>
      <c r="S426" s="41"/>
      <c r="T426" s="41"/>
      <c r="U426" s="41"/>
      <c r="V426" s="41"/>
      <c r="W426" s="41"/>
      <c r="X426" s="41"/>
      <c r="Y426" s="41"/>
      <c r="Z426" s="41"/>
      <c r="AA426" s="41"/>
      <c r="AB426" s="41"/>
      <c r="AC426" s="41"/>
      <c r="AD426" s="41"/>
    </row>
    <row r="427" ht="15.75" customHeight="1">
      <c r="K427" t="s">
        <v>637</v>
      </c>
      <c r="L427" t="str">
        <f>D95</f>
        <v>T1a2a~</v>
      </c>
      <c r="N427" t="s">
        <v>638</v>
      </c>
      <c r="O427">
        <v>1.4169559E7</v>
      </c>
      <c r="P427">
        <v>1.2048853E7</v>
      </c>
      <c r="Q427" t="s">
        <v>256</v>
      </c>
      <c r="R427" s="41"/>
      <c r="S427" s="41"/>
      <c r="T427" s="41"/>
      <c r="U427" s="41"/>
      <c r="V427" s="41"/>
      <c r="W427" s="41"/>
      <c r="X427" s="41"/>
      <c r="Y427" s="41"/>
      <c r="Z427" s="41"/>
      <c r="AA427" s="41"/>
      <c r="AB427" s="41"/>
      <c r="AC427" s="41"/>
      <c r="AD427" s="41"/>
    </row>
    <row r="428" ht="15.75" customHeight="1">
      <c r="K428" t="s">
        <v>639</v>
      </c>
      <c r="L428" t="str">
        <f>D95</f>
        <v>T1a2a~</v>
      </c>
      <c r="N428" t="s">
        <v>640</v>
      </c>
      <c r="O428">
        <v>1.4519754E7</v>
      </c>
      <c r="P428">
        <v>1.2407955E7</v>
      </c>
      <c r="Q428" t="s">
        <v>350</v>
      </c>
      <c r="R428" s="41"/>
      <c r="S428" s="41"/>
      <c r="T428" s="41"/>
      <c r="U428" s="41"/>
      <c r="V428" s="41"/>
      <c r="W428" s="41"/>
      <c r="X428" s="41"/>
      <c r="Y428" s="41"/>
      <c r="Z428" s="41"/>
      <c r="AA428" s="41"/>
      <c r="AB428" s="41"/>
      <c r="AC428" s="41"/>
      <c r="AD428" s="41"/>
    </row>
    <row r="429" ht="15.75" customHeight="1">
      <c r="K429" t="s">
        <v>641</v>
      </c>
      <c r="L429" t="str">
        <f>D95</f>
        <v>T1a2a~</v>
      </c>
      <c r="N429" t="s">
        <v>642</v>
      </c>
      <c r="O429">
        <v>1.5592696E7</v>
      </c>
      <c r="P429">
        <v>1.3480816E7</v>
      </c>
      <c r="Q429" t="s">
        <v>256</v>
      </c>
      <c r="R429" s="41"/>
      <c r="S429" s="41"/>
      <c r="T429" s="41"/>
      <c r="U429" s="41"/>
      <c r="V429" s="41"/>
      <c r="W429" s="41"/>
      <c r="X429" s="41"/>
      <c r="Y429" s="41"/>
      <c r="Z429" s="41"/>
      <c r="AA429" s="41"/>
      <c r="AB429" s="41"/>
      <c r="AC429" s="41"/>
      <c r="AD429" s="41"/>
    </row>
    <row r="430" ht="15.75" customHeight="1">
      <c r="K430" t="s">
        <v>643</v>
      </c>
      <c r="L430" t="str">
        <f>D95</f>
        <v>T1a2a~</v>
      </c>
      <c r="M430" t="s">
        <v>644</v>
      </c>
      <c r="N430" t="s">
        <v>645</v>
      </c>
      <c r="O430">
        <v>1.9335649E7</v>
      </c>
      <c r="P430">
        <v>1.7223769E7</v>
      </c>
      <c r="Q430" t="s">
        <v>286</v>
      </c>
      <c r="R430" s="41"/>
      <c r="S430" s="41"/>
      <c r="T430" s="41"/>
      <c r="U430" s="41"/>
      <c r="V430" s="41"/>
      <c r="W430" s="41"/>
      <c r="X430" s="41"/>
      <c r="Y430" s="41"/>
      <c r="Z430" s="41"/>
      <c r="AA430" s="41"/>
      <c r="AB430" s="41"/>
      <c r="AC430" s="41"/>
      <c r="AD430" s="41"/>
    </row>
    <row r="431" ht="15.75" customHeight="1">
      <c r="K431" t="s">
        <v>644</v>
      </c>
      <c r="L431" t="str">
        <f>D95</f>
        <v>T1a2a~</v>
      </c>
      <c r="M431" t="s">
        <v>643</v>
      </c>
      <c r="N431" t="s">
        <v>645</v>
      </c>
      <c r="O431">
        <v>1.9335649E7</v>
      </c>
      <c r="P431">
        <v>1.7223769E7</v>
      </c>
      <c r="Q431" t="s">
        <v>286</v>
      </c>
      <c r="R431" s="41"/>
      <c r="S431" s="41"/>
      <c r="T431" s="41"/>
      <c r="U431" s="41"/>
      <c r="V431" s="41"/>
      <c r="W431" s="41"/>
      <c r="X431" s="41"/>
      <c r="Y431" s="41"/>
      <c r="Z431" s="41"/>
      <c r="AA431" s="41"/>
      <c r="AB431" s="41"/>
      <c r="AC431" s="41"/>
      <c r="AD431" s="41"/>
    </row>
    <row r="432" ht="15.75" customHeight="1">
      <c r="K432" t="s">
        <v>646</v>
      </c>
      <c r="L432" t="str">
        <f>E96</f>
        <v>T1a2a</v>
      </c>
      <c r="M432" t="s">
        <v>647</v>
      </c>
      <c r="N432" t="s">
        <v>648</v>
      </c>
      <c r="O432">
        <v>6689226.0</v>
      </c>
      <c r="P432">
        <v>6821185.0</v>
      </c>
      <c r="Q432" t="s">
        <v>252</v>
      </c>
      <c r="R432" s="41"/>
      <c r="S432" s="41"/>
      <c r="T432" s="41"/>
      <c r="U432" s="41"/>
      <c r="V432" s="41"/>
      <c r="W432" s="41"/>
      <c r="X432" s="41"/>
      <c r="Y432" s="41"/>
      <c r="Z432" s="41"/>
      <c r="AA432" s="41"/>
      <c r="AB432" s="41"/>
      <c r="AC432" s="41"/>
      <c r="AD432" s="41"/>
    </row>
    <row r="433" ht="15.75" customHeight="1">
      <c r="K433" t="s">
        <v>647</v>
      </c>
      <c r="L433" t="str">
        <f>E96</f>
        <v>T1a2a</v>
      </c>
      <c r="M433" t="s">
        <v>646</v>
      </c>
      <c r="N433" t="s">
        <v>648</v>
      </c>
      <c r="O433">
        <v>6689226.0</v>
      </c>
      <c r="P433">
        <v>6821185.0</v>
      </c>
      <c r="Q433" t="s">
        <v>252</v>
      </c>
      <c r="R433" s="41"/>
      <c r="S433" s="41"/>
      <c r="T433" s="41"/>
      <c r="U433" s="41"/>
      <c r="V433" s="41"/>
      <c r="W433" s="41"/>
      <c r="X433" s="41"/>
      <c r="Y433" s="41"/>
      <c r="Z433" s="41"/>
      <c r="AA433" s="41"/>
      <c r="AB433" s="41"/>
      <c r="AC433" s="41"/>
      <c r="AD433" s="41"/>
    </row>
    <row r="434" ht="15.75" customHeight="1">
      <c r="K434" t="s">
        <v>649</v>
      </c>
      <c r="L434" t="str">
        <f>F97</f>
        <v>T1a2a1</v>
      </c>
      <c r="N434" t="s">
        <v>650</v>
      </c>
      <c r="O434">
        <v>1.4000929E7</v>
      </c>
      <c r="P434">
        <v>1.1880223E7</v>
      </c>
      <c r="Q434" t="s">
        <v>272</v>
      </c>
      <c r="R434" s="41"/>
      <c r="S434" s="41"/>
      <c r="T434" s="41"/>
      <c r="U434" s="41"/>
      <c r="V434" s="41"/>
      <c r="W434" s="41"/>
      <c r="X434" s="41"/>
      <c r="Y434" s="41"/>
      <c r="Z434" s="41"/>
      <c r="AA434" s="41"/>
      <c r="AB434" s="41"/>
      <c r="AC434" s="41"/>
      <c r="AD434" s="41"/>
    </row>
    <row r="435" ht="15.75" customHeight="1">
      <c r="K435" t="s">
        <v>651</v>
      </c>
      <c r="L435" t="str">
        <f>F97</f>
        <v>T1a2a1</v>
      </c>
      <c r="N435" t="s">
        <v>652</v>
      </c>
      <c r="O435">
        <v>2.1844311E7</v>
      </c>
      <c r="P435">
        <v>1.9682425E7</v>
      </c>
      <c r="Q435" t="s">
        <v>256</v>
      </c>
      <c r="R435" s="41"/>
      <c r="S435" s="41"/>
      <c r="T435" s="41"/>
      <c r="U435" s="41"/>
      <c r="V435" s="41"/>
      <c r="W435" s="41"/>
      <c r="X435" s="41"/>
      <c r="Y435" s="41"/>
      <c r="Z435" s="41"/>
      <c r="AA435" s="41"/>
      <c r="AB435" s="41"/>
      <c r="AC435" s="41"/>
      <c r="AD435" s="41"/>
    </row>
    <row r="436" ht="15.75" customHeight="1">
      <c r="K436" t="s">
        <v>653</v>
      </c>
      <c r="L436" t="str">
        <f>E98</f>
        <v>T1a2b</v>
      </c>
      <c r="N436" t="s">
        <v>654</v>
      </c>
      <c r="O436">
        <v>1.6660785E7</v>
      </c>
      <c r="P436">
        <v>1.4548905E7</v>
      </c>
      <c r="Q436" t="s">
        <v>256</v>
      </c>
      <c r="R436" s="41"/>
      <c r="S436" s="41"/>
      <c r="T436" s="41"/>
      <c r="U436" s="41"/>
      <c r="V436" s="41"/>
      <c r="W436" s="41"/>
      <c r="X436" s="41"/>
      <c r="Y436" s="41"/>
      <c r="Z436" s="41"/>
      <c r="AA436" s="41"/>
      <c r="AB436" s="41"/>
      <c r="AC436" s="41"/>
      <c r="AD436" s="41"/>
    </row>
    <row r="437" ht="15.75" customHeight="1">
      <c r="K437" t="s">
        <v>655</v>
      </c>
      <c r="L437" t="str">
        <f>E98</f>
        <v>T1a2b</v>
      </c>
      <c r="O437">
        <v>7432519.0</v>
      </c>
      <c r="P437">
        <v>7564478.0</v>
      </c>
      <c r="Q437" t="s">
        <v>252</v>
      </c>
      <c r="R437" s="41"/>
      <c r="S437" s="41"/>
      <c r="T437" s="41"/>
      <c r="U437" s="41"/>
      <c r="V437" s="41"/>
      <c r="W437" s="41"/>
      <c r="X437" s="41"/>
      <c r="Y437" s="41"/>
      <c r="Z437" s="41"/>
      <c r="AA437" s="41"/>
      <c r="AB437" s="41"/>
      <c r="AC437" s="41"/>
      <c r="AD437" s="41"/>
    </row>
    <row r="438" ht="15.75" customHeight="1">
      <c r="K438" t="s">
        <v>656</v>
      </c>
      <c r="L438" t="str">
        <f>E98</f>
        <v>T1a2b</v>
      </c>
      <c r="N438" t="s">
        <v>657</v>
      </c>
      <c r="O438">
        <v>1.4202697E7</v>
      </c>
      <c r="P438">
        <v>1.2081991E7</v>
      </c>
      <c r="Q438" t="s">
        <v>252</v>
      </c>
      <c r="R438" s="41"/>
      <c r="S438" s="41"/>
      <c r="T438" s="41"/>
      <c r="U438" s="41"/>
      <c r="V438" s="41"/>
      <c r="W438" s="41"/>
      <c r="X438" s="41"/>
      <c r="Y438" s="41"/>
      <c r="Z438" s="41"/>
      <c r="AA438" s="41"/>
      <c r="AB438" s="41"/>
      <c r="AC438" s="41"/>
      <c r="AD438" s="41"/>
    </row>
    <row r="439" ht="15.75" customHeight="1">
      <c r="K439" t="s">
        <v>658</v>
      </c>
      <c r="L439" t="str">
        <f>E98</f>
        <v>T1a2b</v>
      </c>
      <c r="N439" t="s">
        <v>659</v>
      </c>
      <c r="O439">
        <v>1.454056E7</v>
      </c>
      <c r="P439">
        <v>1.2428761E7</v>
      </c>
      <c r="Q439" t="s">
        <v>516</v>
      </c>
      <c r="R439" s="41"/>
      <c r="S439" s="41"/>
      <c r="T439" s="41"/>
      <c r="U439" s="41"/>
      <c r="V439" s="41"/>
      <c r="W439" s="41"/>
      <c r="X439" s="41"/>
      <c r="Y439" s="41"/>
      <c r="Z439" s="41"/>
      <c r="AA439" s="41"/>
      <c r="AB439" s="41"/>
      <c r="AC439" s="41"/>
      <c r="AD439" s="41"/>
    </row>
    <row r="440" ht="15.75" customHeight="1">
      <c r="K440" t="s">
        <v>660</v>
      </c>
      <c r="L440" t="str">
        <f>E98</f>
        <v>T1a2b</v>
      </c>
      <c r="N440" t="s">
        <v>661</v>
      </c>
      <c r="O440">
        <v>1.7105081E7</v>
      </c>
      <c r="P440">
        <v>1.4993201E7</v>
      </c>
      <c r="Q440" t="s">
        <v>256</v>
      </c>
      <c r="R440" s="41"/>
      <c r="S440" s="41"/>
      <c r="T440" s="41"/>
      <c r="U440" s="41"/>
      <c r="V440" s="41"/>
      <c r="W440" s="41"/>
      <c r="X440" s="41"/>
      <c r="Y440" s="41"/>
      <c r="Z440" s="41"/>
      <c r="AA440" s="41"/>
      <c r="AB440" s="41"/>
      <c r="AC440" s="41"/>
      <c r="AD440" s="41"/>
    </row>
    <row r="441" ht="15.75" customHeight="1">
      <c r="K441" t="s">
        <v>662</v>
      </c>
      <c r="L441" t="str">
        <f>E98</f>
        <v>T1a2b</v>
      </c>
      <c r="O441">
        <v>1.720001E7</v>
      </c>
      <c r="P441">
        <v>1.508813E7</v>
      </c>
      <c r="Q441" t="s">
        <v>303</v>
      </c>
      <c r="R441" s="41"/>
      <c r="S441" s="41"/>
      <c r="T441" s="41"/>
      <c r="U441" s="41"/>
      <c r="V441" s="41"/>
      <c r="W441" s="41"/>
      <c r="X441" s="41"/>
      <c r="Y441" s="41"/>
      <c r="Z441" s="41"/>
      <c r="AA441" s="41"/>
      <c r="AB441" s="41"/>
      <c r="AC441" s="41"/>
      <c r="AD441" s="41"/>
    </row>
    <row r="442" ht="15.75" customHeight="1">
      <c r="K442" t="s">
        <v>663</v>
      </c>
      <c r="L442" t="str">
        <f>E98</f>
        <v>T1a2b</v>
      </c>
      <c r="N442" t="s">
        <v>664</v>
      </c>
      <c r="O442">
        <v>2.3205837E7</v>
      </c>
      <c r="P442">
        <v>2.1043951E7</v>
      </c>
      <c r="Q442" t="s">
        <v>256</v>
      </c>
      <c r="R442" s="41"/>
      <c r="S442" s="41"/>
      <c r="T442" s="41"/>
      <c r="U442" s="41"/>
      <c r="V442" s="41"/>
      <c r="W442" s="41"/>
      <c r="X442" s="41"/>
      <c r="Y442" s="41"/>
      <c r="Z442" s="41"/>
      <c r="AA442" s="41"/>
      <c r="AB442" s="41"/>
      <c r="AC442" s="41"/>
      <c r="AD442" s="41"/>
    </row>
    <row r="443" ht="15.75" customHeight="1">
      <c r="K443" t="s">
        <v>665</v>
      </c>
      <c r="L443" t="str">
        <f>E98</f>
        <v>T1a2b</v>
      </c>
      <c r="N443" t="s">
        <v>666</v>
      </c>
      <c r="O443">
        <v>2.3280423E7</v>
      </c>
      <c r="P443">
        <v>2.1118537E7</v>
      </c>
      <c r="Q443" t="s">
        <v>256</v>
      </c>
      <c r="R443" s="41"/>
      <c r="S443" s="41"/>
      <c r="T443" s="41"/>
      <c r="U443" s="41"/>
      <c r="V443" s="41"/>
      <c r="W443" s="41"/>
      <c r="X443" s="41"/>
      <c r="Y443" s="41"/>
      <c r="Z443" s="41"/>
      <c r="AA443" s="41"/>
      <c r="AB443" s="41"/>
      <c r="AC443" s="41"/>
      <c r="AD443" s="41"/>
    </row>
    <row r="444" ht="15.75" customHeight="1">
      <c r="K444" t="s">
        <v>667</v>
      </c>
      <c r="L444" t="str">
        <f>E98</f>
        <v>T1a2b</v>
      </c>
      <c r="N444" t="s">
        <v>668</v>
      </c>
      <c r="O444">
        <v>2.8481057E7</v>
      </c>
      <c r="P444">
        <v>2.633491E7</v>
      </c>
      <c r="Q444" t="s">
        <v>252</v>
      </c>
      <c r="R444" s="41"/>
      <c r="S444" s="41"/>
      <c r="T444" s="41"/>
      <c r="U444" s="41"/>
      <c r="V444" s="41"/>
      <c r="W444" s="41"/>
      <c r="X444" s="41"/>
      <c r="Y444" s="41"/>
      <c r="Z444" s="41"/>
      <c r="AA444" s="41"/>
      <c r="AB444" s="41"/>
      <c r="AC444" s="41"/>
      <c r="AD444" s="41"/>
    </row>
    <row r="445" ht="15.75" customHeight="1">
      <c r="K445" t="s">
        <v>669</v>
      </c>
      <c r="L445" t="str">
        <f>E98</f>
        <v>T1a2b</v>
      </c>
      <c r="N445" t="s">
        <v>670</v>
      </c>
      <c r="O445">
        <v>1.4860306E7</v>
      </c>
      <c r="P445">
        <v>1.2748372E7</v>
      </c>
      <c r="Q445" t="s">
        <v>252</v>
      </c>
      <c r="R445" s="41"/>
      <c r="S445" s="41"/>
      <c r="T445" s="41"/>
      <c r="U445" s="41"/>
      <c r="V445" s="41"/>
      <c r="W445" s="41"/>
      <c r="X445" s="41"/>
      <c r="Y445" s="41"/>
      <c r="Z445" s="41"/>
      <c r="AA445" s="41"/>
      <c r="AB445" s="41"/>
      <c r="AC445" s="41"/>
      <c r="AD445" s="41"/>
    </row>
    <row r="446" ht="15.75" customHeight="1">
      <c r="K446" t="s">
        <v>671</v>
      </c>
      <c r="L446" t="str">
        <f>E98</f>
        <v>T1a2b</v>
      </c>
      <c r="N446" t="s">
        <v>672</v>
      </c>
      <c r="O446">
        <v>2.1403378E7</v>
      </c>
      <c r="P446">
        <v>1.9241492E7</v>
      </c>
      <c r="Q446" t="s">
        <v>303</v>
      </c>
      <c r="R446" s="41"/>
      <c r="S446" s="41"/>
      <c r="T446" s="41"/>
      <c r="U446" s="41"/>
      <c r="V446" s="41"/>
      <c r="W446" s="41"/>
      <c r="X446" s="41"/>
      <c r="Y446" s="41"/>
      <c r="Z446" s="41"/>
      <c r="AA446" s="41"/>
      <c r="AB446" s="41"/>
      <c r="AC446" s="41"/>
      <c r="AD446" s="41"/>
    </row>
    <row r="447" ht="15.75" customHeight="1">
      <c r="K447" t="s">
        <v>673</v>
      </c>
      <c r="L447" t="str">
        <f>F99</f>
        <v>T1a2b1</v>
      </c>
      <c r="N447" t="s">
        <v>674</v>
      </c>
      <c r="O447">
        <v>7092630.0</v>
      </c>
      <c r="P447">
        <v>7224589.0</v>
      </c>
      <c r="Q447" t="s">
        <v>256</v>
      </c>
      <c r="R447" s="41"/>
      <c r="S447" s="41"/>
      <c r="T447" s="41"/>
      <c r="U447" s="41"/>
      <c r="V447" s="41"/>
      <c r="W447" s="41"/>
      <c r="X447" s="41"/>
      <c r="Y447" s="41"/>
      <c r="Z447" s="41"/>
      <c r="AA447" s="41"/>
      <c r="AB447" s="41"/>
      <c r="AC447" s="41"/>
      <c r="AD447" s="41"/>
    </row>
    <row r="448" ht="15.75" customHeight="1">
      <c r="K448" t="s">
        <v>675</v>
      </c>
      <c r="L448" t="str">
        <f>F99</f>
        <v>T1a2b1</v>
      </c>
      <c r="N448" t="s">
        <v>676</v>
      </c>
      <c r="O448">
        <v>1.6649588E7</v>
      </c>
      <c r="P448">
        <v>1.4537708E7</v>
      </c>
      <c r="Q448" t="s">
        <v>245</v>
      </c>
      <c r="R448" s="41"/>
      <c r="S448" s="41"/>
      <c r="T448" s="41"/>
      <c r="U448" s="41"/>
      <c r="V448" s="41"/>
      <c r="W448" s="41"/>
      <c r="X448" s="41"/>
      <c r="Y448" s="41"/>
      <c r="Z448" s="41"/>
      <c r="AA448" s="41"/>
      <c r="AB448" s="41"/>
      <c r="AC448" s="41"/>
      <c r="AD448" s="41"/>
    </row>
    <row r="449" ht="15.75" customHeight="1">
      <c r="K449" t="s">
        <v>677</v>
      </c>
      <c r="L449" t="str">
        <f>F99</f>
        <v>T1a2b1</v>
      </c>
      <c r="N449" t="s">
        <v>678</v>
      </c>
      <c r="O449">
        <v>2.2782038E7</v>
      </c>
      <c r="P449">
        <v>2.0620152E7</v>
      </c>
      <c r="Q449" t="s">
        <v>303</v>
      </c>
      <c r="R449" s="41"/>
      <c r="S449" s="41"/>
      <c r="T449" s="41"/>
      <c r="U449" s="41"/>
      <c r="V449" s="41"/>
      <c r="W449" s="41"/>
      <c r="X449" s="41"/>
      <c r="Y449" s="41"/>
      <c r="Z449" s="41"/>
      <c r="AA449" s="41"/>
      <c r="AB449" s="41"/>
      <c r="AC449" s="41"/>
      <c r="AD449" s="41"/>
    </row>
    <row r="450" ht="15.75" customHeight="1">
      <c r="K450" t="s">
        <v>679</v>
      </c>
      <c r="L450" t="str">
        <f>F99</f>
        <v>T1a2b1</v>
      </c>
      <c r="N450" t="s">
        <v>680</v>
      </c>
      <c r="O450">
        <v>2.852042E7</v>
      </c>
      <c r="P450">
        <v>2.6374273E7</v>
      </c>
      <c r="Q450" t="s">
        <v>245</v>
      </c>
      <c r="R450" s="41"/>
      <c r="S450" s="41"/>
      <c r="T450" s="41"/>
      <c r="U450" s="41"/>
      <c r="V450" s="41"/>
      <c r="W450" s="41"/>
      <c r="X450" s="41"/>
      <c r="Y450" s="41"/>
      <c r="Z450" s="41"/>
      <c r="AA450" s="41"/>
      <c r="AB450" s="41"/>
      <c r="AC450" s="41"/>
      <c r="AD450" s="41"/>
    </row>
    <row r="451" ht="15.75" customHeight="1">
      <c r="K451" t="s">
        <v>681</v>
      </c>
      <c r="L451" t="str">
        <f>G100</f>
        <v>T1a2b1a</v>
      </c>
      <c r="N451" t="s">
        <v>682</v>
      </c>
      <c r="O451">
        <v>1.5164167E7</v>
      </c>
      <c r="P451">
        <v>1.3052253E7</v>
      </c>
      <c r="Q451" t="s">
        <v>426</v>
      </c>
      <c r="R451" s="41"/>
      <c r="S451" s="41"/>
      <c r="T451" s="41"/>
      <c r="U451" s="41"/>
      <c r="V451" s="41"/>
      <c r="W451" s="41"/>
      <c r="X451" s="41"/>
      <c r="Y451" s="41"/>
      <c r="Z451" s="41"/>
      <c r="AA451" s="41"/>
      <c r="AB451" s="41"/>
      <c r="AC451" s="41"/>
      <c r="AD451" s="41"/>
    </row>
    <row r="452" ht="15.75" customHeight="1">
      <c r="K452" t="s">
        <v>683</v>
      </c>
      <c r="L452" t="str">
        <f>G100</f>
        <v>T1a2b1a</v>
      </c>
      <c r="N452" t="s">
        <v>684</v>
      </c>
      <c r="O452">
        <v>2.3403451E7</v>
      </c>
      <c r="P452">
        <v>2.1241565E7</v>
      </c>
      <c r="Q452" t="s">
        <v>516</v>
      </c>
      <c r="R452" s="41"/>
      <c r="S452" s="41"/>
      <c r="T452" s="41"/>
      <c r="U452" s="41"/>
      <c r="V452" s="41"/>
      <c r="W452" s="41"/>
      <c r="X452" s="41"/>
      <c r="Y452" s="41"/>
      <c r="Z452" s="41"/>
      <c r="AA452" s="41"/>
      <c r="AB452" s="41"/>
      <c r="AC452" s="41"/>
      <c r="AD452" s="41"/>
    </row>
    <row r="453" ht="15.75" customHeight="1">
      <c r="K453" t="s">
        <v>685</v>
      </c>
      <c r="L453" t="str">
        <f>G100</f>
        <v>T1a2b1a</v>
      </c>
      <c r="N453" t="s">
        <v>686</v>
      </c>
      <c r="O453">
        <v>2696928.0</v>
      </c>
      <c r="P453">
        <v>2828887.0</v>
      </c>
      <c r="Q453" t="s">
        <v>252</v>
      </c>
      <c r="R453" s="41"/>
      <c r="S453" s="41"/>
      <c r="T453" s="41"/>
      <c r="U453" s="41"/>
      <c r="V453" s="41"/>
      <c r="W453" s="41"/>
      <c r="X453" s="41"/>
      <c r="Y453" s="41"/>
      <c r="Z453" s="41"/>
      <c r="AA453" s="41"/>
      <c r="AB453" s="41"/>
      <c r="AC453" s="41"/>
      <c r="AD453" s="41"/>
    </row>
    <row r="454" ht="15.75" customHeight="1">
      <c r="K454" t="s">
        <v>687</v>
      </c>
      <c r="L454" t="str">
        <f>G100</f>
        <v>T1a2b1a</v>
      </c>
      <c r="N454" t="s">
        <v>688</v>
      </c>
      <c r="O454">
        <v>1.406134E7</v>
      </c>
      <c r="P454">
        <v>1.1940634E7</v>
      </c>
      <c r="Q454" t="s">
        <v>256</v>
      </c>
      <c r="R454" s="41"/>
      <c r="S454" s="41"/>
      <c r="T454" s="41"/>
      <c r="U454" s="41"/>
      <c r="V454" s="41"/>
      <c r="W454" s="41"/>
      <c r="X454" s="41"/>
      <c r="Y454" s="41"/>
      <c r="Z454" s="41"/>
      <c r="AA454" s="41"/>
      <c r="AB454" s="41"/>
      <c r="AC454" s="41"/>
      <c r="AD454" s="41"/>
    </row>
    <row r="455" ht="15.75" customHeight="1">
      <c r="K455" t="s">
        <v>689</v>
      </c>
      <c r="L455" t="str">
        <f>G100</f>
        <v>T1a2b1a</v>
      </c>
      <c r="N455" t="s">
        <v>690</v>
      </c>
      <c r="O455">
        <v>1.6816754E7</v>
      </c>
      <c r="P455">
        <v>1.4704874E7</v>
      </c>
      <c r="Q455" t="s">
        <v>286</v>
      </c>
      <c r="R455" s="41"/>
      <c r="S455" s="41"/>
      <c r="T455" s="41"/>
      <c r="U455" s="41"/>
      <c r="V455" s="41"/>
      <c r="W455" s="41"/>
      <c r="X455" s="41"/>
      <c r="Y455" s="41"/>
      <c r="Z455" s="41"/>
      <c r="AA455" s="41"/>
      <c r="AB455" s="41"/>
      <c r="AC455" s="41"/>
      <c r="AD455" s="41"/>
    </row>
    <row r="456" ht="15.75" customHeight="1">
      <c r="K456" t="s">
        <v>691</v>
      </c>
      <c r="L456" t="str">
        <f>G100</f>
        <v>T1a2b1a</v>
      </c>
      <c r="N456" t="s">
        <v>692</v>
      </c>
      <c r="O456">
        <v>1.7099502E7</v>
      </c>
      <c r="P456">
        <v>1.4987622E7</v>
      </c>
      <c r="Q456" t="s">
        <v>245</v>
      </c>
      <c r="R456" s="41"/>
      <c r="S456" s="41"/>
      <c r="T456" s="41"/>
      <c r="U456" s="41"/>
      <c r="V456" s="41"/>
      <c r="W456" s="41"/>
      <c r="X456" s="41"/>
      <c r="Y456" s="41"/>
      <c r="Z456" s="41"/>
      <c r="AA456" s="41"/>
      <c r="AB456" s="41"/>
      <c r="AC456" s="41"/>
      <c r="AD456" s="41"/>
    </row>
    <row r="457" ht="15.75" customHeight="1">
      <c r="K457" t="s">
        <v>693</v>
      </c>
      <c r="L457" t="str">
        <f>G100</f>
        <v>T1a2b1a</v>
      </c>
      <c r="N457" t="s">
        <v>694</v>
      </c>
      <c r="O457">
        <v>1.7412308E7</v>
      </c>
      <c r="P457">
        <v>1.5300428E7</v>
      </c>
      <c r="Q457" t="s">
        <v>256</v>
      </c>
      <c r="R457" s="41"/>
      <c r="S457" s="41"/>
      <c r="T457" s="41"/>
      <c r="U457" s="41"/>
      <c r="V457" s="41"/>
      <c r="W457" s="41"/>
      <c r="X457" s="41"/>
      <c r="Y457" s="41"/>
      <c r="Z457" s="41"/>
      <c r="AA457" s="41"/>
      <c r="AB457" s="41"/>
      <c r="AC457" s="41"/>
      <c r="AD457" s="41"/>
    </row>
    <row r="458" ht="15.75" customHeight="1">
      <c r="K458" t="s">
        <v>695</v>
      </c>
      <c r="L458" t="str">
        <f>G100</f>
        <v>T1a2b1a</v>
      </c>
      <c r="N458" t="s">
        <v>696</v>
      </c>
      <c r="O458">
        <v>1.8113655E7</v>
      </c>
      <c r="P458">
        <v>1.6001775E7</v>
      </c>
      <c r="Q458" t="s">
        <v>303</v>
      </c>
      <c r="R458" s="41"/>
      <c r="S458" s="41"/>
      <c r="T458" s="41"/>
      <c r="U458" s="41"/>
      <c r="V458" s="41"/>
      <c r="W458" s="41"/>
      <c r="X458" s="41"/>
      <c r="Y458" s="41"/>
      <c r="Z458" s="41"/>
      <c r="AA458" s="41"/>
      <c r="AB458" s="41"/>
      <c r="AC458" s="41"/>
      <c r="AD458" s="41"/>
    </row>
    <row r="459" ht="15.75" customHeight="1">
      <c r="K459" t="s">
        <v>697</v>
      </c>
      <c r="L459" t="str">
        <f>G100</f>
        <v>T1a2b1a</v>
      </c>
      <c r="N459" t="s">
        <v>698</v>
      </c>
      <c r="O459">
        <v>1.8116038E7</v>
      </c>
      <c r="P459">
        <v>1.6004158E7</v>
      </c>
      <c r="Q459" t="s">
        <v>256</v>
      </c>
      <c r="R459" s="41"/>
      <c r="S459" s="41"/>
      <c r="T459" s="41"/>
      <c r="U459" s="41"/>
      <c r="V459" s="41"/>
      <c r="W459" s="41"/>
      <c r="X459" s="41"/>
      <c r="Y459" s="41"/>
      <c r="Z459" s="41"/>
      <c r="AA459" s="41"/>
      <c r="AB459" s="41"/>
      <c r="AC459" s="41"/>
      <c r="AD459" s="41"/>
    </row>
    <row r="460" ht="15.75" customHeight="1">
      <c r="K460" t="s">
        <v>699</v>
      </c>
      <c r="L460" t="str">
        <f>G100</f>
        <v>T1a2b1a</v>
      </c>
      <c r="N460" t="s">
        <v>700</v>
      </c>
      <c r="O460">
        <v>1.824468E7</v>
      </c>
      <c r="P460">
        <v>1.61328E7</v>
      </c>
      <c r="Q460" t="s">
        <v>516</v>
      </c>
      <c r="R460" s="41"/>
      <c r="S460" s="41"/>
      <c r="T460" s="41"/>
      <c r="U460" s="41"/>
      <c r="V460" s="41"/>
      <c r="W460" s="41"/>
      <c r="X460" s="41"/>
      <c r="Y460" s="41"/>
      <c r="Z460" s="41"/>
      <c r="AA460" s="41"/>
      <c r="AB460" s="41"/>
      <c r="AC460" s="41"/>
      <c r="AD460" s="41"/>
    </row>
    <row r="461" ht="15.75" customHeight="1">
      <c r="K461" t="s">
        <v>701</v>
      </c>
      <c r="L461" t="str">
        <f>G100</f>
        <v>T1a2b1a</v>
      </c>
      <c r="N461" t="s">
        <v>702</v>
      </c>
      <c r="O461">
        <v>1.8985048E7</v>
      </c>
      <c r="P461">
        <v>1.6873168E7</v>
      </c>
      <c r="Q461" t="s">
        <v>426</v>
      </c>
      <c r="R461" s="41"/>
      <c r="S461" s="41"/>
      <c r="T461" s="41"/>
      <c r="U461" s="41"/>
      <c r="V461" s="41"/>
      <c r="W461" s="41"/>
      <c r="X461" s="41"/>
      <c r="Y461" s="41"/>
      <c r="Z461" s="41"/>
      <c r="AA461" s="41"/>
      <c r="AB461" s="41"/>
      <c r="AC461" s="41"/>
      <c r="AD461" s="41"/>
    </row>
    <row r="462" ht="15.75" customHeight="1">
      <c r="K462" t="s">
        <v>703</v>
      </c>
      <c r="L462" t="str">
        <f>G100</f>
        <v>T1a2b1a</v>
      </c>
      <c r="N462" t="s">
        <v>704</v>
      </c>
      <c r="O462">
        <v>2.3251895E7</v>
      </c>
      <c r="P462">
        <v>2.1090009E7</v>
      </c>
      <c r="Q462" t="s">
        <v>256</v>
      </c>
      <c r="R462" s="41"/>
      <c r="S462" s="41"/>
      <c r="T462" s="41"/>
      <c r="U462" s="41"/>
      <c r="V462" s="41"/>
      <c r="W462" s="41"/>
      <c r="X462" s="41"/>
      <c r="Y462" s="41"/>
      <c r="Z462" s="41"/>
      <c r="AA462" s="41"/>
      <c r="AB462" s="41"/>
      <c r="AC462" s="41"/>
      <c r="AD462" s="41"/>
    </row>
    <row r="463" ht="15.75" customHeight="1">
      <c r="K463" t="s">
        <v>705</v>
      </c>
      <c r="L463" t="str">
        <f>G100</f>
        <v>T1a2b1a</v>
      </c>
      <c r="N463" t="s">
        <v>706</v>
      </c>
      <c r="O463">
        <v>7014573.0</v>
      </c>
      <c r="P463">
        <v>7146532.0</v>
      </c>
      <c r="Q463" t="s">
        <v>252</v>
      </c>
      <c r="R463" s="41"/>
      <c r="S463" s="41"/>
      <c r="T463" s="41"/>
      <c r="U463" s="41"/>
      <c r="V463" s="41"/>
      <c r="W463" s="41"/>
      <c r="X463" s="41"/>
      <c r="Y463" s="41"/>
      <c r="Z463" s="41"/>
      <c r="AA463" s="41"/>
      <c r="AB463" s="41"/>
      <c r="AC463" s="41"/>
      <c r="AD463" s="41"/>
    </row>
    <row r="464" ht="15.75" customHeight="1">
      <c r="K464" t="s">
        <v>707</v>
      </c>
      <c r="L464" t="str">
        <f>G100</f>
        <v>T1a2b1a</v>
      </c>
      <c r="N464" t="s">
        <v>708</v>
      </c>
      <c r="O464">
        <v>1.7660321E7</v>
      </c>
      <c r="P464">
        <v>1.5548441E7</v>
      </c>
      <c r="Q464" t="s">
        <v>426</v>
      </c>
      <c r="R464" s="41"/>
      <c r="S464" s="41"/>
      <c r="T464" s="41"/>
      <c r="U464" s="41"/>
      <c r="V464" s="41"/>
      <c r="W464" s="41"/>
      <c r="X464" s="41"/>
      <c r="Y464" s="41"/>
      <c r="Z464" s="41"/>
      <c r="AA464" s="41"/>
      <c r="AB464" s="41"/>
      <c r="AC464" s="41"/>
      <c r="AD464" s="41"/>
    </row>
    <row r="465" ht="15.75" customHeight="1">
      <c r="K465" t="s">
        <v>709</v>
      </c>
      <c r="L465" t="str">
        <f>H101</f>
        <v>T1a2b1a1</v>
      </c>
      <c r="N465" t="s">
        <v>710</v>
      </c>
      <c r="O465">
        <v>1.824659E7</v>
      </c>
      <c r="P465">
        <v>1.613471E7</v>
      </c>
      <c r="Q465" t="s">
        <v>272</v>
      </c>
      <c r="R465" s="41"/>
      <c r="S465" s="41"/>
      <c r="T465" s="41"/>
      <c r="U465" s="41"/>
      <c r="V465" s="41"/>
      <c r="W465" s="41"/>
      <c r="X465" s="41"/>
      <c r="Y465" s="41"/>
      <c r="Z465" s="41"/>
      <c r="AA465" s="41"/>
      <c r="AB465" s="41"/>
      <c r="AC465" s="41"/>
      <c r="AD465" s="41"/>
    </row>
    <row r="466" ht="15.75" customHeight="1">
      <c r="K466" t="s">
        <v>711</v>
      </c>
      <c r="L466" t="str">
        <f>H101</f>
        <v>T1a2b1a1</v>
      </c>
      <c r="N466" t="s">
        <v>712</v>
      </c>
      <c r="O466">
        <v>1.8050535E7</v>
      </c>
      <c r="P466">
        <v>1.5938655E7</v>
      </c>
      <c r="Q466" t="s">
        <v>245</v>
      </c>
      <c r="R466" s="41"/>
      <c r="S466" s="41"/>
      <c r="T466" s="41"/>
      <c r="U466" s="41"/>
      <c r="V466" s="41"/>
      <c r="W466" s="41"/>
      <c r="X466" s="41"/>
      <c r="Y466" s="41"/>
      <c r="Z466" s="41"/>
      <c r="AA466" s="41"/>
      <c r="AB466" s="41"/>
      <c r="AC466" s="41"/>
      <c r="AD466" s="41"/>
    </row>
    <row r="467" ht="15.75" customHeight="1">
      <c r="K467" t="s">
        <v>713</v>
      </c>
      <c r="L467" t="str">
        <f>H101</f>
        <v>T1a2b1a1</v>
      </c>
      <c r="N467" t="s">
        <v>714</v>
      </c>
      <c r="O467">
        <v>1.9185049E7</v>
      </c>
      <c r="P467">
        <v>1.7073169E7</v>
      </c>
      <c r="Q467" t="s">
        <v>286</v>
      </c>
      <c r="R467" s="41"/>
      <c r="S467" s="41"/>
      <c r="T467" s="41"/>
      <c r="U467" s="41"/>
      <c r="V467" s="41"/>
      <c r="W467" s="41"/>
      <c r="X467" s="41"/>
      <c r="Y467" s="41"/>
      <c r="Z467" s="41"/>
      <c r="AA467" s="41"/>
      <c r="AB467" s="41"/>
      <c r="AC467" s="41"/>
      <c r="AD467" s="41"/>
    </row>
    <row r="468" ht="15.75" customHeight="1">
      <c r="K468" t="s">
        <v>715</v>
      </c>
      <c r="L468" t="str">
        <f>H101</f>
        <v>T1a2b1a1</v>
      </c>
      <c r="N468" t="s">
        <v>716</v>
      </c>
      <c r="O468">
        <v>1.9527799E7</v>
      </c>
      <c r="P468">
        <v>1.7415919E7</v>
      </c>
      <c r="Q468" t="s">
        <v>303</v>
      </c>
      <c r="R468" s="41"/>
      <c r="S468" s="41"/>
      <c r="T468" s="41"/>
      <c r="U468" s="41"/>
      <c r="V468" s="41"/>
      <c r="W468" s="41"/>
      <c r="X468" s="41"/>
      <c r="Y468" s="41"/>
      <c r="Z468" s="41"/>
      <c r="AA468" s="41"/>
      <c r="AB468" s="41"/>
      <c r="AC468" s="41"/>
      <c r="AD468" s="41"/>
    </row>
    <row r="469" ht="15.75" customHeight="1">
      <c r="K469" t="s">
        <v>162</v>
      </c>
      <c r="L469" t="str">
        <f>I102</f>
        <v>T1a2b1a1a</v>
      </c>
      <c r="O469">
        <v>6837125.0</v>
      </c>
      <c r="P469">
        <v>6969084.0</v>
      </c>
      <c r="Q469" t="s">
        <v>245</v>
      </c>
      <c r="R469" s="41"/>
      <c r="S469" s="41"/>
      <c r="T469" s="41"/>
      <c r="U469" s="41"/>
      <c r="V469" s="41"/>
      <c r="W469" s="41"/>
      <c r="X469" s="41"/>
      <c r="Y469" s="41"/>
      <c r="Z469" s="41"/>
      <c r="AA469" s="41"/>
      <c r="AB469" s="41"/>
      <c r="AC469" s="41"/>
      <c r="AD469" s="41"/>
    </row>
    <row r="470" ht="15.75" customHeight="1">
      <c r="K470" t="s">
        <v>717</v>
      </c>
      <c r="L470" t="str">
        <f>F103</f>
        <v>T1a2b2</v>
      </c>
      <c r="M470" t="s">
        <v>718</v>
      </c>
      <c r="O470">
        <v>7150898.0</v>
      </c>
      <c r="P470">
        <v>7282857.0</v>
      </c>
      <c r="Q470" t="s">
        <v>252</v>
      </c>
      <c r="R470" s="41"/>
      <c r="S470" s="41"/>
      <c r="T470" s="41"/>
      <c r="U470" s="41"/>
      <c r="V470" s="41"/>
      <c r="W470" s="41"/>
      <c r="X470" s="41"/>
      <c r="Y470" s="41"/>
      <c r="Z470" s="41"/>
      <c r="AA470" s="41"/>
      <c r="AB470" s="41"/>
      <c r="AC470" s="41"/>
      <c r="AD470" s="41"/>
    </row>
    <row r="471" ht="15.75" customHeight="1">
      <c r="K471" t="s">
        <v>718</v>
      </c>
      <c r="L471" t="str">
        <f>F103</f>
        <v>T1a2b2</v>
      </c>
      <c r="M471" t="s">
        <v>717</v>
      </c>
      <c r="O471">
        <v>7150898.0</v>
      </c>
      <c r="P471">
        <v>7282857.0</v>
      </c>
      <c r="Q471" t="s">
        <v>252</v>
      </c>
      <c r="R471" s="41"/>
      <c r="S471" s="41"/>
      <c r="T471" s="41"/>
      <c r="U471" s="41"/>
      <c r="V471" s="41"/>
      <c r="W471" s="41"/>
      <c r="X471" s="41"/>
      <c r="Y471" s="41"/>
      <c r="Z471" s="41"/>
      <c r="AA471" s="41"/>
      <c r="AB471" s="41"/>
      <c r="AC471" s="41"/>
      <c r="AD471" s="41"/>
    </row>
    <row r="472" ht="15.75" customHeight="1">
      <c r="K472" t="s">
        <v>719</v>
      </c>
      <c r="L472" t="str">
        <f>G104</f>
        <v>T1a2b2a</v>
      </c>
      <c r="M472" t="s">
        <v>720</v>
      </c>
      <c r="O472">
        <v>1.4196904E7</v>
      </c>
      <c r="P472">
        <v>1.2076198E7</v>
      </c>
      <c r="Q472" t="s">
        <v>303</v>
      </c>
      <c r="R472" s="41"/>
      <c r="S472" s="41"/>
      <c r="T472" s="41"/>
      <c r="U472" s="41"/>
      <c r="V472" s="41"/>
      <c r="W472" s="41"/>
      <c r="X472" s="41"/>
      <c r="Y472" s="41"/>
      <c r="Z472" s="41"/>
      <c r="AA472" s="41"/>
      <c r="AB472" s="41"/>
      <c r="AC472" s="41"/>
      <c r="AD472" s="41"/>
    </row>
    <row r="473" ht="15.75" customHeight="1">
      <c r="K473" t="s">
        <v>720</v>
      </c>
      <c r="L473" t="str">
        <f>G104</f>
        <v>T1a2b2a</v>
      </c>
      <c r="M473" t="s">
        <v>719</v>
      </c>
      <c r="O473">
        <v>1.4196904E7</v>
      </c>
      <c r="P473">
        <v>1.2076198E7</v>
      </c>
      <c r="Q473" t="s">
        <v>303</v>
      </c>
      <c r="R473" s="41"/>
      <c r="S473" s="41"/>
      <c r="T473" s="41"/>
      <c r="U473" s="41"/>
      <c r="V473" s="41"/>
      <c r="W473" s="41"/>
      <c r="X473" s="41"/>
      <c r="Y473" s="41"/>
      <c r="Z473" s="41"/>
      <c r="AA473" s="41"/>
      <c r="AB473" s="41"/>
      <c r="AC473" s="41"/>
      <c r="AD473" s="41"/>
    </row>
    <row r="474" ht="15.75" customHeight="1">
      <c r="K474" t="s">
        <v>721</v>
      </c>
      <c r="L474" t="str">
        <f>D105</f>
        <v>T1a3</v>
      </c>
      <c r="M474" t="s">
        <v>722</v>
      </c>
      <c r="N474" t="s">
        <v>723</v>
      </c>
      <c r="O474">
        <v>7857464.0</v>
      </c>
      <c r="P474">
        <v>7989423.0</v>
      </c>
      <c r="Q474" t="s">
        <v>382</v>
      </c>
      <c r="R474" s="41"/>
      <c r="S474" s="41"/>
      <c r="T474" s="41"/>
      <c r="U474" s="41"/>
      <c r="V474" s="41"/>
      <c r="W474" s="41"/>
      <c r="X474" s="41"/>
      <c r="Y474" s="41"/>
      <c r="Z474" s="41"/>
      <c r="AA474" s="41"/>
      <c r="AB474" s="41"/>
      <c r="AC474" s="41"/>
      <c r="AD474" s="41"/>
    </row>
    <row r="475" ht="15.75" customHeight="1">
      <c r="K475" t="s">
        <v>722</v>
      </c>
      <c r="L475" t="str">
        <f>D105</f>
        <v>T1a3</v>
      </c>
      <c r="M475" t="s">
        <v>721</v>
      </c>
      <c r="N475" t="s">
        <v>723</v>
      </c>
      <c r="O475">
        <v>7857464.0</v>
      </c>
      <c r="P475">
        <v>7989423.0</v>
      </c>
      <c r="Q475" t="s">
        <v>382</v>
      </c>
      <c r="R475" s="41"/>
      <c r="S475" s="41"/>
      <c r="T475" s="41"/>
      <c r="U475" s="41"/>
      <c r="V475" s="41"/>
      <c r="W475" s="41"/>
      <c r="X475" s="41"/>
      <c r="Y475" s="41"/>
      <c r="Z475" s="41"/>
      <c r="AA475" s="41"/>
      <c r="AB475" s="41"/>
      <c r="AC475" s="41"/>
      <c r="AD475" s="41"/>
    </row>
    <row r="476" ht="15.75" customHeight="1">
      <c r="K476" t="s">
        <v>724</v>
      </c>
      <c r="L476" t="str">
        <f>E106</f>
        <v>T1a3a</v>
      </c>
      <c r="M476" t="s">
        <v>725</v>
      </c>
      <c r="N476" t="s">
        <v>726</v>
      </c>
      <c r="O476">
        <v>2.3385769E7</v>
      </c>
      <c r="P476">
        <v>2.1223883E7</v>
      </c>
      <c r="Q476" t="s">
        <v>245</v>
      </c>
      <c r="R476" s="41"/>
      <c r="S476" s="41"/>
      <c r="T476" s="41"/>
      <c r="U476" s="41"/>
      <c r="V476" s="41"/>
      <c r="W476" s="41"/>
      <c r="X476" s="41"/>
      <c r="Y476" s="41"/>
      <c r="Z476" s="41"/>
      <c r="AA476" s="41"/>
      <c r="AB476" s="41"/>
      <c r="AC476" s="41"/>
      <c r="AD476" s="41"/>
    </row>
    <row r="477" ht="15.75" customHeight="1">
      <c r="K477" t="s">
        <v>725</v>
      </c>
      <c r="L477" t="str">
        <f t="shared" ref="L477:L478" si="8">E106</f>
        <v>T1a3a</v>
      </c>
      <c r="M477" t="s">
        <v>724</v>
      </c>
      <c r="N477" t="s">
        <v>726</v>
      </c>
      <c r="O477">
        <v>2.3385769E7</v>
      </c>
      <c r="P477">
        <v>2.1223883E7</v>
      </c>
      <c r="Q477" t="s">
        <v>245</v>
      </c>
      <c r="R477" s="41"/>
      <c r="S477" s="41"/>
      <c r="T477" s="41"/>
      <c r="U477" s="41"/>
      <c r="V477" s="41"/>
      <c r="W477" s="41"/>
      <c r="X477" s="41"/>
      <c r="Y477" s="41"/>
      <c r="Z477" s="41"/>
      <c r="AA477" s="41"/>
      <c r="AB477" s="41"/>
      <c r="AC477" s="41"/>
      <c r="AD477" s="41"/>
    </row>
    <row r="478" ht="15.75" customHeight="1">
      <c r="K478" t="s">
        <v>727</v>
      </c>
      <c r="L478" t="str">
        <f t="shared" si="8"/>
        <v>T1a3b</v>
      </c>
      <c r="M478" t="s">
        <v>728</v>
      </c>
      <c r="N478" t="s">
        <v>729</v>
      </c>
      <c r="O478">
        <v>7326752.0</v>
      </c>
      <c r="P478">
        <v>7458711.0</v>
      </c>
      <c r="Q478" t="s">
        <v>272</v>
      </c>
      <c r="R478" s="41"/>
      <c r="S478" s="41"/>
      <c r="T478" s="41"/>
      <c r="U478" s="41"/>
      <c r="V478" s="41"/>
      <c r="W478" s="41"/>
      <c r="X478" s="41"/>
      <c r="Y478" s="41"/>
      <c r="Z478" s="41"/>
      <c r="AA478" s="41"/>
      <c r="AB478" s="41"/>
      <c r="AC478" s="41"/>
      <c r="AD478" s="41"/>
    </row>
    <row r="479" ht="15.75" customHeight="1">
      <c r="K479" t="s">
        <v>728</v>
      </c>
      <c r="L479" t="str">
        <f>E107</f>
        <v>T1a3b</v>
      </c>
      <c r="M479" t="s">
        <v>727</v>
      </c>
      <c r="N479" t="s">
        <v>729</v>
      </c>
      <c r="O479">
        <v>7326752.0</v>
      </c>
      <c r="P479">
        <v>7458711.0</v>
      </c>
      <c r="Q479" t="s">
        <v>272</v>
      </c>
      <c r="R479" s="41"/>
      <c r="S479" s="41"/>
      <c r="T479" s="41"/>
      <c r="U479" s="41"/>
      <c r="V479" s="41"/>
      <c r="W479" s="41"/>
      <c r="X479" s="41"/>
      <c r="Y479" s="41"/>
      <c r="Z479" s="41"/>
      <c r="AA479" s="41"/>
      <c r="AB479" s="41"/>
      <c r="AC479" s="41"/>
      <c r="AD479" s="41"/>
    </row>
    <row r="480" ht="15.75" customHeight="1">
      <c r="K480" t="s">
        <v>174</v>
      </c>
      <c r="L480" t="str">
        <f>F108</f>
        <v>T1a3b1</v>
      </c>
      <c r="N480" t="s">
        <v>730</v>
      </c>
      <c r="O480">
        <v>2.1926143E7</v>
      </c>
      <c r="P480">
        <v>1.9764257E7</v>
      </c>
      <c r="Q480" t="s">
        <v>245</v>
      </c>
      <c r="R480" s="41"/>
      <c r="S480" s="41"/>
      <c r="T480" s="41"/>
      <c r="U480" s="41"/>
      <c r="V480" s="41"/>
      <c r="W480" s="41"/>
      <c r="X480" s="41"/>
      <c r="Y480" s="41"/>
      <c r="Z480" s="41"/>
      <c r="AA480" s="41"/>
      <c r="AB480" s="41"/>
      <c r="AC480" s="41"/>
      <c r="AD480" s="41"/>
    </row>
    <row r="481" ht="15.75" customHeight="1">
      <c r="K481" t="s">
        <v>731</v>
      </c>
      <c r="L481" t="str">
        <f>G109</f>
        <v>T1a3b1a</v>
      </c>
      <c r="M481" t="s">
        <v>732</v>
      </c>
      <c r="O481">
        <v>1.6828946E7</v>
      </c>
      <c r="P481">
        <v>1.4717066E7</v>
      </c>
      <c r="Q481" t="s">
        <v>252</v>
      </c>
      <c r="R481" s="41"/>
      <c r="S481" s="41"/>
      <c r="T481" s="41"/>
      <c r="U481" s="41"/>
      <c r="V481" s="41"/>
      <c r="W481" s="41"/>
      <c r="X481" s="41"/>
      <c r="Y481" s="41"/>
      <c r="Z481" s="41"/>
      <c r="AA481" s="41"/>
      <c r="AB481" s="41"/>
      <c r="AC481" s="41"/>
      <c r="AD481" s="41"/>
    </row>
    <row r="482" ht="15.75" customHeight="1">
      <c r="K482" t="s">
        <v>732</v>
      </c>
      <c r="L482" t="str">
        <f>G109</f>
        <v>T1a3b1a</v>
      </c>
      <c r="M482" t="s">
        <v>731</v>
      </c>
      <c r="O482">
        <v>1.6828946E7</v>
      </c>
      <c r="P482">
        <v>1.4717066E7</v>
      </c>
      <c r="Q482" t="s">
        <v>252</v>
      </c>
      <c r="R482" s="41"/>
      <c r="S482" s="41"/>
      <c r="T482" s="41"/>
      <c r="U482" s="41"/>
      <c r="V482" s="41"/>
      <c r="W482" s="41"/>
      <c r="X482" s="41"/>
      <c r="Y482" s="41"/>
      <c r="Z482" s="41"/>
      <c r="AA482" s="41"/>
      <c r="AB482" s="41"/>
      <c r="AC482" s="41"/>
      <c r="AD482" s="41"/>
    </row>
    <row r="483" ht="15.75" customHeight="1">
      <c r="K483" t="s">
        <v>178</v>
      </c>
      <c r="L483" t="str">
        <f>F110</f>
        <v>T1a3b2</v>
      </c>
      <c r="N483" t="s">
        <v>733</v>
      </c>
      <c r="O483">
        <v>2783141.0</v>
      </c>
      <c r="P483">
        <v>2915100.0</v>
      </c>
      <c r="Q483" t="s">
        <v>245</v>
      </c>
      <c r="R483" s="41"/>
      <c r="S483" s="41"/>
      <c r="T483" s="41"/>
      <c r="U483" s="41"/>
      <c r="V483" s="41"/>
      <c r="W483" s="41"/>
      <c r="X483" s="41"/>
      <c r="Y483" s="41"/>
      <c r="Z483" s="41"/>
      <c r="AA483" s="41"/>
      <c r="AB483" s="41"/>
      <c r="AC483" s="41"/>
      <c r="AD483" s="41"/>
    </row>
    <row r="484" ht="15.75" customHeight="1">
      <c r="K484" t="s">
        <v>180</v>
      </c>
      <c r="L484" t="str">
        <f>G111</f>
        <v>T1a3b2a</v>
      </c>
      <c r="N484" t="s">
        <v>734</v>
      </c>
      <c r="O484">
        <v>1.4264956E7</v>
      </c>
      <c r="P484">
        <v>1.214425E7</v>
      </c>
      <c r="Q484" t="s">
        <v>252</v>
      </c>
      <c r="R484" s="41"/>
      <c r="S484" s="41"/>
      <c r="T484" s="41"/>
      <c r="U484" s="41"/>
      <c r="V484" s="41"/>
      <c r="W484" s="41"/>
      <c r="X484" s="41"/>
      <c r="Y484" s="41"/>
      <c r="Z484" s="41"/>
      <c r="AA484" s="41"/>
      <c r="AB484" s="41"/>
      <c r="AC484" s="41"/>
      <c r="AD484" s="41"/>
    </row>
    <row r="485" ht="15.75" customHeight="1">
      <c r="K485" t="s">
        <v>735</v>
      </c>
      <c r="L485" t="str">
        <f>H112</f>
        <v>T1a3b2a1</v>
      </c>
      <c r="M485" t="s">
        <v>736</v>
      </c>
      <c r="N485" t="s">
        <v>737</v>
      </c>
      <c r="O485">
        <v>8461039.0</v>
      </c>
      <c r="P485">
        <v>8592998.0</v>
      </c>
      <c r="Q485" t="s">
        <v>303</v>
      </c>
      <c r="R485" s="41"/>
      <c r="S485" s="41"/>
      <c r="T485" s="41"/>
      <c r="U485" s="41"/>
      <c r="V485" s="41"/>
      <c r="W485" s="41"/>
      <c r="X485" s="41"/>
      <c r="Y485" s="41"/>
      <c r="Z485" s="41"/>
      <c r="AA485" s="41"/>
      <c r="AB485" s="41"/>
      <c r="AC485" s="41"/>
      <c r="AD485" s="41"/>
    </row>
    <row r="486" ht="15.75" customHeight="1">
      <c r="K486" t="s">
        <v>736</v>
      </c>
      <c r="L486" t="str">
        <f>H112</f>
        <v>T1a3b2a1</v>
      </c>
      <c r="M486" t="s">
        <v>735</v>
      </c>
      <c r="N486" t="s">
        <v>737</v>
      </c>
      <c r="O486">
        <v>8461039.0</v>
      </c>
      <c r="P486">
        <v>8592998.0</v>
      </c>
      <c r="Q486" t="s">
        <v>303</v>
      </c>
      <c r="R486" s="41"/>
      <c r="S486" s="41"/>
      <c r="T486" s="41"/>
      <c r="U486" s="41"/>
      <c r="V486" s="41"/>
      <c r="W486" s="41"/>
      <c r="X486" s="41"/>
      <c r="Y486" s="41"/>
      <c r="Z486" s="41"/>
      <c r="AA486" s="41"/>
      <c r="AB486" s="41"/>
      <c r="AC486" s="41"/>
      <c r="AD486" s="41"/>
    </row>
    <row r="487" ht="15.75" customHeight="1">
      <c r="K487" t="s">
        <v>738</v>
      </c>
      <c r="L487" t="str">
        <f>I113</f>
        <v>T1a3b2a1a</v>
      </c>
      <c r="M487" t="s">
        <v>739</v>
      </c>
      <c r="N487" t="s">
        <v>740</v>
      </c>
      <c r="O487">
        <v>8486106.0</v>
      </c>
      <c r="P487">
        <v>8618065.0</v>
      </c>
      <c r="Q487" t="s">
        <v>516</v>
      </c>
      <c r="R487" s="41"/>
      <c r="S487" s="41"/>
      <c r="T487" s="41"/>
      <c r="U487" s="41"/>
      <c r="V487" s="41"/>
      <c r="W487" s="41"/>
      <c r="X487" s="41"/>
      <c r="Y487" s="41"/>
      <c r="Z487" s="41"/>
      <c r="AA487" s="41"/>
      <c r="AB487" s="41"/>
      <c r="AC487" s="41"/>
      <c r="AD487" s="41"/>
    </row>
    <row r="488" ht="15.75" customHeight="1">
      <c r="K488" t="s">
        <v>739</v>
      </c>
      <c r="L488" t="str">
        <f t="shared" ref="L488:L489" si="9">I113</f>
        <v>T1a3b2a1a</v>
      </c>
      <c r="M488" t="s">
        <v>738</v>
      </c>
      <c r="N488" t="s">
        <v>740</v>
      </c>
      <c r="O488">
        <v>8486106.0</v>
      </c>
      <c r="P488">
        <v>8618065.0</v>
      </c>
      <c r="Q488" t="s">
        <v>516</v>
      </c>
      <c r="R488" s="41"/>
      <c r="S488" s="41"/>
      <c r="T488" s="41"/>
      <c r="U488" s="41"/>
      <c r="V488" s="41"/>
      <c r="W488" s="41"/>
      <c r="X488" s="41"/>
      <c r="Y488" s="41"/>
      <c r="Z488" s="41"/>
      <c r="AA488" s="41"/>
      <c r="AB488" s="41"/>
      <c r="AC488" s="41"/>
      <c r="AD488" s="41"/>
    </row>
    <row r="489" ht="15.75" customHeight="1">
      <c r="K489" t="s">
        <v>186</v>
      </c>
      <c r="L489" t="str">
        <f t="shared" si="9"/>
        <v>T1a3b2a1b</v>
      </c>
      <c r="O489">
        <v>9465925.0</v>
      </c>
      <c r="P489">
        <v>9628316.0</v>
      </c>
      <c r="Q489" t="s">
        <v>256</v>
      </c>
      <c r="R489" s="41"/>
      <c r="S489" s="41"/>
      <c r="T489" s="41"/>
      <c r="U489" s="41"/>
      <c r="V489" s="41"/>
      <c r="W489" s="41"/>
      <c r="X489" s="41"/>
      <c r="Y489" s="41"/>
      <c r="Z489" s="41"/>
      <c r="AA489" s="41"/>
      <c r="AB489" s="41"/>
      <c r="AC489" s="41"/>
      <c r="AD489" s="41"/>
    </row>
    <row r="490" ht="15.75" customHeight="1">
      <c r="K490" t="s">
        <v>188</v>
      </c>
      <c r="L490" t="str">
        <f>J115</f>
        <v>T1a3b2a1b1</v>
      </c>
      <c r="O490">
        <v>2776008.0</v>
      </c>
      <c r="P490">
        <v>2907967.0</v>
      </c>
      <c r="Q490" t="s">
        <v>256</v>
      </c>
      <c r="R490" s="41"/>
      <c r="S490" s="41"/>
      <c r="T490" s="41"/>
      <c r="U490" s="41"/>
      <c r="V490" s="41"/>
      <c r="W490" s="41"/>
      <c r="X490" s="41"/>
      <c r="Y490" s="41"/>
      <c r="Z490" s="41"/>
      <c r="AA490" s="41"/>
      <c r="AB490" s="41"/>
      <c r="AC490" s="41"/>
      <c r="AD490" s="41"/>
    </row>
    <row r="491" ht="15.75" customHeight="1">
      <c r="K491" t="s">
        <v>741</v>
      </c>
      <c r="L491" t="str">
        <f>B116</f>
        <v>T2</v>
      </c>
      <c r="N491" t="s">
        <v>742</v>
      </c>
      <c r="O491">
        <v>2913966.0</v>
      </c>
      <c r="P491">
        <v>3045925.0</v>
      </c>
      <c r="Q491" t="s">
        <v>272</v>
      </c>
      <c r="R491" s="41"/>
      <c r="S491" s="41"/>
      <c r="T491" s="41"/>
      <c r="U491" s="41"/>
      <c r="V491" s="41"/>
      <c r="W491" s="41"/>
      <c r="X491" s="41"/>
      <c r="Y491" s="41"/>
      <c r="Z491" s="41"/>
      <c r="AA491" s="41"/>
      <c r="AB491" s="41"/>
      <c r="AC491" s="41"/>
      <c r="AD491" s="41"/>
    </row>
    <row r="492" ht="15.75" customHeight="1">
      <c r="K492" t="s">
        <v>743</v>
      </c>
      <c r="L492" t="str">
        <f>B116</f>
        <v>T2</v>
      </c>
      <c r="N492" t="s">
        <v>744</v>
      </c>
      <c r="O492">
        <v>6786263.0</v>
      </c>
      <c r="P492">
        <v>6918222.0</v>
      </c>
      <c r="Q492" t="s">
        <v>272</v>
      </c>
      <c r="R492" s="41"/>
      <c r="S492" s="41"/>
      <c r="T492" s="41"/>
      <c r="U492" s="41"/>
      <c r="V492" s="41"/>
      <c r="W492" s="41"/>
      <c r="X492" s="41"/>
      <c r="Y492" s="41"/>
      <c r="Z492" s="41"/>
      <c r="AA492" s="41"/>
      <c r="AB492" s="41"/>
      <c r="AC492" s="41"/>
      <c r="AD492" s="41"/>
    </row>
    <row r="493" ht="15.75" customHeight="1">
      <c r="K493" t="s">
        <v>745</v>
      </c>
      <c r="L493" t="str">
        <f>B116</f>
        <v>T2</v>
      </c>
      <c r="N493" t="s">
        <v>746</v>
      </c>
      <c r="O493">
        <v>7168776.0</v>
      </c>
      <c r="P493">
        <v>7300735.0</v>
      </c>
      <c r="Q493" t="s">
        <v>350</v>
      </c>
      <c r="R493" s="41"/>
      <c r="S493" s="41"/>
      <c r="T493" s="41"/>
      <c r="U493" s="41"/>
      <c r="V493" s="41"/>
      <c r="W493" s="41"/>
      <c r="X493" s="41"/>
      <c r="Y493" s="41"/>
      <c r="Z493" s="41"/>
      <c r="AA493" s="41"/>
      <c r="AB493" s="41"/>
      <c r="AC493" s="41"/>
      <c r="AD493" s="41"/>
    </row>
    <row r="494" ht="15.75" customHeight="1">
      <c r="K494" t="s">
        <v>747</v>
      </c>
      <c r="L494" t="str">
        <f>B116</f>
        <v>T2</v>
      </c>
      <c r="N494" t="s">
        <v>748</v>
      </c>
      <c r="O494">
        <v>7207571.0</v>
      </c>
      <c r="P494">
        <v>7339530.0</v>
      </c>
      <c r="Q494" t="s">
        <v>426</v>
      </c>
      <c r="R494" s="41"/>
      <c r="S494" s="41"/>
      <c r="T494" s="41"/>
      <c r="U494" s="41"/>
      <c r="V494" s="41"/>
      <c r="W494" s="41"/>
      <c r="X494" s="41"/>
      <c r="Y494" s="41"/>
      <c r="Z494" s="41"/>
      <c r="AA494" s="41"/>
      <c r="AB494" s="41"/>
      <c r="AC494" s="41"/>
      <c r="AD494" s="41"/>
    </row>
    <row r="495" ht="15.75" customHeight="1">
      <c r="K495" t="s">
        <v>749</v>
      </c>
      <c r="L495" t="str">
        <f>B116</f>
        <v>T2</v>
      </c>
      <c r="N495" t="s">
        <v>750</v>
      </c>
      <c r="O495">
        <v>7232343.0</v>
      </c>
      <c r="P495">
        <v>7364302.0</v>
      </c>
      <c r="Q495" t="s">
        <v>256</v>
      </c>
      <c r="R495" s="41"/>
      <c r="S495" s="41"/>
      <c r="T495" s="41"/>
      <c r="U495" s="41"/>
      <c r="V495" s="41"/>
      <c r="W495" s="41"/>
      <c r="X495" s="41"/>
      <c r="Y495" s="41"/>
      <c r="Z495" s="41"/>
      <c r="AA495" s="41"/>
      <c r="AB495" s="41"/>
      <c r="AC495" s="41"/>
      <c r="AD495" s="41"/>
    </row>
    <row r="496" ht="15.75" customHeight="1">
      <c r="K496" t="s">
        <v>751</v>
      </c>
      <c r="L496" t="str">
        <f>B116</f>
        <v>T2</v>
      </c>
      <c r="N496" t="s">
        <v>752</v>
      </c>
      <c r="O496">
        <v>1.3989484E7</v>
      </c>
      <c r="P496">
        <v>1.1868778E7</v>
      </c>
      <c r="Q496" t="s">
        <v>426</v>
      </c>
      <c r="R496" s="41"/>
      <c r="S496" s="41"/>
      <c r="T496" s="41"/>
      <c r="U496" s="41"/>
      <c r="V496" s="41"/>
      <c r="W496" s="41"/>
      <c r="X496" s="41"/>
      <c r="Y496" s="41"/>
      <c r="Z496" s="41"/>
      <c r="AA496" s="41"/>
      <c r="AB496" s="41"/>
      <c r="AC496" s="41"/>
      <c r="AD496" s="41"/>
    </row>
    <row r="497" ht="15.75" customHeight="1">
      <c r="K497" t="s">
        <v>753</v>
      </c>
      <c r="L497" t="str">
        <f>B116</f>
        <v>T2</v>
      </c>
      <c r="N497" t="s">
        <v>754</v>
      </c>
      <c r="O497">
        <v>1.4137327E7</v>
      </c>
      <c r="P497">
        <v>1.2016621E7</v>
      </c>
      <c r="Q497" t="s">
        <v>272</v>
      </c>
      <c r="R497" s="41"/>
      <c r="S497" s="41"/>
      <c r="T497" s="41"/>
      <c r="U497" s="41"/>
      <c r="V497" s="41"/>
      <c r="W497" s="41"/>
      <c r="X497" s="41"/>
      <c r="Y497" s="41"/>
      <c r="Z497" s="41"/>
      <c r="AA497" s="41"/>
      <c r="AB497" s="41"/>
      <c r="AC497" s="41"/>
      <c r="AD497" s="41"/>
    </row>
    <row r="498" ht="15.75" customHeight="1">
      <c r="K498" t="s">
        <v>755</v>
      </c>
      <c r="L498" t="str">
        <f>B116</f>
        <v>T2</v>
      </c>
      <c r="N498" t="s">
        <v>756</v>
      </c>
      <c r="O498">
        <v>1.4285325E7</v>
      </c>
      <c r="P498">
        <v>1.2164619E7</v>
      </c>
      <c r="Q498" t="s">
        <v>350</v>
      </c>
      <c r="R498" s="41"/>
      <c r="S498" s="41"/>
      <c r="T498" s="41"/>
      <c r="U498" s="41"/>
      <c r="V498" s="41"/>
      <c r="W498" s="41"/>
      <c r="X498" s="41"/>
      <c r="Y498" s="41"/>
      <c r="Z498" s="41"/>
      <c r="AA498" s="41"/>
      <c r="AB498" s="41"/>
      <c r="AC498" s="41"/>
      <c r="AD498" s="41"/>
    </row>
    <row r="499" ht="15.75" customHeight="1">
      <c r="K499" t="s">
        <v>757</v>
      </c>
      <c r="L499" t="str">
        <f>B116</f>
        <v>T2</v>
      </c>
      <c r="N499" t="s">
        <v>758</v>
      </c>
      <c r="O499">
        <v>1.4296133E7</v>
      </c>
      <c r="P499">
        <v>1.2175427E7</v>
      </c>
      <c r="Q499" t="s">
        <v>245</v>
      </c>
      <c r="R499" s="41"/>
      <c r="S499" s="41"/>
      <c r="T499" s="41"/>
      <c r="U499" s="41"/>
      <c r="V499" s="41"/>
      <c r="W499" s="41"/>
      <c r="X499" s="41"/>
      <c r="Y499" s="41"/>
      <c r="Z499" s="41"/>
      <c r="AA499" s="41"/>
      <c r="AB499" s="41"/>
      <c r="AC499" s="41"/>
      <c r="AD499" s="41"/>
    </row>
    <row r="500" ht="15.75" customHeight="1">
      <c r="K500" t="s">
        <v>759</v>
      </c>
      <c r="L500" t="str">
        <f>B116</f>
        <v>T2</v>
      </c>
      <c r="N500" t="s">
        <v>760</v>
      </c>
      <c r="O500">
        <v>1.4343205E7</v>
      </c>
      <c r="P500">
        <v>1.22225E7</v>
      </c>
      <c r="Q500" t="s">
        <v>245</v>
      </c>
      <c r="R500" s="41"/>
      <c r="S500" s="41"/>
      <c r="T500" s="41"/>
      <c r="U500" s="41"/>
      <c r="V500" s="41"/>
      <c r="W500" s="41"/>
      <c r="X500" s="41"/>
      <c r="Y500" s="41"/>
      <c r="Z500" s="41"/>
      <c r="AA500" s="41"/>
      <c r="AB500" s="41"/>
      <c r="AC500" s="41"/>
      <c r="AD500" s="41"/>
    </row>
    <row r="501" ht="15.75" customHeight="1">
      <c r="K501" t="s">
        <v>761</v>
      </c>
      <c r="L501" t="str">
        <f>B116</f>
        <v>T2</v>
      </c>
      <c r="N501" t="s">
        <v>762</v>
      </c>
      <c r="O501">
        <v>1.4484129E7</v>
      </c>
      <c r="P501">
        <v>1.2363398E7</v>
      </c>
      <c r="Q501" t="s">
        <v>296</v>
      </c>
      <c r="R501" s="41"/>
      <c r="S501" s="41"/>
      <c r="T501" s="41"/>
      <c r="U501" s="41"/>
      <c r="V501" s="41"/>
      <c r="W501" s="41"/>
      <c r="X501" s="41"/>
      <c r="Y501" s="41"/>
      <c r="Z501" s="41"/>
      <c r="AA501" s="41"/>
      <c r="AB501" s="41"/>
      <c r="AC501" s="41"/>
      <c r="AD501" s="41"/>
    </row>
    <row r="502" ht="15.75" customHeight="1">
      <c r="K502" t="s">
        <v>763</v>
      </c>
      <c r="L502" t="str">
        <f>B116</f>
        <v>T2</v>
      </c>
      <c r="N502" t="s">
        <v>764</v>
      </c>
      <c r="O502">
        <v>1.4522559E7</v>
      </c>
      <c r="P502">
        <v>1.241076E7</v>
      </c>
      <c r="Q502" t="s">
        <v>426</v>
      </c>
      <c r="R502" s="41"/>
      <c r="S502" s="41"/>
      <c r="T502" s="41"/>
      <c r="U502" s="41"/>
      <c r="V502" s="41"/>
      <c r="W502" s="41"/>
      <c r="X502" s="41"/>
      <c r="Y502" s="41"/>
      <c r="Z502" s="41"/>
      <c r="AA502" s="41"/>
      <c r="AB502" s="41"/>
      <c r="AC502" s="41"/>
      <c r="AD502" s="41"/>
    </row>
    <row r="503" ht="15.75" customHeight="1">
      <c r="K503" t="s">
        <v>765</v>
      </c>
      <c r="L503" t="str">
        <f>B116</f>
        <v>T2</v>
      </c>
      <c r="N503" t="s">
        <v>766</v>
      </c>
      <c r="O503">
        <v>1.4577935E7</v>
      </c>
      <c r="P503">
        <v>1.2466135E7</v>
      </c>
      <c r="Q503" t="s">
        <v>256</v>
      </c>
      <c r="R503" s="41"/>
      <c r="S503" s="41"/>
      <c r="T503" s="41"/>
      <c r="U503" s="41"/>
      <c r="V503" s="41"/>
      <c r="W503" s="41"/>
      <c r="X503" s="41"/>
      <c r="Y503" s="41"/>
      <c r="Z503" s="41"/>
      <c r="AA503" s="41"/>
      <c r="AB503" s="41"/>
      <c r="AC503" s="41"/>
      <c r="AD503" s="41"/>
    </row>
    <row r="504" ht="15.75" customHeight="1">
      <c r="K504" t="s">
        <v>767</v>
      </c>
      <c r="L504" t="str">
        <f>B116</f>
        <v>T2</v>
      </c>
      <c r="N504" t="s">
        <v>768</v>
      </c>
      <c r="O504">
        <v>1.4627692E7</v>
      </c>
      <c r="P504">
        <v>1.251576E7</v>
      </c>
      <c r="Q504" t="s">
        <v>516</v>
      </c>
      <c r="R504" s="41"/>
      <c r="S504" s="41"/>
      <c r="T504" s="41"/>
      <c r="U504" s="41"/>
      <c r="V504" s="41"/>
      <c r="W504" s="41"/>
      <c r="X504" s="41"/>
      <c r="Y504" s="41"/>
      <c r="Z504" s="41"/>
      <c r="AA504" s="41"/>
      <c r="AB504" s="41"/>
      <c r="AC504" s="41"/>
      <c r="AD504" s="41"/>
    </row>
    <row r="505" ht="15.75" customHeight="1">
      <c r="K505" t="s">
        <v>769</v>
      </c>
      <c r="L505" t="str">
        <f>B116</f>
        <v>T2</v>
      </c>
      <c r="N505" t="s">
        <v>770</v>
      </c>
      <c r="O505">
        <v>1.4722388E7</v>
      </c>
      <c r="P505">
        <v>1.2610456E7</v>
      </c>
      <c r="Q505" t="s">
        <v>245</v>
      </c>
      <c r="R505" s="41"/>
      <c r="S505" s="41"/>
      <c r="T505" s="41"/>
      <c r="U505" s="41"/>
      <c r="V505" s="41"/>
      <c r="W505" s="41"/>
      <c r="X505" s="41"/>
      <c r="Y505" s="41"/>
      <c r="Z505" s="41"/>
      <c r="AA505" s="41"/>
      <c r="AB505" s="41"/>
      <c r="AC505" s="41"/>
      <c r="AD505" s="41"/>
    </row>
    <row r="506" ht="15.75" customHeight="1">
      <c r="K506" t="s">
        <v>771</v>
      </c>
      <c r="L506" t="str">
        <f>B116</f>
        <v>T2</v>
      </c>
      <c r="N506" t="s">
        <v>772</v>
      </c>
      <c r="O506">
        <v>1.4804751E7</v>
      </c>
      <c r="P506">
        <v>1.2692822E7</v>
      </c>
      <c r="Q506" t="s">
        <v>245</v>
      </c>
      <c r="R506" s="41"/>
      <c r="S506" s="41"/>
      <c r="T506" s="41"/>
      <c r="U506" s="41"/>
      <c r="V506" s="41"/>
      <c r="W506" s="41"/>
      <c r="X506" s="41"/>
      <c r="Y506" s="41"/>
      <c r="Z506" s="41"/>
      <c r="AA506" s="41"/>
      <c r="AB506" s="41"/>
      <c r="AC506" s="41"/>
      <c r="AD506" s="41"/>
    </row>
    <row r="507" ht="15.75" customHeight="1">
      <c r="K507" t="s">
        <v>773</v>
      </c>
      <c r="L507" t="str">
        <f>B116</f>
        <v>T2</v>
      </c>
      <c r="N507" t="s">
        <v>774</v>
      </c>
      <c r="O507">
        <v>1.497124E7</v>
      </c>
      <c r="P507">
        <v>1.2859315E7</v>
      </c>
      <c r="Q507" t="s">
        <v>245</v>
      </c>
      <c r="R507" s="41"/>
      <c r="S507" s="41"/>
      <c r="T507" s="41"/>
      <c r="U507" s="41"/>
      <c r="V507" s="41"/>
      <c r="W507" s="41"/>
      <c r="X507" s="41"/>
      <c r="Y507" s="41"/>
      <c r="Z507" s="41"/>
      <c r="AA507" s="41"/>
      <c r="AB507" s="41"/>
      <c r="AC507" s="41"/>
      <c r="AD507" s="41"/>
    </row>
    <row r="508" ht="15.75" customHeight="1">
      <c r="K508" t="s">
        <v>775</v>
      </c>
      <c r="L508" t="str">
        <f>B116</f>
        <v>T2</v>
      </c>
      <c r="N508" t="s">
        <v>776</v>
      </c>
      <c r="O508">
        <v>1.5031023E7</v>
      </c>
      <c r="P508">
        <v>1.2919111E7</v>
      </c>
      <c r="Q508" t="s">
        <v>426</v>
      </c>
      <c r="R508" s="41"/>
      <c r="S508" s="41"/>
      <c r="T508" s="41"/>
      <c r="U508" s="41"/>
      <c r="V508" s="41"/>
      <c r="W508" s="41"/>
      <c r="X508" s="41"/>
      <c r="Y508" s="41"/>
      <c r="Z508" s="41"/>
      <c r="AA508" s="41"/>
      <c r="AB508" s="41"/>
      <c r="AC508" s="41"/>
      <c r="AD508" s="41"/>
    </row>
    <row r="509" ht="15.75" customHeight="1">
      <c r="K509" t="s">
        <v>777</v>
      </c>
      <c r="L509" t="str">
        <f>B116</f>
        <v>T2</v>
      </c>
      <c r="N509" t="s">
        <v>778</v>
      </c>
      <c r="O509">
        <v>1.5033043E7</v>
      </c>
      <c r="P509">
        <v>1.2921131E7</v>
      </c>
      <c r="Q509" t="s">
        <v>252</v>
      </c>
      <c r="R509" s="41"/>
      <c r="S509" s="41"/>
      <c r="T509" s="41"/>
      <c r="U509" s="41"/>
      <c r="V509" s="41"/>
      <c r="W509" s="41"/>
      <c r="X509" s="41"/>
      <c r="Y509" s="41"/>
      <c r="Z509" s="41"/>
      <c r="AA509" s="41"/>
      <c r="AB509" s="41"/>
      <c r="AC509" s="41"/>
      <c r="AD509" s="41"/>
    </row>
    <row r="510" ht="15.75" customHeight="1">
      <c r="K510" t="s">
        <v>779</v>
      </c>
      <c r="L510" t="str">
        <f>B116</f>
        <v>T2</v>
      </c>
      <c r="N510" t="s">
        <v>780</v>
      </c>
      <c r="O510">
        <v>1.5263645E7</v>
      </c>
      <c r="P510">
        <v>1.3151735E7</v>
      </c>
      <c r="Q510" t="s">
        <v>303</v>
      </c>
      <c r="R510" s="41"/>
      <c r="S510" s="41"/>
      <c r="T510" s="41"/>
      <c r="U510" s="41"/>
      <c r="V510" s="41"/>
      <c r="W510" s="41"/>
      <c r="X510" s="41"/>
      <c r="Y510" s="41"/>
      <c r="Z510" s="41"/>
      <c r="AA510" s="41"/>
      <c r="AB510" s="41"/>
      <c r="AC510" s="41"/>
      <c r="AD510" s="41"/>
    </row>
    <row r="511" ht="15.75" customHeight="1">
      <c r="K511" t="s">
        <v>781</v>
      </c>
      <c r="L511" t="str">
        <f>B116</f>
        <v>T2</v>
      </c>
      <c r="N511" t="s">
        <v>782</v>
      </c>
      <c r="O511">
        <v>1.5418604E7</v>
      </c>
      <c r="P511">
        <v>1.3306724E7</v>
      </c>
      <c r="Q511" t="s">
        <v>245</v>
      </c>
      <c r="R511" s="41"/>
      <c r="S511" s="41"/>
      <c r="T511" s="41"/>
      <c r="U511" s="41"/>
      <c r="V511" s="41"/>
      <c r="W511" s="41"/>
      <c r="X511" s="41"/>
      <c r="Y511" s="41"/>
      <c r="Z511" s="41"/>
      <c r="AA511" s="41"/>
      <c r="AB511" s="41"/>
      <c r="AC511" s="41"/>
      <c r="AD511" s="41"/>
    </row>
    <row r="512" ht="15.75" customHeight="1">
      <c r="K512" t="s">
        <v>783</v>
      </c>
      <c r="L512" t="str">
        <f>B116</f>
        <v>T2</v>
      </c>
      <c r="N512" t="s">
        <v>784</v>
      </c>
      <c r="O512">
        <v>1.5832671E7</v>
      </c>
      <c r="P512">
        <v>1.3720791E7</v>
      </c>
      <c r="Q512" t="s">
        <v>426</v>
      </c>
      <c r="R512" s="41"/>
      <c r="S512" s="41"/>
      <c r="T512" s="41"/>
      <c r="U512" s="41"/>
      <c r="V512" s="41"/>
      <c r="W512" s="41"/>
      <c r="X512" s="41"/>
      <c r="Y512" s="41"/>
      <c r="Z512" s="41"/>
      <c r="AA512" s="41"/>
      <c r="AB512" s="41"/>
      <c r="AC512" s="41"/>
      <c r="AD512" s="41"/>
    </row>
    <row r="513" ht="15.75" customHeight="1">
      <c r="K513" t="s">
        <v>785</v>
      </c>
      <c r="L513" t="str">
        <f>B116</f>
        <v>T2</v>
      </c>
      <c r="N513" t="s">
        <v>786</v>
      </c>
      <c r="O513">
        <v>1.5877264E7</v>
      </c>
      <c r="P513">
        <v>1.3765384E7</v>
      </c>
      <c r="Q513" t="s">
        <v>426</v>
      </c>
      <c r="R513" s="41"/>
      <c r="S513" s="41"/>
      <c r="T513" s="41"/>
      <c r="U513" s="41"/>
      <c r="V513" s="41"/>
      <c r="W513" s="41"/>
      <c r="X513" s="41"/>
      <c r="Y513" s="41"/>
      <c r="Z513" s="41"/>
      <c r="AA513" s="41"/>
      <c r="AB513" s="41"/>
      <c r="AC513" s="41"/>
      <c r="AD513" s="41"/>
    </row>
    <row r="514" ht="15.75" customHeight="1">
      <c r="K514" t="s">
        <v>787</v>
      </c>
      <c r="L514" t="str">
        <f>B116</f>
        <v>T2</v>
      </c>
      <c r="N514" t="s">
        <v>788</v>
      </c>
      <c r="O514">
        <v>1.5900424E7</v>
      </c>
      <c r="P514">
        <v>1.3788544E7</v>
      </c>
      <c r="Q514" t="s">
        <v>286</v>
      </c>
      <c r="R514" s="41"/>
      <c r="S514" s="41"/>
      <c r="T514" s="41"/>
      <c r="U514" s="41"/>
      <c r="V514" s="41"/>
      <c r="W514" s="41"/>
      <c r="X514" s="41"/>
      <c r="Y514" s="41"/>
      <c r="Z514" s="41"/>
      <c r="AA514" s="41"/>
      <c r="AB514" s="41"/>
      <c r="AC514" s="41"/>
      <c r="AD514" s="41"/>
    </row>
    <row r="515" ht="15.75" customHeight="1">
      <c r="K515" t="s">
        <v>789</v>
      </c>
      <c r="L515" t="str">
        <f>B116</f>
        <v>T2</v>
      </c>
      <c r="N515" t="s">
        <v>790</v>
      </c>
      <c r="O515">
        <v>1.6061196E7</v>
      </c>
      <c r="P515">
        <v>1.3949316E7</v>
      </c>
      <c r="Q515" t="s">
        <v>252</v>
      </c>
      <c r="R515" s="41"/>
      <c r="S515" s="41"/>
      <c r="T515" s="41"/>
      <c r="U515" s="41"/>
      <c r="V515" s="41"/>
      <c r="W515" s="41"/>
      <c r="X515" s="41"/>
      <c r="Y515" s="41"/>
      <c r="Z515" s="41"/>
      <c r="AA515" s="41"/>
      <c r="AB515" s="41"/>
      <c r="AC515" s="41"/>
      <c r="AD515" s="41"/>
    </row>
    <row r="516" ht="15.75" customHeight="1">
      <c r="K516" t="s">
        <v>791</v>
      </c>
      <c r="L516" t="str">
        <f>B116</f>
        <v>T2</v>
      </c>
      <c r="N516" t="s">
        <v>792</v>
      </c>
      <c r="O516">
        <v>1.6290688E7</v>
      </c>
      <c r="P516">
        <v>1.4178808E7</v>
      </c>
      <c r="Q516" t="s">
        <v>256</v>
      </c>
      <c r="R516" s="41"/>
      <c r="S516" s="41"/>
      <c r="T516" s="41"/>
      <c r="U516" s="41"/>
      <c r="V516" s="41"/>
      <c r="W516" s="41"/>
      <c r="X516" s="41"/>
      <c r="Y516" s="41"/>
      <c r="Z516" s="41"/>
      <c r="AA516" s="41"/>
      <c r="AB516" s="41"/>
      <c r="AC516" s="41"/>
      <c r="AD516" s="41"/>
    </row>
    <row r="517" ht="15.75" customHeight="1">
      <c r="K517" t="s">
        <v>793</v>
      </c>
      <c r="L517" t="str">
        <f>B116</f>
        <v>T2</v>
      </c>
      <c r="N517" t="s">
        <v>794</v>
      </c>
      <c r="O517">
        <v>1.6443414E7</v>
      </c>
      <c r="P517">
        <v>1.4331534E7</v>
      </c>
      <c r="Q517" t="s">
        <v>516</v>
      </c>
      <c r="R517" s="41"/>
      <c r="S517" s="41"/>
      <c r="T517" s="41"/>
      <c r="U517" s="41"/>
      <c r="V517" s="41"/>
      <c r="W517" s="41"/>
      <c r="X517" s="41"/>
      <c r="Y517" s="41"/>
      <c r="Z517" s="41"/>
      <c r="AA517" s="41"/>
      <c r="AB517" s="41"/>
      <c r="AC517" s="41"/>
      <c r="AD517" s="41"/>
    </row>
    <row r="518" ht="15.75" customHeight="1">
      <c r="K518" t="s">
        <v>795</v>
      </c>
      <c r="L518" t="str">
        <f>B116</f>
        <v>T2</v>
      </c>
      <c r="N518" t="s">
        <v>796</v>
      </c>
      <c r="O518">
        <v>1.6450058E7</v>
      </c>
      <c r="P518">
        <v>1.4338178E7</v>
      </c>
      <c r="Q518" t="s">
        <v>252</v>
      </c>
      <c r="R518" s="41"/>
      <c r="S518" s="41"/>
      <c r="T518" s="41"/>
      <c r="U518" s="41"/>
      <c r="V518" s="41"/>
      <c r="W518" s="41"/>
      <c r="X518" s="41"/>
      <c r="Y518" s="41"/>
      <c r="Z518" s="41"/>
      <c r="AA518" s="41"/>
      <c r="AB518" s="41"/>
      <c r="AC518" s="41"/>
      <c r="AD518" s="41"/>
    </row>
    <row r="519" ht="15.75" customHeight="1">
      <c r="K519" t="s">
        <v>797</v>
      </c>
      <c r="L519" t="str">
        <f>B116</f>
        <v>T2</v>
      </c>
      <c r="N519" t="s">
        <v>798</v>
      </c>
      <c r="O519">
        <v>1.6513405E7</v>
      </c>
      <c r="P519">
        <v>1.4401525E7</v>
      </c>
      <c r="Q519" t="s">
        <v>286</v>
      </c>
      <c r="R519" s="41"/>
      <c r="S519" s="41"/>
      <c r="T519" s="41"/>
      <c r="U519" s="41"/>
      <c r="V519" s="41"/>
      <c r="W519" s="41"/>
      <c r="X519" s="41"/>
      <c r="Y519" s="41"/>
      <c r="Z519" s="41"/>
      <c r="AA519" s="41"/>
      <c r="AB519" s="41"/>
      <c r="AC519" s="41"/>
      <c r="AD519" s="41"/>
    </row>
    <row r="520" ht="15.75" customHeight="1">
      <c r="K520" t="s">
        <v>799</v>
      </c>
      <c r="L520" t="str">
        <f>B116</f>
        <v>T2</v>
      </c>
      <c r="N520" t="s">
        <v>800</v>
      </c>
      <c r="O520">
        <v>1.7140313E7</v>
      </c>
      <c r="P520">
        <v>1.5028433E7</v>
      </c>
      <c r="Q520" t="s">
        <v>252</v>
      </c>
      <c r="R520" s="41"/>
      <c r="S520" s="41"/>
      <c r="T520" s="41"/>
      <c r="U520" s="41"/>
      <c r="V520" s="41"/>
      <c r="W520" s="41"/>
      <c r="X520" s="41"/>
      <c r="Y520" s="41"/>
      <c r="Z520" s="41"/>
      <c r="AA520" s="41"/>
      <c r="AB520" s="41"/>
      <c r="AC520" s="41"/>
      <c r="AD520" s="41"/>
    </row>
    <row r="521" ht="15.75" customHeight="1">
      <c r="K521" t="s">
        <v>801</v>
      </c>
      <c r="L521" t="str">
        <f>B116</f>
        <v>T2</v>
      </c>
      <c r="N521" t="s">
        <v>802</v>
      </c>
      <c r="O521">
        <v>1.7144696E7</v>
      </c>
      <c r="P521">
        <v>1.5032816E7</v>
      </c>
      <c r="Q521" t="s">
        <v>245</v>
      </c>
      <c r="R521" s="41"/>
      <c r="S521" s="41"/>
      <c r="T521" s="41"/>
      <c r="U521" s="41"/>
      <c r="V521" s="41"/>
      <c r="W521" s="41"/>
      <c r="X521" s="41"/>
      <c r="Y521" s="41"/>
      <c r="Z521" s="41"/>
      <c r="AA521" s="41"/>
      <c r="AB521" s="41"/>
      <c r="AC521" s="41"/>
      <c r="AD521" s="41"/>
    </row>
    <row r="522" ht="15.75" customHeight="1">
      <c r="K522" t="s">
        <v>803</v>
      </c>
      <c r="L522" t="str">
        <f>B116</f>
        <v>T2</v>
      </c>
      <c r="N522" t="s">
        <v>804</v>
      </c>
      <c r="O522">
        <v>1.7233855E7</v>
      </c>
      <c r="P522">
        <v>1.5121975E7</v>
      </c>
      <c r="Q522" t="s">
        <v>256</v>
      </c>
      <c r="R522" s="41"/>
      <c r="S522" s="41"/>
      <c r="T522" s="41"/>
      <c r="U522" s="41"/>
      <c r="V522" s="41"/>
      <c r="W522" s="41"/>
      <c r="X522" s="41"/>
      <c r="Y522" s="41"/>
      <c r="Z522" s="41"/>
      <c r="AA522" s="41"/>
      <c r="AB522" s="41"/>
      <c r="AC522" s="41"/>
      <c r="AD522" s="41"/>
    </row>
    <row r="523" ht="15.75" customHeight="1">
      <c r="K523" t="s">
        <v>805</v>
      </c>
      <c r="L523" t="str">
        <f>B116</f>
        <v>T2</v>
      </c>
      <c r="N523" t="s">
        <v>806</v>
      </c>
      <c r="O523">
        <v>1.7289978E7</v>
      </c>
      <c r="P523">
        <v>1.5178098E7</v>
      </c>
      <c r="Q523" t="s">
        <v>256</v>
      </c>
      <c r="R523" s="41"/>
      <c r="S523" s="41"/>
      <c r="T523" s="41"/>
      <c r="U523" s="41"/>
      <c r="V523" s="41"/>
      <c r="W523" s="41"/>
      <c r="X523" s="41"/>
      <c r="Y523" s="41"/>
      <c r="Z523" s="41"/>
      <c r="AA523" s="41"/>
      <c r="AB523" s="41"/>
      <c r="AC523" s="41"/>
      <c r="AD523" s="41"/>
    </row>
    <row r="524" ht="15.75" customHeight="1">
      <c r="K524" t="s">
        <v>807</v>
      </c>
      <c r="L524" t="str">
        <f>B116</f>
        <v>T2</v>
      </c>
      <c r="N524" t="s">
        <v>808</v>
      </c>
      <c r="O524">
        <v>1.7339863E7</v>
      </c>
      <c r="P524">
        <v>1.5227983E7</v>
      </c>
      <c r="Q524" t="s">
        <v>252</v>
      </c>
      <c r="R524" s="41"/>
      <c r="S524" s="41"/>
      <c r="T524" s="41"/>
      <c r="U524" s="41"/>
      <c r="V524" s="41"/>
      <c r="W524" s="41"/>
      <c r="X524" s="41"/>
      <c r="Y524" s="41"/>
      <c r="Z524" s="41"/>
      <c r="AA524" s="41"/>
      <c r="AB524" s="41"/>
      <c r="AC524" s="41"/>
      <c r="AD524" s="41"/>
    </row>
    <row r="525" ht="15.75" customHeight="1">
      <c r="K525" t="s">
        <v>809</v>
      </c>
      <c r="L525" t="str">
        <f>B116</f>
        <v>T2</v>
      </c>
      <c r="N525" t="s">
        <v>810</v>
      </c>
      <c r="O525">
        <v>1.7354701E7</v>
      </c>
      <c r="P525">
        <v>1.5242821E7</v>
      </c>
      <c r="Q525" t="s">
        <v>245</v>
      </c>
      <c r="R525" s="41"/>
      <c r="S525" s="41"/>
      <c r="T525" s="41"/>
      <c r="U525" s="41"/>
      <c r="V525" s="41"/>
      <c r="W525" s="41"/>
      <c r="X525" s="41"/>
      <c r="Y525" s="41"/>
      <c r="Z525" s="41"/>
      <c r="AA525" s="41"/>
      <c r="AB525" s="41"/>
      <c r="AC525" s="41"/>
      <c r="AD525" s="41"/>
    </row>
    <row r="526" ht="15.75" customHeight="1">
      <c r="K526" t="s">
        <v>811</v>
      </c>
      <c r="L526" t="str">
        <f>B116</f>
        <v>T2</v>
      </c>
      <c r="N526" t="s">
        <v>812</v>
      </c>
      <c r="O526">
        <v>1.7496142E7</v>
      </c>
      <c r="P526">
        <v>1.5384262E7</v>
      </c>
      <c r="Q526" t="s">
        <v>516</v>
      </c>
      <c r="R526" s="41"/>
      <c r="S526" s="41"/>
      <c r="T526" s="41"/>
      <c r="U526" s="41"/>
      <c r="V526" s="41"/>
      <c r="W526" s="41"/>
      <c r="X526" s="41"/>
      <c r="Y526" s="41"/>
      <c r="Z526" s="41"/>
      <c r="AA526" s="41"/>
      <c r="AB526" s="41"/>
      <c r="AC526" s="41"/>
      <c r="AD526" s="41"/>
    </row>
    <row r="527" ht="15.75" customHeight="1">
      <c r="K527" t="s">
        <v>813</v>
      </c>
      <c r="L527" t="str">
        <f>B116</f>
        <v>T2</v>
      </c>
      <c r="N527" t="s">
        <v>814</v>
      </c>
      <c r="O527">
        <v>1.7527605E7</v>
      </c>
      <c r="P527">
        <v>1.5415725E7</v>
      </c>
      <c r="Q527" t="s">
        <v>245</v>
      </c>
      <c r="R527" s="41"/>
      <c r="S527" s="41"/>
      <c r="T527" s="41"/>
      <c r="U527" s="41"/>
      <c r="V527" s="41"/>
      <c r="W527" s="41"/>
      <c r="X527" s="41"/>
      <c r="Y527" s="41"/>
      <c r="Z527" s="41"/>
      <c r="AA527" s="41"/>
      <c r="AB527" s="41"/>
      <c r="AC527" s="41"/>
      <c r="AD527" s="41"/>
    </row>
    <row r="528" ht="15.75" customHeight="1">
      <c r="K528" t="s">
        <v>815</v>
      </c>
      <c r="L528" t="str">
        <f>B116</f>
        <v>T2</v>
      </c>
      <c r="N528" t="s">
        <v>816</v>
      </c>
      <c r="O528">
        <v>1.7748087E7</v>
      </c>
      <c r="P528">
        <v>1.5636207E7</v>
      </c>
      <c r="Q528" t="s">
        <v>516</v>
      </c>
      <c r="R528" s="41"/>
      <c r="S528" s="41"/>
      <c r="T528" s="41"/>
      <c r="U528" s="41"/>
      <c r="V528" s="41"/>
      <c r="W528" s="41"/>
      <c r="X528" s="41"/>
      <c r="Y528" s="41"/>
      <c r="Z528" s="41"/>
      <c r="AA528" s="41"/>
      <c r="AB528" s="41"/>
      <c r="AC528" s="41"/>
      <c r="AD528" s="41"/>
    </row>
    <row r="529" ht="15.75" customHeight="1">
      <c r="K529" t="s">
        <v>817</v>
      </c>
      <c r="L529" t="str">
        <f>B116</f>
        <v>T2</v>
      </c>
      <c r="N529" t="s">
        <v>818</v>
      </c>
      <c r="O529">
        <v>1.7805851E7</v>
      </c>
      <c r="P529">
        <v>1.5693971E7</v>
      </c>
      <c r="Q529" t="s">
        <v>256</v>
      </c>
      <c r="R529" s="41"/>
      <c r="S529" s="41"/>
      <c r="T529" s="41"/>
      <c r="U529" s="41"/>
      <c r="V529" s="41"/>
      <c r="W529" s="41"/>
      <c r="X529" s="41"/>
      <c r="Y529" s="41"/>
      <c r="Z529" s="41"/>
      <c r="AA529" s="41"/>
      <c r="AB529" s="41"/>
      <c r="AC529" s="41"/>
      <c r="AD529" s="41"/>
    </row>
    <row r="530" ht="15.75" customHeight="1">
      <c r="K530" t="s">
        <v>819</v>
      </c>
      <c r="L530" t="str">
        <f>B116</f>
        <v>T2</v>
      </c>
      <c r="N530" t="s">
        <v>820</v>
      </c>
      <c r="O530">
        <v>1.7833314E7</v>
      </c>
      <c r="P530">
        <v>1.5721434E7</v>
      </c>
      <c r="Q530" t="s">
        <v>256</v>
      </c>
      <c r="R530" s="41"/>
      <c r="S530" s="41"/>
      <c r="T530" s="41"/>
      <c r="U530" s="41"/>
      <c r="V530" s="41"/>
      <c r="W530" s="41"/>
      <c r="X530" s="41"/>
      <c r="Y530" s="41"/>
      <c r="Z530" s="41"/>
      <c r="AA530" s="41"/>
      <c r="AB530" s="41"/>
      <c r="AC530" s="41"/>
      <c r="AD530" s="41"/>
    </row>
    <row r="531" ht="15.75" customHeight="1">
      <c r="K531" t="s">
        <v>821</v>
      </c>
      <c r="L531" t="str">
        <f>B116</f>
        <v>T2</v>
      </c>
      <c r="N531" t="s">
        <v>822</v>
      </c>
      <c r="O531">
        <v>1.7889595E7</v>
      </c>
      <c r="P531">
        <v>1.5777715E7</v>
      </c>
      <c r="Q531" t="s">
        <v>303</v>
      </c>
      <c r="R531" s="41"/>
      <c r="S531" s="41"/>
      <c r="T531" s="41"/>
      <c r="U531" s="41"/>
      <c r="V531" s="41"/>
      <c r="W531" s="41"/>
      <c r="X531" s="41"/>
      <c r="Y531" s="41"/>
      <c r="Z531" s="41"/>
      <c r="AA531" s="41"/>
      <c r="AB531" s="41"/>
      <c r="AC531" s="41"/>
      <c r="AD531" s="41"/>
    </row>
    <row r="532" ht="15.75" customHeight="1">
      <c r="K532" t="s">
        <v>823</v>
      </c>
      <c r="L532" t="str">
        <f>B116</f>
        <v>T2</v>
      </c>
      <c r="N532" t="s">
        <v>824</v>
      </c>
      <c r="O532">
        <v>1.7970972E7</v>
      </c>
      <c r="P532">
        <v>1.5859092E7</v>
      </c>
      <c r="Q532" t="s">
        <v>296</v>
      </c>
      <c r="R532" s="41"/>
      <c r="S532" s="41"/>
      <c r="T532" s="41"/>
      <c r="U532" s="41"/>
      <c r="V532" s="41"/>
      <c r="W532" s="41"/>
      <c r="X532" s="41"/>
      <c r="Y532" s="41"/>
      <c r="Z532" s="41"/>
      <c r="AA532" s="41"/>
      <c r="AB532" s="41"/>
      <c r="AC532" s="41"/>
      <c r="AD532" s="41"/>
    </row>
    <row r="533" ht="15.75" customHeight="1">
      <c r="K533" t="s">
        <v>825</v>
      </c>
      <c r="L533" t="str">
        <f>B116</f>
        <v>T2</v>
      </c>
      <c r="N533" t="s">
        <v>826</v>
      </c>
      <c r="O533">
        <v>1.8148278E7</v>
      </c>
      <c r="P533">
        <v>1.6036398E7</v>
      </c>
      <c r="Q533" t="s">
        <v>252</v>
      </c>
      <c r="R533" s="41"/>
      <c r="S533" s="41"/>
      <c r="T533" s="41"/>
      <c r="U533" s="41"/>
      <c r="V533" s="41"/>
      <c r="W533" s="41"/>
      <c r="X533" s="41"/>
      <c r="Y533" s="41"/>
      <c r="Z533" s="41"/>
      <c r="AA533" s="41"/>
      <c r="AB533" s="41"/>
      <c r="AC533" s="41"/>
      <c r="AD533" s="41"/>
    </row>
    <row r="534" ht="15.75" customHeight="1">
      <c r="K534" t="s">
        <v>827</v>
      </c>
      <c r="L534" t="str">
        <f>B116</f>
        <v>T2</v>
      </c>
      <c r="N534" t="s">
        <v>828</v>
      </c>
      <c r="O534">
        <v>1.8576362E7</v>
      </c>
      <c r="P534">
        <v>1.6464482E7</v>
      </c>
      <c r="Q534" t="s">
        <v>272</v>
      </c>
      <c r="R534" s="41"/>
      <c r="S534" s="41"/>
      <c r="T534" s="41"/>
      <c r="U534" s="41"/>
      <c r="V534" s="41"/>
      <c r="W534" s="41"/>
      <c r="X534" s="41"/>
      <c r="Y534" s="41"/>
      <c r="Z534" s="41"/>
      <c r="AA534" s="41"/>
      <c r="AB534" s="41"/>
      <c r="AC534" s="41"/>
      <c r="AD534" s="41"/>
    </row>
    <row r="535" ht="15.75" customHeight="1">
      <c r="K535" t="s">
        <v>829</v>
      </c>
      <c r="L535" t="str">
        <f>B116</f>
        <v>T2</v>
      </c>
      <c r="N535" t="s">
        <v>830</v>
      </c>
      <c r="O535">
        <v>1.8607752E7</v>
      </c>
      <c r="P535">
        <v>1.6495872E7</v>
      </c>
      <c r="Q535" t="s">
        <v>245</v>
      </c>
      <c r="R535" s="41"/>
      <c r="S535" s="41"/>
      <c r="T535" s="41"/>
      <c r="U535" s="41"/>
      <c r="V535" s="41"/>
      <c r="W535" s="41"/>
      <c r="X535" s="41"/>
      <c r="Y535" s="41"/>
      <c r="Z535" s="41"/>
      <c r="AA535" s="41"/>
      <c r="AB535" s="41"/>
      <c r="AC535" s="41"/>
      <c r="AD535" s="41"/>
    </row>
    <row r="536" ht="15.75" customHeight="1">
      <c r="K536" t="s">
        <v>831</v>
      </c>
      <c r="L536" t="str">
        <f>B116</f>
        <v>T2</v>
      </c>
      <c r="N536" t="s">
        <v>832</v>
      </c>
      <c r="O536">
        <v>1.8613798E7</v>
      </c>
      <c r="P536">
        <v>1.6501918E7</v>
      </c>
      <c r="Q536" t="s">
        <v>275</v>
      </c>
      <c r="R536" s="41"/>
      <c r="S536" s="41"/>
      <c r="T536" s="41"/>
      <c r="U536" s="41"/>
      <c r="V536" s="41"/>
      <c r="W536" s="41"/>
      <c r="X536" s="41"/>
      <c r="Y536" s="41"/>
      <c r="Z536" s="41"/>
      <c r="AA536" s="41"/>
      <c r="AB536" s="41"/>
      <c r="AC536" s="41"/>
      <c r="AD536" s="41"/>
    </row>
    <row r="537" ht="15.75" customHeight="1">
      <c r="K537" t="s">
        <v>833</v>
      </c>
      <c r="L537" t="str">
        <f>B116</f>
        <v>T2</v>
      </c>
      <c r="N537" t="s">
        <v>834</v>
      </c>
      <c r="O537">
        <v>1.8696577E7</v>
      </c>
      <c r="P537">
        <v>1.6584697E7</v>
      </c>
      <c r="Q537" t="s">
        <v>275</v>
      </c>
      <c r="R537" s="41"/>
      <c r="S537" s="41"/>
      <c r="T537" s="41"/>
      <c r="U537" s="41"/>
      <c r="V537" s="41"/>
      <c r="W537" s="41"/>
      <c r="X537" s="41"/>
      <c r="Y537" s="41"/>
      <c r="Z537" s="41"/>
      <c r="AA537" s="41"/>
      <c r="AB537" s="41"/>
      <c r="AC537" s="41"/>
      <c r="AD537" s="41"/>
    </row>
    <row r="538" ht="15.75" customHeight="1">
      <c r="K538" t="s">
        <v>835</v>
      </c>
      <c r="L538" t="str">
        <f>B116</f>
        <v>T2</v>
      </c>
      <c r="N538" t="s">
        <v>836</v>
      </c>
      <c r="O538">
        <v>1.8712269E7</v>
      </c>
      <c r="P538">
        <v>1.6600389E7</v>
      </c>
      <c r="Q538" t="s">
        <v>256</v>
      </c>
      <c r="R538" s="41"/>
      <c r="S538" s="41"/>
      <c r="T538" s="41"/>
      <c r="U538" s="41"/>
      <c r="V538" s="41"/>
      <c r="W538" s="41"/>
      <c r="X538" s="41"/>
      <c r="Y538" s="41"/>
      <c r="Z538" s="41"/>
      <c r="AA538" s="41"/>
      <c r="AB538" s="41"/>
      <c r="AC538" s="41"/>
      <c r="AD538" s="41"/>
    </row>
    <row r="539" ht="15.75" customHeight="1">
      <c r="K539" t="s">
        <v>837</v>
      </c>
      <c r="L539" t="str">
        <f>B116</f>
        <v>T2</v>
      </c>
      <c r="N539" t="s">
        <v>838</v>
      </c>
      <c r="O539">
        <v>1.8779768E7</v>
      </c>
      <c r="P539">
        <v>1.6667888E7</v>
      </c>
      <c r="Q539" t="s">
        <v>426</v>
      </c>
      <c r="R539" s="41"/>
      <c r="S539" s="41"/>
      <c r="T539" s="41"/>
      <c r="U539" s="41"/>
      <c r="V539" s="41"/>
      <c r="W539" s="41"/>
      <c r="X539" s="41"/>
      <c r="Y539" s="41"/>
      <c r="Z539" s="41"/>
      <c r="AA539" s="41"/>
      <c r="AB539" s="41"/>
      <c r="AC539" s="41"/>
      <c r="AD539" s="41"/>
    </row>
    <row r="540" ht="15.75" customHeight="1">
      <c r="K540" t="s">
        <v>839</v>
      </c>
      <c r="L540" t="str">
        <f>B116</f>
        <v>T2</v>
      </c>
      <c r="N540" t="s">
        <v>840</v>
      </c>
      <c r="O540">
        <v>1.8965435E7</v>
      </c>
      <c r="P540">
        <v>1.6853555E7</v>
      </c>
      <c r="Q540" t="s">
        <v>426</v>
      </c>
      <c r="R540" s="41"/>
      <c r="S540" s="41"/>
      <c r="T540" s="41"/>
      <c r="U540" s="41"/>
      <c r="V540" s="41"/>
      <c r="W540" s="41"/>
      <c r="X540" s="41"/>
      <c r="Y540" s="41"/>
      <c r="Z540" s="41"/>
      <c r="AA540" s="41"/>
      <c r="AB540" s="41"/>
      <c r="AC540" s="41"/>
      <c r="AD540" s="41"/>
    </row>
    <row r="541" ht="15.75" customHeight="1">
      <c r="K541" t="s">
        <v>841</v>
      </c>
      <c r="L541" t="str">
        <f>B116</f>
        <v>T2</v>
      </c>
      <c r="N541" t="s">
        <v>842</v>
      </c>
      <c r="O541">
        <v>1.9095733E7</v>
      </c>
      <c r="P541">
        <v>1.6983853E7</v>
      </c>
      <c r="Q541" t="s">
        <v>245</v>
      </c>
      <c r="R541" s="41"/>
      <c r="S541" s="41"/>
      <c r="T541" s="41"/>
      <c r="U541" s="41"/>
      <c r="V541" s="41"/>
      <c r="W541" s="41"/>
      <c r="X541" s="41"/>
      <c r="Y541" s="41"/>
      <c r="Z541" s="41"/>
      <c r="AA541" s="41"/>
      <c r="AB541" s="41"/>
      <c r="AC541" s="41"/>
      <c r="AD541" s="41"/>
    </row>
    <row r="542" ht="15.75" customHeight="1">
      <c r="K542" t="s">
        <v>843</v>
      </c>
      <c r="L542" t="str">
        <f>B116</f>
        <v>T2</v>
      </c>
      <c r="N542" t="s">
        <v>844</v>
      </c>
      <c r="O542">
        <v>1.9319734E7</v>
      </c>
      <c r="P542">
        <v>1.7207854E7</v>
      </c>
      <c r="Q542" t="s">
        <v>256</v>
      </c>
      <c r="R542" s="41"/>
      <c r="S542" s="41"/>
      <c r="T542" s="41"/>
      <c r="U542" s="41"/>
      <c r="V542" s="41"/>
      <c r="W542" s="41"/>
      <c r="X542" s="41"/>
      <c r="Y542" s="41"/>
      <c r="Z542" s="41"/>
      <c r="AA542" s="41"/>
      <c r="AB542" s="41"/>
      <c r="AC542" s="41"/>
      <c r="AD542" s="41"/>
    </row>
    <row r="543" ht="15.75" customHeight="1">
      <c r="K543" t="s">
        <v>845</v>
      </c>
      <c r="L543" t="str">
        <f>B116</f>
        <v>T2</v>
      </c>
      <c r="N543" t="s">
        <v>846</v>
      </c>
      <c r="O543">
        <v>1.9563721E7</v>
      </c>
      <c r="P543">
        <v>1.7451841E7</v>
      </c>
      <c r="Q543" t="s">
        <v>286</v>
      </c>
      <c r="R543" s="41"/>
      <c r="S543" s="41"/>
      <c r="T543" s="41"/>
      <c r="U543" s="41"/>
      <c r="V543" s="41"/>
      <c r="W543" s="41"/>
      <c r="X543" s="41"/>
      <c r="Y543" s="41"/>
      <c r="Z543" s="41"/>
      <c r="AA543" s="41"/>
      <c r="AB543" s="41"/>
      <c r="AC543" s="41"/>
      <c r="AD543" s="41"/>
    </row>
    <row r="544" ht="15.75" customHeight="1">
      <c r="K544" t="s">
        <v>847</v>
      </c>
      <c r="L544" t="str">
        <f>B116</f>
        <v>T2</v>
      </c>
      <c r="N544" t="s">
        <v>848</v>
      </c>
      <c r="O544">
        <v>2.1156583E7</v>
      </c>
      <c r="P544">
        <v>1.8994697E7</v>
      </c>
      <c r="Q544" t="s">
        <v>286</v>
      </c>
      <c r="R544" s="41"/>
      <c r="S544" s="41"/>
      <c r="T544" s="41"/>
      <c r="U544" s="41"/>
      <c r="V544" s="41"/>
      <c r="W544" s="41"/>
      <c r="X544" s="41"/>
      <c r="Y544" s="41"/>
      <c r="Z544" s="41"/>
      <c r="AA544" s="41"/>
      <c r="AB544" s="41"/>
      <c r="AC544" s="41"/>
      <c r="AD544" s="41"/>
    </row>
    <row r="545" ht="15.75" customHeight="1">
      <c r="K545" t="s">
        <v>849</v>
      </c>
      <c r="L545" t="str">
        <f>B116</f>
        <v>T2</v>
      </c>
      <c r="N545" t="s">
        <v>850</v>
      </c>
      <c r="O545">
        <v>2.1261297E7</v>
      </c>
      <c r="P545">
        <v>1.9099411E7</v>
      </c>
      <c r="Q545" t="s">
        <v>256</v>
      </c>
      <c r="R545" s="41"/>
      <c r="S545" s="41"/>
      <c r="T545" s="41"/>
      <c r="U545" s="41"/>
      <c r="V545" s="41"/>
      <c r="W545" s="41"/>
      <c r="X545" s="41"/>
      <c r="Y545" s="41"/>
      <c r="Z545" s="41"/>
      <c r="AA545" s="41"/>
      <c r="AB545" s="41"/>
      <c r="AC545" s="41"/>
      <c r="AD545" s="41"/>
    </row>
    <row r="546" ht="15.75" customHeight="1">
      <c r="K546" t="s">
        <v>851</v>
      </c>
      <c r="L546" t="str">
        <f>B116</f>
        <v>T2</v>
      </c>
      <c r="N546" t="s">
        <v>852</v>
      </c>
      <c r="O546">
        <v>2.1401101E7</v>
      </c>
      <c r="P546">
        <v>1.9239215E7</v>
      </c>
      <c r="Q546" t="s">
        <v>256</v>
      </c>
      <c r="R546" s="41"/>
      <c r="S546" s="41"/>
      <c r="T546" s="41"/>
      <c r="U546" s="41"/>
      <c r="V546" s="41"/>
      <c r="W546" s="41"/>
      <c r="X546" s="41"/>
      <c r="Y546" s="41"/>
      <c r="Z546" s="41"/>
      <c r="AA546" s="41"/>
      <c r="AB546" s="41"/>
      <c r="AC546" s="41"/>
      <c r="AD546" s="41"/>
    </row>
    <row r="547" ht="15.75" customHeight="1">
      <c r="K547" t="s">
        <v>853</v>
      </c>
      <c r="L547" t="str">
        <f>B116</f>
        <v>T2</v>
      </c>
      <c r="N547" t="s">
        <v>854</v>
      </c>
      <c r="O547">
        <v>2.1618307E7</v>
      </c>
      <c r="P547">
        <v>1.9456421E7</v>
      </c>
      <c r="Q547" t="s">
        <v>303</v>
      </c>
      <c r="R547" s="41"/>
      <c r="S547" s="41"/>
      <c r="T547" s="41"/>
      <c r="U547" s="41"/>
      <c r="V547" s="41"/>
      <c r="W547" s="41"/>
      <c r="X547" s="41"/>
      <c r="Y547" s="41"/>
      <c r="Z547" s="41"/>
      <c r="AA547" s="41"/>
      <c r="AB547" s="41"/>
      <c r="AC547" s="41"/>
      <c r="AD547" s="41"/>
    </row>
    <row r="548" ht="15.75" customHeight="1">
      <c r="K548" t="s">
        <v>855</v>
      </c>
      <c r="L548" t="str">
        <f>B116</f>
        <v>T2</v>
      </c>
      <c r="N548" t="s">
        <v>856</v>
      </c>
      <c r="O548">
        <v>2.1622834E7</v>
      </c>
      <c r="P548">
        <v>1.9460948E7</v>
      </c>
      <c r="Q548" t="s">
        <v>303</v>
      </c>
      <c r="R548" s="41"/>
      <c r="S548" s="41"/>
      <c r="T548" s="41"/>
      <c r="U548" s="41"/>
      <c r="V548" s="41"/>
      <c r="W548" s="41"/>
      <c r="X548" s="41"/>
      <c r="Y548" s="41"/>
      <c r="Z548" s="41"/>
      <c r="AA548" s="41"/>
      <c r="AB548" s="41"/>
      <c r="AC548" s="41"/>
      <c r="AD548" s="41"/>
    </row>
    <row r="549" ht="15.75" customHeight="1">
      <c r="K549" t="s">
        <v>857</v>
      </c>
      <c r="L549" t="str">
        <f>B116</f>
        <v>T2</v>
      </c>
      <c r="N549" t="s">
        <v>858</v>
      </c>
      <c r="O549">
        <v>2.170339E7</v>
      </c>
      <c r="P549">
        <v>1.9541504E7</v>
      </c>
      <c r="Q549" t="s">
        <v>252</v>
      </c>
      <c r="R549" s="41"/>
      <c r="S549" s="41"/>
      <c r="T549" s="41"/>
      <c r="U549" s="41"/>
      <c r="V549" s="41"/>
      <c r="W549" s="41"/>
      <c r="X549" s="41"/>
      <c r="Y549" s="41"/>
      <c r="Z549" s="41"/>
      <c r="AA549" s="41"/>
      <c r="AB549" s="41"/>
      <c r="AC549" s="41"/>
      <c r="AD549" s="41"/>
    </row>
    <row r="550" ht="15.75" customHeight="1">
      <c r="K550" t="s">
        <v>859</v>
      </c>
      <c r="L550" t="str">
        <f>B116</f>
        <v>T2</v>
      </c>
      <c r="N550" t="s">
        <v>860</v>
      </c>
      <c r="O550">
        <v>2.1758571E7</v>
      </c>
      <c r="P550">
        <v>1.9596685E7</v>
      </c>
      <c r="Q550" t="s">
        <v>256</v>
      </c>
      <c r="R550" s="41"/>
      <c r="S550" s="41"/>
      <c r="T550" s="41"/>
      <c r="U550" s="41"/>
      <c r="V550" s="41"/>
      <c r="W550" s="41"/>
      <c r="X550" s="41"/>
      <c r="Y550" s="41"/>
      <c r="Z550" s="41"/>
      <c r="AA550" s="41"/>
      <c r="AB550" s="41"/>
      <c r="AC550" s="41"/>
      <c r="AD550" s="41"/>
    </row>
    <row r="551" ht="15.75" customHeight="1">
      <c r="K551" t="s">
        <v>861</v>
      </c>
      <c r="L551" t="str">
        <f>B116</f>
        <v>T2</v>
      </c>
      <c r="N551" t="s">
        <v>862</v>
      </c>
      <c r="O551">
        <v>2.2584442E7</v>
      </c>
      <c r="P551">
        <v>2.0422556E7</v>
      </c>
      <c r="Q551" t="s">
        <v>256</v>
      </c>
      <c r="R551" s="41"/>
      <c r="S551" s="41"/>
      <c r="T551" s="41"/>
      <c r="U551" s="41"/>
      <c r="V551" s="41"/>
      <c r="W551" s="41"/>
      <c r="X551" s="41"/>
      <c r="Y551" s="41"/>
      <c r="Z551" s="41"/>
      <c r="AA551" s="41"/>
      <c r="AB551" s="41"/>
      <c r="AC551" s="41"/>
      <c r="AD551" s="41"/>
    </row>
    <row r="552" ht="15.75" customHeight="1">
      <c r="K552" t="s">
        <v>863</v>
      </c>
      <c r="L552" t="str">
        <f>B116</f>
        <v>T2</v>
      </c>
      <c r="N552" t="s">
        <v>864</v>
      </c>
      <c r="O552">
        <v>2.2675971E7</v>
      </c>
      <c r="P552">
        <v>2.0514085E7</v>
      </c>
      <c r="Q552" t="s">
        <v>516</v>
      </c>
      <c r="R552" s="41"/>
      <c r="S552" s="41"/>
      <c r="T552" s="41"/>
      <c r="U552" s="41"/>
      <c r="V552" s="41"/>
      <c r="W552" s="41"/>
      <c r="X552" s="41"/>
      <c r="Y552" s="41"/>
      <c r="Z552" s="41"/>
      <c r="AA552" s="41"/>
      <c r="AB552" s="41"/>
      <c r="AC552" s="41"/>
      <c r="AD552" s="41"/>
    </row>
    <row r="553" ht="15.75" customHeight="1">
      <c r="K553" t="s">
        <v>865</v>
      </c>
      <c r="L553" t="str">
        <f>B116</f>
        <v>T2</v>
      </c>
      <c r="N553" t="s">
        <v>866</v>
      </c>
      <c r="O553">
        <v>2.268705E7</v>
      </c>
      <c r="P553">
        <v>2.0525164E7</v>
      </c>
      <c r="Q553" t="s">
        <v>272</v>
      </c>
      <c r="R553" s="41"/>
      <c r="S553" s="41"/>
      <c r="T553" s="41"/>
      <c r="U553" s="41"/>
      <c r="V553" s="41"/>
      <c r="W553" s="41"/>
      <c r="X553" s="41"/>
      <c r="Y553" s="41"/>
      <c r="Z553" s="41"/>
      <c r="AA553" s="41"/>
      <c r="AB553" s="41"/>
      <c r="AC553" s="41"/>
      <c r="AD553" s="41"/>
    </row>
    <row r="554" ht="15.75" customHeight="1">
      <c r="K554" t="s">
        <v>867</v>
      </c>
      <c r="L554" t="str">
        <f>B116</f>
        <v>T2</v>
      </c>
      <c r="N554" t="s">
        <v>868</v>
      </c>
      <c r="O554">
        <v>2.2753683E7</v>
      </c>
      <c r="P554">
        <v>2.0591797E7</v>
      </c>
      <c r="Q554" t="s">
        <v>252</v>
      </c>
      <c r="R554" s="41"/>
      <c r="S554" s="41"/>
      <c r="T554" s="41"/>
      <c r="U554" s="41"/>
      <c r="V554" s="41"/>
      <c r="W554" s="41"/>
      <c r="X554" s="41"/>
      <c r="Y554" s="41"/>
      <c r="Z554" s="41"/>
      <c r="AA554" s="41"/>
      <c r="AB554" s="41"/>
      <c r="AC554" s="41"/>
      <c r="AD554" s="41"/>
    </row>
    <row r="555" ht="15.75" customHeight="1">
      <c r="K555" t="s">
        <v>869</v>
      </c>
      <c r="L555" t="str">
        <f>B116</f>
        <v>T2</v>
      </c>
      <c r="N555" t="s">
        <v>870</v>
      </c>
      <c r="O555">
        <v>2.291212E7</v>
      </c>
      <c r="P555">
        <v>2.0750234E7</v>
      </c>
      <c r="Q555" t="s">
        <v>245</v>
      </c>
      <c r="R555" s="41"/>
      <c r="S555" s="41"/>
      <c r="T555" s="41"/>
      <c r="U555" s="41"/>
      <c r="V555" s="41"/>
      <c r="W555" s="41"/>
      <c r="X555" s="41"/>
      <c r="Y555" s="41"/>
      <c r="Z555" s="41"/>
      <c r="AA555" s="41"/>
      <c r="AB555" s="41"/>
      <c r="AC555" s="41"/>
      <c r="AD555" s="41"/>
    </row>
    <row r="556" ht="15.75" customHeight="1">
      <c r="K556" t="s">
        <v>871</v>
      </c>
      <c r="L556" t="str">
        <f>B116</f>
        <v>T2</v>
      </c>
      <c r="N556" t="s">
        <v>872</v>
      </c>
      <c r="O556">
        <v>2.3481259E7</v>
      </c>
      <c r="P556">
        <v>2.1319373E7</v>
      </c>
      <c r="Q556" t="s">
        <v>252</v>
      </c>
      <c r="R556" s="41"/>
      <c r="S556" s="41"/>
      <c r="T556" s="41"/>
      <c r="U556" s="41"/>
      <c r="V556" s="41"/>
      <c r="W556" s="41"/>
      <c r="X556" s="41"/>
      <c r="Y556" s="41"/>
      <c r="Z556" s="41"/>
      <c r="AA556" s="41"/>
      <c r="AB556" s="41"/>
      <c r="AC556" s="41"/>
      <c r="AD556" s="41"/>
    </row>
    <row r="557" ht="15.75" customHeight="1">
      <c r="R557" s="41"/>
      <c r="S557" s="41"/>
      <c r="T557" s="41"/>
      <c r="U557" s="41"/>
      <c r="V557" s="41"/>
      <c r="W557" s="41"/>
      <c r="X557" s="41"/>
      <c r="Y557" s="41"/>
      <c r="Z557" s="41"/>
      <c r="AA557" s="41"/>
      <c r="AB557" s="41"/>
      <c r="AC557" s="41"/>
      <c r="AD557" s="41"/>
    </row>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16">
    <mergeCell ref="C5:L5"/>
    <mergeCell ref="C8:L8"/>
    <mergeCell ref="B26:L26"/>
    <mergeCell ref="B27:L27"/>
    <mergeCell ref="B28:L28"/>
    <mergeCell ref="B33:M33"/>
    <mergeCell ref="C34:M34"/>
    <mergeCell ref="A133:M133"/>
    <mergeCell ref="A134:L134"/>
    <mergeCell ref="D36:N36"/>
    <mergeCell ref="E37:N37"/>
    <mergeCell ref="F38:O38"/>
    <mergeCell ref="E95:N95"/>
    <mergeCell ref="F98:N98"/>
    <mergeCell ref="H100:O100"/>
    <mergeCell ref="C116:N116"/>
  </mergeCells>
  <hyperlinks>
    <hyperlink r:id="rId1" ref="A137"/>
    <hyperlink r:id="rId2" ref="A138"/>
    <hyperlink r:id="rId3" ref="A139"/>
    <hyperlink r:id="rId4" ref="A140"/>
    <hyperlink r:id="rId5" ref="A141"/>
    <hyperlink r:id="rId6" ref="A142"/>
    <hyperlink r:id="rId7" ref="A143"/>
    <hyperlink r:id="rId8" ref="A144"/>
    <hyperlink r:id="rId9" ref="A146"/>
    <hyperlink r:id="rId10" ref="A147"/>
    <hyperlink r:id="rId11" ref="A148"/>
    <hyperlink r:id="rId12" ref="A149"/>
    <hyperlink r:id="rId13" ref="A150"/>
    <hyperlink r:id="rId14" ref="A151"/>
    <hyperlink r:id="rId15" ref="A152"/>
    <hyperlink r:id="rId16" ref="A153"/>
    <hyperlink r:id="rId17" ref="A154"/>
    <hyperlink r:id="rId18" ref="A157"/>
    <hyperlink r:id="rId19" ref="A158"/>
  </hyperlinks>
  <drawing r:id="rId20"/>
</worksheet>
</file>