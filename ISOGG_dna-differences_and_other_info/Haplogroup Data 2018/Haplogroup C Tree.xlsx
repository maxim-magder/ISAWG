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Sheet1!$K$503:$Z$6429</definedName>
  </definedNames>
  <calcPr/>
</workbook>
</file>

<file path=xl/sharedStrings.xml><?xml version="1.0" encoding="utf-8"?>
<sst xmlns="http://schemas.openxmlformats.org/spreadsheetml/2006/main" count="19021" uniqueCount="10033">
  <si>
    <t>Y-DNA Haplogroup C and its Subclades - 2018</t>
  </si>
  <si>
    <t>Downloading this spreadsheet as Excel retains format.  Links may not copy to new sheet.</t>
  </si>
  <si>
    <t>The entire work is identified by the Version Number and date given on</t>
  </si>
  <si>
    <t>Directions for citing the document are listed on</t>
  </si>
  <si>
    <t>Main Page</t>
  </si>
  <si>
    <t>Last revision date for this specific page: 10 December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</si>
  <si>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</si>
  <si>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</si>
  <si>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</si>
  <si>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</si>
  <si>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</si>
  <si>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</si>
  <si>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</si>
  <si>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</si>
  <si>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</si>
  <si>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</si>
  <si>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</si>
  <si>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</si>
  <si>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</si>
  <si>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</si>
  <si>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</si>
  <si>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</si>
  <si>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C:</t>
  </si>
  <si>
    <t xml:space="preserve"> </t>
  </si>
  <si>
    <t>C</t>
  </si>
  <si>
    <r>
      <rPr>
        <rFont val="Arial"/>
        <b/>
        <i/>
      </rPr>
      <t>M130/Page51/RPS4Y711</t>
    </r>
    <r>
      <rPr>
        <rFont val="Arial"/>
        <i/>
      </rPr>
      <t xml:space="preserve">, CTS179/Z3857, CTS182, CTS280, CTS840, CTS1384, CTS1396, CTS1606, CTS2014, </t>
    </r>
    <r>
      <rPr>
        <rFont val="Arial"/>
        <i/>
      </rPr>
      <t>CTS2377</t>
    </r>
    <r>
      <rPr>
        <rFont val="Arial"/>
        <i/>
      </rPr>
      <t xml:space="preserve">, CTS2416, CTS2550, CTS2599, CTS2941, CTS2955, CTS3151, CTS3153, CTS3221, CTS3233, CTS3658, </t>
    </r>
    <r>
      <rPr>
        <rFont val="Arial"/>
        <i/>
      </rPr>
      <t>CTS3910, CTS4032</t>
    </r>
    <r>
      <rPr>
        <rFont val="Arial"/>
        <i/>
      </rPr>
      <t xml:space="preserve">, CTS4676, CTS4686, CTS4934, CTS5151, CTS5383, CTS5441, CTS5813, CTS5958, CTS6203, CTS6266, CTS6378, CTS6492, CTS6893, CTS6898, CTS6916, CTS7301/M3716/PF2705, CTS7752, CTS7930, CTS8148, CTS8566, CTS8572, CTS8769, CTS9413, CTS9611, CTS9679, CTS10083, </t>
    </r>
    <r>
      <rPr>
        <rFont val="Arial"/>
        <i/>
      </rPr>
      <t>CTS10116</t>
    </r>
    <r>
      <rPr>
        <rFont val="Arial"/>
        <i/>
      </rPr>
      <t xml:space="preserve">, CTS10165, CTS10256, CTS10271/V4042, CTS10442, CTS10509, CTS10534, CTS10707, CTS10720, CTS10782, CTS11149, CTS11412, </t>
    </r>
    <r>
      <rPr>
        <rFont val="Arial"/>
        <i/>
      </rPr>
      <t>CTS11544</t>
    </r>
    <r>
      <rPr>
        <rFont val="Arial"/>
        <i/>
      </rPr>
      <t xml:space="preserve">, CTS11598, </t>
    </r>
    <r>
      <rPr>
        <rFont val="Arial"/>
        <i/>
      </rPr>
      <t>CTS11820</t>
    </r>
    <r>
      <rPr>
        <rFont val="Arial"/>
        <i/>
      </rPr>
      <t xml:space="preserve">, CTS12472, </t>
    </r>
    <r>
      <rPr>
        <rFont val="Arial"/>
        <i/>
      </rPr>
      <t>F847, F909, F917</t>
    </r>
    <r>
      <rPr>
        <rFont val="Arial"/>
        <i/>
      </rPr>
      <t>, F1029/V232,</t>
    </r>
    <r>
      <rPr>
        <rFont val="Arial"/>
        <i/>
      </rPr>
      <t xml:space="preserve"> F1030, F1044/V1354, F1118, F1217/V2015, F1241/V2099, F1288/V2200, F1307/V2258, F1367, F1490, F1727,</t>
    </r>
    <r>
      <rPr>
        <rFont val="Arial"/>
        <i/>
      </rPr>
      <t xml:space="preserve"> F1743, F1804, F1865/Page85, </t>
    </r>
    <r>
      <rPr>
        <rFont val="Arial"/>
        <i/>
      </rPr>
      <t>F1871</t>
    </r>
    <r>
      <rPr>
        <rFont val="Arial"/>
        <i/>
      </rPr>
      <t xml:space="preserve">, F1905/V2801, F1911/V2823, F2067, F2211, F2253, F2258, F2305, F2434, F2446, F2449, F2485, F2501, F2606, F2607, F2678, F2774, F2792/V3332, F2803, </t>
    </r>
    <r>
      <rPr>
        <rFont val="Arial"/>
        <i/>
      </rPr>
      <t>F2847/V3497</t>
    </r>
    <r>
      <rPr>
        <rFont val="Arial"/>
        <i/>
      </rPr>
      <t xml:space="preserve">, </t>
    </r>
    <r>
      <rPr>
        <rFont val="Arial"/>
        <i/>
      </rPr>
      <t>F2858/V3533</t>
    </r>
    <r>
      <rPr>
        <rFont val="Arial"/>
        <i/>
      </rPr>
      <t xml:space="preserve">, F2869/V3554, </t>
    </r>
    <r>
      <rPr>
        <rFont val="Arial"/>
        <i/>
      </rPr>
      <t>F2888/V3578, F2897/V3600, F2909/V3643, F2969</t>
    </r>
    <r>
      <rPr>
        <rFont val="Arial"/>
        <i/>
      </rPr>
      <t xml:space="preserve">, F2990, F3043, F3082, F3311, </t>
    </r>
    <r>
      <rPr>
        <rFont val="Arial"/>
        <i/>
      </rPr>
      <t>F3319</t>
    </r>
    <r>
      <rPr>
        <rFont val="Arial"/>
        <i/>
      </rPr>
      <t xml:space="preserve">, </t>
    </r>
    <r>
      <rPr>
        <rFont val="Arial"/>
        <i/>
      </rPr>
      <t>F3388, F3395, F3400, F3462, F3537</t>
    </r>
    <r>
      <rPr>
        <rFont val="Arial"/>
        <i/>
      </rPr>
      <t xml:space="preserve">, F3703, </t>
    </r>
    <r>
      <rPr>
        <rFont val="Arial"/>
        <i/>
      </rPr>
      <t>F3712, F3719</t>
    </r>
    <r>
      <rPr>
        <rFont val="Arial"/>
        <i/>
      </rPr>
      <t xml:space="preserve">, F3877, F4000, Z4084, IMS-JST029149/V1075/Y1763, </t>
    </r>
    <r>
      <rPr>
        <rFont val="Arial"/>
        <b/>
        <i/>
      </rPr>
      <t>M216</t>
    </r>
    <r>
      <rPr>
        <rFont val="Arial"/>
        <b/>
        <i/>
      </rPr>
      <t xml:space="preserve">, </t>
    </r>
    <r>
      <rPr>
        <rFont val="Arial"/>
        <i/>
      </rPr>
      <t xml:space="preserve">P255/P325, P260/P324, </t>
    </r>
    <r>
      <rPr>
        <rFont val="Arial"/>
        <i/>
      </rPr>
      <t>PF2639</t>
    </r>
    <r>
      <rPr>
        <rFont val="Arial"/>
        <i/>
      </rPr>
      <t xml:space="preserve">, V77, V199, </t>
    </r>
    <r>
      <rPr>
        <rFont val="Arial"/>
        <i/>
      </rPr>
      <t>V1234/Z3950, V1580/Z3965, Y1767/Z7606, Y1788/Z3945, Y2798/Z7798, Y2799/Z7648, Y4481/Z7230, Y4496/Z7169, Y6691, Y6693/Z7171, Z3958, Z3962, Z3974, Z3977, Z3981, Z3983, Z3986, Z4004, Z4014, Z4059, Z4071, Z4072, Z4073, Z4081, Z4082, Z4083, Z4090, Z4091, Z4093, Z4095, Z4096, Z4099, Z4139, Z4145, Z4159, Z7144, Z7177, Z7785, Z18049.2</t>
    </r>
  </si>
  <si>
    <t>C1</t>
  </si>
  <si>
    <r>
      <rPr>
        <b/>
        <i/>
      </rPr>
      <t>F3393/Z1426</t>
    </r>
    <r>
      <rPr>
        <i/>
      </rPr>
      <t>, CTS6773/M3987, K29, K30, K33, K35</t>
    </r>
  </si>
  <si>
    <t>C1a</t>
  </si>
  <si>
    <r>
      <rPr>
        <b/>
        <i/>
      </rPr>
      <t>CTS11043</t>
    </r>
    <r>
      <rPr>
        <i/>
      </rPr>
      <t>,</t>
    </r>
    <r>
      <rPr>
        <i/>
      </rPr>
      <t xml:space="preserve"> CTS3454, CTS8809, CTS9491, CTS11268, Z4056</t>
    </r>
  </si>
  <si>
    <t>CTS1488, CTS1664, CTS1917, CTS3110, CTS3284, CTS4948, CTS5744/Z1395, CTS6584, CTS6737, CTS6897/Z1400, CTS7882, CTS8161, CTS10170, CTS10579, CTS11165, CTS11402, CTS11923, CTS12317, CTS12482, Z1355, Z1424, Z3949.2, Z3957, Z7143, Z7173, Z7178, Z7197, Z7213, Z7214, Z7215, Z7575, Z7582, Z7602, Z7604, Z7610, Z7614, Z7633, Z7651, Z7831, Z7834, Z7837, Z7840, Z7843, Z7845, Z7853, Z7854, Z7862, Z7863, Z7932, Z7933, Z7977, Z7979, [these may instead be at M8 tree level]</t>
  </si>
  <si>
    <t>C1a1</t>
  </si>
  <si>
    <t>M8</t>
  </si>
  <si>
    <t>C1a1~</t>
  </si>
  <si>
    <t>CTS824/Z1364, CTS219, CTS231, CTS460, CTS470, CTS483, CTS684, CTS861, CTS896/Z1365, CTS943/Z1367, CTS951, CTS1057, CTS1140, CTS1178/Z1368, CTS1186, CTS1208, CTS1355, CTS1736, CTS1874, CTS1994, CTS2176, CTS2189, CTS2211, CTS2212, CTS2278, CTS2298, CTS2413/Z1388, CTS2609, CTS3357.1, CTS3363, CTS3368/PF693/V2645, CTS3370, CTS3374/Z1390, CTS3487, CTS3760/Z1391, CTS3825, CTS4045, CTS4050, CTS4147, CTS4173, CTS4198, CTS4318/Z1392, CTS4324, CTS4683, CTS4822/Z1393, CTS4866, CTS5010, CTS5249, CTS5312/Z1394, CTS5398, CTS5794/Z1396, CTS5798, CTS6118.2, CTS6338, CTS5942, CTS6149/Z1398, CTS6670, CTS7097/Z1401, CTS7285, CTS7538/Z1402, CTS7720, CTS7803/Z1403, CTS7952/Z1404, CTS8209, CTS8339, CTS8419, CTS8520/Z1405, CTS8715, CTS8781, CTS8798, CTS8873, CTS9122, CTS9166/Z1407, CTS9228, CTS9291, CTS9351, CTS9466, CTS9472, CTS9498, CTS9565/Z1408, CTS9619, CTS9932, CTS9951, CTS10045/Z1410, CTS10124/Z1411, CTS10138, CTS10195, CTS10310, CTS10312/Z1412, CTS10327, CTS10462, CTS10515, CTS10639/Z1422, CTS10831/Z1423, CTS10899, CTS11072/Z1425, CTS11241/Z1427, CTS11257, CTS11382/Z1428, CTS11581/Z1429, CTS11613, CTS11652, CTS11891, CTS11892, CTS11893/Z1430, CTS11914, FGC22000/M8378/Z7235/ZS3800, IMS-JST022455, M105, M240, P122, S16874/Z7851, SK986/Z7973, SK987/Z7836, Z1366, Z1369, Z1371, Z1374, Z1375, Z1376, Z1378, Z1379, Z1380, Z1381, Z1382, Z1383, Z1384, Z1386, Z1399, Z1420, Z1421, Z1431, Z3939, Z3940, Z3942, Z3953, Z3955.2, Z3960, Z3963, Z3964, Z3969, Z3971, Z3972, Z3975, Z3976, Z3978, Z3982, Z3984, Z3989, Z3990, Z3992, Z3993, Z3996, Z4002, Z4003, Z4021, Z4023, Z4032, Z4036, Z4039, Z4043, Z4046, Z4053, Z4057, Z4058, Z4060, Z4061, Z4065, Z4066, Z4070, Z4075, Z4076, Z4078, Z4079, Z4080, Z4087, Z4089, Z4092, Z4097, Z4098, Z4100, Z4129, Z4134, Z4137, Z4148, Z4150, Z4152, Z4154, Z7142, Z7145, Z7146, Z7147, Z7150, Z7151, Z7152, Z7164, Z7165, Z7166, Z7167, Z7168, Z7170, Z7172, Z7175, Z7176, Z7181, Z7183, Z7185, Z7186, Z7187, Z7191, Z7195, Z7203, Z7216, Z7225, Z7226, Z7236, Z7251, Z7252, Z7576, Z7577, Z7580, Z7596, Z7603, Z7612, Z7613, Z7615, Z7622, Z7623, Z7627, Z7634, Z7644, Z7685, Z7707, Z7710, Z7784, Z7786, Z7788, Z7790, Z7791, Z7838, Z7839, Z7841, Z7844, Z7846, Z7847, Z7848, Z7850, Z7852, Z7857, Z7858, Z7860, Z7868, Z7928, Z7930, Z7931, Z7935, Z7936, Z7938, Z7963, Z7964, Z7965, Z7966, Z7969, Z7982, Z7983, Z7987, Z18146</t>
  </si>
  <si>
    <t>C1a1a</t>
  </si>
  <si>
    <t>P121</t>
  </si>
  <si>
    <t>C1a1a1</t>
  </si>
  <si>
    <t>CTS9336</t>
  </si>
  <si>
    <t>C1a1a1a</t>
  </si>
  <si>
    <r>
      <rPr>
        <b/>
        <i/>
      </rPr>
      <t>CTS6678^</t>
    </r>
    <r>
      <rPr>
        <i/>
      </rPr>
      <t>, CTS10729, CTS11058, Z7054, Z7180, Z7196, Z7643, Z7650^, Z7968^, Z7972^</t>
    </r>
  </si>
  <si>
    <t>C1a1a1a1~</t>
  </si>
  <si>
    <t>CTS5225, CTS5490, CTS6939, CTS7675</t>
  </si>
  <si>
    <t>[2nd grp]. Z7163, Z31829, Z31830, Z31831, Z31832</t>
  </si>
  <si>
    <t>C1a1a1b</t>
  </si>
  <si>
    <r>
      <rPr>
        <b/>
        <i/>
      </rPr>
      <t>Z1356</t>
    </r>
    <r>
      <rPr>
        <i/>
      </rPr>
      <t>, CTS7128/Z1357, Z4160, Z7162, Z7228, Z7231, Z7232, Z7234, Z7237, Z7856, Z7869, Z7870, Z7898, Z7899, Z7900, Z7901, Z7902, Z7903, Z7904, Z7986, Z7988, Z7989, Z7991</t>
    </r>
  </si>
  <si>
    <t>C1a1a1b1~</t>
  </si>
  <si>
    <t>Z31833, Z31834, Z31835, Z31837</t>
  </si>
  <si>
    <t>C1a1a1b2</t>
  </si>
  <si>
    <t>Z40544</t>
  </si>
  <si>
    <t>C1a1a1b2~</t>
  </si>
  <si>
    <t xml:space="preserve">CTS786, Z31839, Z31840, Z31841 </t>
  </si>
  <si>
    <t>C1a1a2~</t>
  </si>
  <si>
    <t>Z45460, Z45461, Z45462, Z45463, Z45464</t>
  </si>
  <si>
    <t>C1a2</t>
  </si>
  <si>
    <r>
      <rPr>
        <b/>
        <i/>
      </rPr>
      <t>V20</t>
    </r>
    <r>
      <rPr>
        <i/>
      </rPr>
      <t>, FGC14605/Y11410, M1009, PH4550/V4174/Z29324, V86, V219, V1069/Z28000, V1086/Z28001, V1327/Z28783, V1363/Z28784, V1453/Z28789, V1526/Z28792, V1535/Z29320, V1581/Z30458, V1858/Z30219, V1876/Z28801, V2031/Z28805, V2141/Z28808, V2185/Z28809, V2268/Z28811, V2416/Z28814, V2420/Z28815, V2593/Z29322, V2618/Z29323, V2722/Z28853, V3163/Z28863, V3177/Z28864, V3249/Z28867, V3293/Z28932, V3390/Z28938, V3697/Z28946, V3703/Z28948, V3780/Z28951, Y10448/Z30457, Y10449/Z28790, Y10453/Z28799, Y10456/Z28845, Y10458/Z38842, Y10461/Z28859, Y10463/Z28006, Y10464/Z28874, Y10465/Z30459, Y10466/Z28007, Y10467/Z28898, Y10469/Z28907, Y10470.1/Z28914.1, Y10471/Z30460, Y10472/Z28936, Y10473/Z28940, Y10474/Z28944, Y10476/Z28947, Y10477/Z28968, Y10478/Z28975, Y10479/Z28977, Y10480/Z29325, Y10481/Z30226, Y10482/Z30463, Y10483/Z29007, Y10488/Z28016, Y10489/Z28017, Y11330/Z28771, Y11332/Z28772, Y11333/Z28773, Y11334/Z28774, Y11335/Z28776, Y11338/Z28780, Y11341/Z28785, Y11342/Z28786, Y11343/Z28788, Y11346/Z28003, Y11349/Z28796, Y11352/Z28798, Y11359/Z28818, Y11360/Z28820, Y11368/Z28832, Y11369/Z28833, Y11370/Z28842, Y11371/Z28843, Y11375/Z28005, Y11383/Z28851, Y11385/Z28852, Y11387/Z28855, Y11389/Z28861, Y11390/Z28862, Y11392/Z28865, Y11393/Z28866, Y11394/Z28868, Y11397/Z28869, Y11401/Z28872, Y11402/Z28873, Y11403/Z28875, Y11405/Z28876, Y11406/Z28877, Y11409/Z28883, Y11413/Z28885, Y11417/Z28889, Y11420/Z28891, Y11425/Z28897, Y11428/Z28900, Y11430/Z28904, Y11431/Z28910, Y11432/Z28911, Y11433/Z28912, Y11434/Z28913, Y11436/Z28915, Y11437/Z28918, Y11438/Z28917, Y11440/Z28919, Y11441/Z28920, Y11443/Z28924, Y11444/Z28925, Y11445/Z28926, Y11446/Z28927, Y11447/Z28928, Y11448/Z28930, Y11449/Z28931, Y11452/Z28937, Y11456/Z28950, Y11460/Z28959, Y11462/Z28011, Y11463/Z28960, Y11464/Z28964, Y11466/Z28965, Y11467/Z28967, Y11469/Z28969, Y11472/Z28978, Y11473/Z28979, Y11474/Z28982, Y11475/Z28983, Y11478/Z30461, Y11479/Z28986, Y11482/Z28988, Y11488/Z28999, Y11490/Z29001, Y11492/Z28015, Y11495/Z29003, Y11496/Z29004, Y11497/Z29005, Y11502/Z29010, Y11503/Z29011, Y11504/Z29012, Y11506/Z29018, Y11507/Z29019, Y11509/Z29023, Y11588/Z28804, Y11590/Z28823, Y11591/Z28831, Y11592/Z28860, Y11594/Z28963, Y12186/Z9438/Z28922, YP332.2, Z28834, Z28835, Z28837, Z28838, Z28985</t>
    </r>
  </si>
  <si>
    <t>C1a2~</t>
  </si>
  <si>
    <t>V184</t>
  </si>
  <si>
    <t>C1a2a</t>
  </si>
  <si>
    <r>
      <rPr>
        <b/>
        <i/>
      </rPr>
      <t>V182</t>
    </r>
    <r>
      <rPr>
        <i/>
      </rPr>
      <t>, A701/V3287, S23981, V1997/Z28803, V2267/Z28810, V3589/Z28945, Y10451/Z28794, Y10455/Z28004, Y10459/Z28857, Y10462/Z30221, Y10468/Z28902, Y10475/Z28009, Y10484/Z29328, Y10486/Z29015, Y11348/Z28795, Y11358/Z28816, Y11374/Z28844, Y11380/Z38843, Y11381/Z38844, Y11398/Z28870, Y11407/Z28880, Y11412/Z28884, Y11421/Z28893, Y11454/Z28941, Y11470/Z28972, Y11471/Z28973, Y11476/Z28984, Y11481/Z28987, Y11485/Z28997, Y11487/Z28998, Y11489/Z29000, Y11493/Z29002, Y11498/Z29008, Y11501/Z29009, Y11505/Z29013, Y12184/Z29327, Z28840</t>
    </r>
  </si>
  <si>
    <t>C1a2a1</t>
  </si>
  <si>
    <r>
      <rPr>
        <b/>
        <i/>
      </rPr>
      <t>V222</t>
    </r>
    <r>
      <rPr>
        <i/>
      </rPr>
      <t xml:space="preserve">, FGC15334.1/V1970.1, FGC15527/Y12183, V1023/Z28767, V1183/Z28781, V2101/Z28807, V2301/Z28812, V3314/Z28934, V3568/Z28935, V3918/Z28955, V3922/Z28956, V4150/Z30225, Y11681/Z28778, Y11685/Z28787, Y11687/Z28800, Y11689/Z28802, Y11690/Z28819, Y11692/Z28827, Y11697/Z28856, Y11699/Z28882, Y11700/Z30222, Y11701/Z28901, Y11702/Z28905, Y11703/Z28906, Y11704/Z28908, Y11705/Z30223, Y11706/Z28966, Y11710/Z30224, Y11712/Z28980, Y11713/Z29014, Y11714/Z29016, Y11715/Z29017, Y12122/Z28806, Y12124/Z28886, Y12125/Z28916, Y12126/Z28939, Y12127/Z28957, Y12128/Z28971, Y12129/Z28002, Y12132/Z28782, Y12134/Z28841, Y12135/Z28921, Y12136/Z28008, Y12137/Z28952, Y12142/Z28970, Y12144/Z29006, Y12149/Z28775, Y12150/Z28777, Y12151/Z28791, Y12152/Z28813, Y12138/Z28953, Y12139/Z28958, Y12145/Z29021, Y12154/Z28817, Y12155/Z28846, Y12158/Z30220, Y12160/Z28871, Y12161/Z28878, Y12162/Z28879, Y12163/Z28881, Y12164/Z28892, Y12166/Z28895, Y12168/Z28899, Y12169/Z28909, Y12171/Z28923, Y12172/Z28933, Y12175/Z28949, Y12176/Z28981, Y12177/Z28854, Y12178/Z25957.2, Z28839 </t>
    </r>
  </si>
  <si>
    <t>C1a2a1a</t>
  </si>
  <si>
    <r>
      <rPr>
        <b/>
        <i/>
      </rPr>
      <t>Z31808</t>
    </r>
    <r>
      <rPr>
        <i/>
      </rPr>
      <t>, Z31809, Z31810, Z31811, Z31812, Z31813, Z31814</t>
    </r>
  </si>
  <si>
    <t>C1a2a1a1~</t>
  </si>
  <si>
    <t>Z31798, Z31799, Z31800, Z31801, Z31802</t>
  </si>
  <si>
    <t>C1a2a1a2~</t>
  </si>
  <si>
    <t>Z31815</t>
  </si>
  <si>
    <t>C1a2a1b</t>
  </si>
  <si>
    <r>
      <rPr>
        <b/>
        <i/>
      </rPr>
      <t>Y12157/Z30466</t>
    </r>
    <r>
      <rPr>
        <i/>
      </rPr>
      <t>, Y11695/Z30467, Y11708/Z30468, Y11709/Z30469, Y12146/Z30471</t>
    </r>
  </si>
  <si>
    <t>C1a2a1b1~</t>
  </si>
  <si>
    <t>A2211/Z30362, A2212/Z30363, A2213/Z30364, A2214/Z30365, A2215/Z30366</t>
  </si>
  <si>
    <t>C1a2a1b2~</t>
  </si>
  <si>
    <t>Z31803, Z31804, Z31805, Z31806, Z31807</t>
  </si>
  <si>
    <t>C1a2a1b3~</t>
  </si>
  <si>
    <t>Z46268, Z46269, Z46270, Z46271, Z46272</t>
  </si>
  <si>
    <t>C1a2a1c~</t>
  </si>
  <si>
    <t>Z31793, Z31794, Z31795, Z31796, Z31797</t>
  </si>
  <si>
    <t>C1a2a2</t>
  </si>
  <si>
    <r>
      <rPr>
        <b/>
        <i/>
      </rPr>
      <t>Y11325/Z29329</t>
    </r>
    <r>
      <rPr>
        <i/>
      </rPr>
      <t>, AMM324/S854, F1628, S21803, Y10490/Z29334, Y10492/Z29335, Y10493/Z29338, Y10494/Z29341, Y10495/Z29342, Y10496/Z29347, Y10498/Z29349, Y10499/Z29350, Y10500/Z32152,Y10502/Z29364, Y10503/Z29365, Y10504/Z29366, Y10505/Z29368, Y10506/Z29370, Y10507/Z29372, Y10509/Z29374, Y10510/Z29377, Y10511/Z29384, Y10512/Z29385, Y10513/Z29386, Y10514/Z29389, Y10515/Z29393, Y10516/Z29395, Y10517/Z29396, Y10518/Z29398, Y10519/Z29403, Y10522/Z29407, Y10523/Z29392, Y11326/Z29330, Y11327/Z29331, Y11331/Z29333, Y11340/Z29336, Y11344/Z29337, Y11345/Z29339, Y11351/Z29340, Y11353/Z29343, Y11354/Z29344, Y11355/Z29345, Y11356/Z29346, Y11357/Z29351, Y11361/Z29352, Y11366/Z29354, Y11376/Z29358, Y11377/Z29359, Y11378/Z29360, Y11379/Z29361, Y11382/Z29362, Y11384/Z29363, Y11388/Z29367, Y11391/Z29369, Y11400/Z29371, Y11404/Z29373, Y11408/Z29375, Y11411/Z29376, Y11415/Z29378, Y11416/Z29379, Y11419/Z29380, Y11423/Z29382, Y11427/Z29383, Y11435/Z29387, Y11439/Z29388, Y11442/Z29390, Y11450/Z29394, Y11455/Z29397, Y11457/Z29399, Y11459/Z29401, Y11461/Z29404, Y11465/Z29405, Y11468/Z29406, Y11486/Z29381, Z29332</t>
    </r>
  </si>
  <si>
    <t>C1a2a2a~</t>
  </si>
  <si>
    <t>Z31819, Z31820, Z31821, Z31822, Z31823</t>
  </si>
  <si>
    <t>C1a2a2b~</t>
  </si>
  <si>
    <t>Z31824, Z31825, Z31826, Z31827, Z31828</t>
  </si>
  <si>
    <t>C1a2b</t>
  </si>
  <si>
    <r>
      <rPr>
        <b/>
        <i/>
      </rPr>
      <t>Z38888</t>
    </r>
    <r>
      <rPr>
        <i/>
      </rPr>
      <t xml:space="preserve">, </t>
    </r>
    <r>
      <rPr>
        <i/>
        <color rgb="FFCC0000"/>
      </rPr>
      <t>PH428/</t>
    </r>
    <r>
      <rPr>
        <i/>
      </rPr>
      <t>Z44463, Z38886, Z38887, Z38889, Z38890, Z44460, Z44461, Z44462, Z44464, Z44465, Z44466, Z44467, Z44468, Z44469, Z44470, Z44471, Z44472, Z44473, Z44475, Z44476, Z44477, Z44478, Z44479, Z44480, Z44481, Z44482, Z44483, Z44484, Z44485, Z44486, Z44487, Z44488, Z44489, Z44490, Z44491, Z44492, Z44493, Z44494, Z44495, Z44496, Z44497, Z44498, Z44499, Z44500, Z44501, Z44502, Z44503, Z44504, Z44505, Z44506, Z44507, Z44508, Z44509, Z44510, Z44511, Z44512, Z44513, Z44514, Z44515, Z44516, Z44517, Z44518, Z44519, Z44520, Z44521, Z44522, Z44523, Z44524, Z44525, Z44597, Z44598, Z44599, Z44600, Z44601</t>
    </r>
  </si>
  <si>
    <t>C1a2b1~</t>
  </si>
  <si>
    <t xml:space="preserve">Z44576, Z44577, Z44578, Z44579  </t>
  </si>
  <si>
    <t>C1a2b2~</t>
  </si>
  <si>
    <t>Z44526. Z44527, Z44528, Z44529, Z44530</t>
  </si>
  <si>
    <t>C1b</t>
  </si>
  <si>
    <r>
      <rPr>
        <b/>
      </rPr>
      <t>F1370,</t>
    </r>
    <r>
      <t xml:space="preserve"> </t>
    </r>
    <r>
      <rPr>
        <i/>
      </rPr>
      <t>Z16480</t>
    </r>
  </si>
  <si>
    <t>C1b1</t>
  </si>
  <si>
    <t>AM00694/K281</t>
  </si>
  <si>
    <t>C1b1a</t>
  </si>
  <si>
    <t>B66/Z16458</t>
  </si>
  <si>
    <t>C1b1a1</t>
  </si>
  <si>
    <r>
      <rPr>
        <b/>
        <i/>
      </rPr>
      <t>M356</t>
    </r>
    <r>
      <rPr>
        <i/>
      </rPr>
      <t xml:space="preserve">, </t>
    </r>
    <r>
      <rPr>
        <i/>
        <color rgb="FFCC0000"/>
      </rPr>
      <t>BY82640, BY82729, BY105430, F17997, F23660, FGC79118, K98, K111, K112, K123, K124, K128, K130, K137, K158, K165, K220, K221, K224, K228, K229, K230, K239, K241, K243, K253, K262, K266, K271, K275, K278, K279, K286, K288, K291, K298, K314, K334, K335, K340, K353, K355, K357, K372, K376, K403, K416, K431, PH407, PH1645, PH2603, PH3651, PH3707, PH3953, PH3972, PH4409, PH4552, PH5168, PH5321^, PH5346,</t>
    </r>
    <r>
      <rPr>
        <i/>
      </rPr>
      <t xml:space="preserve"> SK991/Z16459, SK997/Z16451, SK998/Z16467, </t>
    </r>
    <r>
      <rPr>
        <i/>
        <color rgb="FFCC0000"/>
      </rPr>
      <t xml:space="preserve">SK999, Y28071, Y28072, Y28073, Y28082, Y28084, Y28085, Y29427, Y29428, Y29432Z16452, </t>
    </r>
    <r>
      <rPr>
        <i/>
      </rPr>
      <t>Z16453, Z16454, Z16455, Z16456, Z16457, Z16459, Z16461, Z16462, Z16461, Z16462, Z16463, Z16464, Z16465, Z16466, Z16468, Z16470, Z16471, Z16472, Z16473, Z16475, Z16476, Z16477, Z16478, Z16479, Z16486, Z16487, Z16557, Z16558</t>
    </r>
  </si>
  <si>
    <t>C1b1a1~</t>
  </si>
  <si>
    <t>Z16449</t>
  </si>
  <si>
    <t>C1b1a1a</t>
  </si>
  <si>
    <r>
      <rPr>
        <b/>
        <i/>
      </rPr>
      <t>P92</t>
    </r>
    <r>
      <rPr>
        <i/>
      </rPr>
      <t>, K105, K43, K99, K108, K129, K134, K141, K146, K147, K156, K161, K162, K187, K205, K249, K252, K260, K261, K267, K280, K293, K310, K317, K319, K320, K323, K327, K331^, K358, K377, K401, K414, K415, K417, K426, K427, K435, Y28086, Z12426^, Z12429, Z12437, Z12438, Z12439, Z12440, Z12441, Z12442, Z12443, Z12444^, Z12446, Z12449, Z12450, Z12451, Z12452, Z12453, Z12454, Z12455, Z12456, Z12457, Z12458, Z12460, Z12461, Z12462, Z12463, Z12464, Z12465, Z12466, Z12467^, Z12468, Z12469, Z12470, Z12471, Z12472, Z12473, Z12475, Z12476, Z12477^</t>
    </r>
  </si>
  <si>
    <t>C1b1a1a1</t>
  </si>
  <si>
    <r>
      <rPr>
        <b/>
        <i/>
      </rPr>
      <t>Z5895</t>
    </r>
    <r>
      <rPr>
        <i/>
      </rPr>
      <t>, K40, K41, K102, K104, K113, K119, K136, K138, K195^, K196, K197, K198, K223, K231, K234, K238, K258, K274, K277, K296, K297, K303, K308, K309, K332, K333, K341, K400, K406, K407, K412, K429, K434, Z12485, Z12486, Z12487, Z12488, Z12489, Z12490, Z12492, Z12493, Z12494</t>
    </r>
  </si>
  <si>
    <t>C1b1a1a1a</t>
  </si>
  <si>
    <t>K159</t>
  </si>
  <si>
    <t>C1b1a1a1a1</t>
  </si>
  <si>
    <r>
      <rPr>
        <b/>
        <i/>
      </rPr>
      <t>K96</t>
    </r>
    <r>
      <rPr>
        <i/>
      </rPr>
      <t>, K107, K131, K163, K233, K272, K283, K425, Z12480, Z12481, Z12497, Z12498, Z12499, Z12500, Z12502, Z12503</t>
    </r>
  </si>
  <si>
    <t>C1b1a1a1a1a</t>
  </si>
  <si>
    <r>
      <rPr>
        <b/>
        <i/>
      </rPr>
      <t>K42</t>
    </r>
    <r>
      <rPr>
        <i/>
      </rPr>
      <t>, K101, K117, K118, K135, K140, K143, K209, K227, K235, K236, K244, K276, K300, K316, K338, K362, K418/Z12513, Z12505, Z12506, Z12509, Z12510.1/Z15303.1, Z12511, Z12512, Z12514</t>
    </r>
  </si>
  <si>
    <t>C1b1a1a1a1a1</t>
  </si>
  <si>
    <r>
      <rPr>
        <b/>
        <i/>
      </rPr>
      <t>Z5896</t>
    </r>
    <r>
      <rPr>
        <i/>
      </rPr>
      <t>, K428, Z12515, Z12517, Z12518, Z12519</t>
    </r>
  </si>
  <si>
    <t>C1b1a1a1a1a1~</t>
  </si>
  <si>
    <t>K225</t>
  </si>
  <si>
    <t>C1b1a1a1a1a1a</t>
  </si>
  <si>
    <t>K193</t>
  </si>
  <si>
    <t>C1b1a1a1a1a1a1</t>
  </si>
  <si>
    <t>Z12522</t>
  </si>
  <si>
    <t>C1b1a1a1a1a1a1a</t>
  </si>
  <si>
    <r>
      <rPr>
        <b/>
        <i/>
      </rPr>
      <t>K466</t>
    </r>
    <r>
      <rPr>
        <i/>
      </rPr>
      <t>, K468</t>
    </r>
  </si>
  <si>
    <t>C1b1a1a1a1a1a1a1</t>
  </si>
  <si>
    <t>K470</t>
  </si>
  <si>
    <t>C1b1a1a1a1a1a1a1a</t>
  </si>
  <si>
    <t>Z5898</t>
  </si>
  <si>
    <t>C1b1a1a1a1a1a1a1a1~</t>
  </si>
  <si>
    <t>Z19767.2, Z31772, Z31773, Z31774</t>
  </si>
  <si>
    <t>C1b1a1a1a1a1a1a1a2~</t>
  </si>
  <si>
    <t>PF4617.2, Z31188.2, Z31775, Z31777</t>
  </si>
  <si>
    <t>C1b1a1a1a1a1a1a1b~</t>
  </si>
  <si>
    <t>FGC22190.2/Y5076.2, Z12675.2, Z31763, Z31764, Z31765</t>
  </si>
  <si>
    <t>C1b1a1a1a1a1a1a1c~</t>
  </si>
  <si>
    <t>Z31766, Z31767, Z31768, Z31769, Z31770</t>
  </si>
  <si>
    <t>C1b1a1a1a1a1a1a2~</t>
  </si>
  <si>
    <t>Z31758, Z31760, Z31761, Z31762</t>
  </si>
  <si>
    <t>C1b1a1a1a1a1a1b~</t>
  </si>
  <si>
    <t>Z31743, Z31744, Z31745, Z31746, Z31747</t>
  </si>
  <si>
    <t>C1b1a1a1a1a1a1c~</t>
  </si>
  <si>
    <t>Z31748, Z31749, Z31750, Z31751, Z31752</t>
  </si>
  <si>
    <t>C1b1a1a1a1a1a1d~</t>
  </si>
  <si>
    <t>Z31753, Z31755, Z31756</t>
  </si>
  <si>
    <t>C1b1a1a1a1a1b~</t>
  </si>
  <si>
    <t>Z31733, Z31734, Z31735, Z31736</t>
  </si>
  <si>
    <t>C1b1a1a1a1a2~</t>
  </si>
  <si>
    <t>Z31730, Z31731, Z31732</t>
  </si>
  <si>
    <t>C1b1a1a1a1b~</t>
  </si>
  <si>
    <t>Z31725, Z31726, Z31727, Z31728, Z31729</t>
  </si>
  <si>
    <t>C1b1a1a1a2~</t>
  </si>
  <si>
    <t>Z39941, Z39942, Z39943, Z39944, Z39945</t>
  </si>
  <si>
    <t>C1b1a1a2~</t>
  </si>
  <si>
    <t>Z39946, Z39947, Z39948, Z39949, Z39950</t>
  </si>
  <si>
    <t>C1b1a1b</t>
  </si>
  <si>
    <r>
      <rPr>
        <b/>
        <i/>
      </rPr>
      <t>Z5899</t>
    </r>
    <r>
      <rPr>
        <b val="0"/>
        <i/>
      </rPr>
      <t xml:space="preserve">, </t>
    </r>
    <r>
      <rPr>
        <b val="0"/>
        <i/>
        <color rgb="FFCC0000"/>
      </rPr>
      <t>BY158801/Y152688, BY158825/Y152673, BY158953/Y152696, BY159045/Y152679, BY159075/Y152689, BY159293/Y152683, BY159298/Y152664, BY159307/Y152695, BY159308/Y152694, BY159341/Y152678, BY159409/Y152677, BY159422/Y152666, BY159498/Y152686, BY159502/Y152685, BY159513/Y152665, BY159584/Y152676, BY159650/Y152670, BY159698, BY159733/Y152682, BY159845/Y152669, BY159943/Y152690, BY159982/Y152684, BY160039/Y152692, BY160231/Y152675, BY160369/Y152674, BY160422/Y152668, BY160478/Y152672, BY160491/Y152681, BY160554/Y152671, BY160581/Y152663, BY160584/Y152680, FGC24650/V1656, SK996, Y43116, Y82437, Y152687, Y152691</t>
    </r>
  </si>
  <si>
    <t>C1b1a1b~</t>
  </si>
  <si>
    <t>BY160616/Y125864, Y43116</t>
  </si>
  <si>
    <t>C1b1a1b1</t>
  </si>
  <si>
    <r>
      <rPr>
        <b/>
        <i/>
        <color rgb="FF000000"/>
      </rPr>
      <t>Z12338,</t>
    </r>
    <r>
      <rPr>
        <color rgb="FF999999"/>
      </rPr>
      <t xml:space="preserve"> </t>
    </r>
    <r>
      <rPr>
        <i/>
        <color rgb="FFCC0000"/>
      </rPr>
      <t>BY160069</t>
    </r>
    <r>
      <rPr>
        <i/>
        <color rgb="FF000000"/>
      </rPr>
      <t>, Z12341, Z12373, Z12384, Z12403, Z12406, Z12409^, Z12422, Z12425</t>
    </r>
  </si>
  <si>
    <t>C1b1a1b1~</t>
  </si>
  <si>
    <t>BY158807/Z21351, BY159855</t>
  </si>
  <si>
    <t>C1b1a1b1a</t>
  </si>
  <si>
    <r>
      <rPr>
        <b/>
        <i/>
      </rPr>
      <t>Z5900</t>
    </r>
    <r>
      <rPr>
        <i/>
      </rPr>
      <t>, PF6587/Z12348, Z12333, Z12334, Z12335, Z12336, Z12337, Z12340, Z12342, Z12343, Z12344^, Z12345^, Z12346^, Z12347^, Z12349^, Z12354, Z12355, Z12357, Z12358, Z12360, Z12361, Z12365, Z12366^, Z12367^, Z12369, Z12370, Z12372^, Z12374^, Z12375, Z12376, Z12377, Z12378, Z12379, Z12380, Z12381, Z12382^, Z12383, Z12385^, Z12387, Z12388, Z12389^, Z12390, Z12391, Z12392, Z12393^, Z12394, Z12395, Z12396^, Z12397^, Z12398, Z12399, Z12400, Z12401^, Z12402^, Z12404, Z12405,  Z12407, Z12408, Z12410^, Z12413^, Z12414, Z12416^, Z12417, Z12418, Z12419, Z12420, Z12421, Z12423</t>
    </r>
  </si>
  <si>
    <t>C1b1a1b1a1~</t>
  </si>
  <si>
    <t>Z31708, Z31709, Z31710, Z31712</t>
  </si>
  <si>
    <t>C1b1a1b1a2~</t>
  </si>
  <si>
    <t>MZ101/Z31715, Z31713, Z31714, Z31716, Z31717</t>
  </si>
  <si>
    <t>C1b1a1b1b~</t>
  </si>
  <si>
    <t>BY160461/Y153979, BY160474/Y153800, BY160476/Y153794, BY160489, BY160747/Y153853</t>
  </si>
  <si>
    <t>C1b1a1b2~</t>
  </si>
  <si>
    <t>Z31778, Z31779, Z31780, Z31781, Z31782</t>
  </si>
  <si>
    <t>C1b1a2</t>
  </si>
  <si>
    <t>AM00847/AMM008/B65</t>
  </si>
  <si>
    <t>C1b1a2a</t>
  </si>
  <si>
    <r>
      <rPr>
        <b/>
        <i/>
      </rPr>
      <t>B67</t>
    </r>
    <r>
      <rPr>
        <i/>
      </rPr>
      <t xml:space="preserve">, FGC14126.2, FGC21589.2, FGC22894.2, FGC24157.2, L93.2, PF5820.2, S3328.2, Y10470.2/Z28914.2, Y15781/Z32763, Z5906/Z32422, Z9900.2, Z20389.2, Z32412, Z32413, Z32414, Z32415, Z32417, Z32419, Z32420, Z32421, Z32423, Z32424, Z32425, Z32426, Z32427, Z32428, Z32429, Z32430, Z32431, Z32432, Z32433, Z32434, Z32435, Z32436, Z32437, Z32438, Z32439, Z32440, Z32441, Z32442, Z32443, Z32444, Z32445, Z32446, Z32447, Z32448, Z32449, Z32450, Z32451, Z32452, Z32453, Z32454, Z32455, Z32456, Z32458, Z32459, Z32462, Z32463, Z32464, Z32465, Z32466, Z32467, Z32468, Z32469, Z32470, Z32471, Z32472, Z32473, Z32474, Z32475, Z32476, Z32477, Z32478, Z32479, Z32480, Z32481, Z32482, Z32483, Z32484, Z32485, Z32486, Z32487, Z32488, Z32489, Z32490, Z32491, Z32493, Z32494, Z32495, Z32496, Z32497, Z32498, Z32499, Z32500, Z32501, Z32502, Z32503, Z32504, Z32505, Z32506, Z32507, Z32508, Z32509, Z32513, Z32514, Z32515, Z32516, Z32517, Z32518, Z32521, Z32522, Z32523, Z32524, Z32526, Z32527, Z32528, Z32529, Z32530, Z32531, Z32532, Z32533, Z32534, Z32536, Z32537, Z32538, Z32539, Z32540, Z32541, Z32542, Z32543, Z32545, Z32546, Z32547, Z32548, Z32549, Z32550, Z32551, Z32552, Z32553, Z32554, Z32555, Z32557, Z32558, Z32559, Z32560, Z32561, Z32562, Z32563, Z32564, Z32565, Z32566, Z32567, Z32568, Z32569, Z32570, Z32571, Z32572, Z32573, Z32574, Z32575, Z32576, Z32577, Z32578, Z32579, Z32580, Z32581, Z32582, Z32583, Z32584, Z32585, Z32586, Z32589, Z32590, Z32591, Z32592, Z32593, Z32594, Z32595, Z32596, Z32597, Z32598, Z32599, Z32601, Z32602, Z32603, Z32604, Z32605, Z32606, Z32607, Z32608, Z32609, Z32610, Z32611, Z32612, Z32613, Z32614, Z32615, Z32617, Z32618, Z32619, Z32620, Z32621, Z32622, Z32623, Z32624, Z32625, Z32626, Z32627, Z32628, Z32629, Z32630, Z32631, Z32632, Z32633, Z32634, Z32635, Z32636, Z32637, Z32638, Z32639, Z32640, Z32641, Z32642, Z32643, Z32644, Z32645, Z32646, Z32647, Z32648, Z32649, Z32651, Z32652, Z32653, Z32654, Z32655, Z32656, Z32657, Z32658, Z32659, Z32660, Z32661, Z32662, Z32663, Z32664, Z32665, Z32666, Z32667, Z32668, Z32669, Z32670, Z32671, Z32672, Z32673, Z32674, Z32675, Z32676, Z32677, Z32678, Z32679, Z32680, Z32681, Z32682, Z32683, Z32684, Z32685, Z32686, Z32687, Z32688, Z32689, Z32690, Z32691, Z32692, Z32693, Z32694, Z32695, Z32696, Z32697, Z32698, Z32699, Z32700, Z32701, Z32702, Z32703, Z32704, Z32705, Z32706, Z32707, Z32708, Z32709, Z32709, Z32710, Z32711, Z32712, Z32713, Z32714, Z32715, Z32716, Z32717, Z32718, Z32719, Z32720, Z32721, Z32722, Z32723, Z32724, Z32725, Z32726, Z32727, Z32728, Z32729, Z32730, Z32731, Z32732, Z32733, Z32734, Z32735, Z32737, Z32738, Z32739, Z32740, Z32741, Z32742, Z32743, Z32744, Z32745, Z32746, Z32747, Z32748, Z32749, Z32750, Z32751, Z32752, Z32753, Z32754, Z32755, Z32756, Z32757, Z32758, Z32759, Z32760, Z32761, Z32762, Z32764, Z32765, Z32766, Z32767, Z32769, Z32770, Z32771, Z32772, Z32773, Z32774, Z32776, Z32777, Z32778, Z32779, Z32780, Z32782, Z32783, Z32785, Z32786, Z32787, Z32788, Z32789 </t>
    </r>
  </si>
  <si>
    <t>C1b1a2a1~</t>
  </si>
  <si>
    <t>B69, Z32790, Z32792, Z32793</t>
  </si>
  <si>
    <t>C1b1a2a2~</t>
  </si>
  <si>
    <t>B70, Z32798, Z32799, Z32800, Z32801</t>
  </si>
  <si>
    <t>C1b1a2b</t>
  </si>
  <si>
    <t xml:space="preserve">AM00848/AMM009/F725, AM00590/Z33068, AM00592/F1686, AM00593/F1689, AM00594/Z33070, AM00597/Z33072, AM00598/Z33073, AM0599/Z33074, AM00600/Z33075, AM00601/F1716, AM00602/Z33076, AM00603/Z33077, AM00604/Z33078, AM00605/F3915, AM00606/Z33079, AM00607/Z33080, AM00608, AM00609/Z33081, AM00610/F1782, AM00611/Z33082, AM00612/Z33083, AM00613/Z33084, AM00614/Z33085, AM00617/Z33088, AM00618/Z33089, AM00619/F3922, AM00620/Z33091, AM00621/Z33092, AM00622/Z33093, AM00623/Z33094, AM00624/Z33095, AM00625/Z33096, AM00626/Z33097, AM00627/Z33098, AM00628/Z33099, AM00629/Z33100, AM00630/F1914, AM00633/Z33102, AM00634/Z33103, AM00635/Z33104, AM00636/Z33105, AM00637/Z33106, AM00638/Z33107, AM00639.2/Z11583.2, AM00640/Z33108, AM00641/Z33109, AM00642/Z33110, AM00643/F1990, AM00644/Z33111, AM00645/Z33112, AM00646/Z33113, AM00647/F2010, AM00648/F2022, AM00649/Z33116, AM00650/F2031, AM00651/Z33118, AM00652/Z33119, AM00653/SK982, AM00654/Z33120, AM00655/F2085, AM00656/F2098, AM00657/Z33121, AM00658/Z33122, AM00659/Z33123, AM00661/Z33125, AM00662/F2143, AM00663/Z33126, AM00664/SK983, AM00665/Z33127, AM00666/Z33128, AM00668/F2181, AM00669/F2182, AM00670/F2204, AM00671/Z33131, AM00672/Z33132, AM00673/F2248, AM00674/F2286, AM00675/F2298, AM00676/Z33133, AM00677/F2333, AM00678/F2335, AM00679/Z33134, AM00680/Z33135, AM00681/F2351, AM00682/F2364, AM00683/Z33137, AM00684/Z33138, AM00685/Z33139, AM00686/Z33140, AM00687/Z33141, AM00688/F2381, AM00689/Z33142, AM00690/Z33143, AM00692/Z33144, AM00693/Z33145, AM00695/Z33146, AM00696/Z33147, AM00697/Z33148, AM00698/Z33149, AM00699/Z33150, AM00700/Z33151, AM00701/Z33152, AM00702/F2476, AM00703/Z33153, AM00704/Z33154, AM00705/Z33155, AM00706/F2533, AM00707/Z33156, AM00708/Z33157, AM00709/Z33158, AM00710/Z33159, AM00711/F2544, AM00712/F2545, AM00713/F3966, AM00715/F2582, AM00716/Z33161, AM00717/Z33162, AM00718/Z33163, AM00719.1/F2610.1, AM00720/F2611, AM00721/Z33164, AM00722/Z33165, AM00723/Z33166, AM00724/Z33167, AM00725/F2617, AM00726/Z33168, AM00727/F2641, AM00731/Z33170, AM00732/Z33171, AM00733/F2720, AM00735/Z33172, AM00736/Z33173, AM00738/F2738, AM00739/F2776, AM00740/Z33174, AM00741/F4265, AM00742/F2832, AM00743/F2848, AM00744/F2873, AM00745/Z33176, AM00747/Z33178, AM00748/Z33179, AM00749/Z33180, AM00750/F2915, AM00751/Z33181, AM00752/Z33182, AM00753/Z33183, AM00754/M538, AM00755/Z33184, AM00756/Z33185, AM00757/F2946, AM00758/Z33186, AM00759/F2959, AM00760/Z33187, AM00761/Z33188, AM00762/F3007, AM00763/Z33189, AM00764/Z33190, AM00765/Z33191, AM00766/Z33193, AM00767/SK984, AM00768/F3107, AM00769/F3114, AM00770/F3120, AM00771/F3137, AM00772/Z33194, AM00773/Z33195, AM00774/Z33196, AM00775/Z33197, AM00776/Z33198, AM00777/Z33199, AM00778/Z33200, AM00779/Z33201, AM00780/Z33202, AM00781/Z33203, AM00782/Z33204, AM00783/Z33205, AM00784/Z33206, AM00785/Z33207, AM00786/Z33208, AM00787/F3219, AM00788/Z33209, AM00789/F3244, AM00790/Z33210, AM00791/Z33211, AM00792/Z33212, AM00793/Z33213, AM00794/Z33214, AM00795/Z33215, AM00796/Z33216, AM00797/Z33217, AM00798/Z33218, AM00799/Z33219, AM00800/Z33220, AM00801/Z33221, AM00802/Z33222, AM00803/Z33223, AM00804/Z33224, AM00805/Z33225, AM00807/Z33227, AM00808/Z33228, AM00809/Z33229, AM00811/Z33230, AM00812/Z33231, AM00813/F3351, AM00815/Z33232, AM00816/Z33233, AM00817/Z33234, AM00818/F4019, AM00819/Z33235, AM00820/Z33236, AM00821.2/F3378.2, AM00822/F3381, AM00823/F4020, AM00825/Z33238, AM00826/Z33239, AM00827/Z33240, AM00828/Z33241, AM00829/Z33242, AM00830/Z33243, AM00831/Z33244, AM00832/Z33245, AM00835/Z33247, AM00836/Z33248, AM00837/Z33249, AM00838/Z33250, AM00839/Z33251, AM00840/AMM001/Z33252, AM00841/AMM002/Z33253, AM00842/AMM003/Z33254, AM00843/AMM004/Z33255, AM00844/AMM005/Z33256, AM00845/AMM006/Z33257, AM00849/AMM010/Z33005, AM00850/AMM011/F736, AM00851/AMM012/Z33259, AM00852/AMM013, AM00853/AMM014/Z33260, AM00855/AMM016/Z33262, AM00857/AMM018/Z33264, AM00859/AMM020/Z33268, AM00860/AMM021/Z33006, AM00861/AMM022/Z33007, AM00862/AMM023/Z33008, AM00863/AMM024/F796, AM00864/AMM025/F808, AM00866/AMM027/F821, AM00867/AMM028/Z33010, AM00868/AMM029/F870, AM00869/AMM030/F873, AM00870/AMM031/F4067, AM00872/AMM033/F884, AM00873/AMM034/Z33011, AM00874/AMM035/Z33012, AM00876/AMM037/Z33013, AM00877/AMM038/Z33014, AM00878/AMM039/Z33015, AM00879/AMM040/Z33016, AM00880/AMM041/Z33017, F973, F988, F1033, F1109, F1220, F1259, F1331, F2642.2/S2169.2, F3859, F3860, F3863, F3882, F4111, F4116, Z33018, Z33019, Z33020, Z33021, Z33022, Z33023, Z33024, Z33025, Z33026, Z33027, Z33028, Z33029, Z33031, Z33032, Z33033, Z33034, Z33035, Z33036, Z33037, Z33038, Z33039, Z33040, Z33041, Z33042, Z33043, Z33044, Z33045, Z33046, Z33047, Z33048, Z33049, Z33050, Z33051, Z33052, Z33053, Z33054, Z33055, Z33058, Z33059, Z33061, Z33062, Z33063, Z33064, Z33114, Z33115, Z33136, Z33192, Z33265 </t>
  </si>
  <si>
    <t>C1b1a2b1</t>
  </si>
  <si>
    <t>B465</t>
  </si>
  <si>
    <t>C1b1a2b1a~</t>
  </si>
  <si>
    <t>B71, Z32806, Z32807, Z32808, Z32810, Z32812, Z32813, Z32814, Z32815, Z32816, Z32817, Z32818, Z32819, Z32820, Z32821, Z32823, Z32824, Z32825, Z32826, Z32827, Z32828, Z32829, Z32830, Z32831</t>
  </si>
  <si>
    <t>C1b1a2b1a1~</t>
  </si>
  <si>
    <t>B74</t>
  </si>
  <si>
    <t>C1b1a2b1b~</t>
  </si>
  <si>
    <t>B467, Z32216, Z32217, Z32218, Z32219</t>
  </si>
  <si>
    <t>C1b1a2b1b1~</t>
  </si>
  <si>
    <t>B468, Z32185, Z32187, Z32188</t>
  </si>
  <si>
    <t>C1b1a2b2~</t>
  </si>
  <si>
    <t>B72, Z32802, Z32803, Z32804, Z32805</t>
  </si>
  <si>
    <t>C1b1b~</t>
  </si>
  <si>
    <t>B68, Z32794, Z32795, Z32796, Z32797</t>
  </si>
  <si>
    <t>C1b2</t>
  </si>
  <si>
    <r>
      <rPr>
        <b/>
        <i/>
      </rPr>
      <t>Z16582</t>
    </r>
    <r>
      <rPr>
        <i/>
      </rPr>
      <t>, Z16583, Z16584, Z16585, Z16586, Z16587, Z16588, Z16589, Z16590, Z16591, Z16592, Z16593, Z16594, Z16595, Z16596, Z16597, Z16598, Z16599, Z16600, Z16602, Z16604, Z16605, Z16606, Z16607, Z16608, Z16609, Z16610, Z16611, Z16612, Z16613, Z16614, Z16615, Z16616, Z16617, Z16618, Z16619, Z16620, Z16621, Z16622, Z16623, Z16624, Z16625, Z16626, Z16627, Z16628, Z16629, Z16630, Z16631, Z16634, Z16635, Z16636, Z16637, Z16638, Z16639, Z16640, Z16641, Z16642, Z16643, Z16647, Z16648, Z16649, Z16650, Z16651, Z16652, Z16653</t>
    </r>
  </si>
  <si>
    <t>C1b2a~</t>
  </si>
  <si>
    <t>Z31783, Z31784, Z31785, Z31786, Z31787</t>
  </si>
  <si>
    <t>C1b2b~</t>
  </si>
  <si>
    <t>Z31788, Z31789, Z31790, Z31791, Z31792</t>
  </si>
  <si>
    <t>C1b3</t>
  </si>
  <si>
    <r>
      <rPr>
        <b/>
        <i/>
      </rPr>
      <t>B477/Z31885</t>
    </r>
    <r>
      <rPr>
        <i/>
      </rPr>
      <t>, FGC10375.2, PH255, PH1321, PH1421, PH3092, PH3244, PH3409, PH4087, PH4346, PH5328, PH5401/Z31883, SK1010, SK1013, Z31877, Z31878, Z31879, Z31880, Z31881, Z31882, Z31884, Z31886, Z31888, Z31889, Z31890, Z31891</t>
    </r>
  </si>
  <si>
    <t>C1b3a</t>
  </si>
  <si>
    <r>
      <rPr>
        <b/>
        <i/>
      </rPr>
      <t>M38</t>
    </r>
    <r>
      <rPr>
        <i/>
      </rPr>
      <t>, S22946, SK1002, SK1003, SK1004, SK1005, SK1006, SK1007, SK1008, SK1009, SK1011, SK1012, SK1014, Z23304.2, Z31892, Z31893, Z31894, Z31895, Z31896, Z31897, Z31898, Z31899, Z31900, Z31901, Z31902, Z31903, Z31904, Z31905, Z31907, Z31908, Z31909, Z31910, Z31911, Z31912, Z31913, Z31914, Z31915, Z31916, Z31917, Z31918, Z31919, Z31920, Z31921, Z31922, Z31923, Z31924, Z31925, Z31926, Z31927, Z31929, Z31930, Z31931, Z31936, Z31939, Z31940, Z31941, Z31942, Z31943, Z31944, Z31945, Z31948, Z31949, Z31950, Z31951, Z31952, Z31953, Z31954, Z31955, Z31956, Z31957, Z31958, Z31959, Z31960, Z31961, Z31962, Z31963, Z31964, Z31965, Z31968, Z31969, Z31970, Z31971, Z31972, Z31973, Z31974, Z31975, Z31976, Z31977, Z31978, Z31979, Z31980, Z31981, Z31982, Z31983, Z31984, Z31985, Z31986, Z31987, Z31988, Z31989, Z31990, Z31991, Z31992, Z31993, Z31994, Z31995, Z31996, Z31997, Z31998, Z31999, Z32000, Z32001, Z32002, Z32003, Z32005, Z32006, Z32007, Z32008, Z32009, Z32010, Z32011, Z32012, Z32013, Z32014, Z32015, Z32016, Z32017, Z32018, Z32019, Z32020, Z32021, Z32022, Z32023, Z32024, Z32025, Z32026, Z32027, Z32028, Z32029, Z32030, Z32031, Z32033, Z32034, Z32036, Z32037, Z32038, Z32040, Z32041, Z32042, Z32043, Z32048, Z32052</t>
    </r>
  </si>
  <si>
    <t>C1b3a~</t>
  </si>
  <si>
    <t>V248</t>
  </si>
  <si>
    <t>C1b3a1</t>
  </si>
  <si>
    <t>M208</t>
  </si>
  <si>
    <t>C1b3a1a~</t>
  </si>
  <si>
    <t>P33_1, P33_2, P33_3</t>
  </si>
  <si>
    <t>C1b3a1b~</t>
  </si>
  <si>
    <t>PF1200</t>
  </si>
  <si>
    <t>C1b3a1b1</t>
  </si>
  <si>
    <t>P54</t>
  </si>
  <si>
    <t>C1b3a1c</t>
  </si>
  <si>
    <r>
      <rPr>
        <b/>
        <i/>
      </rPr>
      <t>B460</t>
    </r>
    <r>
      <rPr>
        <i/>
      </rPr>
      <t xml:space="preserve">, CTS1286.2, M3238, Z32308, Z32309, Z32310, Z32311, Z32312, Z32313, Z32314, Z32315, Z32320, Z32322, Z32323, Z32324, Z32325,Z32326, Z32328, Z32329, Z32330, Z32332, Z32333. Z32334, Z32335, Z32336, Z32337, Z32338, Z32339, Z32340, Z32342, Z32343, Z32344, Z32345, Z32347, Z32348, Z32349, Z32350, Z32351, Z32352, Z32353, Z32354, Z32355, Z32356, Z32358, Z32359, Z32360, Z32361, Z32363, Z32365, Z32366, Z32367, Z32368, Z32369, Z32370, Z32371, Z32372, Z32373, Z32374, Z32375, Z32376, Z32377, Z32378, Z32379, Z32380, Z32382, Z32383, Z32384, Z32385, Z32386, Z32387, Z32388, Z32389, Z32390, Z32391, Z32392, Z32393 </t>
    </r>
  </si>
  <si>
    <t>C1b3a1c1~</t>
  </si>
  <si>
    <t>B462, Z32395, Z32396</t>
  </si>
  <si>
    <t>C1b3a1c2</t>
  </si>
  <si>
    <r>
      <rPr>
        <b/>
        <i/>
      </rPr>
      <t>B461</t>
    </r>
    <r>
      <rPr>
        <i/>
      </rPr>
      <t>, Z32397, Z32398</t>
    </r>
  </si>
  <si>
    <t>C1b3a1c2a~</t>
  </si>
  <si>
    <t>B463</t>
  </si>
  <si>
    <t>C1b3a1C2a~</t>
  </si>
  <si>
    <t>B464, Z32402, Z32403, Z32404</t>
  </si>
  <si>
    <t>C1b3a1d~</t>
  </si>
  <si>
    <t>Z32295</t>
  </si>
  <si>
    <t>C1b3a1d1</t>
  </si>
  <si>
    <r>
      <rPr>
        <b/>
        <i/>
      </rPr>
      <t>B459</t>
    </r>
    <r>
      <rPr>
        <i/>
      </rPr>
      <t xml:space="preserve">, FGC26771.2/YP3147.2, Z32220, Z32221, Z32222, Z32223, Z32224, Z32225, Z32227, Z32228, Z32229, Z32230, Z32231, Z32232, Z32233, Z32234, Z32235, Z32236, Z32237, Z32238, Z32239, Z32240, Z32241, Z32243, Z32244, Z32246, Z32247, Z32248, Z32249, Z32250, Z32251, Z32252, Z32253, Z32254, Z32255, Z32256, Z32257, Z32258, Z32259, Z32260, Z32261, Z32262, Z32263, Z32264, Z32265, Z32266, Z32267, Z32269, Z32270, Z32271, Z32272, Z32273, Z32274, Z32275, Z32276, Z32277, Z32278, Z32279, Z32280, Z32281, Z32282, Z32283, Z32284, Z32285, Z32286, Z32288, Z32289, Z32291, Z32292, Z32293, Z32294, Z32297, Z32298, Z32299, Z32300, Z32301, Z32302, Z32303, Z32304, Z32305, Z32306, Z32307 </t>
    </r>
  </si>
  <si>
    <t>C1b3a1d1a~</t>
  </si>
  <si>
    <t>B75, Z32832, Z32833, Z32834, Z32835</t>
  </si>
  <si>
    <t>C1b3a2~</t>
  </si>
  <si>
    <t>F2642/S2169</t>
  </si>
  <si>
    <t>C1b3a3~</t>
  </si>
  <si>
    <t>B76, Z32836, Z32837, Z32838, Z32839</t>
  </si>
  <si>
    <t>C1b3b</t>
  </si>
  <si>
    <r>
      <rPr>
        <b/>
        <i/>
      </rPr>
      <t>M347, P309</t>
    </r>
    <r>
      <rPr>
        <i/>
      </rPr>
      <t>, FGC17629/Y13548, PH251, PH1523, PH2398, PH4534, PH4665, PH5224, Z40223, Z40224, Z40225, Z40226, Z40227, Z40228, Z40229, Z40230, Z40231, Z40232, Z40233, Z40234, Z40235, Z40236, Z40237, Z40238, Z40239, Z40240, Z40241, Z40242, Z40243, Z40244, Z40245</t>
    </r>
  </si>
  <si>
    <t>C1b3b1</t>
  </si>
  <si>
    <t>M210</t>
  </si>
  <si>
    <t>C1b3b1~</t>
  </si>
  <si>
    <t>CTS853, Z40419, Z40420, Z40421, Z40422</t>
  </si>
  <si>
    <t>C1b3b2~</t>
  </si>
  <si>
    <t>Z40247, Z40248, Z40249, Z40250, Z40251</t>
  </si>
  <si>
    <t>C1b3b3~</t>
  </si>
  <si>
    <t>Z40252, Z40253, Z40254, Z40255, Z40256</t>
  </si>
  <si>
    <t>C1b3b4~</t>
  </si>
  <si>
    <t>Z40414, Z40415, Z40416. Z40417, Z40418</t>
  </si>
  <si>
    <t>C1b3c~</t>
  </si>
  <si>
    <t>Z40423, Z40424, Z40425, Z40426, Z40427</t>
  </si>
  <si>
    <t>C1b4~</t>
  </si>
  <si>
    <t>P55</t>
  </si>
  <si>
    <t>C2</t>
  </si>
  <si>
    <r>
      <rPr>
        <b/>
        <i/>
      </rPr>
      <t>M217</t>
    </r>
    <r>
      <rPr>
        <i/>
      </rPr>
      <t>, CTS93, CTS244, CTS284/Z1433, CTS545^, CTS719, CTS914, CTS1669/S3184, CTS1943, CTS2038, CTS2095, CTS2108, CTS2709/Z1442, CTS3125, CTS3430, CTS3950, CTS4339^, CTS5322, CTS5410, CTS5522, CTS5843, CTS5874, CTS6124, CTS6285/Z1446, CTS6551, CTS6723, CTS6865, CTS7120, CTS7345, CTS7355, CTS8117^/Z1449^, CTS8216, CTS8301/Z1450, CTS8325/Z1451, CTS8643, CTS8714/Z1340, CTS8886, CTS9677/Z1453, CTS9757^, CTS10144, CTS10589, CTS10628, CTS11354, CTS12051, CTS12888^, F734/Z1432, F791, F882, F894, F936, F1090, F1140, F1191, F1219/Z1437, F1245, F1415, F1597, F1622, F1646, F1677/Z1439, F1678/Z1440, F1688, F1717/Z1441, F1963, F1996, F2111/Z1444, F2146/Z1445, F2166, F2282, F2327/Z1447, F2379, F2512/Z1448, F2620, F2632, F2649, F2664, F2670/Z1452, F2673, F2695, F2718, F2808, F2951, F2992, F3068, F3122, F3174, F3324, F3333, F3396, F3410, F3411/Z1458, F3553/Z1460, F3581, F3643, F3702, F3718/Z1457, F3862/Z1436, FGC16186/Z4015, FGC16189/Z1435, FGC16191, FGC16192/Y4462/Z16217, P44, V87, Y4478/Z8463, Y4480/Z3954, Y4482/Z12144, Y4483/Z12146, Y4485/Z4001, Y4486/Z4016, Y4488/Z4051, Y4489^/Z4086^, Y4493/Z4133, Y4494^/Z4142^, Y6674/Z3968, Y6681/Z3979, Y6686/Z3951, Y6687/Z12162, Y6694/Z4141, Y8823/Z16215, Y8800^/Z12201^, Y11115/Z12172, Y11129/Z12200, Z1454, Z1455, Z1456, Z1459, Z3999, Z4027^, Z4077.1, Z4088^, Z4094, Z4151, Z12143^, Z12163, Z12167, Z12169</t>
    </r>
  </si>
  <si>
    <t>C2~</t>
  </si>
  <si>
    <t>IMS-JST645622+13</t>
  </si>
  <si>
    <t>C2a</t>
  </si>
  <si>
    <r>
      <rPr>
        <b/>
        <i/>
      </rPr>
      <t>L1373, F1396</t>
    </r>
    <r>
      <rPr>
        <i/>
      </rPr>
      <t xml:space="preserve">, F1906, F2386, F2661, F3348, F3738, F3752, F3769, F3776, F3783, F3787, F3805, F3831, F3847, F3851, F3923, F3929, F3954, F3972, F3977, F3980, F3981, F3982, F3986, F4012, F6273/FGC16321/Y4554/Z16745, F6304/FGC16325/Y6698/Z16746, F6428/FGC16338/Y4546/Z16747, F6430/FGC16340/Y4548/Z16749, F6749/FGC16229/Y4547/Z16748, F6759/FGC28874/Z18168, F6871/FGC16376/Y4557/Z16751, F6967/FGC16388/Y6701/Z16752, F6970/FGC16389/Y4566/Z16753, F6987/FGC16390/Y4567/Z16731, F7237/FGC16433/Y4593/Z16755, F7264/FGC16442/Y4609/Z16756, F7441/FGC16473/Y4618/Z16740, F7445/FGC16474/Y4619/Z16741, F7490/FGC16478/Y4623/Z16759, F7514/FGC16480/Y4625/Z16743, F7526/FGC16483/Y4628/Z16761, F7561/FGC16491/Y4635/Z16762, F7571/FGC16494/Y4638/Z16763, F7972/FGC16515/Y6680/Z16766, F7975/FGC16516/Y4651/Z16767, F10171/FGC16331/Y4543, F11315/FGC16373/Y6699/Z16750, F11643/FGC16395/Y6702/Z16732, F11930/FGC16413/Y4582/Z16769, F12453/FGC16446/Y6708/Z16758, F12980/FGC16479/Y4624/Z16742, F13026/FGC16482/Y4627/Z16760, FGC16218/Y4498/Z16720, FGC16314/Y4533/Z16721, FGC16320/Y4539/Z16722, FGC16322/Y4555/Z16723, FGC16327/Y4540/Z16724, FGC16333/Y6706/Z16725, FGC16341/Y4549/Z18167, FGC16366/Y8799/Z16729, FGC16378^/Y6700^, FGC16380/Y4560/Z16730, FGC16392/Y4568/Z18169, FGC16404/Y4577/Z16733, FGC16408/Y6712/Z16734, FGC16420/Y4587/Z18152, FGC16425/Y6704/Z18153, FGC16430/Y4592, FGC16458/Y4616/Z18166, FGC16478/Y4623/Z16759, FGC16505/Y6709/Z16744, FGC16511/Y4648/Z18156, FGC16520/Y4653/Z18157, FGC16523/Y4656/Z18159 </t>
    </r>
  </si>
  <si>
    <t>C2a1</t>
  </si>
  <si>
    <r>
      <rPr>
        <b/>
        <i/>
      </rPr>
      <t>F3447</t>
    </r>
    <r>
      <rPr>
        <i/>
      </rPr>
      <t>, F3914</t>
    </r>
  </si>
  <si>
    <t>[&lt;---these 2 are combined with the F4032 mutations in the 2019 tree]</t>
  </si>
  <si>
    <t>C2a1a</t>
  </si>
  <si>
    <r>
      <rPr>
        <b/>
        <i/>
      </rPr>
      <t>F4032</t>
    </r>
    <r>
      <rPr>
        <i/>
      </rPr>
      <t>, FGC16362/Z18162</t>
    </r>
  </si>
  <si>
    <t>C2a1a1</t>
  </si>
  <si>
    <r>
      <rPr>
        <b/>
        <i/>
      </rPr>
      <t>F1699</t>
    </r>
    <r>
      <rPr>
        <i/>
      </rPr>
      <t>, F1788, F3927, FGC16324/Y6697, Y4583/Z22209</t>
    </r>
  </si>
  <si>
    <t>C2a1a1a</t>
  </si>
  <si>
    <r>
      <rPr>
        <b/>
        <i/>
      </rPr>
      <t>F3918</t>
    </r>
    <r>
      <rPr>
        <i/>
      </rPr>
      <t>, B473/SK1079/Y10421/Z18161, F4015, FGC28955/Y10441/Z18155, FGC28928/Y10435/Z18160, FGC28905/Y11623/Z18163</t>
    </r>
  </si>
  <si>
    <t>C2a1a1a1</t>
  </si>
  <si>
    <r>
      <rPr>
        <b/>
        <i/>
      </rPr>
      <t>P39^^</t>
    </r>
    <r>
      <rPr>
        <b/>
        <i/>
      </rPr>
      <t xml:space="preserve">, Z30536, </t>
    </r>
    <r>
      <rPr>
        <i/>
      </rPr>
      <t>BY728/Z30532, BY738/Z30533, BY751/Z30539, BY754/Z30540, BY762/Z30541, BY778/Z30542, BY783/Z30543, BY800/Z30545, BY822/Z30546, BY849/Z30548, BY857/Z30549, BY969/Z30554, BY1050/Z30555, BY1114/Z30556, BY1148/Z30558, BY1150/Z30580, BY1190/Z30559, BY1192/Z30560, BY1204/Z30561, BY1271/Z30562, BY1345/Z30566, BY1352/Z30567, BY1361/Z30569, BY1363/Z30570, BY1370/Z30571, BY1404/Z30572, BY1406/Z30573, BY1409/Z30575, BY1458/Z30576, BY1464/Z30751, BY1468/Z30577, BY1501/Z30578, BY1710/Z30581, BY1724/Z30582, BY1739/Z30584, BY2078/Z30588, BY2113/Z30590, BY2121/Z30592, BY2144/Z30594, BY2270/Z30770, V4206/Z30579, Z12681.2, Z21455.2, Z30535, Z30537, Z30544, Z30550, Z30557, Z30564, Z30574, Z30587, Z30593</t>
    </r>
  </si>
  <si>
    <t>C2a1a1a1a</t>
  </si>
  <si>
    <r>
      <rPr>
        <b/>
        <i/>
      </rPr>
      <t>BY1360/Z30568</t>
    </r>
    <r>
      <rPr>
        <i/>
      </rPr>
      <t>, BY2080/Z30589, BY2117/Z30591, BY2192/Z30595, Z30583, Z30586, Z30752</t>
    </r>
  </si>
  <si>
    <t>C2a1a1a1a1</t>
  </si>
  <si>
    <r>
      <rPr>
        <b/>
        <i/>
      </rPr>
      <t>Z30538</t>
    </r>
    <r>
      <rPr>
        <i/>
      </rPr>
      <t>, BY825/Z30547, BY1276/Z30563, BY1300/Z30565, Z30585</t>
    </r>
  </si>
  <si>
    <t>C2a1a1a1a1a</t>
  </si>
  <si>
    <r>
      <rPr>
        <b/>
        <i/>
      </rPr>
      <t>Z30750</t>
    </r>
    <r>
      <rPr>
        <i/>
      </rPr>
      <t>, Z30747, Z30748, Z30749, Z30753</t>
    </r>
  </si>
  <si>
    <t>C2a1a1a1a1a1~</t>
  </si>
  <si>
    <t>Z30754, Z30755, Z30756, Z30757, Z30758</t>
  </si>
  <si>
    <t>C2a1a1a1a1a2~</t>
  </si>
  <si>
    <t>Z30760, Z30761, Z30763</t>
  </si>
  <si>
    <t>C2a1a1a1a1b</t>
  </si>
  <si>
    <r>
      <rPr>
        <b/>
        <i/>
      </rPr>
      <t>BY736/Z30764</t>
    </r>
    <r>
      <rPr>
        <i/>
      </rPr>
      <t>, BY1076/Z30817, BY2092/Z30821, BY2118/Z30822, Z30768, Z30819, Z30820</t>
    </r>
  </si>
  <si>
    <t>C2a1a1a1a1b1~</t>
  </si>
  <si>
    <t>Z30765, Z30766</t>
  </si>
  <si>
    <t>C2a1a1a1a1b2~</t>
  </si>
  <si>
    <t>S17446/Z30824, Z30825, Z30826</t>
  </si>
  <si>
    <t>C2a1a1a1a2~</t>
  </si>
  <si>
    <t>Z38940, Z38941, Z38942, Z38943, Z38944</t>
  </si>
  <si>
    <t>C2a1a1a1b</t>
  </si>
  <si>
    <r>
      <rPr>
        <b/>
        <i/>
      </rPr>
      <t>Z38874</t>
    </r>
    <r>
      <rPr>
        <i/>
      </rPr>
      <t>, NCG8, Z45636, Z45637, Z45638, Z45639, Z45640, Z45642</t>
    </r>
  </si>
  <si>
    <t>C2a1a1a1b1~</t>
  </si>
  <si>
    <t>Z38870, Z38871, Z38872, Z38873</t>
  </si>
  <si>
    <t>C2a1a1a1b2~</t>
  </si>
  <si>
    <t>Z45643, Z45644, Z45645, Z45646, Z45647</t>
  </si>
  <si>
    <t>C2a1a1a2</t>
  </si>
  <si>
    <t>FGC28881.2</t>
  </si>
  <si>
    <t>C2a1a1a2a</t>
  </si>
  <si>
    <r>
      <rPr>
        <b/>
        <i/>
      </rPr>
      <t>F1756, F3985</t>
    </r>
    <r>
      <rPr>
        <i/>
      </rPr>
      <t xml:space="preserve">, F3825, </t>
    </r>
    <r>
      <rPr>
        <i/>
        <color rgb="FFCC0000"/>
      </rPr>
      <t>F3843</t>
    </r>
    <r>
      <rPr>
        <i/>
      </rPr>
      <t xml:space="preserve">, F3844, F3868, F3896, </t>
    </r>
    <r>
      <rPr>
        <i/>
        <color rgb="FFCC0000"/>
      </rPr>
      <t>F3931</t>
    </r>
    <r>
      <rPr>
        <i/>
      </rPr>
      <t xml:space="preserve">, F3937, F3955, F3971, F4006, F4017, F9732/FGC28843/Y10419/Z30395, F9838/FGC28847/Y11619,  F11455/FGC28886/Y10423, F12111/FGC28911/Y11625, F12449/FGC28925/Y11628, F12690/FGC28931/Y10436, </t>
    </r>
    <r>
      <rPr>
        <i/>
        <color rgb="FFCC0000"/>
      </rPr>
      <t>F12736/FGC28932/Y11616/Z30426</t>
    </r>
    <r>
      <rPr>
        <i/>
      </rPr>
      <t xml:space="preserve">, </t>
    </r>
    <r>
      <rPr>
        <i/>
        <color rgb="FFCC0000"/>
      </rPr>
      <t>F12770/FGC28935/Y10438</t>
    </r>
    <r>
      <rPr>
        <i/>
      </rPr>
      <t xml:space="preserve">, F13512/FGC28954/Y11609,  FGC28844/Y11618/Z30396, </t>
    </r>
    <r>
      <rPr>
        <i/>
        <color rgb="FFCC0000"/>
      </rPr>
      <t>FGC28845</t>
    </r>
    <r>
      <rPr>
        <i/>
      </rPr>
      <t xml:space="preserve">, FGC28848/Y11620/Z30397, FGC28851/Y11621/Z30398, FGC28854/Y11601/Z30400, FGC28856/Y11603/Z30401, FGC28858/Y11604/Z30403, FGC28859/Y10422/Z30404, FGC28861/Y11602/Z30405, FGC28862/Y11627/Z30406, FGC28864/Y11607/Z30409, FGC28873/Z30411, FGC28878/Y11610/Z30412, FGC28890/Y11614/Z30413, FGC28891/Y10426/Z30414, FGC28901/Y11612/Z30416, FGC28904/Y11613/Z30417, </t>
    </r>
    <r>
      <rPr>
        <i/>
        <color rgb="FFCC0000"/>
      </rPr>
      <t>FGC28906/Y10429</t>
    </r>
    <r>
      <rPr>
        <i/>
      </rPr>
      <t>, FGC28909/Y10430/Z30418, FGC28910/Y10431/Z30419, FGC28917/Y11626/Z30420, FGC28924/Y10434/Z30423, FGC28929/Y11629/Z30424, FGC28934/Y10437/Z30427, FGC28939, FGC28942/Y11608/Z30428, FGC28945/Y10439/Z30429, SK1080/Y11615</t>
    </r>
  </si>
  <si>
    <t>C2a1a1a2a1</t>
  </si>
  <si>
    <r>
      <rPr>
        <b/>
      </rPr>
      <t>F3830</t>
    </r>
    <r>
      <t xml:space="preserve">, </t>
    </r>
    <r>
      <rPr>
        <i/>
      </rPr>
      <t>F12936/FGC28940</t>
    </r>
  </si>
  <si>
    <t>C2a1a1b2a1a~</t>
  </si>
  <si>
    <t>Z32844, Z32845, Z32846, Z32847, Z32848</t>
  </si>
  <si>
    <t>C2a1a1a2a1b</t>
  </si>
  <si>
    <t>Z603.2</t>
  </si>
  <si>
    <t>C2a1a1a2a1b1</t>
  </si>
  <si>
    <r>
      <rPr>
        <b/>
        <i/>
      </rPr>
      <t>F11787/FGC28896</t>
    </r>
    <r>
      <rPr>
        <i/>
      </rPr>
      <t>, F13142/FGC28948, FGC28846, FGC28850, FGC28852, FGC28857, FGC28865, FGC28887, FGC28888, FGC28893, FGC28898, FGC28912, FGC28915, FGC28918, FGC28919, FGC28920, FGC28922, FGC28926, FGC28938, FGC28941, FGC28958, FGC28959, FGC28960, FGC28963</t>
    </r>
  </si>
  <si>
    <t>C2a1a1a2a1b1a~</t>
  </si>
  <si>
    <t>F9721/FGC28841, F10085/FGC28855</t>
  </si>
  <si>
    <t>C2a1a1a2a1b1b~</t>
  </si>
  <si>
    <t xml:space="preserve">Z44095, Z44096, Z44097, Z44098, Z44099  </t>
  </si>
  <si>
    <t>C2a1a1a2a1b1c~</t>
  </si>
  <si>
    <t>FGC31362, Z45818, Z45819, Z45820</t>
  </si>
  <si>
    <t>C2a1a1b2a1c~</t>
  </si>
  <si>
    <t>BY186297, BY186309, BY186350, BY186497, BY186500</t>
  </si>
  <si>
    <t>C2a1a1a2a2</t>
  </si>
  <si>
    <r>
      <rPr>
        <b/>
        <i/>
      </rPr>
      <t>Y10420/Z30402</t>
    </r>
    <r>
      <rPr>
        <i/>
      </rPr>
      <t>, Y10428/Z30415, Y10442/Z30430, Y11599/Z30431, Y11600/Z30434, Y11605/Z30407, Y11606/Z30408, Y11622/Z30399, Y11630/Z30425</t>
    </r>
  </si>
  <si>
    <t>C2a1a1a2a2a~</t>
  </si>
  <si>
    <t>Z31688, Z31689, Z31690, Z31691, Z31692</t>
  </si>
  <si>
    <t>C2a1a1a2a2b~</t>
  </si>
  <si>
    <t>Z31693, Z31694, Z31695, Z31696</t>
  </si>
  <si>
    <t>C2a1a1a2b~</t>
  </si>
  <si>
    <t>B77, Z32840, Z32841, Z32842, Z32843</t>
  </si>
  <si>
    <t>C2a1a1b</t>
  </si>
  <si>
    <r>
      <rPr>
        <b/>
        <i/>
      </rPr>
      <t>M48</t>
    </r>
    <r>
      <rPr>
        <i/>
      </rPr>
      <t>, F6207/PH569, F6370/Y12790, F6869/PH1135/Y1228, F7225/Y12237, F7287/Y12816,  F7423/PH4649/Y12811, F7548/PH5035/Y12789, F10035/Y12828, F10037/Y12838, SK1056/Y12786, SK1057/Y12830</t>
    </r>
  </si>
  <si>
    <t>C2a1a1b1</t>
  </si>
  <si>
    <r>
      <rPr>
        <b/>
        <i/>
      </rPr>
      <t>M86, M77</t>
    </r>
    <r>
      <rPr>
        <i/>
      </rPr>
      <t>, F6179/PH339/Y12224, F6183/PH371/Y12824, F6194/Y12826, F6196/PH468/Y12835, F6270/Y12225, F6297/Y12226, F6344/Y12820, F6377/Y12791, F6383/Y12793, F6419/Y12815, F6438/Y12836, F6506/Y12808, F6869/PH966, F6919/PH1223/Y12798, F6972/Y12804, F6984/Y12232, SK1058/Y12231, F7023/Y12823, F7035/PH1790/Y12812, F7089/PH2140/Y12235, F7119/PH2402/Y12805, F7196/Y12832, F7201/PH3158/Y12813, F7203/PH3175/Y12236, F7210/Y12833, F7324/PH4064/Y12810, F7327/Y12795,  F7354/PH4268/Y12802, F7359/PH4316/Y12809, F7368/PH4367/Y12819, F7436/Y12240, F7439/PH4745/Y12822, F7550/Y12831, F7572/FGC29090/Y6042/Z19934, F7929/Y12834, F7988/Y12814, F7996/Y12801, F10074/Y12227,  F11775/Y12233, F12527/PH3945/Y12787, F12831/Y12788, F13117/PH5038/Y12817, F13174/Y12796, L1372, PH4189/Y12799, PH4316/Y12809, SK1059/Y12807,SK1060/Y12837, Y12239, Y12242, Y12800, Y12803^, Y12806^, Y15551^, Y15838^</t>
    </r>
  </si>
  <si>
    <t>C2a1a1b1~</t>
  </si>
  <si>
    <t xml:space="preserve">Y15551, Y15838, Z40438, Z40441, Z40442, Z40443, Z40446, Z40448, Z40449, Z40450, Z40451, Z40453, Z40454, Z40455, Z40456, Z40457 </t>
  </si>
  <si>
    <t>C2a1a1b1a~</t>
  </si>
  <si>
    <t>SK1061, Z40440, Z40444, Z40445, Z40447, Z40452</t>
  </si>
  <si>
    <t>C2a1a1b1a1</t>
  </si>
  <si>
    <t>B469</t>
  </si>
  <si>
    <t>C2a1a1b1a1a</t>
  </si>
  <si>
    <r>
      <rPr>
        <b/>
        <i/>
      </rPr>
      <t>B87</t>
    </r>
    <r>
      <rPr>
        <i/>
      </rPr>
      <t>, Z32853, Z32854, Z32855, Z32857, Z32858, Z32859</t>
    </r>
  </si>
  <si>
    <t>C2a1a1b1a1a1</t>
  </si>
  <si>
    <t>B89</t>
  </si>
  <si>
    <t>C2a1a1b1a1a2~</t>
  </si>
  <si>
    <t>Z32860, Z32861, Z32862</t>
  </si>
  <si>
    <t>C2a1a1b1a1a3~</t>
  </si>
  <si>
    <t>B88, Z32863</t>
  </si>
  <si>
    <t>C2a1a1b1a1b~</t>
  </si>
  <si>
    <t>B470, Z32405, Z32406, Z32407, Z32408</t>
  </si>
  <si>
    <t>C2a1a1b1a2</t>
  </si>
  <si>
    <r>
      <rPr>
        <b/>
        <i/>
      </rPr>
      <t>B80</t>
    </r>
    <r>
      <rPr>
        <i/>
      </rPr>
      <t>, Z32868, Z32869, Z32870, Z32871, Z32872</t>
    </r>
  </si>
  <si>
    <t>C2a1a1b1a2a</t>
  </si>
  <si>
    <r>
      <rPr>
        <b/>
        <i/>
      </rPr>
      <t>B471</t>
    </r>
    <r>
      <rPr>
        <i/>
      </rPr>
      <t>, Z32409, Z32410</t>
    </r>
  </si>
  <si>
    <t>C2a1a1b1a2a1~</t>
  </si>
  <si>
    <t>C2a1a1b1a2a2~</t>
  </si>
  <si>
    <t>C2a1a1b1a2b</t>
  </si>
  <si>
    <r>
      <rPr>
        <b/>
        <i/>
      </rPr>
      <t>B81</t>
    </r>
    <r>
      <rPr>
        <i/>
      </rPr>
      <t>, Z32876, Z32878, Z32879, Z32880, Z32881</t>
    </r>
  </si>
  <si>
    <t>C2a1a1b1a2b1~</t>
  </si>
  <si>
    <t>B83, Z32882, Z32883, Z32884, Z32885</t>
  </si>
  <si>
    <t>C2a1a1b1a2b2</t>
  </si>
  <si>
    <r>
      <rPr>
        <b/>
        <i/>
      </rPr>
      <t>B82</t>
    </r>
    <r>
      <rPr>
        <i/>
      </rPr>
      <t>, Z32886</t>
    </r>
  </si>
  <si>
    <t>C2a1a1b1a2b2a~</t>
  </si>
  <si>
    <t>B84, Z32887, Z32888, Z32889, Z32890</t>
  </si>
  <si>
    <t>C2a1a1b1a2b2b~</t>
  </si>
  <si>
    <t xml:space="preserve">B85, Z32891, Z32893, Z32894 </t>
  </si>
  <si>
    <t>C2a1a1b1b</t>
  </si>
  <si>
    <r>
      <rPr>
        <b/>
        <i/>
      </rPr>
      <t>F6379/Y12792</t>
    </r>
    <r>
      <rPr>
        <i/>
      </rPr>
      <t xml:space="preserve">, F6170/PH214, F6984/Y12232, F10317/Y12818, F11611/ZQ1, </t>
    </r>
    <r>
      <rPr>
        <i/>
        <color rgb="FFCC0000"/>
      </rPr>
      <t>F13787/Y12244</t>
    </r>
    <r>
      <rPr>
        <i/>
      </rPr>
      <t xml:space="preserve"> </t>
    </r>
  </si>
  <si>
    <t>C2a1a1b1b1</t>
  </si>
  <si>
    <r>
      <rPr>
        <b/>
        <i/>
        <color rgb="FFCC0000"/>
      </rPr>
      <t>F5485/SK1064/Y12825</t>
    </r>
    <r>
      <rPr>
        <i/>
        <color rgb="FFCC0000"/>
      </rPr>
      <t>, F6549/FGC16350, F7171/Y12785, F8473/Y12797</t>
    </r>
  </si>
  <si>
    <t>C2a1a1b1b1a~</t>
  </si>
  <si>
    <t>Y15844</t>
  </si>
  <si>
    <t>C2a1a1b1b1b~</t>
  </si>
  <si>
    <t>F6193, F6357, F6915, F7472, F12361, SK1066</t>
  </si>
  <si>
    <t>C2a1a1b1b2</t>
  </si>
  <si>
    <r>
      <rPr>
        <b/>
        <i/>
        <color rgb="FFCC0000"/>
      </rPr>
      <t>F8472/PH36</t>
    </r>
    <r>
      <rPr>
        <i/>
        <color rgb="FFCC0000"/>
      </rPr>
      <t>, F12502/PH3873, Y138418, Y138498</t>
    </r>
  </si>
  <si>
    <t>C2a1a1b1b2a~</t>
  </si>
  <si>
    <t xml:space="preserve">Y138306, Y138402, Y138495, Y138523, Y138527 </t>
  </si>
  <si>
    <t>C2a1a1b1b2b~</t>
  </si>
  <si>
    <t>BY159609/Y152959/ZQ1058, BY159805/Y152970/ZQ1057, BY159811/Y152946/ZQ1056, BY160279/Y152969/ZS1053, BY160715/Y152968/ZQ1052</t>
  </si>
  <si>
    <t>C2a1a1b2</t>
  </si>
  <si>
    <r>
      <rPr>
        <b/>
        <i/>
      </rPr>
      <t>B90</t>
    </r>
    <r>
      <rPr>
        <i/>
      </rPr>
      <t>, FGC16114.2, Z32895, Z32896, Z32897, Z32899, Z32900, Z32901, Z32902, Z32903, Z32904, Z32905, Z32907, Z32909, Z32910, Z32912, Z32913, Z32914, Z32915, Z32916, Z32917, Z32918, Z32919, Z32920, Z32921, Z32922, Z32923, Z32924, Z32925, Z32926, Z32927, Z32928, Z32929, Z32930, Z32931, Z32932, Z32933, Z32935, Z32936, Z32937, Z32939, Z32940, Z32941, Z32942, Z32943, Z32944, Z32945, Z32946, Z32947</t>
    </r>
  </si>
  <si>
    <t>C2a1a1b2a</t>
  </si>
  <si>
    <r>
      <rPr>
        <b/>
        <i/>
      </rPr>
      <t>B91</t>
    </r>
    <r>
      <rPr>
        <i/>
      </rPr>
      <t>, Z32949, Z32950, Z32951, Z32955, Z32956, Z32957, Z32958, Z32959</t>
    </r>
  </si>
  <si>
    <t>C2a1a1b2a1~</t>
  </si>
  <si>
    <t>B94, Z32960, Z32961, Z32963</t>
  </si>
  <si>
    <t>C2a1a1b2a2</t>
  </si>
  <si>
    <r>
      <rPr>
        <b/>
        <i/>
      </rPr>
      <t>B92,</t>
    </r>
    <r>
      <rPr>
        <i/>
      </rPr>
      <t xml:space="preserve"> M4620, Z32965, Z32966, Z32967, Z32968, Z32969, Z32973, Z32974, Z32975, Z32976, Z32977, Z32978, Z32979, Z32980, Z32981, Z32982, Z32983, Z32984, Z32985, Z32987, Z32988, Z32989</t>
    </r>
  </si>
  <si>
    <t>C2a1a1b2a2a~</t>
  </si>
  <si>
    <t>B96, Z32990, Z32991, Z32992</t>
  </si>
  <si>
    <t>C2a1a1b2a2b~</t>
  </si>
  <si>
    <t>B95, Z32994</t>
  </si>
  <si>
    <t>C2a1a1b2b~</t>
  </si>
  <si>
    <t>B93, Z32995, Z32996, Z32997</t>
  </si>
  <si>
    <t>C2a1a1b3~</t>
  </si>
  <si>
    <t>F12970/Y15849</t>
  </si>
  <si>
    <t>C2a1a1b3a~</t>
  </si>
  <si>
    <t>Y15552, Y15840, Y15841, Y15842, Y15843, Y15846, Y15847</t>
  </si>
  <si>
    <t>C2a1a1b3a1~</t>
  </si>
  <si>
    <t>Y17342</t>
  </si>
  <si>
    <t>C2a1a1c</t>
  </si>
  <si>
    <r>
      <rPr>
        <b/>
        <i/>
        <color rgb="FF000000"/>
      </rPr>
      <t>M504</t>
    </r>
    <r>
      <rPr>
        <i/>
        <color rgb="FFCC0000"/>
      </rPr>
      <t xml:space="preserve">, AM01318/CTS5559/PF4730/Z1866, F914, F966, F1918, F2007, F2914, F3747, F3770, F3779, F3791, F3795, F3810, F3827, F3897, F3919, F3932, F3939, F3945, F3991, F4023, F4031, F4141, FGC16301/Y4523, FGC16306/SK1068/Y4527, FGC16313/Y4532, FGC16318/Y4536, FGC16319/Y4537, FGC16323/F9989/Y4464, FGC16326,FGC16329/Y4542, FGC16330, FGC16332/Y4544, FGC16335, FGC16349, FGC16361, FGC16365, FGC16377/Y4558, FGC16381, FGC16394, FGC16397/Y4570, FGC16402, FGC16403/Y4576, FGC16412/Y4581, FGC16422/F12057/Y8801, FGC16424/Y4589, FGC16437/Y4597, FGC16440/SK1067/Y6719, FGC16445/F12443/Y8813, FGC16448/Y4602, FGC16450/Y4605, FGC16453/Y4606, FGC16456/Y4608, FGC16460/Y4611, FGC16469, FGC16471, FGC16472/Y4617, FGC16475/Y4620, FGC16476/Y4621, FGC16481/Y4626, FGC16492/Y4636, FGC16496/Y4639, FGC16502, FGC16508/Y4645, FGC16512/Y4649, FGC16513, FGC16586/F10157/Y8781, Y4601, Y8789 </t>
    </r>
  </si>
  <si>
    <t>C2a1a1c1</t>
  </si>
  <si>
    <r>
      <rPr>
        <rFont val="Arial"/>
        <b/>
        <i/>
        <color rgb="FFCC0000"/>
      </rPr>
      <t>F5481/FGC16328/SK1075/Y4541</t>
    </r>
    <r>
      <rPr>
        <rFont val="Arial"/>
        <i/>
        <color rgb="FFCC0000"/>
      </rPr>
      <t>, F3796, F4002, F10216/FGC16336/Y8818, F10312/FGC16342/Y8792, F11134/Y8798, F11271/FGC16596/Y8808, F11508/FGC16387/Y4565, F11899/FGC16411/Y4580, F12521/FGC16447/Y8784, F12844/FGC16470/Y8821, F13055/FGC16486/Y4630, F13100/FGC16489/Y4633, F13923/FGC16526/Y8791, FGC16336, FGC16447, FGC16467/Y4614, FGC16596</t>
    </r>
  </si>
  <si>
    <t>C2a1a1c1~</t>
  </si>
  <si>
    <t>F9700/FGC16305/Y4526, F12021/FGC16418/Y11098, F12308/FGC16431/Y1112, FGC16509/Y4646, FGC16595/Y11097</t>
  </si>
  <si>
    <t>C2a1a1c1a~</t>
  </si>
  <si>
    <t>FGC16594/Y11137</t>
  </si>
  <si>
    <t>C2a1a1c1a1~</t>
  </si>
  <si>
    <t>Y20085</t>
  </si>
  <si>
    <t>C2a1a1c1a1a~</t>
  </si>
  <si>
    <t>Y20087</t>
  </si>
  <si>
    <t>C2a1a1c1a2~</t>
  </si>
  <si>
    <t>SK1076</t>
  </si>
  <si>
    <t>C2a1a1c1a2a~</t>
  </si>
  <si>
    <t>SK1077</t>
  </si>
  <si>
    <t>C2a1a1c1a3~</t>
  </si>
  <si>
    <t>FGC16217, Y136036, Y136045, Y136046, Y136048</t>
  </si>
  <si>
    <t>C2a1a1c1b~</t>
  </si>
  <si>
    <t>Z43948, Z43949, Z43950, Z43951, Z43952</t>
  </si>
  <si>
    <t>C2a1a1c1c</t>
  </si>
  <si>
    <t>Y12782</t>
  </si>
  <si>
    <t>C2a1a1c1c1~</t>
  </si>
  <si>
    <t>Z31703, Z31704, Z31705, Z31706, Z31707</t>
  </si>
  <si>
    <t>C2a1a1c1c2</t>
  </si>
  <si>
    <t>F5483/SK1074</t>
  </si>
  <si>
    <t>C2a1a1c1c3~</t>
  </si>
  <si>
    <t>Z44371, Z44372, Z44373</t>
  </si>
  <si>
    <t>C2a1a1c1c~</t>
  </si>
  <si>
    <t xml:space="preserve">F10091/ZQ31, F11945, F13625 </t>
  </si>
  <si>
    <t>C2a1a1c1d~</t>
  </si>
  <si>
    <t xml:space="preserve">F9747, F10981, F11791/ZQ319, F11978 </t>
  </si>
  <si>
    <t>C2a1a1c1d1~</t>
  </si>
  <si>
    <t xml:space="preserve">F10001, F10868, F12703 </t>
  </si>
  <si>
    <t>C2a1a1c1d1a~</t>
  </si>
  <si>
    <t>F11885, F12330</t>
  </si>
  <si>
    <t>C2a1a1c1d1b~</t>
  </si>
  <si>
    <t>F14806</t>
  </si>
  <si>
    <t>C2a1a1c1d2~</t>
  </si>
  <si>
    <t xml:space="preserve">F14768 </t>
  </si>
  <si>
    <t>C2a1a1c1d3~</t>
  </si>
  <si>
    <t>BY31/F14779, F14763, F14770, F14772, F14778, SK1408.2</t>
  </si>
  <si>
    <t>C2a1a1c1e~</t>
  </si>
  <si>
    <t>F3960, F10077</t>
  </si>
  <si>
    <t>C2a1a1c1e1~</t>
  </si>
  <si>
    <t>F2763.2</t>
  </si>
  <si>
    <t>C2a1a1c1e2~</t>
  </si>
  <si>
    <t>CTS9894.2/M3574.2/PF3036.2</t>
  </si>
  <si>
    <t>C2a1a1c1f~</t>
  </si>
  <si>
    <t>F10374, F12634/FGC27193/V3788, SK1072, SK1073</t>
  </si>
  <si>
    <t>C2a1a1c1f1~</t>
  </si>
  <si>
    <t>F11313, F11838, F12663, F12867</t>
  </si>
  <si>
    <t>C2a1a1c1g~</t>
  </si>
  <si>
    <t>BY183180, BY186676, BY186694, BY187227, BY188109</t>
  </si>
  <si>
    <t>C2a1a1c1h~</t>
  </si>
  <si>
    <t>BY91228, F10091/ZQ31</t>
  </si>
  <si>
    <t>C2a1a1c2~</t>
  </si>
  <si>
    <t>F10283, F11301, F12257, F13806</t>
  </si>
  <si>
    <t>C2a1a1c2a~</t>
  </si>
  <si>
    <t xml:space="preserve">F14749, F14751, F14752, F14760, F14766, F14769, F14771, F14776, F14782, F14783, F14784, F14785, F14798, F14799, F14800   </t>
  </si>
  <si>
    <t>C2a1a1c2a1~</t>
  </si>
  <si>
    <t>F14750</t>
  </si>
  <si>
    <t>C2a1a1c3~</t>
  </si>
  <si>
    <t>SK1069, SK1070</t>
  </si>
  <si>
    <t>C2a1a1c4~</t>
  </si>
  <si>
    <t>SK1071</t>
  </si>
  <si>
    <t>C2a1a1c5~</t>
  </si>
  <si>
    <t>Z46378, Z46379, Z46380, Z46381, Z46382</t>
  </si>
  <si>
    <t>C2a1a1d</t>
  </si>
  <si>
    <r>
      <rPr>
        <b/>
        <i/>
        <color rgb="FFCC0000"/>
      </rPr>
      <t>F9992</t>
    </r>
    <r>
      <rPr>
        <b/>
        <i/>
      </rPr>
      <t>/Y12018/Z30601</t>
    </r>
    <r>
      <rPr>
        <i/>
      </rPr>
      <t xml:space="preserve">, </t>
    </r>
    <r>
      <rPr>
        <i/>
        <color rgb="FFCC0000"/>
      </rPr>
      <t>F10012</t>
    </r>
    <r>
      <rPr>
        <i/>
      </rPr>
      <t xml:space="preserve">/Y12014/Z30602, </t>
    </r>
    <r>
      <rPr>
        <i/>
        <color rgb="FFCC0000"/>
      </rPr>
      <t>F10090</t>
    </r>
    <r>
      <rPr>
        <i/>
      </rPr>
      <t xml:space="preserve">/Y12015/Z30603,  </t>
    </r>
    <r>
      <rPr>
        <i/>
        <color rgb="FFCC0000"/>
      </rPr>
      <t>F10105</t>
    </r>
    <r>
      <rPr>
        <i/>
      </rPr>
      <t xml:space="preserve">/Y11993/Z30604, </t>
    </r>
    <r>
      <rPr>
        <i/>
        <color rgb="FFCC0000"/>
      </rPr>
      <t>F10261</t>
    </r>
    <r>
      <rPr>
        <i/>
      </rPr>
      <t xml:space="preserve">/Y12016/Z30606, </t>
    </r>
    <r>
      <rPr>
        <i/>
        <color rgb="FFCC0000"/>
      </rPr>
      <t>F10387</t>
    </r>
    <r>
      <rPr>
        <i/>
      </rPr>
      <t xml:space="preserve">/Y11994/Z30607, </t>
    </r>
    <r>
      <rPr>
        <i/>
        <color rgb="FFCC0000"/>
      </rPr>
      <t>F10963</t>
    </r>
    <r>
      <rPr>
        <i/>
      </rPr>
      <t xml:space="preserve">/Z30608, </t>
    </r>
    <r>
      <rPr>
        <i/>
        <color rgb="FFCC0000"/>
      </rPr>
      <t>F11309</t>
    </r>
    <r>
      <rPr>
        <i/>
      </rPr>
      <t xml:space="preserve">/Y11995/Z30609, </t>
    </r>
    <r>
      <rPr>
        <i/>
        <color rgb="FFCC0000"/>
      </rPr>
      <t>F11395</t>
    </r>
    <r>
      <rPr>
        <i/>
      </rPr>
      <t xml:space="preserve">/Y12019/Z30610,  </t>
    </r>
    <r>
      <rPr>
        <i/>
        <color rgb="FFCC0000"/>
      </rPr>
      <t>F11406</t>
    </r>
    <r>
      <rPr>
        <i/>
      </rPr>
      <t xml:space="preserve">/Y12020/Z30611, </t>
    </r>
    <r>
      <rPr>
        <i/>
        <color rgb="FFCC0000"/>
      </rPr>
      <t>F11592</t>
    </r>
    <r>
      <rPr>
        <i/>
      </rPr>
      <t xml:space="preserve">/Y12021/Z30612, </t>
    </r>
    <r>
      <rPr>
        <i/>
        <color rgb="FFCC0000"/>
      </rPr>
      <t>F11610</t>
    </r>
    <r>
      <rPr>
        <i/>
      </rPr>
      <t xml:space="preserve">/Y12028/Z30613, </t>
    </r>
    <r>
      <rPr>
        <i/>
        <color rgb="FFCC0000"/>
      </rPr>
      <t>F11671</t>
    </r>
    <r>
      <rPr>
        <i/>
      </rPr>
      <t xml:space="preserve">/Y11990/Z30614, </t>
    </r>
    <r>
      <rPr>
        <i/>
        <color rgb="FFCC0000"/>
      </rPr>
      <t>F11883</t>
    </r>
    <r>
      <rPr>
        <i/>
      </rPr>
      <t xml:space="preserve">/Y11996/Z30615, </t>
    </r>
    <r>
      <rPr>
        <i/>
        <color rgb="FFCC0000"/>
      </rPr>
      <t>F11889</t>
    </r>
    <r>
      <rPr>
        <i/>
      </rPr>
      <t>/Y12011/Z30616,</t>
    </r>
    <r>
      <rPr>
        <i/>
        <color rgb="FFCC0000"/>
      </rPr>
      <t xml:space="preserve"> F11907</t>
    </r>
    <r>
      <rPr>
        <i/>
      </rPr>
      <t xml:space="preserve">/Y12012/Z30617, </t>
    </r>
    <r>
      <rPr>
        <i/>
        <color rgb="FFCC0000"/>
      </rPr>
      <t>F12039</t>
    </r>
    <r>
      <rPr>
        <i/>
      </rPr>
      <t xml:space="preserve">/Y12030/Z30618, </t>
    </r>
    <r>
      <rPr>
        <i/>
        <color rgb="FFCC0000"/>
      </rPr>
      <t>F12162</t>
    </r>
    <r>
      <rPr>
        <i/>
      </rPr>
      <t xml:space="preserve">/Y12013/Z30621, </t>
    </r>
    <r>
      <rPr>
        <i/>
        <color rgb="FFCC0000"/>
      </rPr>
      <t>F12267</t>
    </r>
    <r>
      <rPr>
        <i/>
      </rPr>
      <t xml:space="preserve">/Y11997/Z30622, </t>
    </r>
    <r>
      <rPr>
        <i/>
        <color rgb="FFCC0000"/>
      </rPr>
      <t>F12474</t>
    </r>
    <r>
      <rPr>
        <i/>
      </rPr>
      <t xml:space="preserve">/Y11998/Z30623, </t>
    </r>
    <r>
      <rPr>
        <i/>
        <color rgb="FFCC0000"/>
      </rPr>
      <t>F12517</t>
    </r>
    <r>
      <rPr>
        <i/>
      </rPr>
      <t xml:space="preserve">/Y11999/Z30624, </t>
    </r>
    <r>
      <rPr>
        <i/>
        <color rgb="FFCC0000"/>
      </rPr>
      <t>F12109</t>
    </r>
    <r>
      <rPr>
        <i/>
      </rPr>
      <t xml:space="preserve">/Y11992/Z30620, </t>
    </r>
    <r>
      <rPr>
        <i/>
        <color rgb="FFCC0000"/>
      </rPr>
      <t>F12717</t>
    </r>
    <r>
      <rPr>
        <i/>
      </rPr>
      <t xml:space="preserve">/Y12024/Z30625, </t>
    </r>
    <r>
      <rPr>
        <i/>
        <color rgb="FFCC0000"/>
      </rPr>
      <t>F12880</t>
    </r>
    <r>
      <rPr>
        <i/>
      </rPr>
      <t xml:space="preserve">/ Y12025/Z30626, </t>
    </r>
    <r>
      <rPr>
        <i/>
        <color rgb="FFCC0000"/>
      </rPr>
      <t>F12905</t>
    </r>
    <r>
      <rPr>
        <i/>
      </rPr>
      <t xml:space="preserve">/Y12023/Z30627, </t>
    </r>
    <r>
      <rPr>
        <i/>
        <color rgb="FFCC0000"/>
      </rPr>
      <t>F13018</t>
    </r>
    <r>
      <rPr>
        <i/>
      </rPr>
      <t xml:space="preserve">/Y12031/Z30628, </t>
    </r>
    <r>
      <rPr>
        <i/>
        <color rgb="FFCC0000"/>
      </rPr>
      <t>F13519</t>
    </r>
    <r>
      <rPr>
        <i/>
      </rPr>
      <t xml:space="preserve">/Y12009/Z30629, </t>
    </r>
    <r>
      <rPr>
        <i/>
        <color rgb="FFCC0000"/>
      </rPr>
      <t>F13628</t>
    </r>
    <r>
      <rPr>
        <i/>
      </rPr>
      <t xml:space="preserve">/Y12010/Z30630, </t>
    </r>
    <r>
      <rPr>
        <i/>
        <color rgb="FFCC0000"/>
      </rPr>
      <t>F13848</t>
    </r>
    <r>
      <rPr>
        <i/>
      </rPr>
      <t>/Y12027/Z30631, Y11991/Z30619</t>
    </r>
  </si>
  <si>
    <t>C2a1a1d1</t>
  </si>
  <si>
    <r>
      <rPr>
        <b/>
        <i/>
        <color rgb="FFCC0000"/>
      </rPr>
      <t>Z22425</t>
    </r>
    <r>
      <rPr>
        <i/>
        <color rgb="FFCC0000"/>
      </rPr>
      <t>, BY3396, Y46616, Y46761, Y47404, Y47855, Y47997, Y48044, Y48297, Y48320, Y48557.2, Y51723, Y51755, Y52232, Y52885, Y53264, Y53732, Y53779, Y54019, Y54356, Y54410, Y54563, Y54964, Y55732, Y55805, Y56962, Y57696, Y57857, Y58669, Y58810, Y58888, Z22426, Z22427, Z46118, Z46119, Z46120, Z46121, Z46122, Z46354, ZS11523.2</t>
    </r>
  </si>
  <si>
    <t>C2a1a1d1a~</t>
  </si>
  <si>
    <t>Z22424, Z22428</t>
  </si>
  <si>
    <t>C2a1a1d1b~</t>
  </si>
  <si>
    <t>FGC14335.2, Y45560.2, Z46123, Z46124, Z46125</t>
  </si>
  <si>
    <t>C2a1a1d2~</t>
  </si>
  <si>
    <t>Z30633, Z30634, Z30635, Z30636, Z30637</t>
  </si>
  <si>
    <t>C2a1a1e~</t>
  </si>
  <si>
    <t>B79, Z32849, Z32850, Z32851, Z32852</t>
  </si>
  <si>
    <t>C2a1b~</t>
  </si>
  <si>
    <t>Z31698, Z31699, Z31700, Z31701, Z31702</t>
  </si>
  <si>
    <t>C2a2~</t>
  </si>
  <si>
    <t>BY174874, BY174875, BY174929, BY174967, Y83824</t>
  </si>
  <si>
    <t>C2b</t>
  </si>
  <si>
    <r>
      <rPr>
        <b/>
        <i/>
      </rPr>
      <t>F1067</t>
    </r>
    <r>
      <rPr>
        <i/>
      </rPr>
      <t>, F2497, F2645, F3611^, F3809, F4013, Y12939/Z4063</t>
    </r>
  </si>
  <si>
    <t>C2b~</t>
  </si>
  <si>
    <t>CTS117/M386</t>
  </si>
  <si>
    <t>C2b1</t>
  </si>
  <si>
    <r>
      <rPr>
        <b/>
        <i/>
      </rPr>
      <t>F2613/Z1338</t>
    </r>
    <r>
      <rPr>
        <i/>
      </rPr>
      <t xml:space="preserve">, CTS2, CTS208, CTS336/Z1306, CTS339^/Z1307^, CTS626, CTS790^, CTS821^, CTS948, CTS1407/Z1311, CTS1694^, CTS1781/S3186, CTS1854/Z1320, CTS2137^/Z1322^, CTS2428^, CTS2436, CTS2491/Z1323, CTS2848, CTS3121, CTS3129^/Z1324^, CTS3156/Z1325, CTS3166, CTS3297, CTS3440, CTS3639, CTS3957^/Z1327^, CTS4009, CTS4064/Z1328, CTS4140^/Z1329^, CTS4222, CTS4951^,CTS5004, CTS5621, CTS6030^, CTS6145, CTS6374, CTS6582, CTS6628, CTS6675, CTS6770, CTS6934, CTS7167/Z1335, CTS7414, CTS7588^, CTS7798^/Z1337^, CTS8080^, CTS8081^, CTS8395, CTS8889^, CTS9395/Z1341, CTS9537, CTS10175/Z1342, CTS10220/Z1344, CTS10621, CTS10762/Z1349, CTS10860^, CTS10986/Z1350^, CTS11144, CTS11292, CTS11378^, CTS11489, CTS11833, CTS12591^, CTS12842^, F907, F958, F978/IMS-JST002613-27, F1012, F1093/Z1314, F1102, F1144, F1165, F1223, F1243, F1271, F1323, F1382, F1420/Z1316, F1619, F1641, F1668/P323, F1740, F1847/Z1326, F1938, F1970, F2057, F2074/Z1330, F2115, F2129, F2140, F2226, F2232/Z1332, F2259, F2262/Z1333, F2331, F2377, F2385, F2391, F2442, F2479/YSC0001307, F2539, F2674, F2681/Z1339, F2689, F2736, F2849, F2884, F2987, F2988, F3014/Z1343, F3061, F3071, F3076, F3178/Z1347, F3183, F3301, F3313, F3320, F3399, F3454, F3487/Z1351, F3497, F3587, F3688/Z1308, F3744, F3754, F3758, F3788, F3789, F3790, F3854, F3911, F3934, F4005/Z1345, F4011, K490, K491, K493, K495^, K496, K497, K498, M255^, Page12, Y12949/Z4054, Y12951/Z12207, Z1312, Z1313, Z1315, Z1317, Z1319, Z1348, Z3941, Z3947, Z3948, Z3959, Z3966^, Z3967, Z3970, Z3980, Z3991^, Z4005, Z4006, Z4037^, Z4038^, Z4041, Z4042, Z4062, Z4067, Z4074^, Z4131, Z4132, Z4149, Z12158, Z12184, Z12206 </t>
    </r>
  </si>
  <si>
    <t>C2b1~</t>
  </si>
  <si>
    <t xml:space="preserve">CTS4338, CTS4419, CTS4763, CTS5399, CTS5703, CTS6720, CTS6866, CTS7137, CTS8732, CTS10238, CTS10873, CTS12881, CTS12964, F1143, F1240, F1248, F1330, F1453, F1801, F2053, F2372, F3879, F3903, F4007, Y12940, Z3956, Z12155, Z12170 </t>
  </si>
  <si>
    <t>C2b1a</t>
  </si>
  <si>
    <r>
      <rPr>
        <b/>
        <i/>
      </rPr>
      <t>Z1300</t>
    </r>
    <r>
      <rPr>
        <i/>
      </rPr>
      <t>, CTS4021/Z1301, CTS4590, F2982, F3895, Z4040</t>
    </r>
  </si>
  <si>
    <t>C2b1a~</t>
  </si>
  <si>
    <t>CTS1019</t>
  </si>
  <si>
    <t>C2b1a1</t>
  </si>
  <si>
    <r>
      <rPr>
        <b/>
        <i/>
      </rPr>
      <t>CTS2657</t>
    </r>
    <r>
      <rPr>
        <i/>
      </rPr>
      <t>, F3755, Y12943/Z16231, Y12945/Z16232</t>
    </r>
  </si>
  <si>
    <t>C2b1a1~</t>
  </si>
  <si>
    <t>Z18177</t>
  </si>
  <si>
    <t>C2b1a1a</t>
  </si>
  <si>
    <r>
      <rPr>
        <b/>
        <i/>
      </rPr>
      <t xml:space="preserve">CTS11990, </t>
    </r>
    <r>
      <rPr>
        <i/>
      </rPr>
      <t xml:space="preserve"> F3921, F3949, F3967, F4027, F4035, F7189/Y12944/Z18178, F7926/Y13864/Z16233</t>
    </r>
  </si>
  <si>
    <t>C2b1a1a1</t>
  </si>
  <si>
    <r>
      <rPr>
        <b/>
        <i/>
      </rPr>
      <t>CTS8579</t>
    </r>
    <r>
      <rPr>
        <i/>
      </rPr>
      <t xml:space="preserve">, CTS5718^, F3739, F3836, F3883, F4040^, F6346/Y13862/Z18174, F6253/Y13860/Z18172, Y13858^/Z18179^ </t>
    </r>
  </si>
  <si>
    <t>C2b1a1a1a</t>
  </si>
  <si>
    <r>
      <rPr>
        <b/>
        <i/>
      </rPr>
      <t>M407</t>
    </r>
    <r>
      <rPr>
        <i/>
      </rPr>
      <t>, F3737, F3784, F3785, F3853, F3864, F6288/Y13861/Z31649,  F6494/Y13865,  F6968/Y12954/Z31654, F7013/Y12955, F7181/Y12957/Z31655, F7221/Y13868/Z31656, F7227/Y13869/Z31657, F7462/Y13870/Z31659, F7554/Y13859, F7940, F7942/Y12958/Z31661, F7945/Y12959/Z31662, SK1026/Y12956, Y12946/Z31660, Y12953/Z31653, Z31650</t>
    </r>
  </si>
  <si>
    <t>C2b1a1a1a1</t>
  </si>
  <si>
    <t>F3850</t>
  </si>
  <si>
    <t>C2b1a1a1a1a</t>
  </si>
  <si>
    <r>
      <rPr>
        <b/>
        <i/>
      </rPr>
      <t>B97</t>
    </r>
    <r>
      <rPr>
        <i/>
      </rPr>
      <t>, Z33003</t>
    </r>
  </si>
  <si>
    <t>C2b1a1a1a1a1~</t>
  </si>
  <si>
    <t>B102, Z31857</t>
  </si>
  <si>
    <t>C2b1a1a1a1a2~</t>
  </si>
  <si>
    <t>B103, Z31858, Z31859, Z31860</t>
  </si>
  <si>
    <t>C2b1a1a1a1a3~</t>
  </si>
  <si>
    <t>B104, Z31862, Z31863, Z31864</t>
  </si>
  <si>
    <t>C2b1a1a1a1a4~</t>
  </si>
  <si>
    <t>B105, Z31865, Z31866, Z31867, Z31868</t>
  </si>
  <si>
    <t>C2b1a1a1a1a5</t>
  </si>
  <si>
    <t>B98</t>
  </si>
  <si>
    <t>C2b1a1a1a1a5a~</t>
  </si>
  <si>
    <t>Z31870, Z31871, Z31872</t>
  </si>
  <si>
    <t>C2b1a1a1a1a5b~</t>
  </si>
  <si>
    <t>B107, Z31873, Z31874, Z31876</t>
  </si>
  <si>
    <t>C2b1a1a1a1b~</t>
  </si>
  <si>
    <t>B100, FGC12541.2, Z31851, Z31852, Z31853</t>
  </si>
  <si>
    <t>C2b1a1a1a1c~</t>
  </si>
  <si>
    <t>B99, Z32999, Z33000, Z33001, Z33002</t>
  </si>
  <si>
    <t>C2b1a1a1a1d~</t>
  </si>
  <si>
    <t xml:space="preserve">F3916, Z31645, Z31646, Z31647, Z46377 </t>
  </si>
  <si>
    <t>C2b1a1a1a2~</t>
  </si>
  <si>
    <t>Z45399, Z45400, Z45401, Z45402, Z45403</t>
  </si>
  <si>
    <t>C2b1a1a1b~</t>
  </si>
  <si>
    <t>CTS1003, CTS3550, CTS3952, CTS4449, CTS8629</t>
  </si>
  <si>
    <t>C2b1a1a2</t>
  </si>
  <si>
    <r>
      <rPr>
        <b/>
        <i/>
        <color rgb="FFCC0000"/>
      </rPr>
      <t>Z31664,</t>
    </r>
    <r>
      <rPr>
        <i/>
        <color rgb="FFCC0000"/>
      </rPr>
      <t xml:space="preserve">  F17854, F18454, F18822, F19165, F20188, F21292, F21999, F22006^, F22021, F22768, F25595, MF1788, Y90539, Y91365, Y92436, Y98989, Y103788, Y108528, Y112120, Y112121, Y113022, Z31667, Z31668, Z40537 </t>
    </r>
  </si>
  <si>
    <t>C2b1a1a2a~</t>
  </si>
  <si>
    <t>Z31665, Z31666</t>
  </si>
  <si>
    <t>C2b1a1a2b~</t>
  </si>
  <si>
    <t>BY174624, BY174626, BY174629, BY174637, BY174638</t>
  </si>
  <si>
    <t>C2b1a2</t>
  </si>
  <si>
    <t>K700/Z12209, F3880</t>
  </si>
  <si>
    <t>C2b1a2a</t>
  </si>
  <si>
    <r>
      <rPr>
        <b/>
        <i/>
      </rPr>
      <t>F1319</t>
    </r>
    <r>
      <rPr>
        <i/>
      </rPr>
      <t>, F1673, F3799.1, Z12177, Z12202, Z12205^, Z12254^, Z12255, Z12256</t>
    </r>
  </si>
  <si>
    <t>C2b1a2a1</t>
  </si>
  <si>
    <r>
      <rPr>
        <b/>
        <i/>
      </rPr>
      <t>F3777</t>
    </r>
    <r>
      <rPr>
        <i/>
      </rPr>
      <t>, F3797/Z2201.2</t>
    </r>
  </si>
  <si>
    <t>C2b1a2a1a</t>
  </si>
  <si>
    <r>
      <rPr>
        <b/>
        <i/>
      </rPr>
      <t>F9966</t>
    </r>
    <r>
      <rPr>
        <i/>
      </rPr>
      <t>. F11237</t>
    </r>
  </si>
  <si>
    <t>C2b1a2a1a1</t>
  </si>
  <si>
    <r>
      <rPr>
        <b/>
        <i/>
      </rPr>
      <t>F3748</t>
    </r>
    <r>
      <rPr>
        <i/>
      </rPr>
      <t>, F3750/M4236, F3806</t>
    </r>
  </si>
  <si>
    <t>C2b1a2a1a2~</t>
  </si>
  <si>
    <t>F9739/PH288, Z43727, Z43728, Z43729, Z43730</t>
  </si>
  <si>
    <t>C2b1a2a1b~</t>
  </si>
  <si>
    <t>CTS7310.2/Z1269.2, F1389.2, Z31641, Z31642, Z31643</t>
  </si>
  <si>
    <t>C2b1a2a2</t>
  </si>
  <si>
    <r>
      <rPr>
        <b/>
        <i/>
      </rPr>
      <t>F10056/Z36838</t>
    </r>
    <r>
      <rPr>
        <i/>
      </rPr>
      <t>, F9765, F9935, F11506, F11686, F12250, F13079</t>
    </r>
  </si>
  <si>
    <t>C2b1a2a2a~</t>
  </si>
  <si>
    <t>F9709/Z36837, Z36835, Z36836, Z36839</t>
  </si>
  <si>
    <t>C2b1a2a2b</t>
  </si>
  <si>
    <r>
      <rPr>
        <b/>
        <i/>
        <color rgb="FFCC0000"/>
      </rPr>
      <t>F3555</t>
    </r>
    <r>
      <rPr>
        <b val="0"/>
        <i/>
        <color rgb="FFCC0000"/>
      </rPr>
      <t>, F9898, F12177, F11377, F12566/FGC23419, F12630, F12788, F13596</t>
    </r>
  </si>
  <si>
    <t>C2b1a2a2b~</t>
  </si>
  <si>
    <t>FGC47273, FGC47293</t>
  </si>
  <si>
    <t>C2b1a2a2b1~</t>
  </si>
  <si>
    <t>F10036, F10356, F10464, F11551, F11561, F12726, F12845, F12875, F13864, F13880, Z46020</t>
  </si>
  <si>
    <t>C2b1a2a2b1a~</t>
  </si>
  <si>
    <t>ACT101, ACT118, ACT123, ACT209, ACT282</t>
  </si>
  <si>
    <t>C2b1a2a2b1b~</t>
  </si>
  <si>
    <t xml:space="preserve">MF1915, MF1926, MF1927, MF1928^^, Z46021, Z46022, Z46023, </t>
  </si>
  <si>
    <t>C2b1a2a2b1b1~</t>
  </si>
  <si>
    <t>Y141176, Y141202, Y141205^^, Z46024</t>
  </si>
  <si>
    <t>C2b1a2a2b2~</t>
  </si>
  <si>
    <t xml:space="preserve">FGC47235. FGC47236, FGC47237, FGC47246, FGC47248 </t>
  </si>
  <si>
    <t>C2b1a2b</t>
  </si>
  <si>
    <r>
      <rPr>
        <b/>
        <i/>
      </rPr>
      <t>CTS3385</t>
    </r>
    <r>
      <rPr>
        <i/>
      </rPr>
      <t>, CTS2457.1, CTS10989, F9951/Z31674, F10004/Z31675, F10136/Z31676, F12408/Z31678, F12415/PH3692, F12528/PH3947, F12583/Z31679, F12881/PH4779, F13062/PH5006, F13141/Z31680, F14035/FGC45543, PH4872, Z31677</t>
    </r>
  </si>
  <si>
    <t>C2b1a2b1~</t>
  </si>
  <si>
    <t>FGC15464/Z31687, Z31684, Z31685, Z31686</t>
  </si>
  <si>
    <t>C2b1a2b2</t>
  </si>
  <si>
    <r>
      <rPr>
        <b/>
        <i/>
      </rPr>
      <t>FGC45548</t>
    </r>
    <r>
      <rPr>
        <i/>
      </rPr>
      <t>, FGC45551, FGC45560, FGC45562, FGC45566, FGC45569,  PH1109, PH1906, PH2194, PH4484, Z31671, Z45207</t>
    </r>
  </si>
  <si>
    <t>C2b1a2b2a~</t>
  </si>
  <si>
    <t>PH404, Z31669,  Z31672</t>
  </si>
  <si>
    <t>C2b1a2b2b~</t>
  </si>
  <si>
    <t>Z45208, Z45209, Z45210, Z45211, Z45212</t>
  </si>
  <si>
    <t>C2b1b</t>
  </si>
  <si>
    <r>
      <rPr>
        <b/>
        <i/>
      </rPr>
      <t>F845</t>
    </r>
    <r>
      <rPr>
        <i/>
      </rPr>
      <t xml:space="preserve">, CTS12931, F5479/Z12270, K500, K507, K508, K546, K551, K553, Z12262, Z12263, Z12264, Z12266, Z12267, Z12268 </t>
    </r>
  </si>
  <si>
    <t>C2b1b~</t>
  </si>
  <si>
    <t>AM01321/CTS6704/M8145, CTS3958, CTS11522, K547, K554, Z12265</t>
  </si>
  <si>
    <t>C2b1b1</t>
  </si>
  <si>
    <r>
      <rPr>
        <b/>
        <i/>
      </rPr>
      <t>CTS10923</t>
    </r>
    <r>
      <rPr>
        <b val="0"/>
        <i/>
      </rPr>
      <t>, K548, F5480/Z12273, Z12271, Z12272, Z12275</t>
    </r>
  </si>
  <si>
    <t>C2b1b1~</t>
  </si>
  <si>
    <t>K549, K550</t>
  </si>
  <si>
    <t>C2b1b1a</t>
  </si>
  <si>
    <t>K511</t>
  </si>
  <si>
    <t>C2b1b1a1</t>
  </si>
  <si>
    <r>
      <rPr>
        <b/>
        <i/>
      </rPr>
      <t>K516</t>
    </r>
    <r>
      <rPr>
        <i/>
      </rPr>
      <t>, K512, K517^, K518^, K519^, K520^, K521^, K522^/K543^, K523.1^, K526^, K527^, K528^, K529, K530^, K532^, K533^, K534^, K536, K537^, K538, K539^, K545^, Z12279^, Z12280^, Z12283^, Z12284^, Z12287^, Z12289^, Z12290^, Z12291^, Z12293^, Z12294^, Z12295^, Z12298, Z12299^, Z12300^, Z12301^, Z12302^, Z12307, Z12308^, Z12310^, Z12311^, Z12312^, Z12313^, Z12314^</t>
    </r>
  </si>
  <si>
    <t>C2b1b1a1~</t>
  </si>
  <si>
    <t>K531, K544, Z12285, Z12288, Z12292, Z12296, Z12297, Z12309, Z12317</t>
  </si>
  <si>
    <t>C2b1b1a1a~</t>
  </si>
  <si>
    <t>Z31631, Z40543</t>
  </si>
  <si>
    <t>C2b1b1a1b~</t>
  </si>
  <si>
    <t>F12814/Z31633, Z31635, Z31636</t>
  </si>
  <si>
    <t>C2b1b1b</t>
  </si>
  <si>
    <t>F5477/SK1036</t>
  </si>
  <si>
    <t>C2b1b1b1~</t>
  </si>
  <si>
    <t xml:space="preserve">CTS2818, CTS1119, CTS8000, Z665, Z2281 </t>
  </si>
  <si>
    <t>C2b1b1b2</t>
  </si>
  <si>
    <r>
      <rPr>
        <b/>
        <i/>
      </rPr>
      <t>SK1038</t>
    </r>
    <r>
      <rPr>
        <i/>
      </rPr>
      <t>, F10160, F10223, F10352, F11280, F11468.2/Y20157.2, F11478, F11898, F12033, F12522, F12578, F12603, F13534.2/Y17263.2, F13563, F13762, MF1015, MF1018, SK1043</t>
    </r>
  </si>
  <si>
    <t>C2b1b1b2a</t>
  </si>
  <si>
    <t>MF1017</t>
  </si>
  <si>
    <t>C2b1b1b2a1</t>
  </si>
  <si>
    <r>
      <rPr>
        <b/>
        <i/>
      </rPr>
      <t>MF1020</t>
    </r>
    <r>
      <rPr>
        <i/>
      </rPr>
      <t xml:space="preserve">, MF1021, MF1022, MF1023, MF1024, MF1025, MF1026, MF1027 </t>
    </r>
  </si>
  <si>
    <t>C2b1b1b2a1a~</t>
  </si>
  <si>
    <t>Z45277, Z45278, Z45279, Z45280, Z45281</t>
  </si>
  <si>
    <t>C2b1b1b2a1b~</t>
  </si>
  <si>
    <t>Z45282, Z45283, Z45284, Z45285, Z45286</t>
  </si>
  <si>
    <t>C2b1b1b2a2~</t>
  </si>
  <si>
    <t>F9851, Z45203, Z45204, Z45205, Z45206</t>
  </si>
  <si>
    <t>C2b1b1b3~</t>
  </si>
  <si>
    <t>Z45287, Z45288, Z45289, Z45290, Z45291</t>
  </si>
  <si>
    <t>C2b1b1b4~</t>
  </si>
  <si>
    <t>M93</t>
  </si>
  <si>
    <t>C2b1b1c~</t>
  </si>
  <si>
    <t>CTS4187, F12752/Z31638, F12852/Z31640, F12930/Z31639, F13694/Z31637</t>
  </si>
  <si>
    <t>C2b1b1d</t>
  </si>
  <si>
    <r>
      <rPr>
        <b/>
        <i/>
      </rPr>
      <t>FGC39587</t>
    </r>
    <r>
      <rPr>
        <i/>
      </rPr>
      <t xml:space="preserve">, FGC39594, FGC39595, FGC39607, FGC39610, FGC39612 </t>
    </r>
  </si>
  <si>
    <t>C2b1b1d1~</t>
  </si>
  <si>
    <t>FGC39599, FGC39603, FGC39616, FGC57624, FGC57651</t>
  </si>
  <si>
    <t>C2b1b1d1a~</t>
  </si>
  <si>
    <t>FGC39580/Z38900, FGC39581/Z38901, FGC39582/Z38902, FGC39583/Z38904, Z38903</t>
  </si>
  <si>
    <t>C2b1b1d1b~</t>
  </si>
  <si>
    <t>FGC57610, FGC57611, FGC57612, FGC57613, FGC57614</t>
  </si>
  <si>
    <t>C2b1b1d1c~</t>
  </si>
  <si>
    <t>Z44580, Z44581, Z44582, Z44583</t>
  </si>
  <si>
    <t>C2b1b1d1d~</t>
  </si>
  <si>
    <t>ACT3929/Y149521, ACT4477/Y149470, ACT4486/Y149433, ACT4575/Y149459, ACT4698/Y149472</t>
  </si>
  <si>
    <t>C2b1b1d2~</t>
  </si>
  <si>
    <t>Z43981, Z43982, Z43983, Z43984, Z43985</t>
  </si>
  <si>
    <t>C2b1b1e~</t>
  </si>
  <si>
    <t>CTS2123/S4350</t>
  </si>
  <si>
    <t>C2b1b1f~</t>
  </si>
  <si>
    <t>Z45272, Z45273,  Z45274, Z45275, Z45276</t>
  </si>
  <si>
    <t>C2b1b1g</t>
  </si>
  <si>
    <r>
      <rPr>
        <b/>
        <i/>
        <color rgb="FFCC0000"/>
      </rPr>
      <t>Z45293</t>
    </r>
    <r>
      <rPr>
        <i/>
        <color rgb="FFCC0000"/>
      </rPr>
      <t>, Z45296, F16914, F18309, F18601, MF2039, MF2040, MF2041</t>
    </r>
  </si>
  <si>
    <t>C2b1b1g1~</t>
  </si>
  <si>
    <t>F15371, F16026, Z45295</t>
  </si>
  <si>
    <t>C2b1b1g2~</t>
  </si>
  <si>
    <t>MF2714, MF2721, MF2945, MF3179, Y145096</t>
  </si>
  <si>
    <t>C2b1b1h~</t>
  </si>
  <si>
    <t>Z45349, Z45350, Z45351, Z45352, Z45353</t>
  </si>
  <si>
    <t>C2b1b1i~</t>
  </si>
  <si>
    <t>Z45354, Z45355, Z45356, Z45357, Z45358</t>
  </si>
  <si>
    <t>C2b1b1j~</t>
  </si>
  <si>
    <t>F8507, F9811,  MF2891, MF2896, MF3104</t>
  </si>
  <si>
    <t>C2b1b2</t>
  </si>
  <si>
    <r>
      <rPr>
        <b/>
        <i/>
        <color rgb="FFCC0000"/>
      </rPr>
      <t>MF2091</t>
    </r>
    <r>
      <rPr>
        <i/>
        <color rgb="FFCC0000"/>
      </rPr>
      <t>, BY106576, BY125395, MF2095, MF2096, MF2097, MF2098, MF2099, MF2100, MF2101, MF2103, MF2105, MF2106, MF3094</t>
    </r>
  </si>
  <si>
    <t>C2b1b2a~</t>
  </si>
  <si>
    <t>BY61131, BY66605, BY67456, BY70002</t>
  </si>
  <si>
    <t>C2b2</t>
  </si>
  <si>
    <r>
      <rPr>
        <b/>
        <i/>
      </rPr>
      <t>CTS4660^</t>
    </r>
    <r>
      <rPr>
        <i/>
      </rPr>
      <t>, CTS8593^, CTS8866^</t>
    </r>
  </si>
  <si>
    <t>C2b2~</t>
  </si>
  <si>
    <t>CTS11037, CTS4526, CTS7159, CTS11568, Z4012</t>
  </si>
  <si>
    <t>NOTES:</t>
  </si>
  <si>
    <t>Identical SNPs that were discovered separately are listed in alphabetical order, not necessarily in the order of discovery,</t>
  </si>
  <si>
    <t>and separated by "/". Example: M130/RPS4Y711.</t>
  </si>
  <si>
    <t xml:space="preserve">P53.1 has been used in multiple studies, but at testing in the commercial labs it appears in too many parts of the </t>
  </si>
  <si>
    <t>Y tree, including multiple parts of haplogroup C. Listed 16 April 2016.</t>
  </si>
  <si>
    <t>P62 has not shown up again since 2008 though tested in a variety of populations. It may be private. Listed 16 April 2016.</t>
  </si>
  <si>
    <t>IMS-JST037816-80 does not meet quality guidelines Listed 2 February 2016.</t>
  </si>
  <si>
    <r>
      <rPr>
        <rFont val="Times New Roman"/>
        <sz val="12.0"/>
      </rPr>
      <t xml:space="preserve">
</t>
    </r>
    <r>
      <rPr>
        <rFont val="Times New Roman"/>
        <b/>
        <sz val="12.0"/>
      </rPr>
      <t>Y-DNA haplogroup C</t>
    </r>
    <r>
      <rPr>
        <rFont val="Times New Roman"/>
        <sz val="12.0"/>
      </rPr>
      <t xml:space="preserve"> is thought to have arisen shortly after modern humans left Africa. Descendants spread mostly through southern and eastern Asia, but branches developed also in the Americas, islands south of Malaysia, Australia, central Asia and Europe.</t>
    </r>
  </si>
  <si>
    <r>
      <rPr>
        <rFont val="Times New Roman"/>
        <b/>
        <color rgb="FF000000"/>
        <sz val="12.0"/>
      </rPr>
      <t>Geographical distribution</t>
    </r>
    <r>
      <rPr>
        <rFont val="Times New Roman"/>
        <color rgb="FF000000"/>
        <sz val="12.0"/>
      </rPr>
      <t xml:space="preserve"> so far of C subgroups (not complete):</t>
    </r>
  </si>
  <si>
    <t>C1a1 - M8
          Japan, China, Korea
C1a2 - V20
          Europe, Algeria (Berbers), Armenia, Czech Rep. (ancient DNA, abt 30,000 yrs ago), Spain  (ancient DNA, 
          7800 yrs ago), Turkey (ancient DNA, abt 8300 yrs ago), Hungary (ancient DNA, abt 7000 yrs ago)
C1b1a1 - M356
          India (Gujaratis and Madhya-Pradesh), Kuwait, Saudi Arabia 
C1b1a2 - B65
          Indonesia (Lebbos), Brunei (Murats), Philippines (Aetas)
C1b1a3 - Z16582
          Saudi Arabia, Iraq
C1b1b - B68
          Brunei (Dusuns)
C1b2a1a - P33 
          Pacific Islands
C1b2a1d - Z32295
          Indonesia (Bajos)
C1b2a1c - B460
          Papua New Guinea (Koinambes)
C1b2a3 - B76
          Indonesia (Bajos)
C1b2b - M347
          Australia (Aborigines)
C2a1a1a1 - P39
          Canada &amp; U.S. (Amerindians)
C2a1a1a2a - F1756
          China (Hezhens, Xibos, Hans), East Europe, Turkey, Russia (Altaians, Koryaks)
C2a1a1b1 - M86
          Siberian Russia (Mongolians, Evenks, Buryats)
C2a1a1b2 - B90
          Siberian Russia (Koryaks, Evenks)
C2a1a1c - CTS5559, F4002, M504
          Afghanistan, Russia, Kyrgyzstan, Mongolia, Pakistan, China (Aisin Gioros), China (Oroqens), Uzbekistan
C2a1a1d -F992/Y12018/Z30601
          India, Slovakia</t>
  </si>
  <si>
    <t>C2a1a5 - Z31698
          Japan
C2b1a1 - CTS2657
          Siberian Russia (Buryats), Japan, China (Hans), Korea
C2b1a2 - 
          Japan, China (Hans), Bangladesh (Bengalis), Korea
C2b1b - F845
          China (Dai, Oroquins, Tujias), Japan, Vietnam, Korea, Philippines</t>
  </si>
  <si>
    <t xml:space="preserve">Using variation in STR markers, Zhong et al. in 2010 estimated the divergence times of some Hg C subgroups as they then existed as follows (thousands of years):  </t>
  </si>
  <si>
    <t>C-M8       41.9 +/- 16.6</t>
  </si>
  <si>
    <t>C-M356   33.3 +/- 19.1</t>
  </si>
  <si>
    <t>C-M217   32.6 +/- 14.1</t>
  </si>
  <si>
    <t>C-P39      14.5 +/- 5.1</t>
  </si>
  <si>
    <t>C-M48       9.3 +/- 3.3</t>
  </si>
  <si>
    <t>C-M407   12.0 +/- 4.2</t>
  </si>
  <si>
    <t>References:</t>
  </si>
  <si>
    <t>Behar et al,Genome-Wide Structure of the Jewish People. Nature, 446:238-42, 2010.</t>
  </si>
  <si>
    <t>Bergstrom, et al, Deep Roots for Aboriginal Australian Y Chromosomes. (pdf) Current Biology, 26:809-813, (2016).</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</si>
  <si>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</si>
  <si>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(pdf)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</si>
  <si>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</si>
  <si>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</si>
  <si>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Chen et al, Y Chromosome Genotyping and Genetic Structure of Zhuang Populations. (abstract) Acta Genetica Sinica, 33(12), 1060-72, 2006.</t>
  </si>
  <si>
    <t>Cinnioglu et al, Excavating Y-chromosome Haplotype Strata in Anatolia. (pdf) Human Genetics. 114:127-148, 2004.</t>
  </si>
  <si>
    <t>Cristofaro et al, Afghan Hindu Kush: Where Eurasian Sub-Continent Gene Flows Converge. PLoS ONE 8(10): e76748. doi:10.1371/journal.pone.0076748, 2013.</t>
  </si>
  <si>
    <t>Cruciani et al, A Revised Root for the Human Y Chromosomal Phylogenetic Tree--The Origin of Patrilineal Diversity in Africa. The American Journal of Human Genetics, doi:10.1016/j.ajhg.2011.05.002, 2011.</t>
  </si>
  <si>
    <t>Dein et al, The Y Chromosome Landscape of the Philippines: Extensive Heterogeneity and Varying Genetic Affinities of Negrito and Non-Negrito Groups. (abstract) European Journal of Human Genetics, 19:224-30, 2011.</t>
  </si>
  <si>
    <t>Derenko et al, Contrasting patterns of Y-Chromosome variation in South Siberian populations from Baikal and Altai-Sayan regions, Human Genetics 118: 591-604, 2006.</t>
  </si>
  <si>
    <t>Dulik et al, Mitochondrial DNA and Y Chromosome Variation Provides Evidence for a Recent Common Ancestry between Native Americans and Indigenous Altaians. (pdf) The American Journal of Human Genetics, doi: 10.1016/ajhg.2011.12.014, 2012.</t>
  </si>
  <si>
    <t>Dulik et al, Y-Chromosome Variation in Altaian Kazakhs Reveals a Common Paternal Gene Pool for Kazakhs and the Influence of Mongolian Expansions. (pdf) PLoS ONE, Vol. 6, Issue 3, e17548, 2011.</t>
  </si>
  <si>
    <t>Eaaswarkhanth et al, Traces of Sub-Saharan and Middle Eastern Lineages in Indian Muslim Populations. European Journal of Human Genetics, 18, 354-363, 2010.</t>
  </si>
  <si>
    <t>Fornarino et al, Mitochondrial and Y-chromosome Diversity of the Tharus (Nepal): A Reservoir of Genetic Variation. BMC Evol Biol. 2009; 9: 154. Published online 2009 July 2. doi: 10.1186/1471-2148-9-154, 2009.</t>
  </si>
  <si>
    <t>Gayden et al, The Himalayas as a Directional Barrier to Gene Flow. American Journal of Human Genetics, 80(5):884-894, 2007.</t>
  </si>
  <si>
    <t>Geppert et al, Hierarchical Y-SNP Assay to Study the Hidden Diversity and Phylogenetic Relationship of Native Populations in South America. Forensic Science International: Genetics, 6 Oct 2010.</t>
  </si>
  <si>
    <t>Hammer et al, Dual Origins of the Japanese: Common Ground for Hunter-gatherer and Farmer Y Chromosomes. (abstract) Journal of Human Genetics, 51:47-58, 2006.</t>
  </si>
  <si>
    <t>Hudajashov et al, Revealing the Prehistoric Settlement of Australia by Y chromosome and mtDNA Analysis. PNAS, 104:21, 2007.</t>
  </si>
  <si>
    <t>Jin et al, Genetic Diversity of Two Haploid Markers in the Udegey Population from Southeastern Siberia. (abstract) American Journal of Physical Anthropology, 142:303-313, 2010.</t>
  </si>
  <si>
    <t>Jin et al, The Peopling of Korea Revealed by Analyses of Mitochondrial DNA and Y-Chromosomal Markers. PLoS One, vol 4(1):ed4210, 2009.</t>
  </si>
  <si>
    <t>Karafet et al, Major East-West Division Underlies Y Chromosome Stratification Across Indonesia. Abstract. Molecular Biology and Evolution, doi:10.1093/molbev/msq063. 2010.</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</si>
  <si>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</si>
  <si>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</si>
  <si>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The Impact of the Austronesian Expansion: Evidence from mtDNa and Y Chromosome Diversity in the Admiralty Islands of Melanesia. Molecular Biology Evolution, 25(7):1362-1374, 2008.</t>
  </si>
  <si>
    <t>Kayser et al, Melanesian and Asian Origins of Polynesians: mtDNA and Y-Chromosome Gradients across the Pacific. MBE Advance Access published August 21, 2006.</t>
  </si>
  <si>
    <t>Kwon et al, Confirmation of Y Haplogroup Tree Topologies with Newly Suggested Y-SNPs for the C2, O2b and O3a Subhaplogroups. (abstract) FSI Genetics, 19:42-46, 2015.</t>
  </si>
  <si>
    <t>Li et al, Paternal Genetic Affinity between Western Austronesians and Daic Populations BMC Evolutionary Biology, Vo. 15(8), p. 146, 2008.</t>
  </si>
  <si>
    <t>Malhi et al, Distribution of Y Chromosomes among Native North Americans: A Study of Athapaskan Population History American Journal of Physical Anthropology, 137:412-24, 2008.</t>
  </si>
  <si>
    <t>Malyarchuk et al, On the Y-chromosome Haplogroup C3c Classification. Abstract. Journal of Human Genetics. Epub ahead of print, 2012 Jul 19.</t>
  </si>
  <si>
    <t>Malyarchuk et al, Phylogeography of the Y-Chromosome Haplogroup C in Northern Eurasia. (abstract) Annals of Human Genetics, 74:539-46, 2010.</t>
  </si>
  <si>
    <t>Mohyuddin et al, Detection of Novel Y SNPs Provides Further Insights into Y Chromosomal Variation in Pakistan. Journal of Human Genetics, 2006.</t>
  </si>
  <si>
    <t>Mona et al, Patterns of Y-chromosome Diversity Intersect with the Trans-New Guinea Hypothesis. Mol Biol Evol. 2007 Sep 10; [Epub ahead of print]</t>
  </si>
  <si>
    <t>Naitoh S, et al, Assignment of Y-chromosomal SNPs Found in Japanese Population to Y-chromosomal Haplogroup tree. Journal of Human Genetics, 2014 Feb 7. doi: 10.1038/jhg.2012.159, 2013.</t>
  </si>
  <si>
    <t>Nonaka et al, Y Chromosomal Binary Haplogroups in the Japanese Population and their Relationship to 16 Y-STR Polymorphisms. (abstract) Annals of Human Genetics, 71:480-495, 2007.</t>
  </si>
  <si>
    <t>Pakendorf et al, Investigating the Effects of Prehistoric Migrations in Siberia: Genetic Variation and the Origins of Yakuts, Human Genetics, Volume 120, Number 3, 334-353, 2006.</t>
  </si>
  <si>
    <t>Regueiro et al, Iran: Tricontinental Nexus for Y-Chromosome Driven Migration. (abstract) Human Heredity, Vol. 61, No 3, 132-143, 2006.</t>
  </si>
  <si>
    <t>Scheinfeldt et al, Unexpected NRY Chromosome Variation in Northern Island Melanesia. Society for Molecular Biology, 2006.</t>
  </si>
  <si>
    <t>Scozzari et al, Molecular Dissection of the Basal Clades in the Human Y Chromosome Phylogenetic Tree, PLoS ONE, Vol. 7, Issue 11, e4917, 2012.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</si>
  <si>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</si>
  <si>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Sharma et al, The Indian Origin of Paternal Haplogroup R1a1 Substantiates the Autochthonous Origin of Brahmins and the Caste SystemOrigin of Paternal Haplogroup R1a1. (abstract) Journal of Human Genetics, 54:47-55, 2009.</t>
  </si>
  <si>
    <t>Shou et al, Y-Chromosome Distributions among Populations in Northwest China Identify Significant Contribution from Central Asian Pastoralists and Lesser Influence of Western Eurasians. (abstract) Journal of Human Genetics, 55: 314-22, 2010.</t>
  </si>
  <si>
    <t>Underhill et al, Use of Y Chromosome and Mitochondrial DNA Population Structure in Tracing Human Migrations. (abstract) Annual Review Genetics, 41:539-564, December 1, 2007(a).</t>
  </si>
  <si>
    <t>Underhill et al, Y Chromosome Sequence Variation and the History of Human Populations. (pdf) Nature Genetics, 26: 358-361, November 2000.</t>
  </si>
  <si>
    <t>Wei et al., Whole-Sequence Analysis Indicates That the Y Chromosome C2*-Star Cluster Traces Back to Ordinary Mongols, Rather Than Genghis Khan, (abstract) European Journal of Human Genetics, Epub ahead of print, doi: 10.1038/s41431-017-0012-3, 2018.</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</si>
  <si>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</si>
  <si>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</si>
  <si>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Zhang et al, The Y-Chromosome Haplogroup C3*-F3918, Likely Attributed to the Mongol Empire, Can Be Traced to a 2500-Year-Old Nomadic Group, Journal of Human Genetics, on line publication 5 December 2017, doi:10.1038/s10038-017-0357-z</t>
  </si>
  <si>
    <t>Zhong et al, Extended Y-chromosome Investigation Suggests Post-Glacial Migrations of Modern Humans into East Asia via the Northern Route. Molecular Biology, 28(1):717-727, 2011.</t>
  </si>
  <si>
    <t>Zhong et al, Global Distribution of Y-Chromosome Haplogroup C Reveals the Prehistoric Migration Routes of African Exodus and Early Settlement in East Asia. (abstract) Journal of Human Genetics, 55(7):428-35, 2010.</t>
  </si>
  <si>
    <t>Additional Resources:</t>
  </si>
  <si>
    <t>ISOGG Wiki</t>
  </si>
  <si>
    <t>What you need to know about Genetic Genealogy</t>
  </si>
  <si>
    <t>Ancient DNA samples</t>
  </si>
  <si>
    <t>Includes Haplogroup C samples</t>
  </si>
  <si>
    <t>C Haplogroup</t>
  </si>
  <si>
    <t>Ed Martin, Ray Banks</t>
  </si>
  <si>
    <t>Haplogroup C Project,</t>
  </si>
  <si>
    <t>Corrections/Additions made since 1 January 2018:</t>
  </si>
  <si>
    <t>Added Z45818, Z45819, Z45820, FGC31362, F12211/FGC28916 to tree investigation on 2 January 2018.</t>
  </si>
  <si>
    <t>Added PH428 to tree on 9 February 2018.</t>
  </si>
  <si>
    <t>Added F3555 to tree; added ACT101, ACT118, ACT123, ACT209, ACT282 to tree investigation on 10 February 2018.</t>
  </si>
  <si>
    <t>Added Wei et al to bibliography on 12 February 2018.</t>
  </si>
  <si>
    <t>Added SK1069, SK1070, SK1071 to tree investigation on 13 February 2018.</t>
  </si>
  <si>
    <t xml:space="preserve">Added F5485/SK1064/Y12825, F6549/FGC16350, F7171/Y12785, F13787/Y12244, F8473/Y12797 to tree; added  </t>
  </si>
  <si>
    <t xml:space="preserve">F6193, F6357, F6915, F7472, F12361, SK1066, F12021/FGC16418/Y11098, F12038/FGC16431/Y11121, F39600, F10077, SK1072, </t>
  </si>
  <si>
    <t xml:space="preserve">SK1073, F10374, F12634/FGC27183/V3788, F11313, F11838, F12663, F12867 to tree investigation (latter items from Wei </t>
  </si>
  <si>
    <t>et al 2018 study on 14 February 2018.</t>
  </si>
  <si>
    <t xml:space="preserve">Added Z46020, Z46021, Z46022, Z46023, Z46024, F9747, F10981, F11791/ZQ319, F11978, F10091/ZQ31, F11945, F13625, </t>
  </si>
  <si>
    <t xml:space="preserve">F10001, F10868, F11885, F12330, F12703, F14806, F14768, SK1076, SK1077, F3796 to tree investigation on 15 February </t>
  </si>
  <si>
    <t>2018 (some from Wei study).</t>
  </si>
  <si>
    <t>Added F2763.2, F3845.2/L598.2, CTS9894.2/M3574.2/PF3036.2, BY31/F14779, F14763, F14770, F14772, F14778, SK1408.2,</t>
  </si>
  <si>
    <t xml:space="preserve">F10283, F11301, F12257, F13806, 14749, F14751, F14752, F14760, F14766, F14769, F14771, F14776, F14782, F14783, F14784, </t>
  </si>
  <si>
    <t>F14785, F14798, F14799, F14800, F14750 to tree investigation from Wei study on 16 February 2018.</t>
  </si>
  <si>
    <t>Added FGC16217, Y136036, Y136046, Y136048, Y136045 to tree investigation on 28 February 2018.</t>
  </si>
  <si>
    <t>Added F9992, F11406 to tree on 6 March 2018.</t>
  </si>
  <si>
    <t xml:space="preserve">Added F12267, F12474, F12517, F11671, F12109, F10105, F10387, F11309, F13519, F13628, F11889, F11907, F12162, F10012, F10090, </t>
  </si>
  <si>
    <t xml:space="preserve">F10261, F11395, F11592, F12905, F12717, F12880, F13848, F11610, F12039, F13018, F10963, Z22425, Z22427 Y46616, Y46761, </t>
  </si>
  <si>
    <t xml:space="preserve">Y47404, Y47855, Y47997, Y48044, Y48297, Y48320, Y48557.2, Y51723, Y51755, Y52232, Y52885, Y53264, Y53732, Y53779, </t>
  </si>
  <si>
    <t xml:space="preserve">Y54019, Y54356, Y54410, Y54563, Y54964, Y55732, Y55805, Y56962, Y57696, Y57857, Y58669, Y58810, Y58888, ZS11523.2 </t>
  </si>
  <si>
    <t>to tree; added Y45560.2, FGC14335.2, Z46118, Z46119, Z46120, Z46121, Z46122, Z46123, Z46124, Z46125 to tree investigation on 7 March 2018.</t>
  </si>
  <si>
    <t>Added F8507, MF2891, MF2896, F9811, MF3104 to tree investigation on 12 March 2018.</t>
  </si>
  <si>
    <t>Added Z46268, Z46269, Z46270, Z46271, Z46272 to tree investigation on 15 March 2018.</t>
  </si>
  <si>
    <t>Added MF2714, MF2721, MF2945, MF3179, Y145096 to tree investigation on 25 April 2018.</t>
  </si>
  <si>
    <t>Added F16914, F18309, F18601, F18607, MF2039, MF2040, MF2041 to tree on 29 April 2018.</t>
  </si>
  <si>
    <t>Added BY3395, Z46354 to tree on 13 June 2018.</t>
  </si>
  <si>
    <t xml:space="preserve">  </t>
  </si>
  <si>
    <t>Added BY61131, BY66605, BY67456, BY70002, MF2091 to tree investigation on 31 July 2018.</t>
  </si>
  <si>
    <t>Added Z46378, Z46379, Z46380, Z46381, Z46382 to tree investigation on 7 August 2018.</t>
  </si>
  <si>
    <t xml:space="preserve">Added BY82640, BY82729, BY105430, F17997, F23660, FGC79118, K98, K111, K112, K123, K124, K128, K130, K137,  K158, </t>
  </si>
  <si>
    <t xml:space="preserve">K165, K220, K221, K224, K228, K229, K230, K239, K241, K243, K253, K262, K266, K271, K275, K278, K279, K286, K288, K291, K298, K314, </t>
  </si>
  <si>
    <t xml:space="preserve">K334, K335, K340, K353, K355, K357, K372, K376, K403, K416, K431,  PH407, PH1645, PH2603, PH3651, PH3707, PH3953, PH3972, </t>
  </si>
  <si>
    <t>PH4409, PH4552, PH5168, PH5321^, PH5346, SK999, Y28071, Y28072, Y28073, Y28082, Y28084, Y28085, Y29427, Y29428, Y29432 to</t>
  </si>
  <si>
    <t>tree on 28 August 2018.</t>
  </si>
  <si>
    <t xml:space="preserve">Added BY158808/Z21351, Z12338, Z12341. Z12373, Z12384, Z12403, Z12406, Z12422, Z12425, </t>
  </si>
  <si>
    <t xml:space="preserve">BY160581/Y152663, BY158825/Y152673, BY160584/Y152680, BY158801/Y152688, BY158953/Y152696, BY159045/Y152679, </t>
  </si>
  <si>
    <t xml:space="preserve">BY159075/Y152689, BY159293/Y152683, BY159298/Y152664, BY159307/Y152695, BY159308/Y152694, BY159341/Y152678, </t>
  </si>
  <si>
    <t xml:space="preserve">BY159409/Y152677, BY159422/Y152666, BY159498/Y152686, BY159502/Y152685, BY159513/Y152665, BY159584/Y152676, </t>
  </si>
  <si>
    <t xml:space="preserve">BY159650/Y152670, BY159698, BY159733/Y152682, BY159845/Y152669, BY159943/Y152690, BY159982/Y152684, BY160039/Y152692, </t>
  </si>
  <si>
    <t xml:space="preserve">BY160231/Y152675, BY160369/Y152674, BY160422/Y152668, BY160478/Y152672, BY160491/Y152681, BY160478/Y152672, </t>
  </si>
  <si>
    <t>BY160554/Y152671, FGC24650/V1656, SK996, Y82437, Y152687, Y152691 to tree;.</t>
  </si>
  <si>
    <t xml:space="preserve">added BY16016/Y125864, Y43116, Z12384, BY159855, BY160069, BY160461/Y153979, BY160474/Y153800, BY160476/Y153794, BY160489, </t>
  </si>
  <si>
    <t>BY160747/Y153853 to tree investigation on 29 August 2108.</t>
  </si>
  <si>
    <t>Added ACT3929/Y149521, ACT4477/Y149470, ACT4486/Y149433, ACT4575/Y149459, ACT4698/Y149472 to tree investigation on 30 August 2018.</t>
  </si>
  <si>
    <t xml:space="preserve">Added F8472/PH36, F12502/PH3873, Y138418, Y138498 to tree; added Y138306, Y138402, Y138495, Y138523, Y138527,                </t>
  </si>
  <si>
    <t xml:space="preserve">BY159609/Y152959/ZQ1058, BY159805/Y152970/ZQ1057, BY159811/Y152946/ZQ1056, BY160279/Y152969/ZS1053, </t>
  </si>
  <si>
    <t>BY160715/Y152968/ZQ1052 to tree investigation on 31 August 2018.</t>
  </si>
  <si>
    <t xml:space="preserve">Added F17854, F18454, F18822, F19165, F20188, F21292, F21999, F22006^, F22021, F22768, F25595, MF1788, Y90539, Y91365, Y92436,  </t>
  </si>
  <si>
    <t xml:space="preserve">Y92508, Y98989, Y103788, Y108528, Y112120, Y112121, Y113022, Z31668 to tree; added BY174637, BY174638, BY174629, BY174624, </t>
  </si>
  <si>
    <t>BY174626 to tree investigation on 19 September 2018.</t>
  </si>
  <si>
    <t>Added BY174874, BY174875, BY174929, BY174967, Y83824 to tree investigation on 25 September 2018.</t>
  </si>
  <si>
    <t>Added MF2091, BY106576, BY125395, MF2095, MF2096, MF2097, MF2098, MF2099, MF2100, MF2101, MF2103, MF2105, MF2106, MF3094</t>
  </si>
  <si>
    <t>to tree on 12 October 2018.</t>
  </si>
  <si>
    <t>Added BY186676, BY186694, BY187227, BY183180, BY188109, BY186297, BY186309, BY186350, BY186497, BY186500 to tree investigation</t>
  </si>
  <si>
    <t>on 8 November 2018.</t>
  </si>
  <si>
    <t>Added F12736/FGC28932/Y11616/Z30426, F12770/FGC28935/Y10438, F3843, FGC28845, F3931, FGC28906/Y10429  to tree on 9 November 2018.</t>
  </si>
  <si>
    <t>Added FGC47273, FGC47276, FGC47293 to tree investigation on 10 November 2018.</t>
  </si>
  <si>
    <t>Added F10036, F10356, F10464, F11551, F11561, F12726, F12845, F12875, F13864, F13880, F13136 to tree investigation; added</t>
  </si>
  <si>
    <t>F9898, F12177, F11377, F12630, F13596, F12788, F12566/FGC23419 to tree on 11 November 2018.</t>
  </si>
  <si>
    <t>Subdivided CTS2657 subgroup on 16 November 2018.</t>
  </si>
  <si>
    <t>Added BY91228, F10091/ZQ31 to tree investigation on 19 November 2018.</t>
  </si>
  <si>
    <t>Added MF1915, MF1926, MF1927, MF1928^^, Y141176, Y141202, Y141205^^ to tree investigation on 10 December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</si>
  <si>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</si>
  <si>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</si>
  <si>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</si>
  <si>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</si>
  <si>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</si>
  <si>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</si>
  <si>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</si>
  <si>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</si>
  <si>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</si>
  <si>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</si>
  <si>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M130</t>
  </si>
  <si>
    <t>Page51; RPS4Y711</t>
  </si>
  <si>
    <t>rs35284970</t>
  </si>
  <si>
    <t>C-&gt;T</t>
  </si>
  <si>
    <t>Page51</t>
  </si>
  <si>
    <t>M130; RPS4Y711</t>
  </si>
  <si>
    <t>RPS4Y711</t>
  </si>
  <si>
    <t>M130; Page51</t>
  </si>
  <si>
    <t>CTS179</t>
  </si>
  <si>
    <t>Z3857</t>
  </si>
  <si>
    <t>rs377752085</t>
  </si>
  <si>
    <t>G-&gt;A</t>
  </si>
  <si>
    <t>CTS182</t>
  </si>
  <si>
    <t>rs375415582</t>
  </si>
  <si>
    <t>C-&gt;G</t>
  </si>
  <si>
    <t>CTS280</t>
  </si>
  <si>
    <t>rs773838412</t>
  </si>
  <si>
    <t>CTS840</t>
  </si>
  <si>
    <t>rs374624438</t>
  </si>
  <si>
    <t>CTS1384</t>
  </si>
  <si>
    <t>rs367555636</t>
  </si>
  <si>
    <t>CTS1396</t>
  </si>
  <si>
    <t>rs369419018</t>
  </si>
  <si>
    <t>A-&gt;G</t>
  </si>
  <si>
    <t>CTS1606</t>
  </si>
  <si>
    <t>rs375951998</t>
  </si>
  <si>
    <t>CTS2014</t>
  </si>
  <si>
    <t>rs374540369</t>
  </si>
  <si>
    <t>CTS2377</t>
  </si>
  <si>
    <t>rs376856710</t>
  </si>
  <si>
    <t>CTS2416</t>
  </si>
  <si>
    <t>rs373511870</t>
  </si>
  <si>
    <t>G-&gt;C</t>
  </si>
  <si>
    <t>CTS2550</t>
  </si>
  <si>
    <t>rs371602280</t>
  </si>
  <si>
    <t>CTS2599</t>
  </si>
  <si>
    <t>rs373121289</t>
  </si>
  <si>
    <t>CTS2941</t>
  </si>
  <si>
    <t>rs368622454</t>
  </si>
  <si>
    <t>T-&gt;C</t>
  </si>
  <si>
    <t>CTS2955</t>
  </si>
  <si>
    <t>rs371612100</t>
  </si>
  <si>
    <t>CTS3151</t>
  </si>
  <si>
    <t>rs774527974</t>
  </si>
  <si>
    <t>CTS3153</t>
  </si>
  <si>
    <t>rs371618521</t>
  </si>
  <si>
    <t>A-&gt;C</t>
  </si>
  <si>
    <t>CTS3221</t>
  </si>
  <si>
    <t>rs375193387</t>
  </si>
  <si>
    <t>CTS3233</t>
  </si>
  <si>
    <t>rs367806581</t>
  </si>
  <si>
    <t>CTS3658</t>
  </si>
  <si>
    <t>rs377388544</t>
  </si>
  <si>
    <t>CTS3910</t>
  </si>
  <si>
    <t>rs372013577</t>
  </si>
  <si>
    <t>CTS4032</t>
  </si>
  <si>
    <t>rs369873740</t>
  </si>
  <si>
    <t>CTS4676</t>
  </si>
  <si>
    <t>rs374361511</t>
  </si>
  <si>
    <t>CTS4686</t>
  </si>
  <si>
    <t>rs374081536</t>
  </si>
  <si>
    <t>CTS4934</t>
  </si>
  <si>
    <t>rs372812636</t>
  </si>
  <si>
    <t>CTS5151</t>
  </si>
  <si>
    <t>rs376932321</t>
  </si>
  <si>
    <t>T-&gt;G</t>
  </si>
  <si>
    <t>CTS5383</t>
  </si>
  <si>
    <t>rs369446403</t>
  </si>
  <si>
    <t>CTS5441</t>
  </si>
  <si>
    <t>rs367994122</t>
  </si>
  <si>
    <t>CTS5813</t>
  </si>
  <si>
    <t>rs368267760</t>
  </si>
  <si>
    <t>CTS5958</t>
  </si>
  <si>
    <t>rs367570770</t>
  </si>
  <si>
    <t>CTS6203</t>
  </si>
  <si>
    <t>rs374446039</t>
  </si>
  <si>
    <t>CTS6266</t>
  </si>
  <si>
    <t>rs367781893</t>
  </si>
  <si>
    <t>CTS6378</t>
  </si>
  <si>
    <t>rs369446172</t>
  </si>
  <si>
    <t>C-&gt;A</t>
  </si>
  <si>
    <t>CTS6492</t>
  </si>
  <si>
    <t>rs376814744</t>
  </si>
  <si>
    <t>CTS6893</t>
  </si>
  <si>
    <t>rs376798226</t>
  </si>
  <si>
    <t>CTS6898</t>
  </si>
  <si>
    <t>rs370001603</t>
  </si>
  <si>
    <t>A-&gt;T</t>
  </si>
  <si>
    <t>CTS6916</t>
  </si>
  <si>
    <t>rs372671893</t>
  </si>
  <si>
    <t>CTS7301</t>
  </si>
  <si>
    <t>M3716; PF2705</t>
  </si>
  <si>
    <t>rs9785990</t>
  </si>
  <si>
    <t>M3716</t>
  </si>
  <si>
    <t>CTS7301; PF2705</t>
  </si>
  <si>
    <t>PF2705</t>
  </si>
  <si>
    <t>CTS7301; M3716</t>
  </si>
  <si>
    <t>CTS7752</t>
  </si>
  <si>
    <t>rs375060187</t>
  </si>
  <si>
    <t>CTS7930</t>
  </si>
  <si>
    <t>rs370398266</t>
  </si>
  <si>
    <t>CTS8148</t>
  </si>
  <si>
    <t>rs376275372</t>
  </si>
  <si>
    <t>CTS8566</t>
  </si>
  <si>
    <t>rs375894109</t>
  </si>
  <si>
    <t>CTS8572</t>
  </si>
  <si>
    <t>rs375034796</t>
  </si>
  <si>
    <t>CTS8769</t>
  </si>
  <si>
    <t>rs370566786</t>
  </si>
  <si>
    <t>CTS9413</t>
  </si>
  <si>
    <t>rs376731755</t>
  </si>
  <si>
    <t>CTS9611</t>
  </si>
  <si>
    <t>rs372091815</t>
  </si>
  <si>
    <t>G-&gt;T</t>
  </si>
  <si>
    <t>CTS9679</t>
  </si>
  <si>
    <t>rs369115230</t>
  </si>
  <si>
    <t>CTS10083</t>
  </si>
  <si>
    <t>rs376932081</t>
  </si>
  <si>
    <t>T-&gt;A</t>
  </si>
  <si>
    <t>CTS10116</t>
  </si>
  <si>
    <t>rs368450754</t>
  </si>
  <si>
    <t>CTS10165</t>
  </si>
  <si>
    <t>rs371979316</t>
  </si>
  <si>
    <t>CTS10256</t>
  </si>
  <si>
    <t>rs374374090</t>
  </si>
  <si>
    <t>CTS10271</t>
  </si>
  <si>
    <t>V4042</t>
  </si>
  <si>
    <t>rs368649011</t>
  </si>
  <si>
    <t>CTS10442</t>
  </si>
  <si>
    <t>rs374344488</t>
  </si>
  <si>
    <t>CTS10509</t>
  </si>
  <si>
    <t>rs377079384</t>
  </si>
  <si>
    <t>CTS10534</t>
  </si>
  <si>
    <t>rs367775983</t>
  </si>
  <si>
    <t>CTS10707</t>
  </si>
  <si>
    <t>rs375011149</t>
  </si>
  <si>
    <t>CTS10720</t>
  </si>
  <si>
    <t>rs369970144</t>
  </si>
  <si>
    <t>CTS10782</t>
  </si>
  <si>
    <t>rs371231952</t>
  </si>
  <si>
    <t>CTS11149</t>
  </si>
  <si>
    <t>rs374957485</t>
  </si>
  <si>
    <t>CTS11412</t>
  </si>
  <si>
    <t>rs372787528</t>
  </si>
  <si>
    <t>CTS11544</t>
  </si>
  <si>
    <t>rs369451681</t>
  </si>
  <si>
    <t>CTS11598</t>
  </si>
  <si>
    <t>rs367562224</t>
  </si>
  <si>
    <t>CTS11820</t>
  </si>
  <si>
    <t>rs377058986</t>
  </si>
  <si>
    <t>CTS12472</t>
  </si>
  <si>
    <t>rs373680531</t>
  </si>
  <si>
    <t>F847</t>
  </si>
  <si>
    <t>rs371209375</t>
  </si>
  <si>
    <t>F909</t>
  </si>
  <si>
    <t>rs369655866</t>
  </si>
  <si>
    <t>F917</t>
  </si>
  <si>
    <t>rs372759960</t>
  </si>
  <si>
    <t>F1029</t>
  </si>
  <si>
    <t>V232</t>
  </si>
  <si>
    <t>rs187865793</t>
  </si>
  <si>
    <t>F1030</t>
  </si>
  <si>
    <t>rs376751381</t>
  </si>
  <si>
    <t>F1044</t>
  </si>
  <si>
    <t>V1354</t>
  </si>
  <si>
    <t>rs372848378</t>
  </si>
  <si>
    <t>F1118</t>
  </si>
  <si>
    <t>rs371564985</t>
  </si>
  <si>
    <t>F1217</t>
  </si>
  <si>
    <t>V2015</t>
  </si>
  <si>
    <t>rs371707352</t>
  </si>
  <si>
    <t>F1241</t>
  </si>
  <si>
    <t>V2099</t>
  </si>
  <si>
    <t>rs369329026</t>
  </si>
  <si>
    <t>F1288</t>
  </si>
  <si>
    <t>V2200</t>
  </si>
  <si>
    <t>rs373686912</t>
  </si>
  <si>
    <t>F1307</t>
  </si>
  <si>
    <t>V2258</t>
  </si>
  <si>
    <t>rs374839501</t>
  </si>
  <si>
    <t>F1367</t>
  </si>
  <si>
    <t>rs368078253</t>
  </si>
  <si>
    <t>F1490</t>
  </si>
  <si>
    <t>rs372507437</t>
  </si>
  <si>
    <t>F1727</t>
  </si>
  <si>
    <t>rs375637679</t>
  </si>
  <si>
    <t>F1743</t>
  </si>
  <si>
    <t>rs181059462</t>
  </si>
  <si>
    <t>F1804</t>
  </si>
  <si>
    <t>rs375596029</t>
  </si>
  <si>
    <t>F1865</t>
  </si>
  <si>
    <t>Page85</t>
  </si>
  <si>
    <t>rs35906235</t>
  </si>
  <si>
    <t>F1871</t>
  </si>
  <si>
    <t>rs369698678</t>
  </si>
  <si>
    <t>F1905</t>
  </si>
  <si>
    <t>V2801</t>
  </si>
  <si>
    <t>rs372753879</t>
  </si>
  <si>
    <t>F1911</t>
  </si>
  <si>
    <t>V2823</t>
  </si>
  <si>
    <t>rs370944521</t>
  </si>
  <si>
    <t>F2067</t>
  </si>
  <si>
    <t>rs376287114</t>
  </si>
  <si>
    <t>F2211</t>
  </si>
  <si>
    <t>rs368617044</t>
  </si>
  <si>
    <t>F2253</t>
  </si>
  <si>
    <t>rs372168049</t>
  </si>
  <si>
    <t>F2258</t>
  </si>
  <si>
    <t>rs372604457</t>
  </si>
  <si>
    <t>F2305</t>
  </si>
  <si>
    <t>rs374577685</t>
  </si>
  <si>
    <t>F2434</t>
  </si>
  <si>
    <t>rs374813679</t>
  </si>
  <si>
    <t>F2446</t>
  </si>
  <si>
    <t>rs376635594</t>
  </si>
  <si>
    <t>F2449</t>
  </si>
  <si>
    <t>rs374516941</t>
  </si>
  <si>
    <t>F2485</t>
  </si>
  <si>
    <t>rs368827876</t>
  </si>
  <si>
    <t>F2501</t>
  </si>
  <si>
    <t>rs373279363</t>
  </si>
  <si>
    <t>F2606</t>
  </si>
  <si>
    <t>rs368391082</t>
  </si>
  <si>
    <t>F2607</t>
  </si>
  <si>
    <t>rs369592776</t>
  </si>
  <si>
    <t>F2678</t>
  </si>
  <si>
    <t>rs377572362</t>
  </si>
  <si>
    <t>F2774</t>
  </si>
  <si>
    <t>rs377443453</t>
  </si>
  <si>
    <t>F2792</t>
  </si>
  <si>
    <t>V3332</t>
  </si>
  <si>
    <t>rs370091563</t>
  </si>
  <si>
    <t>F2803</t>
  </si>
  <si>
    <t>rs372208470</t>
  </si>
  <si>
    <t>F2847</t>
  </si>
  <si>
    <t>V3497</t>
  </si>
  <si>
    <t>rs377008524</t>
  </si>
  <si>
    <t>F2858</t>
  </si>
  <si>
    <t>V3533</t>
  </si>
  <si>
    <t>rs372011174</t>
  </si>
  <si>
    <t>F2869</t>
  </si>
  <si>
    <t>V3554</t>
  </si>
  <si>
    <t>rs368965854</t>
  </si>
  <si>
    <t>F2888</t>
  </si>
  <si>
    <t>V3578</t>
  </si>
  <si>
    <t>rs371677275</t>
  </si>
  <si>
    <t>F2897</t>
  </si>
  <si>
    <t>V3600</t>
  </si>
  <si>
    <t>rs375184524</t>
  </si>
  <si>
    <t>F2909</t>
  </si>
  <si>
    <t>V3643</t>
  </si>
  <si>
    <t>rs374761642</t>
  </si>
  <si>
    <t>F2969</t>
  </si>
  <si>
    <t>rs372049179</t>
  </si>
  <si>
    <t>F2990</t>
  </si>
  <si>
    <t>F3043</t>
  </si>
  <si>
    <t>rs375859147</t>
  </si>
  <si>
    <t>F3082</t>
  </si>
  <si>
    <t>rs1013338585</t>
  </si>
  <si>
    <t>F3311</t>
  </si>
  <si>
    <t>rs370903631</t>
  </si>
  <si>
    <t>F3319</t>
  </si>
  <si>
    <t>rs374151468</t>
  </si>
  <si>
    <t>F3388</t>
  </si>
  <si>
    <t>rs368872624</t>
  </si>
  <si>
    <t>F3395</t>
  </si>
  <si>
    <t>rs375427956</t>
  </si>
  <si>
    <t>F3400</t>
  </si>
  <si>
    <t>rs372961625</t>
  </si>
  <si>
    <t>F3462</t>
  </si>
  <si>
    <t>rs376563017</t>
  </si>
  <si>
    <t>F3537</t>
  </si>
  <si>
    <t>rs370466716</t>
  </si>
  <si>
    <t>F3703</t>
  </si>
  <si>
    <t>rs371052203</t>
  </si>
  <si>
    <t>F3712</t>
  </si>
  <si>
    <t>rs368783295</t>
  </si>
  <si>
    <t>F3719</t>
  </si>
  <si>
    <t>rs369636150</t>
  </si>
  <si>
    <t>F3877</t>
  </si>
  <si>
    <t>rs367870911</t>
  </si>
  <si>
    <t>F4000</t>
  </si>
  <si>
    <t>rs75702914</t>
  </si>
  <si>
    <t>Z4084</t>
  </si>
  <si>
    <t>rs369818789</t>
  </si>
  <si>
    <t>IMS-JST029149</t>
  </si>
  <si>
    <t>V1075; Y1763</t>
  </si>
  <si>
    <t>rs2280798</t>
  </si>
  <si>
    <t>V1075</t>
  </si>
  <si>
    <t>IMS-JST029149; Y1763</t>
  </si>
  <si>
    <t>Y1763</t>
  </si>
  <si>
    <t>IMS-JST029149; V1075</t>
  </si>
  <si>
    <t>M216</t>
  </si>
  <si>
    <t>rs2032666</t>
  </si>
  <si>
    <t>P255</t>
  </si>
  <si>
    <t>P325</t>
  </si>
  <si>
    <t>rs372459525</t>
  </si>
  <si>
    <t>P260</t>
  </si>
  <si>
    <t>P324</t>
  </si>
  <si>
    <t>rs369356807</t>
  </si>
  <si>
    <t>PF2639</t>
  </si>
  <si>
    <t>rs75448998</t>
  </si>
  <si>
    <t>V77</t>
  </si>
  <si>
    <t>rs187364781</t>
  </si>
  <si>
    <t>V199</t>
  </si>
  <si>
    <t>rs189248284</t>
  </si>
  <si>
    <t>V1234</t>
  </si>
  <si>
    <t>Z3950</t>
  </si>
  <si>
    <t>rs376787264</t>
  </si>
  <si>
    <t>V1580</t>
  </si>
  <si>
    <t>Z3965</t>
  </si>
  <si>
    <t>rs374167423</t>
  </si>
  <si>
    <t>Y1767</t>
  </si>
  <si>
    <t>Z7606</t>
  </si>
  <si>
    <t>rs368031134</t>
  </si>
  <si>
    <t>Y1788</t>
  </si>
  <si>
    <t>Z3945</t>
  </si>
  <si>
    <t>rs375958095</t>
  </si>
  <si>
    <t>Y2798</t>
  </si>
  <si>
    <t>Z7798</t>
  </si>
  <si>
    <t>rs370432629</t>
  </si>
  <si>
    <t>Y2799</t>
  </si>
  <si>
    <t>Z7648</t>
  </si>
  <si>
    <t>rs373078999</t>
  </si>
  <si>
    <t>Y4481</t>
  </si>
  <si>
    <t>Z7230</t>
  </si>
  <si>
    <t>rs372591582</t>
  </si>
  <si>
    <t>Y4496</t>
  </si>
  <si>
    <t>Z7169</t>
  </si>
  <si>
    <t>rs375175336</t>
  </si>
  <si>
    <t>Y6691</t>
  </si>
  <si>
    <t>rs374856704</t>
  </si>
  <si>
    <t>Y6693</t>
  </si>
  <si>
    <t>Z7171</t>
  </si>
  <si>
    <t>rs376025912</t>
  </si>
  <si>
    <t>Z3958</t>
  </si>
  <si>
    <t>rs370091348</t>
  </si>
  <si>
    <t>Z3962</t>
  </si>
  <si>
    <t>rs371992332</t>
  </si>
  <si>
    <t>Z3974</t>
  </si>
  <si>
    <t>rs368071122</t>
  </si>
  <si>
    <t>Z3977</t>
  </si>
  <si>
    <t>rs370329897</t>
  </si>
  <si>
    <t>Z3981</t>
  </si>
  <si>
    <t>rs373363925</t>
  </si>
  <si>
    <t>Z3983</t>
  </si>
  <si>
    <t>rs372812644</t>
  </si>
  <si>
    <t>Z3986</t>
  </si>
  <si>
    <t>rs370428518</t>
  </si>
  <si>
    <t>Z4004</t>
  </si>
  <si>
    <t>rs372260799</t>
  </si>
  <si>
    <t>Z4014</t>
  </si>
  <si>
    <t>rs368784236</t>
  </si>
  <si>
    <t>Z4059</t>
  </si>
  <si>
    <t>rs368228033</t>
  </si>
  <si>
    <t>Z4071</t>
  </si>
  <si>
    <t>rs368492223</t>
  </si>
  <si>
    <t>Z4072</t>
  </si>
  <si>
    <t>Z4073</t>
  </si>
  <si>
    <t>rs369431084</t>
  </si>
  <si>
    <t>Z4081</t>
  </si>
  <si>
    <t>rs376763660</t>
  </si>
  <si>
    <t>Z4082</t>
  </si>
  <si>
    <t>rs369599637</t>
  </si>
  <si>
    <t>Z4083</t>
  </si>
  <si>
    <t>rs371163900</t>
  </si>
  <si>
    <t>Z4090</t>
  </si>
  <si>
    <t>rs373129146</t>
  </si>
  <si>
    <t>Z4091</t>
  </si>
  <si>
    <t>rs375101368</t>
  </si>
  <si>
    <t>Z4093</t>
  </si>
  <si>
    <t>rs111441004</t>
  </si>
  <si>
    <t>Z4095</t>
  </si>
  <si>
    <t>rs370888205</t>
  </si>
  <si>
    <t>Z4096</t>
  </si>
  <si>
    <t>rs370371802</t>
  </si>
  <si>
    <t>Z4099</t>
  </si>
  <si>
    <t>rs371144544</t>
  </si>
  <si>
    <t>Z4139</t>
  </si>
  <si>
    <t>rs368722290</t>
  </si>
  <si>
    <t>Z4145</t>
  </si>
  <si>
    <t>rs369621366</t>
  </si>
  <si>
    <t>Z4159</t>
  </si>
  <si>
    <t>rs368382424</t>
  </si>
  <si>
    <t>Z7144</t>
  </si>
  <si>
    <t>rs372415592</t>
  </si>
  <si>
    <t>Z7177</t>
  </si>
  <si>
    <t>rs370768965</t>
  </si>
  <si>
    <t>Z7785</t>
  </si>
  <si>
    <t>rs368737409</t>
  </si>
  <si>
    <t>Z18049.2</t>
  </si>
  <si>
    <t>rs371760113</t>
  </si>
  <si>
    <t>F3393</t>
  </si>
  <si>
    <t>Z1426</t>
  </si>
  <si>
    <t>rs372944764</t>
  </si>
  <si>
    <t>CTS6773</t>
  </si>
  <si>
    <t>M3987</t>
  </si>
  <si>
    <t>rs112615986</t>
  </si>
  <si>
    <t>K29</t>
  </si>
  <si>
    <t>rs368114173</t>
  </si>
  <si>
    <t>K30</t>
  </si>
  <si>
    <t>rs371747219</t>
  </si>
  <si>
    <t>K33</t>
  </si>
  <si>
    <t>rs375172783</t>
  </si>
  <si>
    <t>K35</t>
  </si>
  <si>
    <t>rs368612462</t>
  </si>
  <si>
    <t>CTS11043</t>
  </si>
  <si>
    <t>rs757036073</t>
  </si>
  <si>
    <t>CTS3454</t>
  </si>
  <si>
    <t>rs779336501</t>
  </si>
  <si>
    <t>CTS8809</t>
  </si>
  <si>
    <t>rs759971577</t>
  </si>
  <si>
    <t>CTS9491</t>
  </si>
  <si>
    <t>rs571164919</t>
  </si>
  <si>
    <t>CTS11268</t>
  </si>
  <si>
    <t>rs764908207</t>
  </si>
  <si>
    <t>Z4056</t>
  </si>
  <si>
    <t>rs776267680</t>
  </si>
  <si>
    <t>CTS1488</t>
  </si>
  <si>
    <t>rs981488089</t>
  </si>
  <si>
    <t>CTS1664</t>
  </si>
  <si>
    <t>rs753008355</t>
  </si>
  <si>
    <t>CTS1917</t>
  </si>
  <si>
    <t>rs772669904</t>
  </si>
  <si>
    <t>CTS3110</t>
  </si>
  <si>
    <t>rs767668261</t>
  </si>
  <si>
    <t>CTS3284</t>
  </si>
  <si>
    <t>rs749863007</t>
  </si>
  <si>
    <t>CTS4948</t>
  </si>
  <si>
    <t>rs765985746</t>
  </si>
  <si>
    <t>CTS5744</t>
  </si>
  <si>
    <t>Z1395</t>
  </si>
  <si>
    <t>rs747341378</t>
  </si>
  <si>
    <t>CTS6584</t>
  </si>
  <si>
    <t>rs781447741</t>
  </si>
  <si>
    <t>CTS6737</t>
  </si>
  <si>
    <t>rs753585991</t>
  </si>
  <si>
    <t>CTS6897</t>
  </si>
  <si>
    <t>Z1400</t>
  </si>
  <si>
    <t>rs762319536</t>
  </si>
  <si>
    <t>CTS7882</t>
  </si>
  <si>
    <t>rs766176809</t>
  </si>
  <si>
    <t>CTS8161</t>
  </si>
  <si>
    <t>rs757803564</t>
  </si>
  <si>
    <t>CTS10170</t>
  </si>
  <si>
    <t>rs768062502</t>
  </si>
  <si>
    <t>CTS10579</t>
  </si>
  <si>
    <t>rs952056347</t>
  </si>
  <si>
    <t>CTS11165</t>
  </si>
  <si>
    <t>rs762444195</t>
  </si>
  <si>
    <t>CTS11402</t>
  </si>
  <si>
    <t>rs771223945</t>
  </si>
  <si>
    <t>CTS11923</t>
  </si>
  <si>
    <t>rs766411977</t>
  </si>
  <si>
    <t>CTS12317</t>
  </si>
  <si>
    <t>rs1254046055</t>
  </si>
  <si>
    <t>CTS12482</t>
  </si>
  <si>
    <t>rs1336447168</t>
  </si>
  <si>
    <t>Z1355</t>
  </si>
  <si>
    <t>rs952457847</t>
  </si>
  <si>
    <t>Z1424</t>
  </si>
  <si>
    <t>rs753973861</t>
  </si>
  <si>
    <t>Z3949.2</t>
  </si>
  <si>
    <t>rs777557322</t>
  </si>
  <si>
    <t>Z3957</t>
  </si>
  <si>
    <t>rs779947593</t>
  </si>
  <si>
    <t>Z7143</t>
  </si>
  <si>
    <t>rs776590893</t>
  </si>
  <si>
    <t>Z7173</t>
  </si>
  <si>
    <t>rs758495619</t>
  </si>
  <si>
    <t>Z7178</t>
  </si>
  <si>
    <t>rs771360036</t>
  </si>
  <si>
    <t>Z7197</t>
  </si>
  <si>
    <t>rs988125351</t>
  </si>
  <si>
    <t>Z7213</t>
  </si>
  <si>
    <t>rs76481023</t>
  </si>
  <si>
    <t>Z7214</t>
  </si>
  <si>
    <t>rs1270172950</t>
  </si>
  <si>
    <t>Z7215</t>
  </si>
  <si>
    <t>rs1327287848</t>
  </si>
  <si>
    <t>Z7575</t>
  </si>
  <si>
    <t>rs759857436</t>
  </si>
  <si>
    <t>Z7582</t>
  </si>
  <si>
    <t>rs79201891</t>
  </si>
  <si>
    <t>Z7602</t>
  </si>
  <si>
    <t>rs745325736</t>
  </si>
  <si>
    <t>Z7604</t>
  </si>
  <si>
    <t>rs773291979</t>
  </si>
  <si>
    <t>Z7610</t>
  </si>
  <si>
    <t>rs759097341</t>
  </si>
  <si>
    <t>Z7614</t>
  </si>
  <si>
    <t>rs754508735</t>
  </si>
  <si>
    <t>Z7633</t>
  </si>
  <si>
    <t>rs757856567</t>
  </si>
  <si>
    <t>Z7651</t>
  </si>
  <si>
    <t>rs773116102</t>
  </si>
  <si>
    <t>Z7831</t>
  </si>
  <si>
    <t>rs780609722</t>
  </si>
  <si>
    <t>Z7834</t>
  </si>
  <si>
    <t>rs775469875</t>
  </si>
  <si>
    <t>Z7837</t>
  </si>
  <si>
    <t>rs764029344</t>
  </si>
  <si>
    <t>Z7840</t>
  </si>
  <si>
    <t>rs760215641</t>
  </si>
  <si>
    <t>Z7843</t>
  </si>
  <si>
    <t>rs1158049112</t>
  </si>
  <si>
    <t>Z7845</t>
  </si>
  <si>
    <t>rs748471166</t>
  </si>
  <si>
    <t>Z7853</t>
  </si>
  <si>
    <t>rs781457699</t>
  </si>
  <si>
    <t>Z7854</t>
  </si>
  <si>
    <t>rs1212119751</t>
  </si>
  <si>
    <t>Z7862</t>
  </si>
  <si>
    <t>rs1309091462</t>
  </si>
  <si>
    <t>Z7863</t>
  </si>
  <si>
    <t>rs779700303</t>
  </si>
  <si>
    <t>Z7932</t>
  </si>
  <si>
    <t>rs746207554</t>
  </si>
  <si>
    <t>Z7933</t>
  </si>
  <si>
    <t>rs756089072</t>
  </si>
  <si>
    <t>Z7977</t>
  </si>
  <si>
    <t>rs761518245</t>
  </si>
  <si>
    <t>Z7979</t>
  </si>
  <si>
    <t>rs752645752</t>
  </si>
  <si>
    <t>rs3899</t>
  </si>
  <si>
    <t>CTS824</t>
  </si>
  <si>
    <t>Z1364</t>
  </si>
  <si>
    <t>rs766331606</t>
  </si>
  <si>
    <t>CTS219</t>
  </si>
  <si>
    <t>rs750382435</t>
  </si>
  <si>
    <t>CTS231</t>
  </si>
  <si>
    <t>rs756374038</t>
  </si>
  <si>
    <t>CTS460</t>
  </si>
  <si>
    <t>rs769351093</t>
  </si>
  <si>
    <t>CTS470</t>
  </si>
  <si>
    <t>rs771123952</t>
  </si>
  <si>
    <t>CTS483</t>
  </si>
  <si>
    <t>rs756202136</t>
  </si>
  <si>
    <t>CTS684</t>
  </si>
  <si>
    <t>rs781733581</t>
  </si>
  <si>
    <t>CTS861</t>
  </si>
  <si>
    <t>rs758966401</t>
  </si>
  <si>
    <t>CTS896</t>
  </si>
  <si>
    <t>Z1365</t>
  </si>
  <si>
    <t>rs764933967</t>
  </si>
  <si>
    <t>CTS943</t>
  </si>
  <si>
    <t>Z1367</t>
  </si>
  <si>
    <t>rs774231934</t>
  </si>
  <si>
    <t>CTS951</t>
  </si>
  <si>
    <t>rs770982400</t>
  </si>
  <si>
    <t>CTS1057</t>
  </si>
  <si>
    <t>rs772770474</t>
  </si>
  <si>
    <t>CTS1140</t>
  </si>
  <si>
    <t>rs759803312</t>
  </si>
  <si>
    <t>CTS1178</t>
  </si>
  <si>
    <t>Z1368</t>
  </si>
  <si>
    <t>rs765386699</t>
  </si>
  <si>
    <t>CTS1186</t>
  </si>
  <si>
    <t>rs779453287</t>
  </si>
  <si>
    <t>CTS1208</t>
  </si>
  <si>
    <t>rs763663899</t>
  </si>
  <si>
    <t>CTS1355</t>
  </si>
  <si>
    <t>rs781411402</t>
  </si>
  <si>
    <t>CTS1736</t>
  </si>
  <si>
    <t>rs748244229</t>
  </si>
  <si>
    <t>CTS1874</t>
  </si>
  <si>
    <t>rs772162583</t>
  </si>
  <si>
    <t>CTS1994</t>
  </si>
  <si>
    <t>rs746734682</t>
  </si>
  <si>
    <t>CTS2176</t>
  </si>
  <si>
    <t>rs766405582</t>
  </si>
  <si>
    <t>CTS2189</t>
  </si>
  <si>
    <t>rs763686539</t>
  </si>
  <si>
    <t>CTS2211</t>
  </si>
  <si>
    <t>rs778782706</t>
  </si>
  <si>
    <t>CTS2212</t>
  </si>
  <si>
    <t>rs756371461</t>
  </si>
  <si>
    <t>CTS2278</t>
  </si>
  <si>
    <t>rs750582776</t>
  </si>
  <si>
    <t>CTS2298</t>
  </si>
  <si>
    <t>rs746463505</t>
  </si>
  <si>
    <t>CTS2413</t>
  </si>
  <si>
    <t>Z1388</t>
  </si>
  <si>
    <t>rs746676688</t>
  </si>
  <si>
    <t>CTS2609</t>
  </si>
  <si>
    <t>rs762705574</t>
  </si>
  <si>
    <t>CTS3357.1</t>
  </si>
  <si>
    <t>rs774897733</t>
  </si>
  <si>
    <t>CTS3363</t>
  </si>
  <si>
    <t>rs774865769</t>
  </si>
  <si>
    <t>CTS3368</t>
  </si>
  <si>
    <t>PF693; V2645</t>
  </si>
  <si>
    <t>rs536040602</t>
  </si>
  <si>
    <t>PF693</t>
  </si>
  <si>
    <t>CTS3368; V2645</t>
  </si>
  <si>
    <t>V2645</t>
  </si>
  <si>
    <t>CTS3368; PF693</t>
  </si>
  <si>
    <t>CTS3370</t>
  </si>
  <si>
    <t>rs749383036</t>
  </si>
  <si>
    <t>CTS3374</t>
  </si>
  <si>
    <t>Z1390</t>
  </si>
  <si>
    <t>rs772734444</t>
  </si>
  <si>
    <t>CTS3487</t>
  </si>
  <si>
    <t>rs776671231</t>
  </si>
  <si>
    <t>CTS3760</t>
  </si>
  <si>
    <t>Z1391</t>
  </si>
  <si>
    <t>rs765978719</t>
  </si>
  <si>
    <t>CTS3825</t>
  </si>
  <si>
    <t>rs757853532</t>
  </si>
  <si>
    <t>CTS4045</t>
  </si>
  <si>
    <t>rs757995978</t>
  </si>
  <si>
    <t>CTS4050</t>
  </si>
  <si>
    <t>rs760913863</t>
  </si>
  <si>
    <t>CTS4147</t>
  </si>
  <si>
    <t>rs747554827</t>
  </si>
  <si>
    <t>CTS4173</t>
  </si>
  <si>
    <t>rs376740053</t>
  </si>
  <si>
    <t>CTS4198</t>
  </si>
  <si>
    <t>rs772107870</t>
  </si>
  <si>
    <t>CTS4318</t>
  </si>
  <si>
    <t>Z1392</t>
  </si>
  <si>
    <t>rs749410193</t>
  </si>
  <si>
    <t>CTS4324</t>
  </si>
  <si>
    <t>rs757497345</t>
  </si>
  <si>
    <t>CTS4683</t>
  </si>
  <si>
    <t>rs778667394</t>
  </si>
  <si>
    <t>CTS4822</t>
  </si>
  <si>
    <t>Z1393</t>
  </si>
  <si>
    <t>rs750185194</t>
  </si>
  <si>
    <t>CTS4866</t>
  </si>
  <si>
    <t>rs754096627</t>
  </si>
  <si>
    <t>CTS5010</t>
  </si>
  <si>
    <t>rs757093098</t>
  </si>
  <si>
    <t>CTS5249</t>
  </si>
  <si>
    <t>rs949616769</t>
  </si>
  <si>
    <t>CTS5312</t>
  </si>
  <si>
    <t>Z1394</t>
  </si>
  <si>
    <t>rs778232988</t>
  </si>
  <si>
    <t>CTS5398</t>
  </si>
  <si>
    <t>rs770609771</t>
  </si>
  <si>
    <t>CTS5794</t>
  </si>
  <si>
    <t>Z1396</t>
  </si>
  <si>
    <t>rs776608994</t>
  </si>
  <si>
    <t>CTS5798</t>
  </si>
  <si>
    <t>rs752722259</t>
  </si>
  <si>
    <t>CTS6118.2</t>
  </si>
  <si>
    <t>rs776770021</t>
  </si>
  <si>
    <t>CTS6338</t>
  </si>
  <si>
    <t>rs759336670</t>
  </si>
  <si>
    <t>CTS5942</t>
  </si>
  <si>
    <t>rs760214119</t>
  </si>
  <si>
    <t>CTS6149</t>
  </si>
  <si>
    <t>Z1398</t>
  </si>
  <si>
    <t>rs746407354</t>
  </si>
  <si>
    <t>CTS6670</t>
  </si>
  <si>
    <t>rs758118232</t>
  </si>
  <si>
    <t>CTS7097</t>
  </si>
  <si>
    <t>Z1401</t>
  </si>
  <si>
    <t>rs773432245</t>
  </si>
  <si>
    <t>CTS7285</t>
  </si>
  <si>
    <t>rs763917126</t>
  </si>
  <si>
    <t>CTS7538</t>
  </si>
  <si>
    <t>Z1402</t>
  </si>
  <si>
    <t>rs756979075</t>
  </si>
  <si>
    <t>CTS7720</t>
  </si>
  <si>
    <t>rs748353656</t>
  </si>
  <si>
    <t>CTS7803</t>
  </si>
  <si>
    <t>Z1403</t>
  </si>
  <si>
    <t>rs745923597</t>
  </si>
  <si>
    <t>CTS7952</t>
  </si>
  <si>
    <t>Z1404</t>
  </si>
  <si>
    <t>rs776289281</t>
  </si>
  <si>
    <t>CTS8209</t>
  </si>
  <si>
    <t>rs745554271</t>
  </si>
  <si>
    <t>CTS8339</t>
  </si>
  <si>
    <t>rs773179325</t>
  </si>
  <si>
    <t>CTS8419</t>
  </si>
  <si>
    <t>rs957136954</t>
  </si>
  <si>
    <t>CTS8520</t>
  </si>
  <si>
    <t>Z1405</t>
  </si>
  <si>
    <t>rs747754185</t>
  </si>
  <si>
    <t>CTS8715</t>
  </si>
  <si>
    <t>rs781310506</t>
  </si>
  <si>
    <t>CTS8781</t>
  </si>
  <si>
    <t>rs751449679</t>
  </si>
  <si>
    <t>CTS8798</t>
  </si>
  <si>
    <t>rs770879403</t>
  </si>
  <si>
    <t>CTS8873</t>
  </si>
  <si>
    <t>rs758597773</t>
  </si>
  <si>
    <t>CTS9122</t>
  </si>
  <si>
    <t>rs752941515</t>
  </si>
  <si>
    <t>CTS9166</t>
  </si>
  <si>
    <t>Z1407</t>
  </si>
  <si>
    <t>rs750502669</t>
  </si>
  <si>
    <t>CTS9228</t>
  </si>
  <si>
    <t>rs772245747</t>
  </si>
  <si>
    <t>CTS9291</t>
  </si>
  <si>
    <t>rs777940499</t>
  </si>
  <si>
    <t>CTS9351</t>
  </si>
  <si>
    <t>rs766112643</t>
  </si>
  <si>
    <t>CTS9466</t>
  </si>
  <si>
    <t>rs776391799</t>
  </si>
  <si>
    <t>CTS9472</t>
  </si>
  <si>
    <t>rs754556091</t>
  </si>
  <si>
    <t>CTS9498</t>
  </si>
  <si>
    <t>rs778455057</t>
  </si>
  <si>
    <t>CTS9565</t>
  </si>
  <si>
    <t>Z1408</t>
  </si>
  <si>
    <t>rs761901084</t>
  </si>
  <si>
    <t>CTS9619</t>
  </si>
  <si>
    <t>rs747499069</t>
  </si>
  <si>
    <t>CTS9932</t>
  </si>
  <si>
    <t>rs779940941</t>
  </si>
  <si>
    <t>CTS9951</t>
  </si>
  <si>
    <t>rs962398887</t>
  </si>
  <si>
    <t>CTS10045</t>
  </si>
  <si>
    <t>Z1410</t>
  </si>
  <si>
    <t>rs745433346</t>
  </si>
  <si>
    <t>CTS10124</t>
  </si>
  <si>
    <t>Z1411</t>
  </si>
  <si>
    <t>rs747377787</t>
  </si>
  <si>
    <t>CTS10138</t>
  </si>
  <si>
    <t>rs756577499</t>
  </si>
  <si>
    <t>CTS10195</t>
  </si>
  <si>
    <t>rs745873003</t>
  </si>
  <si>
    <t>CTS10310</t>
  </si>
  <si>
    <t>rs767837094</t>
  </si>
  <si>
    <t>CTS10312</t>
  </si>
  <si>
    <t>Z1412</t>
  </si>
  <si>
    <t>rs756272613</t>
  </si>
  <si>
    <t>CTS10327</t>
  </si>
  <si>
    <t>rs775360779</t>
  </si>
  <si>
    <t>CTS10462</t>
  </si>
  <si>
    <t>rs756907330</t>
  </si>
  <si>
    <t>CTS10515</t>
  </si>
  <si>
    <t>rs750552905</t>
  </si>
  <si>
    <t>CTS10639</t>
  </si>
  <si>
    <t>Z1422</t>
  </si>
  <si>
    <t>rs768526997</t>
  </si>
  <si>
    <t>CTS10831</t>
  </si>
  <si>
    <t>Z1423</t>
  </si>
  <si>
    <t>rs764970133</t>
  </si>
  <si>
    <t>CTS10899</t>
  </si>
  <si>
    <t>rs778402067</t>
  </si>
  <si>
    <t>CTS11072</t>
  </si>
  <si>
    <t>Z1425</t>
  </si>
  <si>
    <t>rs774035634</t>
  </si>
  <si>
    <t>CTS11241</t>
  </si>
  <si>
    <t>Z1427</t>
  </si>
  <si>
    <t>rs750119020</t>
  </si>
  <si>
    <t>CTS11257</t>
  </si>
  <si>
    <t>rs773391059</t>
  </si>
  <si>
    <t>CTS11382</t>
  </si>
  <si>
    <t>Z1428</t>
  </si>
  <si>
    <t>rs762992551</t>
  </si>
  <si>
    <t>CTS11581</t>
  </si>
  <si>
    <t>Z1429</t>
  </si>
  <si>
    <t>rs927327515</t>
  </si>
  <si>
    <t>CTS11613</t>
  </si>
  <si>
    <t>rs941680870</t>
  </si>
  <si>
    <t>CTS11652</t>
  </si>
  <si>
    <t>rs1040542199</t>
  </si>
  <si>
    <t>CTS11891</t>
  </si>
  <si>
    <t>rs761780855</t>
  </si>
  <si>
    <t>CTS11892</t>
  </si>
  <si>
    <t>rs765809775</t>
  </si>
  <si>
    <t>CTS11893</t>
  </si>
  <si>
    <t>Z1430</t>
  </si>
  <si>
    <t>rs767157771</t>
  </si>
  <si>
    <t>CTS11914</t>
  </si>
  <si>
    <t>rs769322751</t>
  </si>
  <si>
    <t>FGC22000</t>
  </si>
  <si>
    <t>M8378; Z7235; ZS3800</t>
  </si>
  <si>
    <t>rs111859524</t>
  </si>
  <si>
    <t>M8378</t>
  </si>
  <si>
    <t>FGC22000; Z7235; ZS3800</t>
  </si>
  <si>
    <t>Z7235</t>
  </si>
  <si>
    <t>FGC22000; M8378; ZS3800</t>
  </si>
  <si>
    <t>ZS3800</t>
  </si>
  <si>
    <t>FGC22000; M8378; Z7235</t>
  </si>
  <si>
    <t>IMS-JST022455</t>
  </si>
  <si>
    <t>rs2268589</t>
  </si>
  <si>
    <t>M105</t>
  </si>
  <si>
    <t>rs2032612</t>
  </si>
  <si>
    <t>M240</t>
  </si>
  <si>
    <t>rs9341285</t>
  </si>
  <si>
    <t>P122</t>
  </si>
  <si>
    <t>rs764300444</t>
  </si>
  <si>
    <t>S16874</t>
  </si>
  <si>
    <t>Z7851</t>
  </si>
  <si>
    <t>rs762038346</t>
  </si>
  <si>
    <t>SK986</t>
  </si>
  <si>
    <t>Z7973</t>
  </si>
  <si>
    <t>rs763018993</t>
  </si>
  <si>
    <t>SK987</t>
  </si>
  <si>
    <t>Z7836</t>
  </si>
  <si>
    <t>rs762438361</t>
  </si>
  <si>
    <t>Z1366</t>
  </si>
  <si>
    <t>rs756071976</t>
  </si>
  <si>
    <t>Z1369</t>
  </si>
  <si>
    <t>rs780196048</t>
  </si>
  <si>
    <t>Z1371</t>
  </si>
  <si>
    <t>rs749607056</t>
  </si>
  <si>
    <t>Z1374</t>
  </si>
  <si>
    <t>rs767049180</t>
  </si>
  <si>
    <t>Z1375</t>
  </si>
  <si>
    <t>rs772017859</t>
  </si>
  <si>
    <t>Z1376</t>
  </si>
  <si>
    <t>rs757006542</t>
  </si>
  <si>
    <t>Z1378</t>
  </si>
  <si>
    <t>rs757980408</t>
  </si>
  <si>
    <t>Z1379</t>
  </si>
  <si>
    <t>rs771020733</t>
  </si>
  <si>
    <t>Z1380</t>
  </si>
  <si>
    <t>rs754021174</t>
  </si>
  <si>
    <t>Z1381</t>
  </si>
  <si>
    <t>rs774127744</t>
  </si>
  <si>
    <t>Z1382</t>
  </si>
  <si>
    <t>rs1251416493</t>
  </si>
  <si>
    <t>Z1383</t>
  </si>
  <si>
    <t>rs926718939</t>
  </si>
  <si>
    <t>Z1384</t>
  </si>
  <si>
    <t>rs1044083545</t>
  </si>
  <si>
    <t>Z1386</t>
  </si>
  <si>
    <t>rs747992791</t>
  </si>
  <si>
    <t>Z1399</t>
  </si>
  <si>
    <t>rs769089092</t>
  </si>
  <si>
    <t>Z1420</t>
  </si>
  <si>
    <t>rs780799023</t>
  </si>
  <si>
    <t>Z1421</t>
  </si>
  <si>
    <t>rs758440013</t>
  </si>
  <si>
    <t>Z1431</t>
  </si>
  <si>
    <t>rs774192769</t>
  </si>
  <si>
    <t>Z3939</t>
  </si>
  <si>
    <t>rs752700440</t>
  </si>
  <si>
    <t>Z3940</t>
  </si>
  <si>
    <t>rs765280048</t>
  </si>
  <si>
    <t>Z3942</t>
  </si>
  <si>
    <t>rs746689448</t>
  </si>
  <si>
    <t>Z3953</t>
  </si>
  <si>
    <t>rs780116296</t>
  </si>
  <si>
    <t>Z3955.2</t>
  </si>
  <si>
    <t>rs748396202</t>
  </si>
  <si>
    <t>Z3960</t>
  </si>
  <si>
    <t>rs777931108</t>
  </si>
  <si>
    <t>Z3963</t>
  </si>
  <si>
    <t>rs747587052</t>
  </si>
  <si>
    <t>Z3964</t>
  </si>
  <si>
    <t>rs766104271</t>
  </si>
  <si>
    <t>Z3969</t>
  </si>
  <si>
    <t>rs771737014</t>
  </si>
  <si>
    <t>Z3971</t>
  </si>
  <si>
    <t>rs768196165</t>
  </si>
  <si>
    <t>Z3972</t>
  </si>
  <si>
    <t>rs746188659</t>
  </si>
  <si>
    <t>Z3975</t>
  </si>
  <si>
    <t>rs753329496</t>
  </si>
  <si>
    <t>Z3976</t>
  </si>
  <si>
    <t>rs761517099</t>
  </si>
  <si>
    <t>Z3978</t>
  </si>
  <si>
    <t>rs779733816</t>
  </si>
  <si>
    <t>Z3982</t>
  </si>
  <si>
    <t>rs756021555</t>
  </si>
  <si>
    <t>Z3984</t>
  </si>
  <si>
    <t>rs758547104</t>
  </si>
  <si>
    <t>Z3989</t>
  </si>
  <si>
    <t>rs1196359090</t>
  </si>
  <si>
    <t>Z3990</t>
  </si>
  <si>
    <t>rs760583977</t>
  </si>
  <si>
    <t>Z3992</t>
  </si>
  <si>
    <t>rs753866272</t>
  </si>
  <si>
    <t>Z3993</t>
  </si>
  <si>
    <t>rs1045518100</t>
  </si>
  <si>
    <t>Z3996</t>
  </si>
  <si>
    <t>rs753015810</t>
  </si>
  <si>
    <t>Z4002</t>
  </si>
  <si>
    <t>rs1381799944</t>
  </si>
  <si>
    <t>Z4003</t>
  </si>
  <si>
    <t>rs1372600934</t>
  </si>
  <si>
    <t>Z4021</t>
  </si>
  <si>
    <t>rs756306561</t>
  </si>
  <si>
    <t>Z4023</t>
  </si>
  <si>
    <t>rs776362440</t>
  </si>
  <si>
    <t>Z4032</t>
  </si>
  <si>
    <t>rs771263624</t>
  </si>
  <si>
    <t>Z4036</t>
  </si>
  <si>
    <t>rs753454944</t>
  </si>
  <si>
    <t>Z4039</t>
  </si>
  <si>
    <t>rs781650899</t>
  </si>
  <si>
    <t>Z4043</t>
  </si>
  <si>
    <t>rs886891601</t>
  </si>
  <si>
    <t>Z4046</t>
  </si>
  <si>
    <t>rs911968706</t>
  </si>
  <si>
    <t>Z4053</t>
  </si>
  <si>
    <t>rs765725384</t>
  </si>
  <si>
    <t>Z4057</t>
  </si>
  <si>
    <t>rs370496598</t>
  </si>
  <si>
    <t>Z4058</t>
  </si>
  <si>
    <t>rs763849646</t>
  </si>
  <si>
    <t>Z4060</t>
  </si>
  <si>
    <t>rs775542138</t>
  </si>
  <si>
    <t>Z4061</t>
  </si>
  <si>
    <t>rs775133760</t>
  </si>
  <si>
    <t>Z4065</t>
  </si>
  <si>
    <t>rs768284252</t>
  </si>
  <si>
    <t>Z4066</t>
  </si>
  <si>
    <t>rs746459819</t>
  </si>
  <si>
    <t>Z4070</t>
  </si>
  <si>
    <t>rs749653036</t>
  </si>
  <si>
    <t>Z4075</t>
  </si>
  <si>
    <t>rs772952654</t>
  </si>
  <si>
    <t>Z4076</t>
  </si>
  <si>
    <t>rs747838200</t>
  </si>
  <si>
    <t>Z4078</t>
  </si>
  <si>
    <t>rs781195438</t>
  </si>
  <si>
    <t>Z4079</t>
  </si>
  <si>
    <t>rs763313443</t>
  </si>
  <si>
    <t>Z4080</t>
  </si>
  <si>
    <t>rs765201121</t>
  </si>
  <si>
    <t>Z4087</t>
  </si>
  <si>
    <t>rs755137632</t>
  </si>
  <si>
    <t>Z4089</t>
  </si>
  <si>
    <t>rs760764140</t>
  </si>
  <si>
    <t>Z4092</t>
  </si>
  <si>
    <t>rs777140842</t>
  </si>
  <si>
    <t>Z4097</t>
  </si>
  <si>
    <t>rs774158671</t>
  </si>
  <si>
    <t>Z4098</t>
  </si>
  <si>
    <t>rs770351390</t>
  </si>
  <si>
    <t>Z4100</t>
  </si>
  <si>
    <t>rs752373205</t>
  </si>
  <si>
    <t>Z4129</t>
  </si>
  <si>
    <t>rs981523313</t>
  </si>
  <si>
    <t>Z4134</t>
  </si>
  <si>
    <t>rs745929795</t>
  </si>
  <si>
    <t>Z4137</t>
  </si>
  <si>
    <t>rs775081583</t>
  </si>
  <si>
    <t>Z4148</t>
  </si>
  <si>
    <t>rs769909854</t>
  </si>
  <si>
    <t>Z4150</t>
  </si>
  <si>
    <t>rs755291534</t>
  </si>
  <si>
    <t>Z4152</t>
  </si>
  <si>
    <t>rs753019877</t>
  </si>
  <si>
    <t>Z4154</t>
  </si>
  <si>
    <t>rs1253282907</t>
  </si>
  <si>
    <t>Z7142</t>
  </si>
  <si>
    <t>rs760145913</t>
  </si>
  <si>
    <t>Z7145</t>
  </si>
  <si>
    <t>rs767011315</t>
  </si>
  <si>
    <t>Z7146</t>
  </si>
  <si>
    <t>rs758447317</t>
  </si>
  <si>
    <t>Z7147</t>
  </si>
  <si>
    <t>rs769869697</t>
  </si>
  <si>
    <t>Z7150</t>
  </si>
  <si>
    <t>rs770939692</t>
  </si>
  <si>
    <t>Z7151</t>
  </si>
  <si>
    <t>rs753931525</t>
  </si>
  <si>
    <t>Z7152</t>
  </si>
  <si>
    <t>rs776307022</t>
  </si>
  <si>
    <t>Z7164</t>
  </si>
  <si>
    <t>rs749766698</t>
  </si>
  <si>
    <t>Z7165</t>
  </si>
  <si>
    <t>rs774136776</t>
  </si>
  <si>
    <t>Z7166</t>
  </si>
  <si>
    <t>rs764322717</t>
  </si>
  <si>
    <t>Z7167</t>
  </si>
  <si>
    <t>rs756089505</t>
  </si>
  <si>
    <t>Z7168</t>
  </si>
  <si>
    <t>rs753604342</t>
  </si>
  <si>
    <t>Z7170</t>
  </si>
  <si>
    <t>rs764604284</t>
  </si>
  <si>
    <t>Z7172</t>
  </si>
  <si>
    <t>rs755610909</t>
  </si>
  <si>
    <t>Z7175</t>
  </si>
  <si>
    <t>rs745442463</t>
  </si>
  <si>
    <t>Z7176</t>
  </si>
  <si>
    <t>Z7181</t>
  </si>
  <si>
    <t>rs757144188</t>
  </si>
  <si>
    <t>Z7183</t>
  </si>
  <si>
    <t>rs754142203</t>
  </si>
  <si>
    <t>Z7185</t>
  </si>
  <si>
    <t>rs750912680</t>
  </si>
  <si>
    <t>Z7186</t>
  </si>
  <si>
    <t>rs765164746</t>
  </si>
  <si>
    <t>Z7187</t>
  </si>
  <si>
    <t>rs760060298</t>
  </si>
  <si>
    <t>Z7191</t>
  </si>
  <si>
    <t>rs766144776</t>
  </si>
  <si>
    <t>Z7195</t>
  </si>
  <si>
    <t>rs1267911490</t>
  </si>
  <si>
    <t>Z7203</t>
  </si>
  <si>
    <t>rs755822061</t>
  </si>
  <si>
    <t>Z7216</t>
  </si>
  <si>
    <t>rs1461922803</t>
  </si>
  <si>
    <t>Z7225</t>
  </si>
  <si>
    <t>rs1038416252</t>
  </si>
  <si>
    <t>Z7226</t>
  </si>
  <si>
    <t>rs1027854193</t>
  </si>
  <si>
    <t>Z7236</t>
  </si>
  <si>
    <t>rs756920026</t>
  </si>
  <si>
    <t>Z7251</t>
  </si>
  <si>
    <t>rs753511579</t>
  </si>
  <si>
    <t>Z7252</t>
  </si>
  <si>
    <t>rs753744639</t>
  </si>
  <si>
    <t>Z7576</t>
  </si>
  <si>
    <t>rs776716804</t>
  </si>
  <si>
    <t>Z7577</t>
  </si>
  <si>
    <t>rs763291100</t>
  </si>
  <si>
    <t>Z7580</t>
  </si>
  <si>
    <t>rs1034467021</t>
  </si>
  <si>
    <t>Z7596</t>
  </si>
  <si>
    <t>rs757027012</t>
  </si>
  <si>
    <t>Z7603</t>
  </si>
  <si>
    <t>rs753067689</t>
  </si>
  <si>
    <t>Z7612</t>
  </si>
  <si>
    <t>rs760575511</t>
  </si>
  <si>
    <t>Z7613</t>
  </si>
  <si>
    <t>rs750854945</t>
  </si>
  <si>
    <t>Z7615</t>
  </si>
  <si>
    <t>rs756624789</t>
  </si>
  <si>
    <t>Z7622</t>
  </si>
  <si>
    <t>rs776195187</t>
  </si>
  <si>
    <t>Z7623</t>
  </si>
  <si>
    <t>rs762252448</t>
  </si>
  <si>
    <t>Z7627</t>
  </si>
  <si>
    <t>rs750403206</t>
  </si>
  <si>
    <t>Z7634</t>
  </si>
  <si>
    <t>rs764781316</t>
  </si>
  <si>
    <t>Z7644</t>
  </si>
  <si>
    <t>rs762559533</t>
  </si>
  <si>
    <t>Z7685</t>
  </si>
  <si>
    <t>rs780571757</t>
  </si>
  <si>
    <t>Z7707</t>
  </si>
  <si>
    <t>rs750324466</t>
  </si>
  <si>
    <t>Z7710</t>
  </si>
  <si>
    <t>rs761283261</t>
  </si>
  <si>
    <t>Z7784</t>
  </si>
  <si>
    <t>rs1265517683</t>
  </si>
  <si>
    <t>Z7786</t>
  </si>
  <si>
    <t>rs979621246</t>
  </si>
  <si>
    <t>Z7788</t>
  </si>
  <si>
    <t>rs1194602250</t>
  </si>
  <si>
    <t>Z7790</t>
  </si>
  <si>
    <t>rs992742770</t>
  </si>
  <si>
    <t>Z7791</t>
  </si>
  <si>
    <t>rs1003466302</t>
  </si>
  <si>
    <t>Z7838</t>
  </si>
  <si>
    <t>rs769608620</t>
  </si>
  <si>
    <t>Z7839</t>
  </si>
  <si>
    <t>rs748976151</t>
  </si>
  <si>
    <t>Z7841</t>
  </si>
  <si>
    <t>rs770110939</t>
  </si>
  <si>
    <t>Z7844</t>
  </si>
  <si>
    <t>rs757383737</t>
  </si>
  <si>
    <t>Z7846</t>
  </si>
  <si>
    <t>rs759316152</t>
  </si>
  <si>
    <t>Z7847</t>
  </si>
  <si>
    <t>rs770783379</t>
  </si>
  <si>
    <t>Z7848</t>
  </si>
  <si>
    <t>rs768613226</t>
  </si>
  <si>
    <t>Z7850</t>
  </si>
  <si>
    <t>rs763059192</t>
  </si>
  <si>
    <t>Z7852</t>
  </si>
  <si>
    <t>rs1022292236</t>
  </si>
  <si>
    <t>Z7857</t>
  </si>
  <si>
    <t>rs1055400015</t>
  </si>
  <si>
    <t>Z7858</t>
  </si>
  <si>
    <t>rs757531499</t>
  </si>
  <si>
    <t>Z7860</t>
  </si>
  <si>
    <t>rs764098112</t>
  </si>
  <si>
    <t>Z7868</t>
  </si>
  <si>
    <t>rs775296844</t>
  </si>
  <si>
    <t>Z7928</t>
  </si>
  <si>
    <t>rs1191520385</t>
  </si>
  <si>
    <t>Z7930</t>
  </si>
  <si>
    <t>rs1022205224</t>
  </si>
  <si>
    <t>Z7931</t>
  </si>
  <si>
    <t>rs749300908</t>
  </si>
  <si>
    <t>Z7935</t>
  </si>
  <si>
    <t>rs752332052</t>
  </si>
  <si>
    <t>Z7936</t>
  </si>
  <si>
    <t>rs889170896</t>
  </si>
  <si>
    <t>Z7938</t>
  </si>
  <si>
    <t>rs780904134</t>
  </si>
  <si>
    <t>Z7963</t>
  </si>
  <si>
    <t>rs755172811</t>
  </si>
  <si>
    <t>Z7964</t>
  </si>
  <si>
    <t>rs766036454</t>
  </si>
  <si>
    <t>Z7965</t>
  </si>
  <si>
    <t>rs778269237</t>
  </si>
  <si>
    <t>Z7966</t>
  </si>
  <si>
    <t>rs779591870</t>
  </si>
  <si>
    <t>Z7969</t>
  </si>
  <si>
    <t>rs751492254</t>
  </si>
  <si>
    <t>Z7982</t>
  </si>
  <si>
    <t>rs748926899</t>
  </si>
  <si>
    <t>Z7983</t>
  </si>
  <si>
    <t>rs750292682</t>
  </si>
  <si>
    <t>Z7987</t>
  </si>
  <si>
    <t>rs769167427</t>
  </si>
  <si>
    <t>Z18146</t>
  </si>
  <si>
    <t>rs764186904</t>
  </si>
  <si>
    <t>rs371820410</t>
  </si>
  <si>
    <t>rs774966900</t>
  </si>
  <si>
    <t>CTS6678^</t>
  </si>
  <si>
    <t>rs745619507</t>
  </si>
  <si>
    <t>CTS10729</t>
  </si>
  <si>
    <t>rs768959872</t>
  </si>
  <si>
    <t>CTS11058</t>
  </si>
  <si>
    <t>rs770059173</t>
  </si>
  <si>
    <t>Z7054</t>
  </si>
  <si>
    <t>rs756547010</t>
  </si>
  <si>
    <t>Z7180</t>
  </si>
  <si>
    <t>rs756191318</t>
  </si>
  <si>
    <t>Z7196</t>
  </si>
  <si>
    <t>Z7643</t>
  </si>
  <si>
    <t>rs753066565</t>
  </si>
  <si>
    <t>Z7650^</t>
  </si>
  <si>
    <t>rs747948990</t>
  </si>
  <si>
    <t>Z7968^</t>
  </si>
  <si>
    <t>Z7972^</t>
  </si>
  <si>
    <t>rs1166116918</t>
  </si>
  <si>
    <t>CTS5225</t>
  </si>
  <si>
    <t>CTS5490</t>
  </si>
  <si>
    <t>rs758255594</t>
  </si>
  <si>
    <t>CTS6939</t>
  </si>
  <si>
    <t>rs759872901</t>
  </si>
  <si>
    <t>CTS7675</t>
  </si>
  <si>
    <t>rs780364313</t>
  </si>
  <si>
    <t>Z7163</t>
  </si>
  <si>
    <t>rs773319596</t>
  </si>
  <si>
    <t>Z31829</t>
  </si>
  <si>
    <t>rs754388213</t>
  </si>
  <si>
    <t>Z31830</t>
  </si>
  <si>
    <t>rs754367170</t>
  </si>
  <si>
    <t>Z31831</t>
  </si>
  <si>
    <t>rs770271389</t>
  </si>
  <si>
    <t>Z31832</t>
  </si>
  <si>
    <t>rs750364465</t>
  </si>
  <si>
    <t>Z1356</t>
  </si>
  <si>
    <t>rs780934380</t>
  </si>
  <si>
    <t>CTS7128</t>
  </si>
  <si>
    <t>Z1357</t>
  </si>
  <si>
    <t>rs771186953</t>
  </si>
  <si>
    <t>Z4160</t>
  </si>
  <si>
    <t>28798354..28798358</t>
  </si>
  <si>
    <t>26652207..26652211</t>
  </si>
  <si>
    <t>AAGA-&gt;ACAGA</t>
  </si>
  <si>
    <t>Z7162</t>
  </si>
  <si>
    <t>rs748802897</t>
  </si>
  <si>
    <t>Z7228</t>
  </si>
  <si>
    <t>rs773864664</t>
  </si>
  <si>
    <t>Z7231</t>
  </si>
  <si>
    <t>rs770851456</t>
  </si>
  <si>
    <t>Z7232</t>
  </si>
  <si>
    <t>rs753951964</t>
  </si>
  <si>
    <t>Z7234</t>
  </si>
  <si>
    <t>Z7237</t>
  </si>
  <si>
    <t>rs931975477</t>
  </si>
  <si>
    <t>Z7856</t>
  </si>
  <si>
    <t>15281230..15281234</t>
  </si>
  <si>
    <t>13169329..13169333</t>
  </si>
  <si>
    <t>TATGAT-&gt;TAT</t>
  </si>
  <si>
    <t>Z7869</t>
  </si>
  <si>
    <t>rs772522349</t>
  </si>
  <si>
    <t>Z7870</t>
  </si>
  <si>
    <t>rs771744249</t>
  </si>
  <si>
    <t>Z7898</t>
  </si>
  <si>
    <t>rs750541514</t>
  </si>
  <si>
    <t>Z7899</t>
  </si>
  <si>
    <t>Z7900</t>
  </si>
  <si>
    <t>rs766301327</t>
  </si>
  <si>
    <t>Z7901</t>
  </si>
  <si>
    <t>rs772014064</t>
  </si>
  <si>
    <t>Z7902</t>
  </si>
  <si>
    <t>rs769427280</t>
  </si>
  <si>
    <t>Z7903</t>
  </si>
  <si>
    <t>rs761900550</t>
  </si>
  <si>
    <t>Z7904</t>
  </si>
  <si>
    <t>rs778901461</t>
  </si>
  <si>
    <t>Z7986</t>
  </si>
  <si>
    <t>Z7988</t>
  </si>
  <si>
    <t>rs375754510</t>
  </si>
  <si>
    <t>Z7989</t>
  </si>
  <si>
    <t>rs758714253</t>
  </si>
  <si>
    <t>Z7991</t>
  </si>
  <si>
    <t>rs750601999</t>
  </si>
  <si>
    <t>Z31833</t>
  </si>
  <si>
    <t>rs771367249</t>
  </si>
  <si>
    <t>Z31834</t>
  </si>
  <si>
    <t>rs772169178</t>
  </si>
  <si>
    <t>Z31835</t>
  </si>
  <si>
    <t>rs767511743</t>
  </si>
  <si>
    <t>Z31837</t>
  </si>
  <si>
    <t>rs762592101</t>
  </si>
  <si>
    <t>rs757129418</t>
  </si>
  <si>
    <t>CTS786</t>
  </si>
  <si>
    <t>rs773021751</t>
  </si>
  <si>
    <t>Z31839</t>
  </si>
  <si>
    <t>rs751570638</t>
  </si>
  <si>
    <t>Z31840</t>
  </si>
  <si>
    <t>rs775443047</t>
  </si>
  <si>
    <t>Z31841</t>
  </si>
  <si>
    <t>rs763576788</t>
  </si>
  <si>
    <t>Z45460</t>
  </si>
  <si>
    <t>Z45461</t>
  </si>
  <si>
    <t>Z45462</t>
  </si>
  <si>
    <t>Z45463</t>
  </si>
  <si>
    <t>Z45464</t>
  </si>
  <si>
    <t>V20</t>
  </si>
  <si>
    <t>rs182352067</t>
  </si>
  <si>
    <t>FGC14605</t>
  </si>
  <si>
    <t>Y11410</t>
  </si>
  <si>
    <t>rs892943592</t>
  </si>
  <si>
    <t>M1009</t>
  </si>
  <si>
    <t>rs571543029</t>
  </si>
  <si>
    <t>PH4550</t>
  </si>
  <si>
    <t>V4174; Z29324</t>
  </si>
  <si>
    <t>rs540149758</t>
  </si>
  <si>
    <t>V4174</t>
  </si>
  <si>
    <t>PH4550; Z29324</t>
  </si>
  <si>
    <t>Z29324</t>
  </si>
  <si>
    <t>PH4550; V4174</t>
  </si>
  <si>
    <t>V86</t>
  </si>
  <si>
    <t>rs192993367</t>
  </si>
  <si>
    <t>V219</t>
  </si>
  <si>
    <t>rs183902704</t>
  </si>
  <si>
    <t>V1069</t>
  </si>
  <si>
    <t>Z28000</t>
  </si>
  <si>
    <t>rs534877262</t>
  </si>
  <si>
    <t>V1086</t>
  </si>
  <si>
    <t>Z28001</t>
  </si>
  <si>
    <t>rs568234891</t>
  </si>
  <si>
    <t>V1327</t>
  </si>
  <si>
    <t>Z28783</t>
  </si>
  <si>
    <t>rs572115964</t>
  </si>
  <si>
    <t>V1363</t>
  </si>
  <si>
    <t>Z28784</t>
  </si>
  <si>
    <t>rs561266333</t>
  </si>
  <si>
    <t>V1453</t>
  </si>
  <si>
    <t>Z28789</t>
  </si>
  <si>
    <t>rs574666712</t>
  </si>
  <si>
    <t>V1526</t>
  </si>
  <si>
    <t>Z28792</t>
  </si>
  <si>
    <t>rs543701051</t>
  </si>
  <si>
    <t>V1535</t>
  </si>
  <si>
    <t>Z29320</t>
  </si>
  <si>
    <t>rs563396376</t>
  </si>
  <si>
    <t>V1581</t>
  </si>
  <si>
    <t>Z30458</t>
  </si>
  <si>
    <t>rs552260242</t>
  </si>
  <si>
    <t>V1858</t>
  </si>
  <si>
    <t>Z30219</t>
  </si>
  <si>
    <t>rs559358950</t>
  </si>
  <si>
    <t>V1876</t>
  </si>
  <si>
    <t>Z28801</t>
  </si>
  <si>
    <t>rs528116005</t>
  </si>
  <si>
    <t>V2031</t>
  </si>
  <si>
    <t>Z28805</t>
  </si>
  <si>
    <t>rs570628936</t>
  </si>
  <si>
    <t>V2141</t>
  </si>
  <si>
    <t>Z28808</t>
  </si>
  <si>
    <t>rs565707098</t>
  </si>
  <si>
    <t>V2185</t>
  </si>
  <si>
    <t>Z28809</t>
  </si>
  <si>
    <t>rs534723404</t>
  </si>
  <si>
    <t>V2268</t>
  </si>
  <si>
    <t>Z28811</t>
  </si>
  <si>
    <t>rs557235180</t>
  </si>
  <si>
    <t>V2416</t>
  </si>
  <si>
    <t>Z28814</t>
  </si>
  <si>
    <t>rs545553384</t>
  </si>
  <si>
    <t>V2420</t>
  </si>
  <si>
    <t>Z28815</t>
  </si>
  <si>
    <t>rs559519809</t>
  </si>
  <si>
    <t>V2593</t>
  </si>
  <si>
    <t>Z29322</t>
  </si>
  <si>
    <t>rs528078437</t>
  </si>
  <si>
    <t>V2618</t>
  </si>
  <si>
    <t>Z29323</t>
  </si>
  <si>
    <t>rs541888655</t>
  </si>
  <si>
    <t>V2722</t>
  </si>
  <si>
    <t>Z28853</t>
  </si>
  <si>
    <t>rs570517813</t>
  </si>
  <si>
    <t>V3163</t>
  </si>
  <si>
    <t>Z28863</t>
  </si>
  <si>
    <t>rs537314215</t>
  </si>
  <si>
    <t>V3177</t>
  </si>
  <si>
    <t>Z28864</t>
  </si>
  <si>
    <t>rs557658334</t>
  </si>
  <si>
    <t>V3249</t>
  </si>
  <si>
    <t>Z28867</t>
  </si>
  <si>
    <t>rs577345263</t>
  </si>
  <si>
    <t>V3293</t>
  </si>
  <si>
    <t>Z28932</t>
  </si>
  <si>
    <t>rs573021129</t>
  </si>
  <si>
    <t>V3390</t>
  </si>
  <si>
    <t>Z28938</t>
  </si>
  <si>
    <t>rs544149024</t>
  </si>
  <si>
    <t>V3697</t>
  </si>
  <si>
    <t>Z28946</t>
  </si>
  <si>
    <t>rs573486390</t>
  </si>
  <si>
    <t>V3703</t>
  </si>
  <si>
    <t>Z28948</t>
  </si>
  <si>
    <t>rs535506996</t>
  </si>
  <si>
    <t>V3780</t>
  </si>
  <si>
    <t>Z28951</t>
  </si>
  <si>
    <t>rs555458642</t>
  </si>
  <si>
    <t>Y10448</t>
  </si>
  <si>
    <t>Z30457</t>
  </si>
  <si>
    <t>Y10449</t>
  </si>
  <si>
    <t>Z28790</t>
  </si>
  <si>
    <t>Y10453</t>
  </si>
  <si>
    <t>Z28799</t>
  </si>
  <si>
    <t>Y10456</t>
  </si>
  <si>
    <t>Z28845</t>
  </si>
  <si>
    <t>Y10458</t>
  </si>
  <si>
    <t>Z38842</t>
  </si>
  <si>
    <t>Y10461</t>
  </si>
  <si>
    <t>Z28859</t>
  </si>
  <si>
    <t>Y10463</t>
  </si>
  <si>
    <t>Z28006</t>
  </si>
  <si>
    <t>rs1289326646</t>
  </si>
  <si>
    <t>Y10464</t>
  </si>
  <si>
    <t>Z28874</t>
  </si>
  <si>
    <t>rs1423582352</t>
  </si>
  <si>
    <t>Y10465</t>
  </si>
  <si>
    <t>Z30459</t>
  </si>
  <si>
    <t>Y10466</t>
  </si>
  <si>
    <t>Z28007</t>
  </si>
  <si>
    <t>Y10467</t>
  </si>
  <si>
    <t>Z28898</t>
  </si>
  <si>
    <t>rs1267394458</t>
  </si>
  <si>
    <t>Y10469</t>
  </si>
  <si>
    <t>Z28907</t>
  </si>
  <si>
    <t>Y10470.1</t>
  </si>
  <si>
    <t>Z28914.1</t>
  </si>
  <si>
    <t>Y10471</t>
  </si>
  <si>
    <t>Z30460</t>
  </si>
  <si>
    <t>Y10472</t>
  </si>
  <si>
    <t>Z28936</t>
  </si>
  <si>
    <t>Y10473</t>
  </si>
  <si>
    <t>Z28940</t>
  </si>
  <si>
    <t>Y10474</t>
  </si>
  <si>
    <t>Z28944</t>
  </si>
  <si>
    <t>Y10476</t>
  </si>
  <si>
    <t>Z28947</t>
  </si>
  <si>
    <t>Y10477</t>
  </si>
  <si>
    <t>Z28968</t>
  </si>
  <si>
    <t>Y10478</t>
  </si>
  <si>
    <t>Z28975</t>
  </si>
  <si>
    <t>Y10479</t>
  </si>
  <si>
    <t>Z28977</t>
  </si>
  <si>
    <t>Y10480</t>
  </si>
  <si>
    <t>Z29325</t>
  </si>
  <si>
    <t>Y10481</t>
  </si>
  <si>
    <t>Z30226</t>
  </si>
  <si>
    <t>Y10482</t>
  </si>
  <si>
    <t>Z30463</t>
  </si>
  <si>
    <t>Y10483</t>
  </si>
  <si>
    <t>Z29007</t>
  </si>
  <si>
    <t>Y10488</t>
  </si>
  <si>
    <t>Z28016</t>
  </si>
  <si>
    <t>Y10489</t>
  </si>
  <si>
    <t>Z28017</t>
  </si>
  <si>
    <t>Y11330</t>
  </si>
  <si>
    <t>Z28771</t>
  </si>
  <si>
    <t>rs925286201</t>
  </si>
  <si>
    <t>Y11332</t>
  </si>
  <si>
    <t>Z28772</t>
  </si>
  <si>
    <t>rs1038418308</t>
  </si>
  <si>
    <t>Y11333</t>
  </si>
  <si>
    <t>Z28773</t>
  </si>
  <si>
    <t>Y11334</t>
  </si>
  <si>
    <t>Z28774</t>
  </si>
  <si>
    <t>Y11335</t>
  </si>
  <si>
    <t>Z28776</t>
  </si>
  <si>
    <t>rs755188022</t>
  </si>
  <si>
    <t>Y11338</t>
  </si>
  <si>
    <t>Z28780</t>
  </si>
  <si>
    <t>rs1415043544</t>
  </si>
  <si>
    <t>Y11341</t>
  </si>
  <si>
    <t>Z28785</t>
  </si>
  <si>
    <t>Y11342</t>
  </si>
  <si>
    <t>Z28786</t>
  </si>
  <si>
    <t>rs1034401585</t>
  </si>
  <si>
    <t>Y11343</t>
  </si>
  <si>
    <t>Z28788</t>
  </si>
  <si>
    <t>Y11346</t>
  </si>
  <si>
    <t>Z28003</t>
  </si>
  <si>
    <t>Y11349</t>
  </si>
  <si>
    <t>Z28796</t>
  </si>
  <si>
    <t>Y11352</t>
  </si>
  <si>
    <t>Z28798</t>
  </si>
  <si>
    <t>Y11359</t>
  </si>
  <si>
    <t>Z28818</t>
  </si>
  <si>
    <t>Y11360</t>
  </si>
  <si>
    <t>Z28820</t>
  </si>
  <si>
    <t>Y11368</t>
  </si>
  <si>
    <t>Z28832</t>
  </si>
  <si>
    <t>rs1182352907</t>
  </si>
  <si>
    <t>Y11369</t>
  </si>
  <si>
    <t>Z28833</t>
  </si>
  <si>
    <t>rs1170697372</t>
  </si>
  <si>
    <t>Y11370</t>
  </si>
  <si>
    <t>Z28842</t>
  </si>
  <si>
    <t>Y11371</t>
  </si>
  <si>
    <t>Z28843</t>
  </si>
  <si>
    <t>Y11375</t>
  </si>
  <si>
    <t>Z28005</t>
  </si>
  <si>
    <t>Y11383</t>
  </si>
  <si>
    <t>Z28851</t>
  </si>
  <si>
    <t>rs773176988</t>
  </si>
  <si>
    <t>Y11385</t>
  </si>
  <si>
    <t>Z28852</t>
  </si>
  <si>
    <t>Y11387</t>
  </si>
  <si>
    <t>Z28855</t>
  </si>
  <si>
    <t>Y11389</t>
  </si>
  <si>
    <t>Z28861</t>
  </si>
  <si>
    <t>Y11390</t>
  </si>
  <si>
    <t>Z28862</t>
  </si>
  <si>
    <t>Y11392</t>
  </si>
  <si>
    <t>Z28865</t>
  </si>
  <si>
    <t>Y11393</t>
  </si>
  <si>
    <t>Z28866</t>
  </si>
  <si>
    <t>Y11394</t>
  </si>
  <si>
    <t>Z28868</t>
  </si>
  <si>
    <t>Y11397</t>
  </si>
  <si>
    <t>Z28869</t>
  </si>
  <si>
    <t>rs1396744901</t>
  </si>
  <si>
    <t>Y11401</t>
  </si>
  <si>
    <t>Z28872</t>
  </si>
  <si>
    <t>rs1217606824</t>
  </si>
  <si>
    <t>Y11402</t>
  </si>
  <si>
    <t>Z28873</t>
  </si>
  <si>
    <t>rs1489919126</t>
  </si>
  <si>
    <t>Y11403</t>
  </si>
  <si>
    <t>Z28875</t>
  </si>
  <si>
    <t>rs1245477517</t>
  </si>
  <si>
    <t>Y11405</t>
  </si>
  <si>
    <t>Z28876</t>
  </si>
  <si>
    <t>Y11406</t>
  </si>
  <si>
    <t>Z28877</t>
  </si>
  <si>
    <t>rs1218648477</t>
  </si>
  <si>
    <t>Y11409</t>
  </si>
  <si>
    <t>Z28883</t>
  </si>
  <si>
    <t>Y11413</t>
  </si>
  <si>
    <t>Z28885</t>
  </si>
  <si>
    <t>rs768230127</t>
  </si>
  <si>
    <t>Y11417</t>
  </si>
  <si>
    <t>Z28889</t>
  </si>
  <si>
    <t>rs764381781</t>
  </si>
  <si>
    <t>Y11420</t>
  </si>
  <si>
    <t>Z28891</t>
  </si>
  <si>
    <t>rs751731409</t>
  </si>
  <si>
    <t>Y11425</t>
  </si>
  <si>
    <t>Z28897</t>
  </si>
  <si>
    <t>rs1284897707</t>
  </si>
  <si>
    <t>Y11428</t>
  </si>
  <si>
    <t>Z28900</t>
  </si>
  <si>
    <t>rs1015822173</t>
  </si>
  <si>
    <t>Y11430</t>
  </si>
  <si>
    <t>Z28904</t>
  </si>
  <si>
    <t>rs955375130</t>
  </si>
  <si>
    <t>Y11431</t>
  </si>
  <si>
    <t>Z28910</t>
  </si>
  <si>
    <t>rs1414251046</t>
  </si>
  <si>
    <t>Y11432</t>
  </si>
  <si>
    <t>Z28911</t>
  </si>
  <si>
    <t>rs1206997046</t>
  </si>
  <si>
    <t>Y11433</t>
  </si>
  <si>
    <t>Z28912</t>
  </si>
  <si>
    <t>Y11434</t>
  </si>
  <si>
    <t>Z28913</t>
  </si>
  <si>
    <t>Y11436</t>
  </si>
  <si>
    <t>Z28915</t>
  </si>
  <si>
    <t>rs1178849454</t>
  </si>
  <si>
    <t>Y11437</t>
  </si>
  <si>
    <t>Z28918</t>
  </si>
  <si>
    <t>Y11438</t>
  </si>
  <si>
    <t>Z28917</t>
  </si>
  <si>
    <t>rs777273839</t>
  </si>
  <si>
    <t>Y11440</t>
  </si>
  <si>
    <t>Z28919</t>
  </si>
  <si>
    <t>rs1334658986</t>
  </si>
  <si>
    <t>Y11441</t>
  </si>
  <si>
    <t>Z28920</t>
  </si>
  <si>
    <t>Y11443</t>
  </si>
  <si>
    <t>Z28924</t>
  </si>
  <si>
    <t>Y11444</t>
  </si>
  <si>
    <t>Z28925</t>
  </si>
  <si>
    <t>rs761423755</t>
  </si>
  <si>
    <t>Y11445</t>
  </si>
  <si>
    <t>Z28926</t>
  </si>
  <si>
    <t>rs1477905279</t>
  </si>
  <si>
    <t>Y11446</t>
  </si>
  <si>
    <t>Z28927</t>
  </si>
  <si>
    <t>rs1400826957</t>
  </si>
  <si>
    <t>Y11447</t>
  </si>
  <si>
    <t>Z28928</t>
  </si>
  <si>
    <t>Y11448</t>
  </si>
  <si>
    <t>Z28930</t>
  </si>
  <si>
    <t>Y11449</t>
  </si>
  <si>
    <t>Z28931</t>
  </si>
  <si>
    <t>Y11452</t>
  </si>
  <si>
    <t>Z28937</t>
  </si>
  <si>
    <t>Y11456</t>
  </si>
  <si>
    <t>Z28950</t>
  </si>
  <si>
    <t>Y11460</t>
  </si>
  <si>
    <t>Z28959</t>
  </si>
  <si>
    <t>rs1243376694</t>
  </si>
  <si>
    <t>Y11462</t>
  </si>
  <si>
    <t>Z28011</t>
  </si>
  <si>
    <t>Y11463</t>
  </si>
  <si>
    <t>Z28960</t>
  </si>
  <si>
    <t>Y11464</t>
  </si>
  <si>
    <t>Z28964</t>
  </si>
  <si>
    <t>Y11466</t>
  </si>
  <si>
    <t>Z28965</t>
  </si>
  <si>
    <t>Y11467</t>
  </si>
  <si>
    <t>Z28967</t>
  </si>
  <si>
    <t>Y11469</t>
  </si>
  <si>
    <t>Z28969</t>
  </si>
  <si>
    <t>Y11472</t>
  </si>
  <si>
    <t>Z28978</t>
  </si>
  <si>
    <t>Y11473</t>
  </si>
  <si>
    <t>Z28979</t>
  </si>
  <si>
    <t>rs1257887319</t>
  </si>
  <si>
    <t>Y11474</t>
  </si>
  <si>
    <t>Z28982</t>
  </si>
  <si>
    <t>Y11475</t>
  </si>
  <si>
    <t>Z28983</t>
  </si>
  <si>
    <t>Y11478</t>
  </si>
  <si>
    <t>Z30461</t>
  </si>
  <si>
    <t>Y11479</t>
  </si>
  <si>
    <t>Z28986</t>
  </si>
  <si>
    <t>Y11482</t>
  </si>
  <si>
    <t>Z28988</t>
  </si>
  <si>
    <t>rs1433357073</t>
  </si>
  <si>
    <t>Y11488</t>
  </si>
  <si>
    <t>Z28999</t>
  </si>
  <si>
    <t>Y11490</t>
  </si>
  <si>
    <t>Z29001</t>
  </si>
  <si>
    <t>rs1014113263</t>
  </si>
  <si>
    <t>Y11492</t>
  </si>
  <si>
    <t>Z28015</t>
  </si>
  <si>
    <t>Y11495</t>
  </si>
  <si>
    <t>Z29003</t>
  </si>
  <si>
    <t>rs1393643168</t>
  </si>
  <si>
    <t>Y11496</t>
  </si>
  <si>
    <t>Z29004</t>
  </si>
  <si>
    <t>Y11497</t>
  </si>
  <si>
    <t>Z29005</t>
  </si>
  <si>
    <t>Y11502</t>
  </si>
  <si>
    <t>Z29010</t>
  </si>
  <si>
    <t>Y11503</t>
  </si>
  <si>
    <t>Z29011</t>
  </si>
  <si>
    <t>Y11504</t>
  </si>
  <si>
    <t>Z29012</t>
  </si>
  <si>
    <t>Y11506</t>
  </si>
  <si>
    <t>Z29018</t>
  </si>
  <si>
    <t>Y11507</t>
  </si>
  <si>
    <t>Z29019</t>
  </si>
  <si>
    <t>Y11509</t>
  </si>
  <si>
    <t>Z29023</t>
  </si>
  <si>
    <t>Y11588</t>
  </si>
  <si>
    <t>Z28804</t>
  </si>
  <si>
    <t>Y11590</t>
  </si>
  <si>
    <t>Z28823</t>
  </si>
  <si>
    <t>Y11591</t>
  </si>
  <si>
    <t>Z28831</t>
  </si>
  <si>
    <t>Y11592</t>
  </si>
  <si>
    <t>Z28860</t>
  </si>
  <si>
    <t>Y11594</t>
  </si>
  <si>
    <t>Z28963</t>
  </si>
  <si>
    <t>Y12186</t>
  </si>
  <si>
    <t>Z9438; Z28922</t>
  </si>
  <si>
    <t>rs750008114</t>
  </si>
  <si>
    <t>Z9438</t>
  </si>
  <si>
    <t>Y12186; Z28922</t>
  </si>
  <si>
    <t>Z28922</t>
  </si>
  <si>
    <t>Y12186; Z9438</t>
  </si>
  <si>
    <t>YP332.2</t>
  </si>
  <si>
    <t>rs756179704</t>
  </si>
  <si>
    <t>Z28834</t>
  </si>
  <si>
    <t>Z28835</t>
  </si>
  <si>
    <t>rs1331215198</t>
  </si>
  <si>
    <t>Z28837</t>
  </si>
  <si>
    <t>Z28838</t>
  </si>
  <si>
    <t>Z28985</t>
  </si>
  <si>
    <t>rs185652340</t>
  </si>
  <si>
    <t>V182</t>
  </si>
  <si>
    <t>rs866052709</t>
  </si>
  <si>
    <t>A701</t>
  </si>
  <si>
    <t>V3287</t>
  </si>
  <si>
    <t>rs546454285</t>
  </si>
  <si>
    <t>S23981</t>
  </si>
  <si>
    <t>V1997</t>
  </si>
  <si>
    <t>Z28803</t>
  </si>
  <si>
    <t>rs530722350</t>
  </si>
  <si>
    <t>V2267</t>
  </si>
  <si>
    <t>Z28810</t>
  </si>
  <si>
    <t>rs544102322</t>
  </si>
  <si>
    <t>V3589</t>
  </si>
  <si>
    <t>Z28945</t>
  </si>
  <si>
    <t>rs537482139</t>
  </si>
  <si>
    <t>Y10451</t>
  </si>
  <si>
    <t>Z28794</t>
  </si>
  <si>
    <t>Y10455</t>
  </si>
  <si>
    <t>Z28004</t>
  </si>
  <si>
    <t>Y10459</t>
  </si>
  <si>
    <t>Z28857</t>
  </si>
  <si>
    <t>rs4599989</t>
  </si>
  <si>
    <t>Y10462</t>
  </si>
  <si>
    <t>Z30221</t>
  </si>
  <si>
    <t>Y10468</t>
  </si>
  <si>
    <t>Z28902</t>
  </si>
  <si>
    <t>Y10475</t>
  </si>
  <si>
    <t>Z28009</t>
  </si>
  <si>
    <t>Y10484</t>
  </si>
  <si>
    <t>Z29328</t>
  </si>
  <si>
    <t>Y10486</t>
  </si>
  <si>
    <t>Z29015</t>
  </si>
  <si>
    <t>Y11348</t>
  </si>
  <si>
    <t>Z28795</t>
  </si>
  <si>
    <t>Y11358</t>
  </si>
  <si>
    <t>Z28816</t>
  </si>
  <si>
    <t>Y11374</t>
  </si>
  <si>
    <t>Z28844</t>
  </si>
  <si>
    <t>rs1423065756</t>
  </si>
  <si>
    <t>Y11380</t>
  </si>
  <si>
    <t>Z38843</t>
  </si>
  <si>
    <t>Y11381</t>
  </si>
  <si>
    <t>Z38844</t>
  </si>
  <si>
    <t>rs1419107223</t>
  </si>
  <si>
    <t>Y11398</t>
  </si>
  <si>
    <t>Z28870</t>
  </si>
  <si>
    <t>rs1302368269</t>
  </si>
  <si>
    <t>Y11407</t>
  </si>
  <si>
    <t>Z28880</t>
  </si>
  <si>
    <t>rs1479729309</t>
  </si>
  <si>
    <t>Y11412</t>
  </si>
  <si>
    <t>Z28884</t>
  </si>
  <si>
    <t>Y11421</t>
  </si>
  <si>
    <t>Z28893</t>
  </si>
  <si>
    <t>rs1316368756</t>
  </si>
  <si>
    <t>Y11454</t>
  </si>
  <si>
    <t>Z28941</t>
  </si>
  <si>
    <t>Y11470</t>
  </si>
  <si>
    <t>Z28972</t>
  </si>
  <si>
    <t>rs1246386674</t>
  </si>
  <si>
    <t>Y11471</t>
  </si>
  <si>
    <t>Z28973</t>
  </si>
  <si>
    <t>Y11476</t>
  </si>
  <si>
    <t>Z28984</t>
  </si>
  <si>
    <t>Y11481</t>
  </si>
  <si>
    <t>Z28987</t>
  </si>
  <si>
    <t>Y11485</t>
  </si>
  <si>
    <t>Z28997</t>
  </si>
  <si>
    <t>Y11487</t>
  </si>
  <si>
    <t>Z28998</t>
  </si>
  <si>
    <t>Y11489</t>
  </si>
  <si>
    <t>Z29000</t>
  </si>
  <si>
    <t>Y11493</t>
  </si>
  <si>
    <t>Z29002</t>
  </si>
  <si>
    <t>Y11498</t>
  </si>
  <si>
    <t>Z29008</t>
  </si>
  <si>
    <t>Y11501</t>
  </si>
  <si>
    <t>Z29009</t>
  </si>
  <si>
    <t>Y11505</t>
  </si>
  <si>
    <t>Z29013</t>
  </si>
  <si>
    <t>Y12184</t>
  </si>
  <si>
    <t>Z29327</t>
  </si>
  <si>
    <t>Z28840</t>
  </si>
  <si>
    <t>V222</t>
  </si>
  <si>
    <t>rs181793326</t>
  </si>
  <si>
    <t>FGC15334.1</t>
  </si>
  <si>
    <t>V1970.1</t>
  </si>
  <si>
    <t>rs548482895</t>
  </si>
  <si>
    <t>FGC15527</t>
  </si>
  <si>
    <t>Y12183</t>
  </si>
  <si>
    <t>V1023</t>
  </si>
  <si>
    <t>Z28767</t>
  </si>
  <si>
    <t>rs551935939</t>
  </si>
  <si>
    <t>V1183</t>
  </si>
  <si>
    <t>Z28781</t>
  </si>
  <si>
    <t>rs536877553</t>
  </si>
  <si>
    <t>V2101</t>
  </si>
  <si>
    <t>Z28807</t>
  </si>
  <si>
    <t>rs558640864</t>
  </si>
  <si>
    <t>V2301</t>
  </si>
  <si>
    <t>Z28812</t>
  </si>
  <si>
    <t>rs577386811</t>
  </si>
  <si>
    <t>V3314</t>
  </si>
  <si>
    <t>Z28934</t>
  </si>
  <si>
    <t>rs541948260</t>
  </si>
  <si>
    <t>V3568</t>
  </si>
  <si>
    <t>Z28935</t>
  </si>
  <si>
    <t>rs548293444</t>
  </si>
  <si>
    <t>V3918</t>
  </si>
  <si>
    <t>Z28955</t>
  </si>
  <si>
    <t>rs575107605</t>
  </si>
  <si>
    <t>V3922</t>
  </si>
  <si>
    <t>Z28956</t>
  </si>
  <si>
    <t>rs544226290</t>
  </si>
  <si>
    <t>V4150</t>
  </si>
  <si>
    <t>Z30225</t>
  </si>
  <si>
    <t>rs577824461</t>
  </si>
  <si>
    <t>Y11681</t>
  </si>
  <si>
    <t>Z28778</t>
  </si>
  <si>
    <t>rs1271647231</t>
  </si>
  <si>
    <t>Y11685</t>
  </si>
  <si>
    <t>Z28787</t>
  </si>
  <si>
    <t>Y11687</t>
  </si>
  <si>
    <t>Z28800</t>
  </si>
  <si>
    <t>Y11689</t>
  </si>
  <si>
    <t>Z28802</t>
  </si>
  <si>
    <t>Y11690</t>
  </si>
  <si>
    <t>Z28819</t>
  </si>
  <si>
    <t>Y11692</t>
  </si>
  <si>
    <t>Z28827</t>
  </si>
  <si>
    <t>Y11697</t>
  </si>
  <si>
    <t>Z28856</t>
  </si>
  <si>
    <t>Y11699</t>
  </si>
  <si>
    <t>Z28882</t>
  </si>
  <si>
    <t>rs1444906269</t>
  </si>
  <si>
    <t>Y11700</t>
  </si>
  <si>
    <t>Z30222</t>
  </si>
  <si>
    <t>Y11701</t>
  </si>
  <si>
    <t>Z28901</t>
  </si>
  <si>
    <t>rs1308555754</t>
  </si>
  <si>
    <t>Y11702</t>
  </si>
  <si>
    <t>Z28905</t>
  </si>
  <si>
    <t>rs1301168628</t>
  </si>
  <si>
    <t>Y11703</t>
  </si>
  <si>
    <t>Z28906</t>
  </si>
  <si>
    <t>Y11704</t>
  </si>
  <si>
    <t>Z28908</t>
  </si>
  <si>
    <t>rs1410804565</t>
  </si>
  <si>
    <t>Y11705</t>
  </si>
  <si>
    <t>Z30223</t>
  </si>
  <si>
    <t>Y11706</t>
  </si>
  <si>
    <t>Z28966</t>
  </si>
  <si>
    <t>Y11710</t>
  </si>
  <si>
    <t>Z30224</t>
  </si>
  <si>
    <t>Y11712</t>
  </si>
  <si>
    <t>Z28980</t>
  </si>
  <si>
    <t>Y11713</t>
  </si>
  <si>
    <t>Z29014</t>
  </si>
  <si>
    <t>Y11714</t>
  </si>
  <si>
    <t>Z29016</t>
  </si>
  <si>
    <t>Y11715</t>
  </si>
  <si>
    <t>Z29017</t>
  </si>
  <si>
    <t>Y12122</t>
  </si>
  <si>
    <t>Z28806</t>
  </si>
  <si>
    <t>Y12124</t>
  </si>
  <si>
    <t>Z28886</t>
  </si>
  <si>
    <t>Y12125</t>
  </si>
  <si>
    <t>Z28916</t>
  </si>
  <si>
    <t>rs1173043253</t>
  </si>
  <si>
    <t>Y12126</t>
  </si>
  <si>
    <t>Z28939</t>
  </si>
  <si>
    <t>Y12127</t>
  </si>
  <si>
    <t>Z28957</t>
  </si>
  <si>
    <t>Y12128</t>
  </si>
  <si>
    <t>Z28971</t>
  </si>
  <si>
    <t>Y12129</t>
  </si>
  <si>
    <t>Z28002</t>
  </si>
  <si>
    <t>Y12132</t>
  </si>
  <si>
    <t>Z28782</t>
  </si>
  <si>
    <t>Y12134</t>
  </si>
  <si>
    <t>Z28841</t>
  </si>
  <si>
    <t>Y12135</t>
  </si>
  <si>
    <t>Z28921</t>
  </si>
  <si>
    <t>rs1372900581</t>
  </si>
  <si>
    <t>Y12136</t>
  </si>
  <si>
    <t>Z28008</t>
  </si>
  <si>
    <t>Y12137</t>
  </si>
  <si>
    <t>Z28952</t>
  </si>
  <si>
    <t>Y12142</t>
  </si>
  <si>
    <t>Z28970</t>
  </si>
  <si>
    <t>Y12144</t>
  </si>
  <si>
    <t>Z29006</t>
  </si>
  <si>
    <t>Y12149</t>
  </si>
  <si>
    <t>Z28775</t>
  </si>
  <si>
    <t>rs1197938814</t>
  </si>
  <si>
    <t>Y12150</t>
  </si>
  <si>
    <t>Z28777</t>
  </si>
  <si>
    <t>Y12151</t>
  </si>
  <si>
    <t>Z28791</t>
  </si>
  <si>
    <t>Y12152</t>
  </si>
  <si>
    <t>Z28813</t>
  </si>
  <si>
    <t>Y12138</t>
  </si>
  <si>
    <t>Z28953</t>
  </si>
  <si>
    <t>Y12139</t>
  </si>
  <si>
    <t>Z28958</t>
  </si>
  <si>
    <t>Y12145</t>
  </si>
  <si>
    <t>Z29021</t>
  </si>
  <si>
    <t>Y12154</t>
  </si>
  <si>
    <t>Z28817</t>
  </si>
  <si>
    <t>rs1354931194</t>
  </si>
  <si>
    <t>Y12155</t>
  </si>
  <si>
    <t>Z28846</t>
  </si>
  <si>
    <t>Y12158</t>
  </si>
  <si>
    <t>Z30220</t>
  </si>
  <si>
    <t>Y12160</t>
  </si>
  <si>
    <t>Z28871</t>
  </si>
  <si>
    <t>rs1195861953</t>
  </si>
  <si>
    <t>Y12161</t>
  </si>
  <si>
    <t>Z28878</t>
  </si>
  <si>
    <t>rs1259844603</t>
  </si>
  <si>
    <t>Y12162</t>
  </si>
  <si>
    <t>Z28879</t>
  </si>
  <si>
    <t>rs1425946361</t>
  </si>
  <si>
    <t>Y12163</t>
  </si>
  <si>
    <t>Z28881</t>
  </si>
  <si>
    <t>rs1478748154</t>
  </si>
  <si>
    <t>Y12164</t>
  </si>
  <si>
    <t>Z28892</t>
  </si>
  <si>
    <t>rs1371974604</t>
  </si>
  <si>
    <t>Y12166</t>
  </si>
  <si>
    <t>Z28895</t>
  </si>
  <si>
    <t>rs1412401568</t>
  </si>
  <si>
    <t>Y12168</t>
  </si>
  <si>
    <t>Z28899</t>
  </si>
  <si>
    <t>Y12169</t>
  </si>
  <si>
    <t>Z28909</t>
  </si>
  <si>
    <t>rs1166847876</t>
  </si>
  <si>
    <t>Y12171</t>
  </si>
  <si>
    <t>Z28923</t>
  </si>
  <si>
    <t>Y12172</t>
  </si>
  <si>
    <t>Z28933</t>
  </si>
  <si>
    <t>Y12175</t>
  </si>
  <si>
    <t>Z28949</t>
  </si>
  <si>
    <t>Y12176</t>
  </si>
  <si>
    <t>Z28981</t>
  </si>
  <si>
    <t>Y12177</t>
  </si>
  <si>
    <t>Z28854</t>
  </si>
  <si>
    <t>rs764073467</t>
  </si>
  <si>
    <t>Y12178</t>
  </si>
  <si>
    <t>Z25957.2</t>
  </si>
  <si>
    <t>rs775949459</t>
  </si>
  <si>
    <t>Z28839</t>
  </si>
  <si>
    <t>Z31808</t>
  </si>
  <si>
    <t>Z31809</t>
  </si>
  <si>
    <t>rs956670979</t>
  </si>
  <si>
    <t>Z31810</t>
  </si>
  <si>
    <t>Z31811</t>
  </si>
  <si>
    <t>Z31812</t>
  </si>
  <si>
    <t>Z31813</t>
  </si>
  <si>
    <t>Z31814</t>
  </si>
  <si>
    <t>Z31798</t>
  </si>
  <si>
    <t>Z31799</t>
  </si>
  <si>
    <t>Z31800</t>
  </si>
  <si>
    <t>Z31801</t>
  </si>
  <si>
    <t>Z31802</t>
  </si>
  <si>
    <t>Y12157</t>
  </si>
  <si>
    <t>Z30466</t>
  </si>
  <si>
    <t>Y11695</t>
  </si>
  <si>
    <t>Z30467</t>
  </si>
  <si>
    <t>Y11708</t>
  </si>
  <si>
    <t>Z30468</t>
  </si>
  <si>
    <t>Y11709</t>
  </si>
  <si>
    <t>Z30469</t>
  </si>
  <si>
    <t>Y12146</t>
  </si>
  <si>
    <t>Z30471</t>
  </si>
  <si>
    <t>A2211</t>
  </si>
  <si>
    <t>Z30362</t>
  </si>
  <si>
    <t>A2212</t>
  </si>
  <si>
    <t>Z30363</t>
  </si>
  <si>
    <t>A2213</t>
  </si>
  <si>
    <t>Z30364</t>
  </si>
  <si>
    <t>A2214</t>
  </si>
  <si>
    <t>Z30365</t>
  </si>
  <si>
    <t>A2215</t>
  </si>
  <si>
    <t>Z30366</t>
  </si>
  <si>
    <t>Z31803</t>
  </si>
  <si>
    <t>rs1039615340</t>
  </si>
  <si>
    <t>Z31804</t>
  </si>
  <si>
    <t>Z31805</t>
  </si>
  <si>
    <t>Z31806</t>
  </si>
  <si>
    <t>Z31807</t>
  </si>
  <si>
    <t>Z46268</t>
  </si>
  <si>
    <t>Z46269</t>
  </si>
  <si>
    <t>Z46270</t>
  </si>
  <si>
    <t>Z46271</t>
  </si>
  <si>
    <t>Z46272</t>
  </si>
  <si>
    <t>Z31793</t>
  </si>
  <si>
    <t>Z31794</t>
  </si>
  <si>
    <t>Z31795</t>
  </si>
  <si>
    <t>Z31796</t>
  </si>
  <si>
    <t>Z31797</t>
  </si>
  <si>
    <t>Y11325</t>
  </si>
  <si>
    <t>Z29329</t>
  </si>
  <si>
    <t>AMM324</t>
  </si>
  <si>
    <t>S854</t>
  </si>
  <si>
    <t>rs747594478</t>
  </si>
  <si>
    <t>F1628</t>
  </si>
  <si>
    <t>S21803</t>
  </si>
  <si>
    <t>Y10490</t>
  </si>
  <si>
    <t>Z29334</t>
  </si>
  <si>
    <t>Y10492</t>
  </si>
  <si>
    <t>Z29335</t>
  </si>
  <si>
    <t>Y10493</t>
  </si>
  <si>
    <t>Z29338</t>
  </si>
  <si>
    <t>Y10494</t>
  </si>
  <si>
    <t>Z29341</t>
  </si>
  <si>
    <t>Y10495</t>
  </si>
  <si>
    <t>Z29342</t>
  </si>
  <si>
    <t>Y10496</t>
  </si>
  <si>
    <t>Z29347</t>
  </si>
  <si>
    <t>Y10498</t>
  </si>
  <si>
    <t>Z29349</t>
  </si>
  <si>
    <t>Y10499</t>
  </si>
  <si>
    <t>Z29350</t>
  </si>
  <si>
    <t>Y10500</t>
  </si>
  <si>
    <t>Z32152</t>
  </si>
  <si>
    <t>Y10502</t>
  </si>
  <si>
    <t>Z29364</t>
  </si>
  <si>
    <t>Y10503</t>
  </si>
  <si>
    <t>Z29365</t>
  </si>
  <si>
    <t>Y10504</t>
  </si>
  <si>
    <t>Z29366</t>
  </si>
  <si>
    <t>Y10505</t>
  </si>
  <si>
    <t>Z29368</t>
  </si>
  <si>
    <t>Y10506</t>
  </si>
  <si>
    <t>Z29370</t>
  </si>
  <si>
    <t>Y10507</t>
  </si>
  <si>
    <t>Z29372</t>
  </si>
  <si>
    <t>Y10509</t>
  </si>
  <si>
    <t>Z29374</t>
  </si>
  <si>
    <t>Y10510</t>
  </si>
  <si>
    <t>Z29377</t>
  </si>
  <si>
    <t>Y10511</t>
  </si>
  <si>
    <t>Z29384</t>
  </si>
  <si>
    <t>Y10512</t>
  </si>
  <si>
    <t>Z29385</t>
  </si>
  <si>
    <t>Y10513</t>
  </si>
  <si>
    <t>Z29386</t>
  </si>
  <si>
    <t>Y10514</t>
  </si>
  <si>
    <t>Z29389</t>
  </si>
  <si>
    <t>Y10515</t>
  </si>
  <si>
    <t>Z29393</t>
  </si>
  <si>
    <t>Y10516</t>
  </si>
  <si>
    <t>Z29395</t>
  </si>
  <si>
    <t>rs1031693888</t>
  </si>
  <si>
    <t>Y10517</t>
  </si>
  <si>
    <t>Z29396</t>
  </si>
  <si>
    <t>Y10518</t>
  </si>
  <si>
    <t>Z29398</t>
  </si>
  <si>
    <t>Y10519</t>
  </si>
  <si>
    <t>Z29403</t>
  </si>
  <si>
    <t>Y10522</t>
  </si>
  <si>
    <t>Z29407</t>
  </si>
  <si>
    <t>Y10523</t>
  </si>
  <si>
    <t>Z29392</t>
  </si>
  <si>
    <t>Y11326</t>
  </si>
  <si>
    <t>Z29330</t>
  </si>
  <si>
    <t>Y11327</t>
  </si>
  <si>
    <t>Z29331</t>
  </si>
  <si>
    <t>Y11331</t>
  </si>
  <si>
    <t>Z29333</t>
  </si>
  <si>
    <t>Y11340</t>
  </si>
  <si>
    <t>Z29336</t>
  </si>
  <si>
    <t>Y11344</t>
  </si>
  <si>
    <t>Z29337</t>
  </si>
  <si>
    <t>Y11345</t>
  </si>
  <si>
    <t>Z29339</t>
  </si>
  <si>
    <t>Y11351</t>
  </si>
  <si>
    <t>Z29340</t>
  </si>
  <si>
    <t>Y11353</t>
  </si>
  <si>
    <t>Z29343</t>
  </si>
  <si>
    <t>Y11354</t>
  </si>
  <si>
    <t>Z29344</t>
  </si>
  <si>
    <t>Y11355</t>
  </si>
  <si>
    <t>Z29345</t>
  </si>
  <si>
    <t>Y11356</t>
  </si>
  <si>
    <t>Z29346</t>
  </si>
  <si>
    <t>Y11357</t>
  </si>
  <si>
    <t>Z29351</t>
  </si>
  <si>
    <t>Y11361</t>
  </si>
  <si>
    <t>Z29352</t>
  </si>
  <si>
    <t>Y11366</t>
  </si>
  <si>
    <t>Z29354</t>
  </si>
  <si>
    <t>Y11376</t>
  </si>
  <si>
    <t>Z29358</t>
  </si>
  <si>
    <t>Y11377</t>
  </si>
  <si>
    <t>Z29359</t>
  </si>
  <si>
    <t>Y11378</t>
  </si>
  <si>
    <t>Z29360</t>
  </si>
  <si>
    <t>Y11379</t>
  </si>
  <si>
    <t>Z29361</t>
  </si>
  <si>
    <t>Y11382</t>
  </si>
  <si>
    <t>Z29362</t>
  </si>
  <si>
    <t>Y11384</t>
  </si>
  <si>
    <t>Z29363</t>
  </si>
  <si>
    <t>Y11388</t>
  </si>
  <si>
    <t>Z29367</t>
  </si>
  <si>
    <t>Y11391</t>
  </si>
  <si>
    <t>Z29369</t>
  </si>
  <si>
    <t>rs1003710679</t>
  </si>
  <si>
    <t>Y11400</t>
  </si>
  <si>
    <t>Z29371</t>
  </si>
  <si>
    <t>Y11404</t>
  </si>
  <si>
    <t>Z29373</t>
  </si>
  <si>
    <t>Y11408</t>
  </si>
  <si>
    <t>Z29375</t>
  </si>
  <si>
    <t>Y11411</t>
  </si>
  <si>
    <t>Z29376</t>
  </si>
  <si>
    <t>Y11415</t>
  </si>
  <si>
    <t>Z29378</t>
  </si>
  <si>
    <t>Y11416</t>
  </si>
  <si>
    <t>Z29379</t>
  </si>
  <si>
    <t>Y11419</t>
  </si>
  <si>
    <t>Z29380</t>
  </si>
  <si>
    <t>Y11423</t>
  </si>
  <si>
    <t>Z29382</t>
  </si>
  <si>
    <t>Y11427</t>
  </si>
  <si>
    <t>Z29383</t>
  </si>
  <si>
    <t>Y11435</t>
  </si>
  <si>
    <t>Z29387</t>
  </si>
  <si>
    <t>Y11439</t>
  </si>
  <si>
    <t>Z29388</t>
  </si>
  <si>
    <t>Y11442</t>
  </si>
  <si>
    <t>Z29390</t>
  </si>
  <si>
    <t>Y11450</t>
  </si>
  <si>
    <t>Z29394</t>
  </si>
  <si>
    <t>Y11455</t>
  </si>
  <si>
    <t>Z29397</t>
  </si>
  <si>
    <t>Y11457</t>
  </si>
  <si>
    <t>Z29399</t>
  </si>
  <si>
    <t>Y11459</t>
  </si>
  <si>
    <t>Z29401</t>
  </si>
  <si>
    <t>Y11461</t>
  </si>
  <si>
    <t>Z29404</t>
  </si>
  <si>
    <t>Y11465</t>
  </si>
  <si>
    <t>Z29405</t>
  </si>
  <si>
    <t>Y11468</t>
  </si>
  <si>
    <t>Z29406</t>
  </si>
  <si>
    <t>Y11486</t>
  </si>
  <si>
    <t>Z29381</t>
  </si>
  <si>
    <t>Z29332</t>
  </si>
  <si>
    <t>rs779601551</t>
  </si>
  <si>
    <t>Z31819</t>
  </si>
  <si>
    <t>Z31820</t>
  </si>
  <si>
    <t>Z31821</t>
  </si>
  <si>
    <t>Z31822</t>
  </si>
  <si>
    <t>Z31823</t>
  </si>
  <si>
    <t>Z31824</t>
  </si>
  <si>
    <t>Z31825</t>
  </si>
  <si>
    <t>Z31826</t>
  </si>
  <si>
    <t>Z31827</t>
  </si>
  <si>
    <t>rs113224768</t>
  </si>
  <si>
    <t>Z31828</t>
  </si>
  <si>
    <t>Z38888</t>
  </si>
  <si>
    <t>PH428</t>
  </si>
  <si>
    <t>Z44463</t>
  </si>
  <si>
    <t>rs766744010</t>
  </si>
  <si>
    <t>Z38886</t>
  </si>
  <si>
    <t>Z38887</t>
  </si>
  <si>
    <t>Z38889</t>
  </si>
  <si>
    <t>Z38890</t>
  </si>
  <si>
    <t>Z44460</t>
  </si>
  <si>
    <t>Z44461</t>
  </si>
  <si>
    <t>Z44462</t>
  </si>
  <si>
    <t>Z44464</t>
  </si>
  <si>
    <t>Z44465</t>
  </si>
  <si>
    <t>Z44466</t>
  </si>
  <si>
    <t>Z44467</t>
  </si>
  <si>
    <t>Z44468</t>
  </si>
  <si>
    <t>Z44469</t>
  </si>
  <si>
    <t>Z44470</t>
  </si>
  <si>
    <t>Z44471</t>
  </si>
  <si>
    <t>Z44472</t>
  </si>
  <si>
    <t>rs973411801</t>
  </si>
  <si>
    <t>Z44473</t>
  </si>
  <si>
    <t>Z44475</t>
  </si>
  <si>
    <t>Z44476</t>
  </si>
  <si>
    <t>Z44477</t>
  </si>
  <si>
    <t>Z44478</t>
  </si>
  <si>
    <t>Z44479</t>
  </si>
  <si>
    <t>Z44480</t>
  </si>
  <si>
    <t>Z44481</t>
  </si>
  <si>
    <t>Z44482</t>
  </si>
  <si>
    <t>Z44483</t>
  </si>
  <si>
    <t>Z44484</t>
  </si>
  <si>
    <t>Z44485</t>
  </si>
  <si>
    <t>rs954547551</t>
  </si>
  <si>
    <t>Z44486</t>
  </si>
  <si>
    <t>Z44487</t>
  </si>
  <si>
    <t>Z44488</t>
  </si>
  <si>
    <t>Z44489</t>
  </si>
  <si>
    <t>Z44490</t>
  </si>
  <si>
    <t>Z44491</t>
  </si>
  <si>
    <t>Z44492</t>
  </si>
  <si>
    <t>Z44493</t>
  </si>
  <si>
    <t>Z44494</t>
  </si>
  <si>
    <t>Z44495</t>
  </si>
  <si>
    <t>Z44496</t>
  </si>
  <si>
    <t>Z44497</t>
  </si>
  <si>
    <t>Z44498</t>
  </si>
  <si>
    <t>Z44499</t>
  </si>
  <si>
    <t>Z44500</t>
  </si>
  <si>
    <t>Z44501</t>
  </si>
  <si>
    <t>Z44502</t>
  </si>
  <si>
    <t>Z44503</t>
  </si>
  <si>
    <t>Z44504</t>
  </si>
  <si>
    <t>Z44505</t>
  </si>
  <si>
    <t>Z44506</t>
  </si>
  <si>
    <t>Z44507</t>
  </si>
  <si>
    <t>Z44508</t>
  </si>
  <si>
    <t>Z44509</t>
  </si>
  <si>
    <t>Z44510</t>
  </si>
  <si>
    <t>Z44511</t>
  </si>
  <si>
    <t>Z44512</t>
  </si>
  <si>
    <t>Z44513</t>
  </si>
  <si>
    <t>Z44514</t>
  </si>
  <si>
    <t>Z44515</t>
  </si>
  <si>
    <t>Z44516</t>
  </si>
  <si>
    <t>Z44517</t>
  </si>
  <si>
    <t>Z44518</t>
  </si>
  <si>
    <t>Z44519</t>
  </si>
  <si>
    <t>Z44520</t>
  </si>
  <si>
    <t>Z44521</t>
  </si>
  <si>
    <t>Z44522</t>
  </si>
  <si>
    <t>Z44523</t>
  </si>
  <si>
    <t>Z44524</t>
  </si>
  <si>
    <t>Z44525</t>
  </si>
  <si>
    <t>Z44597</t>
  </si>
  <si>
    <t>Z44598</t>
  </si>
  <si>
    <t>Z44599</t>
  </si>
  <si>
    <t>Z44600</t>
  </si>
  <si>
    <t>Z44601</t>
  </si>
  <si>
    <t>Z44576</t>
  </si>
  <si>
    <t>Z44577</t>
  </si>
  <si>
    <t>Z44578</t>
  </si>
  <si>
    <t>Z44579</t>
  </si>
  <si>
    <t>Z44526</t>
  </si>
  <si>
    <t>Z44527</t>
  </si>
  <si>
    <t>Z44528</t>
  </si>
  <si>
    <t>Z44529</t>
  </si>
  <si>
    <t>Z44530</t>
  </si>
  <si>
    <t>F1370</t>
  </si>
  <si>
    <t>rs372852318</t>
  </si>
  <si>
    <t>Z16480</t>
  </si>
  <si>
    <t>rs372782015</t>
  </si>
  <si>
    <t>AM00694</t>
  </si>
  <si>
    <t>K281</t>
  </si>
  <si>
    <t>rs370864779</t>
  </si>
  <si>
    <t>B66</t>
  </si>
  <si>
    <t>Z16458</t>
  </si>
  <si>
    <t>rs369572787</t>
  </si>
  <si>
    <t>M356</t>
  </si>
  <si>
    <t>rs758698187</t>
  </si>
  <si>
    <t>BY82640</t>
  </si>
  <si>
    <t>BY82729</t>
  </si>
  <si>
    <t>BY105430</t>
  </si>
  <si>
    <t>F17997</t>
  </si>
  <si>
    <t>F23660</t>
  </si>
  <si>
    <t>rs752544388</t>
  </si>
  <si>
    <t>FGC79118</t>
  </si>
  <si>
    <t>K98</t>
  </si>
  <si>
    <t>rs745351951</t>
  </si>
  <si>
    <t>K111</t>
  </si>
  <si>
    <t>rs755759988</t>
  </si>
  <si>
    <t>K112</t>
  </si>
  <si>
    <t>rs752554178</t>
  </si>
  <si>
    <t>K123</t>
  </si>
  <si>
    <t>rs748239874</t>
  </si>
  <si>
    <t>K124</t>
  </si>
  <si>
    <t>rs767423836</t>
  </si>
  <si>
    <t>K128</t>
  </si>
  <si>
    <t>rs751232510</t>
  </si>
  <si>
    <t>K130</t>
  </si>
  <si>
    <t>rs751516741</t>
  </si>
  <si>
    <t>K137</t>
  </si>
  <si>
    <t>rs758352250</t>
  </si>
  <si>
    <t>K158</t>
  </si>
  <si>
    <t>K165</t>
  </si>
  <si>
    <t>K220</t>
  </si>
  <si>
    <t>rs755506945</t>
  </si>
  <si>
    <t>K221</t>
  </si>
  <si>
    <t>rs766375095</t>
  </si>
  <si>
    <t>K224</t>
  </si>
  <si>
    <t>K228</t>
  </si>
  <si>
    <t>rs751011223</t>
  </si>
  <si>
    <t>K229</t>
  </si>
  <si>
    <t>rs768412584</t>
  </si>
  <si>
    <t>K230</t>
  </si>
  <si>
    <t>rs752606739</t>
  </si>
  <si>
    <t>K239</t>
  </si>
  <si>
    <t>rs776305680</t>
  </si>
  <si>
    <t>K241</t>
  </si>
  <si>
    <t>rs776691977</t>
  </si>
  <si>
    <t>K243</t>
  </si>
  <si>
    <t>rs759083426</t>
  </si>
  <si>
    <t>K253</t>
  </si>
  <si>
    <t>rs764562331</t>
  </si>
  <si>
    <t>K262</t>
  </si>
  <si>
    <t>rs763739613</t>
  </si>
  <si>
    <t>K266</t>
  </si>
  <si>
    <t>rs766066469</t>
  </si>
  <si>
    <t>K271</t>
  </si>
  <si>
    <t>rs772287328</t>
  </si>
  <si>
    <t>K275</t>
  </si>
  <si>
    <t>rs779709418</t>
  </si>
  <si>
    <t>K278</t>
  </si>
  <si>
    <t>rs749086894</t>
  </si>
  <si>
    <t>K279</t>
  </si>
  <si>
    <t>rs773596694</t>
  </si>
  <si>
    <t>K286</t>
  </si>
  <si>
    <t>rs781732381</t>
  </si>
  <si>
    <t>K288</t>
  </si>
  <si>
    <t>rs751590411</t>
  </si>
  <si>
    <t>K291</t>
  </si>
  <si>
    <t>rs756636788</t>
  </si>
  <si>
    <t>K298</t>
  </si>
  <si>
    <t>rs767136042</t>
  </si>
  <si>
    <t>K314</t>
  </si>
  <si>
    <t>rs1000273320</t>
  </si>
  <si>
    <t>K334</t>
  </si>
  <si>
    <t>rs772907920</t>
  </si>
  <si>
    <t>K335</t>
  </si>
  <si>
    <t>rs750759679</t>
  </si>
  <si>
    <t>K340</t>
  </si>
  <si>
    <t>rs747855953</t>
  </si>
  <si>
    <t>K353</t>
  </si>
  <si>
    <t>rs774561571</t>
  </si>
  <si>
    <t>K355</t>
  </si>
  <si>
    <t>rs755726526</t>
  </si>
  <si>
    <t>K357</t>
  </si>
  <si>
    <t>rs747556362</t>
  </si>
  <si>
    <t>K372</t>
  </si>
  <si>
    <t>rs749088576</t>
  </si>
  <si>
    <t>K376</t>
  </si>
  <si>
    <t>rs771262572</t>
  </si>
  <si>
    <t>K403</t>
  </si>
  <si>
    <t>rs764455453</t>
  </si>
  <si>
    <t>K416</t>
  </si>
  <si>
    <t>rs767172098</t>
  </si>
  <si>
    <t>K431</t>
  </si>
  <si>
    <t>rs779385981</t>
  </si>
  <si>
    <t>PH407</t>
  </si>
  <si>
    <t>rs774228489</t>
  </si>
  <si>
    <t>PH1645</t>
  </si>
  <si>
    <t>rs778739439</t>
  </si>
  <si>
    <t>PH2603</t>
  </si>
  <si>
    <t>rs765669426</t>
  </si>
  <si>
    <t>PH3651</t>
  </si>
  <si>
    <t>rs765311474</t>
  </si>
  <si>
    <t>PH3707</t>
  </si>
  <si>
    <t>rs775136608</t>
  </si>
  <si>
    <t>PH3953</t>
  </si>
  <si>
    <t>rs777439055</t>
  </si>
  <si>
    <t>PH3972</t>
  </si>
  <si>
    <t>rs761159996</t>
  </si>
  <si>
    <t>PH4409</t>
  </si>
  <si>
    <t>rs778811246</t>
  </si>
  <si>
    <t>PH4552</t>
  </si>
  <si>
    <t>rs781566141</t>
  </si>
  <si>
    <t>PH5168</t>
  </si>
  <si>
    <t>rs773857071</t>
  </si>
  <si>
    <t>PH5321</t>
  </si>
  <si>
    <t>rs779146819</t>
  </si>
  <si>
    <t>PH5346</t>
  </si>
  <si>
    <t>rs778006989</t>
  </si>
  <si>
    <t>SK999</t>
  </si>
  <si>
    <t>rs777396108</t>
  </si>
  <si>
    <t>SK991</t>
  </si>
  <si>
    <t>Z16459</t>
  </si>
  <si>
    <t>rs1027612573</t>
  </si>
  <si>
    <t>SK997</t>
  </si>
  <si>
    <t>Z16451</t>
  </si>
  <si>
    <t>rs771124557</t>
  </si>
  <si>
    <t>SK998</t>
  </si>
  <si>
    <t>Z16467</t>
  </si>
  <si>
    <t>rs764491078</t>
  </si>
  <si>
    <t>Y28071</t>
  </si>
  <si>
    <t>rs757481662</t>
  </si>
  <si>
    <t>Y28072</t>
  </si>
  <si>
    <t>rs781290337</t>
  </si>
  <si>
    <t>Y28073</t>
  </si>
  <si>
    <t>rs879091729</t>
  </si>
  <si>
    <t>Y28082</t>
  </si>
  <si>
    <t>rs764774081</t>
  </si>
  <si>
    <t>Y28084</t>
  </si>
  <si>
    <t>rs749424708</t>
  </si>
  <si>
    <t>Y28085</t>
  </si>
  <si>
    <t>rs1009737564</t>
  </si>
  <si>
    <t>Y29427</t>
  </si>
  <si>
    <t>rs780790295</t>
  </si>
  <si>
    <t>Y29428</t>
  </si>
  <si>
    <t>rs759944772</t>
  </si>
  <si>
    <t>Y29432</t>
  </si>
  <si>
    <t>rs897908845</t>
  </si>
  <si>
    <t>Z16452</t>
  </si>
  <si>
    <t>rs771264297</t>
  </si>
  <si>
    <t>Z16453</t>
  </si>
  <si>
    <t>rs756492629</t>
  </si>
  <si>
    <t>Z16454</t>
  </si>
  <si>
    <t>rs770716664</t>
  </si>
  <si>
    <t>Z16455</t>
  </si>
  <si>
    <t>rs750834505</t>
  </si>
  <si>
    <t>Z16456</t>
  </si>
  <si>
    <t>rs749156390</t>
  </si>
  <si>
    <t>Z16457</t>
  </si>
  <si>
    <t>rs763607756</t>
  </si>
  <si>
    <t>Z16461</t>
  </si>
  <si>
    <t>rs754210410</t>
  </si>
  <si>
    <t>Z16462</t>
  </si>
  <si>
    <t>rs778541710</t>
  </si>
  <si>
    <t>Z16463</t>
  </si>
  <si>
    <t>rs758752815</t>
  </si>
  <si>
    <t>Z16464</t>
  </si>
  <si>
    <t>rs752838527</t>
  </si>
  <si>
    <t>Z16465</t>
  </si>
  <si>
    <t>rs780339795</t>
  </si>
  <si>
    <t>Z16466</t>
  </si>
  <si>
    <t>rs775706123</t>
  </si>
  <si>
    <t>Z16468</t>
  </si>
  <si>
    <t>rs767251908</t>
  </si>
  <si>
    <t>Z16470</t>
  </si>
  <si>
    <t>rs746833910</t>
  </si>
  <si>
    <t>Z16471</t>
  </si>
  <si>
    <t>rs770889784</t>
  </si>
  <si>
    <t>Z16472</t>
  </si>
  <si>
    <t>rs775667208</t>
  </si>
  <si>
    <t>Z16473</t>
  </si>
  <si>
    <t>rs756414464</t>
  </si>
  <si>
    <t>Z16475</t>
  </si>
  <si>
    <t>rs760041701</t>
  </si>
  <si>
    <t>Z16476</t>
  </si>
  <si>
    <t>rs749445680</t>
  </si>
  <si>
    <t>Z16477</t>
  </si>
  <si>
    <t>rs760698413</t>
  </si>
  <si>
    <t>Z16478</t>
  </si>
  <si>
    <t>rs776715892</t>
  </si>
  <si>
    <t>Z16479</t>
  </si>
  <si>
    <t>Z16486</t>
  </si>
  <si>
    <t>rs777460780</t>
  </si>
  <si>
    <t>Z16487</t>
  </si>
  <si>
    <t>rs781631238</t>
  </si>
  <si>
    <t>Z16557</t>
  </si>
  <si>
    <t>rs774931381</t>
  </si>
  <si>
    <t>Z16558</t>
  </si>
  <si>
    <t>rs762910425</t>
  </si>
  <si>
    <t>rs748061447</t>
  </si>
  <si>
    <t>P92</t>
  </si>
  <si>
    <t>rs371504425</t>
  </si>
  <si>
    <t>K105</t>
  </si>
  <si>
    <t>rs867164241</t>
  </si>
  <si>
    <t>K43</t>
  </si>
  <si>
    <t>rs757173979</t>
  </si>
  <si>
    <t>K99</t>
  </si>
  <si>
    <t>rs750803848</t>
  </si>
  <si>
    <t>K108</t>
  </si>
  <si>
    <t>rs766931430</t>
  </si>
  <si>
    <t>K129</t>
  </si>
  <si>
    <t>rs768520642</t>
  </si>
  <si>
    <t>K134</t>
  </si>
  <si>
    <t>rs751119482</t>
  </si>
  <si>
    <t>K141</t>
  </si>
  <si>
    <t>rs768962449</t>
  </si>
  <si>
    <t>K146</t>
  </si>
  <si>
    <t>rs756928780</t>
  </si>
  <si>
    <t>K147</t>
  </si>
  <si>
    <t>rs752806809</t>
  </si>
  <si>
    <t>K156</t>
  </si>
  <si>
    <t>rs1002883564</t>
  </si>
  <si>
    <t>K161</t>
  </si>
  <si>
    <t>K162</t>
  </si>
  <si>
    <t>rs905605552</t>
  </si>
  <si>
    <t>K187</t>
  </si>
  <si>
    <t>rs748753135</t>
  </si>
  <si>
    <t>K205</t>
  </si>
  <si>
    <t>rs770728982</t>
  </si>
  <si>
    <t>K249</t>
  </si>
  <si>
    <t>rs762755643</t>
  </si>
  <si>
    <t>K252</t>
  </si>
  <si>
    <t>rs747552307</t>
  </si>
  <si>
    <t>K260</t>
  </si>
  <si>
    <t>rs761096958</t>
  </si>
  <si>
    <t>K261</t>
  </si>
  <si>
    <t>rs770566300</t>
  </si>
  <si>
    <t>K267</t>
  </si>
  <si>
    <t>rs768703148</t>
  </si>
  <si>
    <t>K280</t>
  </si>
  <si>
    <t>rs775146388</t>
  </si>
  <si>
    <t>K293</t>
  </si>
  <si>
    <t>rs758756331</t>
  </si>
  <si>
    <t>K310</t>
  </si>
  <si>
    <t>rs757134813</t>
  </si>
  <si>
    <t>K317</t>
  </si>
  <si>
    <t>K319</t>
  </si>
  <si>
    <t>rs765540627</t>
  </si>
  <si>
    <t>K320</t>
  </si>
  <si>
    <t>rs761899163</t>
  </si>
  <si>
    <t>K323</t>
  </si>
  <si>
    <t>rs750562168</t>
  </si>
  <si>
    <t>K327</t>
  </si>
  <si>
    <t>rs753613011</t>
  </si>
  <si>
    <t>K331^</t>
  </si>
  <si>
    <t>rs757402371</t>
  </si>
  <si>
    <t>K358</t>
  </si>
  <si>
    <t>rs765340155</t>
  </si>
  <si>
    <t>K377</t>
  </si>
  <si>
    <t>rs768066639</t>
  </si>
  <si>
    <t>K401</t>
  </si>
  <si>
    <t>rs761860975</t>
  </si>
  <si>
    <t>K414</t>
  </si>
  <si>
    <t>rs760723671</t>
  </si>
  <si>
    <t>K415</t>
  </si>
  <si>
    <t>rs778966535</t>
  </si>
  <si>
    <t>K417</t>
  </si>
  <si>
    <t>rs901422737</t>
  </si>
  <si>
    <t>K426</t>
  </si>
  <si>
    <t>rs750012466</t>
  </si>
  <si>
    <t>K427</t>
  </si>
  <si>
    <t>rs751940839</t>
  </si>
  <si>
    <t>K435</t>
  </si>
  <si>
    <t>rs767117440</t>
  </si>
  <si>
    <t>Y28086</t>
  </si>
  <si>
    <t>rs775438214</t>
  </si>
  <si>
    <t>Z12426^</t>
  </si>
  <si>
    <t>rs750342498</t>
  </si>
  <si>
    <t>Z12429</t>
  </si>
  <si>
    <t>Z12437</t>
  </si>
  <si>
    <t>rs778076768</t>
  </si>
  <si>
    <t>Z12438</t>
  </si>
  <si>
    <t>rs751709144</t>
  </si>
  <si>
    <t>Z12439</t>
  </si>
  <si>
    <t>rs760267896</t>
  </si>
  <si>
    <t>Z12440</t>
  </si>
  <si>
    <t>rs766402751</t>
  </si>
  <si>
    <t>Z12441</t>
  </si>
  <si>
    <t>rs757581539</t>
  </si>
  <si>
    <t>Z12442</t>
  </si>
  <si>
    <t>rs776937842</t>
  </si>
  <si>
    <t>Z12443</t>
  </si>
  <si>
    <t>rs747141315</t>
  </si>
  <si>
    <t>Z12444^</t>
  </si>
  <si>
    <t>rs750640622</t>
  </si>
  <si>
    <t>Z12446</t>
  </si>
  <si>
    <t>rs77864617</t>
  </si>
  <si>
    <t>Z12449</t>
  </si>
  <si>
    <t>14198272..14198274</t>
  </si>
  <si>
    <t>12077566..12077568</t>
  </si>
  <si>
    <t>ATT-&gt;AT</t>
  </si>
  <si>
    <t>Z12450</t>
  </si>
  <si>
    <t>rs762864657</t>
  </si>
  <si>
    <t>Z12451</t>
  </si>
  <si>
    <t>rs778524708</t>
  </si>
  <si>
    <t>Z12452</t>
  </si>
  <si>
    <t>rs750412704</t>
  </si>
  <si>
    <t>Z12453</t>
  </si>
  <si>
    <t>rs765055916</t>
  </si>
  <si>
    <t>Z12454</t>
  </si>
  <si>
    <t>rs776393502</t>
  </si>
  <si>
    <t>Z12455</t>
  </si>
  <si>
    <t>rs768511802</t>
  </si>
  <si>
    <t>Z12456</t>
  </si>
  <si>
    <t>rs780317219</t>
  </si>
  <si>
    <t>Z12457</t>
  </si>
  <si>
    <t>rs970056345</t>
  </si>
  <si>
    <t>Z12458</t>
  </si>
  <si>
    <t>rs771724206</t>
  </si>
  <si>
    <t>Z12460</t>
  </si>
  <si>
    <t>rs750055715</t>
  </si>
  <si>
    <t>Z12461</t>
  </si>
  <si>
    <t>rs747358662</t>
  </si>
  <si>
    <t>Z12462</t>
  </si>
  <si>
    <t>rs778336496</t>
  </si>
  <si>
    <t>Z12463</t>
  </si>
  <si>
    <t>rs757630371</t>
  </si>
  <si>
    <t>Z12464</t>
  </si>
  <si>
    <t>rs1000104620</t>
  </si>
  <si>
    <t>Z12465</t>
  </si>
  <si>
    <t>rs992335456</t>
  </si>
  <si>
    <t>Z12466</t>
  </si>
  <si>
    <t>rs780108079</t>
  </si>
  <si>
    <t>Z12467^</t>
  </si>
  <si>
    <t>rs752620042</t>
  </si>
  <si>
    <t>Z12468</t>
  </si>
  <si>
    <t>rs772579759</t>
  </si>
  <si>
    <t>Z12469</t>
  </si>
  <si>
    <t>rs746218763</t>
  </si>
  <si>
    <t>Z12470</t>
  </si>
  <si>
    <t>rs767521943</t>
  </si>
  <si>
    <t>Z12471</t>
  </si>
  <si>
    <t>rs769064836</t>
  </si>
  <si>
    <t>Z12472</t>
  </si>
  <si>
    <t>Z12473</t>
  </si>
  <si>
    <t>Z12475</t>
  </si>
  <si>
    <t>rs923993742</t>
  </si>
  <si>
    <t>Z12476</t>
  </si>
  <si>
    <t>rs757425881</t>
  </si>
  <si>
    <t>Z12477^</t>
  </si>
  <si>
    <t>rs761392606</t>
  </si>
  <si>
    <t>23273464..23273465</t>
  </si>
  <si>
    <t>21111578..21111579</t>
  </si>
  <si>
    <t>GC-&gt;G</t>
  </si>
  <si>
    <t>Z5895</t>
  </si>
  <si>
    <t>rs763620957</t>
  </si>
  <si>
    <t>K40</t>
  </si>
  <si>
    <t>rs778926783</t>
  </si>
  <si>
    <t>K41</t>
  </si>
  <si>
    <t>rs779599527</t>
  </si>
  <si>
    <t>K102</t>
  </si>
  <si>
    <t>rs780625652</t>
  </si>
  <si>
    <t>K104</t>
  </si>
  <si>
    <t>rs755709414</t>
  </si>
  <si>
    <t>K113</t>
  </si>
  <si>
    <t>rs756373577</t>
  </si>
  <si>
    <t>K119</t>
  </si>
  <si>
    <t>rs778618805</t>
  </si>
  <si>
    <t>K136</t>
  </si>
  <si>
    <t>rs753472813</t>
  </si>
  <si>
    <t>K138</t>
  </si>
  <si>
    <t>rs747901318</t>
  </si>
  <si>
    <t>K195^</t>
  </si>
  <si>
    <t>rs780530957</t>
  </si>
  <si>
    <t>K196</t>
  </si>
  <si>
    <t>rs764312280</t>
  </si>
  <si>
    <t>K197</t>
  </si>
  <si>
    <t>rs766141907</t>
  </si>
  <si>
    <t>K198</t>
  </si>
  <si>
    <t>rs763571796</t>
  </si>
  <si>
    <t>K223</t>
  </si>
  <si>
    <t>rs1028740774</t>
  </si>
  <si>
    <t>K231</t>
  </si>
  <si>
    <t>rs765659045</t>
  </si>
  <si>
    <t>K234</t>
  </si>
  <si>
    <t>rs761263532</t>
  </si>
  <si>
    <t>K238</t>
  </si>
  <si>
    <t>rs755911542</t>
  </si>
  <si>
    <t>K258</t>
  </si>
  <si>
    <t>rs768088314</t>
  </si>
  <si>
    <t>K274</t>
  </si>
  <si>
    <t>rs746187346</t>
  </si>
  <si>
    <t>K277</t>
  </si>
  <si>
    <t>rs754504584</t>
  </si>
  <si>
    <t>K296</t>
  </si>
  <si>
    <t>rs754318942</t>
  </si>
  <si>
    <t>K297</t>
  </si>
  <si>
    <t>rs756235031</t>
  </si>
  <si>
    <t>K303</t>
  </si>
  <si>
    <t>rs752896695</t>
  </si>
  <si>
    <t>K308</t>
  </si>
  <si>
    <t>rs760294771</t>
  </si>
  <si>
    <t>K309</t>
  </si>
  <si>
    <t>rs750157317</t>
  </si>
  <si>
    <t>K332</t>
  </si>
  <si>
    <t>rs779530345</t>
  </si>
  <si>
    <t>K333</t>
  </si>
  <si>
    <t>rs771192099</t>
  </si>
  <si>
    <t>K341</t>
  </si>
  <si>
    <t>rs780067389</t>
  </si>
  <si>
    <t>K400</t>
  </si>
  <si>
    <t>rs775339700</t>
  </si>
  <si>
    <t>K406</t>
  </si>
  <si>
    <t>rs772392725</t>
  </si>
  <si>
    <t>K407</t>
  </si>
  <si>
    <t>rs764470971</t>
  </si>
  <si>
    <t>K412</t>
  </si>
  <si>
    <t>rs766428387</t>
  </si>
  <si>
    <t>K429</t>
  </si>
  <si>
    <t>rs772162208</t>
  </si>
  <si>
    <t>K434</t>
  </si>
  <si>
    <t>rs775258423</t>
  </si>
  <si>
    <t>Z12485</t>
  </si>
  <si>
    <t>rs770143079</t>
  </si>
  <si>
    <t>Z12486</t>
  </si>
  <si>
    <t>Z12487</t>
  </si>
  <si>
    <t>rs780794270</t>
  </si>
  <si>
    <t>Z12488</t>
  </si>
  <si>
    <t>rs761501890</t>
  </si>
  <si>
    <t>Z12489</t>
  </si>
  <si>
    <t>rs779534073</t>
  </si>
  <si>
    <t>Z12490</t>
  </si>
  <si>
    <t>rs1004737356</t>
  </si>
  <si>
    <t>Z12492</t>
  </si>
  <si>
    <t>rs765308990</t>
  </si>
  <si>
    <t>Z12493</t>
  </si>
  <si>
    <t>rs746450863</t>
  </si>
  <si>
    <t>Z12494</t>
  </si>
  <si>
    <t>rs778489562</t>
  </si>
  <si>
    <t>K96</t>
  </si>
  <si>
    <t>rs781550568</t>
  </si>
  <si>
    <t>K107</t>
  </si>
  <si>
    <t>rs769242853</t>
  </si>
  <si>
    <t>K131</t>
  </si>
  <si>
    <t>rs756407383</t>
  </si>
  <si>
    <t>K163</t>
  </si>
  <si>
    <t>rs866171020</t>
  </si>
  <si>
    <t>K233</t>
  </si>
  <si>
    <t>rs761276592</t>
  </si>
  <si>
    <t>K272</t>
  </si>
  <si>
    <t>K283</t>
  </si>
  <si>
    <t>rs779432368</t>
  </si>
  <si>
    <t>K425</t>
  </si>
  <si>
    <t>rs749810008</t>
  </si>
  <si>
    <t>Z12480</t>
  </si>
  <si>
    <t>rs759420211</t>
  </si>
  <si>
    <t>Z12481</t>
  </si>
  <si>
    <t>Z12497</t>
  </si>
  <si>
    <t>rs759264380</t>
  </si>
  <si>
    <t>Z12498</t>
  </si>
  <si>
    <t>rs766151744</t>
  </si>
  <si>
    <t>Z12499</t>
  </si>
  <si>
    <t>rs968169780</t>
  </si>
  <si>
    <t>Z12500</t>
  </si>
  <si>
    <t>rs776120868</t>
  </si>
  <si>
    <t>Z12502</t>
  </si>
  <si>
    <t>rs767207389</t>
  </si>
  <si>
    <t>Z12503</t>
  </si>
  <si>
    <t>rs751994555</t>
  </si>
  <si>
    <t>K42</t>
  </si>
  <si>
    <t>rs764794073</t>
  </si>
  <si>
    <t>K101</t>
  </si>
  <si>
    <t>rs775755846</t>
  </si>
  <si>
    <t>K117</t>
  </si>
  <si>
    <t>rs756850363</t>
  </si>
  <si>
    <t>K118</t>
  </si>
  <si>
    <t>rs753973703</t>
  </si>
  <si>
    <t>K135</t>
  </si>
  <si>
    <t>rs765277128</t>
  </si>
  <si>
    <t>K140</t>
  </si>
  <si>
    <t>rs758794845</t>
  </si>
  <si>
    <t>K143</t>
  </si>
  <si>
    <t>rs778338699</t>
  </si>
  <si>
    <t>K209</t>
  </si>
  <si>
    <t>rs748682291</t>
  </si>
  <si>
    <t>K227</t>
  </si>
  <si>
    <t>rs749963836</t>
  </si>
  <si>
    <t>K235</t>
  </si>
  <si>
    <t>rs759490084</t>
  </si>
  <si>
    <t>K236</t>
  </si>
  <si>
    <t>rs773230817</t>
  </si>
  <si>
    <t>K244</t>
  </si>
  <si>
    <t>rs767150317</t>
  </si>
  <si>
    <t>K276</t>
  </si>
  <si>
    <t>rs772831650</t>
  </si>
  <si>
    <t>K300</t>
  </si>
  <si>
    <t>rs772448522</t>
  </si>
  <si>
    <t>K316</t>
  </si>
  <si>
    <t>rs968661811</t>
  </si>
  <si>
    <t>K338</t>
  </si>
  <si>
    <t>rs909696054</t>
  </si>
  <si>
    <t>K362</t>
  </si>
  <si>
    <t>rs772700155</t>
  </si>
  <si>
    <t>K418</t>
  </si>
  <si>
    <t>Z12513</t>
  </si>
  <si>
    <t>rs924767721</t>
  </si>
  <si>
    <t>Z12505</t>
  </si>
  <si>
    <t>rs748541979</t>
  </si>
  <si>
    <t>Z12506</t>
  </si>
  <si>
    <t>rs767940113</t>
  </si>
  <si>
    <t>Z12509</t>
  </si>
  <si>
    <t>rs746295990</t>
  </si>
  <si>
    <t>Z12510.1</t>
  </si>
  <si>
    <t>Z15303.1</t>
  </si>
  <si>
    <t>rs751096992</t>
  </si>
  <si>
    <t>Z12511</t>
  </si>
  <si>
    <t>rs751245902</t>
  </si>
  <si>
    <t>Z12512</t>
  </si>
  <si>
    <t>rs781555759</t>
  </si>
  <si>
    <t>Z12514</t>
  </si>
  <si>
    <t>rs757509065</t>
  </si>
  <si>
    <t>Z5896</t>
  </si>
  <si>
    <t>rs757891564</t>
  </si>
  <si>
    <t>K428</t>
  </si>
  <si>
    <t>rs752961882</t>
  </si>
  <si>
    <t>Z12515</t>
  </si>
  <si>
    <t>rs779831966</t>
  </si>
  <si>
    <t>Z12517</t>
  </si>
  <si>
    <t>15550336..15550338</t>
  </si>
  <si>
    <t>13438456..13438458</t>
  </si>
  <si>
    <t>AGG-&gt;AG</t>
  </si>
  <si>
    <t>Z12518</t>
  </si>
  <si>
    <t>rs751270210</t>
  </si>
  <si>
    <t>Z12519</t>
  </si>
  <si>
    <t>rs775492274</t>
  </si>
  <si>
    <t>rs751025357</t>
  </si>
  <si>
    <t>rs778206664</t>
  </si>
  <si>
    <t>K466</t>
  </si>
  <si>
    <t>rs781601037</t>
  </si>
  <si>
    <t>K468</t>
  </si>
  <si>
    <t>rs867660287</t>
  </si>
  <si>
    <t>rs781160173</t>
  </si>
  <si>
    <t>Z19767.2</t>
  </si>
  <si>
    <t>Z31772</t>
  </si>
  <si>
    <t>Z31773</t>
  </si>
  <si>
    <t>Z31774</t>
  </si>
  <si>
    <t>PF4617.2</t>
  </si>
  <si>
    <t>rs377196741</t>
  </si>
  <si>
    <t>Z31188.2</t>
  </si>
  <si>
    <t>Z31775</t>
  </si>
  <si>
    <t>rs752360289</t>
  </si>
  <si>
    <t>Z31777</t>
  </si>
  <si>
    <t>rs780331307</t>
  </si>
  <si>
    <t>FGC22190.2</t>
  </si>
  <si>
    <t>Y5076.2</t>
  </si>
  <si>
    <t>rs771609175</t>
  </si>
  <si>
    <t>Z12675.2</t>
  </si>
  <si>
    <t>rs774084715</t>
  </si>
  <si>
    <t>Z31763</t>
  </si>
  <si>
    <t>rs747537407</t>
  </si>
  <si>
    <t>Z31764</t>
  </si>
  <si>
    <t>rs750443308</t>
  </si>
  <si>
    <t>Z31765</t>
  </si>
  <si>
    <t>Z31766</t>
  </si>
  <si>
    <t>Z31767</t>
  </si>
  <si>
    <t>Z31768</t>
  </si>
  <si>
    <t>Z31769</t>
  </si>
  <si>
    <t>Z31770</t>
  </si>
  <si>
    <t>Z31758</t>
  </si>
  <si>
    <t>Z31760</t>
  </si>
  <si>
    <t>Z31761</t>
  </si>
  <si>
    <t>Z31762</t>
  </si>
  <si>
    <t>rs765060062</t>
  </si>
  <si>
    <t>Z31743</t>
  </si>
  <si>
    <t>rs756642327</t>
  </si>
  <si>
    <t>Z31744</t>
  </si>
  <si>
    <t>rs750084659</t>
  </si>
  <si>
    <t>Z31745</t>
  </si>
  <si>
    <t>Z31746</t>
  </si>
  <si>
    <t>rs765016074</t>
  </si>
  <si>
    <t>Z31747</t>
  </si>
  <si>
    <t>rs761137722</t>
  </si>
  <si>
    <t>Z31748</t>
  </si>
  <si>
    <t>rs996239666</t>
  </si>
  <si>
    <t>Z31749</t>
  </si>
  <si>
    <t>rs753753639</t>
  </si>
  <si>
    <t>Z31750</t>
  </si>
  <si>
    <t>rs751081230</t>
  </si>
  <si>
    <t>Z31751</t>
  </si>
  <si>
    <t>Z31752</t>
  </si>
  <si>
    <t>rs774360485</t>
  </si>
  <si>
    <t>Z31753</t>
  </si>
  <si>
    <t>Z31755</t>
  </si>
  <si>
    <t>rs781569032</t>
  </si>
  <si>
    <t>Z31756</t>
  </si>
  <si>
    <t>rs758437367</t>
  </si>
  <si>
    <t>Z31733</t>
  </si>
  <si>
    <t>Z31734</t>
  </si>
  <si>
    <t>rs758992963</t>
  </si>
  <si>
    <t>Z31735</t>
  </si>
  <si>
    <t>Z31736</t>
  </si>
  <si>
    <t>Z31730</t>
  </si>
  <si>
    <t>Z31731</t>
  </si>
  <si>
    <t>rs779598049</t>
  </si>
  <si>
    <t>Z31732</t>
  </si>
  <si>
    <t>rs779507822</t>
  </si>
  <si>
    <t>Z31725</t>
  </si>
  <si>
    <t>rs752272005</t>
  </si>
  <si>
    <t>Z31726</t>
  </si>
  <si>
    <t>rs755270770</t>
  </si>
  <si>
    <t>Z31727</t>
  </si>
  <si>
    <t>rs778009008</t>
  </si>
  <si>
    <t>Z31728</t>
  </si>
  <si>
    <t>rs753120362</t>
  </si>
  <si>
    <t>Z31729</t>
  </si>
  <si>
    <t>rs773851572</t>
  </si>
  <si>
    <t>Z39941</t>
  </si>
  <si>
    <t>Z39942</t>
  </si>
  <si>
    <t>rs776663252</t>
  </si>
  <si>
    <t>Z39943</t>
  </si>
  <si>
    <t>rs754380834</t>
  </si>
  <si>
    <t>Z39944</t>
  </si>
  <si>
    <t>rs760274732</t>
  </si>
  <si>
    <t>Z39945</t>
  </si>
  <si>
    <t>rs773521794</t>
  </si>
  <si>
    <t>Z39946</t>
  </si>
  <si>
    <t>rs755758252</t>
  </si>
  <si>
    <t>Z39947</t>
  </si>
  <si>
    <t>rs758904085</t>
  </si>
  <si>
    <t>Z39948</t>
  </si>
  <si>
    <t>rs752104874</t>
  </si>
  <si>
    <t>Z39949</t>
  </si>
  <si>
    <t>rs771299533</t>
  </si>
  <si>
    <t>Z39950</t>
  </si>
  <si>
    <t>rs756241916</t>
  </si>
  <si>
    <t>Z5899</t>
  </si>
  <si>
    <t>rs778532199</t>
  </si>
  <si>
    <t>BY158801</t>
  </si>
  <si>
    <t>Y152688</t>
  </si>
  <si>
    <t>rs780230101</t>
  </si>
  <si>
    <t>BY158825</t>
  </si>
  <si>
    <t>Y152673</t>
  </si>
  <si>
    <t>rs757579034</t>
  </si>
  <si>
    <t>BY158953</t>
  </si>
  <si>
    <t>Y152696</t>
  </si>
  <si>
    <t>BY159045</t>
  </si>
  <si>
    <t>Y152679</t>
  </si>
  <si>
    <t>rs745713782</t>
  </si>
  <si>
    <t>BY159075</t>
  </si>
  <si>
    <t>Y152689</t>
  </si>
  <si>
    <t>rs767256004</t>
  </si>
  <si>
    <t>BY159293</t>
  </si>
  <si>
    <t>Y152683</t>
  </si>
  <si>
    <t>rs757549803</t>
  </si>
  <si>
    <t>BY159298</t>
  </si>
  <si>
    <t>Y152664</t>
  </si>
  <si>
    <t>BY159307</t>
  </si>
  <si>
    <t>Y152695</t>
  </si>
  <si>
    <t>rs780401623</t>
  </si>
  <si>
    <t>BY159308</t>
  </si>
  <si>
    <t>Y152694</t>
  </si>
  <si>
    <t>BY159341</t>
  </si>
  <si>
    <t>Y152678</t>
  </si>
  <si>
    <t>rs781604947</t>
  </si>
  <si>
    <t>BY159409</t>
  </si>
  <si>
    <t>Y152677</t>
  </si>
  <si>
    <t>rs748203916</t>
  </si>
  <si>
    <t>BY159422</t>
  </si>
  <si>
    <t>Y152666</t>
  </si>
  <si>
    <t>BY159498</t>
  </si>
  <si>
    <t>Y152686</t>
  </si>
  <si>
    <t>BY159502</t>
  </si>
  <si>
    <t>Y152685</t>
  </si>
  <si>
    <t>rs766445834</t>
  </si>
  <si>
    <t>BY159513</t>
  </si>
  <si>
    <t>Y152665</t>
  </si>
  <si>
    <t>rs752156540</t>
  </si>
  <si>
    <t>BY159584</t>
  </si>
  <si>
    <t>Y152676</t>
  </si>
  <si>
    <t>rs775585913</t>
  </si>
  <si>
    <t>BY159650</t>
  </si>
  <si>
    <t>Y152670</t>
  </si>
  <si>
    <t>rs747536749</t>
  </si>
  <si>
    <t>BY159698</t>
  </si>
  <si>
    <t>BY159733</t>
  </si>
  <si>
    <t>Y152682</t>
  </si>
  <si>
    <t>rs774555362</t>
  </si>
  <si>
    <t>BY159845</t>
  </si>
  <si>
    <t>Y152669</t>
  </si>
  <si>
    <t>BY159943</t>
  </si>
  <si>
    <t>Y152690</t>
  </si>
  <si>
    <t>rs775497008</t>
  </si>
  <si>
    <t>BY159982</t>
  </si>
  <si>
    <t>Y152684</t>
  </si>
  <si>
    <t>rs779639461</t>
  </si>
  <si>
    <t>BY160039</t>
  </si>
  <si>
    <t>Y152692</t>
  </si>
  <si>
    <t>BY160231</t>
  </si>
  <si>
    <t>Y152675</t>
  </si>
  <si>
    <t>rs748064131</t>
  </si>
  <si>
    <t>BY160369</t>
  </si>
  <si>
    <t>Y152674</t>
  </si>
  <si>
    <t>rs781023617</t>
  </si>
  <si>
    <t>BY160422</t>
  </si>
  <si>
    <t>Y152668</t>
  </si>
  <si>
    <t>rs762228259</t>
  </si>
  <si>
    <t>BY160478</t>
  </si>
  <si>
    <t>Y152672</t>
  </si>
  <si>
    <t>rs762795218</t>
  </si>
  <si>
    <t>BY160491</t>
  </si>
  <si>
    <t>Y152681</t>
  </si>
  <si>
    <t>rs763984723</t>
  </si>
  <si>
    <t>BY160554</t>
  </si>
  <si>
    <t>Y152671</t>
  </si>
  <si>
    <t>rs767092909</t>
  </si>
  <si>
    <t>BY160581</t>
  </si>
  <si>
    <t>Y152663</t>
  </si>
  <si>
    <t>rs774831021</t>
  </si>
  <si>
    <t>BY160584</t>
  </si>
  <si>
    <t>Y152680</t>
  </si>
  <si>
    <t>rs774144044</t>
  </si>
  <si>
    <t>FGC24650</t>
  </si>
  <si>
    <t>V1656</t>
  </si>
  <si>
    <t>rs754288988</t>
  </si>
  <si>
    <t>SK996</t>
  </si>
  <si>
    <t>rs762986526</t>
  </si>
  <si>
    <t>Y82437</t>
  </si>
  <si>
    <t>rs775543351</t>
  </si>
  <si>
    <t>Y152687</t>
  </si>
  <si>
    <t>Y152691</t>
  </si>
  <si>
    <t>BY160616</t>
  </si>
  <si>
    <t>Y125864</t>
  </si>
  <si>
    <t>rs746327443</t>
  </si>
  <si>
    <t>Y43116</t>
  </si>
  <si>
    <t>BY160069</t>
  </si>
  <si>
    <t>Z12338</t>
  </si>
  <si>
    <t>rs777925993</t>
  </si>
  <si>
    <t>Z12341</t>
  </si>
  <si>
    <t>rs761370476</t>
  </si>
  <si>
    <t>Z12373</t>
  </si>
  <si>
    <t>rs774331567</t>
  </si>
  <si>
    <t>Z12384</t>
  </si>
  <si>
    <t>rs756419237</t>
  </si>
  <si>
    <t>Z12403</t>
  </si>
  <si>
    <t>rs766462478</t>
  </si>
  <si>
    <t>Z12406</t>
  </si>
  <si>
    <t>rs749325386</t>
  </si>
  <si>
    <t>Z12409^</t>
  </si>
  <si>
    <t>rs780107287</t>
  </si>
  <si>
    <t>Z12422</t>
  </si>
  <si>
    <t>rs762457589</t>
  </si>
  <si>
    <t>Z12425</t>
  </si>
  <si>
    <t>rs768374867</t>
  </si>
  <si>
    <t>BY158807</t>
  </si>
  <si>
    <t>Z21352</t>
  </si>
  <si>
    <t>rs773764164</t>
  </si>
  <si>
    <t>BY159855</t>
  </si>
  <si>
    <t>rs776727874</t>
  </si>
  <si>
    <t>Z5900</t>
  </si>
  <si>
    <t>rs770822414</t>
  </si>
  <si>
    <t>PF6587</t>
  </si>
  <si>
    <t>Z12348</t>
  </si>
  <si>
    <t>rs780128283</t>
  </si>
  <si>
    <t>Z12333</t>
  </si>
  <si>
    <t>rs749011302</t>
  </si>
  <si>
    <t>Z12334</t>
  </si>
  <si>
    <t>rs760160536</t>
  </si>
  <si>
    <t>Z12335</t>
  </si>
  <si>
    <t>rs776492862</t>
  </si>
  <si>
    <t>Z12336</t>
  </si>
  <si>
    <t>rs759499111</t>
  </si>
  <si>
    <t>Z12337</t>
  </si>
  <si>
    <t>rs767442808</t>
  </si>
  <si>
    <t>Z12340</t>
  </si>
  <si>
    <t>rs775108096</t>
  </si>
  <si>
    <t>Z12342</t>
  </si>
  <si>
    <t>rs746475100</t>
  </si>
  <si>
    <t>Z12343</t>
  </si>
  <si>
    <t>rs768790876</t>
  </si>
  <si>
    <t>Z12344^</t>
  </si>
  <si>
    <t>rs767687526</t>
  </si>
  <si>
    <t>Z12345^</t>
  </si>
  <si>
    <t>rs747648201</t>
  </si>
  <si>
    <t>Z12346^</t>
  </si>
  <si>
    <t>rs758229887</t>
  </si>
  <si>
    <t>Z12347^</t>
  </si>
  <si>
    <t>rs759103155</t>
  </si>
  <si>
    <t>Z12349^</t>
  </si>
  <si>
    <t>rs748069695</t>
  </si>
  <si>
    <t>Z12354</t>
  </si>
  <si>
    <t>rs772479666</t>
  </si>
  <si>
    <t>Z12355</t>
  </si>
  <si>
    <t>Z12357</t>
  </si>
  <si>
    <t>Z12358</t>
  </si>
  <si>
    <t>Z12360</t>
  </si>
  <si>
    <t>Z12361</t>
  </si>
  <si>
    <t>Z12365</t>
  </si>
  <si>
    <t>rs773750531</t>
  </si>
  <si>
    <t>Z12366^</t>
  </si>
  <si>
    <t>rs751363092</t>
  </si>
  <si>
    <t>Z12367^</t>
  </si>
  <si>
    <t>rs751782248</t>
  </si>
  <si>
    <t>Z12369</t>
  </si>
  <si>
    <t>rs764783090</t>
  </si>
  <si>
    <t>Z12370</t>
  </si>
  <si>
    <t>rs753147417</t>
  </si>
  <si>
    <t>Z12372^</t>
  </si>
  <si>
    <t>rs773171829</t>
  </si>
  <si>
    <t>Z12374^</t>
  </si>
  <si>
    <t>rs773472327</t>
  </si>
  <si>
    <t>Z12375</t>
  </si>
  <si>
    <t>rs762601294</t>
  </si>
  <si>
    <t>Z12376</t>
  </si>
  <si>
    <t>rs764524877</t>
  </si>
  <si>
    <t>Z12377</t>
  </si>
  <si>
    <t>rs768910377</t>
  </si>
  <si>
    <t>Z12378</t>
  </si>
  <si>
    <t>rs764277725</t>
  </si>
  <si>
    <t>Z12379</t>
  </si>
  <si>
    <t>rs757297392</t>
  </si>
  <si>
    <t>Z12380</t>
  </si>
  <si>
    <t>rs766653759</t>
  </si>
  <si>
    <t>Z12381</t>
  </si>
  <si>
    <t>rs762558950</t>
  </si>
  <si>
    <t>Z12382^</t>
  </si>
  <si>
    <t>rs768625318</t>
  </si>
  <si>
    <t>Z12383</t>
  </si>
  <si>
    <t>Z12385^</t>
  </si>
  <si>
    <t>rs771834211</t>
  </si>
  <si>
    <t>Z12387</t>
  </si>
  <si>
    <t>rs778255457</t>
  </si>
  <si>
    <t>Z12388</t>
  </si>
  <si>
    <t>rs772284852</t>
  </si>
  <si>
    <t>Z12389^</t>
  </si>
  <si>
    <t>rs764567659</t>
  </si>
  <si>
    <t>Z12390</t>
  </si>
  <si>
    <t>rs758360131</t>
  </si>
  <si>
    <t>Z12391</t>
  </si>
  <si>
    <t>rs780303298</t>
  </si>
  <si>
    <t>Z12392</t>
  </si>
  <si>
    <t>rs765355586</t>
  </si>
  <si>
    <t>Z12393^</t>
  </si>
  <si>
    <t>rs779388994</t>
  </si>
  <si>
    <t>Z12394</t>
  </si>
  <si>
    <t>rs761185507</t>
  </si>
  <si>
    <t>Z12395</t>
  </si>
  <si>
    <t>rs760105978</t>
  </si>
  <si>
    <t>Z12396^</t>
  </si>
  <si>
    <t>rs759156873</t>
  </si>
  <si>
    <t>Z12397^</t>
  </si>
  <si>
    <t>rs752269508</t>
  </si>
  <si>
    <t>Z12398</t>
  </si>
  <si>
    <t>rs758589462</t>
  </si>
  <si>
    <t>Z12399</t>
  </si>
  <si>
    <t>rs766785862</t>
  </si>
  <si>
    <t>Z12400</t>
  </si>
  <si>
    <t>Z12401^</t>
  </si>
  <si>
    <t>rs778941619</t>
  </si>
  <si>
    <t>Z12402^</t>
  </si>
  <si>
    <t>rs773926358</t>
  </si>
  <si>
    <t>Z12404</t>
  </si>
  <si>
    <t>rs772385051</t>
  </si>
  <si>
    <t>Z12405</t>
  </si>
  <si>
    <t>rs756021785</t>
  </si>
  <si>
    <t>Z12407</t>
  </si>
  <si>
    <t>rs754568092</t>
  </si>
  <si>
    <t>Z12408</t>
  </si>
  <si>
    <t>rs763568125</t>
  </si>
  <si>
    <t>Z12410^</t>
  </si>
  <si>
    <t>rs754448424</t>
  </si>
  <si>
    <t>Z12413^</t>
  </si>
  <si>
    <t>rs750390395</t>
  </si>
  <si>
    <t>Z12414</t>
  </si>
  <si>
    <t>rs768929452</t>
  </si>
  <si>
    <t>Z12416^</t>
  </si>
  <si>
    <t>rs752508721</t>
  </si>
  <si>
    <t>Z12417</t>
  </si>
  <si>
    <t>rs761763267</t>
  </si>
  <si>
    <t>Z12418</t>
  </si>
  <si>
    <t>rs760804784</t>
  </si>
  <si>
    <t>Z12419</t>
  </si>
  <si>
    <t>rs758954722</t>
  </si>
  <si>
    <t>Z12420</t>
  </si>
  <si>
    <t>rs761924396</t>
  </si>
  <si>
    <t>Z12421</t>
  </si>
  <si>
    <t>rs747292550</t>
  </si>
  <si>
    <t>Z12423</t>
  </si>
  <si>
    <t>Z31708</t>
  </si>
  <si>
    <t>Z31709</t>
  </si>
  <si>
    <t>rs752851215</t>
  </si>
  <si>
    <t>Z31710</t>
  </si>
  <si>
    <t>rs760434116</t>
  </si>
  <si>
    <t>Z31712</t>
  </si>
  <si>
    <t>MZ101</t>
  </si>
  <si>
    <t>Z31715</t>
  </si>
  <si>
    <t>rs763969796</t>
  </si>
  <si>
    <t>Z31713</t>
  </si>
  <si>
    <t>rs773650548</t>
  </si>
  <si>
    <t>Z31714</t>
  </si>
  <si>
    <t>rs764639983</t>
  </si>
  <si>
    <t>Z31716</t>
  </si>
  <si>
    <t>rs750584322</t>
  </si>
  <si>
    <t>Z31717</t>
  </si>
  <si>
    <t>rs750557555</t>
  </si>
  <si>
    <t>BY160461</t>
  </si>
  <si>
    <t>Y153979</t>
  </si>
  <si>
    <t>BY160474</t>
  </si>
  <si>
    <t>Y153800</t>
  </si>
  <si>
    <t>BY160476</t>
  </si>
  <si>
    <t>Y153794</t>
  </si>
  <si>
    <t>BY160489</t>
  </si>
  <si>
    <t>BY160747</t>
  </si>
  <si>
    <t>Y153853</t>
  </si>
  <si>
    <t>Z31778</t>
  </si>
  <si>
    <t>rs760566768</t>
  </si>
  <si>
    <t>Z31779</t>
  </si>
  <si>
    <t>rs755170999</t>
  </si>
  <si>
    <t>Z31780</t>
  </si>
  <si>
    <t>rs769959382</t>
  </si>
  <si>
    <t>Z31781</t>
  </si>
  <si>
    <t>rs755255295</t>
  </si>
  <si>
    <t>Z31782</t>
  </si>
  <si>
    <t>rs749426506</t>
  </si>
  <si>
    <t>AM00847</t>
  </si>
  <si>
    <t>AMM008; B65</t>
  </si>
  <si>
    <t>rs374541802</t>
  </si>
  <si>
    <t>AMM008</t>
  </si>
  <si>
    <t>AM00847; B65</t>
  </si>
  <si>
    <t>B65</t>
  </si>
  <si>
    <t>AM00847; AMM008</t>
  </si>
  <si>
    <t>B67</t>
  </si>
  <si>
    <t>FGC14126.2</t>
  </si>
  <si>
    <t>FGC21589.2</t>
  </si>
  <si>
    <t>FGC22894.2</t>
  </si>
  <si>
    <t>FGC24157.2</t>
  </si>
  <si>
    <t>rs980286763</t>
  </si>
  <si>
    <t>L93.2</t>
  </si>
  <si>
    <t>rs778046767</t>
  </si>
  <si>
    <t>PF5820.2</t>
  </si>
  <si>
    <t>S3328.2</t>
  </si>
  <si>
    <t>rs768121883</t>
  </si>
  <si>
    <t>Y10470.2</t>
  </si>
  <si>
    <t>Z28914.2</t>
  </si>
  <si>
    <t>Y15781</t>
  </si>
  <si>
    <t>Z32763</t>
  </si>
  <si>
    <t>Z5906</t>
  </si>
  <si>
    <t>Z32422</t>
  </si>
  <si>
    <t>rs768657715</t>
  </si>
  <si>
    <t>Z9900.2</t>
  </si>
  <si>
    <t>Z20389.2</t>
  </si>
  <si>
    <t>rs535873821</t>
  </si>
  <si>
    <t>Z32412</t>
  </si>
  <si>
    <t>Z32413</t>
  </si>
  <si>
    <t>Z32414</t>
  </si>
  <si>
    <t>Z32415</t>
  </si>
  <si>
    <t>Z32417</t>
  </si>
  <si>
    <t>Z32419</t>
  </si>
  <si>
    <t>Z32420</t>
  </si>
  <si>
    <t>Z32421</t>
  </si>
  <si>
    <t>Z32423</t>
  </si>
  <si>
    <t>Z32424</t>
  </si>
  <si>
    <t>Z32425</t>
  </si>
  <si>
    <t>Z32426</t>
  </si>
  <si>
    <t>Z32427</t>
  </si>
  <si>
    <t>Z32428</t>
  </si>
  <si>
    <t>Z32429</t>
  </si>
  <si>
    <t>Z32430</t>
  </si>
  <si>
    <t>rs1033763617</t>
  </si>
  <si>
    <t>Z32431</t>
  </si>
  <si>
    <t>Z32432</t>
  </si>
  <si>
    <t>Z32433</t>
  </si>
  <si>
    <t>Z32434</t>
  </si>
  <si>
    <t>Z32435</t>
  </si>
  <si>
    <t>Z32436</t>
  </si>
  <si>
    <t>Z32437</t>
  </si>
  <si>
    <t>Z32438</t>
  </si>
  <si>
    <t>Z32439</t>
  </si>
  <si>
    <t>Z32440</t>
  </si>
  <si>
    <t>Z32441</t>
  </si>
  <si>
    <t>Z32442</t>
  </si>
  <si>
    <t>Z32443</t>
  </si>
  <si>
    <t>Z32444</t>
  </si>
  <si>
    <t>Z32445</t>
  </si>
  <si>
    <t>Z32446</t>
  </si>
  <si>
    <t>Z32447</t>
  </si>
  <si>
    <t>Z32448</t>
  </si>
  <si>
    <t>Z32449</t>
  </si>
  <si>
    <t>Z32450</t>
  </si>
  <si>
    <t>Z32451</t>
  </si>
  <si>
    <t>Z32452</t>
  </si>
  <si>
    <t>Z32453</t>
  </si>
  <si>
    <t>Z32454</t>
  </si>
  <si>
    <t>Z32455</t>
  </si>
  <si>
    <t>Z32456</t>
  </si>
  <si>
    <t>Z32458</t>
  </si>
  <si>
    <t>Z32459</t>
  </si>
  <si>
    <t>Z32462</t>
  </si>
  <si>
    <t>Z32463</t>
  </si>
  <si>
    <t>Z32464</t>
  </si>
  <si>
    <t>Z32465</t>
  </si>
  <si>
    <t>Z32466</t>
  </si>
  <si>
    <t>Z32467</t>
  </si>
  <si>
    <t>Z32468</t>
  </si>
  <si>
    <t>Z32469</t>
  </si>
  <si>
    <t>Z32470</t>
  </si>
  <si>
    <t>Z32471</t>
  </si>
  <si>
    <t>Z32472</t>
  </si>
  <si>
    <t>Z32473</t>
  </si>
  <si>
    <t>rs959292381</t>
  </si>
  <si>
    <t>Z32474</t>
  </si>
  <si>
    <t>Z32475</t>
  </si>
  <si>
    <t>Z32476</t>
  </si>
  <si>
    <t>Z32477</t>
  </si>
  <si>
    <t>Z32478</t>
  </si>
  <si>
    <t>Z32479</t>
  </si>
  <si>
    <t>Z32480</t>
  </si>
  <si>
    <t>rs988088851</t>
  </si>
  <si>
    <t>Z32481</t>
  </si>
  <si>
    <t>Z32482</t>
  </si>
  <si>
    <t>rs978395892</t>
  </si>
  <si>
    <t>Z32483</t>
  </si>
  <si>
    <t>Z32484</t>
  </si>
  <si>
    <t>Z32485</t>
  </si>
  <si>
    <t>Z32486</t>
  </si>
  <si>
    <t>Z32487</t>
  </si>
  <si>
    <t>Z32488</t>
  </si>
  <si>
    <t>Z32489</t>
  </si>
  <si>
    <t>Z32490</t>
  </si>
  <si>
    <t>Z32491</t>
  </si>
  <si>
    <t>Z32493</t>
  </si>
  <si>
    <t>Z32494</t>
  </si>
  <si>
    <t>Z32495</t>
  </si>
  <si>
    <t>Z32496</t>
  </si>
  <si>
    <t>Z32497</t>
  </si>
  <si>
    <t>Z32498</t>
  </si>
  <si>
    <t>Z32499</t>
  </si>
  <si>
    <t>Z32500</t>
  </si>
  <si>
    <t>Z32501</t>
  </si>
  <si>
    <t>Z32502</t>
  </si>
  <si>
    <t>Z32503</t>
  </si>
  <si>
    <t>Z32504</t>
  </si>
  <si>
    <t>Z32505</t>
  </si>
  <si>
    <t>Z32506</t>
  </si>
  <si>
    <t>Z32507</t>
  </si>
  <si>
    <t>rs924549283</t>
  </si>
  <si>
    <t>Z32508</t>
  </si>
  <si>
    <t>Z32509</t>
  </si>
  <si>
    <t>Z32513</t>
  </si>
  <si>
    <t>Z32514</t>
  </si>
  <si>
    <t>Z32515</t>
  </si>
  <si>
    <t>Z32516</t>
  </si>
  <si>
    <t>Z32517</t>
  </si>
  <si>
    <t>Z32518</t>
  </si>
  <si>
    <t>Z32521</t>
  </si>
  <si>
    <t>Z32522</t>
  </si>
  <si>
    <t>Z32523</t>
  </si>
  <si>
    <t>Z32524</t>
  </si>
  <si>
    <t>Z32526</t>
  </si>
  <si>
    <t>Z32527</t>
  </si>
  <si>
    <t>Z32528</t>
  </si>
  <si>
    <t>Z32529</t>
  </si>
  <si>
    <t>Z32530</t>
  </si>
  <si>
    <t>Z32531</t>
  </si>
  <si>
    <t>Z32532</t>
  </si>
  <si>
    <t>Z32533</t>
  </si>
  <si>
    <t>Z32534</t>
  </si>
  <si>
    <t>Z32536</t>
  </si>
  <si>
    <t>Z32537</t>
  </si>
  <si>
    <t>Z32538</t>
  </si>
  <si>
    <t>Z32539</t>
  </si>
  <si>
    <t>Z32540</t>
  </si>
  <si>
    <t>Z32541</t>
  </si>
  <si>
    <t>Z32542</t>
  </si>
  <si>
    <t>Z32543</t>
  </si>
  <si>
    <t>Z32545</t>
  </si>
  <si>
    <t>Z32546</t>
  </si>
  <si>
    <t>rs1481979070</t>
  </si>
  <si>
    <t>Z32547</t>
  </si>
  <si>
    <t>Z32548</t>
  </si>
  <si>
    <t>Z32549</t>
  </si>
  <si>
    <t>Z32550</t>
  </si>
  <si>
    <t>Z32551</t>
  </si>
  <si>
    <t>Z32552</t>
  </si>
  <si>
    <t>Z32553</t>
  </si>
  <si>
    <t>Z32554</t>
  </si>
  <si>
    <t>Z32555</t>
  </si>
  <si>
    <t>Z32557</t>
  </si>
  <si>
    <t>Z32558</t>
  </si>
  <si>
    <t>Z32559</t>
  </si>
  <si>
    <t>Z32560</t>
  </si>
  <si>
    <t>Z32561</t>
  </si>
  <si>
    <t>Z32562</t>
  </si>
  <si>
    <t>Z32563</t>
  </si>
  <si>
    <t>Z32564</t>
  </si>
  <si>
    <t>Z32565</t>
  </si>
  <si>
    <t>Z32566</t>
  </si>
  <si>
    <t>Z32567</t>
  </si>
  <si>
    <t>Z32568</t>
  </si>
  <si>
    <t>Z32569</t>
  </si>
  <si>
    <t>Z32570</t>
  </si>
  <si>
    <t>Z32571</t>
  </si>
  <si>
    <t>Z32572</t>
  </si>
  <si>
    <t>Z32573</t>
  </si>
  <si>
    <t>Z32574</t>
  </si>
  <si>
    <t>Z32575</t>
  </si>
  <si>
    <t>Z32576</t>
  </si>
  <si>
    <t>rs944259933</t>
  </si>
  <si>
    <t>Z32577</t>
  </si>
  <si>
    <t>Z32578</t>
  </si>
  <si>
    <t>Z32579</t>
  </si>
  <si>
    <t>Z32580</t>
  </si>
  <si>
    <t>Z32581</t>
  </si>
  <si>
    <t>rs906995743</t>
  </si>
  <si>
    <t>Z32582</t>
  </si>
  <si>
    <t>Z32583</t>
  </si>
  <si>
    <t>Z32584</t>
  </si>
  <si>
    <t>Z32585</t>
  </si>
  <si>
    <t>Z32586</t>
  </si>
  <si>
    <t>Z32589</t>
  </si>
  <si>
    <t>Z32590</t>
  </si>
  <si>
    <t>Z32591</t>
  </si>
  <si>
    <t>Z32592</t>
  </si>
  <si>
    <t>Z32593</t>
  </si>
  <si>
    <t>Z32594</t>
  </si>
  <si>
    <t>Z32595</t>
  </si>
  <si>
    <t>Z32596</t>
  </si>
  <si>
    <t>Z32597</t>
  </si>
  <si>
    <t>Z32598</t>
  </si>
  <si>
    <t>Z32599</t>
  </si>
  <si>
    <t>Z32601</t>
  </si>
  <si>
    <t>Z32602</t>
  </si>
  <si>
    <t>Z32603</t>
  </si>
  <si>
    <t>Z32604</t>
  </si>
  <si>
    <t>Z32605</t>
  </si>
  <si>
    <t>Z32606</t>
  </si>
  <si>
    <t>Z32607</t>
  </si>
  <si>
    <t>Z32608</t>
  </si>
  <si>
    <t>Z32609</t>
  </si>
  <si>
    <t>Z32610</t>
  </si>
  <si>
    <t>Z32611</t>
  </si>
  <si>
    <t>Z32612</t>
  </si>
  <si>
    <t>Z32613</t>
  </si>
  <si>
    <t>rs112149577</t>
  </si>
  <si>
    <t>Z32614</t>
  </si>
  <si>
    <t>Z32615</t>
  </si>
  <si>
    <t>Z32617</t>
  </si>
  <si>
    <t>Z32618</t>
  </si>
  <si>
    <t>Z32619</t>
  </si>
  <si>
    <t>Z32620</t>
  </si>
  <si>
    <t>Z32621</t>
  </si>
  <si>
    <t>Z32622</t>
  </si>
  <si>
    <t>Z32623</t>
  </si>
  <si>
    <t>Z32624</t>
  </si>
  <si>
    <t>Z32625</t>
  </si>
  <si>
    <t>Z32626</t>
  </si>
  <si>
    <t>Z32627</t>
  </si>
  <si>
    <t>Z32628</t>
  </si>
  <si>
    <t>Z32629</t>
  </si>
  <si>
    <t>Z32630</t>
  </si>
  <si>
    <t>rs906853695</t>
  </si>
  <si>
    <t>Z32631</t>
  </si>
  <si>
    <t>Z32632</t>
  </si>
  <si>
    <t>Z32633</t>
  </si>
  <si>
    <t>Z32634</t>
  </si>
  <si>
    <t>Z32635</t>
  </si>
  <si>
    <t>Z32636</t>
  </si>
  <si>
    <t>Z32637</t>
  </si>
  <si>
    <t>Z32638</t>
  </si>
  <si>
    <t>Z32639</t>
  </si>
  <si>
    <t>Z32640</t>
  </si>
  <si>
    <t>Z32641</t>
  </si>
  <si>
    <t>Z32642</t>
  </si>
  <si>
    <t>Z32643</t>
  </si>
  <si>
    <t>Z32644</t>
  </si>
  <si>
    <t>Z32645</t>
  </si>
  <si>
    <t>Z32646</t>
  </si>
  <si>
    <t>Z32647</t>
  </si>
  <si>
    <t>Z32648</t>
  </si>
  <si>
    <t>rs868593644</t>
  </si>
  <si>
    <t>Z32649</t>
  </si>
  <si>
    <t>Z32651</t>
  </si>
  <si>
    <t>Z32652</t>
  </si>
  <si>
    <t>Z32653</t>
  </si>
  <si>
    <t>Z32654</t>
  </si>
  <si>
    <t>Z32655</t>
  </si>
  <si>
    <t>Z32656</t>
  </si>
  <si>
    <t>Z32657</t>
  </si>
  <si>
    <t>Z32658</t>
  </si>
  <si>
    <t>Z32659</t>
  </si>
  <si>
    <t>Z32660</t>
  </si>
  <si>
    <t>Z32661</t>
  </si>
  <si>
    <t>Z32662</t>
  </si>
  <si>
    <t>Z32663</t>
  </si>
  <si>
    <t>Z32664</t>
  </si>
  <si>
    <t>Z32665</t>
  </si>
  <si>
    <t>Z32666</t>
  </si>
  <si>
    <t>Z32667</t>
  </si>
  <si>
    <t>Z32668</t>
  </si>
  <si>
    <t>Z32669</t>
  </si>
  <si>
    <t>Z32670</t>
  </si>
  <si>
    <t>Z32671</t>
  </si>
  <si>
    <t>Z32672</t>
  </si>
  <si>
    <t>Z32673</t>
  </si>
  <si>
    <t>Z32674</t>
  </si>
  <si>
    <t>Z32675</t>
  </si>
  <si>
    <t>Z32676</t>
  </si>
  <si>
    <t>Z32677</t>
  </si>
  <si>
    <t>Z32678</t>
  </si>
  <si>
    <t>Z32679</t>
  </si>
  <si>
    <t>Z32680</t>
  </si>
  <si>
    <t>Z32681</t>
  </si>
  <si>
    <t>Z32682</t>
  </si>
  <si>
    <t>Z32683</t>
  </si>
  <si>
    <t>Z32684</t>
  </si>
  <si>
    <t>Z32685</t>
  </si>
  <si>
    <t>Z32686</t>
  </si>
  <si>
    <t>Z32687</t>
  </si>
  <si>
    <t>Z32688</t>
  </si>
  <si>
    <t>Z32689</t>
  </si>
  <si>
    <t>Z32690</t>
  </si>
  <si>
    <t>Z32691</t>
  </si>
  <si>
    <t>Z32692</t>
  </si>
  <si>
    <t>Z32693</t>
  </si>
  <si>
    <t>Z32694</t>
  </si>
  <si>
    <t>Z32695</t>
  </si>
  <si>
    <t>Z32696</t>
  </si>
  <si>
    <t>Z32697</t>
  </si>
  <si>
    <t>Z32698</t>
  </si>
  <si>
    <t>Z32699</t>
  </si>
  <si>
    <t>Z32700</t>
  </si>
  <si>
    <t>Z32701</t>
  </si>
  <si>
    <t>Z32702</t>
  </si>
  <si>
    <t>Z32703</t>
  </si>
  <si>
    <t>rs962663227</t>
  </si>
  <si>
    <t>Z32704</t>
  </si>
  <si>
    <t>Z32705</t>
  </si>
  <si>
    <t>rs997194236</t>
  </si>
  <si>
    <t>Z32706</t>
  </si>
  <si>
    <t>Z32707</t>
  </si>
  <si>
    <t>rs755416248</t>
  </si>
  <si>
    <t>Z32708</t>
  </si>
  <si>
    <t>Z32709</t>
  </si>
  <si>
    <t>Z32710</t>
  </si>
  <si>
    <t>Z32711</t>
  </si>
  <si>
    <t>Z32712</t>
  </si>
  <si>
    <t>Z32713</t>
  </si>
  <si>
    <t>Z32714</t>
  </si>
  <si>
    <t>Z32715</t>
  </si>
  <si>
    <t>Z32716</t>
  </si>
  <si>
    <t>Z32717</t>
  </si>
  <si>
    <t>Z32718</t>
  </si>
  <si>
    <t>rs941741799</t>
  </si>
  <si>
    <t>Z32719</t>
  </si>
  <si>
    <t>Z32720</t>
  </si>
  <si>
    <t>Z32721</t>
  </si>
  <si>
    <t>Z32722</t>
  </si>
  <si>
    <t>Z32723</t>
  </si>
  <si>
    <t>Z32724</t>
  </si>
  <si>
    <t>Z32725</t>
  </si>
  <si>
    <t>Z32726</t>
  </si>
  <si>
    <t>Z32727</t>
  </si>
  <si>
    <t>Z32728</t>
  </si>
  <si>
    <t>Z32729</t>
  </si>
  <si>
    <t>Z32730</t>
  </si>
  <si>
    <t>Z32731</t>
  </si>
  <si>
    <t>Z32732</t>
  </si>
  <si>
    <t>Z32733</t>
  </si>
  <si>
    <t>Z32734</t>
  </si>
  <si>
    <t>Z32735</t>
  </si>
  <si>
    <t>Z32737</t>
  </si>
  <si>
    <t>Z32738</t>
  </si>
  <si>
    <t>Z32739</t>
  </si>
  <si>
    <t>Z32740</t>
  </si>
  <si>
    <t>Z32741</t>
  </si>
  <si>
    <t>Z32742</t>
  </si>
  <si>
    <t>Z32743</t>
  </si>
  <si>
    <t>Z32744</t>
  </si>
  <si>
    <t>Z32745</t>
  </si>
  <si>
    <t>Z32746</t>
  </si>
  <si>
    <t>Z32747</t>
  </si>
  <si>
    <t>Z32748</t>
  </si>
  <si>
    <t>Z32749</t>
  </si>
  <si>
    <t>Z32750</t>
  </si>
  <si>
    <t>Z32751</t>
  </si>
  <si>
    <t>Z32752</t>
  </si>
  <si>
    <t>Z32753</t>
  </si>
  <si>
    <t>Z32754</t>
  </si>
  <si>
    <t>Z32755</t>
  </si>
  <si>
    <t>Z32756</t>
  </si>
  <si>
    <t>Z32757</t>
  </si>
  <si>
    <t>rs1166563909</t>
  </si>
  <si>
    <t>Z32758</t>
  </si>
  <si>
    <t>Z32759</t>
  </si>
  <si>
    <t>Z32760</t>
  </si>
  <si>
    <t>Z32761</t>
  </si>
  <si>
    <t>Z32762</t>
  </si>
  <si>
    <t>Z32764</t>
  </si>
  <si>
    <t>Z32765</t>
  </si>
  <si>
    <t>Z32766</t>
  </si>
  <si>
    <t>Z32767</t>
  </si>
  <si>
    <t>Z32769</t>
  </si>
  <si>
    <t>Z32770</t>
  </si>
  <si>
    <t>Z32771</t>
  </si>
  <si>
    <t>Z32772</t>
  </si>
  <si>
    <t>Z32773</t>
  </si>
  <si>
    <t>Z32774</t>
  </si>
  <si>
    <t>rs1053842860</t>
  </si>
  <si>
    <t>Z32776</t>
  </si>
  <si>
    <t>Z32777</t>
  </si>
  <si>
    <t>Z32778</t>
  </si>
  <si>
    <t>Z32779</t>
  </si>
  <si>
    <t>Z32780</t>
  </si>
  <si>
    <t>Z32782</t>
  </si>
  <si>
    <t>rs936775589</t>
  </si>
  <si>
    <t>Z32783</t>
  </si>
  <si>
    <t>Z32785</t>
  </si>
  <si>
    <t>Z32786</t>
  </si>
  <si>
    <t>Z32787</t>
  </si>
  <si>
    <t>Z32788</t>
  </si>
  <si>
    <t>Z32789</t>
  </si>
  <si>
    <t>B69</t>
  </si>
  <si>
    <t>Z32790</t>
  </si>
  <si>
    <t>Z32792</t>
  </si>
  <si>
    <t>Z32793</t>
  </si>
  <si>
    <t>B70</t>
  </si>
  <si>
    <t>Z32798</t>
  </si>
  <si>
    <t>Z32799</t>
  </si>
  <si>
    <t>Z32800</t>
  </si>
  <si>
    <t>Z32801</t>
  </si>
  <si>
    <t>AM00848</t>
  </si>
  <si>
    <t>AMM009; F725</t>
  </si>
  <si>
    <t>rs373101362</t>
  </si>
  <si>
    <t>AMM009</t>
  </si>
  <si>
    <t>AM00848; F725</t>
  </si>
  <si>
    <t>rs367594306</t>
  </si>
  <si>
    <t>F725</t>
  </si>
  <si>
    <t>AM00848; AMM009</t>
  </si>
  <si>
    <t>AM00590</t>
  </si>
  <si>
    <t>Z33068</t>
  </si>
  <si>
    <t>rs370753696</t>
  </si>
  <si>
    <t>AM00592</t>
  </si>
  <si>
    <t>F1686</t>
  </si>
  <si>
    <t>rs368689140</t>
  </si>
  <si>
    <t>AM00593</t>
  </si>
  <si>
    <t>F1689</t>
  </si>
  <si>
    <t>rs372585152</t>
  </si>
  <si>
    <t>AM00594</t>
  </si>
  <si>
    <t>Z33070</t>
  </si>
  <si>
    <t>rs376752954</t>
  </si>
  <si>
    <t>AM00597</t>
  </si>
  <si>
    <t>Z33072</t>
  </si>
  <si>
    <t>rs368703303</t>
  </si>
  <si>
    <t>AM00598</t>
  </si>
  <si>
    <t>Z33073</t>
  </si>
  <si>
    <t>rs374594310</t>
  </si>
  <si>
    <t>AM0599</t>
  </si>
  <si>
    <t>Z33074</t>
  </si>
  <si>
    <t>rs372136962</t>
  </si>
  <si>
    <t>AM00600</t>
  </si>
  <si>
    <t>Z33075</t>
  </si>
  <si>
    <t>rs369493195</t>
  </si>
  <si>
    <t>AM00601</t>
  </si>
  <si>
    <t>F1716</t>
  </si>
  <si>
    <t>rs372910485</t>
  </si>
  <si>
    <t>AM00602</t>
  </si>
  <si>
    <t>Z33076</t>
  </si>
  <si>
    <t>rs375867573</t>
  </si>
  <si>
    <t>AM00603</t>
  </si>
  <si>
    <t>Z33077</t>
  </si>
  <si>
    <t>rs371275597</t>
  </si>
  <si>
    <t>AM00604</t>
  </si>
  <si>
    <t>Z33078</t>
  </si>
  <si>
    <t>rs371578499</t>
  </si>
  <si>
    <t>AM00605</t>
  </si>
  <si>
    <t>F3915</t>
  </si>
  <si>
    <t>rs375922873</t>
  </si>
  <si>
    <t>AM00606</t>
  </si>
  <si>
    <t>Z33079</t>
  </si>
  <si>
    <t>rs371090865</t>
  </si>
  <si>
    <t>AM00607</t>
  </si>
  <si>
    <t>Z33080</t>
  </si>
  <si>
    <t>rs375135249</t>
  </si>
  <si>
    <t>AM00608</t>
  </si>
  <si>
    <t>rs369097407</t>
  </si>
  <si>
    <t>AM00609</t>
  </si>
  <si>
    <t>Z33081</t>
  </si>
  <si>
    <t>rs375741032</t>
  </si>
  <si>
    <t>AM00610</t>
  </si>
  <si>
    <t>F1782</t>
  </si>
  <si>
    <t>rs375129442</t>
  </si>
  <si>
    <t>AM00611</t>
  </si>
  <si>
    <t>Z33082</t>
  </si>
  <si>
    <t>rs377662541</t>
  </si>
  <si>
    <t>AM00612</t>
  </si>
  <si>
    <t>Z33083</t>
  </si>
  <si>
    <t>rs369688022</t>
  </si>
  <si>
    <t>AM00613</t>
  </si>
  <si>
    <t>Z33084</t>
  </si>
  <si>
    <t>rs369437714</t>
  </si>
  <si>
    <t>AM00614</t>
  </si>
  <si>
    <t>Z33085</t>
  </si>
  <si>
    <t>rs377717139</t>
  </si>
  <si>
    <t>AM00617</t>
  </si>
  <si>
    <t>Z33088</t>
  </si>
  <si>
    <t>rs370081037</t>
  </si>
  <si>
    <t>AM00618</t>
  </si>
  <si>
    <t>Z33089</t>
  </si>
  <si>
    <t>rs377717628</t>
  </si>
  <si>
    <t>AM00619</t>
  </si>
  <si>
    <t>F3922</t>
  </si>
  <si>
    <t>rs372965822</t>
  </si>
  <si>
    <t>AM00620</t>
  </si>
  <si>
    <t>Z33091</t>
  </si>
  <si>
    <t>rs374525593</t>
  </si>
  <si>
    <t>AM00621</t>
  </si>
  <si>
    <t>Z33092</t>
  </si>
  <si>
    <t>rs368435935</t>
  </si>
  <si>
    <t>AM00622</t>
  </si>
  <si>
    <t>Z33093</t>
  </si>
  <si>
    <t>rs369255095</t>
  </si>
  <si>
    <t>AM00623</t>
  </si>
  <si>
    <t>Z33094</t>
  </si>
  <si>
    <t>rs367823427</t>
  </si>
  <si>
    <t>AM00624</t>
  </si>
  <si>
    <t>Z33095</t>
  </si>
  <si>
    <t>rs372543864</t>
  </si>
  <si>
    <t>AM00625</t>
  </si>
  <si>
    <t>Z33096</t>
  </si>
  <si>
    <t>rs371615108</t>
  </si>
  <si>
    <t>AM00626</t>
  </si>
  <si>
    <t>Z33097</t>
  </si>
  <si>
    <t>rs372449172</t>
  </si>
  <si>
    <t>AM00627</t>
  </si>
  <si>
    <t>Z33098</t>
  </si>
  <si>
    <t>rs367816586</t>
  </si>
  <si>
    <t>AM00628</t>
  </si>
  <si>
    <t>Z33099</t>
  </si>
  <si>
    <t>rs376668822</t>
  </si>
  <si>
    <t>AM00629</t>
  </si>
  <si>
    <t>Z33100</t>
  </si>
  <si>
    <t>rs368343726</t>
  </si>
  <si>
    <t>AM00630</t>
  </si>
  <si>
    <t>F1914</t>
  </si>
  <si>
    <t>rs375714056</t>
  </si>
  <si>
    <t>AM00633</t>
  </si>
  <si>
    <t>Z33102</t>
  </si>
  <si>
    <t>rs368933338</t>
  </si>
  <si>
    <t>AM00634</t>
  </si>
  <si>
    <t>Z33103</t>
  </si>
  <si>
    <t>rs374001120</t>
  </si>
  <si>
    <t>AM00635</t>
  </si>
  <si>
    <t>Z33104</t>
  </si>
  <si>
    <t>rs367687811</t>
  </si>
  <si>
    <t>AM00636</t>
  </si>
  <si>
    <t>Z33105</t>
  </si>
  <si>
    <t>rs375677229</t>
  </si>
  <si>
    <t>AM00637</t>
  </si>
  <si>
    <t>Z33106</t>
  </si>
  <si>
    <t>rs377019518</t>
  </si>
  <si>
    <t>AM00638</t>
  </si>
  <si>
    <t>Z33107</t>
  </si>
  <si>
    <t>rs368080508</t>
  </si>
  <si>
    <t>AM00639.2</t>
  </si>
  <si>
    <t>Z11583.2</t>
  </si>
  <si>
    <t>rs373373592</t>
  </si>
  <si>
    <t>AM00640</t>
  </si>
  <si>
    <t>Z33108</t>
  </si>
  <si>
    <t>rs373762552</t>
  </si>
  <si>
    <t>AM00641</t>
  </si>
  <si>
    <t>Z33109</t>
  </si>
  <si>
    <t>rs373582565</t>
  </si>
  <si>
    <t>AM00642</t>
  </si>
  <si>
    <t>Z33110</t>
  </si>
  <si>
    <t>rs371735065</t>
  </si>
  <si>
    <t>AM00643</t>
  </si>
  <si>
    <t>F1990</t>
  </si>
  <si>
    <t>rs367894951</t>
  </si>
  <si>
    <t>AM00644</t>
  </si>
  <si>
    <t>Z33111</t>
  </si>
  <si>
    <t>rs376572012</t>
  </si>
  <si>
    <t>AM00645</t>
  </si>
  <si>
    <t>Z33112</t>
  </si>
  <si>
    <t>rs370283849</t>
  </si>
  <si>
    <t>AM00646</t>
  </si>
  <si>
    <t>Z33113</t>
  </si>
  <si>
    <t>rs371453623</t>
  </si>
  <si>
    <t>AM00647</t>
  </si>
  <si>
    <t>F2010</t>
  </si>
  <si>
    <t>rs376014578</t>
  </si>
  <si>
    <t>AM00648</t>
  </si>
  <si>
    <t>F2022</t>
  </si>
  <si>
    <t>rs373382988</t>
  </si>
  <si>
    <t>AM00649</t>
  </si>
  <si>
    <t>Z33116</t>
  </si>
  <si>
    <t>rs375997517</t>
  </si>
  <si>
    <t>AM00650</t>
  </si>
  <si>
    <t>F2031</t>
  </si>
  <si>
    <t>rs371971452</t>
  </si>
  <si>
    <t>AM00651</t>
  </si>
  <si>
    <t>Z33118</t>
  </si>
  <si>
    <t>rs368850080</t>
  </si>
  <si>
    <t>AM00652</t>
  </si>
  <si>
    <t>Z33119</t>
  </si>
  <si>
    <t>rs372052989</t>
  </si>
  <si>
    <t>AM00653</t>
  </si>
  <si>
    <t>SK982</t>
  </si>
  <si>
    <t>rs371048738</t>
  </si>
  <si>
    <t>AM00654</t>
  </si>
  <si>
    <t>Z33120</t>
  </si>
  <si>
    <t>rs367615199</t>
  </si>
  <si>
    <t>AM00655</t>
  </si>
  <si>
    <t>F2085</t>
  </si>
  <si>
    <t>rs374850448</t>
  </si>
  <si>
    <t>AM00656</t>
  </si>
  <si>
    <t>F2098</t>
  </si>
  <si>
    <t>rs371237913</t>
  </si>
  <si>
    <t>AM00657</t>
  </si>
  <si>
    <t>Z33121</t>
  </si>
  <si>
    <t>rs373955427</t>
  </si>
  <si>
    <t>AM00658</t>
  </si>
  <si>
    <t>Z33122</t>
  </si>
  <si>
    <t>rs375902232</t>
  </si>
  <si>
    <t>AM00659</t>
  </si>
  <si>
    <t>Z33123</t>
  </si>
  <si>
    <t>rs370128887</t>
  </si>
  <si>
    <t>AM00661</t>
  </si>
  <si>
    <t>Z33125</t>
  </si>
  <si>
    <t>rs374364381</t>
  </si>
  <si>
    <t>AM00662</t>
  </si>
  <si>
    <t>F2143</t>
  </si>
  <si>
    <t>rs370242792</t>
  </si>
  <si>
    <t>AM00663</t>
  </si>
  <si>
    <t>Z33126</t>
  </si>
  <si>
    <t>rs374459417</t>
  </si>
  <si>
    <t>AM00664</t>
  </si>
  <si>
    <t>SK983</t>
  </si>
  <si>
    <t>rs376898756</t>
  </si>
  <si>
    <t>AM00665</t>
  </si>
  <si>
    <t>Z33127</t>
  </si>
  <si>
    <t>rs13305726</t>
  </si>
  <si>
    <t>AM00666</t>
  </si>
  <si>
    <t>Z33128</t>
  </si>
  <si>
    <t>rs377514597</t>
  </si>
  <si>
    <t>AM00668</t>
  </si>
  <si>
    <t>F2181</t>
  </si>
  <si>
    <t>rs373261687</t>
  </si>
  <si>
    <t>AM00669</t>
  </si>
  <si>
    <t>F2182</t>
  </si>
  <si>
    <t>rs370606821</t>
  </si>
  <si>
    <t>AM00670</t>
  </si>
  <si>
    <t>F2204</t>
  </si>
  <si>
    <t>rs368605676</t>
  </si>
  <si>
    <t>AM00671</t>
  </si>
  <si>
    <t>Z33131</t>
  </si>
  <si>
    <t>rs368804023</t>
  </si>
  <si>
    <t>AM00672</t>
  </si>
  <si>
    <t>Z33132</t>
  </si>
  <si>
    <t>rs371338282</t>
  </si>
  <si>
    <t>AM00673</t>
  </si>
  <si>
    <t>F2248</t>
  </si>
  <si>
    <t>rs369864038</t>
  </si>
  <si>
    <t>AM00674</t>
  </si>
  <si>
    <t>F2286</t>
  </si>
  <si>
    <t>rs369240606</t>
  </si>
  <si>
    <t>AM00675</t>
  </si>
  <si>
    <t>F2298</t>
  </si>
  <si>
    <t>rs376676264</t>
  </si>
  <si>
    <t>AM00676</t>
  </si>
  <si>
    <t>Z33133</t>
  </si>
  <si>
    <t>rs369155415</t>
  </si>
  <si>
    <t>AM00677</t>
  </si>
  <si>
    <t>F2333</t>
  </si>
  <si>
    <t>rs368420544</t>
  </si>
  <si>
    <t>AM00678</t>
  </si>
  <si>
    <t>F2335</t>
  </si>
  <si>
    <t>rs367553109</t>
  </si>
  <si>
    <t>AM00679</t>
  </si>
  <si>
    <t>Z33134</t>
  </si>
  <si>
    <t>rs370110891</t>
  </si>
  <si>
    <t>AM00680</t>
  </si>
  <si>
    <t>Z33135</t>
  </si>
  <si>
    <t>rs374568997</t>
  </si>
  <si>
    <t>AM00681</t>
  </si>
  <si>
    <t>F2351</t>
  </si>
  <si>
    <t>rs377035937</t>
  </si>
  <si>
    <t>AM00682</t>
  </si>
  <si>
    <t>F2364</t>
  </si>
  <si>
    <t>rs376584659</t>
  </si>
  <si>
    <t>AM00683</t>
  </si>
  <si>
    <t>Z33137</t>
  </si>
  <si>
    <t>rs371210253</t>
  </si>
  <si>
    <t>AM00684</t>
  </si>
  <si>
    <t>Z33138</t>
  </si>
  <si>
    <t>rs376134373</t>
  </si>
  <si>
    <t>AM00685</t>
  </si>
  <si>
    <t>Z33139</t>
  </si>
  <si>
    <t>rs372406985</t>
  </si>
  <si>
    <t>AM00686</t>
  </si>
  <si>
    <t>Z33140</t>
  </si>
  <si>
    <t>rs370626065</t>
  </si>
  <si>
    <t>AM00687</t>
  </si>
  <si>
    <t>Z33141</t>
  </si>
  <si>
    <t>rs376286845</t>
  </si>
  <si>
    <t>AM00688</t>
  </si>
  <si>
    <t>F2381</t>
  </si>
  <si>
    <t>rs370951010</t>
  </si>
  <si>
    <t>AM00689</t>
  </si>
  <si>
    <t>Z33142</t>
  </si>
  <si>
    <t>rs377244466</t>
  </si>
  <si>
    <t>AM00690</t>
  </si>
  <si>
    <t>Z33143</t>
  </si>
  <si>
    <t>rs375780243</t>
  </si>
  <si>
    <t>AM00692</t>
  </si>
  <si>
    <t>Z33144</t>
  </si>
  <si>
    <t>rs371283295</t>
  </si>
  <si>
    <t>AM00693</t>
  </si>
  <si>
    <t>Z33145</t>
  </si>
  <si>
    <t>rs373647891</t>
  </si>
  <si>
    <t>AM00695</t>
  </si>
  <si>
    <t>Z33146</t>
  </si>
  <si>
    <t>rs368014078</t>
  </si>
  <si>
    <t>AM00696</t>
  </si>
  <si>
    <t>Z33147</t>
  </si>
  <si>
    <t>rs371289187</t>
  </si>
  <si>
    <t>AM00697</t>
  </si>
  <si>
    <t>Z33148</t>
  </si>
  <si>
    <t>rs373299339</t>
  </si>
  <si>
    <t>AM00698</t>
  </si>
  <si>
    <t>Z33149</t>
  </si>
  <si>
    <t>rs373652912</t>
  </si>
  <si>
    <t>AM00699</t>
  </si>
  <si>
    <t>Z33150</t>
  </si>
  <si>
    <t>rs375057322</t>
  </si>
  <si>
    <t>AM00700</t>
  </si>
  <si>
    <t>Z33151</t>
  </si>
  <si>
    <t>rs374022019</t>
  </si>
  <si>
    <t>AM00701</t>
  </si>
  <si>
    <t>Z33152</t>
  </si>
  <si>
    <t>rs370184073</t>
  </si>
  <si>
    <t>AM00702</t>
  </si>
  <si>
    <t>F2476</t>
  </si>
  <si>
    <t>rs375100748</t>
  </si>
  <si>
    <t>AM00703</t>
  </si>
  <si>
    <t>Z33153</t>
  </si>
  <si>
    <t>rs374553252</t>
  </si>
  <si>
    <t>AM00704</t>
  </si>
  <si>
    <t>Z33154</t>
  </si>
  <si>
    <t>rs370100539</t>
  </si>
  <si>
    <t>AM00705</t>
  </si>
  <si>
    <t>Z33155</t>
  </si>
  <si>
    <t>rs376257812</t>
  </si>
  <si>
    <t>AM00706</t>
  </si>
  <si>
    <t>F2533</t>
  </si>
  <si>
    <t>rs372590585</t>
  </si>
  <si>
    <t>AM00707</t>
  </si>
  <si>
    <t>Z33156</t>
  </si>
  <si>
    <t>rs370094462</t>
  </si>
  <si>
    <t>AM00708</t>
  </si>
  <si>
    <t>Z33157</t>
  </si>
  <si>
    <t>rs371586534</t>
  </si>
  <si>
    <t>AM00709</t>
  </si>
  <si>
    <t>Z33158</t>
  </si>
  <si>
    <t>rs369022970</t>
  </si>
  <si>
    <t>AM00710</t>
  </si>
  <si>
    <t>Z33159</t>
  </si>
  <si>
    <t>rs376250567</t>
  </si>
  <si>
    <t>AM00711</t>
  </si>
  <si>
    <t>F2544</t>
  </si>
  <si>
    <t>rs367918480</t>
  </si>
  <si>
    <t>AM00712</t>
  </si>
  <si>
    <t>F2545</t>
  </si>
  <si>
    <t>rs377435865</t>
  </si>
  <si>
    <t>AM00713</t>
  </si>
  <si>
    <t>F3966</t>
  </si>
  <si>
    <t>rs370489642</t>
  </si>
  <si>
    <t>AM00715</t>
  </si>
  <si>
    <t>F2582</t>
  </si>
  <si>
    <t>rs371689692</t>
  </si>
  <si>
    <t>AM00716</t>
  </si>
  <si>
    <t>Z33161</t>
  </si>
  <si>
    <t>rs375591777</t>
  </si>
  <si>
    <t>AM00717</t>
  </si>
  <si>
    <t>Z33162</t>
  </si>
  <si>
    <t>rs370011124</t>
  </si>
  <si>
    <t>AM00718</t>
  </si>
  <si>
    <t>Z33163</t>
  </si>
  <si>
    <t>rs370086189</t>
  </si>
  <si>
    <t>AM00719.1</t>
  </si>
  <si>
    <t>F2610.1</t>
  </si>
  <si>
    <t>rs376410606</t>
  </si>
  <si>
    <t>AM00720</t>
  </si>
  <si>
    <t>F2611</t>
  </si>
  <si>
    <t>rs371926480</t>
  </si>
  <si>
    <t>AM00721</t>
  </si>
  <si>
    <t>Z33164</t>
  </si>
  <si>
    <t>rs372822608</t>
  </si>
  <si>
    <t>AM00722</t>
  </si>
  <si>
    <t>Z33165</t>
  </si>
  <si>
    <t>rs371935166</t>
  </si>
  <si>
    <t>AM00723</t>
  </si>
  <si>
    <t>Z33166</t>
  </si>
  <si>
    <t>rs373472777</t>
  </si>
  <si>
    <t>AM00724</t>
  </si>
  <si>
    <t>Z33167</t>
  </si>
  <si>
    <t>rs371138219</t>
  </si>
  <si>
    <t>AM00725</t>
  </si>
  <si>
    <t>F2617</t>
  </si>
  <si>
    <t>rs368917201</t>
  </si>
  <si>
    <t>AM00726</t>
  </si>
  <si>
    <t>Z33168</t>
  </si>
  <si>
    <t>rs372167197</t>
  </si>
  <si>
    <t>AM00727</t>
  </si>
  <si>
    <t>F2641</t>
  </si>
  <si>
    <t>rs371507074</t>
  </si>
  <si>
    <t>AM00731</t>
  </si>
  <si>
    <t>Z33170</t>
  </si>
  <si>
    <t>rs376401537</t>
  </si>
  <si>
    <t>AM00732</t>
  </si>
  <si>
    <t>Z33171</t>
  </si>
  <si>
    <t>rs368138023</t>
  </si>
  <si>
    <t>AM00733</t>
  </si>
  <si>
    <t>F2720</t>
  </si>
  <si>
    <t>rs373781888</t>
  </si>
  <si>
    <t>AM00735</t>
  </si>
  <si>
    <t>Z33172</t>
  </si>
  <si>
    <t>rs371111664</t>
  </si>
  <si>
    <t>AM00736</t>
  </si>
  <si>
    <t>Z33173</t>
  </si>
  <si>
    <t>rs376536117</t>
  </si>
  <si>
    <t>AM00738</t>
  </si>
  <si>
    <t>F2738</t>
  </si>
  <si>
    <t>rs372840005</t>
  </si>
  <si>
    <t>AM00739</t>
  </si>
  <si>
    <t>F2776</t>
  </si>
  <si>
    <t>rs371162792</t>
  </si>
  <si>
    <t>AM00740</t>
  </si>
  <si>
    <t>Z33174</t>
  </si>
  <si>
    <t>rs376802965</t>
  </si>
  <si>
    <t>AM00741</t>
  </si>
  <si>
    <t>F4265</t>
  </si>
  <si>
    <t>rs371320684</t>
  </si>
  <si>
    <t>AM00742</t>
  </si>
  <si>
    <t>F2832</t>
  </si>
  <si>
    <t>rs376748047</t>
  </si>
  <si>
    <t>AM00743</t>
  </si>
  <si>
    <t>F2848</t>
  </si>
  <si>
    <t>rs369109422</t>
  </si>
  <si>
    <t>AM00744</t>
  </si>
  <si>
    <t>F2873</t>
  </si>
  <si>
    <t>rs370294188</t>
  </si>
  <si>
    <t>AM00745</t>
  </si>
  <si>
    <t>Z33176</t>
  </si>
  <si>
    <t>rs372262383</t>
  </si>
  <si>
    <t>AM00747</t>
  </si>
  <si>
    <t>Z33178</t>
  </si>
  <si>
    <t>rs368446990</t>
  </si>
  <si>
    <t>AM00748</t>
  </si>
  <si>
    <t>Z33179</t>
  </si>
  <si>
    <t>rs369276375</t>
  </si>
  <si>
    <t>AM00749</t>
  </si>
  <si>
    <t>Z33180</t>
  </si>
  <si>
    <t>rs372577967</t>
  </si>
  <si>
    <t>AM00750</t>
  </si>
  <si>
    <t>F2915</t>
  </si>
  <si>
    <t>rs376604998</t>
  </si>
  <si>
    <t>AM00751</t>
  </si>
  <si>
    <t>Z33181</t>
  </si>
  <si>
    <t>rs372223911</t>
  </si>
  <si>
    <t>AM00752</t>
  </si>
  <si>
    <t>Z33182</t>
  </si>
  <si>
    <t>rs376034909</t>
  </si>
  <si>
    <t>AM00753</t>
  </si>
  <si>
    <t>Z33183</t>
  </si>
  <si>
    <t>rs372249836</t>
  </si>
  <si>
    <t>AM00754</t>
  </si>
  <si>
    <t>M538</t>
  </si>
  <si>
    <t>rs369925489</t>
  </si>
  <si>
    <t>AM00755</t>
  </si>
  <si>
    <t>Z33184</t>
  </si>
  <si>
    <t>rs374957526</t>
  </si>
  <si>
    <t>AM00756</t>
  </si>
  <si>
    <t>Z33185</t>
  </si>
  <si>
    <t>rs368287038</t>
  </si>
  <si>
    <t>AM00757</t>
  </si>
  <si>
    <t>F2946</t>
  </si>
  <si>
    <t>rs371964357</t>
  </si>
  <si>
    <t>AM00758</t>
  </si>
  <si>
    <t>Z33186</t>
  </si>
  <si>
    <t>rs374306219</t>
  </si>
  <si>
    <t>AM00759</t>
  </si>
  <si>
    <t>F2959</t>
  </si>
  <si>
    <t>rs369208749</t>
  </si>
  <si>
    <t>AM00760</t>
  </si>
  <si>
    <t>Z33187</t>
  </si>
  <si>
    <t>rs377741326</t>
  </si>
  <si>
    <t>AM00761</t>
  </si>
  <si>
    <t>Z33188</t>
  </si>
  <si>
    <t>rs368647266</t>
  </si>
  <si>
    <t>AM00762</t>
  </si>
  <si>
    <t>F3007</t>
  </si>
  <si>
    <t>rs369863080</t>
  </si>
  <si>
    <t>AM00763</t>
  </si>
  <si>
    <t>Z33189</t>
  </si>
  <si>
    <t>rs374735062</t>
  </si>
  <si>
    <t>AM00764</t>
  </si>
  <si>
    <t>Z33190</t>
  </si>
  <si>
    <t>rs367586029</t>
  </si>
  <si>
    <t>AM00765</t>
  </si>
  <si>
    <t>Z33191</t>
  </si>
  <si>
    <t>AM00766</t>
  </si>
  <si>
    <t>Z33193</t>
  </si>
  <si>
    <t>rs372169878</t>
  </si>
  <si>
    <t>AM00767</t>
  </si>
  <si>
    <t>SK984</t>
  </si>
  <si>
    <t>rs372971842</t>
  </si>
  <si>
    <t>AM00768</t>
  </si>
  <si>
    <t>F3107</t>
  </si>
  <si>
    <t>rs376648721</t>
  </si>
  <si>
    <t>AM00769</t>
  </si>
  <si>
    <t>F3114</t>
  </si>
  <si>
    <t>rs374213716</t>
  </si>
  <si>
    <t>AM00770</t>
  </si>
  <si>
    <t>F3120</t>
  </si>
  <si>
    <t>rs370496379</t>
  </si>
  <si>
    <t>AM00771</t>
  </si>
  <si>
    <t>F3137</t>
  </si>
  <si>
    <t>rs370761489</t>
  </si>
  <si>
    <t>AM00772</t>
  </si>
  <si>
    <t>Z33194</t>
  </si>
  <si>
    <t>rs370041580</t>
  </si>
  <si>
    <t>AM00773</t>
  </si>
  <si>
    <t>Z33195</t>
  </si>
  <si>
    <t>rs372650468</t>
  </si>
  <si>
    <t>AM00774</t>
  </si>
  <si>
    <t>Z33196</t>
  </si>
  <si>
    <t>rs376561654</t>
  </si>
  <si>
    <t>AM00775</t>
  </si>
  <si>
    <t>Z33197</t>
  </si>
  <si>
    <t>rs371003211</t>
  </si>
  <si>
    <t>AM00776</t>
  </si>
  <si>
    <t>Z33198</t>
  </si>
  <si>
    <t>rs371365866</t>
  </si>
  <si>
    <t>AM00777</t>
  </si>
  <si>
    <t>Z33199</t>
  </si>
  <si>
    <t>rs371857137</t>
  </si>
  <si>
    <t>AM00778</t>
  </si>
  <si>
    <t>Z33200</t>
  </si>
  <si>
    <t>rs368183496</t>
  </si>
  <si>
    <t>AM00779</t>
  </si>
  <si>
    <t>Z33201</t>
  </si>
  <si>
    <t>AM00780</t>
  </si>
  <si>
    <t>Z33202</t>
  </si>
  <si>
    <t>rs369898847</t>
  </si>
  <si>
    <t>AM00781</t>
  </si>
  <si>
    <t>Z33203</t>
  </si>
  <si>
    <t>rs368660590</t>
  </si>
  <si>
    <t>AM00782</t>
  </si>
  <si>
    <t>Z33204</t>
  </si>
  <si>
    <t>rs376326431</t>
  </si>
  <si>
    <t>AM00783</t>
  </si>
  <si>
    <t>Z33205</t>
  </si>
  <si>
    <t>rs375630087</t>
  </si>
  <si>
    <t>AM00784</t>
  </si>
  <si>
    <t>Z33206</t>
  </si>
  <si>
    <t>rs371964703</t>
  </si>
  <si>
    <t>AM00785</t>
  </si>
  <si>
    <t>Z33207</t>
  </si>
  <si>
    <t>rs372212352</t>
  </si>
  <si>
    <t>AM00786</t>
  </si>
  <si>
    <t>Z33208</t>
  </si>
  <si>
    <t>rs369601997</t>
  </si>
  <si>
    <t>AM00787</t>
  </si>
  <si>
    <t>F3219</t>
  </si>
  <si>
    <t>rs373082162</t>
  </si>
  <si>
    <t>AM00788</t>
  </si>
  <si>
    <t>Z33209</t>
  </si>
  <si>
    <t>rs369160562</t>
  </si>
  <si>
    <t>AM00789</t>
  </si>
  <si>
    <t>F3244</t>
  </si>
  <si>
    <t>rs375099629</t>
  </si>
  <si>
    <t>AM00790</t>
  </si>
  <si>
    <t>Z33210</t>
  </si>
  <si>
    <t>rs373335622</t>
  </si>
  <si>
    <t>AM00791</t>
  </si>
  <si>
    <t>Z33211</t>
  </si>
  <si>
    <t>rs370499537</t>
  </si>
  <si>
    <t>AM00792</t>
  </si>
  <si>
    <t>Z33212</t>
  </si>
  <si>
    <t>rs376323895</t>
  </si>
  <si>
    <t>AM00793</t>
  </si>
  <si>
    <t>Z33213</t>
  </si>
  <si>
    <t>rs369337449</t>
  </si>
  <si>
    <t>AM00794</t>
  </si>
  <si>
    <t>Z33214</t>
  </si>
  <si>
    <t>rs373439542</t>
  </si>
  <si>
    <t>AM00795</t>
  </si>
  <si>
    <t>Z33215</t>
  </si>
  <si>
    <t>rs377356313</t>
  </si>
  <si>
    <t>AM00796</t>
  </si>
  <si>
    <t>Z33216</t>
  </si>
  <si>
    <t>rs374670895</t>
  </si>
  <si>
    <t>AM00797</t>
  </si>
  <si>
    <t>Z33217</t>
  </si>
  <si>
    <t>rs372654379</t>
  </si>
  <si>
    <t>AM00798</t>
  </si>
  <si>
    <t>Z33218</t>
  </si>
  <si>
    <t>rs373227583</t>
  </si>
  <si>
    <t>AM00799</t>
  </si>
  <si>
    <t>Z33219</t>
  </si>
  <si>
    <t>rs371133898</t>
  </si>
  <si>
    <t>AM00800</t>
  </si>
  <si>
    <t>Z33220</t>
  </si>
  <si>
    <t>rs368889127</t>
  </si>
  <si>
    <t>AM00801</t>
  </si>
  <si>
    <t>Z33221</t>
  </si>
  <si>
    <t>rs368934537</t>
  </si>
  <si>
    <t>AM00802</t>
  </si>
  <si>
    <t>Z33222</t>
  </si>
  <si>
    <t>rs373409126</t>
  </si>
  <si>
    <t>AM00803</t>
  </si>
  <si>
    <t>Z33223</t>
  </si>
  <si>
    <t>rs376041657</t>
  </si>
  <si>
    <t>AM00804</t>
  </si>
  <si>
    <t>Z33224</t>
  </si>
  <si>
    <t>rs373516055</t>
  </si>
  <si>
    <t>AM00805</t>
  </si>
  <si>
    <t>Z33225</t>
  </si>
  <si>
    <t>rs368329863</t>
  </si>
  <si>
    <t>AM00807</t>
  </si>
  <si>
    <t>Z33227</t>
  </si>
  <si>
    <t>rs375114111</t>
  </si>
  <si>
    <t>AM00808</t>
  </si>
  <si>
    <t>Z33228</t>
  </si>
  <si>
    <t>rs373232754</t>
  </si>
  <si>
    <t>AM00809</t>
  </si>
  <si>
    <t>Z33229</t>
  </si>
  <si>
    <t>rs369269763</t>
  </si>
  <si>
    <t>AM00811</t>
  </si>
  <si>
    <t>Z33230</t>
  </si>
  <si>
    <t>rs374435468</t>
  </si>
  <si>
    <t>AM00812</t>
  </si>
  <si>
    <t>Z33231</t>
  </si>
  <si>
    <t>rs375045788</t>
  </si>
  <si>
    <t>AM00813</t>
  </si>
  <si>
    <t>F3351</t>
  </si>
  <si>
    <t>rs376112013</t>
  </si>
  <si>
    <t>AM00815</t>
  </si>
  <si>
    <t>Z33232</t>
  </si>
  <si>
    <t>rs377378695</t>
  </si>
  <si>
    <t>AM00816</t>
  </si>
  <si>
    <t>Z33233</t>
  </si>
  <si>
    <t>rs370757014</t>
  </si>
  <si>
    <t>AM00817</t>
  </si>
  <si>
    <t>Z33234</t>
  </si>
  <si>
    <t>rs376948606</t>
  </si>
  <si>
    <t>AM00818</t>
  </si>
  <si>
    <t>F4019</t>
  </si>
  <si>
    <t>rs375995057</t>
  </si>
  <si>
    <t>AM00819</t>
  </si>
  <si>
    <t>Z33235</t>
  </si>
  <si>
    <t>rs371643279</t>
  </si>
  <si>
    <t>AM00820</t>
  </si>
  <si>
    <t>Z33236</t>
  </si>
  <si>
    <t>rs376975699</t>
  </si>
  <si>
    <t>AM00821.2</t>
  </si>
  <si>
    <t>F3378.2</t>
  </si>
  <si>
    <t>rs373177658</t>
  </si>
  <si>
    <t>AM00822</t>
  </si>
  <si>
    <t>F3381</t>
  </si>
  <si>
    <t>rs371188815</t>
  </si>
  <si>
    <t>AM00823</t>
  </si>
  <si>
    <t>F4020</t>
  </si>
  <si>
    <t>rs370457916</t>
  </si>
  <si>
    <t>AM00825</t>
  </si>
  <si>
    <t>Z33238</t>
  </si>
  <si>
    <t>rs368476160</t>
  </si>
  <si>
    <t>AM00826</t>
  </si>
  <si>
    <t>Z33239</t>
  </si>
  <si>
    <t>rs373231247</t>
  </si>
  <si>
    <t>AM00827</t>
  </si>
  <si>
    <t>Z33240</t>
  </si>
  <si>
    <t>rs376282316</t>
  </si>
  <si>
    <t>AM00828</t>
  </si>
  <si>
    <t>Z33241</t>
  </si>
  <si>
    <t>rs375093604</t>
  </si>
  <si>
    <t>AM00829</t>
  </si>
  <si>
    <t>Z33242</t>
  </si>
  <si>
    <t>rs377736193</t>
  </si>
  <si>
    <t>AM00830</t>
  </si>
  <si>
    <t>Z33243</t>
  </si>
  <si>
    <t>rs368717725</t>
  </si>
  <si>
    <t>AM00831</t>
  </si>
  <si>
    <t>Z33244</t>
  </si>
  <si>
    <t>rs374951521</t>
  </si>
  <si>
    <t>AM00832</t>
  </si>
  <si>
    <t>Z33245</t>
  </si>
  <si>
    <t>rs373640996</t>
  </si>
  <si>
    <t>AM00835</t>
  </si>
  <si>
    <t>Z33247</t>
  </si>
  <si>
    <t>rs372395948</t>
  </si>
  <si>
    <t>AM00836</t>
  </si>
  <si>
    <t>Z33248</t>
  </si>
  <si>
    <t>rs369070798</t>
  </si>
  <si>
    <t>AM00837</t>
  </si>
  <si>
    <t>Z33249</t>
  </si>
  <si>
    <t>rs373700196</t>
  </si>
  <si>
    <t>AM00838</t>
  </si>
  <si>
    <t>Z33250</t>
  </si>
  <si>
    <t>rs376446902</t>
  </si>
  <si>
    <t>AM00839</t>
  </si>
  <si>
    <t>Z33251</t>
  </si>
  <si>
    <t>rs375278398</t>
  </si>
  <si>
    <t>AM00840</t>
  </si>
  <si>
    <t>AMM001; Z33252</t>
  </si>
  <si>
    <t>rs372962937</t>
  </si>
  <si>
    <t>AMM001</t>
  </si>
  <si>
    <t>AM00840; Z33252</t>
  </si>
  <si>
    <t>Z33252</t>
  </si>
  <si>
    <t>AM00840; AMM001</t>
  </si>
  <si>
    <t>AM00841</t>
  </si>
  <si>
    <t>AMM002; Z33253</t>
  </si>
  <si>
    <t>rs374970480</t>
  </si>
  <si>
    <t>AMM002</t>
  </si>
  <si>
    <t>AM00841; Z33253</t>
  </si>
  <si>
    <t>Z33253</t>
  </si>
  <si>
    <t>AM00841; AMM002</t>
  </si>
  <si>
    <t>AM00842</t>
  </si>
  <si>
    <t>AMM003; Z33254</t>
  </si>
  <si>
    <t>rs372298208</t>
  </si>
  <si>
    <t>AMM003</t>
  </si>
  <si>
    <t>AM00842; Z33254</t>
  </si>
  <si>
    <t>Z33254</t>
  </si>
  <si>
    <t>AM00842; AMM003</t>
  </si>
  <si>
    <t>AM00843</t>
  </si>
  <si>
    <t>AMM004; Z33255</t>
  </si>
  <si>
    <t>rs374987914</t>
  </si>
  <si>
    <t>AMM004</t>
  </si>
  <si>
    <t>AM00843; Z33255</t>
  </si>
  <si>
    <t>Z33255</t>
  </si>
  <si>
    <t>AM00843; AMM004</t>
  </si>
  <si>
    <t>AM00844</t>
  </si>
  <si>
    <t>AMM005; Z33256</t>
  </si>
  <si>
    <t>rs369481124</t>
  </si>
  <si>
    <t>AMM005</t>
  </si>
  <si>
    <t>AM00844; Z33256</t>
  </si>
  <si>
    <t>Z33256</t>
  </si>
  <si>
    <t>AM00844; AMM005</t>
  </si>
  <si>
    <t>AM00845</t>
  </si>
  <si>
    <t>AMM006; Z33257</t>
  </si>
  <si>
    <t>rs377123401</t>
  </si>
  <si>
    <t>AMM006</t>
  </si>
  <si>
    <t>AM00845; Z33257</t>
  </si>
  <si>
    <t>Z33257</t>
  </si>
  <si>
    <t>AM00845; AMM006</t>
  </si>
  <si>
    <t>AM00849</t>
  </si>
  <si>
    <t>AMM010; Z33005</t>
  </si>
  <si>
    <t>AMM010</t>
  </si>
  <si>
    <t>AM00849; Z33005</t>
  </si>
  <si>
    <t>Z33005</t>
  </si>
  <si>
    <t>AM00849; AMM010</t>
  </si>
  <si>
    <t>AM00850</t>
  </si>
  <si>
    <t>AMM011; F736</t>
  </si>
  <si>
    <t>rs373430161</t>
  </si>
  <si>
    <t>AMM011</t>
  </si>
  <si>
    <t>AM00850; F736</t>
  </si>
  <si>
    <t>F736</t>
  </si>
  <si>
    <t>AM00850; AMM011</t>
  </si>
  <si>
    <t>AM00851</t>
  </si>
  <si>
    <t>AMM012; Z33259</t>
  </si>
  <si>
    <t>rs371480296</t>
  </si>
  <si>
    <t>AMM012</t>
  </si>
  <si>
    <t>AM00851; Z33259</t>
  </si>
  <si>
    <t>Z33259</t>
  </si>
  <si>
    <t>AM00851; AMM012</t>
  </si>
  <si>
    <t>AM00852</t>
  </si>
  <si>
    <t>AMM013</t>
  </si>
  <si>
    <t>rs376556578</t>
  </si>
  <si>
    <t>AM00853</t>
  </si>
  <si>
    <t>AMM014; Z33260</t>
  </si>
  <si>
    <t>rs375876556</t>
  </si>
  <si>
    <t>AMM014</t>
  </si>
  <si>
    <t>AM00853; Z33260</t>
  </si>
  <si>
    <t>Z33260</t>
  </si>
  <si>
    <t>AM00853; AMM014</t>
  </si>
  <si>
    <t>AM00855</t>
  </si>
  <si>
    <t>AMM016; Z33262</t>
  </si>
  <si>
    <t>rs367892715</t>
  </si>
  <si>
    <t>AMM016</t>
  </si>
  <si>
    <t>AM00855; Z33262</t>
  </si>
  <si>
    <t>Z33262</t>
  </si>
  <si>
    <t>AM00855; AMM016</t>
  </si>
  <si>
    <t>AM00857</t>
  </si>
  <si>
    <t>AMM018; Z33264</t>
  </si>
  <si>
    <t>rs371484119</t>
  </si>
  <si>
    <t>AMM018</t>
  </si>
  <si>
    <t>AM00857; Z33264</t>
  </si>
  <si>
    <t>Z33264</t>
  </si>
  <si>
    <t>AM00857; AMM018</t>
  </si>
  <si>
    <t>AM00859</t>
  </si>
  <si>
    <t>AMM020; Z33268</t>
  </si>
  <si>
    <t>rs370084238</t>
  </si>
  <si>
    <t>AMM020</t>
  </si>
  <si>
    <t>AM00859; Z33268</t>
  </si>
  <si>
    <t>Z33268</t>
  </si>
  <si>
    <t>AM00859; AMM020</t>
  </si>
  <si>
    <t>AM00860</t>
  </si>
  <si>
    <t>AMM021; Z33006</t>
  </si>
  <si>
    <t>rs372759855</t>
  </si>
  <si>
    <t>AMM021</t>
  </si>
  <si>
    <t>AM00860; Z33006</t>
  </si>
  <si>
    <t>Z33006</t>
  </si>
  <si>
    <t>AM00860; AMM021</t>
  </si>
  <si>
    <t>AM00861</t>
  </si>
  <si>
    <t>AMM022; Z33007</t>
  </si>
  <si>
    <t>rs370068734</t>
  </si>
  <si>
    <t>AMM022</t>
  </si>
  <si>
    <t>AM00861; Z33007</t>
  </si>
  <si>
    <t>Z33007</t>
  </si>
  <si>
    <t>AM00861; AMM022</t>
  </si>
  <si>
    <t>AM00862</t>
  </si>
  <si>
    <t>AMM023; Z33008</t>
  </si>
  <si>
    <t>rs376356043</t>
  </si>
  <si>
    <t>AMM023</t>
  </si>
  <si>
    <t>AM00862; Z33008</t>
  </si>
  <si>
    <t>Z33008</t>
  </si>
  <si>
    <t>AM00862; AMM023</t>
  </si>
  <si>
    <t>AM00863</t>
  </si>
  <si>
    <t>AMM024; F796</t>
  </si>
  <si>
    <t>rs374338739</t>
  </si>
  <si>
    <t>AMM024</t>
  </si>
  <si>
    <t>AM00863; F796</t>
  </si>
  <si>
    <t>F796</t>
  </si>
  <si>
    <t>AM00863; AMM024</t>
  </si>
  <si>
    <t>AM00864</t>
  </si>
  <si>
    <t>AMM025; F808</t>
  </si>
  <si>
    <t>rs368161252</t>
  </si>
  <si>
    <t>AMM025</t>
  </si>
  <si>
    <t>AM00864; F808</t>
  </si>
  <si>
    <t>rs370650617</t>
  </si>
  <si>
    <t>F808</t>
  </si>
  <si>
    <t>AM00864; AMM025</t>
  </si>
  <si>
    <t>AM00866</t>
  </si>
  <si>
    <t>AMM027; F821</t>
  </si>
  <si>
    <t>AMM027</t>
  </si>
  <si>
    <t>AM00866; F821</t>
  </si>
  <si>
    <t>F821</t>
  </si>
  <si>
    <t>AM00866; AMM027</t>
  </si>
  <si>
    <t>AM00867</t>
  </si>
  <si>
    <t>AMM028; Z33010</t>
  </si>
  <si>
    <t>rs372550250</t>
  </si>
  <si>
    <t>AMM028</t>
  </si>
  <si>
    <t>AM00867; Z33010</t>
  </si>
  <si>
    <t>Z33010</t>
  </si>
  <si>
    <t>AM00867; AMM028</t>
  </si>
  <si>
    <t>AM00868</t>
  </si>
  <si>
    <t>AMM029; F870</t>
  </si>
  <si>
    <t>rs377026718</t>
  </si>
  <si>
    <t>AMM029</t>
  </si>
  <si>
    <t>AM00868; F870</t>
  </si>
  <si>
    <t>rs370035699</t>
  </si>
  <si>
    <t>F870</t>
  </si>
  <si>
    <t>AM00868; AMM029</t>
  </si>
  <si>
    <t>AM00869</t>
  </si>
  <si>
    <t>AMM030; F873</t>
  </si>
  <si>
    <t>AMM030</t>
  </si>
  <si>
    <t>AM00869; F873</t>
  </si>
  <si>
    <t>F873</t>
  </si>
  <si>
    <t>AM00869; AMM030</t>
  </si>
  <si>
    <t>AM00870</t>
  </si>
  <si>
    <t>AMM031; F4067</t>
  </si>
  <si>
    <t>rs373247856</t>
  </si>
  <si>
    <t>AMM031</t>
  </si>
  <si>
    <t>AM00870; F4067</t>
  </si>
  <si>
    <t>F4067</t>
  </si>
  <si>
    <t>AM00870; AMM031</t>
  </si>
  <si>
    <t>AM00872</t>
  </si>
  <si>
    <t>AMM033; F884</t>
  </si>
  <si>
    <t>rs369188650</t>
  </si>
  <si>
    <t>AMM033</t>
  </si>
  <si>
    <t>AM00872; F884</t>
  </si>
  <si>
    <t>F884</t>
  </si>
  <si>
    <t>AM00872; AMM033</t>
  </si>
  <si>
    <t>AM00873</t>
  </si>
  <si>
    <t>AMM034; Z33011</t>
  </si>
  <si>
    <t>rs375817925</t>
  </si>
  <si>
    <t>AMM034</t>
  </si>
  <si>
    <t>AM00873; Z33011</t>
  </si>
  <si>
    <t>Z33011</t>
  </si>
  <si>
    <t>AM00873; AMM034</t>
  </si>
  <si>
    <t>AM00874</t>
  </si>
  <si>
    <t>AMM035; Z33012</t>
  </si>
  <si>
    <t>rs372163001</t>
  </si>
  <si>
    <t>AMM035</t>
  </si>
  <si>
    <t>AM00874; Z33012</t>
  </si>
  <si>
    <t>Z33012</t>
  </si>
  <si>
    <t>AM00874; AMM035</t>
  </si>
  <si>
    <t>AM00876</t>
  </si>
  <si>
    <t>AMM037; Z33013</t>
  </si>
  <si>
    <t>rs374710804</t>
  </si>
  <si>
    <t>AMM037</t>
  </si>
  <si>
    <t>AM00876; Z33013</t>
  </si>
  <si>
    <t>Z33013</t>
  </si>
  <si>
    <t>AM00876; AMM037</t>
  </si>
  <si>
    <t>AM00877</t>
  </si>
  <si>
    <t>AMM038; Z33014</t>
  </si>
  <si>
    <t>rs369567294</t>
  </si>
  <si>
    <t>AMM038</t>
  </si>
  <si>
    <t>AM00877; Z33014</t>
  </si>
  <si>
    <t>Z33014</t>
  </si>
  <si>
    <t>AM00877; AMM038</t>
  </si>
  <si>
    <t>AM00878</t>
  </si>
  <si>
    <t>AMM039; Z33015</t>
  </si>
  <si>
    <t>rs373219546</t>
  </si>
  <si>
    <t>AMM039</t>
  </si>
  <si>
    <t>AM00878; Z33015</t>
  </si>
  <si>
    <t>Z33015</t>
  </si>
  <si>
    <t>AM00878; AMM039</t>
  </si>
  <si>
    <t>AM00879</t>
  </si>
  <si>
    <t>AMM040; Z33016</t>
  </si>
  <si>
    <t>AMM040</t>
  </si>
  <si>
    <t>AM00879; Z33016</t>
  </si>
  <si>
    <t>Z33016</t>
  </si>
  <si>
    <t>AM00879; AMM040</t>
  </si>
  <si>
    <t>AM00880</t>
  </si>
  <si>
    <t>AMM041; Z33017</t>
  </si>
  <si>
    <t>rs371341435</t>
  </si>
  <si>
    <t>AMM041</t>
  </si>
  <si>
    <t>AM00880; Z33017</t>
  </si>
  <si>
    <t>Z33017</t>
  </si>
  <si>
    <t>AM00880; AMM041</t>
  </si>
  <si>
    <t>F973</t>
  </si>
  <si>
    <t>rs369439788</t>
  </si>
  <si>
    <t>F988</t>
  </si>
  <si>
    <t>rs369628578</t>
  </si>
  <si>
    <t>F1033</t>
  </si>
  <si>
    <t>rs370059054</t>
  </si>
  <si>
    <t>F1109</t>
  </si>
  <si>
    <t>rs368282783</t>
  </si>
  <si>
    <t>F1220</t>
  </si>
  <si>
    <t>rs375711786</t>
  </si>
  <si>
    <t>F1259</t>
  </si>
  <si>
    <t>rs374733478</t>
  </si>
  <si>
    <t>F1331</t>
  </si>
  <si>
    <t>rs372983935</t>
  </si>
  <si>
    <t>F2642.2</t>
  </si>
  <si>
    <t>S2169.2</t>
  </si>
  <si>
    <t>rs376636841</t>
  </si>
  <si>
    <t>F3859</t>
  </si>
  <si>
    <t>rs372697812</t>
  </si>
  <si>
    <t>F3860</t>
  </si>
  <si>
    <t>rs370071059</t>
  </si>
  <si>
    <t>F3863</t>
  </si>
  <si>
    <t>rs377232891</t>
  </si>
  <si>
    <t>F3882</t>
  </si>
  <si>
    <t>rs372960769</t>
  </si>
  <si>
    <t>F4111</t>
  </si>
  <si>
    <t>rs368930829</t>
  </si>
  <si>
    <t>F4116</t>
  </si>
  <si>
    <t>rs367831919</t>
  </si>
  <si>
    <t>Z33018</t>
  </si>
  <si>
    <t>rs375915433</t>
  </si>
  <si>
    <t>Z33019</t>
  </si>
  <si>
    <t>rs376276887</t>
  </si>
  <si>
    <t>Z33020</t>
  </si>
  <si>
    <t>rs372958741</t>
  </si>
  <si>
    <t>Z33021</t>
  </si>
  <si>
    <t>rs376582681</t>
  </si>
  <si>
    <t>Z33022</t>
  </si>
  <si>
    <t>rs368156868</t>
  </si>
  <si>
    <t>Z33023</t>
  </si>
  <si>
    <t>rs367952606</t>
  </si>
  <si>
    <t>Z33024</t>
  </si>
  <si>
    <t>rs371324868</t>
  </si>
  <si>
    <t>Z33025</t>
  </si>
  <si>
    <t>rs376833987</t>
  </si>
  <si>
    <t>Z33026</t>
  </si>
  <si>
    <t>rs372935846</t>
  </si>
  <si>
    <t>Z33027</t>
  </si>
  <si>
    <t>rs376874562</t>
  </si>
  <si>
    <t>Z33028</t>
  </si>
  <si>
    <t>rs370572605</t>
  </si>
  <si>
    <t>Z33029</t>
  </si>
  <si>
    <t>rs370325162</t>
  </si>
  <si>
    <t>Z33031</t>
  </si>
  <si>
    <t>rs369418178</t>
  </si>
  <si>
    <t>Z33032</t>
  </si>
  <si>
    <t>rs369064587</t>
  </si>
  <si>
    <t>Z33033</t>
  </si>
  <si>
    <t>rs371575525</t>
  </si>
  <si>
    <t>Z33034</t>
  </si>
  <si>
    <t>rs371084375</t>
  </si>
  <si>
    <t>Z33035</t>
  </si>
  <si>
    <t>rs376675632</t>
  </si>
  <si>
    <t>Z33036</t>
  </si>
  <si>
    <t>rs373045454</t>
  </si>
  <si>
    <t>Z33037</t>
  </si>
  <si>
    <t>rs375788694</t>
  </si>
  <si>
    <t>Z33038</t>
  </si>
  <si>
    <t>rs375890215</t>
  </si>
  <si>
    <t>Z33039</t>
  </si>
  <si>
    <t>rs376937797</t>
  </si>
  <si>
    <t>Z33040</t>
  </si>
  <si>
    <t>rs375721002</t>
  </si>
  <si>
    <t>Z33041</t>
  </si>
  <si>
    <t>rs368010451</t>
  </si>
  <si>
    <t>Z33042</t>
  </si>
  <si>
    <t>rs371952117</t>
  </si>
  <si>
    <t>Z33043</t>
  </si>
  <si>
    <t>rs370146204</t>
  </si>
  <si>
    <t>Z33044</t>
  </si>
  <si>
    <t>rs373967426</t>
  </si>
  <si>
    <t>Z33045</t>
  </si>
  <si>
    <t>rs372393821</t>
  </si>
  <si>
    <t>Z33046</t>
  </si>
  <si>
    <t>rs372823927</t>
  </si>
  <si>
    <t>Z33047</t>
  </si>
  <si>
    <t>rs371759939</t>
  </si>
  <si>
    <t>Z33048</t>
  </si>
  <si>
    <t>Z33049</t>
  </si>
  <si>
    <t>rs370360921</t>
  </si>
  <si>
    <t>Z33050</t>
  </si>
  <si>
    <t>rs368566919</t>
  </si>
  <si>
    <t>Z33051</t>
  </si>
  <si>
    <t>rs368932673</t>
  </si>
  <si>
    <t>Z33052</t>
  </si>
  <si>
    <t>rs374401557</t>
  </si>
  <si>
    <t>Z33053</t>
  </si>
  <si>
    <t>rs369751028</t>
  </si>
  <si>
    <t>Z33054</t>
  </si>
  <si>
    <t>rs370186174</t>
  </si>
  <si>
    <t>Z33055</t>
  </si>
  <si>
    <t>rs370831210</t>
  </si>
  <si>
    <t>Z33058</t>
  </si>
  <si>
    <t>rs368577501</t>
  </si>
  <si>
    <t>Z33059</t>
  </si>
  <si>
    <t>rs377129172</t>
  </si>
  <si>
    <t>Z33061</t>
  </si>
  <si>
    <t>rs373743480</t>
  </si>
  <si>
    <t>Z33062</t>
  </si>
  <si>
    <t>rs377159869</t>
  </si>
  <si>
    <t>Z33063</t>
  </si>
  <si>
    <t>rs376351421</t>
  </si>
  <si>
    <t>Z33064</t>
  </si>
  <si>
    <t>rs367700933</t>
  </si>
  <si>
    <t>Z33114</t>
  </si>
  <si>
    <t>Z33115</t>
  </si>
  <si>
    <t>rs372551379</t>
  </si>
  <si>
    <t>Z33136</t>
  </si>
  <si>
    <t>rs368043230</t>
  </si>
  <si>
    <t>Z33192</t>
  </si>
  <si>
    <t>rs958424275</t>
  </si>
  <si>
    <t>Z33265</t>
  </si>
  <si>
    <t>rs377380290</t>
  </si>
  <si>
    <t>B71</t>
  </si>
  <si>
    <t>Z32806</t>
  </si>
  <si>
    <t>Z32807</t>
  </si>
  <si>
    <t>Z32808</t>
  </si>
  <si>
    <t>Z32810</t>
  </si>
  <si>
    <t>Z32812</t>
  </si>
  <si>
    <t>Z32813</t>
  </si>
  <si>
    <t>Z32814</t>
  </si>
  <si>
    <t>Z32815</t>
  </si>
  <si>
    <t>Z32816</t>
  </si>
  <si>
    <t>Z32817</t>
  </si>
  <si>
    <t>Z32818</t>
  </si>
  <si>
    <t>Z32819</t>
  </si>
  <si>
    <t>Z32820</t>
  </si>
  <si>
    <t>Z32821</t>
  </si>
  <si>
    <t>Z32823</t>
  </si>
  <si>
    <t>Z32824</t>
  </si>
  <si>
    <t>Z32825</t>
  </si>
  <si>
    <t>Z32826</t>
  </si>
  <si>
    <t>Z32827</t>
  </si>
  <si>
    <t>Z32828</t>
  </si>
  <si>
    <t>Z32829</t>
  </si>
  <si>
    <t>Z32830</t>
  </si>
  <si>
    <t>Z32831</t>
  </si>
  <si>
    <t>rs867402622</t>
  </si>
  <si>
    <t>B467</t>
  </si>
  <si>
    <t>rs370459934</t>
  </si>
  <si>
    <t>Z32216</t>
  </si>
  <si>
    <t>rs372908559</t>
  </si>
  <si>
    <t>Z32217</t>
  </si>
  <si>
    <t>rs376009830</t>
  </si>
  <si>
    <t>Z32218</t>
  </si>
  <si>
    <t>rs370326187</t>
  </si>
  <si>
    <t>Z32219</t>
  </si>
  <si>
    <t>rs370135717</t>
  </si>
  <si>
    <t>B468</t>
  </si>
  <si>
    <t>Z32185</t>
  </si>
  <si>
    <t>Z32187</t>
  </si>
  <si>
    <t>Z32188</t>
  </si>
  <si>
    <t>B72</t>
  </si>
  <si>
    <t>Z32802</t>
  </si>
  <si>
    <t>Z32803</t>
  </si>
  <si>
    <t>Z32804</t>
  </si>
  <si>
    <t>Z32805</t>
  </si>
  <si>
    <t>Z16582</t>
  </si>
  <si>
    <t>Z16583</t>
  </si>
  <si>
    <t>Z16584</t>
  </si>
  <si>
    <t>Z16585</t>
  </si>
  <si>
    <t>Z16586</t>
  </si>
  <si>
    <t>rs894400275</t>
  </si>
  <si>
    <t>Z16587</t>
  </si>
  <si>
    <t>Z16588</t>
  </si>
  <si>
    <t>Z16589</t>
  </si>
  <si>
    <t>Z16590</t>
  </si>
  <si>
    <t>Z16591</t>
  </si>
  <si>
    <t>Z16592</t>
  </si>
  <si>
    <t>Z16593</t>
  </si>
  <si>
    <t>Z16594</t>
  </si>
  <si>
    <t>Z16595</t>
  </si>
  <si>
    <t>Z16596</t>
  </si>
  <si>
    <t>Z16597</t>
  </si>
  <si>
    <t>Z16598</t>
  </si>
  <si>
    <t>Z16599</t>
  </si>
  <si>
    <t>Z16600</t>
  </si>
  <si>
    <t>Z16602</t>
  </si>
  <si>
    <t>Z16604</t>
  </si>
  <si>
    <t>Z16605</t>
  </si>
  <si>
    <t>Z16606</t>
  </si>
  <si>
    <t>Z16607</t>
  </si>
  <si>
    <t>Z16608</t>
  </si>
  <si>
    <t>rs1043463191</t>
  </si>
  <si>
    <t>Z16609</t>
  </si>
  <si>
    <t>Z16610</t>
  </si>
  <si>
    <t>Z16611</t>
  </si>
  <si>
    <t>Z16612</t>
  </si>
  <si>
    <t>Z16613</t>
  </si>
  <si>
    <t>Z16614</t>
  </si>
  <si>
    <t>Z16615</t>
  </si>
  <si>
    <t>Z16616</t>
  </si>
  <si>
    <t>Z16617</t>
  </si>
  <si>
    <t>Z16618</t>
  </si>
  <si>
    <t>Z16619</t>
  </si>
  <si>
    <t>Z16620</t>
  </si>
  <si>
    <t>Z16621</t>
  </si>
  <si>
    <t>Z16622</t>
  </si>
  <si>
    <t>Z16623</t>
  </si>
  <si>
    <t>Z16624</t>
  </si>
  <si>
    <t>Z16625</t>
  </si>
  <si>
    <t>Z16626</t>
  </si>
  <si>
    <t>Z16627</t>
  </si>
  <si>
    <t>Z16628</t>
  </si>
  <si>
    <t>Z16629</t>
  </si>
  <si>
    <t>Z16630</t>
  </si>
  <si>
    <t>Z16631</t>
  </si>
  <si>
    <t>Z16634</t>
  </si>
  <si>
    <t>Z16635</t>
  </si>
  <si>
    <t>Z16636</t>
  </si>
  <si>
    <t>rs747099147</t>
  </si>
  <si>
    <t>Z16637</t>
  </si>
  <si>
    <t>Z16638</t>
  </si>
  <si>
    <t>Z16639</t>
  </si>
  <si>
    <t>Z16640</t>
  </si>
  <si>
    <t>Z16641</t>
  </si>
  <si>
    <t>Z16642</t>
  </si>
  <si>
    <t>Z16643</t>
  </si>
  <si>
    <t>Z16647</t>
  </si>
  <si>
    <t>Z16648</t>
  </si>
  <si>
    <t>Z16649</t>
  </si>
  <si>
    <t>Z16650</t>
  </si>
  <si>
    <t>Z16651</t>
  </si>
  <si>
    <t>Z16652</t>
  </si>
  <si>
    <t>Z16653</t>
  </si>
  <si>
    <t>Z31783</t>
  </si>
  <si>
    <t>Z31784</t>
  </si>
  <si>
    <t>Z31785</t>
  </si>
  <si>
    <t>Z31786</t>
  </si>
  <si>
    <t>Z31787</t>
  </si>
  <si>
    <t>Z31788</t>
  </si>
  <si>
    <t>Z31789</t>
  </si>
  <si>
    <t>Z31790</t>
  </si>
  <si>
    <t>Z31791</t>
  </si>
  <si>
    <t>Z31792</t>
  </si>
  <si>
    <t>B68</t>
  </si>
  <si>
    <t>Z32794</t>
  </si>
  <si>
    <t>Z32795</t>
  </si>
  <si>
    <t>Z32796</t>
  </si>
  <si>
    <t>Z32797</t>
  </si>
  <si>
    <t>B477</t>
  </si>
  <si>
    <t>Z31885</t>
  </si>
  <si>
    <t>rs372241804</t>
  </si>
  <si>
    <t>FGC10375.2</t>
  </si>
  <si>
    <t>rs377720759</t>
  </si>
  <si>
    <t>PH255</t>
  </si>
  <si>
    <t>rs375139516</t>
  </si>
  <si>
    <t>PH1321</t>
  </si>
  <si>
    <t>rs370921272</t>
  </si>
  <si>
    <t>PH1421</t>
  </si>
  <si>
    <t>rs369065547</t>
  </si>
  <si>
    <t>PH3092</t>
  </si>
  <si>
    <t>rs370146343</t>
  </si>
  <si>
    <t>PH3244</t>
  </si>
  <si>
    <t>rs373736946</t>
  </si>
  <si>
    <t>PH3409</t>
  </si>
  <si>
    <t>rs371768953</t>
  </si>
  <si>
    <t>PH4087</t>
  </si>
  <si>
    <t>rs367709458</t>
  </si>
  <si>
    <t>PH4346</t>
  </si>
  <si>
    <t>rs375525906</t>
  </si>
  <si>
    <t>PH5328</t>
  </si>
  <si>
    <t>rs369440811</t>
  </si>
  <si>
    <t>PH5401</t>
  </si>
  <si>
    <t>Z31883</t>
  </si>
  <si>
    <t>rs372901391</t>
  </si>
  <si>
    <t>SK1010</t>
  </si>
  <si>
    <t>rs370600351</t>
  </si>
  <si>
    <t>SK1013</t>
  </si>
  <si>
    <t>rs368430982</t>
  </si>
  <si>
    <t>Z31877</t>
  </si>
  <si>
    <t>rs369212690</t>
  </si>
  <si>
    <t>Z31878</t>
  </si>
  <si>
    <t>rs376561665</t>
  </si>
  <si>
    <t>Z31879</t>
  </si>
  <si>
    <t>rs376910882</t>
  </si>
  <si>
    <t>Z31880</t>
  </si>
  <si>
    <t>rs371707674</t>
  </si>
  <si>
    <t>Z31881</t>
  </si>
  <si>
    <t>rs372725256</t>
  </si>
  <si>
    <t>Z31882</t>
  </si>
  <si>
    <t>rs377054119</t>
  </si>
  <si>
    <t>Z31884</t>
  </si>
  <si>
    <t>rs373682974</t>
  </si>
  <si>
    <t>Z31886</t>
  </si>
  <si>
    <t>rs370756621</t>
  </si>
  <si>
    <t>Z31888</t>
  </si>
  <si>
    <t>rs377764415</t>
  </si>
  <si>
    <t>Z31889</t>
  </si>
  <si>
    <t>rs377252776</t>
  </si>
  <si>
    <t>Z31890</t>
  </si>
  <si>
    <t>rs372003048</t>
  </si>
  <si>
    <t>Z31891</t>
  </si>
  <si>
    <t>rs376958210</t>
  </si>
  <si>
    <t>M38</t>
  </si>
  <si>
    <t>rs369611932</t>
  </si>
  <si>
    <t>S22946</t>
  </si>
  <si>
    <t>rs377198321</t>
  </si>
  <si>
    <t>SK1002</t>
  </si>
  <si>
    <t>rs377670751</t>
  </si>
  <si>
    <t>SK1003</t>
  </si>
  <si>
    <t>rs376273784</t>
  </si>
  <si>
    <t>SK1004</t>
  </si>
  <si>
    <t>rs367776208</t>
  </si>
  <si>
    <t>SK1005</t>
  </si>
  <si>
    <t>rs367845588</t>
  </si>
  <si>
    <t>SK1006</t>
  </si>
  <si>
    <t>rs374929633</t>
  </si>
  <si>
    <t>SK1007</t>
  </si>
  <si>
    <t>rs373381250</t>
  </si>
  <si>
    <t>SK1008</t>
  </si>
  <si>
    <t>rs375196391</t>
  </si>
  <si>
    <t>SK1009</t>
  </si>
  <si>
    <t>rs372747719</t>
  </si>
  <si>
    <t>SK1011</t>
  </si>
  <si>
    <t>rs374550755</t>
  </si>
  <si>
    <t>SK1012</t>
  </si>
  <si>
    <t>rs372235518</t>
  </si>
  <si>
    <t>SK1014</t>
  </si>
  <si>
    <t>rs372188439</t>
  </si>
  <si>
    <t>Z23304.2</t>
  </si>
  <si>
    <t>rs369511531</t>
  </si>
  <si>
    <t>Z31892</t>
  </si>
  <si>
    <t>rs371742237</t>
  </si>
  <si>
    <t>Z31893</t>
  </si>
  <si>
    <t>rs370920993</t>
  </si>
  <si>
    <t>Z31894</t>
  </si>
  <si>
    <t>rs376712402</t>
  </si>
  <si>
    <t>Z31895</t>
  </si>
  <si>
    <t>rs373348296</t>
  </si>
  <si>
    <t>Z31896</t>
  </si>
  <si>
    <t>rs368293964</t>
  </si>
  <si>
    <t>Z31897</t>
  </si>
  <si>
    <t>rs370171575</t>
  </si>
  <si>
    <t>Z31898</t>
  </si>
  <si>
    <t>rs373488430</t>
  </si>
  <si>
    <t>Z31899</t>
  </si>
  <si>
    <t>rs899868725</t>
  </si>
  <si>
    <t>Z31900</t>
  </si>
  <si>
    <t>rs377067629</t>
  </si>
  <si>
    <t>Z31901</t>
  </si>
  <si>
    <t>rs370654777</t>
  </si>
  <si>
    <t>Z31902</t>
  </si>
  <si>
    <t>rs377027439</t>
  </si>
  <si>
    <t>Z31903</t>
  </si>
  <si>
    <t>rs377106665</t>
  </si>
  <si>
    <t>Z31904</t>
  </si>
  <si>
    <t>rs369763389</t>
  </si>
  <si>
    <t>Z31905</t>
  </si>
  <si>
    <t>rs371190992</t>
  </si>
  <si>
    <t>Z31907</t>
  </si>
  <si>
    <t>rs373675961</t>
  </si>
  <si>
    <t>Z31908</t>
  </si>
  <si>
    <t>rs368978072</t>
  </si>
  <si>
    <t>Z31909</t>
  </si>
  <si>
    <t>rs370477924</t>
  </si>
  <si>
    <t>Z31910</t>
  </si>
  <si>
    <t>rs376963142</t>
  </si>
  <si>
    <t>Z31911</t>
  </si>
  <si>
    <t>rs371854319</t>
  </si>
  <si>
    <t>Z31912</t>
  </si>
  <si>
    <t>rs371744400</t>
  </si>
  <si>
    <t>Z31913</t>
  </si>
  <si>
    <t>rs374468481</t>
  </si>
  <si>
    <t>Z31914</t>
  </si>
  <si>
    <t>rs370611951</t>
  </si>
  <si>
    <t>Z31915</t>
  </si>
  <si>
    <t>Z31916</t>
  </si>
  <si>
    <t>rs375591911</t>
  </si>
  <si>
    <t>Z31917</t>
  </si>
  <si>
    <t>rs371878132</t>
  </si>
  <si>
    <t>Z31918</t>
  </si>
  <si>
    <t>rs367780031</t>
  </si>
  <si>
    <t>Z31919</t>
  </si>
  <si>
    <t>rs375061152</t>
  </si>
  <si>
    <t>Z31920</t>
  </si>
  <si>
    <t>rs374814032</t>
  </si>
  <si>
    <t>Z31921</t>
  </si>
  <si>
    <t>rs369112449</t>
  </si>
  <si>
    <t>Z31922</t>
  </si>
  <si>
    <t>rs370183973</t>
  </si>
  <si>
    <t>Z31923</t>
  </si>
  <si>
    <t>rs373376914</t>
  </si>
  <si>
    <t>Z31924</t>
  </si>
  <si>
    <t>rs371606193</t>
  </si>
  <si>
    <t>Z31925</t>
  </si>
  <si>
    <t>rs371115910</t>
  </si>
  <si>
    <t>Z31926</t>
  </si>
  <si>
    <t>rs375624860</t>
  </si>
  <si>
    <t>Z31927</t>
  </si>
  <si>
    <t>rs373673414</t>
  </si>
  <si>
    <t>Z31929</t>
  </si>
  <si>
    <t>rs370949381</t>
  </si>
  <si>
    <t>Z31930</t>
  </si>
  <si>
    <t>rs375075500</t>
  </si>
  <si>
    <t>Z31931</t>
  </si>
  <si>
    <t>rs375538577</t>
  </si>
  <si>
    <t>Z31936</t>
  </si>
  <si>
    <t>rs371703814</t>
  </si>
  <si>
    <t>Z31939</t>
  </si>
  <si>
    <t>rs373727464</t>
  </si>
  <si>
    <t>Z31940</t>
  </si>
  <si>
    <t>rs373684193</t>
  </si>
  <si>
    <t>Z31941</t>
  </si>
  <si>
    <t>rs377305679</t>
  </si>
  <si>
    <t>Z31942</t>
  </si>
  <si>
    <t>rs368429663</t>
  </si>
  <si>
    <t>Z31943</t>
  </si>
  <si>
    <t>rs375183640</t>
  </si>
  <si>
    <t>Z31944</t>
  </si>
  <si>
    <t>rs369442319</t>
  </si>
  <si>
    <t>Z31945</t>
  </si>
  <si>
    <t>rs376285608</t>
  </si>
  <si>
    <t>Z31948</t>
  </si>
  <si>
    <t>rs370097287</t>
  </si>
  <si>
    <t>Z31949</t>
  </si>
  <si>
    <t>rs374335338</t>
  </si>
  <si>
    <t>Z31950</t>
  </si>
  <si>
    <t>rs368666709</t>
  </si>
  <si>
    <t>Z31951</t>
  </si>
  <si>
    <t>rs373713613</t>
  </si>
  <si>
    <t>Z31952</t>
  </si>
  <si>
    <t>rs370349661</t>
  </si>
  <si>
    <t>Z31953</t>
  </si>
  <si>
    <t>rs372745956</t>
  </si>
  <si>
    <t>Z31954</t>
  </si>
  <si>
    <t>rs370805775</t>
  </si>
  <si>
    <t>Z31955</t>
  </si>
  <si>
    <t>rs370771921</t>
  </si>
  <si>
    <t>Z31956</t>
  </si>
  <si>
    <t>rs372531545</t>
  </si>
  <si>
    <t>Z31957</t>
  </si>
  <si>
    <t>rs375852397</t>
  </si>
  <si>
    <t>Z31958</t>
  </si>
  <si>
    <t>rs375324096</t>
  </si>
  <si>
    <t>Z31959</t>
  </si>
  <si>
    <t>rs373944972</t>
  </si>
  <si>
    <t>Z31960</t>
  </si>
  <si>
    <t>rs372016607</t>
  </si>
  <si>
    <t>Z31961</t>
  </si>
  <si>
    <t>rs376746320</t>
  </si>
  <si>
    <t>Z31962</t>
  </si>
  <si>
    <t>rs370245038</t>
  </si>
  <si>
    <t>Z31963</t>
  </si>
  <si>
    <t>rs377211481</t>
  </si>
  <si>
    <t>Z31964</t>
  </si>
  <si>
    <t>rs368068435</t>
  </si>
  <si>
    <t>Z31965</t>
  </si>
  <si>
    <t>rs374280143</t>
  </si>
  <si>
    <t>Z31968</t>
  </si>
  <si>
    <t>rs376900138</t>
  </si>
  <si>
    <t>Z31969</t>
  </si>
  <si>
    <t>rs377736088</t>
  </si>
  <si>
    <t>Z31970</t>
  </si>
  <si>
    <t>rs376327120</t>
  </si>
  <si>
    <t>Z31971</t>
  </si>
  <si>
    <t>rs376184476</t>
  </si>
  <si>
    <t>Z31972</t>
  </si>
  <si>
    <t>rs373626372</t>
  </si>
  <si>
    <t>Z31973</t>
  </si>
  <si>
    <t>rs371207472</t>
  </si>
  <si>
    <t>Z31974</t>
  </si>
  <si>
    <t>rs372700768</t>
  </si>
  <si>
    <t>Z31975</t>
  </si>
  <si>
    <t>rs374820459</t>
  </si>
  <si>
    <t>Z31976</t>
  </si>
  <si>
    <t>rs368633041</t>
  </si>
  <si>
    <t>Z31977</t>
  </si>
  <si>
    <t>rs372000545</t>
  </si>
  <si>
    <t>Z31978</t>
  </si>
  <si>
    <t>rs373198390</t>
  </si>
  <si>
    <t>Z31979</t>
  </si>
  <si>
    <t>rs370592832</t>
  </si>
  <si>
    <t>Z31980</t>
  </si>
  <si>
    <t>rs376759413</t>
  </si>
  <si>
    <t>Z31981</t>
  </si>
  <si>
    <t>rs373069501</t>
  </si>
  <si>
    <t>Z31982</t>
  </si>
  <si>
    <t>rs368192062</t>
  </si>
  <si>
    <t>Z31983</t>
  </si>
  <si>
    <t>rs375701049</t>
  </si>
  <si>
    <t>Z31984</t>
  </si>
  <si>
    <t>rs377731884</t>
  </si>
  <si>
    <t>Z31985</t>
  </si>
  <si>
    <t>rs370781136</t>
  </si>
  <si>
    <t>Z31986</t>
  </si>
  <si>
    <t>rs377343414</t>
  </si>
  <si>
    <t>Z31987</t>
  </si>
  <si>
    <t>rs367581821</t>
  </si>
  <si>
    <t>Z31988</t>
  </si>
  <si>
    <t>rs372595136</t>
  </si>
  <si>
    <t>Z31989</t>
  </si>
  <si>
    <t>rs370082852</t>
  </si>
  <si>
    <t>Z31990</t>
  </si>
  <si>
    <t>rs372605596</t>
  </si>
  <si>
    <t>Z31991</t>
  </si>
  <si>
    <t>rs373923584</t>
  </si>
  <si>
    <t>Z31992</t>
  </si>
  <si>
    <t>rs373629614</t>
  </si>
  <si>
    <t>Z31993</t>
  </si>
  <si>
    <t>rs370481105</t>
  </si>
  <si>
    <t>Z31994</t>
  </si>
  <si>
    <t>rs372677237</t>
  </si>
  <si>
    <t>Z31995</t>
  </si>
  <si>
    <t>rs372139245</t>
  </si>
  <si>
    <t>Z31996</t>
  </si>
  <si>
    <t>rs375723870</t>
  </si>
  <si>
    <t>Z31997</t>
  </si>
  <si>
    <t>rs370071161</t>
  </si>
  <si>
    <t>Z31998</t>
  </si>
  <si>
    <t>rs375016069</t>
  </si>
  <si>
    <t>Z31999</t>
  </si>
  <si>
    <t>rs1043854085</t>
  </si>
  <si>
    <t>Z32000</t>
  </si>
  <si>
    <t>rs371021942</t>
  </si>
  <si>
    <t>Z32001</t>
  </si>
  <si>
    <t>rs368116547</t>
  </si>
  <si>
    <t>Z32002</t>
  </si>
  <si>
    <t>rs376758147</t>
  </si>
  <si>
    <t>Z32003</t>
  </si>
  <si>
    <t>rs370532505</t>
  </si>
  <si>
    <t>Z32005</t>
  </si>
  <si>
    <t>rs369726262</t>
  </si>
  <si>
    <t>Z32006</t>
  </si>
  <si>
    <t>rs373611719</t>
  </si>
  <si>
    <t>Z32007</t>
  </si>
  <si>
    <t>rs375107735</t>
  </si>
  <si>
    <t>Z32008</t>
  </si>
  <si>
    <t>rs377643917</t>
  </si>
  <si>
    <t>Z32009</t>
  </si>
  <si>
    <t>rs377740605</t>
  </si>
  <si>
    <t>Z32010</t>
  </si>
  <si>
    <t>rs372781379</t>
  </si>
  <si>
    <t>Z32011</t>
  </si>
  <si>
    <t>rs377695932</t>
  </si>
  <si>
    <t>Z32012</t>
  </si>
  <si>
    <t>rs373886908</t>
  </si>
  <si>
    <t>Z32013</t>
  </si>
  <si>
    <t>rs373390844</t>
  </si>
  <si>
    <t>Z32014</t>
  </si>
  <si>
    <t>rs370321510</t>
  </si>
  <si>
    <t>Z32015</t>
  </si>
  <si>
    <t>rs375446285</t>
  </si>
  <si>
    <t>Z32016</t>
  </si>
  <si>
    <t>rs369170618</t>
  </si>
  <si>
    <t>Z32017</t>
  </si>
  <si>
    <t>rs370882744</t>
  </si>
  <si>
    <t>Z32018</t>
  </si>
  <si>
    <t>rs374550341</t>
  </si>
  <si>
    <t>Z32019</t>
  </si>
  <si>
    <t>rs372144367</t>
  </si>
  <si>
    <t>Z32020</t>
  </si>
  <si>
    <t>rs368484700</t>
  </si>
  <si>
    <t>Z32021</t>
  </si>
  <si>
    <t>rs372924638</t>
  </si>
  <si>
    <t>Z32022</t>
  </si>
  <si>
    <t>rs374623305</t>
  </si>
  <si>
    <t>Z32023</t>
  </si>
  <si>
    <t>rs377152190</t>
  </si>
  <si>
    <t>Z32024</t>
  </si>
  <si>
    <t>rs370050005</t>
  </si>
  <si>
    <t>Z32025</t>
  </si>
  <si>
    <t>rs374261510</t>
  </si>
  <si>
    <t>Z32026</t>
  </si>
  <si>
    <t>rs377086979</t>
  </si>
  <si>
    <t>Z32027</t>
  </si>
  <si>
    <t>rs375062327</t>
  </si>
  <si>
    <t>Z32028</t>
  </si>
  <si>
    <t>rs371158811</t>
  </si>
  <si>
    <t>Z32029</t>
  </si>
  <si>
    <t>rs372776165</t>
  </si>
  <si>
    <t>Z32030</t>
  </si>
  <si>
    <t>rs373763042</t>
  </si>
  <si>
    <t>Z32031</t>
  </si>
  <si>
    <t>rs370157389</t>
  </si>
  <si>
    <t>Z32033</t>
  </si>
  <si>
    <t>rs369625689</t>
  </si>
  <si>
    <t>Z32034</t>
  </si>
  <si>
    <t>rs375732538</t>
  </si>
  <si>
    <t>Z32036</t>
  </si>
  <si>
    <t>rs369832414</t>
  </si>
  <si>
    <t>Z32037</t>
  </si>
  <si>
    <t>rs370611600</t>
  </si>
  <si>
    <t>Z32038</t>
  </si>
  <si>
    <t>rs368907117</t>
  </si>
  <si>
    <t>Z32040</t>
  </si>
  <si>
    <t>rs375268622</t>
  </si>
  <si>
    <t>Z32041</t>
  </si>
  <si>
    <t>rs372436848</t>
  </si>
  <si>
    <t>Z32042</t>
  </si>
  <si>
    <t>rs369010607</t>
  </si>
  <si>
    <t>Z32043</t>
  </si>
  <si>
    <t>rs373693572</t>
  </si>
  <si>
    <t>Z32048</t>
  </si>
  <si>
    <t>rs371574554</t>
  </si>
  <si>
    <t>Z32052</t>
  </si>
  <si>
    <t>rs374700556</t>
  </si>
  <si>
    <t>rs373763711</t>
  </si>
  <si>
    <t>rs2032659</t>
  </si>
  <si>
    <t>P33_1</t>
  </si>
  <si>
    <t>P33_2</t>
  </si>
  <si>
    <t>P33_3</t>
  </si>
  <si>
    <t>B460</t>
  </si>
  <si>
    <t>CTS1286.2</t>
  </si>
  <si>
    <t>M3238</t>
  </si>
  <si>
    <t>rs576958815</t>
  </si>
  <si>
    <t>Z32308</t>
  </si>
  <si>
    <t>Z32309</t>
  </si>
  <si>
    <t>Z32310</t>
  </si>
  <si>
    <t>Z32311</t>
  </si>
  <si>
    <t>Z32312</t>
  </si>
  <si>
    <t>Z32313</t>
  </si>
  <si>
    <t>Z32314</t>
  </si>
  <si>
    <t>rs375849254</t>
  </si>
  <si>
    <t>Z32315</t>
  </si>
  <si>
    <t>rs868615016</t>
  </si>
  <si>
    <t>Z32320</t>
  </si>
  <si>
    <t>Z32322</t>
  </si>
  <si>
    <t>Z32323</t>
  </si>
  <si>
    <t>Z32324</t>
  </si>
  <si>
    <t>Z32325</t>
  </si>
  <si>
    <t>Z32326</t>
  </si>
  <si>
    <t>Z32328</t>
  </si>
  <si>
    <t>Z32329</t>
  </si>
  <si>
    <t>Z32330</t>
  </si>
  <si>
    <t>Z32332</t>
  </si>
  <si>
    <t>Z32333</t>
  </si>
  <si>
    <t>Z32334</t>
  </si>
  <si>
    <t>Z32335</t>
  </si>
  <si>
    <t>Z32336</t>
  </si>
  <si>
    <t>Z32337</t>
  </si>
  <si>
    <t>Z32338</t>
  </si>
  <si>
    <t>Z32339</t>
  </si>
  <si>
    <t>Z32340</t>
  </si>
  <si>
    <t>Z32342</t>
  </si>
  <si>
    <t>Z32343</t>
  </si>
  <si>
    <t>Z32344</t>
  </si>
  <si>
    <t>Z32345</t>
  </si>
  <si>
    <t>Z32347</t>
  </si>
  <si>
    <t>Z32348</t>
  </si>
  <si>
    <t>Z32349</t>
  </si>
  <si>
    <t>Z32350</t>
  </si>
  <si>
    <t>Z32351</t>
  </si>
  <si>
    <t>Z32352</t>
  </si>
  <si>
    <t>Z32353</t>
  </si>
  <si>
    <t>Z32354</t>
  </si>
  <si>
    <t>Z32355</t>
  </si>
  <si>
    <t>Z32356</t>
  </si>
  <si>
    <t>Z32358</t>
  </si>
  <si>
    <t>Z32359</t>
  </si>
  <si>
    <t>Z32360</t>
  </si>
  <si>
    <t>Z32361</t>
  </si>
  <si>
    <t>Z32363</t>
  </si>
  <si>
    <t>Z32365</t>
  </si>
  <si>
    <t>Z32366</t>
  </si>
  <si>
    <t>Z32367</t>
  </si>
  <si>
    <t>Z32368</t>
  </si>
  <si>
    <t>Z32369</t>
  </si>
  <si>
    <t>Z32370</t>
  </si>
  <si>
    <t>Z32371</t>
  </si>
  <si>
    <t>Z32372</t>
  </si>
  <si>
    <t>Z32373</t>
  </si>
  <si>
    <t>Z32374</t>
  </si>
  <si>
    <t>Z32375</t>
  </si>
  <si>
    <t>Z32376</t>
  </si>
  <si>
    <t>Z32377</t>
  </si>
  <si>
    <t>Z32378</t>
  </si>
  <si>
    <t>Z32379</t>
  </si>
  <si>
    <t>Z32380</t>
  </si>
  <si>
    <t>Z32382</t>
  </si>
  <si>
    <t>Z32383</t>
  </si>
  <si>
    <t>Z32384</t>
  </si>
  <si>
    <t>Z32385</t>
  </si>
  <si>
    <t>Z32386</t>
  </si>
  <si>
    <t>Z32387</t>
  </si>
  <si>
    <t>Z32388</t>
  </si>
  <si>
    <t>Z32389</t>
  </si>
  <si>
    <t>Z32390</t>
  </si>
  <si>
    <t>Z32391</t>
  </si>
  <si>
    <t>Z32392</t>
  </si>
  <si>
    <t>Z32393</t>
  </si>
  <si>
    <t>B462</t>
  </si>
  <si>
    <t>Z32395</t>
  </si>
  <si>
    <t>Z32396</t>
  </si>
  <si>
    <t>B461</t>
  </si>
  <si>
    <t>Z32397</t>
  </si>
  <si>
    <t>Z32398</t>
  </si>
  <si>
    <t>B464</t>
  </si>
  <si>
    <t>Z32402</t>
  </si>
  <si>
    <t>Z32403</t>
  </si>
  <si>
    <t>Z32404</t>
  </si>
  <si>
    <t>rs370550646</t>
  </si>
  <si>
    <t>B459</t>
  </si>
  <si>
    <t>rs367614573</t>
  </si>
  <si>
    <t>FGC26771.2</t>
  </si>
  <si>
    <t>YP3147.2</t>
  </si>
  <si>
    <t>rs369626108</t>
  </si>
  <si>
    <t>Z32220</t>
  </si>
  <si>
    <t>rs372099726</t>
  </si>
  <si>
    <t>Z32221</t>
  </si>
  <si>
    <t>rs377258190</t>
  </si>
  <si>
    <t>Z32222</t>
  </si>
  <si>
    <t>rs369920509</t>
  </si>
  <si>
    <t>Z32223</t>
  </si>
  <si>
    <t>rs368504604</t>
  </si>
  <si>
    <t>Z32224</t>
  </si>
  <si>
    <t>rs376843847</t>
  </si>
  <si>
    <t>Z32225</t>
  </si>
  <si>
    <t>rs373106117</t>
  </si>
  <si>
    <t>Z32227</t>
  </si>
  <si>
    <t>rs371065659</t>
  </si>
  <si>
    <t>Z32228</t>
  </si>
  <si>
    <t>rs368615072</t>
  </si>
  <si>
    <t>Z32229</t>
  </si>
  <si>
    <t>rs370569320</t>
  </si>
  <si>
    <t>Z32230</t>
  </si>
  <si>
    <t>rs374099680</t>
  </si>
  <si>
    <t>Z32231</t>
  </si>
  <si>
    <t>rs371871375</t>
  </si>
  <si>
    <t>Z32232</t>
  </si>
  <si>
    <t>rs374913867</t>
  </si>
  <si>
    <t>Z32233</t>
  </si>
  <si>
    <t>rs368456921</t>
  </si>
  <si>
    <t>Z32234</t>
  </si>
  <si>
    <t>rs374629244</t>
  </si>
  <si>
    <t>Z32235</t>
  </si>
  <si>
    <t>rs368635234</t>
  </si>
  <si>
    <t>Z32236</t>
  </si>
  <si>
    <t>rs375753989</t>
  </si>
  <si>
    <t>Z32237</t>
  </si>
  <si>
    <t>rs374675026</t>
  </si>
  <si>
    <t>Z32238</t>
  </si>
  <si>
    <t>rs372195396</t>
  </si>
  <si>
    <t>Z32239</t>
  </si>
  <si>
    <t>rs371034325</t>
  </si>
  <si>
    <t>Z32240</t>
  </si>
  <si>
    <t>rs371491211</t>
  </si>
  <si>
    <t>Z32241</t>
  </si>
  <si>
    <t>rs370265334</t>
  </si>
  <si>
    <t>Z32243</t>
  </si>
  <si>
    <t>rs377641369</t>
  </si>
  <si>
    <t>Z32244</t>
  </si>
  <si>
    <t>Z32246</t>
  </si>
  <si>
    <t>rs371979727</t>
  </si>
  <si>
    <t>Z32247</t>
  </si>
  <si>
    <t>rs372180506</t>
  </si>
  <si>
    <t>Z32248</t>
  </si>
  <si>
    <t>rs372621220</t>
  </si>
  <si>
    <t>Z32249</t>
  </si>
  <si>
    <t>rs369225554</t>
  </si>
  <si>
    <t>Z32250</t>
  </si>
  <si>
    <t>rs376389245</t>
  </si>
  <si>
    <t>Z32251</t>
  </si>
  <si>
    <t>rs370112389</t>
  </si>
  <si>
    <t>Z32252</t>
  </si>
  <si>
    <t>rs377520874</t>
  </si>
  <si>
    <t>Z32253</t>
  </si>
  <si>
    <t>rs372150807</t>
  </si>
  <si>
    <t>Z32254</t>
  </si>
  <si>
    <t>rs373809485</t>
  </si>
  <si>
    <t>Z32255</t>
  </si>
  <si>
    <t>rs368447425</t>
  </si>
  <si>
    <t>Z32256</t>
  </si>
  <si>
    <t>rs375012282</t>
  </si>
  <si>
    <t>Z32257</t>
  </si>
  <si>
    <t>rs369253759</t>
  </si>
  <si>
    <t>Z32258</t>
  </si>
  <si>
    <t>rs367918671</t>
  </si>
  <si>
    <t>Z32259</t>
  </si>
  <si>
    <t>rs373709409</t>
  </si>
  <si>
    <t>Z32260</t>
  </si>
  <si>
    <t>rs373977861</t>
  </si>
  <si>
    <t>Z32261</t>
  </si>
  <si>
    <t>rs373556514</t>
  </si>
  <si>
    <t>Z32262</t>
  </si>
  <si>
    <t>rs376671378</t>
  </si>
  <si>
    <t>Z32263</t>
  </si>
  <si>
    <t>rs368137768</t>
  </si>
  <si>
    <t>Z32264</t>
  </si>
  <si>
    <t>rs376591525</t>
  </si>
  <si>
    <t>Z32265</t>
  </si>
  <si>
    <t>rs376851952</t>
  </si>
  <si>
    <t>Z32266</t>
  </si>
  <si>
    <t>rs375262940</t>
  </si>
  <si>
    <t>Z32267</t>
  </si>
  <si>
    <t>rs373866886</t>
  </si>
  <si>
    <t>Z32269</t>
  </si>
  <si>
    <t>rs369262600</t>
  </si>
  <si>
    <t>Z32270</t>
  </si>
  <si>
    <t>rs374747918</t>
  </si>
  <si>
    <t>Z32271</t>
  </si>
  <si>
    <t>rs368675546</t>
  </si>
  <si>
    <t>Z32272</t>
  </si>
  <si>
    <t>rs376864295</t>
  </si>
  <si>
    <t>Z32273</t>
  </si>
  <si>
    <t>rs372699042</t>
  </si>
  <si>
    <t>Z32274</t>
  </si>
  <si>
    <t>rs369161491</t>
  </si>
  <si>
    <t>Z32275</t>
  </si>
  <si>
    <t>rs368011408</t>
  </si>
  <si>
    <t>Z32276</t>
  </si>
  <si>
    <t>rs377133523</t>
  </si>
  <si>
    <t>Z32277</t>
  </si>
  <si>
    <t>rs371378028</t>
  </si>
  <si>
    <t>Z32278</t>
  </si>
  <si>
    <t>rs376336537</t>
  </si>
  <si>
    <t>Z32279</t>
  </si>
  <si>
    <t>rs376399831</t>
  </si>
  <si>
    <t>Z32280</t>
  </si>
  <si>
    <t>rs375276787</t>
  </si>
  <si>
    <t>Z32281</t>
  </si>
  <si>
    <t>rs373261815</t>
  </si>
  <si>
    <t>Z32282</t>
  </si>
  <si>
    <t>rs368837496</t>
  </si>
  <si>
    <t>Z32283</t>
  </si>
  <si>
    <t>rs368512803</t>
  </si>
  <si>
    <t>Z32284</t>
  </si>
  <si>
    <t>rs377570481</t>
  </si>
  <si>
    <t>Z32285</t>
  </si>
  <si>
    <t>rs369293154</t>
  </si>
  <si>
    <t>Z32286</t>
  </si>
  <si>
    <t>rs370692894</t>
  </si>
  <si>
    <t>Z32288</t>
  </si>
  <si>
    <t>rs370700070</t>
  </si>
  <si>
    <t>Z32289</t>
  </si>
  <si>
    <t>rs369162602</t>
  </si>
  <si>
    <t>Z32291</t>
  </si>
  <si>
    <t>rs370048100</t>
  </si>
  <si>
    <t>Z32292</t>
  </si>
  <si>
    <t>rs369196526</t>
  </si>
  <si>
    <t>Z32293</t>
  </si>
  <si>
    <t>rs371433869</t>
  </si>
  <si>
    <t>Z32294</t>
  </si>
  <si>
    <t>rs377316098</t>
  </si>
  <si>
    <t>Z32297</t>
  </si>
  <si>
    <t>rs372120207</t>
  </si>
  <si>
    <t>Z32298</t>
  </si>
  <si>
    <t>rs370969105</t>
  </si>
  <si>
    <t>Z32299</t>
  </si>
  <si>
    <t>rs373129293</t>
  </si>
  <si>
    <t>Z32300</t>
  </si>
  <si>
    <t>rs371534057</t>
  </si>
  <si>
    <t>Z32301</t>
  </si>
  <si>
    <t>rs372113074</t>
  </si>
  <si>
    <t>Z32302</t>
  </si>
  <si>
    <t>rs368282728</t>
  </si>
  <si>
    <t>Z32303</t>
  </si>
  <si>
    <t>rs375217230</t>
  </si>
  <si>
    <t>Z32304</t>
  </si>
  <si>
    <t>rs375702071</t>
  </si>
  <si>
    <t>Z32305</t>
  </si>
  <si>
    <t>rs376418629</t>
  </si>
  <si>
    <t>Z32306</t>
  </si>
  <si>
    <t>rs367544571</t>
  </si>
  <si>
    <t>Z32307</t>
  </si>
  <si>
    <t>rs375808776</t>
  </si>
  <si>
    <t>B75</t>
  </si>
  <si>
    <t>Z32832</t>
  </si>
  <si>
    <t>Z32833</t>
  </si>
  <si>
    <t>Z32834</t>
  </si>
  <si>
    <t>Z32835</t>
  </si>
  <si>
    <t>F2642</t>
  </si>
  <si>
    <t>S2169</t>
  </si>
  <si>
    <t>B76</t>
  </si>
  <si>
    <t>Z32836</t>
  </si>
  <si>
    <t>Z32837</t>
  </si>
  <si>
    <t>Z32838</t>
  </si>
  <si>
    <t>Z32839</t>
  </si>
  <si>
    <t>M347</t>
  </si>
  <si>
    <t>rs868363758</t>
  </si>
  <si>
    <t>P309</t>
  </si>
  <si>
    <t>14924637..14924638</t>
  </si>
  <si>
    <t>12812702..128112703</t>
  </si>
  <si>
    <t>ins-&gt;del</t>
  </si>
  <si>
    <t>FGC17629</t>
  </si>
  <si>
    <t>Y13548</t>
  </si>
  <si>
    <t>PH251</t>
  </si>
  <si>
    <t>rs755046031</t>
  </si>
  <si>
    <t>PH1523</t>
  </si>
  <si>
    <t>rs775523216</t>
  </si>
  <si>
    <t>PH2398</t>
  </si>
  <si>
    <t>rs775594413</t>
  </si>
  <si>
    <t>PH4534</t>
  </si>
  <si>
    <t>rs772120425</t>
  </si>
  <si>
    <t>PH4665</t>
  </si>
  <si>
    <t>rs755625831</t>
  </si>
  <si>
    <t>PH5224</t>
  </si>
  <si>
    <t>rs781638863</t>
  </si>
  <si>
    <t>Z40223</t>
  </si>
  <si>
    <t>Z40224</t>
  </si>
  <si>
    <t>Z40225</t>
  </si>
  <si>
    <t>Z40226</t>
  </si>
  <si>
    <t>Z40227</t>
  </si>
  <si>
    <t>Z40228</t>
  </si>
  <si>
    <t>Z40229</t>
  </si>
  <si>
    <t>Z40230</t>
  </si>
  <si>
    <t>rs755609232</t>
  </si>
  <si>
    <t>Z40231</t>
  </si>
  <si>
    <t>rs764761733</t>
  </si>
  <si>
    <t>Z40232</t>
  </si>
  <si>
    <t>Z40233</t>
  </si>
  <si>
    <t>rs781000739</t>
  </si>
  <si>
    <t>Z40234</t>
  </si>
  <si>
    <t>Z40235</t>
  </si>
  <si>
    <t>Z40236</t>
  </si>
  <si>
    <t>rs938797294</t>
  </si>
  <si>
    <t>Z40237</t>
  </si>
  <si>
    <t>Z40238</t>
  </si>
  <si>
    <t>Z40239</t>
  </si>
  <si>
    <t>Z40240</t>
  </si>
  <si>
    <t>Z40241</t>
  </si>
  <si>
    <t>Z40242</t>
  </si>
  <si>
    <t>Z40243</t>
  </si>
  <si>
    <t>Z40244</t>
  </si>
  <si>
    <t>rs951886997</t>
  </si>
  <si>
    <t>Z40245</t>
  </si>
  <si>
    <t>rs2032660</t>
  </si>
  <si>
    <t>CTS853</t>
  </si>
  <si>
    <t>Z40419</t>
  </si>
  <si>
    <t>Z40420</t>
  </si>
  <si>
    <t>Z40421</t>
  </si>
  <si>
    <t>Z40422</t>
  </si>
  <si>
    <t>Z40247</t>
  </si>
  <si>
    <t>Z40248</t>
  </si>
  <si>
    <t>Z40249</t>
  </si>
  <si>
    <t>Z40250</t>
  </si>
  <si>
    <t>Z40251</t>
  </si>
  <si>
    <t>Z40252</t>
  </si>
  <si>
    <t>Z40253</t>
  </si>
  <si>
    <t>Z40254</t>
  </si>
  <si>
    <t>Z40255</t>
  </si>
  <si>
    <t>Z40256</t>
  </si>
  <si>
    <t>Z40414</t>
  </si>
  <si>
    <t>Z40415</t>
  </si>
  <si>
    <t>Z40416</t>
  </si>
  <si>
    <t>Z40417</t>
  </si>
  <si>
    <t>Z40418</t>
  </si>
  <si>
    <t>Z40423</t>
  </si>
  <si>
    <t>Z40424</t>
  </si>
  <si>
    <t>Z40425</t>
  </si>
  <si>
    <t>Z40426</t>
  </si>
  <si>
    <t>Z40427</t>
  </si>
  <si>
    <t>rs796843140</t>
  </si>
  <si>
    <t>M217</t>
  </si>
  <si>
    <t>rs2032668</t>
  </si>
  <si>
    <t>CTS93</t>
  </si>
  <si>
    <t>rs745630027</t>
  </si>
  <si>
    <t>CTS244</t>
  </si>
  <si>
    <t>rs752864395</t>
  </si>
  <si>
    <t>CTS284</t>
  </si>
  <si>
    <t>Z1433</t>
  </si>
  <si>
    <t>rs752966012</t>
  </si>
  <si>
    <t>CTS545^</t>
  </si>
  <si>
    <t>rs772510007</t>
  </si>
  <si>
    <t>CTS719</t>
  </si>
  <si>
    <t>rs747298874</t>
  </si>
  <si>
    <t>CTS914</t>
  </si>
  <si>
    <t>rs755906778</t>
  </si>
  <si>
    <t>CTS1669</t>
  </si>
  <si>
    <t>S3184</t>
  </si>
  <si>
    <t>rs772679112</t>
  </si>
  <si>
    <t>CTS1943</t>
  </si>
  <si>
    <t>rs764545496</t>
  </si>
  <si>
    <t>CTS2038</t>
  </si>
  <si>
    <t>rs758919180</t>
  </si>
  <si>
    <t>CTS2095</t>
  </si>
  <si>
    <t>rs754397972</t>
  </si>
  <si>
    <t>CTS2108</t>
  </si>
  <si>
    <t>rs767707260</t>
  </si>
  <si>
    <t>CTS2709</t>
  </si>
  <si>
    <t>Z1442</t>
  </si>
  <si>
    <t>rs371644484</t>
  </si>
  <si>
    <t>CTS3125</t>
  </si>
  <si>
    <t>rs760697292</t>
  </si>
  <si>
    <t>CTS3430</t>
  </si>
  <si>
    <t>rs755634800</t>
  </si>
  <si>
    <t>CTS3950</t>
  </si>
  <si>
    <t>rs1040548041</t>
  </si>
  <si>
    <t>CTS4339^</t>
  </si>
  <si>
    <t>rs749886686</t>
  </si>
  <si>
    <t>CTS5322</t>
  </si>
  <si>
    <t>rs756809172</t>
  </si>
  <si>
    <t>CTS5410</t>
  </si>
  <si>
    <t>rs762305457</t>
  </si>
  <si>
    <t>CTS5522</t>
  </si>
  <si>
    <t>rs768624719</t>
  </si>
  <si>
    <t>CTS5843</t>
  </si>
  <si>
    <t>rs779265471</t>
  </si>
  <si>
    <t>CTS5874</t>
  </si>
  <si>
    <t>rs749105648</t>
  </si>
  <si>
    <t>CTS6124</t>
  </si>
  <si>
    <t>rs754392185</t>
  </si>
  <si>
    <t>CTS6285</t>
  </si>
  <si>
    <t>Z1446</t>
  </si>
  <si>
    <t>rs779732341</t>
  </si>
  <si>
    <t>CTS6551</t>
  </si>
  <si>
    <t>rs763238326</t>
  </si>
  <si>
    <t>CTS6723</t>
  </si>
  <si>
    <t>rs776766740</t>
  </si>
  <si>
    <t>CTS6865</t>
  </si>
  <si>
    <t>rs764066782</t>
  </si>
  <si>
    <t>CTS7120</t>
  </si>
  <si>
    <t>rs756082173</t>
  </si>
  <si>
    <t>CTS7345</t>
  </si>
  <si>
    <t>rs764058499</t>
  </si>
  <si>
    <t>CTS7355</t>
  </si>
  <si>
    <t>rs761447721</t>
  </si>
  <si>
    <t>CTS8117^</t>
  </si>
  <si>
    <t>Z1449^</t>
  </si>
  <si>
    <t>rs73625585</t>
  </si>
  <si>
    <t>CTS8216</t>
  </si>
  <si>
    <t>rs767810107</t>
  </si>
  <si>
    <t>CTS8301</t>
  </si>
  <si>
    <t>Z1450</t>
  </si>
  <si>
    <t>rs774093615</t>
  </si>
  <si>
    <t>CTS8325</t>
  </si>
  <si>
    <t>Z1451</t>
  </si>
  <si>
    <t>rs768103877</t>
  </si>
  <si>
    <t>CTS8643</t>
  </si>
  <si>
    <t>rs746313509</t>
  </si>
  <si>
    <t>CTS8714</t>
  </si>
  <si>
    <t>Z1340</t>
  </si>
  <si>
    <t>rs755740261</t>
  </si>
  <si>
    <t>CTS8886</t>
  </si>
  <si>
    <t>rs1034128469</t>
  </si>
  <si>
    <t>CTS9677</t>
  </si>
  <si>
    <t>Z1453</t>
  </si>
  <si>
    <t>rs764770930</t>
  </si>
  <si>
    <t>CTS9757^</t>
  </si>
  <si>
    <t>rs750738967</t>
  </si>
  <si>
    <t>CTS10144</t>
  </si>
  <si>
    <t>rs754710416</t>
  </si>
  <si>
    <t>CTS10589</t>
  </si>
  <si>
    <t>rs966130494</t>
  </si>
  <si>
    <t>CTS10628</t>
  </si>
  <si>
    <t>rs760525846</t>
  </si>
  <si>
    <t>CTS11354</t>
  </si>
  <si>
    <t>rs769214819</t>
  </si>
  <si>
    <t>CTS12051</t>
  </si>
  <si>
    <t>rs772612694</t>
  </si>
  <si>
    <t>CTS12888^</t>
  </si>
  <si>
    <t>rs766337087</t>
  </si>
  <si>
    <t>F734</t>
  </si>
  <si>
    <t>Z1432</t>
  </si>
  <si>
    <t>rs781342980</t>
  </si>
  <si>
    <t>F791</t>
  </si>
  <si>
    <t>rs759156806</t>
  </si>
  <si>
    <t>F882</t>
  </si>
  <si>
    <t>rs770937092</t>
  </si>
  <si>
    <t>F894</t>
  </si>
  <si>
    <t>rs774631047</t>
  </si>
  <si>
    <t>F936</t>
  </si>
  <si>
    <t>rs752171665</t>
  </si>
  <si>
    <t>F1090</t>
  </si>
  <si>
    <t>rs749037899</t>
  </si>
  <si>
    <t>F1140</t>
  </si>
  <si>
    <t>rs773377557</t>
  </si>
  <si>
    <t>F1191</t>
  </si>
  <si>
    <t>rs757375746</t>
  </si>
  <si>
    <t>F1219</t>
  </si>
  <si>
    <t>Z1437</t>
  </si>
  <si>
    <t>rs751505167</t>
  </si>
  <si>
    <t>F1245</t>
  </si>
  <si>
    <t>rs775545679</t>
  </si>
  <si>
    <t>F1415</t>
  </si>
  <si>
    <t>rs770675457</t>
  </si>
  <si>
    <t>F1597</t>
  </si>
  <si>
    <t>rs1018374117</t>
  </si>
  <si>
    <t>F1622</t>
  </si>
  <si>
    <t>rs774252895</t>
  </si>
  <si>
    <t>F1646</t>
  </si>
  <si>
    <t>rs898936781</t>
  </si>
  <si>
    <t>F1677</t>
  </si>
  <si>
    <t>Z1439</t>
  </si>
  <si>
    <t>rs754333241</t>
  </si>
  <si>
    <t>F1678</t>
  </si>
  <si>
    <t>Z1440</t>
  </si>
  <si>
    <t>rs766837156</t>
  </si>
  <si>
    <t>F1688</t>
  </si>
  <si>
    <t>rs770869106</t>
  </si>
  <si>
    <t>F1717</t>
  </si>
  <si>
    <t>Z1441</t>
  </si>
  <si>
    <t>rs760983872</t>
  </si>
  <si>
    <t>F1963</t>
  </si>
  <si>
    <t>rs776852459</t>
  </si>
  <si>
    <t>F1996</t>
  </si>
  <si>
    <t>rs775057126</t>
  </si>
  <si>
    <t>F2111</t>
  </si>
  <si>
    <t>Z1444</t>
  </si>
  <si>
    <t>rs773489446</t>
  </si>
  <si>
    <t>F2146</t>
  </si>
  <si>
    <t>Z1445</t>
  </si>
  <si>
    <t>rs760164104</t>
  </si>
  <si>
    <t>F2166</t>
  </si>
  <si>
    <t>rs779870074</t>
  </si>
  <si>
    <t>F2282</t>
  </si>
  <si>
    <t>rs751396152</t>
  </si>
  <si>
    <t>F2327</t>
  </si>
  <si>
    <t>Z1447</t>
  </si>
  <si>
    <t>rs761054302</t>
  </si>
  <si>
    <t>F2379</t>
  </si>
  <si>
    <t>rs751156801</t>
  </si>
  <si>
    <t>F2512</t>
  </si>
  <si>
    <t>Z1448</t>
  </si>
  <si>
    <t>rs759724061</t>
  </si>
  <si>
    <t>F2620</t>
  </si>
  <si>
    <t>rs768008822</t>
  </si>
  <si>
    <t>F2632</t>
  </si>
  <si>
    <t>rs766629814</t>
  </si>
  <si>
    <t>F2649</t>
  </si>
  <si>
    <t>rs780633193</t>
  </si>
  <si>
    <t>F2664</t>
  </si>
  <si>
    <t>rs769537136</t>
  </si>
  <si>
    <t>F2670</t>
  </si>
  <si>
    <t>Z1452</t>
  </si>
  <si>
    <t>rs1030175486</t>
  </si>
  <si>
    <t>F2673</t>
  </si>
  <si>
    <t>rs770145915</t>
  </si>
  <si>
    <t>F2695</t>
  </si>
  <si>
    <t>rs760348069</t>
  </si>
  <si>
    <t>F2718</t>
  </si>
  <si>
    <t>rs764751781</t>
  </si>
  <si>
    <t>F2808</t>
  </si>
  <si>
    <t>rs746096820</t>
  </si>
  <si>
    <t>F2951</t>
  </si>
  <si>
    <t>rs756999465</t>
  </si>
  <si>
    <t>F2992</t>
  </si>
  <si>
    <t>rs770573468</t>
  </si>
  <si>
    <t>F3068</t>
  </si>
  <si>
    <t>rs776700746</t>
  </si>
  <si>
    <t>F3122</t>
  </si>
  <si>
    <t>rs750675761</t>
  </si>
  <si>
    <t>F3174</t>
  </si>
  <si>
    <t>rs781202075</t>
  </si>
  <si>
    <t>F3324</t>
  </si>
  <si>
    <t>rs758067038</t>
  </si>
  <si>
    <t>F3333</t>
  </si>
  <si>
    <t>rs779665025</t>
  </si>
  <si>
    <t>F3396</t>
  </si>
  <si>
    <t>rs774324159</t>
  </si>
  <si>
    <t>F3410</t>
  </si>
  <si>
    <t>rs772906365</t>
  </si>
  <si>
    <t>F3411</t>
  </si>
  <si>
    <t>Z1458</t>
  </si>
  <si>
    <t>rs749927095</t>
  </si>
  <si>
    <t>F3553</t>
  </si>
  <si>
    <t>Z1460</t>
  </si>
  <si>
    <t>rs762159785</t>
  </si>
  <si>
    <t>F3581</t>
  </si>
  <si>
    <t>rs763679128</t>
  </si>
  <si>
    <t>F3643</t>
  </si>
  <si>
    <t>rs758451316</t>
  </si>
  <si>
    <t>F3702</t>
  </si>
  <si>
    <t>rs756133059</t>
  </si>
  <si>
    <t>F3718</t>
  </si>
  <si>
    <t>Z1457</t>
  </si>
  <si>
    <t>rs763297703</t>
  </si>
  <si>
    <t>F3862</t>
  </si>
  <si>
    <t>Z1436</t>
  </si>
  <si>
    <t>rs776716509</t>
  </si>
  <si>
    <t>FGC16186</t>
  </si>
  <si>
    <t>Z4015</t>
  </si>
  <si>
    <t>rs1030576982</t>
  </si>
  <si>
    <t>FGC16189</t>
  </si>
  <si>
    <t>Z1435</t>
  </si>
  <si>
    <t>rs762211094</t>
  </si>
  <si>
    <t>FGC16191</t>
  </si>
  <si>
    <t>rs766843235</t>
  </si>
  <si>
    <t>FGC16192</t>
  </si>
  <si>
    <t>Y4462; Z16217</t>
  </si>
  <si>
    <t>rs777969824</t>
  </si>
  <si>
    <t>Y4462</t>
  </si>
  <si>
    <t>FGC16192; Z16217</t>
  </si>
  <si>
    <t>Z16217</t>
  </si>
  <si>
    <t>FGC16192; Y4462</t>
  </si>
  <si>
    <t>P44</t>
  </si>
  <si>
    <t>rs770771999</t>
  </si>
  <si>
    <t>V87</t>
  </si>
  <si>
    <t>Y4478</t>
  </si>
  <si>
    <t>Z8463</t>
  </si>
  <si>
    <t>rs755861236</t>
  </si>
  <si>
    <t>Y4480</t>
  </si>
  <si>
    <t>Z3954</t>
  </si>
  <si>
    <t>rs755666068</t>
  </si>
  <si>
    <t>Y4482</t>
  </si>
  <si>
    <t>Z12144</t>
  </si>
  <si>
    <t>rs775405639</t>
  </si>
  <si>
    <t>Y4483</t>
  </si>
  <si>
    <t>Z12146</t>
  </si>
  <si>
    <t>rs765242306</t>
  </si>
  <si>
    <t>Y4485</t>
  </si>
  <si>
    <t>Z4001</t>
  </si>
  <si>
    <t>rs935309844</t>
  </si>
  <si>
    <t>Y4486</t>
  </si>
  <si>
    <t>Z4016</t>
  </si>
  <si>
    <t>rs903521921</t>
  </si>
  <si>
    <t>Y4488</t>
  </si>
  <si>
    <t>Z4051</t>
  </si>
  <si>
    <t>rs906345655</t>
  </si>
  <si>
    <t>Y4489^</t>
  </si>
  <si>
    <t>Z4086^</t>
  </si>
  <si>
    <t>rs780336232</t>
  </si>
  <si>
    <t>Y4493</t>
  </si>
  <si>
    <t>Z4133</t>
  </si>
  <si>
    <t>rs767814045</t>
  </si>
  <si>
    <t>Y4494^</t>
  </si>
  <si>
    <t>Z4142^</t>
  </si>
  <si>
    <t>rs770273857</t>
  </si>
  <si>
    <t>Y6674</t>
  </si>
  <si>
    <t>Z3968</t>
  </si>
  <si>
    <t>Y6681</t>
  </si>
  <si>
    <t>Z3979</t>
  </si>
  <si>
    <t>rs761944105</t>
  </si>
  <si>
    <t>Y6686</t>
  </si>
  <si>
    <t>Z3951</t>
  </si>
  <si>
    <t>rs766913982</t>
  </si>
  <si>
    <t>Y6687</t>
  </si>
  <si>
    <t>Z12162</t>
  </si>
  <si>
    <t>rs374536185</t>
  </si>
  <si>
    <t>Y6694</t>
  </si>
  <si>
    <t>Z4141</t>
  </si>
  <si>
    <t>rs775424694</t>
  </si>
  <si>
    <t>Y8823</t>
  </si>
  <si>
    <t>Z16215</t>
  </si>
  <si>
    <t>rs770455720</t>
  </si>
  <si>
    <t>Y8800^</t>
  </si>
  <si>
    <t>Z12201^</t>
  </si>
  <si>
    <t>rs772816397</t>
  </si>
  <si>
    <t>Y11115</t>
  </si>
  <si>
    <t>Z12172</t>
  </si>
  <si>
    <t>rs774647279</t>
  </si>
  <si>
    <t>Y11129</t>
  </si>
  <si>
    <t>Z12200</t>
  </si>
  <si>
    <t>rs766812989</t>
  </si>
  <si>
    <t>Z1454</t>
  </si>
  <si>
    <t>rs770162777</t>
  </si>
  <si>
    <t>Z1455</t>
  </si>
  <si>
    <t>rs776813099</t>
  </si>
  <si>
    <t>Z1456</t>
  </si>
  <si>
    <t>rs931134781</t>
  </si>
  <si>
    <t>Z1459</t>
  </si>
  <si>
    <t>rs776276890</t>
  </si>
  <si>
    <t>Z3999</t>
  </si>
  <si>
    <t>rs953979931</t>
  </si>
  <si>
    <t>Z4027^</t>
  </si>
  <si>
    <t>rs747032481</t>
  </si>
  <si>
    <t>Z4077.1</t>
  </si>
  <si>
    <t>rs534506259</t>
  </si>
  <si>
    <t>Z4088^</t>
  </si>
  <si>
    <t>rs1031253619</t>
  </si>
  <si>
    <t>Z4094</t>
  </si>
  <si>
    <t>rs773514461</t>
  </si>
  <si>
    <t>Z4151</t>
  </si>
  <si>
    <t>rs780952618</t>
  </si>
  <si>
    <t>Z12143^</t>
  </si>
  <si>
    <t>rs761953491</t>
  </si>
  <si>
    <t>Z12163</t>
  </si>
  <si>
    <t>rs79441937</t>
  </si>
  <si>
    <t>Z12167</t>
  </si>
  <si>
    <t>rs745629725</t>
  </si>
  <si>
    <t>Z12169</t>
  </si>
  <si>
    <t>rs767125192</t>
  </si>
  <si>
    <t>L1373</t>
  </si>
  <si>
    <t>rs866573363</t>
  </si>
  <si>
    <t>F1396</t>
  </si>
  <si>
    <t>rs942774122</t>
  </si>
  <si>
    <t>F1906</t>
  </si>
  <si>
    <t>rs757963138</t>
  </si>
  <si>
    <t>F2386</t>
  </si>
  <si>
    <t>rs768972868</t>
  </si>
  <si>
    <t>F2661</t>
  </si>
  <si>
    <t>rs745363530</t>
  </si>
  <si>
    <t>F3348</t>
  </si>
  <si>
    <t>rs764046258</t>
  </si>
  <si>
    <t>F3738</t>
  </si>
  <si>
    <t>rs761681843</t>
  </si>
  <si>
    <t>F3752</t>
  </si>
  <si>
    <t>rs894710433</t>
  </si>
  <si>
    <t>F3769</t>
  </si>
  <si>
    <t>rs747057656</t>
  </si>
  <si>
    <t>F3776</t>
  </si>
  <si>
    <t>rs892040013</t>
  </si>
  <si>
    <t>F3783</t>
  </si>
  <si>
    <t>rs755607224</t>
  </si>
  <si>
    <t>F3787</t>
  </si>
  <si>
    <t>rs757294452</t>
  </si>
  <si>
    <t>F3805</t>
  </si>
  <si>
    <t>rs766644299</t>
  </si>
  <si>
    <t>F3831</t>
  </si>
  <si>
    <t>rs747913968</t>
  </si>
  <si>
    <t>F3847</t>
  </si>
  <si>
    <t>rs763590427</t>
  </si>
  <si>
    <t>F3851</t>
  </si>
  <si>
    <t>rs750994194</t>
  </si>
  <si>
    <t>F3923</t>
  </si>
  <si>
    <t>rs772227124</t>
  </si>
  <si>
    <t>F3929</t>
  </si>
  <si>
    <t>rs774704412</t>
  </si>
  <si>
    <t>F3954</t>
  </si>
  <si>
    <t>rs770456267</t>
  </si>
  <si>
    <t>F3972</t>
  </si>
  <si>
    <t>rs769375858</t>
  </si>
  <si>
    <t>F3977</t>
  </si>
  <si>
    <t>rs780628864</t>
  </si>
  <si>
    <t>F3980</t>
  </si>
  <si>
    <t>rs897591879</t>
  </si>
  <si>
    <t>F3981</t>
  </si>
  <si>
    <t>rs745929231</t>
  </si>
  <si>
    <t>F3982</t>
  </si>
  <si>
    <t>rs928880695</t>
  </si>
  <si>
    <t>F3986</t>
  </si>
  <si>
    <t>rs777608247</t>
  </si>
  <si>
    <t>F4012</t>
  </si>
  <si>
    <t>rs760872504</t>
  </si>
  <si>
    <t>F6273</t>
  </si>
  <si>
    <t>FGC16321; Y4554; Z16745</t>
  </si>
  <si>
    <t>rs1024888519</t>
  </si>
  <si>
    <t>FGC16321</t>
  </si>
  <si>
    <t>F6273; Y4554; Z16745</t>
  </si>
  <si>
    <t>Y4554</t>
  </si>
  <si>
    <t>F6273; FGC16321; Z16745</t>
  </si>
  <si>
    <t>Z16745</t>
  </si>
  <si>
    <t>F6273; FGC16321; Y4554</t>
  </si>
  <si>
    <t>F6304</t>
  </si>
  <si>
    <t>FGC16325; Y6698; Z16746</t>
  </si>
  <si>
    <t>FGC16325</t>
  </si>
  <si>
    <t>F6304; Y6698; Z16746</t>
  </si>
  <si>
    <t>Y6698</t>
  </si>
  <si>
    <t>F6304; FGC16325; Z16746</t>
  </si>
  <si>
    <t>Z16746</t>
  </si>
  <si>
    <t>F6304; FGC16325; Y6698</t>
  </si>
  <si>
    <t>F6428</t>
  </si>
  <si>
    <t>FGC16338; Y4546; Z16747</t>
  </si>
  <si>
    <t>rs951202959</t>
  </si>
  <si>
    <t>FGC16338</t>
  </si>
  <si>
    <t>F6428; Y4546; Z16747</t>
  </si>
  <si>
    <t>Y4546</t>
  </si>
  <si>
    <t>F6428; FGC16338; Z16747</t>
  </si>
  <si>
    <t>Z16747</t>
  </si>
  <si>
    <t>F6428; FGC16338; Y4546</t>
  </si>
  <si>
    <t>F6430</t>
  </si>
  <si>
    <t>FGC16340; Y4548; Z16749</t>
  </si>
  <si>
    <t>FGC16340</t>
  </si>
  <si>
    <t>F6430; Y4548; Z16749</t>
  </si>
  <si>
    <t>Y4548</t>
  </si>
  <si>
    <t>F6430; FGC16340; Z16749</t>
  </si>
  <si>
    <t>Z16749</t>
  </si>
  <si>
    <t>F6430; FGC16340; Y4548</t>
  </si>
  <si>
    <t>F6429</t>
  </si>
  <si>
    <t>FGC16229; Y4547; Z16748</t>
  </si>
  <si>
    <t>rs932034348</t>
  </si>
  <si>
    <t>FGC16229</t>
  </si>
  <si>
    <t>F6429; Y4547; Z16748</t>
  </si>
  <si>
    <t>Y4547</t>
  </si>
  <si>
    <t>F6429; FGC16229; Z16748</t>
  </si>
  <si>
    <t>Z16748</t>
  </si>
  <si>
    <t>F6429; FGC16229; Y4547</t>
  </si>
  <si>
    <t>F6759</t>
  </si>
  <si>
    <t>FGC28874; Z18168</t>
  </si>
  <si>
    <t>rs371563290</t>
  </si>
  <si>
    <t>FGC28874</t>
  </si>
  <si>
    <t>F6759; Z18168</t>
  </si>
  <si>
    <t>Z18168</t>
  </si>
  <si>
    <t>F6759; FGC28874</t>
  </si>
  <si>
    <t>F6871</t>
  </si>
  <si>
    <t>FGC16376; Y4557; Z16751</t>
  </si>
  <si>
    <t>rs975267945</t>
  </si>
  <si>
    <t>FGC16376</t>
  </si>
  <si>
    <t>F6871; Y4557; Z16751</t>
  </si>
  <si>
    <t>Y4557</t>
  </si>
  <si>
    <t>F6871; FGC16376; Z16751</t>
  </si>
  <si>
    <t>Z16751</t>
  </si>
  <si>
    <t>F6871; FGC16376; Y4557</t>
  </si>
  <si>
    <t>F6967</t>
  </si>
  <si>
    <t>FGC16388; Y6701; Z16752</t>
  </si>
  <si>
    <t>rs926654306</t>
  </si>
  <si>
    <t>FGC16388</t>
  </si>
  <si>
    <t>F6967; Y6701; Z16752</t>
  </si>
  <si>
    <t>Y6701</t>
  </si>
  <si>
    <t>F6967; FGC16388; Z16752</t>
  </si>
  <si>
    <t>Z16752</t>
  </si>
  <si>
    <t>F6967; FGC16388; Y6701</t>
  </si>
  <si>
    <t>F6970</t>
  </si>
  <si>
    <t>FGC16389; Y4566; Z16753</t>
  </si>
  <si>
    <t>rs1027966579</t>
  </si>
  <si>
    <t>FGC16389</t>
  </si>
  <si>
    <t>F6970; Y4566; Z16753</t>
  </si>
  <si>
    <t>Y4566</t>
  </si>
  <si>
    <t>F6970; FGC16389; Z16753</t>
  </si>
  <si>
    <t>Z16753</t>
  </si>
  <si>
    <t>F6970; FGC16389; Y4566</t>
  </si>
  <si>
    <t>F6987</t>
  </si>
  <si>
    <t>FGC16390; Y4567; Z16731</t>
  </si>
  <si>
    <t>rs981269788</t>
  </si>
  <si>
    <t>FGC16390</t>
  </si>
  <si>
    <t>F6987; Y4567; Z16731</t>
  </si>
  <si>
    <t>Y4567</t>
  </si>
  <si>
    <t>F6987; FGC16390; Z16731</t>
  </si>
  <si>
    <t>Z16731</t>
  </si>
  <si>
    <t>F6987; FGC16390; Y4567</t>
  </si>
  <si>
    <t>F7237</t>
  </si>
  <si>
    <t>FGC16433; Y4593; Z16755</t>
  </si>
  <si>
    <t>rs901244506</t>
  </si>
  <si>
    <t>FGC16433</t>
  </si>
  <si>
    <t>F7237; Y4593; Z16755</t>
  </si>
  <si>
    <t>Y4593</t>
  </si>
  <si>
    <t>F7237; FGC16433; Z16755</t>
  </si>
  <si>
    <t>Z16755</t>
  </si>
  <si>
    <t>F7237; FGC16433; Y4593</t>
  </si>
  <si>
    <t>F7264</t>
  </si>
  <si>
    <t>FGC16442; Y4609; Z16756</t>
  </si>
  <si>
    <t>rs945530955</t>
  </si>
  <si>
    <t>FGC16442</t>
  </si>
  <si>
    <t>F7264; Y4609; Z16756</t>
  </si>
  <si>
    <t>Y4609</t>
  </si>
  <si>
    <t>F7264; FGC16442; Z16756</t>
  </si>
  <si>
    <t>Z16756</t>
  </si>
  <si>
    <t>F7264; FGC16442; Y4609</t>
  </si>
  <si>
    <t>F7441</t>
  </si>
  <si>
    <t>FGC16473; Y4618; Z16740</t>
  </si>
  <si>
    <t>rs1050081063</t>
  </si>
  <si>
    <t>FGC16473</t>
  </si>
  <si>
    <t>F7441; Y4618; Z16740</t>
  </si>
  <si>
    <t>Y4618</t>
  </si>
  <si>
    <t>F7441; FGC16473; Z16740</t>
  </si>
  <si>
    <t>Z16740</t>
  </si>
  <si>
    <t>F7441; FGC16473; Y4618</t>
  </si>
  <si>
    <t>F7445</t>
  </si>
  <si>
    <t>FGC16474; Y4619; Z16741</t>
  </si>
  <si>
    <t>rs958928223</t>
  </si>
  <si>
    <t>FGC16474</t>
  </si>
  <si>
    <t>F7445; Y4619; Z16741</t>
  </si>
  <si>
    <t>Y4619</t>
  </si>
  <si>
    <t>F7445; FGC16474; Z16741</t>
  </si>
  <si>
    <t>Z16741</t>
  </si>
  <si>
    <t>F7445; FGC16474; Y4619</t>
  </si>
  <si>
    <t>F7490</t>
  </si>
  <si>
    <t>FGC16478; Y4623; Z16759</t>
  </si>
  <si>
    <t>rs1045282439</t>
  </si>
  <si>
    <t>FGC16478</t>
  </si>
  <si>
    <t>F7490; Y4623; Z16759</t>
  </si>
  <si>
    <t>Y4623</t>
  </si>
  <si>
    <t>F7490; FGC16478; Z16759</t>
  </si>
  <si>
    <t>Z16759</t>
  </si>
  <si>
    <t>F7490; FGC16478; Y4623</t>
  </si>
  <si>
    <t>F7514</t>
  </si>
  <si>
    <t>FGC16480; Y4625; Z16743</t>
  </si>
  <si>
    <t>rs1050142713</t>
  </si>
  <si>
    <t>FGC16480</t>
  </si>
  <si>
    <t>F7514; Y4625; Z16743</t>
  </si>
  <si>
    <t>Y4625</t>
  </si>
  <si>
    <t>F7514; FGC16480; Z16743</t>
  </si>
  <si>
    <t>Z16743</t>
  </si>
  <si>
    <t>F7514; FGC16480; Y4625</t>
  </si>
  <si>
    <t>F7526</t>
  </si>
  <si>
    <t>FGC16483; Y4628; Z16761</t>
  </si>
  <si>
    <t>rs1011953030</t>
  </si>
  <si>
    <t>FGC16483</t>
  </si>
  <si>
    <t>F7526; Y4628; Z16761</t>
  </si>
  <si>
    <t>Y4628</t>
  </si>
  <si>
    <t>F7526; FGC16483; Z16761</t>
  </si>
  <si>
    <t>Z16761</t>
  </si>
  <si>
    <t>F7526; FGC16483; Y4628</t>
  </si>
  <si>
    <t>F7561</t>
  </si>
  <si>
    <t>FGC16491; Y4635; Z16762</t>
  </si>
  <si>
    <t>rs1006914291</t>
  </si>
  <si>
    <t>FGC16491</t>
  </si>
  <si>
    <t>F7561; Y4635; Z16762</t>
  </si>
  <si>
    <t>Y4635</t>
  </si>
  <si>
    <t>F7561; FGC16491; Z16762</t>
  </si>
  <si>
    <t>Z16762</t>
  </si>
  <si>
    <t>F7561; FGC16491; Y4635</t>
  </si>
  <si>
    <t>F7571</t>
  </si>
  <si>
    <t>FGC16494; Y4638; Z16763</t>
  </si>
  <si>
    <t>rs775289173</t>
  </si>
  <si>
    <t>FGC16494</t>
  </si>
  <si>
    <t>F7571; Y4638; Z16763</t>
  </si>
  <si>
    <t>Y4638</t>
  </si>
  <si>
    <t>F7571; FGC16494; Z16763</t>
  </si>
  <si>
    <t>Z16763</t>
  </si>
  <si>
    <t>F7571; FGC16494; Y4638</t>
  </si>
  <si>
    <t>F7972</t>
  </si>
  <si>
    <t>FGC16515; Y6680; Z16766</t>
  </si>
  <si>
    <t>rs941463231</t>
  </si>
  <si>
    <t>FGC16515</t>
  </si>
  <si>
    <t>F7972; Y6680; Z16766</t>
  </si>
  <si>
    <t>Y6680</t>
  </si>
  <si>
    <t>F7972; FGC16515; Z16766</t>
  </si>
  <si>
    <t>Z16766</t>
  </si>
  <si>
    <t>F7972; FGC16515; Y6680</t>
  </si>
  <si>
    <t>F7975</t>
  </si>
  <si>
    <t>FGC16516; Y4651; Z16767</t>
  </si>
  <si>
    <t>rs899673748</t>
  </si>
  <si>
    <t>FGC16516</t>
  </si>
  <si>
    <t>F7975; Y4651; Z16767</t>
  </si>
  <si>
    <t>Y4651</t>
  </si>
  <si>
    <t>F7975; FGC16516; Z16767</t>
  </si>
  <si>
    <t>Z16767</t>
  </si>
  <si>
    <t>F7975; FGC16516; Y4651</t>
  </si>
  <si>
    <t>F10171</t>
  </si>
  <si>
    <t>FGC16331; Y4543</t>
  </si>
  <si>
    <t>rs1014037976</t>
  </si>
  <si>
    <t>FGC16331</t>
  </si>
  <si>
    <t>F10171; Y4543</t>
  </si>
  <si>
    <t>Y4543</t>
  </si>
  <si>
    <t>F10171; FGC16331</t>
  </si>
  <si>
    <t>F11315</t>
  </si>
  <si>
    <t>FGC16373; Y6699; Z16750</t>
  </si>
  <si>
    <t>rs751561177</t>
  </si>
  <si>
    <t>FGC16373</t>
  </si>
  <si>
    <t>F11315; Y6699; Z16750</t>
  </si>
  <si>
    <t>Y6699</t>
  </si>
  <si>
    <t>F11315; FGC16373; Z16750</t>
  </si>
  <si>
    <t>Z16750</t>
  </si>
  <si>
    <t>F11315; FGC16373; Y6699</t>
  </si>
  <si>
    <t>F11643</t>
  </si>
  <si>
    <t>FGC16395; Y6702; Z16732</t>
  </si>
  <si>
    <t>rs939649786</t>
  </si>
  <si>
    <t>FGC16395</t>
  </si>
  <si>
    <t>F11643; Y6702; Z16732</t>
  </si>
  <si>
    <t>Y6702</t>
  </si>
  <si>
    <t>F11643; FGC16395; Z16732</t>
  </si>
  <si>
    <t>Z16732</t>
  </si>
  <si>
    <t>F11643; FGC16395; Y6702</t>
  </si>
  <si>
    <t>F11930</t>
  </si>
  <si>
    <t>FGC16413; Y4582; Z16769</t>
  </si>
  <si>
    <t>rs1001873068</t>
  </si>
  <si>
    <t>FGC16413</t>
  </si>
  <si>
    <t>F11930; Y4582; Z16769</t>
  </si>
  <si>
    <t>Y4582</t>
  </si>
  <si>
    <t>F11930; FGC16413; Z16769</t>
  </si>
  <si>
    <t>Z16769</t>
  </si>
  <si>
    <t>F11930; FGC16413; Y4582</t>
  </si>
  <si>
    <t>F12453</t>
  </si>
  <si>
    <t>FGC16446; Y6708; Z16758</t>
  </si>
  <si>
    <t>rs965694031</t>
  </si>
  <si>
    <t>FGC16446</t>
  </si>
  <si>
    <t>F12453; Y6708; Z16758</t>
  </si>
  <si>
    <t>Y6708</t>
  </si>
  <si>
    <t>F12453; FGC16446; Z16758</t>
  </si>
  <si>
    <t>Z16758</t>
  </si>
  <si>
    <t>F12453; FGC16446; Y6708</t>
  </si>
  <si>
    <t>F12980</t>
  </si>
  <si>
    <t>FGC16479; Y4624; Z16742</t>
  </si>
  <si>
    <t>rs958497801</t>
  </si>
  <si>
    <t>FGC16479</t>
  </si>
  <si>
    <t>F12980; Y4624; Z16742</t>
  </si>
  <si>
    <t>Y4624</t>
  </si>
  <si>
    <t>F12980; FGC16479; Z16742</t>
  </si>
  <si>
    <t>Z16742</t>
  </si>
  <si>
    <t>F12980; FGC16479; Y4624</t>
  </si>
  <si>
    <t>F13026</t>
  </si>
  <si>
    <t>FGC16482; Y4627; Z16760</t>
  </si>
  <si>
    <t>rs1011922098</t>
  </si>
  <si>
    <t>FGC16482</t>
  </si>
  <si>
    <t>F13026; Y4627; Z16760</t>
  </si>
  <si>
    <t>Y4627</t>
  </si>
  <si>
    <t>F13026; FGC16482; Z16760</t>
  </si>
  <si>
    <t>Z16760</t>
  </si>
  <si>
    <t>F13026; FGC16482; Y4627</t>
  </si>
  <si>
    <t>FGC16218</t>
  </si>
  <si>
    <t>Y4498; Z16720</t>
  </si>
  <si>
    <t>rs1005541452</t>
  </si>
  <si>
    <t>Y4498</t>
  </si>
  <si>
    <t>FGC16218; Z16720</t>
  </si>
  <si>
    <t>Z16720</t>
  </si>
  <si>
    <t>FGC16218; Y4498</t>
  </si>
  <si>
    <t>FGC16314</t>
  </si>
  <si>
    <t>Y4533; Z16721</t>
  </si>
  <si>
    <t>rs779988309</t>
  </si>
  <si>
    <t>Y4533</t>
  </si>
  <si>
    <t>FGC16314; Z16721</t>
  </si>
  <si>
    <t>Z16721</t>
  </si>
  <si>
    <t>FGC16314; Y4533</t>
  </si>
  <si>
    <t>FGC16320</t>
  </si>
  <si>
    <t>Y4539; Z16722</t>
  </si>
  <si>
    <t>rs1013181626</t>
  </si>
  <si>
    <t>Y4539</t>
  </si>
  <si>
    <t>FGC16320; Z16722</t>
  </si>
  <si>
    <t>Z16722</t>
  </si>
  <si>
    <t>FGC16320; Y4539</t>
  </si>
  <si>
    <t>FGC16322</t>
  </si>
  <si>
    <t>Y4555; Z16723</t>
  </si>
  <si>
    <t>rs925084021</t>
  </si>
  <si>
    <t>Y4555</t>
  </si>
  <si>
    <t>FGC16322; Z16723</t>
  </si>
  <si>
    <t>Z16723</t>
  </si>
  <si>
    <t>FGC16322; Y4555</t>
  </si>
  <si>
    <t>FGC16327</t>
  </si>
  <si>
    <t>Y4540; Z16724</t>
  </si>
  <si>
    <t>rs975135387</t>
  </si>
  <si>
    <t>Y4540</t>
  </si>
  <si>
    <t>FGC16327; Z16724</t>
  </si>
  <si>
    <t>Z16724</t>
  </si>
  <si>
    <t>FGC16327; Y4540</t>
  </si>
  <si>
    <t>FGC16333</t>
  </si>
  <si>
    <t>Y6706; Z16725</t>
  </si>
  <si>
    <t>rs916165083</t>
  </si>
  <si>
    <t>Y6706</t>
  </si>
  <si>
    <t>FGC16333; Z16725</t>
  </si>
  <si>
    <t>Z16725</t>
  </si>
  <si>
    <t>FGC16333; Y6706</t>
  </si>
  <si>
    <t>FGC16341</t>
  </si>
  <si>
    <t>Y4549; Z18167</t>
  </si>
  <si>
    <t>rs947295471</t>
  </si>
  <si>
    <t>Y4549</t>
  </si>
  <si>
    <t>FGC16341; Z18167</t>
  </si>
  <si>
    <t>Z18167</t>
  </si>
  <si>
    <t>FGC16341; Y4549</t>
  </si>
  <si>
    <t>FGC16366</t>
  </si>
  <si>
    <t>Y8799; Z16729</t>
  </si>
  <si>
    <t>rs996277637</t>
  </si>
  <si>
    <t>Y8799</t>
  </si>
  <si>
    <t>FGC16366; Z16729</t>
  </si>
  <si>
    <t>Z16729</t>
  </si>
  <si>
    <t>FGC16366; Y8799</t>
  </si>
  <si>
    <t>FGC167378^</t>
  </si>
  <si>
    <t>Y6700^</t>
  </si>
  <si>
    <t>rs959307926</t>
  </si>
  <si>
    <t>FGC16378^</t>
  </si>
  <si>
    <t>FGC16380</t>
  </si>
  <si>
    <t>Y4560; Z16730</t>
  </si>
  <si>
    <t>rs747974628</t>
  </si>
  <si>
    <t>Y4560</t>
  </si>
  <si>
    <t>FGC16380; Z16730</t>
  </si>
  <si>
    <t>Z16730</t>
  </si>
  <si>
    <t>FGC16380; Y4560</t>
  </si>
  <si>
    <t>FGC16392</t>
  </si>
  <si>
    <t>Y4568; Z18169</t>
  </si>
  <si>
    <t>rs928833667</t>
  </si>
  <si>
    <t>Y4568</t>
  </si>
  <si>
    <t>FGC16392; Z18169</t>
  </si>
  <si>
    <t>Z18169</t>
  </si>
  <si>
    <t>FGC16392; Y4568</t>
  </si>
  <si>
    <t>FGC16404</t>
  </si>
  <si>
    <t>Y4577; Z16733</t>
  </si>
  <si>
    <t>rs960993383</t>
  </si>
  <si>
    <t>Y4577</t>
  </si>
  <si>
    <t>FGC16404; Z16733</t>
  </si>
  <si>
    <t>Z16733</t>
  </si>
  <si>
    <t>FGC16404; Y4577</t>
  </si>
  <si>
    <t>FGC16408</t>
  </si>
  <si>
    <t>Y6712; Z16734</t>
  </si>
  <si>
    <t>rs752364245</t>
  </si>
  <si>
    <t>Y6712</t>
  </si>
  <si>
    <t>FGC16408; Z16734</t>
  </si>
  <si>
    <t>Z16734</t>
  </si>
  <si>
    <t>FGC16408; Y6712</t>
  </si>
  <si>
    <t>FGC16420</t>
  </si>
  <si>
    <t>Y4587; Z18152</t>
  </si>
  <si>
    <t>rs774431443</t>
  </si>
  <si>
    <t>Y4587</t>
  </si>
  <si>
    <t>FGC16420; Z18152</t>
  </si>
  <si>
    <t>Z18152</t>
  </si>
  <si>
    <t>FGC16420; Y4587</t>
  </si>
  <si>
    <t>FGC16425</t>
  </si>
  <si>
    <t>Y6704; Z18153</t>
  </si>
  <si>
    <t>rs776354627</t>
  </si>
  <si>
    <t>Y6704</t>
  </si>
  <si>
    <t>FGC16425; Z18153</t>
  </si>
  <si>
    <t>Z18153</t>
  </si>
  <si>
    <t>FGC16425; Y6704</t>
  </si>
  <si>
    <t>FGC16430</t>
  </si>
  <si>
    <t>Y4592</t>
  </si>
  <si>
    <t>rs1023486206</t>
  </si>
  <si>
    <t>FGC16458</t>
  </si>
  <si>
    <t>Y4616; Z18166</t>
  </si>
  <si>
    <t>rs966666904</t>
  </si>
  <si>
    <t>Y4616</t>
  </si>
  <si>
    <t>FGC16458; Z18166</t>
  </si>
  <si>
    <t>Z18166</t>
  </si>
  <si>
    <t>FGC16458; Y4616</t>
  </si>
  <si>
    <t>Y4623; Z16759</t>
  </si>
  <si>
    <t>FGC16478; Z16759</t>
  </si>
  <si>
    <t>FGC16478; Y4623</t>
  </si>
  <si>
    <t>FGC16505</t>
  </si>
  <si>
    <t>Y6709; Z16744</t>
  </si>
  <si>
    <t>rs894191769</t>
  </si>
  <si>
    <t>Y6709</t>
  </si>
  <si>
    <t>FGC16505; Z16744</t>
  </si>
  <si>
    <t>Z16744</t>
  </si>
  <si>
    <t>FGC16505; Y6709</t>
  </si>
  <si>
    <t>FGC16511</t>
  </si>
  <si>
    <t>Y4648; Z18156</t>
  </si>
  <si>
    <t>rs914902248</t>
  </si>
  <si>
    <t>Y4648</t>
  </si>
  <si>
    <t>FGC16511; Z18156</t>
  </si>
  <si>
    <t>Z18156</t>
  </si>
  <si>
    <t>FGC16511; Y4648</t>
  </si>
  <si>
    <t>FGC16520</t>
  </si>
  <si>
    <t>Y4653; Z18157</t>
  </si>
  <si>
    <t>rs934300202</t>
  </si>
  <si>
    <t>Y4653</t>
  </si>
  <si>
    <t>FGC16520; Z18157</t>
  </si>
  <si>
    <t>Z18157</t>
  </si>
  <si>
    <t>FGC16520; Y4653</t>
  </si>
  <si>
    <t>FGC16523</t>
  </si>
  <si>
    <t>Y4656; Z18159</t>
  </si>
  <si>
    <t>rs992871659</t>
  </si>
  <si>
    <t>Y4656</t>
  </si>
  <si>
    <t>FGC16523; Z18159</t>
  </si>
  <si>
    <t>Z18159</t>
  </si>
  <si>
    <t>FGC16523; Y4656</t>
  </si>
  <si>
    <t>F3447</t>
  </si>
  <si>
    <t>rs976898744</t>
  </si>
  <si>
    <t>F3914</t>
  </si>
  <si>
    <t>rs769115887</t>
  </si>
  <si>
    <t>F4032</t>
  </si>
  <si>
    <t>FGC16362</t>
  </si>
  <si>
    <t>Z18162</t>
  </si>
  <si>
    <t>rs1022627307</t>
  </si>
  <si>
    <t>F1699</t>
  </si>
  <si>
    <t>rs758942335</t>
  </si>
  <si>
    <t>F1788</t>
  </si>
  <si>
    <t>rs753648863</t>
  </si>
  <si>
    <t>F3927</t>
  </si>
  <si>
    <t>rs756340879</t>
  </si>
  <si>
    <t>FGC16324</t>
  </si>
  <si>
    <t>Y6697</t>
  </si>
  <si>
    <t>rs952588876</t>
  </si>
  <si>
    <t>Y4583</t>
  </si>
  <si>
    <t>Z22209</t>
  </si>
  <si>
    <t>rs761122347</t>
  </si>
  <si>
    <t>F3918</t>
  </si>
  <si>
    <t>B473</t>
  </si>
  <si>
    <t>SK1079; Y10421; Z18161</t>
  </si>
  <si>
    <t>rs914242558</t>
  </si>
  <si>
    <t>SK1079</t>
  </si>
  <si>
    <t>B473; Y10421; Z18161</t>
  </si>
  <si>
    <t>Y10421</t>
  </si>
  <si>
    <t>B473; SK1079; Z18161</t>
  </si>
  <si>
    <t>Z18161</t>
  </si>
  <si>
    <t>B473; SK1079; Y10421</t>
  </si>
  <si>
    <t>F4015</t>
  </si>
  <si>
    <t>rs1041067330</t>
  </si>
  <si>
    <t>FGC28955</t>
  </si>
  <si>
    <t>Y10441; Z18155</t>
  </si>
  <si>
    <t>rs1031404294</t>
  </si>
  <si>
    <t>Y10441</t>
  </si>
  <si>
    <t>FGC28955; Z18155</t>
  </si>
  <si>
    <t>Z18155</t>
  </si>
  <si>
    <t>FGC28955; Y10441</t>
  </si>
  <si>
    <t>FGC28928</t>
  </si>
  <si>
    <t>Y10435; Z18160</t>
  </si>
  <si>
    <t>rs932547133</t>
  </si>
  <si>
    <t>Y10435</t>
  </si>
  <si>
    <t>FGC28928; Z18160</t>
  </si>
  <si>
    <t>Z18160</t>
  </si>
  <si>
    <t>FGC28928; Y10435</t>
  </si>
  <si>
    <t>FGC28905</t>
  </si>
  <si>
    <t>Y11623; Z18163</t>
  </si>
  <si>
    <t>Y11623</t>
  </si>
  <si>
    <t>FGC28905; Z18163</t>
  </si>
  <si>
    <t>rs887450245</t>
  </si>
  <si>
    <t>Z18163</t>
  </si>
  <si>
    <t>FGC28905; Y11623</t>
  </si>
  <si>
    <t>P39^^</t>
  </si>
  <si>
    <t>Z30536</t>
  </si>
  <si>
    <t>BY728</t>
  </si>
  <si>
    <t>Z30532</t>
  </si>
  <si>
    <t>rs1001018907</t>
  </si>
  <si>
    <t>BY738</t>
  </si>
  <si>
    <t>Z30533</t>
  </si>
  <si>
    <t>rs1040221632</t>
  </si>
  <si>
    <t>BY751</t>
  </si>
  <si>
    <t>Z30539</t>
  </si>
  <si>
    <t>rs923160028</t>
  </si>
  <si>
    <t>BY754</t>
  </si>
  <si>
    <t>Z30540</t>
  </si>
  <si>
    <t>rs891307784</t>
  </si>
  <si>
    <t>BY762</t>
  </si>
  <si>
    <t>Z30541</t>
  </si>
  <si>
    <t>rs983184930</t>
  </si>
  <si>
    <t>BY778</t>
  </si>
  <si>
    <t>Z30542</t>
  </si>
  <si>
    <t>rs981830268</t>
  </si>
  <si>
    <t>BY783</t>
  </si>
  <si>
    <t>Z30543</t>
  </si>
  <si>
    <t>rs996614268</t>
  </si>
  <si>
    <t>BY800</t>
  </si>
  <si>
    <t>Z30545</t>
  </si>
  <si>
    <t>rs1024388724</t>
  </si>
  <si>
    <t>BY822</t>
  </si>
  <si>
    <t>Z30546</t>
  </si>
  <si>
    <t>rs925019301</t>
  </si>
  <si>
    <t>BY849</t>
  </si>
  <si>
    <t>Z30548</t>
  </si>
  <si>
    <t>BY857</t>
  </si>
  <si>
    <t>Z30549</t>
  </si>
  <si>
    <t>BY969</t>
  </si>
  <si>
    <t>Z30554</t>
  </si>
  <si>
    <t>rs909962720</t>
  </si>
  <si>
    <t>BY1050</t>
  </si>
  <si>
    <t>Z30555</t>
  </si>
  <si>
    <t>BY1114</t>
  </si>
  <si>
    <t>Z30556</t>
  </si>
  <si>
    <t>rs1038052010</t>
  </si>
  <si>
    <t>BY1148</t>
  </si>
  <si>
    <t>Z30558</t>
  </si>
  <si>
    <t>rs974925012</t>
  </si>
  <si>
    <t>BY1150</t>
  </si>
  <si>
    <t>Z30580</t>
  </si>
  <si>
    <t>rs1036387293</t>
  </si>
  <si>
    <t>BY1190</t>
  </si>
  <si>
    <t>Z30559</t>
  </si>
  <si>
    <t>rs1029744692</t>
  </si>
  <si>
    <t>BY1192</t>
  </si>
  <si>
    <t>Z30560</t>
  </si>
  <si>
    <t>rs950472879</t>
  </si>
  <si>
    <t>BY1204</t>
  </si>
  <si>
    <t>Z30561</t>
  </si>
  <si>
    <t>rs917961573</t>
  </si>
  <si>
    <t>BY1271</t>
  </si>
  <si>
    <t>Z30562</t>
  </si>
  <si>
    <t>rs1055267823</t>
  </si>
  <si>
    <t>BY1345</t>
  </si>
  <si>
    <t>Z30566</t>
  </si>
  <si>
    <t>rs938571707</t>
  </si>
  <si>
    <t>BY1352</t>
  </si>
  <si>
    <t>Z30567</t>
  </si>
  <si>
    <t>rs929385144</t>
  </si>
  <si>
    <t>BY1361</t>
  </si>
  <si>
    <t>Z30569</t>
  </si>
  <si>
    <t>rs936669439</t>
  </si>
  <si>
    <t>BY1363</t>
  </si>
  <si>
    <t>Z30570</t>
  </si>
  <si>
    <t>rs940290063</t>
  </si>
  <si>
    <t>BY1370</t>
  </si>
  <si>
    <t>Z30571</t>
  </si>
  <si>
    <t>rs1051156520</t>
  </si>
  <si>
    <t>BY1404</t>
  </si>
  <si>
    <t>Z30572</t>
  </si>
  <si>
    <t>rs937408142</t>
  </si>
  <si>
    <t>BY1406</t>
  </si>
  <si>
    <t>Z30573</t>
  </si>
  <si>
    <t>rs994378281</t>
  </si>
  <si>
    <t>BY1409</t>
  </si>
  <si>
    <t>Z30575</t>
  </si>
  <si>
    <t>rs1024185644</t>
  </si>
  <si>
    <t>BY1458</t>
  </si>
  <si>
    <t>Z30576</t>
  </si>
  <si>
    <t>rs916404230</t>
  </si>
  <si>
    <t>BY1464</t>
  </si>
  <si>
    <t>Z30751</t>
  </si>
  <si>
    <t>rs1021707810</t>
  </si>
  <si>
    <t>BY1468</t>
  </si>
  <si>
    <t>Z30577</t>
  </si>
  <si>
    <t>rs930082072</t>
  </si>
  <si>
    <t>BY1501</t>
  </si>
  <si>
    <t>Z30578</t>
  </si>
  <si>
    <t>rs934114280</t>
  </si>
  <si>
    <t>BY1710</t>
  </si>
  <si>
    <t>Z30581</t>
  </si>
  <si>
    <t>rs887425864</t>
  </si>
  <si>
    <t>BY1724</t>
  </si>
  <si>
    <t>Z30582</t>
  </si>
  <si>
    <t>rs1025423403</t>
  </si>
  <si>
    <t>BY1739</t>
  </si>
  <si>
    <t>Z30584</t>
  </si>
  <si>
    <t>rs924643007</t>
  </si>
  <si>
    <t>BY2078</t>
  </si>
  <si>
    <t>Z30588</t>
  </si>
  <si>
    <t>rs978121977</t>
  </si>
  <si>
    <t>BY2113</t>
  </si>
  <si>
    <t>Z30590</t>
  </si>
  <si>
    <t>rs966000207</t>
  </si>
  <si>
    <t>BY2121</t>
  </si>
  <si>
    <t>Z30592</t>
  </si>
  <si>
    <t>rs1047435663</t>
  </si>
  <si>
    <t>BY2144</t>
  </si>
  <si>
    <t>Z30594</t>
  </si>
  <si>
    <t>rs959052647</t>
  </si>
  <si>
    <t>BY2270</t>
  </si>
  <si>
    <t>Z30770</t>
  </si>
  <si>
    <t>V4206</t>
  </si>
  <si>
    <t>Z30579</t>
  </si>
  <si>
    <t>rs938493403</t>
  </si>
  <si>
    <t>Z12681.2</t>
  </si>
  <si>
    <t>rs780428859</t>
  </si>
  <si>
    <t>Z21455.2</t>
  </si>
  <si>
    <t>rs1004938540</t>
  </si>
  <si>
    <t>Z30535</t>
  </si>
  <si>
    <t>rs954956705</t>
  </si>
  <si>
    <t>Z30537</t>
  </si>
  <si>
    <t>rs920530957</t>
  </si>
  <si>
    <t>Z30544</t>
  </si>
  <si>
    <t>rs943365824</t>
  </si>
  <si>
    <t>Z30550</t>
  </si>
  <si>
    <t>Z30557</t>
  </si>
  <si>
    <t>rs983944810</t>
  </si>
  <si>
    <t>Z30564</t>
  </si>
  <si>
    <t>rs1018946031</t>
  </si>
  <si>
    <t>Z30574</t>
  </si>
  <si>
    <t>rs1044448633</t>
  </si>
  <si>
    <t>Z30587</t>
  </si>
  <si>
    <t>Z30593</t>
  </si>
  <si>
    <t>rs953808095</t>
  </si>
  <si>
    <t>BY1360</t>
  </si>
  <si>
    <t>Z30568</t>
  </si>
  <si>
    <t>rs1034496763</t>
  </si>
  <si>
    <t>BY2080</t>
  </si>
  <si>
    <t>Z30589</t>
  </si>
  <si>
    <t>rs1024315947</t>
  </si>
  <si>
    <t>BY2117</t>
  </si>
  <si>
    <t>Z30591</t>
  </si>
  <si>
    <t>rs1009900557</t>
  </si>
  <si>
    <t>BY2192</t>
  </si>
  <si>
    <t>Z30595</t>
  </si>
  <si>
    <t>Z30583</t>
  </si>
  <si>
    <t>rs1006869036</t>
  </si>
  <si>
    <t>Z30586</t>
  </si>
  <si>
    <t>rs959969422</t>
  </si>
  <si>
    <t>Z30752</t>
  </si>
  <si>
    <t>rs1013907159</t>
  </si>
  <si>
    <t>Z30538</t>
  </si>
  <si>
    <t>rs956319419</t>
  </si>
  <si>
    <t>BY825</t>
  </si>
  <si>
    <t>Z30547</t>
  </si>
  <si>
    <t>rs993046218</t>
  </si>
  <si>
    <t>BY1276</t>
  </si>
  <si>
    <t>Z30563</t>
  </si>
  <si>
    <t>rs1036870721</t>
  </si>
  <si>
    <t>BY1300</t>
  </si>
  <si>
    <t>Z30565</t>
  </si>
  <si>
    <t>rs1013956719</t>
  </si>
  <si>
    <t>Z30585</t>
  </si>
  <si>
    <t>rs1038193183</t>
  </si>
  <si>
    <t>Z30750</t>
  </si>
  <si>
    <t>Z30747</t>
  </si>
  <si>
    <t>Z30748</t>
  </si>
  <si>
    <t>rs1015867169</t>
  </si>
  <si>
    <t>Z30749</t>
  </si>
  <si>
    <t>Z30753</t>
  </si>
  <si>
    <t>Z30754</t>
  </si>
  <si>
    <t>Z30755</t>
  </si>
  <si>
    <t>Z30756</t>
  </si>
  <si>
    <t>Z30757</t>
  </si>
  <si>
    <t>Z30758</t>
  </si>
  <si>
    <t>Z30760</t>
  </si>
  <si>
    <t>Z30761</t>
  </si>
  <si>
    <t>Z30763</t>
  </si>
  <si>
    <t>BY736</t>
  </si>
  <si>
    <t>Z30764</t>
  </si>
  <si>
    <t>BY1076</t>
  </si>
  <si>
    <t>Z30817</t>
  </si>
  <si>
    <t>BY2092</t>
  </si>
  <si>
    <t>Z30821</t>
  </si>
  <si>
    <t>BY2118</t>
  </si>
  <si>
    <t>Z30822</t>
  </si>
  <si>
    <t>Z30768</t>
  </si>
  <si>
    <t>Z30819</t>
  </si>
  <si>
    <t>Z30820</t>
  </si>
  <si>
    <t>Z30765</t>
  </si>
  <si>
    <t>Z30766</t>
  </si>
  <si>
    <t>S17446</t>
  </si>
  <si>
    <t>Z30824</t>
  </si>
  <si>
    <t>rs938336104</t>
  </si>
  <si>
    <t>Z30825</t>
  </si>
  <si>
    <t>Z30826</t>
  </si>
  <si>
    <t>Z38940</t>
  </si>
  <si>
    <t>Z38941</t>
  </si>
  <si>
    <t>Z38942</t>
  </si>
  <si>
    <t>Z38943</t>
  </si>
  <si>
    <t>Z38944</t>
  </si>
  <si>
    <t>Z38874</t>
  </si>
  <si>
    <t>NCG8</t>
  </si>
  <si>
    <t>Z45636</t>
  </si>
  <si>
    <t>Z45637</t>
  </si>
  <si>
    <t>Z45638</t>
  </si>
  <si>
    <t>Z45639</t>
  </si>
  <si>
    <t>Z45640</t>
  </si>
  <si>
    <t>rs979778213</t>
  </si>
  <si>
    <t>Z45642</t>
  </si>
  <si>
    <t>rs933134572</t>
  </si>
  <si>
    <t>Z38870</t>
  </si>
  <si>
    <t>Z38871</t>
  </si>
  <si>
    <t>Z38872</t>
  </si>
  <si>
    <t>Z38873</t>
  </si>
  <si>
    <t>Z45643</t>
  </si>
  <si>
    <t>Z45644</t>
  </si>
  <si>
    <t>Z45645</t>
  </si>
  <si>
    <t>Z45646</t>
  </si>
  <si>
    <t>Z45647</t>
  </si>
  <si>
    <t>F1756</t>
  </si>
  <si>
    <t>rs1001517560</t>
  </si>
  <si>
    <t>F3985</t>
  </si>
  <si>
    <t>F3825</t>
  </si>
  <si>
    <t>rs897770441</t>
  </si>
  <si>
    <t>F3843</t>
  </si>
  <si>
    <t>F3844</t>
  </si>
  <si>
    <t>rs976868745</t>
  </si>
  <si>
    <t>F3868</t>
  </si>
  <si>
    <t>rs1019105699</t>
  </si>
  <si>
    <t>F3896</t>
  </si>
  <si>
    <t>rs750430728</t>
  </si>
  <si>
    <t>F3931</t>
  </si>
  <si>
    <t>F3937</t>
  </si>
  <si>
    <t>rs892829623</t>
  </si>
  <si>
    <t>F3955</t>
  </si>
  <si>
    <t>rs891332952</t>
  </si>
  <si>
    <t>F3971</t>
  </si>
  <si>
    <t>rs910419583</t>
  </si>
  <si>
    <t>F4006</t>
  </si>
  <si>
    <t>rs964250412</t>
  </si>
  <si>
    <t>F4017</t>
  </si>
  <si>
    <t>rs889264011</t>
  </si>
  <si>
    <t>F9732</t>
  </si>
  <si>
    <t>FGC28843; Y10419; Z30395</t>
  </si>
  <si>
    <t>rs929065107</t>
  </si>
  <si>
    <t>FGC28843</t>
  </si>
  <si>
    <t>F9732; Y10419; Z30395</t>
  </si>
  <si>
    <t>Y10419</t>
  </si>
  <si>
    <t>F9732; FGC28843; Z30395</t>
  </si>
  <si>
    <t>Z30395</t>
  </si>
  <si>
    <t>F9732; FGC28843; Y10419</t>
  </si>
  <si>
    <t>F9838</t>
  </si>
  <si>
    <t>FGC28847; Y11619</t>
  </si>
  <si>
    <t>FGC28847</t>
  </si>
  <si>
    <t>F9838; Y11619</t>
  </si>
  <si>
    <t>Y11619</t>
  </si>
  <si>
    <t>F9838; FGC28847</t>
  </si>
  <si>
    <t>F11455</t>
  </si>
  <si>
    <t>FGC28886; Y10423</t>
  </si>
  <si>
    <t>rs975426905</t>
  </si>
  <si>
    <t>FGC28886</t>
  </si>
  <si>
    <t>F11455; Y10423</t>
  </si>
  <si>
    <t>Y10423</t>
  </si>
  <si>
    <t>F11455; FGC28886</t>
  </si>
  <si>
    <t>F12111</t>
  </si>
  <si>
    <t>FGC28911; Y11625</t>
  </si>
  <si>
    <t>rs929523132</t>
  </si>
  <si>
    <t>FGC28911</t>
  </si>
  <si>
    <t>F12111; Y11625</t>
  </si>
  <si>
    <t>Y11625</t>
  </si>
  <si>
    <t>F12111; FGC28911</t>
  </si>
  <si>
    <t>F12449</t>
  </si>
  <si>
    <t>FGC28925; Y11628</t>
  </si>
  <si>
    <t>rs949058769</t>
  </si>
  <si>
    <t>FGC28925</t>
  </si>
  <si>
    <t>F12449; Y11628</t>
  </si>
  <si>
    <t>Y11628</t>
  </si>
  <si>
    <t>F12449; FGC28925</t>
  </si>
  <si>
    <t>F12690</t>
  </si>
  <si>
    <t>FGC28931; Y10436</t>
  </si>
  <si>
    <t>rs990981129</t>
  </si>
  <si>
    <t>FGC28931</t>
  </si>
  <si>
    <t>F12690; Y10436</t>
  </si>
  <si>
    <t>Y10436</t>
  </si>
  <si>
    <t>F12690; FGC28931</t>
  </si>
  <si>
    <t>F12736</t>
  </si>
  <si>
    <t>FGC28932, Y11616, Z30426</t>
  </si>
  <si>
    <t>FGC28932</t>
  </si>
  <si>
    <t>F12736, Y11616, Z30426</t>
  </si>
  <si>
    <t>Y11616</t>
  </si>
  <si>
    <t>F12736, FGC28932, Z30426</t>
  </si>
  <si>
    <t>Z30426</t>
  </si>
  <si>
    <t>F12736, FGC28932, Y11616</t>
  </si>
  <si>
    <t>F12770</t>
  </si>
  <si>
    <t>FGC28935, Y10438</t>
  </si>
  <si>
    <t>FGC28935</t>
  </si>
  <si>
    <t>F12770, Y10438</t>
  </si>
  <si>
    <t>Y10438</t>
  </si>
  <si>
    <t>F12770, FGC28935</t>
  </si>
  <si>
    <t>F13512</t>
  </si>
  <si>
    <t>FGC28954; Y11609</t>
  </si>
  <si>
    <t>rs907268923</t>
  </si>
  <si>
    <t>FGC28954</t>
  </si>
  <si>
    <t>F13512; Y11609</t>
  </si>
  <si>
    <t>Y11609</t>
  </si>
  <si>
    <t>F13512; FGC28954</t>
  </si>
  <si>
    <t>FGC28844</t>
  </si>
  <si>
    <t>Y11618; Z30396</t>
  </si>
  <si>
    <t>rs896852544</t>
  </si>
  <si>
    <t>Y11618</t>
  </si>
  <si>
    <t>FGC28844; Z30396</t>
  </si>
  <si>
    <t>Z30396</t>
  </si>
  <si>
    <t>FGC28844; Y11618</t>
  </si>
  <si>
    <t>FGC28845</t>
  </si>
  <si>
    <t>FGC28848</t>
  </si>
  <si>
    <t>Y11620; Z30397</t>
  </si>
  <si>
    <t>Y11620</t>
  </si>
  <si>
    <t>FGC28848; Z30397</t>
  </si>
  <si>
    <t>Z30397</t>
  </si>
  <si>
    <t>FGC28848; Y11620</t>
  </si>
  <si>
    <t>FGC28851</t>
  </si>
  <si>
    <t>Y11621; Z30398</t>
  </si>
  <si>
    <t>rs1040168201</t>
  </si>
  <si>
    <t>Y11621</t>
  </si>
  <si>
    <t>FGC28851; Z30398</t>
  </si>
  <si>
    <t>Z30398</t>
  </si>
  <si>
    <t>FGC28851; Y11621</t>
  </si>
  <si>
    <t>FGC28854</t>
  </si>
  <si>
    <t>Y11601; Z30400</t>
  </si>
  <si>
    <t>rs922817187</t>
  </si>
  <si>
    <t>Y11601</t>
  </si>
  <si>
    <t>FGC28854; Z30400</t>
  </si>
  <si>
    <t>Z30400</t>
  </si>
  <si>
    <t>FGC28854; Y11601</t>
  </si>
  <si>
    <t>FGC28856</t>
  </si>
  <si>
    <t>Y11603; Z30401</t>
  </si>
  <si>
    <t>Y11603</t>
  </si>
  <si>
    <t>FGC28856; Z30401</t>
  </si>
  <si>
    <t>Z30401</t>
  </si>
  <si>
    <t>FGC28856; Y11603</t>
  </si>
  <si>
    <t>FGC28858</t>
  </si>
  <si>
    <t>Y11604; Z30403</t>
  </si>
  <si>
    <t>rs931267538</t>
  </si>
  <si>
    <t>Y11604</t>
  </si>
  <si>
    <t>FGC28858; Z30403</t>
  </si>
  <si>
    <t>Z30403</t>
  </si>
  <si>
    <t>FGC28858; Y11604</t>
  </si>
  <si>
    <t>FGC28859</t>
  </si>
  <si>
    <t>Y10422; Z30404</t>
  </si>
  <si>
    <t>Y10422</t>
  </si>
  <si>
    <t>FGC28859; Z30404</t>
  </si>
  <si>
    <t>Z30404</t>
  </si>
  <si>
    <t>FGC28859; Y10422</t>
  </si>
  <si>
    <t>FGC28861</t>
  </si>
  <si>
    <t>Y11602; Z30405</t>
  </si>
  <si>
    <t>rs1033510261</t>
  </si>
  <si>
    <t>Y11602</t>
  </si>
  <si>
    <t>FGC28861; Z30405</t>
  </si>
  <si>
    <t>Z30405</t>
  </si>
  <si>
    <t>FGC28861; Y11602</t>
  </si>
  <si>
    <t>FGC28862</t>
  </si>
  <si>
    <t>Y11627; Z30406</t>
  </si>
  <si>
    <t>Y11627</t>
  </si>
  <si>
    <t>FGC28862; Z30406</t>
  </si>
  <si>
    <t>Z30406</t>
  </si>
  <si>
    <t>FGC28862; Y11627</t>
  </si>
  <si>
    <t>FGC28864</t>
  </si>
  <si>
    <t>Y11607; Z30409</t>
  </si>
  <si>
    <t>rs997740305</t>
  </si>
  <si>
    <t>Y11607</t>
  </si>
  <si>
    <t>FGC28864; Z30409</t>
  </si>
  <si>
    <t>Z30409</t>
  </si>
  <si>
    <t>FGC28864; Y11607</t>
  </si>
  <si>
    <t>FGC28873</t>
  </si>
  <si>
    <t>Z30411</t>
  </si>
  <si>
    <t>rs972613941</t>
  </si>
  <si>
    <t>FGC28878</t>
  </si>
  <si>
    <t>Y11610; Z30412</t>
  </si>
  <si>
    <t>Y11610</t>
  </si>
  <si>
    <t>FGC28878; Z30412</t>
  </si>
  <si>
    <t>Z30412</t>
  </si>
  <si>
    <t>FGC28878; Y11610</t>
  </si>
  <si>
    <t>FGC28890</t>
  </si>
  <si>
    <t>Y11614; Z30413</t>
  </si>
  <si>
    <t>rs953690753</t>
  </si>
  <si>
    <t>Y11614</t>
  </si>
  <si>
    <t>FGC28890; Z30413</t>
  </si>
  <si>
    <t>Z30413</t>
  </si>
  <si>
    <t>FGC28890; Y11614</t>
  </si>
  <si>
    <t>FGC28891</t>
  </si>
  <si>
    <t>Y10426; Z30414</t>
  </si>
  <si>
    <t>rs983382782</t>
  </si>
  <si>
    <t>Y10426</t>
  </si>
  <si>
    <t>FGC28891; Z30414</t>
  </si>
  <si>
    <t>Z30414</t>
  </si>
  <si>
    <t>FGC28891; Y10426</t>
  </si>
  <si>
    <t>FGC28901</t>
  </si>
  <si>
    <t>Y11612; Z30416</t>
  </si>
  <si>
    <t>Y11612</t>
  </si>
  <si>
    <t>FGC28901; Z30416</t>
  </si>
  <si>
    <t>Z30416</t>
  </si>
  <si>
    <t>FGC28901; Y11612</t>
  </si>
  <si>
    <t>FGC28904</t>
  </si>
  <si>
    <t>Y11613; Z30417</t>
  </si>
  <si>
    <t>rs948224078</t>
  </si>
  <si>
    <t>Y11613</t>
  </si>
  <si>
    <t>FGC28904; Z30417</t>
  </si>
  <si>
    <t>Z30417</t>
  </si>
  <si>
    <t>FGC28904; Y11613</t>
  </si>
  <si>
    <t>FGC28906</t>
  </si>
  <si>
    <t>Y10429</t>
  </si>
  <si>
    <t>FGC28909</t>
  </si>
  <si>
    <t>Y10430; Z30418</t>
  </si>
  <si>
    <t>rs941998111</t>
  </si>
  <si>
    <t>Y10430</t>
  </si>
  <si>
    <t>FGC28909; Z30418</t>
  </si>
  <si>
    <t>Z30418</t>
  </si>
  <si>
    <t>FGC28909; Y10430</t>
  </si>
  <si>
    <t>FGC28910</t>
  </si>
  <si>
    <t>Y10431; Z30419</t>
  </si>
  <si>
    <t>Y10431</t>
  </si>
  <si>
    <t>FGC28910; Z30419</t>
  </si>
  <si>
    <t>Z30419</t>
  </si>
  <si>
    <t>FGC28910; Y10431</t>
  </si>
  <si>
    <t>FGC28917</t>
  </si>
  <si>
    <t>Y11626; Z30420</t>
  </si>
  <si>
    <t>rs996287483</t>
  </si>
  <si>
    <t>Y11626</t>
  </si>
  <si>
    <t>FGC28917; Z30420</t>
  </si>
  <si>
    <t>Z30420</t>
  </si>
  <si>
    <t>FGC28917; Y11626</t>
  </si>
  <si>
    <t>FGC28924</t>
  </si>
  <si>
    <t>Y10434; Z30423</t>
  </si>
  <si>
    <t>rs1041370532</t>
  </si>
  <si>
    <t>Y10434</t>
  </si>
  <si>
    <t>FGC28924; Z30423</t>
  </si>
  <si>
    <t>Z30423</t>
  </si>
  <si>
    <t>FGC28924; Y10434</t>
  </si>
  <si>
    <t>FGC28929</t>
  </si>
  <si>
    <t>Y11629; Z30424</t>
  </si>
  <si>
    <t>rs889367697</t>
  </si>
  <si>
    <t>Y11629</t>
  </si>
  <si>
    <t>FGC28929; Z30424</t>
  </si>
  <si>
    <t>Z30424</t>
  </si>
  <si>
    <t>FGC28929; Y11629</t>
  </si>
  <si>
    <t>FGC28934</t>
  </si>
  <si>
    <t>Y10437; Z30427</t>
  </si>
  <si>
    <t>rs1043541056</t>
  </si>
  <si>
    <t>Y10437</t>
  </si>
  <si>
    <t>FGC28934; Z30427</t>
  </si>
  <si>
    <t>Z30427</t>
  </si>
  <si>
    <t>FGC28934; Y10437</t>
  </si>
  <si>
    <t>FGC28939</t>
  </si>
  <si>
    <t>rs887054835</t>
  </si>
  <si>
    <t>FGC28942</t>
  </si>
  <si>
    <t>Y11608; Z30428</t>
  </si>
  <si>
    <t>rs887248378</t>
  </si>
  <si>
    <t>Y11608</t>
  </si>
  <si>
    <t>FGC28942; Z30428</t>
  </si>
  <si>
    <t>Z30428</t>
  </si>
  <si>
    <t>FGC28942; Y11608</t>
  </si>
  <si>
    <t>FGC28945</t>
  </si>
  <si>
    <t>Y10439; Z30429</t>
  </si>
  <si>
    <t>rs1038457972</t>
  </si>
  <si>
    <t>Y10439</t>
  </si>
  <si>
    <t>FGC28945; Z30429</t>
  </si>
  <si>
    <t>Z30429</t>
  </si>
  <si>
    <t>FGC28945; Y10439</t>
  </si>
  <si>
    <t>SK1080</t>
  </si>
  <si>
    <t>Y11615</t>
  </si>
  <si>
    <t>F3830</t>
  </si>
  <si>
    <t>rs1054738241</t>
  </si>
  <si>
    <t>F12936</t>
  </si>
  <si>
    <t>FGC28940</t>
  </si>
  <si>
    <t>rs954769255</t>
  </si>
  <si>
    <t>Z32844</t>
  </si>
  <si>
    <t>Z32845</t>
  </si>
  <si>
    <t>Z32846</t>
  </si>
  <si>
    <t>Z32847</t>
  </si>
  <si>
    <t>Z32848</t>
  </si>
  <si>
    <t>rs764336775</t>
  </si>
  <si>
    <t>F11787</t>
  </si>
  <si>
    <t>FGC28896</t>
  </si>
  <si>
    <t>rs928474394</t>
  </si>
  <si>
    <t>F13142</t>
  </si>
  <si>
    <t>FGC28948</t>
  </si>
  <si>
    <t>rs962155016</t>
  </si>
  <si>
    <t>FGC28846</t>
  </si>
  <si>
    <t>FGC28850</t>
  </si>
  <si>
    <t>FGC28852</t>
  </si>
  <si>
    <t>FGC28857</t>
  </si>
  <si>
    <t>FGC28865</t>
  </si>
  <si>
    <t>FGC28887</t>
  </si>
  <si>
    <t>FGC28888</t>
  </si>
  <si>
    <t>FGC28893</t>
  </si>
  <si>
    <t>FGC28898</t>
  </si>
  <si>
    <t>FGC28912</t>
  </si>
  <si>
    <t>FGC28915</t>
  </si>
  <si>
    <t>FGC28918</t>
  </si>
  <si>
    <t>FGC28919</t>
  </si>
  <si>
    <t>FGC28920</t>
  </si>
  <si>
    <t>FGC28922</t>
  </si>
  <si>
    <t>FGC28926</t>
  </si>
  <si>
    <t>FGC28938</t>
  </si>
  <si>
    <t>FGC28941</t>
  </si>
  <si>
    <t>FGC28958</t>
  </si>
  <si>
    <t>FGC28959</t>
  </si>
  <si>
    <t>FGC28960</t>
  </si>
  <si>
    <t>FGC28963</t>
  </si>
  <si>
    <t>F9721</t>
  </si>
  <si>
    <t>FGC28841</t>
  </si>
  <si>
    <t>rs963741815</t>
  </si>
  <si>
    <t>F10085</t>
  </si>
  <si>
    <t>FGC28855</t>
  </si>
  <si>
    <t>rs1030107229</t>
  </si>
  <si>
    <t>Z44095</t>
  </si>
  <si>
    <t>Z44096</t>
  </si>
  <si>
    <t>Z44097</t>
  </si>
  <si>
    <t>Z44098</t>
  </si>
  <si>
    <t>Z44099</t>
  </si>
  <si>
    <t>FGC31362</t>
  </si>
  <si>
    <t>Z45818</t>
  </si>
  <si>
    <t>Z45819</t>
  </si>
  <si>
    <t>Z45820</t>
  </si>
  <si>
    <t>BY186297</t>
  </si>
  <si>
    <t>BY186309</t>
  </si>
  <si>
    <t>BY186350</t>
  </si>
  <si>
    <t>BY186497</t>
  </si>
  <si>
    <t>BY186500</t>
  </si>
  <si>
    <t>Y10420</t>
  </si>
  <si>
    <t>Z30402</t>
  </si>
  <si>
    <t>Y10428</t>
  </si>
  <si>
    <t>Z30415</t>
  </si>
  <si>
    <t>Y10442</t>
  </si>
  <si>
    <t>Z30430</t>
  </si>
  <si>
    <t>Y11599</t>
  </si>
  <si>
    <t>Z30431</t>
  </si>
  <si>
    <t>Y11600</t>
  </si>
  <si>
    <t>Z30434</t>
  </si>
  <si>
    <t>Y11605</t>
  </si>
  <si>
    <t>Z30407</t>
  </si>
  <si>
    <t>Y11606</t>
  </si>
  <si>
    <t>Z30408</t>
  </si>
  <si>
    <t>Y11622</t>
  </si>
  <si>
    <t>Z30399</t>
  </si>
  <si>
    <t>Y11630</t>
  </si>
  <si>
    <t>Z30425</t>
  </si>
  <si>
    <t>rs916201640</t>
  </si>
  <si>
    <t>Z31688</t>
  </si>
  <si>
    <t>Z31689</t>
  </si>
  <si>
    <t>Z31690</t>
  </si>
  <si>
    <t>Z31691</t>
  </si>
  <si>
    <t>Z31692</t>
  </si>
  <si>
    <t>Z31693</t>
  </si>
  <si>
    <t>Z31694</t>
  </si>
  <si>
    <t>Z31695</t>
  </si>
  <si>
    <t>Z31696</t>
  </si>
  <si>
    <t>rs770736868</t>
  </si>
  <si>
    <t>B77</t>
  </si>
  <si>
    <t>Z32840</t>
  </si>
  <si>
    <t>Z32841</t>
  </si>
  <si>
    <t>Z32842</t>
  </si>
  <si>
    <t>Z32843</t>
  </si>
  <si>
    <t>M48</t>
  </si>
  <si>
    <t>rs373681213</t>
  </si>
  <si>
    <t>F6207</t>
  </si>
  <si>
    <t>PH569</t>
  </si>
  <si>
    <t>rs750157435</t>
  </si>
  <si>
    <t>F6370</t>
  </si>
  <si>
    <t>Y12790</t>
  </si>
  <si>
    <t>rs1006212381</t>
  </si>
  <si>
    <t>F6897</t>
  </si>
  <si>
    <t>PH1135; Y12228</t>
  </si>
  <si>
    <t>rs763012032</t>
  </si>
  <si>
    <t>PH1135</t>
  </si>
  <si>
    <t>F6897; Y12228</t>
  </si>
  <si>
    <t>Y12228</t>
  </si>
  <si>
    <t>F6897; PH1135</t>
  </si>
  <si>
    <t>F7225</t>
  </si>
  <si>
    <t>Y12237</t>
  </si>
  <si>
    <t>rs960737592</t>
  </si>
  <si>
    <t>F7287</t>
  </si>
  <si>
    <t>Y12816</t>
  </si>
  <si>
    <t>rs984401100</t>
  </si>
  <si>
    <t>F7423</t>
  </si>
  <si>
    <t>PH4649; Y12811</t>
  </si>
  <si>
    <t>rs781728654</t>
  </si>
  <si>
    <t>PH4649</t>
  </si>
  <si>
    <t>F7423; Y12811</t>
  </si>
  <si>
    <t>Y12811</t>
  </si>
  <si>
    <t>F7423; PH4649</t>
  </si>
  <si>
    <t>F7548</t>
  </si>
  <si>
    <t>PH5035; Y12789</t>
  </si>
  <si>
    <t>rs770726381</t>
  </si>
  <si>
    <t>PH5035</t>
  </si>
  <si>
    <t>F7548; Y12789</t>
  </si>
  <si>
    <t>Y12789</t>
  </si>
  <si>
    <t>F7548; PH5035</t>
  </si>
  <si>
    <t>F10035</t>
  </si>
  <si>
    <t>Y12828</t>
  </si>
  <si>
    <t>rs898623063</t>
  </si>
  <si>
    <t>F10037</t>
  </si>
  <si>
    <t>Y12838</t>
  </si>
  <si>
    <t>rs1007888775</t>
  </si>
  <si>
    <t>SK1056</t>
  </si>
  <si>
    <t>Y12786</t>
  </si>
  <si>
    <t>rs758288369</t>
  </si>
  <si>
    <t>SK1057</t>
  </si>
  <si>
    <t>Y12830</t>
  </si>
  <si>
    <t>rs963798005</t>
  </si>
  <si>
    <t>M86</t>
  </si>
  <si>
    <t>rs2032643</t>
  </si>
  <si>
    <t>M77</t>
  </si>
  <si>
    <t>rs372905727</t>
  </si>
  <si>
    <t>F6179</t>
  </si>
  <si>
    <t>PH339; Y12224</t>
  </si>
  <si>
    <t>rs760440990</t>
  </si>
  <si>
    <t>PH339</t>
  </si>
  <si>
    <t>F6179; Y12224</t>
  </si>
  <si>
    <t>Y12224</t>
  </si>
  <si>
    <t>F6179; PH339</t>
  </si>
  <si>
    <t>F6183</t>
  </si>
  <si>
    <t>PH371; Y12824</t>
  </si>
  <si>
    <t>rs776144572</t>
  </si>
  <si>
    <t>PH371</t>
  </si>
  <si>
    <t>F6183; Y12824</t>
  </si>
  <si>
    <t>Y12824</t>
  </si>
  <si>
    <t>F6183; PH371</t>
  </si>
  <si>
    <t>F6194</t>
  </si>
  <si>
    <t>Y12826</t>
  </si>
  <si>
    <t>rs972959416</t>
  </si>
  <si>
    <t>F6196</t>
  </si>
  <si>
    <t>PH468; Y12835</t>
  </si>
  <si>
    <t>rs773234635</t>
  </si>
  <si>
    <t>PH468</t>
  </si>
  <si>
    <t>F6196; Y12835</t>
  </si>
  <si>
    <t>Y12835</t>
  </si>
  <si>
    <t>F6196; PH468</t>
  </si>
  <si>
    <t>F6270</t>
  </si>
  <si>
    <t>Y12225</t>
  </si>
  <si>
    <t>rs888961905</t>
  </si>
  <si>
    <t>F6297</t>
  </si>
  <si>
    <t>Y12226</t>
  </si>
  <si>
    <t>rs902131061</t>
  </si>
  <si>
    <t>F6344</t>
  </si>
  <si>
    <t>Y12820</t>
  </si>
  <si>
    <t>rs1041715066</t>
  </si>
  <si>
    <t>F6377</t>
  </si>
  <si>
    <t>Y12791</t>
  </si>
  <si>
    <t>rs932021465</t>
  </si>
  <si>
    <t>F6383</t>
  </si>
  <si>
    <t>Y12793</t>
  </si>
  <si>
    <t>F6419</t>
  </si>
  <si>
    <t>Y12815</t>
  </si>
  <si>
    <t>rs989292677</t>
  </si>
  <si>
    <t>F6438</t>
  </si>
  <si>
    <t>Y12836</t>
  </si>
  <si>
    <t>rs987578148</t>
  </si>
  <si>
    <t>F6506</t>
  </si>
  <si>
    <t>Y12808</t>
  </si>
  <si>
    <t>rs1030091484</t>
  </si>
  <si>
    <t>F6869</t>
  </si>
  <si>
    <t>PH966</t>
  </si>
  <si>
    <t>F6919</t>
  </si>
  <si>
    <t>PH1223; Y12798</t>
  </si>
  <si>
    <t>rs777210922</t>
  </si>
  <si>
    <t>PH1223</t>
  </si>
  <si>
    <t>F6919; Y12798</t>
  </si>
  <si>
    <t>Y12798</t>
  </si>
  <si>
    <t>F6919; PH1223</t>
  </si>
  <si>
    <t>F6972</t>
  </si>
  <si>
    <t>Y12804</t>
  </si>
  <si>
    <t>rs574850212</t>
  </si>
  <si>
    <t>F6984</t>
  </si>
  <si>
    <t>Y12232</t>
  </si>
  <si>
    <t>rs887467058</t>
  </si>
  <si>
    <t>SK1058</t>
  </si>
  <si>
    <t>Y12231</t>
  </si>
  <si>
    <t>rs918752632</t>
  </si>
  <si>
    <t>F7023</t>
  </si>
  <si>
    <t>Y12823</t>
  </si>
  <si>
    <t>rs950689985</t>
  </si>
  <si>
    <t>F7035</t>
  </si>
  <si>
    <t>PH1790; Y12812</t>
  </si>
  <si>
    <t>rs776411924</t>
  </si>
  <si>
    <t>PH1790</t>
  </si>
  <si>
    <t>F7035; Y12812</t>
  </si>
  <si>
    <t>Y12812</t>
  </si>
  <si>
    <t>F7035; PH1790</t>
  </si>
  <si>
    <t>F7089</t>
  </si>
  <si>
    <t>PH2140; Y12235</t>
  </si>
  <si>
    <t>rs757662242</t>
  </si>
  <si>
    <t>PH2140</t>
  </si>
  <si>
    <t>F7089; Y12235</t>
  </si>
  <si>
    <t>Y12235</t>
  </si>
  <si>
    <t>F7089; PH2140</t>
  </si>
  <si>
    <t>F7119</t>
  </si>
  <si>
    <t>PH2402; Y12805</t>
  </si>
  <si>
    <t>rs765472246</t>
  </si>
  <si>
    <t>PH2402</t>
  </si>
  <si>
    <t>F7119; Y12805</t>
  </si>
  <si>
    <t>Y12805</t>
  </si>
  <si>
    <t>F7119; PH2402</t>
  </si>
  <si>
    <t>F7196</t>
  </si>
  <si>
    <t>Y12832</t>
  </si>
  <si>
    <t>rs1034172542</t>
  </si>
  <si>
    <t>F7201</t>
  </si>
  <si>
    <t>PH3158; Y12813</t>
  </si>
  <si>
    <t>rs772300424</t>
  </si>
  <si>
    <t>PH3158</t>
  </si>
  <si>
    <t>F7201; Y12813</t>
  </si>
  <si>
    <t>Y12813</t>
  </si>
  <si>
    <t>F7201; PH3158</t>
  </si>
  <si>
    <t>F7203</t>
  </si>
  <si>
    <t>PH3175; Y12236</t>
  </si>
  <si>
    <t>rs781454598</t>
  </si>
  <si>
    <t>PH3175</t>
  </si>
  <si>
    <t>F7203; Y12236</t>
  </si>
  <si>
    <t>Y12236</t>
  </si>
  <si>
    <t>F7203; PH3175</t>
  </si>
  <si>
    <t>F7210</t>
  </si>
  <si>
    <t>Y12833</t>
  </si>
  <si>
    <t>rs919250998</t>
  </si>
  <si>
    <t>F7324</t>
  </si>
  <si>
    <t>PH4064; Y12810</t>
  </si>
  <si>
    <t>rs749971253</t>
  </si>
  <si>
    <t>PH4064</t>
  </si>
  <si>
    <t>F7324; Y12810</t>
  </si>
  <si>
    <t>Y12810</t>
  </si>
  <si>
    <t>F7324; PH4064</t>
  </si>
  <si>
    <t>F7327</t>
  </si>
  <si>
    <t>Y12795</t>
  </si>
  <si>
    <t>rs963895846</t>
  </si>
  <si>
    <t>F7354</t>
  </si>
  <si>
    <t>PH4268; Y12802</t>
  </si>
  <si>
    <t>rs771103779</t>
  </si>
  <si>
    <t>PH4268</t>
  </si>
  <si>
    <t>F7354; Y12802</t>
  </si>
  <si>
    <t>Y12802</t>
  </si>
  <si>
    <t>F7354; PH4268</t>
  </si>
  <si>
    <t>F7359</t>
  </si>
  <si>
    <t>PH4316; Y12809</t>
  </si>
  <si>
    <t>rs763753929</t>
  </si>
  <si>
    <t>PH4316</t>
  </si>
  <si>
    <t>F7359; Y12809</t>
  </si>
  <si>
    <t>Y12809</t>
  </si>
  <si>
    <t>F7359; PH4316</t>
  </si>
  <si>
    <t>F7368</t>
  </si>
  <si>
    <t>PH4367; Y12819</t>
  </si>
  <si>
    <t>rs778138837</t>
  </si>
  <si>
    <t>PH4367</t>
  </si>
  <si>
    <t>F7368; Y12819</t>
  </si>
  <si>
    <t>Y12819</t>
  </si>
  <si>
    <t>F7368; PH4367</t>
  </si>
  <si>
    <t>F7436</t>
  </si>
  <si>
    <t>Y12240</t>
  </si>
  <si>
    <t>rs1020507650</t>
  </si>
  <si>
    <t>F7439</t>
  </si>
  <si>
    <t>PH4745; Y12822</t>
  </si>
  <si>
    <t>rs756100625</t>
  </si>
  <si>
    <t>PH4745</t>
  </si>
  <si>
    <t>F7439; Y12822</t>
  </si>
  <si>
    <t>Y12822</t>
  </si>
  <si>
    <t>F7439; PH4745</t>
  </si>
  <si>
    <t>F7550</t>
  </si>
  <si>
    <t>Y12831</t>
  </si>
  <si>
    <t>rs943953154</t>
  </si>
  <si>
    <t>F7572</t>
  </si>
  <si>
    <t>FGC29090; Y6042; Z19934</t>
  </si>
  <si>
    <t>rs764069995</t>
  </si>
  <si>
    <t>FGC29090</t>
  </si>
  <si>
    <t>F7572; Y6042; Z19934</t>
  </si>
  <si>
    <t>Y6042</t>
  </si>
  <si>
    <t>F7572; FGC29090; Z19934</t>
  </si>
  <si>
    <t>Z19934</t>
  </si>
  <si>
    <t>F7572; FGC29090; Y6042</t>
  </si>
  <si>
    <t>F7929</t>
  </si>
  <si>
    <t>Y12834</t>
  </si>
  <si>
    <t>rs967215832</t>
  </si>
  <si>
    <t>F7988</t>
  </si>
  <si>
    <t>Y12814</t>
  </si>
  <si>
    <t>rs963056253</t>
  </si>
  <si>
    <t>F7996</t>
  </si>
  <si>
    <t>Y12801</t>
  </si>
  <si>
    <t>rs956505007</t>
  </si>
  <si>
    <t>F10074</t>
  </si>
  <si>
    <t>Y12227</t>
  </si>
  <si>
    <t>F11775</t>
  </si>
  <si>
    <t>Y12233</t>
  </si>
  <si>
    <t>rs935255269</t>
  </si>
  <si>
    <t>F12527</t>
  </si>
  <si>
    <t>PH3945; Y12787</t>
  </si>
  <si>
    <t>rs775233115</t>
  </si>
  <si>
    <t>PH3945</t>
  </si>
  <si>
    <t>F12527; Y12787</t>
  </si>
  <si>
    <t>Y12787</t>
  </si>
  <si>
    <t>F12527; PH3945</t>
  </si>
  <si>
    <t>F12831</t>
  </si>
  <si>
    <t>Y12788</t>
  </si>
  <si>
    <t>rs1049985329</t>
  </si>
  <si>
    <t>F13117</t>
  </si>
  <si>
    <t>PH5038; Y12817</t>
  </si>
  <si>
    <t>rs752702876</t>
  </si>
  <si>
    <t>PH5038</t>
  </si>
  <si>
    <t>F13117; Y12817</t>
  </si>
  <si>
    <t>Y12817</t>
  </si>
  <si>
    <t>F13117; PH5038</t>
  </si>
  <si>
    <t>F13174</t>
  </si>
  <si>
    <t>Y12796</t>
  </si>
  <si>
    <t>rs981489277</t>
  </si>
  <si>
    <t>L1372</t>
  </si>
  <si>
    <t>rs1005056392</t>
  </si>
  <si>
    <t>PH4189</t>
  </si>
  <si>
    <t>Y12799</t>
  </si>
  <si>
    <t>rs755647719</t>
  </si>
  <si>
    <t>SK1059</t>
  </si>
  <si>
    <t>Y12807</t>
  </si>
  <si>
    <t>rs747709544</t>
  </si>
  <si>
    <t>SK1060</t>
  </si>
  <si>
    <t>Y12837</t>
  </si>
  <si>
    <t>rs769227359</t>
  </si>
  <si>
    <t>Y12239</t>
  </si>
  <si>
    <t>Y12242</t>
  </si>
  <si>
    <t>rs912176024</t>
  </si>
  <si>
    <t>Y12800</t>
  </si>
  <si>
    <t>rs887041935</t>
  </si>
  <si>
    <t>Y12803^</t>
  </si>
  <si>
    <t>rs966413815</t>
  </si>
  <si>
    <t>Y12806^</t>
  </si>
  <si>
    <t>rs960933274</t>
  </si>
  <si>
    <t>Y15551^</t>
  </si>
  <si>
    <t>rs550783303</t>
  </si>
  <si>
    <t>Y15838^</t>
  </si>
  <si>
    <t>Y15551</t>
  </si>
  <si>
    <t>Y15838</t>
  </si>
  <si>
    <t>Z40438</t>
  </si>
  <si>
    <t>Z40441</t>
  </si>
  <si>
    <t>rs946413368</t>
  </si>
  <si>
    <t>Z40442</t>
  </si>
  <si>
    <t>rs1057029331</t>
  </si>
  <si>
    <t>Z40443</t>
  </si>
  <si>
    <t>rs961598705</t>
  </si>
  <si>
    <t>Z40446</t>
  </si>
  <si>
    <t>rs991496230</t>
  </si>
  <si>
    <t>Z40448</t>
  </si>
  <si>
    <t>Z40449</t>
  </si>
  <si>
    <t>rs928681143</t>
  </si>
  <si>
    <t>Z40450</t>
  </si>
  <si>
    <t>rs751737866</t>
  </si>
  <si>
    <t>Z40451</t>
  </si>
  <si>
    <t>Z40453</t>
  </si>
  <si>
    <t>rs1001188275</t>
  </si>
  <si>
    <t>Z40454</t>
  </si>
  <si>
    <t>Z40455</t>
  </si>
  <si>
    <t>rs980938015</t>
  </si>
  <si>
    <t>Z40456</t>
  </si>
  <si>
    <t>Z40457</t>
  </si>
  <si>
    <t>SK1061</t>
  </si>
  <si>
    <t>Z40440</t>
  </si>
  <si>
    <t>Z40444</t>
  </si>
  <si>
    <t>Z40445</t>
  </si>
  <si>
    <t>Z40447</t>
  </si>
  <si>
    <t>Z40452</t>
  </si>
  <si>
    <t>B87</t>
  </si>
  <si>
    <t>Z32853</t>
  </si>
  <si>
    <t>Z32854</t>
  </si>
  <si>
    <t>Z32855</t>
  </si>
  <si>
    <t>Z32857</t>
  </si>
  <si>
    <t>Z32858</t>
  </si>
  <si>
    <t>Z32859</t>
  </si>
  <si>
    <t>Z32860</t>
  </si>
  <si>
    <t>Z32861</t>
  </si>
  <si>
    <t>Z32862</t>
  </si>
  <si>
    <t>B88</t>
  </si>
  <si>
    <t>Z32863</t>
  </si>
  <si>
    <t>B470</t>
  </si>
  <si>
    <t>Z32405</t>
  </si>
  <si>
    <t>Z32406</t>
  </si>
  <si>
    <t>rs749982840</t>
  </si>
  <si>
    <t>Z32407</t>
  </si>
  <si>
    <t>Z32408</t>
  </si>
  <si>
    <t>B80</t>
  </si>
  <si>
    <t>Z32868</t>
  </si>
  <si>
    <t>Z32869</t>
  </si>
  <si>
    <t>Z32870</t>
  </si>
  <si>
    <t>Z32871</t>
  </si>
  <si>
    <t>Z32872</t>
  </si>
  <si>
    <t>B471</t>
  </si>
  <si>
    <t>Z32409</t>
  </si>
  <si>
    <t>Z32410</t>
  </si>
  <si>
    <t>rs1184179468</t>
  </si>
  <si>
    <t>B81</t>
  </si>
  <si>
    <t>Z32876</t>
  </si>
  <si>
    <t>Z32878</t>
  </si>
  <si>
    <t>Z32879</t>
  </si>
  <si>
    <t>Z32880</t>
  </si>
  <si>
    <t>Z32881</t>
  </si>
  <si>
    <t>B83</t>
  </si>
  <si>
    <t>Z32882</t>
  </si>
  <si>
    <t>Z32883</t>
  </si>
  <si>
    <t>Z32884</t>
  </si>
  <si>
    <t>Z32885</t>
  </si>
  <si>
    <t>B82</t>
  </si>
  <si>
    <t>Z32886</t>
  </si>
  <si>
    <t>B84</t>
  </si>
  <si>
    <t>Z32887</t>
  </si>
  <si>
    <t>Z32888</t>
  </si>
  <si>
    <t>Z32889</t>
  </si>
  <si>
    <t>Z32890</t>
  </si>
  <si>
    <t>B85</t>
  </si>
  <si>
    <t>Z32891</t>
  </si>
  <si>
    <t>Z32893</t>
  </si>
  <si>
    <t>rs1025932769</t>
  </si>
  <si>
    <t>Z32894</t>
  </si>
  <si>
    <t>F6379</t>
  </si>
  <si>
    <t>Y12792</t>
  </si>
  <si>
    <t>rs935427998</t>
  </si>
  <si>
    <t>F6170</t>
  </si>
  <si>
    <t>PH214</t>
  </si>
  <si>
    <t>rs768118493</t>
  </si>
  <si>
    <t>F10317</t>
  </si>
  <si>
    <t>Y12818</t>
  </si>
  <si>
    <t>rs1006578108</t>
  </si>
  <si>
    <t>F11611</t>
  </si>
  <si>
    <t>ZQ1</t>
  </si>
  <si>
    <t>rs938937472</t>
  </si>
  <si>
    <t>F13787</t>
  </si>
  <si>
    <t>Y12244</t>
  </si>
  <si>
    <t>rs1035024191</t>
  </si>
  <si>
    <t>F5485</t>
  </si>
  <si>
    <t>SK1064; Y12825</t>
  </si>
  <si>
    <t>rs971812156</t>
  </si>
  <si>
    <t>SK1064</t>
  </si>
  <si>
    <t>F5485; Y12825</t>
  </si>
  <si>
    <t>Y12825</t>
  </si>
  <si>
    <t>F5485; SK1064</t>
  </si>
  <si>
    <t>F6549</t>
  </si>
  <si>
    <t>FGC16350</t>
  </si>
  <si>
    <t>rs914638589</t>
  </si>
  <si>
    <t>F7171</t>
  </si>
  <si>
    <t>Y12785</t>
  </si>
  <si>
    <t>rs1003615994</t>
  </si>
  <si>
    <t>F8473</t>
  </si>
  <si>
    <t>Y12797</t>
  </si>
  <si>
    <t>rs982175676</t>
  </si>
  <si>
    <t>F6193</t>
  </si>
  <si>
    <t>rs959825457</t>
  </si>
  <si>
    <t>F6357</t>
  </si>
  <si>
    <t>rs929562684</t>
  </si>
  <si>
    <t>F6915</t>
  </si>
  <si>
    <t>rs981636453</t>
  </si>
  <si>
    <t>F7472</t>
  </si>
  <si>
    <t>rs888084598</t>
  </si>
  <si>
    <t>F12361</t>
  </si>
  <si>
    <t>rs894378592</t>
  </si>
  <si>
    <t>SK1066</t>
  </si>
  <si>
    <t>rs966809445</t>
  </si>
  <si>
    <t>F8472</t>
  </si>
  <si>
    <t>PH36</t>
  </si>
  <si>
    <t>rs768066549</t>
  </si>
  <si>
    <t>F12502</t>
  </si>
  <si>
    <t>PH3873</t>
  </si>
  <si>
    <t>Y138418</t>
  </si>
  <si>
    <t>Y138498</t>
  </si>
  <si>
    <t>Y138306</t>
  </si>
  <si>
    <t>Y138402</t>
  </si>
  <si>
    <t>Y138523</t>
  </si>
  <si>
    <t>Y138527</t>
  </si>
  <si>
    <t>Y138495</t>
  </si>
  <si>
    <t>BY159609</t>
  </si>
  <si>
    <t>Y152959; ZQ1058</t>
  </si>
  <si>
    <t>Y152959</t>
  </si>
  <si>
    <t>BY159609; ZQ1058</t>
  </si>
  <si>
    <t>ZQ1058</t>
  </si>
  <si>
    <t>BY159609; Y152959</t>
  </si>
  <si>
    <t>BY159805</t>
  </si>
  <si>
    <t>Y152970; ZQ1057</t>
  </si>
  <si>
    <t>Y152970</t>
  </si>
  <si>
    <t>BY159805; ZQ1057</t>
  </si>
  <si>
    <t>ZQ1057</t>
  </si>
  <si>
    <t>BY159805; Y152970</t>
  </si>
  <si>
    <t>BY159811</t>
  </si>
  <si>
    <t>Y152946; ZQ1056</t>
  </si>
  <si>
    <t>Y152946</t>
  </si>
  <si>
    <t>BY159811; ZQ1056</t>
  </si>
  <si>
    <t>ZQ1056</t>
  </si>
  <si>
    <t>BY159811; Y152946</t>
  </si>
  <si>
    <t>BY160279</t>
  </si>
  <si>
    <t>Y152969; ZQ1053</t>
  </si>
  <si>
    <t>Y152969</t>
  </si>
  <si>
    <t>BY160279; ZQ1053</t>
  </si>
  <si>
    <t>ZQ1053</t>
  </si>
  <si>
    <t>BY160279; Y152969</t>
  </si>
  <si>
    <t>BY160715</t>
  </si>
  <si>
    <t>Y152968; ZQ1052</t>
  </si>
  <si>
    <t>Y152968</t>
  </si>
  <si>
    <t>BY160715; ZQ1052</t>
  </si>
  <si>
    <t>ZQ1052</t>
  </si>
  <si>
    <t>BY160715; Y152968</t>
  </si>
  <si>
    <t>B90</t>
  </si>
  <si>
    <t>FGC16114.2</t>
  </si>
  <si>
    <t>rs952725489</t>
  </si>
  <si>
    <t>Z32895</t>
  </si>
  <si>
    <t>Z32896</t>
  </si>
  <si>
    <t>Z32897</t>
  </si>
  <si>
    <t>Z32899</t>
  </si>
  <si>
    <t>Z32900</t>
  </si>
  <si>
    <t>Z32901</t>
  </si>
  <si>
    <t>Z32902</t>
  </si>
  <si>
    <t>Z32903</t>
  </si>
  <si>
    <t>Z32904</t>
  </si>
  <si>
    <t>Z32905</t>
  </si>
  <si>
    <t>Z32907</t>
  </si>
  <si>
    <t>Z32909</t>
  </si>
  <si>
    <t>Z32910</t>
  </si>
  <si>
    <t>Z32912</t>
  </si>
  <si>
    <t>Z32913</t>
  </si>
  <si>
    <t>Z32914</t>
  </si>
  <si>
    <t>Z32915</t>
  </si>
  <si>
    <t>rs988275938</t>
  </si>
  <si>
    <t>Z32916</t>
  </si>
  <si>
    <t>Z32917</t>
  </si>
  <si>
    <t>Z32918</t>
  </si>
  <si>
    <t>Z32919</t>
  </si>
  <si>
    <t>Z32920</t>
  </si>
  <si>
    <t>Z32921</t>
  </si>
  <si>
    <t>Z32922</t>
  </si>
  <si>
    <t>Z32923</t>
  </si>
  <si>
    <t>Z32924</t>
  </si>
  <si>
    <t>Z32925</t>
  </si>
  <si>
    <t>Z32926</t>
  </si>
  <si>
    <t>Z32927</t>
  </si>
  <si>
    <t>Z32928</t>
  </si>
  <si>
    <t>Z32929</t>
  </si>
  <si>
    <t>Z32930</t>
  </si>
  <si>
    <t>Z32931</t>
  </si>
  <si>
    <t>Z32932</t>
  </si>
  <si>
    <t>Z32933</t>
  </si>
  <si>
    <t>Z32935</t>
  </si>
  <si>
    <t>Z32936</t>
  </si>
  <si>
    <t>Z32937</t>
  </si>
  <si>
    <t>Z32939</t>
  </si>
  <si>
    <t>Z32940</t>
  </si>
  <si>
    <t>Z32941</t>
  </si>
  <si>
    <t>Z32942</t>
  </si>
  <si>
    <t>Z32943</t>
  </si>
  <si>
    <t>Z32944</t>
  </si>
  <si>
    <t>Z32945</t>
  </si>
  <si>
    <t>Z32946</t>
  </si>
  <si>
    <t>Z32947</t>
  </si>
  <si>
    <t>B91</t>
  </si>
  <si>
    <t>Z32949</t>
  </si>
  <si>
    <t>Z32950</t>
  </si>
  <si>
    <t>Z32951</t>
  </si>
  <si>
    <t>Z32955</t>
  </si>
  <si>
    <t>Z32956</t>
  </si>
  <si>
    <t>Z32957</t>
  </si>
  <si>
    <t>Z32958</t>
  </si>
  <si>
    <t>Z32959</t>
  </si>
  <si>
    <t>B94</t>
  </si>
  <si>
    <t>Z32960</t>
  </si>
  <si>
    <t>Z32961</t>
  </si>
  <si>
    <t>Z32963</t>
  </si>
  <si>
    <t>B92</t>
  </si>
  <si>
    <t>M4620</t>
  </si>
  <si>
    <t>rs112896849</t>
  </si>
  <si>
    <t>Z32965</t>
  </si>
  <si>
    <t>Z32966</t>
  </si>
  <si>
    <t>Z32967</t>
  </si>
  <si>
    <t>Z32968</t>
  </si>
  <si>
    <t>rs775366213</t>
  </si>
  <si>
    <t>Z32969</t>
  </si>
  <si>
    <t>Z32973</t>
  </si>
  <si>
    <t>Z32974</t>
  </si>
  <si>
    <t>Z32975</t>
  </si>
  <si>
    <t>Z32976</t>
  </si>
  <si>
    <t>Z32977</t>
  </si>
  <si>
    <t>Z32978</t>
  </si>
  <si>
    <t>Z32979</t>
  </si>
  <si>
    <t>Z32980</t>
  </si>
  <si>
    <t>Z32981</t>
  </si>
  <si>
    <t>Z32982</t>
  </si>
  <si>
    <t>Z32983</t>
  </si>
  <si>
    <t>Z32984</t>
  </si>
  <si>
    <t>Z32985</t>
  </si>
  <si>
    <t>Z32987</t>
  </si>
  <si>
    <t>Z32988</t>
  </si>
  <si>
    <t>Z32989</t>
  </si>
  <si>
    <t>B96</t>
  </si>
  <si>
    <t>rs763580593</t>
  </si>
  <si>
    <t>Z32990</t>
  </si>
  <si>
    <t>Z32991</t>
  </si>
  <si>
    <t>Z32992</t>
  </si>
  <si>
    <t>B95</t>
  </si>
  <si>
    <t>Z32994</t>
  </si>
  <si>
    <t>B93</t>
  </si>
  <si>
    <t>Z32995</t>
  </si>
  <si>
    <t>Z32996</t>
  </si>
  <si>
    <t>Z32997</t>
  </si>
  <si>
    <t>F12970</t>
  </si>
  <si>
    <t>Y15849</t>
  </si>
  <si>
    <t>Y15552</t>
  </si>
  <si>
    <t>Y15840</t>
  </si>
  <si>
    <t>Y15841</t>
  </si>
  <si>
    <t>Y15842</t>
  </si>
  <si>
    <t>Y15843</t>
  </si>
  <si>
    <t>Y15846</t>
  </si>
  <si>
    <t>Y15847</t>
  </si>
  <si>
    <t>M504</t>
  </si>
  <si>
    <t>AM01318</t>
  </si>
  <si>
    <t>CTS5559; PF4730; Z1866</t>
  </si>
  <si>
    <t>rs377048218</t>
  </si>
  <si>
    <t>CTS5559</t>
  </si>
  <si>
    <t>AM01318; PF4730; Z1866</t>
  </si>
  <si>
    <t>PF4730</t>
  </si>
  <si>
    <t>AM01318; CTS5559; Z1866</t>
  </si>
  <si>
    <t>Z1866</t>
  </si>
  <si>
    <t>AM01318; CTS5559; PF4730</t>
  </si>
  <si>
    <t>F914</t>
  </si>
  <si>
    <t>F966</t>
  </si>
  <si>
    <t>F1918</t>
  </si>
  <si>
    <t>F2007</t>
  </si>
  <si>
    <t>F2914</t>
  </si>
  <si>
    <t>F3747</t>
  </si>
  <si>
    <t>F3770</t>
  </si>
  <si>
    <t>F3779</t>
  </si>
  <si>
    <t>F3791</t>
  </si>
  <si>
    <t>F3795</t>
  </si>
  <si>
    <t>F3810</t>
  </si>
  <si>
    <t>F3827</t>
  </si>
  <si>
    <t>F3897</t>
  </si>
  <si>
    <t>F3919</t>
  </si>
  <si>
    <t>F3932</t>
  </si>
  <si>
    <t>F3939</t>
  </si>
  <si>
    <t>F3945</t>
  </si>
  <si>
    <t>F3991</t>
  </si>
  <si>
    <t>F4023</t>
  </si>
  <si>
    <t>F4031</t>
  </si>
  <si>
    <t>F4141</t>
  </si>
  <si>
    <t>FGC16301</t>
  </si>
  <si>
    <t>Y4523</t>
  </si>
  <si>
    <t>FGC16306</t>
  </si>
  <si>
    <t>SK1068; Y4527</t>
  </si>
  <si>
    <t>SK1068</t>
  </si>
  <si>
    <t>FGC16306; Y4527</t>
  </si>
  <si>
    <t>Y4527</t>
  </si>
  <si>
    <t>FGC16306; SK1068</t>
  </si>
  <si>
    <t>FGC16313</t>
  </si>
  <si>
    <t>Y4532</t>
  </si>
  <si>
    <t>FGC16318</t>
  </si>
  <si>
    <t>Y4536</t>
  </si>
  <si>
    <t>FGC16319</t>
  </si>
  <si>
    <t>Y4537</t>
  </si>
  <si>
    <t>FGC16323</t>
  </si>
  <si>
    <t>F9989; Y4464</t>
  </si>
  <si>
    <t>F9989</t>
  </si>
  <si>
    <t>FGC16323; Y4464</t>
  </si>
  <si>
    <t>Y4464</t>
  </si>
  <si>
    <t>FGC16323; F9989</t>
  </si>
  <si>
    <t>FGC16326</t>
  </si>
  <si>
    <t>FGC16329</t>
  </si>
  <si>
    <t>Y4542</t>
  </si>
  <si>
    <t>FGC16330</t>
  </si>
  <si>
    <t>FGC16332</t>
  </si>
  <si>
    <t>Y4544</t>
  </si>
  <si>
    <t>FGC16335</t>
  </si>
  <si>
    <t>FGC16336</t>
  </si>
  <si>
    <t>FGC16349</t>
  </si>
  <si>
    <t>rs974308811</t>
  </si>
  <si>
    <t>FGC16361</t>
  </si>
  <si>
    <t>FGC16365</t>
  </si>
  <si>
    <t>FGC16377</t>
  </si>
  <si>
    <t>Y4558</t>
  </si>
  <si>
    <t>FGC16381</t>
  </si>
  <si>
    <t>FGC16394</t>
  </si>
  <si>
    <t>rs953350623</t>
  </si>
  <si>
    <t>FGC16397</t>
  </si>
  <si>
    <t>Y4570</t>
  </si>
  <si>
    <t>FGC16402</t>
  </si>
  <si>
    <t>FGC16403</t>
  </si>
  <si>
    <t>Y4576</t>
  </si>
  <si>
    <t>FGC16412</t>
  </si>
  <si>
    <t>Y4581</t>
  </si>
  <si>
    <t>FGC16422</t>
  </si>
  <si>
    <t>F12057; Y8801</t>
  </si>
  <si>
    <t>F12057</t>
  </si>
  <si>
    <t>FGC16422; Y8801</t>
  </si>
  <si>
    <t>Y8801</t>
  </si>
  <si>
    <t>FGC16422; F12057</t>
  </si>
  <si>
    <t>FGC16424</t>
  </si>
  <si>
    <t>Y4589</t>
  </si>
  <si>
    <t>FGC16437</t>
  </si>
  <si>
    <t>Y4597</t>
  </si>
  <si>
    <t>FGC16440</t>
  </si>
  <si>
    <t>SK1067; Y6719</t>
  </si>
  <si>
    <t>rs756653166</t>
  </si>
  <si>
    <t>SK1067</t>
  </si>
  <si>
    <t>FGC16440; Y6719</t>
  </si>
  <si>
    <t>Y6719</t>
  </si>
  <si>
    <t>FGC16440; SK1067</t>
  </si>
  <si>
    <t>FGC16445</t>
  </si>
  <si>
    <t>F12443; Y8813</t>
  </si>
  <si>
    <t>F12443</t>
  </si>
  <si>
    <t>FGC16445; Y8813</t>
  </si>
  <si>
    <t>Y8813</t>
  </si>
  <si>
    <t>FGC16445; F12443</t>
  </si>
  <si>
    <t>FGC16448</t>
  </si>
  <si>
    <t>Y4602</t>
  </si>
  <si>
    <t>FGC16450</t>
  </si>
  <si>
    <t>Y4605</t>
  </si>
  <si>
    <t>FGC16453</t>
  </si>
  <si>
    <t>Y4606</t>
  </si>
  <si>
    <t>FGC16456</t>
  </si>
  <si>
    <t>Y4608</t>
  </si>
  <si>
    <t>FGC16460</t>
  </si>
  <si>
    <t>Y4611</t>
  </si>
  <si>
    <t>FGC16469</t>
  </si>
  <si>
    <t>FGC16470</t>
  </si>
  <si>
    <t>FGC16471</t>
  </si>
  <si>
    <t>FGC16472</t>
  </si>
  <si>
    <t>Y4617</t>
  </si>
  <si>
    <t>FGC16475</t>
  </si>
  <si>
    <t>Y4620</t>
  </si>
  <si>
    <t>FGC16476</t>
  </si>
  <si>
    <t>Y4621</t>
  </si>
  <si>
    <t>FGC16481</t>
  </si>
  <si>
    <t>Y4626</t>
  </si>
  <si>
    <t>FGC16486</t>
  </si>
  <si>
    <t>Y4630</t>
  </si>
  <si>
    <t>rs762801298</t>
  </si>
  <si>
    <t>FGC16489</t>
  </si>
  <si>
    <t>Y4633</t>
  </si>
  <si>
    <t>FGC16492</t>
  </si>
  <si>
    <t>Y4636</t>
  </si>
  <si>
    <t>FGC16496</t>
  </si>
  <si>
    <t>Y4639</t>
  </si>
  <si>
    <t>FGC16502</t>
  </si>
  <si>
    <t>FGC16508</t>
  </si>
  <si>
    <t>Y4645</t>
  </si>
  <si>
    <t>FGC16512</t>
  </si>
  <si>
    <t>Y4649</t>
  </si>
  <si>
    <t>FGC16513</t>
  </si>
  <si>
    <t>FGC16586</t>
  </si>
  <si>
    <t>F10157; Y8781</t>
  </si>
  <si>
    <t>F10157</t>
  </si>
  <si>
    <t>FGC16586; Y8781</t>
  </si>
  <si>
    <t>Y8781</t>
  </si>
  <si>
    <t>FGC16586; F10157</t>
  </si>
  <si>
    <t>Y4601</t>
  </si>
  <si>
    <t>Y8789</t>
  </si>
  <si>
    <t>rs747573166</t>
  </si>
  <si>
    <t>F5481</t>
  </si>
  <si>
    <t>SK1075; Y4541; FGC16328</t>
  </si>
  <si>
    <t>FGC16328</t>
  </si>
  <si>
    <t>SK1075; Y4541; F5481</t>
  </si>
  <si>
    <t>SK1075</t>
  </si>
  <si>
    <t>FGC16328; Y4541; F5481</t>
  </si>
  <si>
    <t>Y4541</t>
  </si>
  <si>
    <t>FGC16328; SK1075; F5481</t>
  </si>
  <si>
    <t>F3796</t>
  </si>
  <si>
    <t>F4002</t>
  </si>
  <si>
    <t>F10261</t>
  </si>
  <si>
    <t>Y12016; Z30606</t>
  </si>
  <si>
    <t>Y12016</t>
  </si>
  <si>
    <t>F10261; Z30606</t>
  </si>
  <si>
    <t>Z30606</t>
  </si>
  <si>
    <t>F10261; Y12016</t>
  </si>
  <si>
    <t>F10312</t>
  </si>
  <si>
    <t>FGC16342; Y8792</t>
  </si>
  <si>
    <t>FGC16342</t>
  </si>
  <si>
    <t>F10312; Y8792</t>
  </si>
  <si>
    <t>Y8792</t>
  </si>
  <si>
    <t>F10312; FGC16342</t>
  </si>
  <si>
    <t>F11134</t>
  </si>
  <si>
    <t>Y8798</t>
  </si>
  <si>
    <t>F11271</t>
  </si>
  <si>
    <t>FGC16596; Y8808</t>
  </si>
  <si>
    <t>FGC16596</t>
  </si>
  <si>
    <t>F11271; Y8808</t>
  </si>
  <si>
    <t>Y8808</t>
  </si>
  <si>
    <t>F11271; FGC16596</t>
  </si>
  <si>
    <t>F11508</t>
  </si>
  <si>
    <t>FGC16387; Y4565</t>
  </si>
  <si>
    <t>FGC16387</t>
  </si>
  <si>
    <t>F11508; Y4565</t>
  </si>
  <si>
    <t>Y4565</t>
  </si>
  <si>
    <t>F11508; FGC16387</t>
  </si>
  <si>
    <t>F11899</t>
  </si>
  <si>
    <t>FGC16411; Y4580</t>
  </si>
  <si>
    <t>FGC16411</t>
  </si>
  <si>
    <t>F11899; Y4580</t>
  </si>
  <si>
    <t>Y4580</t>
  </si>
  <si>
    <t>F11899; FGC16411</t>
  </si>
  <si>
    <t>F12521</t>
  </si>
  <si>
    <t>FGC16447; Y8784</t>
  </si>
  <si>
    <t>FGC16447</t>
  </si>
  <si>
    <t>F12521; Y8784</t>
  </si>
  <si>
    <t>Y8784</t>
  </si>
  <si>
    <t>F12521; FGC16447</t>
  </si>
  <si>
    <t>F12844</t>
  </si>
  <si>
    <t>FGC16470; Y8821</t>
  </si>
  <si>
    <t>F12844; Y8821</t>
  </si>
  <si>
    <t>Y8821</t>
  </si>
  <si>
    <t>F12844; FGC16470</t>
  </si>
  <si>
    <t>F13055</t>
  </si>
  <si>
    <t>FGC16486; Y4630</t>
  </si>
  <si>
    <t>F13055; Y4630</t>
  </si>
  <si>
    <t>F13055; FGC16486</t>
  </si>
  <si>
    <t>F13100</t>
  </si>
  <si>
    <t>FGC16489; Y4633</t>
  </si>
  <si>
    <t>F13100; Y4633</t>
  </si>
  <si>
    <t>F13100; FGC16489</t>
  </si>
  <si>
    <t>F13923</t>
  </si>
  <si>
    <t>FGC16526; Y8791</t>
  </si>
  <si>
    <t>FGC16526</t>
  </si>
  <si>
    <t>F13923; Y8791</t>
  </si>
  <si>
    <t>Y8791</t>
  </si>
  <si>
    <t>F13923; FGC16526</t>
  </si>
  <si>
    <t>F10216; Y8818</t>
  </si>
  <si>
    <t>Y8818</t>
  </si>
  <si>
    <t>F10216; FGC16336</t>
  </si>
  <si>
    <t>FGC16467</t>
  </si>
  <si>
    <t>Y4614</t>
  </si>
  <si>
    <t>F9700</t>
  </si>
  <si>
    <t>FGC16305; Y4526</t>
  </si>
  <si>
    <t>FGC16305</t>
  </si>
  <si>
    <t>F9700; Y4526</t>
  </si>
  <si>
    <t>Y4526</t>
  </si>
  <si>
    <t>F9700; FGC16305</t>
  </si>
  <si>
    <t>F12021</t>
  </si>
  <si>
    <t>FGC16418; Y11098</t>
  </si>
  <si>
    <t>FGC16418</t>
  </si>
  <si>
    <t>F12021; Y11098</t>
  </si>
  <si>
    <t>Y11098</t>
  </si>
  <si>
    <t>F12021; FGC16418</t>
  </si>
  <si>
    <t>F12308</t>
  </si>
  <si>
    <t>FGC16431; Y1112</t>
  </si>
  <si>
    <t>FGC16431</t>
  </si>
  <si>
    <t>F12308; Y1112</t>
  </si>
  <si>
    <t>Y1112</t>
  </si>
  <si>
    <t>F12308; FGC16431</t>
  </si>
  <si>
    <t>21875748..21875749</t>
  </si>
  <si>
    <t>19713862..19713863</t>
  </si>
  <si>
    <t>T-&gt;TA</t>
  </si>
  <si>
    <t>FGC16509</t>
  </si>
  <si>
    <t>Y4646</t>
  </si>
  <si>
    <t>FGC16595</t>
  </si>
  <si>
    <t>Y11097</t>
  </si>
  <si>
    <t>FGC16594</t>
  </si>
  <si>
    <t>Y11137</t>
  </si>
  <si>
    <t>rs867232370</t>
  </si>
  <si>
    <t>rs1005876845</t>
  </si>
  <si>
    <t>FGC16217</t>
  </si>
  <si>
    <t>Y136036</t>
  </si>
  <si>
    <t>Y136045</t>
  </si>
  <si>
    <t>Y136046</t>
  </si>
  <si>
    <t>Y136048</t>
  </si>
  <si>
    <t>Z43948</t>
  </si>
  <si>
    <t>Z43949</t>
  </si>
  <si>
    <t>Z43950</t>
  </si>
  <si>
    <t>rs779817070</t>
  </si>
  <si>
    <t>Z43951</t>
  </si>
  <si>
    <t>Z43952</t>
  </si>
  <si>
    <t>Z31703</t>
  </si>
  <si>
    <t>rs1383093792</t>
  </si>
  <si>
    <t>Z31704</t>
  </si>
  <si>
    <t>Z31705</t>
  </si>
  <si>
    <t>Z31706</t>
  </si>
  <si>
    <t>Z31707</t>
  </si>
  <si>
    <t>F5483</t>
  </si>
  <si>
    <t>SK1074</t>
  </si>
  <si>
    <t>Z44371</t>
  </si>
  <si>
    <t>Z44372</t>
  </si>
  <si>
    <t>rs754087405</t>
  </si>
  <si>
    <t>Z44373</t>
  </si>
  <si>
    <t>rs748489050</t>
  </si>
  <si>
    <t>F10091</t>
  </si>
  <si>
    <t>ZQ31</t>
  </si>
  <si>
    <t>F11945</t>
  </si>
  <si>
    <t>F13625</t>
  </si>
  <si>
    <t>F9747</t>
  </si>
  <si>
    <t>F10981</t>
  </si>
  <si>
    <t>rs1307483515</t>
  </si>
  <si>
    <t>F11791</t>
  </si>
  <si>
    <t>ZQ319</t>
  </si>
  <si>
    <t>F11978</t>
  </si>
  <si>
    <t>F10001</t>
  </si>
  <si>
    <t>F10868</t>
  </si>
  <si>
    <t>F12703</t>
  </si>
  <si>
    <t>F11885</t>
  </si>
  <si>
    <t>F12330</t>
  </si>
  <si>
    <t>F14768</t>
  </si>
  <si>
    <t>BY31</t>
  </si>
  <si>
    <t>F14779</t>
  </si>
  <si>
    <t>F14763</t>
  </si>
  <si>
    <t>rs1448433857</t>
  </si>
  <si>
    <t>F14770</t>
  </si>
  <si>
    <t>F14772</t>
  </si>
  <si>
    <t>F14778</t>
  </si>
  <si>
    <t>SK1408.2</t>
  </si>
  <si>
    <t>rs971056335</t>
  </si>
  <si>
    <t>F3960</t>
  </si>
  <si>
    <t>F10077</t>
  </si>
  <si>
    <t>rs377591660</t>
  </si>
  <si>
    <t>CTS9894.2</t>
  </si>
  <si>
    <t>M3574.2; PF3036.2</t>
  </si>
  <si>
    <t>rs559968594</t>
  </si>
  <si>
    <t>M3574.2</t>
  </si>
  <si>
    <t>CTS9894.2; PF3036.2</t>
  </si>
  <si>
    <t>PF3036.2</t>
  </si>
  <si>
    <t>CTS9894.2; M3574.2</t>
  </si>
  <si>
    <t>F10374</t>
  </si>
  <si>
    <t>F12634</t>
  </si>
  <si>
    <t>FGC27193; V3788</t>
  </si>
  <si>
    <t>rs1326383179</t>
  </si>
  <si>
    <t>FGC27193</t>
  </si>
  <si>
    <t>F12634; V3788</t>
  </si>
  <si>
    <t>V3788</t>
  </si>
  <si>
    <t>F12634; FGC27193</t>
  </si>
  <si>
    <t>SK1072</t>
  </si>
  <si>
    <t>SK1073</t>
  </si>
  <si>
    <t>F11313</t>
  </si>
  <si>
    <t>F11838</t>
  </si>
  <si>
    <t>F12663</t>
  </si>
  <si>
    <t>F12867</t>
  </si>
  <si>
    <t>BY183180</t>
  </si>
  <si>
    <t>BY186676</t>
  </si>
  <si>
    <t>BY186694</t>
  </si>
  <si>
    <t>BY187227</t>
  </si>
  <si>
    <t>BY188109</t>
  </si>
  <si>
    <t>G-.A</t>
  </si>
  <si>
    <t>BY91228</t>
  </si>
  <si>
    <t>F10283</t>
  </si>
  <si>
    <t>F11301</t>
  </si>
  <si>
    <t>F12257</t>
  </si>
  <si>
    <t>F13806</t>
  </si>
  <si>
    <t>F14749</t>
  </si>
  <si>
    <t>F14751</t>
  </si>
  <si>
    <t>F14752</t>
  </si>
  <si>
    <t>F14760</t>
  </si>
  <si>
    <t>F14766</t>
  </si>
  <si>
    <t>F14769</t>
  </si>
  <si>
    <t>F14771</t>
  </si>
  <si>
    <t>F14776</t>
  </si>
  <si>
    <t>F14782</t>
  </si>
  <si>
    <t>F14783</t>
  </si>
  <si>
    <t>F14784</t>
  </si>
  <si>
    <t>F14785</t>
  </si>
  <si>
    <t>F14798</t>
  </si>
  <si>
    <t>F14799</t>
  </si>
  <si>
    <t>F14800</t>
  </si>
  <si>
    <t>SK1069</t>
  </si>
  <si>
    <t>SK1070</t>
  </si>
  <si>
    <t>Z46378</t>
  </si>
  <si>
    <t>Z46379</t>
  </si>
  <si>
    <t>Z46380</t>
  </si>
  <si>
    <t>Z46381</t>
  </si>
  <si>
    <t>Z46382</t>
  </si>
  <si>
    <t>F9992</t>
  </si>
  <si>
    <t>Y12018; Z30601</t>
  </si>
  <si>
    <t>rs945110451</t>
  </si>
  <si>
    <t>Y12018</t>
  </si>
  <si>
    <t>F9992; Z30601</t>
  </si>
  <si>
    <t>Z30601</t>
  </si>
  <si>
    <t>F9992; Y12018</t>
  </si>
  <si>
    <t>F10012</t>
  </si>
  <si>
    <t>Y12014; Z30602</t>
  </si>
  <si>
    <t>Y12014</t>
  </si>
  <si>
    <t>F10012; Z30602</t>
  </si>
  <si>
    <t>Z30602</t>
  </si>
  <si>
    <t>F10012; Y12014</t>
  </si>
  <si>
    <t>F10090</t>
  </si>
  <si>
    <t>Y12015; Z30603</t>
  </si>
  <si>
    <t>rs1028647644</t>
  </si>
  <si>
    <t>Y12015</t>
  </si>
  <si>
    <t>F10090; Z30603</t>
  </si>
  <si>
    <t>Z30603</t>
  </si>
  <si>
    <t>F10090; Y12015</t>
  </si>
  <si>
    <t>F10105</t>
  </si>
  <si>
    <t>Y11993; Z30604</t>
  </si>
  <si>
    <t>Y11993</t>
  </si>
  <si>
    <t>F10105; Z30604</t>
  </si>
  <si>
    <t>Z30604</t>
  </si>
  <si>
    <t>F10105; Y11993</t>
  </si>
  <si>
    <t>F10387</t>
  </si>
  <si>
    <t>Y11994; Z30607</t>
  </si>
  <si>
    <t>rs938527904</t>
  </si>
  <si>
    <t>Y11994</t>
  </si>
  <si>
    <t>F10387; Z30607</t>
  </si>
  <si>
    <t>Z30607</t>
  </si>
  <si>
    <t>F10387; Y11994</t>
  </si>
  <si>
    <t>F10963</t>
  </si>
  <si>
    <t>Z30608</t>
  </si>
  <si>
    <t>rs968429294</t>
  </si>
  <si>
    <t>F11309</t>
  </si>
  <si>
    <t>Y11995; Z30609</t>
  </si>
  <si>
    <t>Y11995</t>
  </si>
  <si>
    <t>F11309; Z30609</t>
  </si>
  <si>
    <t>Z30609</t>
  </si>
  <si>
    <t>F11309; Y11995</t>
  </si>
  <si>
    <t>F11395</t>
  </si>
  <si>
    <t>Y12019; Z30610</t>
  </si>
  <si>
    <t>Y12019</t>
  </si>
  <si>
    <t>F11395; Z30610</t>
  </si>
  <si>
    <t>Z30610</t>
  </si>
  <si>
    <t>F11395; Y12019</t>
  </si>
  <si>
    <t>F11406</t>
  </si>
  <si>
    <t>Y12020; Z30611</t>
  </si>
  <si>
    <t>Y12020</t>
  </si>
  <si>
    <t>F11406; Z30611</t>
  </si>
  <si>
    <t>Z30611</t>
  </si>
  <si>
    <t>F11406; Y12020</t>
  </si>
  <si>
    <t>F11592</t>
  </si>
  <si>
    <t>Y12021; Z30612</t>
  </si>
  <si>
    <t>rs940460940</t>
  </si>
  <si>
    <t>Y12021</t>
  </si>
  <si>
    <t>F11592; Z30612</t>
  </si>
  <si>
    <t>Z30612</t>
  </si>
  <si>
    <t>F11592; Y12021</t>
  </si>
  <si>
    <t>F11610</t>
  </si>
  <si>
    <t>Y12028; Z30613</t>
  </si>
  <si>
    <t>rs931393749</t>
  </si>
  <si>
    <t>Y12028</t>
  </si>
  <si>
    <t>F11610; Z30613</t>
  </si>
  <si>
    <t>Z30613</t>
  </si>
  <si>
    <t>F11610; Y12028</t>
  </si>
  <si>
    <t>F11671</t>
  </si>
  <si>
    <t>Y11990; Z30614</t>
  </si>
  <si>
    <t>Y11990</t>
  </si>
  <si>
    <t>F11671; Z30614</t>
  </si>
  <si>
    <t>Z30614</t>
  </si>
  <si>
    <t>F11671; Y11990</t>
  </si>
  <si>
    <t>F11883</t>
  </si>
  <si>
    <t>Y11996; Z30615</t>
  </si>
  <si>
    <t>Y11996</t>
  </si>
  <si>
    <t>F11883; Z30615</t>
  </si>
  <si>
    <t>Z30615</t>
  </si>
  <si>
    <t>F11883; Y11996</t>
  </si>
  <si>
    <t>F11889</t>
  </si>
  <si>
    <t>Y12011; Z30616</t>
  </si>
  <si>
    <t>rs980351281</t>
  </si>
  <si>
    <t>Y12011</t>
  </si>
  <si>
    <t>F11889; Z30616</t>
  </si>
  <si>
    <t>Z30616</t>
  </si>
  <si>
    <t>F11889; Y12011</t>
  </si>
  <si>
    <t>F11907</t>
  </si>
  <si>
    <t>Y12012; Z30617</t>
  </si>
  <si>
    <t>rs924164854</t>
  </si>
  <si>
    <t>Y12012</t>
  </si>
  <si>
    <t>F11907; Z30617</t>
  </si>
  <si>
    <t>Z30617</t>
  </si>
  <si>
    <t>F11907; Y12012</t>
  </si>
  <si>
    <t>F12039</t>
  </si>
  <si>
    <t>Y12030; Z30618</t>
  </si>
  <si>
    <t>rs1055680200</t>
  </si>
  <si>
    <t>Y12030</t>
  </si>
  <si>
    <t>F12039; Z30618</t>
  </si>
  <si>
    <t>Z30618</t>
  </si>
  <si>
    <t>F12039; Y12030</t>
  </si>
  <si>
    <t>F12162</t>
  </si>
  <si>
    <t>Y12013; Z30621</t>
  </si>
  <si>
    <t>rs1034612491</t>
  </si>
  <si>
    <t>Y12013</t>
  </si>
  <si>
    <t>F12162; Z30621</t>
  </si>
  <si>
    <t>Z30621</t>
  </si>
  <si>
    <t>F12162; Y12013</t>
  </si>
  <si>
    <t>F12267</t>
  </si>
  <si>
    <t>Y11997; Z30622</t>
  </si>
  <si>
    <t>Y11997</t>
  </si>
  <si>
    <t>F12267; Z30622</t>
  </si>
  <si>
    <t>Z30622</t>
  </si>
  <si>
    <t>F12267; Y11997</t>
  </si>
  <si>
    <t>F12474</t>
  </si>
  <si>
    <t>Y11998; Z30623</t>
  </si>
  <si>
    <t>rs985350884</t>
  </si>
  <si>
    <t>Y11998</t>
  </si>
  <si>
    <t>F12474; Z30623</t>
  </si>
  <si>
    <t>Z30623</t>
  </si>
  <si>
    <t>F12474; Y11998</t>
  </si>
  <si>
    <t>F12517</t>
  </si>
  <si>
    <t>Y11999; Z30624</t>
  </si>
  <si>
    <t>rs1042332387</t>
  </si>
  <si>
    <t>Y11999</t>
  </si>
  <si>
    <t>F12517; Z30624</t>
  </si>
  <si>
    <t>Z30624</t>
  </si>
  <si>
    <t>F12517; Y11999</t>
  </si>
  <si>
    <t>F12109</t>
  </si>
  <si>
    <t>Y11992; Z30620</t>
  </si>
  <si>
    <t>rs959354196</t>
  </si>
  <si>
    <t>Y11992</t>
  </si>
  <si>
    <t>F12109; Z30620</t>
  </si>
  <si>
    <t>Z30620</t>
  </si>
  <si>
    <t>F12109; Y11992</t>
  </si>
  <si>
    <t>F12717</t>
  </si>
  <si>
    <t>Y12024; Z30625</t>
  </si>
  <si>
    <t>rs1042326469</t>
  </si>
  <si>
    <t>Y12024</t>
  </si>
  <si>
    <t>F12717; Z30625</t>
  </si>
  <si>
    <t>Z30625</t>
  </si>
  <si>
    <t>F12717; Y12024</t>
  </si>
  <si>
    <t>F12880</t>
  </si>
  <si>
    <t>Y12025; Z30626</t>
  </si>
  <si>
    <t>rs1010857836</t>
  </si>
  <si>
    <t>Y12025</t>
  </si>
  <si>
    <t>F12880; Z30626</t>
  </si>
  <si>
    <t>Z30626</t>
  </si>
  <si>
    <t>F12880; Y12025</t>
  </si>
  <si>
    <t>F12905</t>
  </si>
  <si>
    <t>Y12023; Z30627</t>
  </si>
  <si>
    <t>rs889204848</t>
  </si>
  <si>
    <t>Y12023</t>
  </si>
  <si>
    <t>F12905; Z30627</t>
  </si>
  <si>
    <t>Z30627</t>
  </si>
  <si>
    <t>F12905; Y12023</t>
  </si>
  <si>
    <t>F13018</t>
  </si>
  <si>
    <t>Y12031; Z30628</t>
  </si>
  <si>
    <t>rs1021462217</t>
  </si>
  <si>
    <t>Y12031</t>
  </si>
  <si>
    <t>F13018; Z30628</t>
  </si>
  <si>
    <t>Z30628</t>
  </si>
  <si>
    <t>F13018; Y12031</t>
  </si>
  <si>
    <t>F13519</t>
  </si>
  <si>
    <t>Y12009; Z30629</t>
  </si>
  <si>
    <t>rs1027360983</t>
  </si>
  <si>
    <t>Y12009</t>
  </si>
  <si>
    <t>F13519; Z30629</t>
  </si>
  <si>
    <t>Z30629</t>
  </si>
  <si>
    <t>F13519; Y12009</t>
  </si>
  <si>
    <t>F13628</t>
  </si>
  <si>
    <t>Y12010; Z30630</t>
  </si>
  <si>
    <t>rs910972334</t>
  </si>
  <si>
    <t>Y12010</t>
  </si>
  <si>
    <t>F13628; Z30630</t>
  </si>
  <si>
    <t>Z30630</t>
  </si>
  <si>
    <t>F13628; Y12010</t>
  </si>
  <si>
    <t>F13848</t>
  </si>
  <si>
    <t>Y12027; Z30631</t>
  </si>
  <si>
    <t>Y12027</t>
  </si>
  <si>
    <t>F13848; Z30631</t>
  </si>
  <si>
    <t>Z30631</t>
  </si>
  <si>
    <t>F13848; Y12027</t>
  </si>
  <si>
    <t>Y11991</t>
  </si>
  <si>
    <t>Z30619</t>
  </si>
  <si>
    <t>rs987768168</t>
  </si>
  <si>
    <t>Z22425</t>
  </si>
  <si>
    <t>rs914487538</t>
  </si>
  <si>
    <t>BY3396</t>
  </si>
  <si>
    <t>Y46616</t>
  </si>
  <si>
    <t>rs980937106</t>
  </si>
  <si>
    <t>Y46761</t>
  </si>
  <si>
    <t>rs888458346</t>
  </si>
  <si>
    <t>Y47404</t>
  </si>
  <si>
    <t>rs945680972</t>
  </si>
  <si>
    <t>Y47855</t>
  </si>
  <si>
    <t>Y47997</t>
  </si>
  <si>
    <t>rs1014377065</t>
  </si>
  <si>
    <t>Y48044</t>
  </si>
  <si>
    <t>Y48297</t>
  </si>
  <si>
    <t>rs965861255</t>
  </si>
  <si>
    <t>Y48320</t>
  </si>
  <si>
    <t>Y48557.2</t>
  </si>
  <si>
    <t>Y51723</t>
  </si>
  <si>
    <t>rs908180623</t>
  </si>
  <si>
    <t>Y51755</t>
  </si>
  <si>
    <t>Y52232</t>
  </si>
  <si>
    <t>rs1043888399</t>
  </si>
  <si>
    <t>Y52885</t>
  </si>
  <si>
    <t>rs959263038</t>
  </si>
  <si>
    <t>Y53264</t>
  </si>
  <si>
    <t>Y53732</t>
  </si>
  <si>
    <t>rs916259079</t>
  </si>
  <si>
    <t>Y53779</t>
  </si>
  <si>
    <t>rs996662218</t>
  </si>
  <si>
    <t>Y54019</t>
  </si>
  <si>
    <t>rs1016577103</t>
  </si>
  <si>
    <t>Y54356</t>
  </si>
  <si>
    <t>rs1009542025</t>
  </si>
  <si>
    <t>Y54410</t>
  </si>
  <si>
    <t>rs924456236</t>
  </si>
  <si>
    <t>Y54563</t>
  </si>
  <si>
    <t>rs974684589</t>
  </si>
  <si>
    <t>Y54964</t>
  </si>
  <si>
    <t>rs1000389696</t>
  </si>
  <si>
    <t>Y55732</t>
  </si>
  <si>
    <t>rs944302630</t>
  </si>
  <si>
    <t>Y55805</t>
  </si>
  <si>
    <t>rs993880344</t>
  </si>
  <si>
    <t>Y56962</t>
  </si>
  <si>
    <t>rs1012273907</t>
  </si>
  <si>
    <t>Y57696</t>
  </si>
  <si>
    <t>rs943425247</t>
  </si>
  <si>
    <t>Y57857</t>
  </si>
  <si>
    <t>rs929060447</t>
  </si>
  <si>
    <t>Y58669</t>
  </si>
  <si>
    <t>rs916803185</t>
  </si>
  <si>
    <t>Y58810</t>
  </si>
  <si>
    <t>rs946993730</t>
  </si>
  <si>
    <t>Y58888</t>
  </si>
  <si>
    <t>Z22426</t>
  </si>
  <si>
    <t>Z22427</t>
  </si>
  <si>
    <t>rs997580029</t>
  </si>
  <si>
    <t>Z46118</t>
  </si>
  <si>
    <t>Z46119</t>
  </si>
  <si>
    <t>rs963631826</t>
  </si>
  <si>
    <t>Z46120</t>
  </si>
  <si>
    <t>rs954441127</t>
  </si>
  <si>
    <t>Z46121</t>
  </si>
  <si>
    <t>rs976347704</t>
  </si>
  <si>
    <t>Z46122</t>
  </si>
  <si>
    <t>rs930798787</t>
  </si>
  <si>
    <t>Z46354</t>
  </si>
  <si>
    <t>ZS11523.2</t>
  </si>
  <si>
    <t>rs983725859</t>
  </si>
  <si>
    <t>Z22424</t>
  </si>
  <si>
    <t>Z22428</t>
  </si>
  <si>
    <t>FGC14335.2</t>
  </si>
  <si>
    <t>rs893939981</t>
  </si>
  <si>
    <t>Y45560.2</t>
  </si>
  <si>
    <t>rs923914996</t>
  </si>
  <si>
    <t>Z46123</t>
  </si>
  <si>
    <t>rs929286089</t>
  </si>
  <si>
    <t>Z46124</t>
  </si>
  <si>
    <t>rs970712878</t>
  </si>
  <si>
    <t>Z46125</t>
  </si>
  <si>
    <t>rs1001630730</t>
  </si>
  <si>
    <t>Z30633</t>
  </si>
  <si>
    <t>Z30634</t>
  </si>
  <si>
    <t>Z30635</t>
  </si>
  <si>
    <t>Z30636</t>
  </si>
  <si>
    <t>Z30637</t>
  </si>
  <si>
    <t>B79</t>
  </si>
  <si>
    <t>Z32849</t>
  </si>
  <si>
    <t>Z32850</t>
  </si>
  <si>
    <t>Z32851</t>
  </si>
  <si>
    <t>Z32852</t>
  </si>
  <si>
    <t>Z31698</t>
  </si>
  <si>
    <t>rs963126242</t>
  </si>
  <si>
    <t>Z31699</t>
  </si>
  <si>
    <t>Z31700</t>
  </si>
  <si>
    <t>rs1055119368</t>
  </si>
  <si>
    <t>Z31701</t>
  </si>
  <si>
    <t>rs993146882</t>
  </si>
  <si>
    <t>Z31702</t>
  </si>
  <si>
    <t>rs914628663</t>
  </si>
  <si>
    <t>BY174874</t>
  </si>
  <si>
    <t>BY174875</t>
  </si>
  <si>
    <t>BY174929</t>
  </si>
  <si>
    <t>BY174967</t>
  </si>
  <si>
    <t>Y83824</t>
  </si>
  <si>
    <t>F1067</t>
  </si>
  <si>
    <t>rs762037042</t>
  </si>
  <si>
    <t>F2497</t>
  </si>
  <si>
    <t>rs780431741</t>
  </si>
  <si>
    <t>F2645</t>
  </si>
  <si>
    <t>rs760914166</t>
  </si>
  <si>
    <t>F3611^</t>
  </si>
  <si>
    <t>rs890837935</t>
  </si>
  <si>
    <t>F3809</t>
  </si>
  <si>
    <t>rs756350583</t>
  </si>
  <si>
    <t>F4013</t>
  </si>
  <si>
    <t>rs754791527</t>
  </si>
  <si>
    <t>Y12939</t>
  </si>
  <si>
    <t>Z4063</t>
  </si>
  <si>
    <t>rs779365439</t>
  </si>
  <si>
    <t>CTS117</t>
  </si>
  <si>
    <t>M386</t>
  </si>
  <si>
    <t>rs774703718</t>
  </si>
  <si>
    <t>F2613</t>
  </si>
  <si>
    <t>Z1338</t>
  </si>
  <si>
    <t>rs762747982</t>
  </si>
  <si>
    <t>CTS2</t>
  </si>
  <si>
    <t>rs973484984</t>
  </si>
  <si>
    <t>CTS208</t>
  </si>
  <si>
    <t>rs757501942</t>
  </si>
  <si>
    <t>CTS336</t>
  </si>
  <si>
    <t>Z1306</t>
  </si>
  <si>
    <t>rs760890300</t>
  </si>
  <si>
    <t>CTS339^</t>
  </si>
  <si>
    <t>Z1307^</t>
  </si>
  <si>
    <t>rs745648625</t>
  </si>
  <si>
    <t>CTS626</t>
  </si>
  <si>
    <t>rs770433216</t>
  </si>
  <si>
    <t>CTS790^</t>
  </si>
  <si>
    <t>rs754983312</t>
  </si>
  <si>
    <t>CTS821^</t>
  </si>
  <si>
    <t>rs961722995</t>
  </si>
  <si>
    <t>CTS948</t>
  </si>
  <si>
    <t>rs775303000</t>
  </si>
  <si>
    <t>CTS1407</t>
  </si>
  <si>
    <t>Z1311</t>
  </si>
  <si>
    <t>rs775313836</t>
  </si>
  <si>
    <t>CTS1694^</t>
  </si>
  <si>
    <t>rs768142122</t>
  </si>
  <si>
    <t>CTS1781</t>
  </si>
  <si>
    <t>S3186</t>
  </si>
  <si>
    <t>rs761906804</t>
  </si>
  <si>
    <t>CTS1854</t>
  </si>
  <si>
    <t>Z1320</t>
  </si>
  <si>
    <t>rs753025499</t>
  </si>
  <si>
    <t>CTS2137^</t>
  </si>
  <si>
    <t>Z1322^</t>
  </si>
  <si>
    <t>rs781451839</t>
  </si>
  <si>
    <t>CTS2428^</t>
  </si>
  <si>
    <t>rs760598017</t>
  </si>
  <si>
    <t>CTS2436</t>
  </si>
  <si>
    <t>rs774628414</t>
  </si>
  <si>
    <t>CTS2491</t>
  </si>
  <si>
    <t>Z1323</t>
  </si>
  <si>
    <t>rs761879169</t>
  </si>
  <si>
    <t>CTS2848</t>
  </si>
  <si>
    <t>rs751185820</t>
  </si>
  <si>
    <t>CTS3121</t>
  </si>
  <si>
    <t>rs764242906</t>
  </si>
  <si>
    <t>CTS3129^</t>
  </si>
  <si>
    <t>Z1324^</t>
  </si>
  <si>
    <t>rs751042735</t>
  </si>
  <si>
    <t>CTS3156</t>
  </si>
  <si>
    <t>Z1325</t>
  </si>
  <si>
    <t>rs780084746</t>
  </si>
  <si>
    <t>CTS3166</t>
  </si>
  <si>
    <t>rs772317777</t>
  </si>
  <si>
    <t>CTS3297</t>
  </si>
  <si>
    <t>rs770936997</t>
  </si>
  <si>
    <t>CTS3440</t>
  </si>
  <si>
    <t>rs759310653</t>
  </si>
  <si>
    <t>CTS3639</t>
  </si>
  <si>
    <t>rs750287081</t>
  </si>
  <si>
    <t>CTS3957^</t>
  </si>
  <si>
    <t>Z1327^</t>
  </si>
  <si>
    <t>rs955729657</t>
  </si>
  <si>
    <t>CTS4009</t>
  </si>
  <si>
    <t>rs749573470</t>
  </si>
  <si>
    <t>CTS4064</t>
  </si>
  <si>
    <t>Z1328</t>
  </si>
  <si>
    <t>rs778269422</t>
  </si>
  <si>
    <t>CTS4140^</t>
  </si>
  <si>
    <t>Z1329^</t>
  </si>
  <si>
    <t>rs771136788</t>
  </si>
  <si>
    <t>CTS4222</t>
  </si>
  <si>
    <t>rs768882293</t>
  </si>
  <si>
    <t>CTS4951^</t>
  </si>
  <si>
    <t>rs749304347</t>
  </si>
  <si>
    <t>CTS5004</t>
  </si>
  <si>
    <t>rs759315356</t>
  </si>
  <si>
    <t>CTS5621</t>
  </si>
  <si>
    <t>rs764694033</t>
  </si>
  <si>
    <t>CTS6030^</t>
  </si>
  <si>
    <t>rs756996345</t>
  </si>
  <si>
    <t>CTS6145</t>
  </si>
  <si>
    <t>rs374971999</t>
  </si>
  <si>
    <t>CTS6374</t>
  </si>
  <si>
    <t>rs774648412</t>
  </si>
  <si>
    <t>CTS6582</t>
  </si>
  <si>
    <t>rs764074386</t>
  </si>
  <si>
    <t>CTS6628</t>
  </si>
  <si>
    <t>rs766151492</t>
  </si>
  <si>
    <t>CTS6675</t>
  </si>
  <si>
    <t>rs767717041</t>
  </si>
  <si>
    <t>CTS6770</t>
  </si>
  <si>
    <t>rs778372705</t>
  </si>
  <si>
    <t>CTS6934</t>
  </si>
  <si>
    <t>rs753514140</t>
  </si>
  <si>
    <t>CTS7167</t>
  </si>
  <si>
    <t>Z1335</t>
  </si>
  <si>
    <t>rs759041390</t>
  </si>
  <si>
    <t>CTS7414</t>
  </si>
  <si>
    <t>rs754764526</t>
  </si>
  <si>
    <t>CTS7588^</t>
  </si>
  <si>
    <t>rs751163717</t>
  </si>
  <si>
    <t>CTS7798^</t>
  </si>
  <si>
    <t>Z1337^</t>
  </si>
  <si>
    <t>rs763892484</t>
  </si>
  <si>
    <t>CTS8080^</t>
  </si>
  <si>
    <t>rs779989459</t>
  </si>
  <si>
    <t>CTS8081^</t>
  </si>
  <si>
    <t>rs747310139</t>
  </si>
  <si>
    <t>CTS8395</t>
  </si>
  <si>
    <t>rs758577056</t>
  </si>
  <si>
    <t>CTS8889^</t>
  </si>
  <si>
    <t>rs1335912459</t>
  </si>
  <si>
    <t>CTS9395</t>
  </si>
  <si>
    <t>Z1341</t>
  </si>
  <si>
    <t>rs752802627</t>
  </si>
  <si>
    <t>CTS9537</t>
  </si>
  <si>
    <t>rs765027947</t>
  </si>
  <si>
    <t>CTS10175</t>
  </si>
  <si>
    <t>Z1342</t>
  </si>
  <si>
    <t>rs754567420</t>
  </si>
  <si>
    <t>CTS10220</t>
  </si>
  <si>
    <t>Z1344</t>
  </si>
  <si>
    <t>rs779388469</t>
  </si>
  <si>
    <t>CTS10621</t>
  </si>
  <si>
    <t>rs780305262</t>
  </si>
  <si>
    <t>CTS10762</t>
  </si>
  <si>
    <t>Z1349</t>
  </si>
  <si>
    <t>rs746066245</t>
  </si>
  <si>
    <t>CTS10860^</t>
  </si>
  <si>
    <t>rs752945344</t>
  </si>
  <si>
    <t>CTS10986</t>
  </si>
  <si>
    <t>Z1350^</t>
  </si>
  <si>
    <t>rs759117705</t>
  </si>
  <si>
    <t>CTS11144</t>
  </si>
  <si>
    <t>rs766704886</t>
  </si>
  <si>
    <t>CTS11292</t>
  </si>
  <si>
    <t>rs748180327</t>
  </si>
  <si>
    <t>CTS11378^</t>
  </si>
  <si>
    <t>rs761318477</t>
  </si>
  <si>
    <t>CTS11489</t>
  </si>
  <si>
    <t>rs750833018</t>
  </si>
  <si>
    <t>CTS11833</t>
  </si>
  <si>
    <t>rs773299220</t>
  </si>
  <si>
    <t>CTS12591^</t>
  </si>
  <si>
    <t>rs750558561</t>
  </si>
  <si>
    <t>CTS12842^</t>
  </si>
  <si>
    <t>rs751890116</t>
  </si>
  <si>
    <t>F907</t>
  </si>
  <si>
    <t>rs763603480</t>
  </si>
  <si>
    <t>F958</t>
  </si>
  <si>
    <t>rs747679965</t>
  </si>
  <si>
    <t>F978</t>
  </si>
  <si>
    <t>IMS-JST002613-27</t>
  </si>
  <si>
    <t>rs779254857</t>
  </si>
  <si>
    <t>F1012</t>
  </si>
  <si>
    <t>rs750185685</t>
  </si>
  <si>
    <t>F1093</t>
  </si>
  <si>
    <t>Z1314</t>
  </si>
  <si>
    <t>rs766200215</t>
  </si>
  <si>
    <t>F1102</t>
  </si>
  <si>
    <t>rs745850398</t>
  </si>
  <si>
    <t>F1144</t>
  </si>
  <si>
    <t>rs773588482</t>
  </si>
  <si>
    <t>F1165</t>
  </si>
  <si>
    <t>rs767487433</t>
  </si>
  <si>
    <t>F1223</t>
  </si>
  <si>
    <t>rs760570146</t>
  </si>
  <si>
    <t>F1243</t>
  </si>
  <si>
    <t>rs751892851</t>
  </si>
  <si>
    <t>F1271</t>
  </si>
  <si>
    <t>rs777846373</t>
  </si>
  <si>
    <t>F1323</t>
  </si>
  <si>
    <t>rs780944452</t>
  </si>
  <si>
    <t>F1382</t>
  </si>
  <si>
    <t>rs761245432</t>
  </si>
  <si>
    <t>F1420</t>
  </si>
  <si>
    <t>Z1316</t>
  </si>
  <si>
    <t>rs760709259</t>
  </si>
  <si>
    <t>F1619</t>
  </si>
  <si>
    <t>rs772735508</t>
  </si>
  <si>
    <t>F1641</t>
  </si>
  <si>
    <t>rs748444672</t>
  </si>
  <si>
    <t>F1668</t>
  </si>
  <si>
    <t>P323</t>
  </si>
  <si>
    <t>rs755043053</t>
  </si>
  <si>
    <t>F1740</t>
  </si>
  <si>
    <t>rs757766767</t>
  </si>
  <si>
    <t>F1847</t>
  </si>
  <si>
    <t>Z1326</t>
  </si>
  <si>
    <t>rs765264299</t>
  </si>
  <si>
    <t>F1938</t>
  </si>
  <si>
    <t>rs780396973</t>
  </si>
  <si>
    <t>F1970</t>
  </si>
  <si>
    <t>rs764779093</t>
  </si>
  <si>
    <t>F2057</t>
  </si>
  <si>
    <t>rs759348580</t>
  </si>
  <si>
    <t>F2074</t>
  </si>
  <si>
    <t>Z1330</t>
  </si>
  <si>
    <t>rs766491979</t>
  </si>
  <si>
    <t>F2115</t>
  </si>
  <si>
    <t>rs771968097</t>
  </si>
  <si>
    <t>F2129</t>
  </si>
  <si>
    <t>rs778251886</t>
  </si>
  <si>
    <t>F2140</t>
  </si>
  <si>
    <t>rs746856091</t>
  </si>
  <si>
    <t>F2226</t>
  </si>
  <si>
    <t>rs770328509</t>
  </si>
  <si>
    <t>F2232</t>
  </si>
  <si>
    <t>Z1332</t>
  </si>
  <si>
    <t>rs759159300</t>
  </si>
  <si>
    <t>F2259</t>
  </si>
  <si>
    <t>rs776776935</t>
  </si>
  <si>
    <t>F2262</t>
  </si>
  <si>
    <t>Z1333</t>
  </si>
  <si>
    <t>rs757265845</t>
  </si>
  <si>
    <t>F2331</t>
  </si>
  <si>
    <t>rs774529934</t>
  </si>
  <si>
    <t>F2377</t>
  </si>
  <si>
    <t>rs760795810</t>
  </si>
  <si>
    <t>F2385</t>
  </si>
  <si>
    <t>rs763322351</t>
  </si>
  <si>
    <t>F2391</t>
  </si>
  <si>
    <t>rs765356820</t>
  </si>
  <si>
    <t>F2442</t>
  </si>
  <si>
    <t>rs751886368</t>
  </si>
  <si>
    <t>F2479</t>
  </si>
  <si>
    <t>YSC0001307</t>
  </si>
  <si>
    <t>rs748138750</t>
  </si>
  <si>
    <t>F2539</t>
  </si>
  <si>
    <t>rs767052182</t>
  </si>
  <si>
    <t>F2674</t>
  </si>
  <si>
    <t>rs758043160</t>
  </si>
  <si>
    <t>F2681</t>
  </si>
  <si>
    <t>Z1339</t>
  </si>
  <si>
    <t>rs748883495</t>
  </si>
  <si>
    <t>F2689</t>
  </si>
  <si>
    <t>rs753787991</t>
  </si>
  <si>
    <t>F2736</t>
  </si>
  <si>
    <t>rs771723235</t>
  </si>
  <si>
    <t>F2849</t>
  </si>
  <si>
    <t>rs771252974</t>
  </si>
  <si>
    <t>F2884</t>
  </si>
  <si>
    <t>rs755067346</t>
  </si>
  <si>
    <t>F2987</t>
  </si>
  <si>
    <t>rs751500286</t>
  </si>
  <si>
    <t>F2988</t>
  </si>
  <si>
    <t>rs776430187</t>
  </si>
  <si>
    <t>F3014</t>
  </si>
  <si>
    <t>Z1343</t>
  </si>
  <si>
    <t>rs773844811</t>
  </si>
  <si>
    <t>F3061</t>
  </si>
  <si>
    <t>rs753034131</t>
  </si>
  <si>
    <t>F3071</t>
  </si>
  <si>
    <t>rs746215868</t>
  </si>
  <si>
    <t>F3076</t>
  </si>
  <si>
    <t>rs768245996</t>
  </si>
  <si>
    <t>F3178</t>
  </si>
  <si>
    <t>Z1347</t>
  </si>
  <si>
    <t>rs753013070</t>
  </si>
  <si>
    <t>F3183</t>
  </si>
  <si>
    <t>rs769142122</t>
  </si>
  <si>
    <t>F3301</t>
  </si>
  <si>
    <t>rs765192443</t>
  </si>
  <si>
    <t>F3313</t>
  </si>
  <si>
    <t>rs762890153</t>
  </si>
  <si>
    <t>F3320</t>
  </si>
  <si>
    <t>rs750696141</t>
  </si>
  <si>
    <t>F3399</t>
  </si>
  <si>
    <t>rs757211956</t>
  </si>
  <si>
    <t>F3454</t>
  </si>
  <si>
    <t>rs752332056</t>
  </si>
  <si>
    <t>F3487</t>
  </si>
  <si>
    <t>Z1351</t>
  </si>
  <si>
    <t>rs764177318</t>
  </si>
  <si>
    <t>F3497</t>
  </si>
  <si>
    <t>rs747016901</t>
  </si>
  <si>
    <t>F3587</t>
  </si>
  <si>
    <t>rs772728710</t>
  </si>
  <si>
    <t>F3688</t>
  </si>
  <si>
    <t>Z1308</t>
  </si>
  <si>
    <t>rs772095927</t>
  </si>
  <si>
    <t>F3744</t>
  </si>
  <si>
    <t>rs566569730</t>
  </si>
  <si>
    <t>F3754</t>
  </si>
  <si>
    <t>rs759063529</t>
  </si>
  <si>
    <t>F3758</t>
  </si>
  <si>
    <t>rs971458019</t>
  </si>
  <si>
    <t>F3788</t>
  </si>
  <si>
    <t>rs773174512</t>
  </si>
  <si>
    <t>F3789</t>
  </si>
  <si>
    <t>rs767845905</t>
  </si>
  <si>
    <t>F3790</t>
  </si>
  <si>
    <t>rs775433967</t>
  </si>
  <si>
    <t>F3854</t>
  </si>
  <si>
    <t>rs760859050</t>
  </si>
  <si>
    <t>F3911</t>
  </si>
  <si>
    <t>rs748475973</t>
  </si>
  <si>
    <t>F3934</t>
  </si>
  <si>
    <t>rs758929999</t>
  </si>
  <si>
    <t>F4005</t>
  </si>
  <si>
    <t>Z1345</t>
  </si>
  <si>
    <t>rs762819004</t>
  </si>
  <si>
    <t>F4011</t>
  </si>
  <si>
    <t>rs757645357</t>
  </si>
  <si>
    <t>K490</t>
  </si>
  <si>
    <t>rs758689119</t>
  </si>
  <si>
    <t>K491</t>
  </si>
  <si>
    <t>rs748611647</t>
  </si>
  <si>
    <t>K493</t>
  </si>
  <si>
    <t>rs755018036</t>
  </si>
  <si>
    <t>K495^</t>
  </si>
  <si>
    <t>K496</t>
  </si>
  <si>
    <t>K497</t>
  </si>
  <si>
    <t>rs1438028312</t>
  </si>
  <si>
    <t>K498</t>
  </si>
  <si>
    <t>rs969266303</t>
  </si>
  <si>
    <t>M255^</t>
  </si>
  <si>
    <t>rs9341298</t>
  </si>
  <si>
    <t>Page12</t>
  </si>
  <si>
    <t>rs35612163</t>
  </si>
  <si>
    <t>Y12949</t>
  </si>
  <si>
    <t>Z4054</t>
  </si>
  <si>
    <t>rs754340985</t>
  </si>
  <si>
    <t>Y12951</t>
  </si>
  <si>
    <t>Z12207</t>
  </si>
  <si>
    <t>rs757529800</t>
  </si>
  <si>
    <t>Z1312</t>
  </si>
  <si>
    <t>rs776756442</t>
  </si>
  <si>
    <t>Z1313</t>
  </si>
  <si>
    <t>rs750885304</t>
  </si>
  <si>
    <t>Z1315</t>
  </si>
  <si>
    <t>rs761768135</t>
  </si>
  <si>
    <t>Z1317</t>
  </si>
  <si>
    <t>rs769495943</t>
  </si>
  <si>
    <t>Z1319</t>
  </si>
  <si>
    <t>rs1360107958</t>
  </si>
  <si>
    <t>Z1348</t>
  </si>
  <si>
    <t>rs753267819</t>
  </si>
  <si>
    <t>Z3941</t>
  </si>
  <si>
    <t>rs747073895</t>
  </si>
  <si>
    <t>Z3947</t>
  </si>
  <si>
    <t>rs781546258</t>
  </si>
  <si>
    <t>Z3948</t>
  </si>
  <si>
    <t>rs754553731</t>
  </si>
  <si>
    <t>Z3959</t>
  </si>
  <si>
    <t>rs751062772</t>
  </si>
  <si>
    <t>Z3966^</t>
  </si>
  <si>
    <t>rs756757714</t>
  </si>
  <si>
    <t>Z3967</t>
  </si>
  <si>
    <t>rs777316721</t>
  </si>
  <si>
    <t>Z3970</t>
  </si>
  <si>
    <t>rs756988732</t>
  </si>
  <si>
    <t>Z3980</t>
  </si>
  <si>
    <t>rs781374204</t>
  </si>
  <si>
    <t>Z3991^</t>
  </si>
  <si>
    <t>rs753248879</t>
  </si>
  <si>
    <t>Z4005</t>
  </si>
  <si>
    <t>rs1359085589</t>
  </si>
  <si>
    <t>Z4006</t>
  </si>
  <si>
    <t>rs1220919523</t>
  </si>
  <si>
    <t>Z4037^</t>
  </si>
  <si>
    <t>rs752394866</t>
  </si>
  <si>
    <t>Z4038^</t>
  </si>
  <si>
    <t>rs770600319</t>
  </si>
  <si>
    <t>Z4041</t>
  </si>
  <si>
    <t>rs773117721</t>
  </si>
  <si>
    <t>Z4042</t>
  </si>
  <si>
    <t>rs1200616691</t>
  </si>
  <si>
    <t>Z4062</t>
  </si>
  <si>
    <t>rs756195987</t>
  </si>
  <si>
    <t>Z4067</t>
  </si>
  <si>
    <t>rs749404912</t>
  </si>
  <si>
    <t>Z4074^</t>
  </si>
  <si>
    <t>rs762981461</t>
  </si>
  <si>
    <t>Z4131</t>
  </si>
  <si>
    <t>rs34298500</t>
  </si>
  <si>
    <t>Z4132</t>
  </si>
  <si>
    <t>rs748848506</t>
  </si>
  <si>
    <t>Z4149</t>
  </si>
  <si>
    <t>rs1216937119</t>
  </si>
  <si>
    <t>Z12158</t>
  </si>
  <si>
    <t>rs1017774207</t>
  </si>
  <si>
    <t>Z12184</t>
  </si>
  <si>
    <t>rs779339641</t>
  </si>
  <si>
    <t>Z12206</t>
  </si>
  <si>
    <t>rs757347283</t>
  </si>
  <si>
    <t>CTS4338</t>
  </si>
  <si>
    <t>rs755057690</t>
  </si>
  <si>
    <t>CTS4419</t>
  </si>
  <si>
    <t>rs961246306</t>
  </si>
  <si>
    <t>CTS4763</t>
  </si>
  <si>
    <t>rs765509479</t>
  </si>
  <si>
    <t>CTS5399</t>
  </si>
  <si>
    <t>rs752992739</t>
  </si>
  <si>
    <t>CTS5703</t>
  </si>
  <si>
    <t>rs746323774</t>
  </si>
  <si>
    <t>CTS6720</t>
  </si>
  <si>
    <t>rs765155022</t>
  </si>
  <si>
    <t>CTS6866</t>
  </si>
  <si>
    <t>rs758810483</t>
  </si>
  <si>
    <t>CTS7137</t>
  </si>
  <si>
    <t>rs771816320</t>
  </si>
  <si>
    <t>CTS8732</t>
  </si>
  <si>
    <t>rs766231930</t>
  </si>
  <si>
    <t>CTS10238</t>
  </si>
  <si>
    <t>rs748117762</t>
  </si>
  <si>
    <t>CTS10873</t>
  </si>
  <si>
    <t>rs746010099</t>
  </si>
  <si>
    <t>CTS12881</t>
  </si>
  <si>
    <t>rs758201651</t>
  </si>
  <si>
    <t>CTS12964</t>
  </si>
  <si>
    <t>rs780909782</t>
  </si>
  <si>
    <t>F1143</t>
  </si>
  <si>
    <t>rs780707370</t>
  </si>
  <si>
    <t>F1240</t>
  </si>
  <si>
    <t>rs780579597</t>
  </si>
  <si>
    <t>F1248</t>
  </si>
  <si>
    <t>rs769594476</t>
  </si>
  <si>
    <t>F1330</t>
  </si>
  <si>
    <t>rs765905506</t>
  </si>
  <si>
    <t>F1453</t>
  </si>
  <si>
    <t>rs755758926</t>
  </si>
  <si>
    <t>F1801</t>
  </si>
  <si>
    <t>rs758075115</t>
  </si>
  <si>
    <t>F2053</t>
  </si>
  <si>
    <t>rs752964409</t>
  </si>
  <si>
    <t>F2372</t>
  </si>
  <si>
    <t>rs755507267</t>
  </si>
  <si>
    <t>F3879</t>
  </si>
  <si>
    <t>rs771824196</t>
  </si>
  <si>
    <t>F3903</t>
  </si>
  <si>
    <t>rs1239894295</t>
  </si>
  <si>
    <t>F4007</t>
  </si>
  <si>
    <t>rs749464793</t>
  </si>
  <si>
    <t>Y12940</t>
  </si>
  <si>
    <t>rs1047875917</t>
  </si>
  <si>
    <t>Z3956</t>
  </si>
  <si>
    <t>rs755003456</t>
  </si>
  <si>
    <t>Z12155</t>
  </si>
  <si>
    <t>rs1321603390</t>
  </si>
  <si>
    <t>Z12170</t>
  </si>
  <si>
    <t>rs1050658711</t>
  </si>
  <si>
    <t>Z1300</t>
  </si>
  <si>
    <t>rs778350157</t>
  </si>
  <si>
    <t>CTS4021</t>
  </si>
  <si>
    <t>Z1301</t>
  </si>
  <si>
    <t>rs757370011</t>
  </si>
  <si>
    <t>CTS4590</t>
  </si>
  <si>
    <t>rs754357201</t>
  </si>
  <si>
    <t>F2982</t>
  </si>
  <si>
    <t>rs747544582</t>
  </si>
  <si>
    <t>F3895</t>
  </si>
  <si>
    <t>rs769373198</t>
  </si>
  <si>
    <t>Z4040</t>
  </si>
  <si>
    <t>rs766601499</t>
  </si>
  <si>
    <t>rs762641165</t>
  </si>
  <si>
    <t>CTS2657</t>
  </si>
  <si>
    <t>rs755171620</t>
  </si>
  <si>
    <t>F3755</t>
  </si>
  <si>
    <t>rs746239140</t>
  </si>
  <si>
    <t>Y12943</t>
  </si>
  <si>
    <t>Z16231</t>
  </si>
  <si>
    <t>rs748730715</t>
  </si>
  <si>
    <t>Y12945</t>
  </si>
  <si>
    <t>Z16232</t>
  </si>
  <si>
    <t>rs776712390</t>
  </si>
  <si>
    <t>CTS11990</t>
  </si>
  <si>
    <t>rs753148069</t>
  </si>
  <si>
    <t>F3921</t>
  </si>
  <si>
    <t>rs750017821</t>
  </si>
  <si>
    <t>F3949</t>
  </si>
  <si>
    <t>rs1160839865</t>
  </si>
  <si>
    <t>F3967</t>
  </si>
  <si>
    <t>rs751641024</t>
  </si>
  <si>
    <t>F4027</t>
  </si>
  <si>
    <t>rs752426221</t>
  </si>
  <si>
    <t>F4035</t>
  </si>
  <si>
    <t>rs779759892</t>
  </si>
  <si>
    <t>F7189</t>
  </si>
  <si>
    <t>Y12944; Z18178</t>
  </si>
  <si>
    <t>rs771451642</t>
  </si>
  <si>
    <t>Y12944</t>
  </si>
  <si>
    <t>F7189; Z18178</t>
  </si>
  <si>
    <t>Z18178</t>
  </si>
  <si>
    <t>F7189; Y12944</t>
  </si>
  <si>
    <t>F7926</t>
  </si>
  <si>
    <t>Y13864; Z16233</t>
  </si>
  <si>
    <t>rs773090949</t>
  </si>
  <si>
    <t>Y13864</t>
  </si>
  <si>
    <t>F7926; Z16233</t>
  </si>
  <si>
    <t>Z16233</t>
  </si>
  <si>
    <t>F7926; Y13864</t>
  </si>
  <si>
    <t>rs763141205</t>
  </si>
  <si>
    <t>CTS8579</t>
  </si>
  <si>
    <t>rs779677005</t>
  </si>
  <si>
    <t>CTS5718^</t>
  </si>
  <si>
    <t>rs755098196</t>
  </si>
  <si>
    <t>F3739</t>
  </si>
  <si>
    <t>rs757516061</t>
  </si>
  <si>
    <t>F3836</t>
  </si>
  <si>
    <t>rs780957235</t>
  </si>
  <si>
    <t>F3883</t>
  </si>
  <si>
    <t>rs776463167</t>
  </si>
  <si>
    <t>F4040^</t>
  </si>
  <si>
    <t>rs746746815</t>
  </si>
  <si>
    <t>F6346</t>
  </si>
  <si>
    <t>Y13862; Z18174</t>
  </si>
  <si>
    <t>rs765786321</t>
  </si>
  <si>
    <t>Y13862</t>
  </si>
  <si>
    <t>F6346; Z18174</t>
  </si>
  <si>
    <t>Z18174</t>
  </si>
  <si>
    <t>F6346; Y13862</t>
  </si>
  <si>
    <t>F6253</t>
  </si>
  <si>
    <t>Y13860; Z18172</t>
  </si>
  <si>
    <t>rs758391485</t>
  </si>
  <si>
    <t>Y13860</t>
  </si>
  <si>
    <t>F6253; Z18172</t>
  </si>
  <si>
    <t>Z18172</t>
  </si>
  <si>
    <t>F6253; Y13860</t>
  </si>
  <si>
    <t>Y13858^</t>
  </si>
  <si>
    <t>Z18179^</t>
  </si>
  <si>
    <t>rs764960380</t>
  </si>
  <si>
    <t>M407</t>
  </si>
  <si>
    <t>rs371814332</t>
  </si>
  <si>
    <t>F3737</t>
  </si>
  <si>
    <t>rs747990137</t>
  </si>
  <si>
    <t>F3784</t>
  </si>
  <si>
    <t>rs779668707</t>
  </si>
  <si>
    <t>F3785</t>
  </si>
  <si>
    <t>rs753001096</t>
  </si>
  <si>
    <t>F3853</t>
  </si>
  <si>
    <t>rs768849946</t>
  </si>
  <si>
    <t>F3864</t>
  </si>
  <si>
    <t>rs770029283</t>
  </si>
  <si>
    <t>F6288</t>
  </si>
  <si>
    <t>Y13861; Z31649</t>
  </si>
  <si>
    <t>rs775389660</t>
  </si>
  <si>
    <t>Y13861</t>
  </si>
  <si>
    <t>F6288; Z31649</t>
  </si>
  <si>
    <t>Z31649</t>
  </si>
  <si>
    <t>F6288; Y13861</t>
  </si>
  <si>
    <t>F6494</t>
  </si>
  <si>
    <t>Y13865</t>
  </si>
  <si>
    <t>F6968</t>
  </si>
  <si>
    <t>Y12954; Z31654</t>
  </si>
  <si>
    <t>rs778502625</t>
  </si>
  <si>
    <t>Y12954</t>
  </si>
  <si>
    <t>F6968; Z31654</t>
  </si>
  <si>
    <t>Z31654</t>
  </si>
  <si>
    <t>F6968; Y12954</t>
  </si>
  <si>
    <t>F7013</t>
  </si>
  <si>
    <t>Y12955</t>
  </si>
  <si>
    <t>F7181</t>
  </si>
  <si>
    <t>Y12957; Z31655</t>
  </si>
  <si>
    <t>rs756574356</t>
  </si>
  <si>
    <t>Y12957</t>
  </si>
  <si>
    <t>F7181; Z31655</t>
  </si>
  <si>
    <t>Z31655</t>
  </si>
  <si>
    <t>F7181; Y12957</t>
  </si>
  <si>
    <t>F7221</t>
  </si>
  <si>
    <t>Y13868; Z31656</t>
  </si>
  <si>
    <t>rs771570386</t>
  </si>
  <si>
    <t>Y13868</t>
  </si>
  <si>
    <t>F7221; Z31656</t>
  </si>
  <si>
    <t>Z31656</t>
  </si>
  <si>
    <t>F7221; Y13868</t>
  </si>
  <si>
    <t>F7227</t>
  </si>
  <si>
    <t>Y13869; Z31657</t>
  </si>
  <si>
    <t>rs753099927</t>
  </si>
  <si>
    <t>Y13869</t>
  </si>
  <si>
    <t>F7227; Z31657</t>
  </si>
  <si>
    <t>Z31657</t>
  </si>
  <si>
    <t>F7227; Y13869</t>
  </si>
  <si>
    <t>F7462</t>
  </si>
  <si>
    <t>Y13870; Z31659</t>
  </si>
  <si>
    <t>rs761030206</t>
  </si>
  <si>
    <t>Y13870</t>
  </si>
  <si>
    <t>F7462; Z31659</t>
  </si>
  <si>
    <t>Z31659</t>
  </si>
  <si>
    <t>F7462; Y13870</t>
  </si>
  <si>
    <t>F7554</t>
  </si>
  <si>
    <t>Y13859</t>
  </si>
  <si>
    <t>F7940</t>
  </si>
  <si>
    <t>rs772852942</t>
  </si>
  <si>
    <t>F7942</t>
  </si>
  <si>
    <t>Y12958; Z31661</t>
  </si>
  <si>
    <t>rs770344018</t>
  </si>
  <si>
    <t>Y12958</t>
  </si>
  <si>
    <t>F7942; Z31661</t>
  </si>
  <si>
    <t>Z31661</t>
  </si>
  <si>
    <t>F7942; Y12958</t>
  </si>
  <si>
    <t>F7945</t>
  </si>
  <si>
    <t>Y12959; Z31662</t>
  </si>
  <si>
    <t>rs770132982</t>
  </si>
  <si>
    <t>Y12959</t>
  </si>
  <si>
    <t>F7945; Z31662</t>
  </si>
  <si>
    <t>Z31662</t>
  </si>
  <si>
    <t>F7945; Y12959</t>
  </si>
  <si>
    <t>SK1026</t>
  </si>
  <si>
    <t>Y12956</t>
  </si>
  <si>
    <t>Y12946</t>
  </si>
  <si>
    <t>Z31660</t>
  </si>
  <si>
    <t>Y12953</t>
  </si>
  <si>
    <t>Z31653</t>
  </si>
  <si>
    <t>rs776707580</t>
  </si>
  <si>
    <t>Z31650</t>
  </si>
  <si>
    <t>rs779306511</t>
  </si>
  <si>
    <t>rs755271377</t>
  </si>
  <si>
    <t>B97</t>
  </si>
  <si>
    <t>Z33003</t>
  </si>
  <si>
    <t>B102</t>
  </si>
  <si>
    <t>Z31857</t>
  </si>
  <si>
    <t>B103</t>
  </si>
  <si>
    <t>Z31858</t>
  </si>
  <si>
    <t>Z31859</t>
  </si>
  <si>
    <t>Z31860</t>
  </si>
  <si>
    <t>B104</t>
  </si>
  <si>
    <t>Z31862</t>
  </si>
  <si>
    <t>Z31863</t>
  </si>
  <si>
    <t>Z31864</t>
  </si>
  <si>
    <t>B105</t>
  </si>
  <si>
    <t>Z31865</t>
  </si>
  <si>
    <t>Z31866</t>
  </si>
  <si>
    <t>Z31867</t>
  </si>
  <si>
    <t>Z31868</t>
  </si>
  <si>
    <t>Z31870</t>
  </si>
  <si>
    <t>Z31871</t>
  </si>
  <si>
    <t>Z31872</t>
  </si>
  <si>
    <t>B107</t>
  </si>
  <si>
    <t>Z31873</t>
  </si>
  <si>
    <t>Z31874</t>
  </si>
  <si>
    <t>Z31876</t>
  </si>
  <si>
    <t>B100</t>
  </si>
  <si>
    <t>FGC12541.2</t>
  </si>
  <si>
    <t>rs1009523776</t>
  </si>
  <si>
    <t>Z31851</t>
  </si>
  <si>
    <t>rs970300184</t>
  </si>
  <si>
    <t>Z31852</t>
  </si>
  <si>
    <t>Z31853</t>
  </si>
  <si>
    <t>B99</t>
  </si>
  <si>
    <t>Z32999</t>
  </si>
  <si>
    <t>Z33000</t>
  </si>
  <si>
    <t>Z33001</t>
  </si>
  <si>
    <t>Z33002</t>
  </si>
  <si>
    <t>F3916</t>
  </si>
  <si>
    <t>rs746521257</t>
  </si>
  <si>
    <t>Z31645</t>
  </si>
  <si>
    <t>rs778599461</t>
  </si>
  <si>
    <t>Z31646</t>
  </si>
  <si>
    <t>rs750054480</t>
  </si>
  <si>
    <t>Z31647</t>
  </si>
  <si>
    <t>rs749333564</t>
  </si>
  <si>
    <t>Z46377</t>
  </si>
  <si>
    <t>Z45399</t>
  </si>
  <si>
    <t>Z45400</t>
  </si>
  <si>
    <t>Z45401</t>
  </si>
  <si>
    <t>Z45402</t>
  </si>
  <si>
    <t>Z45403</t>
  </si>
  <si>
    <t>rs1008050760</t>
  </si>
  <si>
    <t>CTS1003</t>
  </si>
  <si>
    <t>rs750045683</t>
  </si>
  <si>
    <t>CTS3550</t>
  </si>
  <si>
    <t>rs747548047</t>
  </si>
  <si>
    <t>CTS3952</t>
  </si>
  <si>
    <t>CTS4449</t>
  </si>
  <si>
    <t>rs753533197</t>
  </si>
  <si>
    <t>CTS8629</t>
  </si>
  <si>
    <t>rs769803952</t>
  </si>
  <si>
    <t>Z31664</t>
  </si>
  <si>
    <t>rs1426200025</t>
  </si>
  <si>
    <t>F17854</t>
  </si>
  <si>
    <t>rs960715188</t>
  </si>
  <si>
    <t>F18454</t>
  </si>
  <si>
    <t>rs1244255753</t>
  </si>
  <si>
    <t>F18822</t>
  </si>
  <si>
    <t>rs1372617141</t>
  </si>
  <si>
    <t>F19165</t>
  </si>
  <si>
    <t>rs1282047287</t>
  </si>
  <si>
    <t>F20188</t>
  </si>
  <si>
    <t>rs1160394054</t>
  </si>
  <si>
    <t>F21292</t>
  </si>
  <si>
    <t>rs1004764126</t>
  </si>
  <si>
    <t>F21999</t>
  </si>
  <si>
    <t>rs1376226487</t>
  </si>
  <si>
    <t>F22006^</t>
  </si>
  <si>
    <t>rs1327996976</t>
  </si>
  <si>
    <t>F22021</t>
  </si>
  <si>
    <t>rs1196274478</t>
  </si>
  <si>
    <t>F22768</t>
  </si>
  <si>
    <t>rs1460307825</t>
  </si>
  <si>
    <t>F25595</t>
  </si>
  <si>
    <t>rs1213653743</t>
  </si>
  <si>
    <t>MF1788</t>
  </si>
  <si>
    <t>rs1399429486</t>
  </si>
  <si>
    <t>Y90539</t>
  </si>
  <si>
    <t>rs1240658550</t>
  </si>
  <si>
    <t>Y92436</t>
  </si>
  <si>
    <t>rs1412257190</t>
  </si>
  <si>
    <t>Y98989</t>
  </si>
  <si>
    <t>rs913469822</t>
  </si>
  <si>
    <t>Y103788</t>
  </si>
  <si>
    <t>rs937640372</t>
  </si>
  <si>
    <t>Y108538</t>
  </si>
  <si>
    <t>rs936880732</t>
  </si>
  <si>
    <t>Y112120</t>
  </si>
  <si>
    <t>rs1206735112</t>
  </si>
  <si>
    <t>Y112121</t>
  </si>
  <si>
    <t>rs1251906917</t>
  </si>
  <si>
    <t>Y113022</t>
  </si>
  <si>
    <t>rs1166070840</t>
  </si>
  <si>
    <t>Z31667</t>
  </si>
  <si>
    <t>rs1156494304</t>
  </si>
  <si>
    <t>rs1419500882</t>
  </si>
  <si>
    <t>Z40537</t>
  </si>
  <si>
    <t>rs1427037882</t>
  </si>
  <si>
    <t>Z31665</t>
  </si>
  <si>
    <t>Z31666</t>
  </si>
  <si>
    <t>BY174624</t>
  </si>
  <si>
    <t>BY174626</t>
  </si>
  <si>
    <t>BY174629</t>
  </si>
  <si>
    <t>BY174637</t>
  </si>
  <si>
    <t>BY174638</t>
  </si>
  <si>
    <t>K700</t>
  </si>
  <si>
    <t>Z12209</t>
  </si>
  <si>
    <t>rs1434351410</t>
  </si>
  <si>
    <t>F3880</t>
  </si>
  <si>
    <t>rs771508075</t>
  </si>
  <si>
    <t>F1319</t>
  </si>
  <si>
    <t>rs748627003</t>
  </si>
  <si>
    <t>F1673</t>
  </si>
  <si>
    <t>rs747071402</t>
  </si>
  <si>
    <t>F3799.1</t>
  </si>
  <si>
    <t>rs747612484</t>
  </si>
  <si>
    <t>Z12177</t>
  </si>
  <si>
    <t>rs767114008</t>
  </si>
  <si>
    <t>Z12202</t>
  </si>
  <si>
    <t>rs773349747</t>
  </si>
  <si>
    <t>Z12205^</t>
  </si>
  <si>
    <t>rs763562887</t>
  </si>
  <si>
    <t>Z12254^</t>
  </si>
  <si>
    <t>rs1181345483</t>
  </si>
  <si>
    <t>Z12255</t>
  </si>
  <si>
    <t>rs757494351</t>
  </si>
  <si>
    <t>Z12256</t>
  </si>
  <si>
    <t>rs765464151</t>
  </si>
  <si>
    <t>F3777</t>
  </si>
  <si>
    <t>rs781161591</t>
  </si>
  <si>
    <t>F3797</t>
  </si>
  <si>
    <t>Z2201.2</t>
  </si>
  <si>
    <t>rs748193524</t>
  </si>
  <si>
    <t>F9966</t>
  </si>
  <si>
    <t>rs754915231</t>
  </si>
  <si>
    <t>F11237</t>
  </si>
  <si>
    <t>F3748</t>
  </si>
  <si>
    <t>rs772721994</t>
  </si>
  <si>
    <t>F3750</t>
  </si>
  <si>
    <t>M4236</t>
  </si>
  <si>
    <t>rs112661485</t>
  </si>
  <si>
    <t>F3806</t>
  </si>
  <si>
    <t>rs766958924</t>
  </si>
  <si>
    <t>F9739</t>
  </si>
  <si>
    <t>PH288</t>
  </si>
  <si>
    <t>Z43727</t>
  </si>
  <si>
    <t>Z43728</t>
  </si>
  <si>
    <t>Z43729</t>
  </si>
  <si>
    <t>Z43730</t>
  </si>
  <si>
    <t>CTS7310.2</t>
  </si>
  <si>
    <t>Z1269.2</t>
  </si>
  <si>
    <t>rs370888544</t>
  </si>
  <si>
    <t>F1389.2</t>
  </si>
  <si>
    <t>rs758039086</t>
  </si>
  <si>
    <t>Z31641</t>
  </si>
  <si>
    <t>rs757580172</t>
  </si>
  <si>
    <t>Z31642</t>
  </si>
  <si>
    <t>rs755358737</t>
  </si>
  <si>
    <t>Z31643</t>
  </si>
  <si>
    <t>F10056</t>
  </si>
  <si>
    <t>Z36838</t>
  </si>
  <si>
    <t>rs1329802788</t>
  </si>
  <si>
    <t>F9765</t>
  </si>
  <si>
    <t>rs1458271354</t>
  </si>
  <si>
    <t>F9935</t>
  </si>
  <si>
    <t>rs1217956085</t>
  </si>
  <si>
    <t>F11506</t>
  </si>
  <si>
    <t>rs1337364335</t>
  </si>
  <si>
    <t>F11686</t>
  </si>
  <si>
    <t>rs1174566239</t>
  </si>
  <si>
    <t>F12250</t>
  </si>
  <si>
    <t>rs1260126337</t>
  </si>
  <si>
    <t>F13079</t>
  </si>
  <si>
    <t>rs1288517858</t>
  </si>
  <si>
    <t>F9709</t>
  </si>
  <si>
    <t>Z36837</t>
  </si>
  <si>
    <t>rs1267847414</t>
  </si>
  <si>
    <t>Z36835</t>
  </si>
  <si>
    <t>Z36836</t>
  </si>
  <si>
    <t>Z36839</t>
  </si>
  <si>
    <t>F3555</t>
  </si>
  <si>
    <t>F9898</t>
  </si>
  <si>
    <t>F11377</t>
  </si>
  <si>
    <t>F12177</t>
  </si>
  <si>
    <t>F12566</t>
  </si>
  <si>
    <t>FGC23419</t>
  </si>
  <si>
    <t>F12630</t>
  </si>
  <si>
    <t>F12788</t>
  </si>
  <si>
    <t>F13596</t>
  </si>
  <si>
    <t>FGC47273</t>
  </si>
  <si>
    <t>FGC47293</t>
  </si>
  <si>
    <t>F10036</t>
  </si>
  <si>
    <t>F10356</t>
  </si>
  <si>
    <t>F10464</t>
  </si>
  <si>
    <t>F11551</t>
  </si>
  <si>
    <t>F11561</t>
  </si>
  <si>
    <t>F12726</t>
  </si>
  <si>
    <t>F12845</t>
  </si>
  <si>
    <t>F12875</t>
  </si>
  <si>
    <t>F13864</t>
  </si>
  <si>
    <t>F13880</t>
  </si>
  <si>
    <t>Z46020</t>
  </si>
  <si>
    <t>ACT101</t>
  </si>
  <si>
    <t>ACT118</t>
  </si>
  <si>
    <t>ACT123</t>
  </si>
  <si>
    <t>ACT209</t>
  </si>
  <si>
    <t>ACT282</t>
  </si>
  <si>
    <t>MF1915</t>
  </si>
  <si>
    <t>MF1926</t>
  </si>
  <si>
    <t>MF1927</t>
  </si>
  <si>
    <t>MF1928</t>
  </si>
  <si>
    <t>Z46021</t>
  </si>
  <si>
    <t>Z46022</t>
  </si>
  <si>
    <t>Z46023</t>
  </si>
  <si>
    <t>Y141176</t>
  </si>
  <si>
    <t>Y141202</t>
  </si>
  <si>
    <t>Y141205^^</t>
  </si>
  <si>
    <t>Z46024</t>
  </si>
  <si>
    <t>FGC47235</t>
  </si>
  <si>
    <t>FGC47236</t>
  </si>
  <si>
    <t>FGC47237</t>
  </si>
  <si>
    <t>FGC47246</t>
  </si>
  <si>
    <t>FGC47248</t>
  </si>
  <si>
    <t>CTS3385</t>
  </si>
  <si>
    <t>rs770764944</t>
  </si>
  <si>
    <t>CTS2457.1</t>
  </si>
  <si>
    <t>rs771826420</t>
  </si>
  <si>
    <t>CTS10989</t>
  </si>
  <si>
    <t>rs750297621</t>
  </si>
  <si>
    <t>F9951</t>
  </si>
  <si>
    <t>Z31674</t>
  </si>
  <si>
    <t>rs750239090</t>
  </si>
  <si>
    <t>F10004</t>
  </si>
  <si>
    <t>Z31675</t>
  </si>
  <si>
    <t>rs778588150</t>
  </si>
  <si>
    <t>F10136</t>
  </si>
  <si>
    <t>Z31676</t>
  </si>
  <si>
    <t>rs771375440</t>
  </si>
  <si>
    <t>F12408</t>
  </si>
  <si>
    <t>Z31678</t>
  </si>
  <si>
    <t>rs764576380</t>
  </si>
  <si>
    <t>F12415</t>
  </si>
  <si>
    <t>PH3692</t>
  </si>
  <si>
    <t>rs777210628</t>
  </si>
  <si>
    <t>F12528</t>
  </si>
  <si>
    <t>PH3947</t>
  </si>
  <si>
    <t>rs759213955</t>
  </si>
  <si>
    <t>F12583</t>
  </si>
  <si>
    <t>Z31679</t>
  </si>
  <si>
    <t>rs780553523</t>
  </si>
  <si>
    <t>F12881</t>
  </si>
  <si>
    <t>PH4779</t>
  </si>
  <si>
    <t>rs748797043</t>
  </si>
  <si>
    <t>F13062</t>
  </si>
  <si>
    <t>PH5006</t>
  </si>
  <si>
    <t>rs752847882</t>
  </si>
  <si>
    <t>F13141</t>
  </si>
  <si>
    <t>Z31680</t>
  </si>
  <si>
    <t>rs776836614</t>
  </si>
  <si>
    <t>F14035</t>
  </si>
  <si>
    <t>FGC45543</t>
  </si>
  <si>
    <t>rs781405114</t>
  </si>
  <si>
    <t>PH4872</t>
  </si>
  <si>
    <t>rs774304666</t>
  </si>
  <si>
    <t>Z31677</t>
  </si>
  <si>
    <t>rs772375618</t>
  </si>
  <si>
    <t>FGC15464</t>
  </si>
  <si>
    <t>Z31687</t>
  </si>
  <si>
    <t>Z31684</t>
  </si>
  <si>
    <t>Z31685</t>
  </si>
  <si>
    <t>Z31686</t>
  </si>
  <si>
    <t>FGC45548</t>
  </si>
  <si>
    <t>rs747523165</t>
  </si>
  <si>
    <t>FGC45551</t>
  </si>
  <si>
    <t>rs757022545</t>
  </si>
  <si>
    <t>FGC45560</t>
  </si>
  <si>
    <t>FGC45562</t>
  </si>
  <si>
    <t>FGC45566</t>
  </si>
  <si>
    <t>FGC45569</t>
  </si>
  <si>
    <t>rs759072494</t>
  </si>
  <si>
    <t>PH1109</t>
  </si>
  <si>
    <t>rs747344618</t>
  </si>
  <si>
    <t>PH1906</t>
  </si>
  <si>
    <t>rs765175603</t>
  </si>
  <si>
    <t>PH2194</t>
  </si>
  <si>
    <t>rs773237716</t>
  </si>
  <si>
    <t>PH4484</t>
  </si>
  <si>
    <t>rs774054634</t>
  </si>
  <si>
    <t>Z31671</t>
  </si>
  <si>
    <t>Z45207</t>
  </si>
  <si>
    <t>rs781332153</t>
  </si>
  <si>
    <t>PH404</t>
  </si>
  <si>
    <t>rs769125598</t>
  </si>
  <si>
    <t>Z31669</t>
  </si>
  <si>
    <t>Z31672</t>
  </si>
  <si>
    <t>rs778470171</t>
  </si>
  <si>
    <t>Z45208</t>
  </si>
  <si>
    <t>Z45209</t>
  </si>
  <si>
    <t>Z45210</t>
  </si>
  <si>
    <t>Z45211</t>
  </si>
  <si>
    <t>Z45212</t>
  </si>
  <si>
    <t>F845</t>
  </si>
  <si>
    <t>rs776623238</t>
  </si>
  <si>
    <t>CTS12931</t>
  </si>
  <si>
    <t>rs747215281</t>
  </si>
  <si>
    <t>F5479</t>
  </si>
  <si>
    <t>Z12270</t>
  </si>
  <si>
    <t>rs764363163</t>
  </si>
  <si>
    <t>K500</t>
  </si>
  <si>
    <t>rs776549936</t>
  </si>
  <si>
    <t>K507</t>
  </si>
  <si>
    <t>rs747670223</t>
  </si>
  <si>
    <t>K508</t>
  </si>
  <si>
    <t>rs767674705</t>
  </si>
  <si>
    <t>K546</t>
  </si>
  <si>
    <t>rs758219993</t>
  </si>
  <si>
    <t>K551</t>
  </si>
  <si>
    <t>rs770263281</t>
  </si>
  <si>
    <t>K553</t>
  </si>
  <si>
    <t>rs776521887</t>
  </si>
  <si>
    <t>Z12262</t>
  </si>
  <si>
    <t>rs745495233</t>
  </si>
  <si>
    <t>Z12263</t>
  </si>
  <si>
    <t>rs757594883</t>
  </si>
  <si>
    <t>Z12264</t>
  </si>
  <si>
    <t>rs766268998</t>
  </si>
  <si>
    <t>Z12266</t>
  </si>
  <si>
    <t>rs746165456</t>
  </si>
  <si>
    <t>Z12267</t>
  </si>
  <si>
    <t>rs755224627</t>
  </si>
  <si>
    <t>Z12268</t>
  </si>
  <si>
    <t>rs761581835</t>
  </si>
  <si>
    <t>AM01321</t>
  </si>
  <si>
    <t>CTS6704; M8145</t>
  </si>
  <si>
    <t>rs371313562</t>
  </si>
  <si>
    <t>CTS6704</t>
  </si>
  <si>
    <t>AM01321; M8145</t>
  </si>
  <si>
    <t>M8145</t>
  </si>
  <si>
    <t>AM01321; CTS6704</t>
  </si>
  <si>
    <t>CTS3958</t>
  </si>
  <si>
    <t>rs756252689</t>
  </si>
  <si>
    <t>CTS11522</t>
  </si>
  <si>
    <t>rs767358649</t>
  </si>
  <si>
    <t>K547</t>
  </si>
  <si>
    <t>rs762051225</t>
  </si>
  <si>
    <t>K554</t>
  </si>
  <si>
    <t>rs754757373</t>
  </si>
  <si>
    <t>Z12265</t>
  </si>
  <si>
    <t>rs1253035733</t>
  </si>
  <si>
    <t>CTS10923</t>
  </si>
  <si>
    <t>rs748374118</t>
  </si>
  <si>
    <t>K548</t>
  </si>
  <si>
    <t>rs749178206</t>
  </si>
  <si>
    <t>F5480</t>
  </si>
  <si>
    <t>Z12273</t>
  </si>
  <si>
    <t>rs756237760</t>
  </si>
  <si>
    <t>Z12271</t>
  </si>
  <si>
    <t>rs752613671</t>
  </si>
  <si>
    <t>Z12272</t>
  </si>
  <si>
    <t>rs760192716</t>
  </si>
  <si>
    <t>Z12275</t>
  </si>
  <si>
    <t>rs751791894</t>
  </si>
  <si>
    <t>K549</t>
  </si>
  <si>
    <t>rs749404662</t>
  </si>
  <si>
    <t>K550</t>
  </si>
  <si>
    <t>rs746873412</t>
  </si>
  <si>
    <t>rs760093911</t>
  </si>
  <si>
    <t>K516</t>
  </si>
  <si>
    <t>rs768353232</t>
  </si>
  <si>
    <t>K512</t>
  </si>
  <si>
    <t>rs756889458</t>
  </si>
  <si>
    <t>K517^</t>
  </si>
  <si>
    <t>rs777508922</t>
  </si>
  <si>
    <t>K518^</t>
  </si>
  <si>
    <t>rs748358141</t>
  </si>
  <si>
    <t>K519^</t>
  </si>
  <si>
    <t>rs760997779</t>
  </si>
  <si>
    <t>K520^</t>
  </si>
  <si>
    <t>rs746194742</t>
  </si>
  <si>
    <t>K521^</t>
  </si>
  <si>
    <t>rs776991983</t>
  </si>
  <si>
    <t>K522^</t>
  </si>
  <si>
    <t>K543^</t>
  </si>
  <si>
    <t>rs779101015</t>
  </si>
  <si>
    <t>K523.1^</t>
  </si>
  <si>
    <t>rs765840360</t>
  </si>
  <si>
    <t>K526^</t>
  </si>
  <si>
    <t>K527^</t>
  </si>
  <si>
    <t>rs761606387</t>
  </si>
  <si>
    <t>K528^</t>
  </si>
  <si>
    <t>rs757049002</t>
  </si>
  <si>
    <t>K529</t>
  </si>
  <si>
    <t>rs780462881</t>
  </si>
  <si>
    <t>K530^</t>
  </si>
  <si>
    <t>rs757948372</t>
  </si>
  <si>
    <t>K532^</t>
  </si>
  <si>
    <t>rs781142879</t>
  </si>
  <si>
    <t>K533^</t>
  </si>
  <si>
    <t>rs757315857</t>
  </si>
  <si>
    <t>K534^</t>
  </si>
  <si>
    <t>rs773259635</t>
  </si>
  <si>
    <t>K536</t>
  </si>
  <si>
    <t>rs746300043</t>
  </si>
  <si>
    <t>K537^</t>
  </si>
  <si>
    <t>rs762458594</t>
  </si>
  <si>
    <t>K538</t>
  </si>
  <si>
    <t>rs756184014</t>
  </si>
  <si>
    <t>K539^</t>
  </si>
  <si>
    <t>rs781446617</t>
  </si>
  <si>
    <t>K545^</t>
  </si>
  <si>
    <t>rs773491875</t>
  </si>
  <si>
    <t>Z12279^</t>
  </si>
  <si>
    <t>rs761457405</t>
  </si>
  <si>
    <t>Z12280^</t>
  </si>
  <si>
    <t>Z12283^</t>
  </si>
  <si>
    <t>Z12284^</t>
  </si>
  <si>
    <t>rs367600495</t>
  </si>
  <si>
    <t>Z12287^</t>
  </si>
  <si>
    <t>Z12289^</t>
  </si>
  <si>
    <t>Z12290^</t>
  </si>
  <si>
    <t>rs778896804</t>
  </si>
  <si>
    <t>Z12291^</t>
  </si>
  <si>
    <t>rs778535563</t>
  </si>
  <si>
    <t>Z12293^</t>
  </si>
  <si>
    <t>rs759242483</t>
  </si>
  <si>
    <t>Z12294^</t>
  </si>
  <si>
    <t>rs771076872</t>
  </si>
  <si>
    <t>Z12295^</t>
  </si>
  <si>
    <t>rs769785862</t>
  </si>
  <si>
    <t>Z12298</t>
  </si>
  <si>
    <t>rs764012802</t>
  </si>
  <si>
    <t>Z12299^</t>
  </si>
  <si>
    <t>rs779380400</t>
  </si>
  <si>
    <t>Z12300^</t>
  </si>
  <si>
    <t>rs753709546</t>
  </si>
  <si>
    <t>Z12301^</t>
  </si>
  <si>
    <t>rs757611663</t>
  </si>
  <si>
    <t>Z12302^</t>
  </si>
  <si>
    <t>Z12307</t>
  </si>
  <si>
    <t>Z12308^</t>
  </si>
  <si>
    <t>rs751850831</t>
  </si>
  <si>
    <t>Z12310^</t>
  </si>
  <si>
    <t>Z12311^</t>
  </si>
  <si>
    <t>rs777975707</t>
  </si>
  <si>
    <t>Z12312^</t>
  </si>
  <si>
    <t>rs770870656</t>
  </si>
  <si>
    <t>Z12313^</t>
  </si>
  <si>
    <t>rs753106765</t>
  </si>
  <si>
    <t>Z12314^</t>
  </si>
  <si>
    <t>rs770235753</t>
  </si>
  <si>
    <t>K531</t>
  </si>
  <si>
    <t>rs778771207</t>
  </si>
  <si>
    <t>K544</t>
  </si>
  <si>
    <t>rs752798427</t>
  </si>
  <si>
    <t>Z12285</t>
  </si>
  <si>
    <t>rs767325160</t>
  </si>
  <si>
    <t>Z12288</t>
  </si>
  <si>
    <t>rs763010910</t>
  </si>
  <si>
    <t>Z12292</t>
  </si>
  <si>
    <t>rs767384629</t>
  </si>
  <si>
    <t>Z12296</t>
  </si>
  <si>
    <t>rs769577387</t>
  </si>
  <si>
    <t>Z12297</t>
  </si>
  <si>
    <t>rs758759604</t>
  </si>
  <si>
    <t>Z12309</t>
  </si>
  <si>
    <t>rs773755493</t>
  </si>
  <si>
    <t>Z12317</t>
  </si>
  <si>
    <t>rs754227090</t>
  </si>
  <si>
    <t>Z31631</t>
  </si>
  <si>
    <t>Z40543</t>
  </si>
  <si>
    <t>F12814</t>
  </si>
  <si>
    <t>Z31633</t>
  </si>
  <si>
    <t>rs745432661</t>
  </si>
  <si>
    <t>Z31635</t>
  </si>
  <si>
    <t>Z31636</t>
  </si>
  <si>
    <t>F5477</t>
  </si>
  <si>
    <t>SK1036</t>
  </si>
  <si>
    <t>rs1028543478</t>
  </si>
  <si>
    <t>CTS2818</t>
  </si>
  <si>
    <t>rs749217327</t>
  </si>
  <si>
    <t>CTS1119</t>
  </si>
  <si>
    <t>rs762096441</t>
  </si>
  <si>
    <t>CTS8000</t>
  </si>
  <si>
    <t>rs778416762</t>
  </si>
  <si>
    <t>Z665</t>
  </si>
  <si>
    <t>rs778055478</t>
  </si>
  <si>
    <t>Z2281</t>
  </si>
  <si>
    <t>rs373552271</t>
  </si>
  <si>
    <t>SK1038</t>
  </si>
  <si>
    <t>rs1450373872</t>
  </si>
  <si>
    <t>F10160</t>
  </si>
  <si>
    <t>rs1372386569</t>
  </si>
  <si>
    <t>F10223</t>
  </si>
  <si>
    <t>rs1216258878</t>
  </si>
  <si>
    <t>F10352</t>
  </si>
  <si>
    <t>rs1160698619</t>
  </si>
  <si>
    <t>F11280</t>
  </si>
  <si>
    <t>rs1408797348</t>
  </si>
  <si>
    <t>F11468.2</t>
  </si>
  <si>
    <t>Y20157.2</t>
  </si>
  <si>
    <t>rs1285962864</t>
  </si>
  <si>
    <t>F11478</t>
  </si>
  <si>
    <t>rs1261030774</t>
  </si>
  <si>
    <t>F11898</t>
  </si>
  <si>
    <t>rs1191321395</t>
  </si>
  <si>
    <t>F12033</t>
  </si>
  <si>
    <t>rs1482620883</t>
  </si>
  <si>
    <t>F12522</t>
  </si>
  <si>
    <t>rs1263136763</t>
  </si>
  <si>
    <t>F12578</t>
  </si>
  <si>
    <t>rs1358181733</t>
  </si>
  <si>
    <t>F12603</t>
  </si>
  <si>
    <t>rs1347960855</t>
  </si>
  <si>
    <t>F13534.2</t>
  </si>
  <si>
    <t>Y17263.2</t>
  </si>
  <si>
    <t>rs978288456</t>
  </si>
  <si>
    <t>F13563</t>
  </si>
  <si>
    <t>rs1182154324</t>
  </si>
  <si>
    <t>F13762</t>
  </si>
  <si>
    <t>rs1426040055</t>
  </si>
  <si>
    <t>MF1015</t>
  </si>
  <si>
    <t>rs1421512569</t>
  </si>
  <si>
    <t>MF1018</t>
  </si>
  <si>
    <t>rs1359098805</t>
  </si>
  <si>
    <t>SK1043</t>
  </si>
  <si>
    <t>rs1375097508</t>
  </si>
  <si>
    <t>rs1377647284</t>
  </si>
  <si>
    <t>MF1020</t>
  </si>
  <si>
    <t>MF1021</t>
  </si>
  <si>
    <t>MF1022</t>
  </si>
  <si>
    <t>MF1023</t>
  </si>
  <si>
    <t>MF1024</t>
  </si>
  <si>
    <t>MF1025</t>
  </si>
  <si>
    <t>MF1026</t>
  </si>
  <si>
    <t>MF1027</t>
  </si>
  <si>
    <t>Z45277</t>
  </si>
  <si>
    <t>Z45278</t>
  </si>
  <si>
    <t>Z45279</t>
  </si>
  <si>
    <t>Z45280</t>
  </si>
  <si>
    <t>Z45281</t>
  </si>
  <si>
    <t>rs984661366</t>
  </si>
  <si>
    <t>Z45282</t>
  </si>
  <si>
    <t>Z45283</t>
  </si>
  <si>
    <t>Z45284</t>
  </si>
  <si>
    <t>Z45285</t>
  </si>
  <si>
    <t>Z45286</t>
  </si>
  <si>
    <t>F9851</t>
  </si>
  <si>
    <t>rs1241790804</t>
  </si>
  <si>
    <t>Z45203</t>
  </si>
  <si>
    <t>rs1482866080</t>
  </si>
  <si>
    <t>Z45204</t>
  </si>
  <si>
    <t>rs1221529425</t>
  </si>
  <si>
    <t>Z45205</t>
  </si>
  <si>
    <t>rs1263474724</t>
  </si>
  <si>
    <t>Z45206</t>
  </si>
  <si>
    <t>rs1199602069</t>
  </si>
  <si>
    <t>Z45287</t>
  </si>
  <si>
    <t>Z45288</t>
  </si>
  <si>
    <t>Z45289</t>
  </si>
  <si>
    <t>Z45290</t>
  </si>
  <si>
    <t>Z45291</t>
  </si>
  <si>
    <t>rs796816294</t>
  </si>
  <si>
    <t>CTS4187</t>
  </si>
  <si>
    <t>rs774942935</t>
  </si>
  <si>
    <t>F12752</t>
  </si>
  <si>
    <t>Z31638</t>
  </si>
  <si>
    <t>rs766733438</t>
  </si>
  <si>
    <t>F12852</t>
  </si>
  <si>
    <t>Z31640</t>
  </si>
  <si>
    <t>rs1007208550</t>
  </si>
  <si>
    <t>F12930</t>
  </si>
  <si>
    <t>Z31639</t>
  </si>
  <si>
    <t>rs764108622</t>
  </si>
  <si>
    <t>F13694</t>
  </si>
  <si>
    <t>Z31637</t>
  </si>
  <si>
    <t>FGC39587</t>
  </si>
  <si>
    <t>FGC39594</t>
  </si>
  <si>
    <t>FGC39595</t>
  </si>
  <si>
    <t>FGC39607</t>
  </si>
  <si>
    <t>FGC39610</t>
  </si>
  <si>
    <t>FGC39612</t>
  </si>
  <si>
    <t>FGC39599</t>
  </si>
  <si>
    <t>FGC39603</t>
  </si>
  <si>
    <t>FGC39616</t>
  </si>
  <si>
    <t>FGC57624</t>
  </si>
  <si>
    <t>FGC57651</t>
  </si>
  <si>
    <t>FGC39580</t>
  </si>
  <si>
    <t>Z38900</t>
  </si>
  <si>
    <t>FGC39581</t>
  </si>
  <si>
    <t>Z38901</t>
  </si>
  <si>
    <t>FGC39582</t>
  </si>
  <si>
    <t>Z38902</t>
  </si>
  <si>
    <t>FGC39583</t>
  </si>
  <si>
    <t>Z38904</t>
  </si>
  <si>
    <t>Z38903</t>
  </si>
  <si>
    <t>FGC57610</t>
  </si>
  <si>
    <t>FGC57611</t>
  </si>
  <si>
    <t>FGC57612</t>
  </si>
  <si>
    <t>FGC57613</t>
  </si>
  <si>
    <t>FGC57614</t>
  </si>
  <si>
    <t>Z44580</t>
  </si>
  <si>
    <t>Z44581</t>
  </si>
  <si>
    <t>Z44582</t>
  </si>
  <si>
    <t>Z44583</t>
  </si>
  <si>
    <t>ACT3929</t>
  </si>
  <si>
    <t>Y149521</t>
  </si>
  <si>
    <t>ACT4477</t>
  </si>
  <si>
    <t>Y149470</t>
  </si>
  <si>
    <t>ACT4486</t>
  </si>
  <si>
    <t>Y149433</t>
  </si>
  <si>
    <t>T-&gt;&gt;C</t>
  </si>
  <si>
    <t>ACT4575</t>
  </si>
  <si>
    <t>Y149459</t>
  </si>
  <si>
    <t>ACT4698</t>
  </si>
  <si>
    <t>Y149472</t>
  </si>
  <si>
    <t>Z43981</t>
  </si>
  <si>
    <t>Z43982</t>
  </si>
  <si>
    <t>Z43983</t>
  </si>
  <si>
    <t>rs1037024449</t>
  </si>
  <si>
    <t>Z43984</t>
  </si>
  <si>
    <t>Z43985</t>
  </si>
  <si>
    <t>CTS2123</t>
  </si>
  <si>
    <t>S4350</t>
  </si>
  <si>
    <t>Z45272</t>
  </si>
  <si>
    <t>rs1326858654</t>
  </si>
  <si>
    <t>Z45273</t>
  </si>
  <si>
    <t>rs1230992759</t>
  </si>
  <si>
    <t>Z45274</t>
  </si>
  <si>
    <t>rs1459318919</t>
  </si>
  <si>
    <t>Z45275</t>
  </si>
  <si>
    <t>rs1470217320</t>
  </si>
  <si>
    <t>Z45276</t>
  </si>
  <si>
    <t>rs1185068168</t>
  </si>
  <si>
    <t>Z45293</t>
  </si>
  <si>
    <t>Z45296</t>
  </si>
  <si>
    <t>F16914</t>
  </si>
  <si>
    <t>F18309</t>
  </si>
  <si>
    <t>F18601</t>
  </si>
  <si>
    <t>MF2039</t>
  </si>
  <si>
    <t>MF2040</t>
  </si>
  <si>
    <t>MF2041</t>
  </si>
  <si>
    <t>F15371</t>
  </si>
  <si>
    <t>F16026</t>
  </si>
  <si>
    <t>Z45295</t>
  </si>
  <si>
    <t>MF2714</t>
  </si>
  <si>
    <t>MF2721</t>
  </si>
  <si>
    <t>MF2945</t>
  </si>
  <si>
    <t>MF3179</t>
  </si>
  <si>
    <t>Y145096</t>
  </si>
  <si>
    <t>Z45349</t>
  </si>
  <si>
    <t>rs775847034</t>
  </si>
  <si>
    <t>Z45350</t>
  </si>
  <si>
    <t>Z45351</t>
  </si>
  <si>
    <t>Z45352</t>
  </si>
  <si>
    <t>Z45353</t>
  </si>
  <si>
    <t>Z45354</t>
  </si>
  <si>
    <t>Z45355</t>
  </si>
  <si>
    <t>Z45356</t>
  </si>
  <si>
    <t>Z45357</t>
  </si>
  <si>
    <t>Z45358</t>
  </si>
  <si>
    <t>F8507</t>
  </si>
  <si>
    <t>F9811</t>
  </si>
  <si>
    <t>MF2891</t>
  </si>
  <si>
    <t>MF2896</t>
  </si>
  <si>
    <t>MF3104</t>
  </si>
  <si>
    <t>MF2091</t>
  </si>
  <si>
    <t>BY106576</t>
  </si>
  <si>
    <t>BY125395</t>
  </si>
  <si>
    <t>MF2095</t>
  </si>
  <si>
    <t>MF2096</t>
  </si>
  <si>
    <t>MF2097</t>
  </si>
  <si>
    <t>MF2098</t>
  </si>
  <si>
    <t>MF2099</t>
  </si>
  <si>
    <t>MF2100</t>
  </si>
  <si>
    <t>MF2101</t>
  </si>
  <si>
    <t>MF2103</t>
  </si>
  <si>
    <t>MF2105</t>
  </si>
  <si>
    <t>MF2106</t>
  </si>
  <si>
    <t>MF3094</t>
  </si>
  <si>
    <t>BY61131</t>
  </si>
  <si>
    <t>BY66605</t>
  </si>
  <si>
    <t>BY67456</t>
  </si>
  <si>
    <t>BY70002</t>
  </si>
  <si>
    <t>CTS4660^</t>
  </si>
  <si>
    <t>rs761844730</t>
  </si>
  <si>
    <t>CTS8593^</t>
  </si>
  <si>
    <t>rs770945863</t>
  </si>
  <si>
    <t>CTS8866^</t>
  </si>
  <si>
    <t>rs766021944</t>
  </si>
  <si>
    <t>CTS11037</t>
  </si>
  <si>
    <t>rs771765949</t>
  </si>
  <si>
    <t>CTS4526</t>
  </si>
  <si>
    <t>rs777132213</t>
  </si>
  <si>
    <t>CTS7159</t>
  </si>
  <si>
    <t>rs774656725</t>
  </si>
  <si>
    <t>CTS11568</t>
  </si>
  <si>
    <t>Z4012</t>
  </si>
  <si>
    <t>rs1022195546</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</si>
</sst>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font>
    <font>
      <name val="Arial"/>
    </font>
    <font>
      <b/>
      <sz val="24.0"/>
      <name val="Times New Roman"/>
    </font>
    <font>
      <b/>
      <i/>
      <color rgb="FFCC0000"/>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color rgb="FFCC0000"/>
      <name val="Arial"/>
    </font>
    <font>
      <color rgb="FF999999"/>
      <name val="Arial"/>
    </font>
    <font>
      <u/>
      <sz val="12.0"/>
      <color rgb="FF0066CC"/>
      <name val="Times New Roman"/>
    </font>
    <font>
      <color rgb="FFFFFFFF"/>
      <name val="Arial"/>
    </font>
    <font>
      <i/>
      <name val="Arial"/>
    </font>
    <font>
      <i/>
    </font>
    <font>
      <color rgb="FFFFFFFF"/>
    </font>
    <font>
      <color rgb="FF999999"/>
    </font>
    <font>
      <b/>
    </font>
    <font>
      <b/>
      <i/>
    </font>
    <font>
      <color rgb="FFB7B7B7"/>
    </font>
    <font>
      <sz val="10.0"/>
      <color rgb="FF999999"/>
      <name val="Arial"/>
    </font>
    <font>
      <sz val="11.0"/>
      <color rgb="FF999999"/>
      <name val="Arial"/>
    </font>
    <font>
      <i/>
      <color rgb="FFCC0000"/>
    </font>
    <font>
      <color rgb="FFCC0000"/>
    </font>
    <font>
      <i/>
      <color rgb="FFCC0000"/>
      <name val="Arial"/>
    </font>
    <font>
      <b/>
      <i/>
      <color rgb="FFCC0000"/>
    </font>
    <font>
      <b/>
      <sz val="12.0"/>
      <color rgb="FF000000"/>
      <name val="Times New Roman"/>
    </font>
    <font>
      <sz val="12.0"/>
      <color rgb="FF000000"/>
      <name val="Times New Roman"/>
    </font>
    <font>
      <color rgb="FF000000"/>
      <name val="Arial"/>
    </font>
    <font>
      <u/>
      <sz val="12.0"/>
      <color rgb="FF1155CC"/>
      <name val="Times New Roman"/>
    </font>
    <font>
      <color rgb="FF1155CC"/>
    </font>
    <font>
      <u/>
      <sz val="12.0"/>
      <color rgb="FF0066CC"/>
      <name val="Times New Roman"/>
    </font>
    <font>
      <sz val="10.0"/>
      <name val="Arial"/>
    </font>
    <font>
      <u/>
      <sz val="12.0"/>
      <color rgb="FF0066CC"/>
      <name val="Times New Roman"/>
    </font>
    <font>
      <b/>
      <sz val="12.0"/>
      <name val="Arial"/>
    </font>
    <font>
      <sz val="11.0"/>
      <color rgb="FF000000"/>
      <name val="Calibri"/>
    </font>
    <font>
      <sz val="9.0"/>
      <color rgb="FF000000"/>
      <name val="Arial"/>
    </font>
    <font>
      <color rgb="FF000000"/>
      <name val="Sans-serif"/>
    </font>
    <font>
      <name val="&quot;Arial&quot;"/>
    </font>
    <font>
      <color rgb="FF000000"/>
      <name val="&quot;Arial&quot;"/>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center"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4" fillId="3" fontId="8" numFmtId="0" xfId="0" applyAlignment="1" applyBorder="1" applyFill="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shrinkToFit="0" vertical="bottom" wrapText="0"/>
    </xf>
    <xf borderId="0" fillId="0" fontId="14" numFmtId="0" xfId="0" applyAlignment="1" applyFont="1">
      <alignment horizontal="right" shrinkToFit="0" vertical="bottom" wrapText="0"/>
    </xf>
    <xf borderId="0" fillId="3" fontId="8" numFmtId="0" xfId="0" applyAlignment="1" applyFont="1">
      <alignment shrinkToFit="0" vertical="bottom" wrapText="1"/>
    </xf>
    <xf borderId="0" fillId="0" fontId="1" numFmtId="0" xfId="0" applyAlignment="1" applyFont="1">
      <alignment shrinkToFit="0" vertical="bottom" wrapText="1"/>
    </xf>
    <xf borderId="0" fillId="0" fontId="4" numFmtId="0" xfId="0" applyAlignment="1" applyFont="1">
      <alignment shrinkToFit="0" wrapText="1"/>
    </xf>
    <xf borderId="0" fillId="0" fontId="15" numFmtId="0" xfId="0" applyAlignment="1" applyFont="1">
      <alignment horizontal="center" shrinkToFit="0" vertical="bottom" wrapText="0"/>
    </xf>
    <xf borderId="0" fillId="4" fontId="16" numFmtId="0" xfId="0" applyAlignment="1" applyFill="1" applyFont="1">
      <alignment vertical="center"/>
    </xf>
    <xf borderId="0" fillId="0" fontId="17" numFmtId="0" xfId="0" applyAlignment="1" applyFont="1">
      <alignment shrinkToFit="0" vertical="bottom" wrapText="1"/>
    </xf>
    <xf borderId="0" fillId="0" fontId="18" numFmtId="0" xfId="0" applyFont="1"/>
    <xf borderId="0" fillId="5" fontId="19" numFmtId="0" xfId="0" applyAlignment="1" applyFill="1" applyFont="1">
      <alignment vertical="center"/>
    </xf>
    <xf borderId="0" fillId="0" fontId="20" numFmtId="0" xfId="0" applyAlignment="1" applyFont="1">
      <alignment shrinkToFit="0" wrapText="1"/>
    </xf>
    <xf borderId="0" fillId="0" fontId="21" numFmtId="0" xfId="0" applyFont="1"/>
    <xf borderId="0" fillId="0" fontId="22" numFmtId="0" xfId="0" applyFont="1"/>
    <xf borderId="0" fillId="0" fontId="20" numFmtId="0" xfId="0" applyFont="1"/>
    <xf borderId="0" fillId="0" fontId="18" numFmtId="0" xfId="0" applyAlignment="1" applyFont="1">
      <alignment shrinkToFit="0" wrapText="1"/>
    </xf>
    <xf borderId="0" fillId="0" fontId="23" numFmtId="0" xfId="0" applyFont="1"/>
    <xf borderId="0" fillId="0" fontId="24" numFmtId="0" xfId="0" applyAlignment="1" applyFont="1">
      <alignment horizontal="left"/>
    </xf>
    <xf borderId="0" fillId="0" fontId="18" numFmtId="0" xfId="0" applyAlignment="1" applyFont="1">
      <alignment readingOrder="0" shrinkToFit="0" wrapText="1"/>
    </xf>
    <xf borderId="0" fillId="0" fontId="22" numFmtId="0" xfId="0" applyAlignment="1" applyFont="1">
      <alignment readingOrder="0" shrinkToFit="0" wrapText="1"/>
    </xf>
    <xf borderId="0" fillId="0" fontId="4" numFmtId="0" xfId="0" applyAlignment="1" applyFont="1">
      <alignment readingOrder="0"/>
    </xf>
    <xf borderId="0" fillId="4" fontId="16" numFmtId="0" xfId="0" applyAlignment="1" applyFont="1">
      <alignment shrinkToFit="0" vertical="center" wrapText="1"/>
    </xf>
    <xf borderId="0" fillId="5" fontId="16" numFmtId="0" xfId="0" applyAlignment="1" applyFont="1">
      <alignment readingOrder="0" vertical="center"/>
    </xf>
    <xf borderId="0" fillId="0" fontId="20" numFmtId="0" xfId="0" applyAlignment="1" applyFont="1">
      <alignment readingOrder="0"/>
    </xf>
    <xf borderId="0" fillId="4" fontId="16" numFmtId="0" xfId="0" applyAlignment="1" applyFont="1">
      <alignment readingOrder="0" vertical="center"/>
    </xf>
    <xf borderId="0" fillId="6" fontId="25" numFmtId="0" xfId="0" applyAlignment="1" applyFill="1" applyFont="1">
      <alignment readingOrder="0"/>
    </xf>
    <xf borderId="0" fillId="5" fontId="19" numFmtId="0" xfId="0" applyAlignment="1" applyFont="1">
      <alignment readingOrder="0" vertical="center"/>
    </xf>
    <xf borderId="0" fillId="0" fontId="24" numFmtId="0" xfId="0" applyFont="1"/>
    <xf borderId="0" fillId="0" fontId="18" numFmtId="0" xfId="0" applyAlignment="1" applyFont="1">
      <alignment readingOrder="0"/>
    </xf>
    <xf borderId="0" fillId="4" fontId="16" numFmtId="0" xfId="0" applyAlignment="1" applyFont="1">
      <alignment horizontal="left" readingOrder="0"/>
    </xf>
    <xf borderId="0" fillId="4" fontId="16" numFmtId="0" xfId="0" applyAlignment="1" applyFont="1">
      <alignment horizontal="left" readingOrder="0" vertical="center"/>
    </xf>
    <xf borderId="0" fillId="0" fontId="26" numFmtId="0" xfId="0" applyFont="1"/>
    <xf borderId="0" fillId="0" fontId="26" numFmtId="0" xfId="0" applyAlignment="1" applyFont="1">
      <alignment readingOrder="0"/>
    </xf>
    <xf borderId="0" fillId="0" fontId="20" numFmtId="0" xfId="0" applyAlignment="1" applyFont="1">
      <alignment readingOrder="0" shrinkToFit="0" wrapText="1"/>
    </xf>
    <xf borderId="0" fillId="0" fontId="27" numFmtId="0" xfId="0" applyAlignment="1" applyFont="1">
      <alignment readingOrder="0" shrinkToFit="0" wrapText="1"/>
    </xf>
    <xf borderId="0" fillId="6" fontId="28" numFmtId="0" xfId="0" applyAlignment="1" applyFont="1">
      <alignment horizontal="left" readingOrder="0" shrinkToFit="0" wrapText="1"/>
    </xf>
    <xf borderId="0" fillId="0" fontId="26" numFmtId="0" xfId="0" applyAlignment="1" applyFont="1">
      <alignment shrinkToFit="0" wrapText="1"/>
    </xf>
    <xf borderId="0" fillId="0" fontId="29" numFmtId="0" xfId="0" applyAlignment="1" applyFont="1">
      <alignment readingOrder="0" shrinkToFit="0" wrapText="1"/>
    </xf>
    <xf borderId="0" fillId="0" fontId="20" numFmtId="0" xfId="0" applyAlignment="1" applyFont="1">
      <alignment readingOrder="0" shrinkToFit="0" wrapText="0"/>
    </xf>
    <xf borderId="0" fillId="0" fontId="22" numFmtId="0" xfId="0" applyAlignment="1" applyFont="1">
      <alignment readingOrder="0"/>
    </xf>
    <xf borderId="0" fillId="0" fontId="26" numFmtId="0" xfId="0" applyAlignment="1" applyFont="1">
      <alignment readingOrder="0" shrinkToFit="0" wrapText="1"/>
    </xf>
    <xf borderId="0" fillId="0" fontId="30" numFmtId="0" xfId="0" applyAlignment="1" applyFont="1">
      <alignment horizontal="left"/>
    </xf>
    <xf borderId="0" fillId="0" fontId="31" numFmtId="0" xfId="0" applyAlignment="1" applyFont="1">
      <alignment horizontal="left"/>
    </xf>
    <xf borderId="0" fillId="6" fontId="32" numFmtId="0" xfId="0" applyFont="1"/>
    <xf borderId="0" fillId="0" fontId="8" numFmtId="0" xfId="0" applyAlignment="1" applyFont="1">
      <alignment shrinkToFit="0" wrapText="1"/>
    </xf>
    <xf borderId="0" fillId="0" fontId="4" numFmtId="0" xfId="0" applyAlignment="1" applyFont="1">
      <alignment readingOrder="0" shrinkToFit="0" wrapText="1"/>
    </xf>
    <xf borderId="0" fillId="0" fontId="31" numFmtId="0" xfId="0" applyAlignment="1" applyFont="1">
      <alignment horizontal="left" shrinkToFit="0" wrapText="1"/>
    </xf>
    <xf borderId="0" fillId="0" fontId="0" numFmtId="0" xfId="0" applyAlignment="1" applyFont="1">
      <alignment horizontal="left"/>
    </xf>
    <xf borderId="0" fillId="0" fontId="33" numFmtId="0" xfId="0" applyAlignment="1" applyFont="1">
      <alignment horizontal="left"/>
    </xf>
    <xf borderId="0" fillId="0" fontId="34" numFmtId="0" xfId="0" applyFont="1"/>
    <xf borderId="0" fillId="0" fontId="35" numFmtId="0" xfId="0" applyAlignment="1" applyFont="1">
      <alignment horizontal="left"/>
    </xf>
    <xf borderId="0" fillId="0" fontId="8" numFmtId="0" xfId="0" applyFont="1"/>
    <xf borderId="0" fillId="6" fontId="31" numFmtId="0" xfId="0" applyAlignment="1" applyFont="1">
      <alignment horizontal="left"/>
    </xf>
    <xf borderId="0" fillId="6" fontId="31" numFmtId="0" xfId="0" applyFont="1"/>
    <xf borderId="0" fillId="0" fontId="31" numFmtId="0" xfId="0" applyFont="1"/>
    <xf borderId="0" fillId="0" fontId="36" numFmtId="0" xfId="0" applyFont="1"/>
    <xf borderId="0" fillId="6" fontId="0" numFmtId="0" xfId="0" applyFont="1"/>
    <xf borderId="0" fillId="0" fontId="36" numFmtId="0" xfId="0" applyAlignment="1" applyFont="1">
      <alignment readingOrder="0"/>
    </xf>
    <xf borderId="0" fillId="6" fontId="32" numFmtId="0" xfId="0" applyAlignment="1" applyFont="1">
      <alignment readingOrder="0"/>
    </xf>
    <xf borderId="0" fillId="6" fontId="0" numFmtId="0" xfId="0" applyAlignment="1" applyFont="1">
      <alignment readingOrder="0"/>
    </xf>
    <xf borderId="0" fillId="6" fontId="0" numFmtId="0" xfId="0" applyAlignment="1" applyFont="1">
      <alignment horizontal="left" readingOrder="0"/>
    </xf>
    <xf borderId="0" fillId="6" fontId="32" numFmtId="0" xfId="0" applyAlignment="1" applyFont="1">
      <alignment horizontal="left" readingOrder="0"/>
    </xf>
    <xf borderId="0" fillId="0" fontId="37" numFmtId="0" xfId="0" applyAlignment="1" applyFont="1">
      <alignment horizontal="left"/>
    </xf>
    <xf borderId="0" fillId="0" fontId="4" numFmtId="0" xfId="0" applyFont="1"/>
    <xf borderId="4" fillId="7" fontId="38"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13" numFmtId="0" xfId="0" applyAlignment="1" applyFont="1">
      <alignment vertical="bottom"/>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6" fontId="1" numFmtId="0" xfId="0" applyAlignment="1" applyFont="1">
      <alignment vertical="bottom"/>
    </xf>
    <xf borderId="0" fillId="6" fontId="39" numFmtId="0" xfId="0" applyAlignment="1" applyFont="1">
      <alignment vertical="bottom"/>
    </xf>
    <xf borderId="0" fillId="6" fontId="39" numFmtId="0" xfId="0" applyAlignment="1" applyFont="1">
      <alignment horizontal="right" vertical="bottom"/>
    </xf>
    <xf borderId="0" fillId="6" fontId="1" numFmtId="0" xfId="0" applyAlignment="1" applyFont="1">
      <alignment horizontal="right" vertical="bottom"/>
    </xf>
    <xf borderId="0" fillId="6" fontId="1" numFmtId="0" xfId="0" applyAlignment="1" applyFont="1">
      <alignment readingOrder="0" vertical="bottom"/>
    </xf>
    <xf borderId="0" fillId="0" fontId="1" numFmtId="0" xfId="0" applyAlignment="1" applyFont="1">
      <alignment readingOrder="0" vertical="bottom"/>
    </xf>
    <xf borderId="0" fillId="0" fontId="39" numFmtId="0" xfId="0" applyAlignment="1" applyFont="1">
      <alignment readingOrder="0" shrinkToFit="0" vertical="bottom" wrapText="0"/>
    </xf>
    <xf borderId="0" fillId="6" fontId="36" numFmtId="0" xfId="0" applyFont="1"/>
    <xf borderId="0" fillId="0" fontId="32" numFmtId="0" xfId="0" applyAlignment="1" applyFont="1">
      <alignment horizontal="right" readingOrder="0" shrinkToFit="0" vertical="bottom" wrapText="0"/>
    </xf>
    <xf borderId="0" fillId="6" fontId="39" numFmtId="0" xfId="0" applyAlignment="1" applyFont="1">
      <alignment horizontal="right" readingOrder="0" shrinkToFit="0" vertical="bottom" wrapText="0"/>
    </xf>
    <xf borderId="0" fillId="6" fontId="32" numFmtId="0" xfId="0" applyAlignment="1" applyFont="1">
      <alignment readingOrder="0" shrinkToFit="0" wrapText="0"/>
    </xf>
    <xf borderId="0" fillId="6" fontId="32" numFmtId="0" xfId="0" applyAlignment="1" applyFont="1">
      <alignment readingOrder="0" shrinkToFit="0" vertical="bottom" wrapText="0"/>
    </xf>
    <xf borderId="0" fillId="6" fontId="32" numFmtId="0" xfId="0" applyAlignment="1" applyFont="1">
      <alignment horizontal="right" readingOrder="0" shrinkToFit="0" vertical="bottom" wrapText="0"/>
    </xf>
    <xf borderId="0" fillId="6" fontId="40" numFmtId="0" xfId="0" applyAlignment="1" applyFont="1">
      <alignment readingOrder="0" shrinkToFit="0" wrapText="0"/>
    </xf>
    <xf borderId="0" fillId="0" fontId="40" numFmtId="0" xfId="0" applyAlignment="1" applyFont="1">
      <alignment readingOrder="0" shrinkToFit="0" vertical="bottom" wrapText="0"/>
    </xf>
    <xf borderId="0" fillId="6" fontId="40" numFmtId="0" xfId="0" applyAlignment="1" applyFont="1">
      <alignment readingOrder="0" shrinkToFit="0" vertical="bottom" wrapText="0"/>
    </xf>
    <xf borderId="0" fillId="6" fontId="40" numFmtId="0" xfId="0" applyAlignment="1" applyFont="1">
      <alignment readingOrder="0"/>
    </xf>
    <xf borderId="0" fillId="0" fontId="4" numFmtId="0" xfId="0" applyFont="1"/>
    <xf borderId="0" fillId="6" fontId="41" numFmtId="0" xfId="0" applyAlignment="1" applyFont="1">
      <alignment readingOrder="0"/>
    </xf>
    <xf borderId="0" fillId="6" fontId="1" numFmtId="0" xfId="0" applyAlignment="1" applyFont="1">
      <alignment horizontal="right" readingOrder="0" vertical="bottom"/>
    </xf>
    <xf borderId="0" fillId="0" fontId="39" numFmtId="0" xfId="0" applyAlignment="1" applyFont="1">
      <alignment horizontal="right" readingOrder="0" shrinkToFit="0" wrapText="0"/>
    </xf>
    <xf borderId="0" fillId="0" fontId="39" numFmtId="0" xfId="0" applyAlignment="1" applyFont="1">
      <alignment horizontal="right" readingOrder="0" shrinkToFit="0" vertical="bottom" wrapText="0"/>
    </xf>
    <xf borderId="0" fillId="0" fontId="39" numFmtId="0" xfId="0" applyAlignment="1" applyFont="1">
      <alignment horizontal="right" readingOrder="0" shrinkToFit="0" wrapText="0"/>
    </xf>
    <xf borderId="0" fillId="0" fontId="42" numFmtId="0" xfId="0" applyFont="1"/>
    <xf borderId="0" fillId="0" fontId="43" numFmtId="0" xfId="0" applyAlignment="1" applyFont="1">
      <alignment horizontal="right" readingOrder="0"/>
    </xf>
    <xf borderId="0" fillId="0" fontId="3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457200</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springerlink.com/content/q76r27205372x720/fulltext.pdf" TargetMode="External"/><Relationship Id="rId42" Type="http://schemas.openxmlformats.org/officeDocument/2006/relationships/hyperlink" Target="http://mbe.oxfordjournals.org/content/23/8/1628.full.pdf" TargetMode="External"/><Relationship Id="rId41" Type="http://schemas.openxmlformats.org/officeDocument/2006/relationships/hyperlink" Target="http://www.ncbi.nlm.nih.gov/pubmed/16770078" TargetMode="External"/><Relationship Id="rId44" Type="http://schemas.openxmlformats.org/officeDocument/2006/relationships/hyperlink" Target="http://hpgl.stanford.edu/publications/AJHG_2006_v78_p202-221.pdf" TargetMode="External"/><Relationship Id="rId43" Type="http://schemas.openxmlformats.org/officeDocument/2006/relationships/hyperlink" Target="http://www.plosone.org/article/info%3Adoi%2F10.1371%2Fjournal.pone.0049170" TargetMode="External"/><Relationship Id="rId46" Type="http://schemas.openxmlformats.org/officeDocument/2006/relationships/hyperlink" Target="http://www.nature.com/jhg/journal/v55/n5/abs/jhg201030a.html" TargetMode="External"/><Relationship Id="rId45" Type="http://schemas.openxmlformats.org/officeDocument/2006/relationships/hyperlink" Target="http://www.ncbi.nlm.nih.gov/pubmed/19158816" TargetMode="External"/><Relationship Id="rId1" Type="http://schemas.openxmlformats.org/officeDocument/2006/relationships/hyperlink" Target="http://www.isogg.org/tree/index.html" TargetMode="External"/><Relationship Id="rId2" Type="http://schemas.openxmlformats.org/officeDocument/2006/relationships/hyperlink" Target="mailto:dnagrouper2@gmail.com" TargetMode="External"/><Relationship Id="rId3" Type="http://schemas.openxmlformats.org/officeDocument/2006/relationships/hyperlink" Target="mailto:dnagrouper2@gmail.com" TargetMode="External"/><Relationship Id="rId4" Type="http://schemas.openxmlformats.org/officeDocument/2006/relationships/hyperlink" Target="http://www.nature.com/nature/journal/v466/n7303/abs/nature09103.html" TargetMode="External"/><Relationship Id="rId9" Type="http://schemas.openxmlformats.org/officeDocument/2006/relationships/hyperlink" Target="http://www.nature.com/ejhg/journal/v16/n3/abs/5201934a.html" TargetMode="External"/><Relationship Id="rId48" Type="http://schemas.openxmlformats.org/officeDocument/2006/relationships/hyperlink" Target="http://www.ncbi.nlm.nih.gov/pubmed/11062480" TargetMode="External"/><Relationship Id="rId47" Type="http://schemas.openxmlformats.org/officeDocument/2006/relationships/hyperlink" Target="http://dienekes.blogspot.com/2007/12/tracing-human-migrations-with-y.html" TargetMode="External"/><Relationship Id="rId49" Type="http://schemas.openxmlformats.org/officeDocument/2006/relationships/hyperlink" Target="https://www.nature.com/articles/s41431-017-0012-3" TargetMode="External"/><Relationship Id="rId5" Type="http://schemas.openxmlformats.org/officeDocument/2006/relationships/hyperlink" Target="http://www.cell.com/current-biology/pdf/S0960-9822%2816%2900078-6.pdf" TargetMode="External"/><Relationship Id="rId6" Type="http://schemas.openxmlformats.org/officeDocument/2006/relationships/hyperlink" Target="http://www.pubmedcentral.nih.gov/articlerender.fcgi?artid=1180678" TargetMode="External"/><Relationship Id="rId7" Type="http://schemas.openxmlformats.org/officeDocument/2006/relationships/hyperlink" Target="http://onlinelibrary.wiley.com/doi/10.1111/j.1469-1809.2005.00251.x/pdf" TargetMode="External"/><Relationship Id="rId8" Type="http://schemas.openxmlformats.org/officeDocument/2006/relationships/hyperlink" Target="http://www.familytreedna.com/pdf/capelli2005.pdf" TargetMode="External"/><Relationship Id="rId31" Type="http://schemas.openxmlformats.org/officeDocument/2006/relationships/hyperlink" Target="http://www.fsigenetics.com/article/S1872-4973%2815%2930025-9/abstract" TargetMode="External"/><Relationship Id="rId30" Type="http://schemas.openxmlformats.org/officeDocument/2006/relationships/hyperlink" Target="http://mbe.oxfordjournals.org/cgi/content/full/23/11/2234" TargetMode="External"/><Relationship Id="rId33" Type="http://schemas.openxmlformats.org/officeDocument/2006/relationships/hyperlink" Target="http://www.ncbi.nlm.nih.gov/pmc/articles/PMC2584155/?tool=pubmed" TargetMode="External"/><Relationship Id="rId32" Type="http://schemas.openxmlformats.org/officeDocument/2006/relationships/hyperlink" Target="http://www.ncbi.nlm.nih.gov/pmc/articles/PMC2408594/" TargetMode="External"/><Relationship Id="rId35" Type="http://schemas.openxmlformats.org/officeDocument/2006/relationships/hyperlink" Target="http://onlinelibrary.wiley.com/doi/10.1111/j.1469-1809.2010.00601.x/abstract" TargetMode="External"/><Relationship Id="rId34" Type="http://schemas.openxmlformats.org/officeDocument/2006/relationships/hyperlink" Target="http://www.nature.com/jhg/journal/vaop/ncurrent/full/jhg201293a.html" TargetMode="External"/><Relationship Id="rId37" Type="http://schemas.openxmlformats.org/officeDocument/2006/relationships/hyperlink" Target="http://mbe.oxfordjournals.org/cgi/content/abstract/msm187v1" TargetMode="External"/><Relationship Id="rId36" Type="http://schemas.openxmlformats.org/officeDocument/2006/relationships/hyperlink" Target="http://www.ncbi.nlm.nih.gov/pubmed/16470330" TargetMode="External"/><Relationship Id="rId39" Type="http://schemas.openxmlformats.org/officeDocument/2006/relationships/hyperlink" Target="http://www.blackwell-synergy.com/doi/abs/10.1111/j.1469-1809.2006.00343.x" TargetMode="External"/><Relationship Id="rId38" Type="http://schemas.openxmlformats.org/officeDocument/2006/relationships/hyperlink" Target="http://www.ncbi.nlm.nih.gov/pubmed/23389242" TargetMode="External"/><Relationship Id="rId20" Type="http://schemas.openxmlformats.org/officeDocument/2006/relationships/hyperlink" Target="http://www.ncbi.nlm.nih.gov/pmc/articles/PMC1852741/" TargetMode="External"/><Relationship Id="rId22" Type="http://schemas.openxmlformats.org/officeDocument/2006/relationships/hyperlink" Target="http://www.nature.com/jhg/journal/v51/n1/full/jhg20068a.html" TargetMode="External"/><Relationship Id="rId21" Type="http://schemas.openxmlformats.org/officeDocument/2006/relationships/hyperlink" Target="http://www.ncbi.nlm.nih.gov/pubmed/20932815" TargetMode="External"/><Relationship Id="rId24" Type="http://schemas.openxmlformats.org/officeDocument/2006/relationships/hyperlink" Target="http://onlinelibrary.wiley.com/doi/10.1002/ajpa.21232/abstract" TargetMode="External"/><Relationship Id="rId23" Type="http://schemas.openxmlformats.org/officeDocument/2006/relationships/hyperlink" Target="http://www.pnas.org/content/104/21/8726.full.pdf" TargetMode="External"/><Relationship Id="rId26" Type="http://schemas.openxmlformats.org/officeDocument/2006/relationships/hyperlink" Target="http://mbe.oxfordjournals.org/cgi/content/abstract/msq063" TargetMode="External"/><Relationship Id="rId25" Type="http://schemas.openxmlformats.org/officeDocument/2006/relationships/hyperlink" Target="http://plosone.org/article/info%3Adoi%2F10.1371%2Fjournal.pone.0004210" TargetMode="External"/><Relationship Id="rId28" Type="http://schemas.openxmlformats.org/officeDocument/2006/relationships/hyperlink" Target="http://hpgl.stanford.edu/publications/AJHG_2001_v68_p173-190.pdf" TargetMode="External"/><Relationship Id="rId27" Type="http://schemas.openxmlformats.org/officeDocument/2006/relationships/hyperlink" Target="http://genome.cshlp.org/content/early/2015/03/13/gr.186684.114.abstract" TargetMode="External"/><Relationship Id="rId29" Type="http://schemas.openxmlformats.org/officeDocument/2006/relationships/hyperlink" Target="http://mbe.oxfordjournals.org/content/25/7/1362.full.pdf" TargetMode="External"/><Relationship Id="rId51" Type="http://schemas.openxmlformats.org/officeDocument/2006/relationships/hyperlink" Target="http://www.ncbi.nlm.nih.gov/pubmed/19058044" TargetMode="External"/><Relationship Id="rId50" Type="http://schemas.openxmlformats.org/officeDocument/2006/relationships/hyperlink" Target="http://www.nature.com/ejhg/journal/v16/n6/pdf/5201998a.pdf" TargetMode="External"/><Relationship Id="rId53" Type="http://schemas.openxmlformats.org/officeDocument/2006/relationships/hyperlink" Target="http://mbe.oxfordjournals.org/content/28/1/717" TargetMode="External"/><Relationship Id="rId52" Type="http://schemas.openxmlformats.org/officeDocument/2006/relationships/hyperlink" Target="http://https//www.nature.com/articles/s10038-017-0357-z" TargetMode="External"/><Relationship Id="rId11" Type="http://schemas.openxmlformats.org/officeDocument/2006/relationships/hyperlink" Target="http://hpgl.stanford.edu/publications/HG_2004_v114_p127-148.pdf" TargetMode="External"/><Relationship Id="rId55" Type="http://schemas.openxmlformats.org/officeDocument/2006/relationships/hyperlink" Target="http://www.isogg.org/wiki/Wiki_Welcome_Page" TargetMode="External"/><Relationship Id="rId10" Type="http://schemas.openxmlformats.org/officeDocument/2006/relationships/hyperlink" Target="http://www.ncbi.nlm.nih.gov/pubmed/17185165" TargetMode="External"/><Relationship Id="rId54" Type="http://schemas.openxmlformats.org/officeDocument/2006/relationships/hyperlink" Target="http://www.nature.com/jhg/journal/v55/n7/full/jhg201040a.html" TargetMode="External"/><Relationship Id="rId13" Type="http://schemas.openxmlformats.org/officeDocument/2006/relationships/hyperlink" Target="http://www.cell.com/AJHG/abstract/S0002-9297%2811%2900164-9" TargetMode="External"/><Relationship Id="rId57" Type="http://schemas.openxmlformats.org/officeDocument/2006/relationships/hyperlink" Target="http://www.familytreedna.com/public/Chaplogroup/default.aspx" TargetMode="External"/><Relationship Id="rId12" Type="http://schemas.openxmlformats.org/officeDocument/2006/relationships/hyperlink" Target="http://www.plosone.org/article/info%3Adoi%2F10.1371%2Fjournal.pone.0076748" TargetMode="External"/><Relationship Id="rId56" Type="http://schemas.openxmlformats.org/officeDocument/2006/relationships/hyperlink" Target="http://www.ancestraljourneys.org/ancientdna.shtml" TargetMode="External"/><Relationship Id="rId15" Type="http://schemas.openxmlformats.org/officeDocument/2006/relationships/hyperlink" Target="http://www.springerlink.com/content/l4625753377x621t/" TargetMode="External"/><Relationship Id="rId59" Type="http://schemas.openxmlformats.org/officeDocument/2006/relationships/drawing" Target="../drawings/drawing1.xml"/><Relationship Id="rId14" Type="http://schemas.openxmlformats.org/officeDocument/2006/relationships/hyperlink" Target="http://www.nature.com/ejhg/journal/v19/n2/full/ejhg2010162a.html" TargetMode="External"/><Relationship Id="rId58" Type="http://schemas.openxmlformats.org/officeDocument/2006/relationships/hyperlink" Target="https://sites.google.com/site/haplogroupcproject/" TargetMode="External"/><Relationship Id="rId17" Type="http://schemas.openxmlformats.org/officeDocument/2006/relationships/hyperlink" Target="http://www.plosone.org/article/info%3Adoi%2F10.1371%2Fjournal.pone.0017548" TargetMode="External"/><Relationship Id="rId16" Type="http://schemas.openxmlformats.org/officeDocument/2006/relationships/hyperlink" Target="http://bhap.arts.ualberta.ca/images/uploads/pdfs/Dulik_et_al_AJHG_Proof.pdf" TargetMode="External"/><Relationship Id="rId19" Type="http://schemas.openxmlformats.org/officeDocument/2006/relationships/hyperlink" Target="http://www.ncbi.nlm.nih.gov/pubmed/19573232" TargetMode="External"/><Relationship Id="rId18" Type="http://schemas.openxmlformats.org/officeDocument/2006/relationships/hyperlink" Target="http://www.nature.com/ejhg/journal/v18/n3/abs/ejhg2009168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5.25"/>
    <col customWidth="1" min="3" max="3" width="5.88"/>
    <col customWidth="1" min="4" max="4" width="6.13"/>
    <col customWidth="1" min="5" max="5" width="6.63"/>
    <col customWidth="1" min="6" max="6" width="7.63"/>
    <col customWidth="1" min="7" max="7" width="8.0"/>
    <col customWidth="1" min="8" max="8" width="9.0"/>
    <col customWidth="1" min="9" max="9" width="10.5"/>
    <col customWidth="1" min="10" max="10" width="11.13"/>
    <col customWidth="1" min="11" max="11" width="17.0"/>
    <col customWidth="1" min="12" max="12" width="15.63"/>
    <col customWidth="1" min="13" max="13" width="17.38"/>
    <col customWidth="1" min="14" max="14" width="14.63"/>
    <col customWidth="1" min="15" max="15" width="15.75"/>
    <col customWidth="1" min="16" max="16" width="17.0"/>
    <col customWidth="1" min="17" max="17" width="17.5"/>
    <col customWidth="1" min="18" max="18" width="18.63"/>
  </cols>
  <sheetData>
    <row r="1" ht="15.75" customHeight="1">
      <c r="A1" s="1"/>
      <c r="B1" s="1"/>
      <c r="C1" s="2" t="s">
        <v>0</v>
      </c>
    </row>
    <row r="2" ht="15.75" customHeight="1">
      <c r="A2" s="1"/>
      <c r="B2" s="1"/>
      <c r="C2" s="1"/>
      <c r="D2" s="1"/>
      <c r="E2" s="1"/>
      <c r="F2" s="1"/>
      <c r="G2" s="1"/>
      <c r="H2" s="1"/>
      <c r="I2" s="1"/>
      <c r="J2" s="1"/>
      <c r="K2" s="1"/>
      <c r="L2" s="1"/>
    </row>
    <row r="3" ht="15.75" customHeight="1">
      <c r="A3" s="1"/>
      <c r="B3" s="1"/>
      <c r="C3" s="3"/>
      <c r="D3" s="3"/>
      <c r="E3" s="3"/>
      <c r="F3" s="3"/>
      <c r="G3" s="3"/>
      <c r="H3" s="3"/>
      <c r="I3" s="3"/>
      <c r="J3" s="3"/>
      <c r="K3" s="3"/>
      <c r="L3" s="3"/>
    </row>
    <row r="4" ht="15.75" customHeight="1">
      <c r="A4" s="1"/>
      <c r="B4" s="4"/>
      <c r="C4" s="5" t="s">
        <v>1</v>
      </c>
      <c r="D4" s="6"/>
      <c r="E4" s="6"/>
      <c r="F4" s="6"/>
      <c r="G4" s="6"/>
      <c r="H4" s="6"/>
      <c r="I4" s="6"/>
      <c r="J4" s="6"/>
      <c r="K4" s="6"/>
      <c r="L4" s="7"/>
    </row>
    <row r="5" ht="15.75" customHeight="1">
      <c r="A5" s="1"/>
      <c r="B5" s="1"/>
      <c r="C5" s="1"/>
      <c r="D5" s="1"/>
      <c r="E5" s="1"/>
      <c r="F5" s="1"/>
      <c r="G5" s="1"/>
      <c r="H5" s="1"/>
      <c r="I5" s="1"/>
      <c r="J5" s="1"/>
      <c r="K5" s="1"/>
      <c r="L5" s="1"/>
    </row>
    <row r="6" ht="15.75" customHeight="1">
      <c r="A6" s="1"/>
      <c r="B6" s="1"/>
      <c r="C6" s="8" t="s">
        <v>2</v>
      </c>
      <c r="D6" s="1"/>
      <c r="E6" s="1"/>
      <c r="F6" s="1"/>
      <c r="G6" s="1"/>
      <c r="H6" s="1"/>
      <c r="I6" s="1"/>
      <c r="J6" s="9" t="str">
        <f>HYPERLINK("https://isogg.org/tree/2018/index18.html","Main Page")</f>
        <v>Main Page</v>
      </c>
      <c r="K6" s="1"/>
      <c r="L6" s="1"/>
    </row>
    <row r="7" ht="15.75" customHeight="1">
      <c r="A7" s="1"/>
      <c r="B7" s="1"/>
      <c r="C7" s="8" t="s">
        <v>3</v>
      </c>
      <c r="D7" s="1"/>
      <c r="E7" s="1"/>
      <c r="F7" s="1"/>
      <c r="G7" s="1"/>
      <c r="H7" s="10" t="s">
        <v>4</v>
      </c>
      <c r="I7" s="1"/>
      <c r="J7" s="1"/>
      <c r="K7" s="1"/>
      <c r="L7" s="1"/>
    </row>
    <row r="8" ht="15.75" customHeight="1">
      <c r="A8" s="1"/>
      <c r="B8" s="1"/>
      <c r="C8" s="1"/>
      <c r="D8" s="1"/>
      <c r="E8" s="1"/>
      <c r="F8" s="11" t="str">
        <f>HYPERLINK("https://isogg.org/tree/2018/ISOGG_YDNA_Version_History18.html","Version History")</f>
        <v>Version History</v>
      </c>
      <c r="G8" s="1"/>
      <c r="H8" s="12" t="s">
        <v>5</v>
      </c>
      <c r="I8" s="1"/>
      <c r="J8" s="1"/>
      <c r="K8" s="1"/>
      <c r="L8" s="1"/>
    </row>
    <row r="9" ht="15.75" customHeight="1">
      <c r="A9" s="1"/>
      <c r="B9" s="1"/>
      <c r="C9" s="1"/>
      <c r="D9" s="1"/>
      <c r="E9" s="1"/>
      <c r="F9" s="1"/>
      <c r="G9" s="1"/>
      <c r="H9" s="1"/>
      <c r="I9" s="1"/>
      <c r="J9" s="1"/>
      <c r="K9" s="1"/>
      <c r="L9" s="1"/>
    </row>
    <row r="10" ht="15.75" customHeight="1">
      <c r="A10" s="1"/>
      <c r="B10" s="13" t="s">
        <v>6</v>
      </c>
      <c r="C10" s="14"/>
      <c r="D10" s="14"/>
      <c r="E10" s="14"/>
      <c r="F10" s="14"/>
      <c r="G10" s="14"/>
      <c r="H10" s="14"/>
      <c r="I10" s="14"/>
      <c r="J10" s="14"/>
      <c r="K10" s="14"/>
      <c r="L10" s="15"/>
    </row>
    <row r="11" ht="15.75" customHeight="1">
      <c r="A11" s="1"/>
      <c r="B11" s="13" t="s">
        <v>7</v>
      </c>
      <c r="C11" s="14"/>
      <c r="D11" s="14"/>
      <c r="E11" s="14"/>
      <c r="F11" s="14"/>
      <c r="G11" s="14"/>
      <c r="H11" s="14"/>
      <c r="I11" s="14"/>
      <c r="J11" s="15"/>
      <c r="K11" s="10" t="s">
        <v>8</v>
      </c>
      <c r="L11" s="1"/>
    </row>
    <row r="12" ht="15.75" customHeight="1">
      <c r="A12" s="1"/>
      <c r="B12" s="1"/>
      <c r="C12" s="1"/>
      <c r="D12" s="1"/>
      <c r="E12" s="1"/>
      <c r="F12" s="1"/>
      <c r="G12" s="1"/>
      <c r="H12" s="1"/>
      <c r="I12" s="1"/>
      <c r="J12" s="1"/>
      <c r="K12" s="1"/>
      <c r="L12" s="1"/>
    </row>
    <row r="13" ht="15.75" customHeight="1">
      <c r="A13" s="16" t="s">
        <v>9</v>
      </c>
      <c r="B13" s="1"/>
      <c r="C13" s="17" t="str">
        <f>HYPERLINK("https://isogg.org/tree/2018/index18.html","Main Page")</f>
        <v>Main Page</v>
      </c>
      <c r="D13" s="1"/>
      <c r="E13" s="1"/>
      <c r="F13" s="18" t="str">
        <f>HYPERLINK("https://docs.google.com/spreadsheets/d/1bYiTv-Zo2N2eynFJkhs8SRPMWWYMSBD4zwsRzagtp-c/edit#gid=0","Listing Criteria")</f>
        <v>Listing Criteria</v>
      </c>
      <c r="G13" s="1"/>
      <c r="H13" s="1"/>
      <c r="I13" s="18" t="str">
        <f>HYPERLINK("https://isogg.org/tree/2018/ISOGG_All_Papers18.html","Papers/Presentations Cited")</f>
        <v>Papers/Presentations Cited</v>
      </c>
      <c r="J13" s="1"/>
      <c r="K13" s="18" t="str">
        <f>HYPERLINK("https://docs.google.com/spreadsheets/d/1fyWMHOYKcR-t77kV-cN79A6B5-aBpQS8Y7W5juVKLV8/edit#gid=1904113265","Y-DNA Tree Trunk")</f>
        <v>Y-DNA Tree Trunk</v>
      </c>
      <c r="L13" s="1"/>
    </row>
    <row r="14" ht="15.75" customHeight="1">
      <c r="A14" s="1"/>
      <c r="B14" s="1"/>
      <c r="C14" s="1"/>
      <c r="D14" s="1"/>
      <c r="F14" s="1"/>
      <c r="G14" s="19" t="str">
        <f>HYPERLINK("https://isogg.org/tree/2018/ISOGG_Glossary18.html","Glossary")</f>
        <v>Glossary</v>
      </c>
      <c r="H14" s="1"/>
      <c r="I14" s="19" t="str">
        <f>HYPERLINK("https://isogg.org/tree/2018/ISOGG_YDNA_SNP_Index18.html","SNP Index")</f>
        <v>SNP Index</v>
      </c>
      <c r="J14" s="1"/>
      <c r="K14" s="1"/>
      <c r="L14" s="1"/>
      <c r="M14" t="s">
        <v>10</v>
      </c>
    </row>
    <row r="15" ht="15.75" customHeight="1">
      <c r="A15" s="1"/>
      <c r="B15" s="1"/>
      <c r="C15" s="1"/>
      <c r="D15" s="1"/>
      <c r="E15" s="1"/>
      <c r="F15" s="1"/>
      <c r="G15" s="1"/>
      <c r="H15" s="1"/>
      <c r="I15" s="1"/>
      <c r="J15" s="1"/>
      <c r="K15" s="1"/>
      <c r="L15" s="1"/>
    </row>
    <row r="16" ht="15.75" customHeight="1">
      <c r="A16" s="16" t="s">
        <v>11</v>
      </c>
      <c r="B16" s="1"/>
      <c r="C16" s="1"/>
      <c r="D16" s="20" t="s">
        <v>12</v>
      </c>
      <c r="E16" s="1"/>
      <c r="F16" s="1"/>
      <c r="G16" s="1"/>
      <c r="H16" s="1"/>
      <c r="I16" s="8" t="s">
        <v>13</v>
      </c>
      <c r="J16" s="1"/>
      <c r="K16" s="1"/>
      <c r="L16" s="21" t="s">
        <v>14</v>
      </c>
    </row>
    <row r="17" ht="15.75" customHeight="1">
      <c r="A17" s="1"/>
      <c r="B17" s="1"/>
      <c r="C17" s="1"/>
      <c r="D17" s="1"/>
      <c r="E17" s="1"/>
      <c r="F17" s="1"/>
      <c r="G17" s="1"/>
      <c r="H17" s="1"/>
      <c r="I17" s="1"/>
      <c r="J17" s="1"/>
      <c r="K17" s="1"/>
      <c r="L17" s="1"/>
    </row>
    <row r="18" ht="15.75" customHeight="1">
      <c r="A18" s="16" t="s">
        <v>15</v>
      </c>
      <c r="B18" s="1"/>
      <c r="C18" s="1"/>
      <c r="D18" s="8" t="s">
        <v>16</v>
      </c>
      <c r="E18" s="1"/>
      <c r="F18" s="1"/>
      <c r="G18" s="1"/>
      <c r="H18" s="1"/>
      <c r="I18" s="1"/>
      <c r="J18" s="1"/>
      <c r="K18" s="1"/>
      <c r="L18" s="1"/>
    </row>
    <row r="19" ht="15.75" customHeight="1">
      <c r="A19" s="1"/>
      <c r="B19" s="1"/>
      <c r="C19" s="1"/>
      <c r="D19" s="8" t="s">
        <v>17</v>
      </c>
      <c r="E19" s="1"/>
      <c r="F19" s="1"/>
      <c r="G19" s="1"/>
      <c r="H19" s="1"/>
      <c r="I19" s="1"/>
      <c r="J19" s="1"/>
      <c r="K19" s="1"/>
      <c r="L19" s="1"/>
    </row>
    <row r="20" ht="15.75" customHeight="1">
      <c r="A20" s="1"/>
      <c r="B20" s="1"/>
      <c r="C20" s="1"/>
      <c r="D20" s="8" t="s">
        <v>18</v>
      </c>
      <c r="E20" s="1"/>
      <c r="F20" s="1"/>
      <c r="G20" s="1"/>
      <c r="H20" s="1"/>
      <c r="I20" s="1"/>
      <c r="J20" s="1"/>
      <c r="K20" s="1"/>
      <c r="L20" s="1"/>
    </row>
    <row r="21" ht="15.75" customHeight="1">
      <c r="A21" s="1"/>
      <c r="B21" s="1"/>
      <c r="C21" s="1"/>
      <c r="D21" s="1"/>
      <c r="E21" s="1"/>
      <c r="F21" s="1"/>
      <c r="G21" s="1"/>
      <c r="H21" s="1"/>
      <c r="I21" s="1"/>
      <c r="J21" s="1"/>
      <c r="K21" s="1"/>
      <c r="L21" s="1"/>
    </row>
    <row r="22" ht="15.75" customHeight="1">
      <c r="A22" s="1"/>
      <c r="B22" s="22" t="s">
        <v>19</v>
      </c>
    </row>
    <row r="23" ht="15.75" customHeight="1">
      <c r="A23" s="1"/>
      <c r="B23" s="22" t="s">
        <v>20</v>
      </c>
    </row>
    <row r="24" ht="15.75" customHeight="1">
      <c r="A24" s="23"/>
      <c r="B24" s="22" t="s">
        <v>21</v>
      </c>
      <c r="M24" s="24"/>
      <c r="N24" s="24"/>
      <c r="O24" s="24"/>
      <c r="P24" s="24"/>
      <c r="Q24" s="24"/>
      <c r="R24" s="24"/>
      <c r="S24" s="24"/>
      <c r="T24" s="24"/>
      <c r="U24" s="24"/>
      <c r="V24" s="24"/>
      <c r="W24" s="24"/>
      <c r="X24" s="24"/>
      <c r="Y24" s="24"/>
    </row>
    <row r="25" ht="15.75" customHeight="1">
      <c r="A25" s="1"/>
      <c r="B25" s="1"/>
      <c r="C25" s="1"/>
      <c r="D25" s="1"/>
      <c r="E25" s="1"/>
      <c r="F25" s="1"/>
      <c r="G25" s="1"/>
      <c r="H25" s="1"/>
      <c r="I25" s="1"/>
      <c r="J25" s="1"/>
      <c r="K25" s="1"/>
      <c r="L25" s="1"/>
    </row>
    <row r="26" ht="15.75" customHeight="1">
      <c r="A26" s="1"/>
      <c r="B26" s="1"/>
      <c r="C26" s="1"/>
      <c r="D26" s="1"/>
      <c r="E26" s="1"/>
      <c r="F26" s="1"/>
      <c r="G26" s="1"/>
      <c r="H26" s="1"/>
      <c r="I26" s="1"/>
      <c r="J26" s="1"/>
      <c r="K26" s="1"/>
      <c r="L26" s="1"/>
    </row>
    <row r="27" ht="15.75" customHeight="1">
      <c r="A27" s="1"/>
      <c r="B27" s="1"/>
      <c r="D27" s="16" t="s">
        <v>22</v>
      </c>
      <c r="E27" s="1"/>
      <c r="F27" s="1"/>
      <c r="G27" s="1"/>
      <c r="H27" s="10" t="s">
        <v>8</v>
      </c>
      <c r="I27" s="1"/>
      <c r="J27" s="25" t="s">
        <v>23</v>
      </c>
      <c r="K27" s="1"/>
      <c r="L27" s="1"/>
    </row>
    <row r="28" ht="15.75" customHeight="1">
      <c r="A28" s="1"/>
      <c r="B28" s="1"/>
      <c r="C28" s="1"/>
      <c r="D28" s="1"/>
      <c r="E28" s="1"/>
      <c r="F28" s="1"/>
      <c r="G28" s="1"/>
      <c r="H28" s="1"/>
      <c r="I28" s="1"/>
      <c r="J28" s="1"/>
      <c r="K28" s="1"/>
      <c r="L28" s="1"/>
    </row>
    <row r="29" ht="15.75" customHeight="1">
      <c r="A29" s="1"/>
      <c r="B29" s="1"/>
      <c r="C29" s="1"/>
      <c r="D29" s="1"/>
      <c r="E29" s="1"/>
      <c r="F29" s="1"/>
      <c r="G29" s="1"/>
      <c r="H29" s="1"/>
      <c r="I29" s="1"/>
      <c r="J29" s="1"/>
      <c r="K29" s="1"/>
      <c r="L29" s="1"/>
    </row>
    <row r="30" ht="15.75" customHeight="1">
      <c r="A30" s="26" t="s">
        <v>24</v>
      </c>
      <c r="B30" s="27" t="s">
        <v>25</v>
      </c>
    </row>
    <row r="31" ht="15.75" customHeight="1">
      <c r="B31" s="26" t="s">
        <v>26</v>
      </c>
      <c r="C31" s="28" t="s">
        <v>27</v>
      </c>
    </row>
    <row r="32" ht="15.75" customHeight="1">
      <c r="C32" s="26" t="s">
        <v>28</v>
      </c>
      <c r="D32" s="28" t="s">
        <v>29</v>
      </c>
    </row>
    <row r="33" ht="15.75" customHeight="1">
      <c r="C33" s="29" t="s">
        <v>28</v>
      </c>
      <c r="D33" s="30" t="s">
        <v>30</v>
      </c>
    </row>
    <row r="34" ht="15.75" customHeight="1">
      <c r="D34" s="26" t="s">
        <v>31</v>
      </c>
      <c r="E34" s="31" t="s">
        <v>32</v>
      </c>
    </row>
    <row r="35" ht="15.75" customHeight="1">
      <c r="D35" s="29" t="s">
        <v>33</v>
      </c>
      <c r="E35" s="30" t="s">
        <v>34</v>
      </c>
    </row>
    <row r="36" ht="15.75" customHeight="1">
      <c r="E36" s="26" t="s">
        <v>35</v>
      </c>
      <c r="F36" s="31" t="s">
        <v>36</v>
      </c>
    </row>
    <row r="37" ht="15.75" customHeight="1">
      <c r="F37" s="26" t="s">
        <v>37</v>
      </c>
      <c r="G37" s="32" t="s">
        <v>38</v>
      </c>
    </row>
    <row r="38" ht="15.75" customHeight="1">
      <c r="G38" s="26" t="s">
        <v>39</v>
      </c>
      <c r="H38" s="28" t="s">
        <v>40</v>
      </c>
    </row>
    <row r="39" ht="15.75" customHeight="1">
      <c r="H39" s="29" t="s">
        <v>41</v>
      </c>
      <c r="I39" s="33" t="s">
        <v>42</v>
      </c>
    </row>
    <row r="40" ht="15.75" customHeight="1">
      <c r="H40" s="29" t="s">
        <v>41</v>
      </c>
      <c r="I40" s="33" t="s">
        <v>43</v>
      </c>
    </row>
    <row r="41" ht="15.75" customHeight="1">
      <c r="G41" s="26" t="s">
        <v>44</v>
      </c>
      <c r="H41" s="34" t="s">
        <v>45</v>
      </c>
    </row>
    <row r="42" ht="15.75" customHeight="1">
      <c r="H42" s="29" t="s">
        <v>46</v>
      </c>
      <c r="I42" s="33" t="s">
        <v>47</v>
      </c>
    </row>
    <row r="43" ht="15.75" customHeight="1">
      <c r="H43" s="26" t="s">
        <v>48</v>
      </c>
      <c r="I43" s="32" t="s">
        <v>49</v>
      </c>
    </row>
    <row r="44" ht="15.75" customHeight="1">
      <c r="H44" s="29" t="s">
        <v>50</v>
      </c>
      <c r="I44" s="33" t="s">
        <v>51</v>
      </c>
    </row>
    <row r="45" ht="15.75" customHeight="1">
      <c r="F45" s="29" t="s">
        <v>52</v>
      </c>
      <c r="G45" s="33" t="s">
        <v>53</v>
      </c>
    </row>
    <row r="46" ht="15.75" customHeight="1">
      <c r="D46" s="26" t="s">
        <v>54</v>
      </c>
      <c r="E46" s="34" t="s">
        <v>55</v>
      </c>
    </row>
    <row r="47" ht="15.75" customHeight="1">
      <c r="D47" s="29" t="s">
        <v>56</v>
      </c>
      <c r="E47" s="33" t="s">
        <v>57</v>
      </c>
    </row>
    <row r="48" ht="15.75" customHeight="1">
      <c r="E48" s="26" t="s">
        <v>58</v>
      </c>
      <c r="F48" s="34" t="s">
        <v>59</v>
      </c>
    </row>
    <row r="49" ht="15.75" customHeight="1">
      <c r="F49" s="26" t="s">
        <v>60</v>
      </c>
      <c r="G49" s="34" t="s">
        <v>61</v>
      </c>
    </row>
    <row r="50" ht="15.75" customHeight="1">
      <c r="G50" s="26" t="s">
        <v>62</v>
      </c>
      <c r="H50" s="28" t="s">
        <v>63</v>
      </c>
    </row>
    <row r="51" ht="15.75" customHeight="1">
      <c r="H51" s="29" t="s">
        <v>64</v>
      </c>
      <c r="I51" s="35" t="s">
        <v>65</v>
      </c>
    </row>
    <row r="52" ht="15.75" customHeight="1">
      <c r="H52" s="29" t="s">
        <v>66</v>
      </c>
      <c r="I52" s="35" t="s">
        <v>67</v>
      </c>
    </row>
    <row r="53" ht="15.75" customHeight="1">
      <c r="G53" s="26" t="s">
        <v>68</v>
      </c>
      <c r="H53" s="28" t="s">
        <v>69</v>
      </c>
    </row>
    <row r="54" ht="15.75" customHeight="1">
      <c r="H54" s="29" t="s">
        <v>70</v>
      </c>
      <c r="I54" s="33" t="s">
        <v>71</v>
      </c>
    </row>
    <row r="55" ht="15.75" customHeight="1">
      <c r="H55" s="29" t="s">
        <v>72</v>
      </c>
      <c r="I55" s="33" t="s">
        <v>73</v>
      </c>
    </row>
    <row r="56" ht="15.75" customHeight="1">
      <c r="H56" s="29" t="s">
        <v>74</v>
      </c>
      <c r="I56" s="33" t="s">
        <v>75</v>
      </c>
    </row>
    <row r="57" ht="15.75" customHeight="1">
      <c r="G57" s="29" t="s">
        <v>76</v>
      </c>
      <c r="H57" s="36" t="s">
        <v>77</v>
      </c>
    </row>
    <row r="58" ht="15.75" customHeight="1"/>
    <row r="59" ht="15.75" customHeight="1">
      <c r="F59" s="26" t="s">
        <v>78</v>
      </c>
      <c r="G59" s="34" t="s">
        <v>79</v>
      </c>
    </row>
    <row r="60" ht="15.75" customHeight="1">
      <c r="G60" s="29" t="s">
        <v>80</v>
      </c>
      <c r="H60" s="36" t="s">
        <v>81</v>
      </c>
    </row>
    <row r="61" ht="15.75" customHeight="1">
      <c r="G61" s="29" t="s">
        <v>82</v>
      </c>
      <c r="H61" s="36" t="s">
        <v>83</v>
      </c>
    </row>
    <row r="62" ht="15.75" customHeight="1">
      <c r="E62" s="26" t="s">
        <v>84</v>
      </c>
      <c r="F62" s="37" t="s">
        <v>85</v>
      </c>
    </row>
    <row r="63" ht="15.75" customHeight="1">
      <c r="F63" s="29" t="s">
        <v>86</v>
      </c>
      <c r="G63" s="33" t="s">
        <v>87</v>
      </c>
    </row>
    <row r="64" ht="15.75" customHeight="1">
      <c r="F64" s="29" t="s">
        <v>88</v>
      </c>
      <c r="G64" s="33" t="s">
        <v>89</v>
      </c>
    </row>
    <row r="65" ht="15.75" customHeight="1">
      <c r="C65" s="26" t="s">
        <v>90</v>
      </c>
      <c r="D65" t="s">
        <v>91</v>
      </c>
    </row>
    <row r="66" ht="15.75" customHeight="1">
      <c r="D66" s="26" t="s">
        <v>92</v>
      </c>
      <c r="E66" s="32" t="s">
        <v>93</v>
      </c>
    </row>
    <row r="67" ht="15.75" customHeight="1">
      <c r="E67" s="26" t="s">
        <v>94</v>
      </c>
      <c r="F67" s="38" t="s">
        <v>95</v>
      </c>
    </row>
    <row r="68" ht="15.75" customHeight="1">
      <c r="D68" s="39" t="s">
        <v>23</v>
      </c>
      <c r="F68" s="40" t="s">
        <v>96</v>
      </c>
      <c r="G68" s="37" t="s">
        <v>97</v>
      </c>
    </row>
    <row r="69" ht="15.75" customHeight="1">
      <c r="F69" s="29" t="s">
        <v>98</v>
      </c>
      <c r="G69" s="36" t="s">
        <v>99</v>
      </c>
    </row>
    <row r="70" ht="15.75" customHeight="1">
      <c r="G70" s="26" t="s">
        <v>100</v>
      </c>
      <c r="H70" s="34" t="s">
        <v>101</v>
      </c>
    </row>
    <row r="71" ht="15.75" customHeight="1">
      <c r="H71" s="26" t="s">
        <v>102</v>
      </c>
      <c r="I71" s="34" t="s">
        <v>103</v>
      </c>
    </row>
    <row r="72" ht="15.75" customHeight="1">
      <c r="I72" s="26" t="s">
        <v>104</v>
      </c>
      <c r="J72" s="32" t="s">
        <v>105</v>
      </c>
    </row>
    <row r="73" ht="15.75" customHeight="1">
      <c r="J73" s="26" t="s">
        <v>106</v>
      </c>
      <c r="K73" s="28" t="s">
        <v>107</v>
      </c>
    </row>
    <row r="74" ht="15.75" customHeight="1">
      <c r="K74" s="26" t="s">
        <v>108</v>
      </c>
      <c r="L74" s="34" t="s">
        <v>109</v>
      </c>
    </row>
    <row r="75" ht="15.75" customHeight="1">
      <c r="L75" s="26" t="s">
        <v>110</v>
      </c>
      <c r="M75" s="28" t="s">
        <v>111</v>
      </c>
    </row>
    <row r="76" ht="15.75" customHeight="1">
      <c r="L76" s="29" t="s">
        <v>112</v>
      </c>
      <c r="M76" s="33" t="s">
        <v>113</v>
      </c>
    </row>
    <row r="77" ht="15.75" customHeight="1">
      <c r="M77" s="26" t="s">
        <v>114</v>
      </c>
      <c r="N77" s="32" t="s">
        <v>115</v>
      </c>
    </row>
    <row r="78" ht="15.75" customHeight="1">
      <c r="N78" s="26" t="s">
        <v>116</v>
      </c>
      <c r="O78" s="32" t="s">
        <v>117</v>
      </c>
    </row>
    <row r="79" ht="15.75" customHeight="1">
      <c r="O79" s="26" t="s">
        <v>118</v>
      </c>
      <c r="P79" s="28" t="s">
        <v>119</v>
      </c>
    </row>
    <row r="80" ht="15.75" customHeight="1">
      <c r="P80" s="26" t="s">
        <v>120</v>
      </c>
      <c r="Q80" s="32" t="s">
        <v>121</v>
      </c>
    </row>
    <row r="81" ht="15.75" customHeight="1">
      <c r="Q81" s="26" t="s">
        <v>122</v>
      </c>
      <c r="R81" s="32" t="s">
        <v>123</v>
      </c>
    </row>
    <row r="82" ht="15.75" customHeight="1">
      <c r="R82" s="29" t="s">
        <v>124</v>
      </c>
      <c r="S82" s="33" t="s">
        <v>125</v>
      </c>
    </row>
    <row r="83" ht="15.75" customHeight="1">
      <c r="R83" s="29" t="s">
        <v>126</v>
      </c>
      <c r="S83" s="33" t="s">
        <v>127</v>
      </c>
    </row>
    <row r="84" ht="15.75" customHeight="1">
      <c r="Q84" s="29" t="s">
        <v>128</v>
      </c>
      <c r="R84" s="33" t="s">
        <v>129</v>
      </c>
    </row>
    <row r="85" ht="15.75" customHeight="1">
      <c r="Q85" s="29" t="s">
        <v>130</v>
      </c>
      <c r="R85" s="33" t="s">
        <v>131</v>
      </c>
    </row>
    <row r="86" ht="15.75" customHeight="1">
      <c r="P86" s="29" t="s">
        <v>132</v>
      </c>
      <c r="Q86" s="33" t="s">
        <v>133</v>
      </c>
    </row>
    <row r="87" ht="15.75" customHeight="1">
      <c r="O87" s="29" t="s">
        <v>134</v>
      </c>
      <c r="P87" s="36" t="s">
        <v>135</v>
      </c>
    </row>
    <row r="88" ht="15.75" customHeight="1">
      <c r="O88" s="29" t="s">
        <v>136</v>
      </c>
      <c r="P88" s="33" t="s">
        <v>137</v>
      </c>
    </row>
    <row r="89" ht="15.75" customHeight="1">
      <c r="O89" s="29" t="s">
        <v>138</v>
      </c>
      <c r="P89" s="33" t="s">
        <v>139</v>
      </c>
    </row>
    <row r="90" ht="15.75" customHeight="1">
      <c r="M90" s="29" t="s">
        <v>140</v>
      </c>
      <c r="N90" s="33" t="s">
        <v>141</v>
      </c>
    </row>
    <row r="91" ht="15.75" customHeight="1">
      <c r="L91" s="29" t="s">
        <v>142</v>
      </c>
      <c r="M91" s="33" t="s">
        <v>143</v>
      </c>
    </row>
    <row r="92" ht="15.75" customHeight="1">
      <c r="K92" s="29" t="s">
        <v>144</v>
      </c>
      <c r="L92" s="33" t="s">
        <v>145</v>
      </c>
    </row>
    <row r="93" ht="15.75" customHeight="1">
      <c r="J93" s="29" t="s">
        <v>146</v>
      </c>
      <c r="K93" s="33" t="s">
        <v>147</v>
      </c>
    </row>
    <row r="94" ht="15.75" customHeight="1">
      <c r="H94" s="29" t="s">
        <v>148</v>
      </c>
      <c r="I94" s="33" t="s">
        <v>149</v>
      </c>
    </row>
    <row r="95" ht="15.75" customHeight="1">
      <c r="G95" s="26" t="s">
        <v>150</v>
      </c>
      <c r="H95" s="38" t="s">
        <v>151</v>
      </c>
    </row>
    <row r="96" ht="15.75" customHeight="1">
      <c r="G96" s="41" t="s">
        <v>152</v>
      </c>
      <c r="H96" s="42" t="s">
        <v>153</v>
      </c>
    </row>
    <row r="97" ht="15.75" customHeight="1">
      <c r="H97" s="43" t="s">
        <v>154</v>
      </c>
      <c r="I97" s="42" t="s">
        <v>155</v>
      </c>
    </row>
    <row r="98" ht="15.75" customHeight="1">
      <c r="H98" s="41" t="s">
        <v>156</v>
      </c>
      <c r="I98" s="44" t="s">
        <v>157</v>
      </c>
    </row>
    <row r="99" ht="15.75" customHeight="1">
      <c r="F99" s="39" t="s">
        <v>23</v>
      </c>
      <c r="I99" s="43" t="s">
        <v>158</v>
      </c>
      <c r="J99" s="37" t="s">
        <v>159</v>
      </c>
    </row>
    <row r="100" ht="15.75" customHeight="1">
      <c r="J100" s="45" t="s">
        <v>160</v>
      </c>
      <c r="K100" s="33" t="s">
        <v>161</v>
      </c>
    </row>
    <row r="101" ht="15.75" customHeight="1">
      <c r="J101" s="45" t="s">
        <v>162</v>
      </c>
      <c r="K101" s="33" t="s">
        <v>163</v>
      </c>
    </row>
    <row r="102" ht="15.75" customHeight="1">
      <c r="I102" s="45" t="s">
        <v>164</v>
      </c>
      <c r="J102" s="42" t="s">
        <v>165</v>
      </c>
      <c r="K102" s="33"/>
    </row>
    <row r="103" ht="15.75" customHeight="1">
      <c r="H103" s="29" t="s">
        <v>166</v>
      </c>
      <c r="I103" s="33" t="s">
        <v>167</v>
      </c>
    </row>
    <row r="104" ht="15.75" customHeight="1">
      <c r="F104" s="26" t="s">
        <v>168</v>
      </c>
      <c r="G104" s="32" t="s">
        <v>169</v>
      </c>
    </row>
    <row r="105" ht="15.75" customHeight="1">
      <c r="G105" s="26" t="s">
        <v>170</v>
      </c>
      <c r="H105" s="37" t="s">
        <v>171</v>
      </c>
    </row>
    <row r="106" ht="15.75" customHeight="1">
      <c r="H106" s="29" t="s">
        <v>172</v>
      </c>
      <c r="I106" s="33" t="s">
        <v>173</v>
      </c>
    </row>
    <row r="107" ht="15.75" customHeight="1">
      <c r="H107" s="29" t="s">
        <v>174</v>
      </c>
      <c r="I107" s="33" t="s">
        <v>175</v>
      </c>
    </row>
    <row r="108" ht="15.75" customHeight="1">
      <c r="G108" s="26" t="s">
        <v>176</v>
      </c>
      <c r="H108" s="37" t="s">
        <v>177</v>
      </c>
    </row>
    <row r="109" ht="15.75" customHeight="1">
      <c r="H109" s="26" t="s">
        <v>178</v>
      </c>
      <c r="I109" s="32" t="s">
        <v>179</v>
      </c>
    </row>
    <row r="110" ht="15.75" customHeight="1">
      <c r="I110" s="29" t="s">
        <v>180</v>
      </c>
      <c r="J110" s="30" t="s">
        <v>181</v>
      </c>
    </row>
    <row r="111" ht="15.75" customHeight="1">
      <c r="J111" s="29" t="s">
        <v>182</v>
      </c>
      <c r="K111" s="33" t="s">
        <v>183</v>
      </c>
    </row>
    <row r="112" ht="15.75" customHeight="1">
      <c r="I112" s="29" t="s">
        <v>184</v>
      </c>
      <c r="J112" s="33" t="s">
        <v>185</v>
      </c>
    </row>
    <row r="113" ht="15.75" customHeight="1">
      <c r="J113" s="29" t="s">
        <v>186</v>
      </c>
      <c r="K113" s="33" t="s">
        <v>187</v>
      </c>
    </row>
    <row r="114" ht="15.75" customHeight="1">
      <c r="H114" s="29" t="s">
        <v>188</v>
      </c>
      <c r="I114" s="33" t="s">
        <v>189</v>
      </c>
    </row>
    <row r="115" ht="15.75" customHeight="1">
      <c r="E115" s="29" t="s">
        <v>190</v>
      </c>
      <c r="F115" s="33" t="s">
        <v>191</v>
      </c>
      <c r="J115" s="34"/>
      <c r="K115" s="34"/>
      <c r="L115" s="34"/>
      <c r="M115" s="34"/>
      <c r="N115" s="34"/>
    </row>
    <row r="116" ht="15.75" customHeight="1">
      <c r="D116" s="43" t="s">
        <v>192</v>
      </c>
      <c r="E116" s="34" t="s">
        <v>193</v>
      </c>
    </row>
    <row r="117" ht="15.75" customHeight="1">
      <c r="E117" s="45" t="s">
        <v>194</v>
      </c>
      <c r="F117" s="33" t="s">
        <v>195</v>
      </c>
    </row>
    <row r="118" ht="15.75" customHeight="1">
      <c r="E118" s="45" t="s">
        <v>196</v>
      </c>
      <c r="F118" s="33" t="s">
        <v>197</v>
      </c>
    </row>
    <row r="119" ht="15.75" customHeight="1">
      <c r="D119" s="43" t="s">
        <v>198</v>
      </c>
      <c r="E119" s="34" t="s">
        <v>199</v>
      </c>
    </row>
    <row r="120" ht="15.75" customHeight="1">
      <c r="E120" s="43" t="s">
        <v>200</v>
      </c>
      <c r="F120" s="37" t="s">
        <v>201</v>
      </c>
    </row>
    <row r="121" ht="15.75" customHeight="1">
      <c r="E121" s="45" t="s">
        <v>202</v>
      </c>
      <c r="F121" s="33" t="s">
        <v>203</v>
      </c>
    </row>
    <row r="122" ht="15.75" customHeight="1">
      <c r="F122" s="43" t="s">
        <v>204</v>
      </c>
      <c r="G122" s="31" t="s">
        <v>205</v>
      </c>
    </row>
    <row r="123" ht="15.75" customHeight="1">
      <c r="G123" s="45" t="s">
        <v>206</v>
      </c>
      <c r="H123" s="36" t="s">
        <v>207</v>
      </c>
    </row>
    <row r="124" ht="15.75" customHeight="1">
      <c r="G124" s="45" t="s">
        <v>208</v>
      </c>
      <c r="H124" s="33" t="s">
        <v>209</v>
      </c>
    </row>
    <row r="125" ht="15.75" customHeight="1">
      <c r="H125" s="43" t="s">
        <v>210</v>
      </c>
      <c r="I125" s="31" t="s">
        <v>211</v>
      </c>
    </row>
    <row r="126" ht="15.75" customHeight="1">
      <c r="G126" s="43" t="s">
        <v>212</v>
      </c>
      <c r="H126" s="34" t="s">
        <v>213</v>
      </c>
    </row>
    <row r="127" ht="15.75" customHeight="1">
      <c r="H127" s="45" t="s">
        <v>214</v>
      </c>
      <c r="I127" s="33" t="s">
        <v>215</v>
      </c>
    </row>
    <row r="128" ht="15.75" customHeight="1">
      <c r="H128" s="43" t="s">
        <v>216</v>
      </c>
      <c r="I128" s="28" t="s">
        <v>217</v>
      </c>
    </row>
    <row r="129" ht="15.75" customHeight="1">
      <c r="I129" s="45" t="s">
        <v>218</v>
      </c>
      <c r="J129" s="33" t="s">
        <v>219</v>
      </c>
    </row>
    <row r="130" ht="15.75" customHeight="1">
      <c r="I130" s="45" t="s">
        <v>220</v>
      </c>
      <c r="J130" s="33" t="s">
        <v>221</v>
      </c>
    </row>
    <row r="131" ht="15.75" customHeight="1">
      <c r="G131" s="45" t="s">
        <v>222</v>
      </c>
      <c r="H131" s="33" t="s">
        <v>223</v>
      </c>
    </row>
    <row r="132" ht="15.75" customHeight="1">
      <c r="H132" s="43" t="s">
        <v>224</v>
      </c>
      <c r="I132" s="34" t="s">
        <v>225</v>
      </c>
    </row>
    <row r="133" ht="15.75" customHeight="1">
      <c r="I133" s="45" t="s">
        <v>226</v>
      </c>
      <c r="J133" s="33" t="s">
        <v>227</v>
      </c>
    </row>
    <row r="134" ht="15.75" customHeight="1">
      <c r="F134" s="45" t="s">
        <v>228</v>
      </c>
      <c r="G134" s="46" t="s">
        <v>229</v>
      </c>
    </row>
    <row r="135" ht="15.75" customHeight="1">
      <c r="F135" s="45" t="s">
        <v>230</v>
      </c>
      <c r="G135" s="36" t="s">
        <v>231</v>
      </c>
    </row>
    <row r="136" ht="15.75" customHeight="1">
      <c r="E136" s="43" t="s">
        <v>232</v>
      </c>
      <c r="F136" s="34" t="s">
        <v>233</v>
      </c>
    </row>
    <row r="137" ht="15.75" customHeight="1">
      <c r="F137" s="43" t="s">
        <v>234</v>
      </c>
      <c r="G137" s="31" t="s">
        <v>235</v>
      </c>
    </row>
    <row r="138" ht="15.75" customHeight="1">
      <c r="F138" s="45" t="s">
        <v>236</v>
      </c>
      <c r="G138" s="33" t="s">
        <v>237</v>
      </c>
    </row>
    <row r="139" ht="15.75" customHeight="1">
      <c r="F139" s="45" t="s">
        <v>238</v>
      </c>
      <c r="G139" s="33" t="s">
        <v>239</v>
      </c>
    </row>
    <row r="140" ht="15.75" customHeight="1">
      <c r="F140" s="45" t="s">
        <v>240</v>
      </c>
      <c r="G140" s="33" t="s">
        <v>241</v>
      </c>
    </row>
    <row r="141" ht="15.75" customHeight="1">
      <c r="F141" s="45" t="s">
        <v>242</v>
      </c>
      <c r="G141" s="33" t="s">
        <v>243</v>
      </c>
    </row>
    <row r="142" ht="15.75" customHeight="1">
      <c r="E142" s="45" t="s">
        <v>244</v>
      </c>
      <c r="F142" s="33" t="s">
        <v>245</v>
      </c>
    </row>
    <row r="143" ht="15.75" customHeight="1">
      <c r="D143" s="45" t="s">
        <v>246</v>
      </c>
      <c r="E143" s="33" t="s">
        <v>247</v>
      </c>
    </row>
    <row r="144" ht="15.75" customHeight="1">
      <c r="B144" s="26" t="s">
        <v>248</v>
      </c>
      <c r="C144" s="34" t="s">
        <v>249</v>
      </c>
    </row>
    <row r="145" ht="15.75" customHeight="1">
      <c r="B145" s="29" t="s">
        <v>250</v>
      </c>
      <c r="C145" s="33" t="s">
        <v>251</v>
      </c>
    </row>
    <row r="146" ht="15.75" customHeight="1">
      <c r="C146" s="43" t="s">
        <v>252</v>
      </c>
      <c r="D146" s="37" t="s">
        <v>253</v>
      </c>
    </row>
    <row r="147" ht="15.75" customHeight="1">
      <c r="D147" s="43" t="s">
        <v>254</v>
      </c>
      <c r="E147" s="47" t="s">
        <v>255</v>
      </c>
      <c r="F147" s="28"/>
      <c r="G147" s="39" t="s">
        <v>256</v>
      </c>
    </row>
    <row r="148" ht="15.75" customHeight="1">
      <c r="E148" s="43" t="s">
        <v>257</v>
      </c>
      <c r="F148" s="28" t="s">
        <v>258</v>
      </c>
    </row>
    <row r="149" ht="15.75" customHeight="1">
      <c r="F149" s="43" t="s">
        <v>259</v>
      </c>
      <c r="G149" s="28" t="s">
        <v>260</v>
      </c>
    </row>
    <row r="150" ht="15.75" customHeight="1">
      <c r="G150" s="43" t="s">
        <v>261</v>
      </c>
      <c r="H150" s="47" t="s">
        <v>262</v>
      </c>
    </row>
    <row r="151" ht="15.75" customHeight="1">
      <c r="H151" s="43" t="s">
        <v>263</v>
      </c>
      <c r="I151" s="34" t="s">
        <v>264</v>
      </c>
    </row>
    <row r="152" ht="15.75" customHeight="1">
      <c r="I152" s="43" t="s">
        <v>265</v>
      </c>
      <c r="J152" s="28" t="s">
        <v>266</v>
      </c>
    </row>
    <row r="153" ht="15.75" customHeight="1">
      <c r="J153" s="43" t="s">
        <v>267</v>
      </c>
      <c r="K153" s="28" t="s">
        <v>268</v>
      </c>
    </row>
    <row r="154" ht="15.75" customHeight="1">
      <c r="K154" s="43" t="s">
        <v>269</v>
      </c>
      <c r="L154" s="28" t="s">
        <v>270</v>
      </c>
    </row>
    <row r="155" ht="15.75" customHeight="1">
      <c r="L155" s="45" t="s">
        <v>271</v>
      </c>
      <c r="M155" s="33" t="s">
        <v>272</v>
      </c>
    </row>
    <row r="156" ht="15.75" customHeight="1">
      <c r="L156" s="45" t="s">
        <v>273</v>
      </c>
      <c r="M156" s="33" t="s">
        <v>274</v>
      </c>
    </row>
    <row r="157" ht="15.75" customHeight="1">
      <c r="K157" s="43" t="s">
        <v>275</v>
      </c>
      <c r="L157" s="28" t="s">
        <v>276</v>
      </c>
    </row>
    <row r="158" ht="15.75" customHeight="1">
      <c r="L158" s="45" t="s">
        <v>277</v>
      </c>
      <c r="M158" s="33" t="s">
        <v>278</v>
      </c>
    </row>
    <row r="159" ht="15.75" customHeight="1">
      <c r="L159" s="45" t="s">
        <v>279</v>
      </c>
      <c r="M159" s="33" t="s">
        <v>280</v>
      </c>
    </row>
    <row r="160" ht="15.75" customHeight="1">
      <c r="J160" s="45" t="s">
        <v>281</v>
      </c>
      <c r="K160" s="33" t="s">
        <v>282</v>
      </c>
    </row>
    <row r="161" ht="15.75" customHeight="1">
      <c r="I161" s="43" t="s">
        <v>283</v>
      </c>
      <c r="J161" s="28" t="s">
        <v>284</v>
      </c>
    </row>
    <row r="162" ht="15.75" customHeight="1">
      <c r="J162" s="45" t="s">
        <v>285</v>
      </c>
      <c r="K162" s="33" t="s">
        <v>286</v>
      </c>
    </row>
    <row r="163" ht="15.75" customHeight="1">
      <c r="J163" s="45" t="s">
        <v>287</v>
      </c>
      <c r="K163" s="33" t="s">
        <v>288</v>
      </c>
    </row>
    <row r="164" ht="15.75" customHeight="1">
      <c r="H164" s="43" t="s">
        <v>289</v>
      </c>
      <c r="I164" s="32" t="s">
        <v>290</v>
      </c>
    </row>
    <row r="165" ht="15.75" customHeight="1">
      <c r="I165" s="43" t="s">
        <v>291</v>
      </c>
      <c r="J165" s="37" t="s">
        <v>292</v>
      </c>
    </row>
    <row r="166" ht="15.75" customHeight="1">
      <c r="J166" s="48" t="s">
        <v>293</v>
      </c>
      <c r="K166" t="s">
        <v>294</v>
      </c>
    </row>
    <row r="167" ht="15.75" customHeight="1">
      <c r="K167" s="45" t="s">
        <v>295</v>
      </c>
      <c r="L167" s="33" t="s">
        <v>296</v>
      </c>
    </row>
    <row r="168" ht="15.75" customHeight="1">
      <c r="K168" s="48" t="s">
        <v>297</v>
      </c>
      <c r="L168" s="32" t="s">
        <v>298</v>
      </c>
    </row>
    <row r="169" ht="15.75" customHeight="1">
      <c r="L169" s="49" t="s">
        <v>299</v>
      </c>
      <c r="M169" s="34" t="s">
        <v>300</v>
      </c>
    </row>
    <row r="170" ht="15.75" customHeight="1">
      <c r="M170" s="45" t="s">
        <v>301</v>
      </c>
      <c r="N170" s="42" t="s">
        <v>302</v>
      </c>
    </row>
    <row r="171" ht="15.75" customHeight="1">
      <c r="M171" s="45" t="s">
        <v>303</v>
      </c>
      <c r="N171" s="33" t="s">
        <v>304</v>
      </c>
    </row>
    <row r="172" ht="15.75" customHeight="1">
      <c r="M172" s="45" t="s">
        <v>305</v>
      </c>
      <c r="N172" s="33" t="s">
        <v>306</v>
      </c>
    </row>
    <row r="173" ht="15.75" customHeight="1">
      <c r="K173" s="45" t="s">
        <v>307</v>
      </c>
      <c r="L173" s="42" t="s">
        <v>308</v>
      </c>
      <c r="N173" s="33"/>
    </row>
    <row r="174" ht="15.75" customHeight="1">
      <c r="J174" s="43" t="s">
        <v>309</v>
      </c>
      <c r="K174" s="34" t="s">
        <v>310</v>
      </c>
    </row>
    <row r="175" ht="15.75" customHeight="1">
      <c r="K175" s="45" t="s">
        <v>311</v>
      </c>
      <c r="L175" s="33" t="s">
        <v>312</v>
      </c>
    </row>
    <row r="176" ht="15.75" customHeight="1">
      <c r="K176" s="45" t="s">
        <v>313</v>
      </c>
      <c r="L176" s="33" t="s">
        <v>314</v>
      </c>
    </row>
    <row r="177" ht="15.75" customHeight="1">
      <c r="I177" s="45" t="s">
        <v>315</v>
      </c>
      <c r="J177" s="33" t="s">
        <v>316</v>
      </c>
    </row>
    <row r="178" ht="15.75" customHeight="1">
      <c r="G178" s="43" t="s">
        <v>317</v>
      </c>
      <c r="H178" s="37" t="s">
        <v>318</v>
      </c>
    </row>
    <row r="179" ht="15.75" customHeight="1">
      <c r="H179" s="43" t="s">
        <v>319</v>
      </c>
      <c r="I179" s="34" t="s">
        <v>320</v>
      </c>
    </row>
    <row r="180" ht="15.75" customHeight="1">
      <c r="H180" s="45" t="s">
        <v>321</v>
      </c>
      <c r="I180" s="30" t="s">
        <v>322</v>
      </c>
    </row>
    <row r="181" ht="15.75" customHeight="1">
      <c r="I181" s="45" t="s">
        <v>323</v>
      </c>
      <c r="J181" s="33" t="s">
        <v>324</v>
      </c>
    </row>
    <row r="182" ht="15.75" customHeight="1">
      <c r="J182" s="43" t="s">
        <v>325</v>
      </c>
      <c r="K182" s="32" t="s">
        <v>326</v>
      </c>
    </row>
    <row r="183" ht="15.75" customHeight="1">
      <c r="K183" s="43" t="s">
        <v>327</v>
      </c>
      <c r="L183" s="28" t="s">
        <v>328</v>
      </c>
    </row>
    <row r="184" ht="15.75" customHeight="1">
      <c r="L184" s="43" t="s">
        <v>329</v>
      </c>
      <c r="M184" s="32" t="s">
        <v>330</v>
      </c>
    </row>
    <row r="185" ht="15.75" customHeight="1">
      <c r="L185" s="45" t="s">
        <v>331</v>
      </c>
      <c r="M185" s="33" t="s">
        <v>332</v>
      </c>
    </row>
    <row r="186" ht="15.75" customHeight="1">
      <c r="L186" s="45" t="s">
        <v>333</v>
      </c>
      <c r="M186" s="33" t="s">
        <v>334</v>
      </c>
    </row>
    <row r="187" ht="15.75" customHeight="1">
      <c r="K187" s="45" t="s">
        <v>335</v>
      </c>
      <c r="L187" s="33" t="s">
        <v>336</v>
      </c>
    </row>
    <row r="188" ht="15.75" customHeight="1">
      <c r="J188" s="43" t="s">
        <v>337</v>
      </c>
      <c r="K188" s="28" t="s">
        <v>338</v>
      </c>
    </row>
    <row r="189" ht="15.75" customHeight="1">
      <c r="K189" s="43" t="s">
        <v>339</v>
      </c>
      <c r="L189" s="28" t="s">
        <v>340</v>
      </c>
    </row>
    <row r="190" ht="15.75" customHeight="1">
      <c r="L190" s="45" t="s">
        <v>341</v>
      </c>
      <c r="M190" s="33" t="s">
        <v>332</v>
      </c>
    </row>
    <row r="191" ht="15.75" customHeight="1">
      <c r="L191" s="45" t="s">
        <v>342</v>
      </c>
      <c r="M191" s="33" t="s">
        <v>334</v>
      </c>
    </row>
    <row r="192" ht="15.75" customHeight="1">
      <c r="K192" s="43" t="s">
        <v>343</v>
      </c>
      <c r="L192" s="28" t="s">
        <v>344</v>
      </c>
    </row>
    <row r="193" ht="15.75" customHeight="1">
      <c r="L193" s="45" t="s">
        <v>345</v>
      </c>
      <c r="M193" s="33" t="s">
        <v>346</v>
      </c>
    </row>
    <row r="194" ht="15.75" customHeight="1">
      <c r="L194" s="43" t="s">
        <v>347</v>
      </c>
      <c r="M194" s="28" t="s">
        <v>348</v>
      </c>
    </row>
    <row r="195" ht="15.75" customHeight="1">
      <c r="M195" s="45" t="s">
        <v>349</v>
      </c>
      <c r="N195" s="33" t="s">
        <v>350</v>
      </c>
    </row>
    <row r="196" ht="15.75" customHeight="1">
      <c r="M196" s="45" t="s">
        <v>351</v>
      </c>
      <c r="N196" s="33" t="s">
        <v>352</v>
      </c>
    </row>
    <row r="197" ht="15.75" customHeight="1">
      <c r="H197" s="39" t="s">
        <v>23</v>
      </c>
      <c r="I197" s="43" t="s">
        <v>353</v>
      </c>
      <c r="J197" s="28" t="s">
        <v>354</v>
      </c>
    </row>
    <row r="198" ht="15.75" customHeight="1">
      <c r="J198" s="43" t="s">
        <v>355</v>
      </c>
      <c r="K198" s="50" t="s">
        <v>356</v>
      </c>
    </row>
    <row r="199" ht="15.75" customHeight="1">
      <c r="K199" s="45" t="s">
        <v>357</v>
      </c>
      <c r="L199" s="33" t="s">
        <v>358</v>
      </c>
    </row>
    <row r="200" ht="15.75" customHeight="1">
      <c r="K200" s="45" t="s">
        <v>359</v>
      </c>
      <c r="L200" s="36" t="s">
        <v>360</v>
      </c>
    </row>
    <row r="201" ht="15.75" customHeight="1">
      <c r="J201" s="43" t="s">
        <v>361</v>
      </c>
      <c r="K201" s="51" t="s">
        <v>362</v>
      </c>
      <c r="L201" s="50"/>
      <c r="M201" s="50"/>
    </row>
    <row r="202" ht="15.75" customHeight="1">
      <c r="K202" s="45" t="s">
        <v>363</v>
      </c>
      <c r="L202" s="42" t="s">
        <v>364</v>
      </c>
      <c r="M202" s="33"/>
      <c r="N202" s="33"/>
    </row>
    <row r="203" ht="15.75" customHeight="1">
      <c r="K203" s="45" t="s">
        <v>365</v>
      </c>
      <c r="L203" s="52" t="s">
        <v>366</v>
      </c>
    </row>
    <row r="204" ht="15.75" customHeight="1">
      <c r="H204" s="43" t="s">
        <v>367</v>
      </c>
      <c r="I204" s="34" t="s">
        <v>368</v>
      </c>
    </row>
    <row r="205" ht="15.75" customHeight="1">
      <c r="I205" s="43" t="s">
        <v>369</v>
      </c>
      <c r="J205" s="28" t="s">
        <v>370</v>
      </c>
    </row>
    <row r="206" ht="15.75" customHeight="1">
      <c r="J206" s="45" t="s">
        <v>371</v>
      </c>
      <c r="K206" s="33" t="s">
        <v>372</v>
      </c>
    </row>
    <row r="207" ht="15.75" customHeight="1">
      <c r="J207" s="43" t="s">
        <v>373</v>
      </c>
      <c r="K207" s="34" t="s">
        <v>374</v>
      </c>
    </row>
    <row r="208" ht="15.75" customHeight="1">
      <c r="K208" s="45" t="s">
        <v>375</v>
      </c>
      <c r="L208" s="33" t="s">
        <v>376</v>
      </c>
    </row>
    <row r="209" ht="15.75" customHeight="1">
      <c r="K209" s="45" t="s">
        <v>377</v>
      </c>
      <c r="L209" s="33" t="s">
        <v>378</v>
      </c>
    </row>
    <row r="210" ht="15.75" customHeight="1">
      <c r="I210" s="45" t="s">
        <v>379</v>
      </c>
      <c r="J210" s="42" t="s">
        <v>380</v>
      </c>
    </row>
    <row r="211" ht="15.75" customHeight="1">
      <c r="H211" s="45" t="s">
        <v>381</v>
      </c>
      <c r="I211" s="33" t="s">
        <v>382</v>
      </c>
    </row>
    <row r="212" ht="15.75" customHeight="1">
      <c r="I212" s="45" t="s">
        <v>383</v>
      </c>
      <c r="J212" s="33" t="s">
        <v>384</v>
      </c>
    </row>
    <row r="213" ht="15.75" customHeight="1">
      <c r="J213" s="45" t="s">
        <v>385</v>
      </c>
      <c r="K213" s="33" t="s">
        <v>386</v>
      </c>
    </row>
    <row r="214" ht="15.75" customHeight="1">
      <c r="G214" s="43" t="s">
        <v>387</v>
      </c>
      <c r="H214" s="53" t="s">
        <v>388</v>
      </c>
    </row>
    <row r="215" ht="15.75" customHeight="1">
      <c r="H215" s="43" t="s">
        <v>389</v>
      </c>
      <c r="I215" s="54" t="s">
        <v>390</v>
      </c>
    </row>
    <row r="216" ht="15.75" customHeight="1">
      <c r="H216" s="45" t="s">
        <v>391</v>
      </c>
      <c r="I216" s="42" t="s">
        <v>392</v>
      </c>
      <c r="J216" s="33"/>
    </row>
    <row r="217" ht="15.75" customHeight="1">
      <c r="I217" s="45" t="s">
        <v>393</v>
      </c>
      <c r="J217" s="33" t="s">
        <v>394</v>
      </c>
    </row>
    <row r="218" ht="15.75" customHeight="1">
      <c r="J218" s="45" t="s">
        <v>395</v>
      </c>
      <c r="K218" s="36" t="s">
        <v>396</v>
      </c>
    </row>
    <row r="219" ht="15.75" customHeight="1">
      <c r="K219" s="45" t="s">
        <v>397</v>
      </c>
      <c r="L219" s="33" t="s">
        <v>398</v>
      </c>
    </row>
    <row r="220" ht="15.75" customHeight="1">
      <c r="J220" s="45" t="s">
        <v>399</v>
      </c>
      <c r="K220" s="33" t="s">
        <v>400</v>
      </c>
    </row>
    <row r="221" ht="15.75" customHeight="1">
      <c r="K221" s="45" t="s">
        <v>401</v>
      </c>
      <c r="L221" s="33" t="s">
        <v>402</v>
      </c>
    </row>
    <row r="222" ht="15.75" customHeight="1">
      <c r="J222" s="45" t="s">
        <v>403</v>
      </c>
      <c r="K222" s="33" t="s">
        <v>404</v>
      </c>
    </row>
    <row r="223" ht="15.75" customHeight="1">
      <c r="I223" s="45" t="s">
        <v>405</v>
      </c>
      <c r="J223" s="33" t="s">
        <v>406</v>
      </c>
    </row>
    <row r="224" ht="15.75" customHeight="1">
      <c r="I224" s="43" t="s">
        <v>407</v>
      </c>
      <c r="J224" s="32" t="s">
        <v>408</v>
      </c>
    </row>
    <row r="225" ht="15.75" customHeight="1">
      <c r="J225" s="45" t="s">
        <v>409</v>
      </c>
      <c r="K225" s="33" t="s">
        <v>410</v>
      </c>
    </row>
    <row r="226" ht="15.75" customHeight="1">
      <c r="J226" s="43" t="s">
        <v>411</v>
      </c>
      <c r="K226" s="32" t="s">
        <v>412</v>
      </c>
    </row>
    <row r="227" ht="15.75" customHeight="1">
      <c r="J227" s="45" t="s">
        <v>413</v>
      </c>
      <c r="K227" s="33" t="s">
        <v>414</v>
      </c>
    </row>
    <row r="228" ht="15.75" customHeight="1">
      <c r="I228" s="45" t="s">
        <v>415</v>
      </c>
      <c r="J228" s="33" t="s">
        <v>416</v>
      </c>
    </row>
    <row r="229" ht="15.75" customHeight="1">
      <c r="I229" s="45" t="s">
        <v>417</v>
      </c>
      <c r="J229" s="33" t="s">
        <v>418</v>
      </c>
    </row>
    <row r="230" ht="15.75" customHeight="1">
      <c r="J230" s="45" t="s">
        <v>419</v>
      </c>
      <c r="K230" s="33" t="s">
        <v>420</v>
      </c>
    </row>
    <row r="231" ht="15.75" customHeight="1">
      <c r="K231" s="45" t="s">
        <v>421</v>
      </c>
      <c r="L231" s="33" t="s">
        <v>422</v>
      </c>
    </row>
    <row r="232" ht="15.75" customHeight="1">
      <c r="K232" s="45" t="s">
        <v>423</v>
      </c>
      <c r="L232" s="33" t="s">
        <v>424</v>
      </c>
    </row>
    <row r="233" ht="15.75" customHeight="1">
      <c r="J233" s="45" t="s">
        <v>425</v>
      </c>
      <c r="K233" s="33" t="s">
        <v>426</v>
      </c>
    </row>
    <row r="234" ht="15.75" customHeight="1">
      <c r="J234" s="45" t="s">
        <v>427</v>
      </c>
      <c r="K234" s="33" t="s">
        <v>428</v>
      </c>
    </row>
    <row r="235" ht="15.75" customHeight="1">
      <c r="I235" s="45" t="s">
        <v>429</v>
      </c>
      <c r="J235" s="33" t="s">
        <v>430</v>
      </c>
    </row>
    <row r="236" ht="15.75" customHeight="1">
      <c r="J236" s="45" t="s">
        <v>431</v>
      </c>
      <c r="K236" s="42" t="s">
        <v>432</v>
      </c>
    </row>
    <row r="237" ht="15.75" customHeight="1">
      <c r="J237" s="45" t="s">
        <v>433</v>
      </c>
      <c r="K237" s="33" t="s">
        <v>434</v>
      </c>
    </row>
    <row r="238" ht="15.75" customHeight="1">
      <c r="I238" s="45" t="s">
        <v>435</v>
      </c>
      <c r="J238" s="42" t="s">
        <v>436</v>
      </c>
      <c r="K238" s="33"/>
    </row>
    <row r="239" ht="15.75" customHeight="1">
      <c r="J239" s="45" t="s">
        <v>437</v>
      </c>
      <c r="K239" s="33" t="s">
        <v>438</v>
      </c>
    </row>
    <row r="240" ht="15.75" customHeight="1">
      <c r="I240" s="45" t="s">
        <v>439</v>
      </c>
      <c r="J240" s="42" t="s">
        <v>440</v>
      </c>
      <c r="K240" s="33"/>
    </row>
    <row r="241" ht="15.75" customHeight="1">
      <c r="I241" s="45" t="s">
        <v>441</v>
      </c>
      <c r="J241" s="42" t="s">
        <v>442</v>
      </c>
    </row>
    <row r="242" ht="15.75" customHeight="1">
      <c r="H242" s="45" t="s">
        <v>443</v>
      </c>
      <c r="I242" s="33" t="s">
        <v>444</v>
      </c>
    </row>
    <row r="243" ht="15.75" customHeight="1">
      <c r="I243" s="45" t="s">
        <v>445</v>
      </c>
      <c r="J243" s="33" t="s">
        <v>446</v>
      </c>
    </row>
    <row r="244" ht="15.75" customHeight="1">
      <c r="J244" s="45" t="s">
        <v>447</v>
      </c>
      <c r="K244" s="33" t="s">
        <v>448</v>
      </c>
    </row>
    <row r="245" ht="15.75" customHeight="1">
      <c r="H245" s="45" t="s">
        <v>449</v>
      </c>
      <c r="I245" s="33" t="s">
        <v>450</v>
      </c>
    </row>
    <row r="246" ht="15.75" customHeight="1">
      <c r="H246" s="45" t="s">
        <v>451</v>
      </c>
      <c r="I246" s="33" t="s">
        <v>452</v>
      </c>
    </row>
    <row r="247" ht="15.75" customHeight="1">
      <c r="H247" s="45" t="s">
        <v>453</v>
      </c>
      <c r="I247" s="42" t="s">
        <v>454</v>
      </c>
    </row>
    <row r="248" ht="15.75" customHeight="1">
      <c r="G248" s="43" t="s">
        <v>455</v>
      </c>
      <c r="H248" s="34" t="s">
        <v>456</v>
      </c>
    </row>
    <row r="249" ht="15.75" customHeight="1">
      <c r="H249" s="43" t="s">
        <v>457</v>
      </c>
      <c r="I249" s="55" t="s">
        <v>458</v>
      </c>
    </row>
    <row r="250" ht="15.75" customHeight="1">
      <c r="I250" s="45" t="s">
        <v>459</v>
      </c>
      <c r="J250" s="33" t="s">
        <v>460</v>
      </c>
    </row>
    <row r="251" ht="15.75" customHeight="1">
      <c r="I251" s="45" t="s">
        <v>461</v>
      </c>
      <c r="J251" s="33" t="s">
        <v>462</v>
      </c>
    </row>
    <row r="252" ht="15.75" customHeight="1">
      <c r="H252" s="45" t="s">
        <v>463</v>
      </c>
      <c r="I252" s="33" t="s">
        <v>464</v>
      </c>
    </row>
    <row r="253" ht="15.75" customHeight="1">
      <c r="G253" s="45" t="s">
        <v>465</v>
      </c>
      <c r="H253" s="42" t="s">
        <v>466</v>
      </c>
    </row>
    <row r="254" ht="15.75" customHeight="1">
      <c r="E254" s="45" t="s">
        <v>467</v>
      </c>
      <c r="F254" s="33" t="s">
        <v>468</v>
      </c>
    </row>
    <row r="255" ht="15.75" customHeight="1">
      <c r="D255" s="45" t="s">
        <v>469</v>
      </c>
      <c r="E255" s="42" t="s">
        <v>470</v>
      </c>
    </row>
    <row r="256" ht="15.75" customHeight="1">
      <c r="C256" s="43" t="s">
        <v>471</v>
      </c>
      <c r="D256" s="28" t="s">
        <v>472</v>
      </c>
    </row>
    <row r="257" ht="15.75" customHeight="1">
      <c r="C257" s="45" t="s">
        <v>473</v>
      </c>
      <c r="D257" s="33" t="s">
        <v>474</v>
      </c>
      <c r="E257" s="33"/>
    </row>
    <row r="258" ht="15.75" customHeight="1">
      <c r="D258" s="43" t="s">
        <v>475</v>
      </c>
      <c r="E258" s="37" t="s">
        <v>476</v>
      </c>
    </row>
    <row r="259" ht="15.75" customHeight="1">
      <c r="D259" s="45" t="s">
        <v>477</v>
      </c>
      <c r="E259" s="30" t="s">
        <v>478</v>
      </c>
    </row>
    <row r="260" ht="15.75" customHeight="1">
      <c r="E260" s="43" t="s">
        <v>479</v>
      </c>
      <c r="F260" s="28" t="s">
        <v>480</v>
      </c>
    </row>
    <row r="261" ht="15.75" customHeight="1">
      <c r="E261" s="45" t="s">
        <v>481</v>
      </c>
      <c r="F261" s="42" t="s">
        <v>482</v>
      </c>
    </row>
    <row r="262" ht="15.75" customHeight="1">
      <c r="F262" s="43" t="s">
        <v>483</v>
      </c>
      <c r="G262" s="47" t="s">
        <v>484</v>
      </c>
    </row>
    <row r="263" ht="15.75" customHeight="1">
      <c r="F263" s="45" t="s">
        <v>485</v>
      </c>
      <c r="G263" s="33" t="s">
        <v>486</v>
      </c>
    </row>
    <row r="264" ht="15.75" customHeight="1">
      <c r="G264" s="43" t="s">
        <v>487</v>
      </c>
      <c r="H264" s="47" t="s">
        <v>488</v>
      </c>
    </row>
    <row r="265" ht="15.75" customHeight="1">
      <c r="H265" s="43" t="s">
        <v>489</v>
      </c>
      <c r="I265" s="28" t="s">
        <v>490</v>
      </c>
    </row>
    <row r="266" ht="15.75" customHeight="1">
      <c r="I266" s="43" t="s">
        <v>491</v>
      </c>
      <c r="J266" s="34" t="s">
        <v>492</v>
      </c>
    </row>
    <row r="267" ht="15.75" customHeight="1">
      <c r="J267" s="43" t="s">
        <v>493</v>
      </c>
      <c r="K267" s="32" t="s">
        <v>494</v>
      </c>
    </row>
    <row r="268" ht="15.75" customHeight="1">
      <c r="K268" s="43" t="s">
        <v>495</v>
      </c>
      <c r="L268" s="28" t="s">
        <v>496</v>
      </c>
    </row>
    <row r="269" ht="15.75" customHeight="1">
      <c r="L269" s="45" t="s">
        <v>497</v>
      </c>
      <c r="M269" s="33" t="s">
        <v>498</v>
      </c>
    </row>
    <row r="270" ht="15.75" customHeight="1">
      <c r="L270" s="45" t="s">
        <v>499</v>
      </c>
      <c r="M270" s="33" t="s">
        <v>500</v>
      </c>
    </row>
    <row r="271" ht="15.75" customHeight="1">
      <c r="L271" s="45" t="s">
        <v>501</v>
      </c>
      <c r="M271" s="33" t="s">
        <v>502</v>
      </c>
    </row>
    <row r="272" ht="15.75" customHeight="1">
      <c r="L272" s="45" t="s">
        <v>503</v>
      </c>
      <c r="M272" s="33" t="s">
        <v>504</v>
      </c>
    </row>
    <row r="273" ht="15.75" customHeight="1">
      <c r="L273" s="43" t="s">
        <v>505</v>
      </c>
      <c r="M273" s="32" t="s">
        <v>506</v>
      </c>
      <c r="O273" s="39" t="s">
        <v>23</v>
      </c>
    </row>
    <row r="274" ht="15.75" customHeight="1">
      <c r="M274" s="45" t="s">
        <v>507</v>
      </c>
      <c r="N274" s="33" t="s">
        <v>508</v>
      </c>
    </row>
    <row r="275" ht="15.75" customHeight="1">
      <c r="M275" s="45" t="s">
        <v>509</v>
      </c>
      <c r="N275" s="33" t="s">
        <v>510</v>
      </c>
    </row>
    <row r="276" ht="15.75" customHeight="1">
      <c r="K276" s="45" t="s">
        <v>511</v>
      </c>
      <c r="L276" s="33" t="s">
        <v>512</v>
      </c>
    </row>
    <row r="277" ht="15.75" customHeight="1">
      <c r="K277" s="45" t="s">
        <v>513</v>
      </c>
      <c r="L277" s="33" t="s">
        <v>514</v>
      </c>
    </row>
    <row r="278" ht="15.75" customHeight="1">
      <c r="K278" s="45" t="s">
        <v>515</v>
      </c>
      <c r="L278" s="42" t="s">
        <v>516</v>
      </c>
    </row>
    <row r="279" ht="15.75" customHeight="1">
      <c r="J279" s="45" t="s">
        <v>517</v>
      </c>
      <c r="K279" s="33" t="s">
        <v>518</v>
      </c>
    </row>
    <row r="280" ht="15.75" customHeight="1">
      <c r="I280" s="45" t="s">
        <v>519</v>
      </c>
      <c r="J280" s="33" t="s">
        <v>520</v>
      </c>
    </row>
    <row r="281" ht="15.75" customHeight="1">
      <c r="H281" s="43" t="s">
        <v>521</v>
      </c>
      <c r="I281" s="52" t="s">
        <v>522</v>
      </c>
    </row>
    <row r="282" ht="15.75" customHeight="1">
      <c r="I282" s="45" t="s">
        <v>523</v>
      </c>
      <c r="J282" s="42" t="s">
        <v>524</v>
      </c>
    </row>
    <row r="283" ht="15.75" customHeight="1">
      <c r="I283" s="45" t="s">
        <v>525</v>
      </c>
      <c r="J283" s="42" t="s">
        <v>526</v>
      </c>
    </row>
    <row r="284" ht="15.75" customHeight="1">
      <c r="F284" s="43" t="s">
        <v>527</v>
      </c>
      <c r="G284" s="32" t="s">
        <v>528</v>
      </c>
      <c r="M284" s="39" t="s">
        <v>23</v>
      </c>
    </row>
    <row r="285" ht="15.75" customHeight="1">
      <c r="G285" s="43" t="s">
        <v>529</v>
      </c>
      <c r="H285" s="28" t="s">
        <v>530</v>
      </c>
    </row>
    <row r="286" ht="15.75" customHeight="1">
      <c r="H286" s="43" t="s">
        <v>531</v>
      </c>
      <c r="I286" s="28" t="s">
        <v>532</v>
      </c>
      <c r="J286" s="28"/>
    </row>
    <row r="287" ht="15.75" customHeight="1">
      <c r="I287" s="43" t="s">
        <v>533</v>
      </c>
      <c r="J287" s="28" t="s">
        <v>534</v>
      </c>
    </row>
    <row r="288" ht="15.75" customHeight="1">
      <c r="J288" s="43" t="s">
        <v>535</v>
      </c>
      <c r="K288" s="28" t="s">
        <v>536</v>
      </c>
    </row>
    <row r="289" ht="15.75" customHeight="1">
      <c r="J289" s="45" t="s">
        <v>537</v>
      </c>
      <c r="K289" s="33" t="s">
        <v>538</v>
      </c>
    </row>
    <row r="290" ht="15.75" customHeight="1">
      <c r="I290" s="45" t="s">
        <v>539</v>
      </c>
      <c r="J290" s="33" t="s">
        <v>540</v>
      </c>
    </row>
    <row r="291" ht="15.75" customHeight="1">
      <c r="H291" s="43" t="s">
        <v>541</v>
      </c>
      <c r="I291" s="28" t="s">
        <v>542</v>
      </c>
    </row>
    <row r="292" ht="15.75" customHeight="1">
      <c r="I292" s="45" t="s">
        <v>543</v>
      </c>
      <c r="J292" s="33" t="s">
        <v>544</v>
      </c>
    </row>
    <row r="293" ht="15.75" customHeight="1">
      <c r="I293" s="43" t="s">
        <v>545</v>
      </c>
      <c r="J293" s="56" t="s">
        <v>546</v>
      </c>
    </row>
    <row r="294" ht="15.75" customHeight="1">
      <c r="I294" s="45" t="s">
        <v>547</v>
      </c>
      <c r="J294" s="42" t="s">
        <v>548</v>
      </c>
      <c r="K294" s="33"/>
    </row>
    <row r="295" ht="15.75" customHeight="1">
      <c r="J295" s="45" t="s">
        <v>549</v>
      </c>
      <c r="K295" s="42" t="s">
        <v>550</v>
      </c>
      <c r="L295" s="33"/>
    </row>
    <row r="296" ht="15.75" customHeight="1">
      <c r="K296" s="45" t="s">
        <v>551</v>
      </c>
      <c r="L296" s="33" t="s">
        <v>552</v>
      </c>
    </row>
    <row r="297" ht="15.75" customHeight="1">
      <c r="K297" s="45" t="s">
        <v>553</v>
      </c>
      <c r="L297" s="42" t="s">
        <v>554</v>
      </c>
    </row>
    <row r="298" ht="15.75" customHeight="1">
      <c r="L298" s="45" t="s">
        <v>555</v>
      </c>
      <c r="M298" s="42" t="s">
        <v>556</v>
      </c>
    </row>
    <row r="299" ht="15.75" customHeight="1">
      <c r="J299" s="45" t="s">
        <v>557</v>
      </c>
      <c r="K299" s="33" t="s">
        <v>558</v>
      </c>
    </row>
    <row r="300" ht="15.75" customHeight="1">
      <c r="G300" s="43" t="s">
        <v>559</v>
      </c>
      <c r="H300" s="37" t="s">
        <v>560</v>
      </c>
    </row>
    <row r="301" ht="15.75" customHeight="1">
      <c r="H301" s="45" t="s">
        <v>561</v>
      </c>
      <c r="I301" s="33" t="s">
        <v>562</v>
      </c>
    </row>
    <row r="302" ht="15.75" customHeight="1">
      <c r="H302" s="43" t="s">
        <v>563</v>
      </c>
      <c r="I302" s="34" t="s">
        <v>564</v>
      </c>
    </row>
    <row r="303" ht="15.75" customHeight="1">
      <c r="I303" s="45" t="s">
        <v>565</v>
      </c>
      <c r="J303" s="33" t="s">
        <v>566</v>
      </c>
    </row>
    <row r="304" ht="15.75" customHeight="1">
      <c r="I304" s="45" t="s">
        <v>567</v>
      </c>
      <c r="J304" s="33" t="s">
        <v>568</v>
      </c>
    </row>
    <row r="305" ht="15.75" customHeight="1">
      <c r="E305" s="43" t="s">
        <v>569</v>
      </c>
      <c r="F305" s="37" t="s">
        <v>570</v>
      </c>
    </row>
    <row r="306" ht="15.75" customHeight="1">
      <c r="E306" s="45" t="s">
        <v>571</v>
      </c>
      <c r="F306" s="57" t="s">
        <v>572</v>
      </c>
      <c r="G306" s="34"/>
      <c r="H306" s="34"/>
      <c r="I306" s="34"/>
      <c r="J306" s="34"/>
      <c r="K306" s="34"/>
      <c r="L306" s="34"/>
      <c r="M306" s="34"/>
      <c r="N306" s="34"/>
    </row>
    <row r="307" ht="15.75" customHeight="1">
      <c r="F307" s="43" t="s">
        <v>573</v>
      </c>
      <c r="G307" s="58" t="s">
        <v>574</v>
      </c>
    </row>
    <row r="308" ht="15.75" customHeight="1">
      <c r="F308" s="45" t="s">
        <v>575</v>
      </c>
      <c r="G308" s="42" t="s">
        <v>576</v>
      </c>
      <c r="H308" s="32"/>
    </row>
    <row r="309" ht="15.75" customHeight="1">
      <c r="G309" s="43" t="s">
        <v>577</v>
      </c>
      <c r="H309" s="32" t="s">
        <v>578</v>
      </c>
    </row>
    <row r="310" ht="15.75" customHeight="1">
      <c r="H310" s="43" t="s">
        <v>579</v>
      </c>
      <c r="I310" s="34" t="s">
        <v>580</v>
      </c>
    </row>
    <row r="311" ht="15.75" customHeight="1">
      <c r="H311" s="45" t="s">
        <v>581</v>
      </c>
      <c r="I311" s="36" t="s">
        <v>582</v>
      </c>
    </row>
    <row r="312" ht="15.75" customHeight="1">
      <c r="I312" s="45" t="s">
        <v>583</v>
      </c>
      <c r="J312" s="33" t="s">
        <v>584</v>
      </c>
    </row>
    <row r="313" ht="15.75" customHeight="1">
      <c r="I313" s="45" t="s">
        <v>585</v>
      </c>
      <c r="J313" s="33" t="s">
        <v>586</v>
      </c>
    </row>
    <row r="314" ht="15.75" customHeight="1">
      <c r="G314" s="43" t="s">
        <v>587</v>
      </c>
      <c r="H314" s="32" t="s">
        <v>588</v>
      </c>
    </row>
    <row r="315" ht="15.75" customHeight="1">
      <c r="H315" s="45" t="s">
        <v>589</v>
      </c>
      <c r="I315" s="33" t="s">
        <v>590</v>
      </c>
    </row>
    <row r="316" ht="15.75" customHeight="1">
      <c r="H316" s="43" t="s">
        <v>591</v>
      </c>
      <c r="I316" s="37" t="s">
        <v>592</v>
      </c>
    </row>
    <row r="317" ht="15.75" customHeight="1">
      <c r="I317" s="43" t="s">
        <v>593</v>
      </c>
      <c r="J317" s="58" t="s">
        <v>594</v>
      </c>
      <c r="K317" s="28"/>
    </row>
    <row r="318" ht="15.75" customHeight="1">
      <c r="J318" s="43" t="s">
        <v>595</v>
      </c>
      <c r="K318" s="28" t="s">
        <v>596</v>
      </c>
    </row>
    <row r="319" ht="15.75" customHeight="1">
      <c r="K319" s="45" t="s">
        <v>597</v>
      </c>
      <c r="L319" s="33" t="s">
        <v>598</v>
      </c>
    </row>
    <row r="320" ht="15.75" customHeight="1">
      <c r="K320" s="45" t="s">
        <v>599</v>
      </c>
      <c r="L320" s="33" t="s">
        <v>600</v>
      </c>
    </row>
    <row r="321" ht="15.75" customHeight="1">
      <c r="J321" s="45" t="s">
        <v>601</v>
      </c>
      <c r="K321" s="33" t="s">
        <v>602</v>
      </c>
    </row>
    <row r="322" ht="15.75" customHeight="1">
      <c r="H322" s="45" t="s">
        <v>603</v>
      </c>
      <c r="I322" s="33" t="s">
        <v>604</v>
      </c>
    </row>
    <row r="323" ht="15.75" customHeight="1">
      <c r="H323" s="45" t="s">
        <v>605</v>
      </c>
      <c r="I323" s="33" t="s">
        <v>606</v>
      </c>
    </row>
    <row r="324" ht="15.75" customHeight="1">
      <c r="G324" s="45" t="s">
        <v>607</v>
      </c>
      <c r="H324" s="33" t="s">
        <v>608</v>
      </c>
    </row>
    <row r="325" ht="15.75" customHeight="1">
      <c r="G325" s="43" t="s">
        <v>609</v>
      </c>
      <c r="H325" s="28" t="s">
        <v>610</v>
      </c>
    </row>
    <row r="326" ht="15.75" customHeight="1">
      <c r="H326" s="45" t="s">
        <v>611</v>
      </c>
      <c r="I326" s="33" t="s">
        <v>612</v>
      </c>
    </row>
    <row r="327" ht="15.75" customHeight="1">
      <c r="I327" s="45" t="s">
        <v>613</v>
      </c>
      <c r="J327" s="33" t="s">
        <v>614</v>
      </c>
    </row>
    <row r="328" ht="15.75" customHeight="1">
      <c r="I328" s="45" t="s">
        <v>615</v>
      </c>
      <c r="J328" s="33" t="s">
        <v>616</v>
      </c>
    </row>
    <row r="329" ht="15.75" customHeight="1">
      <c r="I329" s="45" t="s">
        <v>617</v>
      </c>
      <c r="J329" s="42" t="s">
        <v>618</v>
      </c>
    </row>
    <row r="330" ht="15.75" customHeight="1">
      <c r="I330" s="45" t="s">
        <v>619</v>
      </c>
      <c r="J330" s="42" t="s">
        <v>620</v>
      </c>
    </row>
    <row r="331" ht="15.75" customHeight="1">
      <c r="H331" s="45" t="s">
        <v>621</v>
      </c>
      <c r="I331" s="33" t="s">
        <v>622</v>
      </c>
    </row>
    <row r="332" ht="15.75" customHeight="1">
      <c r="G332" s="45" t="s">
        <v>623</v>
      </c>
      <c r="H332" s="33" t="s">
        <v>624</v>
      </c>
    </row>
    <row r="333" ht="15.75" customHeight="1">
      <c r="G333" s="45" t="s">
        <v>625</v>
      </c>
      <c r="H333" s="33" t="s">
        <v>626</v>
      </c>
    </row>
    <row r="334" ht="15.75" customHeight="1">
      <c r="G334" s="43" t="s">
        <v>627</v>
      </c>
      <c r="H334" s="51" t="s">
        <v>628</v>
      </c>
    </row>
    <row r="335" ht="15.75" customHeight="1">
      <c r="H335" s="45" t="s">
        <v>629</v>
      </c>
      <c r="I335" s="33" t="s">
        <v>630</v>
      </c>
    </row>
    <row r="336" ht="15.75" customHeight="1">
      <c r="H336" s="45" t="s">
        <v>631</v>
      </c>
      <c r="I336" s="33" t="s">
        <v>632</v>
      </c>
    </row>
    <row r="337" ht="15.75" customHeight="1">
      <c r="G337" s="45" t="s">
        <v>633</v>
      </c>
      <c r="H337" s="33" t="s">
        <v>634</v>
      </c>
    </row>
    <row r="338" ht="15.75" customHeight="1">
      <c r="G338" s="45" t="s">
        <v>635</v>
      </c>
      <c r="H338" s="33" t="s">
        <v>636</v>
      </c>
    </row>
    <row r="339" ht="15.75" customHeight="1">
      <c r="G339" s="45" t="s">
        <v>637</v>
      </c>
      <c r="H339" s="33" t="s">
        <v>638</v>
      </c>
    </row>
    <row r="340" ht="15.75" customHeight="1">
      <c r="F340" s="43" t="s">
        <v>639</v>
      </c>
      <c r="G340" s="59" t="s">
        <v>640</v>
      </c>
    </row>
    <row r="341" ht="15.75" customHeight="1">
      <c r="G341" s="41" t="s">
        <v>641</v>
      </c>
      <c r="H341" s="42" t="s">
        <v>642</v>
      </c>
    </row>
    <row r="342" ht="15.75" customHeight="1">
      <c r="D342" s="43" t="s">
        <v>643</v>
      </c>
      <c r="E342" t="s">
        <v>644</v>
      </c>
    </row>
    <row r="343" ht="15.75" customHeight="1">
      <c r="D343" s="45" t="s">
        <v>645</v>
      </c>
      <c r="E343" s="33" t="s">
        <v>646</v>
      </c>
    </row>
    <row r="344" ht="15.75" customHeight="1"/>
    <row r="345" ht="15.75" customHeight="1"/>
    <row r="346" ht="15.75" customHeight="1">
      <c r="A346" s="60" t="s">
        <v>647</v>
      </c>
    </row>
    <row r="347" ht="15.75" customHeight="1">
      <c r="A347" s="61" t="s">
        <v>648</v>
      </c>
    </row>
    <row r="348" ht="15.75" customHeight="1">
      <c r="A348" s="61"/>
      <c r="B348" s="62" t="s">
        <v>649</v>
      </c>
    </row>
    <row r="349" ht="15.75" customHeight="1">
      <c r="A349" s="61" t="s">
        <v>650</v>
      </c>
    </row>
    <row r="350" ht="15.75" customHeight="1">
      <c r="A350" s="61"/>
      <c r="B350" s="62" t="s">
        <v>651</v>
      </c>
    </row>
    <row r="351" ht="15.75" customHeight="1">
      <c r="A351" s="61" t="s">
        <v>652</v>
      </c>
    </row>
    <row r="352" ht="15.75" customHeight="1">
      <c r="A352" s="61" t="s">
        <v>653</v>
      </c>
    </row>
    <row r="353" ht="15.75" customHeight="1"/>
    <row r="354" ht="15.75" customHeight="1">
      <c r="A354" s="63" t="s">
        <v>654</v>
      </c>
    </row>
    <row r="355" ht="15.75" customHeight="1"/>
    <row r="356" ht="15.75" customHeight="1">
      <c r="A356" s="61" t="s">
        <v>655</v>
      </c>
    </row>
    <row r="357" ht="15.75" customHeight="1">
      <c r="A357" s="64" t="s">
        <v>656</v>
      </c>
    </row>
    <row r="358" ht="15.75" customHeight="1">
      <c r="A358" s="64" t="s">
        <v>657</v>
      </c>
    </row>
    <row r="359" ht="15.75" customHeight="1"/>
    <row r="360" ht="15.75" customHeight="1">
      <c r="A360" s="65" t="s">
        <v>658</v>
      </c>
    </row>
    <row r="361" ht="15.75" customHeight="1">
      <c r="A361" s="66" t="s">
        <v>659</v>
      </c>
    </row>
    <row r="362" ht="15.75" customHeight="1">
      <c r="A362" s="66" t="s">
        <v>660</v>
      </c>
    </row>
    <row r="363" ht="15.75" customHeight="1">
      <c r="A363" s="66" t="s">
        <v>661</v>
      </c>
    </row>
    <row r="364" ht="15.75" customHeight="1">
      <c r="A364" s="66" t="s">
        <v>662</v>
      </c>
    </row>
    <row r="365" ht="15.75" customHeight="1">
      <c r="A365" s="66" t="s">
        <v>663</v>
      </c>
    </row>
    <row r="366" ht="15.75" customHeight="1">
      <c r="A366" s="66" t="s">
        <v>664</v>
      </c>
    </row>
    <row r="367" ht="15.75" customHeight="1"/>
    <row r="368" ht="15.75" customHeight="1">
      <c r="A368" s="60" t="s">
        <v>665</v>
      </c>
    </row>
    <row r="369" ht="15.75" customHeight="1">
      <c r="A369" s="67" t="s">
        <v>666</v>
      </c>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row>
    <row r="370" ht="15.75" customHeight="1">
      <c r="A370" s="67" t="s">
        <v>667</v>
      </c>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row>
    <row r="371" ht="15.75" customHeight="1">
      <c r="A371" s="67" t="s">
        <v>668</v>
      </c>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row>
    <row r="372" ht="15.75" customHeight="1">
      <c r="A372" s="67" t="s">
        <v>669</v>
      </c>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row>
    <row r="373" ht="15.75" customHeight="1">
      <c r="A373" s="67" t="s">
        <v>670</v>
      </c>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row>
    <row r="374" ht="15.75" customHeight="1">
      <c r="A374" s="67" t="s">
        <v>671</v>
      </c>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row>
    <row r="375" ht="15.75" customHeight="1">
      <c r="A375" s="67" t="s">
        <v>672</v>
      </c>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row>
    <row r="376" ht="15.75" customHeight="1">
      <c r="A376" s="67" t="s">
        <v>673</v>
      </c>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row>
    <row r="377" ht="15.75" customHeight="1">
      <c r="A377" s="67" t="s">
        <v>674</v>
      </c>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row>
    <row r="378" ht="15.75" customHeight="1">
      <c r="A378" s="67" t="s">
        <v>675</v>
      </c>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row>
    <row r="379" ht="15.75" customHeight="1">
      <c r="A379" s="67" t="s">
        <v>676</v>
      </c>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row>
    <row r="380" ht="15.75" customHeight="1">
      <c r="A380" s="67" t="s">
        <v>677</v>
      </c>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row>
    <row r="381" ht="15.75" customHeight="1">
      <c r="A381" s="67" t="s">
        <v>678</v>
      </c>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row>
    <row r="382" ht="15.75" customHeight="1">
      <c r="A382" s="67" t="s">
        <v>679</v>
      </c>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row>
    <row r="383" ht="15.75" customHeight="1">
      <c r="A383" s="67" t="s">
        <v>680</v>
      </c>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row>
    <row r="384" ht="15.75" customHeight="1">
      <c r="A384" s="67" t="s">
        <v>681</v>
      </c>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row>
    <row r="385" ht="15.75" customHeight="1">
      <c r="A385" s="67" t="s">
        <v>682</v>
      </c>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row>
    <row r="386" ht="15.75" customHeight="1">
      <c r="A386" s="67" t="s">
        <v>683</v>
      </c>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row>
    <row r="387" ht="15.75" customHeight="1">
      <c r="A387" s="67" t="s">
        <v>684</v>
      </c>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row>
    <row r="388" ht="15.75" customHeight="1">
      <c r="A388" s="67" t="s">
        <v>685</v>
      </c>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row>
    <row r="389" ht="15.75" customHeight="1">
      <c r="A389" s="67" t="s">
        <v>686</v>
      </c>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row>
    <row r="390" ht="15.75" customHeight="1">
      <c r="A390" s="67" t="s">
        <v>687</v>
      </c>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row>
    <row r="391" ht="15.75" customHeight="1">
      <c r="A391" s="67" t="s">
        <v>688</v>
      </c>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row>
    <row r="392" ht="15.75" customHeight="1">
      <c r="A392" s="67" t="str">
        <f>HYPERLINK("https://staging.familytreedna.com/pdf/Karafet-et-all-GR508.pdf","Karafet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row>
    <row r="393" ht="15.75" customHeight="1">
      <c r="A393" s="67" t="s">
        <v>689</v>
      </c>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row>
    <row r="394" ht="15.75" customHeight="1">
      <c r="A394" s="67" t="s">
        <v>690</v>
      </c>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row>
    <row r="395" ht="15.75" customHeight="1">
      <c r="A395" s="67" t="s">
        <v>691</v>
      </c>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row>
    <row r="396" ht="15.75" customHeight="1">
      <c r="A396" s="67" t="s">
        <v>692</v>
      </c>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row>
    <row r="397" ht="15.75" customHeight="1">
      <c r="A397" s="67" t="s">
        <v>693</v>
      </c>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row>
    <row r="398" ht="15.75" customHeight="1">
      <c r="A398" s="67" t="s">
        <v>694</v>
      </c>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row>
    <row r="399" ht="15.75" customHeight="1">
      <c r="A399" s="67" t="s">
        <v>695</v>
      </c>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row>
    <row r="400" ht="15.75" customHeight="1">
      <c r="A400" s="67" t="s">
        <v>696</v>
      </c>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row>
    <row r="401" ht="15.75" customHeight="1">
      <c r="A401" s="67" t="s">
        <v>697</v>
      </c>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row>
    <row r="402" ht="15.75" customHeight="1">
      <c r="A402" s="67" t="s">
        <v>698</v>
      </c>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row>
    <row r="403" ht="15.75" customHeight="1">
      <c r="A403" s="67" t="s">
        <v>699</v>
      </c>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row>
    <row r="404" ht="15.75" customHeight="1">
      <c r="A404" s="67" t="s">
        <v>700</v>
      </c>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row>
    <row r="405" ht="15.75" customHeight="1">
      <c r="A405" s="67" t="s">
        <v>701</v>
      </c>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row>
    <row r="406" ht="15.75" customHeight="1">
      <c r="A406" s="67" t="s">
        <v>702</v>
      </c>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row>
    <row r="407" ht="15.75" customHeight="1">
      <c r="A407" s="67" t="s">
        <v>703</v>
      </c>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row>
    <row r="408" ht="15.75" customHeight="1">
      <c r="A408" s="67" t="s">
        <v>704</v>
      </c>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row>
    <row r="409" ht="15.75" customHeight="1">
      <c r="A409" s="67" t="s">
        <v>705</v>
      </c>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row>
    <row r="410" ht="15.75" customHeight="1">
      <c r="A410" s="67" t="s">
        <v>706</v>
      </c>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row>
    <row r="411" ht="15.75" customHeight="1">
      <c r="A411" s="67" t="s">
        <v>707</v>
      </c>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row>
    <row r="412" ht="15.75" customHeight="1">
      <c r="A412" s="67" t="s">
        <v>708</v>
      </c>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row>
    <row r="413" ht="15.75" customHeight="1">
      <c r="A413" s="67" t="s">
        <v>709</v>
      </c>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row>
    <row r="414" ht="15.75" customHeight="1">
      <c r="A414" s="67" t="s">
        <v>710</v>
      </c>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row>
    <row r="415" ht="15.75" customHeight="1">
      <c r="A415" s="67" t="s">
        <v>711</v>
      </c>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row>
    <row r="416" ht="15.75" customHeight="1">
      <c r="A416" s="67" t="s">
        <v>712</v>
      </c>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row>
    <row r="417" ht="15.75" customHeight="1">
      <c r="A417" s="67" t="s">
        <v>713</v>
      </c>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row>
    <row r="418" ht="15.75" customHeight="1">
      <c r="A418" s="67" t="s">
        <v>714</v>
      </c>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row>
    <row r="419" ht="15.75" customHeight="1">
      <c r="A419" s="67" t="s">
        <v>715</v>
      </c>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row>
    <row r="420" ht="15.75" customHeight="1">
      <c r="A420" s="67" t="s">
        <v>716</v>
      </c>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row>
    <row r="421" ht="15.75" customHeight="1"/>
    <row r="422" ht="15.75" customHeight="1">
      <c r="A422" s="60" t="s">
        <v>717</v>
      </c>
    </row>
    <row r="423" ht="15.75" customHeight="1">
      <c r="A423" s="69" t="s">
        <v>718</v>
      </c>
      <c r="D423" s="61" t="s">
        <v>719</v>
      </c>
    </row>
    <row r="424" ht="15.75" customHeight="1">
      <c r="A424" s="69" t="s">
        <v>720</v>
      </c>
      <c r="E424" s="61" t="s">
        <v>721</v>
      </c>
    </row>
    <row r="425" ht="15.75" customHeight="1">
      <c r="A425" s="69" t="s">
        <v>722</v>
      </c>
      <c r="D425" s="70" t="s">
        <v>723</v>
      </c>
    </row>
    <row r="426" ht="15.75" customHeight="1">
      <c r="A426" s="69" t="s">
        <v>724</v>
      </c>
      <c r="E426" s="70" t="s">
        <v>8</v>
      </c>
    </row>
    <row r="427" ht="15.75" customHeight="1"/>
    <row r="428" ht="15.75" customHeight="1">
      <c r="A428" s="60" t="s">
        <v>725</v>
      </c>
    </row>
    <row r="429" ht="15.75" customHeight="1">
      <c r="A429" s="61" t="s">
        <v>726</v>
      </c>
    </row>
    <row r="430" ht="15.75" customHeight="1">
      <c r="A430" s="61" t="s">
        <v>727</v>
      </c>
    </row>
    <row r="431" ht="15.75" customHeight="1">
      <c r="A431" s="61" t="s">
        <v>728</v>
      </c>
    </row>
    <row r="432" ht="15.75" customHeight="1">
      <c r="A432" s="61" t="s">
        <v>729</v>
      </c>
    </row>
    <row r="433" ht="15.75" customHeight="1">
      <c r="A433" s="61" t="s">
        <v>730</v>
      </c>
    </row>
    <row r="434" ht="15.75" customHeight="1">
      <c r="A434" s="61" t="s">
        <v>731</v>
      </c>
    </row>
    <row r="435" ht="15.75" customHeight="1">
      <c r="A435" s="61"/>
      <c r="B435" s="70" t="s">
        <v>732</v>
      </c>
    </row>
    <row r="436" ht="15.75" customHeight="1">
      <c r="A436" s="61"/>
      <c r="B436" s="71" t="s">
        <v>733</v>
      </c>
    </row>
    <row r="437" ht="15.75" customHeight="1">
      <c r="A437" s="61"/>
      <c r="B437" s="72" t="s">
        <v>734</v>
      </c>
    </row>
    <row r="438" ht="15.75" customHeight="1">
      <c r="A438" s="61" t="s">
        <v>735</v>
      </c>
    </row>
    <row r="439" ht="15.75" customHeight="1">
      <c r="A439" s="61"/>
      <c r="B439" s="70" t="s">
        <v>736</v>
      </c>
    </row>
    <row r="440" ht="15.75" customHeight="1">
      <c r="A440" s="61"/>
      <c r="B440" s="72" t="s">
        <v>737</v>
      </c>
    </row>
    <row r="441" ht="15.75" customHeight="1">
      <c r="A441" s="61" t="s">
        <v>738</v>
      </c>
    </row>
    <row r="442" ht="15.75" customHeight="1">
      <c r="A442" s="61"/>
      <c r="B442" s="73" t="s">
        <v>739</v>
      </c>
    </row>
    <row r="443" ht="15.75" customHeight="1">
      <c r="A443" s="61"/>
      <c r="B443" s="72" t="s">
        <v>740</v>
      </c>
    </row>
    <row r="444" ht="15.75" customHeight="1">
      <c r="A444" s="61" t="s">
        <v>741</v>
      </c>
    </row>
    <row r="445" ht="15.75" customHeight="1">
      <c r="A445" s="61" t="s">
        <v>742</v>
      </c>
    </row>
    <row r="446" ht="15.75" customHeight="1">
      <c r="A446" s="66" t="s">
        <v>743</v>
      </c>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row>
    <row r="447" ht="15.75" customHeight="1">
      <c r="A447" s="66"/>
      <c r="B447" s="75" t="s">
        <v>744</v>
      </c>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row>
    <row r="448" ht="15.75" customHeight="1">
      <c r="A448" s="66"/>
      <c r="B448" s="74" t="s">
        <v>745</v>
      </c>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row>
    <row r="449" ht="15.75" customHeight="1">
      <c r="A449" s="66"/>
      <c r="B449" s="74" t="s">
        <v>746</v>
      </c>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row>
    <row r="450" ht="15.75" customHeight="1">
      <c r="A450" s="66"/>
      <c r="B450" s="74" t="s">
        <v>747</v>
      </c>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row>
    <row r="451" ht="15.75" customHeight="1">
      <c r="A451" s="66" t="s">
        <v>748</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row>
    <row r="452" ht="15.75" customHeight="1">
      <c r="A452" s="66" t="s">
        <v>749</v>
      </c>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53" ht="15.75" customHeight="1">
      <c r="A453" s="74" t="s">
        <v>750</v>
      </c>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row>
    <row r="454" ht="15.75" customHeight="1">
      <c r="A454" s="74" t="s">
        <v>751</v>
      </c>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row>
    <row r="455" ht="15.75" customHeight="1">
      <c r="A455" s="74" t="s">
        <v>752</v>
      </c>
      <c r="B455" s="74"/>
      <c r="C455" s="74"/>
      <c r="D455" s="74"/>
      <c r="E455" s="74"/>
      <c r="F455" s="74"/>
      <c r="G455" s="76" t="s">
        <v>753</v>
      </c>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row>
    <row r="456" ht="15.75" customHeight="1">
      <c r="A456" s="76" t="s">
        <v>754</v>
      </c>
      <c r="B456" s="74"/>
      <c r="C456" s="74"/>
      <c r="D456" s="74"/>
      <c r="E456" s="74"/>
      <c r="F456" s="74"/>
      <c r="G456" s="74"/>
      <c r="H456" s="74"/>
      <c r="I456" s="74"/>
      <c r="J456" s="74"/>
      <c r="K456" s="76" t="s">
        <v>23</v>
      </c>
      <c r="L456" s="74"/>
      <c r="M456" s="74"/>
      <c r="N456" s="74"/>
      <c r="O456" s="74"/>
      <c r="P456" s="74"/>
      <c r="Q456" s="74"/>
      <c r="R456" s="74"/>
      <c r="S456" s="74"/>
      <c r="T456" s="74"/>
      <c r="U456" s="74"/>
      <c r="V456" s="74"/>
      <c r="W456" s="74"/>
      <c r="X456" s="74"/>
      <c r="Y456" s="74"/>
      <c r="Z456" s="74"/>
      <c r="AA456" s="74"/>
      <c r="AB456" s="74"/>
      <c r="AC456" s="74"/>
      <c r="AD456" s="74"/>
      <c r="AE456" s="74"/>
      <c r="AF456" s="74"/>
      <c r="AG456" s="74"/>
    </row>
    <row r="457" ht="15.75" customHeight="1">
      <c r="A457" s="76" t="s">
        <v>755</v>
      </c>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row>
    <row r="458" ht="15.75" customHeight="1">
      <c r="A458" s="76" t="s">
        <v>756</v>
      </c>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row>
    <row r="459" ht="15.75" customHeight="1">
      <c r="A459" s="76"/>
      <c r="B459" s="77" t="s">
        <v>757</v>
      </c>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row>
    <row r="460" ht="15.75" customHeight="1">
      <c r="A460" s="76"/>
      <c r="B460" s="77" t="s">
        <v>758</v>
      </c>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row>
    <row r="461" ht="15.75" customHeight="1">
      <c r="A461" s="76"/>
      <c r="B461" s="77" t="s">
        <v>759</v>
      </c>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row>
    <row r="462" ht="15.75" customHeight="1">
      <c r="A462" s="76"/>
      <c r="B462" s="77" t="s">
        <v>760</v>
      </c>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row>
    <row r="463" ht="15.75" customHeight="1">
      <c r="A463" s="76" t="s">
        <v>761</v>
      </c>
      <c r="B463" s="78"/>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row>
    <row r="464" ht="15.75" customHeight="1">
      <c r="A464" s="76"/>
      <c r="B464" s="79" t="s">
        <v>762</v>
      </c>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row>
    <row r="465" ht="15.75" customHeight="1">
      <c r="A465" s="76"/>
      <c r="B465" s="78" t="s">
        <v>763</v>
      </c>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row>
    <row r="466" ht="15.75" customHeight="1">
      <c r="A466" s="76"/>
      <c r="B466" s="78" t="s">
        <v>764</v>
      </c>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row>
    <row r="467" ht="15.75" customHeight="1">
      <c r="A467" s="76"/>
      <c r="B467" s="78" t="s">
        <v>765</v>
      </c>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row>
    <row r="468" ht="15.75" customHeight="1">
      <c r="A468" s="76"/>
      <c r="B468" s="78" t="s">
        <v>766</v>
      </c>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row>
    <row r="469" ht="15.75" customHeight="1">
      <c r="A469" s="76"/>
      <c r="B469" s="78" t="s">
        <v>767</v>
      </c>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row>
    <row r="470" ht="15.75" customHeight="1">
      <c r="A470" s="76"/>
      <c r="B470" s="78" t="s">
        <v>768</v>
      </c>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row>
    <row r="471" ht="15.75" customHeight="1">
      <c r="A471" s="76"/>
      <c r="B471" s="79" t="s">
        <v>769</v>
      </c>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row>
    <row r="472" ht="15.75" customHeight="1">
      <c r="A472" s="76" t="s">
        <v>770</v>
      </c>
      <c r="B472" s="79"/>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row>
    <row r="473" ht="15.75" customHeight="1">
      <c r="A473" s="76" t="s">
        <v>771</v>
      </c>
      <c r="B473" s="79"/>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row>
    <row r="474" ht="15.75" customHeight="1">
      <c r="A474" s="76" t="s">
        <v>23</v>
      </c>
      <c r="B474" s="78" t="s">
        <v>772</v>
      </c>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row>
    <row r="475" ht="15.75" customHeight="1">
      <c r="A475" s="76"/>
      <c r="B475" s="79" t="s">
        <v>773</v>
      </c>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row>
    <row r="476" ht="15.75" customHeight="1">
      <c r="A476" s="76" t="s">
        <v>774</v>
      </c>
      <c r="B476" s="79"/>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row>
    <row r="477" ht="15.75" customHeight="1">
      <c r="A477" s="76"/>
      <c r="B477" s="80" t="s">
        <v>775</v>
      </c>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row>
    <row r="478" ht="15.75" customHeight="1">
      <c r="A478" s="76"/>
      <c r="B478" s="80" t="s">
        <v>776</v>
      </c>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row>
    <row r="479" ht="15.75" customHeight="1">
      <c r="A479" s="76" t="s">
        <v>777</v>
      </c>
      <c r="B479" s="80"/>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row>
    <row r="480" ht="15.75" customHeight="1">
      <c r="A480" s="76" t="s">
        <v>778</v>
      </c>
      <c r="B480" s="80"/>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row>
    <row r="481" ht="15.75" customHeight="1">
      <c r="A481" s="76"/>
      <c r="B481" s="80" t="s">
        <v>779</v>
      </c>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row>
    <row r="482" ht="15.75" customHeight="1">
      <c r="A482" s="76" t="s">
        <v>780</v>
      </c>
      <c r="B482" s="80"/>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row>
    <row r="483" ht="15.75" customHeight="1">
      <c r="A483" s="76"/>
      <c r="B483" s="80" t="s">
        <v>781</v>
      </c>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row>
    <row r="484" ht="15.75" customHeight="1">
      <c r="A484" s="76" t="s">
        <v>782</v>
      </c>
      <c r="B484" s="80"/>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row>
    <row r="485" ht="15.75" customHeight="1">
      <c r="A485" s="76" t="s">
        <v>783</v>
      </c>
      <c r="B485" s="80"/>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row>
    <row r="486" ht="15.75" customHeight="1">
      <c r="A486" s="76" t="s">
        <v>784</v>
      </c>
      <c r="B486" s="80"/>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row>
    <row r="487" ht="15.75" customHeight="1">
      <c r="A487" s="76"/>
      <c r="B487" s="80" t="s">
        <v>785</v>
      </c>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row>
    <row r="488" ht="15.75" customHeight="1">
      <c r="A488" s="76" t="s">
        <v>786</v>
      </c>
      <c r="B488" s="80"/>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row>
    <row r="489" ht="15.75" customHeight="1">
      <c r="A489" s="76" t="s">
        <v>787</v>
      </c>
      <c r="B489" s="80"/>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row>
    <row r="490" ht="15.75" customHeight="1">
      <c r="A490" s="76" t="s">
        <v>788</v>
      </c>
      <c r="B490" s="80"/>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row>
    <row r="491" ht="15.75" customHeight="1"/>
    <row r="492" ht="15.75" customHeight="1">
      <c r="A492" s="70" t="s">
        <v>789</v>
      </c>
    </row>
    <row r="493" ht="15.75" customHeight="1">
      <c r="B493" s="81" t="str">
        <f>HYPERLINK("https://isogg.org/tree/2018/index18.html","Main Page")</f>
        <v>Main Page</v>
      </c>
    </row>
    <row r="494" ht="15.75" customHeight="1">
      <c r="B494" s="81" t="str">
        <f>HYPERLINK("https://docs.google.com/spreadsheets/d/1fyWMHOYKcR-t77kV-cN79A6B5-aBpQS8Y7W5juVKLV8/edit#gid=1904113265","Y-DNA Tree Trunk")</f>
        <v>Y-DNA Tree Trunk</v>
      </c>
      <c r="C494" s="82"/>
      <c r="D494" s="82"/>
    </row>
    <row r="495" ht="15.75" customHeight="1">
      <c r="B495" s="81" t="str">
        <f>HYPERLINK("https://isogg.org/tree/2018/ISOGG_YDNA_SNP_Index18.html","SNP Index")</f>
        <v>SNP Index</v>
      </c>
    </row>
    <row r="496" ht="15.75" customHeight="1">
      <c r="B496" s="81" t="str">
        <f>HYPERLINK("https://isogg.org/tree/2018/ISOGG_All_Papers18.html","Papers/Presentations Cited")</f>
        <v>Papers/Presentations Cited</v>
      </c>
    </row>
    <row r="497" ht="15.75" customHeight="1">
      <c r="B497" s="81" t="str">
        <f>HYPERLINK("https://isogg.org/tree/2018/ISOGG_Glossary18.html","Glossary")</f>
        <v>Glossary</v>
      </c>
    </row>
    <row r="498" ht="15.75" customHeight="1">
      <c r="B498" s="81" t="str">
        <f>HYPERLINK("https://docs.google.com/spreadsheets/d/1bYiTv-Zo2N2eynFJkhs8SRPMWWYMSBD4zwsRzagtp-c/edit#gid=0","Listing Criteria")</f>
        <v>Listing Criteria</v>
      </c>
    </row>
    <row r="499" ht="15.75" customHeight="1"/>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5.75" customHeight="1">
      <c r="A501" s="83" t="s">
        <v>790</v>
      </c>
      <c r="B501" s="84"/>
      <c r="C501" s="84"/>
      <c r="D501" s="84"/>
      <c r="E501" s="84"/>
      <c r="F501" s="85"/>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5.75" customHeight="1">
      <c r="A502" s="1"/>
      <c r="B502" s="1"/>
      <c r="C502" s="1"/>
      <c r="D502" s="1"/>
      <c r="E502" s="1"/>
      <c r="F502" s="1"/>
      <c r="G502" s="1"/>
      <c r="H502" s="1"/>
      <c r="I502" s="1"/>
      <c r="J502" s="86" t="s">
        <v>23</v>
      </c>
      <c r="K502" s="20" t="s">
        <v>791</v>
      </c>
      <c r="L502" s="1"/>
      <c r="M502" s="1"/>
      <c r="N502" s="1"/>
      <c r="O502" s="1"/>
      <c r="P502" s="1"/>
      <c r="Q502" s="1"/>
      <c r="AF502" s="1"/>
      <c r="AG502" s="1"/>
    </row>
    <row r="503" ht="15.75" customHeight="1">
      <c r="A503" s="1"/>
      <c r="B503" s="1"/>
      <c r="C503" s="1"/>
      <c r="D503" s="1"/>
      <c r="E503" s="1"/>
      <c r="F503" s="1"/>
      <c r="G503" s="1"/>
      <c r="H503" s="1"/>
      <c r="I503" s="1"/>
      <c r="J503" s="1" t="s">
        <v>23</v>
      </c>
      <c r="K503" s="87" t="s">
        <v>792</v>
      </c>
      <c r="L503" s="87" t="s">
        <v>793</v>
      </c>
      <c r="M503" s="87" t="s">
        <v>794</v>
      </c>
      <c r="N503" s="87" t="s">
        <v>795</v>
      </c>
      <c r="O503" s="88" t="s">
        <v>796</v>
      </c>
      <c r="P503" s="88" t="s">
        <v>797</v>
      </c>
      <c r="Q503" s="87" t="s">
        <v>798</v>
      </c>
      <c r="AF503" s="1"/>
      <c r="AG503" s="1"/>
    </row>
    <row r="504" ht="15.75" customHeight="1">
      <c r="A504" s="1"/>
      <c r="B504" s="1"/>
      <c r="C504" s="1" t="s">
        <v>23</v>
      </c>
      <c r="D504" s="1" t="s">
        <v>23</v>
      </c>
      <c r="E504" s="83" t="s">
        <v>790</v>
      </c>
      <c r="F504" s="84"/>
      <c r="G504" s="84"/>
      <c r="H504" s="84"/>
      <c r="I504" s="84"/>
      <c r="J504" s="85"/>
      <c r="K504" s="89" t="s">
        <v>799</v>
      </c>
      <c r="L504" s="89" t="str">
        <f>A30</f>
        <v>C</v>
      </c>
      <c r="M504" s="89" t="s">
        <v>800</v>
      </c>
      <c r="N504" s="90" t="s">
        <v>801</v>
      </c>
      <c r="O504" s="91">
        <v>2734854.0</v>
      </c>
      <c r="P504" s="91">
        <v>2866813.0</v>
      </c>
      <c r="Q504" s="89" t="s">
        <v>802</v>
      </c>
      <c r="AF504" s="1"/>
      <c r="AG504" s="1"/>
    </row>
    <row r="505" ht="15.75" customHeight="1">
      <c r="A505" s="1"/>
      <c r="B505" s="1"/>
      <c r="C505" s="1"/>
      <c r="D505" s="1"/>
      <c r="E505" s="1"/>
      <c r="F505" s="1"/>
      <c r="G505" s="1"/>
      <c r="H505" s="1"/>
      <c r="I505" s="1"/>
      <c r="J505" s="1"/>
      <c r="K505" s="89" t="s">
        <v>803</v>
      </c>
      <c r="L505" s="89" t="str">
        <f>A30</f>
        <v>C</v>
      </c>
      <c r="M505" s="89" t="s">
        <v>804</v>
      </c>
      <c r="N505" s="89" t="s">
        <v>801</v>
      </c>
      <c r="O505" s="92">
        <v>2734854.0</v>
      </c>
      <c r="P505" s="92">
        <v>2866813.0</v>
      </c>
      <c r="Q505" s="89" t="s">
        <v>802</v>
      </c>
      <c r="AF505" s="1"/>
      <c r="AG505" s="1"/>
    </row>
    <row r="506" ht="15.75" customHeight="1">
      <c r="A506" s="1"/>
      <c r="B506" s="1"/>
      <c r="C506" s="1"/>
      <c r="D506" s="1"/>
      <c r="E506" s="1"/>
      <c r="F506" s="1"/>
      <c r="G506" s="1"/>
      <c r="H506" s="1"/>
      <c r="I506" s="1"/>
      <c r="J506" s="1"/>
      <c r="K506" s="89" t="s">
        <v>805</v>
      </c>
      <c r="L506" s="89" t="str">
        <f>A30</f>
        <v>C</v>
      </c>
      <c r="M506" s="89" t="s">
        <v>806</v>
      </c>
      <c r="N506" s="89" t="s">
        <v>801</v>
      </c>
      <c r="O506" s="92">
        <v>2734854.0</v>
      </c>
      <c r="P506" s="92">
        <v>2866813.0</v>
      </c>
      <c r="Q506" s="89" t="s">
        <v>802</v>
      </c>
      <c r="AF506" s="1"/>
      <c r="AG506" s="1"/>
    </row>
    <row r="507" ht="15.75" customHeight="1">
      <c r="A507" s="1"/>
      <c r="B507" s="1"/>
      <c r="C507" s="1"/>
      <c r="D507" s="1"/>
      <c r="E507" s="1"/>
      <c r="F507" s="1"/>
      <c r="G507" s="1"/>
      <c r="H507" s="1"/>
      <c r="I507" s="1"/>
      <c r="J507" s="1"/>
      <c r="K507" s="89" t="s">
        <v>807</v>
      </c>
      <c r="L507" s="89" t="str">
        <f>A30</f>
        <v>C</v>
      </c>
      <c r="M507" s="89" t="s">
        <v>808</v>
      </c>
      <c r="N507" s="89" t="s">
        <v>809</v>
      </c>
      <c r="O507" s="92">
        <v>2789035.0</v>
      </c>
      <c r="P507" s="92">
        <v>2920994.0</v>
      </c>
      <c r="Q507" s="89" t="s">
        <v>810</v>
      </c>
      <c r="AF507" s="1"/>
      <c r="AG507" s="1"/>
    </row>
    <row r="508" ht="15.75" customHeight="1">
      <c r="A508" s="1"/>
      <c r="B508" s="1"/>
      <c r="C508" s="1"/>
      <c r="D508" s="1"/>
      <c r="E508" s="1"/>
      <c r="F508" s="1"/>
      <c r="G508" s="1"/>
      <c r="H508" s="1"/>
      <c r="I508" s="1"/>
      <c r="J508" s="1"/>
      <c r="K508" s="89" t="s">
        <v>808</v>
      </c>
      <c r="L508" s="89" t="str">
        <f>A30</f>
        <v>C</v>
      </c>
      <c r="M508" s="89" t="s">
        <v>807</v>
      </c>
      <c r="N508" s="89" t="s">
        <v>809</v>
      </c>
      <c r="O508" s="92">
        <v>2789035.0</v>
      </c>
      <c r="P508" s="92">
        <v>2920994.0</v>
      </c>
      <c r="Q508" s="89" t="s">
        <v>810</v>
      </c>
      <c r="AF508" s="1"/>
      <c r="AG508" s="1"/>
    </row>
    <row r="509" ht="15.75" customHeight="1">
      <c r="A509" s="1"/>
      <c r="B509" s="1"/>
      <c r="C509" s="1"/>
      <c r="D509" s="1"/>
      <c r="E509" s="1"/>
      <c r="F509" s="1"/>
      <c r="G509" s="1"/>
      <c r="H509" s="1"/>
      <c r="I509" s="1"/>
      <c r="J509" s="1"/>
      <c r="K509" s="89" t="s">
        <v>811</v>
      </c>
      <c r="L509" s="89" t="str">
        <f>A30</f>
        <v>C</v>
      </c>
      <c r="M509" s="89"/>
      <c r="N509" s="89" t="s">
        <v>812</v>
      </c>
      <c r="O509" s="92">
        <v>2790145.0</v>
      </c>
      <c r="P509" s="92">
        <v>2922104.0</v>
      </c>
      <c r="Q509" s="89" t="s">
        <v>813</v>
      </c>
      <c r="AF509" s="1"/>
      <c r="AG509" s="1"/>
    </row>
    <row r="510" ht="15.75" customHeight="1">
      <c r="A510" s="1"/>
      <c r="B510" s="1"/>
      <c r="C510" s="1"/>
      <c r="D510" s="1"/>
      <c r="E510" s="1"/>
      <c r="F510" s="1"/>
      <c r="G510" s="1"/>
      <c r="H510" s="1"/>
      <c r="I510" s="1"/>
      <c r="J510" s="1"/>
      <c r="K510" s="89" t="s">
        <v>814</v>
      </c>
      <c r="L510" s="89" t="str">
        <f>A30</f>
        <v>C</v>
      </c>
      <c r="M510" s="89"/>
      <c r="N510" s="89" t="s">
        <v>815</v>
      </c>
      <c r="O510" s="92">
        <v>2869848.0</v>
      </c>
      <c r="P510" s="92">
        <v>3001807.0</v>
      </c>
      <c r="Q510" s="89" t="s">
        <v>802</v>
      </c>
      <c r="AF510" s="1"/>
      <c r="AG510" s="1"/>
    </row>
    <row r="511" ht="15.75" customHeight="1">
      <c r="A511" s="1"/>
      <c r="B511" s="1"/>
      <c r="C511" s="1"/>
      <c r="D511" s="1"/>
      <c r="E511" s="1"/>
      <c r="F511" s="1"/>
      <c r="G511" s="1"/>
      <c r="H511" s="1"/>
      <c r="I511" s="1"/>
      <c r="J511" s="1"/>
      <c r="K511" s="89" t="s">
        <v>816</v>
      </c>
      <c r="L511" s="89" t="str">
        <f>A30</f>
        <v>C</v>
      </c>
      <c r="M511" s="89"/>
      <c r="N511" s="89" t="s">
        <v>817</v>
      </c>
      <c r="O511" s="92">
        <v>7043074.0</v>
      </c>
      <c r="P511" s="92">
        <v>7175033.0</v>
      </c>
      <c r="Q511" s="89" t="s">
        <v>802</v>
      </c>
      <c r="AF511" s="1"/>
      <c r="AG511" s="1"/>
    </row>
    <row r="512" ht="15.75" customHeight="1">
      <c r="A512" s="1"/>
      <c r="B512" s="1"/>
      <c r="C512" s="1"/>
      <c r="D512" s="1"/>
      <c r="E512" s="1"/>
      <c r="F512" s="1"/>
      <c r="G512" s="1"/>
      <c r="H512" s="1"/>
      <c r="I512" s="1"/>
      <c r="J512" s="1"/>
      <c r="K512" s="89" t="s">
        <v>818</v>
      </c>
      <c r="L512" s="89" t="str">
        <f>A30</f>
        <v>C</v>
      </c>
      <c r="M512" s="89"/>
      <c r="N512" s="89" t="s">
        <v>819</v>
      </c>
      <c r="O512" s="92">
        <v>7374464.0</v>
      </c>
      <c r="P512" s="92">
        <v>7506423.0</v>
      </c>
      <c r="Q512" s="89" t="s">
        <v>810</v>
      </c>
      <c r="AF512" s="1"/>
      <c r="AG512" s="1"/>
    </row>
    <row r="513" ht="15.75" customHeight="1">
      <c r="A513" s="1"/>
      <c r="B513" s="1"/>
      <c r="C513" s="1"/>
      <c r="D513" s="1"/>
      <c r="E513" s="1"/>
      <c r="F513" s="1"/>
      <c r="G513" s="1"/>
      <c r="H513" s="1"/>
      <c r="I513" s="1"/>
      <c r="J513" s="1"/>
      <c r="K513" s="89" t="s">
        <v>820</v>
      </c>
      <c r="L513" s="89" t="str">
        <f>A30</f>
        <v>C</v>
      </c>
      <c r="M513" s="89"/>
      <c r="N513" s="89" t="s">
        <v>821</v>
      </c>
      <c r="O513" s="92">
        <v>7378483.0</v>
      </c>
      <c r="P513" s="92">
        <v>7510442.0</v>
      </c>
      <c r="Q513" s="89" t="s">
        <v>822</v>
      </c>
      <c r="AF513" s="1"/>
      <c r="AG513" s="1"/>
    </row>
    <row r="514" ht="15.75" customHeight="1">
      <c r="A514" s="1"/>
      <c r="B514" s="1"/>
      <c r="C514" s="1"/>
      <c r="D514" s="1"/>
      <c r="E514" s="1"/>
      <c r="F514" s="1"/>
      <c r="G514" s="1"/>
      <c r="H514" s="1"/>
      <c r="I514" s="1"/>
      <c r="J514" s="1"/>
      <c r="K514" s="89" t="s">
        <v>823</v>
      </c>
      <c r="L514" s="89" t="str">
        <f>A30</f>
        <v>C</v>
      </c>
      <c r="M514" s="89"/>
      <c r="N514" s="89" t="s">
        <v>824</v>
      </c>
      <c r="O514" s="92">
        <v>1.3985147E7</v>
      </c>
      <c r="P514" s="92">
        <v>1.1864441E7</v>
      </c>
      <c r="Q514" s="89" t="s">
        <v>802</v>
      </c>
      <c r="AF514" s="1"/>
      <c r="AG514" s="1"/>
    </row>
    <row r="515" ht="15.75" customHeight="1">
      <c r="A515" s="1"/>
      <c r="B515" s="1"/>
      <c r="C515" s="1"/>
      <c r="D515" s="1"/>
      <c r="E515" s="1"/>
      <c r="F515" s="1"/>
      <c r="G515" s="1"/>
      <c r="H515" s="1"/>
      <c r="I515" s="1"/>
      <c r="J515" s="1"/>
      <c r="K515" s="89" t="s">
        <v>825</v>
      </c>
      <c r="L515" s="89" t="str">
        <f>A30</f>
        <v>C</v>
      </c>
      <c r="M515" s="89"/>
      <c r="N515" s="89" t="s">
        <v>826</v>
      </c>
      <c r="O515" s="92">
        <v>1.4155485E7</v>
      </c>
      <c r="P515" s="92">
        <v>1.2034779E7</v>
      </c>
      <c r="Q515" s="89" t="s">
        <v>810</v>
      </c>
      <c r="AF515" s="1"/>
      <c r="AG515" s="1"/>
    </row>
    <row r="516" ht="15.75" customHeight="1">
      <c r="A516" s="1"/>
      <c r="B516" s="1"/>
      <c r="C516" s="1"/>
      <c r="D516" s="1"/>
      <c r="E516" s="1"/>
      <c r="F516" s="1"/>
      <c r="G516" s="1"/>
      <c r="H516" s="1"/>
      <c r="I516" s="1"/>
      <c r="J516" s="1"/>
      <c r="K516" s="89" t="s">
        <v>827</v>
      </c>
      <c r="L516" s="89" t="str">
        <f>A30</f>
        <v>C</v>
      </c>
      <c r="M516" s="89"/>
      <c r="N516" s="89" t="s">
        <v>828</v>
      </c>
      <c r="O516" s="92">
        <v>1.428145E7</v>
      </c>
      <c r="P516" s="92">
        <v>1.2160744E7</v>
      </c>
      <c r="Q516" s="89" t="s">
        <v>810</v>
      </c>
      <c r="AF516" s="1"/>
      <c r="AG516" s="1"/>
    </row>
    <row r="517" ht="15.75" customHeight="1">
      <c r="A517" s="1"/>
      <c r="B517" s="1"/>
      <c r="C517" s="1"/>
      <c r="D517" s="1"/>
      <c r="E517" s="1"/>
      <c r="F517" s="1"/>
      <c r="G517" s="1"/>
      <c r="H517" s="1"/>
      <c r="I517" s="1"/>
      <c r="J517" s="1"/>
      <c r="K517" s="89" t="s">
        <v>829</v>
      </c>
      <c r="L517" s="89" t="str">
        <f>A30</f>
        <v>C</v>
      </c>
      <c r="M517" s="89"/>
      <c r="N517" s="89" t="s">
        <v>830</v>
      </c>
      <c r="O517" s="92">
        <v>1.4297122E7</v>
      </c>
      <c r="P517" s="92">
        <v>1.2176416E7</v>
      </c>
      <c r="Q517" s="89" t="s">
        <v>831</v>
      </c>
      <c r="AF517" s="1"/>
      <c r="AG517" s="1"/>
    </row>
    <row r="518" ht="15.75" customHeight="1">
      <c r="A518" s="1"/>
      <c r="B518" s="1"/>
      <c r="C518" s="1"/>
      <c r="D518" s="1"/>
      <c r="E518" s="1"/>
      <c r="F518" s="1"/>
      <c r="G518" s="1"/>
      <c r="H518" s="1"/>
      <c r="I518" s="1"/>
      <c r="J518" s="1"/>
      <c r="K518" s="89" t="s">
        <v>832</v>
      </c>
      <c r="L518" s="89" t="str">
        <f>A30</f>
        <v>C</v>
      </c>
      <c r="M518" s="89"/>
      <c r="N518" s="89" t="s">
        <v>833</v>
      </c>
      <c r="O518" s="92">
        <v>1.4359235E7</v>
      </c>
      <c r="P518" s="92">
        <v>1.223853E7</v>
      </c>
      <c r="Q518" s="89" t="s">
        <v>810</v>
      </c>
      <c r="AF518" s="1"/>
      <c r="AG518" s="1"/>
    </row>
    <row r="519" ht="15.75" customHeight="1">
      <c r="A519" s="1"/>
      <c r="B519" s="1"/>
      <c r="C519" s="1"/>
      <c r="D519" s="1"/>
      <c r="E519" s="1"/>
      <c r="F519" s="1"/>
      <c r="G519" s="1"/>
      <c r="H519" s="1"/>
      <c r="I519" s="1"/>
      <c r="J519" s="1"/>
      <c r="K519" s="89" t="s">
        <v>834</v>
      </c>
      <c r="L519" s="89" t="str">
        <f>A30</f>
        <v>C</v>
      </c>
      <c r="M519" s="89"/>
      <c r="N519" s="89" t="s">
        <v>835</v>
      </c>
      <c r="O519" s="92">
        <v>1.4382516E7</v>
      </c>
      <c r="P519" s="92">
        <v>1.2261812E7</v>
      </c>
      <c r="Q519" s="89" t="s">
        <v>802</v>
      </c>
      <c r="AF519" s="1"/>
      <c r="AG519" s="1"/>
    </row>
    <row r="520" ht="15.75" customHeight="1">
      <c r="A520" s="1"/>
      <c r="B520" s="1"/>
      <c r="C520" s="1"/>
      <c r="D520" s="1"/>
      <c r="E520" s="1"/>
      <c r="F520" s="1"/>
      <c r="G520" s="1"/>
      <c r="H520" s="1"/>
      <c r="I520" s="1"/>
      <c r="J520" s="1"/>
      <c r="K520" s="89" t="s">
        <v>836</v>
      </c>
      <c r="L520" s="89" t="str">
        <f>A30</f>
        <v>C</v>
      </c>
      <c r="M520" s="89"/>
      <c r="N520" s="89" t="s">
        <v>837</v>
      </c>
      <c r="O520" s="92">
        <v>1.4577044E7</v>
      </c>
      <c r="P520" s="92">
        <v>1.2465244E7</v>
      </c>
      <c r="Q520" s="89" t="s">
        <v>838</v>
      </c>
      <c r="AF520" s="1"/>
      <c r="AG520" s="1"/>
    </row>
    <row r="521" ht="15.75" customHeight="1">
      <c r="A521" s="1"/>
      <c r="B521" s="1"/>
      <c r="C521" s="1"/>
      <c r="D521" s="1"/>
      <c r="E521" s="1"/>
      <c r="F521" s="1"/>
      <c r="G521" s="1"/>
      <c r="H521" s="1"/>
      <c r="I521" s="1"/>
      <c r="J521" s="1"/>
      <c r="K521" s="89" t="s">
        <v>839</v>
      </c>
      <c r="L521" s="89" t="str">
        <f>A30</f>
        <v>C</v>
      </c>
      <c r="M521" s="89"/>
      <c r="N521" s="89" t="s">
        <v>840</v>
      </c>
      <c r="O521" s="92">
        <v>1.4587658E7</v>
      </c>
      <c r="P521" s="92">
        <v>1.2475858E7</v>
      </c>
      <c r="Q521" s="89" t="s">
        <v>838</v>
      </c>
      <c r="AF521" s="1"/>
      <c r="AG521" s="1"/>
    </row>
    <row r="522" ht="15.75" customHeight="1">
      <c r="A522" s="1"/>
      <c r="B522" s="1"/>
      <c r="C522" s="1"/>
      <c r="D522" s="1"/>
      <c r="E522" s="1"/>
      <c r="F522" s="1"/>
      <c r="G522" s="1"/>
      <c r="H522" s="1"/>
      <c r="I522" s="1"/>
      <c r="J522" s="1"/>
      <c r="K522" s="89" t="s">
        <v>841</v>
      </c>
      <c r="L522" s="89" t="str">
        <f>A30</f>
        <v>C</v>
      </c>
      <c r="M522" s="89"/>
      <c r="N522" s="89" t="s">
        <v>842</v>
      </c>
      <c r="O522" s="92">
        <v>1.468584E7</v>
      </c>
      <c r="P522" s="92">
        <v>1.2573906E7</v>
      </c>
      <c r="Q522" s="89" t="s">
        <v>802</v>
      </c>
      <c r="AF522" s="1"/>
      <c r="AG522" s="1"/>
    </row>
    <row r="523" ht="15.75" customHeight="1">
      <c r="A523" s="1"/>
      <c r="B523" s="1"/>
      <c r="C523" s="1"/>
      <c r="D523" s="1"/>
      <c r="E523" s="1"/>
      <c r="F523" s="1"/>
      <c r="G523" s="1"/>
      <c r="H523" s="1"/>
      <c r="I523" s="1"/>
      <c r="J523" s="1"/>
      <c r="K523" s="89" t="s">
        <v>843</v>
      </c>
      <c r="L523" s="89" t="str">
        <f>A30</f>
        <v>C</v>
      </c>
      <c r="M523" s="89"/>
      <c r="N523" s="89" t="s">
        <v>844</v>
      </c>
      <c r="O523" s="92">
        <v>1.4687942E7</v>
      </c>
      <c r="P523" s="92">
        <v>1.2576008E7</v>
      </c>
      <c r="Q523" s="89" t="s">
        <v>845</v>
      </c>
      <c r="AF523" s="1"/>
      <c r="AG523" s="1"/>
    </row>
    <row r="524" ht="15.75" customHeight="1">
      <c r="A524" s="1"/>
      <c r="B524" s="1"/>
      <c r="C524" s="1"/>
      <c r="D524" s="1"/>
      <c r="E524" s="1"/>
      <c r="F524" s="1"/>
      <c r="G524" s="1"/>
      <c r="H524" s="1"/>
      <c r="I524" s="1"/>
      <c r="J524" s="1"/>
      <c r="K524" s="89" t="s">
        <v>846</v>
      </c>
      <c r="L524" s="89" t="str">
        <f>A30</f>
        <v>C</v>
      </c>
      <c r="M524" s="89"/>
      <c r="N524" s="89" t="s">
        <v>847</v>
      </c>
      <c r="O524" s="92">
        <v>1.4742373E7</v>
      </c>
      <c r="P524" s="92">
        <v>1.2630441E7</v>
      </c>
      <c r="Q524" s="89" t="s">
        <v>802</v>
      </c>
      <c r="AF524" s="1"/>
      <c r="AG524" s="1"/>
    </row>
    <row r="525" ht="15.75" customHeight="1">
      <c r="A525" s="1"/>
      <c r="B525" s="1"/>
      <c r="C525" s="1"/>
      <c r="D525" s="1"/>
      <c r="E525" s="1"/>
      <c r="F525" s="1"/>
      <c r="G525" s="1"/>
      <c r="H525" s="1"/>
      <c r="I525" s="1"/>
      <c r="J525" s="1"/>
      <c r="K525" s="89" t="s">
        <v>848</v>
      </c>
      <c r="L525" s="89" t="str">
        <f>A30</f>
        <v>C</v>
      </c>
      <c r="M525" s="89"/>
      <c r="N525" s="89" t="s">
        <v>849</v>
      </c>
      <c r="O525" s="92">
        <v>1.475588E7</v>
      </c>
      <c r="P525" s="92">
        <v>1.2643949E7</v>
      </c>
      <c r="Q525" s="89" t="s">
        <v>802</v>
      </c>
      <c r="AF525" s="1"/>
      <c r="AG525" s="1"/>
    </row>
    <row r="526" ht="15.75" customHeight="1">
      <c r="A526" s="1"/>
      <c r="B526" s="1"/>
      <c r="C526" s="1"/>
      <c r="D526" s="1"/>
      <c r="E526" s="1"/>
      <c r="F526" s="1"/>
      <c r="G526" s="1"/>
      <c r="H526" s="1"/>
      <c r="I526" s="1"/>
      <c r="J526" s="1"/>
      <c r="K526" s="89" t="s">
        <v>850</v>
      </c>
      <c r="L526" s="89" t="str">
        <f>A30</f>
        <v>C</v>
      </c>
      <c r="M526" s="89"/>
      <c r="N526" s="89" t="s">
        <v>851</v>
      </c>
      <c r="O526" s="92">
        <v>1.5096036E7</v>
      </c>
      <c r="P526" s="92">
        <v>1.2984124E7</v>
      </c>
      <c r="Q526" s="89" t="s">
        <v>810</v>
      </c>
      <c r="AF526" s="1"/>
      <c r="AG526" s="1"/>
    </row>
    <row r="527" ht="15.75" customHeight="1">
      <c r="A527" s="1"/>
      <c r="B527" s="1"/>
      <c r="C527" s="1"/>
      <c r="D527" s="1"/>
      <c r="E527" s="1"/>
      <c r="F527" s="1"/>
      <c r="G527" s="1"/>
      <c r="H527" s="1"/>
      <c r="I527" s="1"/>
      <c r="J527" s="1"/>
      <c r="K527" s="89" t="s">
        <v>852</v>
      </c>
      <c r="L527" s="89" t="str">
        <f>A30</f>
        <v>C</v>
      </c>
      <c r="M527" s="89"/>
      <c r="N527" s="89" t="s">
        <v>853</v>
      </c>
      <c r="O527" s="92">
        <v>1.5257003E7</v>
      </c>
      <c r="P527" s="92">
        <v>1.3145087E7</v>
      </c>
      <c r="Q527" s="89" t="s">
        <v>813</v>
      </c>
      <c r="AF527" s="1"/>
      <c r="AG527" s="1"/>
    </row>
    <row r="528" ht="15.75" customHeight="1">
      <c r="A528" s="1"/>
      <c r="B528" s="1"/>
      <c r="C528" s="1"/>
      <c r="D528" s="1"/>
      <c r="E528" s="1"/>
      <c r="F528" s="1"/>
      <c r="G528" s="1"/>
      <c r="H528" s="1"/>
      <c r="I528" s="1"/>
      <c r="J528" s="1"/>
      <c r="K528" s="89" t="s">
        <v>854</v>
      </c>
      <c r="L528" s="89" t="str">
        <f>A30</f>
        <v>C</v>
      </c>
      <c r="M528" s="89"/>
      <c r="N528" s="89" t="s">
        <v>855</v>
      </c>
      <c r="O528" s="92">
        <v>1.5344716E7</v>
      </c>
      <c r="P528" s="92">
        <v>1.3232835E7</v>
      </c>
      <c r="Q528" s="89" t="s">
        <v>845</v>
      </c>
      <c r="AF528" s="1"/>
      <c r="AG528" s="1"/>
    </row>
    <row r="529" ht="15.75" customHeight="1">
      <c r="A529" s="1"/>
      <c r="B529" s="1"/>
      <c r="C529" s="1"/>
      <c r="D529" s="1"/>
      <c r="E529" s="1"/>
      <c r="F529" s="1"/>
      <c r="G529" s="1"/>
      <c r="H529" s="1"/>
      <c r="I529" s="1"/>
      <c r="J529" s="1"/>
      <c r="K529" s="89" t="s">
        <v>856</v>
      </c>
      <c r="L529" s="89" t="str">
        <f>A30</f>
        <v>C</v>
      </c>
      <c r="M529" s="89"/>
      <c r="N529" s="89" t="s">
        <v>857</v>
      </c>
      <c r="O529" s="92">
        <v>1.5762839E7</v>
      </c>
      <c r="P529" s="92">
        <v>1.3650959E7</v>
      </c>
      <c r="Q529" s="89" t="s">
        <v>822</v>
      </c>
      <c r="AF529" s="1"/>
      <c r="AG529" s="1"/>
    </row>
    <row r="530" ht="15.75" customHeight="1">
      <c r="A530" s="1"/>
      <c r="B530" s="1"/>
      <c r="C530" s="1"/>
      <c r="D530" s="1"/>
      <c r="E530" s="1"/>
      <c r="F530" s="1"/>
      <c r="G530" s="1"/>
      <c r="H530" s="1"/>
      <c r="I530" s="1"/>
      <c r="J530" s="1"/>
      <c r="K530" s="89" t="s">
        <v>858</v>
      </c>
      <c r="L530" s="89" t="str">
        <f>A30</f>
        <v>C</v>
      </c>
      <c r="M530" s="89"/>
      <c r="N530" s="89" t="s">
        <v>859</v>
      </c>
      <c r="O530" s="92">
        <v>1.5769171E7</v>
      </c>
      <c r="P530" s="92">
        <v>1.3657291E7</v>
      </c>
      <c r="Q530" s="89" t="s">
        <v>802</v>
      </c>
      <c r="AF530" s="1"/>
      <c r="AG530" s="1"/>
    </row>
    <row r="531" ht="15.75" customHeight="1">
      <c r="A531" s="1"/>
      <c r="B531" s="1"/>
      <c r="C531" s="1"/>
      <c r="D531" s="1"/>
      <c r="E531" s="1"/>
      <c r="F531" s="1"/>
      <c r="G531" s="1"/>
      <c r="H531" s="1"/>
      <c r="I531" s="1"/>
      <c r="J531" s="1"/>
      <c r="K531" s="89" t="s">
        <v>860</v>
      </c>
      <c r="L531" s="89" t="str">
        <f>A30</f>
        <v>C</v>
      </c>
      <c r="M531" s="89"/>
      <c r="N531" s="89" t="s">
        <v>861</v>
      </c>
      <c r="O531" s="92">
        <v>1.590916E7</v>
      </c>
      <c r="P531" s="92">
        <v>1.379728E7</v>
      </c>
      <c r="Q531" s="89" t="s">
        <v>802</v>
      </c>
      <c r="AF531" s="1"/>
      <c r="AG531" s="1"/>
    </row>
    <row r="532" ht="15.75" customHeight="1">
      <c r="A532" s="1"/>
      <c r="B532" s="1"/>
      <c r="C532" s="1"/>
      <c r="D532" s="1"/>
      <c r="E532" s="1"/>
      <c r="F532" s="1"/>
      <c r="G532" s="1"/>
      <c r="H532" s="1"/>
      <c r="I532" s="1"/>
      <c r="J532" s="1"/>
      <c r="K532" s="89" t="s">
        <v>862</v>
      </c>
      <c r="L532" s="89" t="str">
        <f>A30</f>
        <v>C</v>
      </c>
      <c r="M532" s="89"/>
      <c r="N532" s="89" t="s">
        <v>863</v>
      </c>
      <c r="O532" s="92">
        <v>1.6040014E7</v>
      </c>
      <c r="P532" s="92">
        <v>1.3928134E7</v>
      </c>
      <c r="Q532" s="89" t="s">
        <v>864</v>
      </c>
      <c r="AF532" s="1"/>
      <c r="AG532" s="1"/>
    </row>
    <row r="533" ht="15.75" customHeight="1">
      <c r="A533" s="1"/>
      <c r="B533" s="1"/>
      <c r="C533" s="1"/>
      <c r="D533" s="1"/>
      <c r="E533" s="1"/>
      <c r="F533" s="1"/>
      <c r="G533" s="1"/>
      <c r="H533" s="1"/>
      <c r="I533" s="1"/>
      <c r="J533" s="1"/>
      <c r="K533" s="89" t="s">
        <v>865</v>
      </c>
      <c r="L533" s="89" t="str">
        <f>A30</f>
        <v>C</v>
      </c>
      <c r="M533" s="89"/>
      <c r="N533" s="89" t="s">
        <v>866</v>
      </c>
      <c r="O533" s="92">
        <v>1.6242575E7</v>
      </c>
      <c r="P533" s="92">
        <v>1.4130695E7</v>
      </c>
      <c r="Q533" s="89" t="s">
        <v>810</v>
      </c>
      <c r="AF533" s="1"/>
      <c r="AG533" s="1"/>
    </row>
    <row r="534" ht="15.75" customHeight="1">
      <c r="A534" s="1"/>
      <c r="B534" s="1"/>
      <c r="C534" s="1"/>
      <c r="D534" s="1"/>
      <c r="E534" s="1"/>
      <c r="F534" s="1"/>
      <c r="G534" s="1"/>
      <c r="H534" s="1"/>
      <c r="I534" s="1"/>
      <c r="J534" s="1"/>
      <c r="K534" s="89" t="s">
        <v>867</v>
      </c>
      <c r="L534" s="89" t="str">
        <f>A30</f>
        <v>C</v>
      </c>
      <c r="M534" s="89"/>
      <c r="N534" s="89" t="s">
        <v>868</v>
      </c>
      <c r="O534" s="92">
        <v>1.6275407E7</v>
      </c>
      <c r="P534" s="92">
        <v>1.4163527E7</v>
      </c>
      <c r="Q534" s="89" t="s">
        <v>802</v>
      </c>
      <c r="AF534" s="1"/>
      <c r="AG534" s="1"/>
    </row>
    <row r="535" ht="15.75" customHeight="1">
      <c r="A535" s="1"/>
      <c r="B535" s="1"/>
      <c r="C535" s="1"/>
      <c r="D535" s="1"/>
      <c r="E535" s="1"/>
      <c r="F535" s="1"/>
      <c r="G535" s="1"/>
      <c r="H535" s="1"/>
      <c r="I535" s="1"/>
      <c r="J535" s="1"/>
      <c r="K535" s="89" t="s">
        <v>869</v>
      </c>
      <c r="L535" s="89" t="str">
        <f>A30</f>
        <v>C</v>
      </c>
      <c r="M535" s="89"/>
      <c r="N535" s="89" t="s">
        <v>870</v>
      </c>
      <c r="O535" s="92">
        <v>1.6490115E7</v>
      </c>
      <c r="P535" s="92">
        <v>1.4378235E7</v>
      </c>
      <c r="Q535" s="89" t="s">
        <v>810</v>
      </c>
      <c r="AF535" s="1"/>
      <c r="AG535" s="1"/>
    </row>
    <row r="536" ht="15.75" customHeight="1">
      <c r="A536" s="1"/>
      <c r="B536" s="1"/>
      <c r="C536" s="1"/>
      <c r="D536" s="1"/>
      <c r="E536" s="1"/>
      <c r="F536" s="1"/>
      <c r="G536" s="1"/>
      <c r="H536" s="1"/>
      <c r="I536" s="1"/>
      <c r="J536" s="1"/>
      <c r="K536" s="89" t="s">
        <v>871</v>
      </c>
      <c r="L536" s="89" t="str">
        <f>A30</f>
        <v>C</v>
      </c>
      <c r="M536" s="89"/>
      <c r="N536" s="89" t="s">
        <v>872</v>
      </c>
      <c r="O536" s="92">
        <v>1.6574499E7</v>
      </c>
      <c r="P536" s="92">
        <v>1.4462619E7</v>
      </c>
      <c r="Q536" s="89" t="s">
        <v>845</v>
      </c>
      <c r="AF536" s="1"/>
      <c r="AG536" s="1"/>
    </row>
    <row r="537" ht="15.75" customHeight="1">
      <c r="A537" s="1"/>
      <c r="B537" s="1"/>
      <c r="C537" s="1"/>
      <c r="D537" s="1"/>
      <c r="E537" s="1"/>
      <c r="F537" s="1"/>
      <c r="G537" s="1"/>
      <c r="H537" s="1"/>
      <c r="I537" s="1"/>
      <c r="J537" s="1"/>
      <c r="K537" s="89" t="s">
        <v>873</v>
      </c>
      <c r="L537" s="89" t="str">
        <f>A30</f>
        <v>C</v>
      </c>
      <c r="M537" s="89"/>
      <c r="N537" s="89" t="s">
        <v>874</v>
      </c>
      <c r="O537" s="92">
        <v>1.6726281E7</v>
      </c>
      <c r="P537" s="92">
        <v>1.4614401E7</v>
      </c>
      <c r="Q537" s="89" t="s">
        <v>810</v>
      </c>
      <c r="AF537" s="1"/>
      <c r="AG537" s="1"/>
    </row>
    <row r="538" ht="15.75" customHeight="1">
      <c r="A538" s="1"/>
      <c r="B538" s="1"/>
      <c r="C538" s="1"/>
      <c r="D538" s="1"/>
      <c r="E538" s="1"/>
      <c r="F538" s="1"/>
      <c r="G538" s="1"/>
      <c r="H538" s="1"/>
      <c r="I538" s="1"/>
      <c r="J538" s="1"/>
      <c r="K538" s="89" t="s">
        <v>875</v>
      </c>
      <c r="L538" s="89" t="str">
        <f>A30</f>
        <v>C</v>
      </c>
      <c r="M538" s="89"/>
      <c r="N538" s="89" t="s">
        <v>876</v>
      </c>
      <c r="O538" s="92">
        <v>1.6780809E7</v>
      </c>
      <c r="P538" s="92">
        <v>1.4668929E7</v>
      </c>
      <c r="Q538" s="89" t="s">
        <v>810</v>
      </c>
      <c r="AF538" s="1"/>
      <c r="AG538" s="1"/>
    </row>
    <row r="539" ht="15.75" customHeight="1">
      <c r="A539" s="1"/>
      <c r="B539" s="1"/>
      <c r="C539" s="1"/>
      <c r="D539" s="1"/>
      <c r="E539" s="1"/>
      <c r="F539" s="1"/>
      <c r="G539" s="1"/>
      <c r="H539" s="1"/>
      <c r="I539" s="1"/>
      <c r="J539" s="1"/>
      <c r="K539" s="89" t="s">
        <v>877</v>
      </c>
      <c r="L539" s="89" t="str">
        <f>A30</f>
        <v>C</v>
      </c>
      <c r="M539" s="89"/>
      <c r="N539" s="89" t="s">
        <v>878</v>
      </c>
      <c r="O539" s="92">
        <v>1.6863918E7</v>
      </c>
      <c r="P539" s="92">
        <v>1.4752038E7</v>
      </c>
      <c r="Q539" s="89" t="s">
        <v>879</v>
      </c>
      <c r="AF539" s="1"/>
      <c r="AG539" s="1"/>
    </row>
    <row r="540" ht="15.75" customHeight="1">
      <c r="A540" s="1"/>
      <c r="B540" s="1"/>
      <c r="C540" s="1"/>
      <c r="D540" s="1"/>
      <c r="E540" s="1"/>
      <c r="F540" s="1"/>
      <c r="G540" s="1"/>
      <c r="H540" s="1"/>
      <c r="I540" s="1"/>
      <c r="J540" s="1"/>
      <c r="K540" s="89" t="s">
        <v>880</v>
      </c>
      <c r="L540" s="89" t="str">
        <f>A30</f>
        <v>C</v>
      </c>
      <c r="M540" s="89"/>
      <c r="N540" s="89" t="s">
        <v>881</v>
      </c>
      <c r="O540" s="92">
        <v>1.6932181E7</v>
      </c>
      <c r="P540" s="92">
        <v>1.4820301E7</v>
      </c>
      <c r="Q540" s="89" t="s">
        <v>802</v>
      </c>
      <c r="AF540" s="1"/>
      <c r="AG540" s="1"/>
    </row>
    <row r="541" ht="15.75" customHeight="1">
      <c r="A541" s="1"/>
      <c r="B541" s="1"/>
      <c r="C541" s="1"/>
      <c r="D541" s="1"/>
      <c r="E541" s="1"/>
      <c r="F541" s="1"/>
      <c r="G541" s="1"/>
      <c r="H541" s="1"/>
      <c r="I541" s="1"/>
      <c r="J541" s="1"/>
      <c r="K541" s="89" t="s">
        <v>882</v>
      </c>
      <c r="L541" s="89" t="str">
        <f>A30</f>
        <v>C</v>
      </c>
      <c r="M541" s="89"/>
      <c r="N541" s="89" t="s">
        <v>883</v>
      </c>
      <c r="O541" s="92">
        <v>1.7175773E7</v>
      </c>
      <c r="P541" s="92">
        <v>1.5063893E7</v>
      </c>
      <c r="Q541" s="89" t="s">
        <v>838</v>
      </c>
      <c r="AF541" s="1"/>
      <c r="AG541" s="1"/>
    </row>
    <row r="542" ht="15.75" customHeight="1">
      <c r="A542" s="1"/>
      <c r="B542" s="1"/>
      <c r="C542" s="1"/>
      <c r="D542" s="1"/>
      <c r="E542" s="1"/>
      <c r="F542" s="1"/>
      <c r="G542" s="1"/>
      <c r="H542" s="1"/>
      <c r="I542" s="1"/>
      <c r="J542" s="1"/>
      <c r="K542" s="89" t="s">
        <v>884</v>
      </c>
      <c r="L542" s="89" t="str">
        <f>A30</f>
        <v>C</v>
      </c>
      <c r="M542" s="89"/>
      <c r="N542" s="89" t="s">
        <v>885</v>
      </c>
      <c r="O542" s="92">
        <v>1.7176797E7</v>
      </c>
      <c r="P542" s="92">
        <v>1.5064917E7</v>
      </c>
      <c r="Q542" s="89" t="s">
        <v>886</v>
      </c>
      <c r="AF542" s="1"/>
      <c r="AG542" s="1"/>
    </row>
    <row r="543" ht="15.75" customHeight="1">
      <c r="A543" s="1"/>
      <c r="B543" s="1"/>
      <c r="C543" s="1"/>
      <c r="D543" s="1"/>
      <c r="E543" s="1"/>
      <c r="F543" s="1"/>
      <c r="G543" s="1"/>
      <c r="H543" s="1"/>
      <c r="I543" s="1"/>
      <c r="J543" s="1"/>
      <c r="K543" s="89" t="s">
        <v>887</v>
      </c>
      <c r="L543" s="89" t="str">
        <f>A30</f>
        <v>C</v>
      </c>
      <c r="M543" s="89"/>
      <c r="N543" s="89" t="s">
        <v>888</v>
      </c>
      <c r="O543" s="92">
        <v>1.71934E7</v>
      </c>
      <c r="P543" s="92">
        <v>1.508152E7</v>
      </c>
      <c r="Q543" s="89" t="s">
        <v>802</v>
      </c>
      <c r="AF543" s="1"/>
      <c r="AG543" s="1"/>
    </row>
    <row r="544" ht="15.75" customHeight="1">
      <c r="A544" s="1"/>
      <c r="B544" s="1"/>
      <c r="C544" s="1"/>
      <c r="D544" s="1"/>
      <c r="E544" s="1"/>
      <c r="F544" s="1"/>
      <c r="G544" s="1"/>
      <c r="H544" s="1"/>
      <c r="I544" s="1"/>
      <c r="J544" s="1"/>
      <c r="K544" s="89" t="s">
        <v>889</v>
      </c>
      <c r="L544" s="89" t="str">
        <f>A30</f>
        <v>C</v>
      </c>
      <c r="M544" s="89" t="s">
        <v>890</v>
      </c>
      <c r="N544" s="89" t="s">
        <v>891</v>
      </c>
      <c r="O544" s="92">
        <v>1.7412198E7</v>
      </c>
      <c r="P544" s="92">
        <v>1.5300318E7</v>
      </c>
      <c r="Q544" s="89" t="s">
        <v>838</v>
      </c>
      <c r="AF544" s="1"/>
      <c r="AG544" s="1"/>
    </row>
    <row r="545" ht="15.75" customHeight="1">
      <c r="A545" s="1"/>
      <c r="B545" s="1"/>
      <c r="C545" s="1"/>
      <c r="D545" s="1"/>
      <c r="E545" s="1"/>
      <c r="F545" s="1"/>
      <c r="G545" s="1"/>
      <c r="H545" s="1"/>
      <c r="I545" s="1"/>
      <c r="J545" s="1"/>
      <c r="K545" s="89" t="s">
        <v>892</v>
      </c>
      <c r="L545" s="89" t="str">
        <f>A30</f>
        <v>C</v>
      </c>
      <c r="M545" s="89" t="s">
        <v>893</v>
      </c>
      <c r="N545" s="89" t="s">
        <v>891</v>
      </c>
      <c r="O545" s="92">
        <v>1.7412198E7</v>
      </c>
      <c r="P545" s="92">
        <v>1.5300318E7</v>
      </c>
      <c r="Q545" s="89" t="s">
        <v>838</v>
      </c>
      <c r="AF545" s="1"/>
      <c r="AG545" s="1"/>
    </row>
    <row r="546" ht="15.75" customHeight="1">
      <c r="A546" s="1"/>
      <c r="B546" s="1"/>
      <c r="C546" s="1"/>
      <c r="D546" s="1"/>
      <c r="E546" s="1"/>
      <c r="F546" s="1"/>
      <c r="G546" s="1"/>
      <c r="H546" s="1"/>
      <c r="I546" s="1"/>
      <c r="J546" s="1"/>
      <c r="K546" s="89" t="s">
        <v>894</v>
      </c>
      <c r="L546" s="89" t="str">
        <f>A30</f>
        <v>C</v>
      </c>
      <c r="M546" s="89" t="s">
        <v>895</v>
      </c>
      <c r="N546" s="89" t="s">
        <v>891</v>
      </c>
      <c r="O546" s="92">
        <v>1.7412198E7</v>
      </c>
      <c r="P546" s="92">
        <v>1.5300318E7</v>
      </c>
      <c r="Q546" s="89" t="s">
        <v>838</v>
      </c>
      <c r="AF546" s="1"/>
      <c r="AG546" s="1"/>
    </row>
    <row r="547" ht="15.75" customHeight="1">
      <c r="A547" s="1"/>
      <c r="B547" s="1"/>
      <c r="C547" s="1"/>
      <c r="D547" s="1"/>
      <c r="E547" s="1"/>
      <c r="F547" s="1"/>
      <c r="G547" s="1"/>
      <c r="H547" s="1"/>
      <c r="I547" s="1"/>
      <c r="J547" s="1"/>
      <c r="K547" s="89" t="s">
        <v>896</v>
      </c>
      <c r="L547" s="89" t="str">
        <f>A30</f>
        <v>C</v>
      </c>
      <c r="M547" s="89"/>
      <c r="N547" s="89" t="s">
        <v>897</v>
      </c>
      <c r="O547" s="92">
        <v>1.7648352E7</v>
      </c>
      <c r="P547" s="92">
        <v>1.5536472E7</v>
      </c>
      <c r="Q547" s="89" t="s">
        <v>879</v>
      </c>
      <c r="AF547" s="1"/>
      <c r="AG547" s="1"/>
    </row>
    <row r="548" ht="15.75" customHeight="1">
      <c r="A548" s="1"/>
      <c r="B548" s="1"/>
      <c r="C548" s="1"/>
      <c r="D548" s="1"/>
      <c r="E548" s="1"/>
      <c r="F548" s="1"/>
      <c r="G548" s="1"/>
      <c r="H548" s="1"/>
      <c r="I548" s="1"/>
      <c r="J548" s="1"/>
      <c r="K548" s="89" t="s">
        <v>898</v>
      </c>
      <c r="L548" s="89" t="str">
        <f>A30</f>
        <v>C</v>
      </c>
      <c r="M548" s="89"/>
      <c r="N548" s="89" t="s">
        <v>899</v>
      </c>
      <c r="O548" s="92">
        <v>1.7748163E7</v>
      </c>
      <c r="P548" s="92">
        <v>1.5636283E7</v>
      </c>
      <c r="Q548" s="89" t="s">
        <v>838</v>
      </c>
      <c r="AF548" s="1"/>
      <c r="AG548" s="1"/>
    </row>
    <row r="549" ht="15.75" customHeight="1">
      <c r="A549" s="1"/>
      <c r="B549" s="1"/>
      <c r="C549" s="1"/>
      <c r="D549" s="1"/>
      <c r="E549" s="1"/>
      <c r="F549" s="1"/>
      <c r="G549" s="1"/>
      <c r="H549" s="1"/>
      <c r="I549" s="1"/>
      <c r="J549" s="1"/>
      <c r="K549" s="89" t="s">
        <v>900</v>
      </c>
      <c r="L549" s="89" t="str">
        <f>A30</f>
        <v>C</v>
      </c>
      <c r="M549" s="89"/>
      <c r="N549" s="89" t="s">
        <v>901</v>
      </c>
      <c r="O549" s="92">
        <v>1.7851862E7</v>
      </c>
      <c r="P549" s="92">
        <v>1.5739982E7</v>
      </c>
      <c r="Q549" s="89" t="s">
        <v>802</v>
      </c>
      <c r="AF549" s="1"/>
      <c r="AG549" s="1"/>
    </row>
    <row r="550" ht="15.75" customHeight="1">
      <c r="A550" s="1"/>
      <c r="B550" s="1"/>
      <c r="C550" s="1"/>
      <c r="D550" s="1"/>
      <c r="E550" s="1"/>
      <c r="F550" s="1"/>
      <c r="G550" s="1"/>
      <c r="H550" s="1"/>
      <c r="I550" s="1"/>
      <c r="J550" s="1"/>
      <c r="K550" s="89" t="s">
        <v>902</v>
      </c>
      <c r="L550" s="89" t="str">
        <f>A30</f>
        <v>C</v>
      </c>
      <c r="M550" s="89"/>
      <c r="N550" s="89" t="s">
        <v>903</v>
      </c>
      <c r="O550" s="92">
        <v>1.8086E7</v>
      </c>
      <c r="P550" s="92">
        <v>1.597412E7</v>
      </c>
      <c r="Q550" s="89" t="s">
        <v>802</v>
      </c>
      <c r="AF550" s="1"/>
      <c r="AG550" s="1"/>
    </row>
    <row r="551" ht="15.75" customHeight="1">
      <c r="A551" s="1"/>
      <c r="B551" s="1"/>
      <c r="C551" s="1"/>
      <c r="D551" s="1"/>
      <c r="E551" s="1"/>
      <c r="F551" s="1"/>
      <c r="G551" s="1"/>
      <c r="H551" s="1"/>
      <c r="I551" s="1"/>
      <c r="J551" s="1"/>
      <c r="K551" s="89" t="s">
        <v>904</v>
      </c>
      <c r="L551" s="89" t="str">
        <f>A30</f>
        <v>C</v>
      </c>
      <c r="M551" s="89"/>
      <c r="N551" s="89" t="s">
        <v>905</v>
      </c>
      <c r="O551" s="92">
        <v>1.8088599E7</v>
      </c>
      <c r="P551" s="92">
        <v>1.5976719E7</v>
      </c>
      <c r="Q551" s="89" t="s">
        <v>810</v>
      </c>
      <c r="AF551" s="1"/>
      <c r="AG551" s="1"/>
    </row>
    <row r="552" ht="15.75" customHeight="1">
      <c r="A552" s="1"/>
      <c r="B552" s="1"/>
      <c r="C552" s="1"/>
      <c r="D552" s="1"/>
      <c r="E552" s="1"/>
      <c r="F552" s="1"/>
      <c r="G552" s="1"/>
      <c r="H552" s="1"/>
      <c r="I552" s="1"/>
      <c r="J552" s="1"/>
      <c r="K552" s="89" t="s">
        <v>906</v>
      </c>
      <c r="L552" s="89" t="str">
        <f>A30</f>
        <v>C</v>
      </c>
      <c r="M552" s="89"/>
      <c r="N552" s="89" t="s">
        <v>907</v>
      </c>
      <c r="O552" s="92">
        <v>1.8186596E7</v>
      </c>
      <c r="P552" s="92">
        <v>1.6074716E7</v>
      </c>
      <c r="Q552" s="89" t="s">
        <v>802</v>
      </c>
      <c r="AF552" s="1"/>
      <c r="AG552" s="1"/>
    </row>
    <row r="553" ht="15.75" customHeight="1">
      <c r="A553" s="1"/>
      <c r="B553" s="1"/>
      <c r="C553" s="1"/>
      <c r="D553" s="1"/>
      <c r="E553" s="1"/>
      <c r="F553" s="1"/>
      <c r="G553" s="1"/>
      <c r="H553" s="1"/>
      <c r="I553" s="1"/>
      <c r="J553" s="1"/>
      <c r="K553" s="89" t="s">
        <v>908</v>
      </c>
      <c r="L553" s="89" t="str">
        <f>A30</f>
        <v>C</v>
      </c>
      <c r="M553" s="89"/>
      <c r="N553" s="89" t="s">
        <v>909</v>
      </c>
      <c r="O553" s="92">
        <v>1.8878873E7</v>
      </c>
      <c r="P553" s="92">
        <v>1.6766993E7</v>
      </c>
      <c r="Q553" s="89" t="s">
        <v>810</v>
      </c>
      <c r="AF553" s="1"/>
      <c r="AG553" s="1"/>
    </row>
    <row r="554" ht="15.75" customHeight="1">
      <c r="A554" s="1"/>
      <c r="B554" s="1"/>
      <c r="C554" s="1"/>
      <c r="D554" s="1"/>
      <c r="E554" s="1"/>
      <c r="F554" s="1"/>
      <c r="G554" s="1"/>
      <c r="H554" s="1"/>
      <c r="I554" s="1"/>
      <c r="J554" s="1"/>
      <c r="K554" s="89" t="s">
        <v>910</v>
      </c>
      <c r="L554" s="89" t="str">
        <f>A30</f>
        <v>C</v>
      </c>
      <c r="M554" s="89"/>
      <c r="N554" s="89" t="s">
        <v>911</v>
      </c>
      <c r="O554" s="92">
        <v>1.8990246E7</v>
      </c>
      <c r="P554" s="92">
        <v>1.6878366E7</v>
      </c>
      <c r="Q554" s="89" t="s">
        <v>912</v>
      </c>
      <c r="AF554" s="1"/>
      <c r="AG554" s="1"/>
    </row>
    <row r="555" ht="15.75" customHeight="1">
      <c r="A555" s="1"/>
      <c r="B555" s="1"/>
      <c r="C555" s="1"/>
      <c r="D555" s="1"/>
      <c r="E555" s="1"/>
      <c r="F555" s="1"/>
      <c r="G555" s="1"/>
      <c r="H555" s="1"/>
      <c r="I555" s="1"/>
      <c r="J555" s="1"/>
      <c r="K555" s="89" t="s">
        <v>913</v>
      </c>
      <c r="L555" s="89" t="str">
        <f>A30</f>
        <v>C</v>
      </c>
      <c r="M555" s="89"/>
      <c r="N555" s="89" t="s">
        <v>914</v>
      </c>
      <c r="O555" s="92">
        <v>1.9022181E7</v>
      </c>
      <c r="P555" s="92">
        <v>1.6910301E7</v>
      </c>
      <c r="Q555" s="89" t="s">
        <v>845</v>
      </c>
      <c r="AF555" s="1"/>
      <c r="AG555" s="1"/>
    </row>
    <row r="556" ht="15.75" customHeight="1">
      <c r="A556" s="1"/>
      <c r="B556" s="1"/>
      <c r="C556" s="1"/>
      <c r="D556" s="1"/>
      <c r="E556" s="1"/>
      <c r="F556" s="1"/>
      <c r="G556" s="1"/>
      <c r="H556" s="1"/>
      <c r="I556" s="1"/>
      <c r="J556" s="1"/>
      <c r="K556" s="89" t="s">
        <v>915</v>
      </c>
      <c r="L556" s="89" t="str">
        <f>A30</f>
        <v>C</v>
      </c>
      <c r="M556" s="89"/>
      <c r="N556" s="89" t="s">
        <v>916</v>
      </c>
      <c r="O556" s="92">
        <v>1.9246276E7</v>
      </c>
      <c r="P556" s="92">
        <v>1.7134396E7</v>
      </c>
      <c r="Q556" s="89" t="s">
        <v>917</v>
      </c>
      <c r="AF556" s="1"/>
      <c r="AG556" s="1"/>
    </row>
    <row r="557" ht="15.75" customHeight="1">
      <c r="A557" s="1"/>
      <c r="B557" s="1"/>
      <c r="C557" s="1"/>
      <c r="D557" s="1"/>
      <c r="E557" s="1"/>
      <c r="F557" s="1"/>
      <c r="G557" s="1"/>
      <c r="H557" s="1"/>
      <c r="I557" s="1"/>
      <c r="J557" s="1"/>
      <c r="K557" s="89" t="s">
        <v>918</v>
      </c>
      <c r="L557" s="89" t="str">
        <f>A30</f>
        <v>C</v>
      </c>
      <c r="M557" s="89"/>
      <c r="N557" s="89" t="s">
        <v>919</v>
      </c>
      <c r="O557" s="92">
        <v>1.9269854E7</v>
      </c>
      <c r="P557" s="92">
        <v>1.7157974E7</v>
      </c>
      <c r="Q557" s="89" t="s">
        <v>886</v>
      </c>
      <c r="AF557" s="1"/>
      <c r="AG557" s="1"/>
    </row>
    <row r="558" ht="15.75" customHeight="1">
      <c r="A558" s="1"/>
      <c r="B558" s="1"/>
      <c r="C558" s="1"/>
      <c r="D558" s="1"/>
      <c r="E558" s="1"/>
      <c r="F558" s="1"/>
      <c r="G558" s="1"/>
      <c r="H558" s="1"/>
      <c r="I558" s="1"/>
      <c r="J558" s="1"/>
      <c r="K558" s="89" t="s">
        <v>920</v>
      </c>
      <c r="L558" s="89" t="str">
        <f>A30</f>
        <v>C</v>
      </c>
      <c r="M558" s="89"/>
      <c r="N558" s="89" t="s">
        <v>921</v>
      </c>
      <c r="O558" s="92">
        <v>1.9301681E7</v>
      </c>
      <c r="P558" s="92">
        <v>1.7189801E7</v>
      </c>
      <c r="Q558" s="89" t="s">
        <v>879</v>
      </c>
      <c r="AF558" s="1"/>
      <c r="AG558" s="1"/>
    </row>
    <row r="559" ht="15.75" customHeight="1">
      <c r="A559" s="1"/>
      <c r="B559" s="1"/>
      <c r="C559" s="1"/>
      <c r="D559" s="1"/>
      <c r="E559" s="1"/>
      <c r="F559" s="1"/>
      <c r="G559" s="1"/>
      <c r="H559" s="1"/>
      <c r="I559" s="1"/>
      <c r="J559" s="1"/>
      <c r="K559" s="89" t="s">
        <v>922</v>
      </c>
      <c r="L559" s="89" t="str">
        <f>A30</f>
        <v>C</v>
      </c>
      <c r="M559" s="89"/>
      <c r="N559" s="89" t="s">
        <v>923</v>
      </c>
      <c r="O559" s="92">
        <v>1.9353691E7</v>
      </c>
      <c r="P559" s="92">
        <v>1.7241811E7</v>
      </c>
      <c r="Q559" s="89" t="s">
        <v>810</v>
      </c>
      <c r="AF559" s="1"/>
      <c r="AG559" s="1"/>
    </row>
    <row r="560" ht="15.75" customHeight="1">
      <c r="A560" s="1"/>
      <c r="B560" s="1"/>
      <c r="C560" s="1"/>
      <c r="D560" s="1"/>
      <c r="E560" s="1"/>
      <c r="F560" s="1"/>
      <c r="G560" s="1"/>
      <c r="H560" s="1"/>
      <c r="I560" s="1"/>
      <c r="J560" s="1"/>
      <c r="K560" s="89" t="s">
        <v>924</v>
      </c>
      <c r="L560" s="89" t="str">
        <f>A30</f>
        <v>C</v>
      </c>
      <c r="M560" s="89" t="s">
        <v>925</v>
      </c>
      <c r="N560" s="89" t="s">
        <v>926</v>
      </c>
      <c r="O560" s="92">
        <v>1.9361507E7</v>
      </c>
      <c r="P560" s="92">
        <v>1.7249627E7</v>
      </c>
      <c r="Q560" s="89" t="s">
        <v>810</v>
      </c>
      <c r="AF560" s="1"/>
      <c r="AG560" s="1"/>
    </row>
    <row r="561" ht="15.75" customHeight="1">
      <c r="A561" s="1"/>
      <c r="B561" s="1"/>
      <c r="C561" s="1"/>
      <c r="D561" s="1"/>
      <c r="E561" s="1"/>
      <c r="F561" s="1"/>
      <c r="G561" s="1"/>
      <c r="H561" s="1"/>
      <c r="I561" s="1"/>
      <c r="J561" s="1"/>
      <c r="K561" s="89" t="s">
        <v>925</v>
      </c>
      <c r="L561" s="89" t="str">
        <f>A30</f>
        <v>C</v>
      </c>
      <c r="M561" s="89" t="s">
        <v>924</v>
      </c>
      <c r="N561" s="89" t="s">
        <v>926</v>
      </c>
      <c r="O561" s="92">
        <v>1.9361507E7</v>
      </c>
      <c r="P561" s="92">
        <v>1.7249627E7</v>
      </c>
      <c r="Q561" s="89" t="s">
        <v>810</v>
      </c>
      <c r="AF561" s="1"/>
      <c r="AG561" s="1"/>
    </row>
    <row r="562" ht="15.75" customHeight="1">
      <c r="A562" s="1"/>
      <c r="B562" s="1"/>
      <c r="C562" s="1"/>
      <c r="D562" s="1"/>
      <c r="E562" s="1"/>
      <c r="F562" s="1"/>
      <c r="G562" s="1"/>
      <c r="H562" s="1"/>
      <c r="I562" s="1"/>
      <c r="J562" s="1"/>
      <c r="K562" s="89" t="s">
        <v>927</v>
      </c>
      <c r="L562" s="89" t="str">
        <f>A30</f>
        <v>C</v>
      </c>
      <c r="M562" s="89"/>
      <c r="N562" s="89" t="s">
        <v>928</v>
      </c>
      <c r="O562" s="92">
        <v>1.9457443E7</v>
      </c>
      <c r="P562" s="92">
        <v>1.7345563E7</v>
      </c>
      <c r="Q562" s="89" t="s">
        <v>822</v>
      </c>
      <c r="AF562" s="1"/>
      <c r="AG562" s="1"/>
    </row>
    <row r="563" ht="15.75" customHeight="1">
      <c r="A563" s="1"/>
      <c r="B563" s="1"/>
      <c r="C563" s="1"/>
      <c r="D563" s="1"/>
      <c r="E563" s="1"/>
      <c r="F563" s="1"/>
      <c r="G563" s="1"/>
      <c r="H563" s="1"/>
      <c r="I563" s="1"/>
      <c r="J563" s="1"/>
      <c r="K563" s="89" t="s">
        <v>929</v>
      </c>
      <c r="L563" s="89" t="str">
        <f>A30</f>
        <v>C</v>
      </c>
      <c r="M563" s="89"/>
      <c r="N563" s="89" t="s">
        <v>930</v>
      </c>
      <c r="O563" s="92">
        <v>1.9500986E7</v>
      </c>
      <c r="P563" s="92">
        <v>1.7389106E7</v>
      </c>
      <c r="Q563" s="89" t="s">
        <v>810</v>
      </c>
      <c r="AF563" s="1"/>
      <c r="AG563" s="1"/>
    </row>
    <row r="564" ht="15.75" customHeight="1">
      <c r="A564" s="1"/>
      <c r="B564" s="1"/>
      <c r="C564" s="1"/>
      <c r="D564" s="1"/>
      <c r="E564" s="1"/>
      <c r="F564" s="1"/>
      <c r="G564" s="1"/>
      <c r="H564" s="1"/>
      <c r="I564" s="1"/>
      <c r="J564" s="1"/>
      <c r="K564" s="89" t="s">
        <v>931</v>
      </c>
      <c r="L564" s="89" t="str">
        <f>A30</f>
        <v>C</v>
      </c>
      <c r="M564" s="89"/>
      <c r="N564" s="89" t="s">
        <v>932</v>
      </c>
      <c r="O564" s="92">
        <v>1.9525421E7</v>
      </c>
      <c r="P564" s="92">
        <v>1.7413541E7</v>
      </c>
      <c r="Q564" s="89" t="s">
        <v>802</v>
      </c>
      <c r="AF564" s="1"/>
      <c r="AG564" s="1"/>
    </row>
    <row r="565" ht="15.75" customHeight="1">
      <c r="A565" s="1"/>
      <c r="B565" s="1"/>
      <c r="C565" s="1"/>
      <c r="D565" s="1"/>
      <c r="E565" s="1"/>
      <c r="F565" s="1"/>
      <c r="G565" s="1"/>
      <c r="H565" s="1"/>
      <c r="I565" s="1"/>
      <c r="J565" s="1"/>
      <c r="K565" s="89" t="s">
        <v>933</v>
      </c>
      <c r="L565" s="89" t="str">
        <f>A30</f>
        <v>C</v>
      </c>
      <c r="M565" s="89"/>
      <c r="N565" s="89" t="s">
        <v>934</v>
      </c>
      <c r="O565" s="92">
        <v>2.2714249E7</v>
      </c>
      <c r="P565" s="92">
        <v>2.0552363E7</v>
      </c>
      <c r="Q565" s="89" t="s">
        <v>810</v>
      </c>
      <c r="AF565" s="1"/>
      <c r="AG565" s="1"/>
    </row>
    <row r="566" ht="15.75" customHeight="1">
      <c r="A566" s="1"/>
      <c r="B566" s="1"/>
      <c r="C566" s="1"/>
      <c r="D566" s="1"/>
      <c r="E566" s="1"/>
      <c r="F566" s="1"/>
      <c r="G566" s="1"/>
      <c r="H566" s="1"/>
      <c r="I566" s="1"/>
      <c r="J566" s="1"/>
      <c r="K566" s="89" t="s">
        <v>935</v>
      </c>
      <c r="L566" s="89" t="str">
        <f>A30</f>
        <v>C</v>
      </c>
      <c r="M566" s="89"/>
      <c r="N566" s="89" t="s">
        <v>936</v>
      </c>
      <c r="O566" s="92">
        <v>2.2726491E7</v>
      </c>
      <c r="P566" s="92">
        <v>2.0564605E7</v>
      </c>
      <c r="Q566" s="89" t="s">
        <v>802</v>
      </c>
      <c r="AF566" s="1"/>
      <c r="AG566" s="1"/>
    </row>
    <row r="567" ht="15.75" customHeight="1">
      <c r="A567" s="1"/>
      <c r="B567" s="1"/>
      <c r="C567" s="1"/>
      <c r="D567" s="1"/>
      <c r="E567" s="1"/>
      <c r="F567" s="1"/>
      <c r="G567" s="1"/>
      <c r="H567" s="1"/>
      <c r="I567" s="1"/>
      <c r="J567" s="1"/>
      <c r="K567" s="89" t="s">
        <v>937</v>
      </c>
      <c r="L567" s="89" t="str">
        <f>A30</f>
        <v>C</v>
      </c>
      <c r="M567" s="89"/>
      <c r="N567" s="89" t="s">
        <v>938</v>
      </c>
      <c r="O567" s="92">
        <v>2.2775162E7</v>
      </c>
      <c r="P567" s="92">
        <v>2.0613276E7</v>
      </c>
      <c r="Q567" s="89" t="s">
        <v>879</v>
      </c>
      <c r="AF567" s="1"/>
      <c r="AG567" s="1"/>
    </row>
    <row r="568" ht="15.75" customHeight="1">
      <c r="A568" s="1"/>
      <c r="B568" s="1"/>
      <c r="C568" s="1"/>
      <c r="D568" s="1"/>
      <c r="E568" s="1"/>
      <c r="F568" s="1"/>
      <c r="G568" s="1"/>
      <c r="H568" s="1"/>
      <c r="I568" s="1"/>
      <c r="J568" s="1"/>
      <c r="K568" s="89" t="s">
        <v>939</v>
      </c>
      <c r="L568" s="89" t="str">
        <f>A30</f>
        <v>C</v>
      </c>
      <c r="M568" s="89"/>
      <c r="N568" s="89" t="s">
        <v>940</v>
      </c>
      <c r="O568" s="92">
        <v>2.2978346E7</v>
      </c>
      <c r="P568" s="92">
        <v>2.081646E7</v>
      </c>
      <c r="Q568" s="89" t="s">
        <v>864</v>
      </c>
      <c r="AF568" s="1"/>
      <c r="AG568" s="1"/>
    </row>
    <row r="569" ht="15.75" customHeight="1">
      <c r="A569" s="1"/>
      <c r="B569" s="1"/>
      <c r="C569" s="1"/>
      <c r="D569" s="1"/>
      <c r="E569" s="1"/>
      <c r="F569" s="1"/>
      <c r="G569" s="1"/>
      <c r="H569" s="1"/>
      <c r="I569" s="1"/>
      <c r="J569" s="1"/>
      <c r="K569" s="89" t="s">
        <v>941</v>
      </c>
      <c r="L569" s="89" t="str">
        <f>A30</f>
        <v>C</v>
      </c>
      <c r="M569" s="89"/>
      <c r="N569" s="89" t="s">
        <v>942</v>
      </c>
      <c r="O569" s="92">
        <v>2.3099824E7</v>
      </c>
      <c r="P569" s="92">
        <v>2.0937938E7</v>
      </c>
      <c r="Q569" s="89" t="s">
        <v>802</v>
      </c>
      <c r="AF569" s="1"/>
      <c r="AG569" s="1"/>
    </row>
    <row r="570" ht="15.75" customHeight="1">
      <c r="A570" s="1"/>
      <c r="B570" s="1"/>
      <c r="C570" s="1"/>
      <c r="D570" s="1"/>
      <c r="E570" s="1"/>
      <c r="F570" s="1"/>
      <c r="G570" s="1"/>
      <c r="H570" s="1"/>
      <c r="I570" s="1"/>
      <c r="J570" s="1"/>
      <c r="K570" s="89" t="s">
        <v>943</v>
      </c>
      <c r="L570" s="89" t="str">
        <f>A30</f>
        <v>C</v>
      </c>
      <c r="M570" s="89"/>
      <c r="N570" s="89" t="s">
        <v>944</v>
      </c>
      <c r="O570" s="92">
        <v>2.3158264E7</v>
      </c>
      <c r="P570" s="92">
        <v>2.0996378E7</v>
      </c>
      <c r="Q570" s="89" t="s">
        <v>813</v>
      </c>
      <c r="AF570" s="1"/>
      <c r="AG570" s="1"/>
    </row>
    <row r="571" ht="15.75" customHeight="1">
      <c r="A571" s="1"/>
      <c r="B571" s="1"/>
      <c r="C571" s="1"/>
      <c r="D571" s="1"/>
      <c r="E571" s="1"/>
      <c r="F571" s="1"/>
      <c r="G571" s="1"/>
      <c r="H571" s="1"/>
      <c r="I571" s="1"/>
      <c r="J571" s="1"/>
      <c r="K571" s="89" t="s">
        <v>945</v>
      </c>
      <c r="L571" s="89" t="str">
        <f>A30</f>
        <v>C</v>
      </c>
      <c r="M571" s="89"/>
      <c r="N571" s="89" t="s">
        <v>946</v>
      </c>
      <c r="O571" s="92">
        <v>2.3185632E7</v>
      </c>
      <c r="P571" s="92">
        <v>2.1023746E7</v>
      </c>
      <c r="Q571" s="89" t="s">
        <v>822</v>
      </c>
      <c r="AF571" s="1"/>
      <c r="AG571" s="1"/>
    </row>
    <row r="572" ht="15.75" customHeight="1">
      <c r="A572" s="1"/>
      <c r="B572" s="1"/>
      <c r="C572" s="1"/>
      <c r="D572" s="1"/>
      <c r="E572" s="1"/>
      <c r="F572" s="1"/>
      <c r="G572" s="1"/>
      <c r="H572" s="1"/>
      <c r="I572" s="1"/>
      <c r="J572" s="1"/>
      <c r="K572" s="89" t="s">
        <v>947</v>
      </c>
      <c r="L572" s="89" t="str">
        <f>A30</f>
        <v>C</v>
      </c>
      <c r="M572" s="89"/>
      <c r="N572" s="89" t="s">
        <v>948</v>
      </c>
      <c r="O572" s="92">
        <v>2.3294948E7</v>
      </c>
      <c r="P572" s="92">
        <v>2.1133062E7</v>
      </c>
      <c r="Q572" s="89" t="s">
        <v>838</v>
      </c>
      <c r="AF572" s="1"/>
      <c r="AG572" s="1"/>
    </row>
    <row r="573" ht="15.75" customHeight="1">
      <c r="A573" s="1"/>
      <c r="B573" s="1"/>
      <c r="C573" s="1"/>
      <c r="D573" s="1"/>
      <c r="E573" s="1"/>
      <c r="F573" s="1"/>
      <c r="G573" s="1"/>
      <c r="H573" s="1"/>
      <c r="I573" s="1"/>
      <c r="J573" s="1"/>
      <c r="K573" s="89" t="s">
        <v>949</v>
      </c>
      <c r="L573" s="89" t="str">
        <f>A30</f>
        <v>C</v>
      </c>
      <c r="M573" s="89"/>
      <c r="N573" s="89" t="s">
        <v>950</v>
      </c>
      <c r="O573" s="92">
        <v>2.8588986E7</v>
      </c>
      <c r="P573" s="92">
        <v>2.6442839E7</v>
      </c>
      <c r="Q573" s="89" t="s">
        <v>912</v>
      </c>
      <c r="AF573" s="1"/>
      <c r="AG573" s="1"/>
    </row>
    <row r="574" ht="15.75" customHeight="1">
      <c r="A574" s="1"/>
      <c r="B574" s="1"/>
      <c r="C574" s="1"/>
      <c r="D574" s="1"/>
      <c r="E574" s="1"/>
      <c r="F574" s="1"/>
      <c r="G574" s="1"/>
      <c r="H574" s="1"/>
      <c r="I574" s="1"/>
      <c r="J574" s="1"/>
      <c r="K574" s="89" t="s">
        <v>951</v>
      </c>
      <c r="L574" s="89" t="str">
        <f>A30</f>
        <v>C</v>
      </c>
      <c r="M574" s="89"/>
      <c r="N574" s="89" t="s">
        <v>952</v>
      </c>
      <c r="O574" s="92">
        <v>6879365.0</v>
      </c>
      <c r="P574" s="92">
        <v>7011324.0</v>
      </c>
      <c r="Q574" s="89" t="s">
        <v>802</v>
      </c>
      <c r="AF574" s="1"/>
      <c r="AG574" s="1"/>
    </row>
    <row r="575" ht="15.75" customHeight="1">
      <c r="A575" s="1"/>
      <c r="B575" s="1"/>
      <c r="C575" s="1"/>
      <c r="D575" s="1"/>
      <c r="E575" s="1"/>
      <c r="F575" s="1"/>
      <c r="G575" s="1"/>
      <c r="H575" s="1"/>
      <c r="I575" s="1"/>
      <c r="J575" s="1"/>
      <c r="K575" s="89" t="s">
        <v>953</v>
      </c>
      <c r="L575" s="89" t="str">
        <f>A30</f>
        <v>C</v>
      </c>
      <c r="M575" s="89"/>
      <c r="N575" s="89" t="s">
        <v>954</v>
      </c>
      <c r="O575" s="92">
        <v>7090393.0</v>
      </c>
      <c r="P575" s="92">
        <v>7222352.0</v>
      </c>
      <c r="Q575" s="89" t="s">
        <v>802</v>
      </c>
      <c r="AF575" s="1"/>
      <c r="AG575" s="1"/>
    </row>
    <row r="576" ht="15.75" customHeight="1">
      <c r="A576" s="1"/>
      <c r="B576" s="1"/>
      <c r="C576" s="1"/>
      <c r="D576" s="1"/>
      <c r="E576" s="1"/>
      <c r="F576" s="1"/>
      <c r="G576" s="1"/>
      <c r="H576" s="1"/>
      <c r="I576" s="1"/>
      <c r="J576" s="1"/>
      <c r="K576" s="89" t="s">
        <v>955</v>
      </c>
      <c r="L576" s="89" t="str">
        <f>A30</f>
        <v>C</v>
      </c>
      <c r="M576" s="89"/>
      <c r="N576" s="89" t="s">
        <v>956</v>
      </c>
      <c r="O576" s="92">
        <v>7159950.0</v>
      </c>
      <c r="P576" s="92">
        <v>7291909.0</v>
      </c>
      <c r="Q576" s="89" t="s">
        <v>810</v>
      </c>
      <c r="AF576" s="1"/>
      <c r="AG576" s="1"/>
    </row>
    <row r="577" ht="15.75" customHeight="1">
      <c r="A577" s="1"/>
      <c r="B577" s="1"/>
      <c r="C577" s="1"/>
      <c r="D577" s="1"/>
      <c r="E577" s="1"/>
      <c r="F577" s="1"/>
      <c r="G577" s="1"/>
      <c r="H577" s="1"/>
      <c r="I577" s="1"/>
      <c r="J577" s="1"/>
      <c r="K577" s="89" t="s">
        <v>957</v>
      </c>
      <c r="L577" s="89" t="str">
        <f>A30</f>
        <v>C</v>
      </c>
      <c r="M577" s="89" t="s">
        <v>958</v>
      </c>
      <c r="N577" s="89" t="s">
        <v>959</v>
      </c>
      <c r="O577" s="92">
        <v>7629098.0</v>
      </c>
      <c r="P577" s="92">
        <v>7761057.0</v>
      </c>
      <c r="Q577" s="89" t="s">
        <v>838</v>
      </c>
      <c r="AF577" s="1"/>
      <c r="AG577" s="1"/>
    </row>
    <row r="578" ht="15.75" customHeight="1">
      <c r="A578" s="1"/>
      <c r="B578" s="1"/>
      <c r="C578" s="1"/>
      <c r="D578" s="1"/>
      <c r="E578" s="1"/>
      <c r="F578" s="1"/>
      <c r="G578" s="1"/>
      <c r="H578" s="1"/>
      <c r="I578" s="1"/>
      <c r="J578" s="1"/>
      <c r="K578" s="89" t="s">
        <v>958</v>
      </c>
      <c r="L578" s="89" t="str">
        <f>A30</f>
        <v>C</v>
      </c>
      <c r="M578" s="89" t="s">
        <v>957</v>
      </c>
      <c r="N578" s="89" t="s">
        <v>959</v>
      </c>
      <c r="O578" s="92">
        <v>7629098.0</v>
      </c>
      <c r="P578" s="92">
        <v>7761057.0</v>
      </c>
      <c r="Q578" s="89" t="s">
        <v>838</v>
      </c>
      <c r="AF578" s="1"/>
      <c r="AG578" s="1"/>
    </row>
    <row r="579" ht="15.75" customHeight="1">
      <c r="A579" s="1"/>
      <c r="B579" s="1"/>
      <c r="C579" s="1"/>
      <c r="D579" s="1"/>
      <c r="E579" s="1"/>
      <c r="F579" s="1"/>
      <c r="G579" s="1"/>
      <c r="H579" s="1"/>
      <c r="I579" s="1"/>
      <c r="J579" s="1"/>
      <c r="K579" s="89" t="s">
        <v>960</v>
      </c>
      <c r="L579" s="89" t="str">
        <f>A30</f>
        <v>C</v>
      </c>
      <c r="M579" s="89"/>
      <c r="N579" s="89" t="s">
        <v>961</v>
      </c>
      <c r="O579" s="92">
        <v>7638779.0</v>
      </c>
      <c r="P579" s="92">
        <v>7770738.0</v>
      </c>
      <c r="Q579" s="89" t="s">
        <v>845</v>
      </c>
      <c r="AF579" s="1"/>
      <c r="AG579" s="1"/>
    </row>
    <row r="580" ht="15.75" customHeight="1">
      <c r="A580" s="1"/>
      <c r="B580" s="1"/>
      <c r="C580" s="1"/>
      <c r="D580" s="1"/>
      <c r="E580" s="1"/>
      <c r="F580" s="1"/>
      <c r="G580" s="1"/>
      <c r="H580" s="1"/>
      <c r="I580" s="1"/>
      <c r="J580" s="1"/>
      <c r="K580" s="89" t="s">
        <v>962</v>
      </c>
      <c r="L580" s="89" t="str">
        <f>A30</f>
        <v>C</v>
      </c>
      <c r="M580" s="89" t="s">
        <v>963</v>
      </c>
      <c r="N580" s="89" t="s">
        <v>964</v>
      </c>
      <c r="O580" s="92">
        <v>7671399.0</v>
      </c>
      <c r="P580" s="92">
        <v>7803358.0</v>
      </c>
      <c r="Q580" s="89" t="s">
        <v>822</v>
      </c>
      <c r="AF580" s="1"/>
      <c r="AG580" s="1"/>
    </row>
    <row r="581" ht="15.75" customHeight="1">
      <c r="A581" s="1"/>
      <c r="B581" s="1"/>
      <c r="C581" s="1"/>
      <c r="D581" s="1"/>
      <c r="E581" s="1"/>
      <c r="F581" s="1"/>
      <c r="G581" s="1"/>
      <c r="H581" s="1"/>
      <c r="I581" s="1"/>
      <c r="J581" s="1"/>
      <c r="K581" s="89" t="s">
        <v>963</v>
      </c>
      <c r="L581" s="89" t="str">
        <f>A30</f>
        <v>C</v>
      </c>
      <c r="M581" s="89" t="s">
        <v>962</v>
      </c>
      <c r="N581" s="89" t="s">
        <v>964</v>
      </c>
      <c r="O581" s="92">
        <v>7671399.0</v>
      </c>
      <c r="P581" s="92">
        <v>7803358.0</v>
      </c>
      <c r="Q581" s="89" t="s">
        <v>822</v>
      </c>
      <c r="AF581" s="1"/>
      <c r="AG581" s="1"/>
    </row>
    <row r="582" ht="15.75" customHeight="1">
      <c r="A582" s="1"/>
      <c r="B582" s="1"/>
      <c r="C582" s="1"/>
      <c r="D582" s="1"/>
      <c r="E582" s="1"/>
      <c r="F582" s="1"/>
      <c r="G582" s="1"/>
      <c r="H582" s="1"/>
      <c r="I582" s="1"/>
      <c r="J582" s="1"/>
      <c r="K582" s="89" t="s">
        <v>965</v>
      </c>
      <c r="L582" s="89" t="str">
        <f>A30</f>
        <v>C</v>
      </c>
      <c r="M582" s="89"/>
      <c r="N582" s="89" t="s">
        <v>966</v>
      </c>
      <c r="O582" s="92">
        <v>8145871.0</v>
      </c>
      <c r="P582" s="92">
        <v>8277830.0</v>
      </c>
      <c r="Q582" s="89" t="s">
        <v>822</v>
      </c>
      <c r="AF582" s="1"/>
      <c r="AG582" s="1"/>
    </row>
    <row r="583" ht="15.75" customHeight="1">
      <c r="A583" s="1"/>
      <c r="B583" s="1"/>
      <c r="C583" s="1"/>
      <c r="D583" s="1"/>
      <c r="E583" s="1"/>
      <c r="F583" s="1"/>
      <c r="G583" s="1"/>
      <c r="H583" s="1"/>
      <c r="I583" s="1"/>
      <c r="J583" s="1"/>
      <c r="K583" s="89" t="s">
        <v>967</v>
      </c>
      <c r="L583" s="89" t="str">
        <f>A30</f>
        <v>C</v>
      </c>
      <c r="M583" s="89" t="s">
        <v>968</v>
      </c>
      <c r="N583" s="89" t="s">
        <v>969</v>
      </c>
      <c r="O583" s="92">
        <v>8454895.0</v>
      </c>
      <c r="P583" s="92">
        <v>8586854.0</v>
      </c>
      <c r="Q583" s="89" t="s">
        <v>838</v>
      </c>
      <c r="AF583" s="1"/>
      <c r="AG583" s="1"/>
    </row>
    <row r="584" ht="15.75" customHeight="1">
      <c r="A584" s="1"/>
      <c r="B584" s="1"/>
      <c r="C584" s="1"/>
      <c r="D584" s="1"/>
      <c r="E584" s="1"/>
      <c r="F584" s="1"/>
      <c r="G584" s="1"/>
      <c r="H584" s="1"/>
      <c r="I584" s="1"/>
      <c r="J584" s="1"/>
      <c r="K584" s="89" t="s">
        <v>968</v>
      </c>
      <c r="L584" s="89" t="str">
        <f>A30</f>
        <v>C</v>
      </c>
      <c r="M584" s="89" t="s">
        <v>967</v>
      </c>
      <c r="N584" s="89" t="s">
        <v>969</v>
      </c>
      <c r="O584" s="92">
        <v>8454895.0</v>
      </c>
      <c r="P584" s="92">
        <v>8586854.0</v>
      </c>
      <c r="Q584" s="89" t="s">
        <v>838</v>
      </c>
      <c r="AF584" s="1"/>
      <c r="AG584" s="1"/>
    </row>
    <row r="585" ht="15.75" customHeight="1">
      <c r="A585" s="1"/>
      <c r="B585" s="1"/>
      <c r="C585" s="1"/>
      <c r="D585" s="1"/>
      <c r="E585" s="1"/>
      <c r="F585" s="1"/>
      <c r="G585" s="1"/>
      <c r="H585" s="1"/>
      <c r="I585" s="1"/>
      <c r="J585" s="1"/>
      <c r="K585" s="89" t="s">
        <v>970</v>
      </c>
      <c r="L585" s="89" t="str">
        <f>A30</f>
        <v>C</v>
      </c>
      <c r="M585" s="89" t="s">
        <v>971</v>
      </c>
      <c r="N585" s="89" t="s">
        <v>972</v>
      </c>
      <c r="O585" s="92">
        <v>8482631.0</v>
      </c>
      <c r="P585" s="92">
        <v>8614590.0</v>
      </c>
      <c r="Q585" s="89" t="s">
        <v>831</v>
      </c>
      <c r="AF585" s="1"/>
      <c r="AG585" s="1"/>
    </row>
    <row r="586" ht="15.75" customHeight="1">
      <c r="A586" s="1"/>
      <c r="B586" s="1"/>
      <c r="C586" s="1"/>
      <c r="D586" s="1"/>
      <c r="E586" s="1"/>
      <c r="F586" s="1"/>
      <c r="G586" s="1"/>
      <c r="H586" s="1"/>
      <c r="I586" s="1"/>
      <c r="J586" s="1"/>
      <c r="K586" s="89" t="s">
        <v>971</v>
      </c>
      <c r="L586" s="89" t="str">
        <f>A30</f>
        <v>C</v>
      </c>
      <c r="M586" s="89" t="s">
        <v>970</v>
      </c>
      <c r="N586" s="89" t="s">
        <v>972</v>
      </c>
      <c r="O586" s="92">
        <v>8482631.0</v>
      </c>
      <c r="P586" s="92">
        <v>8614590.0</v>
      </c>
      <c r="Q586" s="89" t="s">
        <v>831</v>
      </c>
      <c r="AF586" s="1"/>
      <c r="AG586" s="1"/>
    </row>
    <row r="587" ht="15.75" customHeight="1">
      <c r="A587" s="1"/>
      <c r="B587" s="1"/>
      <c r="C587" s="1"/>
      <c r="D587" s="1"/>
      <c r="E587" s="1"/>
      <c r="F587" s="1"/>
      <c r="G587" s="1"/>
      <c r="H587" s="1"/>
      <c r="I587" s="1"/>
      <c r="J587" s="1"/>
      <c r="K587" s="89" t="s">
        <v>973</v>
      </c>
      <c r="L587" s="89" t="str">
        <f>A30</f>
        <v>C</v>
      </c>
      <c r="M587" s="89" t="s">
        <v>974</v>
      </c>
      <c r="N587" s="89" t="s">
        <v>975</v>
      </c>
      <c r="O587" s="92">
        <v>8537273.0</v>
      </c>
      <c r="P587" s="92">
        <v>8669232.0</v>
      </c>
      <c r="Q587" s="89" t="s">
        <v>810</v>
      </c>
      <c r="AF587" s="1"/>
      <c r="AG587" s="1"/>
    </row>
    <row r="588" ht="15.75" customHeight="1">
      <c r="A588" s="1"/>
      <c r="B588" s="1"/>
      <c r="C588" s="1"/>
      <c r="D588" s="1"/>
      <c r="E588" s="1"/>
      <c r="F588" s="1"/>
      <c r="G588" s="1"/>
      <c r="H588" s="1"/>
      <c r="I588" s="1"/>
      <c r="J588" s="1"/>
      <c r="K588" s="89" t="s">
        <v>974</v>
      </c>
      <c r="L588" s="89" t="str">
        <f>A30</f>
        <v>C</v>
      </c>
      <c r="M588" s="89" t="s">
        <v>973</v>
      </c>
      <c r="N588" s="89" t="s">
        <v>975</v>
      </c>
      <c r="O588" s="92">
        <v>8537273.0</v>
      </c>
      <c r="P588" s="92">
        <v>8669232.0</v>
      </c>
      <c r="Q588" s="89" t="s">
        <v>810</v>
      </c>
      <c r="AF588" s="1"/>
      <c r="AG588" s="1"/>
    </row>
    <row r="589" ht="15.75" customHeight="1">
      <c r="A589" s="1"/>
      <c r="B589" s="1"/>
      <c r="C589" s="1"/>
      <c r="D589" s="1"/>
      <c r="E589" s="1"/>
      <c r="F589" s="1"/>
      <c r="G589" s="1"/>
      <c r="H589" s="1"/>
      <c r="I589" s="1"/>
      <c r="J589" s="1"/>
      <c r="K589" s="89" t="s">
        <v>976</v>
      </c>
      <c r="L589" s="89" t="str">
        <f>A30</f>
        <v>C</v>
      </c>
      <c r="M589" s="89" t="s">
        <v>977</v>
      </c>
      <c r="N589" s="89" t="s">
        <v>978</v>
      </c>
      <c r="O589" s="92">
        <v>8560645.0</v>
      </c>
      <c r="P589" s="92">
        <v>8692604.0</v>
      </c>
      <c r="Q589" s="89" t="s">
        <v>822</v>
      </c>
      <c r="AF589" s="1"/>
      <c r="AG589" s="1"/>
    </row>
    <row r="590" ht="15.75" customHeight="1">
      <c r="A590" s="1"/>
      <c r="B590" s="1"/>
      <c r="C590" s="1"/>
      <c r="D590" s="1"/>
      <c r="E590" s="1"/>
      <c r="F590" s="1"/>
      <c r="G590" s="1"/>
      <c r="H590" s="1"/>
      <c r="I590" s="1"/>
      <c r="J590" s="1"/>
      <c r="K590" s="89" t="s">
        <v>977</v>
      </c>
      <c r="L590" s="89" t="str">
        <f>A30</f>
        <v>C</v>
      </c>
      <c r="M590" s="89" t="s">
        <v>976</v>
      </c>
      <c r="N590" s="89" t="s">
        <v>978</v>
      </c>
      <c r="O590" s="92">
        <v>8560645.0</v>
      </c>
      <c r="P590" s="92">
        <v>8692604.0</v>
      </c>
      <c r="Q590" s="89" t="s">
        <v>822</v>
      </c>
      <c r="AF590" s="1"/>
      <c r="AG590" s="1"/>
    </row>
    <row r="591" ht="15.75" customHeight="1">
      <c r="A591" s="1"/>
      <c r="B591" s="1"/>
      <c r="C591" s="1"/>
      <c r="D591" s="1"/>
      <c r="E591" s="1"/>
      <c r="F591" s="1"/>
      <c r="G591" s="1"/>
      <c r="H591" s="1"/>
      <c r="I591" s="1"/>
      <c r="J591" s="1"/>
      <c r="K591" s="89" t="s">
        <v>979</v>
      </c>
      <c r="L591" s="89" t="str">
        <f>A30</f>
        <v>C</v>
      </c>
      <c r="M591" s="89"/>
      <c r="N591" s="89" t="s">
        <v>980</v>
      </c>
      <c r="O591" s="92">
        <v>8640245.0</v>
      </c>
      <c r="P591" s="92">
        <v>8772204.0</v>
      </c>
      <c r="Q591" s="89" t="s">
        <v>813</v>
      </c>
      <c r="AF591" s="1"/>
      <c r="AG591" s="1"/>
    </row>
    <row r="592" ht="15.75" customHeight="1">
      <c r="A592" s="1"/>
      <c r="B592" s="1"/>
      <c r="C592" s="1"/>
      <c r="D592" s="1"/>
      <c r="E592" s="1"/>
      <c r="F592" s="1"/>
      <c r="G592" s="1"/>
      <c r="H592" s="1"/>
      <c r="I592" s="1"/>
      <c r="J592" s="1"/>
      <c r="K592" s="89" t="s">
        <v>981</v>
      </c>
      <c r="L592" s="89" t="str">
        <f>A30</f>
        <v>C</v>
      </c>
      <c r="M592" s="89"/>
      <c r="N592" s="89" t="s">
        <v>982</v>
      </c>
      <c r="O592" s="89">
        <v>9118085.0</v>
      </c>
      <c r="P592" s="89">
        <v>9280476.0</v>
      </c>
      <c r="Q592" s="89" t="s">
        <v>813</v>
      </c>
      <c r="AF592" s="1"/>
      <c r="AG592" s="1"/>
    </row>
    <row r="593" ht="15.75" customHeight="1">
      <c r="A593" s="1"/>
      <c r="B593" s="1"/>
      <c r="C593" s="1"/>
      <c r="D593" s="1"/>
      <c r="E593" s="1"/>
      <c r="F593" s="1"/>
      <c r="G593" s="1"/>
      <c r="H593" s="1"/>
      <c r="I593" s="1"/>
      <c r="J593" s="1"/>
      <c r="K593" s="89" t="s">
        <v>983</v>
      </c>
      <c r="L593" s="89" t="str">
        <f>A30</f>
        <v>C</v>
      </c>
      <c r="M593" s="89"/>
      <c r="N593" s="89" t="s">
        <v>984</v>
      </c>
      <c r="O593" s="92">
        <v>1.4206892E7</v>
      </c>
      <c r="P593" s="92">
        <v>1.2086186E7</v>
      </c>
      <c r="Q593" s="89" t="s">
        <v>802</v>
      </c>
      <c r="AF593" s="1"/>
      <c r="AG593" s="1"/>
    </row>
    <row r="594" ht="15.75" customHeight="1">
      <c r="A594" s="1"/>
      <c r="B594" s="1"/>
      <c r="C594" s="1"/>
      <c r="D594" s="1"/>
      <c r="E594" s="1"/>
      <c r="F594" s="1"/>
      <c r="G594" s="1"/>
      <c r="H594" s="1"/>
      <c r="I594" s="1"/>
      <c r="J594" s="1"/>
      <c r="K594" s="89" t="s">
        <v>985</v>
      </c>
      <c r="L594" s="89" t="str">
        <f>A30</f>
        <v>C</v>
      </c>
      <c r="M594" s="89"/>
      <c r="N594" s="89" t="s">
        <v>986</v>
      </c>
      <c r="O594" s="92">
        <v>1.4263271E7</v>
      </c>
      <c r="P594" s="92">
        <v>1.2142565E7</v>
      </c>
      <c r="Q594" s="89" t="s">
        <v>810</v>
      </c>
      <c r="AF594" s="1"/>
      <c r="AG594" s="1"/>
    </row>
    <row r="595" ht="15.75" customHeight="1">
      <c r="A595" s="1"/>
      <c r="B595" s="1"/>
      <c r="C595" s="1"/>
      <c r="D595" s="1"/>
      <c r="E595" s="1"/>
      <c r="F595" s="1"/>
      <c r="G595" s="1"/>
      <c r="H595" s="1"/>
      <c r="I595" s="1"/>
      <c r="J595" s="1"/>
      <c r="K595" s="89" t="s">
        <v>987</v>
      </c>
      <c r="L595" s="89" t="str">
        <f>A30</f>
        <v>C</v>
      </c>
      <c r="M595" s="89"/>
      <c r="N595" s="89" t="s">
        <v>988</v>
      </c>
      <c r="O595" s="92">
        <v>1.4603298E7</v>
      </c>
      <c r="P595" s="92">
        <v>1.24915E7</v>
      </c>
      <c r="Q595" s="89" t="s">
        <v>802</v>
      </c>
      <c r="AF595" s="1"/>
      <c r="AG595" s="1"/>
    </row>
    <row r="596" ht="15.75" customHeight="1">
      <c r="A596" s="1"/>
      <c r="B596" s="1"/>
      <c r="C596" s="1"/>
      <c r="D596" s="1"/>
      <c r="E596" s="1"/>
      <c r="F596" s="1"/>
      <c r="G596" s="1"/>
      <c r="H596" s="1"/>
      <c r="I596" s="1"/>
      <c r="J596" s="1"/>
      <c r="K596" s="89" t="s">
        <v>989</v>
      </c>
      <c r="L596" s="89" t="str">
        <f>A30</f>
        <v>C</v>
      </c>
      <c r="M596" s="89" t="s">
        <v>990</v>
      </c>
      <c r="N596" s="89" t="s">
        <v>991</v>
      </c>
      <c r="O596" s="92">
        <v>1.4924643E7</v>
      </c>
      <c r="P596" s="92">
        <v>1.2812708E7</v>
      </c>
      <c r="Q596" s="89" t="s">
        <v>912</v>
      </c>
      <c r="AF596" s="1"/>
      <c r="AG596" s="1"/>
    </row>
    <row r="597" ht="15.75" customHeight="1">
      <c r="A597" s="1"/>
      <c r="B597" s="1"/>
      <c r="C597" s="1"/>
      <c r="D597" s="1"/>
      <c r="E597" s="1"/>
      <c r="F597" s="1"/>
      <c r="G597" s="1"/>
      <c r="H597" s="1"/>
      <c r="I597" s="1"/>
      <c r="J597" s="1"/>
      <c r="K597" s="89" t="s">
        <v>990</v>
      </c>
      <c r="L597" s="89" t="str">
        <f>A30</f>
        <v>C</v>
      </c>
      <c r="M597" s="89" t="s">
        <v>989</v>
      </c>
      <c r="N597" s="89" t="s">
        <v>991</v>
      </c>
      <c r="O597" s="92">
        <v>1.4924643E7</v>
      </c>
      <c r="P597" s="92">
        <v>1.2812708E7</v>
      </c>
      <c r="Q597" s="89" t="s">
        <v>912</v>
      </c>
      <c r="AF597" s="1"/>
      <c r="AG597" s="1"/>
    </row>
    <row r="598" ht="15.75" customHeight="1">
      <c r="A598" s="1"/>
      <c r="B598" s="1"/>
      <c r="C598" s="1"/>
      <c r="D598" s="1"/>
      <c r="E598" s="1"/>
      <c r="F598" s="1"/>
      <c r="G598" s="1"/>
      <c r="H598" s="1"/>
      <c r="I598" s="1"/>
      <c r="J598" s="1"/>
      <c r="K598" s="89" t="s">
        <v>992</v>
      </c>
      <c r="L598" s="89" t="str">
        <f>A30</f>
        <v>C</v>
      </c>
      <c r="M598" s="89"/>
      <c r="N598" s="89" t="s">
        <v>993</v>
      </c>
      <c r="O598" s="92">
        <v>1.4954047E7</v>
      </c>
      <c r="P598" s="92">
        <v>1.2842121E7</v>
      </c>
      <c r="Q598" s="89" t="s">
        <v>802</v>
      </c>
      <c r="AF598" s="1"/>
      <c r="AG598" s="1"/>
    </row>
    <row r="599" ht="15.75" customHeight="1">
      <c r="A599" s="1"/>
      <c r="B599" s="1"/>
      <c r="C599" s="1"/>
      <c r="D599" s="1"/>
      <c r="E599" s="1"/>
      <c r="F599" s="1"/>
      <c r="G599" s="1"/>
      <c r="H599" s="1"/>
      <c r="I599" s="1"/>
      <c r="J599" s="1"/>
      <c r="K599" s="89" t="s">
        <v>994</v>
      </c>
      <c r="L599" s="89" t="str">
        <f>A30</f>
        <v>C</v>
      </c>
      <c r="M599" s="89" t="s">
        <v>995</v>
      </c>
      <c r="N599" s="89" t="s">
        <v>996</v>
      </c>
      <c r="O599" s="92">
        <v>1.5060025E7</v>
      </c>
      <c r="P599" s="92">
        <v>1.2948117E7</v>
      </c>
      <c r="Q599" s="89" t="s">
        <v>838</v>
      </c>
      <c r="AF599" s="1"/>
      <c r="AG599" s="1"/>
    </row>
    <row r="600" ht="15.75" customHeight="1">
      <c r="A600" s="1"/>
      <c r="B600" s="1"/>
      <c r="C600" s="1"/>
      <c r="D600" s="1"/>
      <c r="E600" s="1"/>
      <c r="F600" s="1"/>
      <c r="G600" s="1"/>
      <c r="H600" s="1"/>
      <c r="I600" s="1"/>
      <c r="J600" s="1"/>
      <c r="K600" s="89" t="s">
        <v>995</v>
      </c>
      <c r="L600" s="89" t="str">
        <f>A30</f>
        <v>C</v>
      </c>
      <c r="M600" s="89" t="s">
        <v>994</v>
      </c>
      <c r="N600" s="89" t="s">
        <v>996</v>
      </c>
      <c r="O600" s="92">
        <v>1.5060025E7</v>
      </c>
      <c r="P600" s="92">
        <v>1.2948117E7</v>
      </c>
      <c r="Q600" s="89" t="s">
        <v>838</v>
      </c>
      <c r="AF600" s="1"/>
      <c r="AG600" s="1"/>
    </row>
    <row r="601" ht="15.75" customHeight="1">
      <c r="A601" s="1"/>
      <c r="B601" s="1"/>
      <c r="C601" s="1"/>
      <c r="D601" s="1"/>
      <c r="E601" s="1"/>
      <c r="F601" s="1"/>
      <c r="G601" s="1"/>
      <c r="H601" s="1"/>
      <c r="I601" s="1"/>
      <c r="J601" s="1"/>
      <c r="K601" s="89" t="s">
        <v>997</v>
      </c>
      <c r="L601" s="89" t="str">
        <f>A30</f>
        <v>C</v>
      </c>
      <c r="M601" s="89" t="s">
        <v>998</v>
      </c>
      <c r="N601" s="89" t="s">
        <v>999</v>
      </c>
      <c r="O601" s="92">
        <v>1.5097043E7</v>
      </c>
      <c r="P601" s="92">
        <v>1.2985131E7</v>
      </c>
      <c r="Q601" s="89" t="s">
        <v>802</v>
      </c>
      <c r="AF601" s="1"/>
      <c r="AG601" s="1"/>
    </row>
    <row r="602" ht="15.75" customHeight="1">
      <c r="A602" s="1"/>
      <c r="B602" s="1"/>
      <c r="C602" s="1"/>
      <c r="D602" s="1"/>
      <c r="E602" s="1"/>
      <c r="F602" s="1"/>
      <c r="G602" s="1"/>
      <c r="H602" s="1"/>
      <c r="I602" s="1"/>
      <c r="J602" s="1"/>
      <c r="K602" s="89" t="s">
        <v>998</v>
      </c>
      <c r="L602" s="89" t="str">
        <f>A30</f>
        <v>C</v>
      </c>
      <c r="M602" s="89" t="s">
        <v>997</v>
      </c>
      <c r="N602" s="89" t="s">
        <v>999</v>
      </c>
      <c r="O602" s="92">
        <v>1.5097043E7</v>
      </c>
      <c r="P602" s="92">
        <v>1.2985131E7</v>
      </c>
      <c r="Q602" s="89" t="s">
        <v>802</v>
      </c>
      <c r="AF602" s="1"/>
      <c r="AG602" s="1"/>
    </row>
    <row r="603" ht="15.75" customHeight="1">
      <c r="A603" s="1"/>
      <c r="B603" s="1"/>
      <c r="C603" s="1"/>
      <c r="D603" s="1"/>
      <c r="E603" s="1"/>
      <c r="F603" s="1"/>
      <c r="G603" s="1"/>
      <c r="H603" s="1"/>
      <c r="I603" s="1"/>
      <c r="J603" s="1"/>
      <c r="K603" s="89" t="s">
        <v>1000</v>
      </c>
      <c r="L603" s="89" t="str">
        <f>A30</f>
        <v>C</v>
      </c>
      <c r="M603" s="89"/>
      <c r="N603" s="89" t="s">
        <v>1001</v>
      </c>
      <c r="O603" s="92">
        <v>1.6035637E7</v>
      </c>
      <c r="P603" s="92">
        <v>1.3923757E7</v>
      </c>
      <c r="Q603" s="89" t="s">
        <v>845</v>
      </c>
      <c r="AF603" s="1"/>
      <c r="AG603" s="1"/>
    </row>
    <row r="604" ht="15.75" customHeight="1">
      <c r="A604" s="1"/>
      <c r="B604" s="1"/>
      <c r="C604" s="1"/>
      <c r="D604" s="1"/>
      <c r="E604" s="1"/>
      <c r="F604" s="1"/>
      <c r="G604" s="1"/>
      <c r="H604" s="1"/>
      <c r="I604" s="1"/>
      <c r="J604" s="1"/>
      <c r="K604" s="89" t="s">
        <v>1002</v>
      </c>
      <c r="L604" s="89" t="str">
        <f>A30</f>
        <v>C</v>
      </c>
      <c r="M604" s="89"/>
      <c r="N604" s="89" t="s">
        <v>1003</v>
      </c>
      <c r="O604" s="92">
        <v>1.6595733E7</v>
      </c>
      <c r="P604" s="92">
        <v>1.4483853E7</v>
      </c>
      <c r="Q604" s="89" t="s">
        <v>802</v>
      </c>
      <c r="AF604" s="1"/>
      <c r="AG604" s="1"/>
    </row>
    <row r="605" ht="15.75" customHeight="1">
      <c r="A605" s="1"/>
      <c r="B605" s="1"/>
      <c r="C605" s="1"/>
      <c r="D605" s="1"/>
      <c r="E605" s="1"/>
      <c r="F605" s="1"/>
      <c r="G605" s="1"/>
      <c r="H605" s="1"/>
      <c r="I605" s="1"/>
      <c r="J605" s="1"/>
      <c r="K605" s="89" t="s">
        <v>1004</v>
      </c>
      <c r="L605" s="89" t="str">
        <f>A30</f>
        <v>C</v>
      </c>
      <c r="M605" s="89"/>
      <c r="N605" s="89" t="s">
        <v>1005</v>
      </c>
      <c r="O605" s="92">
        <v>1.67579E7</v>
      </c>
      <c r="P605" s="92">
        <v>1.464602E7</v>
      </c>
      <c r="Q605" s="89" t="s">
        <v>802</v>
      </c>
      <c r="AF605" s="1"/>
      <c r="AG605" s="1"/>
    </row>
    <row r="606" ht="15.75" customHeight="1">
      <c r="A606" s="1"/>
      <c r="B606" s="1"/>
      <c r="C606" s="1"/>
      <c r="D606" s="1"/>
      <c r="E606" s="1"/>
      <c r="F606" s="1"/>
      <c r="G606" s="1"/>
      <c r="H606" s="1"/>
      <c r="I606" s="1"/>
      <c r="J606" s="1"/>
      <c r="K606" s="89" t="s">
        <v>1006</v>
      </c>
      <c r="L606" s="89" t="str">
        <f>A30</f>
        <v>C</v>
      </c>
      <c r="M606" s="89"/>
      <c r="N606" s="89" t="s">
        <v>1007</v>
      </c>
      <c r="O606" s="92">
        <v>1.6768835E7</v>
      </c>
      <c r="P606" s="92">
        <v>1.4656955E7</v>
      </c>
      <c r="Q606" s="89" t="s">
        <v>802</v>
      </c>
      <c r="AF606" s="1"/>
      <c r="AG606" s="1"/>
    </row>
    <row r="607" ht="15.75" customHeight="1">
      <c r="A607" s="1"/>
      <c r="B607" s="1"/>
      <c r="C607" s="1"/>
      <c r="D607" s="1"/>
      <c r="E607" s="1"/>
      <c r="F607" s="1"/>
      <c r="G607" s="1"/>
      <c r="H607" s="1"/>
      <c r="I607" s="1"/>
      <c r="J607" s="1"/>
      <c r="K607" s="89" t="s">
        <v>1008</v>
      </c>
      <c r="L607" s="89" t="str">
        <f>A30</f>
        <v>C</v>
      </c>
      <c r="M607" s="89"/>
      <c r="N607" s="89" t="s">
        <v>1009</v>
      </c>
      <c r="O607" s="92">
        <v>1.6871809E7</v>
      </c>
      <c r="P607" s="92">
        <v>1.4759929E7</v>
      </c>
      <c r="Q607" s="89" t="s">
        <v>879</v>
      </c>
      <c r="AF607" s="1"/>
      <c r="AG607" s="1"/>
    </row>
    <row r="608" ht="15.75" customHeight="1">
      <c r="A608" s="1"/>
      <c r="B608" s="1"/>
      <c r="C608" s="1"/>
      <c r="D608" s="1"/>
      <c r="E608" s="1"/>
      <c r="F608" s="1"/>
      <c r="G608" s="1"/>
      <c r="H608" s="1"/>
      <c r="I608" s="1"/>
      <c r="J608" s="1"/>
      <c r="K608" s="89" t="s">
        <v>1010</v>
      </c>
      <c r="L608" s="89" t="str">
        <f>A30</f>
        <v>C</v>
      </c>
      <c r="M608" s="89"/>
      <c r="N608" s="89" t="s">
        <v>1011</v>
      </c>
      <c r="O608" s="92">
        <v>1.7270957E7</v>
      </c>
      <c r="P608" s="92">
        <v>1.5159077E7</v>
      </c>
      <c r="Q608" s="89" t="s">
        <v>845</v>
      </c>
      <c r="AF608" s="1"/>
      <c r="AG608" s="1"/>
    </row>
    <row r="609" ht="15.75" customHeight="1">
      <c r="A609" s="1"/>
      <c r="B609" s="1"/>
      <c r="C609" s="1"/>
      <c r="D609" s="1"/>
      <c r="E609" s="1"/>
      <c r="F609" s="1"/>
      <c r="G609" s="1"/>
      <c r="H609" s="1"/>
      <c r="I609" s="1"/>
      <c r="J609" s="1"/>
      <c r="K609" s="89" t="s">
        <v>1012</v>
      </c>
      <c r="L609" s="89" t="str">
        <f>A30</f>
        <v>C</v>
      </c>
      <c r="M609" s="89"/>
      <c r="N609" s="89" t="s">
        <v>1013</v>
      </c>
      <c r="O609" s="92">
        <v>1.7328425E7</v>
      </c>
      <c r="P609" s="92">
        <v>1.5216545E7</v>
      </c>
      <c r="Q609" s="89" t="s">
        <v>802</v>
      </c>
      <c r="AF609" s="1"/>
      <c r="AG609" s="1"/>
    </row>
    <row r="610" ht="15.75" customHeight="1">
      <c r="A610" s="1"/>
      <c r="B610" s="1"/>
      <c r="C610" s="1"/>
      <c r="D610" s="1"/>
      <c r="E610" s="1"/>
      <c r="F610" s="1"/>
      <c r="G610" s="1"/>
      <c r="H610" s="1"/>
      <c r="I610" s="1"/>
      <c r="J610" s="1"/>
      <c r="K610" s="89" t="s">
        <v>1014</v>
      </c>
      <c r="L610" s="89" t="str">
        <f>A30</f>
        <v>C</v>
      </c>
      <c r="M610" s="89"/>
      <c r="N610" s="89" t="s">
        <v>1015</v>
      </c>
      <c r="O610" s="92">
        <v>1.7341195E7</v>
      </c>
      <c r="P610" s="92">
        <v>1.5229315E7</v>
      </c>
      <c r="Q610" s="89" t="s">
        <v>912</v>
      </c>
      <c r="AF610" s="1"/>
      <c r="AG610" s="1"/>
    </row>
    <row r="611" ht="15.75" customHeight="1">
      <c r="A611" s="1"/>
      <c r="B611" s="1"/>
      <c r="C611" s="1"/>
      <c r="D611" s="1"/>
      <c r="E611" s="1"/>
      <c r="F611" s="1"/>
      <c r="G611" s="1"/>
      <c r="H611" s="1"/>
      <c r="I611" s="1"/>
      <c r="J611" s="1"/>
      <c r="K611" s="89" t="s">
        <v>1016</v>
      </c>
      <c r="L611" s="89" t="str">
        <f>A30</f>
        <v>C</v>
      </c>
      <c r="M611" s="89"/>
      <c r="N611" s="89" t="s">
        <v>1017</v>
      </c>
      <c r="O611" s="92">
        <v>1.745701E7</v>
      </c>
      <c r="P611" s="92">
        <v>1.534513E7</v>
      </c>
      <c r="Q611" s="89" t="s">
        <v>802</v>
      </c>
      <c r="AF611" s="1"/>
      <c r="AG611" s="1"/>
    </row>
    <row r="612" ht="15.75" customHeight="1">
      <c r="A612" s="1"/>
      <c r="B612" s="1"/>
      <c r="C612" s="1"/>
      <c r="D612" s="1"/>
      <c r="E612" s="1"/>
      <c r="F612" s="1"/>
      <c r="G612" s="1"/>
      <c r="H612" s="1"/>
      <c r="I612" s="1"/>
      <c r="J612" s="1"/>
      <c r="K612" s="89" t="s">
        <v>1018</v>
      </c>
      <c r="L612" s="89" t="str">
        <f>A30</f>
        <v>C</v>
      </c>
      <c r="M612" s="89"/>
      <c r="N612" s="89" t="s">
        <v>1019</v>
      </c>
      <c r="O612" s="92">
        <v>1.7495224E7</v>
      </c>
      <c r="P612" s="92">
        <v>1.5383344E7</v>
      </c>
      <c r="Q612" s="89" t="s">
        <v>886</v>
      </c>
      <c r="AF612" s="1"/>
      <c r="AG612" s="1"/>
    </row>
    <row r="613" ht="15.75" customHeight="1">
      <c r="A613" s="1"/>
      <c r="B613" s="1"/>
      <c r="C613" s="1"/>
      <c r="D613" s="1"/>
      <c r="E613" s="1"/>
      <c r="F613" s="1"/>
      <c r="G613" s="1"/>
      <c r="H613" s="1"/>
      <c r="I613" s="1"/>
      <c r="J613" s="1"/>
      <c r="K613" s="89" t="s">
        <v>1020</v>
      </c>
      <c r="L613" s="89" t="str">
        <f>A30</f>
        <v>C</v>
      </c>
      <c r="M613" s="89"/>
      <c r="N613" s="89" t="s">
        <v>1021</v>
      </c>
      <c r="O613" s="92">
        <v>1.7820514E7</v>
      </c>
      <c r="P613" s="92">
        <v>1.5708634E7</v>
      </c>
      <c r="Q613" s="89" t="s">
        <v>802</v>
      </c>
      <c r="AF613" s="1"/>
      <c r="AG613" s="1"/>
    </row>
    <row r="614" ht="15.75" customHeight="1">
      <c r="A614" s="1"/>
      <c r="B614" s="1"/>
      <c r="C614" s="1"/>
      <c r="D614" s="1"/>
      <c r="E614" s="1"/>
      <c r="F614" s="1"/>
      <c r="G614" s="1"/>
      <c r="H614" s="1"/>
      <c r="I614" s="1"/>
      <c r="J614" s="1"/>
      <c r="K614" s="89" t="s">
        <v>1022</v>
      </c>
      <c r="L614" s="89" t="str">
        <f>A30</f>
        <v>C</v>
      </c>
      <c r="M614" s="89"/>
      <c r="N614" s="89" t="s">
        <v>1023</v>
      </c>
      <c r="O614" s="92">
        <v>1.7833394E7</v>
      </c>
      <c r="P614" s="92">
        <v>1.5721514E7</v>
      </c>
      <c r="Q614" s="89" t="s">
        <v>838</v>
      </c>
      <c r="AF614" s="1"/>
      <c r="AG614" s="1"/>
    </row>
    <row r="615" ht="15.75" customHeight="1">
      <c r="A615" s="1"/>
      <c r="B615" s="1"/>
      <c r="C615" s="1"/>
      <c r="D615" s="1"/>
      <c r="E615" s="1"/>
      <c r="F615" s="1"/>
      <c r="G615" s="1"/>
      <c r="H615" s="1"/>
      <c r="I615" s="1"/>
      <c r="J615" s="1"/>
      <c r="K615" s="89" t="s">
        <v>1024</v>
      </c>
      <c r="L615" s="89" t="str">
        <f>A30</f>
        <v>C</v>
      </c>
      <c r="M615" s="89"/>
      <c r="N615" s="89" t="s">
        <v>1025</v>
      </c>
      <c r="O615" s="92">
        <v>1.8030738E7</v>
      </c>
      <c r="P615" s="92">
        <v>1.5918858E7</v>
      </c>
      <c r="Q615" s="89" t="s">
        <v>802</v>
      </c>
      <c r="AF615" s="1"/>
      <c r="AG615" s="1"/>
    </row>
    <row r="616" ht="15.75" customHeight="1">
      <c r="A616" s="1"/>
      <c r="B616" s="1"/>
      <c r="C616" s="1"/>
      <c r="D616" s="1"/>
      <c r="E616" s="1"/>
      <c r="F616" s="1"/>
      <c r="G616" s="1"/>
      <c r="H616" s="1"/>
      <c r="I616" s="1"/>
      <c r="J616" s="1"/>
      <c r="K616" s="89" t="s">
        <v>1026</v>
      </c>
      <c r="L616" s="89" t="str">
        <f>A30</f>
        <v>C</v>
      </c>
      <c r="M616" s="89"/>
      <c r="N616" s="89" t="s">
        <v>1027</v>
      </c>
      <c r="O616" s="92">
        <v>1.8572332E7</v>
      </c>
      <c r="P616" s="92">
        <v>1.6460452E7</v>
      </c>
      <c r="Q616" s="89" t="s">
        <v>838</v>
      </c>
      <c r="AF616" s="1"/>
      <c r="AG616" s="1"/>
    </row>
    <row r="617" ht="15.75" customHeight="1">
      <c r="A617" s="1"/>
      <c r="B617" s="1"/>
      <c r="C617" s="1"/>
      <c r="D617" s="1"/>
      <c r="E617" s="1"/>
      <c r="F617" s="1"/>
      <c r="G617" s="1"/>
      <c r="H617" s="1"/>
      <c r="I617" s="1"/>
      <c r="J617" s="1"/>
      <c r="K617" s="89" t="s">
        <v>1028</v>
      </c>
      <c r="L617" s="89" t="str">
        <f>A30</f>
        <v>C</v>
      </c>
      <c r="M617" s="89" t="s">
        <v>1029</v>
      </c>
      <c r="N617" s="89" t="s">
        <v>1030</v>
      </c>
      <c r="O617" s="89">
        <v>1.8613753E7</v>
      </c>
      <c r="P617" s="89">
        <v>1.6501873E7</v>
      </c>
      <c r="Q617" s="89" t="s">
        <v>802</v>
      </c>
      <c r="AF617" s="1"/>
      <c r="AG617" s="1"/>
    </row>
    <row r="618" ht="15.75" customHeight="1">
      <c r="A618" s="1"/>
      <c r="B618" s="1"/>
      <c r="C618" s="1"/>
      <c r="D618" s="1"/>
      <c r="E618" s="1"/>
      <c r="F618" s="1"/>
      <c r="G618" s="1"/>
      <c r="H618" s="1"/>
      <c r="I618" s="1"/>
      <c r="J618" s="1"/>
      <c r="K618" s="89" t="s">
        <v>1029</v>
      </c>
      <c r="L618" s="89" t="str">
        <f>A30</f>
        <v>C</v>
      </c>
      <c r="M618" s="89" t="s">
        <v>1028</v>
      </c>
      <c r="N618" s="89" t="s">
        <v>1030</v>
      </c>
      <c r="O618" s="92">
        <v>1.8613753E7</v>
      </c>
      <c r="P618" s="92">
        <v>1.6501873E7</v>
      </c>
      <c r="Q618" s="89" t="s">
        <v>802</v>
      </c>
      <c r="AF618" s="1"/>
      <c r="AG618" s="1"/>
    </row>
    <row r="619" ht="15.75" customHeight="1">
      <c r="A619" s="1"/>
      <c r="B619" s="1"/>
      <c r="C619" s="1"/>
      <c r="D619" s="1"/>
      <c r="E619" s="1"/>
      <c r="F619" s="1"/>
      <c r="G619" s="1"/>
      <c r="H619" s="1"/>
      <c r="I619" s="1"/>
      <c r="J619" s="1"/>
      <c r="K619" s="89" t="s">
        <v>1031</v>
      </c>
      <c r="L619" s="89" t="str">
        <f>A30</f>
        <v>C</v>
      </c>
      <c r="M619" s="89"/>
      <c r="N619" s="89" t="s">
        <v>1032</v>
      </c>
      <c r="O619" s="92">
        <v>1.8663706E7</v>
      </c>
      <c r="P619" s="92">
        <v>1.6551826E7</v>
      </c>
      <c r="Q619" s="89" t="s">
        <v>813</v>
      </c>
      <c r="AF619" s="1"/>
      <c r="AG619" s="1"/>
    </row>
    <row r="620" ht="15.75" customHeight="1">
      <c r="A620" s="1"/>
      <c r="B620" s="1"/>
      <c r="C620" s="1"/>
      <c r="D620" s="1"/>
      <c r="E620" s="1"/>
      <c r="F620" s="1"/>
      <c r="G620" s="1"/>
      <c r="H620" s="1"/>
      <c r="I620" s="1"/>
      <c r="J620" s="1"/>
      <c r="K620" s="89" t="s">
        <v>1033</v>
      </c>
      <c r="L620" s="89" t="str">
        <f>A30</f>
        <v>C</v>
      </c>
      <c r="M620" s="89" t="s">
        <v>1034</v>
      </c>
      <c r="N620" s="89" t="s">
        <v>1035</v>
      </c>
      <c r="O620" s="92">
        <v>1.8787125E7</v>
      </c>
      <c r="P620" s="92">
        <v>1.6675245E7</v>
      </c>
      <c r="Q620" s="89" t="s">
        <v>810</v>
      </c>
      <c r="AF620" s="1"/>
      <c r="AG620" s="1"/>
    </row>
    <row r="621" ht="15.75" customHeight="1">
      <c r="A621" s="1"/>
      <c r="B621" s="1"/>
      <c r="C621" s="1"/>
      <c r="D621" s="1"/>
      <c r="E621" s="1"/>
      <c r="F621" s="1"/>
      <c r="G621" s="1"/>
      <c r="H621" s="1"/>
      <c r="I621" s="1"/>
      <c r="J621" s="1"/>
      <c r="K621" s="89" t="s">
        <v>1034</v>
      </c>
      <c r="L621" s="89" t="str">
        <f>A30</f>
        <v>C</v>
      </c>
      <c r="M621" s="89" t="s">
        <v>1033</v>
      </c>
      <c r="N621" s="89" t="s">
        <v>1035</v>
      </c>
      <c r="O621" s="92">
        <v>1.8787125E7</v>
      </c>
      <c r="P621" s="92">
        <v>1.6675245E7</v>
      </c>
      <c r="Q621" s="89" t="s">
        <v>810</v>
      </c>
      <c r="AF621" s="1"/>
      <c r="AG621" s="1"/>
    </row>
    <row r="622" ht="15.75" customHeight="1">
      <c r="A622" s="1"/>
      <c r="B622" s="1"/>
      <c r="C622" s="1"/>
      <c r="D622" s="1"/>
      <c r="E622" s="1"/>
      <c r="F622" s="1"/>
      <c r="G622" s="1"/>
      <c r="H622" s="1"/>
      <c r="I622" s="1"/>
      <c r="J622" s="1"/>
      <c r="K622" s="89" t="s">
        <v>1036</v>
      </c>
      <c r="L622" s="89" t="str">
        <f>A30</f>
        <v>C</v>
      </c>
      <c r="M622" s="89" t="s">
        <v>1037</v>
      </c>
      <c r="N622" s="89" t="s">
        <v>1038</v>
      </c>
      <c r="O622" s="92">
        <v>1.8832816E7</v>
      </c>
      <c r="P622" s="92">
        <v>1.6720936E7</v>
      </c>
      <c r="Q622" s="89" t="s">
        <v>838</v>
      </c>
      <c r="AF622" s="1"/>
      <c r="AG622" s="1"/>
    </row>
    <row r="623" ht="15.75" customHeight="1">
      <c r="A623" s="1"/>
      <c r="B623" s="1"/>
      <c r="C623" s="1"/>
      <c r="D623" s="1"/>
      <c r="E623" s="1"/>
      <c r="F623" s="1"/>
      <c r="G623" s="1"/>
      <c r="H623" s="1"/>
      <c r="I623" s="1"/>
      <c r="J623" s="1"/>
      <c r="K623" s="89" t="s">
        <v>1037</v>
      </c>
      <c r="L623" s="89" t="str">
        <f>A30</f>
        <v>C</v>
      </c>
      <c r="M623" s="89" t="s">
        <v>1036</v>
      </c>
      <c r="N623" s="89" t="s">
        <v>1038</v>
      </c>
      <c r="O623" s="89">
        <v>1.8832816E7</v>
      </c>
      <c r="P623" s="89">
        <v>1.6720936E7</v>
      </c>
      <c r="Q623" s="89" t="s">
        <v>838</v>
      </c>
      <c r="AF623" s="1"/>
      <c r="AG623" s="1"/>
    </row>
    <row r="624" ht="15.75" customHeight="1">
      <c r="A624" s="1"/>
      <c r="B624" s="1"/>
      <c r="C624" s="1"/>
      <c r="D624" s="1"/>
      <c r="E624" s="1"/>
      <c r="F624" s="1"/>
      <c r="G624" s="1"/>
      <c r="H624" s="1"/>
      <c r="I624" s="1"/>
      <c r="J624" s="1"/>
      <c r="K624" s="89" t="s">
        <v>1039</v>
      </c>
      <c r="L624" s="89" t="str">
        <f>A30</f>
        <v>C</v>
      </c>
      <c r="M624" s="89" t="s">
        <v>1040</v>
      </c>
      <c r="N624" s="89" t="s">
        <v>1041</v>
      </c>
      <c r="O624" s="92">
        <v>1.884314E7</v>
      </c>
      <c r="P624" s="92">
        <v>1.673126E7</v>
      </c>
      <c r="Q624" s="89" t="s">
        <v>802</v>
      </c>
      <c r="AF624" s="1"/>
      <c r="AG624" s="1"/>
    </row>
    <row r="625" ht="15.75" customHeight="1">
      <c r="A625" s="1"/>
      <c r="B625" s="1"/>
      <c r="C625" s="1"/>
      <c r="D625" s="1"/>
      <c r="E625" s="1"/>
      <c r="F625" s="1"/>
      <c r="G625" s="1"/>
      <c r="H625" s="1"/>
      <c r="I625" s="1"/>
      <c r="J625" s="1"/>
      <c r="K625" s="89" t="s">
        <v>1040</v>
      </c>
      <c r="L625" s="89" t="str">
        <f>A30</f>
        <v>C</v>
      </c>
      <c r="M625" s="89" t="s">
        <v>1039</v>
      </c>
      <c r="N625" s="89" t="s">
        <v>1041</v>
      </c>
      <c r="O625" s="92">
        <v>1.884314E7</v>
      </c>
      <c r="P625" s="92">
        <v>1.673126E7</v>
      </c>
      <c r="Q625" s="89" t="s">
        <v>802</v>
      </c>
      <c r="AF625" s="1"/>
      <c r="AG625" s="1"/>
    </row>
    <row r="626" ht="15.75" customHeight="1">
      <c r="A626" s="1"/>
      <c r="B626" s="1"/>
      <c r="C626" s="1"/>
      <c r="D626" s="1"/>
      <c r="E626" s="1"/>
      <c r="F626" s="1"/>
      <c r="G626" s="1"/>
      <c r="H626" s="1"/>
      <c r="I626" s="1"/>
      <c r="J626" s="1"/>
      <c r="K626" s="89" t="s">
        <v>1042</v>
      </c>
      <c r="L626" s="89" t="str">
        <f>A30</f>
        <v>C</v>
      </c>
      <c r="M626" s="89" t="s">
        <v>1043</v>
      </c>
      <c r="N626" s="89" t="s">
        <v>1044</v>
      </c>
      <c r="O626" s="92">
        <v>1.8890063E7</v>
      </c>
      <c r="P626" s="92">
        <v>1.6778183E7</v>
      </c>
      <c r="Q626" s="89" t="s">
        <v>802</v>
      </c>
      <c r="AF626" s="1"/>
      <c r="AG626" s="1"/>
    </row>
    <row r="627" ht="15.75" customHeight="1">
      <c r="A627" s="1"/>
      <c r="B627" s="1"/>
      <c r="C627" s="1"/>
      <c r="D627" s="1"/>
      <c r="E627" s="1"/>
      <c r="F627" s="1"/>
      <c r="G627" s="1"/>
      <c r="H627" s="1"/>
      <c r="I627" s="1"/>
      <c r="J627" s="1"/>
      <c r="K627" s="89" t="s">
        <v>1043</v>
      </c>
      <c r="L627" s="89" t="str">
        <f>A30</f>
        <v>C</v>
      </c>
      <c r="M627" s="89" t="s">
        <v>1042</v>
      </c>
      <c r="N627" s="89" t="s">
        <v>1044</v>
      </c>
      <c r="O627" s="92">
        <v>1.8890063E7</v>
      </c>
      <c r="P627" s="92">
        <v>1.6778183E7</v>
      </c>
      <c r="Q627" s="89" t="s">
        <v>802</v>
      </c>
      <c r="AF627" s="1"/>
      <c r="AG627" s="1"/>
    </row>
    <row r="628" ht="15.75" customHeight="1">
      <c r="A628" s="1"/>
      <c r="B628" s="1"/>
      <c r="C628" s="1"/>
      <c r="D628" s="1"/>
      <c r="E628" s="1"/>
      <c r="F628" s="1"/>
      <c r="G628" s="1"/>
      <c r="H628" s="1"/>
      <c r="I628" s="1"/>
      <c r="J628" s="1"/>
      <c r="K628" s="89" t="s">
        <v>1045</v>
      </c>
      <c r="L628" s="89" t="str">
        <f>A30</f>
        <v>C</v>
      </c>
      <c r="M628" s="89" t="s">
        <v>1046</v>
      </c>
      <c r="N628" s="89" t="s">
        <v>1047</v>
      </c>
      <c r="O628" s="92">
        <v>1.8917306E7</v>
      </c>
      <c r="P628" s="92">
        <v>1.6805426E7</v>
      </c>
      <c r="Q628" s="89" t="s">
        <v>838</v>
      </c>
      <c r="AF628" s="1"/>
      <c r="AG628" s="1"/>
    </row>
    <row r="629" ht="15.75" customHeight="1">
      <c r="A629" s="1"/>
      <c r="B629" s="1"/>
      <c r="C629" s="1"/>
      <c r="D629" s="1"/>
      <c r="E629" s="1"/>
      <c r="F629" s="1"/>
      <c r="G629" s="1"/>
      <c r="H629" s="1"/>
      <c r="I629" s="1"/>
      <c r="J629" s="1"/>
      <c r="K629" s="89" t="s">
        <v>1046</v>
      </c>
      <c r="L629" s="89" t="str">
        <f>A30</f>
        <v>C</v>
      </c>
      <c r="M629" s="89" t="s">
        <v>1045</v>
      </c>
      <c r="N629" s="89" t="s">
        <v>1047</v>
      </c>
      <c r="O629" s="92">
        <v>1.8917306E7</v>
      </c>
      <c r="P629" s="92">
        <v>1.6805426E7</v>
      </c>
      <c r="Q629" s="89" t="s">
        <v>838</v>
      </c>
      <c r="AF629" s="1"/>
      <c r="AG629" s="1"/>
    </row>
    <row r="630" ht="15.75" customHeight="1">
      <c r="A630" s="1"/>
      <c r="B630" s="1"/>
      <c r="C630" s="1"/>
      <c r="D630" s="1"/>
      <c r="E630" s="1"/>
      <c r="F630" s="1"/>
      <c r="G630" s="1"/>
      <c r="H630" s="1"/>
      <c r="I630" s="1"/>
      <c r="J630" s="1"/>
      <c r="K630" s="89" t="s">
        <v>1048</v>
      </c>
      <c r="L630" s="89" t="str">
        <f>A30</f>
        <v>C</v>
      </c>
      <c r="M630" s="89" t="s">
        <v>1049</v>
      </c>
      <c r="N630" s="89" t="s">
        <v>1050</v>
      </c>
      <c r="O630" s="92">
        <v>1.8964479E7</v>
      </c>
      <c r="P630" s="92">
        <v>1.6852599E7</v>
      </c>
      <c r="Q630" s="89" t="s">
        <v>802</v>
      </c>
      <c r="AF630" s="1"/>
      <c r="AG630" s="1"/>
    </row>
    <row r="631" ht="15.75" customHeight="1">
      <c r="A631" s="1"/>
      <c r="B631" s="1"/>
      <c r="C631" s="1"/>
      <c r="D631" s="1"/>
      <c r="E631" s="1"/>
      <c r="F631" s="1"/>
      <c r="G631" s="1"/>
      <c r="H631" s="1"/>
      <c r="I631" s="1"/>
      <c r="J631" s="1"/>
      <c r="K631" s="89" t="s">
        <v>1049</v>
      </c>
      <c r="L631" s="89" t="str">
        <f>A30</f>
        <v>C</v>
      </c>
      <c r="M631" s="89" t="s">
        <v>1048</v>
      </c>
      <c r="N631" s="89" t="s">
        <v>1050</v>
      </c>
      <c r="O631" s="92">
        <v>1.8964479E7</v>
      </c>
      <c r="P631" s="92">
        <v>1.6852599E7</v>
      </c>
      <c r="Q631" s="89" t="s">
        <v>802</v>
      </c>
      <c r="AF631" s="1"/>
      <c r="AG631" s="1"/>
    </row>
    <row r="632" ht="15.75" customHeight="1">
      <c r="A632" s="1"/>
      <c r="B632" s="1"/>
      <c r="C632" s="1"/>
      <c r="D632" s="1"/>
      <c r="E632" s="1"/>
      <c r="F632" s="1"/>
      <c r="G632" s="1"/>
      <c r="H632" s="1"/>
      <c r="I632" s="1"/>
      <c r="J632" s="1"/>
      <c r="K632" s="89" t="s">
        <v>1051</v>
      </c>
      <c r="L632" s="89" t="str">
        <f>A30</f>
        <v>C</v>
      </c>
      <c r="M632" s="89"/>
      <c r="N632" s="89" t="s">
        <v>1052</v>
      </c>
      <c r="O632" s="92">
        <v>1.9182853E7</v>
      </c>
      <c r="P632" s="92">
        <v>1.7070973E7</v>
      </c>
      <c r="Q632" s="89" t="s">
        <v>813</v>
      </c>
      <c r="AF632" s="1"/>
      <c r="AG632" s="1"/>
    </row>
    <row r="633" ht="15.75" customHeight="1">
      <c r="A633" s="1"/>
      <c r="B633" s="1"/>
      <c r="C633" s="1"/>
      <c r="D633" s="1"/>
      <c r="E633" s="1"/>
      <c r="F633" s="1"/>
      <c r="G633" s="1"/>
      <c r="H633" s="1"/>
      <c r="I633" s="1"/>
      <c r="J633" s="1"/>
      <c r="K633" s="89" t="s">
        <v>1053</v>
      </c>
      <c r="L633" s="89" t="str">
        <f>A30</f>
        <v>C</v>
      </c>
      <c r="M633" s="89"/>
      <c r="N633" s="89"/>
      <c r="O633" s="92">
        <v>1.923399E7</v>
      </c>
      <c r="P633" s="92">
        <v>1.712211E7</v>
      </c>
      <c r="Q633" s="93" t="s">
        <v>886</v>
      </c>
      <c r="AF633" s="1"/>
      <c r="AG633" s="1"/>
    </row>
    <row r="634" ht="15.75" customHeight="1">
      <c r="A634" s="1"/>
      <c r="B634" s="1"/>
      <c r="C634" s="1"/>
      <c r="D634" s="1"/>
      <c r="E634" s="1"/>
      <c r="F634" s="1"/>
      <c r="G634" s="1"/>
      <c r="H634" s="1"/>
      <c r="I634" s="1"/>
      <c r="J634" s="1"/>
      <c r="K634" s="89" t="s">
        <v>1054</v>
      </c>
      <c r="L634" s="89" t="str">
        <f>A30</f>
        <v>C</v>
      </c>
      <c r="M634" s="89"/>
      <c r="N634" s="89" t="s">
        <v>1055</v>
      </c>
      <c r="O634" s="92">
        <v>1.9411754E7</v>
      </c>
      <c r="P634" s="92">
        <v>1.7299874E7</v>
      </c>
      <c r="Q634" s="89" t="s">
        <v>810</v>
      </c>
      <c r="AF634" s="1"/>
      <c r="AG634" s="1"/>
    </row>
    <row r="635" ht="15.75" customHeight="1">
      <c r="A635" s="1"/>
      <c r="B635" s="1"/>
      <c r="C635" s="1"/>
      <c r="D635" s="1"/>
      <c r="E635" s="1"/>
      <c r="F635" s="1"/>
      <c r="G635" s="1"/>
      <c r="H635" s="1"/>
      <c r="I635" s="1"/>
      <c r="J635" s="1"/>
      <c r="K635" s="89" t="s">
        <v>1056</v>
      </c>
      <c r="L635" s="89" t="str">
        <f>A30</f>
        <v>C</v>
      </c>
      <c r="M635" s="89"/>
      <c r="N635" s="89" t="s">
        <v>1057</v>
      </c>
      <c r="O635" s="92">
        <v>1.955134E7</v>
      </c>
      <c r="P635" s="92">
        <v>1.743946E7</v>
      </c>
      <c r="Q635" s="89" t="s">
        <v>838</v>
      </c>
      <c r="AF635" s="1"/>
      <c r="AG635" s="1"/>
    </row>
    <row r="636" ht="15.75" customHeight="1">
      <c r="A636" s="1"/>
      <c r="B636" s="1"/>
      <c r="C636" s="1"/>
      <c r="D636" s="1"/>
      <c r="E636" s="1"/>
      <c r="F636" s="1"/>
      <c r="G636" s="1"/>
      <c r="H636" s="1"/>
      <c r="I636" s="1"/>
      <c r="J636" s="1"/>
      <c r="K636" s="89" t="s">
        <v>1058</v>
      </c>
      <c r="L636" s="89" t="str">
        <f>A30</f>
        <v>C</v>
      </c>
      <c r="M636" s="89"/>
      <c r="N636" s="89" t="s">
        <v>1059</v>
      </c>
      <c r="O636" s="92">
        <v>2.2208408E7</v>
      </c>
      <c r="P636" s="92">
        <v>2.0046522E7</v>
      </c>
      <c r="Q636" s="89" t="s">
        <v>810</v>
      </c>
      <c r="AF636" s="1"/>
      <c r="AG636" s="1"/>
    </row>
    <row r="637" ht="15.75" customHeight="1">
      <c r="A637" s="1"/>
      <c r="B637" s="1"/>
      <c r="C637" s="1"/>
      <c r="D637" s="1"/>
      <c r="E637" s="1"/>
      <c r="F637" s="1"/>
      <c r="G637" s="1"/>
      <c r="H637" s="1"/>
      <c r="I637" s="1"/>
      <c r="J637" s="1"/>
      <c r="K637" s="89" t="s">
        <v>1060</v>
      </c>
      <c r="L637" s="89" t="str">
        <f>A30</f>
        <v>C</v>
      </c>
      <c r="M637" s="89"/>
      <c r="N637" s="89" t="s">
        <v>1061</v>
      </c>
      <c r="O637" s="92">
        <v>2.2575539E7</v>
      </c>
      <c r="P637" s="92">
        <v>2.0413653E7</v>
      </c>
      <c r="Q637" s="89" t="s">
        <v>822</v>
      </c>
      <c r="AF637" s="1"/>
      <c r="AG637" s="1"/>
    </row>
    <row r="638" ht="15.75" customHeight="1">
      <c r="A638" s="1"/>
      <c r="B638" s="1"/>
      <c r="C638" s="1"/>
      <c r="D638" s="1"/>
      <c r="E638" s="1"/>
      <c r="F638" s="1"/>
      <c r="G638" s="1"/>
      <c r="H638" s="1"/>
      <c r="I638" s="1"/>
      <c r="J638" s="1"/>
      <c r="K638" s="89" t="s">
        <v>1062</v>
      </c>
      <c r="L638" s="89" t="str">
        <f>A30</f>
        <v>C</v>
      </c>
      <c r="M638" s="89"/>
      <c r="N638" s="89" t="s">
        <v>1063</v>
      </c>
      <c r="O638" s="92">
        <v>2.3020085E7</v>
      </c>
      <c r="P638" s="92">
        <v>2.0858199E7</v>
      </c>
      <c r="Q638" s="89" t="s">
        <v>886</v>
      </c>
      <c r="AF638" s="1"/>
      <c r="AG638" s="1"/>
    </row>
    <row r="639" ht="15.75" customHeight="1">
      <c r="A639" s="1"/>
      <c r="B639" s="1"/>
      <c r="C639" s="1"/>
      <c r="D639" s="1"/>
      <c r="E639" s="1"/>
      <c r="F639" s="1"/>
      <c r="G639" s="1"/>
      <c r="H639" s="1"/>
      <c r="I639" s="1"/>
      <c r="J639" s="1"/>
      <c r="K639" s="89" t="s">
        <v>1064</v>
      </c>
      <c r="L639" s="89" t="str">
        <f>A30</f>
        <v>C</v>
      </c>
      <c r="M639" s="89"/>
      <c r="N639" s="89" t="s">
        <v>1065</v>
      </c>
      <c r="O639" s="92">
        <v>2.3031841E7</v>
      </c>
      <c r="P639" s="92">
        <v>2.0869955E7</v>
      </c>
      <c r="Q639" s="89" t="s">
        <v>810</v>
      </c>
      <c r="AF639" s="1"/>
      <c r="AG639" s="1"/>
    </row>
    <row r="640" ht="15.75" customHeight="1">
      <c r="A640" s="1"/>
      <c r="B640" s="1"/>
      <c r="C640" s="1"/>
      <c r="D640" s="1"/>
      <c r="E640" s="1"/>
      <c r="F640" s="1"/>
      <c r="G640" s="1"/>
      <c r="H640" s="1"/>
      <c r="I640" s="1"/>
      <c r="J640" s="1"/>
      <c r="K640" s="89" t="s">
        <v>1066</v>
      </c>
      <c r="L640" s="89" t="str">
        <f>A30</f>
        <v>C</v>
      </c>
      <c r="M640" s="89"/>
      <c r="N640" s="89" t="s">
        <v>1067</v>
      </c>
      <c r="O640" s="92">
        <v>2.306777E7</v>
      </c>
      <c r="P640" s="92">
        <v>2.0905884E7</v>
      </c>
      <c r="Q640" s="89" t="s">
        <v>822</v>
      </c>
      <c r="AF640" s="1"/>
      <c r="AG640" s="1"/>
    </row>
    <row r="641" ht="15.75" customHeight="1">
      <c r="A641" s="1"/>
      <c r="B641" s="1"/>
      <c r="C641" s="1"/>
      <c r="D641" s="1"/>
      <c r="E641" s="1"/>
      <c r="F641" s="1"/>
      <c r="G641" s="1"/>
      <c r="H641" s="1"/>
      <c r="I641" s="1"/>
      <c r="J641" s="1"/>
      <c r="K641" s="89" t="s">
        <v>1068</v>
      </c>
      <c r="L641" s="89" t="str">
        <f>A30</f>
        <v>C</v>
      </c>
      <c r="M641" s="89"/>
      <c r="N641" s="89" t="s">
        <v>1069</v>
      </c>
      <c r="O641" s="92">
        <v>2.3553006E7</v>
      </c>
      <c r="P641" s="92">
        <v>2.139112E7</v>
      </c>
      <c r="Q641" s="89" t="s">
        <v>802</v>
      </c>
      <c r="AF641" s="1"/>
      <c r="AG641" s="1"/>
    </row>
    <row r="642" ht="15.75" customHeight="1">
      <c r="A642" s="1"/>
      <c r="B642" s="1"/>
      <c r="C642" s="1"/>
      <c r="D642" s="1"/>
      <c r="E642" s="1"/>
      <c r="F642" s="1"/>
      <c r="G642" s="1"/>
      <c r="H642" s="1"/>
      <c r="I642" s="1"/>
      <c r="J642" s="1"/>
      <c r="K642" s="89" t="s">
        <v>1070</v>
      </c>
      <c r="L642" s="89" t="str">
        <f>A30</f>
        <v>C</v>
      </c>
      <c r="M642" s="89"/>
      <c r="N642" s="89" t="s">
        <v>1071</v>
      </c>
      <c r="O642" s="92">
        <v>2.3769373E7</v>
      </c>
      <c r="P642" s="92">
        <v>2.1607487E7</v>
      </c>
      <c r="Q642" s="89" t="s">
        <v>822</v>
      </c>
      <c r="AF642" s="1"/>
      <c r="AG642" s="1"/>
    </row>
    <row r="643" ht="15.75" customHeight="1">
      <c r="A643" s="1"/>
      <c r="B643" s="1"/>
      <c r="C643" s="1"/>
      <c r="D643" s="1"/>
      <c r="E643" s="1"/>
      <c r="F643" s="1"/>
      <c r="G643" s="1"/>
      <c r="H643" s="1"/>
      <c r="I643" s="1"/>
      <c r="J643" s="1"/>
      <c r="K643" s="89" t="s">
        <v>1072</v>
      </c>
      <c r="L643" s="89" t="str">
        <f>A30</f>
        <v>C</v>
      </c>
      <c r="M643" s="89"/>
      <c r="N643" s="89" t="s">
        <v>1073</v>
      </c>
      <c r="O643" s="92">
        <v>1.6409159E7</v>
      </c>
      <c r="P643" s="92">
        <v>1.4297279E7</v>
      </c>
      <c r="Q643" s="89" t="s">
        <v>879</v>
      </c>
      <c r="AF643" s="1"/>
      <c r="AG643" s="1"/>
    </row>
    <row r="644" ht="15.75" customHeight="1">
      <c r="A644" s="1"/>
      <c r="B644" s="1"/>
      <c r="C644" s="1"/>
      <c r="D644" s="1"/>
      <c r="E644" s="1"/>
      <c r="F644" s="1"/>
      <c r="G644" s="1"/>
      <c r="H644" s="1"/>
      <c r="I644" s="1"/>
      <c r="J644" s="1"/>
      <c r="K644" s="89" t="s">
        <v>1074</v>
      </c>
      <c r="L644" s="89" t="str">
        <f>A30</f>
        <v>C</v>
      </c>
      <c r="M644" s="89"/>
      <c r="N644" s="89" t="s">
        <v>1075</v>
      </c>
      <c r="O644" s="92">
        <v>1.7957903E7</v>
      </c>
      <c r="P644" s="92">
        <v>1.5846023E7</v>
      </c>
      <c r="Q644" s="89" t="s">
        <v>838</v>
      </c>
      <c r="AF644" s="1"/>
      <c r="AG644" s="1"/>
    </row>
    <row r="645" ht="15.75" customHeight="1">
      <c r="A645" s="1"/>
      <c r="B645" s="1"/>
      <c r="C645" s="1"/>
      <c r="D645" s="1"/>
      <c r="E645" s="1"/>
      <c r="F645" s="1"/>
      <c r="G645" s="1"/>
      <c r="H645" s="1"/>
      <c r="I645" s="1"/>
      <c r="J645" s="1"/>
      <c r="K645" s="89" t="s">
        <v>1076</v>
      </c>
      <c r="L645" s="89" t="str">
        <f>A30</f>
        <v>C</v>
      </c>
      <c r="M645" s="89"/>
      <c r="N645" s="89" t="s">
        <v>1077</v>
      </c>
      <c r="O645" s="92">
        <v>2.293738E7</v>
      </c>
      <c r="P645" s="92">
        <v>2.0775494E7</v>
      </c>
      <c r="Q645" s="89" t="s">
        <v>879</v>
      </c>
      <c r="AF645" s="1"/>
      <c r="AG645" s="1"/>
    </row>
    <row r="646" ht="15.75" customHeight="1">
      <c r="A646" s="1"/>
      <c r="B646" s="1"/>
      <c r="C646" s="1"/>
      <c r="D646" s="1"/>
      <c r="E646" s="1"/>
      <c r="F646" s="1"/>
      <c r="G646" s="1"/>
      <c r="H646" s="1"/>
      <c r="I646" s="1"/>
      <c r="J646" s="1"/>
      <c r="K646" s="89" t="s">
        <v>1078</v>
      </c>
      <c r="L646" s="89" t="str">
        <f>A30</f>
        <v>C</v>
      </c>
      <c r="M646" s="89"/>
      <c r="N646" s="89" t="s">
        <v>1079</v>
      </c>
      <c r="O646" s="92">
        <v>8746792.0</v>
      </c>
      <c r="P646" s="92">
        <v>8878751.0</v>
      </c>
      <c r="Q646" s="89" t="s">
        <v>810</v>
      </c>
      <c r="AF646" s="1"/>
      <c r="AG646" s="1"/>
    </row>
    <row r="647" ht="15.75" customHeight="1">
      <c r="A647" s="1"/>
      <c r="B647" s="1"/>
      <c r="C647" s="1"/>
      <c r="D647" s="1"/>
      <c r="E647" s="1"/>
      <c r="F647" s="1"/>
      <c r="G647" s="1"/>
      <c r="H647" s="1"/>
      <c r="I647" s="1"/>
      <c r="J647" s="1"/>
      <c r="K647" s="89" t="s">
        <v>1080</v>
      </c>
      <c r="L647" s="89" t="str">
        <f>A30</f>
        <v>C</v>
      </c>
      <c r="M647" s="89"/>
      <c r="N647" s="89" t="s">
        <v>1081</v>
      </c>
      <c r="O647" s="89">
        <v>2.1093637E7</v>
      </c>
      <c r="P647" s="89">
        <v>1.8931751E7</v>
      </c>
      <c r="Q647" s="89" t="s">
        <v>813</v>
      </c>
      <c r="AF647" s="1"/>
      <c r="AG647" s="1"/>
    </row>
    <row r="648" ht="15.75" customHeight="1">
      <c r="A648" s="1"/>
      <c r="B648" s="1"/>
      <c r="C648" s="1"/>
      <c r="D648" s="1"/>
      <c r="E648" s="1"/>
      <c r="F648" s="1"/>
      <c r="G648" s="1"/>
      <c r="H648" s="1"/>
      <c r="I648" s="1"/>
      <c r="J648" s="1"/>
      <c r="K648" s="89" t="s">
        <v>1082</v>
      </c>
      <c r="L648" s="89" t="str">
        <f>A30</f>
        <v>C</v>
      </c>
      <c r="M648" s="89"/>
      <c r="N648" s="89" t="s">
        <v>1083</v>
      </c>
      <c r="O648" s="89">
        <v>2.1810124E7</v>
      </c>
      <c r="P648" s="89">
        <v>1.9648238E7</v>
      </c>
      <c r="Q648" s="89" t="s">
        <v>810</v>
      </c>
      <c r="AF648" s="1"/>
      <c r="AG648" s="1"/>
    </row>
    <row r="649" ht="15.75" customHeight="1">
      <c r="A649" s="1"/>
      <c r="B649" s="1"/>
      <c r="C649" s="1"/>
      <c r="D649" s="1"/>
      <c r="E649" s="1"/>
      <c r="F649" s="1"/>
      <c r="G649" s="1"/>
      <c r="H649" s="1"/>
      <c r="I649" s="1"/>
      <c r="J649" s="1"/>
      <c r="K649" s="89" t="s">
        <v>1084</v>
      </c>
      <c r="L649" s="89" t="str">
        <f>A30</f>
        <v>C</v>
      </c>
      <c r="M649" s="89" t="s">
        <v>1085</v>
      </c>
      <c r="N649" s="89" t="s">
        <v>1086</v>
      </c>
      <c r="O649" s="92">
        <v>2803297.0</v>
      </c>
      <c r="P649" s="92">
        <v>2935256.0</v>
      </c>
      <c r="Q649" s="89" t="s">
        <v>802</v>
      </c>
      <c r="AF649" s="1"/>
      <c r="AG649" s="1"/>
    </row>
    <row r="650" ht="15.75" customHeight="1">
      <c r="A650" s="1"/>
      <c r="B650" s="1"/>
      <c r="C650" s="1"/>
      <c r="D650" s="1"/>
      <c r="E650" s="1"/>
      <c r="F650" s="1"/>
      <c r="G650" s="1"/>
      <c r="H650" s="1"/>
      <c r="I650" s="1"/>
      <c r="J650" s="1"/>
      <c r="K650" s="89" t="s">
        <v>1087</v>
      </c>
      <c r="L650" s="89" t="str">
        <f>A30</f>
        <v>C</v>
      </c>
      <c r="M650" s="89" t="s">
        <v>1088</v>
      </c>
      <c r="N650" s="89" t="s">
        <v>1086</v>
      </c>
      <c r="O650" s="92">
        <v>2803297.0</v>
      </c>
      <c r="P650" s="92">
        <v>2935256.0</v>
      </c>
      <c r="Q650" s="89" t="s">
        <v>802</v>
      </c>
      <c r="AF650" s="1"/>
      <c r="AG650" s="1"/>
    </row>
    <row r="651" ht="15.75" customHeight="1">
      <c r="A651" s="1"/>
      <c r="B651" s="1"/>
      <c r="C651" s="1"/>
      <c r="D651" s="1"/>
      <c r="E651" s="1"/>
      <c r="F651" s="1"/>
      <c r="G651" s="1"/>
      <c r="H651" s="1"/>
      <c r="I651" s="1"/>
      <c r="J651" s="1"/>
      <c r="K651" s="89" t="s">
        <v>1089</v>
      </c>
      <c r="L651" s="89" t="str">
        <f>A30</f>
        <v>C</v>
      </c>
      <c r="M651" s="89" t="s">
        <v>1090</v>
      </c>
      <c r="N651" s="89" t="s">
        <v>1086</v>
      </c>
      <c r="O651" s="92">
        <v>2803297.0</v>
      </c>
      <c r="P651" s="92">
        <v>2935256.0</v>
      </c>
      <c r="Q651" s="89" t="s">
        <v>802</v>
      </c>
      <c r="AF651" s="1"/>
      <c r="AG651" s="1"/>
    </row>
    <row r="652" ht="15.75" customHeight="1">
      <c r="A652" s="1"/>
      <c r="B652" s="1"/>
      <c r="C652" s="1"/>
      <c r="D652" s="1"/>
      <c r="E652" s="1"/>
      <c r="F652" s="1"/>
      <c r="G652" s="1"/>
      <c r="H652" s="1"/>
      <c r="I652" s="1"/>
      <c r="J652" s="1"/>
      <c r="K652" s="89" t="s">
        <v>1091</v>
      </c>
      <c r="L652" s="89" t="str">
        <f>A30</f>
        <v>C</v>
      </c>
      <c r="M652" s="89"/>
      <c r="N652" s="89" t="s">
        <v>1092</v>
      </c>
      <c r="O652" s="92">
        <v>1.5437564E7</v>
      </c>
      <c r="P652" s="92">
        <v>1.3325684E7</v>
      </c>
      <c r="Q652" s="89" t="s">
        <v>802</v>
      </c>
      <c r="AF652" s="1"/>
      <c r="AG652" s="1"/>
    </row>
    <row r="653" ht="15.75" customHeight="1">
      <c r="A653" s="1"/>
      <c r="B653" s="1"/>
      <c r="C653" s="1"/>
      <c r="D653" s="1"/>
      <c r="E653" s="1"/>
      <c r="F653" s="1"/>
      <c r="G653" s="1"/>
      <c r="H653" s="1"/>
      <c r="I653" s="1"/>
      <c r="J653" s="1"/>
      <c r="K653" s="89" t="s">
        <v>1093</v>
      </c>
      <c r="L653" s="89" t="str">
        <f>A30</f>
        <v>C</v>
      </c>
      <c r="M653" s="89" t="s">
        <v>1094</v>
      </c>
      <c r="N653" s="89" t="s">
        <v>1095</v>
      </c>
      <c r="O653" s="92">
        <v>8685038.0</v>
      </c>
      <c r="P653" s="92">
        <v>8816997.0</v>
      </c>
      <c r="Q653" s="89" t="s">
        <v>810</v>
      </c>
      <c r="AF653" s="1"/>
      <c r="AG653" s="1"/>
    </row>
    <row r="654" ht="15.75" customHeight="1">
      <c r="A654" s="1"/>
      <c r="B654" s="1"/>
      <c r="C654" s="1"/>
      <c r="D654" s="1"/>
      <c r="E654" s="1"/>
      <c r="F654" s="1"/>
      <c r="G654" s="1"/>
      <c r="H654" s="1"/>
      <c r="I654" s="1"/>
      <c r="J654" s="1"/>
      <c r="K654" s="89" t="s">
        <v>1094</v>
      </c>
      <c r="L654" s="89" t="str">
        <f>A30</f>
        <v>C</v>
      </c>
      <c r="M654" s="89" t="s">
        <v>1093</v>
      </c>
      <c r="N654" s="89" t="s">
        <v>1095</v>
      </c>
      <c r="O654" s="92">
        <v>8685038.0</v>
      </c>
      <c r="P654" s="92">
        <v>8816997.0</v>
      </c>
      <c r="Q654" s="89" t="s">
        <v>810</v>
      </c>
      <c r="AF654" s="1"/>
      <c r="AG654" s="1"/>
    </row>
    <row r="655" ht="15.75" customHeight="1">
      <c r="A655" s="1"/>
      <c r="B655" s="1"/>
      <c r="C655" s="1"/>
      <c r="D655" s="1"/>
      <c r="E655" s="1"/>
      <c r="F655" s="1"/>
      <c r="G655" s="1"/>
      <c r="H655" s="1"/>
      <c r="I655" s="1"/>
      <c r="J655" s="1"/>
      <c r="K655" s="89" t="s">
        <v>1096</v>
      </c>
      <c r="L655" s="89" t="str">
        <f>A30</f>
        <v>C</v>
      </c>
      <c r="M655" s="89" t="s">
        <v>1097</v>
      </c>
      <c r="N655" s="89" t="s">
        <v>1098</v>
      </c>
      <c r="O655" s="92">
        <v>1.7286006E7</v>
      </c>
      <c r="P655" s="92">
        <v>1.5174126E7</v>
      </c>
      <c r="Q655" s="89" t="s">
        <v>845</v>
      </c>
      <c r="AF655" s="1"/>
      <c r="AG655" s="1"/>
    </row>
    <row r="656" ht="15.75" customHeight="1">
      <c r="A656" s="1"/>
      <c r="B656" s="1"/>
      <c r="C656" s="1"/>
      <c r="D656" s="1"/>
      <c r="E656" s="1"/>
      <c r="F656" s="1"/>
      <c r="G656" s="1"/>
      <c r="H656" s="1"/>
      <c r="I656" s="1"/>
      <c r="J656" s="1"/>
      <c r="K656" s="89" t="s">
        <v>1097</v>
      </c>
      <c r="L656" s="89" t="str">
        <f>A30</f>
        <v>C</v>
      </c>
      <c r="M656" s="89" t="s">
        <v>1096</v>
      </c>
      <c r="N656" s="89" t="s">
        <v>1098</v>
      </c>
      <c r="O656" s="92">
        <v>1.7286006E7</v>
      </c>
      <c r="P656" s="92">
        <v>1.5174126E7</v>
      </c>
      <c r="Q656" s="89" t="s">
        <v>845</v>
      </c>
      <c r="AF656" s="1"/>
      <c r="AG656" s="1"/>
    </row>
    <row r="657" ht="15.75" customHeight="1">
      <c r="A657" s="1"/>
      <c r="B657" s="1"/>
      <c r="C657" s="1"/>
      <c r="D657" s="1"/>
      <c r="E657" s="1"/>
      <c r="F657" s="1"/>
      <c r="G657" s="1"/>
      <c r="H657" s="1"/>
      <c r="I657" s="1"/>
      <c r="J657" s="1"/>
      <c r="K657" s="89" t="s">
        <v>1099</v>
      </c>
      <c r="L657" s="89" t="str">
        <f>A30</f>
        <v>C</v>
      </c>
      <c r="M657" s="89"/>
      <c r="N657" s="89" t="s">
        <v>1100</v>
      </c>
      <c r="O657" s="92">
        <v>9982529.0</v>
      </c>
      <c r="P657" s="92">
        <v>1.014492E7</v>
      </c>
      <c r="Q657" s="89" t="s">
        <v>802</v>
      </c>
      <c r="AF657" s="1"/>
      <c r="AG657" s="1"/>
    </row>
    <row r="658" ht="15.75" customHeight="1">
      <c r="A658" s="1"/>
      <c r="B658" s="1"/>
      <c r="C658" s="1"/>
      <c r="D658" s="1"/>
      <c r="E658" s="1"/>
      <c r="F658" s="1"/>
      <c r="G658" s="1"/>
      <c r="H658" s="1"/>
      <c r="I658" s="1"/>
      <c r="J658" s="1"/>
      <c r="K658" s="89" t="s">
        <v>1101</v>
      </c>
      <c r="L658" s="89" t="str">
        <f>A30</f>
        <v>C</v>
      </c>
      <c r="M658" s="89"/>
      <c r="N658" s="89" t="s">
        <v>1102</v>
      </c>
      <c r="O658" s="92">
        <v>1.7947542E7</v>
      </c>
      <c r="P658" s="92">
        <v>1.5835662E7</v>
      </c>
      <c r="Q658" s="89" t="s">
        <v>802</v>
      </c>
      <c r="AF658" s="1"/>
      <c r="AG658" s="1"/>
    </row>
    <row r="659" ht="15.75" customHeight="1">
      <c r="A659" s="1"/>
      <c r="B659" s="1"/>
      <c r="C659" s="1"/>
      <c r="D659" s="1"/>
      <c r="E659" s="1"/>
      <c r="F659" s="1"/>
      <c r="G659" s="1"/>
      <c r="H659" s="1"/>
      <c r="I659" s="1"/>
      <c r="J659" s="1"/>
      <c r="K659" s="89" t="s">
        <v>1103</v>
      </c>
      <c r="L659" s="89" t="str">
        <f>A30</f>
        <v>C</v>
      </c>
      <c r="M659" s="89"/>
      <c r="N659" s="89" t="s">
        <v>1104</v>
      </c>
      <c r="O659" s="92">
        <v>2772928.0</v>
      </c>
      <c r="P659" s="92">
        <v>2904887.0</v>
      </c>
      <c r="Q659" s="89" t="s">
        <v>879</v>
      </c>
      <c r="AF659" s="1"/>
      <c r="AG659" s="1"/>
    </row>
    <row r="660" ht="15.75" customHeight="1">
      <c r="A660" s="1"/>
      <c r="B660" s="1"/>
      <c r="C660" s="1"/>
      <c r="D660" s="1"/>
      <c r="E660" s="1"/>
      <c r="F660" s="1"/>
      <c r="G660" s="1"/>
      <c r="H660" s="1"/>
      <c r="I660" s="1"/>
      <c r="J660" s="1"/>
      <c r="K660" s="89" t="s">
        <v>1105</v>
      </c>
      <c r="L660" s="89" t="str">
        <f>A30</f>
        <v>C</v>
      </c>
      <c r="M660" s="89" t="s">
        <v>1106</v>
      </c>
      <c r="N660" s="89" t="s">
        <v>1107</v>
      </c>
      <c r="O660" s="92">
        <v>7584247.0</v>
      </c>
      <c r="P660" s="92">
        <v>7716206.0</v>
      </c>
      <c r="Q660" s="89" t="s">
        <v>831</v>
      </c>
      <c r="AF660" s="1"/>
      <c r="AG660" s="1"/>
    </row>
    <row r="661" ht="15.75" customHeight="1">
      <c r="A661" s="1"/>
      <c r="B661" s="1"/>
      <c r="C661" s="1"/>
      <c r="D661" s="1"/>
      <c r="E661" s="1"/>
      <c r="F661" s="1"/>
      <c r="G661" s="1"/>
      <c r="H661" s="1"/>
      <c r="I661" s="1"/>
      <c r="J661" s="1"/>
      <c r="K661" s="89" t="s">
        <v>1106</v>
      </c>
      <c r="L661" s="89" t="str">
        <f>A30</f>
        <v>C</v>
      </c>
      <c r="M661" s="89" t="s">
        <v>1105</v>
      </c>
      <c r="N661" s="89" t="s">
        <v>1107</v>
      </c>
      <c r="O661" s="92">
        <v>7584247.0</v>
      </c>
      <c r="P661" s="92">
        <v>7716206.0</v>
      </c>
      <c r="Q661" s="89" t="s">
        <v>831</v>
      </c>
      <c r="AF661" s="1"/>
      <c r="AG661" s="1"/>
    </row>
    <row r="662" ht="15.75" customHeight="1">
      <c r="A662" s="1"/>
      <c r="B662" s="1"/>
      <c r="C662" s="1"/>
      <c r="D662" s="1"/>
      <c r="E662" s="1"/>
      <c r="F662" s="1"/>
      <c r="G662" s="1"/>
      <c r="H662" s="1"/>
      <c r="I662" s="1"/>
      <c r="J662" s="1"/>
      <c r="K662" s="89" t="s">
        <v>1108</v>
      </c>
      <c r="L662" s="89" t="str">
        <f>A30</f>
        <v>C</v>
      </c>
      <c r="M662" s="89" t="s">
        <v>1109</v>
      </c>
      <c r="N662" s="89" t="s">
        <v>1110</v>
      </c>
      <c r="O662" s="92">
        <v>8041217.0</v>
      </c>
      <c r="P662" s="92">
        <v>8173176.0</v>
      </c>
      <c r="Q662" s="89" t="s">
        <v>831</v>
      </c>
      <c r="AF662" s="1"/>
      <c r="AG662" s="1"/>
    </row>
    <row r="663" ht="15.75" customHeight="1">
      <c r="A663" s="1"/>
      <c r="B663" s="1"/>
      <c r="C663" s="1"/>
      <c r="D663" s="1"/>
      <c r="E663" s="1"/>
      <c r="F663" s="1"/>
      <c r="G663" s="1"/>
      <c r="H663" s="1"/>
      <c r="I663" s="1"/>
      <c r="J663" s="1"/>
      <c r="K663" s="89" t="s">
        <v>1109</v>
      </c>
      <c r="L663" s="89" t="str">
        <f>A30</f>
        <v>C</v>
      </c>
      <c r="M663" s="89" t="s">
        <v>1108</v>
      </c>
      <c r="N663" s="89" t="s">
        <v>1110</v>
      </c>
      <c r="O663" s="92">
        <v>8041217.0</v>
      </c>
      <c r="P663" s="92">
        <v>8173176.0</v>
      </c>
      <c r="Q663" s="89" t="s">
        <v>831</v>
      </c>
      <c r="AF663" s="1"/>
      <c r="AG663" s="1"/>
    </row>
    <row r="664" ht="15.75" customHeight="1">
      <c r="A664" s="1"/>
      <c r="B664" s="1"/>
      <c r="C664" s="1"/>
      <c r="D664" s="1"/>
      <c r="E664" s="1"/>
      <c r="F664" s="1"/>
      <c r="G664" s="1"/>
      <c r="H664" s="1"/>
      <c r="I664" s="1"/>
      <c r="J664" s="1"/>
      <c r="K664" s="89" t="s">
        <v>1111</v>
      </c>
      <c r="L664" s="89" t="str">
        <f>A30</f>
        <v>C</v>
      </c>
      <c r="M664" s="89" t="s">
        <v>1112</v>
      </c>
      <c r="N664" s="89" t="s">
        <v>1113</v>
      </c>
      <c r="O664" s="92">
        <v>2.1186558E7</v>
      </c>
      <c r="P664" s="92">
        <v>1.9024672E7</v>
      </c>
      <c r="Q664" s="89" t="s">
        <v>822</v>
      </c>
      <c r="AF664" s="1"/>
      <c r="AG664" s="1"/>
    </row>
    <row r="665" ht="15.75" customHeight="1">
      <c r="A665" s="1"/>
      <c r="B665" s="1"/>
      <c r="C665" s="1"/>
      <c r="D665" s="1"/>
      <c r="E665" s="1"/>
      <c r="F665" s="1"/>
      <c r="G665" s="1"/>
      <c r="H665" s="1"/>
      <c r="I665" s="1"/>
      <c r="J665" s="1"/>
      <c r="K665" s="89" t="s">
        <v>1112</v>
      </c>
      <c r="L665" s="89" t="str">
        <f>A30</f>
        <v>C</v>
      </c>
      <c r="M665" s="89" t="s">
        <v>1111</v>
      </c>
      <c r="N665" s="89" t="s">
        <v>1113</v>
      </c>
      <c r="O665" s="92">
        <v>2.1186558E7</v>
      </c>
      <c r="P665" s="92">
        <v>1.9024672E7</v>
      </c>
      <c r="Q665" s="89" t="s">
        <v>822</v>
      </c>
      <c r="AF665" s="1"/>
      <c r="AG665" s="1"/>
    </row>
    <row r="666" ht="15.75" customHeight="1">
      <c r="A666" s="1"/>
      <c r="B666" s="1"/>
      <c r="C666" s="1"/>
      <c r="D666" s="1"/>
      <c r="E666" s="1"/>
      <c r="F666" s="1"/>
      <c r="G666" s="1"/>
      <c r="H666" s="1"/>
      <c r="I666" s="1"/>
      <c r="J666" s="1"/>
      <c r="K666" s="89" t="s">
        <v>1114</v>
      </c>
      <c r="L666" s="89" t="str">
        <f>A30</f>
        <v>C</v>
      </c>
      <c r="M666" s="89" t="s">
        <v>1115</v>
      </c>
      <c r="N666" s="89" t="s">
        <v>1116</v>
      </c>
      <c r="O666" s="92">
        <v>7303369.0</v>
      </c>
      <c r="P666" s="92">
        <v>7435328.0</v>
      </c>
      <c r="Q666" s="89" t="s">
        <v>802</v>
      </c>
      <c r="AF666" s="1"/>
      <c r="AG666" s="1"/>
    </row>
    <row r="667" ht="15.75" customHeight="1">
      <c r="A667" s="1"/>
      <c r="B667" s="1"/>
      <c r="C667" s="1"/>
      <c r="D667" s="1"/>
      <c r="E667" s="1"/>
      <c r="F667" s="1"/>
      <c r="G667" s="1"/>
      <c r="H667" s="1"/>
      <c r="I667" s="1"/>
      <c r="J667" s="1"/>
      <c r="K667" s="89" t="s">
        <v>1115</v>
      </c>
      <c r="L667" s="89" t="str">
        <f>A30</f>
        <v>C</v>
      </c>
      <c r="M667" s="89" t="s">
        <v>1114</v>
      </c>
      <c r="N667" s="89" t="s">
        <v>1116</v>
      </c>
      <c r="O667" s="92">
        <v>7303369.0</v>
      </c>
      <c r="P667" s="92">
        <v>7435328.0</v>
      </c>
      <c r="Q667" s="89" t="s">
        <v>802</v>
      </c>
      <c r="AF667" s="1"/>
      <c r="AG667" s="1"/>
    </row>
    <row r="668" ht="15.75" customHeight="1">
      <c r="A668" s="1"/>
      <c r="B668" s="1"/>
      <c r="C668" s="1"/>
      <c r="D668" s="1"/>
      <c r="E668" s="1"/>
      <c r="F668" s="1"/>
      <c r="G668" s="1"/>
      <c r="H668" s="1"/>
      <c r="I668" s="1"/>
      <c r="J668" s="1"/>
      <c r="K668" s="89" t="s">
        <v>1117</v>
      </c>
      <c r="L668" s="89" t="str">
        <f>A30</f>
        <v>C</v>
      </c>
      <c r="M668" s="89" t="s">
        <v>1118</v>
      </c>
      <c r="N668" s="89" t="s">
        <v>1119</v>
      </c>
      <c r="O668" s="92">
        <v>1.3865051E7</v>
      </c>
      <c r="P668" s="92">
        <v>1.1744345E7</v>
      </c>
      <c r="Q668" s="89" t="s">
        <v>912</v>
      </c>
      <c r="AF668" s="1"/>
      <c r="AG668" s="1"/>
    </row>
    <row r="669" ht="15.75" customHeight="1">
      <c r="A669" s="1"/>
      <c r="B669" s="1"/>
      <c r="C669" s="1"/>
      <c r="D669" s="1"/>
      <c r="E669" s="1"/>
      <c r="F669" s="1"/>
      <c r="G669" s="1"/>
      <c r="H669" s="1"/>
      <c r="I669" s="1"/>
      <c r="J669" s="1"/>
      <c r="K669" s="89" t="s">
        <v>1118</v>
      </c>
      <c r="L669" s="89" t="str">
        <f>A30</f>
        <v>C</v>
      </c>
      <c r="M669" s="89" t="s">
        <v>1117</v>
      </c>
      <c r="N669" s="89" t="s">
        <v>1119</v>
      </c>
      <c r="O669" s="92">
        <v>1.3865051E7</v>
      </c>
      <c r="P669" s="92">
        <v>1.1744345E7</v>
      </c>
      <c r="Q669" s="89" t="s">
        <v>912</v>
      </c>
      <c r="AF669" s="1"/>
      <c r="AG669" s="1"/>
    </row>
    <row r="670" ht="15.75" customHeight="1">
      <c r="A670" s="1"/>
      <c r="B670" s="1"/>
      <c r="C670" s="1"/>
      <c r="D670" s="1"/>
      <c r="E670" s="1"/>
      <c r="F670" s="1"/>
      <c r="G670" s="1"/>
      <c r="H670" s="1"/>
      <c r="I670" s="1"/>
      <c r="J670" s="1"/>
      <c r="K670" s="89" t="s">
        <v>1120</v>
      </c>
      <c r="L670" s="89" t="str">
        <f>A30</f>
        <v>C</v>
      </c>
      <c r="M670" s="89" t="s">
        <v>1121</v>
      </c>
      <c r="N670" s="89" t="s">
        <v>1122</v>
      </c>
      <c r="O670" s="92">
        <v>2.1875538E7</v>
      </c>
      <c r="P670" s="92">
        <v>1.9713652E7</v>
      </c>
      <c r="Q670" s="89" t="s">
        <v>838</v>
      </c>
      <c r="AF670" s="1"/>
      <c r="AG670" s="1"/>
    </row>
    <row r="671" ht="15.75" customHeight="1">
      <c r="A671" s="1"/>
      <c r="B671" s="1"/>
      <c r="C671" s="1"/>
      <c r="D671" s="1"/>
      <c r="E671" s="1"/>
      <c r="F671" s="1"/>
      <c r="G671" s="1"/>
      <c r="H671" s="1"/>
      <c r="I671" s="1"/>
      <c r="J671" s="1"/>
      <c r="K671" s="89" t="s">
        <v>1121</v>
      </c>
      <c r="L671" s="89" t="str">
        <f>A30</f>
        <v>C</v>
      </c>
      <c r="M671" s="89" t="s">
        <v>1120</v>
      </c>
      <c r="N671" s="89" t="s">
        <v>1122</v>
      </c>
      <c r="O671" s="92">
        <v>2.1875538E7</v>
      </c>
      <c r="P671" s="92">
        <v>1.9713652E7</v>
      </c>
      <c r="Q671" s="89" t="s">
        <v>838</v>
      </c>
      <c r="AF671" s="1"/>
      <c r="AG671" s="1"/>
    </row>
    <row r="672" ht="15.75" customHeight="1">
      <c r="A672" s="1"/>
      <c r="B672" s="1"/>
      <c r="C672" s="1"/>
      <c r="D672" s="1"/>
      <c r="E672" s="1"/>
      <c r="F672" s="1"/>
      <c r="G672" s="1"/>
      <c r="H672" s="1"/>
      <c r="I672" s="1"/>
      <c r="J672" s="1"/>
      <c r="K672" s="89" t="s">
        <v>1123</v>
      </c>
      <c r="L672" s="89" t="str">
        <f>A30</f>
        <v>C</v>
      </c>
      <c r="M672" s="89" t="s">
        <v>1124</v>
      </c>
      <c r="N672" s="89" t="s">
        <v>1125</v>
      </c>
      <c r="O672" s="92">
        <v>7947749.0</v>
      </c>
      <c r="P672" s="92">
        <v>8079708.0</v>
      </c>
      <c r="Q672" s="89" t="s">
        <v>802</v>
      </c>
      <c r="AF672" s="1"/>
      <c r="AG672" s="1"/>
    </row>
    <row r="673" ht="15.75" customHeight="1">
      <c r="A673" s="1"/>
      <c r="B673" s="1"/>
      <c r="C673" s="1"/>
      <c r="D673" s="1"/>
      <c r="E673" s="1"/>
      <c r="F673" s="1"/>
      <c r="G673" s="1"/>
      <c r="H673" s="1"/>
      <c r="I673" s="1"/>
      <c r="J673" s="1"/>
      <c r="K673" s="89" t="s">
        <v>1124</v>
      </c>
      <c r="L673" s="89" t="str">
        <f>A30</f>
        <v>C</v>
      </c>
      <c r="M673" s="89" t="s">
        <v>1123</v>
      </c>
      <c r="N673" s="89" t="s">
        <v>1125</v>
      </c>
      <c r="O673" s="92">
        <v>7947749.0</v>
      </c>
      <c r="P673" s="92">
        <v>8079708.0</v>
      </c>
      <c r="Q673" s="89" t="s">
        <v>802</v>
      </c>
      <c r="AF673" s="1"/>
      <c r="AG673" s="1"/>
    </row>
    <row r="674" ht="15.75" customHeight="1">
      <c r="A674" s="1"/>
      <c r="B674" s="1"/>
      <c r="C674" s="1"/>
      <c r="D674" s="1"/>
      <c r="E674" s="1"/>
      <c r="F674" s="1"/>
      <c r="G674" s="1"/>
      <c r="H674" s="1"/>
      <c r="I674" s="1"/>
      <c r="J674" s="1"/>
      <c r="K674" s="89" t="s">
        <v>1126</v>
      </c>
      <c r="L674" s="89" t="str">
        <f>A30</f>
        <v>C</v>
      </c>
      <c r="M674" s="89" t="s">
        <v>1127</v>
      </c>
      <c r="N674" s="89" t="s">
        <v>1128</v>
      </c>
      <c r="O674" s="92">
        <v>8127435.0</v>
      </c>
      <c r="P674" s="92">
        <v>8259394.0</v>
      </c>
      <c r="Q674" s="89" t="s">
        <v>822</v>
      </c>
      <c r="AF674" s="1"/>
      <c r="AG674" s="1"/>
    </row>
    <row r="675" ht="15.75" customHeight="1">
      <c r="A675" s="1"/>
      <c r="B675" s="1"/>
      <c r="C675" s="1"/>
      <c r="D675" s="1"/>
      <c r="E675" s="1"/>
      <c r="F675" s="1"/>
      <c r="G675" s="1"/>
      <c r="H675" s="1"/>
      <c r="I675" s="1"/>
      <c r="J675" s="1"/>
      <c r="K675" s="89" t="s">
        <v>1127</v>
      </c>
      <c r="L675" s="89" t="str">
        <f>A30</f>
        <v>C</v>
      </c>
      <c r="M675" s="89" t="s">
        <v>1126</v>
      </c>
      <c r="N675" s="89" t="s">
        <v>1128</v>
      </c>
      <c r="O675" s="92">
        <v>8127435.0</v>
      </c>
      <c r="P675" s="92">
        <v>8259394.0</v>
      </c>
      <c r="Q675" s="89" t="s">
        <v>822</v>
      </c>
      <c r="AF675" s="1"/>
      <c r="AG675" s="1"/>
    </row>
    <row r="676" ht="15.75" customHeight="1">
      <c r="A676" s="1"/>
      <c r="B676" s="1"/>
      <c r="C676" s="1"/>
      <c r="D676" s="1"/>
      <c r="E676" s="1"/>
      <c r="F676" s="1"/>
      <c r="G676" s="1"/>
      <c r="H676" s="1"/>
      <c r="I676" s="1"/>
      <c r="J676" s="1"/>
      <c r="K676" s="89" t="s">
        <v>1129</v>
      </c>
      <c r="L676" s="89" t="str">
        <f>A30</f>
        <v>C</v>
      </c>
      <c r="M676" s="89"/>
      <c r="N676" s="89" t="s">
        <v>1130</v>
      </c>
      <c r="O676" s="92">
        <v>1.5896404E7</v>
      </c>
      <c r="P676" s="92">
        <v>1.3784524E7</v>
      </c>
      <c r="Q676" s="89" t="s">
        <v>822</v>
      </c>
      <c r="AF676" s="1"/>
      <c r="AG676" s="1"/>
    </row>
    <row r="677" ht="15.75" customHeight="1">
      <c r="A677" s="1"/>
      <c r="B677" s="1"/>
      <c r="C677" s="1"/>
      <c r="D677" s="1"/>
      <c r="E677" s="1"/>
      <c r="F677" s="1"/>
      <c r="G677" s="1"/>
      <c r="H677" s="1"/>
      <c r="I677" s="1"/>
      <c r="J677" s="1"/>
      <c r="K677" s="89" t="s">
        <v>1131</v>
      </c>
      <c r="L677" s="89" t="str">
        <f>A30</f>
        <v>C</v>
      </c>
      <c r="M677" s="89" t="s">
        <v>1132</v>
      </c>
      <c r="N677" s="89" t="s">
        <v>1133</v>
      </c>
      <c r="O677" s="92">
        <v>8143636.0</v>
      </c>
      <c r="P677" s="92">
        <v>8275595.0</v>
      </c>
      <c r="Q677" s="89" t="s">
        <v>810</v>
      </c>
      <c r="AF677" s="1"/>
      <c r="AG677" s="1"/>
    </row>
    <row r="678" ht="15.75" customHeight="1">
      <c r="A678" s="1"/>
      <c r="B678" s="1"/>
      <c r="C678" s="1"/>
      <c r="D678" s="1"/>
      <c r="E678" s="1"/>
      <c r="F678" s="1"/>
      <c r="G678" s="1"/>
      <c r="H678" s="1"/>
      <c r="I678" s="1"/>
      <c r="J678" s="1"/>
      <c r="K678" s="89" t="s">
        <v>1132</v>
      </c>
      <c r="L678" s="89" t="str">
        <f>A30</f>
        <v>C</v>
      </c>
      <c r="M678" s="89" t="s">
        <v>1131</v>
      </c>
      <c r="N678" s="89" t="s">
        <v>1133</v>
      </c>
      <c r="O678" s="92">
        <v>8143636.0</v>
      </c>
      <c r="P678" s="92">
        <v>8275595.0</v>
      </c>
      <c r="Q678" s="89" t="s">
        <v>810</v>
      </c>
      <c r="AF678" s="1"/>
      <c r="AG678" s="1"/>
    </row>
    <row r="679" ht="15.75" customHeight="1">
      <c r="A679" s="1"/>
      <c r="B679" s="1"/>
      <c r="C679" s="1"/>
      <c r="D679" s="1"/>
      <c r="E679" s="1"/>
      <c r="F679" s="1"/>
      <c r="G679" s="1"/>
      <c r="H679" s="1"/>
      <c r="I679" s="1"/>
      <c r="J679" s="1"/>
      <c r="K679" s="89" t="s">
        <v>1134</v>
      </c>
      <c r="L679" s="89" t="str">
        <f>A30</f>
        <v>C</v>
      </c>
      <c r="M679" s="89"/>
      <c r="N679" s="89" t="s">
        <v>1135</v>
      </c>
      <c r="O679" s="92">
        <v>7869808.0</v>
      </c>
      <c r="P679" s="92">
        <v>8001767.0</v>
      </c>
      <c r="Q679" s="89" t="s">
        <v>802</v>
      </c>
      <c r="AF679" s="1"/>
      <c r="AG679" s="1"/>
    </row>
    <row r="680" ht="15.75" customHeight="1">
      <c r="A680" s="1"/>
      <c r="B680" s="1"/>
      <c r="C680" s="1"/>
      <c r="D680" s="1"/>
      <c r="E680" s="1"/>
      <c r="F680" s="1"/>
      <c r="G680" s="1"/>
      <c r="H680" s="1"/>
      <c r="I680" s="1"/>
      <c r="J680" s="1"/>
      <c r="K680" s="89" t="s">
        <v>1136</v>
      </c>
      <c r="L680" s="89" t="str">
        <f>A30</f>
        <v>C</v>
      </c>
      <c r="M680" s="89"/>
      <c r="N680" s="89" t="s">
        <v>1137</v>
      </c>
      <c r="O680" s="92">
        <v>7966370.0</v>
      </c>
      <c r="P680" s="92">
        <v>8098329.0</v>
      </c>
      <c r="Q680" s="89" t="s">
        <v>802</v>
      </c>
      <c r="AF680" s="1"/>
      <c r="AG680" s="1"/>
    </row>
    <row r="681" ht="15.75" customHeight="1">
      <c r="A681" s="1"/>
      <c r="B681" s="1"/>
      <c r="C681" s="1"/>
      <c r="D681" s="1"/>
      <c r="E681" s="1"/>
      <c r="F681" s="1"/>
      <c r="G681" s="1"/>
      <c r="H681" s="1"/>
      <c r="I681" s="1"/>
      <c r="J681" s="1"/>
      <c r="K681" s="89" t="s">
        <v>1138</v>
      </c>
      <c r="L681" s="89" t="str">
        <f>A30</f>
        <v>C</v>
      </c>
      <c r="M681" s="89"/>
      <c r="N681" s="89" t="s">
        <v>1139</v>
      </c>
      <c r="O681" s="92">
        <v>8585701.0</v>
      </c>
      <c r="P681" s="92">
        <v>8717660.0</v>
      </c>
      <c r="Q681" s="89" t="s">
        <v>822</v>
      </c>
      <c r="AF681" s="1"/>
      <c r="AG681" s="1"/>
    </row>
    <row r="682" ht="15.75" customHeight="1">
      <c r="A682" s="1"/>
      <c r="B682" s="1"/>
      <c r="C682" s="1"/>
      <c r="D682" s="1"/>
      <c r="E682" s="1"/>
      <c r="F682" s="1"/>
      <c r="G682" s="1"/>
      <c r="H682" s="1"/>
      <c r="I682" s="1"/>
      <c r="J682" s="1"/>
      <c r="K682" s="89" t="s">
        <v>1140</v>
      </c>
      <c r="L682" s="89" t="str">
        <f>A30</f>
        <v>C</v>
      </c>
      <c r="M682" s="89"/>
      <c r="N682" s="89" t="s">
        <v>1141</v>
      </c>
      <c r="O682" s="92">
        <v>8673832.0</v>
      </c>
      <c r="P682" s="92">
        <v>8805791.0</v>
      </c>
      <c r="Q682" s="89" t="s">
        <v>802</v>
      </c>
      <c r="AF682" s="1"/>
      <c r="AG682" s="1"/>
    </row>
    <row r="683" ht="15.75" customHeight="1">
      <c r="A683" s="1"/>
      <c r="B683" s="1"/>
      <c r="C683" s="1"/>
      <c r="D683" s="1"/>
      <c r="E683" s="1"/>
      <c r="F683" s="1"/>
      <c r="G683" s="1"/>
      <c r="H683" s="1"/>
      <c r="I683" s="1"/>
      <c r="J683" s="1"/>
      <c r="K683" s="89" t="s">
        <v>1142</v>
      </c>
      <c r="L683" s="89" t="str">
        <f>A30</f>
        <v>C</v>
      </c>
      <c r="M683" s="89"/>
      <c r="N683" s="89" t="s">
        <v>1143</v>
      </c>
      <c r="O683" s="92">
        <v>8822474.0</v>
      </c>
      <c r="P683" s="92">
        <v>8954433.0</v>
      </c>
      <c r="Q683" s="89" t="s">
        <v>879</v>
      </c>
      <c r="AF683" s="1"/>
      <c r="AG683" s="1"/>
    </row>
    <row r="684" ht="15.75" customHeight="1">
      <c r="A684" s="1"/>
      <c r="B684" s="1"/>
      <c r="C684" s="1"/>
      <c r="D684" s="1"/>
      <c r="E684" s="1"/>
      <c r="F684" s="1"/>
      <c r="G684" s="1"/>
      <c r="H684" s="1"/>
      <c r="I684" s="1"/>
      <c r="J684" s="1"/>
      <c r="K684" s="89" t="s">
        <v>1144</v>
      </c>
      <c r="L684" s="89" t="str">
        <f>A30</f>
        <v>C</v>
      </c>
      <c r="M684" s="89"/>
      <c r="N684" s="89" t="s">
        <v>1145</v>
      </c>
      <c r="O684" s="92">
        <v>8856026.0</v>
      </c>
      <c r="P684" s="92">
        <v>8987985.0</v>
      </c>
      <c r="Q684" s="89" t="s">
        <v>810</v>
      </c>
      <c r="AF684" s="1"/>
      <c r="AG684" s="1"/>
    </row>
    <row r="685" ht="15.75" customHeight="1">
      <c r="A685" s="1"/>
      <c r="B685" s="1"/>
      <c r="C685" s="1"/>
      <c r="D685" s="1"/>
      <c r="E685" s="1"/>
      <c r="F685" s="1"/>
      <c r="G685" s="1"/>
      <c r="H685" s="1"/>
      <c r="I685" s="1"/>
      <c r="J685" s="1"/>
      <c r="K685" s="89" t="s">
        <v>1146</v>
      </c>
      <c r="L685" s="89" t="str">
        <f>A30</f>
        <v>C</v>
      </c>
      <c r="M685" s="89"/>
      <c r="N685" s="89" t="s">
        <v>1147</v>
      </c>
      <c r="O685" s="92">
        <v>9076205.0</v>
      </c>
      <c r="P685" s="92">
        <v>9238596.0</v>
      </c>
      <c r="Q685" s="89" t="s">
        <v>802</v>
      </c>
      <c r="AF685" s="1"/>
      <c r="AG685" s="1"/>
    </row>
    <row r="686" ht="15.75" customHeight="1">
      <c r="A686" s="1"/>
      <c r="B686" s="1"/>
      <c r="C686" s="1"/>
      <c r="D686" s="1"/>
      <c r="E686" s="1"/>
      <c r="F686" s="1"/>
      <c r="G686" s="1"/>
      <c r="H686" s="1"/>
      <c r="I686" s="1"/>
      <c r="J686" s="1"/>
      <c r="K686" s="89" t="s">
        <v>1148</v>
      </c>
      <c r="L686" s="89" t="str">
        <f>A30</f>
        <v>C</v>
      </c>
      <c r="M686" s="89"/>
      <c r="N686" s="89" t="s">
        <v>1149</v>
      </c>
      <c r="O686" s="92">
        <v>1.3228027E7</v>
      </c>
      <c r="P686" s="92">
        <v>1.1072351E7</v>
      </c>
      <c r="Q686" s="89" t="s">
        <v>912</v>
      </c>
      <c r="AF686" s="1"/>
      <c r="AG686" s="1"/>
    </row>
    <row r="687" ht="15.75" customHeight="1">
      <c r="A687" s="1"/>
      <c r="B687" s="1"/>
      <c r="C687" s="1"/>
      <c r="D687" s="1"/>
      <c r="E687" s="1"/>
      <c r="F687" s="1"/>
      <c r="G687" s="1"/>
      <c r="H687" s="1"/>
      <c r="I687" s="1"/>
      <c r="J687" s="1"/>
      <c r="K687" s="89" t="s">
        <v>1150</v>
      </c>
      <c r="L687" s="89" t="str">
        <f>A30</f>
        <v>C</v>
      </c>
      <c r="M687" s="89"/>
      <c r="N687" s="89" t="s">
        <v>1151</v>
      </c>
      <c r="O687" s="92">
        <v>1.3656195E7</v>
      </c>
      <c r="P687" s="92">
        <v>1.1500519E7</v>
      </c>
      <c r="Q687" s="89" t="s">
        <v>917</v>
      </c>
      <c r="AF687" s="1"/>
      <c r="AG687" s="1"/>
    </row>
    <row r="688" ht="15.75" customHeight="1">
      <c r="A688" s="1"/>
      <c r="B688" s="1"/>
      <c r="C688" s="1"/>
      <c r="D688" s="1"/>
      <c r="E688" s="1"/>
      <c r="F688" s="1"/>
      <c r="G688" s="1"/>
      <c r="H688" s="1"/>
      <c r="I688" s="1"/>
      <c r="J688" s="1"/>
      <c r="K688" s="89" t="s">
        <v>1152</v>
      </c>
      <c r="L688" s="89" t="str">
        <f>A30</f>
        <v>C</v>
      </c>
      <c r="M688" s="89"/>
      <c r="N688" s="89" t="s">
        <v>1153</v>
      </c>
      <c r="O688" s="92">
        <v>2.1291275E7</v>
      </c>
      <c r="P688" s="92">
        <v>1.9129389E7</v>
      </c>
      <c r="Q688" s="89" t="s">
        <v>810</v>
      </c>
      <c r="AF688" s="1"/>
      <c r="AG688" s="1"/>
    </row>
    <row r="689" ht="15.75" customHeight="1">
      <c r="A689" s="1"/>
      <c r="B689" s="1"/>
      <c r="C689" s="1"/>
      <c r="D689" s="1"/>
      <c r="E689" s="1"/>
      <c r="F689" s="1"/>
      <c r="G689" s="1"/>
      <c r="H689" s="1"/>
      <c r="I689" s="1"/>
      <c r="J689" s="1"/>
      <c r="K689" s="89" t="s">
        <v>1154</v>
      </c>
      <c r="L689" s="89" t="str">
        <f>A30</f>
        <v>C</v>
      </c>
      <c r="M689" s="89"/>
      <c r="N689" s="89" t="s">
        <v>1155</v>
      </c>
      <c r="O689" s="92">
        <v>2.155351E7</v>
      </c>
      <c r="P689" s="92">
        <v>1.9391624E7</v>
      </c>
      <c r="Q689" s="89" t="s">
        <v>822</v>
      </c>
      <c r="AF689" s="1"/>
      <c r="AG689" s="1"/>
    </row>
    <row r="690" ht="15.75" customHeight="1">
      <c r="A690" s="1"/>
      <c r="B690" s="1"/>
      <c r="C690" s="1"/>
      <c r="D690" s="1"/>
      <c r="E690" s="1"/>
      <c r="F690" s="1"/>
      <c r="G690" s="1"/>
      <c r="H690" s="1"/>
      <c r="I690" s="1"/>
      <c r="J690" s="1"/>
      <c r="K690" s="89" t="s">
        <v>1156</v>
      </c>
      <c r="L690" s="89" t="str">
        <f>A30</f>
        <v>C</v>
      </c>
      <c r="M690" s="89"/>
      <c r="N690" s="89"/>
      <c r="O690" s="92">
        <v>2.1553949E7</v>
      </c>
      <c r="P690" s="92">
        <v>1.9392063E7</v>
      </c>
      <c r="Q690" s="93" t="s">
        <v>802</v>
      </c>
      <c r="AF690" s="1"/>
      <c r="AG690" s="1"/>
    </row>
    <row r="691" ht="15.75" customHeight="1">
      <c r="A691" s="1"/>
      <c r="B691" s="1"/>
      <c r="C691" s="1"/>
      <c r="D691" s="1"/>
      <c r="E691" s="1"/>
      <c r="F691" s="1"/>
      <c r="G691" s="1"/>
      <c r="H691" s="1"/>
      <c r="I691" s="1"/>
      <c r="J691" s="1"/>
      <c r="K691" s="89" t="s">
        <v>1157</v>
      </c>
      <c r="L691" s="89" t="str">
        <f>A30</f>
        <v>C</v>
      </c>
      <c r="M691" s="89"/>
      <c r="N691" s="89" t="s">
        <v>1158</v>
      </c>
      <c r="O691" s="92">
        <v>2.1566042E7</v>
      </c>
      <c r="P691" s="92">
        <v>1.9404156E7</v>
      </c>
      <c r="Q691" s="89" t="s">
        <v>802</v>
      </c>
      <c r="AF691" s="1"/>
      <c r="AG691" s="1"/>
    </row>
    <row r="692" ht="15.75" customHeight="1">
      <c r="A692" s="1"/>
      <c r="B692" s="1"/>
      <c r="C692" s="1"/>
      <c r="D692" s="1"/>
      <c r="E692" s="1"/>
      <c r="F692" s="1"/>
      <c r="G692" s="1"/>
      <c r="H692" s="1"/>
      <c r="I692" s="1"/>
      <c r="J692" s="1"/>
      <c r="K692" s="89" t="s">
        <v>1159</v>
      </c>
      <c r="L692" s="89" t="str">
        <f>A30</f>
        <v>C</v>
      </c>
      <c r="M692" s="89"/>
      <c r="N692" s="89" t="s">
        <v>1160</v>
      </c>
      <c r="O692" s="92">
        <v>2.1792125E7</v>
      </c>
      <c r="P692" s="92">
        <v>1.9630239E7</v>
      </c>
      <c r="Q692" s="89" t="s">
        <v>810</v>
      </c>
      <c r="AF692" s="1"/>
      <c r="AG692" s="1"/>
    </row>
    <row r="693" ht="15.75" customHeight="1">
      <c r="A693" s="1"/>
      <c r="B693" s="1"/>
      <c r="C693" s="1"/>
      <c r="D693" s="1"/>
      <c r="E693" s="1"/>
      <c r="F693" s="1"/>
      <c r="G693" s="1"/>
      <c r="H693" s="1"/>
      <c r="I693" s="1"/>
      <c r="J693" s="1"/>
      <c r="K693" s="89" t="s">
        <v>1161</v>
      </c>
      <c r="L693" s="89" t="str">
        <f>A30</f>
        <v>C</v>
      </c>
      <c r="M693" s="89"/>
      <c r="N693" s="89" t="s">
        <v>1162</v>
      </c>
      <c r="O693" s="92">
        <v>2.1797986E7</v>
      </c>
      <c r="P693" s="92">
        <v>1.96361E7</v>
      </c>
      <c r="Q693" s="89" t="s">
        <v>917</v>
      </c>
      <c r="AF693" s="1"/>
      <c r="AG693" s="1"/>
    </row>
    <row r="694" ht="15.75" customHeight="1">
      <c r="A694" s="1"/>
      <c r="B694" s="1"/>
      <c r="C694" s="1"/>
      <c r="D694" s="1"/>
      <c r="E694" s="1"/>
      <c r="F694" s="1"/>
      <c r="G694" s="1"/>
      <c r="H694" s="1"/>
      <c r="I694" s="1"/>
      <c r="J694" s="1"/>
      <c r="K694" s="89" t="s">
        <v>1163</v>
      </c>
      <c r="L694" s="89" t="str">
        <f>A30</f>
        <v>C</v>
      </c>
      <c r="M694" s="89"/>
      <c r="N694" s="89" t="s">
        <v>1164</v>
      </c>
      <c r="O694" s="92">
        <v>2.1809035E7</v>
      </c>
      <c r="P694" s="92">
        <v>1.9647149E7</v>
      </c>
      <c r="Q694" s="89" t="s">
        <v>810</v>
      </c>
      <c r="AF694" s="1"/>
      <c r="AG694" s="1"/>
    </row>
    <row r="695" ht="15.75" customHeight="1">
      <c r="A695" s="1"/>
      <c r="B695" s="1"/>
      <c r="C695" s="1"/>
      <c r="D695" s="1"/>
      <c r="E695" s="1"/>
      <c r="F695" s="1"/>
      <c r="G695" s="1"/>
      <c r="H695" s="1"/>
      <c r="I695" s="1"/>
      <c r="J695" s="1"/>
      <c r="K695" s="89" t="s">
        <v>1165</v>
      </c>
      <c r="L695" s="89" t="str">
        <f>A30</f>
        <v>C</v>
      </c>
      <c r="M695" s="89"/>
      <c r="N695" s="89" t="s">
        <v>1166</v>
      </c>
      <c r="O695" s="92">
        <v>2.1950315E7</v>
      </c>
      <c r="P695" s="92">
        <v>1.9788429E7</v>
      </c>
      <c r="Q695" s="89" t="s">
        <v>912</v>
      </c>
      <c r="AF695" s="1"/>
      <c r="AG695" s="1"/>
    </row>
    <row r="696" ht="15.75" customHeight="1">
      <c r="A696" s="1"/>
      <c r="B696" s="1"/>
      <c r="C696" s="1"/>
      <c r="D696" s="1"/>
      <c r="E696" s="1"/>
      <c r="F696" s="1"/>
      <c r="G696" s="1"/>
      <c r="H696" s="1"/>
      <c r="I696" s="1"/>
      <c r="J696" s="1"/>
      <c r="K696" s="89" t="s">
        <v>1167</v>
      </c>
      <c r="L696" s="89" t="str">
        <f>A30</f>
        <v>C</v>
      </c>
      <c r="M696" s="89"/>
      <c r="N696" s="89" t="s">
        <v>1168</v>
      </c>
      <c r="O696" s="92">
        <v>2.197419E7</v>
      </c>
      <c r="P696" s="92">
        <v>1.9812304E7</v>
      </c>
      <c r="Q696" s="89" t="s">
        <v>838</v>
      </c>
      <c r="AF696" s="1"/>
      <c r="AG696" s="1"/>
    </row>
    <row r="697" ht="15.75" customHeight="1">
      <c r="A697" s="1"/>
      <c r="B697" s="1"/>
      <c r="C697" s="1"/>
      <c r="D697" s="1"/>
      <c r="E697" s="1"/>
      <c r="F697" s="1"/>
      <c r="G697" s="1"/>
      <c r="H697" s="1"/>
      <c r="I697" s="1"/>
      <c r="J697" s="1"/>
      <c r="K697" s="89" t="s">
        <v>1169</v>
      </c>
      <c r="L697" s="89" t="str">
        <f>A30</f>
        <v>C</v>
      </c>
      <c r="M697" s="89"/>
      <c r="N697" s="89" t="s">
        <v>1170</v>
      </c>
      <c r="O697" s="92">
        <v>2.1994261E7</v>
      </c>
      <c r="P697" s="92">
        <v>1.9832375E7</v>
      </c>
      <c r="Q697" s="89" t="s">
        <v>810</v>
      </c>
      <c r="AF697" s="1"/>
      <c r="AG697" s="1"/>
    </row>
    <row r="698" ht="15.75" customHeight="1">
      <c r="A698" s="1"/>
      <c r="B698" s="1"/>
      <c r="C698" s="1"/>
      <c r="D698" s="1"/>
      <c r="E698" s="1"/>
      <c r="F698" s="1"/>
      <c r="G698" s="1"/>
      <c r="H698" s="1"/>
      <c r="I698" s="1"/>
      <c r="J698" s="1"/>
      <c r="K698" s="89" t="s">
        <v>1171</v>
      </c>
      <c r="L698" s="89" t="str">
        <f>A30</f>
        <v>C</v>
      </c>
      <c r="M698" s="89"/>
      <c r="N698" s="89" t="s">
        <v>1172</v>
      </c>
      <c r="O698" s="92">
        <v>2.2066461E7</v>
      </c>
      <c r="P698" s="92">
        <v>1.9904575E7</v>
      </c>
      <c r="Q698" s="89" t="s">
        <v>822</v>
      </c>
      <c r="AF698" s="1"/>
      <c r="AG698" s="1"/>
    </row>
    <row r="699" ht="15.75" customHeight="1">
      <c r="A699" s="1"/>
      <c r="B699" s="1"/>
      <c r="C699" s="1"/>
      <c r="D699" s="1"/>
      <c r="E699" s="1"/>
      <c r="F699" s="1"/>
      <c r="G699" s="1"/>
      <c r="H699" s="1"/>
      <c r="I699" s="1"/>
      <c r="J699" s="1"/>
      <c r="K699" s="89" t="s">
        <v>1173</v>
      </c>
      <c r="L699" s="89" t="str">
        <f>A30</f>
        <v>C</v>
      </c>
      <c r="M699" s="89"/>
      <c r="N699" s="89" t="s">
        <v>1174</v>
      </c>
      <c r="O699" s="92">
        <v>2.2113838E7</v>
      </c>
      <c r="P699" s="92">
        <v>1.9951952E7</v>
      </c>
      <c r="Q699" s="89" t="s">
        <v>879</v>
      </c>
      <c r="AF699" s="1"/>
      <c r="AG699" s="1"/>
    </row>
    <row r="700" ht="15.75" customHeight="1">
      <c r="A700" s="1"/>
      <c r="B700" s="1"/>
      <c r="C700" s="1"/>
      <c r="D700" s="1"/>
      <c r="E700" s="1"/>
      <c r="F700" s="1"/>
      <c r="G700" s="1"/>
      <c r="H700" s="1"/>
      <c r="I700" s="1"/>
      <c r="J700" s="1"/>
      <c r="K700" s="89" t="s">
        <v>1175</v>
      </c>
      <c r="L700" s="89" t="str">
        <f>A30</f>
        <v>C</v>
      </c>
      <c r="M700" s="89"/>
      <c r="N700" s="89" t="s">
        <v>1176</v>
      </c>
      <c r="O700" s="92">
        <v>2.2168468E7</v>
      </c>
      <c r="P700" s="92">
        <v>2.0006582E7</v>
      </c>
      <c r="Q700" s="89" t="s">
        <v>822</v>
      </c>
      <c r="AF700" s="1"/>
      <c r="AG700" s="1"/>
    </row>
    <row r="701" ht="15.75" customHeight="1">
      <c r="A701" s="1"/>
      <c r="B701" s="1"/>
      <c r="C701" s="1"/>
      <c r="D701" s="1"/>
      <c r="E701" s="1"/>
      <c r="F701" s="1"/>
      <c r="G701" s="1"/>
      <c r="H701" s="1"/>
      <c r="I701" s="1"/>
      <c r="J701" s="1"/>
      <c r="K701" s="89" t="s">
        <v>1177</v>
      </c>
      <c r="L701" s="89" t="str">
        <f>A30</f>
        <v>C</v>
      </c>
      <c r="M701" s="89"/>
      <c r="N701" s="89" t="s">
        <v>1178</v>
      </c>
      <c r="O701" s="92">
        <v>2.338883E7</v>
      </c>
      <c r="P701" s="92">
        <v>2.1226944E7</v>
      </c>
      <c r="Q701" s="89" t="s">
        <v>917</v>
      </c>
      <c r="AF701" s="1"/>
      <c r="AG701" s="1"/>
    </row>
    <row r="702" ht="15.75" customHeight="1">
      <c r="A702" s="1"/>
      <c r="B702" s="1"/>
      <c r="C702" s="1"/>
      <c r="D702" s="1"/>
      <c r="E702" s="1"/>
      <c r="F702" s="1"/>
      <c r="G702" s="1"/>
      <c r="H702" s="1"/>
      <c r="I702" s="1"/>
      <c r="J702" s="1"/>
      <c r="K702" s="89" t="s">
        <v>1179</v>
      </c>
      <c r="L702" s="89" t="str">
        <f>A30</f>
        <v>C</v>
      </c>
      <c r="M702" s="89"/>
      <c r="N702" s="89" t="s">
        <v>1180</v>
      </c>
      <c r="O702" s="92">
        <v>2.3842109E7</v>
      </c>
      <c r="P702" s="92">
        <v>2.1680223E7</v>
      </c>
      <c r="Q702" s="89" t="s">
        <v>802</v>
      </c>
      <c r="AF702" s="1"/>
      <c r="AG702" s="1"/>
    </row>
    <row r="703" ht="15.75" customHeight="1">
      <c r="A703" s="1"/>
      <c r="B703" s="1"/>
      <c r="C703" s="1"/>
      <c r="D703" s="1"/>
      <c r="E703" s="1"/>
      <c r="F703" s="1"/>
      <c r="G703" s="1"/>
      <c r="H703" s="1"/>
      <c r="I703" s="1"/>
      <c r="J703" s="1"/>
      <c r="K703" s="89" t="s">
        <v>1181</v>
      </c>
      <c r="L703" s="89" t="str">
        <f>A30</f>
        <v>C</v>
      </c>
      <c r="M703" s="89"/>
      <c r="N703" s="89" t="s">
        <v>1182</v>
      </c>
      <c r="O703" s="92">
        <v>2.8686379E7</v>
      </c>
      <c r="P703" s="92">
        <v>2.6540232E7</v>
      </c>
      <c r="Q703" s="89" t="s">
        <v>802</v>
      </c>
      <c r="AF703" s="1"/>
      <c r="AG703" s="1"/>
    </row>
    <row r="704" ht="15.75" customHeight="1">
      <c r="A704" s="1"/>
      <c r="B704" s="1"/>
      <c r="C704" s="1"/>
      <c r="D704" s="1"/>
      <c r="E704" s="1"/>
      <c r="F704" s="1"/>
      <c r="G704" s="1"/>
      <c r="H704" s="1"/>
      <c r="I704" s="1"/>
      <c r="J704" s="1"/>
      <c r="K704" s="89" t="s">
        <v>1183</v>
      </c>
      <c r="L704" s="89" t="str">
        <f>A30</f>
        <v>C</v>
      </c>
      <c r="M704" s="89"/>
      <c r="N704" s="89" t="s">
        <v>1184</v>
      </c>
      <c r="O704" s="92">
        <v>7310355.0</v>
      </c>
      <c r="P704" s="92">
        <v>7442314.0</v>
      </c>
      <c r="Q704" s="89" t="s">
        <v>802</v>
      </c>
      <c r="AF704" s="1"/>
      <c r="AG704" s="1"/>
    </row>
    <row r="705" ht="15.75" customHeight="1">
      <c r="A705" s="1"/>
      <c r="B705" s="1"/>
      <c r="C705" s="1"/>
      <c r="D705" s="1"/>
      <c r="E705" s="1"/>
      <c r="F705" s="1"/>
      <c r="G705" s="1"/>
      <c r="H705" s="1"/>
      <c r="I705" s="1"/>
      <c r="J705" s="1"/>
      <c r="K705" s="89" t="s">
        <v>1185</v>
      </c>
      <c r="L705" s="89" t="str">
        <f>A30</f>
        <v>C</v>
      </c>
      <c r="M705" s="89"/>
      <c r="N705" s="89" t="s">
        <v>1186</v>
      </c>
      <c r="O705" s="92">
        <v>8668533.0</v>
      </c>
      <c r="P705" s="92">
        <v>8800492.0</v>
      </c>
      <c r="Q705" s="89" t="s">
        <v>802</v>
      </c>
      <c r="AF705" s="1"/>
      <c r="AG705" s="1"/>
    </row>
    <row r="706" ht="15.75" customHeight="1">
      <c r="A706" s="1"/>
      <c r="B706" s="1"/>
      <c r="C706" s="1"/>
      <c r="D706" s="1"/>
      <c r="E706" s="1"/>
      <c r="F706" s="1"/>
      <c r="G706" s="1"/>
      <c r="H706" s="1"/>
      <c r="I706" s="1"/>
      <c r="J706" s="1"/>
      <c r="K706" s="89" t="s">
        <v>1187</v>
      </c>
      <c r="L706" s="89" t="str">
        <f>A30</f>
        <v>C</v>
      </c>
      <c r="M706" s="89"/>
      <c r="N706" s="89" t="s">
        <v>1188</v>
      </c>
      <c r="O706" s="92">
        <v>1.364376E7</v>
      </c>
      <c r="P706" s="92">
        <v>1.1488084E7</v>
      </c>
      <c r="Q706" s="89" t="s">
        <v>802</v>
      </c>
      <c r="AF706" s="1"/>
      <c r="AG706" s="1"/>
    </row>
    <row r="707" ht="15.75" customHeight="1">
      <c r="A707" s="1"/>
      <c r="B707" s="1"/>
      <c r="C707" s="1"/>
      <c r="D707" s="1"/>
      <c r="E707" s="1"/>
      <c r="F707" s="1"/>
      <c r="G707" s="1"/>
      <c r="H707" s="1"/>
      <c r="I707" s="1"/>
      <c r="J707" s="1"/>
      <c r="K707" s="89" t="s">
        <v>1189</v>
      </c>
      <c r="L707" s="89" t="str">
        <f>A30</f>
        <v>C</v>
      </c>
      <c r="M707" s="89"/>
      <c r="N707" s="89" t="s">
        <v>1190</v>
      </c>
      <c r="O707" s="92">
        <v>2.1532389E7</v>
      </c>
      <c r="P707" s="92">
        <v>1.9370503E7</v>
      </c>
      <c r="Q707" s="89" t="s">
        <v>912</v>
      </c>
      <c r="AF707" s="1"/>
      <c r="AG707" s="1"/>
    </row>
    <row r="708" ht="15.75" customHeight="1">
      <c r="A708" s="1"/>
      <c r="B708" s="1"/>
      <c r="C708" s="1"/>
      <c r="D708" s="1"/>
      <c r="E708" s="1"/>
      <c r="F708" s="1"/>
      <c r="G708" s="1"/>
      <c r="H708" s="1"/>
      <c r="I708" s="1"/>
      <c r="J708" s="1"/>
      <c r="K708" s="89" t="s">
        <v>1191</v>
      </c>
      <c r="L708" s="89" t="str">
        <f>B31</f>
        <v>C1</v>
      </c>
      <c r="M708" s="89" t="s">
        <v>1192</v>
      </c>
      <c r="N708" s="89" t="s">
        <v>1193</v>
      </c>
      <c r="O708" s="92">
        <v>2.3023974E7</v>
      </c>
      <c r="P708" s="92">
        <v>2.0862088E7</v>
      </c>
      <c r="Q708" s="89" t="s">
        <v>879</v>
      </c>
      <c r="AF708" s="1"/>
      <c r="AG708" s="1"/>
    </row>
    <row r="709" ht="15.75" customHeight="1">
      <c r="A709" s="1"/>
      <c r="B709" s="1"/>
      <c r="C709" s="1"/>
      <c r="D709" s="1"/>
      <c r="E709" s="1"/>
      <c r="F709" s="1"/>
      <c r="G709" s="1"/>
      <c r="H709" s="1"/>
      <c r="I709" s="1"/>
      <c r="J709" s="1"/>
      <c r="K709" s="89" t="s">
        <v>1192</v>
      </c>
      <c r="L709" s="89" t="str">
        <f>B31</f>
        <v>C1</v>
      </c>
      <c r="M709" s="89" t="s">
        <v>1191</v>
      </c>
      <c r="N709" s="89" t="s">
        <v>1193</v>
      </c>
      <c r="O709" s="92">
        <v>2.3023974E7</v>
      </c>
      <c r="P709" s="92">
        <v>2.0862088E7</v>
      </c>
      <c r="Q709" s="89" t="s">
        <v>879</v>
      </c>
      <c r="AF709" s="1"/>
      <c r="AG709" s="1"/>
    </row>
    <row r="710" ht="15.75" customHeight="1">
      <c r="A710" s="1"/>
      <c r="B710" s="1"/>
      <c r="C710" s="1"/>
      <c r="D710" s="1"/>
      <c r="E710" s="1"/>
      <c r="F710" s="1"/>
      <c r="G710" s="1"/>
      <c r="H710" s="1"/>
      <c r="I710" s="1"/>
      <c r="J710" s="1"/>
      <c r="K710" s="89" t="s">
        <v>1194</v>
      </c>
      <c r="L710" s="89" t="str">
        <f>B31</f>
        <v>C1</v>
      </c>
      <c r="M710" s="89" t="s">
        <v>1195</v>
      </c>
      <c r="N710" s="89" t="s">
        <v>1196</v>
      </c>
      <c r="O710" s="92">
        <v>1.7100606E7</v>
      </c>
      <c r="P710" s="92">
        <v>1.4988726E7</v>
      </c>
      <c r="Q710" s="89" t="s">
        <v>802</v>
      </c>
      <c r="AF710" s="1"/>
      <c r="AG710" s="1"/>
    </row>
    <row r="711" ht="15.75" customHeight="1">
      <c r="A711" s="1"/>
      <c r="B711" s="1"/>
      <c r="C711" s="1"/>
      <c r="D711" s="1"/>
      <c r="E711" s="1"/>
      <c r="F711" s="1"/>
      <c r="G711" s="1"/>
      <c r="H711" s="1"/>
      <c r="I711" s="1"/>
      <c r="J711" s="1"/>
      <c r="K711" s="89" t="s">
        <v>1195</v>
      </c>
      <c r="L711" s="89" t="str">
        <f>B31</f>
        <v>C1</v>
      </c>
      <c r="M711" s="89" t="s">
        <v>1194</v>
      </c>
      <c r="N711" s="89" t="s">
        <v>1196</v>
      </c>
      <c r="O711" s="92">
        <v>1.7100606E7</v>
      </c>
      <c r="P711" s="92">
        <v>1.4988726E7</v>
      </c>
      <c r="Q711" s="89" t="s">
        <v>802</v>
      </c>
      <c r="AF711" s="1"/>
      <c r="AG711" s="1"/>
    </row>
    <row r="712" ht="15.75" customHeight="1">
      <c r="A712" s="1"/>
      <c r="B712" s="1"/>
      <c r="C712" s="1"/>
      <c r="D712" s="1"/>
      <c r="E712" s="1"/>
      <c r="F712" s="1"/>
      <c r="G712" s="1"/>
      <c r="H712" s="1"/>
      <c r="I712" s="1"/>
      <c r="J712" s="1"/>
      <c r="K712" s="89" t="s">
        <v>1197</v>
      </c>
      <c r="L712" s="89" t="str">
        <f>B31</f>
        <v>C1</v>
      </c>
      <c r="M712" s="89"/>
      <c r="N712" s="89" t="s">
        <v>1198</v>
      </c>
      <c r="O712" s="92">
        <v>6630453.0</v>
      </c>
      <c r="P712" s="92">
        <v>6762412.0</v>
      </c>
      <c r="Q712" s="89" t="s">
        <v>912</v>
      </c>
      <c r="AF712" s="1"/>
      <c r="AG712" s="1"/>
    </row>
    <row r="713" ht="15.75" customHeight="1">
      <c r="A713" s="1"/>
      <c r="B713" s="1"/>
      <c r="C713" s="1"/>
      <c r="D713" s="1"/>
      <c r="E713" s="1"/>
      <c r="F713" s="1"/>
      <c r="G713" s="1"/>
      <c r="H713" s="1"/>
      <c r="I713" s="1"/>
      <c r="J713" s="1"/>
      <c r="K713" s="89" t="s">
        <v>1199</v>
      </c>
      <c r="L713" s="89" t="str">
        <f>B31</f>
        <v>C1</v>
      </c>
      <c r="M713" s="89"/>
      <c r="N713" s="89" t="s">
        <v>1200</v>
      </c>
      <c r="O713" s="92">
        <v>9026613.0</v>
      </c>
      <c r="P713" s="92">
        <v>9189004.0</v>
      </c>
      <c r="Q713" s="89" t="s">
        <v>912</v>
      </c>
      <c r="AF713" s="1"/>
      <c r="AG713" s="1"/>
    </row>
    <row r="714" ht="15.75" customHeight="1">
      <c r="A714" s="1"/>
      <c r="B714" s="1"/>
      <c r="C714" s="1"/>
      <c r="D714" s="1"/>
      <c r="E714" s="1"/>
      <c r="F714" s="1"/>
      <c r="G714" s="1"/>
      <c r="H714" s="1"/>
      <c r="I714" s="1"/>
      <c r="J714" s="1"/>
      <c r="K714" s="89" t="s">
        <v>1201</v>
      </c>
      <c r="L714" s="89" t="str">
        <f>B31</f>
        <v>C1</v>
      </c>
      <c r="M714" s="89"/>
      <c r="N714" s="89" t="s">
        <v>1202</v>
      </c>
      <c r="O714" s="92">
        <v>2.852745E7</v>
      </c>
      <c r="P714" s="92">
        <v>2.6381303E7</v>
      </c>
      <c r="Q714" s="89" t="s">
        <v>917</v>
      </c>
      <c r="AF714" s="1"/>
      <c r="AG714" s="1"/>
    </row>
    <row r="715" ht="15.75" customHeight="1">
      <c r="A715" s="1"/>
      <c r="B715" s="1"/>
      <c r="C715" s="1"/>
      <c r="D715" s="1"/>
      <c r="E715" s="1"/>
      <c r="F715" s="1"/>
      <c r="G715" s="1"/>
      <c r="H715" s="1"/>
      <c r="I715" s="1"/>
      <c r="J715" s="1"/>
      <c r="K715" s="89" t="s">
        <v>1203</v>
      </c>
      <c r="L715" s="89" t="str">
        <f>B31</f>
        <v>C1</v>
      </c>
      <c r="M715" s="89"/>
      <c r="N715" s="89" t="s">
        <v>1204</v>
      </c>
      <c r="O715" s="92">
        <v>1.4075931E7</v>
      </c>
      <c r="P715" s="92">
        <v>1.1955225E7</v>
      </c>
      <c r="Q715" s="89" t="s">
        <v>831</v>
      </c>
      <c r="AF715" s="1"/>
      <c r="AG715" s="1"/>
    </row>
    <row r="716" ht="15.75" customHeight="1">
      <c r="A716" s="1"/>
      <c r="B716" s="1"/>
      <c r="C716" s="1"/>
      <c r="D716" s="1"/>
      <c r="E716" s="1"/>
      <c r="F716" s="1"/>
      <c r="G716" s="1"/>
      <c r="H716" s="1"/>
      <c r="I716" s="1"/>
      <c r="J716" s="1"/>
      <c r="K716" s="89" t="s">
        <v>1205</v>
      </c>
      <c r="L716" s="89" t="str">
        <f>C32</f>
        <v>C1a</v>
      </c>
      <c r="M716" s="89"/>
      <c r="N716" s="89" t="s">
        <v>1206</v>
      </c>
      <c r="O716" s="92">
        <v>2.2914979E7</v>
      </c>
      <c r="P716" s="92">
        <v>2.0753093E7</v>
      </c>
      <c r="Q716" s="89" t="s">
        <v>912</v>
      </c>
      <c r="AF716" s="1"/>
      <c r="AG716" s="1"/>
    </row>
    <row r="717" ht="15.75" customHeight="1">
      <c r="A717" s="1"/>
      <c r="B717" s="1"/>
      <c r="C717" s="1"/>
      <c r="D717" s="1"/>
      <c r="E717" s="1"/>
      <c r="F717" s="1"/>
      <c r="G717" s="1"/>
      <c r="H717" s="1"/>
      <c r="I717" s="1"/>
      <c r="J717" s="1"/>
      <c r="K717" s="89" t="s">
        <v>1207</v>
      </c>
      <c r="L717" s="89" t="str">
        <f>C32</f>
        <v>C1a</v>
      </c>
      <c r="M717" s="89"/>
      <c r="N717" s="89" t="s">
        <v>1208</v>
      </c>
      <c r="O717" s="92">
        <v>1.4939742E7</v>
      </c>
      <c r="P717" s="92">
        <v>1.2827816E7</v>
      </c>
      <c r="Q717" s="89" t="s">
        <v>813</v>
      </c>
      <c r="AF717" s="1"/>
      <c r="AG717" s="1"/>
    </row>
    <row r="718" ht="15.75" customHeight="1">
      <c r="A718" s="1"/>
      <c r="B718" s="1"/>
      <c r="C718" s="1"/>
      <c r="D718" s="1"/>
      <c r="E718" s="1"/>
      <c r="F718" s="1"/>
      <c r="G718" s="1"/>
      <c r="H718" s="1"/>
      <c r="I718" s="1"/>
      <c r="J718" s="1"/>
      <c r="K718" s="89" t="s">
        <v>1209</v>
      </c>
      <c r="L718" s="89" t="str">
        <f>C32</f>
        <v>C1a</v>
      </c>
      <c r="M718" s="89"/>
      <c r="N718" s="89" t="s">
        <v>1210</v>
      </c>
      <c r="O718" s="92">
        <v>1.8219322E7</v>
      </c>
      <c r="P718" s="92">
        <v>1.6107442E7</v>
      </c>
      <c r="Q718" s="89" t="s">
        <v>802</v>
      </c>
      <c r="AF718" s="1"/>
      <c r="AG718" s="1"/>
    </row>
    <row r="719" ht="15.75" customHeight="1">
      <c r="A719" s="1"/>
      <c r="B719" s="1"/>
      <c r="C719" s="1"/>
      <c r="D719" s="1"/>
      <c r="E719" s="1"/>
      <c r="F719" s="1"/>
      <c r="G719" s="1"/>
      <c r="H719" s="1"/>
      <c r="I719" s="1"/>
      <c r="J719" s="1"/>
      <c r="K719" s="89" t="s">
        <v>1211</v>
      </c>
      <c r="L719" s="89" t="str">
        <f>C32</f>
        <v>C1a</v>
      </c>
      <c r="M719" s="89"/>
      <c r="N719" s="89" t="s">
        <v>1212</v>
      </c>
      <c r="O719" s="92">
        <v>1.8929279E7</v>
      </c>
      <c r="P719" s="92">
        <v>1.6817399E7</v>
      </c>
      <c r="Q719" s="89" t="s">
        <v>831</v>
      </c>
      <c r="AF719" s="1"/>
      <c r="AG719" s="1"/>
    </row>
    <row r="720" ht="15.75" customHeight="1">
      <c r="A720" s="1"/>
      <c r="B720" s="1"/>
      <c r="C720" s="1"/>
      <c r="D720" s="1"/>
      <c r="E720" s="1"/>
      <c r="F720" s="1"/>
      <c r="G720" s="1"/>
      <c r="H720" s="1"/>
      <c r="I720" s="1"/>
      <c r="J720" s="1"/>
      <c r="K720" s="89" t="s">
        <v>1213</v>
      </c>
      <c r="L720" s="89" t="str">
        <f>C32</f>
        <v>C1a</v>
      </c>
      <c r="M720" s="89"/>
      <c r="N720" s="89" t="s">
        <v>1214</v>
      </c>
      <c r="O720" s="92">
        <v>2.3043943E7</v>
      </c>
      <c r="P720" s="92">
        <v>2.0882057E7</v>
      </c>
      <c r="Q720" s="89" t="s">
        <v>822</v>
      </c>
      <c r="AF720" s="1"/>
      <c r="AG720" s="1"/>
    </row>
    <row r="721" ht="15.75" customHeight="1">
      <c r="A721" s="1"/>
      <c r="B721" s="1"/>
      <c r="C721" s="1"/>
      <c r="D721" s="1"/>
      <c r="E721" s="1"/>
      <c r="F721" s="1"/>
      <c r="G721" s="1"/>
      <c r="H721" s="1"/>
      <c r="I721" s="1"/>
      <c r="J721" s="1"/>
      <c r="K721" s="89" t="s">
        <v>1215</v>
      </c>
      <c r="L721" s="89" t="str">
        <f t="shared" ref="L721:L722" si="1">C32</f>
        <v>C1a</v>
      </c>
      <c r="M721" s="89"/>
      <c r="N721" s="89" t="s">
        <v>1216</v>
      </c>
      <c r="O721" s="92">
        <v>2.1186044E7</v>
      </c>
      <c r="P721" s="92">
        <v>1.9024158E7</v>
      </c>
      <c r="Q721" s="89" t="s">
        <v>845</v>
      </c>
      <c r="AF721" s="1"/>
      <c r="AG721" s="1"/>
    </row>
    <row r="722" ht="15.75" customHeight="1">
      <c r="A722" s="1"/>
      <c r="B722" s="1"/>
      <c r="C722" s="1"/>
      <c r="D722" s="1"/>
      <c r="E722" s="1"/>
      <c r="F722" s="1"/>
      <c r="G722" s="1"/>
      <c r="H722" s="1"/>
      <c r="I722" s="1"/>
      <c r="J722" s="1"/>
      <c r="K722" s="89" t="s">
        <v>1217</v>
      </c>
      <c r="L722" s="89" t="str">
        <f t="shared" si="1"/>
        <v>C1a</v>
      </c>
      <c r="M722" s="89"/>
      <c r="N722" s="89" t="s">
        <v>1218</v>
      </c>
      <c r="O722" s="92">
        <v>7436544.0</v>
      </c>
      <c r="P722" s="92">
        <v>7568503.0</v>
      </c>
      <c r="Q722" s="89" t="s">
        <v>802</v>
      </c>
      <c r="AF722" s="1"/>
      <c r="AG722" s="1"/>
    </row>
    <row r="723" ht="15.75" customHeight="1">
      <c r="A723" s="1"/>
      <c r="B723" s="1"/>
      <c r="C723" s="1"/>
      <c r="D723" s="1"/>
      <c r="E723" s="1"/>
      <c r="F723" s="1"/>
      <c r="G723" s="1"/>
      <c r="H723" s="1"/>
      <c r="I723" s="1"/>
      <c r="J723" s="1"/>
      <c r="K723" s="89" t="s">
        <v>1219</v>
      </c>
      <c r="L723" s="89" t="str">
        <f>C33</f>
        <v>C1a</v>
      </c>
      <c r="M723" s="89"/>
      <c r="N723" s="89" t="s">
        <v>1220</v>
      </c>
      <c r="O723" s="92">
        <v>1.4011838E7</v>
      </c>
      <c r="P723" s="92">
        <v>1.1891132E7</v>
      </c>
      <c r="Q723" s="89" t="s">
        <v>912</v>
      </c>
      <c r="AF723" s="1"/>
      <c r="AG723" s="1"/>
    </row>
    <row r="724" ht="15.75" customHeight="1">
      <c r="A724" s="1"/>
      <c r="B724" s="1"/>
      <c r="C724" s="1"/>
      <c r="D724" s="1"/>
      <c r="E724" s="1"/>
      <c r="F724" s="1"/>
      <c r="G724" s="1"/>
      <c r="H724" s="1"/>
      <c r="I724" s="1"/>
      <c r="J724" s="1"/>
      <c r="K724" s="89" t="s">
        <v>1221</v>
      </c>
      <c r="L724" s="89" t="str">
        <f>C33</f>
        <v>C1a</v>
      </c>
      <c r="M724" s="89"/>
      <c r="N724" s="89" t="s">
        <v>1222</v>
      </c>
      <c r="O724" s="92">
        <v>1.4121356E7</v>
      </c>
      <c r="P724" s="92">
        <v>1.200065E7</v>
      </c>
      <c r="Q724" s="89" t="s">
        <v>879</v>
      </c>
      <c r="AF724" s="1"/>
      <c r="AG724" s="1"/>
    </row>
    <row r="725" ht="15.75" customHeight="1">
      <c r="A725" s="1"/>
      <c r="B725" s="1"/>
      <c r="C725" s="1"/>
      <c r="D725" s="1"/>
      <c r="E725" s="1"/>
      <c r="F725" s="1"/>
      <c r="G725" s="1"/>
      <c r="H725" s="1"/>
      <c r="I725" s="1"/>
      <c r="J725" s="1"/>
      <c r="K725" s="89" t="s">
        <v>1223</v>
      </c>
      <c r="L725" s="89" t="str">
        <f>C33</f>
        <v>C1a</v>
      </c>
      <c r="M725" s="89"/>
      <c r="N725" s="89" t="s">
        <v>1224</v>
      </c>
      <c r="O725" s="92">
        <v>1.4669241E7</v>
      </c>
      <c r="P725" s="92">
        <v>1.2557307E7</v>
      </c>
      <c r="Q725" s="89" t="s">
        <v>802</v>
      </c>
      <c r="AF725" s="1"/>
      <c r="AG725" s="1"/>
    </row>
    <row r="726" ht="15.75" customHeight="1">
      <c r="A726" s="1"/>
      <c r="B726" s="1"/>
      <c r="C726" s="1"/>
      <c r="D726" s="1"/>
      <c r="E726" s="1"/>
      <c r="F726" s="1"/>
      <c r="G726" s="1"/>
      <c r="H726" s="1"/>
      <c r="I726" s="1"/>
      <c r="J726" s="1"/>
      <c r="K726" s="89" t="s">
        <v>1225</v>
      </c>
      <c r="L726" s="89" t="str">
        <f>C33</f>
        <v>C1a</v>
      </c>
      <c r="M726" s="89"/>
      <c r="N726" s="89" t="s">
        <v>1226</v>
      </c>
      <c r="O726" s="92">
        <v>1.4797405E7</v>
      </c>
      <c r="P726" s="92">
        <v>1.2685476E7</v>
      </c>
      <c r="Q726" s="89" t="s">
        <v>802</v>
      </c>
      <c r="AF726" s="1"/>
      <c r="AG726" s="1"/>
    </row>
    <row r="727" ht="15.75" customHeight="1">
      <c r="A727" s="1"/>
      <c r="B727" s="1"/>
      <c r="C727" s="1"/>
      <c r="D727" s="1"/>
      <c r="E727" s="1"/>
      <c r="F727" s="1"/>
      <c r="G727" s="1"/>
      <c r="H727" s="1"/>
      <c r="I727" s="1"/>
      <c r="J727" s="1"/>
      <c r="K727" s="89" t="s">
        <v>1227</v>
      </c>
      <c r="L727" s="89" t="str">
        <f>C33</f>
        <v>C1a</v>
      </c>
      <c r="M727" s="89"/>
      <c r="N727" s="89" t="s">
        <v>1228</v>
      </c>
      <c r="O727" s="92">
        <v>1.5920321E7</v>
      </c>
      <c r="P727" s="92">
        <v>1.3808441E7</v>
      </c>
      <c r="Q727" s="89" t="s">
        <v>810</v>
      </c>
      <c r="AF727" s="1"/>
      <c r="AG727" s="1"/>
    </row>
    <row r="728" ht="15.75" customHeight="1">
      <c r="A728" s="1"/>
      <c r="B728" s="1"/>
      <c r="C728" s="1"/>
      <c r="D728" s="1"/>
      <c r="E728" s="1"/>
      <c r="F728" s="1"/>
      <c r="G728" s="1"/>
      <c r="H728" s="1"/>
      <c r="I728" s="1"/>
      <c r="J728" s="1"/>
      <c r="K728" s="89" t="s">
        <v>1229</v>
      </c>
      <c r="L728" s="89" t="str">
        <f>C33</f>
        <v>C1a</v>
      </c>
      <c r="M728" s="89" t="s">
        <v>1230</v>
      </c>
      <c r="N728" s="89" t="s">
        <v>1231</v>
      </c>
      <c r="O728" s="92">
        <v>1.6465183E7</v>
      </c>
      <c r="P728" s="92">
        <v>1.4353303E7</v>
      </c>
      <c r="Q728" s="89" t="s">
        <v>802</v>
      </c>
      <c r="AF728" s="1"/>
      <c r="AG728" s="1"/>
    </row>
    <row r="729" ht="15.75" customHeight="1">
      <c r="A729" s="1"/>
      <c r="B729" s="1"/>
      <c r="C729" s="1"/>
      <c r="D729" s="1"/>
      <c r="E729" s="1"/>
      <c r="F729" s="1"/>
      <c r="G729" s="1"/>
      <c r="H729" s="1"/>
      <c r="I729" s="1"/>
      <c r="J729" s="1"/>
      <c r="K729" s="89" t="s">
        <v>1230</v>
      </c>
      <c r="L729" s="89" t="str">
        <f>C33</f>
        <v>C1a</v>
      </c>
      <c r="M729" s="89" t="s">
        <v>1229</v>
      </c>
      <c r="N729" s="89" t="s">
        <v>1231</v>
      </c>
      <c r="O729" s="92">
        <v>1.6465183E7</v>
      </c>
      <c r="P729" s="92">
        <v>1.4353303E7</v>
      </c>
      <c r="Q729" s="89" t="s">
        <v>802</v>
      </c>
      <c r="AF729" s="1"/>
      <c r="AG729" s="1"/>
    </row>
    <row r="730" ht="15.75" customHeight="1">
      <c r="A730" s="1"/>
      <c r="B730" s="1"/>
      <c r="C730" s="1"/>
      <c r="D730" s="1"/>
      <c r="E730" s="1"/>
      <c r="F730" s="1"/>
      <c r="G730" s="1"/>
      <c r="H730" s="1"/>
      <c r="I730" s="1"/>
      <c r="J730" s="1"/>
      <c r="K730" s="89" t="s">
        <v>1232</v>
      </c>
      <c r="L730" s="89" t="str">
        <f>C33</f>
        <v>C1a</v>
      </c>
      <c r="M730" s="89"/>
      <c r="N730" s="89" t="s">
        <v>1233</v>
      </c>
      <c r="O730" s="92">
        <v>1.6993879E7</v>
      </c>
      <c r="P730" s="92">
        <v>1.4881999E7</v>
      </c>
      <c r="Q730" s="89" t="s">
        <v>810</v>
      </c>
      <c r="AF730" s="1"/>
      <c r="AG730" s="1"/>
    </row>
    <row r="731" ht="15.75" customHeight="1">
      <c r="A731" s="1"/>
      <c r="B731" s="1"/>
      <c r="C731" s="1"/>
      <c r="D731" s="1"/>
      <c r="E731" s="1"/>
      <c r="F731" s="1"/>
      <c r="G731" s="1"/>
      <c r="H731" s="1"/>
      <c r="I731" s="1"/>
      <c r="J731" s="1"/>
      <c r="K731" s="89" t="s">
        <v>1234</v>
      </c>
      <c r="L731" s="89" t="str">
        <f>C33</f>
        <v>C1a</v>
      </c>
      <c r="M731" s="89"/>
      <c r="N731" s="89" t="s">
        <v>1235</v>
      </c>
      <c r="O731" s="92">
        <v>1.7085555E7</v>
      </c>
      <c r="P731" s="92">
        <v>1.4973675E7</v>
      </c>
      <c r="Q731" s="89" t="s">
        <v>802</v>
      </c>
      <c r="AF731" s="1"/>
      <c r="AG731" s="1"/>
    </row>
    <row r="732" ht="15.75" customHeight="1">
      <c r="A732" s="1"/>
      <c r="B732" s="1"/>
      <c r="C732" s="1"/>
      <c r="D732" s="1"/>
      <c r="E732" s="1"/>
      <c r="F732" s="1"/>
      <c r="G732" s="1"/>
      <c r="H732" s="1"/>
      <c r="I732" s="1"/>
      <c r="J732" s="1"/>
      <c r="K732" s="89" t="s">
        <v>1236</v>
      </c>
      <c r="L732" s="89" t="str">
        <f>C33</f>
        <v>C1a</v>
      </c>
      <c r="M732" s="89" t="s">
        <v>1237</v>
      </c>
      <c r="N732" s="89" t="s">
        <v>1238</v>
      </c>
      <c r="O732" s="92">
        <v>1.7176719E7</v>
      </c>
      <c r="P732" s="92">
        <v>1.5064839E7</v>
      </c>
      <c r="Q732" s="89" t="s">
        <v>838</v>
      </c>
      <c r="AF732" s="1"/>
      <c r="AG732" s="1"/>
    </row>
    <row r="733" ht="15.75" customHeight="1">
      <c r="A733" s="1"/>
      <c r="B733" s="1"/>
      <c r="C733" s="1"/>
      <c r="D733" s="1"/>
      <c r="E733" s="1"/>
      <c r="F733" s="1"/>
      <c r="G733" s="1"/>
      <c r="H733" s="1"/>
      <c r="I733" s="1"/>
      <c r="J733" s="1"/>
      <c r="K733" s="89" t="s">
        <v>1237</v>
      </c>
      <c r="L733" s="89" t="str">
        <f>C33</f>
        <v>C1a</v>
      </c>
      <c r="M733" s="89" t="s">
        <v>1236</v>
      </c>
      <c r="N733" s="89" t="s">
        <v>1238</v>
      </c>
      <c r="O733" s="92">
        <v>1.7176719E7</v>
      </c>
      <c r="P733" s="89">
        <v>1.5064839E7</v>
      </c>
      <c r="Q733" s="89" t="s">
        <v>838</v>
      </c>
      <c r="AF733" s="1"/>
      <c r="AG733" s="1"/>
    </row>
    <row r="734" ht="15.75" customHeight="1">
      <c r="A734" s="1"/>
      <c r="B734" s="1"/>
      <c r="C734" s="1"/>
      <c r="D734" s="1"/>
      <c r="E734" s="1"/>
      <c r="F734" s="1"/>
      <c r="G734" s="1"/>
      <c r="H734" s="1"/>
      <c r="I734" s="1"/>
      <c r="J734" s="1"/>
      <c r="K734" s="89" t="s">
        <v>1239</v>
      </c>
      <c r="L734" s="89" t="str">
        <f>C33</f>
        <v>C1a</v>
      </c>
      <c r="M734" s="89"/>
      <c r="N734" s="89" t="s">
        <v>1240</v>
      </c>
      <c r="O734" s="92">
        <v>1.7725343E7</v>
      </c>
      <c r="P734" s="92">
        <v>1.5613463E7</v>
      </c>
      <c r="Q734" s="89" t="s">
        <v>917</v>
      </c>
      <c r="AF734" s="1"/>
      <c r="AG734" s="1"/>
    </row>
    <row r="735" ht="15.75" customHeight="1">
      <c r="A735" s="1"/>
      <c r="B735" s="1"/>
      <c r="C735" s="1"/>
      <c r="D735" s="1"/>
      <c r="E735" s="1"/>
      <c r="F735" s="1"/>
      <c r="G735" s="1"/>
      <c r="H735" s="1"/>
      <c r="I735" s="1"/>
      <c r="J735" s="1"/>
      <c r="K735" s="89" t="s">
        <v>1241</v>
      </c>
      <c r="L735" s="89" t="str">
        <f>C33</f>
        <v>C1a</v>
      </c>
      <c r="M735" s="89"/>
      <c r="N735" s="89" t="s">
        <v>1242</v>
      </c>
      <c r="O735" s="92">
        <v>1.7856582E7</v>
      </c>
      <c r="P735" s="92">
        <v>1.5744702E7</v>
      </c>
      <c r="Q735" s="89" t="s">
        <v>802</v>
      </c>
      <c r="AF735" s="1"/>
      <c r="AG735" s="1"/>
    </row>
    <row r="736" ht="15.75" customHeight="1">
      <c r="A736" s="1"/>
      <c r="B736" s="1"/>
      <c r="C736" s="1"/>
      <c r="D736" s="1"/>
      <c r="E736" s="1"/>
      <c r="F736" s="1"/>
      <c r="G736" s="1"/>
      <c r="H736" s="1"/>
      <c r="I736" s="1"/>
      <c r="J736" s="1"/>
      <c r="K736" s="89" t="s">
        <v>1243</v>
      </c>
      <c r="L736" s="89" t="str">
        <f>C33</f>
        <v>C1a</v>
      </c>
      <c r="M736" s="89"/>
      <c r="N736" s="89" t="s">
        <v>1244</v>
      </c>
      <c r="O736" s="92">
        <v>1.9303324E7</v>
      </c>
      <c r="P736" s="92">
        <v>1.7191444E7</v>
      </c>
      <c r="Q736" s="89" t="s">
        <v>886</v>
      </c>
      <c r="AF736" s="1"/>
      <c r="AG736" s="1"/>
    </row>
    <row r="737" ht="15.75" customHeight="1">
      <c r="A737" s="1"/>
      <c r="B737" s="1"/>
      <c r="C737" s="1"/>
      <c r="D737" s="1"/>
      <c r="E737" s="1"/>
      <c r="F737" s="1"/>
      <c r="G737" s="1"/>
      <c r="H737" s="1"/>
      <c r="I737" s="1"/>
      <c r="J737" s="1"/>
      <c r="K737" s="89" t="s">
        <v>1245</v>
      </c>
      <c r="L737" s="89" t="str">
        <f>C33</f>
        <v>C1a</v>
      </c>
      <c r="M737" s="89"/>
      <c r="N737" s="89" t="s">
        <v>1246</v>
      </c>
      <c r="O737" s="92">
        <v>1.9554011E7</v>
      </c>
      <c r="P737" s="92">
        <v>1.7442131E7</v>
      </c>
      <c r="Q737" s="89" t="s">
        <v>822</v>
      </c>
      <c r="AF737" s="1"/>
      <c r="AG737" s="1"/>
    </row>
    <row r="738" ht="15.75" customHeight="1">
      <c r="A738" s="1"/>
      <c r="B738" s="1"/>
      <c r="C738" s="1"/>
      <c r="D738" s="1"/>
      <c r="E738" s="1"/>
      <c r="F738" s="1"/>
      <c r="G738" s="1"/>
      <c r="H738" s="1"/>
      <c r="I738" s="1"/>
      <c r="J738" s="1"/>
      <c r="K738" s="89" t="s">
        <v>1247</v>
      </c>
      <c r="L738" s="89" t="str">
        <f>C33</f>
        <v>C1a</v>
      </c>
      <c r="M738" s="89"/>
      <c r="N738" s="89" t="s">
        <v>1248</v>
      </c>
      <c r="O738" s="92">
        <v>2.2985384E7</v>
      </c>
      <c r="P738" s="92">
        <v>2.0823498E7</v>
      </c>
      <c r="Q738" s="89" t="s">
        <v>822</v>
      </c>
      <c r="AF738" s="1"/>
      <c r="AG738" s="1"/>
    </row>
    <row r="739" ht="15.75" customHeight="1">
      <c r="A739" s="1"/>
      <c r="B739" s="1"/>
      <c r="C739" s="1"/>
      <c r="D739" s="1"/>
      <c r="E739" s="1"/>
      <c r="F739" s="1"/>
      <c r="G739" s="1"/>
      <c r="H739" s="1"/>
      <c r="I739" s="1"/>
      <c r="J739" s="1"/>
      <c r="K739" s="89" t="s">
        <v>1249</v>
      </c>
      <c r="L739" s="89" t="str">
        <f>C33</f>
        <v>C1a</v>
      </c>
      <c r="M739" s="89"/>
      <c r="N739" s="89" t="s">
        <v>1250</v>
      </c>
      <c r="O739" s="92">
        <v>2.3095506E7</v>
      </c>
      <c r="P739" s="92">
        <v>2.093362E7</v>
      </c>
      <c r="Q739" s="89" t="s">
        <v>802</v>
      </c>
      <c r="AF739" s="1"/>
      <c r="AG739" s="1"/>
    </row>
    <row r="740" ht="15.75" customHeight="1">
      <c r="A740" s="1"/>
      <c r="B740" s="1"/>
      <c r="C740" s="1"/>
      <c r="D740" s="1"/>
      <c r="E740" s="1"/>
      <c r="F740" s="1"/>
      <c r="G740" s="1"/>
      <c r="H740" s="1"/>
      <c r="I740" s="1"/>
      <c r="J740" s="1"/>
      <c r="K740" s="89" t="s">
        <v>1251</v>
      </c>
      <c r="L740" s="89" t="str">
        <f>C33</f>
        <v>C1a</v>
      </c>
      <c r="M740" s="89"/>
      <c r="N740" s="89" t="s">
        <v>1252</v>
      </c>
      <c r="O740" s="92">
        <v>2.3358475E7</v>
      </c>
      <c r="P740" s="92">
        <v>2.1196589E7</v>
      </c>
      <c r="Q740" s="89" t="s">
        <v>822</v>
      </c>
      <c r="AF740" s="1"/>
      <c r="AG740" s="1"/>
    </row>
    <row r="741" ht="15.75" customHeight="1">
      <c r="A741" s="1"/>
      <c r="B741" s="1"/>
      <c r="C741" s="1"/>
      <c r="D741" s="1"/>
      <c r="E741" s="1"/>
      <c r="F741" s="1"/>
      <c r="G741" s="1"/>
      <c r="H741" s="1"/>
      <c r="I741" s="1"/>
      <c r="J741" s="1"/>
      <c r="K741" s="89" t="s">
        <v>1253</v>
      </c>
      <c r="L741" s="89" t="str">
        <f>C33</f>
        <v>C1a</v>
      </c>
      <c r="M741" s="89"/>
      <c r="N741" s="89" t="s">
        <v>1254</v>
      </c>
      <c r="O741" s="92">
        <v>2.8573874E7</v>
      </c>
      <c r="P741" s="92">
        <v>2.6427727E7</v>
      </c>
      <c r="Q741" s="89" t="s">
        <v>917</v>
      </c>
      <c r="AF741" s="1"/>
      <c r="AG741" s="1"/>
    </row>
    <row r="742" ht="15.75" customHeight="1">
      <c r="A742" s="1"/>
      <c r="B742" s="1"/>
      <c r="C742" s="1"/>
      <c r="D742" s="1"/>
      <c r="E742" s="1"/>
      <c r="F742" s="1"/>
      <c r="G742" s="1"/>
      <c r="H742" s="1"/>
      <c r="I742" s="1"/>
      <c r="J742" s="1"/>
      <c r="K742" s="89" t="s">
        <v>1255</v>
      </c>
      <c r="L742" s="89" t="str">
        <f>C33</f>
        <v>C1a</v>
      </c>
      <c r="M742" s="89"/>
      <c r="N742" s="89" t="s">
        <v>1256</v>
      </c>
      <c r="O742" s="92">
        <v>2.8593199E7</v>
      </c>
      <c r="P742" s="92">
        <v>2.6447052E7</v>
      </c>
      <c r="Q742" s="89" t="s">
        <v>802</v>
      </c>
      <c r="AF742" s="1"/>
      <c r="AG742" s="1"/>
    </row>
    <row r="743" ht="15.75" customHeight="1">
      <c r="A743" s="1"/>
      <c r="B743" s="1"/>
      <c r="C743" s="1"/>
      <c r="D743" s="1"/>
      <c r="E743" s="1"/>
      <c r="F743" s="1"/>
      <c r="G743" s="1"/>
      <c r="H743" s="1"/>
      <c r="I743" s="1"/>
      <c r="J743" s="1"/>
      <c r="K743" s="89" t="s">
        <v>1257</v>
      </c>
      <c r="L743" s="89" t="str">
        <f>C33</f>
        <v>C1a</v>
      </c>
      <c r="M743" s="89"/>
      <c r="N743" s="89" t="s">
        <v>1258</v>
      </c>
      <c r="O743" s="92">
        <v>1.9559309E7</v>
      </c>
      <c r="P743" s="92">
        <v>1.7447429E7</v>
      </c>
      <c r="Q743" s="89" t="s">
        <v>802</v>
      </c>
      <c r="AF743" s="1"/>
      <c r="AG743" s="1"/>
    </row>
    <row r="744" ht="15.75" customHeight="1">
      <c r="A744" s="1"/>
      <c r="B744" s="1"/>
      <c r="C744" s="1"/>
      <c r="D744" s="1"/>
      <c r="E744" s="1"/>
      <c r="F744" s="1"/>
      <c r="G744" s="1"/>
      <c r="H744" s="1"/>
      <c r="I744" s="1"/>
      <c r="J744" s="1"/>
      <c r="K744" s="89" t="s">
        <v>1259</v>
      </c>
      <c r="L744" s="89" t="str">
        <f>C33</f>
        <v>C1a</v>
      </c>
      <c r="M744" s="89"/>
      <c r="N744" s="89" t="s">
        <v>1260</v>
      </c>
      <c r="O744" s="92">
        <v>2.2884322E7</v>
      </c>
      <c r="P744" s="92">
        <v>2.0722436E7</v>
      </c>
      <c r="Q744" s="89" t="s">
        <v>802</v>
      </c>
      <c r="AF744" s="1"/>
      <c r="AG744" s="1"/>
    </row>
    <row r="745" ht="15.75" customHeight="1">
      <c r="A745" s="1"/>
      <c r="B745" s="1"/>
      <c r="C745" s="1"/>
      <c r="D745" s="1"/>
      <c r="E745" s="1"/>
      <c r="F745" s="1"/>
      <c r="G745" s="1"/>
      <c r="H745" s="1"/>
      <c r="I745" s="1"/>
      <c r="J745" s="1"/>
      <c r="K745" s="89" t="s">
        <v>1261</v>
      </c>
      <c r="L745" s="89" t="str">
        <f>C33</f>
        <v>C1a</v>
      </c>
      <c r="M745" s="89"/>
      <c r="N745" s="89" t="s">
        <v>1262</v>
      </c>
      <c r="O745" s="92">
        <v>7575852.0</v>
      </c>
      <c r="P745" s="92">
        <v>7707811.0</v>
      </c>
      <c r="Q745" s="89" t="s">
        <v>813</v>
      </c>
      <c r="AF745" s="1"/>
      <c r="AG745" s="1"/>
    </row>
    <row r="746" ht="15.75" customHeight="1">
      <c r="A746" s="1"/>
      <c r="B746" s="1"/>
      <c r="C746" s="1"/>
      <c r="D746" s="1"/>
      <c r="E746" s="1"/>
      <c r="F746" s="1"/>
      <c r="G746" s="1"/>
      <c r="H746" s="1"/>
      <c r="I746" s="1"/>
      <c r="J746" s="1"/>
      <c r="K746" s="89" t="s">
        <v>1263</v>
      </c>
      <c r="L746" s="89" t="str">
        <f>C33</f>
        <v>C1a</v>
      </c>
      <c r="M746" s="89"/>
      <c r="N746" s="89" t="s">
        <v>1264</v>
      </c>
      <c r="O746" s="92">
        <v>7829255.0</v>
      </c>
      <c r="P746" s="92">
        <v>7961214.0</v>
      </c>
      <c r="Q746" s="89" t="s">
        <v>810</v>
      </c>
      <c r="AF746" s="1"/>
      <c r="AG746" s="1"/>
    </row>
    <row r="747" ht="15.75" customHeight="1">
      <c r="A747" s="1"/>
      <c r="B747" s="1"/>
      <c r="C747" s="1"/>
      <c r="D747" s="1"/>
      <c r="E747" s="1"/>
      <c r="F747" s="1"/>
      <c r="G747" s="1"/>
      <c r="H747" s="1"/>
      <c r="I747" s="1"/>
      <c r="J747" s="1"/>
      <c r="K747" s="89" t="s">
        <v>1265</v>
      </c>
      <c r="L747" s="89" t="str">
        <f>C33</f>
        <v>C1a</v>
      </c>
      <c r="M747" s="89"/>
      <c r="N747" s="89" t="s">
        <v>1266</v>
      </c>
      <c r="O747" s="92">
        <v>7210485.0</v>
      </c>
      <c r="P747" s="92">
        <v>7342444.0</v>
      </c>
      <c r="Q747" s="89" t="s">
        <v>912</v>
      </c>
      <c r="AF747" s="1"/>
      <c r="AG747" s="1"/>
    </row>
    <row r="748" ht="15.75" customHeight="1">
      <c r="A748" s="1"/>
      <c r="B748" s="1"/>
      <c r="C748" s="1"/>
      <c r="D748" s="1"/>
      <c r="E748" s="1"/>
      <c r="F748" s="1"/>
      <c r="G748" s="1"/>
      <c r="H748" s="1"/>
      <c r="I748" s="1"/>
      <c r="J748" s="1"/>
      <c r="K748" s="89" t="s">
        <v>1267</v>
      </c>
      <c r="L748" s="89" t="str">
        <f>C33</f>
        <v>C1a</v>
      </c>
      <c r="M748" s="89"/>
      <c r="N748" s="89" t="s">
        <v>1268</v>
      </c>
      <c r="O748" s="92">
        <v>8296549.0</v>
      </c>
      <c r="P748" s="92">
        <v>8428508.0</v>
      </c>
      <c r="Q748" s="89" t="s">
        <v>879</v>
      </c>
      <c r="AF748" s="1"/>
      <c r="AG748" s="1"/>
    </row>
    <row r="749" ht="15.75" customHeight="1">
      <c r="A749" s="1"/>
      <c r="B749" s="1"/>
      <c r="C749" s="1"/>
      <c r="D749" s="1"/>
      <c r="E749" s="1"/>
      <c r="F749" s="1"/>
      <c r="G749" s="1"/>
      <c r="H749" s="1"/>
      <c r="I749" s="1"/>
      <c r="J749" s="1"/>
      <c r="K749" s="89" t="s">
        <v>1269</v>
      </c>
      <c r="L749" s="89" t="str">
        <f>C33</f>
        <v>C1a</v>
      </c>
      <c r="M749" s="89"/>
      <c r="N749" s="89" t="s">
        <v>1270</v>
      </c>
      <c r="O749" s="92">
        <v>8679050.0</v>
      </c>
      <c r="P749" s="92">
        <v>8811009.0</v>
      </c>
      <c r="Q749" s="89" t="s">
        <v>879</v>
      </c>
      <c r="AF749" s="1"/>
      <c r="AG749" s="1"/>
    </row>
    <row r="750" ht="15.75" customHeight="1">
      <c r="A750" s="1"/>
      <c r="B750" s="1"/>
      <c r="C750" s="1"/>
      <c r="D750" s="1"/>
      <c r="E750" s="1"/>
      <c r="F750" s="1"/>
      <c r="G750" s="1"/>
      <c r="H750" s="1"/>
      <c r="I750" s="1"/>
      <c r="J750" s="1"/>
      <c r="K750" s="89" t="s">
        <v>1271</v>
      </c>
      <c r="L750" s="89" t="str">
        <f>C33</f>
        <v>C1a</v>
      </c>
      <c r="M750" s="89"/>
      <c r="N750" s="89" t="s">
        <v>1272</v>
      </c>
      <c r="O750" s="92">
        <v>9767948.0</v>
      </c>
      <c r="P750" s="92">
        <v>9930339.0</v>
      </c>
      <c r="Q750" s="89" t="s">
        <v>879</v>
      </c>
      <c r="AF750" s="1"/>
      <c r="AG750" s="1"/>
    </row>
    <row r="751" ht="15.75" customHeight="1">
      <c r="A751" s="1"/>
      <c r="B751" s="1"/>
      <c r="C751" s="1"/>
      <c r="D751" s="1"/>
      <c r="E751" s="1"/>
      <c r="F751" s="1"/>
      <c r="G751" s="1"/>
      <c r="H751" s="1"/>
      <c r="I751" s="1"/>
      <c r="J751" s="1"/>
      <c r="K751" s="89" t="s">
        <v>1273</v>
      </c>
      <c r="L751" s="89" t="str">
        <f>C33</f>
        <v>C1a</v>
      </c>
      <c r="M751" s="89"/>
      <c r="N751" s="89" t="s">
        <v>1274</v>
      </c>
      <c r="O751" s="92">
        <v>1.0068958E7</v>
      </c>
      <c r="P751" s="92">
        <v>1.0231349E7</v>
      </c>
      <c r="Q751" s="89" t="s">
        <v>810</v>
      </c>
      <c r="AF751" s="1"/>
      <c r="AG751" s="1"/>
    </row>
    <row r="752" ht="15.75" customHeight="1">
      <c r="A752" s="1"/>
      <c r="B752" s="1"/>
      <c r="C752" s="1"/>
      <c r="D752" s="1"/>
      <c r="E752" s="1"/>
      <c r="F752" s="1"/>
      <c r="G752" s="1"/>
      <c r="H752" s="1"/>
      <c r="I752" s="1"/>
      <c r="J752" s="1"/>
      <c r="K752" s="89" t="s">
        <v>1275</v>
      </c>
      <c r="L752" s="89" t="str">
        <f>C33</f>
        <v>C1a</v>
      </c>
      <c r="M752" s="89"/>
      <c r="N752" s="89" t="s">
        <v>1276</v>
      </c>
      <c r="O752" s="92">
        <v>1.3132652E7</v>
      </c>
      <c r="P752" s="92">
        <v>1.0622138E7</v>
      </c>
      <c r="Q752" s="89" t="s">
        <v>810</v>
      </c>
      <c r="AF752" s="1"/>
      <c r="AG752" s="1"/>
    </row>
    <row r="753" ht="15.75" customHeight="1">
      <c r="A753" s="1"/>
      <c r="B753" s="1"/>
      <c r="C753" s="1"/>
      <c r="D753" s="1"/>
      <c r="E753" s="1"/>
      <c r="F753" s="1"/>
      <c r="G753" s="1"/>
      <c r="H753" s="1"/>
      <c r="I753" s="1"/>
      <c r="J753" s="1"/>
      <c r="K753" s="89" t="s">
        <v>1277</v>
      </c>
      <c r="L753" s="89" t="str">
        <f>C33</f>
        <v>C1a</v>
      </c>
      <c r="M753" s="89"/>
      <c r="N753" s="89" t="s">
        <v>1278</v>
      </c>
      <c r="O753" s="92">
        <v>1.3143078E7</v>
      </c>
      <c r="P753" s="92">
        <v>1.0632564E7</v>
      </c>
      <c r="Q753" s="89" t="s">
        <v>879</v>
      </c>
      <c r="AF753" s="1"/>
      <c r="AG753" s="1"/>
    </row>
    <row r="754" ht="15.75" customHeight="1">
      <c r="A754" s="1"/>
      <c r="B754" s="1"/>
      <c r="C754" s="1"/>
      <c r="D754" s="1"/>
      <c r="E754" s="1"/>
      <c r="F754" s="1"/>
      <c r="G754" s="1"/>
      <c r="H754" s="1"/>
      <c r="I754" s="1"/>
      <c r="J754" s="1"/>
      <c r="K754" s="89" t="s">
        <v>1279</v>
      </c>
      <c r="L754" s="89" t="str">
        <f>C33</f>
        <v>C1a</v>
      </c>
      <c r="M754" s="89"/>
      <c r="N754" s="89" t="s">
        <v>1280</v>
      </c>
      <c r="O754" s="92">
        <v>1.8089514E7</v>
      </c>
      <c r="P754" s="92">
        <v>1.5977634E7</v>
      </c>
      <c r="Q754" s="89" t="s">
        <v>822</v>
      </c>
      <c r="AF754" s="1"/>
      <c r="AG754" s="1"/>
    </row>
    <row r="755" ht="15.75" customHeight="1">
      <c r="A755" s="1"/>
      <c r="B755" s="1"/>
      <c r="C755" s="1"/>
      <c r="D755" s="1"/>
      <c r="E755" s="1"/>
      <c r="F755" s="1"/>
      <c r="G755" s="1"/>
      <c r="H755" s="1"/>
      <c r="I755" s="1"/>
      <c r="J755" s="1"/>
      <c r="K755" s="89" t="s">
        <v>1281</v>
      </c>
      <c r="L755" s="89" t="str">
        <f>C33</f>
        <v>C1a</v>
      </c>
      <c r="M755" s="89"/>
      <c r="N755" s="89" t="s">
        <v>1282</v>
      </c>
      <c r="O755" s="92">
        <v>1.8796445E7</v>
      </c>
      <c r="P755" s="92">
        <v>1.6684565E7</v>
      </c>
      <c r="Q755" s="89" t="s">
        <v>802</v>
      </c>
      <c r="AF755" s="1"/>
      <c r="AG755" s="1"/>
    </row>
    <row r="756" ht="15.75" customHeight="1">
      <c r="A756" s="1"/>
      <c r="B756" s="1"/>
      <c r="C756" s="1"/>
      <c r="D756" s="1"/>
      <c r="E756" s="1"/>
      <c r="F756" s="1"/>
      <c r="G756" s="1"/>
      <c r="H756" s="1"/>
      <c r="I756" s="1"/>
      <c r="J756" s="1"/>
      <c r="K756" s="89" t="s">
        <v>1283</v>
      </c>
      <c r="L756" s="89" t="str">
        <f>C33</f>
        <v>C1a</v>
      </c>
      <c r="M756" s="89"/>
      <c r="N756" s="89" t="s">
        <v>1284</v>
      </c>
      <c r="O756" s="92">
        <v>1.9253244E7</v>
      </c>
      <c r="P756" s="92">
        <v>1.7141364E7</v>
      </c>
      <c r="Q756" s="89" t="s">
        <v>802</v>
      </c>
      <c r="AF756" s="1"/>
      <c r="AG756" s="1"/>
    </row>
    <row r="757" ht="15.75" customHeight="1">
      <c r="A757" s="1"/>
      <c r="B757" s="1"/>
      <c r="C757" s="1"/>
      <c r="D757" s="1"/>
      <c r="E757" s="1"/>
      <c r="F757" s="1"/>
      <c r="G757" s="1"/>
      <c r="H757" s="1"/>
      <c r="I757" s="1"/>
      <c r="J757" s="1"/>
      <c r="K757" s="89" t="s">
        <v>1285</v>
      </c>
      <c r="L757" s="89" t="str">
        <f>C33</f>
        <v>C1a</v>
      </c>
      <c r="M757" s="89"/>
      <c r="N757" s="89" t="s">
        <v>1286</v>
      </c>
      <c r="O757" s="92">
        <v>2.1121655E7</v>
      </c>
      <c r="P757" s="92">
        <v>1.8959769E7</v>
      </c>
      <c r="Q757" s="89" t="s">
        <v>822</v>
      </c>
      <c r="AF757" s="1"/>
      <c r="AG757" s="1"/>
    </row>
    <row r="758" ht="15.75" customHeight="1">
      <c r="A758" s="1"/>
      <c r="B758" s="1"/>
      <c r="C758" s="1"/>
      <c r="D758" s="1"/>
      <c r="E758" s="1"/>
      <c r="F758" s="1"/>
      <c r="G758" s="1"/>
      <c r="H758" s="1"/>
      <c r="I758" s="1"/>
      <c r="J758" s="1"/>
      <c r="K758" s="89" t="s">
        <v>1287</v>
      </c>
      <c r="L758" s="89" t="str">
        <f>C33</f>
        <v>C1a</v>
      </c>
      <c r="M758" s="89"/>
      <c r="N758" s="89" t="s">
        <v>1288</v>
      </c>
      <c r="O758" s="92">
        <v>2.1245436E7</v>
      </c>
      <c r="P758" s="92">
        <v>1.908355E7</v>
      </c>
      <c r="Q758" s="89" t="s">
        <v>838</v>
      </c>
      <c r="AF758" s="1"/>
      <c r="AG758" s="1"/>
    </row>
    <row r="759" ht="15.75" customHeight="1">
      <c r="A759" s="1"/>
      <c r="B759" s="1"/>
      <c r="C759" s="1"/>
      <c r="D759" s="1"/>
      <c r="E759" s="1"/>
      <c r="F759" s="1"/>
      <c r="G759" s="1"/>
      <c r="H759" s="1"/>
      <c r="I759" s="1"/>
      <c r="J759" s="1"/>
      <c r="K759" s="89" t="s">
        <v>1289</v>
      </c>
      <c r="L759" s="89" t="str">
        <f>C33</f>
        <v>C1a</v>
      </c>
      <c r="M759" s="89"/>
      <c r="N759" s="89" t="s">
        <v>1290</v>
      </c>
      <c r="O759" s="92">
        <v>2.1382013E7</v>
      </c>
      <c r="P759" s="92">
        <v>1.9220127E7</v>
      </c>
      <c r="Q759" s="89" t="s">
        <v>822</v>
      </c>
      <c r="AF759" s="1"/>
      <c r="AG759" s="1"/>
    </row>
    <row r="760" ht="15.75" customHeight="1">
      <c r="A760" s="1"/>
      <c r="B760" s="1"/>
      <c r="C760" s="1"/>
      <c r="D760" s="1"/>
      <c r="E760" s="1"/>
      <c r="F760" s="1"/>
      <c r="G760" s="1"/>
      <c r="H760" s="1"/>
      <c r="I760" s="1"/>
      <c r="J760" s="1"/>
      <c r="K760" s="89" t="s">
        <v>1291</v>
      </c>
      <c r="L760" s="89" t="str">
        <f>C33</f>
        <v>C1a</v>
      </c>
      <c r="M760" s="89"/>
      <c r="N760" s="89" t="s">
        <v>1292</v>
      </c>
      <c r="O760" s="92">
        <v>2.1600665E7</v>
      </c>
      <c r="P760" s="92">
        <v>1.9438779E7</v>
      </c>
      <c r="Q760" s="89" t="s">
        <v>879</v>
      </c>
      <c r="AF760" s="1"/>
      <c r="AG760" s="1"/>
    </row>
    <row r="761" ht="15.75" customHeight="1">
      <c r="A761" s="1"/>
      <c r="B761" s="1"/>
      <c r="C761" s="1"/>
      <c r="D761" s="1"/>
      <c r="E761" s="1"/>
      <c r="F761" s="1"/>
      <c r="G761" s="1"/>
      <c r="H761" s="1"/>
      <c r="I761" s="1"/>
      <c r="J761" s="1"/>
      <c r="K761" s="89" t="s">
        <v>1293</v>
      </c>
      <c r="L761" s="89" t="str">
        <f>C33</f>
        <v>C1a</v>
      </c>
      <c r="M761" s="89"/>
      <c r="N761" s="89" t="s">
        <v>1294</v>
      </c>
      <c r="O761" s="92">
        <v>2.1944598E7</v>
      </c>
      <c r="P761" s="92">
        <v>1.9782712E7</v>
      </c>
      <c r="Q761" s="89" t="s">
        <v>917</v>
      </c>
      <c r="AF761" s="1"/>
      <c r="AG761" s="1"/>
    </row>
    <row r="762" ht="15.75" customHeight="1">
      <c r="A762" s="1"/>
      <c r="B762" s="1"/>
      <c r="C762" s="1"/>
      <c r="D762" s="1"/>
      <c r="E762" s="1"/>
      <c r="F762" s="1"/>
      <c r="G762" s="1"/>
      <c r="H762" s="1"/>
      <c r="I762" s="1"/>
      <c r="J762" s="1"/>
      <c r="K762" s="89" t="s">
        <v>1295</v>
      </c>
      <c r="L762" s="89" t="str">
        <f>C33</f>
        <v>C1a</v>
      </c>
      <c r="M762" s="89"/>
      <c r="N762" s="89" t="s">
        <v>1296</v>
      </c>
      <c r="O762" s="89">
        <v>1.3931642E7</v>
      </c>
      <c r="P762" s="89">
        <v>1.1810936E7</v>
      </c>
      <c r="Q762" s="89" t="s">
        <v>813</v>
      </c>
      <c r="AF762" s="1"/>
      <c r="AG762" s="1"/>
    </row>
    <row r="763" ht="15.75" customHeight="1">
      <c r="A763" s="1"/>
      <c r="B763" s="1"/>
      <c r="C763" s="1"/>
      <c r="D763" s="1"/>
      <c r="E763" s="1"/>
      <c r="F763" s="1"/>
      <c r="G763" s="1"/>
      <c r="H763" s="1"/>
      <c r="I763" s="1"/>
      <c r="J763" s="1"/>
      <c r="K763" s="89" t="s">
        <v>1297</v>
      </c>
      <c r="L763" s="89" t="str">
        <f>C33</f>
        <v>C1a</v>
      </c>
      <c r="M763" s="89"/>
      <c r="N763" s="89" t="s">
        <v>1298</v>
      </c>
      <c r="O763" s="92">
        <v>1.4123371E7</v>
      </c>
      <c r="P763" s="92">
        <v>1.2002665E7</v>
      </c>
      <c r="Q763" s="89" t="s">
        <v>822</v>
      </c>
      <c r="AF763" s="1"/>
      <c r="AG763" s="1"/>
    </row>
    <row r="764" ht="15.75" customHeight="1">
      <c r="A764" s="1"/>
      <c r="B764" s="1"/>
      <c r="C764" s="1"/>
      <c r="D764" s="1"/>
      <c r="E764" s="1"/>
      <c r="F764" s="1"/>
      <c r="G764" s="1"/>
      <c r="H764" s="1"/>
      <c r="I764" s="1"/>
      <c r="J764" s="1"/>
      <c r="K764" s="89" t="s">
        <v>1299</v>
      </c>
      <c r="L764" s="89" t="str">
        <f>C33</f>
        <v>C1a</v>
      </c>
      <c r="M764" s="89"/>
      <c r="N764" s="89" t="s">
        <v>1300</v>
      </c>
      <c r="O764" s="92">
        <v>1.4268491E7</v>
      </c>
      <c r="P764" s="92">
        <v>1.2147785E7</v>
      </c>
      <c r="Q764" s="89" t="s">
        <v>810</v>
      </c>
      <c r="AF764" s="1"/>
      <c r="AG764" s="1"/>
    </row>
    <row r="765" ht="15.75" customHeight="1">
      <c r="A765" s="1"/>
      <c r="B765" s="1"/>
      <c r="C765" s="1"/>
      <c r="D765" s="1"/>
      <c r="E765" s="1"/>
      <c r="F765" s="1"/>
      <c r="G765" s="1"/>
      <c r="H765" s="1"/>
      <c r="I765" s="1"/>
      <c r="J765" s="1"/>
      <c r="K765" s="89" t="s">
        <v>1301</v>
      </c>
      <c r="L765" s="89" t="str">
        <f>C33</f>
        <v>C1a</v>
      </c>
      <c r="M765" s="89"/>
      <c r="N765" s="89" t="s">
        <v>1302</v>
      </c>
      <c r="O765" s="92">
        <v>1.4292708E7</v>
      </c>
      <c r="P765" s="92">
        <v>1.2172002E7</v>
      </c>
      <c r="Q765" s="89" t="s">
        <v>802</v>
      </c>
      <c r="AF765" s="1"/>
      <c r="AG765" s="1"/>
    </row>
    <row r="766" ht="15.75" customHeight="1">
      <c r="A766" s="1"/>
      <c r="B766" s="1"/>
      <c r="C766" s="1"/>
      <c r="D766" s="1"/>
      <c r="E766" s="1"/>
      <c r="F766" s="1"/>
      <c r="G766" s="1"/>
      <c r="H766" s="1"/>
      <c r="I766" s="1"/>
      <c r="J766" s="1"/>
      <c r="K766" s="89" t="s">
        <v>1303</v>
      </c>
      <c r="L766" s="89" t="str">
        <f>C33</f>
        <v>C1a</v>
      </c>
      <c r="M766" s="89"/>
      <c r="N766" s="89" t="s">
        <v>1304</v>
      </c>
      <c r="O766" s="92">
        <v>1.4431439E7</v>
      </c>
      <c r="P766" s="92">
        <v>1.2310712E7</v>
      </c>
      <c r="Q766" s="89" t="s">
        <v>845</v>
      </c>
      <c r="AF766" s="1"/>
      <c r="AG766" s="1"/>
    </row>
    <row r="767" ht="15.75" customHeight="1">
      <c r="A767" s="1"/>
      <c r="B767" s="1"/>
      <c r="C767" s="1"/>
      <c r="D767" s="1"/>
      <c r="E767" s="1"/>
      <c r="F767" s="1"/>
      <c r="G767" s="1"/>
      <c r="H767" s="1"/>
      <c r="I767" s="1"/>
      <c r="J767" s="1"/>
      <c r="K767" s="89" t="s">
        <v>1305</v>
      </c>
      <c r="L767" s="89" t="str">
        <f>C33</f>
        <v>C1a</v>
      </c>
      <c r="M767" s="89"/>
      <c r="N767" s="89" t="s">
        <v>1306</v>
      </c>
      <c r="O767" s="92">
        <v>1.4631285E7</v>
      </c>
      <c r="P767" s="92">
        <v>1.2519354E7</v>
      </c>
      <c r="Q767" s="89" t="s">
        <v>802</v>
      </c>
      <c r="AF767" s="1"/>
      <c r="AG767" s="1"/>
    </row>
    <row r="768" ht="15.75" customHeight="1">
      <c r="A768" s="1"/>
      <c r="B768" s="1"/>
      <c r="C768" s="1"/>
      <c r="D768" s="1"/>
      <c r="E768" s="1"/>
      <c r="F768" s="1"/>
      <c r="G768" s="1"/>
      <c r="H768" s="1"/>
      <c r="I768" s="1"/>
      <c r="J768" s="1"/>
      <c r="K768" s="89" t="s">
        <v>1307</v>
      </c>
      <c r="L768" s="89" t="str">
        <f>C33</f>
        <v>C1a</v>
      </c>
      <c r="M768" s="89"/>
      <c r="N768" s="89" t="s">
        <v>1308</v>
      </c>
      <c r="O768" s="92">
        <v>1.5629626E7</v>
      </c>
      <c r="P768" s="92">
        <v>1.3517746E7</v>
      </c>
      <c r="Q768" s="89" t="s">
        <v>802</v>
      </c>
      <c r="AF768" s="1"/>
      <c r="AG768" s="1"/>
    </row>
    <row r="769" ht="15.75" customHeight="1">
      <c r="A769" s="1"/>
      <c r="B769" s="1"/>
      <c r="C769" s="1"/>
      <c r="D769" s="1"/>
      <c r="E769" s="1"/>
      <c r="F769" s="1"/>
      <c r="G769" s="1"/>
      <c r="H769" s="1"/>
      <c r="I769" s="1"/>
      <c r="J769" s="1"/>
      <c r="K769" s="89" t="s">
        <v>1309</v>
      </c>
      <c r="L769" s="89" t="str">
        <f>C33</f>
        <v>C1a</v>
      </c>
      <c r="M769" s="89"/>
      <c r="N769" s="89" t="s">
        <v>1310</v>
      </c>
      <c r="O769" s="92">
        <v>1.5683455E7</v>
      </c>
      <c r="P769" s="92">
        <v>1.3571575E7</v>
      </c>
      <c r="Q769" s="89" t="s">
        <v>802</v>
      </c>
      <c r="AF769" s="1"/>
      <c r="AG769" s="1"/>
    </row>
    <row r="770" ht="15.75" customHeight="1">
      <c r="A770" s="1"/>
      <c r="B770" s="1"/>
      <c r="C770" s="1"/>
      <c r="D770" s="1"/>
      <c r="E770" s="1"/>
      <c r="F770" s="1"/>
      <c r="G770" s="1"/>
      <c r="H770" s="1"/>
      <c r="I770" s="1"/>
      <c r="J770" s="1"/>
      <c r="K770" s="89" t="s">
        <v>1311</v>
      </c>
      <c r="L770" s="89" t="str">
        <f>C33</f>
        <v>C1a</v>
      </c>
      <c r="M770" s="89"/>
      <c r="N770" s="89" t="s">
        <v>1312</v>
      </c>
      <c r="O770" s="92">
        <v>1.6990093E7</v>
      </c>
      <c r="P770" s="92">
        <v>1.4878213E7</v>
      </c>
      <c r="Q770" s="89" t="s">
        <v>810</v>
      </c>
      <c r="AF770" s="1"/>
      <c r="AG770" s="1"/>
    </row>
    <row r="771" ht="15.75" customHeight="1">
      <c r="A771" s="1"/>
      <c r="B771" s="1"/>
      <c r="C771" s="1"/>
      <c r="D771" s="1"/>
      <c r="E771" s="1"/>
      <c r="F771" s="1"/>
      <c r="G771" s="1"/>
      <c r="H771" s="1"/>
      <c r="I771" s="1"/>
      <c r="J771" s="1"/>
      <c r="K771" s="89" t="s">
        <v>1313</v>
      </c>
      <c r="L771" s="89" t="str">
        <f>C33</f>
        <v>C1a</v>
      </c>
      <c r="M771" s="89"/>
      <c r="N771" s="89" t="s">
        <v>1314</v>
      </c>
      <c r="O771" s="92">
        <v>1.6999825E7</v>
      </c>
      <c r="P771" s="92">
        <v>1.4887945E7</v>
      </c>
      <c r="Q771" s="89" t="s">
        <v>912</v>
      </c>
      <c r="AF771" s="1"/>
      <c r="AG771" s="1"/>
    </row>
    <row r="772" ht="15.75" customHeight="1">
      <c r="A772" s="1"/>
      <c r="B772" s="1"/>
      <c r="C772" s="1"/>
      <c r="D772" s="1"/>
      <c r="E772" s="1"/>
      <c r="F772" s="1"/>
      <c r="G772" s="1"/>
      <c r="H772" s="1"/>
      <c r="I772" s="1"/>
      <c r="J772" s="1"/>
      <c r="K772" s="89" t="s">
        <v>1315</v>
      </c>
      <c r="L772" s="89" t="str">
        <f>C33</f>
        <v>C1a</v>
      </c>
      <c r="M772" s="89"/>
      <c r="N772" s="89" t="s">
        <v>1316</v>
      </c>
      <c r="O772" s="92">
        <v>2.3085251E7</v>
      </c>
      <c r="P772" s="92">
        <v>2.0923365E7</v>
      </c>
      <c r="Q772" s="89" t="s">
        <v>838</v>
      </c>
      <c r="AF772" s="1"/>
      <c r="AG772" s="1"/>
    </row>
    <row r="773" ht="15.75" customHeight="1">
      <c r="A773" s="1"/>
      <c r="B773" s="1"/>
      <c r="C773" s="1"/>
      <c r="D773" s="1"/>
      <c r="E773" s="1"/>
      <c r="F773" s="1"/>
      <c r="G773" s="1"/>
      <c r="H773" s="1"/>
      <c r="I773" s="1"/>
      <c r="J773" s="1"/>
      <c r="K773" s="89" t="s">
        <v>1317</v>
      </c>
      <c r="L773" s="89" t="str">
        <f>C33</f>
        <v>C1a</v>
      </c>
      <c r="M773" s="89"/>
      <c r="N773" s="89" t="s">
        <v>1318</v>
      </c>
      <c r="O773" s="92">
        <v>2.3100967E7</v>
      </c>
      <c r="P773" s="92">
        <v>2.0939081E7</v>
      </c>
      <c r="Q773" s="89" t="s">
        <v>912</v>
      </c>
      <c r="AF773" s="1"/>
      <c r="AG773" s="1"/>
    </row>
    <row r="774" ht="15.75" customHeight="1">
      <c r="A774" s="1"/>
      <c r="B774" s="1"/>
      <c r="C774" s="1"/>
      <c r="D774" s="1"/>
      <c r="E774" s="1"/>
      <c r="F774" s="1"/>
      <c r="G774" s="1"/>
      <c r="H774" s="1"/>
      <c r="I774" s="1"/>
      <c r="J774" s="1"/>
      <c r="K774" s="89" t="s">
        <v>1319</v>
      </c>
      <c r="L774" s="89" t="str">
        <f>C33</f>
        <v>C1a</v>
      </c>
      <c r="M774" s="89"/>
      <c r="N774" s="89" t="s">
        <v>1320</v>
      </c>
      <c r="O774" s="92">
        <v>2.8627699E7</v>
      </c>
      <c r="P774" s="92">
        <v>2.6481552E7</v>
      </c>
      <c r="Q774" s="89" t="s">
        <v>822</v>
      </c>
      <c r="AF774" s="1"/>
      <c r="AG774" s="1"/>
    </row>
    <row r="775" ht="15.75" customHeight="1">
      <c r="A775" s="1"/>
      <c r="B775" s="1"/>
      <c r="C775" s="1"/>
      <c r="D775" s="1"/>
      <c r="E775" s="1"/>
      <c r="F775" s="1"/>
      <c r="G775" s="1"/>
      <c r="H775" s="1"/>
      <c r="I775" s="1"/>
      <c r="J775" s="1"/>
      <c r="K775" s="89" t="s">
        <v>1321</v>
      </c>
      <c r="L775" s="89" t="str">
        <f>C33</f>
        <v>C1a</v>
      </c>
      <c r="M775" s="89"/>
      <c r="N775" s="89" t="s">
        <v>1322</v>
      </c>
      <c r="O775" s="92">
        <v>2.8683587E7</v>
      </c>
      <c r="P775" s="92">
        <v>2.653744E7</v>
      </c>
      <c r="Q775" s="89" t="s">
        <v>822</v>
      </c>
      <c r="AF775" s="1"/>
      <c r="AG775" s="1"/>
    </row>
    <row r="776" ht="15.75" customHeight="1">
      <c r="A776" s="1"/>
      <c r="B776" s="1"/>
      <c r="C776" s="1"/>
      <c r="D776" s="1"/>
      <c r="E776" s="1"/>
      <c r="F776" s="1"/>
      <c r="G776" s="1"/>
      <c r="H776" s="1"/>
      <c r="I776" s="1"/>
      <c r="J776" s="1"/>
      <c r="K776" s="89" t="s">
        <v>32</v>
      </c>
      <c r="L776" s="89" t="str">
        <f t="shared" ref="L776:L777" si="2">D34</f>
        <v>C1a1</v>
      </c>
      <c r="M776" s="89"/>
      <c r="N776" s="89" t="s">
        <v>1323</v>
      </c>
      <c r="O776" s="92">
        <v>7291534.0</v>
      </c>
      <c r="P776" s="92">
        <v>7423493.0</v>
      </c>
      <c r="Q776" s="89" t="s">
        <v>912</v>
      </c>
      <c r="AF776" s="1"/>
      <c r="AG776" s="1"/>
    </row>
    <row r="777" ht="15.75" customHeight="1">
      <c r="A777" s="1"/>
      <c r="B777" s="1"/>
      <c r="C777" s="1"/>
      <c r="D777" s="1"/>
      <c r="E777" s="1"/>
      <c r="F777" s="1"/>
      <c r="G777" s="1"/>
      <c r="H777" s="1"/>
      <c r="I777" s="1"/>
      <c r="J777" s="1"/>
      <c r="K777" s="89" t="s">
        <v>1324</v>
      </c>
      <c r="L777" s="89" t="str">
        <f t="shared" si="2"/>
        <v>C1a1~</v>
      </c>
      <c r="M777" s="89" t="s">
        <v>1325</v>
      </c>
      <c r="N777" s="89" t="s">
        <v>1326</v>
      </c>
      <c r="O777" s="92">
        <v>7037258.0</v>
      </c>
      <c r="P777" s="92">
        <v>7169217.0</v>
      </c>
      <c r="Q777" s="89" t="s">
        <v>802</v>
      </c>
      <c r="AF777" s="1"/>
      <c r="AG777" s="1"/>
    </row>
    <row r="778" ht="15.75" customHeight="1">
      <c r="A778" s="1"/>
      <c r="B778" s="1"/>
      <c r="C778" s="1"/>
      <c r="D778" s="1"/>
      <c r="E778" s="1"/>
      <c r="F778" s="1"/>
      <c r="G778" s="1"/>
      <c r="H778" s="1"/>
      <c r="I778" s="1"/>
      <c r="J778" s="1"/>
      <c r="K778" s="89" t="s">
        <v>1325</v>
      </c>
      <c r="L778" s="89" t="str">
        <f>D35</f>
        <v>C1a1~</v>
      </c>
      <c r="M778" s="89" t="s">
        <v>1324</v>
      </c>
      <c r="N778" s="89" t="s">
        <v>1326</v>
      </c>
      <c r="O778" s="92">
        <v>7037258.0</v>
      </c>
      <c r="P778" s="92">
        <v>7169217.0</v>
      </c>
      <c r="Q778" s="89" t="s">
        <v>802</v>
      </c>
      <c r="AF778" s="1"/>
      <c r="AG778" s="1"/>
    </row>
    <row r="779" ht="15.75" customHeight="1">
      <c r="A779" s="1"/>
      <c r="B779" s="1"/>
      <c r="C779" s="1"/>
      <c r="D779" s="1"/>
      <c r="E779" s="1"/>
      <c r="F779" s="1"/>
      <c r="G779" s="1"/>
      <c r="H779" s="1"/>
      <c r="I779" s="1"/>
      <c r="J779" s="1"/>
      <c r="K779" s="89" t="s">
        <v>1327</v>
      </c>
      <c r="L779" s="89" t="str">
        <f>D35</f>
        <v>C1a1~</v>
      </c>
      <c r="M779" s="89"/>
      <c r="N779" s="89" t="s">
        <v>1328</v>
      </c>
      <c r="O779" s="92">
        <v>2819037.0</v>
      </c>
      <c r="P779" s="92">
        <v>2950996.0</v>
      </c>
      <c r="Q779" s="89" t="s">
        <v>810</v>
      </c>
      <c r="AF779" s="1"/>
      <c r="AG779" s="1"/>
    </row>
    <row r="780" ht="15.75" customHeight="1">
      <c r="A780" s="1"/>
      <c r="B780" s="1"/>
      <c r="C780" s="1"/>
      <c r="D780" s="1"/>
      <c r="E780" s="1"/>
      <c r="F780" s="1"/>
      <c r="G780" s="1"/>
      <c r="H780" s="1"/>
      <c r="I780" s="1"/>
      <c r="J780" s="1"/>
      <c r="K780" s="89" t="s">
        <v>1329</v>
      </c>
      <c r="L780" s="89" t="str">
        <f>D35</f>
        <v>C1a1~</v>
      </c>
      <c r="M780" s="89"/>
      <c r="N780" s="89" t="s">
        <v>1330</v>
      </c>
      <c r="O780" s="92">
        <v>2831439.0</v>
      </c>
      <c r="P780" s="92">
        <v>2963398.0</v>
      </c>
      <c r="Q780" s="89" t="s">
        <v>912</v>
      </c>
      <c r="AF780" s="1"/>
      <c r="AG780" s="1"/>
    </row>
    <row r="781" ht="15.75" customHeight="1">
      <c r="A781" s="1"/>
      <c r="B781" s="1"/>
      <c r="C781" s="1"/>
      <c r="D781" s="1"/>
      <c r="E781" s="1"/>
      <c r="F781" s="1"/>
      <c r="G781" s="1"/>
      <c r="H781" s="1"/>
      <c r="I781" s="1"/>
      <c r="J781" s="1"/>
      <c r="K781" s="89" t="s">
        <v>1331</v>
      </c>
      <c r="L781" s="89" t="str">
        <f>D35</f>
        <v>C1a1~</v>
      </c>
      <c r="M781" s="89"/>
      <c r="N781" s="89" t="s">
        <v>1332</v>
      </c>
      <c r="O781" s="92">
        <v>6763739.0</v>
      </c>
      <c r="P781" s="92">
        <v>6895698.0</v>
      </c>
      <c r="Q781" s="89" t="s">
        <v>802</v>
      </c>
      <c r="AF781" s="1"/>
      <c r="AG781" s="1"/>
    </row>
    <row r="782" ht="15.75" customHeight="1">
      <c r="A782" s="1"/>
      <c r="B782" s="1"/>
      <c r="C782" s="1"/>
      <c r="D782" s="1"/>
      <c r="E782" s="1"/>
      <c r="F782" s="1"/>
      <c r="G782" s="1"/>
      <c r="H782" s="1"/>
      <c r="I782" s="1"/>
      <c r="J782" s="1"/>
      <c r="K782" s="89" t="s">
        <v>1333</v>
      </c>
      <c r="L782" s="89" t="str">
        <f>D35</f>
        <v>C1a1~</v>
      </c>
      <c r="M782" s="89"/>
      <c r="N782" s="89" t="s">
        <v>1334</v>
      </c>
      <c r="O782" s="92">
        <v>6770011.0</v>
      </c>
      <c r="P782" s="92">
        <v>6901970.0</v>
      </c>
      <c r="Q782" s="89" t="s">
        <v>802</v>
      </c>
      <c r="AF782" s="1"/>
      <c r="AG782" s="1"/>
    </row>
    <row r="783" ht="15.75" customHeight="1">
      <c r="A783" s="1"/>
      <c r="B783" s="1"/>
      <c r="C783" s="1"/>
      <c r="D783" s="1"/>
      <c r="E783" s="1"/>
      <c r="F783" s="1"/>
      <c r="G783" s="1"/>
      <c r="H783" s="1"/>
      <c r="I783" s="1"/>
      <c r="J783" s="1"/>
      <c r="K783" s="89" t="s">
        <v>1335</v>
      </c>
      <c r="L783" s="89" t="str">
        <f>D35</f>
        <v>C1a1~</v>
      </c>
      <c r="M783" s="89"/>
      <c r="N783" s="89" t="s">
        <v>1336</v>
      </c>
      <c r="O783" s="92">
        <v>6782854.0</v>
      </c>
      <c r="P783" s="92">
        <v>6914813.0</v>
      </c>
      <c r="Q783" s="89" t="s">
        <v>912</v>
      </c>
      <c r="AF783" s="1"/>
      <c r="AG783" s="1"/>
    </row>
    <row r="784" ht="15.75" customHeight="1">
      <c r="A784" s="1"/>
      <c r="B784" s="1"/>
      <c r="C784" s="1"/>
      <c r="D784" s="1"/>
      <c r="E784" s="1"/>
      <c r="F784" s="1"/>
      <c r="G784" s="1"/>
      <c r="H784" s="1"/>
      <c r="I784" s="1"/>
      <c r="J784" s="1"/>
      <c r="K784" s="89" t="s">
        <v>1337</v>
      </c>
      <c r="L784" s="89" t="str">
        <f>D35</f>
        <v>C1a1~</v>
      </c>
      <c r="M784" s="89"/>
      <c r="N784" s="89" t="s">
        <v>1338</v>
      </c>
      <c r="O784" s="92">
        <v>6951587.0</v>
      </c>
      <c r="P784" s="92">
        <v>7083546.0</v>
      </c>
      <c r="Q784" s="89" t="s">
        <v>802</v>
      </c>
      <c r="AF784" s="1"/>
      <c r="AG784" s="1"/>
    </row>
    <row r="785" ht="15.75" customHeight="1">
      <c r="A785" s="1"/>
      <c r="B785" s="1"/>
      <c r="C785" s="1"/>
      <c r="D785" s="1"/>
      <c r="E785" s="1"/>
      <c r="F785" s="1"/>
      <c r="G785" s="1"/>
      <c r="H785" s="1"/>
      <c r="I785" s="1"/>
      <c r="J785" s="1"/>
      <c r="K785" s="89" t="s">
        <v>1339</v>
      </c>
      <c r="L785" s="89" t="str">
        <f>D35</f>
        <v>C1a1~</v>
      </c>
      <c r="M785" s="89"/>
      <c r="N785" s="89" t="s">
        <v>1340</v>
      </c>
      <c r="O785" s="92">
        <v>7052844.0</v>
      </c>
      <c r="P785" s="92">
        <v>7184803.0</v>
      </c>
      <c r="Q785" s="89" t="s">
        <v>802</v>
      </c>
      <c r="AF785" s="1"/>
      <c r="AG785" s="1"/>
    </row>
    <row r="786" ht="15.75" customHeight="1">
      <c r="A786" s="1"/>
      <c r="B786" s="1"/>
      <c r="C786" s="1"/>
      <c r="D786" s="1"/>
      <c r="E786" s="1"/>
      <c r="F786" s="1"/>
      <c r="G786" s="1"/>
      <c r="H786" s="1"/>
      <c r="I786" s="1"/>
      <c r="J786" s="1"/>
      <c r="K786" s="89" t="s">
        <v>1341</v>
      </c>
      <c r="L786" s="89" t="str">
        <f>D35</f>
        <v>C1a1~</v>
      </c>
      <c r="M786" s="89" t="s">
        <v>1342</v>
      </c>
      <c r="N786" s="89" t="s">
        <v>1343</v>
      </c>
      <c r="O786" s="92">
        <v>7074374.0</v>
      </c>
      <c r="P786" s="92">
        <v>7206333.0</v>
      </c>
      <c r="Q786" s="89" t="s">
        <v>810</v>
      </c>
      <c r="AF786" s="1"/>
      <c r="AG786" s="1"/>
    </row>
    <row r="787" ht="15.75" customHeight="1">
      <c r="A787" s="1"/>
      <c r="B787" s="1"/>
      <c r="C787" s="1"/>
      <c r="D787" s="1"/>
      <c r="E787" s="1"/>
      <c r="F787" s="1"/>
      <c r="G787" s="1"/>
      <c r="H787" s="1"/>
      <c r="I787" s="1"/>
      <c r="J787" s="1"/>
      <c r="K787" s="89" t="s">
        <v>1342</v>
      </c>
      <c r="L787" s="89" t="str">
        <f>D35</f>
        <v>C1a1~</v>
      </c>
      <c r="M787" s="89" t="s">
        <v>1341</v>
      </c>
      <c r="N787" s="89" t="s">
        <v>1343</v>
      </c>
      <c r="O787" s="92">
        <v>7074374.0</v>
      </c>
      <c r="P787" s="92">
        <v>7206333.0</v>
      </c>
      <c r="Q787" s="89" t="s">
        <v>810</v>
      </c>
      <c r="AF787" s="1"/>
      <c r="AG787" s="1"/>
    </row>
    <row r="788" ht="15.75" customHeight="1">
      <c r="A788" s="1"/>
      <c r="B788" s="1"/>
      <c r="C788" s="1"/>
      <c r="D788" s="1"/>
      <c r="E788" s="1"/>
      <c r="F788" s="1"/>
      <c r="G788" s="1"/>
      <c r="H788" s="1"/>
      <c r="I788" s="1"/>
      <c r="J788" s="1"/>
      <c r="K788" s="89" t="s">
        <v>1344</v>
      </c>
      <c r="L788" s="89" t="str">
        <f>D35</f>
        <v>C1a1~</v>
      </c>
      <c r="M788" s="89" t="s">
        <v>1345</v>
      </c>
      <c r="N788" s="89" t="s">
        <v>1346</v>
      </c>
      <c r="O788" s="92">
        <v>7099943.0</v>
      </c>
      <c r="P788" s="92">
        <v>7231902.0</v>
      </c>
      <c r="Q788" s="89" t="s">
        <v>810</v>
      </c>
      <c r="AF788" s="1"/>
      <c r="AG788" s="1"/>
    </row>
    <row r="789" ht="15.75" customHeight="1">
      <c r="A789" s="1"/>
      <c r="B789" s="1"/>
      <c r="C789" s="1"/>
      <c r="D789" s="1"/>
      <c r="E789" s="1"/>
      <c r="F789" s="1"/>
      <c r="G789" s="1"/>
      <c r="H789" s="1"/>
      <c r="I789" s="1"/>
      <c r="J789" s="1"/>
      <c r="K789" s="89" t="s">
        <v>1345</v>
      </c>
      <c r="L789" s="89" t="str">
        <f>D35</f>
        <v>C1a1~</v>
      </c>
      <c r="M789" s="89" t="s">
        <v>1344</v>
      </c>
      <c r="N789" s="89" t="s">
        <v>1346</v>
      </c>
      <c r="O789" s="92">
        <v>7099943.0</v>
      </c>
      <c r="P789" s="92">
        <v>7231902.0</v>
      </c>
      <c r="Q789" s="89" t="s">
        <v>810</v>
      </c>
      <c r="AF789" s="1"/>
      <c r="AG789" s="1"/>
    </row>
    <row r="790" ht="15.75" customHeight="1">
      <c r="A790" s="1"/>
      <c r="B790" s="1"/>
      <c r="C790" s="1"/>
      <c r="D790" s="1"/>
      <c r="E790" s="1"/>
      <c r="F790" s="1"/>
      <c r="G790" s="1"/>
      <c r="H790" s="1"/>
      <c r="I790" s="1"/>
      <c r="J790" s="1"/>
      <c r="K790" s="89" t="s">
        <v>1347</v>
      </c>
      <c r="L790" s="89" t="str">
        <f>D35</f>
        <v>C1a1~</v>
      </c>
      <c r="M790" s="89"/>
      <c r="N790" s="89" t="s">
        <v>1348</v>
      </c>
      <c r="O790" s="92">
        <v>7102704.0</v>
      </c>
      <c r="P790" s="92">
        <v>7234663.0</v>
      </c>
      <c r="Q790" s="89" t="s">
        <v>810</v>
      </c>
      <c r="AF790" s="1"/>
      <c r="AG790" s="1"/>
    </row>
    <row r="791" ht="15.75" customHeight="1">
      <c r="A791" s="1"/>
      <c r="B791" s="1"/>
      <c r="C791" s="1"/>
      <c r="D791" s="1"/>
      <c r="E791" s="1"/>
      <c r="F791" s="1"/>
      <c r="G791" s="1"/>
      <c r="H791" s="1"/>
      <c r="I791" s="1"/>
      <c r="J791" s="1"/>
      <c r="K791" s="89" t="s">
        <v>1349</v>
      </c>
      <c r="L791" s="89" t="str">
        <f>D35</f>
        <v>C1a1~</v>
      </c>
      <c r="M791" s="89"/>
      <c r="N791" s="89" t="s">
        <v>1350</v>
      </c>
      <c r="O791" s="92">
        <v>7173643.0</v>
      </c>
      <c r="P791" s="92">
        <v>7305602.0</v>
      </c>
      <c r="Q791" s="89" t="s">
        <v>813</v>
      </c>
      <c r="AF791" s="1"/>
      <c r="AG791" s="1"/>
    </row>
    <row r="792" ht="15.75" customHeight="1">
      <c r="A792" s="1"/>
      <c r="B792" s="1"/>
      <c r="C792" s="1"/>
      <c r="D792" s="1"/>
      <c r="E792" s="1"/>
      <c r="F792" s="1"/>
      <c r="G792" s="1"/>
      <c r="H792" s="1"/>
      <c r="I792" s="1"/>
      <c r="J792" s="1"/>
      <c r="K792" s="89" t="s">
        <v>1351</v>
      </c>
      <c r="L792" s="89" t="str">
        <f>D35</f>
        <v>C1a1~</v>
      </c>
      <c r="M792" s="89"/>
      <c r="N792" s="89" t="s">
        <v>1352</v>
      </c>
      <c r="O792" s="92">
        <v>7232694.0</v>
      </c>
      <c r="P792" s="92">
        <v>7364653.0</v>
      </c>
      <c r="Q792" s="89" t="s">
        <v>810</v>
      </c>
      <c r="AF792" s="1"/>
      <c r="AG792" s="1"/>
    </row>
    <row r="793" ht="15.75" customHeight="1">
      <c r="A793" s="1"/>
      <c r="B793" s="1"/>
      <c r="C793" s="1"/>
      <c r="D793" s="1"/>
      <c r="E793" s="1"/>
      <c r="F793" s="1"/>
      <c r="G793" s="1"/>
      <c r="H793" s="1"/>
      <c r="I793" s="1"/>
      <c r="J793" s="1"/>
      <c r="K793" s="89" t="s">
        <v>1353</v>
      </c>
      <c r="L793" s="89" t="str">
        <f>D35</f>
        <v>C1a1~</v>
      </c>
      <c r="M793" s="89" t="s">
        <v>1354</v>
      </c>
      <c r="N793" s="89" t="s">
        <v>1355</v>
      </c>
      <c r="O793" s="92">
        <v>7253600.0</v>
      </c>
      <c r="P793" s="92">
        <v>7385559.0</v>
      </c>
      <c r="Q793" s="89" t="s">
        <v>838</v>
      </c>
      <c r="AF793" s="1"/>
      <c r="AG793" s="1"/>
    </row>
    <row r="794" ht="15.75" customHeight="1">
      <c r="A794" s="1"/>
      <c r="B794" s="1"/>
      <c r="C794" s="1"/>
      <c r="D794" s="1"/>
      <c r="E794" s="1"/>
      <c r="F794" s="1"/>
      <c r="G794" s="1"/>
      <c r="H794" s="1"/>
      <c r="I794" s="1"/>
      <c r="J794" s="1"/>
      <c r="K794" s="89" t="s">
        <v>1354</v>
      </c>
      <c r="L794" s="89" t="str">
        <f>D35</f>
        <v>C1a1~</v>
      </c>
      <c r="M794" s="89" t="s">
        <v>1353</v>
      </c>
      <c r="N794" s="89" t="s">
        <v>1355</v>
      </c>
      <c r="O794" s="92">
        <v>7253600.0</v>
      </c>
      <c r="P794" s="92">
        <v>7385559.0</v>
      </c>
      <c r="Q794" s="89" t="s">
        <v>838</v>
      </c>
      <c r="AF794" s="1"/>
      <c r="AG794" s="1"/>
    </row>
    <row r="795" ht="15.75" customHeight="1">
      <c r="A795" s="1"/>
      <c r="B795" s="1"/>
      <c r="C795" s="1"/>
      <c r="D795" s="1"/>
      <c r="E795" s="1"/>
      <c r="F795" s="1"/>
      <c r="G795" s="1"/>
      <c r="H795" s="1"/>
      <c r="I795" s="1"/>
      <c r="J795" s="1"/>
      <c r="K795" s="89" t="s">
        <v>1356</v>
      </c>
      <c r="L795" s="89" t="str">
        <f>D35</f>
        <v>C1a1~</v>
      </c>
      <c r="M795" s="89"/>
      <c r="N795" s="89" t="s">
        <v>1357</v>
      </c>
      <c r="O795" s="92">
        <v>7258837.0</v>
      </c>
      <c r="P795" s="92">
        <v>7390796.0</v>
      </c>
      <c r="Q795" s="89" t="s">
        <v>879</v>
      </c>
      <c r="AF795" s="1"/>
      <c r="AG795" s="1"/>
    </row>
    <row r="796" ht="15.75" customHeight="1">
      <c r="A796" s="1"/>
      <c r="B796" s="1"/>
      <c r="C796" s="1"/>
      <c r="D796" s="1"/>
      <c r="E796" s="1"/>
      <c r="F796" s="1"/>
      <c r="G796" s="1"/>
      <c r="H796" s="1"/>
      <c r="I796" s="1"/>
      <c r="J796" s="1"/>
      <c r="K796" s="89" t="s">
        <v>1358</v>
      </c>
      <c r="L796" s="89" t="str">
        <f>D35</f>
        <v>C1a1~</v>
      </c>
      <c r="M796" s="89"/>
      <c r="N796" s="89" t="s">
        <v>1359</v>
      </c>
      <c r="O796" s="92">
        <v>7269427.0</v>
      </c>
      <c r="P796" s="92">
        <v>7401386.0</v>
      </c>
      <c r="Q796" s="89" t="s">
        <v>912</v>
      </c>
      <c r="AF796" s="1"/>
      <c r="AG796" s="1"/>
    </row>
    <row r="797" ht="15.75" customHeight="1">
      <c r="A797" s="1"/>
      <c r="B797" s="1"/>
      <c r="C797" s="1"/>
      <c r="D797" s="1"/>
      <c r="E797" s="1"/>
      <c r="F797" s="1"/>
      <c r="G797" s="1"/>
      <c r="H797" s="1"/>
      <c r="I797" s="1"/>
      <c r="J797" s="1"/>
      <c r="K797" s="89" t="s">
        <v>1360</v>
      </c>
      <c r="L797" s="89" t="str">
        <f>D35</f>
        <v>C1a1~</v>
      </c>
      <c r="M797" s="89"/>
      <c r="N797" s="89" t="s">
        <v>1361</v>
      </c>
      <c r="O797" s="92">
        <v>7357318.0</v>
      </c>
      <c r="P797" s="92">
        <v>7489277.0</v>
      </c>
      <c r="Q797" s="89" t="s">
        <v>822</v>
      </c>
      <c r="AF797" s="1"/>
      <c r="AG797" s="1"/>
    </row>
    <row r="798" ht="15.75" customHeight="1">
      <c r="A798" s="1"/>
      <c r="B798" s="1"/>
      <c r="C798" s="1"/>
      <c r="D798" s="1"/>
      <c r="E798" s="1"/>
      <c r="F798" s="1"/>
      <c r="G798" s="1"/>
      <c r="H798" s="1"/>
      <c r="I798" s="1"/>
      <c r="J798" s="1"/>
      <c r="K798" s="89" t="s">
        <v>1362</v>
      </c>
      <c r="L798" s="89" t="str">
        <f>D35</f>
        <v>C1a1~</v>
      </c>
      <c r="M798" s="89"/>
      <c r="N798" s="89" t="s">
        <v>1363</v>
      </c>
      <c r="O798" s="92">
        <v>1.4041823E7</v>
      </c>
      <c r="P798" s="92">
        <v>1.1921117E7</v>
      </c>
      <c r="Q798" s="89" t="s">
        <v>831</v>
      </c>
      <c r="AF798" s="1"/>
      <c r="AG798" s="1"/>
    </row>
    <row r="799" ht="15.75" customHeight="1">
      <c r="A799" s="1"/>
      <c r="B799" s="1"/>
      <c r="C799" s="1"/>
      <c r="D799" s="1"/>
      <c r="E799" s="1"/>
      <c r="F799" s="1"/>
      <c r="G799" s="1"/>
      <c r="H799" s="1"/>
      <c r="I799" s="1"/>
      <c r="J799" s="1"/>
      <c r="K799" s="89" t="s">
        <v>1364</v>
      </c>
      <c r="L799" s="89" t="str">
        <f>D35</f>
        <v>C1a1~</v>
      </c>
      <c r="M799" s="89"/>
      <c r="N799" s="89" t="s">
        <v>1365</v>
      </c>
      <c r="O799" s="92">
        <v>1.4106125E7</v>
      </c>
      <c r="P799" s="92">
        <v>1.1985419E7</v>
      </c>
      <c r="Q799" s="89" t="s">
        <v>822</v>
      </c>
      <c r="AF799" s="1"/>
      <c r="AG799" s="1"/>
    </row>
    <row r="800" ht="15.75" customHeight="1">
      <c r="A800" s="1"/>
      <c r="B800" s="1"/>
      <c r="C800" s="1"/>
      <c r="D800" s="1"/>
      <c r="E800" s="1"/>
      <c r="F800" s="1"/>
      <c r="G800" s="1"/>
      <c r="H800" s="1"/>
      <c r="I800" s="1"/>
      <c r="J800" s="1"/>
      <c r="K800" s="89" t="s">
        <v>1366</v>
      </c>
      <c r="L800" s="89" t="str">
        <f>D35</f>
        <v>C1a1~</v>
      </c>
      <c r="M800" s="89"/>
      <c r="N800" s="89" t="s">
        <v>1367</v>
      </c>
      <c r="O800" s="92">
        <v>1.4148626E7</v>
      </c>
      <c r="P800" s="92">
        <v>1.202792E7</v>
      </c>
      <c r="Q800" s="89" t="s">
        <v>822</v>
      </c>
      <c r="AF800" s="1"/>
      <c r="AG800" s="1"/>
    </row>
    <row r="801" ht="15.75" customHeight="1">
      <c r="A801" s="1"/>
      <c r="B801" s="1"/>
      <c r="C801" s="1"/>
      <c r="D801" s="1"/>
      <c r="E801" s="1"/>
      <c r="F801" s="1"/>
      <c r="G801" s="1"/>
      <c r="H801" s="1"/>
      <c r="I801" s="1"/>
      <c r="J801" s="1"/>
      <c r="K801" s="89" t="s">
        <v>1368</v>
      </c>
      <c r="L801" s="89" t="str">
        <f>D35</f>
        <v>C1a1~</v>
      </c>
      <c r="M801" s="89"/>
      <c r="N801" s="89" t="s">
        <v>1369</v>
      </c>
      <c r="O801" s="92">
        <v>1.420837E7</v>
      </c>
      <c r="P801" s="92">
        <v>1.2087664E7</v>
      </c>
      <c r="Q801" s="89" t="s">
        <v>810</v>
      </c>
      <c r="AF801" s="1"/>
      <c r="AG801" s="1"/>
    </row>
    <row r="802" ht="15.75" customHeight="1">
      <c r="A802" s="1"/>
      <c r="B802" s="1"/>
      <c r="C802" s="1"/>
      <c r="D802" s="1"/>
      <c r="E802" s="1"/>
      <c r="F802" s="1"/>
      <c r="G802" s="1"/>
      <c r="H802" s="1"/>
      <c r="I802" s="1"/>
      <c r="J802" s="1"/>
      <c r="K802" s="89" t="s">
        <v>1370</v>
      </c>
      <c r="L802" s="89" t="str">
        <f>D35</f>
        <v>C1a1~</v>
      </c>
      <c r="M802" s="89"/>
      <c r="N802" s="89" t="s">
        <v>1371</v>
      </c>
      <c r="O802" s="92">
        <v>1.4211355E7</v>
      </c>
      <c r="P802" s="92">
        <v>1.2090649E7</v>
      </c>
      <c r="Q802" s="89" t="s">
        <v>810</v>
      </c>
      <c r="AF802" s="1"/>
      <c r="AG802" s="1"/>
    </row>
    <row r="803" ht="15.75" customHeight="1">
      <c r="A803" s="1"/>
      <c r="B803" s="1"/>
      <c r="C803" s="1"/>
      <c r="D803" s="1"/>
      <c r="E803" s="1"/>
      <c r="F803" s="1"/>
      <c r="G803" s="1"/>
      <c r="H803" s="1"/>
      <c r="I803" s="1"/>
      <c r="J803" s="1"/>
      <c r="K803" s="89" t="s">
        <v>1372</v>
      </c>
      <c r="L803" s="89" t="str">
        <f>D35</f>
        <v>C1a1~</v>
      </c>
      <c r="M803" s="89"/>
      <c r="N803" s="89" t="s">
        <v>1373</v>
      </c>
      <c r="O803" s="92">
        <v>1.4219136E7</v>
      </c>
      <c r="P803" s="92">
        <v>1.209843E7</v>
      </c>
      <c r="Q803" s="89" t="s">
        <v>802</v>
      </c>
      <c r="AF803" s="1"/>
      <c r="AG803" s="1"/>
    </row>
    <row r="804" ht="15.75" customHeight="1">
      <c r="A804" s="1"/>
      <c r="B804" s="1"/>
      <c r="C804" s="1"/>
      <c r="D804" s="1"/>
      <c r="E804" s="1"/>
      <c r="F804" s="1"/>
      <c r="G804" s="1"/>
      <c r="H804" s="1"/>
      <c r="I804" s="1"/>
      <c r="J804" s="1"/>
      <c r="K804" s="89" t="s">
        <v>1374</v>
      </c>
      <c r="L804" s="89" t="str">
        <f>D35</f>
        <v>C1a1~</v>
      </c>
      <c r="M804" s="89"/>
      <c r="N804" s="89" t="s">
        <v>1375</v>
      </c>
      <c r="O804" s="92">
        <v>1.421914E7</v>
      </c>
      <c r="P804" s="92">
        <v>1.2098434E7</v>
      </c>
      <c r="Q804" s="89" t="s">
        <v>886</v>
      </c>
      <c r="AF804" s="1"/>
      <c r="AG804" s="1"/>
    </row>
    <row r="805" ht="15.75" customHeight="1">
      <c r="A805" s="1"/>
      <c r="B805" s="1"/>
      <c r="C805" s="1"/>
      <c r="D805" s="1"/>
      <c r="E805" s="1"/>
      <c r="F805" s="1"/>
      <c r="G805" s="1"/>
      <c r="H805" s="1"/>
      <c r="I805" s="1"/>
      <c r="J805" s="1"/>
      <c r="K805" s="89" t="s">
        <v>1376</v>
      </c>
      <c r="L805" s="89" t="str">
        <f>D35</f>
        <v>C1a1~</v>
      </c>
      <c r="M805" s="89"/>
      <c r="N805" s="89" t="s">
        <v>1377</v>
      </c>
      <c r="O805" s="92">
        <v>1.4246261E7</v>
      </c>
      <c r="P805" s="92">
        <v>1.2125555E7</v>
      </c>
      <c r="Q805" s="89" t="s">
        <v>864</v>
      </c>
      <c r="AF805" s="1"/>
      <c r="AG805" s="1"/>
    </row>
    <row r="806" ht="15.75" customHeight="1">
      <c r="A806" s="1"/>
      <c r="B806" s="1"/>
      <c r="C806" s="1"/>
      <c r="D806" s="1"/>
      <c r="E806" s="1"/>
      <c r="F806" s="1"/>
      <c r="G806" s="1"/>
      <c r="H806" s="1"/>
      <c r="I806" s="1"/>
      <c r="J806" s="1"/>
      <c r="K806" s="89" t="s">
        <v>1378</v>
      </c>
      <c r="L806" s="89" t="str">
        <f>D35</f>
        <v>C1a1~</v>
      </c>
      <c r="M806" s="89"/>
      <c r="N806" s="89" t="s">
        <v>1379</v>
      </c>
      <c r="O806" s="92">
        <v>1.4254357E7</v>
      </c>
      <c r="P806" s="92">
        <v>1.2133651E7</v>
      </c>
      <c r="Q806" s="89" t="s">
        <v>831</v>
      </c>
      <c r="AF806" s="1"/>
      <c r="AG806" s="1"/>
    </row>
    <row r="807" ht="15.75" customHeight="1">
      <c r="A807" s="1"/>
      <c r="B807" s="1"/>
      <c r="C807" s="1"/>
      <c r="D807" s="1"/>
      <c r="E807" s="1"/>
      <c r="F807" s="1"/>
      <c r="G807" s="1"/>
      <c r="H807" s="1"/>
      <c r="I807" s="1"/>
      <c r="J807" s="1"/>
      <c r="K807" s="89" t="s">
        <v>1380</v>
      </c>
      <c r="L807" s="89" t="str">
        <f>D35</f>
        <v>C1a1~</v>
      </c>
      <c r="M807" s="89" t="s">
        <v>1381</v>
      </c>
      <c r="N807" s="89" t="s">
        <v>1382</v>
      </c>
      <c r="O807" s="92">
        <v>1.4295751E7</v>
      </c>
      <c r="P807" s="92">
        <v>1.2175045E7</v>
      </c>
      <c r="Q807" s="89" t="s">
        <v>813</v>
      </c>
      <c r="AF807" s="1"/>
      <c r="AG807" s="1"/>
    </row>
    <row r="808" ht="15.75" customHeight="1">
      <c r="A808" s="1"/>
      <c r="B808" s="1"/>
      <c r="C808" s="1"/>
      <c r="D808" s="1"/>
      <c r="E808" s="1"/>
      <c r="F808" s="1"/>
      <c r="G808" s="1"/>
      <c r="H808" s="1"/>
      <c r="I808" s="1"/>
      <c r="J808" s="1"/>
      <c r="K808" s="89" t="s">
        <v>1381</v>
      </c>
      <c r="L808" s="89" t="str">
        <f>D35</f>
        <v>C1a1~</v>
      </c>
      <c r="M808" s="89" t="s">
        <v>1380</v>
      </c>
      <c r="N808" s="89" t="s">
        <v>1382</v>
      </c>
      <c r="O808" s="92">
        <v>1.4295751E7</v>
      </c>
      <c r="P808" s="92">
        <v>1.2175045E7</v>
      </c>
      <c r="Q808" s="89" t="s">
        <v>813</v>
      </c>
      <c r="AF808" s="1"/>
      <c r="AG808" s="1"/>
    </row>
    <row r="809" ht="15.75" customHeight="1">
      <c r="A809" s="1"/>
      <c r="B809" s="1"/>
      <c r="C809" s="1"/>
      <c r="D809" s="1"/>
      <c r="E809" s="1"/>
      <c r="F809" s="1"/>
      <c r="G809" s="1"/>
      <c r="H809" s="1"/>
      <c r="I809" s="1"/>
      <c r="J809" s="1"/>
      <c r="K809" s="89" t="s">
        <v>1383</v>
      </c>
      <c r="L809" s="89" t="str">
        <f>D35</f>
        <v>C1a1~</v>
      </c>
      <c r="M809" s="89"/>
      <c r="N809" s="89" t="s">
        <v>1384</v>
      </c>
      <c r="O809" s="92">
        <v>1.4388017E7</v>
      </c>
      <c r="P809" s="92">
        <v>1.2267313E7</v>
      </c>
      <c r="Q809" s="89" t="s">
        <v>912</v>
      </c>
      <c r="AF809" s="1"/>
      <c r="AG809" s="1"/>
    </row>
    <row r="810" ht="15.75" customHeight="1">
      <c r="A810" s="1"/>
      <c r="B810" s="1"/>
      <c r="C810" s="1"/>
      <c r="D810" s="1"/>
      <c r="E810" s="1"/>
      <c r="F810" s="1"/>
      <c r="G810" s="1"/>
      <c r="H810" s="1"/>
      <c r="I810" s="1"/>
      <c r="J810" s="1"/>
      <c r="K810" s="89" t="s">
        <v>1385</v>
      </c>
      <c r="L810" s="89" t="str">
        <f>D35</f>
        <v>C1a1~</v>
      </c>
      <c r="M810" s="89"/>
      <c r="N810" s="89" t="s">
        <v>1386</v>
      </c>
      <c r="O810" s="92">
        <v>1.4863507E7</v>
      </c>
      <c r="P810" s="92">
        <v>1.2751573E7</v>
      </c>
      <c r="Q810" s="89" t="s">
        <v>822</v>
      </c>
      <c r="AF810" s="1"/>
      <c r="AG810" s="1"/>
    </row>
    <row r="811" ht="15.75" customHeight="1">
      <c r="A811" s="1"/>
      <c r="B811" s="1"/>
      <c r="C811" s="1"/>
      <c r="D811" s="1"/>
      <c r="E811" s="1"/>
      <c r="F811" s="1"/>
      <c r="G811" s="1"/>
      <c r="H811" s="1"/>
      <c r="I811" s="1"/>
      <c r="J811" s="1"/>
      <c r="K811" s="89" t="s">
        <v>1387</v>
      </c>
      <c r="L811" s="89" t="str">
        <f>D35</f>
        <v>C1a1~</v>
      </c>
      <c r="M811" s="89"/>
      <c r="N811" s="89" t="s">
        <v>1388</v>
      </c>
      <c r="O811" s="92">
        <v>1.4867439E7</v>
      </c>
      <c r="P811" s="92">
        <v>1.2755509E7</v>
      </c>
      <c r="Q811" s="89" t="s">
        <v>802</v>
      </c>
      <c r="AF811" s="1"/>
      <c r="AG811" s="1"/>
    </row>
    <row r="812" ht="15.75" customHeight="1">
      <c r="A812" s="1"/>
      <c r="B812" s="1"/>
      <c r="C812" s="1"/>
      <c r="D812" s="1"/>
      <c r="E812" s="1"/>
      <c r="F812" s="1"/>
      <c r="G812" s="1"/>
      <c r="H812" s="1"/>
      <c r="I812" s="1"/>
      <c r="J812" s="1"/>
      <c r="K812" s="89" t="s">
        <v>1389</v>
      </c>
      <c r="L812" s="89" t="str">
        <f>D35</f>
        <v>C1a1~</v>
      </c>
      <c r="M812" s="89" t="s">
        <v>1390</v>
      </c>
      <c r="N812" s="89" t="s">
        <v>1391</v>
      </c>
      <c r="O812" s="92">
        <v>1.4870234E7</v>
      </c>
      <c r="P812" s="92">
        <v>1.2758304E7</v>
      </c>
      <c r="Q812" s="89" t="s">
        <v>802</v>
      </c>
      <c r="AF812" s="1"/>
      <c r="AG812" s="1"/>
    </row>
    <row r="813" ht="15.75" customHeight="1">
      <c r="A813" s="1"/>
      <c r="B813" s="1"/>
      <c r="C813" s="1"/>
      <c r="D813" s="1"/>
      <c r="E813" s="1"/>
      <c r="F813" s="1"/>
      <c r="G813" s="1"/>
      <c r="H813" s="1"/>
      <c r="I813" s="1"/>
      <c r="J813" s="1"/>
      <c r="K813" s="89" t="s">
        <v>1392</v>
      </c>
      <c r="L813" s="89" t="str">
        <f>D35</f>
        <v>C1a1~</v>
      </c>
      <c r="M813" s="89" t="s">
        <v>1393</v>
      </c>
      <c r="N813" s="89" t="s">
        <v>1391</v>
      </c>
      <c r="O813" s="92">
        <v>1.4870234E7</v>
      </c>
      <c r="P813" s="92">
        <v>1.2758304E7</v>
      </c>
      <c r="Q813" s="89" t="s">
        <v>802</v>
      </c>
      <c r="AF813" s="1"/>
      <c r="AG813" s="1"/>
    </row>
    <row r="814" ht="15.75" customHeight="1">
      <c r="A814" s="1"/>
      <c r="B814" s="1"/>
      <c r="C814" s="1"/>
      <c r="D814" s="1"/>
      <c r="E814" s="1"/>
      <c r="F814" s="1"/>
      <c r="G814" s="1"/>
      <c r="H814" s="1"/>
      <c r="I814" s="1"/>
      <c r="J814" s="1"/>
      <c r="K814" s="89" t="s">
        <v>1394</v>
      </c>
      <c r="L814" s="89" t="str">
        <f>D35</f>
        <v>C1a1~</v>
      </c>
      <c r="M814" s="89" t="s">
        <v>1395</v>
      </c>
      <c r="N814" s="89" t="s">
        <v>1391</v>
      </c>
      <c r="O814" s="92">
        <v>1.4870234E7</v>
      </c>
      <c r="P814" s="92">
        <v>1.2758304E7</v>
      </c>
      <c r="Q814" s="89" t="s">
        <v>802</v>
      </c>
      <c r="AF814" s="1"/>
      <c r="AG814" s="1"/>
    </row>
    <row r="815" ht="15.75" customHeight="1">
      <c r="A815" s="1"/>
      <c r="B815" s="1"/>
      <c r="C815" s="1"/>
      <c r="D815" s="1"/>
      <c r="E815" s="1"/>
      <c r="F815" s="1"/>
      <c r="G815" s="1"/>
      <c r="H815" s="1"/>
      <c r="I815" s="1"/>
      <c r="J815" s="1"/>
      <c r="K815" s="89" t="s">
        <v>1396</v>
      </c>
      <c r="L815" s="89" t="str">
        <f>D35</f>
        <v>C1a1~</v>
      </c>
      <c r="M815" s="89"/>
      <c r="N815" s="89" t="s">
        <v>1397</v>
      </c>
      <c r="O815" s="92">
        <v>1.487344E7</v>
      </c>
      <c r="P815" s="92">
        <v>1.276151E7</v>
      </c>
      <c r="Q815" s="89" t="s">
        <v>838</v>
      </c>
      <c r="AF815" s="1"/>
      <c r="AG815" s="1"/>
    </row>
    <row r="816" ht="15.75" customHeight="1">
      <c r="A816" s="1"/>
      <c r="B816" s="1"/>
      <c r="C816" s="1"/>
      <c r="D816" s="1"/>
      <c r="E816" s="1"/>
      <c r="F816" s="1"/>
      <c r="G816" s="1"/>
      <c r="H816" s="1"/>
      <c r="I816" s="1"/>
      <c r="J816" s="1"/>
      <c r="K816" s="89" t="s">
        <v>1398</v>
      </c>
      <c r="L816" s="89" t="str">
        <f>D35</f>
        <v>C1a1~</v>
      </c>
      <c r="M816" s="89" t="s">
        <v>1399</v>
      </c>
      <c r="N816" s="89" t="s">
        <v>1400</v>
      </c>
      <c r="O816" s="92">
        <v>1.4877007E7</v>
      </c>
      <c r="P816" s="92">
        <v>1.2765077E7</v>
      </c>
      <c r="Q816" s="89" t="s">
        <v>802</v>
      </c>
      <c r="AF816" s="1"/>
      <c r="AG816" s="1"/>
    </row>
    <row r="817" ht="15.75" customHeight="1">
      <c r="A817" s="1"/>
      <c r="B817" s="1"/>
      <c r="C817" s="1"/>
      <c r="D817" s="1"/>
      <c r="E817" s="1"/>
      <c r="F817" s="1"/>
      <c r="G817" s="1"/>
      <c r="H817" s="1"/>
      <c r="I817" s="1"/>
      <c r="J817" s="1"/>
      <c r="K817" s="89" t="s">
        <v>1399</v>
      </c>
      <c r="L817" s="89" t="str">
        <f>D35</f>
        <v>C1a1~</v>
      </c>
      <c r="M817" s="89" t="s">
        <v>1398</v>
      </c>
      <c r="N817" s="89" t="s">
        <v>1400</v>
      </c>
      <c r="O817" s="92">
        <v>1.4877007E7</v>
      </c>
      <c r="P817" s="92">
        <v>1.2765077E7</v>
      </c>
      <c r="Q817" s="89" t="s">
        <v>802</v>
      </c>
      <c r="AF817" s="1"/>
      <c r="AG817" s="1"/>
    </row>
    <row r="818" ht="15.75" customHeight="1">
      <c r="A818" s="1"/>
      <c r="B818" s="1"/>
      <c r="C818" s="1"/>
      <c r="D818" s="1"/>
      <c r="E818" s="1"/>
      <c r="F818" s="1"/>
      <c r="G818" s="1"/>
      <c r="H818" s="1"/>
      <c r="I818" s="1"/>
      <c r="J818" s="1"/>
      <c r="K818" s="89" t="s">
        <v>1401</v>
      </c>
      <c r="L818" s="89" t="str">
        <f>D35</f>
        <v>C1a1~</v>
      </c>
      <c r="M818" s="89"/>
      <c r="N818" s="89" t="s">
        <v>1402</v>
      </c>
      <c r="O818" s="92">
        <v>1.4965753E7</v>
      </c>
      <c r="P818" s="92">
        <v>1.2853828E7</v>
      </c>
      <c r="Q818" s="89" t="s">
        <v>810</v>
      </c>
      <c r="AF818" s="1"/>
      <c r="AG818" s="1"/>
    </row>
    <row r="819" ht="15.75" customHeight="1">
      <c r="A819" s="1"/>
      <c r="B819" s="1"/>
      <c r="C819" s="1"/>
      <c r="D819" s="1"/>
      <c r="E819" s="1"/>
      <c r="F819" s="1"/>
      <c r="G819" s="1"/>
      <c r="H819" s="1"/>
      <c r="I819" s="1"/>
      <c r="J819" s="1"/>
      <c r="K819" s="89" t="s">
        <v>1403</v>
      </c>
      <c r="L819" s="89" t="str">
        <f>D35</f>
        <v>C1a1~</v>
      </c>
      <c r="M819" s="89" t="s">
        <v>1404</v>
      </c>
      <c r="N819" s="89" t="s">
        <v>1405</v>
      </c>
      <c r="O819" s="92">
        <v>1.5156499E7</v>
      </c>
      <c r="P819" s="92">
        <v>1.3044586E7</v>
      </c>
      <c r="Q819" s="89" t="s">
        <v>838</v>
      </c>
      <c r="AF819" s="1"/>
      <c r="AG819" s="1"/>
    </row>
    <row r="820" ht="15.75" customHeight="1">
      <c r="A820" s="1"/>
      <c r="B820" s="1"/>
      <c r="C820" s="1"/>
      <c r="D820" s="1"/>
      <c r="E820" s="1"/>
      <c r="F820" s="1"/>
      <c r="G820" s="1"/>
      <c r="H820" s="1"/>
      <c r="I820" s="1"/>
      <c r="J820" s="1"/>
      <c r="K820" s="89" t="s">
        <v>1404</v>
      </c>
      <c r="L820" s="89" t="str">
        <f>D35</f>
        <v>C1a1~</v>
      </c>
      <c r="M820" s="89" t="s">
        <v>1403</v>
      </c>
      <c r="N820" s="89" t="s">
        <v>1405</v>
      </c>
      <c r="O820" s="92">
        <v>1.5156499E7</v>
      </c>
      <c r="P820" s="92">
        <v>1.3044586E7</v>
      </c>
      <c r="Q820" s="89" t="s">
        <v>838</v>
      </c>
      <c r="AF820" s="1"/>
      <c r="AG820" s="1"/>
    </row>
    <row r="821" ht="15.75" customHeight="1">
      <c r="A821" s="1"/>
      <c r="B821" s="1"/>
      <c r="C821" s="1"/>
      <c r="D821" s="1"/>
      <c r="E821" s="1"/>
      <c r="F821" s="1"/>
      <c r="G821" s="1"/>
      <c r="H821" s="1"/>
      <c r="I821" s="1"/>
      <c r="J821" s="1"/>
      <c r="K821" s="89" t="s">
        <v>1406</v>
      </c>
      <c r="L821" s="89" t="str">
        <f>D35</f>
        <v>C1a1~</v>
      </c>
      <c r="M821" s="89"/>
      <c r="N821" s="89" t="s">
        <v>1407</v>
      </c>
      <c r="O821" s="92">
        <v>1.5211392E7</v>
      </c>
      <c r="P821" s="92">
        <v>1.3099478E7</v>
      </c>
      <c r="Q821" s="89" t="s">
        <v>838</v>
      </c>
      <c r="AF821" s="1"/>
      <c r="AG821" s="1"/>
    </row>
    <row r="822" ht="15.75" customHeight="1">
      <c r="A822" s="1"/>
      <c r="B822" s="1"/>
      <c r="C822" s="1"/>
      <c r="D822" s="1"/>
      <c r="E822" s="1"/>
      <c r="F822" s="1"/>
      <c r="G822" s="1"/>
      <c r="H822" s="1"/>
      <c r="I822" s="1"/>
      <c r="J822" s="1"/>
      <c r="K822" s="89" t="s">
        <v>1408</v>
      </c>
      <c r="L822" s="89" t="str">
        <f>D35</f>
        <v>C1a1~</v>
      </c>
      <c r="M822" s="89"/>
      <c r="N822" s="89" t="s">
        <v>1409</v>
      </c>
      <c r="O822" s="92">
        <v>1.5354539E7</v>
      </c>
      <c r="P822" s="92">
        <v>1.3242658E7</v>
      </c>
      <c r="Q822" s="89" t="s">
        <v>864</v>
      </c>
      <c r="AF822" s="1"/>
      <c r="AG822" s="1"/>
    </row>
    <row r="823" ht="15.75" customHeight="1">
      <c r="A823" s="1"/>
      <c r="B823" s="1"/>
      <c r="C823" s="1"/>
      <c r="D823" s="1"/>
      <c r="E823" s="1"/>
      <c r="F823" s="1"/>
      <c r="G823" s="1"/>
      <c r="H823" s="1"/>
      <c r="I823" s="1"/>
      <c r="J823" s="1"/>
      <c r="K823" s="89" t="s">
        <v>1410</v>
      </c>
      <c r="L823" s="89" t="str">
        <f>D35</f>
        <v>C1a1~</v>
      </c>
      <c r="M823" s="89"/>
      <c r="N823" s="89" t="s">
        <v>1411</v>
      </c>
      <c r="O823" s="92">
        <v>1.5356793E7</v>
      </c>
      <c r="P823" s="92">
        <v>1.3244912E7</v>
      </c>
      <c r="Q823" s="89" t="s">
        <v>838</v>
      </c>
      <c r="AF823" s="1"/>
      <c r="AG823" s="1"/>
    </row>
    <row r="824" ht="15.75" customHeight="1">
      <c r="A824" s="1"/>
      <c r="B824" s="1"/>
      <c r="C824" s="1"/>
      <c r="D824" s="1"/>
      <c r="E824" s="1"/>
      <c r="F824" s="1"/>
      <c r="G824" s="1"/>
      <c r="H824" s="1"/>
      <c r="I824" s="1"/>
      <c r="J824" s="1"/>
      <c r="K824" s="89" t="s">
        <v>1412</v>
      </c>
      <c r="L824" s="89" t="str">
        <f>D35</f>
        <v>C1a1~</v>
      </c>
      <c r="M824" s="89"/>
      <c r="N824" s="89" t="s">
        <v>1413</v>
      </c>
      <c r="O824" s="92">
        <v>1.5429303E7</v>
      </c>
      <c r="P824" s="92">
        <v>1.3317423E7</v>
      </c>
      <c r="Q824" s="89" t="s">
        <v>838</v>
      </c>
      <c r="AF824" s="1"/>
      <c r="AG824" s="1"/>
    </row>
    <row r="825" ht="15.75" customHeight="1">
      <c r="A825" s="1"/>
      <c r="B825" s="1"/>
      <c r="C825" s="1"/>
      <c r="D825" s="1"/>
      <c r="E825" s="1"/>
      <c r="F825" s="1"/>
      <c r="G825" s="1"/>
      <c r="H825" s="1"/>
      <c r="I825" s="1"/>
      <c r="J825" s="1"/>
      <c r="K825" s="89" t="s">
        <v>1414</v>
      </c>
      <c r="L825" s="89" t="str">
        <f>D35</f>
        <v>C1a1~</v>
      </c>
      <c r="M825" s="89"/>
      <c r="N825" s="89" t="s">
        <v>1415</v>
      </c>
      <c r="O825" s="92">
        <v>1.5449737E7</v>
      </c>
      <c r="P825" s="92">
        <v>1.3337857E7</v>
      </c>
      <c r="Q825" s="89" t="s">
        <v>879</v>
      </c>
      <c r="AF825" s="1"/>
      <c r="AG825" s="1"/>
    </row>
    <row r="826" ht="15.75" customHeight="1">
      <c r="A826" s="1"/>
      <c r="B826" s="1"/>
      <c r="C826" s="1"/>
      <c r="D826" s="1"/>
      <c r="E826" s="1"/>
      <c r="F826" s="1"/>
      <c r="G826" s="1"/>
      <c r="H826" s="1"/>
      <c r="I826" s="1"/>
      <c r="J826" s="1"/>
      <c r="K826" s="89" t="s">
        <v>1416</v>
      </c>
      <c r="L826" s="89" t="str">
        <f>D35</f>
        <v>C1a1~</v>
      </c>
      <c r="M826" s="89"/>
      <c r="N826" s="89" t="s">
        <v>1417</v>
      </c>
      <c r="O826" s="92">
        <v>1.5469784E7</v>
      </c>
      <c r="P826" s="92">
        <v>1.3357904E7</v>
      </c>
      <c r="Q826" s="89" t="s">
        <v>802</v>
      </c>
      <c r="AF826" s="1"/>
      <c r="AG826" s="1"/>
    </row>
    <row r="827" ht="15.75" customHeight="1">
      <c r="A827" s="1"/>
      <c r="B827" s="1"/>
      <c r="C827" s="1"/>
      <c r="D827" s="1"/>
      <c r="E827" s="1"/>
      <c r="F827" s="1"/>
      <c r="G827" s="1"/>
      <c r="H827" s="1"/>
      <c r="I827" s="1"/>
      <c r="J827" s="1"/>
      <c r="K827" s="89" t="s">
        <v>1418</v>
      </c>
      <c r="L827" s="89" t="str">
        <f>D35</f>
        <v>C1a1~</v>
      </c>
      <c r="M827" s="89" t="s">
        <v>1419</v>
      </c>
      <c r="N827" s="89" t="s">
        <v>1420</v>
      </c>
      <c r="O827" s="92">
        <v>1.5571113E7</v>
      </c>
      <c r="P827" s="92">
        <v>1.3459233E7</v>
      </c>
      <c r="Q827" s="89" t="s">
        <v>810</v>
      </c>
      <c r="AF827" s="1"/>
      <c r="AG827" s="1"/>
    </row>
    <row r="828" ht="15.75" customHeight="1">
      <c r="A828" s="1"/>
      <c r="B828" s="1"/>
      <c r="C828" s="1"/>
      <c r="D828" s="1"/>
      <c r="E828" s="1"/>
      <c r="F828" s="1"/>
      <c r="G828" s="1"/>
      <c r="H828" s="1"/>
      <c r="I828" s="1"/>
      <c r="J828" s="1"/>
      <c r="K828" s="89" t="s">
        <v>1419</v>
      </c>
      <c r="L828" s="89" t="str">
        <f>D35</f>
        <v>C1a1~</v>
      </c>
      <c r="M828" s="89" t="s">
        <v>1418</v>
      </c>
      <c r="N828" s="89" t="s">
        <v>1420</v>
      </c>
      <c r="O828" s="92">
        <v>1.5571113E7</v>
      </c>
      <c r="P828" s="92">
        <v>1.3459233E7</v>
      </c>
      <c r="Q828" s="89" t="s">
        <v>810</v>
      </c>
      <c r="AF828" s="1"/>
      <c r="AG828" s="1"/>
    </row>
    <row r="829" ht="15.75" customHeight="1">
      <c r="A829" s="1"/>
      <c r="B829" s="1"/>
      <c r="C829" s="1"/>
      <c r="D829" s="1"/>
      <c r="E829" s="1"/>
      <c r="F829" s="1"/>
      <c r="G829" s="1"/>
      <c r="H829" s="1"/>
      <c r="I829" s="1"/>
      <c r="J829" s="1"/>
      <c r="K829" s="89" t="s">
        <v>1421</v>
      </c>
      <c r="L829" s="89" t="str">
        <f>D35</f>
        <v>C1a1~</v>
      </c>
      <c r="M829" s="89"/>
      <c r="N829" s="89" t="s">
        <v>1422</v>
      </c>
      <c r="O829" s="92">
        <v>1.5578401E7</v>
      </c>
      <c r="P829" s="92">
        <v>1.3466521E7</v>
      </c>
      <c r="Q829" s="89" t="s">
        <v>838</v>
      </c>
      <c r="AF829" s="1"/>
      <c r="AG829" s="1"/>
    </row>
    <row r="830" ht="15.75" customHeight="1">
      <c r="A830" s="1"/>
      <c r="B830" s="1"/>
      <c r="C830" s="1"/>
      <c r="D830" s="1"/>
      <c r="E830" s="1"/>
      <c r="F830" s="1"/>
      <c r="G830" s="1"/>
      <c r="H830" s="1"/>
      <c r="I830" s="1"/>
      <c r="J830" s="1"/>
      <c r="K830" s="89" t="s">
        <v>1423</v>
      </c>
      <c r="L830" s="89" t="str">
        <f>D35</f>
        <v>C1a1~</v>
      </c>
      <c r="M830" s="89"/>
      <c r="N830" s="89" t="s">
        <v>1424</v>
      </c>
      <c r="O830" s="92">
        <v>1.5767235E7</v>
      </c>
      <c r="P830" s="92">
        <v>1.3655355E7</v>
      </c>
      <c r="Q830" s="89" t="s">
        <v>810</v>
      </c>
      <c r="AF830" s="1"/>
      <c r="AG830" s="1"/>
    </row>
    <row r="831" ht="15.75" customHeight="1">
      <c r="A831" s="1"/>
      <c r="B831" s="1"/>
      <c r="C831" s="1"/>
      <c r="D831" s="1"/>
      <c r="E831" s="1"/>
      <c r="F831" s="1"/>
      <c r="G831" s="1"/>
      <c r="H831" s="1"/>
      <c r="I831" s="1"/>
      <c r="J831" s="1"/>
      <c r="K831" s="89" t="s">
        <v>1425</v>
      </c>
      <c r="L831" s="89" t="str">
        <f>D35</f>
        <v>C1a1~</v>
      </c>
      <c r="M831" s="89" t="s">
        <v>1426</v>
      </c>
      <c r="N831" s="89" t="s">
        <v>1427</v>
      </c>
      <c r="O831" s="92">
        <v>1.5845034E7</v>
      </c>
      <c r="P831" s="92">
        <v>1.3733154E7</v>
      </c>
      <c r="Q831" s="89" t="s">
        <v>838</v>
      </c>
      <c r="AF831" s="1"/>
      <c r="AG831" s="1"/>
    </row>
    <row r="832" ht="15.75" customHeight="1">
      <c r="A832" s="1"/>
      <c r="B832" s="1"/>
      <c r="C832" s="1"/>
      <c r="D832" s="1"/>
      <c r="E832" s="1"/>
      <c r="F832" s="1"/>
      <c r="G832" s="1"/>
      <c r="H832" s="1"/>
      <c r="I832" s="1"/>
      <c r="J832" s="1"/>
      <c r="K832" s="89" t="s">
        <v>1426</v>
      </c>
      <c r="L832" s="89" t="str">
        <f>D35</f>
        <v>C1a1~</v>
      </c>
      <c r="M832" s="89" t="s">
        <v>1425</v>
      </c>
      <c r="N832" s="89" t="s">
        <v>1427</v>
      </c>
      <c r="O832" s="92">
        <v>1.5845034E7</v>
      </c>
      <c r="P832" s="92">
        <v>1.3733154E7</v>
      </c>
      <c r="Q832" s="89" t="s">
        <v>838</v>
      </c>
      <c r="AF832" s="1"/>
      <c r="AG832" s="1"/>
    </row>
    <row r="833" ht="15.75" customHeight="1">
      <c r="A833" s="1"/>
      <c r="B833" s="1"/>
      <c r="C833" s="1"/>
      <c r="D833" s="1"/>
      <c r="E833" s="1"/>
      <c r="F833" s="1"/>
      <c r="G833" s="1"/>
      <c r="H833" s="1"/>
      <c r="I833" s="1"/>
      <c r="J833" s="1"/>
      <c r="K833" s="89" t="s">
        <v>1428</v>
      </c>
      <c r="L833" s="89" t="str">
        <f>D35</f>
        <v>C1a1~</v>
      </c>
      <c r="M833" s="89"/>
      <c r="N833" s="89" t="s">
        <v>1429</v>
      </c>
      <c r="O833" s="92">
        <v>1.587939E7</v>
      </c>
      <c r="P833" s="92">
        <v>1.376751E7</v>
      </c>
      <c r="Q833" s="89" t="s">
        <v>802</v>
      </c>
      <c r="AF833" s="1"/>
      <c r="AG833" s="1"/>
    </row>
    <row r="834" ht="15.75" customHeight="1">
      <c r="A834" s="1"/>
      <c r="B834" s="1"/>
      <c r="C834" s="1"/>
      <c r="D834" s="1"/>
      <c r="E834" s="1"/>
      <c r="F834" s="1"/>
      <c r="G834" s="1"/>
      <c r="H834" s="1"/>
      <c r="I834" s="1"/>
      <c r="J834" s="1"/>
      <c r="K834" s="89" t="s">
        <v>1430</v>
      </c>
      <c r="L834" s="89" t="str">
        <f>D35</f>
        <v>C1a1~</v>
      </c>
      <c r="M834" s="89"/>
      <c r="N834" s="89" t="s">
        <v>1431</v>
      </c>
      <c r="O834" s="92">
        <v>1.5957713E7</v>
      </c>
      <c r="P834" s="92">
        <v>1.3845833E7</v>
      </c>
      <c r="Q834" s="89" t="s">
        <v>838</v>
      </c>
      <c r="AF834" s="1"/>
      <c r="AG834" s="1"/>
    </row>
    <row r="835" ht="15.75" customHeight="1">
      <c r="A835" s="1"/>
      <c r="B835" s="1"/>
      <c r="C835" s="1"/>
      <c r="D835" s="1"/>
      <c r="E835" s="1"/>
      <c r="F835" s="1"/>
      <c r="G835" s="1"/>
      <c r="H835" s="1"/>
      <c r="I835" s="1"/>
      <c r="J835" s="1"/>
      <c r="K835" s="89" t="s">
        <v>1432</v>
      </c>
      <c r="L835" s="89" t="str">
        <f>D35</f>
        <v>C1a1~</v>
      </c>
      <c r="M835" s="89"/>
      <c r="N835" s="89" t="s">
        <v>1433</v>
      </c>
      <c r="O835" s="92">
        <v>1.6086207E7</v>
      </c>
      <c r="P835" s="92">
        <v>1.3974327E7</v>
      </c>
      <c r="Q835" s="89" t="s">
        <v>822</v>
      </c>
      <c r="AF835" s="1"/>
      <c r="AG835" s="1"/>
    </row>
    <row r="836" ht="15.75" customHeight="1">
      <c r="A836" s="1"/>
      <c r="B836" s="1"/>
      <c r="C836" s="1"/>
      <c r="D836" s="1"/>
      <c r="E836" s="1"/>
      <c r="F836" s="1"/>
      <c r="G836" s="1"/>
      <c r="H836" s="1"/>
      <c r="I836" s="1"/>
      <c r="J836" s="1"/>
      <c r="K836" s="89" t="s">
        <v>1434</v>
      </c>
      <c r="L836" s="89" t="str">
        <f>D35</f>
        <v>C1a1~</v>
      </c>
      <c r="M836" s="89" t="s">
        <v>1435</v>
      </c>
      <c r="N836" s="89" t="s">
        <v>1436</v>
      </c>
      <c r="O836" s="92">
        <v>1.6200761E7</v>
      </c>
      <c r="P836" s="92">
        <v>1.4088881E7</v>
      </c>
      <c r="Q836" s="89" t="s">
        <v>822</v>
      </c>
      <c r="AF836" s="1"/>
      <c r="AG836" s="1"/>
    </row>
    <row r="837" ht="15.75" customHeight="1">
      <c r="A837" s="1"/>
      <c r="B837" s="1"/>
      <c r="C837" s="1"/>
      <c r="D837" s="1"/>
      <c r="E837" s="1"/>
      <c r="F837" s="1"/>
      <c r="G837" s="1"/>
      <c r="H837" s="1"/>
      <c r="I837" s="1"/>
      <c r="J837" s="1"/>
      <c r="K837" s="89" t="s">
        <v>1435</v>
      </c>
      <c r="L837" s="89" t="str">
        <f>D35</f>
        <v>C1a1~</v>
      </c>
      <c r="M837" s="89" t="s">
        <v>1434</v>
      </c>
      <c r="N837" s="89" t="s">
        <v>1436</v>
      </c>
      <c r="O837" s="92">
        <v>1.6200761E7</v>
      </c>
      <c r="P837" s="92">
        <v>1.4088881E7</v>
      </c>
      <c r="Q837" s="89" t="s">
        <v>822</v>
      </c>
      <c r="AF837" s="1"/>
      <c r="AG837" s="1"/>
    </row>
    <row r="838" ht="15.75" customHeight="1">
      <c r="A838" s="1"/>
      <c r="B838" s="1"/>
      <c r="C838" s="1"/>
      <c r="D838" s="1"/>
      <c r="E838" s="1"/>
      <c r="F838" s="1"/>
      <c r="G838" s="1"/>
      <c r="H838" s="1"/>
      <c r="I838" s="1"/>
      <c r="J838" s="1"/>
      <c r="K838" s="89" t="s">
        <v>1437</v>
      </c>
      <c r="L838" s="89" t="str">
        <f>D35</f>
        <v>C1a1~</v>
      </c>
      <c r="M838" s="89"/>
      <c r="N838" s="89" t="s">
        <v>1438</v>
      </c>
      <c r="O838" s="92">
        <v>1.6250828E7</v>
      </c>
      <c r="P838" s="92">
        <v>1.4138948E7</v>
      </c>
      <c r="Q838" s="89" t="s">
        <v>802</v>
      </c>
      <c r="AF838" s="1"/>
      <c r="AG838" s="1"/>
    </row>
    <row r="839" ht="15.75" customHeight="1">
      <c r="A839" s="1"/>
      <c r="B839" s="1"/>
      <c r="C839" s="1"/>
      <c r="D839" s="1"/>
      <c r="E839" s="1"/>
      <c r="F839" s="1"/>
      <c r="G839" s="1"/>
      <c r="H839" s="1"/>
      <c r="I839" s="1"/>
      <c r="J839" s="1"/>
      <c r="K839" s="89" t="s">
        <v>1439</v>
      </c>
      <c r="L839" s="89" t="str">
        <f>D35</f>
        <v>C1a1~</v>
      </c>
      <c r="M839" s="89" t="s">
        <v>1440</v>
      </c>
      <c r="N839" s="89" t="s">
        <v>1441</v>
      </c>
      <c r="O839" s="92">
        <v>1.6484636E7</v>
      </c>
      <c r="P839" s="92">
        <v>1.4372756E7</v>
      </c>
      <c r="Q839" s="89" t="s">
        <v>810</v>
      </c>
      <c r="AF839" s="1"/>
      <c r="AG839" s="1"/>
    </row>
    <row r="840" ht="15.75" customHeight="1">
      <c r="A840" s="1"/>
      <c r="B840" s="1"/>
      <c r="C840" s="1"/>
      <c r="D840" s="1"/>
      <c r="E840" s="1"/>
      <c r="F840" s="1"/>
      <c r="G840" s="1"/>
      <c r="H840" s="1"/>
      <c r="I840" s="1"/>
      <c r="J840" s="1"/>
      <c r="K840" s="89" t="s">
        <v>1440</v>
      </c>
      <c r="L840" s="89" t="str">
        <f>D35</f>
        <v>C1a1~</v>
      </c>
      <c r="M840" s="89" t="s">
        <v>1439</v>
      </c>
      <c r="N840" s="89" t="s">
        <v>1441</v>
      </c>
      <c r="O840" s="92">
        <v>1.6484636E7</v>
      </c>
      <c r="P840" s="92">
        <v>1.4372756E7</v>
      </c>
      <c r="Q840" s="89" t="s">
        <v>810</v>
      </c>
      <c r="AF840" s="1"/>
      <c r="AG840" s="1"/>
    </row>
    <row r="841" ht="15.75" customHeight="1">
      <c r="A841" s="1"/>
      <c r="B841" s="1"/>
      <c r="C841" s="1"/>
      <c r="D841" s="1"/>
      <c r="E841" s="1"/>
      <c r="F841" s="1"/>
      <c r="G841" s="1"/>
      <c r="H841" s="1"/>
      <c r="I841" s="1"/>
      <c r="J841" s="1"/>
      <c r="K841" s="89" t="s">
        <v>1442</v>
      </c>
      <c r="L841" s="89" t="str">
        <f>D35</f>
        <v>C1a1~</v>
      </c>
      <c r="M841" s="89"/>
      <c r="N841" s="89" t="s">
        <v>1443</v>
      </c>
      <c r="O841" s="92">
        <v>1.6486653E7</v>
      </c>
      <c r="P841" s="92">
        <v>1.4374773E7</v>
      </c>
      <c r="Q841" s="89" t="s">
        <v>917</v>
      </c>
      <c r="AF841" s="1"/>
      <c r="AG841" s="1"/>
    </row>
    <row r="842" ht="15.75" customHeight="1">
      <c r="A842" s="1"/>
      <c r="B842" s="1"/>
      <c r="C842" s="1"/>
      <c r="D842" s="1"/>
      <c r="E842" s="1"/>
      <c r="F842" s="1"/>
      <c r="G842" s="1"/>
      <c r="H842" s="1"/>
      <c r="I842" s="1"/>
      <c r="J842" s="1"/>
      <c r="K842" s="89" t="s">
        <v>1444</v>
      </c>
      <c r="L842" s="89" t="str">
        <f>D35</f>
        <v>C1a1~</v>
      </c>
      <c r="M842" s="89"/>
      <c r="N842" s="89" t="s">
        <v>1445</v>
      </c>
      <c r="O842" s="92">
        <v>1.668285E7</v>
      </c>
      <c r="P842" s="92">
        <v>1.457097E7</v>
      </c>
      <c r="Q842" s="89" t="s">
        <v>810</v>
      </c>
      <c r="AF842" s="1"/>
      <c r="AG842" s="1"/>
    </row>
    <row r="843" ht="15.75" customHeight="1">
      <c r="A843" s="1"/>
      <c r="B843" s="1"/>
      <c r="C843" s="1"/>
      <c r="D843" s="1"/>
      <c r="E843" s="1"/>
      <c r="F843" s="1"/>
      <c r="G843" s="1"/>
      <c r="H843" s="1"/>
      <c r="I843" s="1"/>
      <c r="J843" s="1"/>
      <c r="K843" s="89" t="s">
        <v>1446</v>
      </c>
      <c r="L843" s="89" t="str">
        <f>D35</f>
        <v>C1a1~</v>
      </c>
      <c r="M843" s="89"/>
      <c r="N843" s="89" t="s">
        <v>1447</v>
      </c>
      <c r="O843" s="92">
        <v>1.6831139E7</v>
      </c>
      <c r="P843" s="92">
        <v>1.4719259E7</v>
      </c>
      <c r="Q843" s="89" t="s">
        <v>831</v>
      </c>
      <c r="AF843" s="1"/>
      <c r="AG843" s="1"/>
    </row>
    <row r="844" ht="15.75" customHeight="1">
      <c r="A844" s="1"/>
      <c r="B844" s="1"/>
      <c r="C844" s="1"/>
      <c r="D844" s="1"/>
      <c r="E844" s="1"/>
      <c r="F844" s="1"/>
      <c r="G844" s="1"/>
      <c r="H844" s="1"/>
      <c r="I844" s="1"/>
      <c r="J844" s="1"/>
      <c r="K844" s="89" t="s">
        <v>1448</v>
      </c>
      <c r="L844" s="89" t="str">
        <f>D35</f>
        <v>C1a1~</v>
      </c>
      <c r="M844" s="89"/>
      <c r="N844" s="89" t="s">
        <v>1449</v>
      </c>
      <c r="O844" s="92">
        <v>1.6565859E7</v>
      </c>
      <c r="P844" s="92">
        <v>1.4453979E7</v>
      </c>
      <c r="Q844" s="89" t="s">
        <v>886</v>
      </c>
      <c r="AF844" s="1"/>
      <c r="AG844" s="1"/>
    </row>
    <row r="845" ht="15.75" customHeight="1">
      <c r="A845" s="1"/>
      <c r="B845" s="1"/>
      <c r="C845" s="1"/>
      <c r="D845" s="1"/>
      <c r="E845" s="1"/>
      <c r="F845" s="1"/>
      <c r="G845" s="1"/>
      <c r="H845" s="1"/>
      <c r="I845" s="1"/>
      <c r="J845" s="1"/>
      <c r="K845" s="89" t="s">
        <v>1450</v>
      </c>
      <c r="L845" s="89" t="str">
        <f>D35</f>
        <v>C1a1~</v>
      </c>
      <c r="M845" s="89" t="s">
        <v>1451</v>
      </c>
      <c r="N845" s="89" t="s">
        <v>1452</v>
      </c>
      <c r="O845" s="92">
        <v>1.6700295E7</v>
      </c>
      <c r="P845" s="92">
        <v>1.4588415E7</v>
      </c>
      <c r="Q845" s="89" t="s">
        <v>838</v>
      </c>
      <c r="AF845" s="1"/>
      <c r="AG845" s="1"/>
    </row>
    <row r="846" ht="15.75" customHeight="1">
      <c r="A846" s="1"/>
      <c r="B846" s="1"/>
      <c r="C846" s="1"/>
      <c r="D846" s="1"/>
      <c r="E846" s="1"/>
      <c r="F846" s="1"/>
      <c r="G846" s="1"/>
      <c r="H846" s="1"/>
      <c r="I846" s="1"/>
      <c r="J846" s="1"/>
      <c r="K846" s="89" t="s">
        <v>1451</v>
      </c>
      <c r="L846" s="89" t="str">
        <f>D35</f>
        <v>C1a1~</v>
      </c>
      <c r="M846" s="89" t="s">
        <v>1450</v>
      </c>
      <c r="N846" s="89" t="s">
        <v>1452</v>
      </c>
      <c r="O846" s="92">
        <v>1.6700295E7</v>
      </c>
      <c r="P846" s="92">
        <v>1.4588415E7</v>
      </c>
      <c r="Q846" s="89" t="s">
        <v>838</v>
      </c>
      <c r="AF846" s="1"/>
      <c r="AG846" s="1"/>
    </row>
    <row r="847" ht="15.75" customHeight="1">
      <c r="A847" s="1"/>
      <c r="B847" s="1"/>
      <c r="C847" s="1"/>
      <c r="D847" s="1"/>
      <c r="E847" s="1"/>
      <c r="F847" s="1"/>
      <c r="G847" s="1"/>
      <c r="H847" s="1"/>
      <c r="I847" s="1"/>
      <c r="J847" s="1"/>
      <c r="K847" s="89" t="s">
        <v>1453</v>
      </c>
      <c r="L847" s="89" t="str">
        <f>D35</f>
        <v>C1a1~</v>
      </c>
      <c r="M847" s="89"/>
      <c r="N847" s="89" t="s">
        <v>1454</v>
      </c>
      <c r="O847" s="92">
        <v>1.7049317E7</v>
      </c>
      <c r="P847" s="92">
        <v>1.4937437E7</v>
      </c>
      <c r="Q847" s="89" t="s">
        <v>912</v>
      </c>
      <c r="AF847" s="1"/>
      <c r="AG847" s="1"/>
    </row>
    <row r="848" ht="15.75" customHeight="1">
      <c r="A848" s="1"/>
      <c r="B848" s="1"/>
      <c r="C848" s="1"/>
      <c r="D848" s="1"/>
      <c r="E848" s="1"/>
      <c r="F848" s="1"/>
      <c r="G848" s="1"/>
      <c r="H848" s="1"/>
      <c r="I848" s="1"/>
      <c r="J848" s="1"/>
      <c r="K848" s="89" t="s">
        <v>1455</v>
      </c>
      <c r="L848" s="89" t="str">
        <f>D35</f>
        <v>C1a1~</v>
      </c>
      <c r="M848" s="89" t="s">
        <v>1456</v>
      </c>
      <c r="N848" s="89" t="s">
        <v>1457</v>
      </c>
      <c r="O848" s="92">
        <v>1.7287913E7</v>
      </c>
      <c r="P848" s="92">
        <v>1.5176033E7</v>
      </c>
      <c r="Q848" s="89" t="s">
        <v>838</v>
      </c>
      <c r="AF848" s="1"/>
      <c r="AG848" s="1"/>
    </row>
    <row r="849" ht="15.75" customHeight="1">
      <c r="A849" s="1"/>
      <c r="B849" s="1"/>
      <c r="C849" s="1"/>
      <c r="D849" s="1"/>
      <c r="E849" s="1"/>
      <c r="F849" s="1"/>
      <c r="G849" s="1"/>
      <c r="H849" s="1"/>
      <c r="I849" s="1"/>
      <c r="J849" s="1"/>
      <c r="K849" s="89" t="s">
        <v>1456</v>
      </c>
      <c r="L849" s="89" t="str">
        <f>D35</f>
        <v>C1a1~</v>
      </c>
      <c r="M849" s="89" t="s">
        <v>1455</v>
      </c>
      <c r="N849" s="89" t="s">
        <v>1457</v>
      </c>
      <c r="O849" s="92">
        <v>1.7287913E7</v>
      </c>
      <c r="P849" s="92">
        <v>1.5176033E7</v>
      </c>
      <c r="Q849" s="89" t="s">
        <v>838</v>
      </c>
      <c r="AF849" s="1"/>
      <c r="AG849" s="1"/>
    </row>
    <row r="850" ht="15.75" customHeight="1">
      <c r="A850" s="1"/>
      <c r="B850" s="1"/>
      <c r="C850" s="1"/>
      <c r="D850" s="1"/>
      <c r="E850" s="1"/>
      <c r="F850" s="1"/>
      <c r="G850" s="1"/>
      <c r="H850" s="1"/>
      <c r="I850" s="1"/>
      <c r="J850" s="1"/>
      <c r="K850" s="89" t="s">
        <v>1458</v>
      </c>
      <c r="L850" s="89" t="str">
        <f>D35</f>
        <v>C1a1~</v>
      </c>
      <c r="M850" s="89"/>
      <c r="N850" s="89" t="s">
        <v>1459</v>
      </c>
      <c r="O850" s="92">
        <v>1.7401403E7</v>
      </c>
      <c r="P850" s="92">
        <v>1.5289523E7</v>
      </c>
      <c r="Q850" s="89" t="s">
        <v>813</v>
      </c>
      <c r="AF850" s="1"/>
      <c r="AG850" s="1"/>
    </row>
    <row r="851" ht="15.75" customHeight="1">
      <c r="A851" s="1"/>
      <c r="B851" s="1"/>
      <c r="C851" s="1"/>
      <c r="D851" s="1"/>
      <c r="E851" s="1"/>
      <c r="F851" s="1"/>
      <c r="G851" s="1"/>
      <c r="H851" s="1"/>
      <c r="I851" s="1"/>
      <c r="J851" s="1"/>
      <c r="K851" s="89" t="s">
        <v>1460</v>
      </c>
      <c r="L851" s="89" t="str">
        <f>D35</f>
        <v>C1a1~</v>
      </c>
      <c r="M851" s="89" t="s">
        <v>1461</v>
      </c>
      <c r="N851" s="89" t="s">
        <v>1462</v>
      </c>
      <c r="O851" s="92">
        <v>1.7525078E7</v>
      </c>
      <c r="P851" s="92">
        <v>1.5413198E7</v>
      </c>
      <c r="Q851" s="89" t="s">
        <v>813</v>
      </c>
      <c r="AF851" s="1"/>
      <c r="AG851" s="1"/>
    </row>
    <row r="852" ht="15.75" customHeight="1">
      <c r="A852" s="1"/>
      <c r="B852" s="1"/>
      <c r="C852" s="1"/>
      <c r="D852" s="1"/>
      <c r="E852" s="1"/>
      <c r="F852" s="1"/>
      <c r="G852" s="1"/>
      <c r="H852" s="1"/>
      <c r="I852" s="1"/>
      <c r="J852" s="1"/>
      <c r="K852" s="89" t="s">
        <v>1461</v>
      </c>
      <c r="L852" s="89" t="str">
        <f>D35</f>
        <v>C1a1~</v>
      </c>
      <c r="M852" s="89" t="s">
        <v>1460</v>
      </c>
      <c r="N852" s="89" t="s">
        <v>1462</v>
      </c>
      <c r="O852" s="92">
        <v>1.7525078E7</v>
      </c>
      <c r="P852" s="92">
        <v>1.5413198E7</v>
      </c>
      <c r="Q852" s="89" t="s">
        <v>813</v>
      </c>
      <c r="AF852" s="1"/>
      <c r="AG852" s="1"/>
    </row>
    <row r="853" ht="15.75" customHeight="1">
      <c r="A853" s="1"/>
      <c r="B853" s="1"/>
      <c r="C853" s="1"/>
      <c r="D853" s="1"/>
      <c r="E853" s="1"/>
      <c r="F853" s="1"/>
      <c r="G853" s="1"/>
      <c r="H853" s="1"/>
      <c r="I853" s="1"/>
      <c r="J853" s="1"/>
      <c r="K853" s="89" t="s">
        <v>1463</v>
      </c>
      <c r="L853" s="89" t="str">
        <f>D35</f>
        <v>C1a1~</v>
      </c>
      <c r="M853" s="89"/>
      <c r="N853" s="89" t="s">
        <v>1464</v>
      </c>
      <c r="O853" s="92">
        <v>1.7628664E7</v>
      </c>
      <c r="P853" s="92">
        <v>1.5516784E7</v>
      </c>
      <c r="Q853" s="89" t="s">
        <v>813</v>
      </c>
      <c r="AF853" s="1"/>
      <c r="AG853" s="1"/>
    </row>
    <row r="854" ht="15.75" customHeight="1">
      <c r="A854" s="1"/>
      <c r="B854" s="1"/>
      <c r="C854" s="1"/>
      <c r="D854" s="1"/>
      <c r="E854" s="1"/>
      <c r="F854" s="1"/>
      <c r="G854" s="1"/>
      <c r="H854" s="1"/>
      <c r="I854" s="1"/>
      <c r="J854" s="1"/>
      <c r="K854" s="89" t="s">
        <v>1465</v>
      </c>
      <c r="L854" s="89" t="str">
        <f>D35</f>
        <v>C1a1~</v>
      </c>
      <c r="M854" s="89" t="s">
        <v>1466</v>
      </c>
      <c r="N854" s="89" t="s">
        <v>1467</v>
      </c>
      <c r="O854" s="92">
        <v>1.7676845E7</v>
      </c>
      <c r="P854" s="92">
        <v>1.5564965E7</v>
      </c>
      <c r="Q854" s="89" t="s">
        <v>831</v>
      </c>
      <c r="AF854" s="1"/>
      <c r="AG854" s="1"/>
    </row>
    <row r="855" ht="15.75" customHeight="1">
      <c r="A855" s="1"/>
      <c r="B855" s="1"/>
      <c r="C855" s="1"/>
      <c r="D855" s="1"/>
      <c r="E855" s="1"/>
      <c r="F855" s="1"/>
      <c r="G855" s="1"/>
      <c r="H855" s="1"/>
      <c r="I855" s="1"/>
      <c r="J855" s="1"/>
      <c r="K855" s="89" t="s">
        <v>1466</v>
      </c>
      <c r="L855" s="89" t="str">
        <f>D35</f>
        <v>C1a1~</v>
      </c>
      <c r="M855" s="89" t="s">
        <v>1465</v>
      </c>
      <c r="N855" s="89" t="s">
        <v>1467</v>
      </c>
      <c r="O855" s="92">
        <v>1.7676845E7</v>
      </c>
      <c r="P855" s="92">
        <v>1.5564965E7</v>
      </c>
      <c r="Q855" s="89" t="s">
        <v>831</v>
      </c>
      <c r="AF855" s="1"/>
      <c r="AG855" s="1"/>
    </row>
    <row r="856" ht="15.75" customHeight="1">
      <c r="A856" s="1"/>
      <c r="B856" s="1"/>
      <c r="C856" s="1"/>
      <c r="D856" s="1"/>
      <c r="E856" s="1"/>
      <c r="F856" s="1"/>
      <c r="G856" s="1"/>
      <c r="H856" s="1"/>
      <c r="I856" s="1"/>
      <c r="J856" s="1"/>
      <c r="K856" s="89" t="s">
        <v>1468</v>
      </c>
      <c r="L856" s="89" t="str">
        <f>D35</f>
        <v>C1a1~</v>
      </c>
      <c r="M856" s="89" t="s">
        <v>1469</v>
      </c>
      <c r="N856" s="89" t="s">
        <v>1470</v>
      </c>
      <c r="O856" s="92">
        <v>1.7760741E7</v>
      </c>
      <c r="P856" s="92">
        <v>1.5648861E7</v>
      </c>
      <c r="Q856" s="89" t="s">
        <v>845</v>
      </c>
      <c r="AF856" s="1"/>
      <c r="AG856" s="1"/>
    </row>
    <row r="857" ht="15.75" customHeight="1">
      <c r="A857" s="1"/>
      <c r="B857" s="1"/>
      <c r="C857" s="1"/>
      <c r="D857" s="1"/>
      <c r="E857" s="1"/>
      <c r="F857" s="1"/>
      <c r="G857" s="1"/>
      <c r="H857" s="1"/>
      <c r="I857" s="1"/>
      <c r="J857" s="1"/>
      <c r="K857" s="89" t="s">
        <v>1469</v>
      </c>
      <c r="L857" s="89" t="str">
        <f>D35</f>
        <v>C1a1~</v>
      </c>
      <c r="M857" s="89" t="s">
        <v>1468</v>
      </c>
      <c r="N857" s="89" t="s">
        <v>1470</v>
      </c>
      <c r="O857" s="92">
        <v>1.7760741E7</v>
      </c>
      <c r="P857" s="92">
        <v>1.5648861E7</v>
      </c>
      <c r="Q857" s="89" t="s">
        <v>845</v>
      </c>
      <c r="AF857" s="1"/>
      <c r="AG857" s="1"/>
    </row>
    <row r="858" ht="15.75" customHeight="1">
      <c r="A858" s="1"/>
      <c r="B858" s="1"/>
      <c r="C858" s="1"/>
      <c r="D858" s="1"/>
      <c r="E858" s="1"/>
      <c r="F858" s="1"/>
      <c r="G858" s="1"/>
      <c r="H858" s="1"/>
      <c r="I858" s="1"/>
      <c r="J858" s="1"/>
      <c r="K858" s="89" t="s">
        <v>1471</v>
      </c>
      <c r="L858" s="89" t="str">
        <f>D35</f>
        <v>C1a1~</v>
      </c>
      <c r="M858" s="89"/>
      <c r="N858" s="89" t="s">
        <v>1472</v>
      </c>
      <c r="O858" s="92">
        <v>1.7881797E7</v>
      </c>
      <c r="P858" s="92">
        <v>1.5769917E7</v>
      </c>
      <c r="Q858" s="89" t="s">
        <v>822</v>
      </c>
      <c r="AF858" s="1"/>
      <c r="AG858" s="1"/>
    </row>
    <row r="859" ht="15.75" customHeight="1">
      <c r="A859" s="1"/>
      <c r="B859" s="1"/>
      <c r="C859" s="1"/>
      <c r="D859" s="1"/>
      <c r="E859" s="1"/>
      <c r="F859" s="1"/>
      <c r="G859" s="1"/>
      <c r="H859" s="1"/>
      <c r="I859" s="1"/>
      <c r="J859" s="1"/>
      <c r="K859" s="89" t="s">
        <v>1473</v>
      </c>
      <c r="L859" s="89" t="str">
        <f>D35</f>
        <v>C1a1~</v>
      </c>
      <c r="M859" s="89"/>
      <c r="N859" s="89" t="s">
        <v>1474</v>
      </c>
      <c r="O859" s="92">
        <v>1.7943698E7</v>
      </c>
      <c r="P859" s="92">
        <v>1.5831818E7</v>
      </c>
      <c r="Q859" s="89" t="s">
        <v>912</v>
      </c>
      <c r="AF859" s="1"/>
      <c r="AG859" s="1"/>
    </row>
    <row r="860" ht="15.75" customHeight="1">
      <c r="A860" s="1"/>
      <c r="B860" s="1"/>
      <c r="C860" s="1"/>
      <c r="D860" s="1"/>
      <c r="E860" s="1"/>
      <c r="F860" s="1"/>
      <c r="G860" s="1"/>
      <c r="H860" s="1"/>
      <c r="I860" s="1"/>
      <c r="J860" s="1"/>
      <c r="K860" s="89" t="s">
        <v>1475</v>
      </c>
      <c r="L860" s="89" t="str">
        <f>D35</f>
        <v>C1a1~</v>
      </c>
      <c r="M860" s="89"/>
      <c r="N860" s="89" t="s">
        <v>1476</v>
      </c>
      <c r="O860" s="92">
        <v>1.801807E7</v>
      </c>
      <c r="P860" s="92">
        <v>1.590619E7</v>
      </c>
      <c r="Q860" s="89" t="s">
        <v>912</v>
      </c>
      <c r="AF860" s="1"/>
      <c r="AG860" s="1"/>
    </row>
    <row r="861" ht="15.75" customHeight="1">
      <c r="A861" s="1"/>
      <c r="B861" s="1"/>
      <c r="C861" s="1"/>
      <c r="D861" s="1"/>
      <c r="E861" s="1"/>
      <c r="F861" s="1"/>
      <c r="G861" s="1"/>
      <c r="H861" s="1"/>
      <c r="I861" s="1"/>
      <c r="J861" s="1"/>
      <c r="K861" s="89" t="s">
        <v>1477</v>
      </c>
      <c r="L861" s="89" t="str">
        <f>D35</f>
        <v>C1a1~</v>
      </c>
      <c r="M861" s="89" t="s">
        <v>1478</v>
      </c>
      <c r="N861" s="89" t="s">
        <v>1479</v>
      </c>
      <c r="O861" s="92">
        <v>1.8063994E7</v>
      </c>
      <c r="P861" s="92">
        <v>1.5952114E7</v>
      </c>
      <c r="Q861" s="89" t="s">
        <v>838</v>
      </c>
      <c r="AF861" s="1"/>
      <c r="AG861" s="1"/>
    </row>
    <row r="862" ht="15.75" customHeight="1">
      <c r="A862" s="1"/>
      <c r="B862" s="1"/>
      <c r="C862" s="1"/>
      <c r="D862" s="1"/>
      <c r="E862" s="1"/>
      <c r="F862" s="1"/>
      <c r="G862" s="1"/>
      <c r="H862" s="1"/>
      <c r="I862" s="1"/>
      <c r="J862" s="1"/>
      <c r="K862" s="89" t="s">
        <v>1478</v>
      </c>
      <c r="L862" s="89" t="str">
        <f>D35</f>
        <v>C1a1~</v>
      </c>
      <c r="M862" s="89" t="s">
        <v>1477</v>
      </c>
      <c r="N862" s="89" t="s">
        <v>1479</v>
      </c>
      <c r="O862" s="92">
        <v>1.8063994E7</v>
      </c>
      <c r="P862" s="92">
        <v>1.5952114E7</v>
      </c>
      <c r="Q862" s="89" t="s">
        <v>838</v>
      </c>
      <c r="AF862" s="1"/>
      <c r="AG862" s="1"/>
    </row>
    <row r="863" ht="15.75" customHeight="1">
      <c r="A863" s="1"/>
      <c r="B863" s="1"/>
      <c r="C863" s="1"/>
      <c r="D863" s="1"/>
      <c r="E863" s="1"/>
      <c r="F863" s="1"/>
      <c r="G863" s="1"/>
      <c r="H863" s="1"/>
      <c r="I863" s="1"/>
      <c r="J863" s="1"/>
      <c r="K863" s="89" t="s">
        <v>1480</v>
      </c>
      <c r="L863" s="89" t="str">
        <f>D35</f>
        <v>C1a1~</v>
      </c>
      <c r="M863" s="89"/>
      <c r="N863" s="89" t="s">
        <v>1481</v>
      </c>
      <c r="O863" s="92">
        <v>1.8160178E7</v>
      </c>
      <c r="P863" s="92">
        <v>1.6048298E7</v>
      </c>
      <c r="Q863" s="89" t="s">
        <v>917</v>
      </c>
      <c r="AF863" s="1"/>
      <c r="AG863" s="1"/>
    </row>
    <row r="864" ht="15.75" customHeight="1">
      <c r="A864" s="1"/>
      <c r="B864" s="1"/>
      <c r="C864" s="1"/>
      <c r="D864" s="1"/>
      <c r="E864" s="1"/>
      <c r="F864" s="1"/>
      <c r="G864" s="1"/>
      <c r="H864" s="1"/>
      <c r="I864" s="1"/>
      <c r="J864" s="1"/>
      <c r="K864" s="89" t="s">
        <v>1482</v>
      </c>
      <c r="L864" s="89" t="str">
        <f>D35</f>
        <v>C1a1~</v>
      </c>
      <c r="M864" s="89"/>
      <c r="N864" s="89" t="s">
        <v>1483</v>
      </c>
      <c r="O864" s="92">
        <v>1.8193794E7</v>
      </c>
      <c r="P864" s="92">
        <v>1.6081914E7</v>
      </c>
      <c r="Q864" s="89" t="s">
        <v>810</v>
      </c>
      <c r="AF864" s="1"/>
      <c r="AG864" s="1"/>
    </row>
    <row r="865" ht="15.75" customHeight="1">
      <c r="A865" s="1"/>
      <c r="B865" s="1"/>
      <c r="C865" s="1"/>
      <c r="D865" s="1"/>
      <c r="E865" s="1"/>
      <c r="F865" s="1"/>
      <c r="G865" s="1"/>
      <c r="H865" s="1"/>
      <c r="I865" s="1"/>
      <c r="J865" s="1"/>
      <c r="K865" s="89" t="s">
        <v>1484</v>
      </c>
      <c r="L865" s="89" t="str">
        <f>D35</f>
        <v>C1a1~</v>
      </c>
      <c r="M865" s="89"/>
      <c r="N865" s="89" t="s">
        <v>1485</v>
      </c>
      <c r="O865" s="92">
        <v>1.821013E7</v>
      </c>
      <c r="P865" s="92">
        <v>1.609825E7</v>
      </c>
      <c r="Q865" s="89" t="s">
        <v>802</v>
      </c>
      <c r="AF865" s="1"/>
      <c r="AG865" s="1"/>
    </row>
    <row r="866" ht="15.75" customHeight="1">
      <c r="A866" s="1"/>
      <c r="B866" s="1"/>
      <c r="C866" s="1"/>
      <c r="D866" s="1"/>
      <c r="E866" s="1"/>
      <c r="F866" s="1"/>
      <c r="G866" s="1"/>
      <c r="H866" s="1"/>
      <c r="I866" s="1"/>
      <c r="J866" s="1"/>
      <c r="K866" s="89" t="s">
        <v>1486</v>
      </c>
      <c r="L866" s="89" t="str">
        <f>D35</f>
        <v>C1a1~</v>
      </c>
      <c r="M866" s="89"/>
      <c r="N866" s="89" t="s">
        <v>1487</v>
      </c>
      <c r="O866" s="92">
        <v>1.8255014E7</v>
      </c>
      <c r="P866" s="92">
        <v>1.6143134E7</v>
      </c>
      <c r="Q866" s="89" t="s">
        <v>845</v>
      </c>
      <c r="AF866" s="1"/>
      <c r="AG866" s="1"/>
    </row>
    <row r="867" ht="15.75" customHeight="1">
      <c r="A867" s="1"/>
      <c r="B867" s="1"/>
      <c r="C867" s="1"/>
      <c r="D867" s="1"/>
      <c r="E867" s="1"/>
      <c r="F867" s="1"/>
      <c r="G867" s="1"/>
      <c r="H867" s="1"/>
      <c r="I867" s="1"/>
      <c r="J867" s="1"/>
      <c r="K867" s="89" t="s">
        <v>1488</v>
      </c>
      <c r="L867" s="89" t="str">
        <f>D35</f>
        <v>C1a1~</v>
      </c>
      <c r="M867" s="89"/>
      <c r="N867" s="89" t="s">
        <v>1489</v>
      </c>
      <c r="O867" s="92">
        <v>1.869925E7</v>
      </c>
      <c r="P867" s="92">
        <v>1.658737E7</v>
      </c>
      <c r="Q867" s="89" t="s">
        <v>822</v>
      </c>
      <c r="AF867" s="1"/>
      <c r="AG867" s="1"/>
    </row>
    <row r="868" ht="15.75" customHeight="1">
      <c r="A868" s="1"/>
      <c r="B868" s="1"/>
      <c r="C868" s="1"/>
      <c r="D868" s="1"/>
      <c r="E868" s="1"/>
      <c r="F868" s="1"/>
      <c r="G868" s="1"/>
      <c r="H868" s="1"/>
      <c r="I868" s="1"/>
      <c r="J868" s="1"/>
      <c r="K868" s="89" t="s">
        <v>1490</v>
      </c>
      <c r="L868" s="89" t="str">
        <f>D35</f>
        <v>C1a1~</v>
      </c>
      <c r="M868" s="89" t="s">
        <v>1491</v>
      </c>
      <c r="N868" s="89" t="s">
        <v>1492</v>
      </c>
      <c r="O868" s="92">
        <v>1.8725148E7</v>
      </c>
      <c r="P868" s="92">
        <v>1.6613268E7</v>
      </c>
      <c r="Q868" s="89" t="s">
        <v>810</v>
      </c>
      <c r="AF868" s="1"/>
      <c r="AG868" s="1"/>
    </row>
    <row r="869" ht="15.75" customHeight="1">
      <c r="A869" s="1"/>
      <c r="B869" s="1"/>
      <c r="C869" s="1"/>
      <c r="D869" s="1"/>
      <c r="E869" s="1"/>
      <c r="F869" s="1"/>
      <c r="G869" s="1"/>
      <c r="H869" s="1"/>
      <c r="I869" s="1"/>
      <c r="J869" s="1"/>
      <c r="K869" s="89" t="s">
        <v>1491</v>
      </c>
      <c r="L869" s="89" t="str">
        <f>D35</f>
        <v>C1a1~</v>
      </c>
      <c r="M869" s="89" t="s">
        <v>1490</v>
      </c>
      <c r="N869" s="89" t="s">
        <v>1492</v>
      </c>
      <c r="O869" s="92">
        <v>1.8725148E7</v>
      </c>
      <c r="P869" s="92">
        <v>1.6613268E7</v>
      </c>
      <c r="Q869" s="89" t="s">
        <v>810</v>
      </c>
      <c r="AF869" s="1"/>
      <c r="AG869" s="1"/>
    </row>
    <row r="870" ht="15.75" customHeight="1">
      <c r="A870" s="1"/>
      <c r="B870" s="1"/>
      <c r="C870" s="1"/>
      <c r="D870" s="1"/>
      <c r="E870" s="1"/>
      <c r="F870" s="1"/>
      <c r="G870" s="1"/>
      <c r="H870" s="1"/>
      <c r="I870" s="1"/>
      <c r="J870" s="1"/>
      <c r="K870" s="89" t="s">
        <v>1493</v>
      </c>
      <c r="L870" s="89" t="str">
        <f>D35</f>
        <v>C1a1~</v>
      </c>
      <c r="M870" s="89"/>
      <c r="N870" s="89" t="s">
        <v>1494</v>
      </c>
      <c r="O870" s="92">
        <v>1.8759833E7</v>
      </c>
      <c r="P870" s="92">
        <v>1.6647953E7</v>
      </c>
      <c r="Q870" s="89" t="s">
        <v>810</v>
      </c>
      <c r="AF870" s="1"/>
      <c r="AG870" s="1"/>
    </row>
    <row r="871" ht="15.75" customHeight="1">
      <c r="A871" s="1"/>
      <c r="B871" s="1"/>
      <c r="C871" s="1"/>
      <c r="D871" s="1"/>
      <c r="E871" s="1"/>
      <c r="F871" s="1"/>
      <c r="G871" s="1"/>
      <c r="H871" s="1"/>
      <c r="I871" s="1"/>
      <c r="J871" s="1"/>
      <c r="K871" s="89" t="s">
        <v>1495</v>
      </c>
      <c r="L871" s="89" t="str">
        <f>D35</f>
        <v>C1a1~</v>
      </c>
      <c r="M871" s="89"/>
      <c r="N871" s="89" t="s">
        <v>1496</v>
      </c>
      <c r="O871" s="92">
        <v>1.8803903E7</v>
      </c>
      <c r="P871" s="92">
        <v>1.6692023E7</v>
      </c>
      <c r="Q871" s="89" t="s">
        <v>838</v>
      </c>
      <c r="AF871" s="1"/>
      <c r="AG871" s="1"/>
    </row>
    <row r="872" ht="15.75" customHeight="1">
      <c r="A872" s="1"/>
      <c r="B872" s="1"/>
      <c r="C872" s="1"/>
      <c r="D872" s="1"/>
      <c r="E872" s="1"/>
      <c r="F872" s="1"/>
      <c r="G872" s="1"/>
      <c r="H872" s="1"/>
      <c r="I872" s="1"/>
      <c r="J872" s="1"/>
      <c r="K872" s="89" t="s">
        <v>1497</v>
      </c>
      <c r="L872" s="89" t="str">
        <f>D35</f>
        <v>C1a1~</v>
      </c>
      <c r="M872" s="89"/>
      <c r="N872" s="89" t="s">
        <v>1498</v>
      </c>
      <c r="O872" s="92">
        <v>1.8843564E7</v>
      </c>
      <c r="P872" s="92">
        <v>1.6731684E7</v>
      </c>
      <c r="Q872" s="89" t="s">
        <v>838</v>
      </c>
      <c r="AF872" s="1"/>
      <c r="AG872" s="1"/>
    </row>
    <row r="873" ht="15.75" customHeight="1">
      <c r="A873" s="1"/>
      <c r="B873" s="1"/>
      <c r="C873" s="1"/>
      <c r="D873" s="1"/>
      <c r="E873" s="1"/>
      <c r="F873" s="1"/>
      <c r="G873" s="1"/>
      <c r="H873" s="1"/>
      <c r="I873" s="1"/>
      <c r="J873" s="1"/>
      <c r="K873" s="89" t="s">
        <v>1499</v>
      </c>
      <c r="L873" s="89" t="str">
        <f>D35</f>
        <v>C1a1~</v>
      </c>
      <c r="M873" s="89"/>
      <c r="N873" s="89" t="s">
        <v>1500</v>
      </c>
      <c r="O873" s="92">
        <v>1.8909165E7</v>
      </c>
      <c r="P873" s="92">
        <v>1.6797285E7</v>
      </c>
      <c r="Q873" s="89" t="s">
        <v>838</v>
      </c>
      <c r="AF873" s="1"/>
      <c r="AG873" s="1"/>
    </row>
    <row r="874" ht="15.75" customHeight="1">
      <c r="A874" s="1"/>
      <c r="B874" s="1"/>
      <c r="C874" s="1"/>
      <c r="D874" s="1"/>
      <c r="E874" s="1"/>
      <c r="F874" s="1"/>
      <c r="G874" s="1"/>
      <c r="H874" s="1"/>
      <c r="I874" s="1"/>
      <c r="J874" s="1"/>
      <c r="K874" s="89" t="s">
        <v>1501</v>
      </c>
      <c r="L874" s="89" t="str">
        <f>D35</f>
        <v>C1a1~</v>
      </c>
      <c r="M874" s="89"/>
      <c r="N874" s="89" t="s">
        <v>1502</v>
      </c>
      <c r="O874" s="92">
        <v>1.8919195E7</v>
      </c>
      <c r="P874" s="92">
        <v>1.6807315E7</v>
      </c>
      <c r="Q874" s="89" t="s">
        <v>822</v>
      </c>
      <c r="AF874" s="1"/>
      <c r="AG874" s="1"/>
    </row>
    <row r="875" ht="15.75" customHeight="1">
      <c r="A875" s="1"/>
      <c r="B875" s="1"/>
      <c r="C875" s="1"/>
      <c r="D875" s="1"/>
      <c r="E875" s="1"/>
      <c r="F875" s="1"/>
      <c r="G875" s="1"/>
      <c r="H875" s="1"/>
      <c r="I875" s="1"/>
      <c r="J875" s="1"/>
      <c r="K875" s="89" t="s">
        <v>1503</v>
      </c>
      <c r="L875" s="89" t="str">
        <f>D35</f>
        <v>C1a1~</v>
      </c>
      <c r="M875" s="89"/>
      <c r="N875" s="89" t="s">
        <v>1504</v>
      </c>
      <c r="O875" s="92">
        <v>1.8933787E7</v>
      </c>
      <c r="P875" s="92">
        <v>1.6821907E7</v>
      </c>
      <c r="Q875" s="89" t="s">
        <v>802</v>
      </c>
      <c r="AF875" s="1"/>
      <c r="AG875" s="1"/>
    </row>
    <row r="876" ht="15.75" customHeight="1">
      <c r="A876" s="1"/>
      <c r="B876" s="1"/>
      <c r="C876" s="1"/>
      <c r="D876" s="1"/>
      <c r="E876" s="1"/>
      <c r="F876" s="1"/>
      <c r="G876" s="1"/>
      <c r="H876" s="1"/>
      <c r="I876" s="1"/>
      <c r="J876" s="1"/>
      <c r="K876" s="89" t="s">
        <v>1505</v>
      </c>
      <c r="L876" s="89" t="str">
        <f>D35</f>
        <v>C1a1~</v>
      </c>
      <c r="M876" s="89" t="s">
        <v>1506</v>
      </c>
      <c r="N876" s="89" t="s">
        <v>1507</v>
      </c>
      <c r="O876" s="92">
        <v>1.8965237E7</v>
      </c>
      <c r="P876" s="92">
        <v>1.6853357E7</v>
      </c>
      <c r="Q876" s="89" t="s">
        <v>879</v>
      </c>
      <c r="AF876" s="1"/>
      <c r="AG876" s="1"/>
    </row>
    <row r="877" ht="15.75" customHeight="1">
      <c r="A877" s="1"/>
      <c r="B877" s="1"/>
      <c r="C877" s="1"/>
      <c r="D877" s="1"/>
      <c r="E877" s="1"/>
      <c r="F877" s="1"/>
      <c r="G877" s="1"/>
      <c r="H877" s="1"/>
      <c r="I877" s="1"/>
      <c r="J877" s="1"/>
      <c r="K877" s="89" t="s">
        <v>1506</v>
      </c>
      <c r="L877" s="89" t="str">
        <f>D35</f>
        <v>C1a1~</v>
      </c>
      <c r="M877" s="89" t="s">
        <v>1505</v>
      </c>
      <c r="N877" s="89" t="s">
        <v>1507</v>
      </c>
      <c r="O877" s="92">
        <v>1.8965237E7</v>
      </c>
      <c r="P877" s="92">
        <v>1.6853357E7</v>
      </c>
      <c r="Q877" s="89" t="s">
        <v>879</v>
      </c>
      <c r="AF877" s="1"/>
      <c r="AG877" s="1"/>
    </row>
    <row r="878" ht="15.75" customHeight="1">
      <c r="A878" s="1"/>
      <c r="B878" s="1"/>
      <c r="C878" s="1"/>
      <c r="D878" s="1"/>
      <c r="E878" s="1"/>
      <c r="F878" s="1"/>
      <c r="G878" s="1"/>
      <c r="H878" s="1"/>
      <c r="I878" s="1"/>
      <c r="J878" s="1"/>
      <c r="K878" s="89" t="s">
        <v>1508</v>
      </c>
      <c r="L878" s="89" t="str">
        <f>D35</f>
        <v>C1a1~</v>
      </c>
      <c r="M878" s="89"/>
      <c r="N878" s="89" t="s">
        <v>1509</v>
      </c>
      <c r="O878" s="92">
        <v>1.8992956E7</v>
      </c>
      <c r="P878" s="92">
        <v>1.6881076E7</v>
      </c>
      <c r="Q878" s="89" t="s">
        <v>838</v>
      </c>
      <c r="AF878" s="1"/>
      <c r="AG878" s="1"/>
    </row>
    <row r="879" ht="15.75" customHeight="1">
      <c r="A879" s="1"/>
      <c r="B879" s="1"/>
      <c r="C879" s="1"/>
      <c r="D879" s="1"/>
      <c r="E879" s="1"/>
      <c r="F879" s="1"/>
      <c r="G879" s="1"/>
      <c r="H879" s="1"/>
      <c r="I879" s="1"/>
      <c r="J879" s="1"/>
      <c r="K879" s="89" t="s">
        <v>1510</v>
      </c>
      <c r="L879" s="89" t="str">
        <f>D35</f>
        <v>C1a1~</v>
      </c>
      <c r="M879" s="89"/>
      <c r="N879" s="89" t="s">
        <v>1511</v>
      </c>
      <c r="O879" s="92">
        <v>1.9152368E7</v>
      </c>
      <c r="P879" s="92">
        <v>1.7040488E7</v>
      </c>
      <c r="Q879" s="89" t="s">
        <v>802</v>
      </c>
      <c r="AF879" s="1"/>
      <c r="AG879" s="1"/>
    </row>
    <row r="880" ht="15.75" customHeight="1">
      <c r="A880" s="1"/>
      <c r="B880" s="1"/>
      <c r="C880" s="1"/>
      <c r="D880" s="1"/>
      <c r="E880" s="1"/>
      <c r="F880" s="1"/>
      <c r="G880" s="1"/>
      <c r="H880" s="1"/>
      <c r="I880" s="1"/>
      <c r="J880" s="1"/>
      <c r="K880" s="89" t="s">
        <v>1512</v>
      </c>
      <c r="L880" s="89" t="str">
        <f>D35</f>
        <v>C1a1~</v>
      </c>
      <c r="M880" s="89"/>
      <c r="N880" s="89" t="s">
        <v>1513</v>
      </c>
      <c r="O880" s="92">
        <v>1.9168727E7</v>
      </c>
      <c r="P880" s="92">
        <v>1.7056847E7</v>
      </c>
      <c r="Q880" s="89" t="s">
        <v>912</v>
      </c>
      <c r="AF880" s="1"/>
      <c r="AG880" s="1"/>
    </row>
    <row r="881" ht="15.75" customHeight="1">
      <c r="A881" s="1"/>
      <c r="B881" s="1"/>
      <c r="C881" s="1"/>
      <c r="D881" s="1"/>
      <c r="E881" s="1"/>
      <c r="F881" s="1"/>
      <c r="G881" s="1"/>
      <c r="H881" s="1"/>
      <c r="I881" s="1"/>
      <c r="J881" s="1"/>
      <c r="K881" s="89" t="s">
        <v>1514</v>
      </c>
      <c r="L881" s="89" t="str">
        <f>D35</f>
        <v>C1a1~</v>
      </c>
      <c r="M881" s="89" t="s">
        <v>1515</v>
      </c>
      <c r="N881" s="89" t="s">
        <v>1516</v>
      </c>
      <c r="O881" s="92">
        <v>1.9224902E7</v>
      </c>
      <c r="P881" s="92">
        <v>1.7113022E7</v>
      </c>
      <c r="Q881" s="89" t="s">
        <v>838</v>
      </c>
      <c r="AF881" s="1"/>
      <c r="AG881" s="1"/>
    </row>
    <row r="882" ht="15.75" customHeight="1">
      <c r="A882" s="1"/>
      <c r="B882" s="1"/>
      <c r="C882" s="1"/>
      <c r="D882" s="1"/>
      <c r="E882" s="1"/>
      <c r="F882" s="1"/>
      <c r="G882" s="1"/>
      <c r="H882" s="1"/>
      <c r="I882" s="1"/>
      <c r="J882" s="1"/>
      <c r="K882" s="89" t="s">
        <v>1515</v>
      </c>
      <c r="L882" s="89" t="str">
        <f>D35</f>
        <v>C1a1~</v>
      </c>
      <c r="M882" s="89" t="s">
        <v>1514</v>
      </c>
      <c r="N882" s="89" t="s">
        <v>1516</v>
      </c>
      <c r="O882" s="92">
        <v>1.9224902E7</v>
      </c>
      <c r="P882" s="92">
        <v>1.7113022E7</v>
      </c>
      <c r="Q882" s="89" t="s">
        <v>838</v>
      </c>
      <c r="AF882" s="1"/>
      <c r="AG882" s="1"/>
    </row>
    <row r="883" ht="15.75" customHeight="1">
      <c r="A883" s="1"/>
      <c r="B883" s="1"/>
      <c r="C883" s="1"/>
      <c r="D883" s="1"/>
      <c r="E883" s="1"/>
      <c r="F883" s="1"/>
      <c r="G883" s="1"/>
      <c r="H883" s="1"/>
      <c r="I883" s="1"/>
      <c r="J883" s="1"/>
      <c r="K883" s="89" t="s">
        <v>1517</v>
      </c>
      <c r="L883" s="89" t="str">
        <f>D35</f>
        <v>C1a1~</v>
      </c>
      <c r="M883" s="89" t="s">
        <v>1518</v>
      </c>
      <c r="N883" s="89" t="s">
        <v>1519</v>
      </c>
      <c r="O883" s="92">
        <v>1.9273081E7</v>
      </c>
      <c r="P883" s="92">
        <v>1.7161201E7</v>
      </c>
      <c r="Q883" s="89" t="s">
        <v>864</v>
      </c>
      <c r="AF883" s="1"/>
      <c r="AG883" s="1"/>
    </row>
    <row r="884" ht="15.75" customHeight="1">
      <c r="A884" s="1"/>
      <c r="B884" s="1"/>
      <c r="C884" s="1"/>
      <c r="D884" s="1"/>
      <c r="E884" s="1"/>
      <c r="F884" s="1"/>
      <c r="G884" s="1"/>
      <c r="H884" s="1"/>
      <c r="I884" s="1"/>
      <c r="J884" s="1"/>
      <c r="K884" s="89" t="s">
        <v>1518</v>
      </c>
      <c r="L884" s="89" t="str">
        <f>D35</f>
        <v>C1a1~</v>
      </c>
      <c r="M884" s="89" t="s">
        <v>1517</v>
      </c>
      <c r="N884" s="89" t="s">
        <v>1519</v>
      </c>
      <c r="O884" s="92">
        <v>1.9273081E7</v>
      </c>
      <c r="P884" s="92">
        <v>1.7161201E7</v>
      </c>
      <c r="Q884" s="89" t="s">
        <v>864</v>
      </c>
      <c r="AF884" s="1"/>
      <c r="AG884" s="1"/>
    </row>
    <row r="885" ht="15.75" customHeight="1">
      <c r="A885" s="1"/>
      <c r="B885" s="1"/>
      <c r="C885" s="1"/>
      <c r="D885" s="1"/>
      <c r="E885" s="1"/>
      <c r="F885" s="1"/>
      <c r="G885" s="1"/>
      <c r="H885" s="1"/>
      <c r="I885" s="1"/>
      <c r="J885" s="1"/>
      <c r="K885" s="89" t="s">
        <v>1520</v>
      </c>
      <c r="L885" s="89" t="str">
        <f>D35</f>
        <v>C1a1~</v>
      </c>
      <c r="M885" s="89"/>
      <c r="N885" s="89" t="s">
        <v>1521</v>
      </c>
      <c r="O885" s="92">
        <v>1.9284099E7</v>
      </c>
      <c r="P885" s="92">
        <v>1.7172219E7</v>
      </c>
      <c r="Q885" s="89" t="s">
        <v>838</v>
      </c>
      <c r="AF885" s="1"/>
      <c r="AG885" s="1"/>
    </row>
    <row r="886" ht="15.75" customHeight="1">
      <c r="A886" s="1"/>
      <c r="B886" s="1"/>
      <c r="C886" s="1"/>
      <c r="D886" s="1"/>
      <c r="E886" s="1"/>
      <c r="F886" s="1"/>
      <c r="G886" s="1"/>
      <c r="H886" s="1"/>
      <c r="I886" s="1"/>
      <c r="J886" s="1"/>
      <c r="K886" s="89" t="s">
        <v>1522</v>
      </c>
      <c r="L886" s="89" t="str">
        <f>D35</f>
        <v>C1a1~</v>
      </c>
      <c r="M886" s="89"/>
      <c r="N886" s="89" t="s">
        <v>1523</v>
      </c>
      <c r="O886" s="92">
        <v>1.9322973E7</v>
      </c>
      <c r="P886" s="92">
        <v>1.7211093E7</v>
      </c>
      <c r="Q886" s="89" t="s">
        <v>810</v>
      </c>
      <c r="AF886" s="1"/>
      <c r="AG886" s="1"/>
    </row>
    <row r="887" ht="15.75" customHeight="1">
      <c r="A887" s="1"/>
      <c r="B887" s="1"/>
      <c r="C887" s="1"/>
      <c r="D887" s="1"/>
      <c r="E887" s="1"/>
      <c r="F887" s="1"/>
      <c r="G887" s="1"/>
      <c r="H887" s="1"/>
      <c r="I887" s="1"/>
      <c r="J887" s="1"/>
      <c r="K887" s="89" t="s">
        <v>1524</v>
      </c>
      <c r="L887" s="89" t="str">
        <f>D35</f>
        <v>C1a1~</v>
      </c>
      <c r="M887" s="89"/>
      <c r="N887" s="89" t="s">
        <v>1525</v>
      </c>
      <c r="O887" s="89">
        <v>1.9388473E7</v>
      </c>
      <c r="P887" s="89">
        <v>1.7276593E7</v>
      </c>
      <c r="Q887" s="89" t="s">
        <v>810</v>
      </c>
      <c r="AF887" s="1"/>
      <c r="AG887" s="1"/>
    </row>
    <row r="888" ht="15.75" customHeight="1">
      <c r="A888" s="1"/>
      <c r="B888" s="1"/>
      <c r="C888" s="1"/>
      <c r="D888" s="1"/>
      <c r="E888" s="1"/>
      <c r="F888" s="1"/>
      <c r="G888" s="1"/>
      <c r="H888" s="1"/>
      <c r="I888" s="1"/>
      <c r="J888" s="1"/>
      <c r="K888" s="89" t="s">
        <v>1526</v>
      </c>
      <c r="L888" s="89" t="str">
        <f>D35</f>
        <v>C1a1~</v>
      </c>
      <c r="M888" s="89" t="s">
        <v>1527</v>
      </c>
      <c r="N888" s="89" t="s">
        <v>1528</v>
      </c>
      <c r="O888" s="92">
        <v>1.938938E7</v>
      </c>
      <c r="P888" s="92">
        <v>1.72775E7</v>
      </c>
      <c r="Q888" s="89" t="s">
        <v>879</v>
      </c>
      <c r="AF888" s="1"/>
      <c r="AG888" s="1"/>
    </row>
    <row r="889" ht="15.75" customHeight="1">
      <c r="A889" s="1"/>
      <c r="B889" s="1"/>
      <c r="C889" s="1"/>
      <c r="D889" s="1"/>
      <c r="E889" s="1"/>
      <c r="F889" s="1"/>
      <c r="G889" s="1"/>
      <c r="H889" s="1"/>
      <c r="I889" s="1"/>
      <c r="J889" s="1"/>
      <c r="K889" s="89" t="s">
        <v>1527</v>
      </c>
      <c r="L889" s="89" t="str">
        <f>D35</f>
        <v>C1a1~</v>
      </c>
      <c r="M889" s="89" t="s">
        <v>1526</v>
      </c>
      <c r="N889" s="89" t="s">
        <v>1528</v>
      </c>
      <c r="O889" s="92">
        <v>1.938938E7</v>
      </c>
      <c r="P889" s="92">
        <v>1.72775E7</v>
      </c>
      <c r="Q889" s="89" t="s">
        <v>879</v>
      </c>
      <c r="AF889" s="1"/>
      <c r="AG889" s="1"/>
    </row>
    <row r="890" ht="15.75" customHeight="1">
      <c r="A890" s="1"/>
      <c r="B890" s="1"/>
      <c r="C890" s="1"/>
      <c r="D890" s="1"/>
      <c r="E890" s="1"/>
      <c r="F890" s="1"/>
      <c r="G890" s="1"/>
      <c r="H890" s="1"/>
      <c r="I890" s="1"/>
      <c r="J890" s="1"/>
      <c r="K890" s="89" t="s">
        <v>1529</v>
      </c>
      <c r="L890" s="89" t="str">
        <f>D35</f>
        <v>C1a1~</v>
      </c>
      <c r="M890" s="89"/>
      <c r="N890" s="89" t="s">
        <v>1530</v>
      </c>
      <c r="O890" s="92">
        <v>1.9399989E7</v>
      </c>
      <c r="P890" s="92">
        <v>1.7288109E7</v>
      </c>
      <c r="Q890" s="89" t="s">
        <v>912</v>
      </c>
      <c r="AF890" s="1"/>
      <c r="AG890" s="1"/>
    </row>
    <row r="891" ht="15.75" customHeight="1">
      <c r="A891" s="1"/>
      <c r="B891" s="1"/>
      <c r="C891" s="1"/>
      <c r="D891" s="1"/>
      <c r="E891" s="1"/>
      <c r="F891" s="1"/>
      <c r="G891" s="1"/>
      <c r="H891" s="1"/>
      <c r="I891" s="1"/>
      <c r="J891" s="1"/>
      <c r="K891" s="89" t="s">
        <v>1531</v>
      </c>
      <c r="L891" s="89" t="str">
        <f>D35</f>
        <v>C1a1~</v>
      </c>
      <c r="M891" s="89"/>
      <c r="N891" s="89" t="s">
        <v>1532</v>
      </c>
      <c r="O891" s="92">
        <v>1.946783E7</v>
      </c>
      <c r="P891" s="92">
        <v>1.735595E7</v>
      </c>
      <c r="Q891" s="89" t="s">
        <v>822</v>
      </c>
      <c r="AF891" s="1"/>
      <c r="AG891" s="1"/>
    </row>
    <row r="892" ht="15.75" customHeight="1">
      <c r="A892" s="1"/>
      <c r="B892" s="1"/>
      <c r="C892" s="1"/>
      <c r="D892" s="1"/>
      <c r="E892" s="1"/>
      <c r="F892" s="1"/>
      <c r="G892" s="1"/>
      <c r="H892" s="1"/>
      <c r="I892" s="1"/>
      <c r="J892" s="1"/>
      <c r="K892" s="89" t="s">
        <v>1533</v>
      </c>
      <c r="L892" s="89" t="str">
        <f>D35</f>
        <v>C1a1~</v>
      </c>
      <c r="M892" s="89"/>
      <c r="N892" s="89" t="s">
        <v>1534</v>
      </c>
      <c r="O892" s="92">
        <v>1.9504301E7</v>
      </c>
      <c r="P892" s="92">
        <v>1.7392421E7</v>
      </c>
      <c r="Q892" s="89" t="s">
        <v>917</v>
      </c>
      <c r="AF892" s="1"/>
      <c r="AG892" s="1"/>
    </row>
    <row r="893" ht="15.75" customHeight="1">
      <c r="A893" s="1"/>
      <c r="B893" s="1"/>
      <c r="C893" s="1"/>
      <c r="D893" s="1"/>
      <c r="E893" s="1"/>
      <c r="F893" s="1"/>
      <c r="G893" s="1"/>
      <c r="H893" s="1"/>
      <c r="I893" s="1"/>
      <c r="J893" s="1"/>
      <c r="K893" s="89" t="s">
        <v>1535</v>
      </c>
      <c r="L893" s="89" t="str">
        <f>D35</f>
        <v>C1a1~</v>
      </c>
      <c r="M893" s="89" t="s">
        <v>1536</v>
      </c>
      <c r="N893" s="89" t="s">
        <v>1537</v>
      </c>
      <c r="O893" s="92">
        <v>2.2672554E7</v>
      </c>
      <c r="P893" s="92">
        <v>2.0510668E7</v>
      </c>
      <c r="Q893" s="89" t="s">
        <v>810</v>
      </c>
      <c r="AF893" s="1"/>
      <c r="AG893" s="1"/>
    </row>
    <row r="894" ht="15.75" customHeight="1">
      <c r="A894" s="1"/>
      <c r="B894" s="1"/>
      <c r="C894" s="1"/>
      <c r="D894" s="1"/>
      <c r="E894" s="1"/>
      <c r="F894" s="1"/>
      <c r="G894" s="1"/>
      <c r="H894" s="1"/>
      <c r="I894" s="1"/>
      <c r="J894" s="1"/>
      <c r="K894" s="89" t="s">
        <v>1536</v>
      </c>
      <c r="L894" s="89" t="str">
        <f>D35</f>
        <v>C1a1~</v>
      </c>
      <c r="M894" s="89" t="s">
        <v>1535</v>
      </c>
      <c r="N894" s="89" t="s">
        <v>1537</v>
      </c>
      <c r="O894" s="92">
        <v>2.2672554E7</v>
      </c>
      <c r="P894" s="92">
        <v>2.0510668E7</v>
      </c>
      <c r="Q894" s="89" t="s">
        <v>810</v>
      </c>
      <c r="AF894" s="1"/>
      <c r="AG894" s="1"/>
    </row>
    <row r="895" ht="15.75" customHeight="1">
      <c r="A895" s="1"/>
      <c r="B895" s="1"/>
      <c r="C895" s="1"/>
      <c r="D895" s="1"/>
      <c r="E895" s="1"/>
      <c r="F895" s="1"/>
      <c r="G895" s="1"/>
      <c r="H895" s="1"/>
      <c r="I895" s="1"/>
      <c r="J895" s="1"/>
      <c r="K895" s="89" t="s">
        <v>1538</v>
      </c>
      <c r="L895" s="89" t="str">
        <f>D35</f>
        <v>C1a1~</v>
      </c>
      <c r="M895" s="89" t="s">
        <v>1539</v>
      </c>
      <c r="N895" s="89" t="s">
        <v>1540</v>
      </c>
      <c r="O895" s="92">
        <v>2.2795832E7</v>
      </c>
      <c r="P895" s="92">
        <v>2.0633946E7</v>
      </c>
      <c r="Q895" s="89" t="s">
        <v>879</v>
      </c>
      <c r="AF895" s="1"/>
      <c r="AG895" s="1"/>
    </row>
    <row r="896" ht="15.75" customHeight="1">
      <c r="A896" s="1"/>
      <c r="B896" s="1"/>
      <c r="C896" s="1"/>
      <c r="D896" s="1"/>
      <c r="E896" s="1"/>
      <c r="F896" s="1"/>
      <c r="G896" s="1"/>
      <c r="H896" s="1"/>
      <c r="I896" s="1"/>
      <c r="J896" s="1"/>
      <c r="K896" s="89" t="s">
        <v>1539</v>
      </c>
      <c r="L896" s="89" t="str">
        <f>D35</f>
        <v>C1a1~</v>
      </c>
      <c r="M896" s="89" t="s">
        <v>1538</v>
      </c>
      <c r="N896" s="89" t="s">
        <v>1540</v>
      </c>
      <c r="O896" s="92">
        <v>2.2795832E7</v>
      </c>
      <c r="P896" s="92">
        <v>2.0633946E7</v>
      </c>
      <c r="Q896" s="89" t="s">
        <v>879</v>
      </c>
      <c r="AF896" s="1"/>
      <c r="AG896" s="1"/>
    </row>
    <row r="897" ht="15.75" customHeight="1">
      <c r="A897" s="1"/>
      <c r="B897" s="1"/>
      <c r="C897" s="1"/>
      <c r="D897" s="1"/>
      <c r="E897" s="1"/>
      <c r="F897" s="1"/>
      <c r="G897" s="1"/>
      <c r="H897" s="1"/>
      <c r="I897" s="1"/>
      <c r="J897" s="1"/>
      <c r="K897" s="89" t="s">
        <v>1541</v>
      </c>
      <c r="L897" s="89" t="str">
        <f>D35</f>
        <v>C1a1~</v>
      </c>
      <c r="M897" s="89"/>
      <c r="N897" s="89" t="s">
        <v>1542</v>
      </c>
      <c r="O897" s="92">
        <v>2.2824873E7</v>
      </c>
      <c r="P897" s="92">
        <v>2.0662987E7</v>
      </c>
      <c r="Q897" s="89" t="s">
        <v>912</v>
      </c>
      <c r="AF897" s="1"/>
      <c r="AG897" s="1"/>
    </row>
    <row r="898" ht="15.75" customHeight="1">
      <c r="A898" s="1"/>
      <c r="B898" s="1"/>
      <c r="C898" s="1"/>
      <c r="D898" s="1"/>
      <c r="E898" s="1"/>
      <c r="F898" s="1"/>
      <c r="G898" s="1"/>
      <c r="H898" s="1"/>
      <c r="I898" s="1"/>
      <c r="J898" s="1"/>
      <c r="K898" s="89" t="s">
        <v>1543</v>
      </c>
      <c r="L898" s="89" t="str">
        <f>D35</f>
        <v>C1a1~</v>
      </c>
      <c r="M898" s="89" t="s">
        <v>1544</v>
      </c>
      <c r="N898" s="89" t="s">
        <v>1545</v>
      </c>
      <c r="O898" s="92">
        <v>2.2931431E7</v>
      </c>
      <c r="P898" s="92">
        <v>2.0769545E7</v>
      </c>
      <c r="Q898" s="89" t="s">
        <v>845</v>
      </c>
      <c r="AF898" s="1"/>
      <c r="AG898" s="1"/>
    </row>
    <row r="899" ht="15.75" customHeight="1">
      <c r="A899" s="1"/>
      <c r="B899" s="1"/>
      <c r="C899" s="1"/>
      <c r="D899" s="1"/>
      <c r="E899" s="1"/>
      <c r="F899" s="1"/>
      <c r="G899" s="1"/>
      <c r="H899" s="1"/>
      <c r="I899" s="1"/>
      <c r="J899" s="1"/>
      <c r="K899" s="89" t="s">
        <v>1544</v>
      </c>
      <c r="L899" s="89" t="str">
        <f>D35</f>
        <v>C1a1~</v>
      </c>
      <c r="M899" s="89" t="s">
        <v>1543</v>
      </c>
      <c r="N899" s="89" t="s">
        <v>1545</v>
      </c>
      <c r="O899" s="92">
        <v>2.2931431E7</v>
      </c>
      <c r="P899" s="92">
        <v>2.0769545E7</v>
      </c>
      <c r="Q899" s="89" t="s">
        <v>845</v>
      </c>
      <c r="AF899" s="1"/>
      <c r="AG899" s="1"/>
    </row>
    <row r="900" ht="15.75" customHeight="1">
      <c r="A900" s="1"/>
      <c r="B900" s="1"/>
      <c r="C900" s="1"/>
      <c r="D900" s="1"/>
      <c r="E900" s="1"/>
      <c r="F900" s="1"/>
      <c r="G900" s="1"/>
      <c r="H900" s="1"/>
      <c r="I900" s="1"/>
      <c r="J900" s="1"/>
      <c r="K900" s="89" t="s">
        <v>1546</v>
      </c>
      <c r="L900" s="89" t="str">
        <f>D35</f>
        <v>C1a1~</v>
      </c>
      <c r="M900" s="89" t="s">
        <v>1547</v>
      </c>
      <c r="N900" s="89" t="s">
        <v>1548</v>
      </c>
      <c r="O900" s="92">
        <v>2.3030404E7</v>
      </c>
      <c r="P900" s="92">
        <v>2.0868518E7</v>
      </c>
      <c r="Q900" s="89" t="s">
        <v>917</v>
      </c>
      <c r="AF900" s="1"/>
      <c r="AG900" s="1"/>
    </row>
    <row r="901" ht="15.75" customHeight="1">
      <c r="A901" s="1"/>
      <c r="B901" s="1"/>
      <c r="C901" s="1"/>
      <c r="D901" s="1"/>
      <c r="E901" s="1"/>
      <c r="F901" s="1"/>
      <c r="G901" s="1"/>
      <c r="H901" s="1"/>
      <c r="I901" s="1"/>
      <c r="J901" s="1"/>
      <c r="K901" s="89" t="s">
        <v>1547</v>
      </c>
      <c r="L901" s="89" t="str">
        <f>D35</f>
        <v>C1a1~</v>
      </c>
      <c r="M901" s="89" t="s">
        <v>1546</v>
      </c>
      <c r="N901" s="89" t="s">
        <v>1548</v>
      </c>
      <c r="O901" s="92">
        <v>2.3030404E7</v>
      </c>
      <c r="P901" s="92">
        <v>2.0868518E7</v>
      </c>
      <c r="Q901" s="89" t="s">
        <v>917</v>
      </c>
      <c r="AF901" s="1"/>
      <c r="AG901" s="1"/>
    </row>
    <row r="902" ht="15.75" customHeight="1">
      <c r="A902" s="1"/>
      <c r="B902" s="1"/>
      <c r="C902" s="1"/>
      <c r="D902" s="1"/>
      <c r="E902" s="1"/>
      <c r="F902" s="1"/>
      <c r="G902" s="1"/>
      <c r="H902" s="1"/>
      <c r="I902" s="1"/>
      <c r="J902" s="1"/>
      <c r="K902" s="89" t="s">
        <v>1549</v>
      </c>
      <c r="L902" s="89" t="str">
        <f>D35</f>
        <v>C1a1~</v>
      </c>
      <c r="M902" s="89"/>
      <c r="N902" s="89" t="s">
        <v>1550</v>
      </c>
      <c r="O902" s="92">
        <v>2.3038071E7</v>
      </c>
      <c r="P902" s="92">
        <v>2.0876185E7</v>
      </c>
      <c r="Q902" s="89" t="s">
        <v>802</v>
      </c>
      <c r="AF902" s="1"/>
      <c r="AG902" s="1"/>
    </row>
    <row r="903" ht="15.75" customHeight="1">
      <c r="A903" s="1"/>
      <c r="B903" s="1"/>
      <c r="C903" s="1"/>
      <c r="D903" s="1"/>
      <c r="E903" s="1"/>
      <c r="F903" s="1"/>
      <c r="G903" s="1"/>
      <c r="H903" s="1"/>
      <c r="I903" s="1"/>
      <c r="J903" s="1"/>
      <c r="K903" s="89" t="s">
        <v>1551</v>
      </c>
      <c r="L903" s="89" t="str">
        <f>D35</f>
        <v>C1a1~</v>
      </c>
      <c r="M903" s="89" t="s">
        <v>1552</v>
      </c>
      <c r="N903" s="89" t="s">
        <v>1553</v>
      </c>
      <c r="O903" s="92">
        <v>2.3089185E7</v>
      </c>
      <c r="P903" s="92">
        <v>2.0927299E7</v>
      </c>
      <c r="Q903" s="89" t="s">
        <v>810</v>
      </c>
      <c r="AF903" s="1"/>
      <c r="AG903" s="1"/>
    </row>
    <row r="904" ht="15.75" customHeight="1">
      <c r="A904" s="1"/>
      <c r="B904" s="1"/>
      <c r="C904" s="1"/>
      <c r="D904" s="1"/>
      <c r="E904" s="1"/>
      <c r="F904" s="1"/>
      <c r="G904" s="1"/>
      <c r="H904" s="1"/>
      <c r="I904" s="1"/>
      <c r="J904" s="1"/>
      <c r="K904" s="89" t="s">
        <v>1552</v>
      </c>
      <c r="L904" s="89" t="str">
        <f>D35</f>
        <v>C1a1~</v>
      </c>
      <c r="M904" s="89" t="s">
        <v>1551</v>
      </c>
      <c r="N904" s="89" t="s">
        <v>1553</v>
      </c>
      <c r="O904" s="92">
        <v>2.3089185E7</v>
      </c>
      <c r="P904" s="92">
        <v>2.0927299E7</v>
      </c>
      <c r="Q904" s="89" t="s">
        <v>810</v>
      </c>
      <c r="AF904" s="1"/>
      <c r="AG904" s="1"/>
    </row>
    <row r="905" ht="15.75" customHeight="1">
      <c r="A905" s="1"/>
      <c r="B905" s="1"/>
      <c r="C905" s="1"/>
      <c r="D905" s="1"/>
      <c r="E905" s="1"/>
      <c r="F905" s="1"/>
      <c r="G905" s="1"/>
      <c r="H905" s="1"/>
      <c r="I905" s="1"/>
      <c r="J905" s="1"/>
      <c r="K905" s="89" t="s">
        <v>1554</v>
      </c>
      <c r="L905" s="89" t="str">
        <f>D35</f>
        <v>C1a1~</v>
      </c>
      <c r="M905" s="89" t="s">
        <v>1555</v>
      </c>
      <c r="N905" s="89" t="s">
        <v>1556</v>
      </c>
      <c r="O905" s="92">
        <v>2.3166645E7</v>
      </c>
      <c r="P905" s="92">
        <v>2.1004759E7</v>
      </c>
      <c r="Q905" s="89" t="s">
        <v>810</v>
      </c>
      <c r="AF905" s="1"/>
      <c r="AG905" s="1"/>
    </row>
    <row r="906" ht="15.75" customHeight="1">
      <c r="A906" s="1"/>
      <c r="B906" s="1"/>
      <c r="C906" s="1"/>
      <c r="D906" s="1"/>
      <c r="E906" s="1"/>
      <c r="F906" s="1"/>
      <c r="G906" s="1"/>
      <c r="H906" s="1"/>
      <c r="I906" s="1"/>
      <c r="J906" s="1"/>
      <c r="K906" s="89" t="s">
        <v>1555</v>
      </c>
      <c r="L906" s="89" t="str">
        <f>D35</f>
        <v>C1a1~</v>
      </c>
      <c r="M906" s="89" t="s">
        <v>1554</v>
      </c>
      <c r="N906" s="89" t="s">
        <v>1556</v>
      </c>
      <c r="O906" s="92">
        <v>2.3166645E7</v>
      </c>
      <c r="P906" s="92">
        <v>2.1004759E7</v>
      </c>
      <c r="Q906" s="89" t="s">
        <v>810</v>
      </c>
      <c r="AF906" s="1"/>
      <c r="AG906" s="1"/>
    </row>
    <row r="907" ht="15.75" customHeight="1">
      <c r="A907" s="1"/>
      <c r="B907" s="1"/>
      <c r="C907" s="1"/>
      <c r="D907" s="1"/>
      <c r="E907" s="1"/>
      <c r="F907" s="1"/>
      <c r="G907" s="1"/>
      <c r="H907" s="1"/>
      <c r="I907" s="1"/>
      <c r="J907" s="1"/>
      <c r="K907" s="89" t="s">
        <v>1557</v>
      </c>
      <c r="L907" s="89" t="str">
        <f>D35</f>
        <v>C1a1~</v>
      </c>
      <c r="M907" s="89"/>
      <c r="N907" s="89" t="s">
        <v>1558</v>
      </c>
      <c r="O907" s="92">
        <v>2.3189308E7</v>
      </c>
      <c r="P907" s="92">
        <v>2.1027422E7</v>
      </c>
      <c r="Q907" s="89" t="s">
        <v>802</v>
      </c>
      <c r="AF907" s="1"/>
      <c r="AG907" s="1"/>
    </row>
    <row r="908" ht="15.75" customHeight="1">
      <c r="A908" s="1"/>
      <c r="B908" s="1"/>
      <c r="C908" s="1"/>
      <c r="D908" s="1"/>
      <c r="E908" s="1"/>
      <c r="F908" s="1"/>
      <c r="G908" s="1"/>
      <c r="H908" s="1"/>
      <c r="I908" s="1"/>
      <c r="J908" s="1"/>
      <c r="K908" s="89" t="s">
        <v>1559</v>
      </c>
      <c r="L908" s="89" t="str">
        <f>D35</f>
        <v>C1a1~</v>
      </c>
      <c r="M908" s="89"/>
      <c r="N908" s="89" t="s">
        <v>1560</v>
      </c>
      <c r="O908" s="92">
        <v>2.3203891E7</v>
      </c>
      <c r="P908" s="92">
        <v>2.1042005E7</v>
      </c>
      <c r="Q908" s="93" t="s">
        <v>838</v>
      </c>
      <c r="AF908" s="1"/>
      <c r="AG908" s="1"/>
    </row>
    <row r="909" ht="15.75" customHeight="1">
      <c r="A909" s="1"/>
      <c r="B909" s="1"/>
      <c r="C909" s="1"/>
      <c r="D909" s="1"/>
      <c r="E909" s="1"/>
      <c r="F909" s="1"/>
      <c r="G909" s="1"/>
      <c r="H909" s="1"/>
      <c r="I909" s="1"/>
      <c r="J909" s="1"/>
      <c r="K909" s="89" t="s">
        <v>1561</v>
      </c>
      <c r="L909" s="89" t="str">
        <f>D35</f>
        <v>C1a1~</v>
      </c>
      <c r="M909" s="89"/>
      <c r="N909" s="89" t="s">
        <v>1562</v>
      </c>
      <c r="O909" s="92">
        <v>2.3335199E7</v>
      </c>
      <c r="P909" s="92">
        <v>2.1173313E7</v>
      </c>
      <c r="Q909" s="89" t="s">
        <v>838</v>
      </c>
      <c r="AF909" s="1"/>
      <c r="AG909" s="1"/>
    </row>
    <row r="910" ht="15.75" customHeight="1">
      <c r="A910" s="1"/>
      <c r="B910" s="1"/>
      <c r="C910" s="1"/>
      <c r="D910" s="1"/>
      <c r="E910" s="1"/>
      <c r="F910" s="1"/>
      <c r="G910" s="1"/>
      <c r="H910" s="1"/>
      <c r="I910" s="1"/>
      <c r="J910" s="1"/>
      <c r="K910" s="89" t="s">
        <v>1563</v>
      </c>
      <c r="L910" s="89" t="str">
        <f>D35</f>
        <v>C1a1~</v>
      </c>
      <c r="M910" s="89"/>
      <c r="N910" s="89" t="s">
        <v>1564</v>
      </c>
      <c r="O910" s="92">
        <v>2.3335246E7</v>
      </c>
      <c r="P910" s="92">
        <v>2.117336E7</v>
      </c>
      <c r="Q910" s="89" t="s">
        <v>879</v>
      </c>
      <c r="AF910" s="1"/>
      <c r="AG910" s="1"/>
    </row>
    <row r="911" ht="15.75" customHeight="1">
      <c r="A911" s="1"/>
      <c r="B911" s="1"/>
      <c r="C911" s="1"/>
      <c r="D911" s="1"/>
      <c r="E911" s="1"/>
      <c r="F911" s="1"/>
      <c r="G911" s="1"/>
      <c r="H911" s="1"/>
      <c r="I911" s="1"/>
      <c r="J911" s="1"/>
      <c r="K911" s="89" t="s">
        <v>1565</v>
      </c>
      <c r="L911" s="89" t="str">
        <f>D35</f>
        <v>C1a1~</v>
      </c>
      <c r="M911" s="89" t="s">
        <v>1566</v>
      </c>
      <c r="N911" s="89" t="s">
        <v>1567</v>
      </c>
      <c r="O911" s="92">
        <v>2.3335993E7</v>
      </c>
      <c r="P911" s="92">
        <v>2.1174107E7</v>
      </c>
      <c r="Q911" s="89" t="s">
        <v>822</v>
      </c>
      <c r="AF911" s="1"/>
      <c r="AG911" s="1"/>
    </row>
    <row r="912" ht="15.75" customHeight="1">
      <c r="A912" s="1"/>
      <c r="B912" s="1"/>
      <c r="C912" s="1"/>
      <c r="D912" s="1"/>
      <c r="E912" s="1"/>
      <c r="F912" s="1"/>
      <c r="G912" s="1"/>
      <c r="H912" s="1"/>
      <c r="I912" s="1"/>
      <c r="J912" s="1"/>
      <c r="K912" s="89" t="s">
        <v>1566</v>
      </c>
      <c r="L912" s="89" t="str">
        <f>D35</f>
        <v>C1a1~</v>
      </c>
      <c r="M912" s="89" t="s">
        <v>1565</v>
      </c>
      <c r="N912" s="89" t="s">
        <v>1567</v>
      </c>
      <c r="O912" s="92">
        <v>2.3335993E7</v>
      </c>
      <c r="P912" s="92">
        <v>2.1174107E7</v>
      </c>
      <c r="Q912" s="89" t="s">
        <v>822</v>
      </c>
      <c r="AF912" s="1"/>
      <c r="AG912" s="1"/>
    </row>
    <row r="913" ht="15.75" customHeight="1">
      <c r="A913" s="1"/>
      <c r="B913" s="1"/>
      <c r="C913" s="1"/>
      <c r="D913" s="1"/>
      <c r="E913" s="1"/>
      <c r="F913" s="1"/>
      <c r="G913" s="1"/>
      <c r="H913" s="1"/>
      <c r="I913" s="1"/>
      <c r="J913" s="1"/>
      <c r="K913" s="89" t="s">
        <v>1568</v>
      </c>
      <c r="L913" s="89" t="str">
        <f>D35</f>
        <v>C1a1~</v>
      </c>
      <c r="M913" s="89"/>
      <c r="N913" s="89" t="s">
        <v>1569</v>
      </c>
      <c r="O913" s="92">
        <v>2.3350688E7</v>
      </c>
      <c r="P913" s="92">
        <v>2.1188802E7</v>
      </c>
      <c r="Q913" s="89" t="s">
        <v>822</v>
      </c>
      <c r="AF913" s="1"/>
      <c r="AG913" s="1"/>
    </row>
    <row r="914" ht="15.75" customHeight="1">
      <c r="A914" s="1"/>
      <c r="B914" s="1"/>
      <c r="C914" s="1"/>
      <c r="D914" s="1"/>
      <c r="E914" s="1"/>
      <c r="F914" s="1"/>
      <c r="G914" s="1"/>
      <c r="H914" s="1"/>
      <c r="I914" s="1"/>
      <c r="J914" s="1"/>
      <c r="K914" s="89" t="s">
        <v>1570</v>
      </c>
      <c r="L914" s="89" t="str">
        <f>D35</f>
        <v>C1a1~</v>
      </c>
      <c r="M914" s="89" t="s">
        <v>1571</v>
      </c>
      <c r="N914" s="89" t="s">
        <v>1572</v>
      </c>
      <c r="O914" s="89">
        <v>9850515.0</v>
      </c>
      <c r="P914" s="89">
        <v>1.0012906E7</v>
      </c>
      <c r="Q914" s="89" t="s">
        <v>838</v>
      </c>
      <c r="AF914" s="1"/>
      <c r="AG914" s="1"/>
    </row>
    <row r="915" ht="15.75" customHeight="1">
      <c r="A915" s="1"/>
      <c r="B915" s="1"/>
      <c r="C915" s="1"/>
      <c r="D915" s="1"/>
      <c r="E915" s="1"/>
      <c r="F915" s="1"/>
      <c r="G915" s="1"/>
      <c r="H915" s="1"/>
      <c r="I915" s="1"/>
      <c r="J915" s="1"/>
      <c r="K915" s="89" t="s">
        <v>1573</v>
      </c>
      <c r="L915" s="89" t="str">
        <f>D35</f>
        <v>C1a1~</v>
      </c>
      <c r="M915" s="89" t="s">
        <v>1574</v>
      </c>
      <c r="N915" s="89" t="s">
        <v>1572</v>
      </c>
      <c r="O915" s="89">
        <v>9850515.0</v>
      </c>
      <c r="P915" s="89">
        <v>1.0012906E7</v>
      </c>
      <c r="Q915" s="89" t="s">
        <v>838</v>
      </c>
      <c r="AF915" s="1"/>
      <c r="AG915" s="1"/>
    </row>
    <row r="916" ht="15.75" customHeight="1">
      <c r="A916" s="1"/>
      <c r="B916" s="1"/>
      <c r="C916" s="1"/>
      <c r="D916" s="1"/>
      <c r="E916" s="1"/>
      <c r="F916" s="1"/>
      <c r="G916" s="1"/>
      <c r="H916" s="1"/>
      <c r="I916" s="1"/>
      <c r="J916" s="1"/>
      <c r="K916" s="89" t="s">
        <v>1575</v>
      </c>
      <c r="L916" s="89" t="str">
        <f>D35</f>
        <v>C1a1~</v>
      </c>
      <c r="M916" s="89" t="s">
        <v>1576</v>
      </c>
      <c r="N916" s="89" t="s">
        <v>1572</v>
      </c>
      <c r="O916" s="89">
        <v>9850515.0</v>
      </c>
      <c r="P916" s="89">
        <v>1.0012906E7</v>
      </c>
      <c r="Q916" s="89" t="s">
        <v>838</v>
      </c>
      <c r="AF916" s="1"/>
      <c r="AG916" s="1"/>
    </row>
    <row r="917" ht="15.75" customHeight="1">
      <c r="A917" s="1"/>
      <c r="B917" s="1"/>
      <c r="C917" s="1"/>
      <c r="D917" s="1"/>
      <c r="E917" s="1"/>
      <c r="F917" s="1"/>
      <c r="G917" s="1"/>
      <c r="H917" s="1"/>
      <c r="I917" s="1"/>
      <c r="J917" s="1"/>
      <c r="K917" s="89" t="s">
        <v>1577</v>
      </c>
      <c r="L917" s="89" t="str">
        <f>D35</f>
        <v>C1a1~</v>
      </c>
      <c r="M917" s="89" t="s">
        <v>1578</v>
      </c>
      <c r="N917" s="89" t="s">
        <v>1572</v>
      </c>
      <c r="O917" s="89">
        <v>9850515.0</v>
      </c>
      <c r="P917" s="89">
        <v>1.0012906E7</v>
      </c>
      <c r="Q917" s="89" t="s">
        <v>838</v>
      </c>
      <c r="AF917" s="1"/>
      <c r="AG917" s="1"/>
    </row>
    <row r="918" ht="15.75" customHeight="1">
      <c r="A918" s="1"/>
      <c r="B918" s="1"/>
      <c r="C918" s="1"/>
      <c r="D918" s="1"/>
      <c r="E918" s="1"/>
      <c r="F918" s="1"/>
      <c r="G918" s="1"/>
      <c r="H918" s="1"/>
      <c r="I918" s="1"/>
      <c r="J918" s="1"/>
      <c r="K918" s="89" t="s">
        <v>1579</v>
      </c>
      <c r="L918" s="89" t="str">
        <f>D35</f>
        <v>C1a1~</v>
      </c>
      <c r="M918" s="89"/>
      <c r="N918" s="89" t="s">
        <v>1580</v>
      </c>
      <c r="O918" s="92">
        <v>2.447201E7</v>
      </c>
      <c r="P918" s="92">
        <v>2.2325863E7</v>
      </c>
      <c r="Q918" s="89" t="s">
        <v>813</v>
      </c>
      <c r="AF918" s="1"/>
      <c r="AG918" s="1"/>
    </row>
    <row r="919" ht="15.75" customHeight="1">
      <c r="A919" s="1"/>
      <c r="B919" s="1"/>
      <c r="C919" s="1"/>
      <c r="D919" s="1"/>
      <c r="E919" s="1"/>
      <c r="F919" s="1"/>
      <c r="G919" s="1"/>
      <c r="H919" s="1"/>
      <c r="I919" s="1"/>
      <c r="J919" s="1"/>
      <c r="K919" s="89" t="s">
        <v>1581</v>
      </c>
      <c r="L919" s="89" t="str">
        <f>D35</f>
        <v>C1a1~</v>
      </c>
      <c r="M919" s="89"/>
      <c r="N919" s="89" t="s">
        <v>1582</v>
      </c>
      <c r="O919" s="92">
        <v>2.1866491E7</v>
      </c>
      <c r="P919" s="92">
        <v>1.9704605E7</v>
      </c>
      <c r="Q919" s="89" t="s">
        <v>802</v>
      </c>
      <c r="AF919" s="1"/>
      <c r="AG919" s="1"/>
    </row>
    <row r="920" ht="15.75" customHeight="1">
      <c r="A920" s="1"/>
      <c r="B920" s="1"/>
      <c r="C920" s="1"/>
      <c r="D920" s="1"/>
      <c r="E920" s="1"/>
      <c r="F920" s="1"/>
      <c r="G920" s="1"/>
      <c r="H920" s="1"/>
      <c r="I920" s="1"/>
      <c r="J920" s="1"/>
      <c r="K920" s="89" t="s">
        <v>1583</v>
      </c>
      <c r="L920" s="89" t="str">
        <f>D35</f>
        <v>C1a1~</v>
      </c>
      <c r="M920" s="89"/>
      <c r="N920" s="89" t="s">
        <v>1584</v>
      </c>
      <c r="O920" s="92">
        <v>1.5017505E7</v>
      </c>
      <c r="P920" s="92">
        <v>1.2905594E7</v>
      </c>
      <c r="Q920" s="89" t="s">
        <v>802</v>
      </c>
      <c r="AF920" s="1"/>
      <c r="AG920" s="1"/>
    </row>
    <row r="921" ht="15.75" customHeight="1">
      <c r="A921" s="1"/>
      <c r="B921" s="1"/>
      <c r="C921" s="1"/>
      <c r="D921" s="1"/>
      <c r="E921" s="1"/>
      <c r="F921" s="1"/>
      <c r="G921" s="1"/>
      <c r="H921" s="1"/>
      <c r="I921" s="1"/>
      <c r="J921" s="1"/>
      <c r="K921" s="89" t="s">
        <v>1585</v>
      </c>
      <c r="L921" s="89" t="str">
        <f>D35</f>
        <v>C1a1~</v>
      </c>
      <c r="M921" s="89"/>
      <c r="N921" s="89" t="s">
        <v>1586</v>
      </c>
      <c r="O921" s="92">
        <v>1.4850732E7</v>
      </c>
      <c r="P921" s="92">
        <v>1.2738798E7</v>
      </c>
      <c r="Q921" s="89" t="s">
        <v>879</v>
      </c>
      <c r="AF921" s="1"/>
      <c r="AG921" s="1"/>
    </row>
    <row r="922" ht="15.75" customHeight="1">
      <c r="A922" s="1"/>
      <c r="B922" s="1"/>
      <c r="C922" s="1"/>
      <c r="D922" s="1"/>
      <c r="E922" s="1"/>
      <c r="F922" s="1"/>
      <c r="G922" s="1"/>
      <c r="H922" s="1"/>
      <c r="I922" s="1"/>
      <c r="J922" s="1"/>
      <c r="K922" s="89" t="s">
        <v>1587</v>
      </c>
      <c r="L922" s="89" t="str">
        <f>D35</f>
        <v>C1a1~</v>
      </c>
      <c r="M922" s="89" t="s">
        <v>1588</v>
      </c>
      <c r="N922" s="89" t="s">
        <v>1589</v>
      </c>
      <c r="O922" s="92">
        <v>1.5208557E7</v>
      </c>
      <c r="P922" s="92">
        <v>1.3096643E7</v>
      </c>
      <c r="Q922" s="89" t="s">
        <v>810</v>
      </c>
      <c r="AF922" s="1"/>
      <c r="AG922" s="1"/>
    </row>
    <row r="923" ht="15.75" customHeight="1">
      <c r="A923" s="1"/>
      <c r="B923" s="1"/>
      <c r="C923" s="1"/>
      <c r="D923" s="1"/>
      <c r="E923" s="1"/>
      <c r="F923" s="1"/>
      <c r="G923" s="1"/>
      <c r="H923" s="1"/>
      <c r="I923" s="1"/>
      <c r="J923" s="1"/>
      <c r="K923" s="89" t="s">
        <v>1588</v>
      </c>
      <c r="L923" s="89" t="str">
        <f>D35</f>
        <v>C1a1~</v>
      </c>
      <c r="M923" s="89" t="s">
        <v>1587</v>
      </c>
      <c r="N923" s="89" t="s">
        <v>1589</v>
      </c>
      <c r="O923" s="92">
        <v>1.5208557E7</v>
      </c>
      <c r="P923" s="92">
        <v>1.3096643E7</v>
      </c>
      <c r="Q923" s="89" t="s">
        <v>810</v>
      </c>
      <c r="AF923" s="1"/>
      <c r="AG923" s="1"/>
    </row>
    <row r="924" ht="15.75" customHeight="1">
      <c r="A924" s="1"/>
      <c r="B924" s="1"/>
      <c r="C924" s="1"/>
      <c r="D924" s="1"/>
      <c r="E924" s="1"/>
      <c r="F924" s="1"/>
      <c r="G924" s="1"/>
      <c r="H924" s="1"/>
      <c r="I924" s="1"/>
      <c r="J924" s="1"/>
      <c r="K924" s="89" t="s">
        <v>1590</v>
      </c>
      <c r="L924" s="89" t="str">
        <f>D35</f>
        <v>C1a1~</v>
      </c>
      <c r="M924" s="89" t="s">
        <v>1591</v>
      </c>
      <c r="N924" s="89" t="s">
        <v>1592</v>
      </c>
      <c r="O924" s="92">
        <v>2.4441979E7</v>
      </c>
      <c r="P924" s="92">
        <v>2.2295832E7</v>
      </c>
      <c r="Q924" s="89" t="s">
        <v>917</v>
      </c>
      <c r="AF924" s="1"/>
      <c r="AG924" s="1"/>
    </row>
    <row r="925" ht="15.75" customHeight="1">
      <c r="A925" s="1"/>
      <c r="B925" s="1"/>
      <c r="C925" s="1"/>
      <c r="D925" s="1"/>
      <c r="E925" s="1"/>
      <c r="F925" s="1"/>
      <c r="G925" s="1"/>
      <c r="H925" s="1"/>
      <c r="I925" s="1"/>
      <c r="J925" s="1"/>
      <c r="K925" s="89" t="s">
        <v>1591</v>
      </c>
      <c r="L925" s="89" t="str">
        <f>D35</f>
        <v>C1a1~</v>
      </c>
      <c r="M925" s="89" t="s">
        <v>1590</v>
      </c>
      <c r="N925" s="89" t="s">
        <v>1592</v>
      </c>
      <c r="O925" s="92">
        <v>2.4441979E7</v>
      </c>
      <c r="P925" s="92">
        <v>2.2295832E7</v>
      </c>
      <c r="Q925" s="89" t="s">
        <v>917</v>
      </c>
      <c r="AF925" s="1"/>
      <c r="AG925" s="1"/>
    </row>
    <row r="926" ht="15.75" customHeight="1">
      <c r="A926" s="1"/>
      <c r="B926" s="1"/>
      <c r="C926" s="1"/>
      <c r="D926" s="1"/>
      <c r="E926" s="1"/>
      <c r="F926" s="1"/>
      <c r="G926" s="1"/>
      <c r="H926" s="1"/>
      <c r="I926" s="1"/>
      <c r="J926" s="1"/>
      <c r="K926" s="89" t="s">
        <v>1593</v>
      </c>
      <c r="L926" s="89" t="str">
        <f>D35</f>
        <v>C1a1~</v>
      </c>
      <c r="M926" s="89" t="s">
        <v>1594</v>
      </c>
      <c r="N926" s="89" t="s">
        <v>1595</v>
      </c>
      <c r="O926" s="92">
        <v>1.5016035E7</v>
      </c>
      <c r="P926" s="92">
        <v>1.2904124E7</v>
      </c>
      <c r="Q926" s="89" t="s">
        <v>802</v>
      </c>
      <c r="AF926" s="1"/>
      <c r="AG926" s="1"/>
    </row>
    <row r="927" ht="15.75" customHeight="1">
      <c r="A927" s="1"/>
      <c r="B927" s="1"/>
      <c r="C927" s="1"/>
      <c r="D927" s="1"/>
      <c r="E927" s="1"/>
      <c r="F927" s="1"/>
      <c r="G927" s="1"/>
      <c r="H927" s="1"/>
      <c r="I927" s="1"/>
      <c r="J927" s="1"/>
      <c r="K927" s="89" t="s">
        <v>1594</v>
      </c>
      <c r="L927" s="89" t="str">
        <f>D35</f>
        <v>C1a1~</v>
      </c>
      <c r="M927" s="89" t="s">
        <v>1593</v>
      </c>
      <c r="N927" s="89" t="s">
        <v>1595</v>
      </c>
      <c r="O927" s="92">
        <v>1.5016035E7</v>
      </c>
      <c r="P927" s="92">
        <v>1.2904124E7</v>
      </c>
      <c r="Q927" s="89" t="s">
        <v>802</v>
      </c>
      <c r="AF927" s="1"/>
      <c r="AG927" s="1"/>
    </row>
    <row r="928" ht="15.75" customHeight="1">
      <c r="A928" s="1"/>
      <c r="B928" s="1"/>
      <c r="C928" s="1"/>
      <c r="D928" s="1"/>
      <c r="E928" s="1"/>
      <c r="F928" s="1"/>
      <c r="G928" s="1"/>
      <c r="H928" s="1"/>
      <c r="I928" s="1"/>
      <c r="J928" s="1"/>
      <c r="K928" s="89" t="s">
        <v>1596</v>
      </c>
      <c r="L928" s="89" t="str">
        <f>D35</f>
        <v>C1a1~</v>
      </c>
      <c r="M928" s="89"/>
      <c r="N928" s="89" t="s">
        <v>1597</v>
      </c>
      <c r="O928" s="92">
        <v>7084252.0</v>
      </c>
      <c r="P928" s="92">
        <v>7216211.0</v>
      </c>
      <c r="Q928" s="89" t="s">
        <v>822</v>
      </c>
      <c r="AF928" s="1"/>
      <c r="AG928" s="1"/>
    </row>
    <row r="929" ht="15.75" customHeight="1">
      <c r="A929" s="1"/>
      <c r="B929" s="1"/>
      <c r="C929" s="1"/>
      <c r="D929" s="1"/>
      <c r="E929" s="1"/>
      <c r="F929" s="1"/>
      <c r="G929" s="1"/>
      <c r="H929" s="1"/>
      <c r="I929" s="1"/>
      <c r="J929" s="1"/>
      <c r="K929" s="89" t="s">
        <v>1598</v>
      </c>
      <c r="L929" s="89" t="str">
        <f>D35</f>
        <v>C1a1~</v>
      </c>
      <c r="M929" s="89"/>
      <c r="N929" s="89" t="s">
        <v>1599</v>
      </c>
      <c r="O929" s="92">
        <v>7678893.0</v>
      </c>
      <c r="P929" s="92">
        <v>7810852.0</v>
      </c>
      <c r="Q929" s="89" t="s">
        <v>802</v>
      </c>
      <c r="AF929" s="1"/>
      <c r="AG929" s="1"/>
    </row>
    <row r="930" ht="15.75" customHeight="1">
      <c r="A930" s="1"/>
      <c r="B930" s="1"/>
      <c r="C930" s="1"/>
      <c r="D930" s="1"/>
      <c r="E930" s="1"/>
      <c r="F930" s="1"/>
      <c r="G930" s="1"/>
      <c r="H930" s="1"/>
      <c r="I930" s="1"/>
      <c r="J930" s="1"/>
      <c r="K930" s="89" t="s">
        <v>1600</v>
      </c>
      <c r="L930" s="89" t="str">
        <f>D35</f>
        <v>C1a1~</v>
      </c>
      <c r="M930" s="89"/>
      <c r="N930" s="89" t="s">
        <v>1601</v>
      </c>
      <c r="O930" s="92">
        <v>7892311.0</v>
      </c>
      <c r="P930" s="92">
        <v>8024270.0</v>
      </c>
      <c r="Q930" s="89" t="s">
        <v>879</v>
      </c>
      <c r="AF930" s="1"/>
      <c r="AG930" s="1"/>
    </row>
    <row r="931" ht="15.75" customHeight="1">
      <c r="A931" s="1"/>
      <c r="B931" s="1"/>
      <c r="C931" s="1"/>
      <c r="D931" s="1"/>
      <c r="E931" s="1"/>
      <c r="F931" s="1"/>
      <c r="G931" s="1"/>
      <c r="H931" s="1"/>
      <c r="I931" s="1"/>
      <c r="J931" s="1"/>
      <c r="K931" s="89" t="s">
        <v>1602</v>
      </c>
      <c r="L931" s="89" t="str">
        <f>D35</f>
        <v>C1a1~</v>
      </c>
      <c r="M931" s="89"/>
      <c r="N931" s="89" t="s">
        <v>1603</v>
      </c>
      <c r="O931" s="92">
        <v>8205472.0</v>
      </c>
      <c r="P931" s="92">
        <v>8337431.0</v>
      </c>
      <c r="Q931" s="89" t="s">
        <v>838</v>
      </c>
      <c r="AF931" s="1"/>
      <c r="AG931" s="1"/>
    </row>
    <row r="932" ht="15.75" customHeight="1">
      <c r="A932" s="1"/>
      <c r="B932" s="1"/>
      <c r="C932" s="1"/>
      <c r="D932" s="1"/>
      <c r="E932" s="1"/>
      <c r="F932" s="1"/>
      <c r="G932" s="1"/>
      <c r="H932" s="1"/>
      <c r="I932" s="1"/>
      <c r="J932" s="1"/>
      <c r="K932" s="89" t="s">
        <v>1604</v>
      </c>
      <c r="L932" s="89" t="str">
        <f>D35</f>
        <v>C1a1~</v>
      </c>
      <c r="M932" s="89"/>
      <c r="N932" s="89" t="s">
        <v>1605</v>
      </c>
      <c r="O932" s="92">
        <v>8257381.0</v>
      </c>
      <c r="P932" s="92">
        <v>8389340.0</v>
      </c>
      <c r="Q932" s="89" t="s">
        <v>813</v>
      </c>
      <c r="AF932" s="1"/>
      <c r="AG932" s="1"/>
    </row>
    <row r="933" ht="15.75" customHeight="1">
      <c r="A933" s="1"/>
      <c r="B933" s="1"/>
      <c r="C933" s="1"/>
      <c r="D933" s="1"/>
      <c r="E933" s="1"/>
      <c r="F933" s="1"/>
      <c r="G933" s="1"/>
      <c r="H933" s="1"/>
      <c r="I933" s="1"/>
      <c r="J933" s="1"/>
      <c r="K933" s="89" t="s">
        <v>1606</v>
      </c>
      <c r="L933" s="89" t="str">
        <f>D35</f>
        <v>C1a1~</v>
      </c>
      <c r="M933" s="89"/>
      <c r="N933" s="89" t="s">
        <v>1607</v>
      </c>
      <c r="O933" s="92">
        <v>8361281.0</v>
      </c>
      <c r="P933" s="92">
        <v>8493240.0</v>
      </c>
      <c r="Q933" s="89" t="s">
        <v>813</v>
      </c>
      <c r="AF933" s="1"/>
      <c r="AG933" s="1"/>
    </row>
    <row r="934" ht="15.75" customHeight="1">
      <c r="A934" s="1"/>
      <c r="B934" s="1"/>
      <c r="C934" s="1"/>
      <c r="D934" s="1"/>
      <c r="E934" s="1"/>
      <c r="F934" s="1"/>
      <c r="G934" s="1"/>
      <c r="H934" s="1"/>
      <c r="I934" s="1"/>
      <c r="J934" s="1"/>
      <c r="K934" s="89" t="s">
        <v>1608</v>
      </c>
      <c r="L934" s="89" t="str">
        <f>D35</f>
        <v>C1a1~</v>
      </c>
      <c r="M934" s="89"/>
      <c r="N934" s="89" t="s">
        <v>1609</v>
      </c>
      <c r="O934" s="92">
        <v>8527900.0</v>
      </c>
      <c r="P934" s="92">
        <v>8659859.0</v>
      </c>
      <c r="Q934" s="89" t="s">
        <v>810</v>
      </c>
      <c r="AF934" s="1"/>
      <c r="AG934" s="1"/>
    </row>
    <row r="935" ht="15.75" customHeight="1">
      <c r="A935" s="1"/>
      <c r="B935" s="1"/>
      <c r="C935" s="1"/>
      <c r="D935" s="1"/>
      <c r="E935" s="1"/>
      <c r="F935" s="1"/>
      <c r="G935" s="1"/>
      <c r="H935" s="1"/>
      <c r="I935" s="1"/>
      <c r="J935" s="1"/>
      <c r="K935" s="89" t="s">
        <v>1610</v>
      </c>
      <c r="L935" s="89" t="str">
        <f>D35</f>
        <v>C1a1~</v>
      </c>
      <c r="M935" s="89"/>
      <c r="N935" s="89" t="s">
        <v>1611</v>
      </c>
      <c r="O935" s="92">
        <v>8588620.0</v>
      </c>
      <c r="P935" s="92">
        <v>8720579.0</v>
      </c>
      <c r="Q935" s="89" t="s">
        <v>822</v>
      </c>
      <c r="AF935" s="1"/>
      <c r="AG935" s="1"/>
    </row>
    <row r="936" ht="15.75" customHeight="1">
      <c r="A936" s="1"/>
      <c r="B936" s="1"/>
      <c r="C936" s="1"/>
      <c r="D936" s="1"/>
      <c r="E936" s="1"/>
      <c r="F936" s="1"/>
      <c r="G936" s="1"/>
      <c r="H936" s="1"/>
      <c r="I936" s="1"/>
      <c r="J936" s="1"/>
      <c r="K936" s="89" t="s">
        <v>1612</v>
      </c>
      <c r="L936" s="89" t="str">
        <f>D35</f>
        <v>C1a1~</v>
      </c>
      <c r="M936" s="89"/>
      <c r="N936" s="89" t="s">
        <v>1613</v>
      </c>
      <c r="O936" s="92">
        <v>8593123.0</v>
      </c>
      <c r="P936" s="92">
        <v>8725082.0</v>
      </c>
      <c r="Q936" s="89" t="s">
        <v>864</v>
      </c>
      <c r="AF936" s="1"/>
      <c r="AG936" s="1"/>
    </row>
    <row r="937" ht="15.75" customHeight="1">
      <c r="A937" s="1"/>
      <c r="B937" s="1"/>
      <c r="C937" s="1"/>
      <c r="D937" s="1"/>
      <c r="E937" s="1"/>
      <c r="F937" s="1"/>
      <c r="G937" s="1"/>
      <c r="H937" s="1"/>
      <c r="I937" s="1"/>
      <c r="J937" s="1"/>
      <c r="K937" s="89" t="s">
        <v>1614</v>
      </c>
      <c r="L937" s="89" t="str">
        <f>D35</f>
        <v>C1a1~</v>
      </c>
      <c r="M937" s="89"/>
      <c r="N937" s="89" t="s">
        <v>1615</v>
      </c>
      <c r="O937" s="92">
        <v>8879475.0</v>
      </c>
      <c r="P937" s="92">
        <v>9011434.0</v>
      </c>
      <c r="Q937" s="89" t="s">
        <v>838</v>
      </c>
      <c r="AF937" s="1"/>
      <c r="AG937" s="1"/>
    </row>
    <row r="938" ht="15.75" customHeight="1">
      <c r="A938" s="1"/>
      <c r="B938" s="1"/>
      <c r="C938" s="1"/>
      <c r="D938" s="1"/>
      <c r="E938" s="1"/>
      <c r="F938" s="1"/>
      <c r="G938" s="1"/>
      <c r="H938" s="1"/>
      <c r="I938" s="1"/>
      <c r="J938" s="1"/>
      <c r="K938" s="89" t="s">
        <v>1616</v>
      </c>
      <c r="L938" s="89" t="str">
        <f>D35</f>
        <v>C1a1~</v>
      </c>
      <c r="M938" s="89"/>
      <c r="N938" s="89" t="s">
        <v>1617</v>
      </c>
      <c r="O938" s="92">
        <v>1.3205171E7</v>
      </c>
      <c r="P938" s="92">
        <v>1.1049495E7</v>
      </c>
      <c r="Q938" s="89" t="s">
        <v>822</v>
      </c>
      <c r="AF938" s="1"/>
      <c r="AG938" s="1"/>
    </row>
    <row r="939" ht="15.75" customHeight="1">
      <c r="A939" s="1"/>
      <c r="B939" s="1"/>
      <c r="C939" s="1"/>
      <c r="D939" s="1"/>
      <c r="E939" s="1"/>
      <c r="F939" s="1"/>
      <c r="G939" s="1"/>
      <c r="H939" s="1"/>
      <c r="I939" s="1"/>
      <c r="J939" s="1"/>
      <c r="K939" s="89" t="s">
        <v>1618</v>
      </c>
      <c r="L939" s="89" t="str">
        <f>D35</f>
        <v>C1a1~</v>
      </c>
      <c r="M939" s="89"/>
      <c r="N939" s="89" t="s">
        <v>1619</v>
      </c>
      <c r="O939" s="92">
        <v>1.3682831E7</v>
      </c>
      <c r="P939" s="92">
        <v>1.1527155E7</v>
      </c>
      <c r="Q939" s="89" t="s">
        <v>912</v>
      </c>
      <c r="AF939" s="1"/>
      <c r="AG939" s="1"/>
    </row>
    <row r="940" ht="15.75" customHeight="1">
      <c r="A940" s="1"/>
      <c r="B940" s="1"/>
      <c r="C940" s="1"/>
      <c r="D940" s="1"/>
      <c r="E940" s="1"/>
      <c r="F940" s="1"/>
      <c r="G940" s="1"/>
      <c r="H940" s="1"/>
      <c r="I940" s="1"/>
      <c r="J940" s="1"/>
      <c r="K940" s="89" t="s">
        <v>1620</v>
      </c>
      <c r="L940" s="89" t="str">
        <f>D35</f>
        <v>C1a1~</v>
      </c>
      <c r="M940" s="89"/>
      <c r="N940" s="89" t="s">
        <v>1621</v>
      </c>
      <c r="O940" s="92">
        <v>1.3806358E7</v>
      </c>
      <c r="P940" s="92">
        <v>1.1685652E7</v>
      </c>
      <c r="Q940" s="89" t="s">
        <v>810</v>
      </c>
      <c r="AF940" s="1"/>
      <c r="AG940" s="1"/>
    </row>
    <row r="941" ht="15.75" customHeight="1">
      <c r="A941" s="1"/>
      <c r="B941" s="1"/>
      <c r="C941" s="1"/>
      <c r="D941" s="1"/>
      <c r="E941" s="1"/>
      <c r="F941" s="1"/>
      <c r="G941" s="1"/>
      <c r="H941" s="1"/>
      <c r="I941" s="1"/>
      <c r="J941" s="1"/>
      <c r="K941" s="89" t="s">
        <v>1622</v>
      </c>
      <c r="L941" s="89" t="str">
        <f>D35</f>
        <v>C1a1~</v>
      </c>
      <c r="M941" s="89"/>
      <c r="N941" s="89" t="s">
        <v>1623</v>
      </c>
      <c r="O941" s="92">
        <v>1.4248731E7</v>
      </c>
      <c r="P941" s="92">
        <v>1.2128025E7</v>
      </c>
      <c r="Q941" s="89" t="s">
        <v>810</v>
      </c>
      <c r="AF941" s="1"/>
      <c r="AG941" s="1"/>
    </row>
    <row r="942" ht="15.75" customHeight="1">
      <c r="A942" s="1"/>
      <c r="B942" s="1"/>
      <c r="C942" s="1"/>
      <c r="D942" s="1"/>
      <c r="E942" s="1"/>
      <c r="F942" s="1"/>
      <c r="G942" s="1"/>
      <c r="H942" s="1"/>
      <c r="I942" s="1"/>
      <c r="J942" s="1"/>
      <c r="K942" s="89" t="s">
        <v>1624</v>
      </c>
      <c r="L942" s="89" t="str">
        <f>D35</f>
        <v>C1a1~</v>
      </c>
      <c r="M942" s="89"/>
      <c r="N942" s="89" t="s">
        <v>1625</v>
      </c>
      <c r="O942" s="92">
        <v>1.7148848E7</v>
      </c>
      <c r="P942" s="92">
        <v>1.5036968E7</v>
      </c>
      <c r="Q942" s="89" t="s">
        <v>802</v>
      </c>
      <c r="AF942" s="1"/>
      <c r="AG942" s="1"/>
    </row>
    <row r="943" ht="15.75" customHeight="1">
      <c r="A943" s="1"/>
      <c r="B943" s="1"/>
      <c r="C943" s="1"/>
      <c r="D943" s="1"/>
      <c r="E943" s="1"/>
      <c r="F943" s="1"/>
      <c r="G943" s="1"/>
      <c r="H943" s="1"/>
      <c r="I943" s="1"/>
      <c r="J943" s="1"/>
      <c r="K943" s="89" t="s">
        <v>1626</v>
      </c>
      <c r="L943" s="89" t="str">
        <f>D35</f>
        <v>C1a1~</v>
      </c>
      <c r="M943" s="89"/>
      <c r="N943" s="89" t="s">
        <v>1627</v>
      </c>
      <c r="O943" s="92">
        <v>2.2178004E7</v>
      </c>
      <c r="P943" s="92">
        <v>2.0016118E7</v>
      </c>
      <c r="Q943" s="89" t="s">
        <v>879</v>
      </c>
      <c r="AF943" s="1"/>
      <c r="AG943" s="1"/>
    </row>
    <row r="944" ht="15.75" customHeight="1">
      <c r="A944" s="1"/>
      <c r="B944" s="1"/>
      <c r="C944" s="1"/>
      <c r="D944" s="1"/>
      <c r="E944" s="1"/>
      <c r="F944" s="1"/>
      <c r="G944" s="1"/>
      <c r="H944" s="1"/>
      <c r="I944" s="1"/>
      <c r="J944" s="1"/>
      <c r="K944" s="89" t="s">
        <v>1628</v>
      </c>
      <c r="L944" s="89" t="str">
        <f>D35</f>
        <v>C1a1~</v>
      </c>
      <c r="M944" s="89"/>
      <c r="N944" s="89" t="s">
        <v>1629</v>
      </c>
      <c r="O944" s="92">
        <v>2.2204702E7</v>
      </c>
      <c r="P944" s="92">
        <v>2.0042816E7</v>
      </c>
      <c r="Q944" s="89" t="s">
        <v>802</v>
      </c>
      <c r="AF944" s="1"/>
      <c r="AG944" s="1"/>
    </row>
    <row r="945" ht="15.75" customHeight="1">
      <c r="A945" s="1"/>
      <c r="B945" s="1"/>
      <c r="C945" s="1"/>
      <c r="D945" s="1"/>
      <c r="E945" s="1"/>
      <c r="F945" s="1"/>
      <c r="G945" s="1"/>
      <c r="H945" s="1"/>
      <c r="I945" s="1"/>
      <c r="J945" s="1"/>
      <c r="K945" s="89" t="s">
        <v>1630</v>
      </c>
      <c r="L945" s="89" t="str">
        <f>D35</f>
        <v>C1a1~</v>
      </c>
      <c r="M945" s="89"/>
      <c r="N945" s="89" t="s">
        <v>1631</v>
      </c>
      <c r="O945" s="92">
        <v>2.438239E7</v>
      </c>
      <c r="P945" s="92">
        <v>2.2236243E7</v>
      </c>
      <c r="Q945" s="89" t="s">
        <v>810</v>
      </c>
      <c r="AF945" s="1"/>
      <c r="AG945" s="1"/>
    </row>
    <row r="946" ht="15.75" customHeight="1">
      <c r="A946" s="1"/>
      <c r="B946" s="1"/>
      <c r="C946" s="1"/>
      <c r="D946" s="1"/>
      <c r="E946" s="1"/>
      <c r="F946" s="1"/>
      <c r="G946" s="1"/>
      <c r="H946" s="1"/>
      <c r="I946" s="1"/>
      <c r="J946" s="1"/>
      <c r="K946" s="89" t="s">
        <v>1632</v>
      </c>
      <c r="L946" s="89" t="str">
        <f>D35</f>
        <v>C1a1~</v>
      </c>
      <c r="M946" s="89"/>
      <c r="N946" s="89" t="s">
        <v>1633</v>
      </c>
      <c r="O946" s="92">
        <v>6630864.0</v>
      </c>
      <c r="P946" s="92">
        <v>6762823.0</v>
      </c>
      <c r="Q946" s="89" t="s">
        <v>864</v>
      </c>
      <c r="AF946" s="1"/>
      <c r="AG946" s="1"/>
    </row>
    <row r="947" ht="15.75" customHeight="1">
      <c r="A947" s="1"/>
      <c r="B947" s="1"/>
      <c r="C947" s="1"/>
      <c r="D947" s="1"/>
      <c r="E947" s="1"/>
      <c r="F947" s="1"/>
      <c r="G947" s="1"/>
      <c r="H947" s="1"/>
      <c r="I947" s="1"/>
      <c r="J947" s="1"/>
      <c r="K947" s="89" t="s">
        <v>1634</v>
      </c>
      <c r="L947" s="89" t="str">
        <f>D35</f>
        <v>C1a1~</v>
      </c>
      <c r="M947" s="89"/>
      <c r="N947" s="89" t="s">
        <v>1635</v>
      </c>
      <c r="O947" s="92">
        <v>6643694.0</v>
      </c>
      <c r="P947" s="92">
        <v>6775653.0</v>
      </c>
      <c r="Q947" s="89" t="s">
        <v>917</v>
      </c>
      <c r="AF947" s="1"/>
      <c r="AG947" s="1"/>
    </row>
    <row r="948" ht="15.75" customHeight="1">
      <c r="A948" s="1"/>
      <c r="B948" s="1"/>
      <c r="C948" s="1"/>
      <c r="D948" s="1"/>
      <c r="E948" s="1"/>
      <c r="F948" s="1"/>
      <c r="G948" s="1"/>
      <c r="H948" s="1"/>
      <c r="I948" s="1"/>
      <c r="J948" s="1"/>
      <c r="K948" s="89" t="s">
        <v>1636</v>
      </c>
      <c r="L948" s="89" t="str">
        <f>D35</f>
        <v>C1a1~</v>
      </c>
      <c r="M948" s="89"/>
      <c r="N948" s="89" t="s">
        <v>1637</v>
      </c>
      <c r="O948" s="92">
        <v>6656306.0</v>
      </c>
      <c r="P948" s="92">
        <v>6788265.0</v>
      </c>
      <c r="Q948" s="89" t="s">
        <v>838</v>
      </c>
      <c r="AF948" s="1"/>
      <c r="AG948" s="1"/>
    </row>
    <row r="949" ht="15.75" customHeight="1">
      <c r="A949" s="1"/>
      <c r="B949" s="1"/>
      <c r="C949" s="1"/>
      <c r="D949" s="1"/>
      <c r="E949" s="1"/>
      <c r="F949" s="1"/>
      <c r="G949" s="1"/>
      <c r="H949" s="1"/>
      <c r="I949" s="1"/>
      <c r="J949" s="1"/>
      <c r="K949" s="89" t="s">
        <v>1638</v>
      </c>
      <c r="L949" s="89" t="str">
        <f>D35</f>
        <v>C1a1~</v>
      </c>
      <c r="M949" s="89"/>
      <c r="N949" s="89" t="s">
        <v>1639</v>
      </c>
      <c r="O949" s="92">
        <v>7783095.0</v>
      </c>
      <c r="P949" s="92">
        <v>7915054.0</v>
      </c>
      <c r="Q949" s="89" t="s">
        <v>802</v>
      </c>
      <c r="AF949" s="1"/>
      <c r="AG949" s="1"/>
    </row>
    <row r="950" ht="15.75" customHeight="1">
      <c r="A950" s="1"/>
      <c r="B950" s="1"/>
      <c r="C950" s="1"/>
      <c r="D950" s="1"/>
      <c r="E950" s="1"/>
      <c r="F950" s="1"/>
      <c r="G950" s="1"/>
      <c r="H950" s="1"/>
      <c r="I950" s="1"/>
      <c r="J950" s="1"/>
      <c r="K950" s="89" t="s">
        <v>1640</v>
      </c>
      <c r="L950" s="89" t="str">
        <f>D35</f>
        <v>C1a1~</v>
      </c>
      <c r="M950" s="89"/>
      <c r="N950" s="89" t="s">
        <v>1641</v>
      </c>
      <c r="O950" s="89">
        <v>7805998.0</v>
      </c>
      <c r="P950" s="89">
        <v>7937957.0</v>
      </c>
      <c r="Q950" s="89" t="s">
        <v>802</v>
      </c>
      <c r="AF950" s="1"/>
      <c r="AG950" s="1"/>
    </row>
    <row r="951" ht="15.75" customHeight="1">
      <c r="A951" s="1"/>
      <c r="B951" s="1"/>
      <c r="C951" s="1"/>
      <c r="D951" s="1"/>
      <c r="E951" s="1"/>
      <c r="F951" s="1"/>
      <c r="G951" s="1"/>
      <c r="H951" s="1"/>
      <c r="I951" s="1"/>
      <c r="J951" s="1"/>
      <c r="K951" s="89" t="s">
        <v>1642</v>
      </c>
      <c r="L951" s="89" t="str">
        <f>D35</f>
        <v>C1a1~</v>
      </c>
      <c r="M951" s="89"/>
      <c r="N951" s="89" t="s">
        <v>1643</v>
      </c>
      <c r="O951" s="92">
        <v>7926004.0</v>
      </c>
      <c r="P951" s="92">
        <v>8057963.0</v>
      </c>
      <c r="Q951" s="89" t="s">
        <v>912</v>
      </c>
      <c r="AF951" s="1"/>
      <c r="AG951" s="1"/>
    </row>
    <row r="952" ht="15.75" customHeight="1">
      <c r="A952" s="1"/>
      <c r="B952" s="1"/>
      <c r="C952" s="1"/>
      <c r="D952" s="1"/>
      <c r="E952" s="1"/>
      <c r="F952" s="1"/>
      <c r="G952" s="1"/>
      <c r="H952" s="1"/>
      <c r="I952" s="1"/>
      <c r="J952" s="1"/>
      <c r="K952" s="89" t="s">
        <v>1644</v>
      </c>
      <c r="L952" s="89" t="str">
        <f>D35</f>
        <v>C1a1~</v>
      </c>
      <c r="M952" s="89"/>
      <c r="N952" s="89" t="s">
        <v>1645</v>
      </c>
      <c r="O952" s="92">
        <v>8009215.0</v>
      </c>
      <c r="P952" s="92">
        <v>8141174.0</v>
      </c>
      <c r="Q952" s="89" t="s">
        <v>822</v>
      </c>
      <c r="AF952" s="1"/>
      <c r="AG952" s="1"/>
    </row>
    <row r="953" ht="15.75" customHeight="1">
      <c r="A953" s="1"/>
      <c r="B953" s="1"/>
      <c r="C953" s="1"/>
      <c r="D953" s="1"/>
      <c r="E953" s="1"/>
      <c r="F953" s="1"/>
      <c r="G953" s="1"/>
      <c r="H953" s="1"/>
      <c r="I953" s="1"/>
      <c r="J953" s="1"/>
      <c r="K953" s="89" t="s">
        <v>1646</v>
      </c>
      <c r="L953" s="89" t="str">
        <f>D35</f>
        <v>C1a1~</v>
      </c>
      <c r="M953" s="89"/>
      <c r="N953" s="89" t="s">
        <v>1647</v>
      </c>
      <c r="O953" s="92">
        <v>8016226.0</v>
      </c>
      <c r="P953" s="92">
        <v>8148185.0</v>
      </c>
      <c r="Q953" s="89" t="s">
        <v>802</v>
      </c>
      <c r="AF953" s="1"/>
      <c r="AG953" s="1"/>
    </row>
    <row r="954" ht="15.75" customHeight="1">
      <c r="A954" s="1"/>
      <c r="B954" s="1"/>
      <c r="C954" s="1"/>
      <c r="D954" s="1"/>
      <c r="E954" s="1"/>
      <c r="F954" s="1"/>
      <c r="G954" s="1"/>
      <c r="H954" s="1"/>
      <c r="I954" s="1"/>
      <c r="J954" s="1"/>
      <c r="K954" s="89" t="s">
        <v>1648</v>
      </c>
      <c r="L954" s="89" t="str">
        <f>D35</f>
        <v>C1a1~</v>
      </c>
      <c r="M954" s="89"/>
      <c r="N954" s="89" t="s">
        <v>1649</v>
      </c>
      <c r="O954" s="92">
        <v>8300108.0</v>
      </c>
      <c r="P954" s="92">
        <v>8432067.0</v>
      </c>
      <c r="Q954" s="89" t="s">
        <v>802</v>
      </c>
      <c r="AF954" s="1"/>
      <c r="AG954" s="1"/>
    </row>
    <row r="955" ht="15.75" customHeight="1">
      <c r="A955" s="1"/>
      <c r="B955" s="1"/>
      <c r="C955" s="1"/>
      <c r="D955" s="1"/>
      <c r="E955" s="1"/>
      <c r="F955" s="1"/>
      <c r="G955" s="1"/>
      <c r="H955" s="1"/>
      <c r="I955" s="1"/>
      <c r="J955" s="1"/>
      <c r="K955" s="89" t="s">
        <v>1650</v>
      </c>
      <c r="L955" s="89" t="str">
        <f>D35</f>
        <v>C1a1~</v>
      </c>
      <c r="M955" s="89"/>
      <c r="N955" s="89" t="s">
        <v>1651</v>
      </c>
      <c r="O955" s="92">
        <v>8473145.0</v>
      </c>
      <c r="P955" s="92">
        <v>8605104.0</v>
      </c>
      <c r="Q955" s="89" t="s">
        <v>912</v>
      </c>
      <c r="AF955" s="1"/>
      <c r="AG955" s="1"/>
    </row>
    <row r="956" ht="15.75" customHeight="1">
      <c r="A956" s="1"/>
      <c r="B956" s="1"/>
      <c r="C956" s="1"/>
      <c r="D956" s="1"/>
      <c r="E956" s="1"/>
      <c r="F956" s="1"/>
      <c r="G956" s="1"/>
      <c r="H956" s="1"/>
      <c r="I956" s="1"/>
      <c r="J956" s="1"/>
      <c r="K956" s="89" t="s">
        <v>1652</v>
      </c>
      <c r="L956" s="89" t="str">
        <f>D35</f>
        <v>C1a1~</v>
      </c>
      <c r="M956" s="89"/>
      <c r="N956" s="89" t="s">
        <v>1653</v>
      </c>
      <c r="O956" s="92">
        <v>8503368.0</v>
      </c>
      <c r="P956" s="92">
        <v>8635327.0</v>
      </c>
      <c r="Q956" s="89" t="s">
        <v>802</v>
      </c>
      <c r="AF956" s="1"/>
      <c r="AG956" s="1"/>
    </row>
    <row r="957" ht="15.75" customHeight="1">
      <c r="A957" s="1"/>
      <c r="B957" s="1"/>
      <c r="C957" s="1"/>
      <c r="D957" s="1"/>
      <c r="E957" s="1"/>
      <c r="F957" s="1"/>
      <c r="G957" s="1"/>
      <c r="H957" s="1"/>
      <c r="I957" s="1"/>
      <c r="J957" s="1"/>
      <c r="K957" s="89" t="s">
        <v>1654</v>
      </c>
      <c r="L957" s="89" t="str">
        <f>D35</f>
        <v>C1a1~</v>
      </c>
      <c r="M957" s="89"/>
      <c r="N957" s="89" t="s">
        <v>1655</v>
      </c>
      <c r="O957" s="92">
        <v>8611201.0</v>
      </c>
      <c r="P957" s="92">
        <v>8743160.0</v>
      </c>
      <c r="Q957" s="89" t="s">
        <v>845</v>
      </c>
      <c r="AF957" s="1"/>
      <c r="AG957" s="1"/>
    </row>
    <row r="958" ht="15.75" customHeight="1">
      <c r="A958" s="1"/>
      <c r="B958" s="1"/>
      <c r="C958" s="1"/>
      <c r="D958" s="1"/>
      <c r="E958" s="1"/>
      <c r="F958" s="1"/>
      <c r="G958" s="1"/>
      <c r="H958" s="1"/>
      <c r="I958" s="1"/>
      <c r="J958" s="1"/>
      <c r="K958" s="89" t="s">
        <v>1656</v>
      </c>
      <c r="L958" s="89" t="str">
        <f>D35</f>
        <v>C1a1~</v>
      </c>
      <c r="M958" s="89"/>
      <c r="N958" s="89" t="s">
        <v>1657</v>
      </c>
      <c r="O958" s="92">
        <v>8664609.0</v>
      </c>
      <c r="P958" s="92">
        <v>8796568.0</v>
      </c>
      <c r="Q958" s="89" t="s">
        <v>879</v>
      </c>
      <c r="AF958" s="1"/>
      <c r="AG958" s="1"/>
    </row>
    <row r="959" ht="15.75" customHeight="1">
      <c r="A959" s="1"/>
      <c r="B959" s="1"/>
      <c r="C959" s="1"/>
      <c r="D959" s="1"/>
      <c r="E959" s="1"/>
      <c r="F959" s="1"/>
      <c r="G959" s="1"/>
      <c r="H959" s="1"/>
      <c r="I959" s="1"/>
      <c r="J959" s="1"/>
      <c r="K959" s="89" t="s">
        <v>1658</v>
      </c>
      <c r="L959" s="89" t="str">
        <f>D35</f>
        <v>C1a1~</v>
      </c>
      <c r="M959" s="89"/>
      <c r="N959" s="89" t="s">
        <v>1659</v>
      </c>
      <c r="O959" s="92">
        <v>8767107.0</v>
      </c>
      <c r="P959" s="92">
        <v>8899066.0</v>
      </c>
      <c r="Q959" s="89" t="s">
        <v>912</v>
      </c>
      <c r="AF959" s="1"/>
      <c r="AG959" s="1"/>
    </row>
    <row r="960" ht="15.75" customHeight="1">
      <c r="A960" s="1"/>
      <c r="B960" s="1"/>
      <c r="C960" s="1"/>
      <c r="D960" s="1"/>
      <c r="E960" s="1"/>
      <c r="F960" s="1"/>
      <c r="G960" s="1"/>
      <c r="H960" s="1"/>
      <c r="I960" s="1"/>
      <c r="J960" s="1"/>
      <c r="K960" s="89" t="s">
        <v>1660</v>
      </c>
      <c r="L960" s="89" t="str">
        <f>D35</f>
        <v>C1a1~</v>
      </c>
      <c r="M960" s="89"/>
      <c r="N960" s="89" t="s">
        <v>1661</v>
      </c>
      <c r="O960" s="92">
        <v>8829180.0</v>
      </c>
      <c r="P960" s="92">
        <v>8961139.0</v>
      </c>
      <c r="Q960" s="89" t="s">
        <v>838</v>
      </c>
      <c r="AF960" s="1"/>
      <c r="AG960" s="1"/>
    </row>
    <row r="961" ht="15.75" customHeight="1">
      <c r="A961" s="1"/>
      <c r="B961" s="1"/>
      <c r="C961" s="1"/>
      <c r="D961" s="1"/>
      <c r="E961" s="1"/>
      <c r="F961" s="1"/>
      <c r="G961" s="1"/>
      <c r="H961" s="1"/>
      <c r="I961" s="1"/>
      <c r="J961" s="1"/>
      <c r="K961" s="89" t="s">
        <v>1662</v>
      </c>
      <c r="L961" s="89" t="str">
        <f>D35</f>
        <v>C1a1~</v>
      </c>
      <c r="M961" s="89"/>
      <c r="N961" s="89" t="s">
        <v>1663</v>
      </c>
      <c r="O961" s="92">
        <v>8877481.0</v>
      </c>
      <c r="P961" s="92">
        <v>9009440.0</v>
      </c>
      <c r="Q961" s="89" t="s">
        <v>886</v>
      </c>
      <c r="AF961" s="1"/>
      <c r="AG961" s="1"/>
    </row>
    <row r="962" ht="15.75" customHeight="1">
      <c r="A962" s="1"/>
      <c r="B962" s="1"/>
      <c r="C962" s="1"/>
      <c r="D962" s="1"/>
      <c r="E962" s="1"/>
      <c r="F962" s="1"/>
      <c r="G962" s="1"/>
      <c r="H962" s="1"/>
      <c r="I962" s="1"/>
      <c r="J962" s="1"/>
      <c r="K962" s="89" t="s">
        <v>1664</v>
      </c>
      <c r="L962" s="89" t="str">
        <f>D35</f>
        <v>C1a1~</v>
      </c>
      <c r="M962" s="89"/>
      <c r="N962" s="89" t="s">
        <v>1665</v>
      </c>
      <c r="O962" s="92">
        <v>9380925.0</v>
      </c>
      <c r="P962" s="92">
        <v>9543316.0</v>
      </c>
      <c r="Q962" s="89" t="s">
        <v>822</v>
      </c>
      <c r="AF962" s="1"/>
      <c r="AG962" s="1"/>
    </row>
    <row r="963" ht="15.75" customHeight="1">
      <c r="A963" s="1"/>
      <c r="B963" s="1"/>
      <c r="C963" s="1"/>
      <c r="D963" s="1"/>
      <c r="E963" s="1"/>
      <c r="F963" s="1"/>
      <c r="G963" s="1"/>
      <c r="H963" s="1"/>
      <c r="I963" s="1"/>
      <c r="J963" s="1"/>
      <c r="K963" s="89" t="s">
        <v>1666</v>
      </c>
      <c r="L963" s="89" t="str">
        <f>D35</f>
        <v>C1a1~</v>
      </c>
      <c r="M963" s="89"/>
      <c r="N963" s="89" t="s">
        <v>1667</v>
      </c>
      <c r="O963" s="92">
        <v>9398094.0</v>
      </c>
      <c r="P963" s="92">
        <v>9560485.0</v>
      </c>
      <c r="Q963" s="89" t="s">
        <v>802</v>
      </c>
      <c r="AF963" s="1"/>
      <c r="AG963" s="1"/>
    </row>
    <row r="964" ht="15.75" customHeight="1">
      <c r="A964" s="1"/>
      <c r="B964" s="1"/>
      <c r="C964" s="1"/>
      <c r="D964" s="1"/>
      <c r="E964" s="1"/>
      <c r="F964" s="1"/>
      <c r="G964" s="1"/>
      <c r="H964" s="1"/>
      <c r="I964" s="1"/>
      <c r="J964" s="1"/>
      <c r="K964" s="89" t="s">
        <v>1668</v>
      </c>
      <c r="L964" s="89" t="str">
        <f>D35</f>
        <v>C1a1~</v>
      </c>
      <c r="M964" s="89"/>
      <c r="N964" s="89" t="s">
        <v>1669</v>
      </c>
      <c r="O964" s="92">
        <v>9457610.0</v>
      </c>
      <c r="P964" s="92">
        <v>9620001.0</v>
      </c>
      <c r="Q964" s="89" t="s">
        <v>912</v>
      </c>
      <c r="AF964" s="1"/>
      <c r="AG964" s="1"/>
    </row>
    <row r="965" ht="15.75" customHeight="1">
      <c r="A965" s="1"/>
      <c r="B965" s="1"/>
      <c r="C965" s="1"/>
      <c r="D965" s="1"/>
      <c r="E965" s="1"/>
      <c r="F965" s="1"/>
      <c r="G965" s="1"/>
      <c r="H965" s="1"/>
      <c r="I965" s="1"/>
      <c r="J965" s="1"/>
      <c r="K965" s="89" t="s">
        <v>1670</v>
      </c>
      <c r="L965" s="89" t="str">
        <f>D35</f>
        <v>C1a1~</v>
      </c>
      <c r="M965" s="89"/>
      <c r="N965" s="89" t="s">
        <v>1671</v>
      </c>
      <c r="O965" s="92">
        <v>9464546.0</v>
      </c>
      <c r="P965" s="92">
        <v>9626937.0</v>
      </c>
      <c r="Q965" s="89" t="s">
        <v>838</v>
      </c>
      <c r="AF965" s="1"/>
      <c r="AG965" s="1"/>
    </row>
    <row r="966" ht="15.75" customHeight="1">
      <c r="A966" s="1"/>
      <c r="B966" s="1"/>
      <c r="C966" s="1"/>
      <c r="D966" s="1"/>
      <c r="E966" s="1"/>
      <c r="F966" s="1"/>
      <c r="G966" s="1"/>
      <c r="H966" s="1"/>
      <c r="I966" s="1"/>
      <c r="J966" s="1"/>
      <c r="K966" s="89" t="s">
        <v>1672</v>
      </c>
      <c r="L966" s="89" t="str">
        <f>D35</f>
        <v>C1a1~</v>
      </c>
      <c r="M966" s="89"/>
      <c r="N966" s="89" t="s">
        <v>1673</v>
      </c>
      <c r="O966" s="92">
        <v>9811038.0</v>
      </c>
      <c r="P966" s="92">
        <v>9973429.0</v>
      </c>
      <c r="Q966" s="89" t="s">
        <v>838</v>
      </c>
      <c r="AF966" s="1"/>
      <c r="AG966" s="1"/>
    </row>
    <row r="967" ht="15.75" customHeight="1">
      <c r="A967" s="1"/>
      <c r="B967" s="1"/>
      <c r="C967" s="1"/>
      <c r="D967" s="1"/>
      <c r="E967" s="1"/>
      <c r="F967" s="1"/>
      <c r="G967" s="1"/>
      <c r="H967" s="1"/>
      <c r="I967" s="1"/>
      <c r="J967" s="1"/>
      <c r="K967" s="89" t="s">
        <v>1674</v>
      </c>
      <c r="L967" s="89" t="str">
        <f>D35</f>
        <v>C1a1~</v>
      </c>
      <c r="M967" s="89"/>
      <c r="N967" s="89" t="s">
        <v>1675</v>
      </c>
      <c r="O967" s="92">
        <v>1.3199484E7</v>
      </c>
      <c r="P967" s="92">
        <v>1.1043808E7</v>
      </c>
      <c r="Q967" s="89" t="s">
        <v>845</v>
      </c>
      <c r="AF967" s="1"/>
      <c r="AG967" s="1"/>
    </row>
    <row r="968" ht="15.75" customHeight="1">
      <c r="A968" s="1"/>
      <c r="B968" s="1"/>
      <c r="C968" s="1"/>
      <c r="D968" s="1"/>
      <c r="E968" s="1"/>
      <c r="F968" s="1"/>
      <c r="G968" s="1"/>
      <c r="H968" s="1"/>
      <c r="I968" s="1"/>
      <c r="J968" s="1"/>
      <c r="K968" s="89" t="s">
        <v>1676</v>
      </c>
      <c r="L968" s="89" t="str">
        <f>D35</f>
        <v>C1a1~</v>
      </c>
      <c r="M968" s="89"/>
      <c r="N968" s="89" t="s">
        <v>1677</v>
      </c>
      <c r="O968" s="92">
        <v>1.3211816E7</v>
      </c>
      <c r="P968" s="92">
        <v>1.105614E7</v>
      </c>
      <c r="Q968" s="89" t="s">
        <v>802</v>
      </c>
      <c r="AF968" s="1"/>
      <c r="AG968" s="1"/>
    </row>
    <row r="969" ht="15.75" customHeight="1">
      <c r="A969" s="1"/>
      <c r="B969" s="1"/>
      <c r="C969" s="1"/>
      <c r="D969" s="1"/>
      <c r="E969" s="1"/>
      <c r="F969" s="1"/>
      <c r="G969" s="1"/>
      <c r="H969" s="1"/>
      <c r="I969" s="1"/>
      <c r="J969" s="1"/>
      <c r="K969" s="89" t="s">
        <v>1678</v>
      </c>
      <c r="L969" s="89" t="str">
        <f>D35</f>
        <v>C1a1~</v>
      </c>
      <c r="M969" s="89"/>
      <c r="N969" s="89" t="s">
        <v>1679</v>
      </c>
      <c r="O969" s="92">
        <v>1.4097044E7</v>
      </c>
      <c r="P969" s="92">
        <v>1.1976338E7</v>
      </c>
      <c r="Q969" s="89" t="s">
        <v>810</v>
      </c>
      <c r="AF969" s="1"/>
      <c r="AG969" s="1"/>
    </row>
    <row r="970" ht="15.75" customHeight="1">
      <c r="A970" s="1"/>
      <c r="B970" s="1"/>
      <c r="C970" s="1"/>
      <c r="D970" s="1"/>
      <c r="E970" s="1"/>
      <c r="F970" s="1"/>
      <c r="G970" s="1"/>
      <c r="H970" s="1"/>
      <c r="I970" s="1"/>
      <c r="J970" s="1"/>
      <c r="K970" s="89" t="s">
        <v>1680</v>
      </c>
      <c r="L970" s="89" t="str">
        <f>D35</f>
        <v>C1a1~</v>
      </c>
      <c r="M970" s="89"/>
      <c r="N970" s="89" t="s">
        <v>1681</v>
      </c>
      <c r="O970" s="92">
        <v>1.4244982E7</v>
      </c>
      <c r="P970" s="92">
        <v>1.2124276E7</v>
      </c>
      <c r="Q970" s="89" t="s">
        <v>838</v>
      </c>
      <c r="AF970" s="1"/>
      <c r="AG970" s="1"/>
    </row>
    <row r="971" ht="15.75" customHeight="1">
      <c r="A971" s="1"/>
      <c r="B971" s="1"/>
      <c r="C971" s="1"/>
      <c r="D971" s="1"/>
      <c r="E971" s="1"/>
      <c r="F971" s="1"/>
      <c r="G971" s="1"/>
      <c r="H971" s="1"/>
      <c r="I971" s="1"/>
      <c r="J971" s="1"/>
      <c r="K971" s="89" t="s">
        <v>1682</v>
      </c>
      <c r="L971" s="89" t="str">
        <f>D35</f>
        <v>C1a1~</v>
      </c>
      <c r="M971" s="89"/>
      <c r="N971" s="89" t="s">
        <v>1683</v>
      </c>
      <c r="O971" s="92">
        <v>1.5278129E7</v>
      </c>
      <c r="P971" s="92">
        <v>1.3166218E7</v>
      </c>
      <c r="Q971" s="89" t="s">
        <v>813</v>
      </c>
      <c r="AF971" s="1"/>
      <c r="AG971" s="1"/>
    </row>
    <row r="972" ht="15.75" customHeight="1">
      <c r="A972" s="1"/>
      <c r="B972" s="1"/>
      <c r="C972" s="1"/>
      <c r="D972" s="1"/>
      <c r="E972" s="1"/>
      <c r="F972" s="1"/>
      <c r="G972" s="1"/>
      <c r="H972" s="1"/>
      <c r="I972" s="1"/>
      <c r="J972" s="1"/>
      <c r="K972" s="89" t="s">
        <v>1684</v>
      </c>
      <c r="L972" s="89" t="str">
        <f>D35</f>
        <v>C1a1~</v>
      </c>
      <c r="M972" s="89"/>
      <c r="N972" s="89" t="s">
        <v>1685</v>
      </c>
      <c r="O972" s="92">
        <v>1.636635E7</v>
      </c>
      <c r="P972" s="92">
        <v>1.425447E7</v>
      </c>
      <c r="Q972" s="89" t="s">
        <v>802</v>
      </c>
      <c r="AF972" s="1"/>
      <c r="AG972" s="1"/>
    </row>
    <row r="973" ht="15.75" customHeight="1">
      <c r="A973" s="1"/>
      <c r="B973" s="1"/>
      <c r="C973" s="1"/>
      <c r="D973" s="1"/>
      <c r="E973" s="1"/>
      <c r="F973" s="1"/>
      <c r="G973" s="1"/>
      <c r="H973" s="1"/>
      <c r="I973" s="1"/>
      <c r="J973" s="1"/>
      <c r="K973" s="89" t="s">
        <v>1686</v>
      </c>
      <c r="L973" s="89" t="str">
        <f>D35</f>
        <v>C1a1~</v>
      </c>
      <c r="M973" s="89"/>
      <c r="N973" s="89" t="s">
        <v>1687</v>
      </c>
      <c r="O973" s="92">
        <v>1.7048631E7</v>
      </c>
      <c r="P973" s="92">
        <v>1.4936751E7</v>
      </c>
      <c r="Q973" s="89" t="s">
        <v>822</v>
      </c>
      <c r="AF973" s="1"/>
      <c r="AG973" s="1"/>
    </row>
    <row r="974" ht="15.75" customHeight="1">
      <c r="A974" s="1"/>
      <c r="B974" s="1"/>
      <c r="C974" s="1"/>
      <c r="D974" s="1"/>
      <c r="E974" s="1"/>
      <c r="F974" s="1"/>
      <c r="G974" s="1"/>
      <c r="H974" s="1"/>
      <c r="I974" s="1"/>
      <c r="J974" s="1"/>
      <c r="K974" s="89" t="s">
        <v>1688</v>
      </c>
      <c r="L974" s="89" t="str">
        <f>D35</f>
        <v>C1a1~</v>
      </c>
      <c r="M974" s="89"/>
      <c r="N974" s="89" t="s">
        <v>1689</v>
      </c>
      <c r="O974" s="92">
        <v>1.8006025E7</v>
      </c>
      <c r="P974" s="92">
        <v>1.5894145E7</v>
      </c>
      <c r="Q974" s="89" t="s">
        <v>879</v>
      </c>
      <c r="AF974" s="1"/>
      <c r="AG974" s="1"/>
    </row>
    <row r="975" ht="15.75" customHeight="1">
      <c r="A975" s="1"/>
      <c r="B975" s="1"/>
      <c r="C975" s="1"/>
      <c r="D975" s="1"/>
      <c r="E975" s="1"/>
      <c r="F975" s="1"/>
      <c r="G975" s="1"/>
      <c r="H975" s="1"/>
      <c r="I975" s="1"/>
      <c r="J975" s="1"/>
      <c r="K975" s="89" t="s">
        <v>1690</v>
      </c>
      <c r="L975" s="89" t="str">
        <f>D35</f>
        <v>C1a1~</v>
      </c>
      <c r="M975" s="89"/>
      <c r="N975" s="89" t="s">
        <v>1691</v>
      </c>
      <c r="O975" s="92">
        <v>1.8422633E7</v>
      </c>
      <c r="P975" s="92">
        <v>1.6310753E7</v>
      </c>
      <c r="Q975" s="89" t="s">
        <v>810</v>
      </c>
      <c r="AF975" s="1"/>
      <c r="AG975" s="1"/>
    </row>
    <row r="976" ht="15.75" customHeight="1">
      <c r="A976" s="1"/>
      <c r="B976" s="1"/>
      <c r="C976" s="1"/>
      <c r="D976" s="1"/>
      <c r="E976" s="1"/>
      <c r="F976" s="1"/>
      <c r="G976" s="1"/>
      <c r="H976" s="1"/>
      <c r="I976" s="1"/>
      <c r="J976" s="1"/>
      <c r="K976" s="89" t="s">
        <v>1692</v>
      </c>
      <c r="L976" s="89" t="str">
        <f>D35</f>
        <v>C1a1~</v>
      </c>
      <c r="M976" s="89"/>
      <c r="N976" s="89" t="s">
        <v>1693</v>
      </c>
      <c r="O976" s="92">
        <v>2.1117042E7</v>
      </c>
      <c r="P976" s="92">
        <v>1.8955156E7</v>
      </c>
      <c r="Q976" s="89" t="s">
        <v>802</v>
      </c>
      <c r="AF976" s="1"/>
      <c r="AG976" s="1"/>
    </row>
    <row r="977" ht="15.75" customHeight="1">
      <c r="A977" s="1"/>
      <c r="B977" s="1"/>
      <c r="C977" s="1"/>
      <c r="D977" s="1"/>
      <c r="E977" s="1"/>
      <c r="F977" s="1"/>
      <c r="G977" s="1"/>
      <c r="H977" s="1"/>
      <c r="I977" s="1"/>
      <c r="J977" s="1"/>
      <c r="K977" s="89" t="s">
        <v>1694</v>
      </c>
      <c r="L977" s="89" t="str">
        <f>D35</f>
        <v>C1a1~</v>
      </c>
      <c r="M977" s="89"/>
      <c r="N977" s="89" t="s">
        <v>1695</v>
      </c>
      <c r="O977" s="92">
        <v>2.1267106E7</v>
      </c>
      <c r="P977" s="92">
        <v>1.910522E7</v>
      </c>
      <c r="Q977" s="89" t="s">
        <v>802</v>
      </c>
      <c r="AF977" s="1"/>
      <c r="AG977" s="1"/>
    </row>
    <row r="978" ht="15.75" customHeight="1">
      <c r="A978" s="1"/>
      <c r="B978" s="1"/>
      <c r="C978" s="1"/>
      <c r="D978" s="1"/>
      <c r="E978" s="1"/>
      <c r="F978" s="1"/>
      <c r="G978" s="1"/>
      <c r="H978" s="1"/>
      <c r="I978" s="1"/>
      <c r="J978" s="1"/>
      <c r="K978" s="89" t="s">
        <v>1696</v>
      </c>
      <c r="L978" s="89" t="str">
        <f>D35</f>
        <v>C1a1~</v>
      </c>
      <c r="M978" s="89"/>
      <c r="N978" s="89" t="s">
        <v>1697</v>
      </c>
      <c r="O978" s="92">
        <v>2.1284874E7</v>
      </c>
      <c r="P978" s="92">
        <v>1.9122988E7</v>
      </c>
      <c r="Q978" s="89" t="s">
        <v>831</v>
      </c>
      <c r="AF978" s="1"/>
      <c r="AG978" s="1"/>
    </row>
    <row r="979" ht="15.75" customHeight="1">
      <c r="A979" s="1"/>
      <c r="B979" s="1"/>
      <c r="C979" s="1"/>
      <c r="D979" s="1"/>
      <c r="E979" s="1"/>
      <c r="F979" s="1"/>
      <c r="G979" s="1"/>
      <c r="H979" s="1"/>
      <c r="I979" s="1"/>
      <c r="J979" s="1"/>
      <c r="K979" s="89" t="s">
        <v>1698</v>
      </c>
      <c r="L979" s="89" t="str">
        <f>D35</f>
        <v>C1a1~</v>
      </c>
      <c r="M979" s="89"/>
      <c r="N979" s="89" t="s">
        <v>1699</v>
      </c>
      <c r="O979" s="92">
        <v>2.1301364E7</v>
      </c>
      <c r="P979" s="92">
        <v>1.9139478E7</v>
      </c>
      <c r="Q979" s="89" t="s">
        <v>912</v>
      </c>
      <c r="AF979" s="1"/>
      <c r="AG979" s="1"/>
    </row>
    <row r="980" ht="15.75" customHeight="1">
      <c r="A980" s="1"/>
      <c r="B980" s="1"/>
      <c r="C980" s="1"/>
      <c r="D980" s="1"/>
      <c r="E980" s="1"/>
      <c r="F980" s="1"/>
      <c r="G980" s="1"/>
      <c r="H980" s="1"/>
      <c r="I980" s="1"/>
      <c r="J980" s="1"/>
      <c r="K980" s="89" t="s">
        <v>1700</v>
      </c>
      <c r="L980" s="89" t="str">
        <f>D35</f>
        <v>C1a1~</v>
      </c>
      <c r="M980" s="89"/>
      <c r="N980" s="89" t="s">
        <v>1701</v>
      </c>
      <c r="O980" s="92">
        <v>2.131167E7</v>
      </c>
      <c r="P980" s="92">
        <v>1.9149784E7</v>
      </c>
      <c r="Q980" s="89" t="s">
        <v>810</v>
      </c>
      <c r="AF980" s="1"/>
      <c r="AG980" s="1"/>
    </row>
    <row r="981" ht="15.75" customHeight="1">
      <c r="A981" s="1"/>
      <c r="B981" s="1"/>
      <c r="C981" s="1"/>
      <c r="D981" s="1"/>
      <c r="E981" s="1"/>
      <c r="F981" s="1"/>
      <c r="G981" s="1"/>
      <c r="H981" s="1"/>
      <c r="I981" s="1"/>
      <c r="J981" s="1"/>
      <c r="K981" s="89" t="s">
        <v>1702</v>
      </c>
      <c r="L981" s="89" t="str">
        <f>D35</f>
        <v>C1a1~</v>
      </c>
      <c r="M981" s="89"/>
      <c r="N981" s="89" t="s">
        <v>1703</v>
      </c>
      <c r="O981" s="92">
        <v>2.141494E7</v>
      </c>
      <c r="P981" s="92">
        <v>1.9253054E7</v>
      </c>
      <c r="Q981" s="89" t="s">
        <v>810</v>
      </c>
      <c r="AF981" s="1"/>
      <c r="AG981" s="1"/>
    </row>
    <row r="982" ht="15.75" customHeight="1">
      <c r="A982" s="1"/>
      <c r="B982" s="1"/>
      <c r="C982" s="1"/>
      <c r="D982" s="1"/>
      <c r="E982" s="1"/>
      <c r="F982" s="1"/>
      <c r="G982" s="1"/>
      <c r="H982" s="1"/>
      <c r="I982" s="1"/>
      <c r="J982" s="1"/>
      <c r="K982" s="89" t="s">
        <v>1704</v>
      </c>
      <c r="L982" s="89" t="str">
        <f>D35</f>
        <v>C1a1~</v>
      </c>
      <c r="M982" s="89"/>
      <c r="N982" s="89" t="s">
        <v>1705</v>
      </c>
      <c r="O982" s="92">
        <v>2.1452334E7</v>
      </c>
      <c r="P982" s="92">
        <v>1.9290448E7</v>
      </c>
      <c r="Q982" s="89" t="s">
        <v>864</v>
      </c>
      <c r="AF982" s="1"/>
      <c r="AG982" s="1"/>
    </row>
    <row r="983" ht="15.75" customHeight="1">
      <c r="A983" s="1"/>
      <c r="B983" s="1"/>
      <c r="C983" s="1"/>
      <c r="D983" s="1"/>
      <c r="E983" s="1"/>
      <c r="F983" s="1"/>
      <c r="G983" s="1"/>
      <c r="H983" s="1"/>
      <c r="I983" s="1"/>
      <c r="J983" s="1"/>
      <c r="K983" s="89" t="s">
        <v>1706</v>
      </c>
      <c r="L983" s="89" t="str">
        <f>D35</f>
        <v>C1a1~</v>
      </c>
      <c r="M983" s="89"/>
      <c r="N983" s="89" t="s">
        <v>1707</v>
      </c>
      <c r="O983" s="92">
        <v>2.1534869E7</v>
      </c>
      <c r="P983" s="92">
        <v>1.9372983E7</v>
      </c>
      <c r="Q983" s="89" t="s">
        <v>810</v>
      </c>
      <c r="AF983" s="1"/>
      <c r="AG983" s="1"/>
    </row>
    <row r="984" ht="15.75" customHeight="1">
      <c r="A984" s="1"/>
      <c r="B984" s="1"/>
      <c r="C984" s="1"/>
      <c r="D984" s="1"/>
      <c r="E984" s="1"/>
      <c r="F984" s="1"/>
      <c r="G984" s="1"/>
      <c r="H984" s="1"/>
      <c r="I984" s="1"/>
      <c r="J984" s="1"/>
      <c r="K984" s="89" t="s">
        <v>1708</v>
      </c>
      <c r="L984" s="89" t="str">
        <f>D35</f>
        <v>C1a1~</v>
      </c>
      <c r="M984" s="89"/>
      <c r="N984" s="89" t="s">
        <v>1709</v>
      </c>
      <c r="O984" s="92">
        <v>2.1694285E7</v>
      </c>
      <c r="P984" s="92">
        <v>1.9532399E7</v>
      </c>
      <c r="Q984" s="89" t="s">
        <v>879</v>
      </c>
      <c r="AF984" s="1"/>
      <c r="AG984" s="1"/>
    </row>
    <row r="985" ht="15.75" customHeight="1">
      <c r="A985" s="1"/>
      <c r="B985" s="1"/>
      <c r="C985" s="1"/>
      <c r="D985" s="1"/>
      <c r="E985" s="1"/>
      <c r="F985" s="1"/>
      <c r="G985" s="1"/>
      <c r="H985" s="1"/>
      <c r="I985" s="1"/>
      <c r="J985" s="1"/>
      <c r="K985" s="89" t="s">
        <v>1710</v>
      </c>
      <c r="L985" s="89" t="str">
        <f>D35</f>
        <v>C1a1~</v>
      </c>
      <c r="M985" s="89"/>
      <c r="N985" s="89" t="s">
        <v>1711</v>
      </c>
      <c r="O985" s="92">
        <v>2.1698503E7</v>
      </c>
      <c r="P985" s="92">
        <v>1.9536617E7</v>
      </c>
      <c r="Q985" s="89" t="s">
        <v>917</v>
      </c>
      <c r="AF985" s="1"/>
      <c r="AG985" s="1"/>
    </row>
    <row r="986" ht="15.75" customHeight="1">
      <c r="A986" s="1"/>
      <c r="B986" s="1"/>
      <c r="C986" s="1"/>
      <c r="D986" s="1"/>
      <c r="E986" s="1"/>
      <c r="F986" s="1"/>
      <c r="G986" s="1"/>
      <c r="H986" s="1"/>
      <c r="I986" s="1"/>
      <c r="J986" s="1"/>
      <c r="K986" s="89" t="s">
        <v>1712</v>
      </c>
      <c r="L986" s="89" t="str">
        <f>D35</f>
        <v>C1a1~</v>
      </c>
      <c r="M986" s="89"/>
      <c r="N986" s="89" t="s">
        <v>1713</v>
      </c>
      <c r="O986" s="92">
        <v>2.175314E7</v>
      </c>
      <c r="P986" s="92">
        <v>1.9591254E7</v>
      </c>
      <c r="Q986" s="89" t="s">
        <v>864</v>
      </c>
      <c r="AF986" s="1"/>
      <c r="AG986" s="1"/>
    </row>
    <row r="987" ht="15.75" customHeight="1">
      <c r="A987" s="1"/>
      <c r="B987" s="1"/>
      <c r="C987" s="1"/>
      <c r="D987" s="1"/>
      <c r="E987" s="1"/>
      <c r="F987" s="1"/>
      <c r="G987" s="1"/>
      <c r="H987" s="1"/>
      <c r="I987" s="1"/>
      <c r="J987" s="1"/>
      <c r="K987" s="89" t="s">
        <v>1714</v>
      </c>
      <c r="L987" s="89" t="str">
        <f>D35</f>
        <v>C1a1~</v>
      </c>
      <c r="M987" s="89"/>
      <c r="N987" s="89" t="s">
        <v>1715</v>
      </c>
      <c r="O987" s="92">
        <v>2.1762384E7</v>
      </c>
      <c r="P987" s="92">
        <v>1.9600498E7</v>
      </c>
      <c r="Q987" s="89" t="s">
        <v>822</v>
      </c>
      <c r="AF987" s="1"/>
      <c r="AG987" s="1"/>
    </row>
    <row r="988" ht="15.75" customHeight="1">
      <c r="A988" s="1"/>
      <c r="B988" s="1"/>
      <c r="C988" s="1"/>
      <c r="D988" s="1"/>
      <c r="E988" s="1"/>
      <c r="F988" s="1"/>
      <c r="G988" s="1"/>
      <c r="H988" s="1"/>
      <c r="I988" s="1"/>
      <c r="J988" s="1"/>
      <c r="K988" s="89" t="s">
        <v>1716</v>
      </c>
      <c r="L988" s="89" t="str">
        <f>D35</f>
        <v>C1a1~</v>
      </c>
      <c r="M988" s="89"/>
      <c r="N988" s="89" t="s">
        <v>1717</v>
      </c>
      <c r="O988" s="92">
        <v>2.1772834E7</v>
      </c>
      <c r="P988" s="92">
        <v>1.9610948E7</v>
      </c>
      <c r="Q988" s="89" t="s">
        <v>912</v>
      </c>
      <c r="AF988" s="1"/>
      <c r="AG988" s="1"/>
    </row>
    <row r="989" ht="15.75" customHeight="1">
      <c r="A989" s="1"/>
      <c r="B989" s="1"/>
      <c r="C989" s="1"/>
      <c r="D989" s="1"/>
      <c r="E989" s="1"/>
      <c r="F989" s="1"/>
      <c r="G989" s="1"/>
      <c r="H989" s="1"/>
      <c r="I989" s="1"/>
      <c r="J989" s="1"/>
      <c r="K989" s="89" t="s">
        <v>1718</v>
      </c>
      <c r="L989" s="89" t="str">
        <f>D35</f>
        <v>C1a1~</v>
      </c>
      <c r="M989" s="89"/>
      <c r="N989" s="89" t="s">
        <v>1719</v>
      </c>
      <c r="O989" s="92">
        <v>2.1826877E7</v>
      </c>
      <c r="P989" s="92">
        <v>1.9664991E7</v>
      </c>
      <c r="Q989" s="89" t="s">
        <v>802</v>
      </c>
      <c r="AF989" s="1"/>
      <c r="AG989" s="1"/>
    </row>
    <row r="990" ht="15.75" customHeight="1">
      <c r="A990" s="1"/>
      <c r="B990" s="1"/>
      <c r="C990" s="1"/>
      <c r="D990" s="1"/>
      <c r="E990" s="1"/>
      <c r="F990" s="1"/>
      <c r="G990" s="1"/>
      <c r="H990" s="1"/>
      <c r="I990" s="1"/>
      <c r="J990" s="1"/>
      <c r="K990" s="89" t="s">
        <v>1720</v>
      </c>
      <c r="L990" s="89" t="str">
        <f>D35</f>
        <v>C1a1~</v>
      </c>
      <c r="M990" s="89"/>
      <c r="N990" s="89" t="s">
        <v>1721</v>
      </c>
      <c r="O990" s="92">
        <v>2.1884353E7</v>
      </c>
      <c r="P990" s="92">
        <v>1.9722467E7</v>
      </c>
      <c r="Q990" s="89" t="s">
        <v>917</v>
      </c>
      <c r="AF990" s="1"/>
      <c r="AG990" s="1"/>
    </row>
    <row r="991" ht="15.75" customHeight="1">
      <c r="A991" s="1"/>
      <c r="B991" s="1"/>
      <c r="C991" s="1"/>
      <c r="D991" s="1"/>
      <c r="E991" s="1"/>
      <c r="F991" s="1"/>
      <c r="G991" s="1"/>
      <c r="H991" s="1"/>
      <c r="I991" s="1"/>
      <c r="J991" s="1"/>
      <c r="K991" s="89" t="s">
        <v>1722</v>
      </c>
      <c r="L991" s="89" t="str">
        <f>D35</f>
        <v>C1a1~</v>
      </c>
      <c r="M991" s="89"/>
      <c r="N991" s="89" t="s">
        <v>1723</v>
      </c>
      <c r="O991" s="92">
        <v>2.1986698E7</v>
      </c>
      <c r="P991" s="92">
        <v>1.9824812E7</v>
      </c>
      <c r="Q991" s="89" t="s">
        <v>879</v>
      </c>
      <c r="AF991" s="1"/>
      <c r="AG991" s="1"/>
    </row>
    <row r="992" ht="15.75" customHeight="1">
      <c r="A992" s="1"/>
      <c r="B992" s="1"/>
      <c r="C992" s="1"/>
      <c r="D992" s="1"/>
      <c r="E992" s="1"/>
      <c r="F992" s="1"/>
      <c r="G992" s="1"/>
      <c r="H992" s="1"/>
      <c r="I992" s="1"/>
      <c r="J992" s="1"/>
      <c r="K992" s="89" t="s">
        <v>1724</v>
      </c>
      <c r="L992" s="89" t="str">
        <f>D35</f>
        <v>C1a1~</v>
      </c>
      <c r="M992" s="89"/>
      <c r="N992" s="89" t="s">
        <v>1725</v>
      </c>
      <c r="O992" s="92">
        <v>2.2144921E7</v>
      </c>
      <c r="P992" s="92">
        <v>1.9983035E7</v>
      </c>
      <c r="Q992" s="89" t="s">
        <v>802</v>
      </c>
      <c r="AF992" s="1"/>
      <c r="AG992" s="1"/>
    </row>
    <row r="993" ht="15.75" customHeight="1">
      <c r="A993" s="1"/>
      <c r="B993" s="1"/>
      <c r="C993" s="1"/>
      <c r="D993" s="1"/>
      <c r="E993" s="1"/>
      <c r="F993" s="1"/>
      <c r="G993" s="1"/>
      <c r="H993" s="1"/>
      <c r="I993" s="1"/>
      <c r="J993" s="1"/>
      <c r="K993" s="89" t="s">
        <v>1726</v>
      </c>
      <c r="L993" s="89" t="str">
        <f>D35</f>
        <v>C1a1~</v>
      </c>
      <c r="M993" s="89"/>
      <c r="N993" s="89" t="s">
        <v>1727</v>
      </c>
      <c r="O993" s="92">
        <v>2.2161891E7</v>
      </c>
      <c r="P993" s="92">
        <v>2.0000005E7</v>
      </c>
      <c r="Q993" s="89" t="s">
        <v>838</v>
      </c>
      <c r="AF993" s="1"/>
      <c r="AG993" s="1"/>
    </row>
    <row r="994" ht="15.75" customHeight="1">
      <c r="A994" s="1"/>
      <c r="B994" s="1"/>
      <c r="C994" s="1"/>
      <c r="D994" s="1"/>
      <c r="E994" s="1"/>
      <c r="F994" s="1"/>
      <c r="G994" s="1"/>
      <c r="H994" s="1"/>
      <c r="I994" s="1"/>
      <c r="J994" s="1"/>
      <c r="K994" s="89" t="s">
        <v>1728</v>
      </c>
      <c r="L994" s="89" t="str">
        <f>D35</f>
        <v>C1a1~</v>
      </c>
      <c r="M994" s="89"/>
      <c r="N994" s="89" t="s">
        <v>1729</v>
      </c>
      <c r="O994" s="92">
        <v>2.2176859E7</v>
      </c>
      <c r="P994" s="92">
        <v>2.0014973E7</v>
      </c>
      <c r="Q994" s="89" t="s">
        <v>822</v>
      </c>
      <c r="AF994" s="1"/>
      <c r="AG994" s="1"/>
    </row>
    <row r="995" ht="15.75" customHeight="1">
      <c r="A995" s="1"/>
      <c r="B995" s="1"/>
      <c r="C995" s="1"/>
      <c r="D995" s="1"/>
      <c r="E995" s="1"/>
      <c r="F995" s="1"/>
      <c r="G995" s="1"/>
      <c r="H995" s="1"/>
      <c r="I995" s="1"/>
      <c r="J995" s="1"/>
      <c r="K995" s="89" t="s">
        <v>1730</v>
      </c>
      <c r="L995" s="89" t="str">
        <f>D35</f>
        <v>C1a1~</v>
      </c>
      <c r="M995" s="89"/>
      <c r="N995" s="89" t="s">
        <v>1731</v>
      </c>
      <c r="O995" s="92">
        <v>2.2513921E7</v>
      </c>
      <c r="P995" s="92">
        <v>2.0352035E7</v>
      </c>
      <c r="Q995" s="89" t="s">
        <v>917</v>
      </c>
      <c r="AF995" s="1"/>
      <c r="AG995" s="1"/>
    </row>
    <row r="996" ht="15.75" customHeight="1">
      <c r="A996" s="1"/>
      <c r="B996" s="1"/>
      <c r="C996" s="1"/>
      <c r="D996" s="1"/>
      <c r="E996" s="1"/>
      <c r="F996" s="1"/>
      <c r="G996" s="1"/>
      <c r="H996" s="1"/>
      <c r="I996" s="1"/>
      <c r="J996" s="1"/>
      <c r="K996" s="89" t="s">
        <v>1732</v>
      </c>
      <c r="L996" s="89" t="str">
        <f>D35</f>
        <v>C1a1~</v>
      </c>
      <c r="M996" s="89"/>
      <c r="N996" s="89" t="s">
        <v>1733</v>
      </c>
      <c r="O996" s="92">
        <v>2.259521E7</v>
      </c>
      <c r="P996" s="92">
        <v>2.0433324E7</v>
      </c>
      <c r="Q996" s="89" t="s">
        <v>810</v>
      </c>
      <c r="AF996" s="1"/>
      <c r="AG996" s="1"/>
    </row>
    <row r="997" ht="15.75" customHeight="1">
      <c r="A997" s="1"/>
      <c r="B997" s="1"/>
      <c r="C997" s="1"/>
      <c r="D997" s="1"/>
      <c r="E997" s="1"/>
      <c r="F997" s="1"/>
      <c r="G997" s="1"/>
      <c r="H997" s="1"/>
      <c r="I997" s="1"/>
      <c r="J997" s="1"/>
      <c r="K997" s="89" t="s">
        <v>1734</v>
      </c>
      <c r="L997" s="89" t="str">
        <f>D35</f>
        <v>C1a1~</v>
      </c>
      <c r="M997" s="89"/>
      <c r="N997" s="89" t="s">
        <v>1735</v>
      </c>
      <c r="O997" s="92">
        <v>2.3148929E7</v>
      </c>
      <c r="P997" s="92">
        <v>2.0987043E7</v>
      </c>
      <c r="Q997" s="89" t="s">
        <v>810</v>
      </c>
      <c r="AF997" s="1"/>
      <c r="AG997" s="1"/>
    </row>
    <row r="998" ht="15.75" customHeight="1">
      <c r="A998" s="1"/>
      <c r="B998" s="1"/>
      <c r="C998" s="1"/>
      <c r="D998" s="1"/>
      <c r="E998" s="1"/>
      <c r="F998" s="1"/>
      <c r="G998" s="1"/>
      <c r="H998" s="1"/>
      <c r="I998" s="1"/>
      <c r="J998" s="1"/>
      <c r="K998" s="89" t="s">
        <v>1736</v>
      </c>
      <c r="L998" s="89" t="str">
        <f>D35</f>
        <v>C1a1~</v>
      </c>
      <c r="M998" s="89"/>
      <c r="N998" s="89" t="s">
        <v>1737</v>
      </c>
      <c r="O998" s="92">
        <v>2.3972732E7</v>
      </c>
      <c r="P998" s="92">
        <v>2.1826585E7</v>
      </c>
      <c r="Q998" s="89" t="s">
        <v>879</v>
      </c>
      <c r="AF998" s="1"/>
      <c r="AG998" s="1"/>
    </row>
    <row r="999" ht="15.75" customHeight="1">
      <c r="A999" s="1"/>
      <c r="B999" s="1"/>
      <c r="C999" s="1"/>
      <c r="D999" s="1"/>
      <c r="E999" s="1"/>
      <c r="F999" s="1"/>
      <c r="G999" s="1"/>
      <c r="H999" s="1"/>
      <c r="I999" s="1"/>
      <c r="J999" s="1"/>
      <c r="K999" s="89" t="s">
        <v>1738</v>
      </c>
      <c r="L999" s="89" t="str">
        <f>D35</f>
        <v>C1a1~</v>
      </c>
      <c r="M999" s="89"/>
      <c r="N999" s="89" t="s">
        <v>1739</v>
      </c>
      <c r="O999" s="92">
        <v>2.4396212E7</v>
      </c>
      <c r="P999" s="92">
        <v>2.2250065E7</v>
      </c>
      <c r="Q999" s="89" t="s">
        <v>802</v>
      </c>
      <c r="AF999" s="1"/>
      <c r="AG999" s="1"/>
    </row>
    <row r="1000" ht="15.75" customHeight="1">
      <c r="A1000" s="1"/>
      <c r="B1000" s="1"/>
      <c r="C1000" s="1"/>
      <c r="D1000" s="1"/>
      <c r="E1000" s="1"/>
      <c r="F1000" s="1"/>
      <c r="G1000" s="1"/>
      <c r="H1000" s="1"/>
      <c r="I1000" s="1"/>
      <c r="J1000" s="1"/>
      <c r="K1000" s="89" t="s">
        <v>1740</v>
      </c>
      <c r="L1000" s="89" t="str">
        <f>D35</f>
        <v>C1a1~</v>
      </c>
      <c r="M1000" s="89"/>
      <c r="N1000" s="89" t="s">
        <v>1741</v>
      </c>
      <c r="O1000" s="92">
        <v>2.4442767E7</v>
      </c>
      <c r="P1000" s="92">
        <v>2.229662E7</v>
      </c>
      <c r="Q1000" s="89" t="s">
        <v>810</v>
      </c>
      <c r="AF1000" s="1"/>
      <c r="AG1000" s="1"/>
    </row>
    <row r="1001" ht="15.75" customHeight="1">
      <c r="A1001" s="1"/>
      <c r="B1001" s="1"/>
      <c r="C1001" s="1"/>
      <c r="D1001" s="1"/>
      <c r="E1001" s="1"/>
      <c r="F1001" s="1"/>
      <c r="G1001" s="1"/>
      <c r="H1001" s="1"/>
      <c r="I1001" s="1"/>
      <c r="J1001" s="1"/>
      <c r="K1001" s="89" t="s">
        <v>1742</v>
      </c>
      <c r="L1001" s="89" t="str">
        <f>D35</f>
        <v>C1a1~</v>
      </c>
      <c r="M1001" s="89"/>
      <c r="N1001" s="89" t="s">
        <v>1743</v>
      </c>
      <c r="O1001" s="92">
        <v>2.4483068E7</v>
      </c>
      <c r="P1001" s="92">
        <v>2.2336921E7</v>
      </c>
      <c r="Q1001" s="89" t="s">
        <v>810</v>
      </c>
      <c r="AF1001" s="1"/>
      <c r="AG1001" s="1"/>
    </row>
    <row r="1002" ht="15.75" customHeight="1">
      <c r="A1002" s="1"/>
      <c r="B1002" s="1"/>
      <c r="C1002" s="1"/>
      <c r="D1002" s="1"/>
      <c r="E1002" s="1"/>
      <c r="F1002" s="1"/>
      <c r="G1002" s="1"/>
      <c r="H1002" s="1"/>
      <c r="I1002" s="1"/>
      <c r="J1002" s="1"/>
      <c r="K1002" s="89" t="s">
        <v>1744</v>
      </c>
      <c r="L1002" s="89" t="str">
        <f>D35</f>
        <v>C1a1~</v>
      </c>
      <c r="M1002" s="89"/>
      <c r="N1002" s="89" t="s">
        <v>1745</v>
      </c>
      <c r="O1002" s="89">
        <v>6790944.0</v>
      </c>
      <c r="P1002" s="89">
        <v>6922903.0</v>
      </c>
      <c r="Q1002" s="89" t="s">
        <v>802</v>
      </c>
      <c r="AF1002" s="1"/>
      <c r="AG1002" s="1"/>
    </row>
    <row r="1003" ht="15.75" customHeight="1">
      <c r="A1003" s="1"/>
      <c r="B1003" s="1"/>
      <c r="C1003" s="1"/>
      <c r="D1003" s="1"/>
      <c r="E1003" s="1"/>
      <c r="F1003" s="1"/>
      <c r="G1003" s="1"/>
      <c r="H1003" s="1"/>
      <c r="I1003" s="1"/>
      <c r="J1003" s="1"/>
      <c r="K1003" s="89" t="s">
        <v>1746</v>
      </c>
      <c r="L1003" s="89" t="str">
        <f>D35</f>
        <v>C1a1~</v>
      </c>
      <c r="M1003" s="89"/>
      <c r="N1003" s="89" t="s">
        <v>1747</v>
      </c>
      <c r="O1003" s="92">
        <v>7354759.0</v>
      </c>
      <c r="P1003" s="92">
        <v>7486718.0</v>
      </c>
      <c r="Q1003" s="89" t="s">
        <v>822</v>
      </c>
      <c r="AF1003" s="1"/>
      <c r="AG1003" s="1"/>
    </row>
    <row r="1004" ht="15.75" customHeight="1">
      <c r="A1004" s="1"/>
      <c r="B1004" s="1"/>
      <c r="C1004" s="1"/>
      <c r="D1004" s="1"/>
      <c r="E1004" s="1"/>
      <c r="F1004" s="1"/>
      <c r="G1004" s="1"/>
      <c r="H1004" s="1"/>
      <c r="I1004" s="1"/>
      <c r="J1004" s="1"/>
      <c r="K1004" s="89" t="s">
        <v>1748</v>
      </c>
      <c r="L1004" s="89" t="str">
        <f>D35</f>
        <v>C1a1~</v>
      </c>
      <c r="M1004" s="89"/>
      <c r="N1004" s="89" t="s">
        <v>1749</v>
      </c>
      <c r="O1004" s="92">
        <v>7416809.0</v>
      </c>
      <c r="P1004" s="92">
        <v>7548768.0</v>
      </c>
      <c r="Q1004" s="89" t="s">
        <v>838</v>
      </c>
      <c r="AF1004" s="1"/>
      <c r="AG1004" s="1"/>
    </row>
    <row r="1005" ht="15.75" customHeight="1">
      <c r="A1005" s="1"/>
      <c r="B1005" s="1"/>
      <c r="C1005" s="1"/>
      <c r="D1005" s="1"/>
      <c r="E1005" s="1"/>
      <c r="F1005" s="1"/>
      <c r="G1005" s="1"/>
      <c r="H1005" s="1"/>
      <c r="I1005" s="1"/>
      <c r="J1005" s="1"/>
      <c r="K1005" s="89" t="s">
        <v>1750</v>
      </c>
      <c r="L1005" s="89" t="str">
        <f>D35</f>
        <v>C1a1~</v>
      </c>
      <c r="M1005" s="89"/>
      <c r="N1005" s="89" t="s">
        <v>1751</v>
      </c>
      <c r="O1005" s="92">
        <v>7421469.0</v>
      </c>
      <c r="P1005" s="92">
        <v>7553428.0</v>
      </c>
      <c r="Q1005" s="89" t="s">
        <v>802</v>
      </c>
      <c r="AF1005" s="1"/>
      <c r="AG1005" s="1"/>
    </row>
    <row r="1006" ht="15.75" customHeight="1">
      <c r="A1006" s="1"/>
      <c r="B1006" s="1"/>
      <c r="C1006" s="1"/>
      <c r="D1006" s="1"/>
      <c r="E1006" s="1"/>
      <c r="F1006" s="1"/>
      <c r="G1006" s="1"/>
      <c r="H1006" s="1"/>
      <c r="I1006" s="1"/>
      <c r="J1006" s="1"/>
      <c r="K1006" s="89" t="s">
        <v>1752</v>
      </c>
      <c r="L1006" s="89" t="str">
        <f>D35</f>
        <v>C1a1~</v>
      </c>
      <c r="M1006" s="89"/>
      <c r="N1006" s="89" t="s">
        <v>1753</v>
      </c>
      <c r="O1006" s="92">
        <v>7527001.0</v>
      </c>
      <c r="P1006" s="92">
        <v>7658960.0</v>
      </c>
      <c r="Q1006" s="89" t="s">
        <v>838</v>
      </c>
      <c r="AF1006" s="1"/>
      <c r="AG1006" s="1"/>
    </row>
    <row r="1007" ht="15.75" customHeight="1">
      <c r="A1007" s="1"/>
      <c r="B1007" s="1"/>
      <c r="C1007" s="1"/>
      <c r="D1007" s="1"/>
      <c r="E1007" s="1"/>
      <c r="F1007" s="1"/>
      <c r="G1007" s="1"/>
      <c r="H1007" s="1"/>
      <c r="I1007" s="1"/>
      <c r="J1007" s="1"/>
      <c r="K1007" s="89" t="s">
        <v>1754</v>
      </c>
      <c r="L1007" s="89" t="str">
        <f>D35</f>
        <v>C1a1~</v>
      </c>
      <c r="M1007" s="89"/>
      <c r="N1007" s="89" t="s">
        <v>1755</v>
      </c>
      <c r="O1007" s="92">
        <v>7609208.0</v>
      </c>
      <c r="P1007" s="92">
        <v>7741167.0</v>
      </c>
      <c r="Q1007" s="89" t="s">
        <v>886</v>
      </c>
      <c r="AF1007" s="1"/>
      <c r="AG1007" s="1"/>
    </row>
    <row r="1008" ht="15.75" customHeight="1">
      <c r="A1008" s="1"/>
      <c r="B1008" s="1"/>
      <c r="C1008" s="1"/>
      <c r="D1008" s="1"/>
      <c r="E1008" s="1"/>
      <c r="F1008" s="1"/>
      <c r="G1008" s="1"/>
      <c r="H1008" s="1"/>
      <c r="I1008" s="1"/>
      <c r="J1008" s="1"/>
      <c r="K1008" s="89" t="s">
        <v>1756</v>
      </c>
      <c r="L1008" s="89" t="str">
        <f>D35</f>
        <v>C1a1~</v>
      </c>
      <c r="M1008" s="89"/>
      <c r="N1008" s="89" t="s">
        <v>1757</v>
      </c>
      <c r="O1008" s="92">
        <v>7621123.0</v>
      </c>
      <c r="P1008" s="92">
        <v>7753082.0</v>
      </c>
      <c r="Q1008" s="89" t="s">
        <v>810</v>
      </c>
      <c r="AF1008" s="1"/>
      <c r="AG1008" s="1"/>
    </row>
    <row r="1009" ht="15.75" customHeight="1">
      <c r="A1009" s="1"/>
      <c r="B1009" s="1"/>
      <c r="C1009" s="1"/>
      <c r="D1009" s="1"/>
      <c r="E1009" s="1"/>
      <c r="F1009" s="1"/>
      <c r="G1009" s="1"/>
      <c r="H1009" s="1"/>
      <c r="I1009" s="1"/>
      <c r="J1009" s="1"/>
      <c r="K1009" s="89" t="s">
        <v>1758</v>
      </c>
      <c r="L1009" s="89" t="str">
        <f>D35</f>
        <v>C1a1~</v>
      </c>
      <c r="M1009" s="89"/>
      <c r="N1009" s="89" t="s">
        <v>1759</v>
      </c>
      <c r="O1009" s="92">
        <v>7715558.0</v>
      </c>
      <c r="P1009" s="92">
        <v>7847517.0</v>
      </c>
      <c r="Q1009" s="89" t="s">
        <v>802</v>
      </c>
      <c r="AF1009" s="1"/>
      <c r="AG1009" s="1"/>
    </row>
    <row r="1010" ht="15.75" customHeight="1">
      <c r="A1010" s="1"/>
      <c r="B1010" s="1"/>
      <c r="C1010" s="1"/>
      <c r="D1010" s="1"/>
      <c r="E1010" s="1"/>
      <c r="F1010" s="1"/>
      <c r="G1010" s="1"/>
      <c r="H1010" s="1"/>
      <c r="I1010" s="1"/>
      <c r="J1010" s="1"/>
      <c r="K1010" s="89" t="s">
        <v>1760</v>
      </c>
      <c r="L1010" s="89" t="str">
        <f>D35</f>
        <v>C1a1~</v>
      </c>
      <c r="M1010" s="89"/>
      <c r="N1010" s="89" t="s">
        <v>1761</v>
      </c>
      <c r="O1010" s="92">
        <v>7750993.0</v>
      </c>
      <c r="P1010" s="92">
        <v>7882952.0</v>
      </c>
      <c r="Q1010" s="89" t="s">
        <v>831</v>
      </c>
      <c r="AF1010" s="1"/>
      <c r="AG1010" s="1"/>
    </row>
    <row r="1011" ht="15.75" customHeight="1">
      <c r="A1011" s="1"/>
      <c r="B1011" s="1"/>
      <c r="C1011" s="1"/>
      <c r="D1011" s="1"/>
      <c r="E1011" s="1"/>
      <c r="F1011" s="1"/>
      <c r="G1011" s="1"/>
      <c r="H1011" s="1"/>
      <c r="I1011" s="1"/>
      <c r="J1011" s="1"/>
      <c r="K1011" s="89" t="s">
        <v>1762</v>
      </c>
      <c r="L1011" s="89" t="str">
        <f>D35</f>
        <v>C1a1~</v>
      </c>
      <c r="M1011" s="89"/>
      <c r="N1011" s="89" t="s">
        <v>1763</v>
      </c>
      <c r="O1011" s="92">
        <v>7848990.0</v>
      </c>
      <c r="P1011" s="92">
        <v>7980949.0</v>
      </c>
      <c r="Q1011" s="89" t="s">
        <v>810</v>
      </c>
      <c r="AF1011" s="1"/>
      <c r="AG1011" s="1"/>
    </row>
    <row r="1012" ht="15.75" customHeight="1">
      <c r="A1012" s="1"/>
      <c r="B1012" s="1"/>
      <c r="C1012" s="1"/>
      <c r="D1012" s="1"/>
      <c r="E1012" s="1"/>
      <c r="F1012" s="1"/>
      <c r="G1012" s="1"/>
      <c r="H1012" s="1"/>
      <c r="I1012" s="1"/>
      <c r="J1012" s="1"/>
      <c r="K1012" s="89" t="s">
        <v>1764</v>
      </c>
      <c r="L1012" s="89" t="str">
        <f>D35</f>
        <v>C1a1~</v>
      </c>
      <c r="M1012" s="89"/>
      <c r="N1012" s="89" t="s">
        <v>1765</v>
      </c>
      <c r="O1012" s="92">
        <v>7964043.0</v>
      </c>
      <c r="P1012" s="92">
        <v>8096002.0</v>
      </c>
      <c r="Q1012" s="89" t="s">
        <v>879</v>
      </c>
      <c r="AF1012" s="1"/>
      <c r="AG1012" s="1"/>
    </row>
    <row r="1013" ht="15.75" customHeight="1">
      <c r="A1013" s="1"/>
      <c r="B1013" s="1"/>
      <c r="C1013" s="1"/>
      <c r="D1013" s="1"/>
      <c r="E1013" s="1"/>
      <c r="F1013" s="1"/>
      <c r="G1013" s="1"/>
      <c r="H1013" s="1"/>
      <c r="I1013" s="1"/>
      <c r="J1013" s="1"/>
      <c r="K1013" s="89" t="s">
        <v>1766</v>
      </c>
      <c r="L1013" s="89" t="str">
        <f>D35</f>
        <v>C1a1~</v>
      </c>
      <c r="M1013" s="89"/>
      <c r="N1013" s="89" t="s">
        <v>1767</v>
      </c>
      <c r="O1013" s="92">
        <v>8047705.0</v>
      </c>
      <c r="P1013" s="92">
        <v>8179664.0</v>
      </c>
      <c r="Q1013" s="89" t="s">
        <v>813</v>
      </c>
      <c r="AF1013" s="1"/>
      <c r="AG1013" s="1"/>
    </row>
    <row r="1014" ht="15.75" customHeight="1">
      <c r="A1014" s="1"/>
      <c r="B1014" s="1"/>
      <c r="C1014" s="1"/>
      <c r="D1014" s="1"/>
      <c r="E1014" s="1"/>
      <c r="F1014" s="1"/>
      <c r="G1014" s="1"/>
      <c r="H1014" s="1"/>
      <c r="I1014" s="1"/>
      <c r="J1014" s="1"/>
      <c r="K1014" s="89" t="s">
        <v>1768</v>
      </c>
      <c r="L1014" s="89" t="str">
        <f>D35</f>
        <v>C1a1~</v>
      </c>
      <c r="M1014" s="89"/>
      <c r="N1014" s="89" t="s">
        <v>1769</v>
      </c>
      <c r="O1014" s="92">
        <v>8139352.0</v>
      </c>
      <c r="P1014" s="92">
        <v>8271311.0</v>
      </c>
      <c r="Q1014" s="89" t="s">
        <v>810</v>
      </c>
      <c r="AF1014" s="1"/>
      <c r="AG1014" s="1"/>
    </row>
    <row r="1015" ht="15.75" customHeight="1">
      <c r="A1015" s="1"/>
      <c r="B1015" s="1"/>
      <c r="C1015" s="1"/>
      <c r="D1015" s="1"/>
      <c r="E1015" s="1"/>
      <c r="F1015" s="1"/>
      <c r="G1015" s="1"/>
      <c r="H1015" s="1"/>
      <c r="I1015" s="1"/>
      <c r="J1015" s="1"/>
      <c r="K1015" s="89" t="s">
        <v>1770</v>
      </c>
      <c r="L1015" s="89" t="str">
        <f>D35</f>
        <v>C1a1~</v>
      </c>
      <c r="M1015" s="89"/>
      <c r="N1015" s="89" t="s">
        <v>1771</v>
      </c>
      <c r="O1015" s="92">
        <v>8275945.0</v>
      </c>
      <c r="P1015" s="92">
        <v>8407904.0</v>
      </c>
      <c r="Q1015" s="89" t="s">
        <v>917</v>
      </c>
      <c r="AF1015" s="1"/>
      <c r="AG1015" s="1"/>
    </row>
    <row r="1016" ht="15.75" customHeight="1">
      <c r="A1016" s="1"/>
      <c r="B1016" s="1"/>
      <c r="C1016" s="1"/>
      <c r="D1016" s="1"/>
      <c r="E1016" s="1"/>
      <c r="F1016" s="1"/>
      <c r="G1016" s="1"/>
      <c r="H1016" s="1"/>
      <c r="I1016" s="1"/>
      <c r="J1016" s="1"/>
      <c r="K1016" s="89" t="s">
        <v>1772</v>
      </c>
      <c r="L1016" s="89" t="str">
        <f>D35</f>
        <v>C1a1~</v>
      </c>
      <c r="M1016" s="89"/>
      <c r="N1016" s="89" t="s">
        <v>1773</v>
      </c>
      <c r="O1016" s="92">
        <v>8332833.0</v>
      </c>
      <c r="P1016" s="92">
        <v>8464792.0</v>
      </c>
      <c r="Q1016" s="89" t="s">
        <v>822</v>
      </c>
      <c r="AF1016" s="1"/>
      <c r="AG1016" s="1"/>
    </row>
    <row r="1017" ht="15.75" customHeight="1">
      <c r="A1017" s="1"/>
      <c r="B1017" s="1"/>
      <c r="C1017" s="1"/>
      <c r="D1017" s="1"/>
      <c r="E1017" s="1"/>
      <c r="F1017" s="1"/>
      <c r="G1017" s="1"/>
      <c r="H1017" s="1"/>
      <c r="I1017" s="1"/>
      <c r="J1017" s="1"/>
      <c r="K1017" s="89" t="s">
        <v>1774</v>
      </c>
      <c r="L1017" s="89" t="str">
        <f>D35</f>
        <v>C1a1~</v>
      </c>
      <c r="M1017" s="89"/>
      <c r="N1017" s="89"/>
      <c r="O1017" s="92">
        <v>8615701.0</v>
      </c>
      <c r="P1017" s="92">
        <v>8747660.0</v>
      </c>
      <c r="Q1017" s="89" t="s">
        <v>845</v>
      </c>
      <c r="AF1017" s="1"/>
      <c r="AG1017" s="1"/>
    </row>
    <row r="1018" ht="15.75" customHeight="1">
      <c r="A1018" s="1"/>
      <c r="B1018" s="1"/>
      <c r="C1018" s="1"/>
      <c r="D1018" s="1"/>
      <c r="E1018" s="1"/>
      <c r="F1018" s="1"/>
      <c r="G1018" s="1"/>
      <c r="H1018" s="1"/>
      <c r="I1018" s="1"/>
      <c r="J1018" s="1"/>
      <c r="K1018" s="89" t="s">
        <v>1775</v>
      </c>
      <c r="L1018" s="89" t="str">
        <f>D35</f>
        <v>C1a1~</v>
      </c>
      <c r="M1018" s="89"/>
      <c r="N1018" s="89" t="s">
        <v>1776</v>
      </c>
      <c r="O1018" s="92">
        <v>8799843.0</v>
      </c>
      <c r="P1018" s="92">
        <v>8931802.0</v>
      </c>
      <c r="Q1018" s="89" t="s">
        <v>912</v>
      </c>
      <c r="AF1018" s="1"/>
      <c r="AG1018" s="1"/>
    </row>
    <row r="1019" ht="15.75" customHeight="1">
      <c r="A1019" s="1"/>
      <c r="B1019" s="1"/>
      <c r="C1019" s="1"/>
      <c r="D1019" s="1"/>
      <c r="E1019" s="1"/>
      <c r="F1019" s="1"/>
      <c r="G1019" s="1"/>
      <c r="H1019" s="1"/>
      <c r="I1019" s="1"/>
      <c r="J1019" s="1"/>
      <c r="K1019" s="89" t="s">
        <v>1777</v>
      </c>
      <c r="L1019" s="89" t="str">
        <f>D35</f>
        <v>C1a1~</v>
      </c>
      <c r="M1019" s="89"/>
      <c r="N1019" s="89" t="s">
        <v>1778</v>
      </c>
      <c r="O1019" s="92">
        <v>8873869.0</v>
      </c>
      <c r="P1019" s="92">
        <v>9005828.0</v>
      </c>
      <c r="Q1019" s="89" t="s">
        <v>864</v>
      </c>
      <c r="AF1019" s="1"/>
      <c r="AG1019" s="1"/>
    </row>
    <row r="1020" ht="15.75" customHeight="1">
      <c r="A1020" s="1"/>
      <c r="B1020" s="1"/>
      <c r="C1020" s="1"/>
      <c r="D1020" s="1"/>
      <c r="E1020" s="1"/>
      <c r="F1020" s="1"/>
      <c r="G1020" s="1"/>
      <c r="H1020" s="1"/>
      <c r="I1020" s="1"/>
      <c r="J1020" s="1"/>
      <c r="K1020" s="89" t="s">
        <v>1779</v>
      </c>
      <c r="L1020" s="89" t="str">
        <f>D35</f>
        <v>C1a1~</v>
      </c>
      <c r="M1020" s="89"/>
      <c r="N1020" s="89" t="s">
        <v>1780</v>
      </c>
      <c r="O1020" s="92">
        <v>9053641.0</v>
      </c>
      <c r="P1020" s="92">
        <v>9216032.0</v>
      </c>
      <c r="Q1020" s="89" t="s">
        <v>838</v>
      </c>
      <c r="AF1020" s="1"/>
      <c r="AG1020" s="1"/>
    </row>
    <row r="1021" ht="15.75" customHeight="1">
      <c r="A1021" s="1"/>
      <c r="B1021" s="1"/>
      <c r="C1021" s="1"/>
      <c r="D1021" s="1"/>
      <c r="E1021" s="1"/>
      <c r="F1021" s="1"/>
      <c r="G1021" s="1"/>
      <c r="H1021" s="1"/>
      <c r="I1021" s="1"/>
      <c r="J1021" s="1"/>
      <c r="K1021" s="89" t="s">
        <v>1781</v>
      </c>
      <c r="L1021" s="89" t="str">
        <f>D35</f>
        <v>C1a1~</v>
      </c>
      <c r="M1021" s="89"/>
      <c r="N1021" s="89" t="s">
        <v>1782</v>
      </c>
      <c r="O1021" s="92">
        <v>9071863.0</v>
      </c>
      <c r="P1021" s="92">
        <v>9234254.0</v>
      </c>
      <c r="Q1021" s="89" t="s">
        <v>912</v>
      </c>
      <c r="AF1021" s="1"/>
      <c r="AG1021" s="1"/>
    </row>
    <row r="1022" ht="15.75" customHeight="1">
      <c r="A1022" s="1"/>
      <c r="B1022" s="1"/>
      <c r="C1022" s="1"/>
      <c r="D1022" s="1"/>
      <c r="E1022" s="1"/>
      <c r="F1022" s="1"/>
      <c r="G1022" s="1"/>
      <c r="H1022" s="1"/>
      <c r="I1022" s="1"/>
      <c r="J1022" s="1"/>
      <c r="K1022" s="89" t="s">
        <v>1783</v>
      </c>
      <c r="L1022" s="89" t="str">
        <f>D35</f>
        <v>C1a1~</v>
      </c>
      <c r="M1022" s="89"/>
      <c r="N1022" s="89" t="s">
        <v>1784</v>
      </c>
      <c r="O1022" s="92">
        <v>9089246.0</v>
      </c>
      <c r="P1022" s="92">
        <v>9251637.0</v>
      </c>
      <c r="Q1022" s="89" t="s">
        <v>831</v>
      </c>
      <c r="AF1022" s="1"/>
      <c r="AG1022" s="1"/>
    </row>
    <row r="1023" ht="15.75" customHeight="1">
      <c r="A1023" s="1"/>
      <c r="B1023" s="1"/>
      <c r="C1023" s="1"/>
      <c r="D1023" s="1"/>
      <c r="E1023" s="1"/>
      <c r="F1023" s="1"/>
      <c r="G1023" s="1"/>
      <c r="H1023" s="1"/>
      <c r="I1023" s="1"/>
      <c r="J1023" s="1"/>
      <c r="K1023" s="89" t="s">
        <v>1785</v>
      </c>
      <c r="L1023" s="89" t="str">
        <f>D35</f>
        <v>C1a1~</v>
      </c>
      <c r="M1023" s="89"/>
      <c r="N1023" s="89" t="s">
        <v>1786</v>
      </c>
      <c r="O1023" s="92">
        <v>9400743.0</v>
      </c>
      <c r="P1023" s="92">
        <v>9563134.0</v>
      </c>
      <c r="Q1023" s="89" t="s">
        <v>822</v>
      </c>
      <c r="AF1023" s="1"/>
      <c r="AG1023" s="1"/>
    </row>
    <row r="1024" ht="15.75" customHeight="1">
      <c r="A1024" s="1"/>
      <c r="B1024" s="1"/>
      <c r="C1024" s="1"/>
      <c r="D1024" s="1"/>
      <c r="E1024" s="1"/>
      <c r="F1024" s="1"/>
      <c r="G1024" s="1"/>
      <c r="H1024" s="1"/>
      <c r="I1024" s="1"/>
      <c r="J1024" s="1"/>
      <c r="K1024" s="89" t="s">
        <v>1787</v>
      </c>
      <c r="L1024" s="89" t="str">
        <f>D35</f>
        <v>C1a1~</v>
      </c>
      <c r="M1024" s="89"/>
      <c r="N1024" s="89" t="s">
        <v>1788</v>
      </c>
      <c r="O1024" s="92">
        <v>9523763.0</v>
      </c>
      <c r="P1024" s="92">
        <v>9686154.0</v>
      </c>
      <c r="Q1024" s="89" t="s">
        <v>838</v>
      </c>
      <c r="AF1024" s="1"/>
      <c r="AG1024" s="1"/>
    </row>
    <row r="1025" ht="15.75" customHeight="1">
      <c r="A1025" s="1"/>
      <c r="B1025" s="1"/>
      <c r="C1025" s="1"/>
      <c r="D1025" s="1"/>
      <c r="E1025" s="1"/>
      <c r="F1025" s="1"/>
      <c r="G1025" s="1"/>
      <c r="H1025" s="1"/>
      <c r="I1025" s="1"/>
      <c r="J1025" s="1"/>
      <c r="K1025" s="89" t="s">
        <v>1789</v>
      </c>
      <c r="L1025" s="89" t="str">
        <f>D35</f>
        <v>C1a1~</v>
      </c>
      <c r="M1025" s="89"/>
      <c r="N1025" s="89" t="s">
        <v>1790</v>
      </c>
      <c r="O1025" s="92">
        <v>9886971.0</v>
      </c>
      <c r="P1025" s="92">
        <v>1.0049362E7</v>
      </c>
      <c r="Q1025" s="89" t="s">
        <v>822</v>
      </c>
      <c r="AF1025" s="1"/>
      <c r="AG1025" s="1"/>
    </row>
    <row r="1026" ht="15.75" customHeight="1">
      <c r="A1026" s="1"/>
      <c r="B1026" s="1"/>
      <c r="C1026" s="1"/>
      <c r="D1026" s="1"/>
      <c r="E1026" s="1"/>
      <c r="F1026" s="1"/>
      <c r="G1026" s="1"/>
      <c r="H1026" s="1"/>
      <c r="I1026" s="1"/>
      <c r="J1026" s="1"/>
      <c r="K1026" s="89" t="s">
        <v>1791</v>
      </c>
      <c r="L1026" s="89" t="str">
        <f>D35</f>
        <v>C1a1~</v>
      </c>
      <c r="M1026" s="89"/>
      <c r="N1026" s="89" t="s">
        <v>1792</v>
      </c>
      <c r="O1026" s="92">
        <v>1.3223805E7</v>
      </c>
      <c r="P1026" s="92">
        <v>1.1068129E7</v>
      </c>
      <c r="Q1026" s="89" t="s">
        <v>810</v>
      </c>
      <c r="AF1026" s="1"/>
      <c r="AG1026" s="1"/>
    </row>
    <row r="1027" ht="15.75" customHeight="1">
      <c r="A1027" s="1"/>
      <c r="B1027" s="1"/>
      <c r="C1027" s="1"/>
      <c r="D1027" s="1"/>
      <c r="E1027" s="1"/>
      <c r="F1027" s="1"/>
      <c r="G1027" s="1"/>
      <c r="H1027" s="1"/>
      <c r="I1027" s="1"/>
      <c r="J1027" s="1"/>
      <c r="K1027" s="89" t="s">
        <v>1793</v>
      </c>
      <c r="L1027" s="89" t="str">
        <f>D35</f>
        <v>C1a1~</v>
      </c>
      <c r="M1027" s="89"/>
      <c r="N1027" s="89" t="s">
        <v>1794</v>
      </c>
      <c r="O1027" s="92">
        <v>1.3672424E7</v>
      </c>
      <c r="P1027" s="92">
        <v>1.1516748E7</v>
      </c>
      <c r="Q1027" s="89" t="s">
        <v>810</v>
      </c>
      <c r="AF1027" s="1"/>
      <c r="AG1027" s="1"/>
    </row>
    <row r="1028" ht="15.75" customHeight="1">
      <c r="A1028" s="1"/>
      <c r="B1028" s="1"/>
      <c r="C1028" s="1"/>
      <c r="D1028" s="1"/>
      <c r="E1028" s="1"/>
      <c r="F1028" s="1"/>
      <c r="G1028" s="1"/>
      <c r="H1028" s="1"/>
      <c r="I1028" s="1"/>
      <c r="J1028" s="1"/>
      <c r="K1028" s="89" t="s">
        <v>1795</v>
      </c>
      <c r="L1028" s="89" t="str">
        <f>D35</f>
        <v>C1a1~</v>
      </c>
      <c r="M1028" s="89"/>
      <c r="N1028" s="89" t="s">
        <v>1796</v>
      </c>
      <c r="O1028" s="92">
        <v>1.3676805E7</v>
      </c>
      <c r="P1028" s="92">
        <v>1.1521129E7</v>
      </c>
      <c r="Q1028" s="89" t="s">
        <v>912</v>
      </c>
      <c r="AF1028" s="1"/>
      <c r="AG1028" s="1"/>
    </row>
    <row r="1029" ht="15.75" customHeight="1">
      <c r="A1029" s="1"/>
      <c r="B1029" s="1"/>
      <c r="C1029" s="1"/>
      <c r="D1029" s="1"/>
      <c r="E1029" s="1"/>
      <c r="F1029" s="1"/>
      <c r="G1029" s="1"/>
      <c r="H1029" s="1"/>
      <c r="I1029" s="1"/>
      <c r="J1029" s="1"/>
      <c r="K1029" s="89" t="s">
        <v>1797</v>
      </c>
      <c r="L1029" s="89" t="str">
        <f>D35</f>
        <v>C1a1~</v>
      </c>
      <c r="M1029" s="89"/>
      <c r="N1029" s="89" t="s">
        <v>1798</v>
      </c>
      <c r="O1029" s="92">
        <v>9852481.0</v>
      </c>
      <c r="P1029" s="92">
        <v>1.0014872E7</v>
      </c>
      <c r="Q1029" s="89" t="s">
        <v>810</v>
      </c>
      <c r="AF1029" s="1"/>
      <c r="AG1029" s="1"/>
    </row>
    <row r="1030" ht="15.75" customHeight="1">
      <c r="A1030" s="1"/>
      <c r="B1030" s="1"/>
      <c r="C1030" s="1"/>
      <c r="D1030" s="1"/>
      <c r="E1030" s="1"/>
      <c r="F1030" s="1"/>
      <c r="G1030" s="1"/>
      <c r="H1030" s="1"/>
      <c r="I1030" s="1"/>
      <c r="J1030" s="1"/>
      <c r="K1030" s="89" t="s">
        <v>1799</v>
      </c>
      <c r="L1030" s="89" t="str">
        <f>D35</f>
        <v>C1a1~</v>
      </c>
      <c r="M1030" s="89"/>
      <c r="N1030" s="89" t="s">
        <v>1800</v>
      </c>
      <c r="O1030" s="92">
        <v>1.7650717E7</v>
      </c>
      <c r="P1030" s="92">
        <v>1.5538837E7</v>
      </c>
      <c r="Q1030" s="89" t="s">
        <v>802</v>
      </c>
      <c r="AF1030" s="1"/>
      <c r="AG1030" s="1"/>
    </row>
    <row r="1031" ht="15.75" customHeight="1">
      <c r="A1031" s="1"/>
      <c r="B1031" s="1"/>
      <c r="C1031" s="1"/>
      <c r="D1031" s="1"/>
      <c r="E1031" s="1"/>
      <c r="F1031" s="1"/>
      <c r="G1031" s="1"/>
      <c r="H1031" s="1"/>
      <c r="I1031" s="1"/>
      <c r="J1031" s="1"/>
      <c r="K1031" s="89" t="s">
        <v>1801</v>
      </c>
      <c r="L1031" s="89" t="str">
        <f>D35</f>
        <v>C1a1~</v>
      </c>
      <c r="M1031" s="89"/>
      <c r="N1031" s="89" t="s">
        <v>1802</v>
      </c>
      <c r="O1031" s="92">
        <v>1.7655837E7</v>
      </c>
      <c r="P1031" s="92">
        <v>1.5543957E7</v>
      </c>
      <c r="Q1031" s="89" t="s">
        <v>886</v>
      </c>
      <c r="AF1031" s="1"/>
      <c r="AG1031" s="1"/>
    </row>
    <row r="1032" ht="15.75" customHeight="1">
      <c r="A1032" s="1"/>
      <c r="B1032" s="1"/>
      <c r="C1032" s="1"/>
      <c r="D1032" s="1"/>
      <c r="E1032" s="1"/>
      <c r="F1032" s="1"/>
      <c r="G1032" s="1"/>
      <c r="H1032" s="1"/>
      <c r="I1032" s="1"/>
      <c r="J1032" s="1"/>
      <c r="K1032" s="89" t="s">
        <v>1803</v>
      </c>
      <c r="L1032" s="89" t="str">
        <f>D35</f>
        <v>C1a1~</v>
      </c>
      <c r="M1032" s="89"/>
      <c r="N1032" s="89" t="s">
        <v>1804</v>
      </c>
      <c r="O1032" s="92">
        <v>1.8122893E7</v>
      </c>
      <c r="P1032" s="92">
        <v>1.6011013E7</v>
      </c>
      <c r="Q1032" s="89" t="s">
        <v>822</v>
      </c>
      <c r="AF1032" s="1"/>
      <c r="AG1032" s="1"/>
    </row>
    <row r="1033" ht="15.75" customHeight="1">
      <c r="A1033" s="1"/>
      <c r="B1033" s="1"/>
      <c r="C1033" s="1"/>
      <c r="D1033" s="1"/>
      <c r="E1033" s="1"/>
      <c r="F1033" s="1"/>
      <c r="G1033" s="1"/>
      <c r="H1033" s="1"/>
      <c r="I1033" s="1"/>
      <c r="J1033" s="1"/>
      <c r="K1033" s="89" t="s">
        <v>1805</v>
      </c>
      <c r="L1033" s="89" t="str">
        <f>D35</f>
        <v>C1a1~</v>
      </c>
      <c r="M1033" s="89"/>
      <c r="N1033" s="89" t="s">
        <v>1806</v>
      </c>
      <c r="O1033" s="92">
        <v>1.8242741E7</v>
      </c>
      <c r="P1033" s="92">
        <v>1.6130861E7</v>
      </c>
      <c r="Q1033" s="89" t="s">
        <v>822</v>
      </c>
      <c r="AF1033" s="1"/>
      <c r="AG1033" s="1"/>
    </row>
    <row r="1034" ht="15.75" customHeight="1">
      <c r="A1034" s="1"/>
      <c r="B1034" s="1"/>
      <c r="C1034" s="1"/>
      <c r="D1034" s="1"/>
      <c r="E1034" s="1"/>
      <c r="F1034" s="1"/>
      <c r="G1034" s="1"/>
      <c r="H1034" s="1"/>
      <c r="I1034" s="1"/>
      <c r="J1034" s="1"/>
      <c r="K1034" s="89" t="s">
        <v>1807</v>
      </c>
      <c r="L1034" s="89" t="str">
        <f>D35</f>
        <v>C1a1~</v>
      </c>
      <c r="M1034" s="89"/>
      <c r="N1034" s="89" t="s">
        <v>1808</v>
      </c>
      <c r="O1034" s="92">
        <v>1.8389678E7</v>
      </c>
      <c r="P1034" s="92">
        <v>1.6277798E7</v>
      </c>
      <c r="Q1034" s="89" t="s">
        <v>838</v>
      </c>
      <c r="AF1034" s="1"/>
      <c r="AG1034" s="1"/>
    </row>
    <row r="1035" ht="15.75" customHeight="1">
      <c r="A1035" s="1"/>
      <c r="B1035" s="1"/>
      <c r="C1035" s="1"/>
      <c r="D1035" s="1"/>
      <c r="E1035" s="1"/>
      <c r="F1035" s="1"/>
      <c r="G1035" s="1"/>
      <c r="H1035" s="1"/>
      <c r="I1035" s="1"/>
      <c r="J1035" s="1"/>
      <c r="K1035" s="89" t="s">
        <v>1809</v>
      </c>
      <c r="L1035" s="89" t="str">
        <f>D35</f>
        <v>C1a1~</v>
      </c>
      <c r="M1035" s="89"/>
      <c r="N1035" s="89" t="s">
        <v>1810</v>
      </c>
      <c r="O1035" s="92">
        <v>1.8963135E7</v>
      </c>
      <c r="P1035" s="92">
        <v>1.6851255E7</v>
      </c>
      <c r="Q1035" s="89" t="s">
        <v>912</v>
      </c>
      <c r="AF1035" s="1"/>
      <c r="AG1035" s="1"/>
    </row>
    <row r="1036" ht="15.75" customHeight="1">
      <c r="A1036" s="1"/>
      <c r="B1036" s="1"/>
      <c r="C1036" s="1"/>
      <c r="D1036" s="1"/>
      <c r="E1036" s="1"/>
      <c r="F1036" s="1"/>
      <c r="G1036" s="1"/>
      <c r="H1036" s="1"/>
      <c r="I1036" s="1"/>
      <c r="J1036" s="1"/>
      <c r="K1036" s="89" t="s">
        <v>1811</v>
      </c>
      <c r="L1036" s="89" t="str">
        <f>D35</f>
        <v>C1a1~</v>
      </c>
      <c r="M1036" s="89"/>
      <c r="N1036" s="89" t="s">
        <v>1812</v>
      </c>
      <c r="O1036" s="92">
        <v>1.9356993E7</v>
      </c>
      <c r="P1036" s="92">
        <v>1.7245113E7</v>
      </c>
      <c r="Q1036" s="89" t="s">
        <v>810</v>
      </c>
      <c r="AF1036" s="1"/>
      <c r="AG1036" s="1"/>
    </row>
    <row r="1037" ht="15.75" customHeight="1">
      <c r="A1037" s="1"/>
      <c r="B1037" s="1"/>
      <c r="C1037" s="1"/>
      <c r="D1037" s="1"/>
      <c r="E1037" s="1"/>
      <c r="F1037" s="1"/>
      <c r="G1037" s="1"/>
      <c r="H1037" s="1"/>
      <c r="I1037" s="1"/>
      <c r="J1037" s="1"/>
      <c r="K1037" s="89" t="s">
        <v>1813</v>
      </c>
      <c r="L1037" s="89" t="str">
        <f>D35</f>
        <v>C1a1~</v>
      </c>
      <c r="M1037" s="89"/>
      <c r="N1037" s="89" t="s">
        <v>1814</v>
      </c>
      <c r="O1037" s="92">
        <v>2.1294103E7</v>
      </c>
      <c r="P1037" s="92">
        <v>1.9132217E7</v>
      </c>
      <c r="Q1037" s="89" t="s">
        <v>822</v>
      </c>
      <c r="AF1037" s="1"/>
      <c r="AG1037" s="1"/>
    </row>
    <row r="1038" ht="15.75" customHeight="1">
      <c r="A1038" s="1"/>
      <c r="B1038" s="1"/>
      <c r="C1038" s="1"/>
      <c r="D1038" s="1"/>
      <c r="E1038" s="1"/>
      <c r="F1038" s="1"/>
      <c r="G1038" s="1"/>
      <c r="H1038" s="1"/>
      <c r="I1038" s="1"/>
      <c r="J1038" s="1"/>
      <c r="K1038" s="89" t="s">
        <v>1815</v>
      </c>
      <c r="L1038" s="89" t="str">
        <f>D35</f>
        <v>C1a1~</v>
      </c>
      <c r="M1038" s="89"/>
      <c r="N1038" s="89" t="s">
        <v>1816</v>
      </c>
      <c r="O1038" s="92">
        <v>2.1360365E7</v>
      </c>
      <c r="P1038" s="92">
        <v>1.9198479E7</v>
      </c>
      <c r="Q1038" s="89" t="s">
        <v>813</v>
      </c>
      <c r="AF1038" s="1"/>
      <c r="AG1038" s="1"/>
    </row>
    <row r="1039" ht="15.75" customHeight="1">
      <c r="A1039" s="1"/>
      <c r="B1039" s="1"/>
      <c r="C1039" s="1"/>
      <c r="D1039" s="1"/>
      <c r="E1039" s="1"/>
      <c r="F1039" s="1"/>
      <c r="G1039" s="1"/>
      <c r="H1039" s="1"/>
      <c r="I1039" s="1"/>
      <c r="J1039" s="1"/>
      <c r="K1039" s="89" t="s">
        <v>1817</v>
      </c>
      <c r="L1039" s="89" t="str">
        <f>D35</f>
        <v>C1a1~</v>
      </c>
      <c r="M1039" s="89"/>
      <c r="N1039" s="89" t="s">
        <v>1818</v>
      </c>
      <c r="O1039" s="92">
        <v>2.1440936E7</v>
      </c>
      <c r="P1039" s="92">
        <v>1.927905E7</v>
      </c>
      <c r="Q1039" s="89" t="s">
        <v>845</v>
      </c>
      <c r="AF1039" s="1"/>
      <c r="AG1039" s="1"/>
    </row>
    <row r="1040" ht="15.75" customHeight="1">
      <c r="A1040" s="1"/>
      <c r="B1040" s="1"/>
      <c r="C1040" s="1"/>
      <c r="D1040" s="1"/>
      <c r="E1040" s="1"/>
      <c r="F1040" s="1"/>
      <c r="G1040" s="1"/>
      <c r="H1040" s="1"/>
      <c r="I1040" s="1"/>
      <c r="J1040" s="1"/>
      <c r="K1040" s="89" t="s">
        <v>1819</v>
      </c>
      <c r="L1040" s="89" t="str">
        <f>D35</f>
        <v>C1a1~</v>
      </c>
      <c r="M1040" s="89"/>
      <c r="N1040" s="89" t="s">
        <v>1820</v>
      </c>
      <c r="O1040" s="92">
        <v>2.1527279E7</v>
      </c>
      <c r="P1040" s="92">
        <v>1.9365393E7</v>
      </c>
      <c r="Q1040" s="89" t="s">
        <v>912</v>
      </c>
      <c r="AF1040" s="1"/>
      <c r="AG1040" s="1"/>
    </row>
    <row r="1041" ht="15.75" customHeight="1">
      <c r="A1041" s="1"/>
      <c r="B1041" s="1"/>
      <c r="C1041" s="1"/>
      <c r="D1041" s="1"/>
      <c r="E1041" s="1"/>
      <c r="F1041" s="1"/>
      <c r="G1041" s="1"/>
      <c r="H1041" s="1"/>
      <c r="I1041" s="1"/>
      <c r="J1041" s="1"/>
      <c r="K1041" s="89" t="s">
        <v>1821</v>
      </c>
      <c r="L1041" s="89" t="str">
        <f>D35</f>
        <v>C1a1~</v>
      </c>
      <c r="M1041" s="89"/>
      <c r="N1041" s="89" t="s">
        <v>1822</v>
      </c>
      <c r="O1041" s="92">
        <v>2.1542214E7</v>
      </c>
      <c r="P1041" s="92">
        <v>1.9380328E7</v>
      </c>
      <c r="Q1041" s="89" t="s">
        <v>810</v>
      </c>
      <c r="AF1041" s="1"/>
      <c r="AG1041" s="1"/>
    </row>
    <row r="1042" ht="15.75" customHeight="1">
      <c r="A1042" s="1"/>
      <c r="B1042" s="1"/>
      <c r="C1042" s="1"/>
      <c r="D1042" s="1"/>
      <c r="E1042" s="1"/>
      <c r="F1042" s="1"/>
      <c r="G1042" s="1"/>
      <c r="H1042" s="1"/>
      <c r="I1042" s="1"/>
      <c r="J1042" s="1"/>
      <c r="K1042" s="89" t="s">
        <v>1823</v>
      </c>
      <c r="L1042" s="89" t="str">
        <f>D35</f>
        <v>C1a1~</v>
      </c>
      <c r="M1042" s="89"/>
      <c r="N1042" s="89" t="s">
        <v>1824</v>
      </c>
      <c r="O1042" s="92">
        <v>2.1550337E7</v>
      </c>
      <c r="P1042" s="92">
        <v>1.9388451E7</v>
      </c>
      <c r="Q1042" s="89" t="s">
        <v>822</v>
      </c>
      <c r="AF1042" s="1"/>
      <c r="AG1042" s="1"/>
    </row>
    <row r="1043" ht="15.75" customHeight="1">
      <c r="A1043" s="1"/>
      <c r="B1043" s="1"/>
      <c r="C1043" s="1"/>
      <c r="D1043" s="1"/>
      <c r="E1043" s="1"/>
      <c r="F1043" s="1"/>
      <c r="G1043" s="1"/>
      <c r="H1043" s="1"/>
      <c r="I1043" s="1"/>
      <c r="J1043" s="1"/>
      <c r="K1043" s="89" t="s">
        <v>1825</v>
      </c>
      <c r="L1043" s="89" t="str">
        <f>D35</f>
        <v>C1a1~</v>
      </c>
      <c r="M1043" s="89"/>
      <c r="N1043" s="89" t="s">
        <v>1826</v>
      </c>
      <c r="O1043" s="92">
        <v>2.1616522E7</v>
      </c>
      <c r="P1043" s="92">
        <v>1.9454636E7</v>
      </c>
      <c r="Q1043" s="89" t="s">
        <v>831</v>
      </c>
      <c r="AF1043" s="1"/>
      <c r="AG1043" s="1"/>
    </row>
    <row r="1044" ht="15.75" customHeight="1">
      <c r="A1044" s="1"/>
      <c r="B1044" s="1"/>
      <c r="C1044" s="1"/>
      <c r="D1044" s="1"/>
      <c r="E1044" s="1"/>
      <c r="F1044" s="1"/>
      <c r="G1044" s="1"/>
      <c r="H1044" s="1"/>
      <c r="I1044" s="1"/>
      <c r="J1044" s="1"/>
      <c r="K1044" s="89" t="s">
        <v>1827</v>
      </c>
      <c r="L1044" s="89" t="str">
        <f>D35</f>
        <v>C1a1~</v>
      </c>
      <c r="M1044" s="89"/>
      <c r="N1044" s="89" t="s">
        <v>1828</v>
      </c>
      <c r="O1044" s="92">
        <v>2.1799753E7</v>
      </c>
      <c r="P1044" s="92">
        <v>1.9637867E7</v>
      </c>
      <c r="Q1044" s="89" t="s">
        <v>831</v>
      </c>
      <c r="AF1044" s="1"/>
      <c r="AG1044" s="1"/>
    </row>
    <row r="1045" ht="15.75" customHeight="1">
      <c r="A1045" s="1"/>
      <c r="B1045" s="1"/>
      <c r="C1045" s="1"/>
      <c r="D1045" s="1"/>
      <c r="E1045" s="1"/>
      <c r="F1045" s="1"/>
      <c r="G1045" s="1"/>
      <c r="H1045" s="1"/>
      <c r="I1045" s="1"/>
      <c r="J1045" s="1"/>
      <c r="K1045" s="89" t="s">
        <v>1829</v>
      </c>
      <c r="L1045" s="89" t="str">
        <f>D35</f>
        <v>C1a1~</v>
      </c>
      <c r="M1045" s="89"/>
      <c r="N1045" s="89" t="s">
        <v>1830</v>
      </c>
      <c r="O1045" s="92">
        <v>2.2001694E7</v>
      </c>
      <c r="P1045" s="92">
        <v>1.9839808E7</v>
      </c>
      <c r="Q1045" s="89" t="s">
        <v>813</v>
      </c>
      <c r="AF1045" s="1"/>
      <c r="AG1045" s="1"/>
    </row>
    <row r="1046" ht="15.75" customHeight="1">
      <c r="A1046" s="1"/>
      <c r="B1046" s="1"/>
      <c r="C1046" s="1"/>
      <c r="D1046" s="1"/>
      <c r="E1046" s="1"/>
      <c r="F1046" s="1"/>
      <c r="G1046" s="1"/>
      <c r="H1046" s="1"/>
      <c r="I1046" s="1"/>
      <c r="J1046" s="1"/>
      <c r="K1046" s="89" t="s">
        <v>1831</v>
      </c>
      <c r="L1046" s="89" t="str">
        <f>D35</f>
        <v>C1a1~</v>
      </c>
      <c r="M1046" s="89"/>
      <c r="N1046" s="89" t="s">
        <v>1832</v>
      </c>
      <c r="O1046" s="92">
        <v>2.2062846E7</v>
      </c>
      <c r="P1046" s="92">
        <v>1.990096E7</v>
      </c>
      <c r="Q1046" s="89" t="s">
        <v>912</v>
      </c>
      <c r="AF1046" s="1"/>
      <c r="AG1046" s="1"/>
    </row>
    <row r="1047" ht="15.75" customHeight="1">
      <c r="A1047" s="1"/>
      <c r="B1047" s="1"/>
      <c r="C1047" s="1"/>
      <c r="D1047" s="1"/>
      <c r="E1047" s="1"/>
      <c r="F1047" s="1"/>
      <c r="G1047" s="1"/>
      <c r="H1047" s="1"/>
      <c r="I1047" s="1"/>
      <c r="J1047" s="1"/>
      <c r="K1047" s="89" t="s">
        <v>1833</v>
      </c>
      <c r="L1047" s="89" t="str">
        <f>D35</f>
        <v>C1a1~</v>
      </c>
      <c r="M1047" s="89"/>
      <c r="N1047" s="89" t="s">
        <v>1834</v>
      </c>
      <c r="O1047" s="92">
        <v>2.2201371E7</v>
      </c>
      <c r="P1047" s="92">
        <v>2.0039485E7</v>
      </c>
      <c r="Q1047" s="89" t="s">
        <v>802</v>
      </c>
      <c r="AF1047" s="1"/>
      <c r="AG1047" s="1"/>
    </row>
    <row r="1048" ht="15.75" customHeight="1">
      <c r="A1048" s="1"/>
      <c r="B1048" s="1"/>
      <c r="C1048" s="1"/>
      <c r="D1048" s="1"/>
      <c r="E1048" s="1"/>
      <c r="F1048" s="1"/>
      <c r="G1048" s="1"/>
      <c r="H1048" s="1"/>
      <c r="I1048" s="1"/>
      <c r="J1048" s="1"/>
      <c r="K1048" s="89" t="s">
        <v>1835</v>
      </c>
      <c r="L1048" s="89" t="str">
        <f>D35</f>
        <v>C1a1~</v>
      </c>
      <c r="M1048" s="89"/>
      <c r="N1048" s="89" t="s">
        <v>1836</v>
      </c>
      <c r="O1048" s="92">
        <v>1.3642563E7</v>
      </c>
      <c r="P1048" s="92">
        <v>1.1486887E7</v>
      </c>
      <c r="Q1048" s="89" t="s">
        <v>822</v>
      </c>
      <c r="AF1048" s="1"/>
      <c r="AG1048" s="1"/>
    </row>
    <row r="1049" ht="15.75" customHeight="1">
      <c r="A1049" s="1"/>
      <c r="B1049" s="1"/>
      <c r="C1049" s="1"/>
      <c r="D1049" s="1"/>
      <c r="E1049" s="1"/>
      <c r="F1049" s="1"/>
      <c r="G1049" s="1"/>
      <c r="H1049" s="1"/>
      <c r="I1049" s="1"/>
      <c r="J1049" s="1"/>
      <c r="K1049" s="89" t="s">
        <v>1837</v>
      </c>
      <c r="L1049" s="89" t="str">
        <f>D35</f>
        <v>C1a1~</v>
      </c>
      <c r="M1049" s="89"/>
      <c r="N1049" s="89" t="s">
        <v>1838</v>
      </c>
      <c r="O1049" s="92">
        <v>1.3801876E7</v>
      </c>
      <c r="P1049" s="92">
        <v>1.168117E7</v>
      </c>
      <c r="Q1049" s="89" t="s">
        <v>822</v>
      </c>
      <c r="AF1049" s="1"/>
      <c r="AG1049" s="1"/>
    </row>
    <row r="1050" ht="15.75" customHeight="1">
      <c r="A1050" s="1"/>
      <c r="B1050" s="1"/>
      <c r="C1050" s="1"/>
      <c r="D1050" s="1"/>
      <c r="E1050" s="1"/>
      <c r="F1050" s="1"/>
      <c r="G1050" s="1"/>
      <c r="H1050" s="1"/>
      <c r="I1050" s="1"/>
      <c r="J1050" s="1"/>
      <c r="K1050" s="89" t="s">
        <v>1839</v>
      </c>
      <c r="L1050" s="89" t="str">
        <f>D35</f>
        <v>C1a1~</v>
      </c>
      <c r="M1050" s="89"/>
      <c r="N1050" s="89" t="s">
        <v>1840</v>
      </c>
      <c r="O1050" s="92">
        <v>1.3811854E7</v>
      </c>
      <c r="P1050" s="92">
        <v>1.1691148E7</v>
      </c>
      <c r="Q1050" s="89" t="s">
        <v>845</v>
      </c>
      <c r="AF1050" s="1"/>
      <c r="AG1050" s="1"/>
    </row>
    <row r="1051" ht="15.75" customHeight="1">
      <c r="A1051" s="1"/>
      <c r="B1051" s="1"/>
      <c r="C1051" s="1"/>
      <c r="D1051" s="1"/>
      <c r="E1051" s="1"/>
      <c r="F1051" s="1"/>
      <c r="G1051" s="1"/>
      <c r="H1051" s="1"/>
      <c r="I1051" s="1"/>
      <c r="J1051" s="1"/>
      <c r="K1051" s="89" t="s">
        <v>1841</v>
      </c>
      <c r="L1051" s="89" t="str">
        <f>D35</f>
        <v>C1a1~</v>
      </c>
      <c r="M1051" s="89"/>
      <c r="N1051" s="89" t="s">
        <v>1842</v>
      </c>
      <c r="O1051" s="92">
        <v>1.3839541E7</v>
      </c>
      <c r="P1051" s="92">
        <v>1.1718835E7</v>
      </c>
      <c r="Q1051" s="89" t="s">
        <v>831</v>
      </c>
      <c r="AF1051" s="1"/>
      <c r="AG1051" s="1"/>
    </row>
    <row r="1052" ht="15.75" customHeight="1">
      <c r="A1052" s="1"/>
      <c r="B1052" s="1"/>
      <c r="C1052" s="1"/>
      <c r="D1052" s="1"/>
      <c r="E1052" s="1"/>
      <c r="F1052" s="1"/>
      <c r="G1052" s="1"/>
      <c r="H1052" s="1"/>
      <c r="I1052" s="1"/>
      <c r="J1052" s="1"/>
      <c r="K1052" s="89" t="s">
        <v>1843</v>
      </c>
      <c r="L1052" s="89" t="str">
        <f>D35</f>
        <v>C1a1~</v>
      </c>
      <c r="M1052" s="89"/>
      <c r="N1052" s="89" t="s">
        <v>1844</v>
      </c>
      <c r="O1052" s="92">
        <v>1.3851206E7</v>
      </c>
      <c r="P1052" s="92">
        <v>1.17305E7</v>
      </c>
      <c r="Q1052" s="89" t="s">
        <v>810</v>
      </c>
      <c r="AF1052" s="1"/>
      <c r="AG1052" s="1"/>
    </row>
    <row r="1053" ht="15.75" customHeight="1">
      <c r="A1053" s="1"/>
      <c r="B1053" s="1"/>
      <c r="C1053" s="1"/>
      <c r="D1053" s="1"/>
      <c r="E1053" s="1"/>
      <c r="F1053" s="1"/>
      <c r="G1053" s="1"/>
      <c r="H1053" s="1"/>
      <c r="I1053" s="1"/>
      <c r="J1053" s="1"/>
      <c r="K1053" s="89" t="s">
        <v>1845</v>
      </c>
      <c r="L1053" s="89" t="str">
        <f>D35</f>
        <v>C1a1~</v>
      </c>
      <c r="M1053" s="89"/>
      <c r="N1053" s="89" t="s">
        <v>1846</v>
      </c>
      <c r="O1053" s="92">
        <v>1.4273361E7</v>
      </c>
      <c r="P1053" s="92">
        <v>1.2152655E7</v>
      </c>
      <c r="Q1053" s="89" t="s">
        <v>810</v>
      </c>
      <c r="AF1053" s="1"/>
      <c r="AG1053" s="1"/>
    </row>
    <row r="1054" ht="15.75" customHeight="1">
      <c r="A1054" s="1"/>
      <c r="B1054" s="1"/>
      <c r="C1054" s="1"/>
      <c r="D1054" s="1"/>
      <c r="E1054" s="1"/>
      <c r="F1054" s="1"/>
      <c r="G1054" s="1"/>
      <c r="H1054" s="1"/>
      <c r="I1054" s="1"/>
      <c r="J1054" s="1"/>
      <c r="K1054" s="89" t="s">
        <v>1847</v>
      </c>
      <c r="L1054" s="89" t="str">
        <f>D35</f>
        <v>C1a1~</v>
      </c>
      <c r="M1054" s="89"/>
      <c r="N1054" s="89" t="s">
        <v>1848</v>
      </c>
      <c r="O1054" s="92">
        <v>1.4275201E7</v>
      </c>
      <c r="P1054" s="92">
        <v>1.2154495E7</v>
      </c>
      <c r="Q1054" s="89" t="s">
        <v>813</v>
      </c>
      <c r="AF1054" s="1"/>
      <c r="AG1054" s="1"/>
    </row>
    <row r="1055" ht="15.75" customHeight="1">
      <c r="A1055" s="1"/>
      <c r="B1055" s="1"/>
      <c r="C1055" s="1"/>
      <c r="D1055" s="1"/>
      <c r="E1055" s="1"/>
      <c r="F1055" s="1"/>
      <c r="G1055" s="1"/>
      <c r="H1055" s="1"/>
      <c r="I1055" s="1"/>
      <c r="J1055" s="1"/>
      <c r="K1055" s="89" t="s">
        <v>1849</v>
      </c>
      <c r="L1055" s="89" t="str">
        <f>D35</f>
        <v>C1a1~</v>
      </c>
      <c r="M1055" s="89"/>
      <c r="N1055" s="89" t="s">
        <v>1850</v>
      </c>
      <c r="O1055" s="92">
        <v>1.4407131E7</v>
      </c>
      <c r="P1055" s="92">
        <v>1.2286429E7</v>
      </c>
      <c r="Q1055" s="89" t="s">
        <v>822</v>
      </c>
      <c r="AF1055" s="1"/>
      <c r="AG1055" s="1"/>
    </row>
    <row r="1056" ht="15.75" customHeight="1">
      <c r="A1056" s="1"/>
      <c r="B1056" s="1"/>
      <c r="C1056" s="1"/>
      <c r="D1056" s="1"/>
      <c r="E1056" s="1"/>
      <c r="F1056" s="1"/>
      <c r="G1056" s="1"/>
      <c r="H1056" s="1"/>
      <c r="I1056" s="1"/>
      <c r="J1056" s="1"/>
      <c r="K1056" s="89" t="s">
        <v>1851</v>
      </c>
      <c r="L1056" s="89" t="str">
        <f>D35</f>
        <v>C1a1~</v>
      </c>
      <c r="M1056" s="89"/>
      <c r="N1056" s="89" t="s">
        <v>1852</v>
      </c>
      <c r="O1056" s="92">
        <v>1.4486025E7</v>
      </c>
      <c r="P1056" s="92">
        <v>1.2365294E7</v>
      </c>
      <c r="Q1056" s="89" t="s">
        <v>802</v>
      </c>
      <c r="AF1056" s="1"/>
      <c r="AG1056" s="1"/>
    </row>
    <row r="1057" ht="15.75" customHeight="1">
      <c r="A1057" s="1"/>
      <c r="B1057" s="1"/>
      <c r="C1057" s="1"/>
      <c r="D1057" s="1"/>
      <c r="E1057" s="1"/>
      <c r="F1057" s="1"/>
      <c r="G1057" s="1"/>
      <c r="H1057" s="1"/>
      <c r="I1057" s="1"/>
      <c r="J1057" s="1"/>
      <c r="K1057" s="89" t="s">
        <v>1853</v>
      </c>
      <c r="L1057" s="89" t="str">
        <f>D35</f>
        <v>C1a1~</v>
      </c>
      <c r="M1057" s="89"/>
      <c r="N1057" s="89" t="s">
        <v>1854</v>
      </c>
      <c r="O1057" s="92">
        <v>1.4663354E7</v>
      </c>
      <c r="P1057" s="92">
        <v>1.2551419E7</v>
      </c>
      <c r="Q1057" s="89" t="s">
        <v>831</v>
      </c>
      <c r="AF1057" s="1"/>
      <c r="AG1057" s="1"/>
    </row>
    <row r="1058" ht="15.75" customHeight="1">
      <c r="A1058" s="1"/>
      <c r="B1058" s="1"/>
      <c r="C1058" s="1"/>
      <c r="D1058" s="1"/>
      <c r="E1058" s="1"/>
      <c r="F1058" s="1"/>
      <c r="G1058" s="1"/>
      <c r="H1058" s="1"/>
      <c r="I1058" s="1"/>
      <c r="J1058" s="1"/>
      <c r="K1058" s="89" t="s">
        <v>1855</v>
      </c>
      <c r="L1058" s="89" t="str">
        <f>D35</f>
        <v>C1a1~</v>
      </c>
      <c r="M1058" s="89"/>
      <c r="N1058" s="89" t="s">
        <v>1856</v>
      </c>
      <c r="O1058" s="92">
        <v>1.4666906E7</v>
      </c>
      <c r="P1058" s="92">
        <v>1.2554972E7</v>
      </c>
      <c r="Q1058" s="89" t="s">
        <v>831</v>
      </c>
      <c r="AF1058" s="1"/>
      <c r="AG1058" s="1"/>
    </row>
    <row r="1059" ht="15.75" customHeight="1">
      <c r="A1059" s="1"/>
      <c r="B1059" s="1"/>
      <c r="C1059" s="1"/>
      <c r="D1059" s="1"/>
      <c r="E1059" s="1"/>
      <c r="F1059" s="1"/>
      <c r="G1059" s="1"/>
      <c r="H1059" s="1"/>
      <c r="I1059" s="1"/>
      <c r="J1059" s="1"/>
      <c r="K1059" s="89" t="s">
        <v>1857</v>
      </c>
      <c r="L1059" s="89" t="str">
        <f>D35</f>
        <v>C1a1~</v>
      </c>
      <c r="M1059" s="89"/>
      <c r="N1059" s="89" t="s">
        <v>1858</v>
      </c>
      <c r="O1059" s="92">
        <v>1.4845376E7</v>
      </c>
      <c r="P1059" s="92">
        <v>1.2733442E7</v>
      </c>
      <c r="Q1059" s="89" t="s">
        <v>802</v>
      </c>
      <c r="AF1059" s="1"/>
      <c r="AG1059" s="1"/>
    </row>
    <row r="1060" ht="15.75" customHeight="1">
      <c r="A1060" s="1"/>
      <c r="B1060" s="1"/>
      <c r="C1060" s="1"/>
      <c r="D1060" s="1"/>
      <c r="E1060" s="1"/>
      <c r="F1060" s="1"/>
      <c r="G1060" s="1"/>
      <c r="H1060" s="1"/>
      <c r="I1060" s="1"/>
      <c r="J1060" s="1"/>
      <c r="K1060" s="89" t="s">
        <v>1859</v>
      </c>
      <c r="L1060" s="89" t="str">
        <f>D35</f>
        <v>C1a1~</v>
      </c>
      <c r="M1060" s="89"/>
      <c r="N1060" s="89" t="s">
        <v>1860</v>
      </c>
      <c r="O1060" s="92">
        <v>1.504981E7</v>
      </c>
      <c r="P1060" s="92">
        <v>1.2937901E7</v>
      </c>
      <c r="Q1060" s="89" t="s">
        <v>802</v>
      </c>
      <c r="AF1060" s="1"/>
      <c r="AG1060" s="1"/>
    </row>
    <row r="1061" ht="15.75" customHeight="1">
      <c r="A1061" s="1"/>
      <c r="B1061" s="1"/>
      <c r="C1061" s="1"/>
      <c r="D1061" s="1"/>
      <c r="E1061" s="1"/>
      <c r="F1061" s="1"/>
      <c r="G1061" s="1"/>
      <c r="H1061" s="1"/>
      <c r="I1061" s="1"/>
      <c r="J1061" s="1"/>
      <c r="K1061" s="89" t="s">
        <v>1861</v>
      </c>
      <c r="L1061" s="89" t="str">
        <f>D35</f>
        <v>C1a1~</v>
      </c>
      <c r="M1061" s="89"/>
      <c r="N1061" s="89" t="s">
        <v>1862</v>
      </c>
      <c r="O1061" s="92">
        <v>1.5219122E7</v>
      </c>
      <c r="P1061" s="92">
        <v>1.3107208E7</v>
      </c>
      <c r="Q1061" s="89" t="s">
        <v>822</v>
      </c>
      <c r="AF1061" s="1"/>
      <c r="AG1061" s="1"/>
    </row>
    <row r="1062" ht="15.75" customHeight="1">
      <c r="A1062" s="1"/>
      <c r="B1062" s="1"/>
      <c r="C1062" s="1"/>
      <c r="D1062" s="1"/>
      <c r="E1062" s="1"/>
      <c r="F1062" s="1"/>
      <c r="G1062" s="1"/>
      <c r="H1062" s="1"/>
      <c r="I1062" s="1"/>
      <c r="J1062" s="1"/>
      <c r="K1062" s="89" t="s">
        <v>1863</v>
      </c>
      <c r="L1062" s="89" t="str">
        <f>D35</f>
        <v>C1a1~</v>
      </c>
      <c r="M1062" s="89"/>
      <c r="N1062" s="89" t="s">
        <v>1864</v>
      </c>
      <c r="O1062" s="92">
        <v>1.3869955E7</v>
      </c>
      <c r="P1062" s="92">
        <v>1.1749249E7</v>
      </c>
      <c r="Q1062" s="89" t="s">
        <v>810</v>
      </c>
      <c r="AF1062" s="1"/>
      <c r="AG1062" s="1"/>
    </row>
    <row r="1063" ht="15.75" customHeight="1">
      <c r="A1063" s="1"/>
      <c r="B1063" s="1"/>
      <c r="C1063" s="1"/>
      <c r="D1063" s="1"/>
      <c r="E1063" s="1"/>
      <c r="F1063" s="1"/>
      <c r="G1063" s="1"/>
      <c r="H1063" s="1"/>
      <c r="I1063" s="1"/>
      <c r="J1063" s="1"/>
      <c r="K1063" s="89" t="s">
        <v>1865</v>
      </c>
      <c r="L1063" s="89" t="str">
        <f>D35</f>
        <v>C1a1~</v>
      </c>
      <c r="M1063" s="89"/>
      <c r="N1063" s="89" t="s">
        <v>1866</v>
      </c>
      <c r="O1063" s="92">
        <v>1.5803319E7</v>
      </c>
      <c r="P1063" s="92">
        <v>1.3691439E7</v>
      </c>
      <c r="Q1063" s="89" t="s">
        <v>810</v>
      </c>
      <c r="AF1063" s="1"/>
      <c r="AG1063" s="1"/>
    </row>
    <row r="1064" ht="15.75" customHeight="1">
      <c r="A1064" s="1"/>
      <c r="B1064" s="1"/>
      <c r="C1064" s="1"/>
      <c r="D1064" s="1"/>
      <c r="E1064" s="1"/>
      <c r="F1064" s="1"/>
      <c r="G1064" s="1"/>
      <c r="H1064" s="1"/>
      <c r="I1064" s="1"/>
      <c r="J1064" s="1"/>
      <c r="K1064" s="89" t="s">
        <v>1867</v>
      </c>
      <c r="L1064" s="89" t="str">
        <f>D35</f>
        <v>C1a1~</v>
      </c>
      <c r="M1064" s="89"/>
      <c r="N1064" s="89" t="s">
        <v>1868</v>
      </c>
      <c r="O1064" s="92">
        <v>1.6531081E7</v>
      </c>
      <c r="P1064" s="92">
        <v>1.4419201E7</v>
      </c>
      <c r="Q1064" s="89" t="s">
        <v>802</v>
      </c>
      <c r="AF1064" s="1"/>
      <c r="AG1064" s="1"/>
    </row>
    <row r="1065" ht="15.75" customHeight="1">
      <c r="A1065" s="1"/>
      <c r="B1065" s="1"/>
      <c r="C1065" s="1"/>
      <c r="D1065" s="1"/>
      <c r="E1065" s="1"/>
      <c r="F1065" s="1"/>
      <c r="G1065" s="1"/>
      <c r="H1065" s="1"/>
      <c r="I1065" s="1"/>
      <c r="J1065" s="1"/>
      <c r="K1065" s="89" t="s">
        <v>1869</v>
      </c>
      <c r="L1065" s="89" t="str">
        <f>D35</f>
        <v>C1a1~</v>
      </c>
      <c r="M1065" s="89"/>
      <c r="N1065" s="89" t="s">
        <v>1870</v>
      </c>
      <c r="O1065" s="92">
        <v>1.7405809E7</v>
      </c>
      <c r="P1065" s="92">
        <v>1.5293929E7</v>
      </c>
      <c r="Q1065" s="89" t="s">
        <v>886</v>
      </c>
      <c r="AF1065" s="1"/>
      <c r="AG1065" s="1"/>
    </row>
    <row r="1066" ht="15.75" customHeight="1">
      <c r="A1066" s="1"/>
      <c r="B1066" s="1"/>
      <c r="C1066" s="1"/>
      <c r="D1066" s="1"/>
      <c r="E1066" s="1"/>
      <c r="F1066" s="1"/>
      <c r="G1066" s="1"/>
      <c r="H1066" s="1"/>
      <c r="I1066" s="1"/>
      <c r="J1066" s="1"/>
      <c r="K1066" s="89" t="s">
        <v>1871</v>
      </c>
      <c r="L1066" s="89" t="str">
        <f>D35</f>
        <v>C1a1~</v>
      </c>
      <c r="M1066" s="89"/>
      <c r="N1066" s="89" t="s">
        <v>1872</v>
      </c>
      <c r="O1066" s="92">
        <v>2.2520506E7</v>
      </c>
      <c r="P1066" s="92">
        <v>2.035862E7</v>
      </c>
      <c r="Q1066" s="89" t="s">
        <v>813</v>
      </c>
      <c r="AF1066" s="1"/>
      <c r="AG1066" s="1"/>
    </row>
    <row r="1067" ht="15.75" customHeight="1">
      <c r="A1067" s="1"/>
      <c r="B1067" s="1"/>
      <c r="C1067" s="1"/>
      <c r="D1067" s="1"/>
      <c r="E1067" s="1"/>
      <c r="F1067" s="1"/>
      <c r="G1067" s="1"/>
      <c r="H1067" s="1"/>
      <c r="I1067" s="1"/>
      <c r="J1067" s="1"/>
      <c r="K1067" s="89" t="s">
        <v>1873</v>
      </c>
      <c r="L1067" s="89" t="str">
        <f>D35</f>
        <v>C1a1~</v>
      </c>
      <c r="M1067" s="89"/>
      <c r="N1067" s="89" t="s">
        <v>1874</v>
      </c>
      <c r="O1067" s="92">
        <v>2.273376E7</v>
      </c>
      <c r="P1067" s="92">
        <v>2.0571874E7</v>
      </c>
      <c r="Q1067" s="89" t="s">
        <v>831</v>
      </c>
      <c r="AF1067" s="1"/>
      <c r="AG1067" s="1"/>
    </row>
    <row r="1068" ht="15.75" customHeight="1">
      <c r="A1068" s="1"/>
      <c r="B1068" s="1"/>
      <c r="C1068" s="1"/>
      <c r="D1068" s="1"/>
      <c r="E1068" s="1"/>
      <c r="F1068" s="1"/>
      <c r="G1068" s="1"/>
      <c r="H1068" s="1"/>
      <c r="I1068" s="1"/>
      <c r="J1068" s="1"/>
      <c r="K1068" s="89" t="s">
        <v>1875</v>
      </c>
      <c r="L1068" s="89" t="str">
        <f>D35</f>
        <v>C1a1~</v>
      </c>
      <c r="M1068" s="89"/>
      <c r="N1068" s="89" t="s">
        <v>1876</v>
      </c>
      <c r="O1068" s="92">
        <v>2.3033528E7</v>
      </c>
      <c r="P1068" s="92">
        <v>2.0871642E7</v>
      </c>
      <c r="Q1068" s="89" t="s">
        <v>912</v>
      </c>
      <c r="AF1068" s="1"/>
      <c r="AG1068" s="1"/>
    </row>
    <row r="1069" ht="15.75" customHeight="1">
      <c r="A1069" s="1"/>
      <c r="B1069" s="1"/>
      <c r="C1069" s="1"/>
      <c r="D1069" s="1"/>
      <c r="E1069" s="1"/>
      <c r="F1069" s="1"/>
      <c r="G1069" s="1"/>
      <c r="H1069" s="1"/>
      <c r="I1069" s="1"/>
      <c r="J1069" s="1"/>
      <c r="K1069" s="89" t="s">
        <v>1877</v>
      </c>
      <c r="L1069" s="89" t="str">
        <f>D35</f>
        <v>C1a1~</v>
      </c>
      <c r="M1069" s="89"/>
      <c r="N1069" s="89" t="s">
        <v>1878</v>
      </c>
      <c r="O1069" s="92">
        <v>2.3112744E7</v>
      </c>
      <c r="P1069" s="92">
        <v>2.0950858E7</v>
      </c>
      <c r="Q1069" s="89" t="s">
        <v>912</v>
      </c>
      <c r="AF1069" s="1"/>
      <c r="AG1069" s="1"/>
    </row>
    <row r="1070" ht="15.75" customHeight="1">
      <c r="A1070" s="1"/>
      <c r="B1070" s="1"/>
      <c r="C1070" s="1"/>
      <c r="D1070" s="1"/>
      <c r="E1070" s="1"/>
      <c r="F1070" s="1"/>
      <c r="G1070" s="1"/>
      <c r="H1070" s="1"/>
      <c r="I1070" s="1"/>
      <c r="J1070" s="1"/>
      <c r="K1070" s="89" t="s">
        <v>1879</v>
      </c>
      <c r="L1070" s="89" t="str">
        <f>D35</f>
        <v>C1a1~</v>
      </c>
      <c r="M1070" s="89"/>
      <c r="N1070" s="89" t="s">
        <v>1880</v>
      </c>
      <c r="O1070" s="92">
        <v>2.3203814E7</v>
      </c>
      <c r="P1070" s="92">
        <v>2.1041928E7</v>
      </c>
      <c r="Q1070" s="89" t="s">
        <v>810</v>
      </c>
      <c r="AF1070" s="1"/>
      <c r="AG1070" s="1"/>
    </row>
    <row r="1071" ht="15.75" customHeight="1">
      <c r="A1071" s="1"/>
      <c r="B1071" s="1"/>
      <c r="C1071" s="1"/>
      <c r="D1071" s="1"/>
      <c r="E1071" s="1"/>
      <c r="F1071" s="1"/>
      <c r="G1071" s="1"/>
      <c r="H1071" s="1"/>
      <c r="I1071" s="1"/>
      <c r="J1071" s="1"/>
      <c r="K1071" s="89" t="s">
        <v>1881</v>
      </c>
      <c r="L1071" s="89" t="str">
        <f>D35</f>
        <v>C1a1~</v>
      </c>
      <c r="M1071" s="89"/>
      <c r="N1071" s="89" t="s">
        <v>1882</v>
      </c>
      <c r="O1071" s="92">
        <v>2.3271913E7</v>
      </c>
      <c r="P1071" s="92">
        <v>2.1110027E7</v>
      </c>
      <c r="Q1071" s="89" t="s">
        <v>838</v>
      </c>
      <c r="AF1071" s="1"/>
      <c r="AG1071" s="1"/>
    </row>
    <row r="1072" ht="15.75" customHeight="1">
      <c r="A1072" s="1"/>
      <c r="B1072" s="1"/>
      <c r="C1072" s="1"/>
      <c r="D1072" s="1"/>
      <c r="E1072" s="1"/>
      <c r="F1072" s="1"/>
      <c r="G1072" s="1"/>
      <c r="H1072" s="1"/>
      <c r="I1072" s="1"/>
      <c r="J1072" s="1"/>
      <c r="K1072" s="89" t="s">
        <v>1883</v>
      </c>
      <c r="L1072" s="89" t="str">
        <f>D35</f>
        <v>C1a1~</v>
      </c>
      <c r="M1072" s="89"/>
      <c r="N1072" s="89" t="s">
        <v>1884</v>
      </c>
      <c r="O1072" s="92">
        <v>2.3514402E7</v>
      </c>
      <c r="P1072" s="92">
        <v>2.1352516E7</v>
      </c>
      <c r="Q1072" s="89" t="s">
        <v>810</v>
      </c>
      <c r="AF1072" s="1"/>
      <c r="AG1072" s="1"/>
    </row>
    <row r="1073" ht="15.75" customHeight="1">
      <c r="A1073" s="1"/>
      <c r="B1073" s="1"/>
      <c r="C1073" s="1"/>
      <c r="D1073" s="1"/>
      <c r="E1073" s="1"/>
      <c r="F1073" s="1"/>
      <c r="G1073" s="1"/>
      <c r="H1073" s="1"/>
      <c r="I1073" s="1"/>
      <c r="J1073" s="1"/>
      <c r="K1073" s="89" t="s">
        <v>1885</v>
      </c>
      <c r="L1073" s="89" t="str">
        <f>D35</f>
        <v>C1a1~</v>
      </c>
      <c r="M1073" s="89"/>
      <c r="N1073" s="89" t="s">
        <v>1886</v>
      </c>
      <c r="O1073" s="89">
        <v>2.3546762E7</v>
      </c>
      <c r="P1073" s="89">
        <v>2.1384876E7</v>
      </c>
      <c r="Q1073" s="89" t="s">
        <v>917</v>
      </c>
      <c r="AF1073" s="1"/>
      <c r="AG1073" s="1"/>
    </row>
    <row r="1074" ht="15.75" customHeight="1">
      <c r="A1074" s="1"/>
      <c r="B1074" s="1"/>
      <c r="C1074" s="1"/>
      <c r="D1074" s="1"/>
      <c r="E1074" s="1"/>
      <c r="F1074" s="1"/>
      <c r="G1074" s="1"/>
      <c r="H1074" s="1"/>
      <c r="I1074" s="1"/>
      <c r="J1074" s="1"/>
      <c r="K1074" s="89" t="s">
        <v>1887</v>
      </c>
      <c r="L1074" s="89" t="str">
        <f>D35</f>
        <v>C1a1~</v>
      </c>
      <c r="M1074" s="89"/>
      <c r="N1074" s="89" t="s">
        <v>1888</v>
      </c>
      <c r="O1074" s="92">
        <v>2.3551419E7</v>
      </c>
      <c r="P1074" s="92">
        <v>2.1389533E7</v>
      </c>
      <c r="Q1074" s="89" t="s">
        <v>810</v>
      </c>
      <c r="AF1074" s="1"/>
      <c r="AG1074" s="1"/>
    </row>
    <row r="1075" ht="15.75" customHeight="1">
      <c r="A1075" s="1"/>
      <c r="B1075" s="1"/>
      <c r="C1075" s="1"/>
      <c r="D1075" s="1"/>
      <c r="E1075" s="1"/>
      <c r="F1075" s="1"/>
      <c r="G1075" s="1"/>
      <c r="H1075" s="1"/>
      <c r="I1075" s="1"/>
      <c r="J1075" s="1"/>
      <c r="K1075" s="89" t="s">
        <v>1889</v>
      </c>
      <c r="L1075" s="89" t="str">
        <f>D35</f>
        <v>C1a1~</v>
      </c>
      <c r="M1075" s="89"/>
      <c r="N1075" s="89" t="s">
        <v>1890</v>
      </c>
      <c r="O1075" s="92">
        <v>2.3583631E7</v>
      </c>
      <c r="P1075" s="92">
        <v>2.1421745E7</v>
      </c>
      <c r="Q1075" s="89" t="s">
        <v>838</v>
      </c>
      <c r="AF1075" s="1"/>
      <c r="AG1075" s="1"/>
    </row>
    <row r="1076" ht="15.75" customHeight="1">
      <c r="A1076" s="1"/>
      <c r="B1076" s="1"/>
      <c r="C1076" s="1"/>
      <c r="D1076" s="1"/>
      <c r="E1076" s="1"/>
      <c r="F1076" s="1"/>
      <c r="G1076" s="1"/>
      <c r="H1076" s="1"/>
      <c r="I1076" s="1"/>
      <c r="J1076" s="1"/>
      <c r="K1076" s="89" t="s">
        <v>1891</v>
      </c>
      <c r="L1076" s="89" t="str">
        <f>D35</f>
        <v>C1a1~</v>
      </c>
      <c r="M1076" s="89"/>
      <c r="N1076" s="89" t="s">
        <v>1892</v>
      </c>
      <c r="O1076" s="92">
        <v>2.3796979E7</v>
      </c>
      <c r="P1076" s="92">
        <v>2.1635093E7</v>
      </c>
      <c r="Q1076" s="89" t="s">
        <v>810</v>
      </c>
      <c r="AF1076" s="1"/>
      <c r="AG1076" s="1"/>
    </row>
    <row r="1077" ht="15.75" customHeight="1">
      <c r="A1077" s="1"/>
      <c r="B1077" s="1"/>
      <c r="C1077" s="1"/>
      <c r="D1077" s="1"/>
      <c r="E1077" s="1"/>
      <c r="F1077" s="1"/>
      <c r="G1077" s="1"/>
      <c r="H1077" s="1"/>
      <c r="I1077" s="1"/>
      <c r="J1077" s="1"/>
      <c r="K1077" s="89" t="s">
        <v>1893</v>
      </c>
      <c r="L1077" s="89" t="str">
        <f>D35</f>
        <v>C1a1~</v>
      </c>
      <c r="M1077" s="89"/>
      <c r="N1077" s="89" t="s">
        <v>1894</v>
      </c>
      <c r="O1077" s="92">
        <v>2.8744955E7</v>
      </c>
      <c r="P1077" s="92">
        <v>2.6598808E7</v>
      </c>
      <c r="Q1077" s="89" t="s">
        <v>912</v>
      </c>
      <c r="AF1077" s="1"/>
      <c r="AG1077" s="1"/>
    </row>
    <row r="1078" ht="15.75" customHeight="1">
      <c r="A1078" s="1"/>
      <c r="B1078" s="1"/>
      <c r="C1078" s="1"/>
      <c r="D1078" s="1"/>
      <c r="E1078" s="1"/>
      <c r="F1078" s="1"/>
      <c r="G1078" s="1"/>
      <c r="H1078" s="1"/>
      <c r="I1078" s="1"/>
      <c r="J1078" s="1"/>
      <c r="K1078" s="89" t="s">
        <v>1895</v>
      </c>
      <c r="L1078" s="89" t="str">
        <f>D35</f>
        <v>C1a1~</v>
      </c>
      <c r="M1078" s="89"/>
      <c r="N1078" s="89" t="s">
        <v>1896</v>
      </c>
      <c r="O1078" s="92">
        <v>2.8761113E7</v>
      </c>
      <c r="P1078" s="92">
        <v>2.6614966E7</v>
      </c>
      <c r="Q1078" s="89" t="s">
        <v>912</v>
      </c>
      <c r="AF1078" s="1"/>
      <c r="AG1078" s="1"/>
    </row>
    <row r="1079" ht="15.75" customHeight="1">
      <c r="A1079" s="1"/>
      <c r="B1079" s="1"/>
      <c r="C1079" s="1"/>
      <c r="D1079" s="1"/>
      <c r="E1079" s="1"/>
      <c r="F1079" s="1"/>
      <c r="G1079" s="1"/>
      <c r="H1079" s="1"/>
      <c r="I1079" s="1"/>
      <c r="J1079" s="1"/>
      <c r="K1079" s="89" t="s">
        <v>1897</v>
      </c>
      <c r="L1079" s="89" t="str">
        <f>D35</f>
        <v>C1a1~</v>
      </c>
      <c r="M1079" s="89"/>
      <c r="N1079" s="89" t="s">
        <v>1898</v>
      </c>
      <c r="O1079" s="92">
        <v>2.3547445E7</v>
      </c>
      <c r="P1079" s="92">
        <v>2.1385559E7</v>
      </c>
      <c r="Q1079" s="89" t="s">
        <v>810</v>
      </c>
      <c r="AF1079" s="1"/>
      <c r="AG1079" s="1"/>
    </row>
    <row r="1080" ht="15.75" customHeight="1">
      <c r="A1080" s="1"/>
      <c r="B1080" s="1"/>
      <c r="C1080" s="1"/>
      <c r="D1080" s="1"/>
      <c r="E1080" s="1"/>
      <c r="F1080" s="1"/>
      <c r="G1080" s="1"/>
      <c r="H1080" s="1"/>
      <c r="I1080" s="1"/>
      <c r="J1080" s="1"/>
      <c r="K1080" s="89" t="s">
        <v>1899</v>
      </c>
      <c r="L1080" s="89" t="str">
        <f>D35</f>
        <v>C1a1~</v>
      </c>
      <c r="M1080" s="89"/>
      <c r="N1080" s="89" t="s">
        <v>1900</v>
      </c>
      <c r="O1080" s="92">
        <v>1.4339516E7</v>
      </c>
      <c r="P1080" s="92">
        <v>1.2218811E7</v>
      </c>
      <c r="Q1080" s="89" t="s">
        <v>813</v>
      </c>
      <c r="AF1080" s="1"/>
      <c r="AG1080" s="1"/>
    </row>
    <row r="1081" ht="15.75" customHeight="1">
      <c r="A1081" s="1"/>
      <c r="B1081" s="1"/>
      <c r="C1081" s="1"/>
      <c r="D1081" s="1"/>
      <c r="E1081" s="1"/>
      <c r="F1081" s="1"/>
      <c r="G1081" s="1"/>
      <c r="H1081" s="1"/>
      <c r="I1081" s="1"/>
      <c r="J1081" s="1"/>
      <c r="K1081" s="89" t="s">
        <v>36</v>
      </c>
      <c r="L1081" s="89" t="str">
        <f>E36</f>
        <v>C1a1a</v>
      </c>
      <c r="M1081" s="89"/>
      <c r="N1081" s="89" t="s">
        <v>1901</v>
      </c>
      <c r="O1081" s="92">
        <v>6739857.0</v>
      </c>
      <c r="P1081" s="92">
        <v>6871816.0</v>
      </c>
      <c r="Q1081" s="89" t="s">
        <v>802</v>
      </c>
      <c r="AF1081" s="1"/>
      <c r="AG1081" s="1"/>
    </row>
    <row r="1082" ht="15.75" customHeight="1">
      <c r="A1082" s="1"/>
      <c r="B1082" s="1"/>
      <c r="C1082" s="1"/>
      <c r="D1082" s="1"/>
      <c r="E1082" s="1"/>
      <c r="F1082" s="1"/>
      <c r="G1082" s="1"/>
      <c r="H1082" s="1"/>
      <c r="I1082" s="1"/>
      <c r="J1082" s="1"/>
      <c r="K1082" s="89" t="s">
        <v>38</v>
      </c>
      <c r="L1082" s="89" t="str">
        <f>F37</f>
        <v>C1a1a1</v>
      </c>
      <c r="M1082" s="89"/>
      <c r="N1082" s="89" t="s">
        <v>1902</v>
      </c>
      <c r="O1082" s="92">
        <v>1.8834534E7</v>
      </c>
      <c r="P1082" s="92">
        <v>1.6722654E7</v>
      </c>
      <c r="Q1082" s="89" t="s">
        <v>802</v>
      </c>
      <c r="AF1082" s="1"/>
      <c r="AG1082" s="1"/>
    </row>
    <row r="1083" ht="15.75" customHeight="1">
      <c r="A1083" s="1"/>
      <c r="B1083" s="1"/>
      <c r="C1083" s="1"/>
      <c r="D1083" s="1"/>
      <c r="E1083" s="1"/>
      <c r="F1083" s="1"/>
      <c r="G1083" s="1"/>
      <c r="H1083" s="1"/>
      <c r="I1083" s="1"/>
      <c r="J1083" s="1"/>
      <c r="K1083" s="89" t="s">
        <v>1903</v>
      </c>
      <c r="L1083" s="89" t="str">
        <f>G38</f>
        <v>C1a1a1a</v>
      </c>
      <c r="M1083" s="89"/>
      <c r="N1083" s="89" t="s">
        <v>1904</v>
      </c>
      <c r="O1083" s="89">
        <v>1.7055285E7</v>
      </c>
      <c r="P1083" s="89">
        <v>1.4943405E7</v>
      </c>
      <c r="Q1083" s="89" t="s">
        <v>802</v>
      </c>
      <c r="AF1083" s="1"/>
      <c r="AG1083" s="1"/>
    </row>
    <row r="1084" ht="15.75" customHeight="1">
      <c r="A1084" s="1"/>
      <c r="B1084" s="1"/>
      <c r="C1084" s="1"/>
      <c r="D1084" s="1"/>
      <c r="E1084" s="1"/>
      <c r="F1084" s="1"/>
      <c r="G1084" s="1"/>
      <c r="H1084" s="1"/>
      <c r="I1084" s="1"/>
      <c r="J1084" s="1"/>
      <c r="K1084" s="89" t="s">
        <v>1905</v>
      </c>
      <c r="L1084" s="89" t="str">
        <f>G38</f>
        <v>C1a1a1a</v>
      </c>
      <c r="M1084" s="89"/>
      <c r="N1084" s="89" t="s">
        <v>1906</v>
      </c>
      <c r="O1084" s="92">
        <v>2.2733284E7</v>
      </c>
      <c r="P1084" s="92">
        <v>2.0571398E7</v>
      </c>
      <c r="Q1084" s="89" t="s">
        <v>838</v>
      </c>
      <c r="AF1084" s="1"/>
      <c r="AG1084" s="1"/>
    </row>
    <row r="1085" ht="15.75" customHeight="1">
      <c r="A1085" s="1"/>
      <c r="B1085" s="1"/>
      <c r="C1085" s="1"/>
      <c r="D1085" s="1"/>
      <c r="E1085" s="1"/>
      <c r="F1085" s="1"/>
      <c r="G1085" s="1"/>
      <c r="H1085" s="1"/>
      <c r="I1085" s="1"/>
      <c r="J1085" s="1"/>
      <c r="K1085" s="89" t="s">
        <v>1907</v>
      </c>
      <c r="L1085" s="89" t="str">
        <f>G38</f>
        <v>C1a1a1a</v>
      </c>
      <c r="M1085" s="89"/>
      <c r="N1085" s="89" t="s">
        <v>1908</v>
      </c>
      <c r="O1085" s="92">
        <v>2.2924372E7</v>
      </c>
      <c r="P1085" s="92">
        <v>2.0762486E7</v>
      </c>
      <c r="Q1085" s="89" t="s">
        <v>810</v>
      </c>
      <c r="AF1085" s="1"/>
      <c r="AG1085" s="1"/>
    </row>
    <row r="1086" ht="15.75" customHeight="1">
      <c r="A1086" s="1"/>
      <c r="B1086" s="1"/>
      <c r="C1086" s="1"/>
      <c r="D1086" s="1"/>
      <c r="E1086" s="1"/>
      <c r="F1086" s="1"/>
      <c r="G1086" s="1"/>
      <c r="H1086" s="1"/>
      <c r="I1086" s="1"/>
      <c r="J1086" s="1"/>
      <c r="K1086" s="89" t="s">
        <v>1909</v>
      </c>
      <c r="L1086" s="89" t="str">
        <f>G38</f>
        <v>C1a1a1a</v>
      </c>
      <c r="M1086" s="89"/>
      <c r="N1086" s="89" t="s">
        <v>1910</v>
      </c>
      <c r="O1086" s="92">
        <v>2888660.0</v>
      </c>
      <c r="P1086" s="92">
        <v>3020619.0</v>
      </c>
      <c r="Q1086" s="89" t="s">
        <v>831</v>
      </c>
      <c r="AF1086" s="1"/>
      <c r="AG1086" s="1"/>
    </row>
    <row r="1087" ht="15.75" customHeight="1">
      <c r="A1087" s="1"/>
      <c r="B1087" s="1"/>
      <c r="C1087" s="1"/>
      <c r="D1087" s="1"/>
      <c r="E1087" s="1"/>
      <c r="F1087" s="1"/>
      <c r="G1087" s="1"/>
      <c r="H1087" s="1"/>
      <c r="I1087" s="1"/>
      <c r="J1087" s="1"/>
      <c r="K1087" s="89" t="s">
        <v>1911</v>
      </c>
      <c r="L1087" s="89" t="str">
        <f>G38</f>
        <v>C1a1a1a</v>
      </c>
      <c r="M1087" s="89"/>
      <c r="N1087" s="89" t="s">
        <v>1912</v>
      </c>
      <c r="O1087" s="92">
        <v>8794329.0</v>
      </c>
      <c r="P1087" s="92">
        <v>8926288.0</v>
      </c>
      <c r="Q1087" s="89" t="s">
        <v>917</v>
      </c>
      <c r="AF1087" s="1"/>
      <c r="AG1087" s="1"/>
    </row>
    <row r="1088" ht="15.75" customHeight="1">
      <c r="A1088" s="1"/>
      <c r="B1088" s="1"/>
      <c r="C1088" s="1"/>
      <c r="D1088" s="1"/>
      <c r="E1088" s="1"/>
      <c r="F1088" s="1"/>
      <c r="G1088" s="1"/>
      <c r="H1088" s="1"/>
      <c r="I1088" s="1"/>
      <c r="J1088" s="1"/>
      <c r="K1088" s="89" t="s">
        <v>1913</v>
      </c>
      <c r="L1088" s="89" t="str">
        <f>G38</f>
        <v>C1a1a1a</v>
      </c>
      <c r="M1088" s="89"/>
      <c r="N1088" s="89"/>
      <c r="O1088" s="92">
        <v>9644671.0</v>
      </c>
      <c r="P1088" s="92">
        <v>9807062.0</v>
      </c>
      <c r="Q1088" s="89" t="s">
        <v>802</v>
      </c>
      <c r="AF1088" s="1"/>
      <c r="AG1088" s="1"/>
    </row>
    <row r="1089" ht="15.75" customHeight="1">
      <c r="A1089" s="1"/>
      <c r="B1089" s="1"/>
      <c r="C1089" s="1"/>
      <c r="D1089" s="1"/>
      <c r="E1089" s="1"/>
      <c r="F1089" s="1"/>
      <c r="G1089" s="1"/>
      <c r="H1089" s="1"/>
      <c r="I1089" s="1"/>
      <c r="J1089" s="1"/>
      <c r="K1089" s="89" t="s">
        <v>1914</v>
      </c>
      <c r="L1089" s="89" t="str">
        <f>G38</f>
        <v>C1a1a1a</v>
      </c>
      <c r="M1089" s="89"/>
      <c r="N1089" s="89" t="s">
        <v>1915</v>
      </c>
      <c r="O1089" s="92">
        <v>2.1792158E7</v>
      </c>
      <c r="P1089" s="92">
        <v>1.9630272E7</v>
      </c>
      <c r="Q1089" s="89" t="s">
        <v>802</v>
      </c>
      <c r="AF1089" s="1"/>
      <c r="AG1089" s="1"/>
    </row>
    <row r="1090" ht="15.75" customHeight="1">
      <c r="A1090" s="1"/>
      <c r="B1090" s="1"/>
      <c r="C1090" s="1"/>
      <c r="D1090" s="1"/>
      <c r="E1090" s="1"/>
      <c r="F1090" s="1"/>
      <c r="G1090" s="1"/>
      <c r="H1090" s="1"/>
      <c r="I1090" s="1"/>
      <c r="J1090" s="1"/>
      <c r="K1090" s="89" t="s">
        <v>1916</v>
      </c>
      <c r="L1090" s="89" t="str">
        <f>G38</f>
        <v>C1a1a1a</v>
      </c>
      <c r="M1090" s="89"/>
      <c r="N1090" s="89" t="s">
        <v>1917</v>
      </c>
      <c r="O1090" s="89">
        <v>2.1883582E7</v>
      </c>
      <c r="P1090" s="89">
        <v>1.9721696E7</v>
      </c>
      <c r="Q1090" s="89" t="s">
        <v>822</v>
      </c>
      <c r="AF1090" s="1"/>
      <c r="AG1090" s="1"/>
    </row>
    <row r="1091" ht="15.75" customHeight="1">
      <c r="A1091" s="1"/>
      <c r="B1091" s="1"/>
      <c r="C1091" s="1"/>
      <c r="D1091" s="1"/>
      <c r="E1091" s="1"/>
      <c r="F1091" s="1"/>
      <c r="G1091" s="1"/>
      <c r="H1091" s="1"/>
      <c r="I1091" s="1"/>
      <c r="J1091" s="1"/>
      <c r="K1091" s="89" t="s">
        <v>1918</v>
      </c>
      <c r="L1091" s="89" t="str">
        <f>G38</f>
        <v>C1a1a1a</v>
      </c>
      <c r="M1091" s="89"/>
      <c r="N1091" s="89"/>
      <c r="O1091" s="89">
        <v>2.3648697E7</v>
      </c>
      <c r="P1091" s="89">
        <v>2.1486811E7</v>
      </c>
      <c r="Q1091" s="89" t="s">
        <v>886</v>
      </c>
      <c r="AF1091" s="1"/>
      <c r="AG1091" s="1"/>
    </row>
    <row r="1092" ht="15.75" customHeight="1">
      <c r="A1092" s="1"/>
      <c r="B1092" s="1"/>
      <c r="C1092" s="1"/>
      <c r="D1092" s="1"/>
      <c r="E1092" s="1"/>
      <c r="F1092" s="1"/>
      <c r="G1092" s="1"/>
      <c r="H1092" s="1"/>
      <c r="I1092" s="1"/>
      <c r="J1092" s="1"/>
      <c r="K1092" s="89" t="s">
        <v>1919</v>
      </c>
      <c r="L1092" s="89" t="str">
        <f>G38</f>
        <v>C1a1a1a</v>
      </c>
      <c r="M1092" s="89"/>
      <c r="N1092" s="89" t="s">
        <v>1920</v>
      </c>
      <c r="O1092" s="89">
        <v>2.4372351E7</v>
      </c>
      <c r="P1092" s="89">
        <v>2.2226204E7</v>
      </c>
      <c r="Q1092" s="89" t="s">
        <v>912</v>
      </c>
      <c r="AF1092" s="1"/>
      <c r="AG1092" s="1"/>
    </row>
    <row r="1093" ht="15.75" customHeight="1">
      <c r="A1093" s="1"/>
      <c r="B1093" s="1"/>
      <c r="C1093" s="1"/>
      <c r="D1093" s="1"/>
      <c r="E1093" s="1"/>
      <c r="F1093" s="1"/>
      <c r="G1093" s="1"/>
      <c r="H1093" s="1"/>
      <c r="I1093" s="1"/>
      <c r="J1093" s="1"/>
      <c r="K1093" s="89" t="s">
        <v>1921</v>
      </c>
      <c r="L1093" s="89" t="str">
        <f>H39</f>
        <v>C1a1a1a1~</v>
      </c>
      <c r="M1093" s="89"/>
      <c r="N1093" s="89"/>
      <c r="O1093" s="92">
        <v>1.6073117E7</v>
      </c>
      <c r="P1093" s="92">
        <v>1.3961237E7</v>
      </c>
      <c r="Q1093" s="89" t="s">
        <v>912</v>
      </c>
      <c r="AF1093" s="1"/>
      <c r="AG1093" s="1"/>
    </row>
    <row r="1094" ht="15.75" customHeight="1">
      <c r="A1094" s="1"/>
      <c r="B1094" s="1"/>
      <c r="C1094" s="1"/>
      <c r="D1094" s="1"/>
      <c r="E1094" s="1"/>
      <c r="F1094" s="1"/>
      <c r="G1094" s="1"/>
      <c r="H1094" s="1"/>
      <c r="I1094" s="1"/>
      <c r="J1094" s="1"/>
      <c r="K1094" s="89" t="s">
        <v>1922</v>
      </c>
      <c r="L1094" s="89" t="str">
        <f>H39</f>
        <v>C1a1a1a1~</v>
      </c>
      <c r="M1094" s="89"/>
      <c r="N1094" s="89" t="s">
        <v>1923</v>
      </c>
      <c r="O1094" s="92">
        <v>1.6315247E7</v>
      </c>
      <c r="P1094" s="92">
        <v>1.4203367E7</v>
      </c>
      <c r="Q1094" s="89" t="s">
        <v>802</v>
      </c>
      <c r="AF1094" s="1"/>
      <c r="AG1094" s="1"/>
    </row>
    <row r="1095" ht="15.75" customHeight="1">
      <c r="A1095" s="1"/>
      <c r="B1095" s="1"/>
      <c r="C1095" s="1"/>
      <c r="D1095" s="1"/>
      <c r="E1095" s="1"/>
      <c r="F1095" s="1"/>
      <c r="G1095" s="1"/>
      <c r="H1095" s="1"/>
      <c r="I1095" s="1"/>
      <c r="J1095" s="1"/>
      <c r="K1095" s="89" t="s">
        <v>1924</v>
      </c>
      <c r="L1095" s="89" t="str">
        <f>H39</f>
        <v>C1a1a1a1~</v>
      </c>
      <c r="M1095" s="89"/>
      <c r="N1095" s="89" t="s">
        <v>1925</v>
      </c>
      <c r="O1095" s="92">
        <v>1.7203125E7</v>
      </c>
      <c r="P1095" s="92">
        <v>1.5091245E7</v>
      </c>
      <c r="Q1095" s="89" t="s">
        <v>802</v>
      </c>
      <c r="AF1095" s="1"/>
      <c r="AG1095" s="1"/>
    </row>
    <row r="1096" ht="15.75" customHeight="1">
      <c r="A1096" s="1"/>
      <c r="B1096" s="1"/>
      <c r="C1096" s="1"/>
      <c r="D1096" s="1"/>
      <c r="E1096" s="1"/>
      <c r="F1096" s="1"/>
      <c r="G1096" s="1"/>
      <c r="H1096" s="1"/>
      <c r="I1096" s="1"/>
      <c r="J1096" s="1"/>
      <c r="K1096" s="89" t="s">
        <v>1926</v>
      </c>
      <c r="L1096" s="89" t="str">
        <f t="shared" ref="L1096:L1097" si="3">H39</f>
        <v>C1a1a1a1~</v>
      </c>
      <c r="M1096" s="89"/>
      <c r="N1096" s="89" t="s">
        <v>1927</v>
      </c>
      <c r="O1096" s="92">
        <v>1.7610631E7</v>
      </c>
      <c r="P1096" s="92">
        <v>1.5498751E7</v>
      </c>
      <c r="Q1096" s="89" t="s">
        <v>810</v>
      </c>
      <c r="AF1096" s="1"/>
      <c r="AG1096" s="1"/>
    </row>
    <row r="1097" ht="15.75" customHeight="1">
      <c r="A1097" s="1"/>
      <c r="B1097" s="1"/>
      <c r="C1097" s="1"/>
      <c r="D1097" s="1"/>
      <c r="E1097" s="1"/>
      <c r="F1097" s="1"/>
      <c r="G1097" s="1"/>
      <c r="H1097" s="1"/>
      <c r="I1097" s="1"/>
      <c r="J1097" s="1"/>
      <c r="K1097" s="89" t="s">
        <v>1928</v>
      </c>
      <c r="L1097" s="89" t="str">
        <f t="shared" si="3"/>
        <v>C1a1a1a1~</v>
      </c>
      <c r="M1097" s="89"/>
      <c r="N1097" s="89" t="s">
        <v>1929</v>
      </c>
      <c r="O1097" s="92">
        <v>7692322.0</v>
      </c>
      <c r="P1097" s="92">
        <v>7824281.0</v>
      </c>
      <c r="Q1097" s="89" t="s">
        <v>917</v>
      </c>
      <c r="AF1097" s="1"/>
      <c r="AG1097" s="1"/>
    </row>
    <row r="1098" ht="15.75" customHeight="1">
      <c r="A1098" s="1"/>
      <c r="B1098" s="1"/>
      <c r="C1098" s="1"/>
      <c r="D1098" s="1"/>
      <c r="E1098" s="1"/>
      <c r="F1098" s="1"/>
      <c r="G1098" s="1"/>
      <c r="H1098" s="1"/>
      <c r="I1098" s="1"/>
      <c r="J1098" s="1"/>
      <c r="K1098" s="89" t="s">
        <v>1930</v>
      </c>
      <c r="L1098" s="89" t="str">
        <f>H40</f>
        <v>C1a1a1a1~</v>
      </c>
      <c r="M1098" s="89"/>
      <c r="N1098" s="89" t="s">
        <v>1931</v>
      </c>
      <c r="O1098" s="92">
        <v>2721723.0</v>
      </c>
      <c r="P1098" s="92">
        <v>2853682.0</v>
      </c>
      <c r="Q1098" s="89" t="s">
        <v>802</v>
      </c>
      <c r="AF1098" s="1"/>
      <c r="AG1098" s="1"/>
    </row>
    <row r="1099" ht="15.75" customHeight="1">
      <c r="A1099" s="1"/>
      <c r="B1099" s="1"/>
      <c r="C1099" s="1"/>
      <c r="D1099" s="1"/>
      <c r="E1099" s="1"/>
      <c r="F1099" s="1"/>
      <c r="G1099" s="1"/>
      <c r="H1099" s="1"/>
      <c r="I1099" s="1"/>
      <c r="J1099" s="1"/>
      <c r="K1099" s="89" t="s">
        <v>1932</v>
      </c>
      <c r="L1099" s="89" t="str">
        <f>H40</f>
        <v>C1a1a1a1~</v>
      </c>
      <c r="M1099" s="89"/>
      <c r="N1099" s="89" t="s">
        <v>1933</v>
      </c>
      <c r="O1099" s="92">
        <v>7355404.0</v>
      </c>
      <c r="P1099" s="92">
        <v>7487363.0</v>
      </c>
      <c r="Q1099" s="89" t="s">
        <v>822</v>
      </c>
      <c r="AF1099" s="1"/>
      <c r="AG1099" s="1"/>
    </row>
    <row r="1100" ht="15.75" customHeight="1">
      <c r="A1100" s="1"/>
      <c r="B1100" s="1"/>
      <c r="C1100" s="1"/>
      <c r="D1100" s="1"/>
      <c r="E1100" s="1"/>
      <c r="F1100" s="1"/>
      <c r="G1100" s="1"/>
      <c r="H1100" s="1"/>
      <c r="I1100" s="1"/>
      <c r="J1100" s="1"/>
      <c r="K1100" s="89" t="s">
        <v>1934</v>
      </c>
      <c r="L1100" s="89" t="str">
        <f>H40</f>
        <v>C1a1a1a1~</v>
      </c>
      <c r="M1100" s="89"/>
      <c r="N1100" s="89" t="s">
        <v>1935</v>
      </c>
      <c r="O1100" s="92">
        <v>7809444.0</v>
      </c>
      <c r="P1100" s="92">
        <v>7941403.0</v>
      </c>
      <c r="Q1100" s="89" t="s">
        <v>802</v>
      </c>
      <c r="AF1100" s="1"/>
      <c r="AG1100" s="1"/>
    </row>
    <row r="1101" ht="15.75" customHeight="1">
      <c r="A1101" s="1"/>
      <c r="B1101" s="1"/>
      <c r="C1101" s="1"/>
      <c r="D1101" s="1"/>
      <c r="E1101" s="1"/>
      <c r="F1101" s="1"/>
      <c r="G1101" s="1"/>
      <c r="H1101" s="1"/>
      <c r="I1101" s="1"/>
      <c r="J1101" s="1"/>
      <c r="K1101" s="89" t="s">
        <v>1936</v>
      </c>
      <c r="L1101" s="89" t="str">
        <f>H40</f>
        <v>C1a1a1a1~</v>
      </c>
      <c r="M1101" s="89"/>
      <c r="N1101" s="89" t="s">
        <v>1937</v>
      </c>
      <c r="O1101" s="92">
        <v>7863334.0</v>
      </c>
      <c r="P1101" s="92">
        <v>7995293.0</v>
      </c>
      <c r="Q1101" s="89" t="s">
        <v>822</v>
      </c>
      <c r="AF1101" s="1"/>
      <c r="AG1101" s="1"/>
    </row>
    <row r="1102" ht="15.75" customHeight="1">
      <c r="A1102" s="1"/>
      <c r="B1102" s="1"/>
      <c r="C1102" s="1"/>
      <c r="D1102" s="1"/>
      <c r="E1102" s="1"/>
      <c r="F1102" s="1"/>
      <c r="G1102" s="1"/>
      <c r="H1102" s="1"/>
      <c r="I1102" s="1"/>
      <c r="J1102" s="1"/>
      <c r="K1102" s="89" t="s">
        <v>1938</v>
      </c>
      <c r="L1102" s="89" t="str">
        <f>G41</f>
        <v>C1a1a1b</v>
      </c>
      <c r="M1102" s="89"/>
      <c r="N1102" s="89" t="s">
        <v>1939</v>
      </c>
      <c r="O1102" s="92">
        <v>7605606.0</v>
      </c>
      <c r="P1102" s="92">
        <v>7737565.0</v>
      </c>
      <c r="Q1102" s="89" t="s">
        <v>879</v>
      </c>
      <c r="AF1102" s="1"/>
      <c r="AG1102" s="1"/>
    </row>
    <row r="1103" ht="15.75" customHeight="1">
      <c r="A1103" s="1"/>
      <c r="B1103" s="1"/>
      <c r="C1103" s="1"/>
      <c r="D1103" s="1"/>
      <c r="E1103" s="1"/>
      <c r="F1103" s="1"/>
      <c r="G1103" s="1"/>
      <c r="H1103" s="1"/>
      <c r="I1103" s="1"/>
      <c r="J1103" s="1"/>
      <c r="K1103" s="89" t="s">
        <v>1940</v>
      </c>
      <c r="L1103" s="89" t="str">
        <f>G41</f>
        <v>C1a1a1b</v>
      </c>
      <c r="M1103" s="89" t="s">
        <v>1941</v>
      </c>
      <c r="N1103" s="89" t="s">
        <v>1942</v>
      </c>
      <c r="O1103" s="92">
        <v>1.7305752E7</v>
      </c>
      <c r="P1103" s="92">
        <v>1.5193872E7</v>
      </c>
      <c r="Q1103" s="89" t="s">
        <v>912</v>
      </c>
      <c r="AF1103" s="1"/>
      <c r="AG1103" s="1"/>
    </row>
    <row r="1104" ht="15.75" customHeight="1">
      <c r="A1104" s="1"/>
      <c r="B1104" s="1"/>
      <c r="C1104" s="1"/>
      <c r="D1104" s="1"/>
      <c r="E1104" s="1"/>
      <c r="F1104" s="1"/>
      <c r="G1104" s="1"/>
      <c r="H1104" s="1"/>
      <c r="I1104" s="1"/>
      <c r="J1104" s="1"/>
      <c r="K1104" s="89" t="s">
        <v>1941</v>
      </c>
      <c r="L1104" s="89" t="str">
        <f>G41</f>
        <v>C1a1a1b</v>
      </c>
      <c r="M1104" s="89" t="s">
        <v>1940</v>
      </c>
      <c r="N1104" s="89" t="s">
        <v>1942</v>
      </c>
      <c r="O1104" s="92">
        <v>1.7305752E7</v>
      </c>
      <c r="P1104" s="92">
        <v>1.5193872E7</v>
      </c>
      <c r="Q1104" s="89" t="s">
        <v>912</v>
      </c>
      <c r="AF1104" s="1"/>
      <c r="AG1104" s="1"/>
    </row>
    <row r="1105" ht="15.75" customHeight="1">
      <c r="A1105" s="1"/>
      <c r="B1105" s="1"/>
      <c r="C1105" s="1"/>
      <c r="D1105" s="1"/>
      <c r="E1105" s="1"/>
      <c r="F1105" s="1"/>
      <c r="G1105" s="1"/>
      <c r="H1105" s="1"/>
      <c r="I1105" s="1"/>
      <c r="J1105" s="1"/>
      <c r="K1105" s="89" t="s">
        <v>1943</v>
      </c>
      <c r="L1105" s="89" t="str">
        <f>G41</f>
        <v>C1a1a1b</v>
      </c>
      <c r="M1105" s="89"/>
      <c r="N1105" s="89"/>
      <c r="O1105" s="92" t="s">
        <v>1944</v>
      </c>
      <c r="P1105" s="92" t="s">
        <v>1945</v>
      </c>
      <c r="Q1105" s="89" t="s">
        <v>1946</v>
      </c>
      <c r="AF1105" s="1"/>
      <c r="AG1105" s="1"/>
    </row>
    <row r="1106" ht="15.75" customHeight="1">
      <c r="A1106" s="1"/>
      <c r="B1106" s="1"/>
      <c r="C1106" s="1"/>
      <c r="D1106" s="1"/>
      <c r="E1106" s="1"/>
      <c r="F1106" s="1"/>
      <c r="G1106" s="1"/>
      <c r="H1106" s="1"/>
      <c r="I1106" s="1"/>
      <c r="J1106" s="1"/>
      <c r="K1106" s="89" t="s">
        <v>1947</v>
      </c>
      <c r="L1106" s="89" t="str">
        <f>G41</f>
        <v>C1a1a1b</v>
      </c>
      <c r="M1106" s="89"/>
      <c r="N1106" s="89" t="s">
        <v>1948</v>
      </c>
      <c r="O1106" s="92">
        <v>7020041.0</v>
      </c>
      <c r="P1106" s="92">
        <v>7152000.0</v>
      </c>
      <c r="Q1106" s="89" t="s">
        <v>813</v>
      </c>
      <c r="AF1106" s="1"/>
      <c r="AG1106" s="1"/>
    </row>
    <row r="1107" ht="15.75" customHeight="1">
      <c r="A1107" s="1"/>
      <c r="B1107" s="1"/>
      <c r="C1107" s="1"/>
      <c r="D1107" s="1"/>
      <c r="E1107" s="1"/>
      <c r="F1107" s="1"/>
      <c r="G1107" s="1"/>
      <c r="H1107" s="1"/>
      <c r="I1107" s="1"/>
      <c r="J1107" s="1"/>
      <c r="K1107" s="89" t="s">
        <v>1949</v>
      </c>
      <c r="L1107" s="89" t="str">
        <f>G41</f>
        <v>C1a1a1b</v>
      </c>
      <c r="M1107" s="89"/>
      <c r="N1107" s="89" t="s">
        <v>1950</v>
      </c>
      <c r="O1107" s="92">
        <v>7814069.0</v>
      </c>
      <c r="P1107" s="92">
        <v>7946028.0</v>
      </c>
      <c r="Q1107" s="89" t="s">
        <v>838</v>
      </c>
      <c r="AF1107" s="1"/>
      <c r="AG1107" s="1"/>
    </row>
    <row r="1108" ht="15.75" customHeight="1">
      <c r="A1108" s="1"/>
      <c r="B1108" s="1"/>
      <c r="C1108" s="1"/>
      <c r="D1108" s="1"/>
      <c r="E1108" s="1"/>
      <c r="F1108" s="1"/>
      <c r="G1108" s="1"/>
      <c r="H1108" s="1"/>
      <c r="I1108" s="1"/>
      <c r="J1108" s="1"/>
      <c r="K1108" s="89" t="s">
        <v>1951</v>
      </c>
      <c r="L1108" s="89" t="str">
        <f>G41</f>
        <v>C1a1a1b</v>
      </c>
      <c r="M1108" s="89"/>
      <c r="N1108" s="89" t="s">
        <v>1952</v>
      </c>
      <c r="O1108" s="92">
        <v>8108562.0</v>
      </c>
      <c r="P1108" s="92">
        <v>8240521.0</v>
      </c>
      <c r="Q1108" s="89" t="s">
        <v>838</v>
      </c>
      <c r="AF1108" s="1"/>
      <c r="AG1108" s="1"/>
    </row>
    <row r="1109" ht="15.75" customHeight="1">
      <c r="A1109" s="1"/>
      <c r="B1109" s="1"/>
      <c r="C1109" s="1"/>
      <c r="D1109" s="1"/>
      <c r="E1109" s="1"/>
      <c r="F1109" s="1"/>
      <c r="G1109" s="1"/>
      <c r="H1109" s="1"/>
      <c r="I1109" s="1"/>
      <c r="J1109" s="1"/>
      <c r="K1109" s="89" t="s">
        <v>1953</v>
      </c>
      <c r="L1109" s="89" t="str">
        <f>G41</f>
        <v>C1a1a1b</v>
      </c>
      <c r="M1109" s="89"/>
      <c r="N1109" s="89" t="s">
        <v>1954</v>
      </c>
      <c r="O1109" s="92">
        <v>8454934.0</v>
      </c>
      <c r="P1109" s="92">
        <v>8586893.0</v>
      </c>
      <c r="Q1109" s="89" t="s">
        <v>838</v>
      </c>
      <c r="AF1109" s="1"/>
      <c r="AG1109" s="1"/>
    </row>
    <row r="1110" ht="15.75" customHeight="1">
      <c r="A1110" s="1"/>
      <c r="B1110" s="1"/>
      <c r="C1110" s="1"/>
      <c r="D1110" s="1"/>
      <c r="E1110" s="1"/>
      <c r="F1110" s="1"/>
      <c r="G1110" s="1"/>
      <c r="H1110" s="1"/>
      <c r="I1110" s="1"/>
      <c r="J1110" s="1"/>
      <c r="K1110" s="89" t="s">
        <v>1955</v>
      </c>
      <c r="L1110" s="89" t="str">
        <f>G41</f>
        <v>C1a1a1b</v>
      </c>
      <c r="M1110" s="89"/>
      <c r="N1110" s="89"/>
      <c r="O1110" s="92">
        <v>9384751.0</v>
      </c>
      <c r="P1110" s="92">
        <v>9547142.0</v>
      </c>
      <c r="Q1110" s="89" t="s">
        <v>912</v>
      </c>
      <c r="AF1110" s="1"/>
      <c r="AG1110" s="1"/>
    </row>
    <row r="1111" ht="15.75" customHeight="1">
      <c r="A1111" s="1"/>
      <c r="B1111" s="1"/>
      <c r="C1111" s="1"/>
      <c r="D1111" s="1"/>
      <c r="E1111" s="1"/>
      <c r="F1111" s="1"/>
      <c r="G1111" s="1"/>
      <c r="H1111" s="1"/>
      <c r="I1111" s="1"/>
      <c r="J1111" s="1"/>
      <c r="K1111" s="89" t="s">
        <v>1956</v>
      </c>
      <c r="L1111" s="89" t="str">
        <f>G41</f>
        <v>C1a1a1b</v>
      </c>
      <c r="M1111" s="89"/>
      <c r="N1111" s="89" t="s">
        <v>1957</v>
      </c>
      <c r="O1111" s="92">
        <v>1.006368E7</v>
      </c>
      <c r="P1111" s="92">
        <v>1.0226071E7</v>
      </c>
      <c r="Q1111" s="89" t="s">
        <v>802</v>
      </c>
      <c r="AF1111" s="1"/>
      <c r="AG1111" s="1"/>
    </row>
    <row r="1112" ht="15.75" customHeight="1">
      <c r="A1112" s="1"/>
      <c r="B1112" s="1"/>
      <c r="C1112" s="1"/>
      <c r="D1112" s="1"/>
      <c r="E1112" s="1"/>
      <c r="F1112" s="1"/>
      <c r="G1112" s="1"/>
      <c r="H1112" s="1"/>
      <c r="I1112" s="1"/>
      <c r="J1112" s="1"/>
      <c r="K1112" s="89" t="s">
        <v>1958</v>
      </c>
      <c r="L1112" s="89" t="str">
        <f>G41</f>
        <v>C1a1a1b</v>
      </c>
      <c r="M1112" s="89"/>
      <c r="N1112" s="89"/>
      <c r="O1112" s="92" t="s">
        <v>1959</v>
      </c>
      <c r="P1112" s="92" t="s">
        <v>1960</v>
      </c>
      <c r="Q1112" s="89" t="s">
        <v>1961</v>
      </c>
      <c r="AF1112" s="1"/>
      <c r="AG1112" s="1"/>
    </row>
    <row r="1113" ht="15.75" customHeight="1">
      <c r="A1113" s="1"/>
      <c r="B1113" s="1"/>
      <c r="C1113" s="1"/>
      <c r="D1113" s="1"/>
      <c r="E1113" s="1"/>
      <c r="F1113" s="1"/>
      <c r="G1113" s="1"/>
      <c r="H1113" s="1"/>
      <c r="I1113" s="1"/>
      <c r="J1113" s="1"/>
      <c r="K1113" s="89" t="s">
        <v>1962</v>
      </c>
      <c r="L1113" s="89" t="str">
        <f>G41</f>
        <v>C1a1a1b</v>
      </c>
      <c r="M1113" s="89"/>
      <c r="N1113" s="89" t="s">
        <v>1963</v>
      </c>
      <c r="O1113" s="92">
        <v>1.6887206E7</v>
      </c>
      <c r="P1113" s="92">
        <v>1.4775326E7</v>
      </c>
      <c r="Q1113" s="89" t="s">
        <v>838</v>
      </c>
      <c r="AF1113" s="1"/>
      <c r="AG1113" s="1"/>
    </row>
    <row r="1114" ht="15.75" customHeight="1">
      <c r="A1114" s="1"/>
      <c r="B1114" s="1"/>
      <c r="C1114" s="1"/>
      <c r="D1114" s="1"/>
      <c r="E1114" s="1"/>
      <c r="F1114" s="1"/>
      <c r="G1114" s="1"/>
      <c r="H1114" s="1"/>
      <c r="I1114" s="1"/>
      <c r="J1114" s="1"/>
      <c r="K1114" s="89" t="s">
        <v>1964</v>
      </c>
      <c r="L1114" s="89" t="str">
        <f>G41</f>
        <v>C1a1a1b</v>
      </c>
      <c r="M1114" s="89"/>
      <c r="N1114" s="89" t="s">
        <v>1965</v>
      </c>
      <c r="O1114" s="92">
        <v>1.6916589E7</v>
      </c>
      <c r="P1114" s="92">
        <v>1.4804709E7</v>
      </c>
      <c r="Q1114" s="89" t="s">
        <v>879</v>
      </c>
      <c r="AF1114" s="1"/>
      <c r="AG1114" s="1"/>
    </row>
    <row r="1115" ht="15.75" customHeight="1">
      <c r="A1115" s="1"/>
      <c r="B1115" s="1"/>
      <c r="C1115" s="1"/>
      <c r="D1115" s="1"/>
      <c r="E1115" s="1"/>
      <c r="F1115" s="1"/>
      <c r="G1115" s="1"/>
      <c r="H1115" s="1"/>
      <c r="I1115" s="1"/>
      <c r="J1115" s="1"/>
      <c r="K1115" s="89" t="s">
        <v>1966</v>
      </c>
      <c r="L1115" s="89" t="str">
        <f>G41</f>
        <v>C1a1a1b</v>
      </c>
      <c r="M1115" s="89"/>
      <c r="N1115" s="89" t="s">
        <v>1967</v>
      </c>
      <c r="O1115" s="89">
        <v>1.7755649E7</v>
      </c>
      <c r="P1115" s="89">
        <v>1.5643769E7</v>
      </c>
      <c r="Q1115" s="89" t="s">
        <v>879</v>
      </c>
      <c r="AF1115" s="1"/>
      <c r="AG1115" s="1"/>
    </row>
    <row r="1116" ht="15.75" customHeight="1">
      <c r="A1116" s="1"/>
      <c r="B1116" s="1"/>
      <c r="C1116" s="1"/>
      <c r="D1116" s="1"/>
      <c r="E1116" s="1"/>
      <c r="F1116" s="1"/>
      <c r="G1116" s="1"/>
      <c r="H1116" s="1"/>
      <c r="I1116" s="1"/>
      <c r="J1116" s="1"/>
      <c r="K1116" s="89" t="s">
        <v>1968</v>
      </c>
      <c r="L1116" s="89" t="str">
        <f>G41</f>
        <v>C1a1a1b</v>
      </c>
      <c r="M1116" s="89"/>
      <c r="N1116" s="89"/>
      <c r="O1116" s="89">
        <v>1.8395477E7</v>
      </c>
      <c r="P1116" s="89">
        <v>1.6283597E7</v>
      </c>
      <c r="Q1116" s="89" t="s">
        <v>838</v>
      </c>
      <c r="AF1116" s="1"/>
      <c r="AG1116" s="1"/>
    </row>
    <row r="1117" ht="15.75" customHeight="1">
      <c r="A1117" s="1"/>
      <c r="B1117" s="1"/>
      <c r="C1117" s="1"/>
      <c r="D1117" s="1"/>
      <c r="E1117" s="1"/>
      <c r="F1117" s="1"/>
      <c r="G1117" s="1"/>
      <c r="H1117" s="1"/>
      <c r="I1117" s="1"/>
      <c r="J1117" s="1"/>
      <c r="K1117" s="89" t="s">
        <v>1969</v>
      </c>
      <c r="L1117" s="89" t="str">
        <f>G41</f>
        <v>C1a1a1b</v>
      </c>
      <c r="M1117" s="89"/>
      <c r="N1117" s="89" t="s">
        <v>1970</v>
      </c>
      <c r="O1117" s="92">
        <v>1.8805667E7</v>
      </c>
      <c r="P1117" s="92">
        <v>1.6693787E7</v>
      </c>
      <c r="Q1117" s="89" t="s">
        <v>838</v>
      </c>
      <c r="AF1117" s="1"/>
      <c r="AG1117" s="1"/>
    </row>
    <row r="1118" ht="15.75" customHeight="1">
      <c r="A1118" s="1"/>
      <c r="B1118" s="1"/>
      <c r="C1118" s="1"/>
      <c r="D1118" s="1"/>
      <c r="E1118" s="1"/>
      <c r="F1118" s="1"/>
      <c r="G1118" s="1"/>
      <c r="H1118" s="1"/>
      <c r="I1118" s="1"/>
      <c r="J1118" s="1"/>
      <c r="K1118" s="89" t="s">
        <v>1971</v>
      </c>
      <c r="L1118" s="89" t="str">
        <f>G41</f>
        <v>C1a1a1b</v>
      </c>
      <c r="M1118" s="89"/>
      <c r="N1118" s="89" t="s">
        <v>1972</v>
      </c>
      <c r="O1118" s="92">
        <v>1.9345028E7</v>
      </c>
      <c r="P1118" s="92">
        <v>1.7233148E7</v>
      </c>
      <c r="Q1118" s="89" t="s">
        <v>802</v>
      </c>
      <c r="AF1118" s="1"/>
      <c r="AG1118" s="1"/>
    </row>
    <row r="1119" ht="15.75" customHeight="1">
      <c r="A1119" s="1"/>
      <c r="B1119" s="1"/>
      <c r="C1119" s="1"/>
      <c r="D1119" s="1"/>
      <c r="E1119" s="1"/>
      <c r="F1119" s="1"/>
      <c r="G1119" s="1"/>
      <c r="H1119" s="1"/>
      <c r="I1119" s="1"/>
      <c r="J1119" s="1"/>
      <c r="K1119" s="89" t="s">
        <v>1973</v>
      </c>
      <c r="L1119" s="89" t="str">
        <f>G41</f>
        <v>C1a1a1b</v>
      </c>
      <c r="M1119" s="89"/>
      <c r="N1119" s="89" t="s">
        <v>1974</v>
      </c>
      <c r="O1119" s="92">
        <v>2.1187349E7</v>
      </c>
      <c r="P1119" s="92">
        <v>1.9025463E7</v>
      </c>
      <c r="Q1119" s="89" t="s">
        <v>879</v>
      </c>
      <c r="AF1119" s="1"/>
      <c r="AG1119" s="1"/>
    </row>
    <row r="1120" ht="15.75" customHeight="1">
      <c r="A1120" s="1"/>
      <c r="B1120" s="1"/>
      <c r="C1120" s="1"/>
      <c r="D1120" s="1"/>
      <c r="E1120" s="1"/>
      <c r="F1120" s="1"/>
      <c r="G1120" s="1"/>
      <c r="H1120" s="1"/>
      <c r="I1120" s="1"/>
      <c r="J1120" s="1"/>
      <c r="K1120" s="89" t="s">
        <v>1975</v>
      </c>
      <c r="L1120" s="89" t="str">
        <f>G41</f>
        <v>C1a1a1b</v>
      </c>
      <c r="M1120" s="89"/>
      <c r="N1120" s="89" t="s">
        <v>1976</v>
      </c>
      <c r="O1120" s="92">
        <v>2.1278122E7</v>
      </c>
      <c r="P1120" s="92">
        <v>1.9116236E7</v>
      </c>
      <c r="Q1120" s="89" t="s">
        <v>838</v>
      </c>
      <c r="AF1120" s="1"/>
      <c r="AG1120" s="1"/>
    </row>
    <row r="1121" ht="15.75" customHeight="1">
      <c r="A1121" s="1"/>
      <c r="B1121" s="1"/>
      <c r="C1121" s="1"/>
      <c r="D1121" s="1"/>
      <c r="E1121" s="1"/>
      <c r="F1121" s="1"/>
      <c r="G1121" s="1"/>
      <c r="H1121" s="1"/>
      <c r="I1121" s="1"/>
      <c r="J1121" s="1"/>
      <c r="K1121" s="89" t="s">
        <v>1977</v>
      </c>
      <c r="L1121" s="89" t="str">
        <f>G41</f>
        <v>C1a1a1b</v>
      </c>
      <c r="M1121" s="89"/>
      <c r="N1121" s="89" t="s">
        <v>1978</v>
      </c>
      <c r="O1121" s="92">
        <v>2.1736973E7</v>
      </c>
      <c r="P1121" s="92">
        <v>1.9575087E7</v>
      </c>
      <c r="Q1121" s="89" t="s">
        <v>838</v>
      </c>
      <c r="AF1121" s="1"/>
      <c r="AG1121" s="1"/>
    </row>
    <row r="1122" ht="15.75" customHeight="1">
      <c r="A1122" s="1"/>
      <c r="B1122" s="1"/>
      <c r="C1122" s="1"/>
      <c r="D1122" s="1"/>
      <c r="E1122" s="1"/>
      <c r="F1122" s="1"/>
      <c r="G1122" s="1"/>
      <c r="H1122" s="1"/>
      <c r="I1122" s="1"/>
      <c r="J1122" s="1"/>
      <c r="K1122" s="89" t="s">
        <v>1979</v>
      </c>
      <c r="L1122" s="89" t="str">
        <f>G41</f>
        <v>C1a1a1b</v>
      </c>
      <c r="M1122" s="89"/>
      <c r="N1122" s="89"/>
      <c r="O1122" s="92">
        <v>2.3198073E7</v>
      </c>
      <c r="P1122" s="92">
        <v>2.1036187E7</v>
      </c>
      <c r="Q1122" s="89" t="s">
        <v>917</v>
      </c>
      <c r="AF1122" s="1"/>
      <c r="AG1122" s="1"/>
    </row>
    <row r="1123" ht="15.75" customHeight="1">
      <c r="A1123" s="1"/>
      <c r="B1123" s="1"/>
      <c r="C1123" s="1"/>
      <c r="D1123" s="1"/>
      <c r="E1123" s="1"/>
      <c r="F1123" s="1"/>
      <c r="G1123" s="1"/>
      <c r="H1123" s="1"/>
      <c r="I1123" s="1"/>
      <c r="J1123" s="1"/>
      <c r="K1123" s="89" t="s">
        <v>1980</v>
      </c>
      <c r="L1123" s="89" t="str">
        <f>G41</f>
        <v>C1a1a1b</v>
      </c>
      <c r="M1123" s="89"/>
      <c r="N1123" s="89" t="s">
        <v>1981</v>
      </c>
      <c r="O1123" s="92">
        <v>2.3604196E7</v>
      </c>
      <c r="P1123" s="92">
        <v>2.144231E7</v>
      </c>
      <c r="Q1123" s="89" t="s">
        <v>810</v>
      </c>
      <c r="AF1123" s="1"/>
      <c r="AG1123" s="1"/>
    </row>
    <row r="1124" ht="15.75" customHeight="1">
      <c r="A1124" s="1"/>
      <c r="B1124" s="1"/>
      <c r="C1124" s="1"/>
      <c r="D1124" s="1"/>
      <c r="E1124" s="1"/>
      <c r="F1124" s="1"/>
      <c r="G1124" s="1"/>
      <c r="H1124" s="1"/>
      <c r="I1124" s="1"/>
      <c r="J1124" s="1"/>
      <c r="K1124" s="89" t="s">
        <v>1982</v>
      </c>
      <c r="L1124" s="89" t="str">
        <f>G41</f>
        <v>C1a1a1b</v>
      </c>
      <c r="M1124" s="89"/>
      <c r="N1124" s="89" t="s">
        <v>1983</v>
      </c>
      <c r="O1124" s="92">
        <v>2.36294E7</v>
      </c>
      <c r="P1124" s="92">
        <v>2.1467514E7</v>
      </c>
      <c r="Q1124" s="89" t="s">
        <v>838</v>
      </c>
      <c r="AF1124" s="1"/>
      <c r="AG1124" s="1"/>
    </row>
    <row r="1125" ht="15.75" customHeight="1">
      <c r="A1125" s="1"/>
      <c r="B1125" s="1"/>
      <c r="C1125" s="1"/>
      <c r="D1125" s="1"/>
      <c r="E1125" s="1"/>
      <c r="F1125" s="1"/>
      <c r="G1125" s="1"/>
      <c r="H1125" s="1"/>
      <c r="I1125" s="1"/>
      <c r="J1125" s="1"/>
      <c r="K1125" s="89" t="s">
        <v>1984</v>
      </c>
      <c r="L1125" s="89" t="str">
        <f>G41</f>
        <v>C1a1a1b</v>
      </c>
      <c r="M1125" s="89"/>
      <c r="N1125" s="89" t="s">
        <v>1985</v>
      </c>
      <c r="O1125" s="92">
        <v>2.8743405E7</v>
      </c>
      <c r="P1125" s="92">
        <v>2.6597258E7</v>
      </c>
      <c r="Q1125" s="89" t="s">
        <v>879</v>
      </c>
      <c r="AF1125" s="1"/>
      <c r="AG1125" s="1"/>
    </row>
    <row r="1126" ht="15.75" customHeight="1">
      <c r="A1126" s="1"/>
      <c r="B1126" s="1"/>
      <c r="C1126" s="1"/>
      <c r="D1126" s="1"/>
      <c r="E1126" s="1"/>
      <c r="F1126" s="1"/>
      <c r="G1126" s="1"/>
      <c r="H1126" s="1"/>
      <c r="I1126" s="1"/>
      <c r="J1126" s="1"/>
      <c r="K1126" s="89" t="s">
        <v>1986</v>
      </c>
      <c r="L1126" s="89" t="str">
        <f>H42</f>
        <v>C1a1a1b1~</v>
      </c>
      <c r="M1126" s="89"/>
      <c r="N1126" s="89" t="s">
        <v>1987</v>
      </c>
      <c r="O1126" s="89">
        <v>7068506.0</v>
      </c>
      <c r="P1126" s="89">
        <v>7200465.0</v>
      </c>
      <c r="Q1126" s="89" t="s">
        <v>802</v>
      </c>
      <c r="AF1126" s="1"/>
      <c r="AG1126" s="1"/>
    </row>
    <row r="1127" ht="15.75" customHeight="1">
      <c r="A1127" s="1"/>
      <c r="B1127" s="1"/>
      <c r="C1127" s="1"/>
      <c r="D1127" s="1"/>
      <c r="E1127" s="1"/>
      <c r="F1127" s="1"/>
      <c r="G1127" s="1"/>
      <c r="H1127" s="1"/>
      <c r="I1127" s="1"/>
      <c r="J1127" s="1"/>
      <c r="K1127" s="89" t="s">
        <v>1988</v>
      </c>
      <c r="L1127" s="89" t="str">
        <f>H42</f>
        <v>C1a1a1b1~</v>
      </c>
      <c r="M1127" s="89"/>
      <c r="N1127" s="89" t="s">
        <v>1989</v>
      </c>
      <c r="O1127" s="89">
        <v>7098839.0</v>
      </c>
      <c r="P1127" s="89">
        <v>7230798.0</v>
      </c>
      <c r="Q1127" s="89" t="s">
        <v>912</v>
      </c>
      <c r="AF1127" s="1"/>
      <c r="AG1127" s="1"/>
    </row>
    <row r="1128" ht="15.75" customHeight="1">
      <c r="A1128" s="1"/>
      <c r="B1128" s="1"/>
      <c r="C1128" s="1"/>
      <c r="D1128" s="1"/>
      <c r="E1128" s="1"/>
      <c r="F1128" s="1"/>
      <c r="G1128" s="1"/>
      <c r="H1128" s="1"/>
      <c r="I1128" s="1"/>
      <c r="J1128" s="1"/>
      <c r="K1128" s="89" t="s">
        <v>1990</v>
      </c>
      <c r="L1128" s="89" t="str">
        <f>H42</f>
        <v>C1a1a1b1~</v>
      </c>
      <c r="M1128" s="89"/>
      <c r="N1128" s="89" t="s">
        <v>1991</v>
      </c>
      <c r="O1128" s="92">
        <v>8434129.0</v>
      </c>
      <c r="P1128" s="92">
        <v>8566088.0</v>
      </c>
      <c r="Q1128" s="89" t="s">
        <v>831</v>
      </c>
      <c r="AF1128" s="1"/>
      <c r="AG1128" s="1"/>
    </row>
    <row r="1129" ht="15.75" customHeight="1">
      <c r="A1129" s="1"/>
      <c r="B1129" s="1"/>
      <c r="C1129" s="1"/>
      <c r="D1129" s="1"/>
      <c r="E1129" s="1"/>
      <c r="F1129" s="1"/>
      <c r="G1129" s="1"/>
      <c r="H1129" s="1"/>
      <c r="I1129" s="1"/>
      <c r="J1129" s="1"/>
      <c r="K1129" s="89" t="s">
        <v>1992</v>
      </c>
      <c r="L1129" s="89" t="str">
        <f t="shared" ref="L1129:L1131" si="4">H42</f>
        <v>C1a1a1b1~</v>
      </c>
      <c r="M1129" s="89"/>
      <c r="N1129" s="89" t="s">
        <v>1993</v>
      </c>
      <c r="O1129" s="92">
        <v>9441736.0</v>
      </c>
      <c r="P1129" s="92">
        <v>9604127.0</v>
      </c>
      <c r="Q1129" s="89" t="s">
        <v>810</v>
      </c>
      <c r="AF1129" s="1"/>
      <c r="AG1129" s="1"/>
    </row>
    <row r="1130" ht="15.75" customHeight="1">
      <c r="A1130" s="1"/>
      <c r="B1130" s="1"/>
      <c r="C1130" s="1"/>
      <c r="D1130" s="1"/>
      <c r="E1130" s="1"/>
      <c r="F1130" s="1"/>
      <c r="G1130" s="1"/>
      <c r="H1130" s="1"/>
      <c r="I1130" s="1"/>
      <c r="J1130" s="1"/>
      <c r="K1130" s="89" t="s">
        <v>49</v>
      </c>
      <c r="L1130" s="89" t="str">
        <f t="shared" si="4"/>
        <v>C1a1a1b2</v>
      </c>
      <c r="M1130" s="89"/>
      <c r="N1130" s="89" t="s">
        <v>1994</v>
      </c>
      <c r="O1130" s="92">
        <v>9130437.0</v>
      </c>
      <c r="P1130" s="92">
        <v>9292828.0</v>
      </c>
      <c r="Q1130" s="89" t="s">
        <v>822</v>
      </c>
      <c r="AF1130" s="1"/>
      <c r="AG1130" s="1"/>
    </row>
    <row r="1131" ht="15.75" customHeight="1">
      <c r="A1131" s="1"/>
      <c r="B1131" s="1"/>
      <c r="C1131" s="1"/>
      <c r="D1131" s="1"/>
      <c r="E1131" s="1"/>
      <c r="F1131" s="1"/>
      <c r="G1131" s="1"/>
      <c r="H1131" s="1"/>
      <c r="I1131" s="1"/>
      <c r="J1131" s="1"/>
      <c r="K1131" s="89" t="s">
        <v>1995</v>
      </c>
      <c r="L1131" s="89" t="str">
        <f t="shared" si="4"/>
        <v>C1a1a1b2~</v>
      </c>
      <c r="M1131" s="89"/>
      <c r="N1131" s="89" t="s">
        <v>1996</v>
      </c>
      <c r="O1131" s="92">
        <v>7009588.0</v>
      </c>
      <c r="P1131" s="92">
        <v>7141547.0</v>
      </c>
      <c r="Q1131" s="89" t="s">
        <v>886</v>
      </c>
      <c r="AF1131" s="1"/>
      <c r="AG1131" s="1"/>
    </row>
    <row r="1132" ht="15.75" customHeight="1">
      <c r="A1132" s="1"/>
      <c r="B1132" s="1"/>
      <c r="C1132" s="1"/>
      <c r="D1132" s="1"/>
      <c r="E1132" s="1"/>
      <c r="F1132" s="1"/>
      <c r="G1132" s="1"/>
      <c r="H1132" s="1"/>
      <c r="I1132" s="1"/>
      <c r="J1132" s="1"/>
      <c r="K1132" s="89" t="s">
        <v>1997</v>
      </c>
      <c r="L1132" s="89" t="str">
        <f>H44</f>
        <v>C1a1a1b2~</v>
      </c>
      <c r="M1132" s="89"/>
      <c r="N1132" s="89" t="s">
        <v>1998</v>
      </c>
      <c r="O1132" s="92">
        <v>7612668.0</v>
      </c>
      <c r="P1132" s="92">
        <v>7744627.0</v>
      </c>
      <c r="Q1132" s="89" t="s">
        <v>802</v>
      </c>
      <c r="AF1132" s="1"/>
      <c r="AG1132" s="1"/>
    </row>
    <row r="1133" ht="15.75" customHeight="1">
      <c r="A1133" s="1"/>
      <c r="B1133" s="1"/>
      <c r="C1133" s="1"/>
      <c r="D1133" s="1"/>
      <c r="E1133" s="1"/>
      <c r="F1133" s="1"/>
      <c r="G1133" s="1"/>
      <c r="H1133" s="1"/>
      <c r="I1133" s="1"/>
      <c r="J1133" s="1"/>
      <c r="K1133" s="89" t="s">
        <v>1999</v>
      </c>
      <c r="L1133" s="89" t="str">
        <f>H44</f>
        <v>C1a1a1b2~</v>
      </c>
      <c r="M1133" s="89"/>
      <c r="N1133" s="89" t="s">
        <v>2000</v>
      </c>
      <c r="O1133" s="92">
        <v>7843860.0</v>
      </c>
      <c r="P1133" s="92">
        <v>7975819.0</v>
      </c>
      <c r="Q1133" s="89" t="s">
        <v>822</v>
      </c>
      <c r="AF1133" s="1"/>
      <c r="AG1133" s="1"/>
    </row>
    <row r="1134" ht="15.75" customHeight="1">
      <c r="A1134" s="1"/>
      <c r="B1134" s="1"/>
      <c r="C1134" s="1"/>
      <c r="D1134" s="1"/>
      <c r="E1134" s="1"/>
      <c r="F1134" s="1"/>
      <c r="G1134" s="1"/>
      <c r="H1134" s="1"/>
      <c r="I1134" s="1"/>
      <c r="J1134" s="1"/>
      <c r="K1134" s="89" t="s">
        <v>2001</v>
      </c>
      <c r="L1134" s="89" t="str">
        <f>H44</f>
        <v>C1a1a1b2~</v>
      </c>
      <c r="M1134" s="89"/>
      <c r="N1134" s="89" t="s">
        <v>2002</v>
      </c>
      <c r="O1134" s="92">
        <v>7979957.0</v>
      </c>
      <c r="P1134" s="92">
        <v>8111916.0</v>
      </c>
      <c r="Q1134" s="89" t="s">
        <v>813</v>
      </c>
      <c r="AF1134" s="1"/>
      <c r="AG1134" s="1"/>
    </row>
    <row r="1135" ht="15.75" customHeight="1">
      <c r="A1135" s="1"/>
      <c r="B1135" s="1"/>
      <c r="C1135" s="1"/>
      <c r="D1135" s="1"/>
      <c r="E1135" s="1"/>
      <c r="F1135" s="1"/>
      <c r="G1135" s="1"/>
      <c r="H1135" s="1"/>
      <c r="I1135" s="1"/>
      <c r="J1135" s="1"/>
      <c r="K1135" s="89" t="s">
        <v>2003</v>
      </c>
      <c r="L1135" s="89" t="str">
        <f>F45</f>
        <v>C1a1a2~</v>
      </c>
      <c r="M1135" s="89"/>
      <c r="N1135" s="89"/>
      <c r="O1135" s="92">
        <v>6621293.0</v>
      </c>
      <c r="P1135" s="92">
        <v>6753252.0</v>
      </c>
      <c r="Q1135" s="89" t="s">
        <v>813</v>
      </c>
      <c r="AF1135" s="1"/>
      <c r="AG1135" s="1"/>
    </row>
    <row r="1136" ht="15.75" customHeight="1">
      <c r="A1136" s="1"/>
      <c r="B1136" s="1"/>
      <c r="C1136" s="1"/>
      <c r="D1136" s="1"/>
      <c r="E1136" s="1"/>
      <c r="F1136" s="1"/>
      <c r="G1136" s="1"/>
      <c r="H1136" s="1"/>
      <c r="I1136" s="1"/>
      <c r="J1136" s="1"/>
      <c r="K1136" s="89" t="s">
        <v>2004</v>
      </c>
      <c r="L1136" s="89" t="str">
        <f>F45</f>
        <v>C1a1a2~</v>
      </c>
      <c r="M1136" s="89"/>
      <c r="N1136" s="89"/>
      <c r="O1136" s="92">
        <v>6905012.0</v>
      </c>
      <c r="P1136" s="92">
        <v>7036971.0</v>
      </c>
      <c r="Q1136" s="89" t="s">
        <v>879</v>
      </c>
      <c r="AF1136" s="1"/>
      <c r="AG1136" s="1"/>
    </row>
    <row r="1137" ht="15.75" customHeight="1">
      <c r="A1137" s="1"/>
      <c r="B1137" s="1"/>
      <c r="C1137" s="1"/>
      <c r="D1137" s="1"/>
      <c r="E1137" s="1"/>
      <c r="F1137" s="1"/>
      <c r="G1137" s="1"/>
      <c r="H1137" s="1"/>
      <c r="I1137" s="1"/>
      <c r="J1137" s="1"/>
      <c r="K1137" s="89" t="s">
        <v>2005</v>
      </c>
      <c r="L1137" s="89" t="str">
        <f>F45</f>
        <v>C1a1a2~</v>
      </c>
      <c r="M1137" s="89"/>
      <c r="N1137" s="89"/>
      <c r="O1137" s="92">
        <v>6964994.0</v>
      </c>
      <c r="P1137" s="92">
        <v>7096953.0</v>
      </c>
      <c r="Q1137" s="89" t="s">
        <v>802</v>
      </c>
      <c r="AF1137" s="1"/>
      <c r="AG1137" s="1"/>
    </row>
    <row r="1138" ht="15.75" customHeight="1">
      <c r="A1138" s="1"/>
      <c r="B1138" s="1"/>
      <c r="C1138" s="1"/>
      <c r="D1138" s="1"/>
      <c r="E1138" s="1"/>
      <c r="F1138" s="1"/>
      <c r="G1138" s="1"/>
      <c r="H1138" s="1"/>
      <c r="I1138" s="1"/>
      <c r="J1138" s="1"/>
      <c r="K1138" s="89" t="s">
        <v>2006</v>
      </c>
      <c r="L1138" s="89" t="str">
        <f>F45</f>
        <v>C1a1a2~</v>
      </c>
      <c r="M1138" s="89"/>
      <c r="N1138" s="89"/>
      <c r="O1138" s="92">
        <v>7916787.0</v>
      </c>
      <c r="P1138" s="92">
        <v>8048746.0</v>
      </c>
      <c r="Q1138" s="89" t="s">
        <v>879</v>
      </c>
      <c r="AF1138" s="1"/>
      <c r="AG1138" s="1"/>
    </row>
    <row r="1139" ht="15.75" customHeight="1">
      <c r="A1139" s="1"/>
      <c r="B1139" s="1"/>
      <c r="C1139" s="1"/>
      <c r="D1139" s="1"/>
      <c r="E1139" s="1"/>
      <c r="F1139" s="1"/>
      <c r="G1139" s="1"/>
      <c r="H1139" s="1"/>
      <c r="I1139" s="1"/>
      <c r="J1139" s="1"/>
      <c r="K1139" s="89" t="s">
        <v>2007</v>
      </c>
      <c r="L1139" s="89" t="str">
        <f>F45</f>
        <v>C1a1a2~</v>
      </c>
      <c r="M1139" s="89"/>
      <c r="N1139" s="89"/>
      <c r="O1139" s="92">
        <v>8312983.0</v>
      </c>
      <c r="P1139" s="92">
        <v>8444942.0</v>
      </c>
      <c r="Q1139" s="89" t="s">
        <v>879</v>
      </c>
      <c r="AF1139" s="1"/>
      <c r="AG1139" s="1"/>
    </row>
    <row r="1140" ht="15.75" customHeight="1">
      <c r="A1140" s="1"/>
      <c r="B1140" s="1"/>
      <c r="C1140" s="1"/>
      <c r="D1140" s="1"/>
      <c r="E1140" s="1"/>
      <c r="F1140" s="1"/>
      <c r="G1140" s="1"/>
      <c r="H1140" s="1"/>
      <c r="I1140" s="1"/>
      <c r="J1140" s="1"/>
      <c r="K1140" s="89" t="s">
        <v>2008</v>
      </c>
      <c r="L1140" s="89" t="str">
        <f>D46</f>
        <v>C1a2</v>
      </c>
      <c r="M1140" s="89"/>
      <c r="N1140" s="89" t="s">
        <v>2009</v>
      </c>
      <c r="O1140" s="92">
        <v>6845955.0</v>
      </c>
      <c r="P1140" s="92">
        <v>6977914.0</v>
      </c>
      <c r="Q1140" s="89" t="s">
        <v>810</v>
      </c>
      <c r="AF1140" s="1"/>
      <c r="AG1140" s="1"/>
    </row>
    <row r="1141" ht="15.75" customHeight="1">
      <c r="A1141" s="1"/>
      <c r="B1141" s="1"/>
      <c r="C1141" s="1"/>
      <c r="D1141" s="1"/>
      <c r="E1141" s="1"/>
      <c r="F1141" s="1"/>
      <c r="G1141" s="1"/>
      <c r="H1141" s="1"/>
      <c r="I1141" s="1"/>
      <c r="J1141" s="1"/>
      <c r="K1141" s="89" t="s">
        <v>2010</v>
      </c>
      <c r="L1141" s="89" t="str">
        <f>D46</f>
        <v>C1a2</v>
      </c>
      <c r="M1141" s="89" t="s">
        <v>2011</v>
      </c>
      <c r="N1141" s="89" t="s">
        <v>2012</v>
      </c>
      <c r="O1141" s="92">
        <v>1.6753218E7</v>
      </c>
      <c r="P1141" s="92">
        <v>1.4641338E7</v>
      </c>
      <c r="Q1141" s="89" t="s">
        <v>810</v>
      </c>
      <c r="AF1141" s="1"/>
      <c r="AG1141" s="1"/>
    </row>
    <row r="1142" ht="15.75" customHeight="1">
      <c r="A1142" s="1"/>
      <c r="B1142" s="1"/>
      <c r="C1142" s="1"/>
      <c r="D1142" s="1"/>
      <c r="E1142" s="1"/>
      <c r="F1142" s="1"/>
      <c r="G1142" s="1"/>
      <c r="H1142" s="1"/>
      <c r="I1142" s="1"/>
      <c r="J1142" s="1"/>
      <c r="K1142" s="89" t="s">
        <v>2011</v>
      </c>
      <c r="L1142" s="89" t="str">
        <f>D46</f>
        <v>C1a2</v>
      </c>
      <c r="M1142" s="89" t="s">
        <v>2010</v>
      </c>
      <c r="N1142" s="89" t="s">
        <v>2012</v>
      </c>
      <c r="O1142" s="92">
        <v>1.6753218E7</v>
      </c>
      <c r="P1142" s="92">
        <v>1.4641338E7</v>
      </c>
      <c r="Q1142" s="89" t="s">
        <v>810</v>
      </c>
      <c r="AF1142" s="1"/>
      <c r="AG1142" s="1"/>
    </row>
    <row r="1143" ht="15.75" customHeight="1">
      <c r="A1143" s="1"/>
      <c r="B1143" s="1"/>
      <c r="C1143" s="1"/>
      <c r="D1143" s="1"/>
      <c r="E1143" s="1"/>
      <c r="F1143" s="1"/>
      <c r="G1143" s="1"/>
      <c r="H1143" s="1"/>
      <c r="I1143" s="1"/>
      <c r="J1143" s="1"/>
      <c r="K1143" s="89" t="s">
        <v>2013</v>
      </c>
      <c r="L1143" s="89" t="str">
        <f>D46</f>
        <v>C1a2</v>
      </c>
      <c r="M1143" s="89"/>
      <c r="N1143" s="89" t="s">
        <v>2014</v>
      </c>
      <c r="O1143" s="92">
        <v>1.7048894E7</v>
      </c>
      <c r="P1143" s="92">
        <v>1.4937014E7</v>
      </c>
      <c r="Q1143" s="89" t="s">
        <v>886</v>
      </c>
      <c r="AF1143" s="1"/>
      <c r="AG1143" s="1"/>
    </row>
    <row r="1144" ht="15.75" customHeight="1">
      <c r="A1144" s="1"/>
      <c r="B1144" s="1"/>
      <c r="C1144" s="1"/>
      <c r="D1144" s="1"/>
      <c r="E1144" s="1"/>
      <c r="F1144" s="1"/>
      <c r="G1144" s="1"/>
      <c r="H1144" s="1"/>
      <c r="I1144" s="1"/>
      <c r="J1144" s="1"/>
      <c r="K1144" s="89" t="s">
        <v>2015</v>
      </c>
      <c r="L1144" s="89" t="str">
        <f>D46</f>
        <v>C1a2</v>
      </c>
      <c r="M1144" s="89" t="s">
        <v>2016</v>
      </c>
      <c r="N1144" s="89" t="s">
        <v>2017</v>
      </c>
      <c r="O1144" s="92">
        <v>1.9490323E7</v>
      </c>
      <c r="P1144" s="92">
        <v>1.7378443E7</v>
      </c>
      <c r="Q1144" s="89" t="s">
        <v>802</v>
      </c>
      <c r="AF1144" s="1"/>
      <c r="AG1144" s="1"/>
    </row>
    <row r="1145" ht="15.75" customHeight="1">
      <c r="A1145" s="1"/>
      <c r="B1145" s="1"/>
      <c r="C1145" s="1"/>
      <c r="D1145" s="1"/>
      <c r="E1145" s="1"/>
      <c r="F1145" s="1"/>
      <c r="G1145" s="1"/>
      <c r="H1145" s="1"/>
      <c r="I1145" s="1"/>
      <c r="J1145" s="1"/>
      <c r="K1145" s="89" t="s">
        <v>2018</v>
      </c>
      <c r="L1145" s="89" t="str">
        <f>D46</f>
        <v>C1a2</v>
      </c>
      <c r="M1145" s="89" t="s">
        <v>2019</v>
      </c>
      <c r="N1145" s="89" t="s">
        <v>2017</v>
      </c>
      <c r="O1145" s="92">
        <v>1.9490323E7</v>
      </c>
      <c r="P1145" s="92">
        <v>1.7378443E7</v>
      </c>
      <c r="Q1145" s="89" t="s">
        <v>802</v>
      </c>
      <c r="AF1145" s="1"/>
      <c r="AG1145" s="1"/>
    </row>
    <row r="1146" ht="15.75" customHeight="1">
      <c r="A1146" s="1"/>
      <c r="B1146" s="1"/>
      <c r="C1146" s="1"/>
      <c r="D1146" s="1"/>
      <c r="E1146" s="1"/>
      <c r="F1146" s="1"/>
      <c r="G1146" s="1"/>
      <c r="H1146" s="1"/>
      <c r="I1146" s="1"/>
      <c r="J1146" s="1"/>
      <c r="K1146" s="89" t="s">
        <v>2020</v>
      </c>
      <c r="L1146" s="89" t="str">
        <f>D46</f>
        <v>C1a2</v>
      </c>
      <c r="M1146" s="89" t="s">
        <v>2021</v>
      </c>
      <c r="N1146" s="89" t="s">
        <v>2017</v>
      </c>
      <c r="O1146" s="92">
        <v>1.9490323E7</v>
      </c>
      <c r="P1146" s="92">
        <v>1.7378443E7</v>
      </c>
      <c r="Q1146" s="89" t="s">
        <v>802</v>
      </c>
      <c r="AF1146" s="1"/>
      <c r="AG1146" s="1"/>
    </row>
    <row r="1147" ht="15.75" customHeight="1">
      <c r="A1147" s="1"/>
      <c r="B1147" s="1"/>
      <c r="C1147" s="1"/>
      <c r="D1147" s="1"/>
      <c r="E1147" s="1"/>
      <c r="F1147" s="1"/>
      <c r="G1147" s="1"/>
      <c r="H1147" s="1"/>
      <c r="I1147" s="1"/>
      <c r="J1147" s="1"/>
      <c r="K1147" s="89" t="s">
        <v>2022</v>
      </c>
      <c r="L1147" s="89" t="str">
        <f>D46</f>
        <v>C1a2</v>
      </c>
      <c r="M1147" s="89"/>
      <c r="N1147" s="89" t="s">
        <v>2023</v>
      </c>
      <c r="O1147" s="92">
        <v>6909957.0</v>
      </c>
      <c r="P1147" s="92">
        <v>7041916.0</v>
      </c>
      <c r="Q1147" s="89" t="s">
        <v>810</v>
      </c>
      <c r="AF1147" s="1"/>
      <c r="AG1147" s="1"/>
    </row>
    <row r="1148" ht="15.75" customHeight="1">
      <c r="A1148" s="1"/>
      <c r="B1148" s="1"/>
      <c r="C1148" s="1"/>
      <c r="D1148" s="1"/>
      <c r="E1148" s="1"/>
      <c r="F1148" s="1"/>
      <c r="G1148" s="1"/>
      <c r="H1148" s="1"/>
      <c r="I1148" s="1"/>
      <c r="J1148" s="1"/>
      <c r="K1148" s="89" t="s">
        <v>2024</v>
      </c>
      <c r="L1148" s="89" t="str">
        <f>D46</f>
        <v>C1a2</v>
      </c>
      <c r="M1148" s="89"/>
      <c r="N1148" s="89" t="s">
        <v>2025</v>
      </c>
      <c r="O1148" s="92">
        <v>6664018.0</v>
      </c>
      <c r="P1148" s="92">
        <v>6795977.0</v>
      </c>
      <c r="Q1148" s="89" t="s">
        <v>838</v>
      </c>
      <c r="AF1148" s="1"/>
      <c r="AG1148" s="1"/>
    </row>
    <row r="1149" ht="15.75" customHeight="1">
      <c r="A1149" s="1"/>
      <c r="B1149" s="1"/>
      <c r="C1149" s="1"/>
      <c r="D1149" s="1"/>
      <c r="E1149" s="1"/>
      <c r="F1149" s="1"/>
      <c r="G1149" s="1"/>
      <c r="H1149" s="1"/>
      <c r="I1149" s="1"/>
      <c r="J1149" s="1"/>
      <c r="K1149" s="89" t="s">
        <v>2026</v>
      </c>
      <c r="L1149" s="89" t="str">
        <f>D46</f>
        <v>C1a2</v>
      </c>
      <c r="M1149" s="89" t="s">
        <v>2027</v>
      </c>
      <c r="N1149" s="89" t="s">
        <v>2028</v>
      </c>
      <c r="O1149" s="92">
        <v>2795910.0</v>
      </c>
      <c r="P1149" s="92">
        <v>2927869.0</v>
      </c>
      <c r="Q1149" s="89" t="s">
        <v>802</v>
      </c>
      <c r="AF1149" s="1"/>
      <c r="AG1149" s="1"/>
    </row>
    <row r="1150" ht="15.75" customHeight="1">
      <c r="A1150" s="1"/>
      <c r="B1150" s="1"/>
      <c r="C1150" s="1"/>
      <c r="D1150" s="1"/>
      <c r="E1150" s="1"/>
      <c r="F1150" s="1"/>
      <c r="G1150" s="1"/>
      <c r="H1150" s="1"/>
      <c r="I1150" s="1"/>
      <c r="J1150" s="1"/>
      <c r="K1150" s="89" t="s">
        <v>2027</v>
      </c>
      <c r="L1150" s="89" t="str">
        <f>D46</f>
        <v>C1a2</v>
      </c>
      <c r="M1150" s="89" t="s">
        <v>2026</v>
      </c>
      <c r="N1150" s="89" t="s">
        <v>2028</v>
      </c>
      <c r="O1150" s="92">
        <v>2795910.0</v>
      </c>
      <c r="P1150" s="92">
        <v>2927869.0</v>
      </c>
      <c r="Q1150" s="89" t="s">
        <v>802</v>
      </c>
      <c r="AF1150" s="1"/>
      <c r="AG1150" s="1"/>
    </row>
    <row r="1151" ht="15.75" customHeight="1">
      <c r="A1151" s="1"/>
      <c r="B1151" s="1"/>
      <c r="C1151" s="1"/>
      <c r="D1151" s="1"/>
      <c r="E1151" s="1"/>
      <c r="F1151" s="1"/>
      <c r="G1151" s="1"/>
      <c r="H1151" s="1"/>
      <c r="I1151" s="1"/>
      <c r="J1151" s="1"/>
      <c r="K1151" s="89" t="s">
        <v>2029</v>
      </c>
      <c r="L1151" s="89" t="str">
        <f>D46</f>
        <v>C1a2</v>
      </c>
      <c r="M1151" s="89" t="s">
        <v>2030</v>
      </c>
      <c r="N1151" s="89" t="s">
        <v>2031</v>
      </c>
      <c r="O1151" s="92">
        <v>2807426.0</v>
      </c>
      <c r="P1151" s="92">
        <v>2939385.0</v>
      </c>
      <c r="Q1151" s="89" t="s">
        <v>810</v>
      </c>
      <c r="AF1151" s="1"/>
      <c r="AG1151" s="1"/>
    </row>
    <row r="1152" ht="15.75" customHeight="1">
      <c r="A1152" s="1"/>
      <c r="B1152" s="1"/>
      <c r="C1152" s="1"/>
      <c r="D1152" s="1"/>
      <c r="E1152" s="1"/>
      <c r="F1152" s="1"/>
      <c r="G1152" s="1"/>
      <c r="H1152" s="1"/>
      <c r="I1152" s="1"/>
      <c r="J1152" s="1"/>
      <c r="K1152" s="89" t="s">
        <v>2030</v>
      </c>
      <c r="L1152" s="89" t="str">
        <f>D46</f>
        <v>C1a2</v>
      </c>
      <c r="M1152" s="89" t="s">
        <v>2029</v>
      </c>
      <c r="N1152" s="89" t="s">
        <v>2031</v>
      </c>
      <c r="O1152" s="92">
        <v>2807426.0</v>
      </c>
      <c r="P1152" s="92">
        <v>2939385.0</v>
      </c>
      <c r="Q1152" s="89" t="s">
        <v>810</v>
      </c>
      <c r="AF1152" s="1"/>
      <c r="AG1152" s="1"/>
    </row>
    <row r="1153" ht="15.75" customHeight="1">
      <c r="A1153" s="1"/>
      <c r="B1153" s="1"/>
      <c r="C1153" s="1"/>
      <c r="D1153" s="1"/>
      <c r="E1153" s="1"/>
      <c r="F1153" s="1"/>
      <c r="G1153" s="1"/>
      <c r="H1153" s="1"/>
      <c r="I1153" s="1"/>
      <c r="J1153" s="1"/>
      <c r="K1153" s="89" t="s">
        <v>2032</v>
      </c>
      <c r="L1153" s="89" t="str">
        <f>D46</f>
        <v>C1a2</v>
      </c>
      <c r="M1153" s="89" t="s">
        <v>2033</v>
      </c>
      <c r="N1153" s="89" t="s">
        <v>2034</v>
      </c>
      <c r="O1153" s="92">
        <v>7647152.0</v>
      </c>
      <c r="P1153" s="92">
        <v>7779111.0</v>
      </c>
      <c r="Q1153" s="89" t="s">
        <v>864</v>
      </c>
      <c r="AF1153" s="1"/>
      <c r="AG1153" s="1"/>
    </row>
    <row r="1154" ht="15.75" customHeight="1">
      <c r="A1154" s="1"/>
      <c r="B1154" s="1"/>
      <c r="C1154" s="1"/>
      <c r="D1154" s="1"/>
      <c r="E1154" s="1"/>
      <c r="F1154" s="1"/>
      <c r="G1154" s="1"/>
      <c r="H1154" s="1"/>
      <c r="I1154" s="1"/>
      <c r="J1154" s="1"/>
      <c r="K1154" s="89" t="s">
        <v>2033</v>
      </c>
      <c r="L1154" s="89" t="str">
        <f>D46</f>
        <v>C1a2</v>
      </c>
      <c r="M1154" s="89" t="s">
        <v>2032</v>
      </c>
      <c r="N1154" s="89" t="s">
        <v>2034</v>
      </c>
      <c r="O1154" s="92">
        <v>7647152.0</v>
      </c>
      <c r="P1154" s="92">
        <v>7779111.0</v>
      </c>
      <c r="Q1154" s="89" t="s">
        <v>864</v>
      </c>
      <c r="AF1154" s="1"/>
      <c r="AG1154" s="1"/>
    </row>
    <row r="1155" ht="15.75" customHeight="1">
      <c r="A1155" s="1"/>
      <c r="B1155" s="1"/>
      <c r="C1155" s="1"/>
      <c r="D1155" s="1"/>
      <c r="E1155" s="1"/>
      <c r="F1155" s="1"/>
      <c r="G1155" s="1"/>
      <c r="H1155" s="1"/>
      <c r="I1155" s="1"/>
      <c r="J1155" s="1"/>
      <c r="K1155" s="89" t="s">
        <v>2035</v>
      </c>
      <c r="L1155" s="89" t="str">
        <f>D46</f>
        <v>C1a2</v>
      </c>
      <c r="M1155" s="89" t="s">
        <v>2036</v>
      </c>
      <c r="N1155" s="89" t="s">
        <v>2037</v>
      </c>
      <c r="O1155" s="92">
        <v>7676565.0</v>
      </c>
      <c r="P1155" s="92">
        <v>7808524.0</v>
      </c>
      <c r="Q1155" s="89" t="s">
        <v>810</v>
      </c>
      <c r="AF1155" s="1"/>
      <c r="AG1155" s="1"/>
    </row>
    <row r="1156" ht="15.75" customHeight="1">
      <c r="A1156" s="1"/>
      <c r="B1156" s="1"/>
      <c r="C1156" s="1"/>
      <c r="D1156" s="1"/>
      <c r="E1156" s="1"/>
      <c r="F1156" s="1"/>
      <c r="G1156" s="1"/>
      <c r="H1156" s="1"/>
      <c r="I1156" s="1"/>
      <c r="J1156" s="1"/>
      <c r="K1156" s="89" t="s">
        <v>2036</v>
      </c>
      <c r="L1156" s="89" t="str">
        <f>D46</f>
        <v>C1a2</v>
      </c>
      <c r="M1156" s="89" t="s">
        <v>2035</v>
      </c>
      <c r="N1156" s="89" t="s">
        <v>2037</v>
      </c>
      <c r="O1156" s="92">
        <v>7676565.0</v>
      </c>
      <c r="P1156" s="92">
        <v>7808524.0</v>
      </c>
      <c r="Q1156" s="89" t="s">
        <v>810</v>
      </c>
      <c r="AF1156" s="1"/>
      <c r="AG1156" s="1"/>
    </row>
    <row r="1157" ht="15.75" customHeight="1">
      <c r="A1157" s="1"/>
      <c r="B1157" s="1"/>
      <c r="C1157" s="1"/>
      <c r="D1157" s="1"/>
      <c r="E1157" s="1"/>
      <c r="F1157" s="1"/>
      <c r="G1157" s="1"/>
      <c r="H1157" s="1"/>
      <c r="I1157" s="1"/>
      <c r="J1157" s="1"/>
      <c r="K1157" s="89" t="s">
        <v>2038</v>
      </c>
      <c r="L1157" s="89" t="str">
        <f>D46</f>
        <v>C1a2</v>
      </c>
      <c r="M1157" s="89" t="s">
        <v>2039</v>
      </c>
      <c r="N1157" s="89" t="s">
        <v>2040</v>
      </c>
      <c r="O1157" s="92">
        <v>7811623.0</v>
      </c>
      <c r="P1157" s="89">
        <v>7943582.0</v>
      </c>
      <c r="Q1157" s="89" t="s">
        <v>864</v>
      </c>
      <c r="AF1157" s="1"/>
      <c r="AG1157" s="1"/>
    </row>
    <row r="1158" ht="15.75" customHeight="1">
      <c r="A1158" s="1"/>
      <c r="B1158" s="1"/>
      <c r="C1158" s="1"/>
      <c r="D1158" s="1"/>
      <c r="E1158" s="1"/>
      <c r="F1158" s="1"/>
      <c r="G1158" s="1"/>
      <c r="H1158" s="1"/>
      <c r="I1158" s="1"/>
      <c r="J1158" s="1"/>
      <c r="K1158" s="89" t="s">
        <v>2039</v>
      </c>
      <c r="L1158" s="89" t="str">
        <f>D46</f>
        <v>C1a2</v>
      </c>
      <c r="M1158" s="89" t="s">
        <v>2038</v>
      </c>
      <c r="N1158" s="89" t="s">
        <v>2040</v>
      </c>
      <c r="O1158" s="92">
        <v>7811623.0</v>
      </c>
      <c r="P1158" s="92">
        <v>7943582.0</v>
      </c>
      <c r="Q1158" s="89" t="s">
        <v>864</v>
      </c>
      <c r="AF1158" s="1"/>
      <c r="AG1158" s="1"/>
    </row>
    <row r="1159" ht="15.75" customHeight="1">
      <c r="A1159" s="1"/>
      <c r="B1159" s="1"/>
      <c r="C1159" s="1"/>
      <c r="D1159" s="1"/>
      <c r="E1159" s="1"/>
      <c r="F1159" s="1"/>
      <c r="G1159" s="1"/>
      <c r="H1159" s="1"/>
      <c r="I1159" s="1"/>
      <c r="J1159" s="1"/>
      <c r="K1159" s="89" t="s">
        <v>2041</v>
      </c>
      <c r="L1159" s="89" t="str">
        <f>D46</f>
        <v>C1a2</v>
      </c>
      <c r="M1159" s="89" t="s">
        <v>2042</v>
      </c>
      <c r="N1159" s="89" t="s">
        <v>2043</v>
      </c>
      <c r="O1159" s="92">
        <v>7938613.0</v>
      </c>
      <c r="P1159" s="92">
        <v>8070572.0</v>
      </c>
      <c r="Q1159" s="89" t="s">
        <v>810</v>
      </c>
      <c r="AF1159" s="1"/>
      <c r="AG1159" s="1"/>
    </row>
    <row r="1160" ht="15.75" customHeight="1">
      <c r="A1160" s="1"/>
      <c r="B1160" s="1"/>
      <c r="C1160" s="1"/>
      <c r="D1160" s="1"/>
      <c r="E1160" s="1"/>
      <c r="F1160" s="1"/>
      <c r="G1160" s="1"/>
      <c r="H1160" s="1"/>
      <c r="I1160" s="1"/>
      <c r="J1160" s="1"/>
      <c r="K1160" s="89" t="s">
        <v>2042</v>
      </c>
      <c r="L1160" s="89" t="str">
        <f>D46</f>
        <v>C1a2</v>
      </c>
      <c r="M1160" s="89" t="s">
        <v>2041</v>
      </c>
      <c r="N1160" s="89" t="s">
        <v>2043</v>
      </c>
      <c r="O1160" s="92">
        <v>7938613.0</v>
      </c>
      <c r="P1160" s="92">
        <v>8070572.0</v>
      </c>
      <c r="Q1160" s="89" t="s">
        <v>810</v>
      </c>
      <c r="AF1160" s="1"/>
      <c r="AG1160" s="1"/>
    </row>
    <row r="1161" ht="15.75" customHeight="1">
      <c r="A1161" s="1"/>
      <c r="B1161" s="1"/>
      <c r="C1161" s="1"/>
      <c r="D1161" s="1"/>
      <c r="E1161" s="1"/>
      <c r="F1161" s="1"/>
      <c r="G1161" s="1"/>
      <c r="H1161" s="1"/>
      <c r="I1161" s="1"/>
      <c r="J1161" s="1"/>
      <c r="K1161" s="89" t="s">
        <v>2044</v>
      </c>
      <c r="L1161" s="89" t="str">
        <f>D46</f>
        <v>C1a2</v>
      </c>
      <c r="M1161" s="89" t="s">
        <v>2045</v>
      </c>
      <c r="N1161" s="89" t="s">
        <v>2046</v>
      </c>
      <c r="O1161" s="92">
        <v>7953413.0</v>
      </c>
      <c r="P1161" s="92">
        <v>8085372.0</v>
      </c>
      <c r="Q1161" s="89" t="s">
        <v>831</v>
      </c>
      <c r="AF1161" s="1"/>
      <c r="AG1161" s="1"/>
    </row>
    <row r="1162" ht="15.75" customHeight="1">
      <c r="A1162" s="1"/>
      <c r="B1162" s="1"/>
      <c r="C1162" s="1"/>
      <c r="D1162" s="1"/>
      <c r="E1162" s="1"/>
      <c r="F1162" s="1"/>
      <c r="G1162" s="1"/>
      <c r="H1162" s="1"/>
      <c r="I1162" s="1"/>
      <c r="J1162" s="1"/>
      <c r="K1162" s="89" t="s">
        <v>2045</v>
      </c>
      <c r="L1162" s="89" t="str">
        <f>D46</f>
        <v>C1a2</v>
      </c>
      <c r="M1162" s="89" t="s">
        <v>2044</v>
      </c>
      <c r="N1162" s="89" t="s">
        <v>2046</v>
      </c>
      <c r="O1162" s="92">
        <v>7953413.0</v>
      </c>
      <c r="P1162" s="92">
        <v>8085372.0</v>
      </c>
      <c r="Q1162" s="89" t="s">
        <v>831</v>
      </c>
      <c r="AF1162" s="1"/>
      <c r="AG1162" s="1"/>
    </row>
    <row r="1163" ht="15.75" customHeight="1">
      <c r="A1163" s="1"/>
      <c r="B1163" s="1"/>
      <c r="C1163" s="1"/>
      <c r="D1163" s="1"/>
      <c r="E1163" s="1"/>
      <c r="F1163" s="1"/>
      <c r="G1163" s="1"/>
      <c r="H1163" s="1"/>
      <c r="I1163" s="1"/>
      <c r="J1163" s="1"/>
      <c r="K1163" s="89" t="s">
        <v>2047</v>
      </c>
      <c r="L1163" s="89" t="str">
        <f>D46</f>
        <v>C1a2</v>
      </c>
      <c r="M1163" s="89" t="s">
        <v>2048</v>
      </c>
      <c r="N1163" s="89" t="s">
        <v>2049</v>
      </c>
      <c r="O1163" s="92">
        <v>8046437.0</v>
      </c>
      <c r="P1163" s="92">
        <v>8178396.0</v>
      </c>
      <c r="Q1163" s="89" t="s">
        <v>845</v>
      </c>
      <c r="AF1163" s="1"/>
      <c r="AG1163" s="1"/>
    </row>
    <row r="1164" ht="15.75" customHeight="1">
      <c r="A1164" s="1"/>
      <c r="B1164" s="1"/>
      <c r="C1164" s="1"/>
      <c r="D1164" s="1"/>
      <c r="E1164" s="1"/>
      <c r="F1164" s="1"/>
      <c r="G1164" s="1"/>
      <c r="H1164" s="1"/>
      <c r="I1164" s="1"/>
      <c r="J1164" s="1"/>
      <c r="K1164" s="89" t="s">
        <v>2048</v>
      </c>
      <c r="L1164" s="89" t="str">
        <f>D46</f>
        <v>C1a2</v>
      </c>
      <c r="M1164" s="89" t="s">
        <v>2047</v>
      </c>
      <c r="N1164" s="89" t="s">
        <v>2049</v>
      </c>
      <c r="O1164" s="92">
        <v>8046437.0</v>
      </c>
      <c r="P1164" s="92">
        <v>8178396.0</v>
      </c>
      <c r="Q1164" s="89" t="s">
        <v>845</v>
      </c>
      <c r="AF1164" s="1"/>
      <c r="AG1164" s="1"/>
    </row>
    <row r="1165" ht="15.75" customHeight="1">
      <c r="A1165" s="1"/>
      <c r="B1165" s="1"/>
      <c r="C1165" s="1"/>
      <c r="D1165" s="1"/>
      <c r="E1165" s="1"/>
      <c r="F1165" s="1"/>
      <c r="G1165" s="1"/>
      <c r="H1165" s="1"/>
      <c r="I1165" s="1"/>
      <c r="J1165" s="1"/>
      <c r="K1165" s="89" t="s">
        <v>2050</v>
      </c>
      <c r="L1165" s="89" t="str">
        <f>D46</f>
        <v>C1a2</v>
      </c>
      <c r="M1165" s="89" t="s">
        <v>2051</v>
      </c>
      <c r="N1165" s="89" t="s">
        <v>2052</v>
      </c>
      <c r="O1165" s="92">
        <v>8385672.0</v>
      </c>
      <c r="P1165" s="92">
        <v>8517631.0</v>
      </c>
      <c r="Q1165" s="89" t="s">
        <v>802</v>
      </c>
      <c r="AF1165" s="1"/>
      <c r="AG1165" s="1"/>
    </row>
    <row r="1166" ht="15.75" customHeight="1">
      <c r="A1166" s="1"/>
      <c r="B1166" s="1"/>
      <c r="C1166" s="1"/>
      <c r="D1166" s="1"/>
      <c r="E1166" s="1"/>
      <c r="F1166" s="1"/>
      <c r="G1166" s="1"/>
      <c r="H1166" s="1"/>
      <c r="I1166" s="1"/>
      <c r="J1166" s="1"/>
      <c r="K1166" s="89" t="s">
        <v>2051</v>
      </c>
      <c r="L1166" s="89" t="str">
        <f>D46</f>
        <v>C1a2</v>
      </c>
      <c r="M1166" s="89" t="s">
        <v>2050</v>
      </c>
      <c r="N1166" s="89" t="s">
        <v>2052</v>
      </c>
      <c r="O1166" s="92">
        <v>8385672.0</v>
      </c>
      <c r="P1166" s="92">
        <v>8517631.0</v>
      </c>
      <c r="Q1166" s="89" t="s">
        <v>802</v>
      </c>
      <c r="AF1166" s="1"/>
      <c r="AG1166" s="1"/>
    </row>
    <row r="1167" ht="15.75" customHeight="1">
      <c r="A1167" s="1"/>
      <c r="B1167" s="1"/>
      <c r="C1167" s="1"/>
      <c r="D1167" s="1"/>
      <c r="E1167" s="1"/>
      <c r="F1167" s="1"/>
      <c r="G1167" s="1"/>
      <c r="H1167" s="1"/>
      <c r="I1167" s="1"/>
      <c r="J1167" s="1"/>
      <c r="K1167" s="89" t="s">
        <v>2053</v>
      </c>
      <c r="L1167" s="89" t="str">
        <f>D46</f>
        <v>C1a2</v>
      </c>
      <c r="M1167" s="89" t="s">
        <v>2054</v>
      </c>
      <c r="N1167" s="89" t="s">
        <v>2055</v>
      </c>
      <c r="O1167" s="92">
        <v>8395859.0</v>
      </c>
      <c r="P1167" s="92">
        <v>8527818.0</v>
      </c>
      <c r="Q1167" s="89" t="s">
        <v>845</v>
      </c>
      <c r="AF1167" s="1"/>
      <c r="AG1167" s="1"/>
    </row>
    <row r="1168" ht="15.75" customHeight="1">
      <c r="A1168" s="1"/>
      <c r="B1168" s="1"/>
      <c r="C1168" s="1"/>
      <c r="D1168" s="1"/>
      <c r="E1168" s="1"/>
      <c r="F1168" s="1"/>
      <c r="G1168" s="1"/>
      <c r="H1168" s="1"/>
      <c r="I1168" s="1"/>
      <c r="J1168" s="1"/>
      <c r="K1168" s="89" t="s">
        <v>2054</v>
      </c>
      <c r="L1168" s="89" t="str">
        <f>D46</f>
        <v>C1a2</v>
      </c>
      <c r="M1168" s="89" t="s">
        <v>2053</v>
      </c>
      <c r="N1168" s="89" t="s">
        <v>2055</v>
      </c>
      <c r="O1168" s="92">
        <v>8395859.0</v>
      </c>
      <c r="P1168" s="92">
        <v>8527818.0</v>
      </c>
      <c r="Q1168" s="89" t="s">
        <v>845</v>
      </c>
      <c r="AF1168" s="1"/>
      <c r="AG1168" s="1"/>
    </row>
    <row r="1169" ht="15.75" customHeight="1">
      <c r="A1169" s="1"/>
      <c r="B1169" s="1"/>
      <c r="C1169" s="1"/>
      <c r="D1169" s="1"/>
      <c r="E1169" s="1"/>
      <c r="F1169" s="1"/>
      <c r="G1169" s="1"/>
      <c r="H1169" s="1"/>
      <c r="I1169" s="1"/>
      <c r="J1169" s="1"/>
      <c r="K1169" s="89" t="s">
        <v>2056</v>
      </c>
      <c r="L1169" s="89" t="str">
        <f>D46</f>
        <v>C1a2</v>
      </c>
      <c r="M1169" s="89" t="s">
        <v>2057</v>
      </c>
      <c r="N1169" s="89" t="s">
        <v>2058</v>
      </c>
      <c r="O1169" s="92">
        <v>8462000.0</v>
      </c>
      <c r="P1169" s="92">
        <v>8593959.0</v>
      </c>
      <c r="Q1169" s="89" t="s">
        <v>879</v>
      </c>
      <c r="AF1169" s="1"/>
      <c r="AG1169" s="1"/>
    </row>
    <row r="1170" ht="15.75" customHeight="1">
      <c r="A1170" s="1"/>
      <c r="B1170" s="1"/>
      <c r="C1170" s="1"/>
      <c r="D1170" s="1"/>
      <c r="E1170" s="1"/>
      <c r="F1170" s="1"/>
      <c r="G1170" s="1"/>
      <c r="H1170" s="1"/>
      <c r="I1170" s="1"/>
      <c r="J1170" s="1"/>
      <c r="K1170" s="89" t="s">
        <v>2057</v>
      </c>
      <c r="L1170" s="89" t="str">
        <f>D46</f>
        <v>C1a2</v>
      </c>
      <c r="M1170" s="89" t="s">
        <v>2056</v>
      </c>
      <c r="N1170" s="89" t="s">
        <v>2058</v>
      </c>
      <c r="O1170" s="92">
        <v>8462000.0</v>
      </c>
      <c r="P1170" s="92">
        <v>8593959.0</v>
      </c>
      <c r="Q1170" s="89" t="s">
        <v>879</v>
      </c>
      <c r="AF1170" s="1"/>
      <c r="AG1170" s="1"/>
    </row>
    <row r="1171" ht="15.75" customHeight="1">
      <c r="A1171" s="1"/>
      <c r="B1171" s="1"/>
      <c r="C1171" s="1"/>
      <c r="D1171" s="1"/>
      <c r="E1171" s="1"/>
      <c r="F1171" s="1"/>
      <c r="G1171" s="1"/>
      <c r="H1171" s="1"/>
      <c r="I1171" s="1"/>
      <c r="J1171" s="1"/>
      <c r="K1171" s="89" t="s">
        <v>2059</v>
      </c>
      <c r="L1171" s="89" t="str">
        <f>D46</f>
        <v>C1a2</v>
      </c>
      <c r="M1171" s="89" t="s">
        <v>2060</v>
      </c>
      <c r="N1171" s="89" t="s">
        <v>2061</v>
      </c>
      <c r="O1171" s="92">
        <v>8498791.0</v>
      </c>
      <c r="P1171" s="92">
        <v>8630750.0</v>
      </c>
      <c r="Q1171" s="89" t="s">
        <v>845</v>
      </c>
      <c r="AF1171" s="1"/>
      <c r="AG1171" s="1"/>
    </row>
    <row r="1172" ht="15.75" customHeight="1">
      <c r="A1172" s="1"/>
      <c r="B1172" s="1"/>
      <c r="C1172" s="1"/>
      <c r="D1172" s="1"/>
      <c r="E1172" s="1"/>
      <c r="F1172" s="1"/>
      <c r="G1172" s="1"/>
      <c r="H1172" s="1"/>
      <c r="I1172" s="1"/>
      <c r="J1172" s="1"/>
      <c r="K1172" s="89" t="s">
        <v>2060</v>
      </c>
      <c r="L1172" s="89" t="str">
        <f>D46</f>
        <v>C1a2</v>
      </c>
      <c r="M1172" s="89" t="s">
        <v>2059</v>
      </c>
      <c r="N1172" s="89" t="s">
        <v>2061</v>
      </c>
      <c r="O1172" s="92">
        <v>8498791.0</v>
      </c>
      <c r="P1172" s="92">
        <v>8630750.0</v>
      </c>
      <c r="Q1172" s="89" t="s">
        <v>845</v>
      </c>
      <c r="AF1172" s="1"/>
      <c r="AG1172" s="1"/>
    </row>
    <row r="1173" ht="15.75" customHeight="1">
      <c r="A1173" s="1"/>
      <c r="B1173" s="1"/>
      <c r="C1173" s="1"/>
      <c r="D1173" s="1"/>
      <c r="E1173" s="1"/>
      <c r="F1173" s="1"/>
      <c r="G1173" s="1"/>
      <c r="H1173" s="1"/>
      <c r="I1173" s="1"/>
      <c r="J1173" s="1"/>
      <c r="K1173" s="89" t="s">
        <v>2062</v>
      </c>
      <c r="L1173" s="89" t="str">
        <f>D46</f>
        <v>C1a2</v>
      </c>
      <c r="M1173" s="89" t="s">
        <v>2063</v>
      </c>
      <c r="N1173" s="89" t="s">
        <v>2064</v>
      </c>
      <c r="O1173" s="92">
        <v>8531334.0</v>
      </c>
      <c r="P1173" s="92">
        <v>8663293.0</v>
      </c>
      <c r="Q1173" s="89" t="s">
        <v>917</v>
      </c>
      <c r="AF1173" s="1"/>
      <c r="AG1173" s="1"/>
    </row>
    <row r="1174" ht="15.75" customHeight="1">
      <c r="A1174" s="1"/>
      <c r="B1174" s="1"/>
      <c r="C1174" s="1"/>
      <c r="D1174" s="1"/>
      <c r="E1174" s="1"/>
      <c r="F1174" s="1"/>
      <c r="G1174" s="1"/>
      <c r="H1174" s="1"/>
      <c r="I1174" s="1"/>
      <c r="J1174" s="1"/>
      <c r="K1174" s="89" t="s">
        <v>2063</v>
      </c>
      <c r="L1174" s="89" t="str">
        <f>D46</f>
        <v>C1a2</v>
      </c>
      <c r="M1174" s="89" t="s">
        <v>2062</v>
      </c>
      <c r="N1174" s="89" t="s">
        <v>2064</v>
      </c>
      <c r="O1174" s="92">
        <v>8531334.0</v>
      </c>
      <c r="P1174" s="92">
        <v>8663293.0</v>
      </c>
      <c r="Q1174" s="89" t="s">
        <v>917</v>
      </c>
      <c r="AF1174" s="1"/>
      <c r="AG1174" s="1"/>
    </row>
    <row r="1175" ht="15.75" customHeight="1">
      <c r="A1175" s="1"/>
      <c r="B1175" s="1"/>
      <c r="C1175" s="1"/>
      <c r="D1175" s="1"/>
      <c r="E1175" s="1"/>
      <c r="F1175" s="1"/>
      <c r="G1175" s="1"/>
      <c r="H1175" s="1"/>
      <c r="I1175" s="1"/>
      <c r="J1175" s="1"/>
      <c r="K1175" s="89" t="s">
        <v>2065</v>
      </c>
      <c r="L1175" s="89" t="str">
        <f>D46</f>
        <v>C1a2</v>
      </c>
      <c r="M1175" s="89" t="s">
        <v>2066</v>
      </c>
      <c r="N1175" s="89" t="s">
        <v>2067</v>
      </c>
      <c r="O1175" s="92">
        <v>8564465.0</v>
      </c>
      <c r="P1175" s="92">
        <v>8696424.0</v>
      </c>
      <c r="Q1175" s="89" t="s">
        <v>838</v>
      </c>
      <c r="AF1175" s="1"/>
      <c r="AG1175" s="1"/>
    </row>
    <row r="1176" ht="15.75" customHeight="1">
      <c r="A1176" s="1"/>
      <c r="B1176" s="1"/>
      <c r="C1176" s="1"/>
      <c r="D1176" s="1"/>
      <c r="E1176" s="1"/>
      <c r="F1176" s="1"/>
      <c r="G1176" s="1"/>
      <c r="H1176" s="1"/>
      <c r="I1176" s="1"/>
      <c r="J1176" s="1"/>
      <c r="K1176" s="89" t="s">
        <v>2066</v>
      </c>
      <c r="L1176" s="89" t="str">
        <f>D46</f>
        <v>C1a2</v>
      </c>
      <c r="M1176" s="89" t="s">
        <v>2065</v>
      </c>
      <c r="N1176" s="89" t="s">
        <v>2067</v>
      </c>
      <c r="O1176" s="92">
        <v>8564465.0</v>
      </c>
      <c r="P1176" s="92">
        <v>8696424.0</v>
      </c>
      <c r="Q1176" s="89" t="s">
        <v>838</v>
      </c>
      <c r="AF1176" s="1"/>
      <c r="AG1176" s="1"/>
    </row>
    <row r="1177" ht="15.75" customHeight="1">
      <c r="A1177" s="1"/>
      <c r="B1177" s="1"/>
      <c r="C1177" s="1"/>
      <c r="D1177" s="1"/>
      <c r="E1177" s="1"/>
      <c r="F1177" s="1"/>
      <c r="G1177" s="1"/>
      <c r="H1177" s="1"/>
      <c r="I1177" s="1"/>
      <c r="J1177" s="1"/>
      <c r="K1177" s="89" t="s">
        <v>2068</v>
      </c>
      <c r="L1177" s="89" t="str">
        <f>D46</f>
        <v>C1a2</v>
      </c>
      <c r="M1177" s="89" t="s">
        <v>2069</v>
      </c>
      <c r="N1177" s="89" t="s">
        <v>2070</v>
      </c>
      <c r="O1177" s="92">
        <v>8646282.0</v>
      </c>
      <c r="P1177" s="92">
        <v>8778241.0</v>
      </c>
      <c r="Q1177" s="89" t="s">
        <v>864</v>
      </c>
      <c r="AF1177" s="1"/>
      <c r="AG1177" s="1"/>
    </row>
    <row r="1178" ht="15.75" customHeight="1">
      <c r="A1178" s="1"/>
      <c r="B1178" s="1"/>
      <c r="C1178" s="1"/>
      <c r="D1178" s="1"/>
      <c r="E1178" s="1"/>
      <c r="F1178" s="1"/>
      <c r="G1178" s="1"/>
      <c r="H1178" s="1"/>
      <c r="I1178" s="1"/>
      <c r="J1178" s="1"/>
      <c r="K1178" s="89" t="s">
        <v>2069</v>
      </c>
      <c r="L1178" s="89" t="str">
        <f>D46</f>
        <v>C1a2</v>
      </c>
      <c r="M1178" s="89" t="s">
        <v>2068</v>
      </c>
      <c r="N1178" s="89" t="s">
        <v>2070</v>
      </c>
      <c r="O1178" s="92">
        <v>8646282.0</v>
      </c>
      <c r="P1178" s="92">
        <v>8778241.0</v>
      </c>
      <c r="Q1178" s="89" t="s">
        <v>864</v>
      </c>
      <c r="AF1178" s="1"/>
      <c r="AG1178" s="1"/>
    </row>
    <row r="1179" ht="15.75" customHeight="1">
      <c r="A1179" s="1"/>
      <c r="B1179" s="1"/>
      <c r="C1179" s="1"/>
      <c r="D1179" s="1"/>
      <c r="E1179" s="1"/>
      <c r="F1179" s="1"/>
      <c r="G1179" s="1"/>
      <c r="H1179" s="1"/>
      <c r="I1179" s="1"/>
      <c r="J1179" s="1"/>
      <c r="K1179" s="89" t="s">
        <v>2071</v>
      </c>
      <c r="L1179" s="89" t="str">
        <f>D46</f>
        <v>C1a2</v>
      </c>
      <c r="M1179" s="89" t="s">
        <v>2072</v>
      </c>
      <c r="N1179" s="89" t="s">
        <v>2073</v>
      </c>
      <c r="O1179" s="92">
        <v>8647711.0</v>
      </c>
      <c r="P1179" s="92">
        <v>8779670.0</v>
      </c>
      <c r="Q1179" s="89" t="s">
        <v>838</v>
      </c>
      <c r="AF1179" s="1"/>
      <c r="AG1179" s="1"/>
    </row>
    <row r="1180" ht="15.75" customHeight="1">
      <c r="A1180" s="1"/>
      <c r="B1180" s="1"/>
      <c r="C1180" s="1"/>
      <c r="D1180" s="1"/>
      <c r="E1180" s="1"/>
      <c r="F1180" s="1"/>
      <c r="G1180" s="1"/>
      <c r="H1180" s="1"/>
      <c r="I1180" s="1"/>
      <c r="J1180" s="1"/>
      <c r="K1180" s="89" t="s">
        <v>2072</v>
      </c>
      <c r="L1180" s="89" t="str">
        <f>D46</f>
        <v>C1a2</v>
      </c>
      <c r="M1180" s="89" t="s">
        <v>2071</v>
      </c>
      <c r="N1180" s="89" t="s">
        <v>2073</v>
      </c>
      <c r="O1180" s="92">
        <v>8647711.0</v>
      </c>
      <c r="P1180" s="92">
        <v>8779670.0</v>
      </c>
      <c r="Q1180" s="89" t="s">
        <v>838</v>
      </c>
      <c r="AF1180" s="1"/>
      <c r="AG1180" s="1"/>
    </row>
    <row r="1181" ht="15.75" customHeight="1">
      <c r="A1181" s="1"/>
      <c r="B1181" s="1"/>
      <c r="C1181" s="1"/>
      <c r="D1181" s="1"/>
      <c r="E1181" s="1"/>
      <c r="F1181" s="1"/>
      <c r="G1181" s="1"/>
      <c r="H1181" s="1"/>
      <c r="I1181" s="1"/>
      <c r="J1181" s="1"/>
      <c r="K1181" s="89" t="s">
        <v>2074</v>
      </c>
      <c r="L1181" s="89" t="str">
        <f>D46</f>
        <v>C1a2</v>
      </c>
      <c r="M1181" s="89" t="s">
        <v>2075</v>
      </c>
      <c r="N1181" s="89" t="s">
        <v>2076</v>
      </c>
      <c r="O1181" s="92">
        <v>1.4774539E7</v>
      </c>
      <c r="P1181" s="92">
        <v>1.2662608E7</v>
      </c>
      <c r="Q1181" s="89" t="s">
        <v>838</v>
      </c>
      <c r="AF1181" s="1"/>
      <c r="AG1181" s="1"/>
    </row>
    <row r="1182" ht="15.75" customHeight="1">
      <c r="A1182" s="1"/>
      <c r="B1182" s="1"/>
      <c r="C1182" s="1"/>
      <c r="D1182" s="1"/>
      <c r="E1182" s="1"/>
      <c r="F1182" s="1"/>
      <c r="G1182" s="1"/>
      <c r="H1182" s="1"/>
      <c r="I1182" s="1"/>
      <c r="J1182" s="1"/>
      <c r="K1182" s="89" t="s">
        <v>2075</v>
      </c>
      <c r="L1182" s="89" t="str">
        <f>D46</f>
        <v>C1a2</v>
      </c>
      <c r="M1182" s="89" t="s">
        <v>2074</v>
      </c>
      <c r="N1182" s="89" t="s">
        <v>2076</v>
      </c>
      <c r="O1182" s="92">
        <v>1.4774539E7</v>
      </c>
      <c r="P1182" s="92">
        <v>1.2662608E7</v>
      </c>
      <c r="Q1182" s="89" t="s">
        <v>838</v>
      </c>
      <c r="AF1182" s="1"/>
      <c r="AG1182" s="1"/>
    </row>
    <row r="1183" ht="15.75" customHeight="1">
      <c r="A1183" s="1"/>
      <c r="B1183" s="1"/>
      <c r="C1183" s="1"/>
      <c r="D1183" s="1"/>
      <c r="E1183" s="1"/>
      <c r="F1183" s="1"/>
      <c r="G1183" s="1"/>
      <c r="H1183" s="1"/>
      <c r="I1183" s="1"/>
      <c r="J1183" s="1"/>
      <c r="K1183" s="89" t="s">
        <v>2077</v>
      </c>
      <c r="L1183" s="89" t="str">
        <f>D46</f>
        <v>C1a2</v>
      </c>
      <c r="M1183" s="89" t="s">
        <v>2078</v>
      </c>
      <c r="N1183" s="89" t="s">
        <v>2079</v>
      </c>
      <c r="O1183" s="92">
        <v>1.4820317E7</v>
      </c>
      <c r="P1183" s="92">
        <v>1.2708384E7</v>
      </c>
      <c r="Q1183" s="89" t="s">
        <v>822</v>
      </c>
      <c r="AF1183" s="1"/>
      <c r="AG1183" s="1"/>
    </row>
    <row r="1184" ht="15.75" customHeight="1">
      <c r="A1184" s="1"/>
      <c r="B1184" s="1"/>
      <c r="C1184" s="1"/>
      <c r="D1184" s="1"/>
      <c r="E1184" s="1"/>
      <c r="F1184" s="1"/>
      <c r="G1184" s="1"/>
      <c r="H1184" s="1"/>
      <c r="I1184" s="1"/>
      <c r="J1184" s="1"/>
      <c r="K1184" s="89" t="s">
        <v>2078</v>
      </c>
      <c r="L1184" s="89" t="str">
        <f>D46</f>
        <v>C1a2</v>
      </c>
      <c r="M1184" s="89" t="s">
        <v>2077</v>
      </c>
      <c r="N1184" s="89" t="s">
        <v>2079</v>
      </c>
      <c r="O1184" s="92">
        <v>1.4820317E7</v>
      </c>
      <c r="P1184" s="92">
        <v>1.2708384E7</v>
      </c>
      <c r="Q1184" s="89" t="s">
        <v>822</v>
      </c>
      <c r="AF1184" s="1"/>
      <c r="AG1184" s="1"/>
    </row>
    <row r="1185" ht="15.75" customHeight="1">
      <c r="A1185" s="1"/>
      <c r="B1185" s="1"/>
      <c r="C1185" s="1"/>
      <c r="D1185" s="1"/>
      <c r="E1185" s="1"/>
      <c r="F1185" s="1"/>
      <c r="G1185" s="1"/>
      <c r="H1185" s="1"/>
      <c r="I1185" s="1"/>
      <c r="J1185" s="1"/>
      <c r="K1185" s="89" t="s">
        <v>2080</v>
      </c>
      <c r="L1185" s="89" t="str">
        <f>D46</f>
        <v>C1a2</v>
      </c>
      <c r="M1185" s="89" t="s">
        <v>2081</v>
      </c>
      <c r="N1185" s="89" t="s">
        <v>2082</v>
      </c>
      <c r="O1185" s="92">
        <v>1.4971974E7</v>
      </c>
      <c r="P1185" s="92">
        <v>1.2860049E7</v>
      </c>
      <c r="Q1185" s="89" t="s">
        <v>838</v>
      </c>
      <c r="AF1185" s="1"/>
      <c r="AG1185" s="1"/>
    </row>
    <row r="1186" ht="15.75" customHeight="1">
      <c r="A1186" s="1"/>
      <c r="B1186" s="1"/>
      <c r="C1186" s="1"/>
      <c r="D1186" s="1"/>
      <c r="E1186" s="1"/>
      <c r="F1186" s="1"/>
      <c r="G1186" s="1"/>
      <c r="H1186" s="1"/>
      <c r="I1186" s="1"/>
      <c r="J1186" s="1"/>
      <c r="K1186" s="89" t="s">
        <v>2081</v>
      </c>
      <c r="L1186" s="89" t="str">
        <f>D46</f>
        <v>C1a2</v>
      </c>
      <c r="M1186" s="89" t="s">
        <v>2080</v>
      </c>
      <c r="N1186" s="89" t="s">
        <v>2082</v>
      </c>
      <c r="O1186" s="92">
        <v>1.4971974E7</v>
      </c>
      <c r="P1186" s="92">
        <v>1.2860049E7</v>
      </c>
      <c r="Q1186" s="89" t="s">
        <v>838</v>
      </c>
      <c r="AF1186" s="1"/>
      <c r="AG1186" s="1"/>
    </row>
    <row r="1187" ht="15.75" customHeight="1">
      <c r="A1187" s="1"/>
      <c r="B1187" s="1"/>
      <c r="C1187" s="1"/>
      <c r="D1187" s="1"/>
      <c r="E1187" s="1"/>
      <c r="F1187" s="1"/>
      <c r="G1187" s="1"/>
      <c r="H1187" s="1"/>
      <c r="I1187" s="1"/>
      <c r="J1187" s="1"/>
      <c r="K1187" s="89" t="s">
        <v>2083</v>
      </c>
      <c r="L1187" s="89" t="str">
        <f>D46</f>
        <v>C1a2</v>
      </c>
      <c r="M1187" s="89" t="s">
        <v>2084</v>
      </c>
      <c r="N1187" s="89" t="s">
        <v>2085</v>
      </c>
      <c r="O1187" s="92">
        <v>1.5831202E7</v>
      </c>
      <c r="P1187" s="92">
        <v>1.3719322E7</v>
      </c>
      <c r="Q1187" s="89" t="s">
        <v>802</v>
      </c>
      <c r="AF1187" s="1"/>
      <c r="AG1187" s="1"/>
    </row>
    <row r="1188" ht="15.75" customHeight="1">
      <c r="A1188" s="1"/>
      <c r="B1188" s="1"/>
      <c r="C1188" s="1"/>
      <c r="D1188" s="1"/>
      <c r="E1188" s="1"/>
      <c r="F1188" s="1"/>
      <c r="G1188" s="1"/>
      <c r="H1188" s="1"/>
      <c r="I1188" s="1"/>
      <c r="J1188" s="1"/>
      <c r="K1188" s="89" t="s">
        <v>2084</v>
      </c>
      <c r="L1188" s="89" t="str">
        <f>D46</f>
        <v>C1a2</v>
      </c>
      <c r="M1188" s="89" t="s">
        <v>2083</v>
      </c>
      <c r="N1188" s="89" t="s">
        <v>2085</v>
      </c>
      <c r="O1188" s="92">
        <v>1.5831202E7</v>
      </c>
      <c r="P1188" s="92">
        <v>1.3719322E7</v>
      </c>
      <c r="Q1188" s="89" t="s">
        <v>802</v>
      </c>
      <c r="AF1188" s="1"/>
      <c r="AG1188" s="1"/>
    </row>
    <row r="1189" ht="15.75" customHeight="1">
      <c r="A1189" s="1"/>
      <c r="B1189" s="1"/>
      <c r="C1189" s="1"/>
      <c r="D1189" s="1"/>
      <c r="E1189" s="1"/>
      <c r="F1189" s="1"/>
      <c r="G1189" s="1"/>
      <c r="H1189" s="1"/>
      <c r="I1189" s="1"/>
      <c r="J1189" s="1"/>
      <c r="K1189" s="89" t="s">
        <v>2086</v>
      </c>
      <c r="L1189" s="89" t="str">
        <f>D46</f>
        <v>C1a2</v>
      </c>
      <c r="M1189" s="89" t="s">
        <v>2087</v>
      </c>
      <c r="N1189" s="89" t="s">
        <v>2088</v>
      </c>
      <c r="O1189" s="92">
        <v>1.585236E7</v>
      </c>
      <c r="P1189" s="92">
        <v>1.374048E7</v>
      </c>
      <c r="Q1189" s="89" t="s">
        <v>822</v>
      </c>
      <c r="AF1189" s="1"/>
      <c r="AG1189" s="1"/>
    </row>
    <row r="1190" ht="15.75" customHeight="1">
      <c r="A1190" s="1"/>
      <c r="B1190" s="1"/>
      <c r="C1190" s="1"/>
      <c r="D1190" s="1"/>
      <c r="E1190" s="1"/>
      <c r="F1190" s="1"/>
      <c r="G1190" s="1"/>
      <c r="H1190" s="1"/>
      <c r="I1190" s="1"/>
      <c r="J1190" s="1"/>
      <c r="K1190" s="89" t="s">
        <v>2087</v>
      </c>
      <c r="L1190" s="89" t="str">
        <f>D46</f>
        <v>C1a2</v>
      </c>
      <c r="M1190" s="89" t="s">
        <v>2086</v>
      </c>
      <c r="N1190" s="89" t="s">
        <v>2088</v>
      </c>
      <c r="O1190" s="92">
        <v>1.585236E7</v>
      </c>
      <c r="P1190" s="92">
        <v>1.374048E7</v>
      </c>
      <c r="Q1190" s="89" t="s">
        <v>822</v>
      </c>
      <c r="AF1190" s="1"/>
      <c r="AG1190" s="1"/>
    </row>
    <row r="1191" ht="15.75" customHeight="1">
      <c r="A1191" s="1"/>
      <c r="B1191" s="1"/>
      <c r="C1191" s="1"/>
      <c r="D1191" s="1"/>
      <c r="E1191" s="1"/>
      <c r="F1191" s="1"/>
      <c r="G1191" s="1"/>
      <c r="H1191" s="1"/>
      <c r="I1191" s="1"/>
      <c r="J1191" s="1"/>
      <c r="K1191" s="89" t="s">
        <v>2089</v>
      </c>
      <c r="L1191" s="89" t="str">
        <f>D46</f>
        <v>C1a2</v>
      </c>
      <c r="M1191" s="89" t="s">
        <v>2090</v>
      </c>
      <c r="N1191" s="89" t="s">
        <v>2091</v>
      </c>
      <c r="O1191" s="92">
        <v>1.5933881E7</v>
      </c>
      <c r="P1191" s="92">
        <v>1.3822001E7</v>
      </c>
      <c r="Q1191" s="89" t="s">
        <v>917</v>
      </c>
      <c r="AF1191" s="1"/>
      <c r="AG1191" s="1"/>
    </row>
    <row r="1192" ht="15.75" customHeight="1">
      <c r="A1192" s="1"/>
      <c r="B1192" s="1"/>
      <c r="C1192" s="1"/>
      <c r="D1192" s="1"/>
      <c r="E1192" s="1"/>
      <c r="F1192" s="1"/>
      <c r="G1192" s="1"/>
      <c r="H1192" s="1"/>
      <c r="I1192" s="1"/>
      <c r="J1192" s="1"/>
      <c r="K1192" s="89" t="s">
        <v>2090</v>
      </c>
      <c r="L1192" s="89" t="str">
        <f>D46</f>
        <v>C1a2</v>
      </c>
      <c r="M1192" s="89" t="s">
        <v>2089</v>
      </c>
      <c r="N1192" s="89" t="s">
        <v>2091</v>
      </c>
      <c r="O1192" s="92">
        <v>1.5933881E7</v>
      </c>
      <c r="P1192" s="92">
        <v>1.3822001E7</v>
      </c>
      <c r="Q1192" s="89" t="s">
        <v>917</v>
      </c>
      <c r="AF1192" s="1"/>
      <c r="AG1192" s="1"/>
    </row>
    <row r="1193" ht="15.75" customHeight="1">
      <c r="A1193" s="1"/>
      <c r="B1193" s="1"/>
      <c r="C1193" s="1"/>
      <c r="D1193" s="1"/>
      <c r="E1193" s="1"/>
      <c r="F1193" s="1"/>
      <c r="G1193" s="1"/>
      <c r="H1193" s="1"/>
      <c r="I1193" s="1"/>
      <c r="J1193" s="1"/>
      <c r="K1193" s="89" t="s">
        <v>2092</v>
      </c>
      <c r="L1193" s="89" t="str">
        <f>D46</f>
        <v>C1a2</v>
      </c>
      <c r="M1193" s="89" t="s">
        <v>2093</v>
      </c>
      <c r="N1193" s="89" t="s">
        <v>2094</v>
      </c>
      <c r="O1193" s="92">
        <v>1.8576889E7</v>
      </c>
      <c r="P1193" s="92">
        <v>1.6465009E7</v>
      </c>
      <c r="Q1193" s="89" t="s">
        <v>810</v>
      </c>
      <c r="AF1193" s="1"/>
      <c r="AG1193" s="1"/>
    </row>
    <row r="1194" ht="15.75" customHeight="1">
      <c r="A1194" s="1"/>
      <c r="B1194" s="1"/>
      <c r="C1194" s="1"/>
      <c r="D1194" s="1"/>
      <c r="E1194" s="1"/>
      <c r="F1194" s="1"/>
      <c r="G1194" s="1"/>
      <c r="H1194" s="1"/>
      <c r="I1194" s="1"/>
      <c r="J1194" s="1"/>
      <c r="K1194" s="89" t="s">
        <v>2093</v>
      </c>
      <c r="L1194" s="89" t="str">
        <f>D46</f>
        <v>C1a2</v>
      </c>
      <c r="M1194" s="89" t="s">
        <v>2092</v>
      </c>
      <c r="N1194" s="89" t="s">
        <v>2094</v>
      </c>
      <c r="O1194" s="92">
        <v>1.8576889E7</v>
      </c>
      <c r="P1194" s="92">
        <v>1.6465009E7</v>
      </c>
      <c r="Q1194" s="89" t="s">
        <v>810</v>
      </c>
      <c r="AF1194" s="1"/>
      <c r="AG1194" s="1"/>
    </row>
    <row r="1195" ht="15.75" customHeight="1">
      <c r="A1195" s="1"/>
      <c r="B1195" s="1"/>
      <c r="C1195" s="1"/>
      <c r="D1195" s="1"/>
      <c r="E1195" s="1"/>
      <c r="F1195" s="1"/>
      <c r="G1195" s="1"/>
      <c r="H1195" s="1"/>
      <c r="I1195" s="1"/>
      <c r="J1195" s="1"/>
      <c r="K1195" s="89" t="s">
        <v>2095</v>
      </c>
      <c r="L1195" s="89" t="str">
        <f>D46</f>
        <v>C1a2</v>
      </c>
      <c r="M1195" s="89" t="s">
        <v>2096</v>
      </c>
      <c r="N1195" s="89" t="s">
        <v>2097</v>
      </c>
      <c r="O1195" s="92">
        <v>1.8679308E7</v>
      </c>
      <c r="P1195" s="92">
        <v>1.6567428E7</v>
      </c>
      <c r="Q1195" s="89" t="s">
        <v>879</v>
      </c>
      <c r="AF1195" s="1"/>
      <c r="AG1195" s="1"/>
    </row>
    <row r="1196" ht="15.75" customHeight="1">
      <c r="A1196" s="1"/>
      <c r="B1196" s="1"/>
      <c r="C1196" s="1"/>
      <c r="D1196" s="1"/>
      <c r="E1196" s="1"/>
      <c r="F1196" s="1"/>
      <c r="G1196" s="1"/>
      <c r="H1196" s="1"/>
      <c r="I1196" s="1"/>
      <c r="J1196" s="1"/>
      <c r="K1196" s="89" t="s">
        <v>2096</v>
      </c>
      <c r="L1196" s="89" t="str">
        <f>D46</f>
        <v>C1a2</v>
      </c>
      <c r="M1196" s="89" t="s">
        <v>2095</v>
      </c>
      <c r="N1196" s="89" t="s">
        <v>2097</v>
      </c>
      <c r="O1196" s="92">
        <v>1.8679308E7</v>
      </c>
      <c r="P1196" s="92">
        <v>1.6567428E7</v>
      </c>
      <c r="Q1196" s="89" t="s">
        <v>879</v>
      </c>
      <c r="AF1196" s="1"/>
      <c r="AG1196" s="1"/>
    </row>
    <row r="1197" ht="15.75" customHeight="1">
      <c r="A1197" s="1"/>
      <c r="B1197" s="1"/>
      <c r="C1197" s="1"/>
      <c r="D1197" s="1"/>
      <c r="E1197" s="1"/>
      <c r="F1197" s="1"/>
      <c r="G1197" s="1"/>
      <c r="H1197" s="1"/>
      <c r="I1197" s="1"/>
      <c r="J1197" s="1"/>
      <c r="K1197" s="89" t="s">
        <v>2098</v>
      </c>
      <c r="L1197" s="89" t="str">
        <f>D46</f>
        <v>C1a2</v>
      </c>
      <c r="M1197" s="89" t="s">
        <v>2099</v>
      </c>
      <c r="N1197" s="89" t="s">
        <v>2100</v>
      </c>
      <c r="O1197" s="92">
        <v>1.9024253E7</v>
      </c>
      <c r="P1197" s="92">
        <v>1.6912373E7</v>
      </c>
      <c r="Q1197" s="89" t="s">
        <v>810</v>
      </c>
      <c r="AF1197" s="1"/>
      <c r="AG1197" s="1"/>
    </row>
    <row r="1198" ht="15.75" customHeight="1">
      <c r="A1198" s="1"/>
      <c r="B1198" s="1"/>
      <c r="C1198" s="1"/>
      <c r="D1198" s="1"/>
      <c r="E1198" s="1"/>
      <c r="F1198" s="1"/>
      <c r="G1198" s="1"/>
      <c r="H1198" s="1"/>
      <c r="I1198" s="1"/>
      <c r="J1198" s="1"/>
      <c r="K1198" s="89" t="s">
        <v>2099</v>
      </c>
      <c r="L1198" s="89" t="str">
        <f>D46</f>
        <v>C1a2</v>
      </c>
      <c r="M1198" s="89" t="s">
        <v>2098</v>
      </c>
      <c r="N1198" s="89" t="s">
        <v>2100</v>
      </c>
      <c r="O1198" s="92">
        <v>1.9024253E7</v>
      </c>
      <c r="P1198" s="92">
        <v>1.6912373E7</v>
      </c>
      <c r="Q1198" s="89" t="s">
        <v>810</v>
      </c>
      <c r="AF1198" s="1"/>
      <c r="AG1198" s="1"/>
    </row>
    <row r="1199" ht="15.75" customHeight="1">
      <c r="A1199" s="1"/>
      <c r="B1199" s="1"/>
      <c r="C1199" s="1"/>
      <c r="D1199" s="1"/>
      <c r="E1199" s="1"/>
      <c r="F1199" s="1"/>
      <c r="G1199" s="1"/>
      <c r="H1199" s="1"/>
      <c r="I1199" s="1"/>
      <c r="J1199" s="1"/>
      <c r="K1199" s="89" t="s">
        <v>2101</v>
      </c>
      <c r="L1199" s="89" t="str">
        <f>D46</f>
        <v>C1a2</v>
      </c>
      <c r="M1199" s="89" t="s">
        <v>2102</v>
      </c>
      <c r="N1199" s="89" t="s">
        <v>2103</v>
      </c>
      <c r="O1199" s="92">
        <v>1.9035347E7</v>
      </c>
      <c r="P1199" s="92">
        <v>1.6923467E7</v>
      </c>
      <c r="Q1199" s="89" t="s">
        <v>810</v>
      </c>
      <c r="AF1199" s="1"/>
      <c r="AG1199" s="1"/>
    </row>
    <row r="1200" ht="15.75" customHeight="1">
      <c r="A1200" s="1"/>
      <c r="B1200" s="1"/>
      <c r="C1200" s="1"/>
      <c r="D1200" s="1"/>
      <c r="E1200" s="1"/>
      <c r="F1200" s="1"/>
      <c r="G1200" s="1"/>
      <c r="H1200" s="1"/>
      <c r="I1200" s="1"/>
      <c r="J1200" s="1"/>
      <c r="K1200" s="89" t="s">
        <v>2102</v>
      </c>
      <c r="L1200" s="89" t="str">
        <f>D46</f>
        <v>C1a2</v>
      </c>
      <c r="M1200" s="89" t="s">
        <v>2101</v>
      </c>
      <c r="N1200" s="89" t="s">
        <v>2103</v>
      </c>
      <c r="O1200" s="92">
        <v>1.9035347E7</v>
      </c>
      <c r="P1200" s="92">
        <v>1.6923467E7</v>
      </c>
      <c r="Q1200" s="89" t="s">
        <v>810</v>
      </c>
      <c r="AF1200" s="1"/>
      <c r="AG1200" s="1"/>
    </row>
    <row r="1201" ht="15.75" customHeight="1">
      <c r="A1201" s="1"/>
      <c r="B1201" s="1"/>
      <c r="C1201" s="1"/>
      <c r="D1201" s="1"/>
      <c r="E1201" s="1"/>
      <c r="F1201" s="1"/>
      <c r="G1201" s="1"/>
      <c r="H1201" s="1"/>
      <c r="I1201" s="1"/>
      <c r="J1201" s="1"/>
      <c r="K1201" s="89" t="s">
        <v>2104</v>
      </c>
      <c r="L1201" s="89" t="str">
        <f>D46</f>
        <v>C1a2</v>
      </c>
      <c r="M1201" s="89" t="s">
        <v>2105</v>
      </c>
      <c r="N1201" s="89" t="s">
        <v>2106</v>
      </c>
      <c r="O1201" s="92">
        <v>1.9108008E7</v>
      </c>
      <c r="P1201" s="92">
        <v>1.6996128E7</v>
      </c>
      <c r="Q1201" s="89" t="s">
        <v>810</v>
      </c>
      <c r="AF1201" s="1"/>
      <c r="AG1201" s="1"/>
    </row>
    <row r="1202" ht="15.75" customHeight="1">
      <c r="A1202" s="1"/>
      <c r="B1202" s="1"/>
      <c r="C1202" s="1"/>
      <c r="D1202" s="1"/>
      <c r="E1202" s="1"/>
      <c r="F1202" s="1"/>
      <c r="G1202" s="1"/>
      <c r="H1202" s="1"/>
      <c r="I1202" s="1"/>
      <c r="J1202" s="1"/>
      <c r="K1202" s="89" t="s">
        <v>2105</v>
      </c>
      <c r="L1202" s="89" t="str">
        <f>D46</f>
        <v>C1a2</v>
      </c>
      <c r="M1202" s="89" t="s">
        <v>2104</v>
      </c>
      <c r="N1202" s="89" t="s">
        <v>2106</v>
      </c>
      <c r="O1202" s="92">
        <v>1.9108008E7</v>
      </c>
      <c r="P1202" s="92">
        <v>1.6996128E7</v>
      </c>
      <c r="Q1202" s="89" t="s">
        <v>810</v>
      </c>
      <c r="AF1202" s="1"/>
      <c r="AG1202" s="1"/>
    </row>
    <row r="1203" ht="15.75" customHeight="1">
      <c r="A1203" s="1"/>
      <c r="B1203" s="1"/>
      <c r="C1203" s="1"/>
      <c r="D1203" s="1"/>
      <c r="E1203" s="1"/>
      <c r="F1203" s="1"/>
      <c r="G1203" s="1"/>
      <c r="H1203" s="1"/>
      <c r="I1203" s="1"/>
      <c r="J1203" s="1"/>
      <c r="K1203" s="89" t="s">
        <v>2107</v>
      </c>
      <c r="L1203" s="89" t="str">
        <f>D46</f>
        <v>C1a2</v>
      </c>
      <c r="M1203" s="89" t="s">
        <v>2108</v>
      </c>
      <c r="N1203" s="89"/>
      <c r="O1203" s="92">
        <v>7294376.0</v>
      </c>
      <c r="P1203" s="92">
        <v>7426335.0</v>
      </c>
      <c r="Q1203" s="89" t="s">
        <v>845</v>
      </c>
      <c r="AF1203" s="1"/>
      <c r="AG1203" s="1"/>
    </row>
    <row r="1204" ht="15.75" customHeight="1">
      <c r="A1204" s="1"/>
      <c r="B1204" s="1"/>
      <c r="C1204" s="1"/>
      <c r="D1204" s="1"/>
      <c r="E1204" s="1"/>
      <c r="F1204" s="1"/>
      <c r="G1204" s="1"/>
      <c r="H1204" s="1"/>
      <c r="I1204" s="1"/>
      <c r="J1204" s="1"/>
      <c r="K1204" s="89" t="s">
        <v>2108</v>
      </c>
      <c r="L1204" s="89" t="str">
        <f>D46</f>
        <v>C1a2</v>
      </c>
      <c r="M1204" s="89" t="s">
        <v>2107</v>
      </c>
      <c r="N1204" s="89"/>
      <c r="O1204" s="92">
        <v>7294376.0</v>
      </c>
      <c r="P1204" s="92">
        <v>7426335.0</v>
      </c>
      <c r="Q1204" s="89" t="s">
        <v>845</v>
      </c>
      <c r="AF1204" s="1"/>
      <c r="AG1204" s="1"/>
    </row>
    <row r="1205" ht="15.75" customHeight="1">
      <c r="A1205" s="1"/>
      <c r="B1205" s="1"/>
      <c r="C1205" s="1"/>
      <c r="D1205" s="1"/>
      <c r="E1205" s="1"/>
      <c r="F1205" s="1"/>
      <c r="G1205" s="1"/>
      <c r="H1205" s="1"/>
      <c r="I1205" s="1"/>
      <c r="J1205" s="1"/>
      <c r="K1205" s="89" t="s">
        <v>2109</v>
      </c>
      <c r="L1205" s="89" t="str">
        <f>D46</f>
        <v>C1a2</v>
      </c>
      <c r="M1205" s="89" t="s">
        <v>2110</v>
      </c>
      <c r="N1205" s="89"/>
      <c r="O1205" s="92">
        <v>7821551.0</v>
      </c>
      <c r="P1205" s="92">
        <v>7953510.0</v>
      </c>
      <c r="Q1205" s="89" t="s">
        <v>912</v>
      </c>
      <c r="AF1205" s="1"/>
      <c r="AG1205" s="1"/>
    </row>
    <row r="1206" ht="15.75" customHeight="1">
      <c r="A1206" s="1"/>
      <c r="B1206" s="1"/>
      <c r="C1206" s="1"/>
      <c r="D1206" s="1"/>
      <c r="E1206" s="1"/>
      <c r="F1206" s="1"/>
      <c r="G1206" s="1"/>
      <c r="H1206" s="1"/>
      <c r="I1206" s="1"/>
      <c r="J1206" s="1"/>
      <c r="K1206" s="89" t="s">
        <v>2110</v>
      </c>
      <c r="L1206" s="89" t="str">
        <f>D46</f>
        <v>C1a2</v>
      </c>
      <c r="M1206" s="89" t="s">
        <v>2109</v>
      </c>
      <c r="N1206" s="89"/>
      <c r="O1206" s="92">
        <v>7821551.0</v>
      </c>
      <c r="P1206" s="92">
        <v>7953510.0</v>
      </c>
      <c r="Q1206" s="89" t="s">
        <v>912</v>
      </c>
      <c r="AF1206" s="1"/>
      <c r="AG1206" s="1"/>
    </row>
    <row r="1207" ht="15.75" customHeight="1">
      <c r="A1207" s="1"/>
      <c r="B1207" s="1"/>
      <c r="C1207" s="1"/>
      <c r="D1207" s="1"/>
      <c r="E1207" s="1"/>
      <c r="F1207" s="1"/>
      <c r="G1207" s="1"/>
      <c r="H1207" s="1"/>
      <c r="I1207" s="1"/>
      <c r="J1207" s="1"/>
      <c r="K1207" s="89" t="s">
        <v>2111</v>
      </c>
      <c r="L1207" s="89" t="str">
        <f>D46</f>
        <v>C1a2</v>
      </c>
      <c r="M1207" s="89" t="s">
        <v>2112</v>
      </c>
      <c r="N1207" s="89"/>
      <c r="O1207" s="92">
        <v>8225630.0</v>
      </c>
      <c r="P1207" s="92">
        <v>8357589.0</v>
      </c>
      <c r="Q1207" s="89" t="s">
        <v>879</v>
      </c>
      <c r="AF1207" s="1"/>
      <c r="AG1207" s="1"/>
    </row>
    <row r="1208" ht="15.75" customHeight="1">
      <c r="A1208" s="1"/>
      <c r="B1208" s="1"/>
      <c r="C1208" s="1"/>
      <c r="D1208" s="1"/>
      <c r="E1208" s="1"/>
      <c r="F1208" s="1"/>
      <c r="G1208" s="1"/>
      <c r="H1208" s="1"/>
      <c r="I1208" s="1"/>
      <c r="J1208" s="1"/>
      <c r="K1208" s="89" t="s">
        <v>2112</v>
      </c>
      <c r="L1208" s="89" t="str">
        <f>D46</f>
        <v>C1a2</v>
      </c>
      <c r="M1208" s="89" t="s">
        <v>2111</v>
      </c>
      <c r="N1208" s="89"/>
      <c r="O1208" s="92">
        <v>8225630.0</v>
      </c>
      <c r="P1208" s="92">
        <v>8357589.0</v>
      </c>
      <c r="Q1208" s="89" t="s">
        <v>879</v>
      </c>
      <c r="AF1208" s="1"/>
      <c r="AG1208" s="1"/>
    </row>
    <row r="1209" ht="15.75" customHeight="1">
      <c r="A1209" s="1"/>
      <c r="B1209" s="1"/>
      <c r="C1209" s="1"/>
      <c r="D1209" s="1"/>
      <c r="E1209" s="1"/>
      <c r="F1209" s="1"/>
      <c r="G1209" s="1"/>
      <c r="H1209" s="1"/>
      <c r="I1209" s="1"/>
      <c r="J1209" s="1"/>
      <c r="K1209" s="89" t="s">
        <v>2113</v>
      </c>
      <c r="L1209" s="89" t="str">
        <f>D46</f>
        <v>C1a2</v>
      </c>
      <c r="M1209" s="89" t="s">
        <v>2114</v>
      </c>
      <c r="N1209" s="89"/>
      <c r="O1209" s="92">
        <v>1.4210038E7</v>
      </c>
      <c r="P1209" s="92">
        <v>1.2089332E7</v>
      </c>
      <c r="Q1209" s="89" t="s">
        <v>822</v>
      </c>
      <c r="AF1209" s="1"/>
      <c r="AG1209" s="1"/>
    </row>
    <row r="1210" ht="15.75" customHeight="1">
      <c r="A1210" s="1"/>
      <c r="B1210" s="1"/>
      <c r="C1210" s="1"/>
      <c r="D1210" s="1"/>
      <c r="E1210" s="1"/>
      <c r="F1210" s="1"/>
      <c r="G1210" s="1"/>
      <c r="H1210" s="1"/>
      <c r="I1210" s="1"/>
      <c r="J1210" s="1"/>
      <c r="K1210" s="89" t="s">
        <v>2114</v>
      </c>
      <c r="L1210" s="89" t="str">
        <f>D46</f>
        <v>C1a2</v>
      </c>
      <c r="M1210" s="89" t="s">
        <v>2113</v>
      </c>
      <c r="N1210" s="89"/>
      <c r="O1210" s="92">
        <v>1.4210038E7</v>
      </c>
      <c r="P1210" s="92">
        <v>1.2089332E7</v>
      </c>
      <c r="Q1210" s="89" t="s">
        <v>822</v>
      </c>
      <c r="AF1210" s="1"/>
      <c r="AG1210" s="1"/>
    </row>
    <row r="1211" ht="15.75" customHeight="1">
      <c r="A1211" s="1"/>
      <c r="B1211" s="1"/>
      <c r="C1211" s="1"/>
      <c r="D1211" s="1"/>
      <c r="E1211" s="1"/>
      <c r="F1211" s="1"/>
      <c r="G1211" s="1"/>
      <c r="H1211" s="1"/>
      <c r="I1211" s="1"/>
      <c r="J1211" s="1"/>
      <c r="K1211" s="89" t="s">
        <v>2115</v>
      </c>
      <c r="L1211" s="89" t="str">
        <f>D46</f>
        <v>C1a2</v>
      </c>
      <c r="M1211" s="89" t="s">
        <v>2116</v>
      </c>
      <c r="N1211" s="89"/>
      <c r="O1211" s="92">
        <v>1.4400573E7</v>
      </c>
      <c r="P1211" s="92">
        <v>1.227987E7</v>
      </c>
      <c r="Q1211" s="89" t="s">
        <v>879</v>
      </c>
      <c r="AF1211" s="1"/>
      <c r="AG1211" s="1"/>
    </row>
    <row r="1212" ht="15.75" customHeight="1">
      <c r="A1212" s="1"/>
      <c r="B1212" s="1"/>
      <c r="C1212" s="1"/>
      <c r="D1212" s="1"/>
      <c r="E1212" s="1"/>
      <c r="F1212" s="1"/>
      <c r="G1212" s="1"/>
      <c r="H1212" s="1"/>
      <c r="I1212" s="1"/>
      <c r="J1212" s="1"/>
      <c r="K1212" s="89" t="s">
        <v>2116</v>
      </c>
      <c r="L1212" s="89" t="str">
        <f>D46</f>
        <v>C1a2</v>
      </c>
      <c r="M1212" s="89" t="s">
        <v>2115</v>
      </c>
      <c r="N1212" s="89"/>
      <c r="O1212" s="92">
        <v>1.4400573E7</v>
      </c>
      <c r="P1212" s="92">
        <v>1.227987E7</v>
      </c>
      <c r="Q1212" s="89" t="s">
        <v>879</v>
      </c>
      <c r="AF1212" s="1"/>
      <c r="AG1212" s="1"/>
    </row>
    <row r="1213" ht="15.75" customHeight="1">
      <c r="A1213" s="1"/>
      <c r="B1213" s="1"/>
      <c r="C1213" s="1"/>
      <c r="D1213" s="1"/>
      <c r="E1213" s="1"/>
      <c r="F1213" s="1"/>
      <c r="G1213" s="1"/>
      <c r="H1213" s="1"/>
      <c r="I1213" s="1"/>
      <c r="J1213" s="1"/>
      <c r="K1213" s="89" t="s">
        <v>2117</v>
      </c>
      <c r="L1213" s="89" t="str">
        <f>D46</f>
        <v>C1a2</v>
      </c>
      <c r="M1213" s="89" t="s">
        <v>2118</v>
      </c>
      <c r="N1213" s="89"/>
      <c r="O1213" s="92">
        <v>1.5548893E7</v>
      </c>
      <c r="P1213" s="92">
        <v>1.3437013E7</v>
      </c>
      <c r="Q1213" s="89" t="s">
        <v>810</v>
      </c>
      <c r="AF1213" s="1"/>
      <c r="AG1213" s="1"/>
    </row>
    <row r="1214" ht="15.75" customHeight="1">
      <c r="A1214" s="1"/>
      <c r="B1214" s="1"/>
      <c r="C1214" s="1"/>
      <c r="D1214" s="1"/>
      <c r="E1214" s="1"/>
      <c r="F1214" s="1"/>
      <c r="G1214" s="1"/>
      <c r="H1214" s="1"/>
      <c r="I1214" s="1"/>
      <c r="J1214" s="1"/>
      <c r="K1214" s="89" t="s">
        <v>2118</v>
      </c>
      <c r="L1214" s="89" t="str">
        <f>D46</f>
        <v>C1a2</v>
      </c>
      <c r="M1214" s="89" t="s">
        <v>2117</v>
      </c>
      <c r="N1214" s="89"/>
      <c r="O1214" s="92">
        <v>1.5548893E7</v>
      </c>
      <c r="P1214" s="92">
        <v>1.3437013E7</v>
      </c>
      <c r="Q1214" s="89" t="s">
        <v>810</v>
      </c>
      <c r="AF1214" s="1"/>
      <c r="AG1214" s="1"/>
    </row>
    <row r="1215" ht="15.75" customHeight="1">
      <c r="A1215" s="1"/>
      <c r="B1215" s="1"/>
      <c r="C1215" s="1"/>
      <c r="D1215" s="1"/>
      <c r="E1215" s="1"/>
      <c r="F1215" s="1"/>
      <c r="G1215" s="1"/>
      <c r="H1215" s="1"/>
      <c r="I1215" s="1"/>
      <c r="J1215" s="1"/>
      <c r="K1215" s="89" t="s">
        <v>2119</v>
      </c>
      <c r="L1215" s="89" t="str">
        <f>D46</f>
        <v>C1a2</v>
      </c>
      <c r="M1215" s="89" t="s">
        <v>2120</v>
      </c>
      <c r="N1215" s="89" t="s">
        <v>2121</v>
      </c>
      <c r="O1215" s="92">
        <v>1.6407534E7</v>
      </c>
      <c r="P1215" s="92">
        <v>1.4295654E7</v>
      </c>
      <c r="Q1215" s="89" t="s">
        <v>831</v>
      </c>
      <c r="AF1215" s="1"/>
      <c r="AG1215" s="1"/>
    </row>
    <row r="1216" ht="15.75" customHeight="1">
      <c r="A1216" s="1"/>
      <c r="B1216" s="1"/>
      <c r="C1216" s="1"/>
      <c r="D1216" s="1"/>
      <c r="E1216" s="1"/>
      <c r="F1216" s="1"/>
      <c r="G1216" s="1"/>
      <c r="H1216" s="1"/>
      <c r="I1216" s="1"/>
      <c r="J1216" s="1"/>
      <c r="K1216" s="89" t="s">
        <v>2120</v>
      </c>
      <c r="L1216" s="89" t="str">
        <f>D46</f>
        <v>C1a2</v>
      </c>
      <c r="M1216" s="89" t="s">
        <v>2119</v>
      </c>
      <c r="N1216" s="89" t="s">
        <v>2121</v>
      </c>
      <c r="O1216" s="92">
        <v>1.6407534E7</v>
      </c>
      <c r="P1216" s="92">
        <v>1.4295654E7</v>
      </c>
      <c r="Q1216" s="89" t="s">
        <v>831</v>
      </c>
      <c r="AF1216" s="1"/>
      <c r="AG1216" s="1"/>
    </row>
    <row r="1217" ht="15.75" customHeight="1">
      <c r="A1217" s="1"/>
      <c r="B1217" s="1"/>
      <c r="C1217" s="1"/>
      <c r="D1217" s="1"/>
      <c r="E1217" s="1"/>
      <c r="F1217" s="1"/>
      <c r="G1217" s="1"/>
      <c r="H1217" s="1"/>
      <c r="I1217" s="1"/>
      <c r="J1217" s="1"/>
      <c r="K1217" s="89" t="s">
        <v>2122</v>
      </c>
      <c r="L1217" s="89" t="str">
        <f>D46</f>
        <v>C1a2</v>
      </c>
      <c r="M1217" s="89" t="s">
        <v>2123</v>
      </c>
      <c r="N1217" s="89" t="s">
        <v>2124</v>
      </c>
      <c r="O1217" s="92">
        <v>1.6416958E7</v>
      </c>
      <c r="P1217" s="92">
        <v>1.4305078E7</v>
      </c>
      <c r="Q1217" s="89" t="s">
        <v>810</v>
      </c>
      <c r="AF1217" s="1"/>
      <c r="AG1217" s="1"/>
    </row>
    <row r="1218" ht="15.75" customHeight="1">
      <c r="A1218" s="1"/>
      <c r="B1218" s="1"/>
      <c r="C1218" s="1"/>
      <c r="D1218" s="1"/>
      <c r="E1218" s="1"/>
      <c r="F1218" s="1"/>
      <c r="G1218" s="1"/>
      <c r="H1218" s="1"/>
      <c r="I1218" s="1"/>
      <c r="J1218" s="1"/>
      <c r="K1218" s="89" t="s">
        <v>2123</v>
      </c>
      <c r="L1218" s="89" t="str">
        <f>D46</f>
        <v>C1a2</v>
      </c>
      <c r="M1218" s="89" t="s">
        <v>2122</v>
      </c>
      <c r="N1218" s="89" t="s">
        <v>2124</v>
      </c>
      <c r="O1218" s="92">
        <v>1.6416958E7</v>
      </c>
      <c r="P1218" s="92">
        <v>1.4305078E7</v>
      </c>
      <c r="Q1218" s="89" t="s">
        <v>810</v>
      </c>
      <c r="AF1218" s="1"/>
      <c r="AG1218" s="1"/>
    </row>
    <row r="1219" ht="15.75" customHeight="1">
      <c r="A1219" s="1"/>
      <c r="B1219" s="1"/>
      <c r="C1219" s="1"/>
      <c r="D1219" s="1"/>
      <c r="E1219" s="1"/>
      <c r="F1219" s="1"/>
      <c r="G1219" s="1"/>
      <c r="H1219" s="1"/>
      <c r="I1219" s="1"/>
      <c r="J1219" s="1"/>
      <c r="K1219" s="89" t="s">
        <v>2125</v>
      </c>
      <c r="L1219" s="89" t="str">
        <f>D46</f>
        <v>C1a2</v>
      </c>
      <c r="M1219" s="89" t="s">
        <v>2126</v>
      </c>
      <c r="N1219" s="89"/>
      <c r="O1219" s="92">
        <v>1.6768407E7</v>
      </c>
      <c r="P1219" s="92">
        <v>1.4656527E7</v>
      </c>
      <c r="Q1219" s="89" t="s">
        <v>802</v>
      </c>
      <c r="AF1219" s="1"/>
      <c r="AG1219" s="1"/>
    </row>
    <row r="1220" ht="15.75" customHeight="1">
      <c r="A1220" s="1"/>
      <c r="B1220" s="1"/>
      <c r="C1220" s="1"/>
      <c r="D1220" s="1"/>
      <c r="E1220" s="1"/>
      <c r="F1220" s="1"/>
      <c r="G1220" s="1"/>
      <c r="H1220" s="1"/>
      <c r="I1220" s="1"/>
      <c r="J1220" s="1"/>
      <c r="K1220" s="89" t="s">
        <v>2126</v>
      </c>
      <c r="L1220" s="89" t="str">
        <f>D46</f>
        <v>C1a2</v>
      </c>
      <c r="M1220" s="89" t="s">
        <v>2125</v>
      </c>
      <c r="N1220" s="89"/>
      <c r="O1220" s="92">
        <v>1.6768407E7</v>
      </c>
      <c r="P1220" s="92">
        <v>1.4656527E7</v>
      </c>
      <c r="Q1220" s="89" t="s">
        <v>802</v>
      </c>
      <c r="AF1220" s="1"/>
      <c r="AG1220" s="1"/>
    </row>
    <row r="1221" ht="15.75" customHeight="1">
      <c r="A1221" s="1"/>
      <c r="B1221" s="1"/>
      <c r="C1221" s="1"/>
      <c r="D1221" s="1"/>
      <c r="E1221" s="1"/>
      <c r="F1221" s="1"/>
      <c r="G1221" s="1"/>
      <c r="H1221" s="1"/>
      <c r="I1221" s="1"/>
      <c r="J1221" s="1"/>
      <c r="K1221" s="89" t="s">
        <v>2127</v>
      </c>
      <c r="L1221" s="89" t="str">
        <f>D46</f>
        <v>C1a2</v>
      </c>
      <c r="M1221" s="89" t="s">
        <v>2128</v>
      </c>
      <c r="N1221" s="89"/>
      <c r="O1221" s="92">
        <v>1.7074439E7</v>
      </c>
      <c r="P1221" s="92">
        <v>1.4962559E7</v>
      </c>
      <c r="Q1221" s="89" t="s">
        <v>802</v>
      </c>
      <c r="AF1221" s="1"/>
      <c r="AG1221" s="1"/>
    </row>
    <row r="1222" ht="15.75" customHeight="1">
      <c r="A1222" s="1"/>
      <c r="B1222" s="1"/>
      <c r="C1222" s="1"/>
      <c r="D1222" s="1"/>
      <c r="E1222" s="1"/>
      <c r="F1222" s="1"/>
      <c r="G1222" s="1"/>
      <c r="H1222" s="1"/>
      <c r="I1222" s="1"/>
      <c r="J1222" s="1"/>
      <c r="K1222" s="89" t="s">
        <v>2128</v>
      </c>
      <c r="L1222" s="89" t="str">
        <f>D46</f>
        <v>C1a2</v>
      </c>
      <c r="M1222" s="89" t="s">
        <v>2127</v>
      </c>
      <c r="N1222" s="89"/>
      <c r="O1222" s="92">
        <v>1.7074439E7</v>
      </c>
      <c r="P1222" s="92">
        <v>1.4962559E7</v>
      </c>
      <c r="Q1222" s="89" t="s">
        <v>802</v>
      </c>
      <c r="AF1222" s="1"/>
      <c r="AG1222" s="1"/>
    </row>
    <row r="1223" ht="15.75" customHeight="1">
      <c r="A1223" s="1"/>
      <c r="B1223" s="1"/>
      <c r="C1223" s="1"/>
      <c r="D1223" s="1"/>
      <c r="E1223" s="1"/>
      <c r="F1223" s="1"/>
      <c r="G1223" s="1"/>
      <c r="H1223" s="1"/>
      <c r="I1223" s="1"/>
      <c r="J1223" s="1"/>
      <c r="K1223" s="89" t="s">
        <v>2129</v>
      </c>
      <c r="L1223" s="89" t="str">
        <f>D46</f>
        <v>C1a2</v>
      </c>
      <c r="M1223" s="89" t="s">
        <v>2130</v>
      </c>
      <c r="N1223" s="89" t="s">
        <v>2131</v>
      </c>
      <c r="O1223" s="92">
        <v>1.7405864E7</v>
      </c>
      <c r="P1223" s="92">
        <v>1.5293984E7</v>
      </c>
      <c r="Q1223" s="89" t="s">
        <v>831</v>
      </c>
      <c r="AF1223" s="1"/>
      <c r="AG1223" s="1"/>
    </row>
    <row r="1224" ht="15.75" customHeight="1">
      <c r="A1224" s="1"/>
      <c r="B1224" s="1"/>
      <c r="C1224" s="1"/>
      <c r="D1224" s="1"/>
      <c r="E1224" s="1"/>
      <c r="F1224" s="1"/>
      <c r="G1224" s="1"/>
      <c r="H1224" s="1"/>
      <c r="I1224" s="1"/>
      <c r="J1224" s="1"/>
      <c r="K1224" s="89" t="s">
        <v>2130</v>
      </c>
      <c r="L1224" s="89" t="str">
        <f>D46</f>
        <v>C1a2</v>
      </c>
      <c r="M1224" s="89" t="s">
        <v>2129</v>
      </c>
      <c r="N1224" s="89" t="s">
        <v>2131</v>
      </c>
      <c r="O1224" s="92">
        <v>1.7405864E7</v>
      </c>
      <c r="P1224" s="92">
        <v>1.5293984E7</v>
      </c>
      <c r="Q1224" s="89" t="s">
        <v>831</v>
      </c>
      <c r="AF1224" s="1"/>
      <c r="AG1224" s="1"/>
    </row>
    <row r="1225" ht="15.75" customHeight="1">
      <c r="A1225" s="1"/>
      <c r="B1225" s="1"/>
      <c r="C1225" s="1"/>
      <c r="D1225" s="1"/>
      <c r="E1225" s="1"/>
      <c r="F1225" s="1"/>
      <c r="G1225" s="1"/>
      <c r="H1225" s="1"/>
      <c r="I1225" s="1"/>
      <c r="J1225" s="1"/>
      <c r="K1225" s="89" t="s">
        <v>2132</v>
      </c>
      <c r="L1225" s="89" t="str">
        <f>D46</f>
        <v>C1a2</v>
      </c>
      <c r="M1225" s="89" t="s">
        <v>2133</v>
      </c>
      <c r="N1225" s="89"/>
      <c r="O1225" s="92">
        <v>1.7632202E7</v>
      </c>
      <c r="P1225" s="92">
        <v>1.5520322E7</v>
      </c>
      <c r="Q1225" s="89" t="s">
        <v>838</v>
      </c>
      <c r="AF1225" s="1"/>
      <c r="AG1225" s="1"/>
    </row>
    <row r="1226" ht="15.75" customHeight="1">
      <c r="A1226" s="1"/>
      <c r="B1226" s="1"/>
      <c r="C1226" s="1"/>
      <c r="D1226" s="1"/>
      <c r="E1226" s="1"/>
      <c r="F1226" s="1"/>
      <c r="G1226" s="1"/>
      <c r="H1226" s="1"/>
      <c r="I1226" s="1"/>
      <c r="J1226" s="1"/>
      <c r="K1226" s="89" t="s">
        <v>2133</v>
      </c>
      <c r="L1226" s="89" t="str">
        <f>D46</f>
        <v>C1a2</v>
      </c>
      <c r="M1226" s="89" t="s">
        <v>2132</v>
      </c>
      <c r="N1226" s="89"/>
      <c r="O1226" s="92">
        <v>1.7632202E7</v>
      </c>
      <c r="P1226" s="92">
        <v>1.5520322E7</v>
      </c>
      <c r="Q1226" s="89" t="s">
        <v>838</v>
      </c>
      <c r="AF1226" s="1"/>
      <c r="AG1226" s="1"/>
    </row>
    <row r="1227" ht="15.75" customHeight="1">
      <c r="A1227" s="1"/>
      <c r="B1227" s="1"/>
      <c r="C1227" s="1"/>
      <c r="D1227" s="1"/>
      <c r="E1227" s="1"/>
      <c r="F1227" s="1"/>
      <c r="G1227" s="1"/>
      <c r="H1227" s="1"/>
      <c r="I1227" s="1"/>
      <c r="J1227" s="1"/>
      <c r="K1227" s="89" t="s">
        <v>2134</v>
      </c>
      <c r="L1227" s="89" t="str">
        <f>D46</f>
        <v>C1a2</v>
      </c>
      <c r="M1227" s="89" t="s">
        <v>2135</v>
      </c>
      <c r="N1227" s="89"/>
      <c r="O1227" s="92">
        <v>1.7711347E7</v>
      </c>
      <c r="P1227" s="92">
        <v>1.5599467E7</v>
      </c>
      <c r="Q1227" s="89" t="s">
        <v>822</v>
      </c>
      <c r="AF1227" s="1"/>
      <c r="AG1227" s="1"/>
    </row>
    <row r="1228" ht="15.75" customHeight="1">
      <c r="A1228" s="1"/>
      <c r="B1228" s="1"/>
      <c r="C1228" s="1"/>
      <c r="D1228" s="1"/>
      <c r="E1228" s="1"/>
      <c r="F1228" s="1"/>
      <c r="G1228" s="1"/>
      <c r="H1228" s="1"/>
      <c r="I1228" s="1"/>
      <c r="J1228" s="1"/>
      <c r="K1228" s="89" t="s">
        <v>2135</v>
      </c>
      <c r="L1228" s="89" t="str">
        <f>D46</f>
        <v>C1a2</v>
      </c>
      <c r="M1228" s="89" t="s">
        <v>2134</v>
      </c>
      <c r="N1228" s="89"/>
      <c r="O1228" s="92">
        <v>1.7711347E7</v>
      </c>
      <c r="P1228" s="92">
        <v>1.5599467E7</v>
      </c>
      <c r="Q1228" s="89" t="s">
        <v>822</v>
      </c>
      <c r="AF1228" s="1"/>
      <c r="AG1228" s="1"/>
    </row>
    <row r="1229" ht="15.75" customHeight="1">
      <c r="A1229" s="1"/>
      <c r="B1229" s="1"/>
      <c r="C1229" s="1"/>
      <c r="D1229" s="1"/>
      <c r="E1229" s="1"/>
      <c r="F1229" s="1"/>
      <c r="G1229" s="1"/>
      <c r="H1229" s="1"/>
      <c r="I1229" s="1"/>
      <c r="J1229" s="1"/>
      <c r="K1229" s="89" t="s">
        <v>2136</v>
      </c>
      <c r="L1229" s="89" t="str">
        <f>D46</f>
        <v>C1a2</v>
      </c>
      <c r="M1229" s="89" t="s">
        <v>2137</v>
      </c>
      <c r="N1229" s="89"/>
      <c r="O1229" s="92">
        <v>1.8094426E7</v>
      </c>
      <c r="P1229" s="92">
        <v>1.5982546E7</v>
      </c>
      <c r="Q1229" s="89" t="s">
        <v>822</v>
      </c>
      <c r="AF1229" s="1"/>
      <c r="AG1229" s="1"/>
    </row>
    <row r="1230" ht="15.75" customHeight="1">
      <c r="A1230" s="1"/>
      <c r="B1230" s="1"/>
      <c r="C1230" s="1"/>
      <c r="D1230" s="1"/>
      <c r="E1230" s="1"/>
      <c r="F1230" s="1"/>
      <c r="G1230" s="1"/>
      <c r="H1230" s="1"/>
      <c r="I1230" s="1"/>
      <c r="J1230" s="1"/>
      <c r="K1230" s="89" t="s">
        <v>2137</v>
      </c>
      <c r="L1230" s="89" t="str">
        <f>D46</f>
        <v>C1a2</v>
      </c>
      <c r="M1230" s="89" t="s">
        <v>2136</v>
      </c>
      <c r="N1230" s="89"/>
      <c r="O1230" s="92">
        <v>1.8094426E7</v>
      </c>
      <c r="P1230" s="92">
        <v>1.5982546E7</v>
      </c>
      <c r="Q1230" s="89" t="s">
        <v>822</v>
      </c>
      <c r="AF1230" s="1"/>
      <c r="AG1230" s="1"/>
    </row>
    <row r="1231" ht="15.75" customHeight="1">
      <c r="A1231" s="1"/>
      <c r="B1231" s="1"/>
      <c r="C1231" s="1"/>
      <c r="D1231" s="1"/>
      <c r="E1231" s="1"/>
      <c r="F1231" s="1"/>
      <c r="G1231" s="1"/>
      <c r="H1231" s="1"/>
      <c r="I1231" s="1"/>
      <c r="J1231" s="1"/>
      <c r="K1231" s="89" t="s">
        <v>2138</v>
      </c>
      <c r="L1231" s="89" t="str">
        <f>D46</f>
        <v>C1a2</v>
      </c>
      <c r="M1231" s="89" t="s">
        <v>2139</v>
      </c>
      <c r="N1231" s="89"/>
      <c r="O1231" s="92">
        <v>1.8649743E7</v>
      </c>
      <c r="P1231" s="92">
        <v>1.6537863E7</v>
      </c>
      <c r="Q1231" s="89" t="s">
        <v>822</v>
      </c>
      <c r="AF1231" s="1"/>
      <c r="AG1231" s="1"/>
    </row>
    <row r="1232" ht="15.75" customHeight="1">
      <c r="A1232" s="1"/>
      <c r="B1232" s="1"/>
      <c r="C1232" s="1"/>
      <c r="D1232" s="1"/>
      <c r="E1232" s="1"/>
      <c r="F1232" s="1"/>
      <c r="G1232" s="1"/>
      <c r="H1232" s="1"/>
      <c r="I1232" s="1"/>
      <c r="J1232" s="1"/>
      <c r="K1232" s="89" t="s">
        <v>2139</v>
      </c>
      <c r="L1232" s="89" t="str">
        <f>D46</f>
        <v>C1a2</v>
      </c>
      <c r="M1232" s="89" t="s">
        <v>2138</v>
      </c>
      <c r="N1232" s="89"/>
      <c r="O1232" s="92">
        <v>1.8649743E7</v>
      </c>
      <c r="P1232" s="92">
        <v>1.6537863E7</v>
      </c>
      <c r="Q1232" s="89" t="s">
        <v>822</v>
      </c>
      <c r="AF1232" s="1"/>
      <c r="AG1232" s="1"/>
    </row>
    <row r="1233" ht="15.75" customHeight="1">
      <c r="A1233" s="1"/>
      <c r="B1233" s="1"/>
      <c r="C1233" s="1"/>
      <c r="D1233" s="1"/>
      <c r="E1233" s="1"/>
      <c r="F1233" s="1"/>
      <c r="G1233" s="1"/>
      <c r="H1233" s="1"/>
      <c r="I1233" s="1"/>
      <c r="J1233" s="1"/>
      <c r="K1233" s="89" t="s">
        <v>2140</v>
      </c>
      <c r="L1233" s="89" t="str">
        <f>D46</f>
        <v>C1a2</v>
      </c>
      <c r="M1233" s="89" t="s">
        <v>2141</v>
      </c>
      <c r="N1233" s="89"/>
      <c r="O1233" s="92">
        <v>1.8741611E7</v>
      </c>
      <c r="P1233" s="92">
        <v>1.6629731E7</v>
      </c>
      <c r="Q1233" s="89" t="s">
        <v>879</v>
      </c>
      <c r="AF1233" s="1"/>
      <c r="AG1233" s="1"/>
    </row>
    <row r="1234" ht="15.75" customHeight="1">
      <c r="A1234" s="1"/>
      <c r="B1234" s="1"/>
      <c r="C1234" s="1"/>
      <c r="D1234" s="1"/>
      <c r="E1234" s="1"/>
      <c r="F1234" s="1"/>
      <c r="G1234" s="1"/>
      <c r="H1234" s="1"/>
      <c r="I1234" s="1"/>
      <c r="J1234" s="1"/>
      <c r="K1234" s="89" t="s">
        <v>2141</v>
      </c>
      <c r="L1234" s="89" t="str">
        <f>D46</f>
        <v>C1a2</v>
      </c>
      <c r="M1234" s="89" t="s">
        <v>2140</v>
      </c>
      <c r="N1234" s="89"/>
      <c r="O1234" s="92">
        <v>1.8741611E7</v>
      </c>
      <c r="P1234" s="92">
        <v>1.6629731E7</v>
      </c>
      <c r="Q1234" s="89" t="s">
        <v>879</v>
      </c>
      <c r="AF1234" s="1"/>
      <c r="AG1234" s="1"/>
    </row>
    <row r="1235" ht="15.75" customHeight="1">
      <c r="A1235" s="1"/>
      <c r="B1235" s="1"/>
      <c r="C1235" s="1"/>
      <c r="D1235" s="1"/>
      <c r="E1235" s="1"/>
      <c r="F1235" s="1"/>
      <c r="G1235" s="1"/>
      <c r="H1235" s="1"/>
      <c r="I1235" s="1"/>
      <c r="J1235" s="1"/>
      <c r="K1235" s="89" t="s">
        <v>2142</v>
      </c>
      <c r="L1235" s="89" t="str">
        <f>D46</f>
        <v>C1a2</v>
      </c>
      <c r="M1235" s="89" t="s">
        <v>2143</v>
      </c>
      <c r="N1235" s="89"/>
      <c r="O1235" s="92">
        <v>1.888699E7</v>
      </c>
      <c r="P1235" s="92">
        <v>1.677511E7</v>
      </c>
      <c r="Q1235" s="89" t="s">
        <v>802</v>
      </c>
      <c r="AF1235" s="1"/>
      <c r="AG1235" s="1"/>
    </row>
    <row r="1236" ht="15.75" customHeight="1">
      <c r="A1236" s="1"/>
      <c r="B1236" s="1"/>
      <c r="C1236" s="1"/>
      <c r="D1236" s="1"/>
      <c r="E1236" s="1"/>
      <c r="F1236" s="1"/>
      <c r="G1236" s="1"/>
      <c r="H1236" s="1"/>
      <c r="I1236" s="1"/>
      <c r="J1236" s="1"/>
      <c r="K1236" s="89" t="s">
        <v>2143</v>
      </c>
      <c r="L1236" s="89" t="str">
        <f>D46</f>
        <v>C1a2</v>
      </c>
      <c r="M1236" s="89" t="s">
        <v>2142</v>
      </c>
      <c r="N1236" s="89"/>
      <c r="O1236" s="92">
        <v>1.888699E7</v>
      </c>
      <c r="P1236" s="92">
        <v>1.677511E7</v>
      </c>
      <c r="Q1236" s="89" t="s">
        <v>802</v>
      </c>
      <c r="AF1236" s="1"/>
      <c r="AG1236" s="1"/>
    </row>
    <row r="1237" ht="15.75" customHeight="1">
      <c r="A1237" s="1"/>
      <c r="B1237" s="1"/>
      <c r="C1237" s="1"/>
      <c r="D1237" s="1"/>
      <c r="E1237" s="1"/>
      <c r="F1237" s="1"/>
      <c r="G1237" s="1"/>
      <c r="H1237" s="1"/>
      <c r="I1237" s="1"/>
      <c r="J1237" s="1"/>
      <c r="K1237" s="89" t="s">
        <v>2144</v>
      </c>
      <c r="L1237" s="89" t="str">
        <f>D46</f>
        <v>C1a2</v>
      </c>
      <c r="M1237" s="89" t="s">
        <v>2145</v>
      </c>
      <c r="N1237" s="89"/>
      <c r="O1237" s="92">
        <v>1.9033885E7</v>
      </c>
      <c r="P1237" s="92">
        <v>1.6922005E7</v>
      </c>
      <c r="Q1237" s="89" t="s">
        <v>838</v>
      </c>
      <c r="AF1237" s="1"/>
      <c r="AG1237" s="1"/>
    </row>
    <row r="1238" ht="15.75" customHeight="1">
      <c r="A1238" s="1"/>
      <c r="B1238" s="1"/>
      <c r="C1238" s="1"/>
      <c r="D1238" s="1"/>
      <c r="E1238" s="1"/>
      <c r="F1238" s="1"/>
      <c r="G1238" s="1"/>
      <c r="H1238" s="1"/>
      <c r="I1238" s="1"/>
      <c r="J1238" s="1"/>
      <c r="K1238" s="89" t="s">
        <v>2145</v>
      </c>
      <c r="L1238" s="89" t="str">
        <f>D46</f>
        <v>C1a2</v>
      </c>
      <c r="M1238" s="89" t="s">
        <v>2144</v>
      </c>
      <c r="N1238" s="89"/>
      <c r="O1238" s="92">
        <v>1.9033885E7</v>
      </c>
      <c r="P1238" s="92">
        <v>1.6922005E7</v>
      </c>
      <c r="Q1238" s="89" t="s">
        <v>838</v>
      </c>
      <c r="AF1238" s="1"/>
      <c r="AG1238" s="1"/>
    </row>
    <row r="1239" ht="15.75" customHeight="1">
      <c r="A1239" s="1"/>
      <c r="B1239" s="1"/>
      <c r="C1239" s="1"/>
      <c r="D1239" s="1"/>
      <c r="E1239" s="1"/>
      <c r="F1239" s="1"/>
      <c r="G1239" s="1"/>
      <c r="H1239" s="1"/>
      <c r="I1239" s="1"/>
      <c r="J1239" s="1"/>
      <c r="K1239" s="89" t="s">
        <v>2146</v>
      </c>
      <c r="L1239" s="89" t="str">
        <f>D46</f>
        <v>C1a2</v>
      </c>
      <c r="M1239" s="89" t="s">
        <v>2147</v>
      </c>
      <c r="N1239" s="89"/>
      <c r="O1239" s="92">
        <v>2.1310679E7</v>
      </c>
      <c r="P1239" s="92">
        <v>1.9148793E7</v>
      </c>
      <c r="Q1239" s="89" t="s">
        <v>838</v>
      </c>
      <c r="AF1239" s="1"/>
      <c r="AG1239" s="1"/>
    </row>
    <row r="1240" ht="15.75" customHeight="1">
      <c r="A1240" s="1"/>
      <c r="B1240" s="1"/>
      <c r="C1240" s="1"/>
      <c r="D1240" s="1"/>
      <c r="E1240" s="1"/>
      <c r="F1240" s="1"/>
      <c r="G1240" s="1"/>
      <c r="H1240" s="1"/>
      <c r="I1240" s="1"/>
      <c r="J1240" s="1"/>
      <c r="K1240" s="89" t="s">
        <v>2147</v>
      </c>
      <c r="L1240" s="89" t="str">
        <f>D46</f>
        <v>C1a2</v>
      </c>
      <c r="M1240" s="89" t="s">
        <v>2146</v>
      </c>
      <c r="N1240" s="89"/>
      <c r="O1240" s="92">
        <v>2.1310679E7</v>
      </c>
      <c r="P1240" s="92">
        <v>1.9148793E7</v>
      </c>
      <c r="Q1240" s="89" t="s">
        <v>838</v>
      </c>
      <c r="AF1240" s="1"/>
      <c r="AG1240" s="1"/>
    </row>
    <row r="1241" ht="15.75" customHeight="1">
      <c r="A1241" s="1"/>
      <c r="B1241" s="1"/>
      <c r="C1241" s="1"/>
      <c r="D1241" s="1"/>
      <c r="E1241" s="1"/>
      <c r="F1241" s="1"/>
      <c r="G1241" s="1"/>
      <c r="H1241" s="1"/>
      <c r="I1241" s="1"/>
      <c r="J1241" s="1"/>
      <c r="K1241" s="89" t="s">
        <v>2148</v>
      </c>
      <c r="L1241" s="89" t="str">
        <f>D46</f>
        <v>C1a2</v>
      </c>
      <c r="M1241" s="89" t="s">
        <v>2149</v>
      </c>
      <c r="N1241" s="89"/>
      <c r="O1241" s="92">
        <v>2.1505102E7</v>
      </c>
      <c r="P1241" s="92">
        <v>1.9343216E7</v>
      </c>
      <c r="Q1241" s="89" t="s">
        <v>822</v>
      </c>
      <c r="AF1241" s="1"/>
      <c r="AG1241" s="1"/>
    </row>
    <row r="1242" ht="15.75" customHeight="1">
      <c r="A1242" s="1"/>
      <c r="B1242" s="1"/>
      <c r="C1242" s="1"/>
      <c r="D1242" s="1"/>
      <c r="E1242" s="1"/>
      <c r="F1242" s="1"/>
      <c r="G1242" s="1"/>
      <c r="H1242" s="1"/>
      <c r="I1242" s="1"/>
      <c r="J1242" s="1"/>
      <c r="K1242" s="89" t="s">
        <v>2149</v>
      </c>
      <c r="L1242" s="89" t="str">
        <f>D46</f>
        <v>C1a2</v>
      </c>
      <c r="M1242" s="89" t="s">
        <v>2148</v>
      </c>
      <c r="N1242" s="89"/>
      <c r="O1242" s="92">
        <v>2.1505102E7</v>
      </c>
      <c r="P1242" s="92">
        <v>1.9343216E7</v>
      </c>
      <c r="Q1242" s="89" t="s">
        <v>822</v>
      </c>
      <c r="AF1242" s="1"/>
      <c r="AG1242" s="1"/>
    </row>
    <row r="1243" ht="15.75" customHeight="1">
      <c r="A1243" s="1"/>
      <c r="B1243" s="1"/>
      <c r="C1243" s="1"/>
      <c r="D1243" s="1"/>
      <c r="E1243" s="1"/>
      <c r="F1243" s="1"/>
      <c r="G1243" s="1"/>
      <c r="H1243" s="1"/>
      <c r="I1243" s="1"/>
      <c r="J1243" s="1"/>
      <c r="K1243" s="89" t="s">
        <v>2150</v>
      </c>
      <c r="L1243" s="89" t="str">
        <f>D46</f>
        <v>C1a2</v>
      </c>
      <c r="M1243" s="89" t="s">
        <v>2151</v>
      </c>
      <c r="N1243" s="89"/>
      <c r="O1243" s="92">
        <v>2.1557604E7</v>
      </c>
      <c r="P1243" s="92">
        <v>1.9395718E7</v>
      </c>
      <c r="Q1243" s="89" t="s">
        <v>810</v>
      </c>
      <c r="AF1243" s="1"/>
      <c r="AG1243" s="1"/>
    </row>
    <row r="1244" ht="15.75" customHeight="1">
      <c r="A1244" s="1"/>
      <c r="B1244" s="1"/>
      <c r="C1244" s="1"/>
      <c r="D1244" s="1"/>
      <c r="E1244" s="1"/>
      <c r="F1244" s="1"/>
      <c r="G1244" s="1"/>
      <c r="H1244" s="1"/>
      <c r="I1244" s="1"/>
      <c r="J1244" s="1"/>
      <c r="K1244" s="89" t="s">
        <v>2151</v>
      </c>
      <c r="L1244" s="89" t="str">
        <f>D46</f>
        <v>C1a2</v>
      </c>
      <c r="M1244" s="89" t="s">
        <v>2150</v>
      </c>
      <c r="N1244" s="89"/>
      <c r="O1244" s="92">
        <v>2.1557604E7</v>
      </c>
      <c r="P1244" s="92">
        <v>1.9395718E7</v>
      </c>
      <c r="Q1244" s="89" t="s">
        <v>810</v>
      </c>
      <c r="AF1244" s="1"/>
      <c r="AG1244" s="1"/>
    </row>
    <row r="1245" ht="15.75" customHeight="1">
      <c r="A1245" s="1"/>
      <c r="B1245" s="1"/>
      <c r="C1245" s="1"/>
      <c r="D1245" s="1"/>
      <c r="E1245" s="1"/>
      <c r="F1245" s="1"/>
      <c r="G1245" s="1"/>
      <c r="H1245" s="1"/>
      <c r="I1245" s="1"/>
      <c r="J1245" s="1"/>
      <c r="K1245" s="89" t="s">
        <v>2152</v>
      </c>
      <c r="L1245" s="89" t="str">
        <f>D46</f>
        <v>C1a2</v>
      </c>
      <c r="M1245" s="89" t="s">
        <v>2153</v>
      </c>
      <c r="N1245" s="89"/>
      <c r="O1245" s="92">
        <v>2.199032E7</v>
      </c>
      <c r="P1245" s="92">
        <v>1.9828434E7</v>
      </c>
      <c r="Q1245" s="89" t="s">
        <v>822</v>
      </c>
      <c r="AF1245" s="1"/>
      <c r="AG1245" s="1"/>
    </row>
    <row r="1246" ht="15.75" customHeight="1">
      <c r="A1246" s="1"/>
      <c r="B1246" s="1"/>
      <c r="C1246" s="1"/>
      <c r="D1246" s="1"/>
      <c r="E1246" s="1"/>
      <c r="F1246" s="1"/>
      <c r="G1246" s="1"/>
      <c r="H1246" s="1"/>
      <c r="I1246" s="1"/>
      <c r="J1246" s="1"/>
      <c r="K1246" s="89" t="s">
        <v>2153</v>
      </c>
      <c r="L1246" s="89" t="str">
        <f>D46</f>
        <v>C1a2</v>
      </c>
      <c r="M1246" s="89" t="s">
        <v>2152</v>
      </c>
      <c r="N1246" s="89"/>
      <c r="O1246" s="92">
        <v>2.199032E7</v>
      </c>
      <c r="P1246" s="92">
        <v>1.9828434E7</v>
      </c>
      <c r="Q1246" s="89" t="s">
        <v>822</v>
      </c>
      <c r="AF1246" s="1"/>
      <c r="AG1246" s="1"/>
    </row>
    <row r="1247" ht="15.75" customHeight="1">
      <c r="A1247" s="1"/>
      <c r="B1247" s="1"/>
      <c r="C1247" s="1"/>
      <c r="D1247" s="1"/>
      <c r="E1247" s="1"/>
      <c r="F1247" s="1"/>
      <c r="G1247" s="1"/>
      <c r="H1247" s="1"/>
      <c r="I1247" s="1"/>
      <c r="J1247" s="1"/>
      <c r="K1247" s="89" t="s">
        <v>2154</v>
      </c>
      <c r="L1247" s="89" t="str">
        <f>D46</f>
        <v>C1a2</v>
      </c>
      <c r="M1247" s="89" t="s">
        <v>2155</v>
      </c>
      <c r="N1247" s="89"/>
      <c r="O1247" s="92">
        <v>2.255111E7</v>
      </c>
      <c r="P1247" s="92">
        <v>2.0389224E7</v>
      </c>
      <c r="Q1247" s="89" t="s">
        <v>822</v>
      </c>
      <c r="AF1247" s="1"/>
      <c r="AG1247" s="1"/>
    </row>
    <row r="1248" ht="15.75" customHeight="1">
      <c r="A1248" s="1"/>
      <c r="B1248" s="1"/>
      <c r="C1248" s="1"/>
      <c r="D1248" s="1"/>
      <c r="E1248" s="1"/>
      <c r="F1248" s="1"/>
      <c r="G1248" s="1"/>
      <c r="H1248" s="1"/>
      <c r="I1248" s="1"/>
      <c r="J1248" s="1"/>
      <c r="K1248" s="89" t="s">
        <v>2155</v>
      </c>
      <c r="L1248" s="89" t="str">
        <f>D46</f>
        <v>C1a2</v>
      </c>
      <c r="M1248" s="89" t="s">
        <v>2154</v>
      </c>
      <c r="N1248" s="89"/>
      <c r="O1248" s="92">
        <v>2.255111E7</v>
      </c>
      <c r="P1248" s="92">
        <v>2.0389224E7</v>
      </c>
      <c r="Q1248" s="89" t="s">
        <v>822</v>
      </c>
      <c r="AF1248" s="1"/>
      <c r="AG1248" s="1"/>
    </row>
    <row r="1249" ht="15.75" customHeight="1">
      <c r="A1249" s="1"/>
      <c r="B1249" s="1"/>
      <c r="C1249" s="1"/>
      <c r="D1249" s="1"/>
      <c r="E1249" s="1"/>
      <c r="F1249" s="1"/>
      <c r="G1249" s="1"/>
      <c r="H1249" s="1"/>
      <c r="I1249" s="1"/>
      <c r="J1249" s="1"/>
      <c r="K1249" s="89" t="s">
        <v>2156</v>
      </c>
      <c r="L1249" s="89" t="str">
        <f>D46</f>
        <v>C1a2</v>
      </c>
      <c r="M1249" s="89" t="s">
        <v>2157</v>
      </c>
      <c r="N1249" s="89"/>
      <c r="O1249" s="92">
        <v>2.3039624E7</v>
      </c>
      <c r="P1249" s="92">
        <v>2.0877738E7</v>
      </c>
      <c r="Q1249" s="89" t="s">
        <v>886</v>
      </c>
      <c r="AF1249" s="1"/>
      <c r="AG1249" s="1"/>
    </row>
    <row r="1250" ht="15.75" customHeight="1">
      <c r="A1250" s="1"/>
      <c r="B1250" s="1"/>
      <c r="C1250" s="1"/>
      <c r="D1250" s="1"/>
      <c r="E1250" s="1"/>
      <c r="F1250" s="1"/>
      <c r="G1250" s="1"/>
      <c r="H1250" s="1"/>
      <c r="I1250" s="1"/>
      <c r="J1250" s="1"/>
      <c r="K1250" s="89" t="s">
        <v>2157</v>
      </c>
      <c r="L1250" s="89" t="str">
        <f>D46</f>
        <v>C1a2</v>
      </c>
      <c r="M1250" s="89" t="s">
        <v>2156</v>
      </c>
      <c r="N1250" s="89"/>
      <c r="O1250" s="92">
        <v>2.3039624E7</v>
      </c>
      <c r="P1250" s="92">
        <v>2.0877738E7</v>
      </c>
      <c r="Q1250" s="89" t="s">
        <v>886</v>
      </c>
      <c r="AF1250" s="1"/>
      <c r="AG1250" s="1"/>
    </row>
    <row r="1251" ht="15.75" customHeight="1">
      <c r="A1251" s="1"/>
      <c r="B1251" s="1"/>
      <c r="C1251" s="1"/>
      <c r="D1251" s="1"/>
      <c r="E1251" s="1"/>
      <c r="F1251" s="1"/>
      <c r="G1251" s="1"/>
      <c r="H1251" s="1"/>
      <c r="I1251" s="1"/>
      <c r="J1251" s="1"/>
      <c r="K1251" s="89" t="s">
        <v>2158</v>
      </c>
      <c r="L1251" s="89" t="str">
        <f>D46</f>
        <v>C1a2</v>
      </c>
      <c r="M1251" s="89" t="s">
        <v>2159</v>
      </c>
      <c r="N1251" s="89"/>
      <c r="O1251" s="92">
        <v>2.3073076E7</v>
      </c>
      <c r="P1251" s="92">
        <v>2.091119E7</v>
      </c>
      <c r="Q1251" s="89" t="s">
        <v>879</v>
      </c>
      <c r="AF1251" s="1"/>
      <c r="AG1251" s="1"/>
    </row>
    <row r="1252" ht="15.75" customHeight="1">
      <c r="A1252" s="1"/>
      <c r="B1252" s="1"/>
      <c r="C1252" s="1"/>
      <c r="D1252" s="1"/>
      <c r="E1252" s="1"/>
      <c r="F1252" s="1"/>
      <c r="G1252" s="1"/>
      <c r="H1252" s="1"/>
      <c r="I1252" s="1"/>
      <c r="J1252" s="1"/>
      <c r="K1252" s="89" t="s">
        <v>2159</v>
      </c>
      <c r="L1252" s="89" t="str">
        <f>D46</f>
        <v>C1a2</v>
      </c>
      <c r="M1252" s="89" t="s">
        <v>2158</v>
      </c>
      <c r="N1252" s="89"/>
      <c r="O1252" s="92">
        <v>2.3073076E7</v>
      </c>
      <c r="P1252" s="92">
        <v>2.091119E7</v>
      </c>
      <c r="Q1252" s="89" t="s">
        <v>879</v>
      </c>
      <c r="AF1252" s="1"/>
      <c r="AG1252" s="1"/>
    </row>
    <row r="1253" ht="15.75" customHeight="1">
      <c r="A1253" s="1"/>
      <c r="B1253" s="1"/>
      <c r="C1253" s="1"/>
      <c r="D1253" s="1"/>
      <c r="E1253" s="1"/>
      <c r="F1253" s="1"/>
      <c r="G1253" s="1"/>
      <c r="H1253" s="1"/>
      <c r="I1253" s="1"/>
      <c r="J1253" s="1"/>
      <c r="K1253" s="89" t="s">
        <v>2160</v>
      </c>
      <c r="L1253" s="89" t="str">
        <f>D46</f>
        <v>C1a2</v>
      </c>
      <c r="M1253" s="89" t="s">
        <v>2161</v>
      </c>
      <c r="N1253" s="89"/>
      <c r="O1253" s="92">
        <v>2.3887502E7</v>
      </c>
      <c r="P1253" s="92">
        <v>2.1725616E7</v>
      </c>
      <c r="Q1253" s="89" t="s">
        <v>822</v>
      </c>
      <c r="AF1253" s="1"/>
      <c r="AG1253" s="1"/>
    </row>
    <row r="1254" ht="15.75" customHeight="1">
      <c r="A1254" s="1"/>
      <c r="B1254" s="1"/>
      <c r="C1254" s="1"/>
      <c r="D1254" s="1"/>
      <c r="E1254" s="1"/>
      <c r="F1254" s="1"/>
      <c r="G1254" s="1"/>
      <c r="H1254" s="1"/>
      <c r="I1254" s="1"/>
      <c r="J1254" s="1"/>
      <c r="K1254" s="89" t="s">
        <v>2161</v>
      </c>
      <c r="L1254" s="89" t="str">
        <f>D46</f>
        <v>C1a2</v>
      </c>
      <c r="M1254" s="89" t="s">
        <v>2160</v>
      </c>
      <c r="N1254" s="89"/>
      <c r="O1254" s="92">
        <v>2.3887502E7</v>
      </c>
      <c r="P1254" s="92">
        <v>2.1725616E7</v>
      </c>
      <c r="Q1254" s="89" t="s">
        <v>822</v>
      </c>
      <c r="AF1254" s="1"/>
      <c r="AG1254" s="1"/>
    </row>
    <row r="1255" ht="15.75" customHeight="1">
      <c r="A1255" s="1"/>
      <c r="B1255" s="1"/>
      <c r="C1255" s="1"/>
      <c r="D1255" s="1"/>
      <c r="E1255" s="1"/>
      <c r="F1255" s="1"/>
      <c r="G1255" s="1"/>
      <c r="H1255" s="1"/>
      <c r="I1255" s="1"/>
      <c r="J1255" s="1"/>
      <c r="K1255" s="89" t="s">
        <v>2162</v>
      </c>
      <c r="L1255" s="89" t="str">
        <f>D46</f>
        <v>C1a2</v>
      </c>
      <c r="M1255" s="89" t="s">
        <v>2163</v>
      </c>
      <c r="N1255" s="89"/>
      <c r="O1255" s="92">
        <v>2.3991923E7</v>
      </c>
      <c r="P1255" s="92">
        <v>2.1845776E7</v>
      </c>
      <c r="Q1255" s="89" t="s">
        <v>810</v>
      </c>
      <c r="AF1255" s="1"/>
      <c r="AG1255" s="1"/>
    </row>
    <row r="1256" ht="15.75" customHeight="1">
      <c r="A1256" s="1"/>
      <c r="B1256" s="1"/>
      <c r="C1256" s="1"/>
      <c r="D1256" s="1"/>
      <c r="E1256" s="1"/>
      <c r="F1256" s="1"/>
      <c r="G1256" s="1"/>
      <c r="H1256" s="1"/>
      <c r="I1256" s="1"/>
      <c r="J1256" s="1"/>
      <c r="K1256" s="89" t="s">
        <v>2163</v>
      </c>
      <c r="L1256" s="89" t="str">
        <f>D46</f>
        <v>C1a2</v>
      </c>
      <c r="M1256" s="89" t="s">
        <v>2162</v>
      </c>
      <c r="N1256" s="89"/>
      <c r="O1256" s="92">
        <v>2.3991923E7</v>
      </c>
      <c r="P1256" s="92">
        <v>2.1845776E7</v>
      </c>
      <c r="Q1256" s="89" t="s">
        <v>810</v>
      </c>
      <c r="AF1256" s="1"/>
      <c r="AG1256" s="1"/>
    </row>
    <row r="1257" ht="15.75" customHeight="1">
      <c r="A1257" s="1"/>
      <c r="B1257" s="1"/>
      <c r="C1257" s="1"/>
      <c r="D1257" s="1"/>
      <c r="E1257" s="1"/>
      <c r="F1257" s="1"/>
      <c r="G1257" s="1"/>
      <c r="H1257" s="1"/>
      <c r="I1257" s="1"/>
      <c r="J1257" s="1"/>
      <c r="K1257" s="89" t="s">
        <v>2164</v>
      </c>
      <c r="L1257" s="89" t="str">
        <f>D46</f>
        <v>C1a2</v>
      </c>
      <c r="M1257" s="89" t="s">
        <v>2165</v>
      </c>
      <c r="N1257" s="89" t="s">
        <v>2166</v>
      </c>
      <c r="O1257" s="92">
        <v>6628564.0</v>
      </c>
      <c r="P1257" s="92">
        <v>6760523.0</v>
      </c>
      <c r="Q1257" s="89" t="s">
        <v>879</v>
      </c>
      <c r="AF1257" s="1"/>
      <c r="AG1257" s="1"/>
    </row>
    <row r="1258" ht="15.75" customHeight="1">
      <c r="A1258" s="1"/>
      <c r="B1258" s="1"/>
      <c r="C1258" s="1"/>
      <c r="D1258" s="1"/>
      <c r="E1258" s="1"/>
      <c r="F1258" s="1"/>
      <c r="G1258" s="1"/>
      <c r="H1258" s="1"/>
      <c r="I1258" s="1"/>
      <c r="J1258" s="1"/>
      <c r="K1258" s="89" t="s">
        <v>2165</v>
      </c>
      <c r="L1258" s="89" t="str">
        <f>D46</f>
        <v>C1a2</v>
      </c>
      <c r="M1258" s="89" t="s">
        <v>2164</v>
      </c>
      <c r="N1258" s="89" t="s">
        <v>2166</v>
      </c>
      <c r="O1258" s="92">
        <v>6628564.0</v>
      </c>
      <c r="P1258" s="92">
        <v>6760523.0</v>
      </c>
      <c r="Q1258" s="89" t="s">
        <v>879</v>
      </c>
      <c r="AF1258" s="1"/>
      <c r="AG1258" s="1"/>
    </row>
    <row r="1259" ht="15.75" customHeight="1">
      <c r="A1259" s="1"/>
      <c r="B1259" s="1"/>
      <c r="C1259" s="1"/>
      <c r="D1259" s="1"/>
      <c r="E1259" s="1"/>
      <c r="F1259" s="1"/>
      <c r="G1259" s="1"/>
      <c r="H1259" s="1"/>
      <c r="I1259" s="1"/>
      <c r="J1259" s="1"/>
      <c r="K1259" s="89" t="s">
        <v>2167</v>
      </c>
      <c r="L1259" s="89" t="str">
        <f>D46</f>
        <v>C1a2</v>
      </c>
      <c r="M1259" s="89" t="s">
        <v>2168</v>
      </c>
      <c r="N1259" s="89" t="s">
        <v>2169</v>
      </c>
      <c r="O1259" s="92">
        <v>6735166.0</v>
      </c>
      <c r="P1259" s="92">
        <v>6867125.0</v>
      </c>
      <c r="Q1259" s="89" t="s">
        <v>802</v>
      </c>
      <c r="AF1259" s="1"/>
      <c r="AG1259" s="1"/>
    </row>
    <row r="1260" ht="15.75" customHeight="1">
      <c r="A1260" s="1"/>
      <c r="B1260" s="1"/>
      <c r="C1260" s="1"/>
      <c r="D1260" s="1"/>
      <c r="E1260" s="1"/>
      <c r="F1260" s="1"/>
      <c r="G1260" s="1"/>
      <c r="H1260" s="1"/>
      <c r="I1260" s="1"/>
      <c r="J1260" s="1"/>
      <c r="K1260" s="89" t="s">
        <v>2168</v>
      </c>
      <c r="L1260" s="89" t="str">
        <f>D46</f>
        <v>C1a2</v>
      </c>
      <c r="M1260" s="89" t="s">
        <v>2167</v>
      </c>
      <c r="N1260" s="89" t="s">
        <v>2169</v>
      </c>
      <c r="O1260" s="92">
        <v>6735166.0</v>
      </c>
      <c r="P1260" s="92">
        <v>6867125.0</v>
      </c>
      <c r="Q1260" s="89" t="s">
        <v>802</v>
      </c>
      <c r="AF1260" s="1"/>
      <c r="AG1260" s="1"/>
    </row>
    <row r="1261" ht="15.75" customHeight="1">
      <c r="A1261" s="1"/>
      <c r="B1261" s="1"/>
      <c r="C1261" s="1"/>
      <c r="D1261" s="1"/>
      <c r="E1261" s="1"/>
      <c r="F1261" s="1"/>
      <c r="G1261" s="1"/>
      <c r="H1261" s="1"/>
      <c r="I1261" s="1"/>
      <c r="J1261" s="1"/>
      <c r="K1261" s="89" t="s">
        <v>2170</v>
      </c>
      <c r="L1261" s="89" t="str">
        <f>D46</f>
        <v>C1a2</v>
      </c>
      <c r="M1261" s="89" t="s">
        <v>2171</v>
      </c>
      <c r="N1261" s="89"/>
      <c r="O1261" s="92">
        <v>6754181.0</v>
      </c>
      <c r="P1261" s="92">
        <v>6886140.0</v>
      </c>
      <c r="Q1261" s="89" t="s">
        <v>822</v>
      </c>
      <c r="AF1261" s="1"/>
      <c r="AG1261" s="1"/>
    </row>
    <row r="1262" ht="15.75" customHeight="1">
      <c r="A1262" s="1"/>
      <c r="B1262" s="1"/>
      <c r="C1262" s="1"/>
      <c r="D1262" s="1"/>
      <c r="E1262" s="1"/>
      <c r="F1262" s="1"/>
      <c r="G1262" s="1"/>
      <c r="H1262" s="1"/>
      <c r="I1262" s="1"/>
      <c r="J1262" s="1"/>
      <c r="K1262" s="89" t="s">
        <v>2171</v>
      </c>
      <c r="L1262" s="89" t="str">
        <f>D46</f>
        <v>C1a2</v>
      </c>
      <c r="M1262" s="89" t="s">
        <v>2170</v>
      </c>
      <c r="N1262" s="89"/>
      <c r="O1262" s="92">
        <v>6754181.0</v>
      </c>
      <c r="P1262" s="92">
        <v>6886140.0</v>
      </c>
      <c r="Q1262" s="89" t="s">
        <v>822</v>
      </c>
      <c r="AF1262" s="1"/>
      <c r="AG1262" s="1"/>
    </row>
    <row r="1263" ht="15.75" customHeight="1">
      <c r="A1263" s="1"/>
      <c r="B1263" s="1"/>
      <c r="C1263" s="1"/>
      <c r="D1263" s="1"/>
      <c r="E1263" s="1"/>
      <c r="F1263" s="1"/>
      <c r="G1263" s="1"/>
      <c r="H1263" s="1"/>
      <c r="I1263" s="1"/>
      <c r="J1263" s="1"/>
      <c r="K1263" s="89" t="s">
        <v>2172</v>
      </c>
      <c r="L1263" s="89" t="str">
        <f>D46</f>
        <v>C1a2</v>
      </c>
      <c r="M1263" s="89" t="s">
        <v>2173</v>
      </c>
      <c r="N1263" s="89"/>
      <c r="O1263" s="92">
        <v>6760207.0</v>
      </c>
      <c r="P1263" s="92">
        <v>6892166.0</v>
      </c>
      <c r="Q1263" s="89" t="s">
        <v>886</v>
      </c>
      <c r="AF1263" s="1"/>
      <c r="AG1263" s="1"/>
    </row>
    <row r="1264" ht="15.75" customHeight="1">
      <c r="A1264" s="1"/>
      <c r="B1264" s="1"/>
      <c r="C1264" s="1"/>
      <c r="D1264" s="1"/>
      <c r="E1264" s="1"/>
      <c r="F1264" s="1"/>
      <c r="G1264" s="1"/>
      <c r="H1264" s="1"/>
      <c r="I1264" s="1"/>
      <c r="J1264" s="1"/>
      <c r="K1264" s="89" t="s">
        <v>2173</v>
      </c>
      <c r="L1264" s="89" t="str">
        <f>D46</f>
        <v>C1a2</v>
      </c>
      <c r="M1264" s="89" t="s">
        <v>2172</v>
      </c>
      <c r="N1264" s="89"/>
      <c r="O1264" s="92">
        <v>6760207.0</v>
      </c>
      <c r="P1264" s="92">
        <v>6892166.0</v>
      </c>
      <c r="Q1264" s="89" t="s">
        <v>886</v>
      </c>
      <c r="AF1264" s="1"/>
      <c r="AG1264" s="1"/>
    </row>
    <row r="1265" ht="15.75" customHeight="1">
      <c r="A1265" s="1"/>
      <c r="B1265" s="1"/>
      <c r="C1265" s="1"/>
      <c r="D1265" s="1"/>
      <c r="E1265" s="1"/>
      <c r="F1265" s="1"/>
      <c r="G1265" s="1"/>
      <c r="H1265" s="1"/>
      <c r="I1265" s="1"/>
      <c r="J1265" s="1"/>
      <c r="K1265" s="89" t="s">
        <v>2174</v>
      </c>
      <c r="L1265" s="89" t="str">
        <f>D46</f>
        <v>C1a2</v>
      </c>
      <c r="M1265" s="89" t="s">
        <v>2175</v>
      </c>
      <c r="N1265" s="89" t="s">
        <v>2176</v>
      </c>
      <c r="O1265" s="92">
        <v>6972117.0</v>
      </c>
      <c r="P1265" s="92">
        <v>7104076.0</v>
      </c>
      <c r="Q1265" s="89" t="s">
        <v>838</v>
      </c>
      <c r="AF1265" s="1"/>
      <c r="AG1265" s="1"/>
    </row>
    <row r="1266" ht="15.75" customHeight="1">
      <c r="A1266" s="1"/>
      <c r="B1266" s="1"/>
      <c r="C1266" s="1"/>
      <c r="D1266" s="1"/>
      <c r="E1266" s="1"/>
      <c r="F1266" s="1"/>
      <c r="G1266" s="1"/>
      <c r="H1266" s="1"/>
      <c r="I1266" s="1"/>
      <c r="J1266" s="1"/>
      <c r="K1266" s="89" t="s">
        <v>2175</v>
      </c>
      <c r="L1266" s="89" t="str">
        <f>D46</f>
        <v>C1a2</v>
      </c>
      <c r="M1266" s="89" t="s">
        <v>2174</v>
      </c>
      <c r="N1266" s="89" t="s">
        <v>2176</v>
      </c>
      <c r="O1266" s="92">
        <v>6972117.0</v>
      </c>
      <c r="P1266" s="92">
        <v>7104076.0</v>
      </c>
      <c r="Q1266" s="89" t="s">
        <v>838</v>
      </c>
      <c r="AF1266" s="1"/>
      <c r="AG1266" s="1"/>
    </row>
    <row r="1267" ht="15.75" customHeight="1">
      <c r="A1267" s="1"/>
      <c r="B1267" s="1"/>
      <c r="C1267" s="1"/>
      <c r="D1267" s="1"/>
      <c r="E1267" s="1"/>
      <c r="F1267" s="1"/>
      <c r="G1267" s="1"/>
      <c r="H1267" s="1"/>
      <c r="I1267" s="1"/>
      <c r="J1267" s="1"/>
      <c r="K1267" s="89" t="s">
        <v>2177</v>
      </c>
      <c r="L1267" s="89" t="str">
        <f>D46</f>
        <v>C1a2</v>
      </c>
      <c r="M1267" s="89" t="s">
        <v>2178</v>
      </c>
      <c r="N1267" s="89" t="s">
        <v>2179</v>
      </c>
      <c r="O1267" s="92">
        <v>7339479.0</v>
      </c>
      <c r="P1267" s="92">
        <v>7471438.0</v>
      </c>
      <c r="Q1267" s="89" t="s">
        <v>810</v>
      </c>
      <c r="AF1267" s="1"/>
      <c r="AG1267" s="1"/>
    </row>
    <row r="1268" ht="15.75" customHeight="1">
      <c r="A1268" s="1"/>
      <c r="B1268" s="1"/>
      <c r="C1268" s="1"/>
      <c r="D1268" s="1"/>
      <c r="E1268" s="1"/>
      <c r="F1268" s="1"/>
      <c r="G1268" s="1"/>
      <c r="H1268" s="1"/>
      <c r="I1268" s="1"/>
      <c r="J1268" s="1"/>
      <c r="K1268" s="89" t="s">
        <v>2178</v>
      </c>
      <c r="L1268" s="89" t="str">
        <f>D46</f>
        <v>C1a2</v>
      </c>
      <c r="M1268" s="89" t="s">
        <v>2177</v>
      </c>
      <c r="N1268" s="89" t="s">
        <v>2179</v>
      </c>
      <c r="O1268" s="92">
        <v>7339479.0</v>
      </c>
      <c r="P1268" s="92">
        <v>7471438.0</v>
      </c>
      <c r="Q1268" s="89" t="s">
        <v>810</v>
      </c>
      <c r="AF1268" s="1"/>
      <c r="AG1268" s="1"/>
    </row>
    <row r="1269" ht="15.75" customHeight="1">
      <c r="A1269" s="1"/>
      <c r="B1269" s="1"/>
      <c r="C1269" s="1"/>
      <c r="D1269" s="1"/>
      <c r="E1269" s="1"/>
      <c r="F1269" s="1"/>
      <c r="G1269" s="1"/>
      <c r="H1269" s="1"/>
      <c r="I1269" s="1"/>
      <c r="J1269" s="1"/>
      <c r="K1269" s="89" t="s">
        <v>2180</v>
      </c>
      <c r="L1269" s="89" t="str">
        <f>D46</f>
        <v>C1a2</v>
      </c>
      <c r="M1269" s="89" t="s">
        <v>2181</v>
      </c>
      <c r="N1269" s="89"/>
      <c r="O1269" s="92">
        <v>7682488.0</v>
      </c>
      <c r="P1269" s="92">
        <v>7814447.0</v>
      </c>
      <c r="Q1269" s="89" t="s">
        <v>886</v>
      </c>
      <c r="AF1269" s="1"/>
      <c r="AG1269" s="1"/>
    </row>
    <row r="1270" ht="15.75" customHeight="1">
      <c r="A1270" s="1"/>
      <c r="B1270" s="1"/>
      <c r="C1270" s="1"/>
      <c r="D1270" s="1"/>
      <c r="E1270" s="1"/>
      <c r="F1270" s="1"/>
      <c r="G1270" s="1"/>
      <c r="H1270" s="1"/>
      <c r="I1270" s="1"/>
      <c r="J1270" s="1"/>
      <c r="K1270" s="89" t="s">
        <v>2181</v>
      </c>
      <c r="L1270" s="89" t="str">
        <f>D46</f>
        <v>C1a2</v>
      </c>
      <c r="M1270" s="89" t="s">
        <v>2180</v>
      </c>
      <c r="N1270" s="89"/>
      <c r="O1270" s="92">
        <v>7682488.0</v>
      </c>
      <c r="P1270" s="92">
        <v>7814447.0</v>
      </c>
      <c r="Q1270" s="89" t="s">
        <v>886</v>
      </c>
      <c r="AF1270" s="1"/>
      <c r="AG1270" s="1"/>
    </row>
    <row r="1271" ht="15.75" customHeight="1">
      <c r="A1271" s="1"/>
      <c r="B1271" s="1"/>
      <c r="C1271" s="1"/>
      <c r="D1271" s="1"/>
      <c r="E1271" s="1"/>
      <c r="F1271" s="1"/>
      <c r="G1271" s="1"/>
      <c r="H1271" s="1"/>
      <c r="I1271" s="1"/>
      <c r="J1271" s="1"/>
      <c r="K1271" s="89" t="s">
        <v>2182</v>
      </c>
      <c r="L1271" s="89" t="str">
        <f>D46</f>
        <v>C1a2</v>
      </c>
      <c r="M1271" s="89" t="s">
        <v>2183</v>
      </c>
      <c r="N1271" s="89" t="s">
        <v>2184</v>
      </c>
      <c r="O1271" s="92">
        <v>7688365.0</v>
      </c>
      <c r="P1271" s="92">
        <v>7820324.0</v>
      </c>
      <c r="Q1271" s="89" t="s">
        <v>802</v>
      </c>
      <c r="AF1271" s="1"/>
      <c r="AG1271" s="1"/>
    </row>
    <row r="1272" ht="15.75" customHeight="1">
      <c r="A1272" s="1"/>
      <c r="B1272" s="1"/>
      <c r="C1272" s="1"/>
      <c r="D1272" s="1"/>
      <c r="E1272" s="1"/>
      <c r="F1272" s="1"/>
      <c r="G1272" s="1"/>
      <c r="H1272" s="1"/>
      <c r="I1272" s="1"/>
      <c r="J1272" s="1"/>
      <c r="K1272" s="89" t="s">
        <v>2183</v>
      </c>
      <c r="L1272" s="89" t="str">
        <f>D46</f>
        <v>C1a2</v>
      </c>
      <c r="M1272" s="89" t="s">
        <v>2182</v>
      </c>
      <c r="N1272" s="89" t="s">
        <v>2184</v>
      </c>
      <c r="O1272" s="92">
        <v>7688365.0</v>
      </c>
      <c r="P1272" s="92">
        <v>7820324.0</v>
      </c>
      <c r="Q1272" s="89" t="s">
        <v>802</v>
      </c>
      <c r="AF1272" s="1"/>
      <c r="AG1272" s="1"/>
    </row>
    <row r="1273" ht="15.75" customHeight="1">
      <c r="A1273" s="1"/>
      <c r="B1273" s="1"/>
      <c r="C1273" s="1"/>
      <c r="D1273" s="1"/>
      <c r="E1273" s="1"/>
      <c r="F1273" s="1"/>
      <c r="G1273" s="1"/>
      <c r="H1273" s="1"/>
      <c r="I1273" s="1"/>
      <c r="J1273" s="1"/>
      <c r="K1273" s="89" t="s">
        <v>2185</v>
      </c>
      <c r="L1273" s="89" t="str">
        <f>D46</f>
        <v>C1a2</v>
      </c>
      <c r="M1273" s="89" t="s">
        <v>2186</v>
      </c>
      <c r="N1273" s="89"/>
      <c r="O1273" s="92">
        <v>7748877.0</v>
      </c>
      <c r="P1273" s="92">
        <v>7880836.0</v>
      </c>
      <c r="Q1273" s="89" t="s">
        <v>810</v>
      </c>
      <c r="AF1273" s="1"/>
      <c r="AG1273" s="1"/>
    </row>
    <row r="1274" ht="15.75" customHeight="1">
      <c r="A1274" s="1"/>
      <c r="B1274" s="1"/>
      <c r="C1274" s="1"/>
      <c r="D1274" s="1"/>
      <c r="E1274" s="1"/>
      <c r="F1274" s="1"/>
      <c r="G1274" s="1"/>
      <c r="H1274" s="1"/>
      <c r="I1274" s="1"/>
      <c r="J1274" s="1"/>
      <c r="K1274" s="89" t="s">
        <v>2186</v>
      </c>
      <c r="L1274" s="89" t="str">
        <f>D46</f>
        <v>C1a2</v>
      </c>
      <c r="M1274" s="89" t="s">
        <v>2185</v>
      </c>
      <c r="N1274" s="89"/>
      <c r="O1274" s="92">
        <v>7748877.0</v>
      </c>
      <c r="P1274" s="92">
        <v>7880836.0</v>
      </c>
      <c r="Q1274" s="89" t="s">
        <v>810</v>
      </c>
      <c r="AF1274" s="1"/>
      <c r="AG1274" s="1"/>
    </row>
    <row r="1275" ht="15.75" customHeight="1">
      <c r="A1275" s="1"/>
      <c r="B1275" s="1"/>
      <c r="C1275" s="1"/>
      <c r="D1275" s="1"/>
      <c r="E1275" s="1"/>
      <c r="F1275" s="1"/>
      <c r="G1275" s="1"/>
      <c r="H1275" s="1"/>
      <c r="I1275" s="1"/>
      <c r="J1275" s="1"/>
      <c r="K1275" s="89" t="s">
        <v>2187</v>
      </c>
      <c r="L1275" s="89" t="str">
        <f>D46</f>
        <v>C1a2</v>
      </c>
      <c r="M1275" s="89" t="s">
        <v>2188</v>
      </c>
      <c r="N1275" s="89"/>
      <c r="O1275" s="92">
        <v>7952824.0</v>
      </c>
      <c r="P1275" s="92">
        <v>8084783.0</v>
      </c>
      <c r="Q1275" s="89" t="s">
        <v>802</v>
      </c>
      <c r="AF1275" s="1"/>
      <c r="AG1275" s="1"/>
    </row>
    <row r="1276" ht="15.75" customHeight="1">
      <c r="A1276" s="1"/>
      <c r="B1276" s="1"/>
      <c r="C1276" s="1"/>
      <c r="D1276" s="1"/>
      <c r="E1276" s="1"/>
      <c r="F1276" s="1"/>
      <c r="G1276" s="1"/>
      <c r="H1276" s="1"/>
      <c r="I1276" s="1"/>
      <c r="J1276" s="1"/>
      <c r="K1276" s="89" t="s">
        <v>2188</v>
      </c>
      <c r="L1276" s="89" t="str">
        <f>D46</f>
        <v>C1a2</v>
      </c>
      <c r="M1276" s="89" t="s">
        <v>2187</v>
      </c>
      <c r="N1276" s="89"/>
      <c r="O1276" s="92">
        <v>7952824.0</v>
      </c>
      <c r="P1276" s="92">
        <v>8084783.0</v>
      </c>
      <c r="Q1276" s="89" t="s">
        <v>802</v>
      </c>
      <c r="AF1276" s="1"/>
      <c r="AG1276" s="1"/>
    </row>
    <row r="1277" ht="15.75" customHeight="1">
      <c r="A1277" s="1"/>
      <c r="B1277" s="1"/>
      <c r="C1277" s="1"/>
      <c r="D1277" s="1"/>
      <c r="E1277" s="1"/>
      <c r="F1277" s="1"/>
      <c r="G1277" s="1"/>
      <c r="H1277" s="1"/>
      <c r="I1277" s="1"/>
      <c r="J1277" s="1"/>
      <c r="K1277" s="89" t="s">
        <v>2189</v>
      </c>
      <c r="L1277" s="89" t="str">
        <f>D46</f>
        <v>C1a2</v>
      </c>
      <c r="M1277" s="89" t="s">
        <v>2190</v>
      </c>
      <c r="N1277" s="89"/>
      <c r="O1277" s="92">
        <v>8018051.0</v>
      </c>
      <c r="P1277" s="92">
        <v>8150010.0</v>
      </c>
      <c r="Q1277" s="89" t="s">
        <v>838</v>
      </c>
      <c r="AF1277" s="1"/>
      <c r="AG1277" s="1"/>
    </row>
    <row r="1278" ht="15.75" customHeight="1">
      <c r="A1278" s="1"/>
      <c r="B1278" s="1"/>
      <c r="C1278" s="1"/>
      <c r="D1278" s="1"/>
      <c r="E1278" s="1"/>
      <c r="F1278" s="1"/>
      <c r="G1278" s="1"/>
      <c r="H1278" s="1"/>
      <c r="I1278" s="1"/>
      <c r="J1278" s="1"/>
      <c r="K1278" s="89" t="s">
        <v>2190</v>
      </c>
      <c r="L1278" s="89" t="str">
        <f>D46</f>
        <v>C1a2</v>
      </c>
      <c r="M1278" s="89" t="s">
        <v>2189</v>
      </c>
      <c r="N1278" s="89"/>
      <c r="O1278" s="92">
        <v>8018051.0</v>
      </c>
      <c r="P1278" s="92">
        <v>8150010.0</v>
      </c>
      <c r="Q1278" s="89" t="s">
        <v>838</v>
      </c>
      <c r="AF1278" s="1"/>
      <c r="AG1278" s="1"/>
    </row>
    <row r="1279" ht="15.75" customHeight="1">
      <c r="A1279" s="1"/>
      <c r="B1279" s="1"/>
      <c r="C1279" s="1"/>
      <c r="D1279" s="1"/>
      <c r="E1279" s="1"/>
      <c r="F1279" s="1"/>
      <c r="G1279" s="1"/>
      <c r="H1279" s="1"/>
      <c r="I1279" s="1"/>
      <c r="J1279" s="1"/>
      <c r="K1279" s="89" t="s">
        <v>2191</v>
      </c>
      <c r="L1279" s="89" t="str">
        <f>D46</f>
        <v>C1a2</v>
      </c>
      <c r="M1279" s="89" t="s">
        <v>2192</v>
      </c>
      <c r="N1279" s="89"/>
      <c r="O1279" s="92">
        <v>8189580.0</v>
      </c>
      <c r="P1279" s="92">
        <v>8321539.0</v>
      </c>
      <c r="Q1279" s="89" t="s">
        <v>802</v>
      </c>
      <c r="AF1279" s="1"/>
      <c r="AG1279" s="1"/>
    </row>
    <row r="1280" ht="15.75" customHeight="1">
      <c r="A1280" s="1"/>
      <c r="B1280" s="1"/>
      <c r="C1280" s="1"/>
      <c r="D1280" s="1"/>
      <c r="E1280" s="1"/>
      <c r="F1280" s="1"/>
      <c r="G1280" s="1"/>
      <c r="H1280" s="1"/>
      <c r="I1280" s="1"/>
      <c r="J1280" s="1"/>
      <c r="K1280" s="89" t="s">
        <v>2192</v>
      </c>
      <c r="L1280" s="89" t="str">
        <f>D46</f>
        <v>C1a2</v>
      </c>
      <c r="M1280" s="89" t="s">
        <v>2191</v>
      </c>
      <c r="N1280" s="89"/>
      <c r="O1280" s="92">
        <v>8189580.0</v>
      </c>
      <c r="P1280" s="92">
        <v>8321539.0</v>
      </c>
      <c r="Q1280" s="89" t="s">
        <v>802</v>
      </c>
      <c r="AF1280" s="1"/>
      <c r="AG1280" s="1"/>
    </row>
    <row r="1281" ht="15.75" customHeight="1">
      <c r="A1281" s="1"/>
      <c r="B1281" s="1"/>
      <c r="C1281" s="1"/>
      <c r="D1281" s="1"/>
      <c r="E1281" s="1"/>
      <c r="F1281" s="1"/>
      <c r="G1281" s="1"/>
      <c r="H1281" s="1"/>
      <c r="I1281" s="1"/>
      <c r="J1281" s="1"/>
      <c r="K1281" s="89" t="s">
        <v>2193</v>
      </c>
      <c r="L1281" s="89" t="str">
        <f>D46</f>
        <v>C1a2</v>
      </c>
      <c r="M1281" s="89" t="s">
        <v>2194</v>
      </c>
      <c r="N1281" s="89"/>
      <c r="O1281" s="92">
        <v>8877530.0</v>
      </c>
      <c r="P1281" s="92">
        <v>9009489.0</v>
      </c>
      <c r="Q1281" s="89" t="s">
        <v>802</v>
      </c>
      <c r="AF1281" s="1"/>
      <c r="AG1281" s="1"/>
    </row>
    <row r="1282" ht="15.75" customHeight="1">
      <c r="A1282" s="1"/>
      <c r="B1282" s="1"/>
      <c r="C1282" s="1"/>
      <c r="D1282" s="1"/>
      <c r="E1282" s="1"/>
      <c r="F1282" s="1"/>
      <c r="G1282" s="1"/>
      <c r="H1282" s="1"/>
      <c r="I1282" s="1"/>
      <c r="J1282" s="1"/>
      <c r="K1282" s="89" t="s">
        <v>2194</v>
      </c>
      <c r="L1282" s="89" t="str">
        <f>D46</f>
        <v>C1a2</v>
      </c>
      <c r="M1282" s="89" t="s">
        <v>2193</v>
      </c>
      <c r="N1282" s="89"/>
      <c r="O1282" s="92">
        <v>8877530.0</v>
      </c>
      <c r="P1282" s="92">
        <v>9009489.0</v>
      </c>
      <c r="Q1282" s="89" t="s">
        <v>802</v>
      </c>
      <c r="AF1282" s="1"/>
      <c r="AG1282" s="1"/>
    </row>
    <row r="1283" ht="15.75" customHeight="1">
      <c r="A1283" s="1"/>
      <c r="B1283" s="1"/>
      <c r="C1283" s="1"/>
      <c r="D1283" s="1"/>
      <c r="E1283" s="1"/>
      <c r="F1283" s="1"/>
      <c r="G1283" s="1"/>
      <c r="H1283" s="1"/>
      <c r="I1283" s="1"/>
      <c r="J1283" s="1"/>
      <c r="K1283" s="89" t="s">
        <v>2195</v>
      </c>
      <c r="L1283" s="89" t="str">
        <f>D46</f>
        <v>C1a2</v>
      </c>
      <c r="M1283" s="89" t="s">
        <v>2196</v>
      </c>
      <c r="N1283" s="89"/>
      <c r="O1283" s="92">
        <v>8893086.0</v>
      </c>
      <c r="P1283" s="92">
        <v>9025045.0</v>
      </c>
      <c r="Q1283" s="89" t="s">
        <v>810</v>
      </c>
      <c r="AF1283" s="1"/>
      <c r="AG1283" s="1"/>
    </row>
    <row r="1284" ht="15.75" customHeight="1">
      <c r="A1284" s="1"/>
      <c r="B1284" s="1"/>
      <c r="C1284" s="1"/>
      <c r="D1284" s="1"/>
      <c r="E1284" s="1"/>
      <c r="F1284" s="1"/>
      <c r="G1284" s="1"/>
      <c r="H1284" s="1"/>
      <c r="I1284" s="1"/>
      <c r="J1284" s="1"/>
      <c r="K1284" s="89" t="s">
        <v>2196</v>
      </c>
      <c r="L1284" s="89" t="str">
        <f>D46</f>
        <v>C1a2</v>
      </c>
      <c r="M1284" s="89" t="s">
        <v>2195</v>
      </c>
      <c r="N1284" s="89"/>
      <c r="O1284" s="92">
        <v>8893086.0</v>
      </c>
      <c r="P1284" s="92">
        <v>9025045.0</v>
      </c>
      <c r="Q1284" s="89" t="s">
        <v>810</v>
      </c>
      <c r="AF1284" s="1"/>
      <c r="AG1284" s="1"/>
    </row>
    <row r="1285" ht="15.75" customHeight="1">
      <c r="A1285" s="1"/>
      <c r="B1285" s="1"/>
      <c r="C1285" s="1"/>
      <c r="D1285" s="1"/>
      <c r="E1285" s="1"/>
      <c r="F1285" s="1"/>
      <c r="G1285" s="1"/>
      <c r="H1285" s="1"/>
      <c r="I1285" s="1"/>
      <c r="J1285" s="1"/>
      <c r="K1285" s="89" t="s">
        <v>2197</v>
      </c>
      <c r="L1285" s="89" t="str">
        <f>D46</f>
        <v>C1a2</v>
      </c>
      <c r="M1285" s="89" t="s">
        <v>2198</v>
      </c>
      <c r="N1285" s="89" t="s">
        <v>2199</v>
      </c>
      <c r="O1285" s="92">
        <v>9876194.0</v>
      </c>
      <c r="P1285" s="92">
        <v>1.0038585E7</v>
      </c>
      <c r="Q1285" s="89" t="s">
        <v>802</v>
      </c>
      <c r="AF1285" s="1"/>
      <c r="AG1285" s="1"/>
    </row>
    <row r="1286" ht="15.75" customHeight="1">
      <c r="A1286" s="1"/>
      <c r="B1286" s="1"/>
      <c r="C1286" s="1"/>
      <c r="D1286" s="1"/>
      <c r="E1286" s="1"/>
      <c r="F1286" s="1"/>
      <c r="G1286" s="1"/>
      <c r="H1286" s="1"/>
      <c r="I1286" s="1"/>
      <c r="J1286" s="1"/>
      <c r="K1286" s="89" t="s">
        <v>2198</v>
      </c>
      <c r="L1286" s="89" t="str">
        <f>D46</f>
        <v>C1a2</v>
      </c>
      <c r="M1286" s="89" t="s">
        <v>2197</v>
      </c>
      <c r="N1286" s="89" t="s">
        <v>2199</v>
      </c>
      <c r="O1286" s="92">
        <v>9876194.0</v>
      </c>
      <c r="P1286" s="92">
        <v>1.0038585E7</v>
      </c>
      <c r="Q1286" s="89" t="s">
        <v>802</v>
      </c>
      <c r="AF1286" s="1"/>
      <c r="AG1286" s="1"/>
    </row>
    <row r="1287" ht="15.75" customHeight="1">
      <c r="A1287" s="1"/>
      <c r="B1287" s="1"/>
      <c r="C1287" s="1"/>
      <c r="D1287" s="1"/>
      <c r="E1287" s="1"/>
      <c r="F1287" s="1"/>
      <c r="G1287" s="1"/>
      <c r="H1287" s="1"/>
      <c r="I1287" s="1"/>
      <c r="J1287" s="1"/>
      <c r="K1287" s="89" t="s">
        <v>2200</v>
      </c>
      <c r="L1287" s="89" t="str">
        <f>D46</f>
        <v>C1a2</v>
      </c>
      <c r="M1287" s="89" t="s">
        <v>2201</v>
      </c>
      <c r="N1287" s="89" t="s">
        <v>2202</v>
      </c>
      <c r="O1287" s="92">
        <v>9903503.0</v>
      </c>
      <c r="P1287" s="92">
        <v>1.0065894E7</v>
      </c>
      <c r="Q1287" s="89" t="s">
        <v>810</v>
      </c>
      <c r="AF1287" s="1"/>
      <c r="AG1287" s="1"/>
    </row>
    <row r="1288" ht="15.75" customHeight="1">
      <c r="A1288" s="1"/>
      <c r="B1288" s="1"/>
      <c r="C1288" s="1"/>
      <c r="D1288" s="1"/>
      <c r="E1288" s="1"/>
      <c r="F1288" s="1"/>
      <c r="G1288" s="1"/>
      <c r="H1288" s="1"/>
      <c r="I1288" s="1"/>
      <c r="J1288" s="1"/>
      <c r="K1288" s="89" t="s">
        <v>2201</v>
      </c>
      <c r="L1288" s="89" t="str">
        <f>D46</f>
        <v>C1a2</v>
      </c>
      <c r="M1288" s="89" t="s">
        <v>2200</v>
      </c>
      <c r="N1288" s="89" t="s">
        <v>2202</v>
      </c>
      <c r="O1288" s="92">
        <v>9903503.0</v>
      </c>
      <c r="P1288" s="92">
        <v>1.0065894E7</v>
      </c>
      <c r="Q1288" s="89" t="s">
        <v>810</v>
      </c>
      <c r="AF1288" s="1"/>
      <c r="AG1288" s="1"/>
    </row>
    <row r="1289" ht="15.75" customHeight="1">
      <c r="A1289" s="1"/>
      <c r="B1289" s="1"/>
      <c r="C1289" s="1"/>
      <c r="D1289" s="1"/>
      <c r="E1289" s="1"/>
      <c r="F1289" s="1"/>
      <c r="G1289" s="1"/>
      <c r="H1289" s="1"/>
      <c r="I1289" s="1"/>
      <c r="J1289" s="1"/>
      <c r="K1289" s="89" t="s">
        <v>2203</v>
      </c>
      <c r="L1289" s="89" t="str">
        <f>D46</f>
        <v>C1a2</v>
      </c>
      <c r="M1289" s="89" t="s">
        <v>2204</v>
      </c>
      <c r="N1289" s="89"/>
      <c r="O1289" s="92">
        <v>1.3831985E7</v>
      </c>
      <c r="P1289" s="92">
        <v>1.1711279E7</v>
      </c>
      <c r="Q1289" s="89" t="s">
        <v>917</v>
      </c>
      <c r="AF1289" s="1"/>
      <c r="AG1289" s="1"/>
    </row>
    <row r="1290" ht="15.75" customHeight="1">
      <c r="A1290" s="1"/>
      <c r="B1290" s="1"/>
      <c r="C1290" s="1"/>
      <c r="D1290" s="1"/>
      <c r="E1290" s="1"/>
      <c r="F1290" s="1"/>
      <c r="G1290" s="1"/>
      <c r="H1290" s="1"/>
      <c r="I1290" s="1"/>
      <c r="J1290" s="1"/>
      <c r="K1290" s="89" t="s">
        <v>2204</v>
      </c>
      <c r="L1290" s="89" t="str">
        <f>D46</f>
        <v>C1a2</v>
      </c>
      <c r="M1290" s="89" t="s">
        <v>2203</v>
      </c>
      <c r="N1290" s="89"/>
      <c r="O1290" s="92">
        <v>1.3831985E7</v>
      </c>
      <c r="P1290" s="92">
        <v>1.1711279E7</v>
      </c>
      <c r="Q1290" s="89" t="s">
        <v>917</v>
      </c>
      <c r="AF1290" s="1"/>
      <c r="AG1290" s="1"/>
    </row>
    <row r="1291" ht="15.75" customHeight="1">
      <c r="A1291" s="1"/>
      <c r="B1291" s="1"/>
      <c r="C1291" s="1"/>
      <c r="D1291" s="1"/>
      <c r="E1291" s="1"/>
      <c r="F1291" s="1"/>
      <c r="G1291" s="1"/>
      <c r="H1291" s="1"/>
      <c r="I1291" s="1"/>
      <c r="J1291" s="1"/>
      <c r="K1291" s="89" t="s">
        <v>2205</v>
      </c>
      <c r="L1291" s="89" t="str">
        <f>D46</f>
        <v>C1a2</v>
      </c>
      <c r="M1291" s="89" t="s">
        <v>2206</v>
      </c>
      <c r="N1291" s="89"/>
      <c r="O1291" s="92">
        <v>1.3840206E7</v>
      </c>
      <c r="P1291" s="92">
        <v>1.17195E7</v>
      </c>
      <c r="Q1291" s="89" t="s">
        <v>802</v>
      </c>
      <c r="AF1291" s="1"/>
      <c r="AG1291" s="1"/>
    </row>
    <row r="1292" ht="15.75" customHeight="1">
      <c r="A1292" s="1"/>
      <c r="B1292" s="1"/>
      <c r="C1292" s="1"/>
      <c r="D1292" s="1"/>
      <c r="E1292" s="1"/>
      <c r="F1292" s="1"/>
      <c r="G1292" s="1"/>
      <c r="H1292" s="1"/>
      <c r="I1292" s="1"/>
      <c r="J1292" s="1"/>
      <c r="K1292" s="89" t="s">
        <v>2206</v>
      </c>
      <c r="L1292" s="89" t="str">
        <f>D46</f>
        <v>C1a2</v>
      </c>
      <c r="M1292" s="89" t="s">
        <v>2205</v>
      </c>
      <c r="N1292" s="89"/>
      <c r="O1292" s="92">
        <v>1.3840206E7</v>
      </c>
      <c r="P1292" s="92">
        <v>1.17195E7</v>
      </c>
      <c r="Q1292" s="89" t="s">
        <v>802</v>
      </c>
      <c r="AF1292" s="1"/>
      <c r="AG1292" s="1"/>
    </row>
    <row r="1293" ht="15.75" customHeight="1">
      <c r="A1293" s="1"/>
      <c r="B1293" s="1"/>
      <c r="C1293" s="1"/>
      <c r="D1293" s="1"/>
      <c r="E1293" s="1"/>
      <c r="F1293" s="1"/>
      <c r="G1293" s="1"/>
      <c r="H1293" s="1"/>
      <c r="I1293" s="1"/>
      <c r="J1293" s="1"/>
      <c r="K1293" s="89" t="s">
        <v>2207</v>
      </c>
      <c r="L1293" s="89" t="str">
        <f>D46</f>
        <v>C1a2</v>
      </c>
      <c r="M1293" s="89" t="s">
        <v>2208</v>
      </c>
      <c r="N1293" s="89"/>
      <c r="O1293" s="92">
        <v>1.4150505E7</v>
      </c>
      <c r="P1293" s="92">
        <v>1.2029799E7</v>
      </c>
      <c r="Q1293" s="89" t="s">
        <v>822</v>
      </c>
      <c r="AF1293" s="1"/>
      <c r="AG1293" s="1"/>
    </row>
    <row r="1294" ht="15.75" customHeight="1">
      <c r="A1294" s="1"/>
      <c r="B1294" s="1"/>
      <c r="C1294" s="1"/>
      <c r="D1294" s="1"/>
      <c r="E1294" s="1"/>
      <c r="F1294" s="1"/>
      <c r="G1294" s="1"/>
      <c r="H1294" s="1"/>
      <c r="I1294" s="1"/>
      <c r="J1294" s="1"/>
      <c r="K1294" s="89" t="s">
        <v>2208</v>
      </c>
      <c r="L1294" s="89" t="str">
        <f>D46</f>
        <v>C1a2</v>
      </c>
      <c r="M1294" s="89" t="s">
        <v>2207</v>
      </c>
      <c r="N1294" s="89"/>
      <c r="O1294" s="92">
        <v>1.4150505E7</v>
      </c>
      <c r="P1294" s="92">
        <v>1.2029799E7</v>
      </c>
      <c r="Q1294" s="89" t="s">
        <v>822</v>
      </c>
      <c r="AF1294" s="1"/>
      <c r="AG1294" s="1"/>
    </row>
    <row r="1295" ht="15.75" customHeight="1">
      <c r="A1295" s="1"/>
      <c r="B1295" s="1"/>
      <c r="C1295" s="1"/>
      <c r="D1295" s="1"/>
      <c r="E1295" s="1"/>
      <c r="F1295" s="1"/>
      <c r="G1295" s="1"/>
      <c r="H1295" s="1"/>
      <c r="I1295" s="1"/>
      <c r="J1295" s="1"/>
      <c r="K1295" s="89" t="s">
        <v>2209</v>
      </c>
      <c r="L1295" s="89" t="str">
        <f>D46</f>
        <v>C1a2</v>
      </c>
      <c r="M1295" s="89" t="s">
        <v>2210</v>
      </c>
      <c r="N1295" s="89" t="s">
        <v>2211</v>
      </c>
      <c r="O1295" s="92">
        <v>1.4810634E7</v>
      </c>
      <c r="P1295" s="92">
        <v>1.2698705E7</v>
      </c>
      <c r="Q1295" s="89" t="s">
        <v>838</v>
      </c>
      <c r="AF1295" s="1"/>
      <c r="AG1295" s="1"/>
    </row>
    <row r="1296" ht="15.75" customHeight="1">
      <c r="A1296" s="1"/>
      <c r="B1296" s="1"/>
      <c r="C1296" s="1"/>
      <c r="D1296" s="1"/>
      <c r="E1296" s="1"/>
      <c r="F1296" s="1"/>
      <c r="G1296" s="1"/>
      <c r="H1296" s="1"/>
      <c r="I1296" s="1"/>
      <c r="J1296" s="1"/>
      <c r="K1296" s="89" t="s">
        <v>2210</v>
      </c>
      <c r="L1296" s="89" t="str">
        <f>D46</f>
        <v>C1a2</v>
      </c>
      <c r="M1296" s="89" t="s">
        <v>2209</v>
      </c>
      <c r="N1296" s="89" t="s">
        <v>2211</v>
      </c>
      <c r="O1296" s="92">
        <v>1.4810634E7</v>
      </c>
      <c r="P1296" s="92">
        <v>1.2698705E7</v>
      </c>
      <c r="Q1296" s="89" t="s">
        <v>838</v>
      </c>
      <c r="AF1296" s="1"/>
      <c r="AG1296" s="1"/>
    </row>
    <row r="1297" ht="15.75" customHeight="1">
      <c r="A1297" s="1"/>
      <c r="B1297" s="1"/>
      <c r="C1297" s="1"/>
      <c r="D1297" s="1"/>
      <c r="E1297" s="1"/>
      <c r="F1297" s="1"/>
      <c r="G1297" s="1"/>
      <c r="H1297" s="1"/>
      <c r="I1297" s="1"/>
      <c r="J1297" s="1"/>
      <c r="K1297" s="89" t="s">
        <v>2212</v>
      </c>
      <c r="L1297" s="89" t="str">
        <f>D46</f>
        <v>C1a2</v>
      </c>
      <c r="M1297" s="89" t="s">
        <v>2213</v>
      </c>
      <c r="N1297" s="89"/>
      <c r="O1297" s="92">
        <v>1.4862602E7</v>
      </c>
      <c r="P1297" s="92">
        <v>1.2750668E7</v>
      </c>
      <c r="Q1297" s="89" t="s">
        <v>802</v>
      </c>
      <c r="AF1297" s="1"/>
      <c r="AG1297" s="1"/>
    </row>
    <row r="1298" ht="15.75" customHeight="1">
      <c r="A1298" s="1"/>
      <c r="B1298" s="1"/>
      <c r="C1298" s="1"/>
      <c r="D1298" s="1"/>
      <c r="E1298" s="1"/>
      <c r="F1298" s="1"/>
      <c r="G1298" s="1"/>
      <c r="H1298" s="1"/>
      <c r="I1298" s="1"/>
      <c r="J1298" s="1"/>
      <c r="K1298" s="89" t="s">
        <v>2213</v>
      </c>
      <c r="L1298" s="89" t="str">
        <f>D46</f>
        <v>C1a2</v>
      </c>
      <c r="M1298" s="89" t="s">
        <v>2212</v>
      </c>
      <c r="N1298" s="89"/>
      <c r="O1298" s="92">
        <v>1.4862602E7</v>
      </c>
      <c r="P1298" s="92">
        <v>1.2750668E7</v>
      </c>
      <c r="Q1298" s="89" t="s">
        <v>802</v>
      </c>
      <c r="AF1298" s="1"/>
      <c r="AG1298" s="1"/>
    </row>
    <row r="1299" ht="15.75" customHeight="1">
      <c r="A1299" s="1"/>
      <c r="B1299" s="1"/>
      <c r="C1299" s="1"/>
      <c r="D1299" s="1"/>
      <c r="E1299" s="1"/>
      <c r="F1299" s="1"/>
      <c r="G1299" s="1"/>
      <c r="H1299" s="1"/>
      <c r="I1299" s="1"/>
      <c r="J1299" s="1"/>
      <c r="K1299" s="89" t="s">
        <v>2214</v>
      </c>
      <c r="L1299" s="89" t="str">
        <f>D46</f>
        <v>C1a2</v>
      </c>
      <c r="M1299" s="89" t="s">
        <v>2215</v>
      </c>
      <c r="N1299" s="89"/>
      <c r="O1299" s="92">
        <v>1.5125913E7</v>
      </c>
      <c r="P1299" s="92">
        <v>1.3014E7</v>
      </c>
      <c r="Q1299" s="89" t="s">
        <v>917</v>
      </c>
      <c r="AF1299" s="1"/>
      <c r="AG1299" s="1"/>
    </row>
    <row r="1300" ht="15.75" customHeight="1">
      <c r="A1300" s="1"/>
      <c r="B1300" s="1"/>
      <c r="C1300" s="1"/>
      <c r="D1300" s="1"/>
      <c r="E1300" s="1"/>
      <c r="F1300" s="1"/>
      <c r="G1300" s="1"/>
      <c r="H1300" s="1"/>
      <c r="I1300" s="1"/>
      <c r="J1300" s="1"/>
      <c r="K1300" s="89" t="s">
        <v>2215</v>
      </c>
      <c r="L1300" s="89" t="str">
        <f>D46</f>
        <v>C1a2</v>
      </c>
      <c r="M1300" s="89" t="s">
        <v>2214</v>
      </c>
      <c r="N1300" s="89"/>
      <c r="O1300" s="92">
        <v>1.5125913E7</v>
      </c>
      <c r="P1300" s="92">
        <v>1.3014E7</v>
      </c>
      <c r="Q1300" s="89" t="s">
        <v>917</v>
      </c>
      <c r="AF1300" s="1"/>
      <c r="AG1300" s="1"/>
    </row>
    <row r="1301" ht="15.75" customHeight="1">
      <c r="A1301" s="1"/>
      <c r="B1301" s="1"/>
      <c r="C1301" s="1"/>
      <c r="D1301" s="1"/>
      <c r="E1301" s="1"/>
      <c r="F1301" s="1"/>
      <c r="G1301" s="1"/>
      <c r="H1301" s="1"/>
      <c r="I1301" s="1"/>
      <c r="J1301" s="1"/>
      <c r="K1301" s="89" t="s">
        <v>2216</v>
      </c>
      <c r="L1301" s="89" t="str">
        <f>D46</f>
        <v>C1a2</v>
      </c>
      <c r="M1301" s="89" t="s">
        <v>2217</v>
      </c>
      <c r="N1301" s="89"/>
      <c r="O1301" s="92">
        <v>1.566954E7</v>
      </c>
      <c r="P1301" s="92">
        <v>1.355766E7</v>
      </c>
      <c r="Q1301" s="89" t="s">
        <v>802</v>
      </c>
      <c r="AF1301" s="1"/>
      <c r="AG1301" s="1"/>
    </row>
    <row r="1302" ht="15.75" customHeight="1">
      <c r="A1302" s="1"/>
      <c r="B1302" s="1"/>
      <c r="C1302" s="1"/>
      <c r="D1302" s="1"/>
      <c r="E1302" s="1"/>
      <c r="F1302" s="1"/>
      <c r="G1302" s="1"/>
      <c r="H1302" s="1"/>
      <c r="I1302" s="1"/>
      <c r="J1302" s="1"/>
      <c r="K1302" s="89" t="s">
        <v>2217</v>
      </c>
      <c r="L1302" s="89" t="str">
        <f>D46</f>
        <v>C1a2</v>
      </c>
      <c r="M1302" s="89" t="s">
        <v>2216</v>
      </c>
      <c r="N1302" s="89"/>
      <c r="O1302" s="92">
        <v>1.566954E7</v>
      </c>
      <c r="P1302" s="92">
        <v>1.355766E7</v>
      </c>
      <c r="Q1302" s="89" t="s">
        <v>802</v>
      </c>
      <c r="AF1302" s="1"/>
      <c r="AG1302" s="1"/>
    </row>
    <row r="1303" ht="15.75" customHeight="1">
      <c r="A1303" s="1"/>
      <c r="B1303" s="1"/>
      <c r="C1303" s="1"/>
      <c r="D1303" s="1"/>
      <c r="E1303" s="1"/>
      <c r="F1303" s="1"/>
      <c r="G1303" s="1"/>
      <c r="H1303" s="1"/>
      <c r="I1303" s="1"/>
      <c r="J1303" s="1"/>
      <c r="K1303" s="89" t="s">
        <v>2218</v>
      </c>
      <c r="L1303" s="89" t="str">
        <f>D46</f>
        <v>C1a2</v>
      </c>
      <c r="M1303" s="89" t="s">
        <v>2219</v>
      </c>
      <c r="N1303" s="89"/>
      <c r="O1303" s="92">
        <v>1.5679297E7</v>
      </c>
      <c r="P1303" s="92">
        <v>1.3567417E7</v>
      </c>
      <c r="Q1303" s="89" t="s">
        <v>845</v>
      </c>
      <c r="AF1303" s="1"/>
      <c r="AG1303" s="1"/>
    </row>
    <row r="1304" ht="15.75" customHeight="1">
      <c r="A1304" s="1"/>
      <c r="B1304" s="1"/>
      <c r="C1304" s="1"/>
      <c r="D1304" s="1"/>
      <c r="E1304" s="1"/>
      <c r="F1304" s="1"/>
      <c r="G1304" s="1"/>
      <c r="H1304" s="1"/>
      <c r="I1304" s="1"/>
      <c r="J1304" s="1"/>
      <c r="K1304" s="89" t="s">
        <v>2219</v>
      </c>
      <c r="L1304" s="89" t="str">
        <f>D46</f>
        <v>C1a2</v>
      </c>
      <c r="M1304" s="89" t="s">
        <v>2218</v>
      </c>
      <c r="N1304" s="89"/>
      <c r="O1304" s="92">
        <v>1.5679297E7</v>
      </c>
      <c r="P1304" s="92">
        <v>1.3567417E7</v>
      </c>
      <c r="Q1304" s="89" t="s">
        <v>845</v>
      </c>
      <c r="AF1304" s="1"/>
      <c r="AG1304" s="1"/>
    </row>
    <row r="1305" ht="15.75" customHeight="1">
      <c r="A1305" s="1"/>
      <c r="B1305" s="1"/>
      <c r="C1305" s="1"/>
      <c r="D1305" s="1"/>
      <c r="E1305" s="1"/>
      <c r="F1305" s="1"/>
      <c r="G1305" s="1"/>
      <c r="H1305" s="1"/>
      <c r="I1305" s="1"/>
      <c r="J1305" s="1"/>
      <c r="K1305" s="89" t="s">
        <v>2220</v>
      </c>
      <c r="L1305" s="89" t="str">
        <f>D46</f>
        <v>C1a2</v>
      </c>
      <c r="M1305" s="89" t="s">
        <v>2221</v>
      </c>
      <c r="N1305" s="89"/>
      <c r="O1305" s="92">
        <v>1.5905338E7</v>
      </c>
      <c r="P1305" s="92">
        <v>1.3793458E7</v>
      </c>
      <c r="Q1305" s="89" t="s">
        <v>810</v>
      </c>
      <c r="AF1305" s="1"/>
      <c r="AG1305" s="1"/>
    </row>
    <row r="1306" ht="15.75" customHeight="1">
      <c r="A1306" s="1"/>
      <c r="B1306" s="1"/>
      <c r="C1306" s="1"/>
      <c r="D1306" s="1"/>
      <c r="E1306" s="1"/>
      <c r="F1306" s="1"/>
      <c r="G1306" s="1"/>
      <c r="H1306" s="1"/>
      <c r="I1306" s="1"/>
      <c r="J1306" s="1"/>
      <c r="K1306" s="89" t="s">
        <v>2221</v>
      </c>
      <c r="L1306" s="89" t="str">
        <f>D46</f>
        <v>C1a2</v>
      </c>
      <c r="M1306" s="89" t="s">
        <v>2220</v>
      </c>
      <c r="N1306" s="89"/>
      <c r="O1306" s="92">
        <v>1.5905338E7</v>
      </c>
      <c r="P1306" s="92">
        <v>1.3793458E7</v>
      </c>
      <c r="Q1306" s="89" t="s">
        <v>810</v>
      </c>
      <c r="AF1306" s="1"/>
      <c r="AG1306" s="1"/>
    </row>
    <row r="1307" ht="15.75" customHeight="1">
      <c r="A1307" s="1"/>
      <c r="B1307" s="1"/>
      <c r="C1307" s="1"/>
      <c r="D1307" s="1"/>
      <c r="E1307" s="1"/>
      <c r="F1307" s="1"/>
      <c r="G1307" s="1"/>
      <c r="H1307" s="1"/>
      <c r="I1307" s="1"/>
      <c r="J1307" s="1"/>
      <c r="K1307" s="89" t="s">
        <v>2222</v>
      </c>
      <c r="L1307" s="89" t="str">
        <f>D46</f>
        <v>C1a2</v>
      </c>
      <c r="M1307" s="89" t="s">
        <v>2223</v>
      </c>
      <c r="N1307" s="89"/>
      <c r="O1307" s="92">
        <v>1.5928086E7</v>
      </c>
      <c r="P1307" s="92">
        <v>1.3816206E7</v>
      </c>
      <c r="Q1307" s="89" t="s">
        <v>912</v>
      </c>
      <c r="AF1307" s="1"/>
      <c r="AG1307" s="1"/>
    </row>
    <row r="1308" ht="15.75" customHeight="1">
      <c r="A1308" s="1"/>
      <c r="B1308" s="1"/>
      <c r="C1308" s="1"/>
      <c r="D1308" s="1"/>
      <c r="E1308" s="1"/>
      <c r="F1308" s="1"/>
      <c r="G1308" s="1"/>
      <c r="H1308" s="1"/>
      <c r="I1308" s="1"/>
      <c r="J1308" s="1"/>
      <c r="K1308" s="89" t="s">
        <v>2223</v>
      </c>
      <c r="L1308" s="89" t="str">
        <f>D46</f>
        <v>C1a2</v>
      </c>
      <c r="M1308" s="89" t="s">
        <v>2222</v>
      </c>
      <c r="N1308" s="89"/>
      <c r="O1308" s="92">
        <v>1.5928086E7</v>
      </c>
      <c r="P1308" s="92">
        <v>1.3816206E7</v>
      </c>
      <c r="Q1308" s="89" t="s">
        <v>912</v>
      </c>
      <c r="AF1308" s="1"/>
      <c r="AG1308" s="1"/>
    </row>
    <row r="1309" ht="15.75" customHeight="1">
      <c r="A1309" s="1"/>
      <c r="B1309" s="1"/>
      <c r="C1309" s="1"/>
      <c r="D1309" s="1"/>
      <c r="E1309" s="1"/>
      <c r="F1309" s="1"/>
      <c r="G1309" s="1"/>
      <c r="H1309" s="1"/>
      <c r="I1309" s="1"/>
      <c r="J1309" s="1"/>
      <c r="K1309" s="89" t="s">
        <v>2224</v>
      </c>
      <c r="L1309" s="89" t="str">
        <f>D46</f>
        <v>C1a2</v>
      </c>
      <c r="M1309" s="89" t="s">
        <v>2225</v>
      </c>
      <c r="N1309" s="89"/>
      <c r="O1309" s="92">
        <v>1.5990441E7</v>
      </c>
      <c r="P1309" s="92">
        <v>1.3878561E7</v>
      </c>
      <c r="Q1309" s="89" t="s">
        <v>802</v>
      </c>
      <c r="AF1309" s="1"/>
      <c r="AG1309" s="1"/>
    </row>
    <row r="1310" ht="15.75" customHeight="1">
      <c r="A1310" s="1"/>
      <c r="B1310" s="1"/>
      <c r="C1310" s="1"/>
      <c r="D1310" s="1"/>
      <c r="E1310" s="1"/>
      <c r="F1310" s="1"/>
      <c r="G1310" s="1"/>
      <c r="H1310" s="1"/>
      <c r="I1310" s="1"/>
      <c r="J1310" s="1"/>
      <c r="K1310" s="89" t="s">
        <v>2225</v>
      </c>
      <c r="L1310" s="89" t="str">
        <f>D46</f>
        <v>C1a2</v>
      </c>
      <c r="M1310" s="89" t="s">
        <v>2224</v>
      </c>
      <c r="N1310" s="89"/>
      <c r="O1310" s="92">
        <v>1.5990441E7</v>
      </c>
      <c r="P1310" s="92">
        <v>1.3878561E7</v>
      </c>
      <c r="Q1310" s="89" t="s">
        <v>802</v>
      </c>
      <c r="AF1310" s="1"/>
      <c r="AG1310" s="1"/>
    </row>
    <row r="1311" ht="15.75" customHeight="1">
      <c r="A1311" s="1"/>
      <c r="B1311" s="1"/>
      <c r="C1311" s="1"/>
      <c r="D1311" s="1"/>
      <c r="E1311" s="1"/>
      <c r="F1311" s="1"/>
      <c r="G1311" s="1"/>
      <c r="H1311" s="1"/>
      <c r="I1311" s="1"/>
      <c r="J1311" s="1"/>
      <c r="K1311" s="89" t="s">
        <v>2226</v>
      </c>
      <c r="L1311" s="89" t="str">
        <f>D46</f>
        <v>C1a2</v>
      </c>
      <c r="M1311" s="89" t="s">
        <v>2227</v>
      </c>
      <c r="N1311" s="89" t="s">
        <v>2228</v>
      </c>
      <c r="O1311" s="92">
        <v>1.6263166E7</v>
      </c>
      <c r="P1311" s="92">
        <v>1.4151286E7</v>
      </c>
      <c r="Q1311" s="89" t="s">
        <v>802</v>
      </c>
      <c r="AF1311" s="1"/>
      <c r="AG1311" s="1"/>
    </row>
    <row r="1312" ht="15.75" customHeight="1">
      <c r="A1312" s="1"/>
      <c r="B1312" s="1"/>
      <c r="C1312" s="1"/>
      <c r="D1312" s="1"/>
      <c r="E1312" s="1"/>
      <c r="F1312" s="1"/>
      <c r="G1312" s="1"/>
      <c r="H1312" s="1"/>
      <c r="I1312" s="1"/>
      <c r="J1312" s="1"/>
      <c r="K1312" s="89" t="s">
        <v>2227</v>
      </c>
      <c r="L1312" s="89" t="str">
        <f>D46</f>
        <v>C1a2</v>
      </c>
      <c r="M1312" s="89" t="s">
        <v>2226</v>
      </c>
      <c r="N1312" s="89" t="s">
        <v>2228</v>
      </c>
      <c r="O1312" s="92">
        <v>1.6263166E7</v>
      </c>
      <c r="P1312" s="92">
        <v>1.4151286E7</v>
      </c>
      <c r="Q1312" s="89" t="s">
        <v>802</v>
      </c>
      <c r="AF1312" s="1"/>
      <c r="AG1312" s="1"/>
    </row>
    <row r="1313" ht="15.75" customHeight="1">
      <c r="A1313" s="1"/>
      <c r="B1313" s="1"/>
      <c r="C1313" s="1"/>
      <c r="D1313" s="1"/>
      <c r="E1313" s="1"/>
      <c r="F1313" s="1"/>
      <c r="G1313" s="1"/>
      <c r="H1313" s="1"/>
      <c r="I1313" s="1"/>
      <c r="J1313" s="1"/>
      <c r="K1313" s="89" t="s">
        <v>2229</v>
      </c>
      <c r="L1313" s="89" t="str">
        <f>D46</f>
        <v>C1a2</v>
      </c>
      <c r="M1313" s="89" t="s">
        <v>2230</v>
      </c>
      <c r="N1313" s="89" t="s">
        <v>2231</v>
      </c>
      <c r="O1313" s="92">
        <v>1.6407348E7</v>
      </c>
      <c r="P1313" s="92">
        <v>1.4295468E7</v>
      </c>
      <c r="Q1313" s="89" t="s">
        <v>917</v>
      </c>
      <c r="AF1313" s="1"/>
      <c r="AG1313" s="1"/>
    </row>
    <row r="1314" ht="15.75" customHeight="1">
      <c r="A1314" s="1"/>
      <c r="B1314" s="1"/>
      <c r="C1314" s="1"/>
      <c r="D1314" s="1"/>
      <c r="E1314" s="1"/>
      <c r="F1314" s="1"/>
      <c r="G1314" s="1"/>
      <c r="H1314" s="1"/>
      <c r="I1314" s="1"/>
      <c r="J1314" s="1"/>
      <c r="K1314" s="89" t="s">
        <v>2230</v>
      </c>
      <c r="L1314" s="89" t="str">
        <f>D46</f>
        <v>C1a2</v>
      </c>
      <c r="M1314" s="89" t="s">
        <v>2229</v>
      </c>
      <c r="N1314" s="89" t="s">
        <v>2231</v>
      </c>
      <c r="O1314" s="92">
        <v>1.6407348E7</v>
      </c>
      <c r="P1314" s="92">
        <v>1.4295468E7</v>
      </c>
      <c r="Q1314" s="89" t="s">
        <v>917</v>
      </c>
      <c r="AF1314" s="1"/>
      <c r="AG1314" s="1"/>
    </row>
    <row r="1315" ht="15.75" customHeight="1">
      <c r="A1315" s="1"/>
      <c r="B1315" s="1"/>
      <c r="C1315" s="1"/>
      <c r="D1315" s="1"/>
      <c r="E1315" s="1"/>
      <c r="F1315" s="1"/>
      <c r="G1315" s="1"/>
      <c r="H1315" s="1"/>
      <c r="I1315" s="1"/>
      <c r="J1315" s="1"/>
      <c r="K1315" s="89" t="s">
        <v>2232</v>
      </c>
      <c r="L1315" s="89" t="str">
        <f>D46</f>
        <v>C1a2</v>
      </c>
      <c r="M1315" s="89" t="s">
        <v>2233</v>
      </c>
      <c r="N1315" s="89" t="s">
        <v>2234</v>
      </c>
      <c r="O1315" s="92">
        <v>1.6407947E7</v>
      </c>
      <c r="P1315" s="92">
        <v>1.4296067E7</v>
      </c>
      <c r="Q1315" s="89" t="s">
        <v>810</v>
      </c>
      <c r="AF1315" s="1"/>
      <c r="AG1315" s="1"/>
    </row>
    <row r="1316" ht="15.75" customHeight="1">
      <c r="A1316" s="1"/>
      <c r="B1316" s="1"/>
      <c r="C1316" s="1"/>
      <c r="D1316" s="1"/>
      <c r="E1316" s="1"/>
      <c r="F1316" s="1"/>
      <c r="G1316" s="1"/>
      <c r="H1316" s="1"/>
      <c r="I1316" s="1"/>
      <c r="J1316" s="1"/>
      <c r="K1316" s="89" t="s">
        <v>2233</v>
      </c>
      <c r="L1316" s="89" t="str">
        <f>D46</f>
        <v>C1a2</v>
      </c>
      <c r="M1316" s="89" t="s">
        <v>2232</v>
      </c>
      <c r="N1316" s="89" t="s">
        <v>2234</v>
      </c>
      <c r="O1316" s="92">
        <v>1.6407947E7</v>
      </c>
      <c r="P1316" s="92">
        <v>1.4296067E7</v>
      </c>
      <c r="Q1316" s="89" t="s">
        <v>810</v>
      </c>
      <c r="AF1316" s="1"/>
      <c r="AG1316" s="1"/>
    </row>
    <row r="1317" ht="15.75" customHeight="1">
      <c r="A1317" s="1"/>
      <c r="B1317" s="1"/>
      <c r="C1317" s="1"/>
      <c r="D1317" s="1"/>
      <c r="E1317" s="1"/>
      <c r="F1317" s="1"/>
      <c r="G1317" s="1"/>
      <c r="H1317" s="1"/>
      <c r="I1317" s="1"/>
      <c r="J1317" s="1"/>
      <c r="K1317" s="89" t="s">
        <v>2235</v>
      </c>
      <c r="L1317" s="89" t="str">
        <f>D46</f>
        <v>C1a2</v>
      </c>
      <c r="M1317" s="89" t="s">
        <v>2236</v>
      </c>
      <c r="N1317" s="89" t="s">
        <v>2237</v>
      </c>
      <c r="O1317" s="92">
        <v>1.6435707E7</v>
      </c>
      <c r="P1317" s="92">
        <v>1.4323827E7</v>
      </c>
      <c r="Q1317" s="89" t="s">
        <v>879</v>
      </c>
      <c r="AF1317" s="1"/>
      <c r="AG1317" s="1"/>
    </row>
    <row r="1318" ht="15.75" customHeight="1">
      <c r="A1318" s="1"/>
      <c r="B1318" s="1"/>
      <c r="C1318" s="1"/>
      <c r="D1318" s="1"/>
      <c r="E1318" s="1"/>
      <c r="F1318" s="1"/>
      <c r="G1318" s="1"/>
      <c r="H1318" s="1"/>
      <c r="I1318" s="1"/>
      <c r="J1318" s="1"/>
      <c r="K1318" s="89" t="s">
        <v>2236</v>
      </c>
      <c r="L1318" s="89" t="str">
        <f>D46</f>
        <v>C1a2</v>
      </c>
      <c r="M1318" s="89" t="s">
        <v>2235</v>
      </c>
      <c r="N1318" s="89" t="s">
        <v>2237</v>
      </c>
      <c r="O1318" s="92">
        <v>1.6435707E7</v>
      </c>
      <c r="P1318" s="92">
        <v>1.4323827E7</v>
      </c>
      <c r="Q1318" s="89" t="s">
        <v>879</v>
      </c>
      <c r="AF1318" s="1"/>
      <c r="AG1318" s="1"/>
    </row>
    <row r="1319" ht="15.75" customHeight="1">
      <c r="A1319" s="1"/>
      <c r="B1319" s="1"/>
      <c r="C1319" s="1"/>
      <c r="D1319" s="1"/>
      <c r="E1319" s="1"/>
      <c r="F1319" s="1"/>
      <c r="G1319" s="1"/>
      <c r="H1319" s="1"/>
      <c r="I1319" s="1"/>
      <c r="J1319" s="1"/>
      <c r="K1319" s="89" t="s">
        <v>2238</v>
      </c>
      <c r="L1319" s="89" t="str">
        <f>D46</f>
        <v>C1a2</v>
      </c>
      <c r="M1319" s="89" t="s">
        <v>2239</v>
      </c>
      <c r="N1319" s="89"/>
      <c r="O1319" s="92">
        <v>1.6567209E7</v>
      </c>
      <c r="P1319" s="92">
        <v>1.4455329E7</v>
      </c>
      <c r="Q1319" s="89" t="s">
        <v>831</v>
      </c>
      <c r="AF1319" s="1"/>
      <c r="AG1319" s="1"/>
    </row>
    <row r="1320" ht="15.75" customHeight="1">
      <c r="A1320" s="1"/>
      <c r="B1320" s="1"/>
      <c r="C1320" s="1"/>
      <c r="D1320" s="1"/>
      <c r="E1320" s="1"/>
      <c r="F1320" s="1"/>
      <c r="G1320" s="1"/>
      <c r="H1320" s="1"/>
      <c r="I1320" s="1"/>
      <c r="J1320" s="1"/>
      <c r="K1320" s="89" t="s">
        <v>2239</v>
      </c>
      <c r="L1320" s="89" t="str">
        <f>D46</f>
        <v>C1a2</v>
      </c>
      <c r="M1320" s="89" t="s">
        <v>2238</v>
      </c>
      <c r="N1320" s="89"/>
      <c r="O1320" s="92">
        <v>1.6567209E7</v>
      </c>
      <c r="P1320" s="92">
        <v>1.4455329E7</v>
      </c>
      <c r="Q1320" s="89" t="s">
        <v>831</v>
      </c>
      <c r="AF1320" s="1"/>
      <c r="AG1320" s="1"/>
    </row>
    <row r="1321" ht="15.75" customHeight="1">
      <c r="A1321" s="1"/>
      <c r="B1321" s="1"/>
      <c r="C1321" s="1"/>
      <c r="D1321" s="1"/>
      <c r="E1321" s="1"/>
      <c r="F1321" s="1"/>
      <c r="G1321" s="1"/>
      <c r="H1321" s="1"/>
      <c r="I1321" s="1"/>
      <c r="J1321" s="1"/>
      <c r="K1321" s="89" t="s">
        <v>2240</v>
      </c>
      <c r="L1321" s="89" t="str">
        <f>D46</f>
        <v>C1a2</v>
      </c>
      <c r="M1321" s="89" t="s">
        <v>2241</v>
      </c>
      <c r="N1321" s="89" t="s">
        <v>2242</v>
      </c>
      <c r="O1321" s="92">
        <v>1.6569497E7</v>
      </c>
      <c r="P1321" s="92">
        <v>1.4457617E7</v>
      </c>
      <c r="Q1321" s="89" t="s">
        <v>822</v>
      </c>
      <c r="AF1321" s="1"/>
      <c r="AG1321" s="1"/>
    </row>
    <row r="1322" ht="15.75" customHeight="1">
      <c r="A1322" s="1"/>
      <c r="B1322" s="1"/>
      <c r="C1322" s="1"/>
      <c r="D1322" s="1"/>
      <c r="E1322" s="1"/>
      <c r="F1322" s="1"/>
      <c r="G1322" s="1"/>
      <c r="H1322" s="1"/>
      <c r="I1322" s="1"/>
      <c r="J1322" s="1"/>
      <c r="K1322" s="89" t="s">
        <v>2241</v>
      </c>
      <c r="L1322" s="89" t="str">
        <f>D46</f>
        <v>C1a2</v>
      </c>
      <c r="M1322" s="89" t="s">
        <v>2240</v>
      </c>
      <c r="N1322" s="89" t="s">
        <v>2242</v>
      </c>
      <c r="O1322" s="92">
        <v>1.6569497E7</v>
      </c>
      <c r="P1322" s="92">
        <v>1.4457617E7</v>
      </c>
      <c r="Q1322" s="89" t="s">
        <v>822</v>
      </c>
      <c r="AF1322" s="1"/>
      <c r="AG1322" s="1"/>
    </row>
    <row r="1323" ht="15.75" customHeight="1">
      <c r="A1323" s="1"/>
      <c r="B1323" s="1"/>
      <c r="C1323" s="1"/>
      <c r="D1323" s="1"/>
      <c r="E1323" s="1"/>
      <c r="F1323" s="1"/>
      <c r="G1323" s="1"/>
      <c r="H1323" s="1"/>
      <c r="I1323" s="1"/>
      <c r="J1323" s="1"/>
      <c r="K1323" s="89" t="s">
        <v>2243</v>
      </c>
      <c r="L1323" s="89" t="str">
        <f>D46</f>
        <v>C1a2</v>
      </c>
      <c r="M1323" s="89" t="s">
        <v>2244</v>
      </c>
      <c r="N1323" s="89"/>
      <c r="O1323" s="92">
        <v>1.6716968E7</v>
      </c>
      <c r="P1323" s="92">
        <v>1.4605088E7</v>
      </c>
      <c r="Q1323" s="89" t="s">
        <v>810</v>
      </c>
      <c r="AF1323" s="1"/>
      <c r="AG1323" s="1"/>
    </row>
    <row r="1324" ht="15.75" customHeight="1">
      <c r="A1324" s="1"/>
      <c r="B1324" s="1"/>
      <c r="C1324" s="1"/>
      <c r="D1324" s="1"/>
      <c r="E1324" s="1"/>
      <c r="F1324" s="1"/>
      <c r="G1324" s="1"/>
      <c r="H1324" s="1"/>
      <c r="I1324" s="1"/>
      <c r="J1324" s="1"/>
      <c r="K1324" s="89" t="s">
        <v>2244</v>
      </c>
      <c r="L1324" s="89" t="str">
        <f>D46</f>
        <v>C1a2</v>
      </c>
      <c r="M1324" s="89" t="s">
        <v>2243</v>
      </c>
      <c r="N1324" s="89"/>
      <c r="O1324" s="92">
        <v>1.6716968E7</v>
      </c>
      <c r="P1324" s="92">
        <v>1.4605088E7</v>
      </c>
      <c r="Q1324" s="89" t="s">
        <v>810</v>
      </c>
      <c r="AF1324" s="1"/>
      <c r="AG1324" s="1"/>
    </row>
    <row r="1325" ht="15.75" customHeight="1">
      <c r="A1325" s="1"/>
      <c r="B1325" s="1"/>
      <c r="C1325" s="1"/>
      <c r="D1325" s="1"/>
      <c r="E1325" s="1"/>
      <c r="F1325" s="1"/>
      <c r="G1325" s="1"/>
      <c r="H1325" s="1"/>
      <c r="I1325" s="1"/>
      <c r="J1325" s="1"/>
      <c r="K1325" s="89" t="s">
        <v>2245</v>
      </c>
      <c r="L1325" s="89" t="str">
        <f>D46</f>
        <v>C1a2</v>
      </c>
      <c r="M1325" s="89" t="s">
        <v>2246</v>
      </c>
      <c r="N1325" s="89" t="s">
        <v>2247</v>
      </c>
      <c r="O1325" s="92">
        <v>1.6819759E7</v>
      </c>
      <c r="P1325" s="92">
        <v>1.4707879E7</v>
      </c>
      <c r="Q1325" s="89" t="s">
        <v>822</v>
      </c>
      <c r="AF1325" s="1"/>
      <c r="AG1325" s="1"/>
    </row>
    <row r="1326" ht="15.75" customHeight="1">
      <c r="A1326" s="1"/>
      <c r="B1326" s="1"/>
      <c r="C1326" s="1"/>
      <c r="D1326" s="1"/>
      <c r="E1326" s="1"/>
      <c r="F1326" s="1"/>
      <c r="G1326" s="1"/>
      <c r="H1326" s="1"/>
      <c r="I1326" s="1"/>
      <c r="J1326" s="1"/>
      <c r="K1326" s="89" t="s">
        <v>2246</v>
      </c>
      <c r="L1326" s="89" t="str">
        <f>D46</f>
        <v>C1a2</v>
      </c>
      <c r="M1326" s="89" t="s">
        <v>2245</v>
      </c>
      <c r="N1326" s="89" t="s">
        <v>2247</v>
      </c>
      <c r="O1326" s="92">
        <v>1.6819759E7</v>
      </c>
      <c r="P1326" s="92">
        <v>1.4707879E7</v>
      </c>
      <c r="Q1326" s="89" t="s">
        <v>822</v>
      </c>
      <c r="AF1326" s="1"/>
      <c r="AG1326" s="1"/>
    </row>
    <row r="1327" ht="15.75" customHeight="1">
      <c r="A1327" s="1"/>
      <c r="B1327" s="1"/>
      <c r="C1327" s="1"/>
      <c r="D1327" s="1"/>
      <c r="E1327" s="1"/>
      <c r="F1327" s="1"/>
      <c r="G1327" s="1"/>
      <c r="H1327" s="1"/>
      <c r="I1327" s="1"/>
      <c r="J1327" s="1"/>
      <c r="K1327" s="89" t="s">
        <v>2248</v>
      </c>
      <c r="L1327" s="89" t="str">
        <f>D46</f>
        <v>C1a2</v>
      </c>
      <c r="M1327" s="89" t="s">
        <v>2249</v>
      </c>
      <c r="N1327" s="89" t="s">
        <v>2250</v>
      </c>
      <c r="O1327" s="92">
        <v>1.691205E7</v>
      </c>
      <c r="P1327" s="92">
        <v>1.480017E7</v>
      </c>
      <c r="Q1327" s="89" t="s">
        <v>822</v>
      </c>
      <c r="AF1327" s="1"/>
      <c r="AG1327" s="1"/>
    </row>
    <row r="1328" ht="15.75" customHeight="1">
      <c r="A1328" s="1"/>
      <c r="B1328" s="1"/>
      <c r="C1328" s="1"/>
      <c r="D1328" s="1"/>
      <c r="E1328" s="1"/>
      <c r="F1328" s="1"/>
      <c r="G1328" s="1"/>
      <c r="H1328" s="1"/>
      <c r="I1328" s="1"/>
      <c r="J1328" s="1"/>
      <c r="K1328" s="89" t="s">
        <v>2249</v>
      </c>
      <c r="L1328" s="89" t="str">
        <f>D46</f>
        <v>C1a2</v>
      </c>
      <c r="M1328" s="89" t="s">
        <v>2248</v>
      </c>
      <c r="N1328" s="89" t="s">
        <v>2250</v>
      </c>
      <c r="O1328" s="92">
        <v>1.691205E7</v>
      </c>
      <c r="P1328" s="92">
        <v>1.480017E7</v>
      </c>
      <c r="Q1328" s="89" t="s">
        <v>822</v>
      </c>
      <c r="AF1328" s="1"/>
      <c r="AG1328" s="1"/>
    </row>
    <row r="1329" ht="15.75" customHeight="1">
      <c r="A1329" s="1"/>
      <c r="B1329" s="1"/>
      <c r="C1329" s="1"/>
      <c r="D1329" s="1"/>
      <c r="E1329" s="1"/>
      <c r="F1329" s="1"/>
      <c r="G1329" s="1"/>
      <c r="H1329" s="1"/>
      <c r="I1329" s="1"/>
      <c r="J1329" s="1"/>
      <c r="K1329" s="89" t="s">
        <v>2251</v>
      </c>
      <c r="L1329" s="89" t="str">
        <f>D46</f>
        <v>C1a2</v>
      </c>
      <c r="M1329" s="89" t="s">
        <v>2252</v>
      </c>
      <c r="N1329" s="89" t="s">
        <v>2253</v>
      </c>
      <c r="O1329" s="92">
        <v>1.695632E7</v>
      </c>
      <c r="P1329" s="92">
        <v>1.484444E7</v>
      </c>
      <c r="Q1329" s="89" t="s">
        <v>802</v>
      </c>
      <c r="AF1329" s="1"/>
      <c r="AG1329" s="1"/>
    </row>
    <row r="1330" ht="15.75" customHeight="1">
      <c r="A1330" s="1"/>
      <c r="B1330" s="1"/>
      <c r="C1330" s="1"/>
      <c r="D1330" s="1"/>
      <c r="E1330" s="1"/>
      <c r="F1330" s="1"/>
      <c r="G1330" s="1"/>
      <c r="H1330" s="1"/>
      <c r="I1330" s="1"/>
      <c r="J1330" s="1"/>
      <c r="K1330" s="89" t="s">
        <v>2252</v>
      </c>
      <c r="L1330" s="89" t="str">
        <f>D46</f>
        <v>C1a2</v>
      </c>
      <c r="M1330" s="89" t="s">
        <v>2251</v>
      </c>
      <c r="N1330" s="89" t="s">
        <v>2253</v>
      </c>
      <c r="O1330" s="92">
        <v>1.695632E7</v>
      </c>
      <c r="P1330" s="92">
        <v>1.484444E7</v>
      </c>
      <c r="Q1330" s="89" t="s">
        <v>802</v>
      </c>
      <c r="AF1330" s="1"/>
      <c r="AG1330" s="1"/>
    </row>
    <row r="1331" ht="15.75" customHeight="1">
      <c r="A1331" s="1"/>
      <c r="B1331" s="1"/>
      <c r="C1331" s="1"/>
      <c r="D1331" s="1"/>
      <c r="E1331" s="1"/>
      <c r="F1331" s="1"/>
      <c r="G1331" s="1"/>
      <c r="H1331" s="1"/>
      <c r="I1331" s="1"/>
      <c r="J1331" s="1"/>
      <c r="K1331" s="89" t="s">
        <v>2254</v>
      </c>
      <c r="L1331" s="89" t="str">
        <f>D46</f>
        <v>C1a2</v>
      </c>
      <c r="M1331" s="89" t="s">
        <v>2255</v>
      </c>
      <c r="N1331" s="89" t="s">
        <v>2256</v>
      </c>
      <c r="O1331" s="92">
        <v>1.7303842E7</v>
      </c>
      <c r="P1331" s="92">
        <v>1.5191962E7</v>
      </c>
      <c r="Q1331" s="89" t="s">
        <v>802</v>
      </c>
      <c r="AF1331" s="1"/>
      <c r="AG1331" s="1"/>
    </row>
    <row r="1332" ht="15.75" customHeight="1">
      <c r="A1332" s="1"/>
      <c r="B1332" s="1"/>
      <c r="C1332" s="1"/>
      <c r="D1332" s="1"/>
      <c r="E1332" s="1"/>
      <c r="F1332" s="1"/>
      <c r="G1332" s="1"/>
      <c r="H1332" s="1"/>
      <c r="I1332" s="1"/>
      <c r="J1332" s="1"/>
      <c r="K1332" s="89" t="s">
        <v>2255</v>
      </c>
      <c r="L1332" s="89" t="str">
        <f>D46</f>
        <v>C1a2</v>
      </c>
      <c r="M1332" s="89" t="s">
        <v>2254</v>
      </c>
      <c r="N1332" s="89" t="s">
        <v>2256</v>
      </c>
      <c r="O1332" s="92">
        <v>1.7303842E7</v>
      </c>
      <c r="P1332" s="92">
        <v>1.5191962E7</v>
      </c>
      <c r="Q1332" s="89" t="s">
        <v>802</v>
      </c>
      <c r="AF1332" s="1"/>
      <c r="AG1332" s="1"/>
    </row>
    <row r="1333" ht="15.75" customHeight="1">
      <c r="A1333" s="1"/>
      <c r="B1333" s="1"/>
      <c r="C1333" s="1"/>
      <c r="D1333" s="1"/>
      <c r="E1333" s="1"/>
      <c r="F1333" s="1"/>
      <c r="G1333" s="1"/>
      <c r="H1333" s="1"/>
      <c r="I1333" s="1"/>
      <c r="J1333" s="1"/>
      <c r="K1333" s="89" t="s">
        <v>2257</v>
      </c>
      <c r="L1333" s="89" t="str">
        <f>D46</f>
        <v>C1a2</v>
      </c>
      <c r="M1333" s="89" t="s">
        <v>2258</v>
      </c>
      <c r="N1333" s="89" t="s">
        <v>2259</v>
      </c>
      <c r="O1333" s="92">
        <v>1.7445937E7</v>
      </c>
      <c r="P1333" s="92">
        <v>1.5334057E7</v>
      </c>
      <c r="Q1333" s="89" t="s">
        <v>838</v>
      </c>
      <c r="AF1333" s="1"/>
      <c r="AG1333" s="1"/>
    </row>
    <row r="1334" ht="15.75" customHeight="1">
      <c r="A1334" s="1"/>
      <c r="B1334" s="1"/>
      <c r="C1334" s="1"/>
      <c r="D1334" s="1"/>
      <c r="E1334" s="1"/>
      <c r="F1334" s="1"/>
      <c r="G1334" s="1"/>
      <c r="H1334" s="1"/>
      <c r="I1334" s="1"/>
      <c r="J1334" s="1"/>
      <c r="K1334" s="89" t="s">
        <v>2258</v>
      </c>
      <c r="L1334" s="89" t="str">
        <f>D46</f>
        <v>C1a2</v>
      </c>
      <c r="M1334" s="89" t="s">
        <v>2257</v>
      </c>
      <c r="N1334" s="89" t="s">
        <v>2259</v>
      </c>
      <c r="O1334" s="92">
        <v>1.7445937E7</v>
      </c>
      <c r="P1334" s="92">
        <v>1.5334057E7</v>
      </c>
      <c r="Q1334" s="89" t="s">
        <v>838</v>
      </c>
      <c r="AF1334" s="1"/>
      <c r="AG1334" s="1"/>
    </row>
    <row r="1335" ht="15.75" customHeight="1">
      <c r="A1335" s="1"/>
      <c r="B1335" s="1"/>
      <c r="C1335" s="1"/>
      <c r="D1335" s="1"/>
      <c r="E1335" s="1"/>
      <c r="F1335" s="1"/>
      <c r="G1335" s="1"/>
      <c r="H1335" s="1"/>
      <c r="I1335" s="1"/>
      <c r="J1335" s="1"/>
      <c r="K1335" s="89" t="s">
        <v>2260</v>
      </c>
      <c r="L1335" s="89" t="str">
        <f>D46</f>
        <v>C1a2</v>
      </c>
      <c r="M1335" s="89" t="s">
        <v>2261</v>
      </c>
      <c r="N1335" s="89" t="s">
        <v>2262</v>
      </c>
      <c r="O1335" s="92">
        <v>1.7580367E7</v>
      </c>
      <c r="P1335" s="92">
        <v>1.5468487E7</v>
      </c>
      <c r="Q1335" s="89" t="s">
        <v>810</v>
      </c>
      <c r="AF1335" s="1"/>
      <c r="AG1335" s="1"/>
    </row>
    <row r="1336" ht="15.75" customHeight="1">
      <c r="A1336" s="1"/>
      <c r="B1336" s="1"/>
      <c r="C1336" s="1"/>
      <c r="D1336" s="1"/>
      <c r="E1336" s="1"/>
      <c r="F1336" s="1"/>
      <c r="G1336" s="1"/>
      <c r="H1336" s="1"/>
      <c r="I1336" s="1"/>
      <c r="J1336" s="1"/>
      <c r="K1336" s="89" t="s">
        <v>2261</v>
      </c>
      <c r="L1336" s="89" t="str">
        <f>D46</f>
        <v>C1a2</v>
      </c>
      <c r="M1336" s="89" t="s">
        <v>2260</v>
      </c>
      <c r="N1336" s="89" t="s">
        <v>2262</v>
      </c>
      <c r="O1336" s="92">
        <v>1.7580367E7</v>
      </c>
      <c r="P1336" s="92">
        <v>1.5468487E7</v>
      </c>
      <c r="Q1336" s="89" t="s">
        <v>810</v>
      </c>
      <c r="AF1336" s="1"/>
      <c r="AG1336" s="1"/>
    </row>
    <row r="1337" ht="15.75" customHeight="1">
      <c r="A1337" s="1"/>
      <c r="B1337" s="1"/>
      <c r="C1337" s="1"/>
      <c r="D1337" s="1"/>
      <c r="E1337" s="1"/>
      <c r="F1337" s="1"/>
      <c r="G1337" s="1"/>
      <c r="H1337" s="1"/>
      <c r="I1337" s="1"/>
      <c r="J1337" s="1"/>
      <c r="K1337" s="89" t="s">
        <v>2263</v>
      </c>
      <c r="L1337" s="89" t="str">
        <f>D46</f>
        <v>C1a2</v>
      </c>
      <c r="M1337" s="89" t="s">
        <v>2264</v>
      </c>
      <c r="N1337" s="89" t="s">
        <v>2265</v>
      </c>
      <c r="O1337" s="92">
        <v>1.7666147E7</v>
      </c>
      <c r="P1337" s="92">
        <v>1.5554267E7</v>
      </c>
      <c r="Q1337" s="89" t="s">
        <v>802</v>
      </c>
      <c r="AF1337" s="1"/>
      <c r="AG1337" s="1"/>
    </row>
    <row r="1338" ht="15.75" customHeight="1">
      <c r="A1338" s="1"/>
      <c r="B1338" s="1"/>
      <c r="C1338" s="1"/>
      <c r="D1338" s="1"/>
      <c r="E1338" s="1"/>
      <c r="F1338" s="1"/>
      <c r="G1338" s="1"/>
      <c r="H1338" s="1"/>
      <c r="I1338" s="1"/>
      <c r="J1338" s="1"/>
      <c r="K1338" s="89" t="s">
        <v>2264</v>
      </c>
      <c r="L1338" s="89" t="str">
        <f>D46</f>
        <v>C1a2</v>
      </c>
      <c r="M1338" s="89" t="s">
        <v>2263</v>
      </c>
      <c r="N1338" s="89" t="s">
        <v>2265</v>
      </c>
      <c r="O1338" s="92">
        <v>1.7666147E7</v>
      </c>
      <c r="P1338" s="92">
        <v>1.5554267E7</v>
      </c>
      <c r="Q1338" s="89" t="s">
        <v>802</v>
      </c>
      <c r="AF1338" s="1"/>
      <c r="AG1338" s="1"/>
    </row>
    <row r="1339" ht="15.75" customHeight="1">
      <c r="A1339" s="1"/>
      <c r="B1339" s="1"/>
      <c r="C1339" s="1"/>
      <c r="D1339" s="1"/>
      <c r="E1339" s="1"/>
      <c r="F1339" s="1"/>
      <c r="G1339" s="1"/>
      <c r="H1339" s="1"/>
      <c r="I1339" s="1"/>
      <c r="J1339" s="1"/>
      <c r="K1339" s="89" t="s">
        <v>2266</v>
      </c>
      <c r="L1339" s="89" t="str">
        <f>D46</f>
        <v>C1a2</v>
      </c>
      <c r="M1339" s="89" t="s">
        <v>2267</v>
      </c>
      <c r="N1339" s="89" t="s">
        <v>2268</v>
      </c>
      <c r="O1339" s="92">
        <v>1.7671031E7</v>
      </c>
      <c r="P1339" s="92">
        <v>1.5559151E7</v>
      </c>
      <c r="Q1339" s="89" t="s">
        <v>822</v>
      </c>
      <c r="AF1339" s="1"/>
      <c r="AG1339" s="1"/>
    </row>
    <row r="1340" ht="15.75" customHeight="1">
      <c r="A1340" s="1"/>
      <c r="B1340" s="1"/>
      <c r="C1340" s="1"/>
      <c r="D1340" s="1"/>
      <c r="E1340" s="1"/>
      <c r="F1340" s="1"/>
      <c r="G1340" s="1"/>
      <c r="H1340" s="1"/>
      <c r="I1340" s="1"/>
      <c r="J1340" s="1"/>
      <c r="K1340" s="89" t="s">
        <v>2267</v>
      </c>
      <c r="L1340" s="89" t="str">
        <f>D46</f>
        <v>C1a2</v>
      </c>
      <c r="M1340" s="89" t="s">
        <v>2266</v>
      </c>
      <c r="N1340" s="89" t="s">
        <v>2268</v>
      </c>
      <c r="O1340" s="92">
        <v>1.7671031E7</v>
      </c>
      <c r="P1340" s="92">
        <v>1.5559151E7</v>
      </c>
      <c r="Q1340" s="89" t="s">
        <v>822</v>
      </c>
      <c r="AF1340" s="1"/>
      <c r="AG1340" s="1"/>
    </row>
    <row r="1341" ht="15.75" customHeight="1">
      <c r="A1341" s="1"/>
      <c r="B1341" s="1"/>
      <c r="C1341" s="1"/>
      <c r="D1341" s="1"/>
      <c r="E1341" s="1"/>
      <c r="F1341" s="1"/>
      <c r="G1341" s="1"/>
      <c r="H1341" s="1"/>
      <c r="I1341" s="1"/>
      <c r="J1341" s="1"/>
      <c r="K1341" s="89" t="s">
        <v>2269</v>
      </c>
      <c r="L1341" s="89" t="str">
        <f>D46</f>
        <v>C1a2</v>
      </c>
      <c r="M1341" s="89" t="s">
        <v>2270</v>
      </c>
      <c r="N1341" s="89"/>
      <c r="O1341" s="92">
        <v>1.7688162E7</v>
      </c>
      <c r="P1341" s="92">
        <v>1.5576282E7</v>
      </c>
      <c r="Q1341" s="89" t="s">
        <v>802</v>
      </c>
      <c r="AF1341" s="1"/>
      <c r="AG1341" s="1"/>
    </row>
    <row r="1342" ht="15.75" customHeight="1">
      <c r="A1342" s="1"/>
      <c r="B1342" s="1"/>
      <c r="C1342" s="1"/>
      <c r="D1342" s="1"/>
      <c r="E1342" s="1"/>
      <c r="F1342" s="1"/>
      <c r="G1342" s="1"/>
      <c r="H1342" s="1"/>
      <c r="I1342" s="1"/>
      <c r="J1342" s="1"/>
      <c r="K1342" s="89" t="s">
        <v>2270</v>
      </c>
      <c r="L1342" s="89" t="str">
        <f>D46</f>
        <v>C1a2</v>
      </c>
      <c r="M1342" s="89" t="s">
        <v>2269</v>
      </c>
      <c r="N1342" s="89"/>
      <c r="O1342" s="92">
        <v>1.7688162E7</v>
      </c>
      <c r="P1342" s="92">
        <v>1.5576282E7</v>
      </c>
      <c r="Q1342" s="89" t="s">
        <v>802</v>
      </c>
      <c r="AF1342" s="1"/>
      <c r="AG1342" s="1"/>
    </row>
    <row r="1343" ht="15.75" customHeight="1">
      <c r="A1343" s="1"/>
      <c r="B1343" s="1"/>
      <c r="C1343" s="1"/>
      <c r="D1343" s="1"/>
      <c r="E1343" s="1"/>
      <c r="F1343" s="1"/>
      <c r="G1343" s="1"/>
      <c r="H1343" s="1"/>
      <c r="I1343" s="1"/>
      <c r="J1343" s="1"/>
      <c r="K1343" s="89" t="s">
        <v>2271</v>
      </c>
      <c r="L1343" s="89" t="str">
        <f>D46</f>
        <v>C1a2</v>
      </c>
      <c r="M1343" s="89" t="s">
        <v>2272</v>
      </c>
      <c r="N1343" s="89"/>
      <c r="O1343" s="92">
        <v>1.7689221E7</v>
      </c>
      <c r="P1343" s="92">
        <v>1.5577341E7</v>
      </c>
      <c r="Q1343" s="89" t="s">
        <v>917</v>
      </c>
      <c r="AF1343" s="1"/>
      <c r="AG1343" s="1"/>
    </row>
    <row r="1344" ht="15.75" customHeight="1">
      <c r="A1344" s="1"/>
      <c r="B1344" s="1"/>
      <c r="C1344" s="1"/>
      <c r="D1344" s="1"/>
      <c r="E1344" s="1"/>
      <c r="F1344" s="1"/>
      <c r="G1344" s="1"/>
      <c r="H1344" s="1"/>
      <c r="I1344" s="1"/>
      <c r="J1344" s="1"/>
      <c r="K1344" s="89" t="s">
        <v>2272</v>
      </c>
      <c r="L1344" s="89" t="str">
        <f>D46</f>
        <v>C1a2</v>
      </c>
      <c r="M1344" s="89" t="s">
        <v>2271</v>
      </c>
      <c r="N1344" s="89"/>
      <c r="O1344" s="92">
        <v>1.7689221E7</v>
      </c>
      <c r="P1344" s="92">
        <v>1.5577341E7</v>
      </c>
      <c r="Q1344" s="89" t="s">
        <v>917</v>
      </c>
      <c r="AF1344" s="1"/>
      <c r="AG1344" s="1"/>
    </row>
    <row r="1345" ht="15.75" customHeight="1">
      <c r="A1345" s="1"/>
      <c r="B1345" s="1"/>
      <c r="C1345" s="1"/>
      <c r="D1345" s="1"/>
      <c r="E1345" s="1"/>
      <c r="F1345" s="1"/>
      <c r="G1345" s="1"/>
      <c r="H1345" s="1"/>
      <c r="I1345" s="1"/>
      <c r="J1345" s="1"/>
      <c r="K1345" s="89" t="s">
        <v>2273</v>
      </c>
      <c r="L1345" s="89" t="str">
        <f>D46</f>
        <v>C1a2</v>
      </c>
      <c r="M1345" s="89" t="s">
        <v>2274</v>
      </c>
      <c r="N1345" s="89" t="s">
        <v>2275</v>
      </c>
      <c r="O1345" s="92">
        <v>1.7765047E7</v>
      </c>
      <c r="P1345" s="92">
        <v>1.5653167E7</v>
      </c>
      <c r="Q1345" s="89" t="s">
        <v>917</v>
      </c>
      <c r="AF1345" s="1"/>
      <c r="AG1345" s="1"/>
    </row>
    <row r="1346" ht="15.75" customHeight="1">
      <c r="A1346" s="1"/>
      <c r="B1346" s="1"/>
      <c r="C1346" s="1"/>
      <c r="D1346" s="1"/>
      <c r="E1346" s="1"/>
      <c r="F1346" s="1"/>
      <c r="G1346" s="1"/>
      <c r="H1346" s="1"/>
      <c r="I1346" s="1"/>
      <c r="J1346" s="1"/>
      <c r="K1346" s="89" t="s">
        <v>2274</v>
      </c>
      <c r="L1346" s="89" t="str">
        <f>D46</f>
        <v>C1a2</v>
      </c>
      <c r="M1346" s="89" t="s">
        <v>2273</v>
      </c>
      <c r="N1346" s="89" t="s">
        <v>2275</v>
      </c>
      <c r="O1346" s="92">
        <v>1.7765047E7</v>
      </c>
      <c r="P1346" s="92">
        <v>1.5653167E7</v>
      </c>
      <c r="Q1346" s="89" t="s">
        <v>917</v>
      </c>
      <c r="AF1346" s="1"/>
      <c r="AG1346" s="1"/>
    </row>
    <row r="1347" ht="15.75" customHeight="1">
      <c r="A1347" s="1"/>
      <c r="B1347" s="1"/>
      <c r="C1347" s="1"/>
      <c r="D1347" s="1"/>
      <c r="E1347" s="1"/>
      <c r="F1347" s="1"/>
      <c r="G1347" s="1"/>
      <c r="H1347" s="1"/>
      <c r="I1347" s="1"/>
      <c r="J1347" s="1"/>
      <c r="K1347" s="89" t="s">
        <v>2276</v>
      </c>
      <c r="L1347" s="89" t="str">
        <f>D46</f>
        <v>C1a2</v>
      </c>
      <c r="M1347" s="89" t="s">
        <v>2277</v>
      </c>
      <c r="N1347" s="89"/>
      <c r="O1347" s="92">
        <v>1.7791999E7</v>
      </c>
      <c r="P1347" s="92">
        <v>1.5680119E7</v>
      </c>
      <c r="Q1347" s="89" t="s">
        <v>810</v>
      </c>
      <c r="AF1347" s="1"/>
      <c r="AG1347" s="1"/>
    </row>
    <row r="1348" ht="15.75" customHeight="1">
      <c r="A1348" s="1"/>
      <c r="B1348" s="1"/>
      <c r="C1348" s="1"/>
      <c r="D1348" s="1"/>
      <c r="E1348" s="1"/>
      <c r="F1348" s="1"/>
      <c r="G1348" s="1"/>
      <c r="H1348" s="1"/>
      <c r="I1348" s="1"/>
      <c r="J1348" s="1"/>
      <c r="K1348" s="89" t="s">
        <v>2277</v>
      </c>
      <c r="L1348" s="89" t="str">
        <f>D46</f>
        <v>C1a2</v>
      </c>
      <c r="M1348" s="89" t="s">
        <v>2276</v>
      </c>
      <c r="N1348" s="89"/>
      <c r="O1348" s="92">
        <v>1.7791999E7</v>
      </c>
      <c r="P1348" s="92">
        <v>1.5680119E7</v>
      </c>
      <c r="Q1348" s="89" t="s">
        <v>810</v>
      </c>
      <c r="AF1348" s="1"/>
      <c r="AG1348" s="1"/>
    </row>
    <row r="1349" ht="15.75" customHeight="1">
      <c r="A1349" s="1"/>
      <c r="B1349" s="1"/>
      <c r="C1349" s="1"/>
      <c r="D1349" s="1"/>
      <c r="E1349" s="1"/>
      <c r="F1349" s="1"/>
      <c r="G1349" s="1"/>
      <c r="H1349" s="1"/>
      <c r="I1349" s="1"/>
      <c r="J1349" s="1"/>
      <c r="K1349" s="89" t="s">
        <v>2278</v>
      </c>
      <c r="L1349" s="89" t="str">
        <f>D46</f>
        <v>C1a2</v>
      </c>
      <c r="M1349" s="89" t="s">
        <v>2279</v>
      </c>
      <c r="N1349" s="89" t="s">
        <v>2280</v>
      </c>
      <c r="O1349" s="92">
        <v>1.7880509E7</v>
      </c>
      <c r="P1349" s="92">
        <v>1.5768629E7</v>
      </c>
      <c r="Q1349" s="89" t="s">
        <v>813</v>
      </c>
      <c r="AF1349" s="1"/>
      <c r="AG1349" s="1"/>
    </row>
    <row r="1350" ht="15.75" customHeight="1">
      <c r="A1350" s="1"/>
      <c r="B1350" s="1"/>
      <c r="C1350" s="1"/>
      <c r="D1350" s="1"/>
      <c r="E1350" s="1"/>
      <c r="F1350" s="1"/>
      <c r="G1350" s="1"/>
      <c r="H1350" s="1"/>
      <c r="I1350" s="1"/>
      <c r="J1350" s="1"/>
      <c r="K1350" s="89" t="s">
        <v>2279</v>
      </c>
      <c r="L1350" s="89" t="str">
        <f>D46</f>
        <v>C1a2</v>
      </c>
      <c r="M1350" s="89" t="s">
        <v>2278</v>
      </c>
      <c r="N1350" s="89" t="s">
        <v>2280</v>
      </c>
      <c r="O1350" s="92">
        <v>1.7880509E7</v>
      </c>
      <c r="P1350" s="92">
        <v>1.5768629E7</v>
      </c>
      <c r="Q1350" s="89" t="s">
        <v>813</v>
      </c>
      <c r="AF1350" s="1"/>
      <c r="AG1350" s="1"/>
    </row>
    <row r="1351" ht="15.75" customHeight="1">
      <c r="A1351" s="1"/>
      <c r="B1351" s="1"/>
      <c r="C1351" s="1"/>
      <c r="D1351" s="1"/>
      <c r="E1351" s="1"/>
      <c r="F1351" s="1"/>
      <c r="G1351" s="1"/>
      <c r="H1351" s="1"/>
      <c r="I1351" s="1"/>
      <c r="J1351" s="1"/>
      <c r="K1351" s="89" t="s">
        <v>2281</v>
      </c>
      <c r="L1351" s="89" t="str">
        <f>D46</f>
        <v>C1a2</v>
      </c>
      <c r="M1351" s="89" t="s">
        <v>2282</v>
      </c>
      <c r="N1351" s="89" t="s">
        <v>2283</v>
      </c>
      <c r="O1351" s="92">
        <v>1.7970997E7</v>
      </c>
      <c r="P1351" s="92">
        <v>1.5859117E7</v>
      </c>
      <c r="Q1351" s="89" t="s">
        <v>802</v>
      </c>
      <c r="AF1351" s="1"/>
      <c r="AG1351" s="1"/>
    </row>
    <row r="1352" ht="15.75" customHeight="1">
      <c r="A1352" s="1"/>
      <c r="B1352" s="1"/>
      <c r="C1352" s="1"/>
      <c r="D1352" s="1"/>
      <c r="E1352" s="1"/>
      <c r="F1352" s="1"/>
      <c r="G1352" s="1"/>
      <c r="H1352" s="1"/>
      <c r="I1352" s="1"/>
      <c r="J1352" s="1"/>
      <c r="K1352" s="89" t="s">
        <v>2282</v>
      </c>
      <c r="L1352" s="89" t="str">
        <f>D46</f>
        <v>C1a2</v>
      </c>
      <c r="M1352" s="89" t="s">
        <v>2281</v>
      </c>
      <c r="N1352" s="89" t="s">
        <v>2283</v>
      </c>
      <c r="O1352" s="92">
        <v>1.7970997E7</v>
      </c>
      <c r="P1352" s="92">
        <v>1.5859117E7</v>
      </c>
      <c r="Q1352" s="89" t="s">
        <v>802</v>
      </c>
      <c r="AF1352" s="1"/>
      <c r="AG1352" s="1"/>
    </row>
    <row r="1353" ht="15.75" customHeight="1">
      <c r="A1353" s="1"/>
      <c r="B1353" s="1"/>
      <c r="C1353" s="1"/>
      <c r="D1353" s="1"/>
      <c r="E1353" s="1"/>
      <c r="F1353" s="1"/>
      <c r="G1353" s="1"/>
      <c r="H1353" s="1"/>
      <c r="I1353" s="1"/>
      <c r="J1353" s="1"/>
      <c r="K1353" s="89" t="s">
        <v>2284</v>
      </c>
      <c r="L1353" s="89" t="str">
        <f>D46</f>
        <v>C1a2</v>
      </c>
      <c r="M1353" s="89" t="s">
        <v>2285</v>
      </c>
      <c r="N1353" s="89"/>
      <c r="O1353" s="92">
        <v>1.7979017E7</v>
      </c>
      <c r="P1353" s="92">
        <v>1.5867137E7</v>
      </c>
      <c r="Q1353" s="89" t="s">
        <v>838</v>
      </c>
      <c r="AF1353" s="1"/>
      <c r="AG1353" s="1"/>
    </row>
    <row r="1354" ht="15.75" customHeight="1">
      <c r="A1354" s="1"/>
      <c r="B1354" s="1"/>
      <c r="C1354" s="1"/>
      <c r="D1354" s="1"/>
      <c r="E1354" s="1"/>
      <c r="F1354" s="1"/>
      <c r="G1354" s="1"/>
      <c r="H1354" s="1"/>
      <c r="I1354" s="1"/>
      <c r="J1354" s="1"/>
      <c r="K1354" s="89" t="s">
        <v>2285</v>
      </c>
      <c r="L1354" s="89" t="str">
        <f>D46</f>
        <v>C1a2</v>
      </c>
      <c r="M1354" s="89" t="s">
        <v>2284</v>
      </c>
      <c r="N1354" s="89"/>
      <c r="O1354" s="92">
        <v>1.7979017E7</v>
      </c>
      <c r="P1354" s="92">
        <v>1.5867137E7</v>
      </c>
      <c r="Q1354" s="89" t="s">
        <v>838</v>
      </c>
      <c r="AF1354" s="1"/>
      <c r="AG1354" s="1"/>
    </row>
    <row r="1355" ht="15.75" customHeight="1">
      <c r="A1355" s="1"/>
      <c r="B1355" s="1"/>
      <c r="C1355" s="1"/>
      <c r="D1355" s="1"/>
      <c r="E1355" s="1"/>
      <c r="F1355" s="1"/>
      <c r="G1355" s="1"/>
      <c r="H1355" s="1"/>
      <c r="I1355" s="1"/>
      <c r="J1355" s="1"/>
      <c r="K1355" s="89" t="s">
        <v>2286</v>
      </c>
      <c r="L1355" s="89" t="str">
        <f>D46</f>
        <v>C1a2</v>
      </c>
      <c r="M1355" s="89" t="s">
        <v>2287</v>
      </c>
      <c r="N1355" s="89"/>
      <c r="O1355" s="92">
        <v>1.8199208E7</v>
      </c>
      <c r="P1355" s="92">
        <v>1.6087328E7</v>
      </c>
      <c r="Q1355" s="89" t="s">
        <v>838</v>
      </c>
      <c r="AF1355" s="1"/>
      <c r="AG1355" s="1"/>
    </row>
    <row r="1356" ht="15.75" customHeight="1">
      <c r="A1356" s="1"/>
      <c r="B1356" s="1"/>
      <c r="C1356" s="1"/>
      <c r="D1356" s="1"/>
      <c r="E1356" s="1"/>
      <c r="F1356" s="1"/>
      <c r="G1356" s="1"/>
      <c r="H1356" s="1"/>
      <c r="I1356" s="1"/>
      <c r="J1356" s="1"/>
      <c r="K1356" s="89" t="s">
        <v>2287</v>
      </c>
      <c r="L1356" s="89" t="str">
        <f>D46</f>
        <v>C1a2</v>
      </c>
      <c r="M1356" s="89" t="s">
        <v>2286</v>
      </c>
      <c r="N1356" s="89"/>
      <c r="O1356" s="92">
        <v>1.8199208E7</v>
      </c>
      <c r="P1356" s="92">
        <v>1.6087328E7</v>
      </c>
      <c r="Q1356" s="89" t="s">
        <v>838</v>
      </c>
      <c r="AF1356" s="1"/>
      <c r="AG1356" s="1"/>
    </row>
    <row r="1357" ht="15.75" customHeight="1">
      <c r="A1357" s="1"/>
      <c r="B1357" s="1"/>
      <c r="C1357" s="1"/>
      <c r="D1357" s="1"/>
      <c r="E1357" s="1"/>
      <c r="F1357" s="1"/>
      <c r="G1357" s="1"/>
      <c r="H1357" s="1"/>
      <c r="I1357" s="1"/>
      <c r="J1357" s="1"/>
      <c r="K1357" s="89" t="s">
        <v>2288</v>
      </c>
      <c r="L1357" s="89" t="str">
        <f>D46</f>
        <v>C1a2</v>
      </c>
      <c r="M1357" s="89" t="s">
        <v>2289</v>
      </c>
      <c r="N1357" s="89" t="s">
        <v>2290</v>
      </c>
      <c r="O1357" s="92">
        <v>1.824683E7</v>
      </c>
      <c r="P1357" s="92">
        <v>1.613495E7</v>
      </c>
      <c r="Q1357" s="89" t="s">
        <v>802</v>
      </c>
      <c r="AF1357" s="1"/>
      <c r="AG1357" s="1"/>
    </row>
    <row r="1358" ht="15.75" customHeight="1">
      <c r="A1358" s="1"/>
      <c r="B1358" s="1"/>
      <c r="C1358" s="1"/>
      <c r="D1358" s="1"/>
      <c r="E1358" s="1"/>
      <c r="F1358" s="1"/>
      <c r="G1358" s="1"/>
      <c r="H1358" s="1"/>
      <c r="I1358" s="1"/>
      <c r="J1358" s="1"/>
      <c r="K1358" s="89" t="s">
        <v>2289</v>
      </c>
      <c r="L1358" s="89" t="str">
        <f>D46</f>
        <v>C1a2</v>
      </c>
      <c r="M1358" s="89" t="s">
        <v>2288</v>
      </c>
      <c r="N1358" s="89" t="s">
        <v>2290</v>
      </c>
      <c r="O1358" s="92">
        <v>1.824683E7</v>
      </c>
      <c r="P1358" s="92">
        <v>1.613495E7</v>
      </c>
      <c r="Q1358" s="89" t="s">
        <v>802</v>
      </c>
      <c r="AF1358" s="1"/>
      <c r="AG1358" s="1"/>
    </row>
    <row r="1359" ht="15.75" customHeight="1">
      <c r="A1359" s="1"/>
      <c r="B1359" s="1"/>
      <c r="C1359" s="1"/>
      <c r="D1359" s="1"/>
      <c r="E1359" s="1"/>
      <c r="F1359" s="1"/>
      <c r="G1359" s="1"/>
      <c r="H1359" s="1"/>
      <c r="I1359" s="1"/>
      <c r="J1359" s="1"/>
      <c r="K1359" s="89" t="s">
        <v>2291</v>
      </c>
      <c r="L1359" s="89" t="str">
        <f>D46</f>
        <v>C1a2</v>
      </c>
      <c r="M1359" s="89" t="s">
        <v>2292</v>
      </c>
      <c r="N1359" s="89" t="s">
        <v>2293</v>
      </c>
      <c r="O1359" s="92">
        <v>1.8251467E7</v>
      </c>
      <c r="P1359" s="92">
        <v>1.6139587E7</v>
      </c>
      <c r="Q1359" s="89" t="s">
        <v>912</v>
      </c>
      <c r="AF1359" s="1"/>
      <c r="AG1359" s="1"/>
    </row>
    <row r="1360" ht="15.75" customHeight="1">
      <c r="A1360" s="1"/>
      <c r="B1360" s="1"/>
      <c r="C1360" s="1"/>
      <c r="D1360" s="1"/>
      <c r="E1360" s="1"/>
      <c r="F1360" s="1"/>
      <c r="G1360" s="1"/>
      <c r="H1360" s="1"/>
      <c r="I1360" s="1"/>
      <c r="J1360" s="1"/>
      <c r="K1360" s="89" t="s">
        <v>2292</v>
      </c>
      <c r="L1360" s="89" t="str">
        <f>D46</f>
        <v>C1a2</v>
      </c>
      <c r="M1360" s="89" t="s">
        <v>2291</v>
      </c>
      <c r="N1360" s="89" t="s">
        <v>2293</v>
      </c>
      <c r="O1360" s="92">
        <v>1.8251467E7</v>
      </c>
      <c r="P1360" s="92">
        <v>1.6139587E7</v>
      </c>
      <c r="Q1360" s="89" t="s">
        <v>912</v>
      </c>
      <c r="AF1360" s="1"/>
      <c r="AG1360" s="1"/>
    </row>
    <row r="1361" ht="15.75" customHeight="1">
      <c r="A1361" s="1"/>
      <c r="B1361" s="1"/>
      <c r="C1361" s="1"/>
      <c r="D1361" s="1"/>
      <c r="E1361" s="1"/>
      <c r="F1361" s="1"/>
      <c r="G1361" s="1"/>
      <c r="H1361" s="1"/>
      <c r="I1361" s="1"/>
      <c r="J1361" s="1"/>
      <c r="K1361" s="89" t="s">
        <v>2294</v>
      </c>
      <c r="L1361" s="89" t="str">
        <f>D46</f>
        <v>C1a2</v>
      </c>
      <c r="M1361" s="89" t="s">
        <v>2295</v>
      </c>
      <c r="N1361" s="89" t="s">
        <v>2296</v>
      </c>
      <c r="O1361" s="92">
        <v>1.825698E7</v>
      </c>
      <c r="P1361" s="92">
        <v>1.61451E7</v>
      </c>
      <c r="Q1361" s="89" t="s">
        <v>810</v>
      </c>
      <c r="AF1361" s="1"/>
      <c r="AG1361" s="1"/>
    </row>
    <row r="1362" ht="15.75" customHeight="1">
      <c r="A1362" s="1"/>
      <c r="B1362" s="1"/>
      <c r="C1362" s="1"/>
      <c r="D1362" s="1"/>
      <c r="E1362" s="1"/>
      <c r="F1362" s="1"/>
      <c r="G1362" s="1"/>
      <c r="H1362" s="1"/>
      <c r="I1362" s="1"/>
      <c r="J1362" s="1"/>
      <c r="K1362" s="89" t="s">
        <v>2295</v>
      </c>
      <c r="L1362" s="89" t="str">
        <f>D46</f>
        <v>C1a2</v>
      </c>
      <c r="M1362" s="89" t="s">
        <v>2294</v>
      </c>
      <c r="N1362" s="89" t="s">
        <v>2296</v>
      </c>
      <c r="O1362" s="92">
        <v>1.825698E7</v>
      </c>
      <c r="P1362" s="92">
        <v>1.61451E7</v>
      </c>
      <c r="Q1362" s="89" t="s">
        <v>810</v>
      </c>
      <c r="AF1362" s="1"/>
      <c r="AG1362" s="1"/>
    </row>
    <row r="1363" ht="15.75" customHeight="1">
      <c r="A1363" s="1"/>
      <c r="B1363" s="1"/>
      <c r="C1363" s="1"/>
      <c r="D1363" s="1"/>
      <c r="E1363" s="1"/>
      <c r="F1363" s="1"/>
      <c r="G1363" s="1"/>
      <c r="H1363" s="1"/>
      <c r="I1363" s="1"/>
      <c r="J1363" s="1"/>
      <c r="K1363" s="89" t="s">
        <v>2297</v>
      </c>
      <c r="L1363" s="89" t="str">
        <f>D46</f>
        <v>C1a2</v>
      </c>
      <c r="M1363" s="89" t="s">
        <v>2298</v>
      </c>
      <c r="N1363" s="89"/>
      <c r="O1363" s="92">
        <v>1.8260723E7</v>
      </c>
      <c r="P1363" s="92">
        <v>1.6148843E7</v>
      </c>
      <c r="Q1363" s="89" t="s">
        <v>838</v>
      </c>
      <c r="AF1363" s="1"/>
      <c r="AG1363" s="1"/>
    </row>
    <row r="1364" ht="15.75" customHeight="1">
      <c r="A1364" s="1"/>
      <c r="B1364" s="1"/>
      <c r="C1364" s="1"/>
      <c r="D1364" s="1"/>
      <c r="E1364" s="1"/>
      <c r="F1364" s="1"/>
      <c r="G1364" s="1"/>
      <c r="H1364" s="1"/>
      <c r="I1364" s="1"/>
      <c r="J1364" s="1"/>
      <c r="K1364" s="89" t="s">
        <v>2298</v>
      </c>
      <c r="L1364" s="89" t="str">
        <f>D46</f>
        <v>C1a2</v>
      </c>
      <c r="M1364" s="89" t="s">
        <v>2297</v>
      </c>
      <c r="N1364" s="89"/>
      <c r="O1364" s="92">
        <v>1.8260723E7</v>
      </c>
      <c r="P1364" s="92">
        <v>1.6148843E7</v>
      </c>
      <c r="Q1364" s="89" t="s">
        <v>838</v>
      </c>
      <c r="AF1364" s="1"/>
      <c r="AG1364" s="1"/>
    </row>
    <row r="1365" ht="15.75" customHeight="1">
      <c r="A1365" s="1"/>
      <c r="B1365" s="1"/>
      <c r="C1365" s="1"/>
      <c r="D1365" s="1"/>
      <c r="E1365" s="1"/>
      <c r="F1365" s="1"/>
      <c r="G1365" s="1"/>
      <c r="H1365" s="1"/>
      <c r="I1365" s="1"/>
      <c r="J1365" s="1"/>
      <c r="K1365" s="89" t="s">
        <v>2299</v>
      </c>
      <c r="L1365" s="89" t="str">
        <f>D46</f>
        <v>C1a2</v>
      </c>
      <c r="M1365" s="89" t="s">
        <v>2300</v>
      </c>
      <c r="N1365" s="89"/>
      <c r="O1365" s="92">
        <v>1.8394594E7</v>
      </c>
      <c r="P1365" s="92">
        <v>1.6282714E7</v>
      </c>
      <c r="Q1365" s="89" t="s">
        <v>838</v>
      </c>
      <c r="AF1365" s="1"/>
      <c r="AG1365" s="1"/>
    </row>
    <row r="1366" ht="15.75" customHeight="1">
      <c r="A1366" s="1"/>
      <c r="B1366" s="1"/>
      <c r="C1366" s="1"/>
      <c r="D1366" s="1"/>
      <c r="E1366" s="1"/>
      <c r="F1366" s="1"/>
      <c r="G1366" s="1"/>
      <c r="H1366" s="1"/>
      <c r="I1366" s="1"/>
      <c r="J1366" s="1"/>
      <c r="K1366" s="89" t="s">
        <v>2300</v>
      </c>
      <c r="L1366" s="89" t="str">
        <f>D46</f>
        <v>C1a2</v>
      </c>
      <c r="M1366" s="89" t="s">
        <v>2299</v>
      </c>
      <c r="N1366" s="89"/>
      <c r="O1366" s="92">
        <v>1.8394594E7</v>
      </c>
      <c r="P1366" s="92">
        <v>1.6282714E7</v>
      </c>
      <c r="Q1366" s="89" t="s">
        <v>838</v>
      </c>
      <c r="AF1366" s="1"/>
      <c r="AG1366" s="1"/>
    </row>
    <row r="1367" ht="15.75" customHeight="1">
      <c r="A1367" s="1"/>
      <c r="B1367" s="1"/>
      <c r="C1367" s="1"/>
      <c r="D1367" s="1"/>
      <c r="E1367" s="1"/>
      <c r="F1367" s="1"/>
      <c r="G1367" s="1"/>
      <c r="H1367" s="1"/>
      <c r="I1367" s="1"/>
      <c r="J1367" s="1"/>
      <c r="K1367" s="89" t="s">
        <v>2301</v>
      </c>
      <c r="L1367" s="89" t="str">
        <f>D46</f>
        <v>C1a2</v>
      </c>
      <c r="M1367" s="89" t="s">
        <v>2302</v>
      </c>
      <c r="N1367" s="89"/>
      <c r="O1367" s="92">
        <v>1.8399231E7</v>
      </c>
      <c r="P1367" s="92">
        <v>1.6287351E7</v>
      </c>
      <c r="Q1367" s="89" t="s">
        <v>917</v>
      </c>
      <c r="AF1367" s="1"/>
      <c r="AG1367" s="1"/>
    </row>
    <row r="1368" ht="15.75" customHeight="1">
      <c r="A1368" s="1"/>
      <c r="B1368" s="1"/>
      <c r="C1368" s="1"/>
      <c r="D1368" s="1"/>
      <c r="E1368" s="1"/>
      <c r="F1368" s="1"/>
      <c r="G1368" s="1"/>
      <c r="H1368" s="1"/>
      <c r="I1368" s="1"/>
      <c r="J1368" s="1"/>
      <c r="K1368" s="89" t="s">
        <v>2302</v>
      </c>
      <c r="L1368" s="89" t="str">
        <f>D46</f>
        <v>C1a2</v>
      </c>
      <c r="M1368" s="89" t="s">
        <v>2301</v>
      </c>
      <c r="N1368" s="89"/>
      <c r="O1368" s="92">
        <v>1.8399231E7</v>
      </c>
      <c r="P1368" s="92">
        <v>1.6287351E7</v>
      </c>
      <c r="Q1368" s="89" t="s">
        <v>917</v>
      </c>
      <c r="AF1368" s="1"/>
      <c r="AG1368" s="1"/>
    </row>
    <row r="1369" ht="15.75" customHeight="1">
      <c r="A1369" s="1"/>
      <c r="B1369" s="1"/>
      <c r="C1369" s="1"/>
      <c r="D1369" s="1"/>
      <c r="E1369" s="1"/>
      <c r="F1369" s="1"/>
      <c r="G1369" s="1"/>
      <c r="H1369" s="1"/>
      <c r="I1369" s="1"/>
      <c r="J1369" s="1"/>
      <c r="K1369" s="89" t="s">
        <v>2303</v>
      </c>
      <c r="L1369" s="89" t="str">
        <f>D46</f>
        <v>C1a2</v>
      </c>
      <c r="M1369" s="89" t="s">
        <v>2304</v>
      </c>
      <c r="N1369" s="89"/>
      <c r="O1369" s="92">
        <v>1.8672689E7</v>
      </c>
      <c r="P1369" s="92">
        <v>1.6560809E7</v>
      </c>
      <c r="Q1369" s="89" t="s">
        <v>813</v>
      </c>
      <c r="AF1369" s="1"/>
      <c r="AG1369" s="1"/>
    </row>
    <row r="1370" ht="15.75" customHeight="1">
      <c r="A1370" s="1"/>
      <c r="B1370" s="1"/>
      <c r="C1370" s="1"/>
      <c r="D1370" s="1"/>
      <c r="E1370" s="1"/>
      <c r="F1370" s="1"/>
      <c r="G1370" s="1"/>
      <c r="H1370" s="1"/>
      <c r="I1370" s="1"/>
      <c r="J1370" s="1"/>
      <c r="K1370" s="89" t="s">
        <v>2304</v>
      </c>
      <c r="L1370" s="89" t="str">
        <f>D46</f>
        <v>C1a2</v>
      </c>
      <c r="M1370" s="89" t="s">
        <v>2303</v>
      </c>
      <c r="N1370" s="89"/>
      <c r="O1370" s="92">
        <v>1.8672689E7</v>
      </c>
      <c r="P1370" s="92">
        <v>1.6560809E7</v>
      </c>
      <c r="Q1370" s="89" t="s">
        <v>813</v>
      </c>
      <c r="AF1370" s="1"/>
      <c r="AG1370" s="1"/>
    </row>
    <row r="1371" ht="15.75" customHeight="1">
      <c r="A1371" s="1"/>
      <c r="B1371" s="1"/>
      <c r="C1371" s="1"/>
      <c r="D1371" s="1"/>
      <c r="E1371" s="1"/>
      <c r="F1371" s="1"/>
      <c r="G1371" s="1"/>
      <c r="H1371" s="1"/>
      <c r="I1371" s="1"/>
      <c r="J1371" s="1"/>
      <c r="K1371" s="89" t="s">
        <v>2305</v>
      </c>
      <c r="L1371" s="89" t="str">
        <f>D46</f>
        <v>C1a2</v>
      </c>
      <c r="M1371" s="89" t="s">
        <v>2306</v>
      </c>
      <c r="N1371" s="89"/>
      <c r="O1371" s="92">
        <v>1.9077475E7</v>
      </c>
      <c r="P1371" s="92">
        <v>1.6965595E7</v>
      </c>
      <c r="Q1371" s="89" t="s">
        <v>810</v>
      </c>
      <c r="AF1371" s="1"/>
      <c r="AG1371" s="1"/>
    </row>
    <row r="1372" ht="15.75" customHeight="1">
      <c r="A1372" s="1"/>
      <c r="B1372" s="1"/>
      <c r="C1372" s="1"/>
      <c r="D1372" s="1"/>
      <c r="E1372" s="1"/>
      <c r="F1372" s="1"/>
      <c r="G1372" s="1"/>
      <c r="H1372" s="1"/>
      <c r="I1372" s="1"/>
      <c r="J1372" s="1"/>
      <c r="K1372" s="89" t="s">
        <v>2306</v>
      </c>
      <c r="L1372" s="89" t="str">
        <f>D46</f>
        <v>C1a2</v>
      </c>
      <c r="M1372" s="89" t="s">
        <v>2305</v>
      </c>
      <c r="N1372" s="89"/>
      <c r="O1372" s="92">
        <v>1.9077475E7</v>
      </c>
      <c r="P1372" s="92">
        <v>1.6965595E7</v>
      </c>
      <c r="Q1372" s="89" t="s">
        <v>810</v>
      </c>
      <c r="AF1372" s="1"/>
      <c r="AG1372" s="1"/>
    </row>
    <row r="1373" ht="15.75" customHeight="1">
      <c r="A1373" s="1"/>
      <c r="B1373" s="1"/>
      <c r="C1373" s="1"/>
      <c r="D1373" s="1"/>
      <c r="E1373" s="1"/>
      <c r="F1373" s="1"/>
      <c r="G1373" s="1"/>
      <c r="H1373" s="1"/>
      <c r="I1373" s="1"/>
      <c r="J1373" s="1"/>
      <c r="K1373" s="89" t="s">
        <v>2307</v>
      </c>
      <c r="L1373" s="89" t="str">
        <f>D46</f>
        <v>C1a2</v>
      </c>
      <c r="M1373" s="89" t="s">
        <v>2308</v>
      </c>
      <c r="N1373" s="89" t="s">
        <v>2309</v>
      </c>
      <c r="O1373" s="92">
        <v>2.109905E7</v>
      </c>
      <c r="P1373" s="92">
        <v>1.8937164E7</v>
      </c>
      <c r="Q1373" s="89" t="s">
        <v>802</v>
      </c>
      <c r="AF1373" s="1"/>
      <c r="AG1373" s="1"/>
    </row>
    <row r="1374" ht="15.75" customHeight="1">
      <c r="A1374" s="1"/>
      <c r="B1374" s="1"/>
      <c r="C1374" s="1"/>
      <c r="D1374" s="1"/>
      <c r="E1374" s="1"/>
      <c r="F1374" s="1"/>
      <c r="G1374" s="1"/>
      <c r="H1374" s="1"/>
      <c r="I1374" s="1"/>
      <c r="J1374" s="1"/>
      <c r="K1374" s="89" t="s">
        <v>2308</v>
      </c>
      <c r="L1374" s="89" t="str">
        <f>D46</f>
        <v>C1a2</v>
      </c>
      <c r="M1374" s="89" t="s">
        <v>2307</v>
      </c>
      <c r="N1374" s="89" t="s">
        <v>2309</v>
      </c>
      <c r="O1374" s="92">
        <v>2.109905E7</v>
      </c>
      <c r="P1374" s="92">
        <v>1.8937164E7</v>
      </c>
      <c r="Q1374" s="89" t="s">
        <v>802</v>
      </c>
      <c r="AF1374" s="1"/>
      <c r="AG1374" s="1"/>
    </row>
    <row r="1375" ht="15.75" customHeight="1">
      <c r="A1375" s="1"/>
      <c r="B1375" s="1"/>
      <c r="C1375" s="1"/>
      <c r="D1375" s="1"/>
      <c r="E1375" s="1"/>
      <c r="F1375" s="1"/>
      <c r="G1375" s="1"/>
      <c r="H1375" s="1"/>
      <c r="I1375" s="1"/>
      <c r="J1375" s="1"/>
      <c r="K1375" s="89" t="s">
        <v>2310</v>
      </c>
      <c r="L1375" s="89" t="str">
        <f>D46</f>
        <v>C1a2</v>
      </c>
      <c r="M1375" s="89" t="s">
        <v>2311</v>
      </c>
      <c r="N1375" s="89"/>
      <c r="O1375" s="92">
        <v>2.1143412E7</v>
      </c>
      <c r="P1375" s="92">
        <v>1.8981526E7</v>
      </c>
      <c r="Q1375" s="89" t="s">
        <v>810</v>
      </c>
      <c r="AF1375" s="1"/>
      <c r="AG1375" s="1"/>
    </row>
    <row r="1376" ht="15.75" customHeight="1">
      <c r="A1376" s="1"/>
      <c r="B1376" s="1"/>
      <c r="C1376" s="1"/>
      <c r="D1376" s="1"/>
      <c r="E1376" s="1"/>
      <c r="F1376" s="1"/>
      <c r="G1376" s="1"/>
      <c r="H1376" s="1"/>
      <c r="I1376" s="1"/>
      <c r="J1376" s="1"/>
      <c r="K1376" s="89" t="s">
        <v>2311</v>
      </c>
      <c r="L1376" s="89" t="str">
        <f>D46</f>
        <v>C1a2</v>
      </c>
      <c r="M1376" s="89" t="s">
        <v>2310</v>
      </c>
      <c r="N1376" s="89"/>
      <c r="O1376" s="92">
        <v>2.1143412E7</v>
      </c>
      <c r="P1376" s="92">
        <v>1.8981526E7</v>
      </c>
      <c r="Q1376" s="89" t="s">
        <v>810</v>
      </c>
      <c r="AF1376" s="1"/>
      <c r="AG1376" s="1"/>
    </row>
    <row r="1377" ht="15.75" customHeight="1">
      <c r="A1377" s="1"/>
      <c r="B1377" s="1"/>
      <c r="C1377" s="1"/>
      <c r="D1377" s="1"/>
      <c r="E1377" s="1"/>
      <c r="F1377" s="1"/>
      <c r="G1377" s="1"/>
      <c r="H1377" s="1"/>
      <c r="I1377" s="1"/>
      <c r="J1377" s="1"/>
      <c r="K1377" s="89" t="s">
        <v>2312</v>
      </c>
      <c r="L1377" s="89" t="str">
        <f>D46</f>
        <v>C1a2</v>
      </c>
      <c r="M1377" s="89" t="s">
        <v>2313</v>
      </c>
      <c r="N1377" s="89"/>
      <c r="O1377" s="92">
        <v>2.1179751E7</v>
      </c>
      <c r="P1377" s="92">
        <v>1.9017865E7</v>
      </c>
      <c r="Q1377" s="89" t="s">
        <v>912</v>
      </c>
      <c r="AF1377" s="1"/>
      <c r="AG1377" s="1"/>
    </row>
    <row r="1378" ht="15.75" customHeight="1">
      <c r="A1378" s="1"/>
      <c r="B1378" s="1"/>
      <c r="C1378" s="1"/>
      <c r="D1378" s="1"/>
      <c r="E1378" s="1"/>
      <c r="F1378" s="1"/>
      <c r="G1378" s="1"/>
      <c r="H1378" s="1"/>
      <c r="I1378" s="1"/>
      <c r="J1378" s="1"/>
      <c r="K1378" s="89" t="s">
        <v>2313</v>
      </c>
      <c r="L1378" s="89" t="str">
        <f>D46</f>
        <v>C1a2</v>
      </c>
      <c r="M1378" s="89" t="s">
        <v>2312</v>
      </c>
      <c r="N1378" s="89"/>
      <c r="O1378" s="92">
        <v>2.1179751E7</v>
      </c>
      <c r="P1378" s="92">
        <v>1.9017865E7</v>
      </c>
      <c r="Q1378" s="89" t="s">
        <v>912</v>
      </c>
      <c r="AF1378" s="1"/>
      <c r="AG1378" s="1"/>
    </row>
    <row r="1379" ht="15.75" customHeight="1">
      <c r="A1379" s="1"/>
      <c r="B1379" s="1"/>
      <c r="C1379" s="1"/>
      <c r="D1379" s="1"/>
      <c r="E1379" s="1"/>
      <c r="F1379" s="1"/>
      <c r="G1379" s="1"/>
      <c r="H1379" s="1"/>
      <c r="I1379" s="1"/>
      <c r="J1379" s="1"/>
      <c r="K1379" s="89" t="s">
        <v>2314</v>
      </c>
      <c r="L1379" s="89" t="str">
        <f>D46</f>
        <v>C1a2</v>
      </c>
      <c r="M1379" s="89" t="s">
        <v>2315</v>
      </c>
      <c r="N1379" s="89"/>
      <c r="O1379" s="92">
        <v>2.1194569E7</v>
      </c>
      <c r="P1379" s="92">
        <v>1.9032683E7</v>
      </c>
      <c r="Q1379" s="89" t="s">
        <v>822</v>
      </c>
      <c r="AF1379" s="1"/>
      <c r="AG1379" s="1"/>
    </row>
    <row r="1380" ht="15.75" customHeight="1">
      <c r="A1380" s="1"/>
      <c r="B1380" s="1"/>
      <c r="C1380" s="1"/>
      <c r="D1380" s="1"/>
      <c r="E1380" s="1"/>
      <c r="F1380" s="1"/>
      <c r="G1380" s="1"/>
      <c r="H1380" s="1"/>
      <c r="I1380" s="1"/>
      <c r="J1380" s="1"/>
      <c r="K1380" s="89" t="s">
        <v>2315</v>
      </c>
      <c r="L1380" s="89" t="str">
        <f>D46</f>
        <v>C1a2</v>
      </c>
      <c r="M1380" s="89" t="s">
        <v>2314</v>
      </c>
      <c r="N1380" s="89"/>
      <c r="O1380" s="92">
        <v>2.1194569E7</v>
      </c>
      <c r="P1380" s="92">
        <v>1.9032683E7</v>
      </c>
      <c r="Q1380" s="89" t="s">
        <v>822</v>
      </c>
      <c r="AF1380" s="1"/>
      <c r="AG1380" s="1"/>
    </row>
    <row r="1381" ht="15.75" customHeight="1">
      <c r="A1381" s="1"/>
      <c r="B1381" s="1"/>
      <c r="C1381" s="1"/>
      <c r="D1381" s="1"/>
      <c r="E1381" s="1"/>
      <c r="F1381" s="1"/>
      <c r="G1381" s="1"/>
      <c r="H1381" s="1"/>
      <c r="I1381" s="1"/>
      <c r="J1381" s="1"/>
      <c r="K1381" s="89" t="s">
        <v>2316</v>
      </c>
      <c r="L1381" s="89" t="str">
        <f>D46</f>
        <v>C1a2</v>
      </c>
      <c r="M1381" s="89" t="s">
        <v>2317</v>
      </c>
      <c r="N1381" s="89"/>
      <c r="O1381" s="92">
        <v>2.1265778E7</v>
      </c>
      <c r="P1381" s="92">
        <v>1.9103892E7</v>
      </c>
      <c r="Q1381" s="89" t="s">
        <v>810</v>
      </c>
      <c r="AF1381" s="1"/>
      <c r="AG1381" s="1"/>
    </row>
    <row r="1382" ht="15.75" customHeight="1">
      <c r="A1382" s="1"/>
      <c r="B1382" s="1"/>
      <c r="C1382" s="1"/>
      <c r="D1382" s="1"/>
      <c r="E1382" s="1"/>
      <c r="F1382" s="1"/>
      <c r="G1382" s="1"/>
      <c r="H1382" s="1"/>
      <c r="I1382" s="1"/>
      <c r="J1382" s="1"/>
      <c r="K1382" s="89" t="s">
        <v>2317</v>
      </c>
      <c r="L1382" s="89" t="str">
        <f>D46</f>
        <v>C1a2</v>
      </c>
      <c r="M1382" s="89" t="s">
        <v>2316</v>
      </c>
      <c r="N1382" s="89"/>
      <c r="O1382" s="92">
        <v>2.1265778E7</v>
      </c>
      <c r="P1382" s="92">
        <v>1.9103892E7</v>
      </c>
      <c r="Q1382" s="89" t="s">
        <v>810</v>
      </c>
      <c r="AF1382" s="1"/>
      <c r="AG1382" s="1"/>
    </row>
    <row r="1383" ht="15.75" customHeight="1">
      <c r="A1383" s="1"/>
      <c r="B1383" s="1"/>
      <c r="C1383" s="1"/>
      <c r="D1383" s="1"/>
      <c r="E1383" s="1"/>
      <c r="F1383" s="1"/>
      <c r="G1383" s="1"/>
      <c r="H1383" s="1"/>
      <c r="I1383" s="1"/>
      <c r="J1383" s="1"/>
      <c r="K1383" s="89" t="s">
        <v>2318</v>
      </c>
      <c r="L1383" s="89" t="str">
        <f>D46</f>
        <v>C1a2</v>
      </c>
      <c r="M1383" s="89" t="s">
        <v>2319</v>
      </c>
      <c r="N1383" s="89"/>
      <c r="O1383" s="92">
        <v>2.1303462E7</v>
      </c>
      <c r="P1383" s="92">
        <v>1.9141576E7</v>
      </c>
      <c r="Q1383" s="89" t="s">
        <v>917</v>
      </c>
      <c r="AF1383" s="1"/>
      <c r="AG1383" s="1"/>
    </row>
    <row r="1384" ht="15.75" customHeight="1">
      <c r="A1384" s="1"/>
      <c r="B1384" s="1"/>
      <c r="C1384" s="1"/>
      <c r="D1384" s="1"/>
      <c r="E1384" s="1"/>
      <c r="F1384" s="1"/>
      <c r="G1384" s="1"/>
      <c r="H1384" s="1"/>
      <c r="I1384" s="1"/>
      <c r="J1384" s="1"/>
      <c r="K1384" s="89" t="s">
        <v>2319</v>
      </c>
      <c r="L1384" s="89" t="str">
        <f>D46</f>
        <v>C1a2</v>
      </c>
      <c r="M1384" s="89" t="s">
        <v>2318</v>
      </c>
      <c r="N1384" s="89"/>
      <c r="O1384" s="92">
        <v>2.1303462E7</v>
      </c>
      <c r="P1384" s="92">
        <v>1.9141576E7</v>
      </c>
      <c r="Q1384" s="89" t="s">
        <v>917</v>
      </c>
      <c r="AF1384" s="1"/>
      <c r="AG1384" s="1"/>
    </row>
    <row r="1385" ht="15.75" customHeight="1">
      <c r="A1385" s="1"/>
      <c r="B1385" s="1"/>
      <c r="C1385" s="1"/>
      <c r="D1385" s="1"/>
      <c r="E1385" s="1"/>
      <c r="F1385" s="1"/>
      <c r="G1385" s="1"/>
      <c r="H1385" s="1"/>
      <c r="I1385" s="1"/>
      <c r="J1385" s="1"/>
      <c r="K1385" s="89" t="s">
        <v>2320</v>
      </c>
      <c r="L1385" s="89" t="str">
        <f>D46</f>
        <v>C1a2</v>
      </c>
      <c r="M1385" s="89" t="s">
        <v>2321</v>
      </c>
      <c r="N1385" s="89"/>
      <c r="O1385" s="92">
        <v>2.1366348E7</v>
      </c>
      <c r="P1385" s="92">
        <v>1.9204462E7</v>
      </c>
      <c r="Q1385" s="89" t="s">
        <v>838</v>
      </c>
      <c r="AF1385" s="1"/>
      <c r="AG1385" s="1"/>
    </row>
    <row r="1386" ht="15.75" customHeight="1">
      <c r="A1386" s="1"/>
      <c r="B1386" s="1"/>
      <c r="C1386" s="1"/>
      <c r="D1386" s="1"/>
      <c r="E1386" s="1"/>
      <c r="F1386" s="1"/>
      <c r="G1386" s="1"/>
      <c r="H1386" s="1"/>
      <c r="I1386" s="1"/>
      <c r="J1386" s="1"/>
      <c r="K1386" s="89" t="s">
        <v>2321</v>
      </c>
      <c r="L1386" s="89" t="str">
        <f>D46</f>
        <v>C1a2</v>
      </c>
      <c r="M1386" s="89" t="s">
        <v>2320</v>
      </c>
      <c r="N1386" s="89"/>
      <c r="O1386" s="92">
        <v>2.1366348E7</v>
      </c>
      <c r="P1386" s="92">
        <v>1.9204462E7</v>
      </c>
      <c r="Q1386" s="89" t="s">
        <v>838</v>
      </c>
      <c r="AF1386" s="1"/>
      <c r="AG1386" s="1"/>
    </row>
    <row r="1387" ht="15.75" customHeight="1">
      <c r="A1387" s="1"/>
      <c r="B1387" s="1"/>
      <c r="C1387" s="1"/>
      <c r="D1387" s="1"/>
      <c r="E1387" s="1"/>
      <c r="F1387" s="1"/>
      <c r="G1387" s="1"/>
      <c r="H1387" s="1"/>
      <c r="I1387" s="1"/>
      <c r="J1387" s="1"/>
      <c r="K1387" s="89" t="s">
        <v>2322</v>
      </c>
      <c r="L1387" s="89" t="str">
        <f>D46</f>
        <v>C1a2</v>
      </c>
      <c r="M1387" s="89" t="s">
        <v>2323</v>
      </c>
      <c r="N1387" s="89"/>
      <c r="O1387" s="92">
        <v>2.1688302E7</v>
      </c>
      <c r="P1387" s="92">
        <v>1.9526416E7</v>
      </c>
      <c r="Q1387" s="89" t="s">
        <v>802</v>
      </c>
      <c r="AF1387" s="1"/>
      <c r="AG1387" s="1"/>
    </row>
    <row r="1388" ht="15.75" customHeight="1">
      <c r="A1388" s="1"/>
      <c r="B1388" s="1"/>
      <c r="C1388" s="1"/>
      <c r="D1388" s="1"/>
      <c r="E1388" s="1"/>
      <c r="F1388" s="1"/>
      <c r="G1388" s="1"/>
      <c r="H1388" s="1"/>
      <c r="I1388" s="1"/>
      <c r="J1388" s="1"/>
      <c r="K1388" s="89" t="s">
        <v>2323</v>
      </c>
      <c r="L1388" s="89" t="str">
        <f>D46</f>
        <v>C1a2</v>
      </c>
      <c r="M1388" s="89" t="s">
        <v>2322</v>
      </c>
      <c r="N1388" s="89"/>
      <c r="O1388" s="92">
        <v>2.1688302E7</v>
      </c>
      <c r="P1388" s="92">
        <v>1.9526416E7</v>
      </c>
      <c r="Q1388" s="89" t="s">
        <v>802</v>
      </c>
      <c r="AF1388" s="1"/>
      <c r="AG1388" s="1"/>
    </row>
    <row r="1389" ht="15.75" customHeight="1">
      <c r="A1389" s="1"/>
      <c r="B1389" s="1"/>
      <c r="C1389" s="1"/>
      <c r="D1389" s="1"/>
      <c r="E1389" s="1"/>
      <c r="F1389" s="1"/>
      <c r="G1389" s="1"/>
      <c r="H1389" s="1"/>
      <c r="I1389" s="1"/>
      <c r="J1389" s="1"/>
      <c r="K1389" s="89" t="s">
        <v>2324</v>
      </c>
      <c r="L1389" s="89" t="str">
        <f>D46</f>
        <v>C1a2</v>
      </c>
      <c r="M1389" s="89" t="s">
        <v>2325</v>
      </c>
      <c r="N1389" s="89" t="s">
        <v>2326</v>
      </c>
      <c r="O1389" s="92">
        <v>2.1712317E7</v>
      </c>
      <c r="P1389" s="92">
        <v>1.9550431E7</v>
      </c>
      <c r="Q1389" s="89" t="s">
        <v>822</v>
      </c>
      <c r="AF1389" s="1"/>
      <c r="AG1389" s="1"/>
    </row>
    <row r="1390" ht="15.75" customHeight="1">
      <c r="A1390" s="1"/>
      <c r="B1390" s="1"/>
      <c r="C1390" s="1"/>
      <c r="D1390" s="1"/>
      <c r="E1390" s="1"/>
      <c r="F1390" s="1"/>
      <c r="G1390" s="1"/>
      <c r="H1390" s="1"/>
      <c r="I1390" s="1"/>
      <c r="J1390" s="1"/>
      <c r="K1390" s="89" t="s">
        <v>2325</v>
      </c>
      <c r="L1390" s="89" t="str">
        <f>D46</f>
        <v>C1a2</v>
      </c>
      <c r="M1390" s="89" t="s">
        <v>2324</v>
      </c>
      <c r="N1390" s="89" t="s">
        <v>2326</v>
      </c>
      <c r="O1390" s="92">
        <v>2.1712317E7</v>
      </c>
      <c r="P1390" s="92">
        <v>1.9550431E7</v>
      </c>
      <c r="Q1390" s="89" t="s">
        <v>822</v>
      </c>
      <c r="AF1390" s="1"/>
      <c r="AG1390" s="1"/>
    </row>
    <row r="1391" ht="15.75" customHeight="1">
      <c r="A1391" s="1"/>
      <c r="B1391" s="1"/>
      <c r="C1391" s="1"/>
      <c r="D1391" s="1"/>
      <c r="E1391" s="1"/>
      <c r="F1391" s="1"/>
      <c r="G1391" s="1"/>
      <c r="H1391" s="1"/>
      <c r="I1391" s="1"/>
      <c r="J1391" s="1"/>
      <c r="K1391" s="89" t="s">
        <v>2327</v>
      </c>
      <c r="L1391" s="89" t="str">
        <f>D46</f>
        <v>C1a2</v>
      </c>
      <c r="M1391" s="89" t="s">
        <v>2328</v>
      </c>
      <c r="N1391" s="89"/>
      <c r="O1391" s="92">
        <v>2.1771914E7</v>
      </c>
      <c r="P1391" s="92">
        <v>1.9610028E7</v>
      </c>
      <c r="Q1391" s="89" t="s">
        <v>802</v>
      </c>
      <c r="AF1391" s="1"/>
      <c r="AG1391" s="1"/>
    </row>
    <row r="1392" ht="15.75" customHeight="1">
      <c r="A1392" s="1"/>
      <c r="B1392" s="1"/>
      <c r="C1392" s="1"/>
      <c r="D1392" s="1"/>
      <c r="E1392" s="1"/>
      <c r="F1392" s="1"/>
      <c r="G1392" s="1"/>
      <c r="H1392" s="1"/>
      <c r="I1392" s="1"/>
      <c r="J1392" s="1"/>
      <c r="K1392" s="89" t="s">
        <v>2328</v>
      </c>
      <c r="L1392" s="89" t="str">
        <f>D46</f>
        <v>C1a2</v>
      </c>
      <c r="M1392" s="89" t="s">
        <v>2327</v>
      </c>
      <c r="N1392" s="89"/>
      <c r="O1392" s="92">
        <v>2.1771914E7</v>
      </c>
      <c r="P1392" s="92">
        <v>1.9610028E7</v>
      </c>
      <c r="Q1392" s="89" t="s">
        <v>802</v>
      </c>
      <c r="AF1392" s="1"/>
      <c r="AG1392" s="1"/>
    </row>
    <row r="1393" ht="15.75" customHeight="1">
      <c r="A1393" s="1"/>
      <c r="B1393" s="1"/>
      <c r="C1393" s="1"/>
      <c r="D1393" s="1"/>
      <c r="E1393" s="1"/>
      <c r="F1393" s="1"/>
      <c r="G1393" s="1"/>
      <c r="H1393" s="1"/>
      <c r="I1393" s="1"/>
      <c r="J1393" s="1"/>
      <c r="K1393" s="89" t="s">
        <v>2329</v>
      </c>
      <c r="L1393" s="89" t="str">
        <f>D46</f>
        <v>C1a2</v>
      </c>
      <c r="M1393" s="89" t="s">
        <v>2330</v>
      </c>
      <c r="N1393" s="89"/>
      <c r="O1393" s="92">
        <v>2.1854113E7</v>
      </c>
      <c r="P1393" s="92">
        <v>1.9692227E7</v>
      </c>
      <c r="Q1393" s="89" t="s">
        <v>802</v>
      </c>
      <c r="AF1393" s="1"/>
      <c r="AG1393" s="1"/>
    </row>
    <row r="1394" ht="15.75" customHeight="1">
      <c r="A1394" s="1"/>
      <c r="B1394" s="1"/>
      <c r="C1394" s="1"/>
      <c r="D1394" s="1"/>
      <c r="E1394" s="1"/>
      <c r="F1394" s="1"/>
      <c r="G1394" s="1"/>
      <c r="H1394" s="1"/>
      <c r="I1394" s="1"/>
      <c r="J1394" s="1"/>
      <c r="K1394" s="89" t="s">
        <v>2330</v>
      </c>
      <c r="L1394" s="89" t="str">
        <f>D46</f>
        <v>C1a2</v>
      </c>
      <c r="M1394" s="89" t="s">
        <v>2329</v>
      </c>
      <c r="N1394" s="89"/>
      <c r="O1394" s="92">
        <v>2.1854113E7</v>
      </c>
      <c r="P1394" s="92">
        <v>1.9692227E7</v>
      </c>
      <c r="Q1394" s="89" t="s">
        <v>802</v>
      </c>
      <c r="AF1394" s="1"/>
      <c r="AG1394" s="1"/>
    </row>
    <row r="1395" ht="15.75" customHeight="1">
      <c r="A1395" s="1"/>
      <c r="B1395" s="1"/>
      <c r="C1395" s="1"/>
      <c r="D1395" s="1"/>
      <c r="E1395" s="1"/>
      <c r="F1395" s="1"/>
      <c r="G1395" s="1"/>
      <c r="H1395" s="1"/>
      <c r="I1395" s="1"/>
      <c r="J1395" s="1"/>
      <c r="K1395" s="89" t="s">
        <v>2331</v>
      </c>
      <c r="L1395" s="89" t="str">
        <f>D46</f>
        <v>C1a2</v>
      </c>
      <c r="M1395" s="89" t="s">
        <v>2332</v>
      </c>
      <c r="N1395" s="89"/>
      <c r="O1395" s="92">
        <v>2.1987247E7</v>
      </c>
      <c r="P1395" s="92">
        <v>1.9825361E7</v>
      </c>
      <c r="Q1395" s="89" t="s">
        <v>886</v>
      </c>
      <c r="AF1395" s="1"/>
      <c r="AG1395" s="1"/>
    </row>
    <row r="1396" ht="15.75" customHeight="1">
      <c r="A1396" s="1"/>
      <c r="B1396" s="1"/>
      <c r="C1396" s="1"/>
      <c r="D1396" s="1"/>
      <c r="E1396" s="1"/>
      <c r="F1396" s="1"/>
      <c r="G1396" s="1"/>
      <c r="H1396" s="1"/>
      <c r="I1396" s="1"/>
      <c r="J1396" s="1"/>
      <c r="K1396" s="89" t="s">
        <v>2332</v>
      </c>
      <c r="L1396" s="89" t="str">
        <f>D46</f>
        <v>C1a2</v>
      </c>
      <c r="M1396" s="89" t="s">
        <v>2331</v>
      </c>
      <c r="N1396" s="89"/>
      <c r="O1396" s="92">
        <v>2.1987247E7</v>
      </c>
      <c r="P1396" s="92">
        <v>1.9825361E7</v>
      </c>
      <c r="Q1396" s="89" t="s">
        <v>886</v>
      </c>
      <c r="AF1396" s="1"/>
      <c r="AG1396" s="1"/>
    </row>
    <row r="1397" ht="15.75" customHeight="1">
      <c r="A1397" s="1"/>
      <c r="B1397" s="1"/>
      <c r="C1397" s="1"/>
      <c r="D1397" s="1"/>
      <c r="E1397" s="1"/>
      <c r="F1397" s="1"/>
      <c r="G1397" s="1"/>
      <c r="H1397" s="1"/>
      <c r="I1397" s="1"/>
      <c r="J1397" s="1"/>
      <c r="K1397" s="89" t="s">
        <v>2333</v>
      </c>
      <c r="L1397" s="89" t="str">
        <f>D46</f>
        <v>C1a2</v>
      </c>
      <c r="M1397" s="89" t="s">
        <v>2334</v>
      </c>
      <c r="N1397" s="89"/>
      <c r="O1397" s="92">
        <v>2.2038133E7</v>
      </c>
      <c r="P1397" s="92">
        <v>1.9876247E7</v>
      </c>
      <c r="Q1397" s="89" t="s">
        <v>838</v>
      </c>
      <c r="AF1397" s="1"/>
      <c r="AG1397" s="1"/>
    </row>
    <row r="1398" ht="15.75" customHeight="1">
      <c r="A1398" s="1"/>
      <c r="B1398" s="1"/>
      <c r="C1398" s="1"/>
      <c r="D1398" s="1"/>
      <c r="E1398" s="1"/>
      <c r="F1398" s="1"/>
      <c r="G1398" s="1"/>
      <c r="H1398" s="1"/>
      <c r="I1398" s="1"/>
      <c r="J1398" s="1"/>
      <c r="K1398" s="89" t="s">
        <v>2334</v>
      </c>
      <c r="L1398" s="89" t="str">
        <f>D46</f>
        <v>C1a2</v>
      </c>
      <c r="M1398" s="89" t="s">
        <v>2333</v>
      </c>
      <c r="N1398" s="89"/>
      <c r="O1398" s="92">
        <v>2.2038133E7</v>
      </c>
      <c r="P1398" s="92">
        <v>1.9876247E7</v>
      </c>
      <c r="Q1398" s="89" t="s">
        <v>838</v>
      </c>
      <c r="AF1398" s="1"/>
      <c r="AG1398" s="1"/>
    </row>
    <row r="1399" ht="15.75" customHeight="1">
      <c r="A1399" s="1"/>
      <c r="B1399" s="1"/>
      <c r="C1399" s="1"/>
      <c r="D1399" s="1"/>
      <c r="E1399" s="1"/>
      <c r="F1399" s="1"/>
      <c r="G1399" s="1"/>
      <c r="H1399" s="1"/>
      <c r="I1399" s="1"/>
      <c r="J1399" s="1"/>
      <c r="K1399" s="89" t="s">
        <v>2335</v>
      </c>
      <c r="L1399" s="89" t="str">
        <f>D46</f>
        <v>C1a2</v>
      </c>
      <c r="M1399" s="89" t="s">
        <v>2336</v>
      </c>
      <c r="N1399" s="89" t="s">
        <v>2337</v>
      </c>
      <c r="O1399" s="92">
        <v>2.218619E7</v>
      </c>
      <c r="P1399" s="92">
        <v>2.0024304E7</v>
      </c>
      <c r="Q1399" s="89" t="s">
        <v>822</v>
      </c>
      <c r="AF1399" s="1"/>
      <c r="AG1399" s="1"/>
    </row>
    <row r="1400" ht="15.75" customHeight="1">
      <c r="A1400" s="1"/>
      <c r="B1400" s="1"/>
      <c r="C1400" s="1"/>
      <c r="D1400" s="1"/>
      <c r="E1400" s="1"/>
      <c r="F1400" s="1"/>
      <c r="G1400" s="1"/>
      <c r="H1400" s="1"/>
      <c r="I1400" s="1"/>
      <c r="J1400" s="1"/>
      <c r="K1400" s="89" t="s">
        <v>2336</v>
      </c>
      <c r="L1400" s="89" t="str">
        <f>D46</f>
        <v>C1a2</v>
      </c>
      <c r="M1400" s="89" t="s">
        <v>2335</v>
      </c>
      <c r="N1400" s="89" t="s">
        <v>2337</v>
      </c>
      <c r="O1400" s="92">
        <v>2.218619E7</v>
      </c>
      <c r="P1400" s="92">
        <v>2.0024304E7</v>
      </c>
      <c r="Q1400" s="89" t="s">
        <v>822</v>
      </c>
      <c r="AF1400" s="1"/>
      <c r="AG1400" s="1"/>
    </row>
    <row r="1401" ht="15.75" customHeight="1">
      <c r="A1401" s="1"/>
      <c r="B1401" s="1"/>
      <c r="C1401" s="1"/>
      <c r="D1401" s="1"/>
      <c r="E1401" s="1"/>
      <c r="F1401" s="1"/>
      <c r="G1401" s="1"/>
      <c r="H1401" s="1"/>
      <c r="I1401" s="1"/>
      <c r="J1401" s="1"/>
      <c r="K1401" s="89" t="s">
        <v>2338</v>
      </c>
      <c r="L1401" s="89" t="str">
        <f>D46</f>
        <v>C1a2</v>
      </c>
      <c r="M1401" s="89" t="s">
        <v>2339</v>
      </c>
      <c r="N1401" s="89"/>
      <c r="O1401" s="92">
        <v>2.2540299E7</v>
      </c>
      <c r="P1401" s="92">
        <v>2.0378413E7</v>
      </c>
      <c r="Q1401" s="89" t="s">
        <v>838</v>
      </c>
      <c r="AF1401" s="1"/>
      <c r="AG1401" s="1"/>
    </row>
    <row r="1402" ht="15.75" customHeight="1">
      <c r="A1402" s="1"/>
      <c r="B1402" s="1"/>
      <c r="C1402" s="1"/>
      <c r="D1402" s="1"/>
      <c r="E1402" s="1"/>
      <c r="F1402" s="1"/>
      <c r="G1402" s="1"/>
      <c r="H1402" s="1"/>
      <c r="I1402" s="1"/>
      <c r="J1402" s="1"/>
      <c r="K1402" s="89" t="s">
        <v>2339</v>
      </c>
      <c r="L1402" s="89" t="str">
        <f>D46</f>
        <v>C1a2</v>
      </c>
      <c r="M1402" s="89" t="s">
        <v>2338</v>
      </c>
      <c r="N1402" s="89"/>
      <c r="O1402" s="92">
        <v>2.2540299E7</v>
      </c>
      <c r="P1402" s="92">
        <v>2.0378413E7</v>
      </c>
      <c r="Q1402" s="89" t="s">
        <v>838</v>
      </c>
      <c r="AF1402" s="1"/>
      <c r="AG1402" s="1"/>
    </row>
    <row r="1403" ht="15.75" customHeight="1">
      <c r="A1403" s="1"/>
      <c r="B1403" s="1"/>
      <c r="C1403" s="1"/>
      <c r="D1403" s="1"/>
      <c r="E1403" s="1"/>
      <c r="F1403" s="1"/>
      <c r="G1403" s="1"/>
      <c r="H1403" s="1"/>
      <c r="I1403" s="1"/>
      <c r="J1403" s="1"/>
      <c r="K1403" s="89" t="s">
        <v>2340</v>
      </c>
      <c r="L1403" s="89" t="str">
        <f>D46</f>
        <v>C1a2</v>
      </c>
      <c r="M1403" s="89" t="s">
        <v>2341</v>
      </c>
      <c r="N1403" s="89" t="s">
        <v>2342</v>
      </c>
      <c r="O1403" s="92">
        <v>2.2597478E7</v>
      </c>
      <c r="P1403" s="92">
        <v>2.0435592E7</v>
      </c>
      <c r="Q1403" s="89" t="s">
        <v>810</v>
      </c>
      <c r="AF1403" s="1"/>
      <c r="AG1403" s="1"/>
    </row>
    <row r="1404" ht="15.75" customHeight="1">
      <c r="A1404" s="1"/>
      <c r="B1404" s="1"/>
      <c r="C1404" s="1"/>
      <c r="D1404" s="1"/>
      <c r="E1404" s="1"/>
      <c r="F1404" s="1"/>
      <c r="G1404" s="1"/>
      <c r="H1404" s="1"/>
      <c r="I1404" s="1"/>
      <c r="J1404" s="1"/>
      <c r="K1404" s="89" t="s">
        <v>2341</v>
      </c>
      <c r="L1404" s="89" t="str">
        <f>D46</f>
        <v>C1a2</v>
      </c>
      <c r="M1404" s="89" t="s">
        <v>2340</v>
      </c>
      <c r="N1404" s="89" t="s">
        <v>2342</v>
      </c>
      <c r="O1404" s="92">
        <v>2.2597478E7</v>
      </c>
      <c r="P1404" s="92">
        <v>2.0435592E7</v>
      </c>
      <c r="Q1404" s="89" t="s">
        <v>810</v>
      </c>
      <c r="AF1404" s="1"/>
      <c r="AG1404" s="1"/>
    </row>
    <row r="1405" ht="15.75" customHeight="1">
      <c r="A1405" s="1"/>
      <c r="B1405" s="1"/>
      <c r="C1405" s="1"/>
      <c r="D1405" s="1"/>
      <c r="E1405" s="1"/>
      <c r="F1405" s="1"/>
      <c r="G1405" s="1"/>
      <c r="H1405" s="1"/>
      <c r="I1405" s="1"/>
      <c r="J1405" s="1"/>
      <c r="K1405" s="89" t="s">
        <v>2343</v>
      </c>
      <c r="L1405" s="89" t="str">
        <f>D46</f>
        <v>C1a2</v>
      </c>
      <c r="M1405" s="89" t="s">
        <v>2344</v>
      </c>
      <c r="N1405" s="89"/>
      <c r="O1405" s="92">
        <v>2.2672353E7</v>
      </c>
      <c r="P1405" s="92">
        <v>2.0510467E7</v>
      </c>
      <c r="Q1405" s="89" t="s">
        <v>838</v>
      </c>
      <c r="AF1405" s="1"/>
      <c r="AG1405" s="1"/>
    </row>
    <row r="1406" ht="15.75" customHeight="1">
      <c r="A1406" s="1"/>
      <c r="B1406" s="1"/>
      <c r="C1406" s="1"/>
      <c r="D1406" s="1"/>
      <c r="E1406" s="1"/>
      <c r="F1406" s="1"/>
      <c r="G1406" s="1"/>
      <c r="H1406" s="1"/>
      <c r="I1406" s="1"/>
      <c r="J1406" s="1"/>
      <c r="K1406" s="89" t="s">
        <v>2344</v>
      </c>
      <c r="L1406" s="89" t="str">
        <f>D46</f>
        <v>C1a2</v>
      </c>
      <c r="M1406" s="89" t="s">
        <v>2343</v>
      </c>
      <c r="N1406" s="89"/>
      <c r="O1406" s="92">
        <v>2.2672353E7</v>
      </c>
      <c r="P1406" s="92">
        <v>2.0510467E7</v>
      </c>
      <c r="Q1406" s="89" t="s">
        <v>838</v>
      </c>
      <c r="AF1406" s="1"/>
      <c r="AG1406" s="1"/>
    </row>
    <row r="1407" ht="15.75" customHeight="1">
      <c r="A1407" s="1"/>
      <c r="B1407" s="1"/>
      <c r="C1407" s="1"/>
      <c r="D1407" s="1"/>
      <c r="E1407" s="1"/>
      <c r="F1407" s="1"/>
      <c r="G1407" s="1"/>
      <c r="H1407" s="1"/>
      <c r="I1407" s="1"/>
      <c r="J1407" s="1"/>
      <c r="K1407" s="89" t="s">
        <v>2345</v>
      </c>
      <c r="L1407" s="89" t="str">
        <f>D46</f>
        <v>C1a2</v>
      </c>
      <c r="M1407" s="89" t="s">
        <v>2346</v>
      </c>
      <c r="N1407" s="89" t="s">
        <v>2347</v>
      </c>
      <c r="O1407" s="92">
        <v>2.29479E7</v>
      </c>
      <c r="P1407" s="92">
        <v>2.0786014E7</v>
      </c>
      <c r="Q1407" s="89" t="s">
        <v>912</v>
      </c>
      <c r="AF1407" s="1"/>
      <c r="AG1407" s="1"/>
    </row>
    <row r="1408" ht="15.75" customHeight="1">
      <c r="A1408" s="1"/>
      <c r="B1408" s="1"/>
      <c r="C1408" s="1"/>
      <c r="D1408" s="1"/>
      <c r="E1408" s="1"/>
      <c r="F1408" s="1"/>
      <c r="G1408" s="1"/>
      <c r="H1408" s="1"/>
      <c r="I1408" s="1"/>
      <c r="J1408" s="1"/>
      <c r="K1408" s="89" t="s">
        <v>2346</v>
      </c>
      <c r="L1408" s="89" t="str">
        <f>D46</f>
        <v>C1a2</v>
      </c>
      <c r="M1408" s="89" t="s">
        <v>2345</v>
      </c>
      <c r="N1408" s="89" t="s">
        <v>2347</v>
      </c>
      <c r="O1408" s="92">
        <v>2.29479E7</v>
      </c>
      <c r="P1408" s="92">
        <v>2.0786014E7</v>
      </c>
      <c r="Q1408" s="89" t="s">
        <v>912</v>
      </c>
      <c r="AF1408" s="1"/>
      <c r="AG1408" s="1"/>
    </row>
    <row r="1409" ht="15.75" customHeight="1">
      <c r="A1409" s="1"/>
      <c r="B1409" s="1"/>
      <c r="C1409" s="1"/>
      <c r="D1409" s="1"/>
      <c r="E1409" s="1"/>
      <c r="F1409" s="1"/>
      <c r="G1409" s="1"/>
      <c r="H1409" s="1"/>
      <c r="I1409" s="1"/>
      <c r="J1409" s="1"/>
      <c r="K1409" s="89" t="s">
        <v>2348</v>
      </c>
      <c r="L1409" s="89" t="str">
        <f>D46</f>
        <v>C1a2</v>
      </c>
      <c r="M1409" s="89" t="s">
        <v>2349</v>
      </c>
      <c r="N1409" s="89"/>
      <c r="O1409" s="92">
        <v>2.3041481E7</v>
      </c>
      <c r="P1409" s="92">
        <v>2.0879595E7</v>
      </c>
      <c r="Q1409" s="89" t="s">
        <v>822</v>
      </c>
      <c r="AF1409" s="1"/>
      <c r="AG1409" s="1"/>
    </row>
    <row r="1410" ht="15.75" customHeight="1">
      <c r="A1410" s="1"/>
      <c r="B1410" s="1"/>
      <c r="C1410" s="1"/>
      <c r="D1410" s="1"/>
      <c r="E1410" s="1"/>
      <c r="F1410" s="1"/>
      <c r="G1410" s="1"/>
      <c r="H1410" s="1"/>
      <c r="I1410" s="1"/>
      <c r="J1410" s="1"/>
      <c r="K1410" s="89" t="s">
        <v>2349</v>
      </c>
      <c r="L1410" s="89" t="str">
        <f>D46</f>
        <v>C1a2</v>
      </c>
      <c r="M1410" s="89" t="s">
        <v>2348</v>
      </c>
      <c r="N1410" s="89"/>
      <c r="O1410" s="92">
        <v>2.3041481E7</v>
      </c>
      <c r="P1410" s="92">
        <v>2.0879595E7</v>
      </c>
      <c r="Q1410" s="89" t="s">
        <v>822</v>
      </c>
      <c r="AF1410" s="1"/>
      <c r="AG1410" s="1"/>
    </row>
    <row r="1411" ht="15.75" customHeight="1">
      <c r="A1411" s="1"/>
      <c r="B1411" s="1"/>
      <c r="C1411" s="1"/>
      <c r="D1411" s="1"/>
      <c r="E1411" s="1"/>
      <c r="F1411" s="1"/>
      <c r="G1411" s="1"/>
      <c r="H1411" s="1"/>
      <c r="I1411" s="1"/>
      <c r="J1411" s="1"/>
      <c r="K1411" s="89" t="s">
        <v>2350</v>
      </c>
      <c r="L1411" s="89" t="str">
        <f>D46</f>
        <v>C1a2</v>
      </c>
      <c r="M1411" s="89" t="s">
        <v>2351</v>
      </c>
      <c r="N1411" s="89"/>
      <c r="O1411" s="92">
        <v>2.3057087E7</v>
      </c>
      <c r="P1411" s="92">
        <v>2.0895201E7</v>
      </c>
      <c r="Q1411" s="89" t="s">
        <v>822</v>
      </c>
      <c r="AF1411" s="1"/>
      <c r="AG1411" s="1"/>
    </row>
    <row r="1412" ht="15.75" customHeight="1">
      <c r="A1412" s="1"/>
      <c r="B1412" s="1"/>
      <c r="C1412" s="1"/>
      <c r="D1412" s="1"/>
      <c r="E1412" s="1"/>
      <c r="F1412" s="1"/>
      <c r="G1412" s="1"/>
      <c r="H1412" s="1"/>
      <c r="I1412" s="1"/>
      <c r="J1412" s="1"/>
      <c r="K1412" s="89" t="s">
        <v>2351</v>
      </c>
      <c r="L1412" s="89" t="str">
        <f>D46</f>
        <v>C1a2</v>
      </c>
      <c r="M1412" s="89" t="s">
        <v>2350</v>
      </c>
      <c r="N1412" s="89"/>
      <c r="O1412" s="92">
        <v>2.3057087E7</v>
      </c>
      <c r="P1412" s="92">
        <v>2.0895201E7</v>
      </c>
      <c r="Q1412" s="89" t="s">
        <v>822</v>
      </c>
      <c r="AF1412" s="1"/>
      <c r="AG1412" s="1"/>
    </row>
    <row r="1413" ht="15.75" customHeight="1">
      <c r="A1413" s="1"/>
      <c r="B1413" s="1"/>
      <c r="C1413" s="1"/>
      <c r="D1413" s="1"/>
      <c r="E1413" s="1"/>
      <c r="F1413" s="1"/>
      <c r="G1413" s="1"/>
      <c r="H1413" s="1"/>
      <c r="I1413" s="1"/>
      <c r="J1413" s="1"/>
      <c r="K1413" s="89" t="s">
        <v>2352</v>
      </c>
      <c r="L1413" s="89" t="str">
        <f>D46</f>
        <v>C1a2</v>
      </c>
      <c r="M1413" s="89" t="s">
        <v>2353</v>
      </c>
      <c r="N1413" s="89"/>
      <c r="O1413" s="92">
        <v>2.3365024E7</v>
      </c>
      <c r="P1413" s="92">
        <v>2.1203138E7</v>
      </c>
      <c r="Q1413" s="89" t="s">
        <v>802</v>
      </c>
      <c r="AF1413" s="1"/>
      <c r="AG1413" s="1"/>
    </row>
    <row r="1414" ht="15.75" customHeight="1">
      <c r="A1414" s="1"/>
      <c r="B1414" s="1"/>
      <c r="C1414" s="1"/>
      <c r="D1414" s="1"/>
      <c r="E1414" s="1"/>
      <c r="F1414" s="1"/>
      <c r="G1414" s="1"/>
      <c r="H1414" s="1"/>
      <c r="I1414" s="1"/>
      <c r="J1414" s="1"/>
      <c r="K1414" s="89" t="s">
        <v>2353</v>
      </c>
      <c r="L1414" s="89" t="str">
        <f>D46</f>
        <v>C1a2</v>
      </c>
      <c r="M1414" s="89" t="s">
        <v>2352</v>
      </c>
      <c r="N1414" s="89"/>
      <c r="O1414" s="92">
        <v>2.3365024E7</v>
      </c>
      <c r="P1414" s="92">
        <v>2.1203138E7</v>
      </c>
      <c r="Q1414" s="89" t="s">
        <v>802</v>
      </c>
      <c r="AF1414" s="1"/>
      <c r="AG1414" s="1"/>
    </row>
    <row r="1415" ht="15.75" customHeight="1">
      <c r="A1415" s="1"/>
      <c r="B1415" s="1"/>
      <c r="C1415" s="1"/>
      <c r="D1415" s="1"/>
      <c r="E1415" s="1"/>
      <c r="F1415" s="1"/>
      <c r="G1415" s="1"/>
      <c r="H1415" s="1"/>
      <c r="I1415" s="1"/>
      <c r="J1415" s="1"/>
      <c r="K1415" s="89" t="s">
        <v>2354</v>
      </c>
      <c r="L1415" s="89" t="str">
        <f>D46</f>
        <v>C1a2</v>
      </c>
      <c r="M1415" s="89" t="s">
        <v>2355</v>
      </c>
      <c r="N1415" s="89"/>
      <c r="O1415" s="92">
        <v>2.3397795E7</v>
      </c>
      <c r="P1415" s="92">
        <v>2.1235909E7</v>
      </c>
      <c r="Q1415" s="89" t="s">
        <v>886</v>
      </c>
      <c r="AF1415" s="1"/>
      <c r="AG1415" s="1"/>
    </row>
    <row r="1416" ht="15.75" customHeight="1">
      <c r="A1416" s="1"/>
      <c r="B1416" s="1"/>
      <c r="C1416" s="1"/>
      <c r="D1416" s="1"/>
      <c r="E1416" s="1"/>
      <c r="F1416" s="1"/>
      <c r="G1416" s="1"/>
      <c r="H1416" s="1"/>
      <c r="I1416" s="1"/>
      <c r="J1416" s="1"/>
      <c r="K1416" s="89" t="s">
        <v>2355</v>
      </c>
      <c r="L1416" s="89" t="str">
        <f>D46</f>
        <v>C1a2</v>
      </c>
      <c r="M1416" s="89" t="s">
        <v>2354</v>
      </c>
      <c r="N1416" s="89"/>
      <c r="O1416" s="92">
        <v>2.3397795E7</v>
      </c>
      <c r="P1416" s="92">
        <v>2.1235909E7</v>
      </c>
      <c r="Q1416" s="89" t="s">
        <v>886</v>
      </c>
      <c r="AF1416" s="1"/>
      <c r="AG1416" s="1"/>
    </row>
    <row r="1417" ht="15.75" customHeight="1">
      <c r="A1417" s="1"/>
      <c r="B1417" s="1"/>
      <c r="C1417" s="1"/>
      <c r="D1417" s="1"/>
      <c r="E1417" s="1"/>
      <c r="F1417" s="1"/>
      <c r="G1417" s="1"/>
      <c r="H1417" s="1"/>
      <c r="I1417" s="1"/>
      <c r="J1417" s="1"/>
      <c r="K1417" s="89" t="s">
        <v>2356</v>
      </c>
      <c r="L1417" s="89" t="str">
        <f>D46</f>
        <v>C1a2</v>
      </c>
      <c r="M1417" s="89" t="s">
        <v>2357</v>
      </c>
      <c r="N1417" s="89"/>
      <c r="O1417" s="92">
        <v>2.3435248E7</v>
      </c>
      <c r="P1417" s="92">
        <v>2.1273362E7</v>
      </c>
      <c r="Q1417" s="89" t="s">
        <v>879</v>
      </c>
      <c r="AF1417" s="1"/>
      <c r="AG1417" s="1"/>
    </row>
    <row r="1418" ht="15.75" customHeight="1">
      <c r="A1418" s="1"/>
      <c r="B1418" s="1"/>
      <c r="C1418" s="1"/>
      <c r="D1418" s="1"/>
      <c r="E1418" s="1"/>
      <c r="F1418" s="1"/>
      <c r="G1418" s="1"/>
      <c r="H1418" s="1"/>
      <c r="I1418" s="1"/>
      <c r="J1418" s="1"/>
      <c r="K1418" s="89" t="s">
        <v>2357</v>
      </c>
      <c r="L1418" s="89" t="str">
        <f>D46</f>
        <v>C1a2</v>
      </c>
      <c r="M1418" s="89" t="s">
        <v>2356</v>
      </c>
      <c r="N1418" s="89"/>
      <c r="O1418" s="92">
        <v>2.3435248E7</v>
      </c>
      <c r="P1418" s="92">
        <v>2.1273362E7</v>
      </c>
      <c r="Q1418" s="89" t="s">
        <v>879</v>
      </c>
      <c r="AF1418" s="1"/>
      <c r="AG1418" s="1"/>
    </row>
    <row r="1419" ht="15.75" customHeight="1">
      <c r="A1419" s="1"/>
      <c r="B1419" s="1"/>
      <c r="C1419" s="1"/>
      <c r="D1419" s="1"/>
      <c r="E1419" s="1"/>
      <c r="F1419" s="1"/>
      <c r="G1419" s="1"/>
      <c r="H1419" s="1"/>
      <c r="I1419" s="1"/>
      <c r="J1419" s="1"/>
      <c r="K1419" s="89" t="s">
        <v>2358</v>
      </c>
      <c r="L1419" s="89" t="str">
        <f>D46</f>
        <v>C1a2</v>
      </c>
      <c r="M1419" s="89" t="s">
        <v>2359</v>
      </c>
      <c r="N1419" s="89"/>
      <c r="O1419" s="92">
        <v>2.3646645E7</v>
      </c>
      <c r="P1419" s="92">
        <v>2.1484759E7</v>
      </c>
      <c r="Q1419" s="89" t="s">
        <v>822</v>
      </c>
      <c r="AF1419" s="1"/>
      <c r="AG1419" s="1"/>
    </row>
    <row r="1420" ht="15.75" customHeight="1">
      <c r="A1420" s="1"/>
      <c r="B1420" s="1"/>
      <c r="C1420" s="1"/>
      <c r="D1420" s="1"/>
      <c r="E1420" s="1"/>
      <c r="F1420" s="1"/>
      <c r="G1420" s="1"/>
      <c r="H1420" s="1"/>
      <c r="I1420" s="1"/>
      <c r="J1420" s="1"/>
      <c r="K1420" s="89" t="s">
        <v>2359</v>
      </c>
      <c r="L1420" s="89" t="str">
        <f>D46</f>
        <v>C1a2</v>
      </c>
      <c r="M1420" s="89" t="s">
        <v>2358</v>
      </c>
      <c r="N1420" s="89"/>
      <c r="O1420" s="92">
        <v>2.3646645E7</v>
      </c>
      <c r="P1420" s="92">
        <v>2.1484759E7</v>
      </c>
      <c r="Q1420" s="89" t="s">
        <v>822</v>
      </c>
      <c r="AF1420" s="1"/>
      <c r="AG1420" s="1"/>
    </row>
    <row r="1421" ht="15.75" customHeight="1">
      <c r="A1421" s="1"/>
      <c r="B1421" s="1"/>
      <c r="C1421" s="1"/>
      <c r="D1421" s="1"/>
      <c r="E1421" s="1"/>
      <c r="F1421" s="1"/>
      <c r="G1421" s="1"/>
      <c r="H1421" s="1"/>
      <c r="I1421" s="1"/>
      <c r="J1421" s="1"/>
      <c r="K1421" s="89" t="s">
        <v>2360</v>
      </c>
      <c r="L1421" s="89" t="str">
        <f>D46</f>
        <v>C1a2</v>
      </c>
      <c r="M1421" s="89" t="s">
        <v>2361</v>
      </c>
      <c r="N1421" s="89"/>
      <c r="O1421" s="92">
        <v>2.3653197E7</v>
      </c>
      <c r="P1421" s="92">
        <v>2.1491311E7</v>
      </c>
      <c r="Q1421" s="89" t="s">
        <v>845</v>
      </c>
      <c r="AF1421" s="1"/>
      <c r="AG1421" s="1"/>
    </row>
    <row r="1422" ht="15.75" customHeight="1">
      <c r="A1422" s="1"/>
      <c r="B1422" s="1"/>
      <c r="C1422" s="1"/>
      <c r="D1422" s="1"/>
      <c r="E1422" s="1"/>
      <c r="F1422" s="1"/>
      <c r="G1422" s="1"/>
      <c r="H1422" s="1"/>
      <c r="I1422" s="1"/>
      <c r="J1422" s="1"/>
      <c r="K1422" s="89" t="s">
        <v>2361</v>
      </c>
      <c r="L1422" s="89" t="str">
        <f>D46</f>
        <v>C1a2</v>
      </c>
      <c r="M1422" s="89" t="s">
        <v>2360</v>
      </c>
      <c r="N1422" s="89"/>
      <c r="O1422" s="92">
        <v>2.3653197E7</v>
      </c>
      <c r="P1422" s="92">
        <v>2.1491311E7</v>
      </c>
      <c r="Q1422" s="89" t="s">
        <v>845</v>
      </c>
      <c r="AF1422" s="1"/>
      <c r="AG1422" s="1"/>
    </row>
    <row r="1423" ht="15.75" customHeight="1">
      <c r="A1423" s="1"/>
      <c r="B1423" s="1"/>
      <c r="C1423" s="1"/>
      <c r="D1423" s="1"/>
      <c r="E1423" s="1"/>
      <c r="F1423" s="1"/>
      <c r="G1423" s="1"/>
      <c r="H1423" s="1"/>
      <c r="I1423" s="1"/>
      <c r="J1423" s="1"/>
      <c r="K1423" s="89" t="s">
        <v>2362</v>
      </c>
      <c r="L1423" s="89" t="str">
        <f>D46</f>
        <v>C1a2</v>
      </c>
      <c r="M1423" s="89" t="s">
        <v>2363</v>
      </c>
      <c r="N1423" s="89"/>
      <c r="O1423" s="92">
        <v>2.3992917E7</v>
      </c>
      <c r="P1423" s="92">
        <v>2.184677E7</v>
      </c>
      <c r="Q1423" s="89" t="s">
        <v>810</v>
      </c>
      <c r="AF1423" s="1"/>
      <c r="AG1423" s="1"/>
    </row>
    <row r="1424" ht="15.75" customHeight="1">
      <c r="A1424" s="1"/>
      <c r="B1424" s="1"/>
      <c r="C1424" s="1"/>
      <c r="D1424" s="1"/>
      <c r="E1424" s="1"/>
      <c r="F1424" s="1"/>
      <c r="G1424" s="1"/>
      <c r="H1424" s="1"/>
      <c r="I1424" s="1"/>
      <c r="J1424" s="1"/>
      <c r="K1424" s="89" t="s">
        <v>2363</v>
      </c>
      <c r="L1424" s="89" t="str">
        <f>D46</f>
        <v>C1a2</v>
      </c>
      <c r="M1424" s="89" t="s">
        <v>2362</v>
      </c>
      <c r="N1424" s="89"/>
      <c r="O1424" s="92">
        <v>2.3992917E7</v>
      </c>
      <c r="P1424" s="92">
        <v>2.184677E7</v>
      </c>
      <c r="Q1424" s="89" t="s">
        <v>810</v>
      </c>
      <c r="AF1424" s="1"/>
      <c r="AG1424" s="1"/>
    </row>
    <row r="1425" ht="15.75" customHeight="1">
      <c r="A1425" s="1"/>
      <c r="B1425" s="1"/>
      <c r="C1425" s="1"/>
      <c r="D1425" s="1"/>
      <c r="E1425" s="1"/>
      <c r="F1425" s="1"/>
      <c r="G1425" s="1"/>
      <c r="H1425" s="1"/>
      <c r="I1425" s="1"/>
      <c r="J1425" s="1"/>
      <c r="K1425" s="89" t="s">
        <v>2364</v>
      </c>
      <c r="L1425" s="89" t="str">
        <f>D46</f>
        <v>C1a2</v>
      </c>
      <c r="M1425" s="89" t="s">
        <v>2365</v>
      </c>
      <c r="N1425" s="89"/>
      <c r="O1425" s="92">
        <v>8453411.0</v>
      </c>
      <c r="P1425" s="92">
        <v>8585370.0</v>
      </c>
      <c r="Q1425" s="89" t="s">
        <v>802</v>
      </c>
      <c r="AF1425" s="1"/>
      <c r="AG1425" s="1"/>
    </row>
    <row r="1426" ht="15.75" customHeight="1">
      <c r="A1426" s="1"/>
      <c r="B1426" s="1"/>
      <c r="C1426" s="1"/>
      <c r="D1426" s="1"/>
      <c r="E1426" s="1"/>
      <c r="F1426" s="1"/>
      <c r="G1426" s="1"/>
      <c r="H1426" s="1"/>
      <c r="I1426" s="1"/>
      <c r="J1426" s="1"/>
      <c r="K1426" s="89" t="s">
        <v>2365</v>
      </c>
      <c r="L1426" s="89" t="str">
        <f>D46</f>
        <v>C1a2</v>
      </c>
      <c r="M1426" s="89" t="s">
        <v>2364</v>
      </c>
      <c r="N1426" s="89"/>
      <c r="O1426" s="92">
        <v>8453411.0</v>
      </c>
      <c r="P1426" s="92">
        <v>8585370.0</v>
      </c>
      <c r="Q1426" s="89" t="s">
        <v>802</v>
      </c>
      <c r="AF1426" s="1"/>
      <c r="AG1426" s="1"/>
    </row>
    <row r="1427" ht="15.75" customHeight="1">
      <c r="A1427" s="1"/>
      <c r="B1427" s="1"/>
      <c r="C1427" s="1"/>
      <c r="D1427" s="1"/>
      <c r="E1427" s="1"/>
      <c r="F1427" s="1"/>
      <c r="G1427" s="1"/>
      <c r="H1427" s="1"/>
      <c r="I1427" s="1"/>
      <c r="J1427" s="1"/>
      <c r="K1427" s="89" t="s">
        <v>2366</v>
      </c>
      <c r="L1427" s="89" t="str">
        <f>D46</f>
        <v>C1a2</v>
      </c>
      <c r="M1427" s="89" t="s">
        <v>2367</v>
      </c>
      <c r="N1427" s="89"/>
      <c r="O1427" s="92">
        <v>9093751.0</v>
      </c>
      <c r="P1427" s="92">
        <v>9256142.0</v>
      </c>
      <c r="Q1427" s="89" t="s">
        <v>802</v>
      </c>
      <c r="AF1427" s="1"/>
      <c r="AG1427" s="1"/>
    </row>
    <row r="1428" ht="15.75" customHeight="1">
      <c r="A1428" s="1"/>
      <c r="B1428" s="1"/>
      <c r="C1428" s="1"/>
      <c r="D1428" s="1"/>
      <c r="E1428" s="1"/>
      <c r="F1428" s="1"/>
      <c r="G1428" s="1"/>
      <c r="H1428" s="1"/>
      <c r="I1428" s="1"/>
      <c r="J1428" s="1"/>
      <c r="K1428" s="89" t="s">
        <v>2367</v>
      </c>
      <c r="L1428" s="89" t="str">
        <f>D46</f>
        <v>C1a2</v>
      </c>
      <c r="M1428" s="89" t="s">
        <v>2366</v>
      </c>
      <c r="N1428" s="89"/>
      <c r="O1428" s="92">
        <v>9093751.0</v>
      </c>
      <c r="P1428" s="92">
        <v>9256142.0</v>
      </c>
      <c r="Q1428" s="89" t="s">
        <v>802</v>
      </c>
      <c r="AF1428" s="1"/>
      <c r="AG1428" s="1"/>
    </row>
    <row r="1429" ht="15.75" customHeight="1">
      <c r="A1429" s="1"/>
      <c r="B1429" s="1"/>
      <c r="C1429" s="1"/>
      <c r="D1429" s="1"/>
      <c r="E1429" s="1"/>
      <c r="F1429" s="1"/>
      <c r="G1429" s="1"/>
      <c r="H1429" s="1"/>
      <c r="I1429" s="1"/>
      <c r="J1429" s="1"/>
      <c r="K1429" s="89" t="s">
        <v>2368</v>
      </c>
      <c r="L1429" s="89" t="str">
        <f>D46</f>
        <v>C1a2</v>
      </c>
      <c r="M1429" s="89" t="s">
        <v>2369</v>
      </c>
      <c r="N1429" s="89"/>
      <c r="O1429" s="92">
        <v>9848996.0</v>
      </c>
      <c r="P1429" s="92">
        <v>1.0011387E7</v>
      </c>
      <c r="Q1429" s="89" t="s">
        <v>838</v>
      </c>
      <c r="AF1429" s="1"/>
      <c r="AG1429" s="1"/>
    </row>
    <row r="1430" ht="15.75" customHeight="1">
      <c r="A1430" s="1"/>
      <c r="B1430" s="1"/>
      <c r="C1430" s="1"/>
      <c r="D1430" s="1"/>
      <c r="E1430" s="1"/>
      <c r="F1430" s="1"/>
      <c r="G1430" s="1"/>
      <c r="H1430" s="1"/>
      <c r="I1430" s="1"/>
      <c r="J1430" s="1"/>
      <c r="K1430" s="89" t="s">
        <v>2369</v>
      </c>
      <c r="L1430" s="89" t="str">
        <f>D46</f>
        <v>C1a2</v>
      </c>
      <c r="M1430" s="89" t="s">
        <v>2368</v>
      </c>
      <c r="N1430" s="89"/>
      <c r="O1430" s="92">
        <v>9848996.0</v>
      </c>
      <c r="P1430" s="92">
        <v>1.0011387E7</v>
      </c>
      <c r="Q1430" s="89" t="s">
        <v>838</v>
      </c>
      <c r="AF1430" s="1"/>
      <c r="AG1430" s="1"/>
    </row>
    <row r="1431" ht="15.75" customHeight="1">
      <c r="A1431" s="1"/>
      <c r="B1431" s="1"/>
      <c r="C1431" s="1"/>
      <c r="D1431" s="1"/>
      <c r="E1431" s="1"/>
      <c r="F1431" s="1"/>
      <c r="G1431" s="1"/>
      <c r="H1431" s="1"/>
      <c r="I1431" s="1"/>
      <c r="J1431" s="1"/>
      <c r="K1431" s="89" t="s">
        <v>2370</v>
      </c>
      <c r="L1431" s="89" t="str">
        <f>D46</f>
        <v>C1a2</v>
      </c>
      <c r="M1431" s="89" t="s">
        <v>2371</v>
      </c>
      <c r="N1431" s="89"/>
      <c r="O1431" s="92">
        <v>1.5553446E7</v>
      </c>
      <c r="P1431" s="92">
        <v>1.3441566E7</v>
      </c>
      <c r="Q1431" s="89" t="s">
        <v>822</v>
      </c>
      <c r="AF1431" s="1"/>
      <c r="AG1431" s="1"/>
    </row>
    <row r="1432" ht="15.75" customHeight="1">
      <c r="A1432" s="1"/>
      <c r="B1432" s="1"/>
      <c r="C1432" s="1"/>
      <c r="D1432" s="1"/>
      <c r="E1432" s="1"/>
      <c r="F1432" s="1"/>
      <c r="G1432" s="1"/>
      <c r="H1432" s="1"/>
      <c r="I1432" s="1"/>
      <c r="J1432" s="1"/>
      <c r="K1432" s="89" t="s">
        <v>2371</v>
      </c>
      <c r="L1432" s="89" t="str">
        <f>D46</f>
        <v>C1a2</v>
      </c>
      <c r="M1432" s="89" t="s">
        <v>2370</v>
      </c>
      <c r="N1432" s="89"/>
      <c r="O1432" s="92">
        <v>1.5553446E7</v>
      </c>
      <c r="P1432" s="92">
        <v>1.3441566E7</v>
      </c>
      <c r="Q1432" s="89" t="s">
        <v>822</v>
      </c>
      <c r="AF1432" s="1"/>
      <c r="AG1432" s="1"/>
    </row>
    <row r="1433" ht="15.75" customHeight="1">
      <c r="A1433" s="1"/>
      <c r="B1433" s="1"/>
      <c r="C1433" s="1"/>
      <c r="D1433" s="1"/>
      <c r="E1433" s="1"/>
      <c r="F1433" s="1"/>
      <c r="G1433" s="1"/>
      <c r="H1433" s="1"/>
      <c r="I1433" s="1"/>
      <c r="J1433" s="1"/>
      <c r="K1433" s="89" t="s">
        <v>2372</v>
      </c>
      <c r="L1433" s="89" t="str">
        <f>D46</f>
        <v>C1a2</v>
      </c>
      <c r="M1433" s="89" t="s">
        <v>2373</v>
      </c>
      <c r="N1433" s="89"/>
      <c r="O1433" s="92">
        <v>2.1183344E7</v>
      </c>
      <c r="P1433" s="92">
        <v>1.9021458E7</v>
      </c>
      <c r="Q1433" s="89" t="s">
        <v>810</v>
      </c>
      <c r="AF1433" s="1"/>
      <c r="AG1433" s="1"/>
    </row>
    <row r="1434" ht="15.75" customHeight="1">
      <c r="A1434" s="1"/>
      <c r="B1434" s="1"/>
      <c r="C1434" s="1"/>
      <c r="D1434" s="1"/>
      <c r="E1434" s="1"/>
      <c r="F1434" s="1"/>
      <c r="G1434" s="1"/>
      <c r="H1434" s="1"/>
      <c r="I1434" s="1"/>
      <c r="J1434" s="1"/>
      <c r="K1434" s="89" t="s">
        <v>2373</v>
      </c>
      <c r="L1434" s="89" t="str">
        <f>D46</f>
        <v>C1a2</v>
      </c>
      <c r="M1434" s="89" t="s">
        <v>2372</v>
      </c>
      <c r="N1434" s="89"/>
      <c r="O1434" s="92">
        <v>2.1183344E7</v>
      </c>
      <c r="P1434" s="92">
        <v>1.9021458E7</v>
      </c>
      <c r="Q1434" s="89" t="s">
        <v>810</v>
      </c>
      <c r="AF1434" s="1"/>
      <c r="AG1434" s="1"/>
    </row>
    <row r="1435" ht="15.75" customHeight="1">
      <c r="A1435" s="1"/>
      <c r="B1435" s="1"/>
      <c r="C1435" s="1"/>
      <c r="D1435" s="1"/>
      <c r="E1435" s="1"/>
      <c r="F1435" s="1"/>
      <c r="G1435" s="1"/>
      <c r="H1435" s="1"/>
      <c r="I1435" s="1"/>
      <c r="J1435" s="1"/>
      <c r="K1435" s="89" t="s">
        <v>2374</v>
      </c>
      <c r="L1435" s="89" t="str">
        <f>D46</f>
        <v>C1a2</v>
      </c>
      <c r="M1435" s="89" t="s">
        <v>2375</v>
      </c>
      <c r="N1435" s="89" t="s">
        <v>2376</v>
      </c>
      <c r="O1435" s="92">
        <v>1.8110362E7</v>
      </c>
      <c r="P1435" s="92">
        <v>1.5998482E7</v>
      </c>
      <c r="Q1435" s="89" t="s">
        <v>838</v>
      </c>
      <c r="AF1435" s="1"/>
      <c r="AG1435" s="1"/>
    </row>
    <row r="1436" ht="15.75" customHeight="1">
      <c r="A1436" s="1"/>
      <c r="B1436" s="1"/>
      <c r="C1436" s="1"/>
      <c r="D1436" s="1"/>
      <c r="E1436" s="1"/>
      <c r="F1436" s="1"/>
      <c r="G1436" s="1"/>
      <c r="H1436" s="1"/>
      <c r="I1436" s="1"/>
      <c r="J1436" s="1"/>
      <c r="K1436" s="89" t="s">
        <v>2377</v>
      </c>
      <c r="L1436" s="89" t="str">
        <f>D46</f>
        <v>C1a2</v>
      </c>
      <c r="M1436" s="89" t="s">
        <v>2378</v>
      </c>
      <c r="N1436" s="89" t="s">
        <v>2376</v>
      </c>
      <c r="O1436" s="92">
        <v>1.8110362E7</v>
      </c>
      <c r="P1436" s="92">
        <v>1.5998482E7</v>
      </c>
      <c r="Q1436" s="89" t="s">
        <v>838</v>
      </c>
      <c r="AF1436" s="1"/>
      <c r="AG1436" s="1"/>
    </row>
    <row r="1437" ht="15.75" customHeight="1">
      <c r="A1437" s="1"/>
      <c r="B1437" s="1"/>
      <c r="C1437" s="1"/>
      <c r="D1437" s="1"/>
      <c r="E1437" s="1"/>
      <c r="F1437" s="1"/>
      <c r="G1437" s="1"/>
      <c r="H1437" s="1"/>
      <c r="I1437" s="1"/>
      <c r="J1437" s="1"/>
      <c r="K1437" s="89" t="s">
        <v>2379</v>
      </c>
      <c r="L1437" s="89" t="str">
        <f>D46</f>
        <v>C1a2</v>
      </c>
      <c r="M1437" s="89" t="s">
        <v>2380</v>
      </c>
      <c r="N1437" s="89" t="s">
        <v>2376</v>
      </c>
      <c r="O1437" s="92">
        <v>1.8110362E7</v>
      </c>
      <c r="P1437" s="92">
        <v>1.5998482E7</v>
      </c>
      <c r="Q1437" s="89" t="s">
        <v>838</v>
      </c>
      <c r="AF1437" s="1"/>
      <c r="AG1437" s="1"/>
    </row>
    <row r="1438" ht="15.75" customHeight="1">
      <c r="A1438" s="1"/>
      <c r="B1438" s="1"/>
      <c r="C1438" s="1"/>
      <c r="D1438" s="1"/>
      <c r="E1438" s="1"/>
      <c r="F1438" s="1"/>
      <c r="G1438" s="1"/>
      <c r="H1438" s="1"/>
      <c r="I1438" s="1"/>
      <c r="J1438" s="1"/>
      <c r="K1438" s="89" t="s">
        <v>2381</v>
      </c>
      <c r="L1438" s="89" t="str">
        <f>D46</f>
        <v>C1a2</v>
      </c>
      <c r="M1438" s="89"/>
      <c r="N1438" s="89" t="s">
        <v>2382</v>
      </c>
      <c r="O1438" s="92">
        <v>7391219.0</v>
      </c>
      <c r="P1438" s="92">
        <v>7523178.0</v>
      </c>
      <c r="Q1438" s="89" t="s">
        <v>810</v>
      </c>
      <c r="AF1438" s="1"/>
      <c r="AG1438" s="1"/>
    </row>
    <row r="1439" ht="15.75" customHeight="1">
      <c r="A1439" s="1"/>
      <c r="B1439" s="1"/>
      <c r="C1439" s="1"/>
      <c r="D1439" s="1"/>
      <c r="E1439" s="1"/>
      <c r="F1439" s="1"/>
      <c r="G1439" s="1"/>
      <c r="H1439" s="1"/>
      <c r="I1439" s="1"/>
      <c r="J1439" s="1"/>
      <c r="K1439" s="89" t="s">
        <v>2383</v>
      </c>
      <c r="L1439" s="89" t="str">
        <f>D46</f>
        <v>C1a2</v>
      </c>
      <c r="M1439" s="89"/>
      <c r="N1439" s="89"/>
      <c r="O1439" s="92">
        <v>9981571.0</v>
      </c>
      <c r="P1439" s="92">
        <v>1.0143962E7</v>
      </c>
      <c r="Q1439" s="89" t="s">
        <v>802</v>
      </c>
      <c r="AF1439" s="1"/>
      <c r="AG1439" s="1"/>
    </row>
    <row r="1440" ht="15.75" customHeight="1">
      <c r="A1440" s="1"/>
      <c r="B1440" s="1"/>
      <c r="C1440" s="1"/>
      <c r="D1440" s="1"/>
      <c r="E1440" s="1"/>
      <c r="F1440" s="1"/>
      <c r="G1440" s="1"/>
      <c r="H1440" s="1"/>
      <c r="I1440" s="1"/>
      <c r="J1440" s="1"/>
      <c r="K1440" s="89" t="s">
        <v>2384</v>
      </c>
      <c r="L1440" s="89" t="str">
        <f>D46</f>
        <v>C1a2</v>
      </c>
      <c r="M1440" s="89"/>
      <c r="N1440" s="89" t="s">
        <v>2385</v>
      </c>
      <c r="O1440" s="92">
        <v>1.3200044E7</v>
      </c>
      <c r="P1440" s="92">
        <v>1.1044368E7</v>
      </c>
      <c r="Q1440" s="89" t="s">
        <v>912</v>
      </c>
      <c r="AF1440" s="1"/>
      <c r="AG1440" s="1"/>
    </row>
    <row r="1441" ht="15.75" customHeight="1">
      <c r="A1441" s="1"/>
      <c r="B1441" s="1"/>
      <c r="C1441" s="1"/>
      <c r="D1441" s="1"/>
      <c r="E1441" s="1"/>
      <c r="F1441" s="1"/>
      <c r="G1441" s="1"/>
      <c r="H1441" s="1"/>
      <c r="I1441" s="1"/>
      <c r="J1441" s="1"/>
      <c r="K1441" s="89" t="s">
        <v>2386</v>
      </c>
      <c r="L1441" s="89" t="str">
        <f>D46</f>
        <v>C1a2</v>
      </c>
      <c r="M1441" s="89"/>
      <c r="N1441" s="89"/>
      <c r="O1441" s="92">
        <v>1.3667791E7</v>
      </c>
      <c r="P1441" s="92">
        <v>1.1512115E7</v>
      </c>
      <c r="Q1441" s="89" t="s">
        <v>810</v>
      </c>
      <c r="AF1441" s="1"/>
      <c r="AG1441" s="1"/>
    </row>
    <row r="1442" ht="15.75" customHeight="1">
      <c r="A1442" s="1"/>
      <c r="B1442" s="1"/>
      <c r="C1442" s="1"/>
      <c r="D1442" s="1"/>
      <c r="E1442" s="1"/>
      <c r="F1442" s="1"/>
      <c r="G1442" s="1"/>
      <c r="H1442" s="1"/>
      <c r="I1442" s="1"/>
      <c r="J1442" s="1"/>
      <c r="K1442" s="89" t="s">
        <v>2387</v>
      </c>
      <c r="L1442" s="89" t="str">
        <f>D46</f>
        <v>C1a2</v>
      </c>
      <c r="M1442" s="89"/>
      <c r="N1442" s="89"/>
      <c r="O1442" s="92">
        <v>1.3670713E7</v>
      </c>
      <c r="P1442" s="92">
        <v>1.1515037E7</v>
      </c>
      <c r="Q1442" s="89" t="s">
        <v>886</v>
      </c>
      <c r="AF1442" s="1"/>
      <c r="AG1442" s="1"/>
    </row>
    <row r="1443" ht="15.75" customHeight="1">
      <c r="A1443" s="1"/>
      <c r="B1443" s="1"/>
      <c r="C1443" s="1"/>
      <c r="D1443" s="1"/>
      <c r="E1443" s="1"/>
      <c r="F1443" s="1"/>
      <c r="G1443" s="1"/>
      <c r="H1443" s="1"/>
      <c r="I1443" s="1"/>
      <c r="J1443" s="1"/>
      <c r="K1443" s="89" t="s">
        <v>2388</v>
      </c>
      <c r="L1443" s="89" t="str">
        <f t="shared" ref="L1443:L1444" si="5">D46</f>
        <v>C1a2</v>
      </c>
      <c r="M1443" s="89"/>
      <c r="N1443" s="89"/>
      <c r="O1443" s="92">
        <v>2.1916666E7</v>
      </c>
      <c r="P1443" s="92">
        <v>1.975478E7</v>
      </c>
      <c r="Q1443" s="89" t="s">
        <v>810</v>
      </c>
      <c r="AF1443" s="1"/>
      <c r="AG1443" s="1"/>
    </row>
    <row r="1444" ht="15.75" customHeight="1">
      <c r="A1444" s="1"/>
      <c r="B1444" s="1"/>
      <c r="C1444" s="1"/>
      <c r="D1444" s="1"/>
      <c r="E1444" s="1"/>
      <c r="F1444" s="1"/>
      <c r="G1444" s="1"/>
      <c r="H1444" s="1"/>
      <c r="I1444" s="1"/>
      <c r="J1444" s="1"/>
      <c r="K1444" s="89" t="s">
        <v>57</v>
      </c>
      <c r="L1444" s="89" t="str">
        <f t="shared" si="5"/>
        <v>C1a2~</v>
      </c>
      <c r="M1444" s="89"/>
      <c r="N1444" s="89" t="s">
        <v>2389</v>
      </c>
      <c r="O1444" s="92">
        <v>1.4263293E7</v>
      </c>
      <c r="P1444" s="92">
        <v>1.2142587E7</v>
      </c>
      <c r="Q1444" s="89" t="s">
        <v>802</v>
      </c>
      <c r="AF1444" s="1"/>
      <c r="AG1444" s="1"/>
    </row>
    <row r="1445" ht="15.75" customHeight="1">
      <c r="A1445" s="1"/>
      <c r="B1445" s="1"/>
      <c r="C1445" s="1"/>
      <c r="D1445" s="1"/>
      <c r="E1445" s="1"/>
      <c r="F1445" s="1"/>
      <c r="G1445" s="1"/>
      <c r="H1445" s="1"/>
      <c r="I1445" s="1"/>
      <c r="J1445" s="1"/>
      <c r="K1445" s="89" t="s">
        <v>2390</v>
      </c>
      <c r="L1445" s="89" t="str">
        <f>E48</f>
        <v>C1a2a</v>
      </c>
      <c r="M1445" s="89"/>
      <c r="N1445" s="89" t="s">
        <v>2391</v>
      </c>
      <c r="O1445" s="92">
        <v>1.4249991E7</v>
      </c>
      <c r="P1445" s="92">
        <v>1.2129285E7</v>
      </c>
      <c r="Q1445" s="89" t="s">
        <v>802</v>
      </c>
      <c r="AF1445" s="1"/>
      <c r="AG1445" s="1"/>
    </row>
    <row r="1446" ht="15.75" customHeight="1">
      <c r="A1446" s="1"/>
      <c r="B1446" s="1"/>
      <c r="C1446" s="1"/>
      <c r="D1446" s="1"/>
      <c r="E1446" s="1"/>
      <c r="F1446" s="1"/>
      <c r="G1446" s="1"/>
      <c r="H1446" s="1"/>
      <c r="I1446" s="1"/>
      <c r="J1446" s="1"/>
      <c r="K1446" s="89" t="s">
        <v>2392</v>
      </c>
      <c r="L1446" s="89" t="str">
        <f>E48</f>
        <v>C1a2a</v>
      </c>
      <c r="M1446" s="89" t="s">
        <v>2393</v>
      </c>
      <c r="N1446" s="89" t="s">
        <v>2394</v>
      </c>
      <c r="O1446" s="92">
        <v>1.8572315E7</v>
      </c>
      <c r="P1446" s="92">
        <v>1.6460435E7</v>
      </c>
      <c r="Q1446" s="89" t="s">
        <v>838</v>
      </c>
      <c r="AF1446" s="1"/>
      <c r="AG1446" s="1"/>
    </row>
    <row r="1447" ht="15.75" customHeight="1">
      <c r="A1447" s="1"/>
      <c r="B1447" s="1"/>
      <c r="C1447" s="1"/>
      <c r="D1447" s="1"/>
      <c r="E1447" s="1"/>
      <c r="F1447" s="1"/>
      <c r="G1447" s="1"/>
      <c r="H1447" s="1"/>
      <c r="I1447" s="1"/>
      <c r="J1447" s="1"/>
      <c r="K1447" s="89" t="s">
        <v>2393</v>
      </c>
      <c r="L1447" s="89" t="str">
        <f>E48</f>
        <v>C1a2a</v>
      </c>
      <c r="M1447" s="89" t="s">
        <v>2392</v>
      </c>
      <c r="N1447" s="89" t="s">
        <v>2394</v>
      </c>
      <c r="O1447" s="92">
        <v>1.8572315E7</v>
      </c>
      <c r="P1447" s="92">
        <v>1.6460435E7</v>
      </c>
      <c r="Q1447" s="89" t="s">
        <v>838</v>
      </c>
      <c r="AF1447" s="1"/>
      <c r="AG1447" s="1"/>
    </row>
    <row r="1448" ht="15.75" customHeight="1">
      <c r="A1448" s="1"/>
      <c r="B1448" s="1"/>
      <c r="C1448" s="1"/>
      <c r="D1448" s="1"/>
      <c r="E1448" s="1"/>
      <c r="F1448" s="1"/>
      <c r="G1448" s="1"/>
      <c r="H1448" s="1"/>
      <c r="I1448" s="1"/>
      <c r="J1448" s="1"/>
      <c r="K1448" s="89" t="s">
        <v>2395</v>
      </c>
      <c r="L1448" s="89" t="str">
        <f>E48</f>
        <v>C1a2a</v>
      </c>
      <c r="M1448" s="89"/>
      <c r="N1448" s="89"/>
      <c r="O1448" s="92">
        <v>2.2112268E7</v>
      </c>
      <c r="P1448" s="92">
        <v>1.9950382E7</v>
      </c>
      <c r="Q1448" s="89" t="s">
        <v>802</v>
      </c>
      <c r="AF1448" s="1"/>
      <c r="AG1448" s="1"/>
    </row>
    <row r="1449" ht="15.75" customHeight="1">
      <c r="A1449" s="1"/>
      <c r="B1449" s="1"/>
      <c r="C1449" s="1"/>
      <c r="D1449" s="1"/>
      <c r="E1449" s="1"/>
      <c r="F1449" s="1"/>
      <c r="G1449" s="1"/>
      <c r="H1449" s="1"/>
      <c r="I1449" s="1"/>
      <c r="J1449" s="1"/>
      <c r="K1449" s="89" t="s">
        <v>2396</v>
      </c>
      <c r="L1449" s="89" t="str">
        <f>E48</f>
        <v>C1a2a</v>
      </c>
      <c r="M1449" s="89" t="s">
        <v>2397</v>
      </c>
      <c r="N1449" s="89" t="s">
        <v>2398</v>
      </c>
      <c r="O1449" s="92">
        <v>8445233.0</v>
      </c>
      <c r="P1449" s="92">
        <v>8577192.0</v>
      </c>
      <c r="Q1449" s="89" t="s">
        <v>912</v>
      </c>
      <c r="AF1449" s="1"/>
      <c r="AG1449" s="1"/>
    </row>
    <row r="1450" ht="15.75" customHeight="1">
      <c r="A1450" s="1"/>
      <c r="B1450" s="1"/>
      <c r="C1450" s="1"/>
      <c r="D1450" s="1"/>
      <c r="E1450" s="1"/>
      <c r="F1450" s="1"/>
      <c r="G1450" s="1"/>
      <c r="H1450" s="1"/>
      <c r="I1450" s="1"/>
      <c r="J1450" s="1"/>
      <c r="K1450" s="89" t="s">
        <v>2397</v>
      </c>
      <c r="L1450" s="89" t="str">
        <f>E48</f>
        <v>C1a2a</v>
      </c>
      <c r="M1450" s="89" t="s">
        <v>2396</v>
      </c>
      <c r="N1450" s="89" t="s">
        <v>2398</v>
      </c>
      <c r="O1450" s="92">
        <v>8445233.0</v>
      </c>
      <c r="P1450" s="92">
        <v>8577192.0</v>
      </c>
      <c r="Q1450" s="89" t="s">
        <v>912</v>
      </c>
      <c r="AF1450" s="1"/>
      <c r="AG1450" s="1"/>
    </row>
    <row r="1451" ht="15.75" customHeight="1">
      <c r="A1451" s="1"/>
      <c r="B1451" s="1"/>
      <c r="C1451" s="1"/>
      <c r="D1451" s="1"/>
      <c r="E1451" s="1"/>
      <c r="F1451" s="1"/>
      <c r="G1451" s="1"/>
      <c r="H1451" s="1"/>
      <c r="I1451" s="1"/>
      <c r="J1451" s="1"/>
      <c r="K1451" s="89" t="s">
        <v>2399</v>
      </c>
      <c r="L1451" s="89" t="str">
        <f>E48</f>
        <v>C1a2a</v>
      </c>
      <c r="M1451" s="89" t="s">
        <v>2400</v>
      </c>
      <c r="N1451" s="89" t="s">
        <v>2401</v>
      </c>
      <c r="O1451" s="92">
        <v>8563946.0</v>
      </c>
      <c r="P1451" s="92">
        <v>8695905.0</v>
      </c>
      <c r="Q1451" s="89" t="s">
        <v>802</v>
      </c>
      <c r="AF1451" s="1"/>
      <c r="AG1451" s="1"/>
    </row>
    <row r="1452" ht="15.75" customHeight="1">
      <c r="A1452" s="1"/>
      <c r="B1452" s="1"/>
      <c r="C1452" s="1"/>
      <c r="D1452" s="1"/>
      <c r="E1452" s="1"/>
      <c r="F1452" s="1"/>
      <c r="G1452" s="1"/>
      <c r="H1452" s="1"/>
      <c r="I1452" s="1"/>
      <c r="J1452" s="1"/>
      <c r="K1452" s="89" t="s">
        <v>2400</v>
      </c>
      <c r="L1452" s="89" t="str">
        <f>E48</f>
        <v>C1a2a</v>
      </c>
      <c r="M1452" s="89" t="s">
        <v>2399</v>
      </c>
      <c r="N1452" s="89" t="s">
        <v>2401</v>
      </c>
      <c r="O1452" s="92">
        <v>8563946.0</v>
      </c>
      <c r="P1452" s="92">
        <v>8695905.0</v>
      </c>
      <c r="Q1452" s="89" t="s">
        <v>802</v>
      </c>
      <c r="AF1452" s="1"/>
      <c r="AG1452" s="1"/>
    </row>
    <row r="1453" ht="15.75" customHeight="1">
      <c r="A1453" s="1"/>
      <c r="B1453" s="1"/>
      <c r="C1453" s="1"/>
      <c r="D1453" s="1"/>
      <c r="E1453" s="1"/>
      <c r="F1453" s="1"/>
      <c r="G1453" s="1"/>
      <c r="H1453" s="1"/>
      <c r="I1453" s="1"/>
      <c r="J1453" s="1"/>
      <c r="K1453" s="89" t="s">
        <v>2402</v>
      </c>
      <c r="L1453" s="89" t="str">
        <f>E48</f>
        <v>C1a2a</v>
      </c>
      <c r="M1453" s="89" t="s">
        <v>2403</v>
      </c>
      <c r="N1453" s="89" t="s">
        <v>2404</v>
      </c>
      <c r="O1453" s="92">
        <v>1.8908253E7</v>
      </c>
      <c r="P1453" s="92">
        <v>1.6796373E7</v>
      </c>
      <c r="Q1453" s="89" t="s">
        <v>822</v>
      </c>
      <c r="AF1453" s="1"/>
      <c r="AG1453" s="1"/>
    </row>
    <row r="1454" ht="15.75" customHeight="1">
      <c r="A1454" s="1"/>
      <c r="B1454" s="1"/>
      <c r="C1454" s="1"/>
      <c r="D1454" s="1"/>
      <c r="E1454" s="1"/>
      <c r="F1454" s="1"/>
      <c r="G1454" s="1"/>
      <c r="H1454" s="1"/>
      <c r="I1454" s="1"/>
      <c r="J1454" s="1"/>
      <c r="K1454" s="89" t="s">
        <v>2403</v>
      </c>
      <c r="L1454" s="89" t="str">
        <f>E48</f>
        <v>C1a2a</v>
      </c>
      <c r="M1454" s="89" t="s">
        <v>2402</v>
      </c>
      <c r="N1454" s="89" t="s">
        <v>2404</v>
      </c>
      <c r="O1454" s="92">
        <v>1.8908253E7</v>
      </c>
      <c r="P1454" s="92">
        <v>1.6796373E7</v>
      </c>
      <c r="Q1454" s="89" t="s">
        <v>822</v>
      </c>
      <c r="AF1454" s="1"/>
      <c r="AG1454" s="1"/>
    </row>
    <row r="1455" ht="15.75" customHeight="1">
      <c r="A1455" s="1"/>
      <c r="B1455" s="1"/>
      <c r="C1455" s="1"/>
      <c r="D1455" s="1"/>
      <c r="E1455" s="1"/>
      <c r="F1455" s="1"/>
      <c r="G1455" s="1"/>
      <c r="H1455" s="1"/>
      <c r="I1455" s="1"/>
      <c r="J1455" s="1"/>
      <c r="K1455" s="89" t="s">
        <v>2405</v>
      </c>
      <c r="L1455" s="89" t="str">
        <f>E48</f>
        <v>C1a2a</v>
      </c>
      <c r="M1455" s="89" t="s">
        <v>2406</v>
      </c>
      <c r="N1455" s="89"/>
      <c r="O1455" s="92">
        <v>7959879.0</v>
      </c>
      <c r="P1455" s="92">
        <v>8091838.0</v>
      </c>
      <c r="Q1455" s="89" t="s">
        <v>822</v>
      </c>
      <c r="AF1455" s="1"/>
      <c r="AG1455" s="1"/>
    </row>
    <row r="1456" ht="15.75" customHeight="1">
      <c r="A1456" s="1"/>
      <c r="B1456" s="1"/>
      <c r="C1456" s="1"/>
      <c r="D1456" s="1"/>
      <c r="E1456" s="1"/>
      <c r="F1456" s="1"/>
      <c r="G1456" s="1"/>
      <c r="H1456" s="1"/>
      <c r="I1456" s="1"/>
      <c r="J1456" s="1"/>
      <c r="K1456" s="89" t="s">
        <v>2406</v>
      </c>
      <c r="L1456" s="89" t="str">
        <f>E48</f>
        <v>C1a2a</v>
      </c>
      <c r="M1456" s="89" t="s">
        <v>2405</v>
      </c>
      <c r="N1456" s="89"/>
      <c r="O1456" s="92">
        <v>7959879.0</v>
      </c>
      <c r="P1456" s="92">
        <v>8091838.0</v>
      </c>
      <c r="Q1456" s="89" t="s">
        <v>822</v>
      </c>
      <c r="AF1456" s="1"/>
      <c r="AG1456" s="1"/>
    </row>
    <row r="1457" ht="15.75" customHeight="1">
      <c r="A1457" s="1"/>
      <c r="B1457" s="1"/>
      <c r="C1457" s="1"/>
      <c r="D1457" s="1"/>
      <c r="E1457" s="1"/>
      <c r="F1457" s="1"/>
      <c r="G1457" s="1"/>
      <c r="H1457" s="1"/>
      <c r="I1457" s="1"/>
      <c r="J1457" s="1"/>
      <c r="K1457" s="89" t="s">
        <v>2407</v>
      </c>
      <c r="L1457" s="89" t="str">
        <f>E48</f>
        <v>C1a2a</v>
      </c>
      <c r="M1457" s="89" t="s">
        <v>2408</v>
      </c>
      <c r="N1457" s="89"/>
      <c r="O1457" s="92">
        <v>1.4006545E7</v>
      </c>
      <c r="P1457" s="92">
        <v>1.1885839E7</v>
      </c>
      <c r="Q1457" s="89" t="s">
        <v>810</v>
      </c>
      <c r="AF1457" s="1"/>
      <c r="AG1457" s="1"/>
    </row>
    <row r="1458" ht="15.75" customHeight="1">
      <c r="A1458" s="1"/>
      <c r="B1458" s="1"/>
      <c r="C1458" s="1"/>
      <c r="D1458" s="1"/>
      <c r="E1458" s="1"/>
      <c r="F1458" s="1"/>
      <c r="G1458" s="1"/>
      <c r="H1458" s="1"/>
      <c r="I1458" s="1"/>
      <c r="J1458" s="1"/>
      <c r="K1458" s="89" t="s">
        <v>2408</v>
      </c>
      <c r="L1458" s="89" t="str">
        <f>E48</f>
        <v>C1a2a</v>
      </c>
      <c r="M1458" s="89" t="s">
        <v>2407</v>
      </c>
      <c r="N1458" s="89"/>
      <c r="O1458" s="92">
        <v>1.4006545E7</v>
      </c>
      <c r="P1458" s="92">
        <v>1.1885839E7</v>
      </c>
      <c r="Q1458" s="89" t="s">
        <v>810</v>
      </c>
      <c r="AF1458" s="1"/>
      <c r="AG1458" s="1"/>
    </row>
    <row r="1459" ht="15.75" customHeight="1">
      <c r="A1459" s="1"/>
      <c r="B1459" s="1"/>
      <c r="C1459" s="1"/>
      <c r="D1459" s="1"/>
      <c r="E1459" s="1"/>
      <c r="F1459" s="1"/>
      <c r="G1459" s="1"/>
      <c r="H1459" s="1"/>
      <c r="I1459" s="1"/>
      <c r="J1459" s="1"/>
      <c r="K1459" s="89" t="s">
        <v>2409</v>
      </c>
      <c r="L1459" s="89" t="str">
        <f>E48</f>
        <v>C1a2a</v>
      </c>
      <c r="M1459" s="89" t="s">
        <v>2410</v>
      </c>
      <c r="N1459" s="89" t="s">
        <v>2411</v>
      </c>
      <c r="O1459" s="92">
        <v>1.5222486E7</v>
      </c>
      <c r="P1459" s="92">
        <v>1.3110572E7</v>
      </c>
      <c r="Q1459" s="89" t="s">
        <v>838</v>
      </c>
      <c r="AF1459" s="1"/>
      <c r="AG1459" s="1"/>
    </row>
    <row r="1460" ht="15.75" customHeight="1">
      <c r="A1460" s="1"/>
      <c r="B1460" s="1"/>
      <c r="C1460" s="1"/>
      <c r="D1460" s="1"/>
      <c r="E1460" s="1"/>
      <c r="F1460" s="1"/>
      <c r="G1460" s="1"/>
      <c r="H1460" s="1"/>
      <c r="I1460" s="1"/>
      <c r="J1460" s="1"/>
      <c r="K1460" s="89" t="s">
        <v>2410</v>
      </c>
      <c r="L1460" s="89" t="str">
        <f>E48</f>
        <v>C1a2a</v>
      </c>
      <c r="M1460" s="89" t="s">
        <v>2409</v>
      </c>
      <c r="N1460" s="89" t="s">
        <v>2411</v>
      </c>
      <c r="O1460" s="92">
        <v>1.5222486E7</v>
      </c>
      <c r="P1460" s="92">
        <v>1.3110572E7</v>
      </c>
      <c r="Q1460" s="89" t="s">
        <v>838</v>
      </c>
      <c r="AF1460" s="1"/>
      <c r="AG1460" s="1"/>
    </row>
    <row r="1461" ht="15.75" customHeight="1">
      <c r="A1461" s="1"/>
      <c r="B1461" s="1"/>
      <c r="C1461" s="1"/>
      <c r="D1461" s="1"/>
      <c r="E1461" s="1"/>
      <c r="F1461" s="1"/>
      <c r="G1461" s="1"/>
      <c r="H1461" s="1"/>
      <c r="I1461" s="1"/>
      <c r="J1461" s="1"/>
      <c r="K1461" s="89" t="s">
        <v>2412</v>
      </c>
      <c r="L1461" s="89" t="str">
        <f>E48</f>
        <v>C1a2a</v>
      </c>
      <c r="M1461" s="89" t="s">
        <v>2413</v>
      </c>
      <c r="N1461" s="89"/>
      <c r="O1461" s="92">
        <v>1.5729277E7</v>
      </c>
      <c r="P1461" s="92">
        <v>1.3617397E7</v>
      </c>
      <c r="Q1461" s="89" t="s">
        <v>822</v>
      </c>
      <c r="AF1461" s="1"/>
      <c r="AG1461" s="1"/>
    </row>
    <row r="1462" ht="15.75" customHeight="1">
      <c r="A1462" s="1"/>
      <c r="B1462" s="1"/>
      <c r="C1462" s="1"/>
      <c r="D1462" s="1"/>
      <c r="E1462" s="1"/>
      <c r="F1462" s="1"/>
      <c r="G1462" s="1"/>
      <c r="H1462" s="1"/>
      <c r="I1462" s="1"/>
      <c r="J1462" s="1"/>
      <c r="K1462" s="89" t="s">
        <v>2413</v>
      </c>
      <c r="L1462" s="89" t="str">
        <f>E48</f>
        <v>C1a2a</v>
      </c>
      <c r="M1462" s="89" t="s">
        <v>2412</v>
      </c>
      <c r="N1462" s="89"/>
      <c r="O1462" s="92">
        <v>1.5729277E7</v>
      </c>
      <c r="P1462" s="92">
        <v>1.3617397E7</v>
      </c>
      <c r="Q1462" s="89" t="s">
        <v>822</v>
      </c>
      <c r="AF1462" s="1"/>
      <c r="AG1462" s="1"/>
    </row>
    <row r="1463" ht="15.75" customHeight="1">
      <c r="A1463" s="1"/>
      <c r="B1463" s="1"/>
      <c r="C1463" s="1"/>
      <c r="D1463" s="1"/>
      <c r="E1463" s="1"/>
      <c r="F1463" s="1"/>
      <c r="G1463" s="1"/>
      <c r="H1463" s="1"/>
      <c r="I1463" s="1"/>
      <c r="J1463" s="1"/>
      <c r="K1463" s="89" t="s">
        <v>2414</v>
      </c>
      <c r="L1463" s="89" t="str">
        <f>E48</f>
        <v>C1a2a</v>
      </c>
      <c r="M1463" s="89" t="s">
        <v>2415</v>
      </c>
      <c r="N1463" s="89"/>
      <c r="O1463" s="92">
        <v>1.7529246E7</v>
      </c>
      <c r="P1463" s="92">
        <v>1.5417366E7</v>
      </c>
      <c r="Q1463" s="89" t="s">
        <v>802</v>
      </c>
      <c r="AF1463" s="1"/>
      <c r="AG1463" s="1"/>
    </row>
    <row r="1464" ht="15.75" customHeight="1">
      <c r="A1464" s="1"/>
      <c r="B1464" s="1"/>
      <c r="C1464" s="1"/>
      <c r="D1464" s="1"/>
      <c r="E1464" s="1"/>
      <c r="F1464" s="1"/>
      <c r="G1464" s="1"/>
      <c r="H1464" s="1"/>
      <c r="I1464" s="1"/>
      <c r="J1464" s="1"/>
      <c r="K1464" s="89" t="s">
        <v>2415</v>
      </c>
      <c r="L1464" s="89" t="str">
        <f>E48</f>
        <v>C1a2a</v>
      </c>
      <c r="M1464" s="89" t="s">
        <v>2414</v>
      </c>
      <c r="N1464" s="89"/>
      <c r="O1464" s="92">
        <v>1.7529246E7</v>
      </c>
      <c r="P1464" s="92">
        <v>1.5417366E7</v>
      </c>
      <c r="Q1464" s="89" t="s">
        <v>802</v>
      </c>
      <c r="AF1464" s="1"/>
      <c r="AG1464" s="1"/>
    </row>
    <row r="1465" ht="15.75" customHeight="1">
      <c r="A1465" s="1"/>
      <c r="B1465" s="1"/>
      <c r="C1465" s="1"/>
      <c r="D1465" s="1"/>
      <c r="E1465" s="1"/>
      <c r="F1465" s="1"/>
      <c r="G1465" s="1"/>
      <c r="H1465" s="1"/>
      <c r="I1465" s="1"/>
      <c r="J1465" s="1"/>
      <c r="K1465" s="89" t="s">
        <v>2416</v>
      </c>
      <c r="L1465" s="89" t="str">
        <f>E48</f>
        <v>C1a2a</v>
      </c>
      <c r="M1465" s="89" t="s">
        <v>2417</v>
      </c>
      <c r="N1465" s="89"/>
      <c r="O1465" s="92">
        <v>1.8982367E7</v>
      </c>
      <c r="P1465" s="92">
        <v>1.6870487E7</v>
      </c>
      <c r="Q1465" s="89" t="s">
        <v>831</v>
      </c>
      <c r="AF1465" s="1"/>
      <c r="AG1465" s="1"/>
    </row>
    <row r="1466" ht="15.75" customHeight="1">
      <c r="A1466" s="1"/>
      <c r="B1466" s="1"/>
      <c r="C1466" s="1"/>
      <c r="D1466" s="1"/>
      <c r="E1466" s="1"/>
      <c r="F1466" s="1"/>
      <c r="G1466" s="1"/>
      <c r="H1466" s="1"/>
      <c r="I1466" s="1"/>
      <c r="J1466" s="1"/>
      <c r="K1466" s="89" t="s">
        <v>2417</v>
      </c>
      <c r="L1466" s="89" t="str">
        <f>E48</f>
        <v>C1a2a</v>
      </c>
      <c r="M1466" s="89" t="s">
        <v>2416</v>
      </c>
      <c r="N1466" s="89"/>
      <c r="O1466" s="92">
        <v>1.8982367E7</v>
      </c>
      <c r="P1466" s="92">
        <v>1.6870487E7</v>
      </c>
      <c r="Q1466" s="89" t="s">
        <v>831</v>
      </c>
      <c r="AF1466" s="1"/>
      <c r="AG1466" s="1"/>
    </row>
    <row r="1467" ht="15.75" customHeight="1">
      <c r="A1467" s="1"/>
      <c r="B1467" s="1"/>
      <c r="C1467" s="1"/>
      <c r="D1467" s="1"/>
      <c r="E1467" s="1"/>
      <c r="F1467" s="1"/>
      <c r="G1467" s="1"/>
      <c r="H1467" s="1"/>
      <c r="I1467" s="1"/>
      <c r="J1467" s="1"/>
      <c r="K1467" s="89" t="s">
        <v>2418</v>
      </c>
      <c r="L1467" s="89" t="str">
        <f>E48</f>
        <v>C1a2a</v>
      </c>
      <c r="M1467" s="89" t="s">
        <v>2419</v>
      </c>
      <c r="N1467" s="89"/>
      <c r="O1467" s="92">
        <v>2.3450683E7</v>
      </c>
      <c r="P1467" s="92">
        <v>2.1288797E7</v>
      </c>
      <c r="Q1467" s="89" t="s">
        <v>822</v>
      </c>
      <c r="AF1467" s="1"/>
      <c r="AG1467" s="1"/>
    </row>
    <row r="1468" ht="15.75" customHeight="1">
      <c r="A1468" s="1"/>
      <c r="B1468" s="1"/>
      <c r="C1468" s="1"/>
      <c r="D1468" s="1"/>
      <c r="E1468" s="1"/>
      <c r="F1468" s="1"/>
      <c r="G1468" s="1"/>
      <c r="H1468" s="1"/>
      <c r="I1468" s="1"/>
      <c r="J1468" s="1"/>
      <c r="K1468" s="89" t="s">
        <v>2419</v>
      </c>
      <c r="L1468" s="89" t="str">
        <f>E48</f>
        <v>C1a2a</v>
      </c>
      <c r="M1468" s="89" t="s">
        <v>2418</v>
      </c>
      <c r="N1468" s="89"/>
      <c r="O1468" s="92">
        <v>2.3450683E7</v>
      </c>
      <c r="P1468" s="92">
        <v>2.1288797E7</v>
      </c>
      <c r="Q1468" s="89" t="s">
        <v>822</v>
      </c>
      <c r="AF1468" s="1"/>
      <c r="AG1468" s="1"/>
    </row>
    <row r="1469" ht="15.75" customHeight="1">
      <c r="A1469" s="1"/>
      <c r="B1469" s="1"/>
      <c r="C1469" s="1"/>
      <c r="D1469" s="1"/>
      <c r="E1469" s="1"/>
      <c r="F1469" s="1"/>
      <c r="G1469" s="1"/>
      <c r="H1469" s="1"/>
      <c r="I1469" s="1"/>
      <c r="J1469" s="1"/>
      <c r="K1469" s="89" t="s">
        <v>2420</v>
      </c>
      <c r="L1469" s="89" t="str">
        <f>E48</f>
        <v>C1a2a</v>
      </c>
      <c r="M1469" s="89" t="s">
        <v>2421</v>
      </c>
      <c r="N1469" s="89"/>
      <c r="O1469" s="92">
        <v>2.3540169E7</v>
      </c>
      <c r="P1469" s="92">
        <v>2.1378283E7</v>
      </c>
      <c r="Q1469" s="89" t="s">
        <v>802</v>
      </c>
      <c r="AF1469" s="1"/>
      <c r="AG1469" s="1"/>
    </row>
    <row r="1470" ht="15.75" customHeight="1">
      <c r="A1470" s="1"/>
      <c r="B1470" s="1"/>
      <c r="C1470" s="1"/>
      <c r="D1470" s="1"/>
      <c r="E1470" s="1"/>
      <c r="F1470" s="1"/>
      <c r="G1470" s="1"/>
      <c r="H1470" s="1"/>
      <c r="I1470" s="1"/>
      <c r="J1470" s="1"/>
      <c r="K1470" s="89" t="s">
        <v>2421</v>
      </c>
      <c r="L1470" s="89" t="str">
        <f>E48</f>
        <v>C1a2a</v>
      </c>
      <c r="M1470" s="89" t="s">
        <v>2420</v>
      </c>
      <c r="N1470" s="89"/>
      <c r="O1470" s="92">
        <v>2.3540169E7</v>
      </c>
      <c r="P1470" s="92">
        <v>2.1378283E7</v>
      </c>
      <c r="Q1470" s="89" t="s">
        <v>802</v>
      </c>
      <c r="AF1470" s="1"/>
      <c r="AG1470" s="1"/>
    </row>
    <row r="1471" ht="15.75" customHeight="1">
      <c r="A1471" s="1"/>
      <c r="B1471" s="1"/>
      <c r="C1471" s="1"/>
      <c r="D1471" s="1"/>
      <c r="E1471" s="1"/>
      <c r="F1471" s="1"/>
      <c r="G1471" s="1"/>
      <c r="H1471" s="1"/>
      <c r="I1471" s="1"/>
      <c r="J1471" s="1"/>
      <c r="K1471" s="89" t="s">
        <v>2422</v>
      </c>
      <c r="L1471" s="89" t="str">
        <f>E48</f>
        <v>C1a2a</v>
      </c>
      <c r="M1471" s="89" t="s">
        <v>2423</v>
      </c>
      <c r="N1471" s="89"/>
      <c r="O1471" s="92">
        <v>8017600.0</v>
      </c>
      <c r="P1471" s="92">
        <v>8149559.0</v>
      </c>
      <c r="Q1471" s="89" t="s">
        <v>810</v>
      </c>
      <c r="AF1471" s="1"/>
      <c r="AG1471" s="1"/>
    </row>
    <row r="1472" ht="15.75" customHeight="1">
      <c r="A1472" s="1"/>
      <c r="B1472" s="1"/>
      <c r="C1472" s="1"/>
      <c r="D1472" s="1"/>
      <c r="E1472" s="1"/>
      <c r="F1472" s="1"/>
      <c r="G1472" s="1"/>
      <c r="H1472" s="1"/>
      <c r="I1472" s="1"/>
      <c r="J1472" s="1"/>
      <c r="K1472" s="89" t="s">
        <v>2423</v>
      </c>
      <c r="L1472" s="89" t="str">
        <f>E48</f>
        <v>C1a2a</v>
      </c>
      <c r="M1472" s="89" t="s">
        <v>2422</v>
      </c>
      <c r="N1472" s="89"/>
      <c r="O1472" s="92">
        <v>8017600.0</v>
      </c>
      <c r="P1472" s="92">
        <v>8149559.0</v>
      </c>
      <c r="Q1472" s="89" t="s">
        <v>810</v>
      </c>
      <c r="AF1472" s="1"/>
      <c r="AG1472" s="1"/>
    </row>
    <row r="1473" ht="15.75" customHeight="1">
      <c r="A1473" s="1"/>
      <c r="B1473" s="1"/>
      <c r="C1473" s="1"/>
      <c r="D1473" s="1"/>
      <c r="E1473" s="1"/>
      <c r="F1473" s="1"/>
      <c r="G1473" s="1"/>
      <c r="H1473" s="1"/>
      <c r="I1473" s="1"/>
      <c r="J1473" s="1"/>
      <c r="K1473" s="89" t="s">
        <v>2424</v>
      </c>
      <c r="L1473" s="89" t="str">
        <f>E48</f>
        <v>C1a2a</v>
      </c>
      <c r="M1473" s="89" t="s">
        <v>2425</v>
      </c>
      <c r="N1473" s="89"/>
      <c r="O1473" s="92">
        <v>8807963.0</v>
      </c>
      <c r="P1473" s="92">
        <v>8939922.0</v>
      </c>
      <c r="Q1473" s="89" t="s">
        <v>838</v>
      </c>
      <c r="AF1473" s="1"/>
      <c r="AG1473" s="1"/>
    </row>
    <row r="1474" ht="15.75" customHeight="1">
      <c r="A1474" s="1"/>
      <c r="B1474" s="1"/>
      <c r="C1474" s="1"/>
      <c r="D1474" s="1"/>
      <c r="E1474" s="1"/>
      <c r="F1474" s="1"/>
      <c r="G1474" s="1"/>
      <c r="H1474" s="1"/>
      <c r="I1474" s="1"/>
      <c r="J1474" s="1"/>
      <c r="K1474" s="89" t="s">
        <v>2425</v>
      </c>
      <c r="L1474" s="89" t="str">
        <f>E48</f>
        <v>C1a2a</v>
      </c>
      <c r="M1474" s="89" t="s">
        <v>2424</v>
      </c>
      <c r="N1474" s="89"/>
      <c r="O1474" s="92">
        <v>8807963.0</v>
      </c>
      <c r="P1474" s="92">
        <v>8939922.0</v>
      </c>
      <c r="Q1474" s="89" t="s">
        <v>838</v>
      </c>
      <c r="AF1474" s="1"/>
      <c r="AG1474" s="1"/>
    </row>
    <row r="1475" ht="15.75" customHeight="1">
      <c r="A1475" s="1"/>
      <c r="B1475" s="1"/>
      <c r="C1475" s="1"/>
      <c r="D1475" s="1"/>
      <c r="E1475" s="1"/>
      <c r="F1475" s="1"/>
      <c r="G1475" s="1"/>
      <c r="H1475" s="1"/>
      <c r="I1475" s="1"/>
      <c r="J1475" s="1"/>
      <c r="K1475" s="89" t="s">
        <v>2426</v>
      </c>
      <c r="L1475" s="89" t="str">
        <f>E48</f>
        <v>C1a2a</v>
      </c>
      <c r="M1475" s="89" t="s">
        <v>2427</v>
      </c>
      <c r="N1475" s="89" t="s">
        <v>2428</v>
      </c>
      <c r="O1475" s="92">
        <v>1.4085423E7</v>
      </c>
      <c r="P1475" s="92">
        <v>1.1964717E7</v>
      </c>
      <c r="Q1475" s="89" t="s">
        <v>822</v>
      </c>
      <c r="AF1475" s="1"/>
      <c r="AG1475" s="1"/>
    </row>
    <row r="1476" ht="15.75" customHeight="1">
      <c r="A1476" s="1"/>
      <c r="B1476" s="1"/>
      <c r="C1476" s="1"/>
      <c r="D1476" s="1"/>
      <c r="E1476" s="1"/>
      <c r="F1476" s="1"/>
      <c r="G1476" s="1"/>
      <c r="H1476" s="1"/>
      <c r="I1476" s="1"/>
      <c r="J1476" s="1"/>
      <c r="K1476" s="89" t="s">
        <v>2427</v>
      </c>
      <c r="L1476" s="89" t="str">
        <f>E48</f>
        <v>C1a2a</v>
      </c>
      <c r="M1476" s="89" t="s">
        <v>2426</v>
      </c>
      <c r="N1476" s="89" t="s">
        <v>2428</v>
      </c>
      <c r="O1476" s="92">
        <v>1.4085423E7</v>
      </c>
      <c r="P1476" s="92">
        <v>1.1964717E7</v>
      </c>
      <c r="Q1476" s="89" t="s">
        <v>822</v>
      </c>
      <c r="AF1476" s="1"/>
      <c r="AG1476" s="1"/>
    </row>
    <row r="1477" ht="15.75" customHeight="1">
      <c r="A1477" s="1"/>
      <c r="B1477" s="1"/>
      <c r="C1477" s="1"/>
      <c r="D1477" s="1"/>
      <c r="E1477" s="1"/>
      <c r="F1477" s="1"/>
      <c r="G1477" s="1"/>
      <c r="H1477" s="1"/>
      <c r="I1477" s="1"/>
      <c r="J1477" s="1"/>
      <c r="K1477" s="89" t="s">
        <v>2429</v>
      </c>
      <c r="L1477" s="89" t="str">
        <f>E48</f>
        <v>C1a2a</v>
      </c>
      <c r="M1477" s="89" t="s">
        <v>2430</v>
      </c>
      <c r="N1477" s="89"/>
      <c r="O1477" s="92">
        <v>1.4433217E7</v>
      </c>
      <c r="P1477" s="92">
        <v>1.231249E7</v>
      </c>
      <c r="Q1477" s="89" t="s">
        <v>831</v>
      </c>
      <c r="AF1477" s="1"/>
      <c r="AG1477" s="1"/>
    </row>
    <row r="1478" ht="15.75" customHeight="1">
      <c r="A1478" s="1"/>
      <c r="B1478" s="1"/>
      <c r="C1478" s="1"/>
      <c r="D1478" s="1"/>
      <c r="E1478" s="1"/>
      <c r="F1478" s="1"/>
      <c r="G1478" s="1"/>
      <c r="H1478" s="1"/>
      <c r="I1478" s="1"/>
      <c r="J1478" s="1"/>
      <c r="K1478" s="89" t="s">
        <v>2430</v>
      </c>
      <c r="L1478" s="89" t="str">
        <f>E48</f>
        <v>C1a2a</v>
      </c>
      <c r="M1478" s="89" t="s">
        <v>2429</v>
      </c>
      <c r="N1478" s="89"/>
      <c r="O1478" s="92">
        <v>1.4433217E7</v>
      </c>
      <c r="P1478" s="92">
        <v>1.231249E7</v>
      </c>
      <c r="Q1478" s="89" t="s">
        <v>831</v>
      </c>
      <c r="AF1478" s="1"/>
      <c r="AG1478" s="1"/>
    </row>
    <row r="1479" ht="15.75" customHeight="1">
      <c r="A1479" s="1"/>
      <c r="B1479" s="1"/>
      <c r="C1479" s="1"/>
      <c r="D1479" s="1"/>
      <c r="E1479" s="1"/>
      <c r="F1479" s="1"/>
      <c r="G1479" s="1"/>
      <c r="H1479" s="1"/>
      <c r="I1479" s="1"/>
      <c r="J1479" s="1"/>
      <c r="K1479" s="89" t="s">
        <v>2431</v>
      </c>
      <c r="L1479" s="89" t="str">
        <f>E48</f>
        <v>C1a2a</v>
      </c>
      <c r="M1479" s="89" t="s">
        <v>2432</v>
      </c>
      <c r="N1479" s="89" t="s">
        <v>2433</v>
      </c>
      <c r="O1479" s="92">
        <v>1.4471069E7</v>
      </c>
      <c r="P1479" s="92">
        <v>1.2350338E7</v>
      </c>
      <c r="Q1479" s="89" t="s">
        <v>810</v>
      </c>
      <c r="AF1479" s="1"/>
      <c r="AG1479" s="1"/>
    </row>
    <row r="1480" ht="15.75" customHeight="1">
      <c r="A1480" s="1"/>
      <c r="B1480" s="1"/>
      <c r="C1480" s="1"/>
      <c r="D1480" s="1"/>
      <c r="E1480" s="1"/>
      <c r="F1480" s="1"/>
      <c r="G1480" s="1"/>
      <c r="H1480" s="1"/>
      <c r="I1480" s="1"/>
      <c r="J1480" s="1"/>
      <c r="K1480" s="89" t="s">
        <v>2432</v>
      </c>
      <c r="L1480" s="89" t="str">
        <f>E48</f>
        <v>C1a2a</v>
      </c>
      <c r="M1480" s="89" t="s">
        <v>2431</v>
      </c>
      <c r="N1480" s="89" t="s">
        <v>2433</v>
      </c>
      <c r="O1480" s="92">
        <v>1.4471069E7</v>
      </c>
      <c r="P1480" s="92">
        <v>1.2350338E7</v>
      </c>
      <c r="Q1480" s="89" t="s">
        <v>810</v>
      </c>
      <c r="AF1480" s="1"/>
      <c r="AG1480" s="1"/>
    </row>
    <row r="1481" ht="15.75" customHeight="1">
      <c r="A1481" s="1"/>
      <c r="B1481" s="1"/>
      <c r="C1481" s="1"/>
      <c r="D1481" s="1"/>
      <c r="E1481" s="1"/>
      <c r="F1481" s="1"/>
      <c r="G1481" s="1"/>
      <c r="H1481" s="1"/>
      <c r="I1481" s="1"/>
      <c r="J1481" s="1"/>
      <c r="K1481" s="89" t="s">
        <v>2434</v>
      </c>
      <c r="L1481" s="89" t="str">
        <f>E48</f>
        <v>C1a2a</v>
      </c>
      <c r="M1481" s="89" t="s">
        <v>2435</v>
      </c>
      <c r="N1481" s="89" t="s">
        <v>2436</v>
      </c>
      <c r="O1481" s="92">
        <v>1.632442E7</v>
      </c>
      <c r="P1481" s="92">
        <v>1.421254E7</v>
      </c>
      <c r="Q1481" s="89" t="s">
        <v>810</v>
      </c>
      <c r="AF1481" s="1"/>
      <c r="AG1481" s="1"/>
    </row>
    <row r="1482" ht="15.75" customHeight="1">
      <c r="A1482" s="1"/>
      <c r="B1482" s="1"/>
      <c r="C1482" s="1"/>
      <c r="D1482" s="1"/>
      <c r="E1482" s="1"/>
      <c r="F1482" s="1"/>
      <c r="G1482" s="1"/>
      <c r="H1482" s="1"/>
      <c r="I1482" s="1"/>
      <c r="J1482" s="1"/>
      <c r="K1482" s="89" t="s">
        <v>2435</v>
      </c>
      <c r="L1482" s="89" t="str">
        <f>E48</f>
        <v>C1a2a</v>
      </c>
      <c r="M1482" s="89" t="s">
        <v>2434</v>
      </c>
      <c r="N1482" s="89" t="s">
        <v>2436</v>
      </c>
      <c r="O1482" s="92">
        <v>1.632442E7</v>
      </c>
      <c r="P1482" s="92">
        <v>1.421254E7</v>
      </c>
      <c r="Q1482" s="89" t="s">
        <v>810</v>
      </c>
      <c r="AF1482" s="1"/>
      <c r="AG1482" s="1"/>
    </row>
    <row r="1483" ht="15.75" customHeight="1">
      <c r="A1483" s="1"/>
      <c r="B1483" s="1"/>
      <c r="C1483" s="1"/>
      <c r="D1483" s="1"/>
      <c r="E1483" s="1"/>
      <c r="F1483" s="1"/>
      <c r="G1483" s="1"/>
      <c r="H1483" s="1"/>
      <c r="I1483" s="1"/>
      <c r="J1483" s="1"/>
      <c r="K1483" s="89" t="s">
        <v>2437</v>
      </c>
      <c r="L1483" s="89" t="str">
        <f>E48</f>
        <v>C1a2a</v>
      </c>
      <c r="M1483" s="89" t="s">
        <v>2438</v>
      </c>
      <c r="N1483" s="89" t="s">
        <v>2439</v>
      </c>
      <c r="O1483" s="92">
        <v>1.6579133E7</v>
      </c>
      <c r="P1483" s="92">
        <v>1.4467253E7</v>
      </c>
      <c r="Q1483" s="89" t="s">
        <v>845</v>
      </c>
      <c r="AF1483" s="1"/>
      <c r="AG1483" s="1"/>
    </row>
    <row r="1484" ht="15.75" customHeight="1">
      <c r="A1484" s="1"/>
      <c r="B1484" s="1"/>
      <c r="C1484" s="1"/>
      <c r="D1484" s="1"/>
      <c r="E1484" s="1"/>
      <c r="F1484" s="1"/>
      <c r="G1484" s="1"/>
      <c r="H1484" s="1"/>
      <c r="I1484" s="1"/>
      <c r="J1484" s="1"/>
      <c r="K1484" s="89" t="s">
        <v>2438</v>
      </c>
      <c r="L1484" s="89" t="str">
        <f>E48</f>
        <v>C1a2a</v>
      </c>
      <c r="M1484" s="89" t="s">
        <v>2437</v>
      </c>
      <c r="N1484" s="89" t="s">
        <v>2439</v>
      </c>
      <c r="O1484" s="92">
        <v>1.6579133E7</v>
      </c>
      <c r="P1484" s="92">
        <v>1.4467253E7</v>
      </c>
      <c r="Q1484" s="89" t="s">
        <v>845</v>
      </c>
      <c r="AF1484" s="1"/>
      <c r="AG1484" s="1"/>
    </row>
    <row r="1485" ht="15.75" customHeight="1">
      <c r="A1485" s="1"/>
      <c r="B1485" s="1"/>
      <c r="C1485" s="1"/>
      <c r="D1485" s="1"/>
      <c r="E1485" s="1"/>
      <c r="F1485" s="1"/>
      <c r="G1485" s="1"/>
      <c r="H1485" s="1"/>
      <c r="I1485" s="1"/>
      <c r="J1485" s="1"/>
      <c r="K1485" s="89" t="s">
        <v>2440</v>
      </c>
      <c r="L1485" s="89" t="str">
        <f>E48</f>
        <v>C1a2a</v>
      </c>
      <c r="M1485" s="89" t="s">
        <v>2441</v>
      </c>
      <c r="N1485" s="89"/>
      <c r="O1485" s="92">
        <v>1.6810815E7</v>
      </c>
      <c r="P1485" s="92">
        <v>1.4698935E7</v>
      </c>
      <c r="Q1485" s="89" t="s">
        <v>802</v>
      </c>
      <c r="AF1485" s="1"/>
      <c r="AG1485" s="1"/>
    </row>
    <row r="1486" ht="15.75" customHeight="1">
      <c r="A1486" s="1"/>
      <c r="B1486" s="1"/>
      <c r="C1486" s="1"/>
      <c r="D1486" s="1"/>
      <c r="E1486" s="1"/>
      <c r="F1486" s="1"/>
      <c r="G1486" s="1"/>
      <c r="H1486" s="1"/>
      <c r="I1486" s="1"/>
      <c r="J1486" s="1"/>
      <c r="K1486" s="89" t="s">
        <v>2441</v>
      </c>
      <c r="L1486" s="89" t="str">
        <f>E48</f>
        <v>C1a2a</v>
      </c>
      <c r="M1486" s="89" t="s">
        <v>2440</v>
      </c>
      <c r="N1486" s="89"/>
      <c r="O1486" s="92">
        <v>1.6810815E7</v>
      </c>
      <c r="P1486" s="92">
        <v>1.4698935E7</v>
      </c>
      <c r="Q1486" s="89" t="s">
        <v>802</v>
      </c>
      <c r="AF1486" s="1"/>
      <c r="AG1486" s="1"/>
    </row>
    <row r="1487" ht="15.75" customHeight="1">
      <c r="A1487" s="1"/>
      <c r="B1487" s="1"/>
      <c r="C1487" s="1"/>
      <c r="D1487" s="1"/>
      <c r="E1487" s="1"/>
      <c r="F1487" s="1"/>
      <c r="G1487" s="1"/>
      <c r="H1487" s="1"/>
      <c r="I1487" s="1"/>
      <c r="J1487" s="1"/>
      <c r="K1487" s="89" t="s">
        <v>2442</v>
      </c>
      <c r="L1487" s="89" t="str">
        <f>E48</f>
        <v>C1a2a</v>
      </c>
      <c r="M1487" s="89" t="s">
        <v>2443</v>
      </c>
      <c r="N1487" s="89" t="s">
        <v>2444</v>
      </c>
      <c r="O1487" s="92">
        <v>1.6961577E7</v>
      </c>
      <c r="P1487" s="92">
        <v>1.4849697E7</v>
      </c>
      <c r="Q1487" s="89" t="s">
        <v>810</v>
      </c>
      <c r="AF1487" s="1"/>
      <c r="AG1487" s="1"/>
    </row>
    <row r="1488" ht="15.75" customHeight="1">
      <c r="A1488" s="1"/>
      <c r="B1488" s="1"/>
      <c r="C1488" s="1"/>
      <c r="D1488" s="1"/>
      <c r="E1488" s="1"/>
      <c r="F1488" s="1"/>
      <c r="G1488" s="1"/>
      <c r="H1488" s="1"/>
      <c r="I1488" s="1"/>
      <c r="J1488" s="1"/>
      <c r="K1488" s="89" t="s">
        <v>2443</v>
      </c>
      <c r="L1488" s="89" t="str">
        <f>E48</f>
        <v>C1a2a</v>
      </c>
      <c r="M1488" s="89" t="s">
        <v>2442</v>
      </c>
      <c r="N1488" s="89" t="s">
        <v>2444</v>
      </c>
      <c r="O1488" s="92">
        <v>1.6961577E7</v>
      </c>
      <c r="P1488" s="92">
        <v>1.4849697E7</v>
      </c>
      <c r="Q1488" s="89" t="s">
        <v>810</v>
      </c>
      <c r="AF1488" s="1"/>
      <c r="AG1488" s="1"/>
    </row>
    <row r="1489" ht="15.75" customHeight="1">
      <c r="A1489" s="1"/>
      <c r="B1489" s="1"/>
      <c r="C1489" s="1"/>
      <c r="D1489" s="1"/>
      <c r="E1489" s="1"/>
      <c r="F1489" s="1"/>
      <c r="G1489" s="1"/>
      <c r="H1489" s="1"/>
      <c r="I1489" s="1"/>
      <c r="J1489" s="1"/>
      <c r="K1489" s="89" t="s">
        <v>2445</v>
      </c>
      <c r="L1489" s="89" t="str">
        <f>E48</f>
        <v>C1a2a</v>
      </c>
      <c r="M1489" s="89" t="s">
        <v>2446</v>
      </c>
      <c r="N1489" s="89"/>
      <c r="O1489" s="92">
        <v>1.8754499E7</v>
      </c>
      <c r="P1489" s="92">
        <v>1.6642619E7</v>
      </c>
      <c r="Q1489" s="89" t="s">
        <v>810</v>
      </c>
      <c r="AF1489" s="1"/>
      <c r="AG1489" s="1"/>
    </row>
    <row r="1490" ht="15.75" customHeight="1">
      <c r="A1490" s="1"/>
      <c r="B1490" s="1"/>
      <c r="C1490" s="1"/>
      <c r="D1490" s="1"/>
      <c r="E1490" s="1"/>
      <c r="F1490" s="1"/>
      <c r="G1490" s="1"/>
      <c r="H1490" s="1"/>
      <c r="I1490" s="1"/>
      <c r="J1490" s="1"/>
      <c r="K1490" s="89" t="s">
        <v>2446</v>
      </c>
      <c r="L1490" s="89" t="str">
        <f>E48</f>
        <v>C1a2a</v>
      </c>
      <c r="M1490" s="89" t="s">
        <v>2445</v>
      </c>
      <c r="N1490" s="89"/>
      <c r="O1490" s="92">
        <v>1.8754499E7</v>
      </c>
      <c r="P1490" s="92">
        <v>1.6642619E7</v>
      </c>
      <c r="Q1490" s="89" t="s">
        <v>810</v>
      </c>
      <c r="AF1490" s="1"/>
      <c r="AG1490" s="1"/>
    </row>
    <row r="1491" ht="15.75" customHeight="1">
      <c r="A1491" s="1"/>
      <c r="B1491" s="1"/>
      <c r="C1491" s="1"/>
      <c r="D1491" s="1"/>
      <c r="E1491" s="1"/>
      <c r="F1491" s="1"/>
      <c r="G1491" s="1"/>
      <c r="H1491" s="1"/>
      <c r="I1491" s="1"/>
      <c r="J1491" s="1"/>
      <c r="K1491" s="89" t="s">
        <v>2447</v>
      </c>
      <c r="L1491" s="89" t="str">
        <f>E48</f>
        <v>C1a2a</v>
      </c>
      <c r="M1491" s="89" t="s">
        <v>2448</v>
      </c>
      <c r="N1491" s="89" t="s">
        <v>2449</v>
      </c>
      <c r="O1491" s="92">
        <v>2.1434475E7</v>
      </c>
      <c r="P1491" s="92">
        <v>1.9272589E7</v>
      </c>
      <c r="Q1491" s="89" t="s">
        <v>810</v>
      </c>
      <c r="AF1491" s="1"/>
      <c r="AG1491" s="1"/>
    </row>
    <row r="1492" ht="15.75" customHeight="1">
      <c r="A1492" s="1"/>
      <c r="B1492" s="1"/>
      <c r="C1492" s="1"/>
      <c r="D1492" s="1"/>
      <c r="E1492" s="1"/>
      <c r="F1492" s="1"/>
      <c r="G1492" s="1"/>
      <c r="H1492" s="1"/>
      <c r="I1492" s="1"/>
      <c r="J1492" s="1"/>
      <c r="K1492" s="89" t="s">
        <v>2448</v>
      </c>
      <c r="L1492" s="89" t="str">
        <f>E48</f>
        <v>C1a2a</v>
      </c>
      <c r="M1492" s="89" t="s">
        <v>2447</v>
      </c>
      <c r="N1492" s="89" t="s">
        <v>2449</v>
      </c>
      <c r="O1492" s="92">
        <v>2.1434475E7</v>
      </c>
      <c r="P1492" s="92">
        <v>1.9272589E7</v>
      </c>
      <c r="Q1492" s="89" t="s">
        <v>810</v>
      </c>
      <c r="AF1492" s="1"/>
      <c r="AG1492" s="1"/>
    </row>
    <row r="1493" ht="15.75" customHeight="1">
      <c r="A1493" s="1"/>
      <c r="B1493" s="1"/>
      <c r="C1493" s="1"/>
      <c r="D1493" s="1"/>
      <c r="E1493" s="1"/>
      <c r="F1493" s="1"/>
      <c r="G1493" s="1"/>
      <c r="H1493" s="1"/>
      <c r="I1493" s="1"/>
      <c r="J1493" s="1"/>
      <c r="K1493" s="89" t="s">
        <v>2450</v>
      </c>
      <c r="L1493" s="89" t="str">
        <f>E48</f>
        <v>C1a2a</v>
      </c>
      <c r="M1493" s="89" t="s">
        <v>2451</v>
      </c>
      <c r="N1493" s="89"/>
      <c r="O1493" s="92">
        <v>2.1479206E7</v>
      </c>
      <c r="P1493" s="92">
        <v>1.931732E7</v>
      </c>
      <c r="Q1493" s="89" t="s">
        <v>879</v>
      </c>
      <c r="AF1493" s="1"/>
      <c r="AG1493" s="1"/>
    </row>
    <row r="1494" ht="15.75" customHeight="1">
      <c r="A1494" s="1"/>
      <c r="B1494" s="1"/>
      <c r="C1494" s="1"/>
      <c r="D1494" s="1"/>
      <c r="E1494" s="1"/>
      <c r="F1494" s="1"/>
      <c r="G1494" s="1"/>
      <c r="H1494" s="1"/>
      <c r="I1494" s="1"/>
      <c r="J1494" s="1"/>
      <c r="K1494" s="89" t="s">
        <v>2451</v>
      </c>
      <c r="L1494" s="89" t="str">
        <f>E48</f>
        <v>C1a2a</v>
      </c>
      <c r="M1494" s="89" t="s">
        <v>2450</v>
      </c>
      <c r="N1494" s="89"/>
      <c r="O1494" s="92">
        <v>2.1479206E7</v>
      </c>
      <c r="P1494" s="92">
        <v>1.931732E7</v>
      </c>
      <c r="Q1494" s="89" t="s">
        <v>879</v>
      </c>
      <c r="AF1494" s="1"/>
      <c r="AG1494" s="1"/>
    </row>
    <row r="1495" ht="15.75" customHeight="1">
      <c r="A1495" s="1"/>
      <c r="B1495" s="1"/>
      <c r="C1495" s="1"/>
      <c r="D1495" s="1"/>
      <c r="E1495" s="1"/>
      <c r="F1495" s="1"/>
      <c r="G1495" s="1"/>
      <c r="H1495" s="1"/>
      <c r="I1495" s="1"/>
      <c r="J1495" s="1"/>
      <c r="K1495" s="89" t="s">
        <v>2452</v>
      </c>
      <c r="L1495" s="89" t="str">
        <f>E48</f>
        <v>C1a2a</v>
      </c>
      <c r="M1495" s="89" t="s">
        <v>2453</v>
      </c>
      <c r="N1495" s="89"/>
      <c r="O1495" s="92">
        <v>2.187649E7</v>
      </c>
      <c r="P1495" s="92">
        <v>1.9714604E7</v>
      </c>
      <c r="Q1495" s="89" t="s">
        <v>845</v>
      </c>
      <c r="AF1495" s="1"/>
      <c r="AG1495" s="1"/>
    </row>
    <row r="1496" ht="15.75" customHeight="1">
      <c r="A1496" s="1"/>
      <c r="B1496" s="1"/>
      <c r="C1496" s="1"/>
      <c r="D1496" s="1"/>
      <c r="E1496" s="1"/>
      <c r="F1496" s="1"/>
      <c r="G1496" s="1"/>
      <c r="H1496" s="1"/>
      <c r="I1496" s="1"/>
      <c r="J1496" s="1"/>
      <c r="K1496" s="89" t="s">
        <v>2453</v>
      </c>
      <c r="L1496" s="89" t="str">
        <f>E48</f>
        <v>C1a2a</v>
      </c>
      <c r="M1496" s="89" t="s">
        <v>2452</v>
      </c>
      <c r="N1496" s="89"/>
      <c r="O1496" s="92">
        <v>2.187649E7</v>
      </c>
      <c r="P1496" s="92">
        <v>1.9714604E7</v>
      </c>
      <c r="Q1496" s="89" t="s">
        <v>845</v>
      </c>
      <c r="AF1496" s="1"/>
      <c r="AG1496" s="1"/>
    </row>
    <row r="1497" ht="15.75" customHeight="1">
      <c r="A1497" s="1"/>
      <c r="B1497" s="1"/>
      <c r="C1497" s="1"/>
      <c r="D1497" s="1"/>
      <c r="E1497" s="1"/>
      <c r="F1497" s="1"/>
      <c r="G1497" s="1"/>
      <c r="H1497" s="1"/>
      <c r="I1497" s="1"/>
      <c r="J1497" s="1"/>
      <c r="K1497" s="89" t="s">
        <v>2454</v>
      </c>
      <c r="L1497" s="89" t="str">
        <f>E48</f>
        <v>C1a2a</v>
      </c>
      <c r="M1497" s="89" t="s">
        <v>2455</v>
      </c>
      <c r="N1497" s="89"/>
      <c r="O1497" s="92">
        <v>2.2159143E7</v>
      </c>
      <c r="P1497" s="92">
        <v>1.9997257E7</v>
      </c>
      <c r="Q1497" s="89" t="s">
        <v>838</v>
      </c>
      <c r="AF1497" s="1"/>
      <c r="AG1497" s="1"/>
    </row>
    <row r="1498" ht="15.75" customHeight="1">
      <c r="A1498" s="1"/>
      <c r="B1498" s="1"/>
      <c r="C1498" s="1"/>
      <c r="D1498" s="1"/>
      <c r="E1498" s="1"/>
      <c r="F1498" s="1"/>
      <c r="G1498" s="1"/>
      <c r="H1498" s="1"/>
      <c r="I1498" s="1"/>
      <c r="J1498" s="1"/>
      <c r="K1498" s="89" t="s">
        <v>2455</v>
      </c>
      <c r="L1498" s="89" t="str">
        <f>E48</f>
        <v>C1a2a</v>
      </c>
      <c r="M1498" s="89" t="s">
        <v>2454</v>
      </c>
      <c r="N1498" s="89"/>
      <c r="O1498" s="92">
        <v>2.2159143E7</v>
      </c>
      <c r="P1498" s="92">
        <v>1.9997257E7</v>
      </c>
      <c r="Q1498" s="89" t="s">
        <v>838</v>
      </c>
      <c r="AF1498" s="1"/>
      <c r="AG1498" s="1"/>
    </row>
    <row r="1499" ht="15.75" customHeight="1">
      <c r="A1499" s="1"/>
      <c r="B1499" s="1"/>
      <c r="C1499" s="1"/>
      <c r="D1499" s="1"/>
      <c r="E1499" s="1"/>
      <c r="F1499" s="1"/>
      <c r="G1499" s="1"/>
      <c r="H1499" s="1"/>
      <c r="I1499" s="1"/>
      <c r="J1499" s="1"/>
      <c r="K1499" s="89" t="s">
        <v>2456</v>
      </c>
      <c r="L1499" s="89" t="str">
        <f>E48</f>
        <v>C1a2a</v>
      </c>
      <c r="M1499" s="89" t="s">
        <v>2457</v>
      </c>
      <c r="N1499" s="89"/>
      <c r="O1499" s="92">
        <v>2.2513316E7</v>
      </c>
      <c r="P1499" s="92">
        <v>2.035143E7</v>
      </c>
      <c r="Q1499" s="89" t="s">
        <v>886</v>
      </c>
      <c r="AF1499" s="1"/>
      <c r="AG1499" s="1"/>
    </row>
    <row r="1500" ht="15.75" customHeight="1">
      <c r="A1500" s="1"/>
      <c r="B1500" s="1"/>
      <c r="C1500" s="1"/>
      <c r="D1500" s="1"/>
      <c r="E1500" s="1"/>
      <c r="F1500" s="1"/>
      <c r="G1500" s="1"/>
      <c r="H1500" s="1"/>
      <c r="I1500" s="1"/>
      <c r="J1500" s="1"/>
      <c r="K1500" s="89" t="s">
        <v>2457</v>
      </c>
      <c r="L1500" s="89" t="str">
        <f>E48</f>
        <v>C1a2a</v>
      </c>
      <c r="M1500" s="89" t="s">
        <v>2456</v>
      </c>
      <c r="N1500" s="89"/>
      <c r="O1500" s="92">
        <v>2.2513316E7</v>
      </c>
      <c r="P1500" s="92">
        <v>2.035143E7</v>
      </c>
      <c r="Q1500" s="89" t="s">
        <v>886</v>
      </c>
      <c r="AF1500" s="1"/>
      <c r="AG1500" s="1"/>
    </row>
    <row r="1501" ht="15.75" customHeight="1">
      <c r="A1501" s="1"/>
      <c r="B1501" s="1"/>
      <c r="C1501" s="1"/>
      <c r="D1501" s="1"/>
      <c r="E1501" s="1"/>
      <c r="F1501" s="1"/>
      <c r="G1501" s="1"/>
      <c r="H1501" s="1"/>
      <c r="I1501" s="1"/>
      <c r="J1501" s="1"/>
      <c r="K1501" s="89" t="s">
        <v>2458</v>
      </c>
      <c r="L1501" s="89" t="str">
        <f>E48</f>
        <v>C1a2a</v>
      </c>
      <c r="M1501" s="89" t="s">
        <v>2459</v>
      </c>
      <c r="N1501" s="89"/>
      <c r="O1501" s="92">
        <v>2.2525107E7</v>
      </c>
      <c r="P1501" s="92">
        <v>2.0363221E7</v>
      </c>
      <c r="Q1501" s="89" t="s">
        <v>822</v>
      </c>
      <c r="AF1501" s="1"/>
      <c r="AG1501" s="1"/>
    </row>
    <row r="1502" ht="15.75" customHeight="1">
      <c r="A1502" s="1"/>
      <c r="B1502" s="1"/>
      <c r="C1502" s="1"/>
      <c r="D1502" s="1"/>
      <c r="E1502" s="1"/>
      <c r="F1502" s="1"/>
      <c r="G1502" s="1"/>
      <c r="H1502" s="1"/>
      <c r="I1502" s="1"/>
      <c r="J1502" s="1"/>
      <c r="K1502" s="89" t="s">
        <v>2459</v>
      </c>
      <c r="L1502" s="89" t="str">
        <f>E48</f>
        <v>C1a2a</v>
      </c>
      <c r="M1502" s="89" t="s">
        <v>2458</v>
      </c>
      <c r="N1502" s="89"/>
      <c r="O1502" s="92">
        <v>2.2525107E7</v>
      </c>
      <c r="P1502" s="92">
        <v>2.0363221E7</v>
      </c>
      <c r="Q1502" s="89" t="s">
        <v>822</v>
      </c>
      <c r="AF1502" s="1"/>
      <c r="AG1502" s="1"/>
    </row>
    <row r="1503" ht="15.75" customHeight="1">
      <c r="A1503" s="1"/>
      <c r="B1503" s="1"/>
      <c r="C1503" s="1"/>
      <c r="D1503" s="1"/>
      <c r="E1503" s="1"/>
      <c r="F1503" s="1"/>
      <c r="G1503" s="1"/>
      <c r="H1503" s="1"/>
      <c r="I1503" s="1"/>
      <c r="J1503" s="1"/>
      <c r="K1503" s="89" t="s">
        <v>2460</v>
      </c>
      <c r="L1503" s="89" t="str">
        <f>E48</f>
        <v>C1a2a</v>
      </c>
      <c r="M1503" s="89" t="s">
        <v>2461</v>
      </c>
      <c r="N1503" s="89"/>
      <c r="O1503" s="92">
        <v>2.2567274E7</v>
      </c>
      <c r="P1503" s="92">
        <v>2.0405388E7</v>
      </c>
      <c r="Q1503" s="89" t="s">
        <v>802</v>
      </c>
      <c r="AF1503" s="1"/>
      <c r="AG1503" s="1"/>
    </row>
    <row r="1504" ht="15.75" customHeight="1">
      <c r="A1504" s="1"/>
      <c r="B1504" s="1"/>
      <c r="C1504" s="1"/>
      <c r="D1504" s="1"/>
      <c r="E1504" s="1"/>
      <c r="F1504" s="1"/>
      <c r="G1504" s="1"/>
      <c r="H1504" s="1"/>
      <c r="I1504" s="1"/>
      <c r="J1504" s="1"/>
      <c r="K1504" s="89" t="s">
        <v>2461</v>
      </c>
      <c r="L1504" s="89" t="str">
        <f>E48</f>
        <v>C1a2a</v>
      </c>
      <c r="M1504" s="89" t="s">
        <v>2460</v>
      </c>
      <c r="N1504" s="89"/>
      <c r="O1504" s="92">
        <v>2.2567274E7</v>
      </c>
      <c r="P1504" s="92">
        <v>2.0405388E7</v>
      </c>
      <c r="Q1504" s="89" t="s">
        <v>802</v>
      </c>
      <c r="AF1504" s="1"/>
      <c r="AG1504" s="1"/>
    </row>
    <row r="1505" ht="15.75" customHeight="1">
      <c r="A1505" s="1"/>
      <c r="B1505" s="1"/>
      <c r="C1505" s="1"/>
      <c r="D1505" s="1"/>
      <c r="E1505" s="1"/>
      <c r="F1505" s="1"/>
      <c r="G1505" s="1"/>
      <c r="H1505" s="1"/>
      <c r="I1505" s="1"/>
      <c r="J1505" s="1"/>
      <c r="K1505" s="89" t="s">
        <v>2462</v>
      </c>
      <c r="L1505" s="89" t="str">
        <f>E48</f>
        <v>C1a2a</v>
      </c>
      <c r="M1505" s="89" t="s">
        <v>2463</v>
      </c>
      <c r="N1505" s="89"/>
      <c r="O1505" s="92">
        <v>2.274188E7</v>
      </c>
      <c r="P1505" s="92">
        <v>2.0579994E7</v>
      </c>
      <c r="Q1505" s="89" t="s">
        <v>810</v>
      </c>
      <c r="AF1505" s="1"/>
      <c r="AG1505" s="1"/>
    </row>
    <row r="1506" ht="15.75" customHeight="1">
      <c r="A1506" s="1"/>
      <c r="B1506" s="1"/>
      <c r="C1506" s="1"/>
      <c r="D1506" s="1"/>
      <c r="E1506" s="1"/>
      <c r="F1506" s="1"/>
      <c r="G1506" s="1"/>
      <c r="H1506" s="1"/>
      <c r="I1506" s="1"/>
      <c r="J1506" s="1"/>
      <c r="K1506" s="89" t="s">
        <v>2463</v>
      </c>
      <c r="L1506" s="89" t="str">
        <f>E48</f>
        <v>C1a2a</v>
      </c>
      <c r="M1506" s="89" t="s">
        <v>2462</v>
      </c>
      <c r="N1506" s="89"/>
      <c r="O1506" s="92">
        <v>2.274188E7</v>
      </c>
      <c r="P1506" s="92">
        <v>2.0579994E7</v>
      </c>
      <c r="Q1506" s="89" t="s">
        <v>810</v>
      </c>
      <c r="AF1506" s="1"/>
      <c r="AG1506" s="1"/>
    </row>
    <row r="1507" ht="15.75" customHeight="1">
      <c r="A1507" s="1"/>
      <c r="B1507" s="1"/>
      <c r="C1507" s="1"/>
      <c r="D1507" s="1"/>
      <c r="E1507" s="1"/>
      <c r="F1507" s="1"/>
      <c r="G1507" s="1"/>
      <c r="H1507" s="1"/>
      <c r="I1507" s="1"/>
      <c r="J1507" s="1"/>
      <c r="K1507" s="89" t="s">
        <v>2464</v>
      </c>
      <c r="L1507" s="89" t="str">
        <f>E48</f>
        <v>C1a2a</v>
      </c>
      <c r="M1507" s="89" t="s">
        <v>2465</v>
      </c>
      <c r="N1507" s="89"/>
      <c r="O1507" s="92">
        <v>2.3157362E7</v>
      </c>
      <c r="P1507" s="92">
        <v>2.0995476E7</v>
      </c>
      <c r="Q1507" s="89" t="s">
        <v>810</v>
      </c>
      <c r="AF1507" s="1"/>
      <c r="AG1507" s="1"/>
    </row>
    <row r="1508" ht="15.75" customHeight="1">
      <c r="A1508" s="1"/>
      <c r="B1508" s="1"/>
      <c r="C1508" s="1"/>
      <c r="D1508" s="1"/>
      <c r="E1508" s="1"/>
      <c r="F1508" s="1"/>
      <c r="G1508" s="1"/>
      <c r="H1508" s="1"/>
      <c r="I1508" s="1"/>
      <c r="J1508" s="1"/>
      <c r="K1508" s="89" t="s">
        <v>2465</v>
      </c>
      <c r="L1508" s="89" t="str">
        <f>E48</f>
        <v>C1a2a</v>
      </c>
      <c r="M1508" s="89" t="s">
        <v>2464</v>
      </c>
      <c r="N1508" s="89"/>
      <c r="O1508" s="92">
        <v>2.3157362E7</v>
      </c>
      <c r="P1508" s="92">
        <v>2.0995476E7</v>
      </c>
      <c r="Q1508" s="89" t="s">
        <v>810</v>
      </c>
      <c r="AF1508" s="1"/>
      <c r="AG1508" s="1"/>
    </row>
    <row r="1509" ht="15.75" customHeight="1">
      <c r="A1509" s="1"/>
      <c r="B1509" s="1"/>
      <c r="C1509" s="1"/>
      <c r="D1509" s="1"/>
      <c r="E1509" s="1"/>
      <c r="F1509" s="1"/>
      <c r="G1509" s="1"/>
      <c r="H1509" s="1"/>
      <c r="I1509" s="1"/>
      <c r="J1509" s="1"/>
      <c r="K1509" s="89" t="s">
        <v>2466</v>
      </c>
      <c r="L1509" s="89" t="str">
        <f>E48</f>
        <v>C1a2a</v>
      </c>
      <c r="M1509" s="89" t="s">
        <v>2467</v>
      </c>
      <c r="N1509" s="89"/>
      <c r="O1509" s="92">
        <v>2.3314926E7</v>
      </c>
      <c r="P1509" s="92">
        <v>2.115304E7</v>
      </c>
      <c r="Q1509" s="89" t="s">
        <v>802</v>
      </c>
      <c r="AF1509" s="1"/>
      <c r="AG1509" s="1"/>
    </row>
    <row r="1510" ht="15.75" customHeight="1">
      <c r="A1510" s="1"/>
      <c r="B1510" s="1"/>
      <c r="C1510" s="1"/>
      <c r="D1510" s="1"/>
      <c r="E1510" s="1"/>
      <c r="F1510" s="1"/>
      <c r="G1510" s="1"/>
      <c r="H1510" s="1"/>
      <c r="I1510" s="1"/>
      <c r="J1510" s="1"/>
      <c r="K1510" s="89" t="s">
        <v>2467</v>
      </c>
      <c r="L1510" s="89" t="str">
        <f>E48</f>
        <v>C1a2a</v>
      </c>
      <c r="M1510" s="89" t="s">
        <v>2466</v>
      </c>
      <c r="N1510" s="89"/>
      <c r="O1510" s="92">
        <v>2.3314926E7</v>
      </c>
      <c r="P1510" s="92">
        <v>2.115304E7</v>
      </c>
      <c r="Q1510" s="89" t="s">
        <v>802</v>
      </c>
      <c r="AF1510" s="1"/>
      <c r="AG1510" s="1"/>
    </row>
    <row r="1511" ht="15.75" customHeight="1">
      <c r="A1511" s="1"/>
      <c r="B1511" s="1"/>
      <c r="C1511" s="1"/>
      <c r="D1511" s="1"/>
      <c r="E1511" s="1"/>
      <c r="F1511" s="1"/>
      <c r="G1511" s="1"/>
      <c r="H1511" s="1"/>
      <c r="I1511" s="1"/>
      <c r="J1511" s="1"/>
      <c r="K1511" s="89" t="s">
        <v>2468</v>
      </c>
      <c r="L1511" s="89" t="str">
        <f>E48</f>
        <v>C1a2a</v>
      </c>
      <c r="M1511" s="89" t="s">
        <v>2469</v>
      </c>
      <c r="N1511" s="89"/>
      <c r="O1511" s="92">
        <v>2.3480699E7</v>
      </c>
      <c r="P1511" s="92">
        <v>2.1318813E7</v>
      </c>
      <c r="Q1511" s="89" t="s">
        <v>831</v>
      </c>
      <c r="AF1511" s="1"/>
      <c r="AG1511" s="1"/>
    </row>
    <row r="1512" ht="15.75" customHeight="1">
      <c r="A1512" s="1"/>
      <c r="B1512" s="1"/>
      <c r="C1512" s="1"/>
      <c r="D1512" s="1"/>
      <c r="E1512" s="1"/>
      <c r="F1512" s="1"/>
      <c r="G1512" s="1"/>
      <c r="H1512" s="1"/>
      <c r="I1512" s="1"/>
      <c r="J1512" s="1"/>
      <c r="K1512" s="89" t="s">
        <v>2469</v>
      </c>
      <c r="L1512" s="89" t="str">
        <f>E48</f>
        <v>C1a2a</v>
      </c>
      <c r="M1512" s="89" t="s">
        <v>2468</v>
      </c>
      <c r="N1512" s="89"/>
      <c r="O1512" s="92">
        <v>2.3480699E7</v>
      </c>
      <c r="P1512" s="92">
        <v>2.1318813E7</v>
      </c>
      <c r="Q1512" s="89" t="s">
        <v>831</v>
      </c>
      <c r="AF1512" s="1"/>
      <c r="AG1512" s="1"/>
    </row>
    <row r="1513" ht="15.75" customHeight="1">
      <c r="A1513" s="1"/>
      <c r="B1513" s="1"/>
      <c r="C1513" s="1"/>
      <c r="D1513" s="1"/>
      <c r="E1513" s="1"/>
      <c r="F1513" s="1"/>
      <c r="G1513" s="1"/>
      <c r="H1513" s="1"/>
      <c r="I1513" s="1"/>
      <c r="J1513" s="1"/>
      <c r="K1513" s="89" t="s">
        <v>2470</v>
      </c>
      <c r="L1513" s="89" t="str">
        <f>E48</f>
        <v>C1a2a</v>
      </c>
      <c r="M1513" s="89" t="s">
        <v>2471</v>
      </c>
      <c r="N1513" s="89"/>
      <c r="O1513" s="92">
        <v>2.3134082E7</v>
      </c>
      <c r="P1513" s="92">
        <v>2.0972196E7</v>
      </c>
      <c r="Q1513" s="89" t="s">
        <v>802</v>
      </c>
      <c r="AF1513" s="1"/>
      <c r="AG1513" s="1"/>
    </row>
    <row r="1514" ht="15.75" customHeight="1">
      <c r="A1514" s="1"/>
      <c r="B1514" s="1"/>
      <c r="C1514" s="1"/>
      <c r="D1514" s="1"/>
      <c r="E1514" s="1"/>
      <c r="F1514" s="1"/>
      <c r="G1514" s="1"/>
      <c r="H1514" s="1"/>
      <c r="I1514" s="1"/>
      <c r="J1514" s="1"/>
      <c r="K1514" s="89" t="s">
        <v>2471</v>
      </c>
      <c r="L1514" s="89" t="str">
        <f>E48</f>
        <v>C1a2a</v>
      </c>
      <c r="M1514" s="89" t="s">
        <v>2470</v>
      </c>
      <c r="N1514" s="89"/>
      <c r="O1514" s="92">
        <v>2.3134082E7</v>
      </c>
      <c r="P1514" s="92">
        <v>2.0972196E7</v>
      </c>
      <c r="Q1514" s="89" t="s">
        <v>802</v>
      </c>
      <c r="AF1514" s="1"/>
      <c r="AG1514" s="1"/>
    </row>
    <row r="1515" ht="15.75" customHeight="1">
      <c r="A1515" s="1"/>
      <c r="B1515" s="1"/>
      <c r="C1515" s="1"/>
      <c r="D1515" s="1"/>
      <c r="E1515" s="1"/>
      <c r="F1515" s="1"/>
      <c r="G1515" s="1"/>
      <c r="H1515" s="1"/>
      <c r="I1515" s="1"/>
      <c r="J1515" s="1"/>
      <c r="K1515" s="89" t="s">
        <v>2472</v>
      </c>
      <c r="L1515" s="89" t="str">
        <f>E48</f>
        <v>C1a2a</v>
      </c>
      <c r="M1515" s="89"/>
      <c r="N1515" s="89"/>
      <c r="O1515" s="92">
        <v>1.3681472E7</v>
      </c>
      <c r="P1515" s="92">
        <v>1.1525796E7</v>
      </c>
      <c r="Q1515" s="89" t="s">
        <v>813</v>
      </c>
      <c r="AF1515" s="1"/>
      <c r="AG1515" s="1"/>
    </row>
    <row r="1516" ht="15.75" customHeight="1">
      <c r="A1516" s="1"/>
      <c r="B1516" s="1"/>
      <c r="C1516" s="1"/>
      <c r="D1516" s="1"/>
      <c r="E1516" s="1"/>
      <c r="F1516" s="1"/>
      <c r="G1516" s="1"/>
      <c r="H1516" s="1"/>
      <c r="I1516" s="1"/>
      <c r="J1516" s="1"/>
      <c r="K1516" s="89" t="s">
        <v>2473</v>
      </c>
      <c r="L1516" s="89" t="str">
        <f>F49</f>
        <v>C1a2a1</v>
      </c>
      <c r="M1516" s="89"/>
      <c r="N1516" s="89" t="s">
        <v>2474</v>
      </c>
      <c r="O1516" s="92">
        <v>7589937.0</v>
      </c>
      <c r="P1516" s="92">
        <v>7721896.0</v>
      </c>
      <c r="Q1516" s="89" t="s">
        <v>831</v>
      </c>
      <c r="AF1516" s="1"/>
      <c r="AG1516" s="1"/>
    </row>
    <row r="1517" ht="15.75" customHeight="1">
      <c r="A1517" s="1"/>
      <c r="B1517" s="1"/>
      <c r="C1517" s="1"/>
      <c r="D1517" s="1"/>
      <c r="E1517" s="1"/>
      <c r="F1517" s="1"/>
      <c r="G1517" s="1"/>
      <c r="H1517" s="1"/>
      <c r="I1517" s="1"/>
      <c r="J1517" s="1"/>
      <c r="K1517" s="89" t="s">
        <v>2475</v>
      </c>
      <c r="L1517" s="89" t="str">
        <f>F49</f>
        <v>C1a2a1</v>
      </c>
      <c r="M1517" s="89" t="s">
        <v>2476</v>
      </c>
      <c r="N1517" s="89" t="s">
        <v>2477</v>
      </c>
      <c r="O1517" s="92">
        <v>8436030.0</v>
      </c>
      <c r="P1517" s="92">
        <v>8567989.0</v>
      </c>
      <c r="Q1517" s="89" t="s">
        <v>810</v>
      </c>
      <c r="AF1517" s="1"/>
      <c r="AG1517" s="1"/>
    </row>
    <row r="1518" ht="15.75" customHeight="1">
      <c r="A1518" s="1"/>
      <c r="B1518" s="1"/>
      <c r="C1518" s="1"/>
      <c r="D1518" s="1"/>
      <c r="E1518" s="1"/>
      <c r="F1518" s="1"/>
      <c r="G1518" s="1"/>
      <c r="H1518" s="1"/>
      <c r="I1518" s="1"/>
      <c r="J1518" s="1"/>
      <c r="K1518" s="89" t="s">
        <v>2476</v>
      </c>
      <c r="L1518" s="89" t="str">
        <f>F49</f>
        <v>C1a2a1</v>
      </c>
      <c r="M1518" s="89" t="s">
        <v>2475</v>
      </c>
      <c r="N1518" s="89" t="s">
        <v>2477</v>
      </c>
      <c r="O1518" s="92">
        <v>8436030.0</v>
      </c>
      <c r="P1518" s="92">
        <v>8567989.0</v>
      </c>
      <c r="Q1518" s="89" t="s">
        <v>810</v>
      </c>
      <c r="AF1518" s="1"/>
      <c r="AG1518" s="1"/>
    </row>
    <row r="1519" ht="15.75" customHeight="1">
      <c r="A1519" s="1"/>
      <c r="B1519" s="1"/>
      <c r="C1519" s="1"/>
      <c r="D1519" s="1"/>
      <c r="E1519" s="1"/>
      <c r="F1519" s="1"/>
      <c r="G1519" s="1"/>
      <c r="H1519" s="1"/>
      <c r="I1519" s="1"/>
      <c r="J1519" s="1"/>
      <c r="K1519" s="89" t="s">
        <v>2478</v>
      </c>
      <c r="L1519" s="89" t="str">
        <f>F49</f>
        <v>C1a2a1</v>
      </c>
      <c r="M1519" s="89" t="s">
        <v>2479</v>
      </c>
      <c r="N1519" s="89"/>
      <c r="O1519" s="92">
        <v>9146016.0</v>
      </c>
      <c r="P1519" s="92">
        <v>9308407.0</v>
      </c>
      <c r="Q1519" s="89" t="s">
        <v>810</v>
      </c>
      <c r="AF1519" s="1"/>
      <c r="AG1519" s="1"/>
    </row>
    <row r="1520" ht="15.75" customHeight="1">
      <c r="A1520" s="1"/>
      <c r="B1520" s="1"/>
      <c r="C1520" s="1"/>
      <c r="D1520" s="1"/>
      <c r="E1520" s="1"/>
      <c r="F1520" s="1"/>
      <c r="G1520" s="1"/>
      <c r="H1520" s="1"/>
      <c r="I1520" s="1"/>
      <c r="J1520" s="1"/>
      <c r="K1520" s="89" t="s">
        <v>2479</v>
      </c>
      <c r="L1520" s="89" t="str">
        <f>F49</f>
        <v>C1a2a1</v>
      </c>
      <c r="M1520" s="89" t="s">
        <v>2478</v>
      </c>
      <c r="N1520" s="89"/>
      <c r="O1520" s="92">
        <v>9146016.0</v>
      </c>
      <c r="P1520" s="92">
        <v>9308407.0</v>
      </c>
      <c r="Q1520" s="89" t="s">
        <v>810</v>
      </c>
      <c r="AF1520" s="1"/>
      <c r="AG1520" s="1"/>
    </row>
    <row r="1521" ht="15.75" customHeight="1">
      <c r="A1521" s="1"/>
      <c r="B1521" s="1"/>
      <c r="C1521" s="1"/>
      <c r="D1521" s="1"/>
      <c r="E1521" s="1"/>
      <c r="F1521" s="1"/>
      <c r="G1521" s="1"/>
      <c r="H1521" s="1"/>
      <c r="I1521" s="1"/>
      <c r="J1521" s="1"/>
      <c r="K1521" s="89" t="s">
        <v>2480</v>
      </c>
      <c r="L1521" s="89" t="str">
        <f>F49</f>
        <v>C1a2a1</v>
      </c>
      <c r="M1521" s="89" t="s">
        <v>2481</v>
      </c>
      <c r="N1521" s="89" t="s">
        <v>2482</v>
      </c>
      <c r="O1521" s="92">
        <v>2717985.0</v>
      </c>
      <c r="P1521" s="92">
        <v>2849944.0</v>
      </c>
      <c r="Q1521" s="89" t="s">
        <v>813</v>
      </c>
      <c r="AF1521" s="1"/>
      <c r="AG1521" s="1"/>
    </row>
    <row r="1522" ht="15.75" customHeight="1">
      <c r="A1522" s="1"/>
      <c r="B1522" s="1"/>
      <c r="C1522" s="1"/>
      <c r="D1522" s="1"/>
      <c r="E1522" s="1"/>
      <c r="F1522" s="1"/>
      <c r="G1522" s="1"/>
      <c r="H1522" s="1"/>
      <c r="I1522" s="1"/>
      <c r="J1522" s="1"/>
      <c r="K1522" s="89" t="s">
        <v>2481</v>
      </c>
      <c r="L1522" s="89" t="str">
        <f>F49</f>
        <v>C1a2a1</v>
      </c>
      <c r="M1522" s="89" t="s">
        <v>2480</v>
      </c>
      <c r="N1522" s="89" t="s">
        <v>2482</v>
      </c>
      <c r="O1522" s="92">
        <v>2717985.0</v>
      </c>
      <c r="P1522" s="92">
        <v>2849944.0</v>
      </c>
      <c r="Q1522" s="89" t="s">
        <v>813</v>
      </c>
      <c r="AF1522" s="1"/>
      <c r="AG1522" s="1"/>
    </row>
    <row r="1523" ht="15.75" customHeight="1">
      <c r="A1523" s="1"/>
      <c r="B1523" s="1"/>
      <c r="C1523" s="1"/>
      <c r="D1523" s="1"/>
      <c r="E1523" s="1"/>
      <c r="F1523" s="1"/>
      <c r="G1523" s="1"/>
      <c r="H1523" s="1"/>
      <c r="I1523" s="1"/>
      <c r="J1523" s="1"/>
      <c r="K1523" s="89" t="s">
        <v>2483</v>
      </c>
      <c r="L1523" s="89" t="str">
        <f>F49</f>
        <v>C1a2a1</v>
      </c>
      <c r="M1523" s="89" t="s">
        <v>2484</v>
      </c>
      <c r="N1523" s="89" t="s">
        <v>2485</v>
      </c>
      <c r="O1523" s="92">
        <v>7543039.0</v>
      </c>
      <c r="P1523" s="92">
        <v>7674998.0</v>
      </c>
      <c r="Q1523" s="89" t="s">
        <v>802</v>
      </c>
      <c r="AF1523" s="1"/>
      <c r="AG1523" s="1"/>
    </row>
    <row r="1524" ht="15.75" customHeight="1">
      <c r="A1524" s="1"/>
      <c r="B1524" s="1"/>
      <c r="C1524" s="1"/>
      <c r="D1524" s="1"/>
      <c r="E1524" s="1"/>
      <c r="F1524" s="1"/>
      <c r="G1524" s="1"/>
      <c r="H1524" s="1"/>
      <c r="I1524" s="1"/>
      <c r="J1524" s="1"/>
      <c r="K1524" s="89" t="s">
        <v>2484</v>
      </c>
      <c r="L1524" s="89" t="str">
        <f>F49</f>
        <v>C1a2a1</v>
      </c>
      <c r="M1524" s="89" t="s">
        <v>2483</v>
      </c>
      <c r="N1524" s="89" t="s">
        <v>2485</v>
      </c>
      <c r="O1524" s="92">
        <v>7543039.0</v>
      </c>
      <c r="P1524" s="92">
        <v>7674998.0</v>
      </c>
      <c r="Q1524" s="89" t="s">
        <v>802</v>
      </c>
      <c r="AF1524" s="1"/>
      <c r="AG1524" s="1"/>
    </row>
    <row r="1525" ht="15.75" customHeight="1">
      <c r="A1525" s="1"/>
      <c r="B1525" s="1"/>
      <c r="C1525" s="1"/>
      <c r="D1525" s="1"/>
      <c r="E1525" s="1"/>
      <c r="F1525" s="1"/>
      <c r="G1525" s="1"/>
      <c r="H1525" s="1"/>
      <c r="I1525" s="1"/>
      <c r="J1525" s="1"/>
      <c r="K1525" s="89" t="s">
        <v>2486</v>
      </c>
      <c r="L1525" s="89" t="str">
        <f>F49</f>
        <v>C1a2a1</v>
      </c>
      <c r="M1525" s="89" t="s">
        <v>2487</v>
      </c>
      <c r="N1525" s="89" t="s">
        <v>2488</v>
      </c>
      <c r="O1525" s="92">
        <v>8482793.0</v>
      </c>
      <c r="P1525" s="92">
        <v>8614752.0</v>
      </c>
      <c r="Q1525" s="89" t="s">
        <v>831</v>
      </c>
      <c r="AF1525" s="1"/>
      <c r="AG1525" s="1"/>
    </row>
    <row r="1526" ht="15.75" customHeight="1">
      <c r="A1526" s="1"/>
      <c r="B1526" s="1"/>
      <c r="C1526" s="1"/>
      <c r="D1526" s="1"/>
      <c r="E1526" s="1"/>
      <c r="F1526" s="1"/>
      <c r="G1526" s="1"/>
      <c r="H1526" s="1"/>
      <c r="I1526" s="1"/>
      <c r="J1526" s="1"/>
      <c r="K1526" s="89" t="s">
        <v>2487</v>
      </c>
      <c r="L1526" s="89" t="str">
        <f>F49</f>
        <v>C1a2a1</v>
      </c>
      <c r="M1526" s="89" t="s">
        <v>2486</v>
      </c>
      <c r="N1526" s="89" t="s">
        <v>2488</v>
      </c>
      <c r="O1526" s="92">
        <v>8482793.0</v>
      </c>
      <c r="P1526" s="92">
        <v>8614752.0</v>
      </c>
      <c r="Q1526" s="89" t="s">
        <v>831</v>
      </c>
      <c r="AF1526" s="1"/>
      <c r="AG1526" s="1"/>
    </row>
    <row r="1527" ht="15.75" customHeight="1">
      <c r="A1527" s="1"/>
      <c r="B1527" s="1"/>
      <c r="C1527" s="1"/>
      <c r="D1527" s="1"/>
      <c r="E1527" s="1"/>
      <c r="F1527" s="1"/>
      <c r="G1527" s="1"/>
      <c r="H1527" s="1"/>
      <c r="I1527" s="1"/>
      <c r="J1527" s="1"/>
      <c r="K1527" s="89" t="s">
        <v>2489</v>
      </c>
      <c r="L1527" s="89" t="str">
        <f>F49</f>
        <v>C1a2a1</v>
      </c>
      <c r="M1527" s="89" t="s">
        <v>2490</v>
      </c>
      <c r="N1527" s="89" t="s">
        <v>2491</v>
      </c>
      <c r="O1527" s="92">
        <v>8578064.0</v>
      </c>
      <c r="P1527" s="92">
        <v>8710023.0</v>
      </c>
      <c r="Q1527" s="89" t="s">
        <v>831</v>
      </c>
      <c r="AF1527" s="1"/>
      <c r="AG1527" s="1"/>
    </row>
    <row r="1528" ht="15.75" customHeight="1">
      <c r="A1528" s="1"/>
      <c r="B1528" s="1"/>
      <c r="C1528" s="1"/>
      <c r="D1528" s="1"/>
      <c r="E1528" s="1"/>
      <c r="F1528" s="1"/>
      <c r="G1528" s="1"/>
      <c r="H1528" s="1"/>
      <c r="I1528" s="1"/>
      <c r="J1528" s="1"/>
      <c r="K1528" s="89" t="s">
        <v>2490</v>
      </c>
      <c r="L1528" s="89" t="str">
        <f>F49</f>
        <v>C1a2a1</v>
      </c>
      <c r="M1528" s="89" t="s">
        <v>2489</v>
      </c>
      <c r="N1528" s="89" t="s">
        <v>2491</v>
      </c>
      <c r="O1528" s="92">
        <v>8578064.0</v>
      </c>
      <c r="P1528" s="92">
        <v>8710023.0</v>
      </c>
      <c r="Q1528" s="89" t="s">
        <v>831</v>
      </c>
      <c r="AF1528" s="1"/>
      <c r="AG1528" s="1"/>
    </row>
    <row r="1529" ht="15.75" customHeight="1">
      <c r="A1529" s="1"/>
      <c r="B1529" s="1"/>
      <c r="C1529" s="1"/>
      <c r="D1529" s="1"/>
      <c r="E1529" s="1"/>
      <c r="F1529" s="1"/>
      <c r="G1529" s="1"/>
      <c r="H1529" s="1"/>
      <c r="I1529" s="1"/>
      <c r="J1529" s="1"/>
      <c r="K1529" s="89" t="s">
        <v>2492</v>
      </c>
      <c r="L1529" s="89" t="str">
        <f>F49</f>
        <v>C1a2a1</v>
      </c>
      <c r="M1529" s="89" t="s">
        <v>2493</v>
      </c>
      <c r="N1529" s="89" t="s">
        <v>2494</v>
      </c>
      <c r="O1529" s="92">
        <v>1.8600043E7</v>
      </c>
      <c r="P1529" s="92">
        <v>1.6488163E7</v>
      </c>
      <c r="Q1529" s="89" t="s">
        <v>802</v>
      </c>
      <c r="AF1529" s="1"/>
      <c r="AG1529" s="1"/>
    </row>
    <row r="1530" ht="15.75" customHeight="1">
      <c r="A1530" s="1"/>
      <c r="B1530" s="1"/>
      <c r="C1530" s="1"/>
      <c r="D1530" s="1"/>
      <c r="E1530" s="1"/>
      <c r="F1530" s="1"/>
      <c r="G1530" s="1"/>
      <c r="H1530" s="1"/>
      <c r="I1530" s="1"/>
      <c r="J1530" s="1"/>
      <c r="K1530" s="89" t="s">
        <v>2493</v>
      </c>
      <c r="L1530" s="89" t="str">
        <f>F49</f>
        <v>C1a2a1</v>
      </c>
      <c r="M1530" s="89" t="s">
        <v>2492</v>
      </c>
      <c r="N1530" s="89" t="s">
        <v>2494</v>
      </c>
      <c r="O1530" s="92">
        <v>1.8600043E7</v>
      </c>
      <c r="P1530" s="92">
        <v>1.6488163E7</v>
      </c>
      <c r="Q1530" s="89" t="s">
        <v>802</v>
      </c>
      <c r="AF1530" s="1"/>
      <c r="AG1530" s="1"/>
    </row>
    <row r="1531" ht="15.75" customHeight="1">
      <c r="A1531" s="1"/>
      <c r="B1531" s="1"/>
      <c r="C1531" s="1"/>
      <c r="D1531" s="1"/>
      <c r="E1531" s="1"/>
      <c r="F1531" s="1"/>
      <c r="G1531" s="1"/>
      <c r="H1531" s="1"/>
      <c r="I1531" s="1"/>
      <c r="J1531" s="1"/>
      <c r="K1531" s="89" t="s">
        <v>2495</v>
      </c>
      <c r="L1531" s="89" t="str">
        <f>F49</f>
        <v>C1a2a1</v>
      </c>
      <c r="M1531" s="89" t="s">
        <v>2496</v>
      </c>
      <c r="N1531" s="89" t="s">
        <v>2497</v>
      </c>
      <c r="O1531" s="92">
        <v>1.8868114E7</v>
      </c>
      <c r="P1531" s="92">
        <v>1.6756234E7</v>
      </c>
      <c r="Q1531" s="89" t="s">
        <v>917</v>
      </c>
      <c r="AF1531" s="1"/>
      <c r="AG1531" s="1"/>
    </row>
    <row r="1532" ht="15.75" customHeight="1">
      <c r="A1532" s="1"/>
      <c r="B1532" s="1"/>
      <c r="C1532" s="1"/>
      <c r="D1532" s="1"/>
      <c r="E1532" s="1"/>
      <c r="F1532" s="1"/>
      <c r="G1532" s="1"/>
      <c r="H1532" s="1"/>
      <c r="I1532" s="1"/>
      <c r="J1532" s="1"/>
      <c r="K1532" s="89" t="s">
        <v>2496</v>
      </c>
      <c r="L1532" s="89" t="str">
        <f>F49</f>
        <v>C1a2a1</v>
      </c>
      <c r="M1532" s="89" t="s">
        <v>2495</v>
      </c>
      <c r="N1532" s="89" t="s">
        <v>2497</v>
      </c>
      <c r="O1532" s="92">
        <v>1.8868114E7</v>
      </c>
      <c r="P1532" s="92">
        <v>1.6756234E7</v>
      </c>
      <c r="Q1532" s="89" t="s">
        <v>917</v>
      </c>
      <c r="AF1532" s="1"/>
      <c r="AG1532" s="1"/>
    </row>
    <row r="1533" ht="15.75" customHeight="1">
      <c r="A1533" s="1"/>
      <c r="B1533" s="1"/>
      <c r="C1533" s="1"/>
      <c r="D1533" s="1"/>
      <c r="E1533" s="1"/>
      <c r="F1533" s="1"/>
      <c r="G1533" s="1"/>
      <c r="H1533" s="1"/>
      <c r="I1533" s="1"/>
      <c r="J1533" s="1"/>
      <c r="K1533" s="89" t="s">
        <v>2498</v>
      </c>
      <c r="L1533" s="89" t="str">
        <f>F49</f>
        <v>C1a2a1</v>
      </c>
      <c r="M1533" s="89" t="s">
        <v>2499</v>
      </c>
      <c r="N1533" s="89" t="s">
        <v>2500</v>
      </c>
      <c r="O1533" s="92">
        <v>1.9219752E7</v>
      </c>
      <c r="P1533" s="92">
        <v>1.7107872E7</v>
      </c>
      <c r="Q1533" s="89" t="s">
        <v>864</v>
      </c>
      <c r="AF1533" s="1"/>
      <c r="AG1533" s="1"/>
    </row>
    <row r="1534" ht="15.75" customHeight="1">
      <c r="A1534" s="1"/>
      <c r="B1534" s="1"/>
      <c r="C1534" s="1"/>
      <c r="D1534" s="1"/>
      <c r="E1534" s="1"/>
      <c r="F1534" s="1"/>
      <c r="G1534" s="1"/>
      <c r="H1534" s="1"/>
      <c r="I1534" s="1"/>
      <c r="J1534" s="1"/>
      <c r="K1534" s="89" t="s">
        <v>2499</v>
      </c>
      <c r="L1534" s="89" t="str">
        <f>F49</f>
        <v>C1a2a1</v>
      </c>
      <c r="M1534" s="89" t="s">
        <v>2498</v>
      </c>
      <c r="N1534" s="89" t="s">
        <v>2500</v>
      </c>
      <c r="O1534" s="92">
        <v>1.9219752E7</v>
      </c>
      <c r="P1534" s="92">
        <v>1.7107872E7</v>
      </c>
      <c r="Q1534" s="89" t="s">
        <v>864</v>
      </c>
      <c r="AF1534" s="1"/>
      <c r="AG1534" s="1"/>
    </row>
    <row r="1535" ht="15.75" customHeight="1">
      <c r="A1535" s="1"/>
      <c r="B1535" s="1"/>
      <c r="C1535" s="1"/>
      <c r="D1535" s="1"/>
      <c r="E1535" s="1"/>
      <c r="F1535" s="1"/>
      <c r="G1535" s="1"/>
      <c r="H1535" s="1"/>
      <c r="I1535" s="1"/>
      <c r="J1535" s="1"/>
      <c r="K1535" s="89" t="s">
        <v>2501</v>
      </c>
      <c r="L1535" s="89" t="str">
        <f>F49</f>
        <v>C1a2a1</v>
      </c>
      <c r="M1535" s="89" t="s">
        <v>2502</v>
      </c>
      <c r="N1535" s="89" t="s">
        <v>2503</v>
      </c>
      <c r="O1535" s="92">
        <v>1.9224173E7</v>
      </c>
      <c r="P1535" s="92">
        <v>1.7112293E7</v>
      </c>
      <c r="Q1535" s="89" t="s">
        <v>838</v>
      </c>
      <c r="AF1535" s="1"/>
      <c r="AG1535" s="1"/>
    </row>
    <row r="1536" ht="15.75" customHeight="1">
      <c r="A1536" s="1"/>
      <c r="B1536" s="1"/>
      <c r="C1536" s="1"/>
      <c r="D1536" s="1"/>
      <c r="E1536" s="1"/>
      <c r="F1536" s="1"/>
      <c r="G1536" s="1"/>
      <c r="H1536" s="1"/>
      <c r="I1536" s="1"/>
      <c r="J1536" s="1"/>
      <c r="K1536" s="89" t="s">
        <v>2502</v>
      </c>
      <c r="L1536" s="89" t="str">
        <f>F49</f>
        <v>C1a2a1</v>
      </c>
      <c r="M1536" s="89" t="s">
        <v>2501</v>
      </c>
      <c r="N1536" s="89" t="s">
        <v>2503</v>
      </c>
      <c r="O1536" s="92">
        <v>1.9224173E7</v>
      </c>
      <c r="P1536" s="92">
        <v>1.7112293E7</v>
      </c>
      <c r="Q1536" s="89" t="s">
        <v>838</v>
      </c>
      <c r="AF1536" s="1"/>
      <c r="AG1536" s="1"/>
    </row>
    <row r="1537" ht="15.75" customHeight="1">
      <c r="A1537" s="1"/>
      <c r="B1537" s="1"/>
      <c r="C1537" s="1"/>
      <c r="D1537" s="1"/>
      <c r="E1537" s="1"/>
      <c r="F1537" s="1"/>
      <c r="G1537" s="1"/>
      <c r="H1537" s="1"/>
      <c r="I1537" s="1"/>
      <c r="J1537" s="1"/>
      <c r="K1537" s="89" t="s">
        <v>2504</v>
      </c>
      <c r="L1537" s="89" t="str">
        <f>F49</f>
        <v>C1a2a1</v>
      </c>
      <c r="M1537" s="89" t="s">
        <v>2505</v>
      </c>
      <c r="N1537" s="89" t="s">
        <v>2506</v>
      </c>
      <c r="O1537" s="92">
        <v>1.9473217E7</v>
      </c>
      <c r="P1537" s="92">
        <v>1.7361337E7</v>
      </c>
      <c r="Q1537" s="89" t="s">
        <v>802</v>
      </c>
      <c r="AF1537" s="1"/>
      <c r="AG1537" s="1"/>
    </row>
    <row r="1538" ht="15.75" customHeight="1">
      <c r="A1538" s="1"/>
      <c r="B1538" s="1"/>
      <c r="C1538" s="1"/>
      <c r="D1538" s="1"/>
      <c r="E1538" s="1"/>
      <c r="F1538" s="1"/>
      <c r="G1538" s="1"/>
      <c r="H1538" s="1"/>
      <c r="I1538" s="1"/>
      <c r="J1538" s="1"/>
      <c r="K1538" s="89" t="s">
        <v>2505</v>
      </c>
      <c r="L1538" s="89" t="str">
        <f>F49</f>
        <v>C1a2a1</v>
      </c>
      <c r="M1538" s="89" t="s">
        <v>2504</v>
      </c>
      <c r="N1538" s="89" t="s">
        <v>2506</v>
      </c>
      <c r="O1538" s="92">
        <v>1.9473217E7</v>
      </c>
      <c r="P1538" s="92">
        <v>1.7361337E7</v>
      </c>
      <c r="Q1538" s="89" t="s">
        <v>802</v>
      </c>
      <c r="AF1538" s="1"/>
      <c r="AG1538" s="1"/>
    </row>
    <row r="1539" ht="15.75" customHeight="1">
      <c r="A1539" s="1"/>
      <c r="B1539" s="1"/>
      <c r="C1539" s="1"/>
      <c r="D1539" s="1"/>
      <c r="E1539" s="1"/>
      <c r="F1539" s="1"/>
      <c r="G1539" s="1"/>
      <c r="H1539" s="1"/>
      <c r="I1539" s="1"/>
      <c r="J1539" s="1"/>
      <c r="K1539" s="89" t="s">
        <v>2507</v>
      </c>
      <c r="L1539" s="89" t="str">
        <f>F49</f>
        <v>C1a2a1</v>
      </c>
      <c r="M1539" s="89" t="s">
        <v>2508</v>
      </c>
      <c r="N1539" s="89" t="s">
        <v>2509</v>
      </c>
      <c r="O1539" s="92">
        <v>7190505.0</v>
      </c>
      <c r="P1539" s="92">
        <v>7322464.0</v>
      </c>
      <c r="Q1539" s="89" t="s">
        <v>822</v>
      </c>
      <c r="AF1539" s="1"/>
      <c r="AG1539" s="1"/>
    </row>
    <row r="1540" ht="15.75" customHeight="1">
      <c r="A1540" s="1"/>
      <c r="B1540" s="1"/>
      <c r="C1540" s="1"/>
      <c r="D1540" s="1"/>
      <c r="E1540" s="1"/>
      <c r="F1540" s="1"/>
      <c r="G1540" s="1"/>
      <c r="H1540" s="1"/>
      <c r="I1540" s="1"/>
      <c r="J1540" s="1"/>
      <c r="K1540" s="89" t="s">
        <v>2508</v>
      </c>
      <c r="L1540" s="89" t="str">
        <f>F49</f>
        <v>C1a2a1</v>
      </c>
      <c r="M1540" s="89" t="s">
        <v>2507</v>
      </c>
      <c r="N1540" s="89" t="s">
        <v>2509</v>
      </c>
      <c r="O1540" s="92">
        <v>7190505.0</v>
      </c>
      <c r="P1540" s="92">
        <v>7322464.0</v>
      </c>
      <c r="Q1540" s="89" t="s">
        <v>822</v>
      </c>
      <c r="AF1540" s="1"/>
      <c r="AG1540" s="1"/>
    </row>
    <row r="1541" ht="15.75" customHeight="1">
      <c r="A1541" s="1"/>
      <c r="B1541" s="1"/>
      <c r="C1541" s="1"/>
      <c r="D1541" s="1"/>
      <c r="E1541" s="1"/>
      <c r="F1541" s="1"/>
      <c r="G1541" s="1"/>
      <c r="H1541" s="1"/>
      <c r="I1541" s="1"/>
      <c r="J1541" s="1"/>
      <c r="K1541" s="89" t="s">
        <v>2510</v>
      </c>
      <c r="L1541" s="89" t="str">
        <f>F49</f>
        <v>C1a2a1</v>
      </c>
      <c r="M1541" s="89" t="s">
        <v>2511</v>
      </c>
      <c r="N1541" s="89"/>
      <c r="O1541" s="92">
        <v>7707059.0</v>
      </c>
      <c r="P1541" s="92">
        <v>7839018.0</v>
      </c>
      <c r="Q1541" s="89" t="s">
        <v>917</v>
      </c>
      <c r="AF1541" s="1"/>
      <c r="AG1541" s="1"/>
    </row>
    <row r="1542" ht="15.75" customHeight="1">
      <c r="A1542" s="1"/>
      <c r="B1542" s="1"/>
      <c r="C1542" s="1"/>
      <c r="D1542" s="1"/>
      <c r="E1542" s="1"/>
      <c r="F1542" s="1"/>
      <c r="G1542" s="1"/>
      <c r="H1542" s="1"/>
      <c r="I1542" s="1"/>
      <c r="J1542" s="1"/>
      <c r="K1542" s="89" t="s">
        <v>2511</v>
      </c>
      <c r="L1542" s="89" t="str">
        <f>F49</f>
        <v>C1a2a1</v>
      </c>
      <c r="M1542" s="89" t="s">
        <v>2510</v>
      </c>
      <c r="N1542" s="89"/>
      <c r="O1542" s="92">
        <v>7707059.0</v>
      </c>
      <c r="P1542" s="92">
        <v>7839018.0</v>
      </c>
      <c r="Q1542" s="89" t="s">
        <v>917</v>
      </c>
      <c r="AF1542" s="1"/>
      <c r="AG1542" s="1"/>
    </row>
    <row r="1543" ht="15.75" customHeight="1">
      <c r="A1543" s="1"/>
      <c r="B1543" s="1"/>
      <c r="C1543" s="1"/>
      <c r="D1543" s="1"/>
      <c r="E1543" s="1"/>
      <c r="F1543" s="1"/>
      <c r="G1543" s="1"/>
      <c r="H1543" s="1"/>
      <c r="I1543" s="1"/>
      <c r="J1543" s="1"/>
      <c r="K1543" s="89" t="s">
        <v>2512</v>
      </c>
      <c r="L1543" s="89" t="str">
        <f>F49</f>
        <v>C1a2a1</v>
      </c>
      <c r="M1543" s="89" t="s">
        <v>2513</v>
      </c>
      <c r="N1543" s="89"/>
      <c r="O1543" s="92">
        <v>8246321.0</v>
      </c>
      <c r="P1543" s="92">
        <v>8378280.0</v>
      </c>
      <c r="Q1543" s="89" t="s">
        <v>813</v>
      </c>
      <c r="AF1543" s="1"/>
      <c r="AG1543" s="1"/>
    </row>
    <row r="1544" ht="15.75" customHeight="1">
      <c r="A1544" s="1"/>
      <c r="B1544" s="1"/>
      <c r="C1544" s="1"/>
      <c r="D1544" s="1"/>
      <c r="E1544" s="1"/>
      <c r="F1544" s="1"/>
      <c r="G1544" s="1"/>
      <c r="H1544" s="1"/>
      <c r="I1544" s="1"/>
      <c r="J1544" s="1"/>
      <c r="K1544" s="89" t="s">
        <v>2513</v>
      </c>
      <c r="L1544" s="89" t="str">
        <f>F49</f>
        <v>C1a2a1</v>
      </c>
      <c r="M1544" s="89" t="s">
        <v>2512</v>
      </c>
      <c r="N1544" s="89"/>
      <c r="O1544" s="92">
        <v>8246321.0</v>
      </c>
      <c r="P1544" s="92">
        <v>8378280.0</v>
      </c>
      <c r="Q1544" s="89" t="s">
        <v>813</v>
      </c>
      <c r="AF1544" s="1"/>
      <c r="AG1544" s="1"/>
    </row>
    <row r="1545" ht="15.75" customHeight="1">
      <c r="A1545" s="1"/>
      <c r="B1545" s="1"/>
      <c r="C1545" s="1"/>
      <c r="D1545" s="1"/>
      <c r="E1545" s="1"/>
      <c r="F1545" s="1"/>
      <c r="G1545" s="1"/>
      <c r="H1545" s="1"/>
      <c r="I1545" s="1"/>
      <c r="J1545" s="1"/>
      <c r="K1545" s="89" t="s">
        <v>2514</v>
      </c>
      <c r="L1545" s="89" t="str">
        <f>F49</f>
        <v>C1a2a1</v>
      </c>
      <c r="M1545" s="89" t="s">
        <v>2515</v>
      </c>
      <c r="N1545" s="89"/>
      <c r="O1545" s="92">
        <v>8412157.0</v>
      </c>
      <c r="P1545" s="92">
        <v>8544116.0</v>
      </c>
      <c r="Q1545" s="89" t="s">
        <v>822</v>
      </c>
      <c r="AF1545" s="1"/>
      <c r="AG1545" s="1"/>
    </row>
    <row r="1546" ht="15.75" customHeight="1">
      <c r="A1546" s="1"/>
      <c r="B1546" s="1"/>
      <c r="C1546" s="1"/>
      <c r="D1546" s="1"/>
      <c r="E1546" s="1"/>
      <c r="F1546" s="1"/>
      <c r="G1546" s="1"/>
      <c r="H1546" s="1"/>
      <c r="I1546" s="1"/>
      <c r="J1546" s="1"/>
      <c r="K1546" s="89" t="s">
        <v>2515</v>
      </c>
      <c r="L1546" s="89" t="str">
        <f>F49</f>
        <v>C1a2a1</v>
      </c>
      <c r="M1546" s="89" t="s">
        <v>2514</v>
      </c>
      <c r="N1546" s="89"/>
      <c r="O1546" s="92">
        <v>8412157.0</v>
      </c>
      <c r="P1546" s="92">
        <v>8544116.0</v>
      </c>
      <c r="Q1546" s="89" t="s">
        <v>822</v>
      </c>
      <c r="AF1546" s="1"/>
      <c r="AG1546" s="1"/>
    </row>
    <row r="1547" ht="15.75" customHeight="1">
      <c r="A1547" s="1"/>
      <c r="B1547" s="1"/>
      <c r="C1547" s="1"/>
      <c r="D1547" s="1"/>
      <c r="E1547" s="1"/>
      <c r="F1547" s="1"/>
      <c r="G1547" s="1"/>
      <c r="H1547" s="1"/>
      <c r="I1547" s="1"/>
      <c r="J1547" s="1"/>
      <c r="K1547" s="89" t="s">
        <v>2516</v>
      </c>
      <c r="L1547" s="89" t="str">
        <f>F49</f>
        <v>C1a2a1</v>
      </c>
      <c r="M1547" s="89" t="s">
        <v>2517</v>
      </c>
      <c r="N1547" s="89"/>
      <c r="O1547" s="92">
        <v>8882678.0</v>
      </c>
      <c r="P1547" s="92">
        <v>9014637.0</v>
      </c>
      <c r="Q1547" s="89" t="s">
        <v>813</v>
      </c>
      <c r="AF1547" s="1"/>
      <c r="AG1547" s="1"/>
    </row>
    <row r="1548" ht="15.75" customHeight="1">
      <c r="A1548" s="1"/>
      <c r="B1548" s="1"/>
      <c r="C1548" s="1"/>
      <c r="D1548" s="1"/>
      <c r="E1548" s="1"/>
      <c r="F1548" s="1"/>
      <c r="G1548" s="1"/>
      <c r="H1548" s="1"/>
      <c r="I1548" s="1"/>
      <c r="J1548" s="1"/>
      <c r="K1548" s="89" t="s">
        <v>2517</v>
      </c>
      <c r="L1548" s="89" t="str">
        <f>F49</f>
        <v>C1a2a1</v>
      </c>
      <c r="M1548" s="89" t="s">
        <v>2516</v>
      </c>
      <c r="N1548" s="89"/>
      <c r="O1548" s="92">
        <v>8882678.0</v>
      </c>
      <c r="P1548" s="92">
        <v>9014637.0</v>
      </c>
      <c r="Q1548" s="89" t="s">
        <v>813</v>
      </c>
      <c r="AF1548" s="1"/>
      <c r="AG1548" s="1"/>
    </row>
    <row r="1549" ht="15.75" customHeight="1">
      <c r="A1549" s="1"/>
      <c r="B1549" s="1"/>
      <c r="C1549" s="1"/>
      <c r="D1549" s="1"/>
      <c r="E1549" s="1"/>
      <c r="F1549" s="1"/>
      <c r="G1549" s="1"/>
      <c r="H1549" s="1"/>
      <c r="I1549" s="1"/>
      <c r="J1549" s="1"/>
      <c r="K1549" s="89" t="s">
        <v>2518</v>
      </c>
      <c r="L1549" s="89" t="str">
        <f>F49</f>
        <v>C1a2a1</v>
      </c>
      <c r="M1549" s="89" t="s">
        <v>2519</v>
      </c>
      <c r="N1549" s="89"/>
      <c r="O1549" s="92">
        <v>9644694.0</v>
      </c>
      <c r="P1549" s="92">
        <v>9807085.0</v>
      </c>
      <c r="Q1549" s="89" t="s">
        <v>886</v>
      </c>
      <c r="AF1549" s="1"/>
      <c r="AG1549" s="1"/>
    </row>
    <row r="1550" ht="15.75" customHeight="1">
      <c r="A1550" s="1"/>
      <c r="B1550" s="1"/>
      <c r="C1550" s="1"/>
      <c r="D1550" s="1"/>
      <c r="E1550" s="1"/>
      <c r="F1550" s="1"/>
      <c r="G1550" s="1"/>
      <c r="H1550" s="1"/>
      <c r="I1550" s="1"/>
      <c r="J1550" s="1"/>
      <c r="K1550" s="89" t="s">
        <v>2519</v>
      </c>
      <c r="L1550" s="89" t="str">
        <f>F49</f>
        <v>C1a2a1</v>
      </c>
      <c r="M1550" s="89" t="s">
        <v>2518</v>
      </c>
      <c r="N1550" s="89"/>
      <c r="O1550" s="92">
        <v>9644694.0</v>
      </c>
      <c r="P1550" s="92">
        <v>9807085.0</v>
      </c>
      <c r="Q1550" s="89" t="s">
        <v>886</v>
      </c>
      <c r="AF1550" s="1"/>
      <c r="AG1550" s="1"/>
    </row>
    <row r="1551" ht="15.75" customHeight="1">
      <c r="A1551" s="1"/>
      <c r="B1551" s="1"/>
      <c r="C1551" s="1"/>
      <c r="D1551" s="1"/>
      <c r="E1551" s="1"/>
      <c r="F1551" s="1"/>
      <c r="G1551" s="1"/>
      <c r="H1551" s="1"/>
      <c r="I1551" s="1"/>
      <c r="J1551" s="1"/>
      <c r="K1551" s="89" t="s">
        <v>2520</v>
      </c>
      <c r="L1551" s="89" t="str">
        <f>F49</f>
        <v>C1a2a1</v>
      </c>
      <c r="M1551" s="89" t="s">
        <v>2521</v>
      </c>
      <c r="N1551" s="89"/>
      <c r="O1551" s="92">
        <v>1.519727E7</v>
      </c>
      <c r="P1551" s="92">
        <v>1.3085356E7</v>
      </c>
      <c r="Q1551" s="89" t="s">
        <v>917</v>
      </c>
      <c r="AF1551" s="1"/>
      <c r="AG1551" s="1"/>
    </row>
    <row r="1552" ht="15.75" customHeight="1">
      <c r="A1552" s="1"/>
      <c r="B1552" s="1"/>
      <c r="C1552" s="1"/>
      <c r="D1552" s="1"/>
      <c r="E1552" s="1"/>
      <c r="F1552" s="1"/>
      <c r="G1552" s="1"/>
      <c r="H1552" s="1"/>
      <c r="I1552" s="1"/>
      <c r="J1552" s="1"/>
      <c r="K1552" s="89" t="s">
        <v>2521</v>
      </c>
      <c r="L1552" s="89" t="str">
        <f>F49</f>
        <v>C1a2a1</v>
      </c>
      <c r="M1552" s="89" t="s">
        <v>2520</v>
      </c>
      <c r="N1552" s="89"/>
      <c r="O1552" s="92">
        <v>1.519727E7</v>
      </c>
      <c r="P1552" s="92">
        <v>1.3085356E7</v>
      </c>
      <c r="Q1552" s="89" t="s">
        <v>917</v>
      </c>
      <c r="AF1552" s="1"/>
      <c r="AG1552" s="1"/>
    </row>
    <row r="1553" ht="15.75" customHeight="1">
      <c r="A1553" s="1"/>
      <c r="B1553" s="1"/>
      <c r="C1553" s="1"/>
      <c r="D1553" s="1"/>
      <c r="E1553" s="1"/>
      <c r="F1553" s="1"/>
      <c r="G1553" s="1"/>
      <c r="H1553" s="1"/>
      <c r="I1553" s="1"/>
      <c r="J1553" s="1"/>
      <c r="K1553" s="89" t="s">
        <v>2522</v>
      </c>
      <c r="L1553" s="89" t="str">
        <f>F49</f>
        <v>C1a2a1</v>
      </c>
      <c r="M1553" s="89" t="s">
        <v>2523</v>
      </c>
      <c r="N1553" s="89" t="s">
        <v>2524</v>
      </c>
      <c r="O1553" s="92">
        <v>1.6672919E7</v>
      </c>
      <c r="P1553" s="92">
        <v>1.4561039E7</v>
      </c>
      <c r="Q1553" s="89" t="s">
        <v>886</v>
      </c>
      <c r="AF1553" s="1"/>
      <c r="AG1553" s="1"/>
    </row>
    <row r="1554" ht="15.75" customHeight="1">
      <c r="A1554" s="1"/>
      <c r="B1554" s="1"/>
      <c r="C1554" s="1"/>
      <c r="D1554" s="1"/>
      <c r="E1554" s="1"/>
      <c r="F1554" s="1"/>
      <c r="G1554" s="1"/>
      <c r="H1554" s="1"/>
      <c r="I1554" s="1"/>
      <c r="J1554" s="1"/>
      <c r="K1554" s="89" t="s">
        <v>2523</v>
      </c>
      <c r="L1554" s="89" t="str">
        <f>F49</f>
        <v>C1a2a1</v>
      </c>
      <c r="M1554" s="89" t="s">
        <v>2522</v>
      </c>
      <c r="N1554" s="89" t="s">
        <v>2524</v>
      </c>
      <c r="O1554" s="92">
        <v>1.6672919E7</v>
      </c>
      <c r="P1554" s="92">
        <v>1.4561039E7</v>
      </c>
      <c r="Q1554" s="89" t="s">
        <v>886</v>
      </c>
      <c r="AF1554" s="1"/>
      <c r="AG1554" s="1"/>
    </row>
    <row r="1555" ht="15.75" customHeight="1">
      <c r="A1555" s="1"/>
      <c r="B1555" s="1"/>
      <c r="C1555" s="1"/>
      <c r="D1555" s="1"/>
      <c r="E1555" s="1"/>
      <c r="F1555" s="1"/>
      <c r="G1555" s="1"/>
      <c r="H1555" s="1"/>
      <c r="I1555" s="1"/>
      <c r="J1555" s="1"/>
      <c r="K1555" s="89" t="s">
        <v>2525</v>
      </c>
      <c r="L1555" s="89" t="str">
        <f>F49</f>
        <v>C1a2a1</v>
      </c>
      <c r="M1555" s="89" t="s">
        <v>2526</v>
      </c>
      <c r="N1555" s="89"/>
      <c r="O1555" s="92">
        <v>1.7190697E7</v>
      </c>
      <c r="P1555" s="92">
        <v>1.5078817E7</v>
      </c>
      <c r="Q1555" s="89" t="s">
        <v>886</v>
      </c>
      <c r="AF1555" s="1"/>
      <c r="AG1555" s="1"/>
    </row>
    <row r="1556" ht="15.75" customHeight="1">
      <c r="A1556" s="1"/>
      <c r="B1556" s="1"/>
      <c r="C1556" s="1"/>
      <c r="D1556" s="1"/>
      <c r="E1556" s="1"/>
      <c r="F1556" s="1"/>
      <c r="G1556" s="1"/>
      <c r="H1556" s="1"/>
      <c r="I1556" s="1"/>
      <c r="J1556" s="1"/>
      <c r="K1556" s="89" t="s">
        <v>2526</v>
      </c>
      <c r="L1556" s="89" t="str">
        <f>F49</f>
        <v>C1a2a1</v>
      </c>
      <c r="M1556" s="89" t="s">
        <v>2525</v>
      </c>
      <c r="N1556" s="89"/>
      <c r="O1556" s="92">
        <v>1.7190697E7</v>
      </c>
      <c r="P1556" s="92">
        <v>1.5078817E7</v>
      </c>
      <c r="Q1556" s="89" t="s">
        <v>886</v>
      </c>
      <c r="AF1556" s="1"/>
      <c r="AG1556" s="1"/>
    </row>
    <row r="1557" ht="15.75" customHeight="1">
      <c r="A1557" s="1"/>
      <c r="B1557" s="1"/>
      <c r="C1557" s="1"/>
      <c r="D1557" s="1"/>
      <c r="E1557" s="1"/>
      <c r="F1557" s="1"/>
      <c r="G1557" s="1"/>
      <c r="H1557" s="1"/>
      <c r="I1557" s="1"/>
      <c r="J1557" s="1"/>
      <c r="K1557" s="89" t="s">
        <v>2527</v>
      </c>
      <c r="L1557" s="89" t="str">
        <f>F49</f>
        <v>C1a2a1</v>
      </c>
      <c r="M1557" s="89" t="s">
        <v>2528</v>
      </c>
      <c r="N1557" s="89" t="s">
        <v>2529</v>
      </c>
      <c r="O1557" s="92">
        <v>1.7527965E7</v>
      </c>
      <c r="P1557" s="92">
        <v>1.5416085E7</v>
      </c>
      <c r="Q1557" s="89" t="s">
        <v>802</v>
      </c>
      <c r="AF1557" s="1"/>
      <c r="AG1557" s="1"/>
    </row>
    <row r="1558" ht="15.75" customHeight="1">
      <c r="A1558" s="1"/>
      <c r="B1558" s="1"/>
      <c r="C1558" s="1"/>
      <c r="D1558" s="1"/>
      <c r="E1558" s="1"/>
      <c r="F1558" s="1"/>
      <c r="G1558" s="1"/>
      <c r="H1558" s="1"/>
      <c r="I1558" s="1"/>
      <c r="J1558" s="1"/>
      <c r="K1558" s="89" t="s">
        <v>2528</v>
      </c>
      <c r="L1558" s="89" t="str">
        <f>F49</f>
        <v>C1a2a1</v>
      </c>
      <c r="M1558" s="89" t="s">
        <v>2527</v>
      </c>
      <c r="N1558" s="89" t="s">
        <v>2529</v>
      </c>
      <c r="O1558" s="92">
        <v>1.7527965E7</v>
      </c>
      <c r="P1558" s="92">
        <v>1.5416085E7</v>
      </c>
      <c r="Q1558" s="89" t="s">
        <v>802</v>
      </c>
      <c r="AF1558" s="1"/>
      <c r="AG1558" s="1"/>
    </row>
    <row r="1559" ht="15.75" customHeight="1">
      <c r="A1559" s="1"/>
      <c r="B1559" s="1"/>
      <c r="C1559" s="1"/>
      <c r="D1559" s="1"/>
      <c r="E1559" s="1"/>
      <c r="F1559" s="1"/>
      <c r="G1559" s="1"/>
      <c r="H1559" s="1"/>
      <c r="I1559" s="1"/>
      <c r="J1559" s="1"/>
      <c r="K1559" s="89" t="s">
        <v>2530</v>
      </c>
      <c r="L1559" s="89" t="str">
        <f>F49</f>
        <v>C1a2a1</v>
      </c>
      <c r="M1559" s="89" t="s">
        <v>2531</v>
      </c>
      <c r="N1559" s="89" t="s">
        <v>2532</v>
      </c>
      <c r="O1559" s="92">
        <v>1.7581217E7</v>
      </c>
      <c r="P1559" s="92">
        <v>1.5469337E7</v>
      </c>
      <c r="Q1559" s="89" t="s">
        <v>822</v>
      </c>
      <c r="AF1559" s="1"/>
      <c r="AG1559" s="1"/>
    </row>
    <row r="1560" ht="15.75" customHeight="1">
      <c r="A1560" s="1"/>
      <c r="B1560" s="1"/>
      <c r="C1560" s="1"/>
      <c r="D1560" s="1"/>
      <c r="E1560" s="1"/>
      <c r="F1560" s="1"/>
      <c r="G1560" s="1"/>
      <c r="H1560" s="1"/>
      <c r="I1560" s="1"/>
      <c r="J1560" s="1"/>
      <c r="K1560" s="89" t="s">
        <v>2531</v>
      </c>
      <c r="L1560" s="89" t="str">
        <f>F49</f>
        <v>C1a2a1</v>
      </c>
      <c r="M1560" s="89" t="s">
        <v>2530</v>
      </c>
      <c r="N1560" s="89" t="s">
        <v>2532</v>
      </c>
      <c r="O1560" s="92">
        <v>1.7581217E7</v>
      </c>
      <c r="P1560" s="92">
        <v>1.5469337E7</v>
      </c>
      <c r="Q1560" s="89" t="s">
        <v>822</v>
      </c>
      <c r="AF1560" s="1"/>
      <c r="AG1560" s="1"/>
    </row>
    <row r="1561" ht="15.75" customHeight="1">
      <c r="A1561" s="1"/>
      <c r="B1561" s="1"/>
      <c r="C1561" s="1"/>
      <c r="D1561" s="1"/>
      <c r="E1561" s="1"/>
      <c r="F1561" s="1"/>
      <c r="G1561" s="1"/>
      <c r="H1561" s="1"/>
      <c r="I1561" s="1"/>
      <c r="J1561" s="1"/>
      <c r="K1561" s="89" t="s">
        <v>2533</v>
      </c>
      <c r="L1561" s="89" t="str">
        <f>F49</f>
        <v>C1a2a1</v>
      </c>
      <c r="M1561" s="89" t="s">
        <v>2534</v>
      </c>
      <c r="N1561" s="89"/>
      <c r="O1561" s="92">
        <v>1.7631909E7</v>
      </c>
      <c r="P1561" s="92">
        <v>1.5520029E7</v>
      </c>
      <c r="Q1561" s="89" t="s">
        <v>810</v>
      </c>
      <c r="AF1561" s="1"/>
      <c r="AG1561" s="1"/>
    </row>
    <row r="1562" ht="15.75" customHeight="1">
      <c r="A1562" s="1"/>
      <c r="B1562" s="1"/>
      <c r="C1562" s="1"/>
      <c r="D1562" s="1"/>
      <c r="E1562" s="1"/>
      <c r="F1562" s="1"/>
      <c r="G1562" s="1"/>
      <c r="H1562" s="1"/>
      <c r="I1562" s="1"/>
      <c r="J1562" s="1"/>
      <c r="K1562" s="89" t="s">
        <v>2534</v>
      </c>
      <c r="L1562" s="89" t="str">
        <f>F49</f>
        <v>C1a2a1</v>
      </c>
      <c r="M1562" s="89" t="s">
        <v>2533</v>
      </c>
      <c r="N1562" s="89"/>
      <c r="O1562" s="92">
        <v>1.7631909E7</v>
      </c>
      <c r="P1562" s="92">
        <v>1.5520029E7</v>
      </c>
      <c r="Q1562" s="89" t="s">
        <v>810</v>
      </c>
      <c r="AF1562" s="1"/>
      <c r="AG1562" s="1"/>
    </row>
    <row r="1563" ht="15.75" customHeight="1">
      <c r="A1563" s="1"/>
      <c r="B1563" s="1"/>
      <c r="C1563" s="1"/>
      <c r="D1563" s="1"/>
      <c r="E1563" s="1"/>
      <c r="F1563" s="1"/>
      <c r="G1563" s="1"/>
      <c r="H1563" s="1"/>
      <c r="I1563" s="1"/>
      <c r="J1563" s="1"/>
      <c r="K1563" s="89" t="s">
        <v>2535</v>
      </c>
      <c r="L1563" s="89" t="str">
        <f>F49</f>
        <v>C1a2a1</v>
      </c>
      <c r="M1563" s="89" t="s">
        <v>2536</v>
      </c>
      <c r="N1563" s="89" t="s">
        <v>2537</v>
      </c>
      <c r="O1563" s="92">
        <v>1.7637015E7</v>
      </c>
      <c r="P1563" s="92">
        <v>1.5525135E7</v>
      </c>
      <c r="Q1563" s="89" t="s">
        <v>810</v>
      </c>
      <c r="AF1563" s="1"/>
      <c r="AG1563" s="1"/>
    </row>
    <row r="1564" ht="15.75" customHeight="1">
      <c r="A1564" s="1"/>
      <c r="B1564" s="1"/>
      <c r="C1564" s="1"/>
      <c r="D1564" s="1"/>
      <c r="E1564" s="1"/>
      <c r="F1564" s="1"/>
      <c r="G1564" s="1"/>
      <c r="H1564" s="1"/>
      <c r="I1564" s="1"/>
      <c r="J1564" s="1"/>
      <c r="K1564" s="89" t="s">
        <v>2536</v>
      </c>
      <c r="L1564" s="89" t="str">
        <f>F49</f>
        <v>C1a2a1</v>
      </c>
      <c r="M1564" s="89" t="s">
        <v>2535</v>
      </c>
      <c r="N1564" s="89" t="s">
        <v>2537</v>
      </c>
      <c r="O1564" s="92">
        <v>1.7637015E7</v>
      </c>
      <c r="P1564" s="92">
        <v>1.5525135E7</v>
      </c>
      <c r="Q1564" s="89" t="s">
        <v>810</v>
      </c>
      <c r="AF1564" s="1"/>
      <c r="AG1564" s="1"/>
    </row>
    <row r="1565" ht="15.75" customHeight="1">
      <c r="A1565" s="1"/>
      <c r="B1565" s="1"/>
      <c r="C1565" s="1"/>
      <c r="D1565" s="1"/>
      <c r="E1565" s="1"/>
      <c r="F1565" s="1"/>
      <c r="G1565" s="1"/>
      <c r="H1565" s="1"/>
      <c r="I1565" s="1"/>
      <c r="J1565" s="1"/>
      <c r="K1565" s="89" t="s">
        <v>2538</v>
      </c>
      <c r="L1565" s="89" t="str">
        <f>F49</f>
        <v>C1a2a1</v>
      </c>
      <c r="M1565" s="89" t="s">
        <v>2539</v>
      </c>
      <c r="N1565" s="89"/>
      <c r="O1565" s="92">
        <v>1.776388E7</v>
      </c>
      <c r="P1565" s="92">
        <v>1.5652E7</v>
      </c>
      <c r="Q1565" s="89" t="s">
        <v>886</v>
      </c>
      <c r="AF1565" s="1"/>
      <c r="AG1565" s="1"/>
    </row>
    <row r="1566" ht="15.75" customHeight="1">
      <c r="A1566" s="1"/>
      <c r="B1566" s="1"/>
      <c r="C1566" s="1"/>
      <c r="D1566" s="1"/>
      <c r="E1566" s="1"/>
      <c r="F1566" s="1"/>
      <c r="G1566" s="1"/>
      <c r="H1566" s="1"/>
      <c r="I1566" s="1"/>
      <c r="J1566" s="1"/>
      <c r="K1566" s="89" t="s">
        <v>2539</v>
      </c>
      <c r="L1566" s="89" t="str">
        <f>F49</f>
        <v>C1a2a1</v>
      </c>
      <c r="M1566" s="89" t="s">
        <v>2538</v>
      </c>
      <c r="N1566" s="89"/>
      <c r="O1566" s="92">
        <v>1.776388E7</v>
      </c>
      <c r="P1566" s="92">
        <v>1.5652E7</v>
      </c>
      <c r="Q1566" s="89" t="s">
        <v>886</v>
      </c>
      <c r="AF1566" s="1"/>
      <c r="AG1566" s="1"/>
    </row>
    <row r="1567" ht="15.75" customHeight="1">
      <c r="A1567" s="1"/>
      <c r="B1567" s="1"/>
      <c r="C1567" s="1"/>
      <c r="D1567" s="1"/>
      <c r="E1567" s="1"/>
      <c r="F1567" s="1"/>
      <c r="G1567" s="1"/>
      <c r="H1567" s="1"/>
      <c r="I1567" s="1"/>
      <c r="J1567" s="1"/>
      <c r="K1567" s="89" t="s">
        <v>2540</v>
      </c>
      <c r="L1567" s="89" t="str">
        <f>F49</f>
        <v>C1a2a1</v>
      </c>
      <c r="M1567" s="89" t="s">
        <v>2541</v>
      </c>
      <c r="N1567" s="89"/>
      <c r="O1567" s="92">
        <v>2.12921E7</v>
      </c>
      <c r="P1567" s="92">
        <v>1.9130214E7</v>
      </c>
      <c r="Q1567" s="89" t="s">
        <v>822</v>
      </c>
      <c r="AF1567" s="1"/>
      <c r="AG1567" s="1"/>
    </row>
    <row r="1568" ht="15.75" customHeight="1">
      <c r="A1568" s="1"/>
      <c r="B1568" s="1"/>
      <c r="C1568" s="1"/>
      <c r="D1568" s="1"/>
      <c r="E1568" s="1"/>
      <c r="F1568" s="1"/>
      <c r="G1568" s="1"/>
      <c r="H1568" s="1"/>
      <c r="I1568" s="1"/>
      <c r="J1568" s="1"/>
      <c r="K1568" s="89" t="s">
        <v>2541</v>
      </c>
      <c r="L1568" s="89" t="str">
        <f>F49</f>
        <v>C1a2a1</v>
      </c>
      <c r="M1568" s="89" t="s">
        <v>2540</v>
      </c>
      <c r="N1568" s="89"/>
      <c r="O1568" s="92">
        <v>2.12921E7</v>
      </c>
      <c r="P1568" s="92">
        <v>1.9130214E7</v>
      </c>
      <c r="Q1568" s="89" t="s">
        <v>822</v>
      </c>
      <c r="AF1568" s="1"/>
      <c r="AG1568" s="1"/>
    </row>
    <row r="1569" ht="15.75" customHeight="1">
      <c r="A1569" s="1"/>
      <c r="B1569" s="1"/>
      <c r="C1569" s="1"/>
      <c r="D1569" s="1"/>
      <c r="E1569" s="1"/>
      <c r="F1569" s="1"/>
      <c r="G1569" s="1"/>
      <c r="H1569" s="1"/>
      <c r="I1569" s="1"/>
      <c r="J1569" s="1"/>
      <c r="K1569" s="89" t="s">
        <v>2542</v>
      </c>
      <c r="L1569" s="89" t="str">
        <f>F49</f>
        <v>C1a2a1</v>
      </c>
      <c r="M1569" s="89" t="s">
        <v>2543</v>
      </c>
      <c r="N1569" s="89"/>
      <c r="O1569" s="92">
        <v>1.9061718E7</v>
      </c>
      <c r="P1569" s="92">
        <v>1.6949838E7</v>
      </c>
      <c r="Q1569" s="89" t="s">
        <v>879</v>
      </c>
      <c r="AF1569" s="1"/>
      <c r="AG1569" s="1"/>
    </row>
    <row r="1570" ht="15.75" customHeight="1">
      <c r="A1570" s="1"/>
      <c r="B1570" s="1"/>
      <c r="C1570" s="1"/>
      <c r="D1570" s="1"/>
      <c r="E1570" s="1"/>
      <c r="F1570" s="1"/>
      <c r="G1570" s="1"/>
      <c r="H1570" s="1"/>
      <c r="I1570" s="1"/>
      <c r="J1570" s="1"/>
      <c r="K1570" s="89" t="s">
        <v>2543</v>
      </c>
      <c r="L1570" s="89" t="str">
        <f>F49</f>
        <v>C1a2a1</v>
      </c>
      <c r="M1570" s="89" t="s">
        <v>2542</v>
      </c>
      <c r="N1570" s="89"/>
      <c r="O1570" s="92">
        <v>1.9061718E7</v>
      </c>
      <c r="P1570" s="92">
        <v>1.6949838E7</v>
      </c>
      <c r="Q1570" s="89" t="s">
        <v>879</v>
      </c>
      <c r="AF1570" s="1"/>
      <c r="AG1570" s="1"/>
    </row>
    <row r="1571" ht="15.75" customHeight="1">
      <c r="A1571" s="1"/>
      <c r="B1571" s="1"/>
      <c r="C1571" s="1"/>
      <c r="D1571" s="1"/>
      <c r="E1571" s="1"/>
      <c r="F1571" s="1"/>
      <c r="G1571" s="1"/>
      <c r="H1571" s="1"/>
      <c r="I1571" s="1"/>
      <c r="J1571" s="1"/>
      <c r="K1571" s="89" t="s">
        <v>2544</v>
      </c>
      <c r="L1571" s="89" t="str">
        <f>F49</f>
        <v>C1a2a1</v>
      </c>
      <c r="M1571" s="89" t="s">
        <v>2545</v>
      </c>
      <c r="N1571" s="89"/>
      <c r="O1571" s="92">
        <v>2.1731501E7</v>
      </c>
      <c r="P1571" s="92">
        <v>1.9569615E7</v>
      </c>
      <c r="Q1571" s="89" t="s">
        <v>810</v>
      </c>
      <c r="AF1571" s="1"/>
      <c r="AG1571" s="1"/>
    </row>
    <row r="1572" ht="15.75" customHeight="1">
      <c r="A1572" s="1"/>
      <c r="B1572" s="1"/>
      <c r="C1572" s="1"/>
      <c r="D1572" s="1"/>
      <c r="E1572" s="1"/>
      <c r="F1572" s="1"/>
      <c r="G1572" s="1"/>
      <c r="H1572" s="1"/>
      <c r="I1572" s="1"/>
      <c r="J1572" s="1"/>
      <c r="K1572" s="89" t="s">
        <v>2545</v>
      </c>
      <c r="L1572" s="89" t="str">
        <f>F49</f>
        <v>C1a2a1</v>
      </c>
      <c r="M1572" s="89" t="s">
        <v>2544</v>
      </c>
      <c r="N1572" s="89"/>
      <c r="O1572" s="92">
        <v>2.1731501E7</v>
      </c>
      <c r="P1572" s="92">
        <v>1.9569615E7</v>
      </c>
      <c r="Q1572" s="89" t="s">
        <v>810</v>
      </c>
      <c r="AF1572" s="1"/>
      <c r="AG1572" s="1"/>
    </row>
    <row r="1573" ht="15.75" customHeight="1">
      <c r="A1573" s="1"/>
      <c r="B1573" s="1"/>
      <c r="C1573" s="1"/>
      <c r="D1573" s="1"/>
      <c r="E1573" s="1"/>
      <c r="F1573" s="1"/>
      <c r="G1573" s="1"/>
      <c r="H1573" s="1"/>
      <c r="I1573" s="1"/>
      <c r="J1573" s="1"/>
      <c r="K1573" s="89" t="s">
        <v>2546</v>
      </c>
      <c r="L1573" s="89" t="str">
        <f>F49</f>
        <v>C1a2a1</v>
      </c>
      <c r="M1573" s="89" t="s">
        <v>2547</v>
      </c>
      <c r="N1573" s="89"/>
      <c r="O1573" s="92">
        <v>2.3531274E7</v>
      </c>
      <c r="P1573" s="92">
        <v>2.1369388E7</v>
      </c>
      <c r="Q1573" s="89" t="s">
        <v>838</v>
      </c>
      <c r="AF1573" s="1"/>
      <c r="AG1573" s="1"/>
    </row>
    <row r="1574" ht="15.75" customHeight="1">
      <c r="A1574" s="1"/>
      <c r="B1574" s="1"/>
      <c r="C1574" s="1"/>
      <c r="D1574" s="1"/>
      <c r="E1574" s="1"/>
      <c r="F1574" s="1"/>
      <c r="G1574" s="1"/>
      <c r="H1574" s="1"/>
      <c r="I1574" s="1"/>
      <c r="J1574" s="1"/>
      <c r="K1574" s="89" t="s">
        <v>2547</v>
      </c>
      <c r="L1574" s="89" t="str">
        <f>F49</f>
        <v>C1a2a1</v>
      </c>
      <c r="M1574" s="89" t="s">
        <v>2546</v>
      </c>
      <c r="N1574" s="89"/>
      <c r="O1574" s="92">
        <v>2.3531274E7</v>
      </c>
      <c r="P1574" s="92">
        <v>2.1369388E7</v>
      </c>
      <c r="Q1574" s="89" t="s">
        <v>838</v>
      </c>
      <c r="AF1574" s="1"/>
      <c r="AG1574" s="1"/>
    </row>
    <row r="1575" ht="15.75" customHeight="1">
      <c r="A1575" s="1"/>
      <c r="B1575" s="1"/>
      <c r="C1575" s="1"/>
      <c r="D1575" s="1"/>
      <c r="E1575" s="1"/>
      <c r="F1575" s="1"/>
      <c r="G1575" s="1"/>
      <c r="H1575" s="1"/>
      <c r="I1575" s="1"/>
      <c r="J1575" s="1"/>
      <c r="K1575" s="89" t="s">
        <v>2548</v>
      </c>
      <c r="L1575" s="89" t="str">
        <f>F49</f>
        <v>C1a2a1</v>
      </c>
      <c r="M1575" s="89" t="s">
        <v>2549</v>
      </c>
      <c r="N1575" s="89"/>
      <c r="O1575" s="92">
        <v>2.3543576E7</v>
      </c>
      <c r="P1575" s="92">
        <v>2.138169E7</v>
      </c>
      <c r="Q1575" s="89" t="s">
        <v>845</v>
      </c>
      <c r="AF1575" s="1"/>
      <c r="AG1575" s="1"/>
    </row>
    <row r="1576" ht="15.75" customHeight="1">
      <c r="A1576" s="1"/>
      <c r="B1576" s="1"/>
      <c r="C1576" s="1"/>
      <c r="D1576" s="1"/>
      <c r="E1576" s="1"/>
      <c r="F1576" s="1"/>
      <c r="G1576" s="1"/>
      <c r="H1576" s="1"/>
      <c r="I1576" s="1"/>
      <c r="J1576" s="1"/>
      <c r="K1576" s="89" t="s">
        <v>2549</v>
      </c>
      <c r="L1576" s="89" t="str">
        <f>F49</f>
        <v>C1a2a1</v>
      </c>
      <c r="M1576" s="89" t="s">
        <v>2548</v>
      </c>
      <c r="N1576" s="89"/>
      <c r="O1576" s="92">
        <v>2.3543576E7</v>
      </c>
      <c r="P1576" s="92">
        <v>2.138169E7</v>
      </c>
      <c r="Q1576" s="89" t="s">
        <v>845</v>
      </c>
      <c r="AF1576" s="1"/>
      <c r="AG1576" s="1"/>
    </row>
    <row r="1577" ht="15.75" customHeight="1">
      <c r="A1577" s="1"/>
      <c r="B1577" s="1"/>
      <c r="C1577" s="1"/>
      <c r="D1577" s="1"/>
      <c r="E1577" s="1"/>
      <c r="F1577" s="1"/>
      <c r="G1577" s="1"/>
      <c r="H1577" s="1"/>
      <c r="I1577" s="1"/>
      <c r="J1577" s="1"/>
      <c r="K1577" s="89" t="s">
        <v>2550</v>
      </c>
      <c r="L1577" s="89" t="str">
        <f>F49</f>
        <v>C1a2a1</v>
      </c>
      <c r="M1577" s="89" t="s">
        <v>2551</v>
      </c>
      <c r="N1577" s="89"/>
      <c r="O1577" s="92">
        <v>2.3588085E7</v>
      </c>
      <c r="P1577" s="92">
        <v>2.1426199E7</v>
      </c>
      <c r="Q1577" s="89" t="s">
        <v>810</v>
      </c>
      <c r="AF1577" s="1"/>
      <c r="AG1577" s="1"/>
    </row>
    <row r="1578" ht="15.75" customHeight="1">
      <c r="A1578" s="1"/>
      <c r="B1578" s="1"/>
      <c r="C1578" s="1"/>
      <c r="D1578" s="1"/>
      <c r="E1578" s="1"/>
      <c r="F1578" s="1"/>
      <c r="G1578" s="1"/>
      <c r="H1578" s="1"/>
      <c r="I1578" s="1"/>
      <c r="J1578" s="1"/>
      <c r="K1578" s="89" t="s">
        <v>2551</v>
      </c>
      <c r="L1578" s="89" t="str">
        <f>F49</f>
        <v>C1a2a1</v>
      </c>
      <c r="M1578" s="89" t="s">
        <v>2550</v>
      </c>
      <c r="N1578" s="89"/>
      <c r="O1578" s="92">
        <v>2.3588085E7</v>
      </c>
      <c r="P1578" s="92">
        <v>2.1426199E7</v>
      </c>
      <c r="Q1578" s="89" t="s">
        <v>810</v>
      </c>
      <c r="AF1578" s="1"/>
      <c r="AG1578" s="1"/>
    </row>
    <row r="1579" ht="15.75" customHeight="1">
      <c r="A1579" s="1"/>
      <c r="B1579" s="1"/>
      <c r="C1579" s="1"/>
      <c r="D1579" s="1"/>
      <c r="E1579" s="1"/>
      <c r="F1579" s="1"/>
      <c r="G1579" s="1"/>
      <c r="H1579" s="1"/>
      <c r="I1579" s="1"/>
      <c r="J1579" s="1"/>
      <c r="K1579" s="89" t="s">
        <v>2552</v>
      </c>
      <c r="L1579" s="89" t="str">
        <f>F49</f>
        <v>C1a2a1</v>
      </c>
      <c r="M1579" s="89" t="s">
        <v>2553</v>
      </c>
      <c r="N1579" s="89"/>
      <c r="O1579" s="92">
        <v>8465773.0</v>
      </c>
      <c r="P1579" s="92">
        <v>8597732.0</v>
      </c>
      <c r="Q1579" s="89" t="s">
        <v>813</v>
      </c>
      <c r="AF1579" s="1"/>
      <c r="AG1579" s="1"/>
    </row>
    <row r="1580" ht="15.75" customHeight="1">
      <c r="A1580" s="1"/>
      <c r="B1580" s="1"/>
      <c r="C1580" s="1"/>
      <c r="D1580" s="1"/>
      <c r="E1580" s="1"/>
      <c r="F1580" s="1"/>
      <c r="G1580" s="1"/>
      <c r="H1580" s="1"/>
      <c r="I1580" s="1"/>
      <c r="J1580" s="1"/>
      <c r="K1580" s="89" t="s">
        <v>2553</v>
      </c>
      <c r="L1580" s="89" t="str">
        <f>F49</f>
        <v>C1a2a1</v>
      </c>
      <c r="M1580" s="89" t="s">
        <v>2552</v>
      </c>
      <c r="N1580" s="89"/>
      <c r="O1580" s="92">
        <v>8465773.0</v>
      </c>
      <c r="P1580" s="92">
        <v>8597732.0</v>
      </c>
      <c r="Q1580" s="89" t="s">
        <v>813</v>
      </c>
      <c r="AF1580" s="1"/>
      <c r="AG1580" s="1"/>
    </row>
    <row r="1581" ht="15.75" customHeight="1">
      <c r="A1581" s="1"/>
      <c r="B1581" s="1"/>
      <c r="C1581" s="1"/>
      <c r="D1581" s="1"/>
      <c r="E1581" s="1"/>
      <c r="F1581" s="1"/>
      <c r="G1581" s="1"/>
      <c r="H1581" s="1"/>
      <c r="I1581" s="1"/>
      <c r="J1581" s="1"/>
      <c r="K1581" s="89" t="s">
        <v>2554</v>
      </c>
      <c r="L1581" s="89" t="str">
        <f>F49</f>
        <v>C1a2a1</v>
      </c>
      <c r="M1581" s="89" t="s">
        <v>2555</v>
      </c>
      <c r="N1581" s="89"/>
      <c r="O1581" s="92">
        <v>1.684074E7</v>
      </c>
      <c r="P1581" s="92">
        <v>1.472886E7</v>
      </c>
      <c r="Q1581" s="89" t="s">
        <v>917</v>
      </c>
      <c r="AF1581" s="1"/>
      <c r="AG1581" s="1"/>
    </row>
    <row r="1582" ht="15.75" customHeight="1">
      <c r="A1582" s="1"/>
      <c r="B1582" s="1"/>
      <c r="C1582" s="1"/>
      <c r="D1582" s="1"/>
      <c r="E1582" s="1"/>
      <c r="F1582" s="1"/>
      <c r="G1582" s="1"/>
      <c r="H1582" s="1"/>
      <c r="I1582" s="1"/>
      <c r="J1582" s="1"/>
      <c r="K1582" s="89" t="s">
        <v>2555</v>
      </c>
      <c r="L1582" s="89" t="str">
        <f>F49</f>
        <v>C1a2a1</v>
      </c>
      <c r="M1582" s="89" t="s">
        <v>2554</v>
      </c>
      <c r="N1582" s="89"/>
      <c r="O1582" s="92">
        <v>1.684074E7</v>
      </c>
      <c r="P1582" s="92">
        <v>1.472886E7</v>
      </c>
      <c r="Q1582" s="89" t="s">
        <v>917</v>
      </c>
      <c r="AF1582" s="1"/>
      <c r="AG1582" s="1"/>
    </row>
    <row r="1583" ht="15.75" customHeight="1">
      <c r="A1583" s="1"/>
      <c r="B1583" s="1"/>
      <c r="C1583" s="1"/>
      <c r="D1583" s="1"/>
      <c r="E1583" s="1"/>
      <c r="F1583" s="1"/>
      <c r="G1583" s="1"/>
      <c r="H1583" s="1"/>
      <c r="I1583" s="1"/>
      <c r="J1583" s="1"/>
      <c r="K1583" s="89" t="s">
        <v>2556</v>
      </c>
      <c r="L1583" s="89" t="str">
        <f>F49</f>
        <v>C1a2a1</v>
      </c>
      <c r="M1583" s="89" t="s">
        <v>2557</v>
      </c>
      <c r="N1583" s="89" t="s">
        <v>2558</v>
      </c>
      <c r="O1583" s="92">
        <v>1.7851251E7</v>
      </c>
      <c r="P1583" s="92">
        <v>1.5739371E7</v>
      </c>
      <c r="Q1583" s="89" t="s">
        <v>886</v>
      </c>
      <c r="AF1583" s="1"/>
      <c r="AG1583" s="1"/>
    </row>
    <row r="1584" ht="15.75" customHeight="1">
      <c r="A1584" s="1"/>
      <c r="B1584" s="1"/>
      <c r="C1584" s="1"/>
      <c r="D1584" s="1"/>
      <c r="E1584" s="1"/>
      <c r="F1584" s="1"/>
      <c r="G1584" s="1"/>
      <c r="H1584" s="1"/>
      <c r="I1584" s="1"/>
      <c r="J1584" s="1"/>
      <c r="K1584" s="89" t="s">
        <v>2557</v>
      </c>
      <c r="L1584" s="89" t="str">
        <f>F49</f>
        <v>C1a2a1</v>
      </c>
      <c r="M1584" s="89" t="s">
        <v>2556</v>
      </c>
      <c r="N1584" s="89" t="s">
        <v>2558</v>
      </c>
      <c r="O1584" s="92">
        <v>1.7851251E7</v>
      </c>
      <c r="P1584" s="92">
        <v>1.5739371E7</v>
      </c>
      <c r="Q1584" s="89" t="s">
        <v>886</v>
      </c>
      <c r="AF1584" s="1"/>
      <c r="AG1584" s="1"/>
    </row>
    <row r="1585" ht="15.75" customHeight="1">
      <c r="A1585" s="1"/>
      <c r="B1585" s="1"/>
      <c r="C1585" s="1"/>
      <c r="D1585" s="1"/>
      <c r="E1585" s="1"/>
      <c r="F1585" s="1"/>
      <c r="G1585" s="1"/>
      <c r="H1585" s="1"/>
      <c r="I1585" s="1"/>
      <c r="J1585" s="1"/>
      <c r="K1585" s="89" t="s">
        <v>2559</v>
      </c>
      <c r="L1585" s="89" t="str">
        <f>F49</f>
        <v>C1a2a1</v>
      </c>
      <c r="M1585" s="89" t="s">
        <v>2560</v>
      </c>
      <c r="N1585" s="89"/>
      <c r="O1585" s="92">
        <v>1.8727571E7</v>
      </c>
      <c r="P1585" s="92">
        <v>1.6615691E7</v>
      </c>
      <c r="Q1585" s="89" t="s">
        <v>879</v>
      </c>
      <c r="AF1585" s="1"/>
      <c r="AG1585" s="1"/>
    </row>
    <row r="1586" ht="15.75" customHeight="1">
      <c r="A1586" s="1"/>
      <c r="B1586" s="1"/>
      <c r="C1586" s="1"/>
      <c r="D1586" s="1"/>
      <c r="E1586" s="1"/>
      <c r="F1586" s="1"/>
      <c r="G1586" s="1"/>
      <c r="H1586" s="1"/>
      <c r="I1586" s="1"/>
      <c r="J1586" s="1"/>
      <c r="K1586" s="89" t="s">
        <v>2560</v>
      </c>
      <c r="L1586" s="89" t="str">
        <f>F49</f>
        <v>C1a2a1</v>
      </c>
      <c r="M1586" s="89" t="s">
        <v>2559</v>
      </c>
      <c r="N1586" s="89"/>
      <c r="O1586" s="92">
        <v>1.8727571E7</v>
      </c>
      <c r="P1586" s="92">
        <v>1.6615691E7</v>
      </c>
      <c r="Q1586" s="89" t="s">
        <v>879</v>
      </c>
      <c r="AF1586" s="1"/>
      <c r="AG1586" s="1"/>
    </row>
    <row r="1587" ht="15.75" customHeight="1">
      <c r="A1587" s="1"/>
      <c r="B1587" s="1"/>
      <c r="C1587" s="1"/>
      <c r="D1587" s="1"/>
      <c r="E1587" s="1"/>
      <c r="F1587" s="1"/>
      <c r="G1587" s="1"/>
      <c r="H1587" s="1"/>
      <c r="I1587" s="1"/>
      <c r="J1587" s="1"/>
      <c r="K1587" s="89" t="s">
        <v>2561</v>
      </c>
      <c r="L1587" s="89" t="str">
        <f>F49</f>
        <v>C1a2a1</v>
      </c>
      <c r="M1587" s="89" t="s">
        <v>2562</v>
      </c>
      <c r="N1587" s="89"/>
      <c r="O1587" s="92">
        <v>1.9250614E7</v>
      </c>
      <c r="P1587" s="92">
        <v>1.7138734E7</v>
      </c>
      <c r="Q1587" s="89" t="s">
        <v>810</v>
      </c>
      <c r="AF1587" s="1"/>
      <c r="AG1587" s="1"/>
    </row>
    <row r="1588" ht="15.75" customHeight="1">
      <c r="A1588" s="1"/>
      <c r="B1588" s="1"/>
      <c r="C1588" s="1"/>
      <c r="D1588" s="1"/>
      <c r="E1588" s="1"/>
      <c r="F1588" s="1"/>
      <c r="G1588" s="1"/>
      <c r="H1588" s="1"/>
      <c r="I1588" s="1"/>
      <c r="J1588" s="1"/>
      <c r="K1588" s="89" t="s">
        <v>2562</v>
      </c>
      <c r="L1588" s="89" t="str">
        <f>F49</f>
        <v>C1a2a1</v>
      </c>
      <c r="M1588" s="89" t="s">
        <v>2561</v>
      </c>
      <c r="N1588" s="89"/>
      <c r="O1588" s="92">
        <v>1.9250614E7</v>
      </c>
      <c r="P1588" s="92">
        <v>1.7138734E7</v>
      </c>
      <c r="Q1588" s="89" t="s">
        <v>810</v>
      </c>
      <c r="AF1588" s="1"/>
      <c r="AG1588" s="1"/>
    </row>
    <row r="1589" ht="15.75" customHeight="1">
      <c r="A1589" s="1"/>
      <c r="B1589" s="1"/>
      <c r="C1589" s="1"/>
      <c r="D1589" s="1"/>
      <c r="E1589" s="1"/>
      <c r="F1589" s="1"/>
      <c r="G1589" s="1"/>
      <c r="H1589" s="1"/>
      <c r="I1589" s="1"/>
      <c r="J1589" s="1"/>
      <c r="K1589" s="89" t="s">
        <v>2563</v>
      </c>
      <c r="L1589" s="89" t="str">
        <f>F49</f>
        <v>C1a2a1</v>
      </c>
      <c r="M1589" s="89" t="s">
        <v>2564</v>
      </c>
      <c r="N1589" s="89"/>
      <c r="O1589" s="92">
        <v>2.1384259E7</v>
      </c>
      <c r="P1589" s="92">
        <v>1.9222373E7</v>
      </c>
      <c r="Q1589" s="89" t="s">
        <v>917</v>
      </c>
      <c r="AF1589" s="1"/>
      <c r="AG1589" s="1"/>
    </row>
    <row r="1590" ht="15.75" customHeight="1">
      <c r="A1590" s="1"/>
      <c r="B1590" s="1"/>
      <c r="C1590" s="1"/>
      <c r="D1590" s="1"/>
      <c r="E1590" s="1"/>
      <c r="F1590" s="1"/>
      <c r="G1590" s="1"/>
      <c r="H1590" s="1"/>
      <c r="I1590" s="1"/>
      <c r="J1590" s="1"/>
      <c r="K1590" s="89" t="s">
        <v>2564</v>
      </c>
      <c r="L1590" s="89" t="str">
        <f>F49</f>
        <v>C1a2a1</v>
      </c>
      <c r="M1590" s="89" t="s">
        <v>2563</v>
      </c>
      <c r="N1590" s="89"/>
      <c r="O1590" s="92">
        <v>2.1384259E7</v>
      </c>
      <c r="P1590" s="92">
        <v>1.9222373E7</v>
      </c>
      <c r="Q1590" s="89" t="s">
        <v>917</v>
      </c>
      <c r="AF1590" s="1"/>
      <c r="AG1590" s="1"/>
    </row>
    <row r="1591" ht="15.75" customHeight="1">
      <c r="A1591" s="1"/>
      <c r="B1591" s="1"/>
      <c r="C1591" s="1"/>
      <c r="D1591" s="1"/>
      <c r="E1591" s="1"/>
      <c r="F1591" s="1"/>
      <c r="G1591" s="1"/>
      <c r="H1591" s="1"/>
      <c r="I1591" s="1"/>
      <c r="J1591" s="1"/>
      <c r="K1591" s="89" t="s">
        <v>2565</v>
      </c>
      <c r="L1591" s="89" t="str">
        <f>F49</f>
        <v>C1a2a1</v>
      </c>
      <c r="M1591" s="89" t="s">
        <v>2566</v>
      </c>
      <c r="N1591" s="89"/>
      <c r="O1591" s="92">
        <v>2823925.0</v>
      </c>
      <c r="P1591" s="92">
        <v>2955884.0</v>
      </c>
      <c r="Q1591" s="89" t="s">
        <v>838</v>
      </c>
      <c r="AF1591" s="1"/>
      <c r="AG1591" s="1"/>
    </row>
    <row r="1592" ht="15.75" customHeight="1">
      <c r="A1592" s="1"/>
      <c r="B1592" s="1"/>
      <c r="C1592" s="1"/>
      <c r="D1592" s="1"/>
      <c r="E1592" s="1"/>
      <c r="F1592" s="1"/>
      <c r="G1592" s="1"/>
      <c r="H1592" s="1"/>
      <c r="I1592" s="1"/>
      <c r="J1592" s="1"/>
      <c r="K1592" s="89" t="s">
        <v>2566</v>
      </c>
      <c r="L1592" s="89" t="str">
        <f>F49</f>
        <v>C1a2a1</v>
      </c>
      <c r="M1592" s="89" t="s">
        <v>2565</v>
      </c>
      <c r="N1592" s="89"/>
      <c r="O1592" s="92">
        <v>2823925.0</v>
      </c>
      <c r="P1592" s="92">
        <v>2955884.0</v>
      </c>
      <c r="Q1592" s="89" t="s">
        <v>838</v>
      </c>
      <c r="AF1592" s="1"/>
      <c r="AG1592" s="1"/>
    </row>
    <row r="1593" ht="15.75" customHeight="1">
      <c r="A1593" s="1"/>
      <c r="B1593" s="1"/>
      <c r="C1593" s="1"/>
      <c r="D1593" s="1"/>
      <c r="E1593" s="1"/>
      <c r="F1593" s="1"/>
      <c r="G1593" s="1"/>
      <c r="H1593" s="1"/>
      <c r="I1593" s="1"/>
      <c r="J1593" s="1"/>
      <c r="K1593" s="89" t="s">
        <v>2567</v>
      </c>
      <c r="L1593" s="89" t="str">
        <f>F49</f>
        <v>C1a2a1</v>
      </c>
      <c r="M1593" s="89" t="s">
        <v>2568</v>
      </c>
      <c r="N1593" s="89"/>
      <c r="O1593" s="92">
        <v>7624344.0</v>
      </c>
      <c r="P1593" s="92">
        <v>7756303.0</v>
      </c>
      <c r="Q1593" s="89" t="s">
        <v>802</v>
      </c>
      <c r="AF1593" s="1"/>
      <c r="AG1593" s="1"/>
    </row>
    <row r="1594" ht="15.75" customHeight="1">
      <c r="A1594" s="1"/>
      <c r="B1594" s="1"/>
      <c r="C1594" s="1"/>
      <c r="D1594" s="1"/>
      <c r="E1594" s="1"/>
      <c r="F1594" s="1"/>
      <c r="G1594" s="1"/>
      <c r="H1594" s="1"/>
      <c r="I1594" s="1"/>
      <c r="J1594" s="1"/>
      <c r="K1594" s="89" t="s">
        <v>2568</v>
      </c>
      <c r="L1594" s="89" t="str">
        <f>F49</f>
        <v>C1a2a1</v>
      </c>
      <c r="M1594" s="89" t="s">
        <v>2567</v>
      </c>
      <c r="N1594" s="89"/>
      <c r="O1594" s="92">
        <v>7624344.0</v>
      </c>
      <c r="P1594" s="92">
        <v>7756303.0</v>
      </c>
      <c r="Q1594" s="89" t="s">
        <v>802</v>
      </c>
      <c r="AF1594" s="1"/>
      <c r="AG1594" s="1"/>
    </row>
    <row r="1595" ht="15.75" customHeight="1">
      <c r="A1595" s="1"/>
      <c r="B1595" s="1"/>
      <c r="C1595" s="1"/>
      <c r="D1595" s="1"/>
      <c r="E1595" s="1"/>
      <c r="F1595" s="1"/>
      <c r="G1595" s="1"/>
      <c r="H1595" s="1"/>
      <c r="I1595" s="1"/>
      <c r="J1595" s="1"/>
      <c r="K1595" s="89" t="s">
        <v>2569</v>
      </c>
      <c r="L1595" s="89" t="str">
        <f>F49</f>
        <v>C1a2a1</v>
      </c>
      <c r="M1595" s="89" t="s">
        <v>2570</v>
      </c>
      <c r="N1595" s="89"/>
      <c r="O1595" s="92">
        <v>1.3815799E7</v>
      </c>
      <c r="P1595" s="92">
        <v>1.1695093E7</v>
      </c>
      <c r="Q1595" s="89" t="s">
        <v>810</v>
      </c>
      <c r="AF1595" s="1"/>
      <c r="AG1595" s="1"/>
    </row>
    <row r="1596" ht="15.75" customHeight="1">
      <c r="A1596" s="1"/>
      <c r="B1596" s="1"/>
      <c r="C1596" s="1"/>
      <c r="D1596" s="1"/>
      <c r="E1596" s="1"/>
      <c r="F1596" s="1"/>
      <c r="G1596" s="1"/>
      <c r="H1596" s="1"/>
      <c r="I1596" s="1"/>
      <c r="J1596" s="1"/>
      <c r="K1596" s="89" t="s">
        <v>2570</v>
      </c>
      <c r="L1596" s="89" t="str">
        <f>F49</f>
        <v>C1a2a1</v>
      </c>
      <c r="M1596" s="89" t="s">
        <v>2569</v>
      </c>
      <c r="N1596" s="89"/>
      <c r="O1596" s="92">
        <v>1.3815799E7</v>
      </c>
      <c r="P1596" s="92">
        <v>1.1695093E7</v>
      </c>
      <c r="Q1596" s="89" t="s">
        <v>810</v>
      </c>
      <c r="AF1596" s="1"/>
      <c r="AG1596" s="1"/>
    </row>
    <row r="1597" ht="15.75" customHeight="1">
      <c r="A1597" s="1"/>
      <c r="B1597" s="1"/>
      <c r="C1597" s="1"/>
      <c r="D1597" s="1"/>
      <c r="E1597" s="1"/>
      <c r="F1597" s="1"/>
      <c r="G1597" s="1"/>
      <c r="H1597" s="1"/>
      <c r="I1597" s="1"/>
      <c r="J1597" s="1"/>
      <c r="K1597" s="89" t="s">
        <v>2571</v>
      </c>
      <c r="L1597" s="89" t="str">
        <f>F49</f>
        <v>C1a2a1</v>
      </c>
      <c r="M1597" s="89" t="s">
        <v>2572</v>
      </c>
      <c r="N1597" s="89" t="s">
        <v>2573</v>
      </c>
      <c r="O1597" s="92">
        <v>1.8026364E7</v>
      </c>
      <c r="P1597" s="92">
        <v>1.5914484E7</v>
      </c>
      <c r="Q1597" s="89" t="s">
        <v>879</v>
      </c>
      <c r="AF1597" s="1"/>
      <c r="AG1597" s="1"/>
    </row>
    <row r="1598" ht="15.75" customHeight="1">
      <c r="A1598" s="1"/>
      <c r="B1598" s="1"/>
      <c r="C1598" s="1"/>
      <c r="D1598" s="1"/>
      <c r="E1598" s="1"/>
      <c r="F1598" s="1"/>
      <c r="G1598" s="1"/>
      <c r="H1598" s="1"/>
      <c r="I1598" s="1"/>
      <c r="J1598" s="1"/>
      <c r="K1598" s="89" t="s">
        <v>2572</v>
      </c>
      <c r="L1598" s="89" t="str">
        <f>F49</f>
        <v>C1a2a1</v>
      </c>
      <c r="M1598" s="89" t="s">
        <v>2571</v>
      </c>
      <c r="N1598" s="89" t="s">
        <v>2573</v>
      </c>
      <c r="O1598" s="92">
        <v>1.8026364E7</v>
      </c>
      <c r="P1598" s="92">
        <v>1.5914484E7</v>
      </c>
      <c r="Q1598" s="89" t="s">
        <v>879</v>
      </c>
      <c r="AF1598" s="1"/>
      <c r="AG1598" s="1"/>
    </row>
    <row r="1599" ht="15.75" customHeight="1">
      <c r="A1599" s="1"/>
      <c r="B1599" s="1"/>
      <c r="C1599" s="1"/>
      <c r="D1599" s="1"/>
      <c r="E1599" s="1"/>
      <c r="F1599" s="1"/>
      <c r="G1599" s="1"/>
      <c r="H1599" s="1"/>
      <c r="I1599" s="1"/>
      <c r="J1599" s="1"/>
      <c r="K1599" s="89" t="s">
        <v>2574</v>
      </c>
      <c r="L1599" s="89" t="str">
        <f>F49</f>
        <v>C1a2a1</v>
      </c>
      <c r="M1599" s="89" t="s">
        <v>2575</v>
      </c>
      <c r="N1599" s="89"/>
      <c r="O1599" s="92">
        <v>1.776384E7</v>
      </c>
      <c r="P1599" s="92">
        <v>1.565196E7</v>
      </c>
      <c r="Q1599" s="89" t="s">
        <v>838</v>
      </c>
      <c r="AF1599" s="1"/>
      <c r="AG1599" s="1"/>
    </row>
    <row r="1600" ht="15.75" customHeight="1">
      <c r="A1600" s="1"/>
      <c r="B1600" s="1"/>
      <c r="C1600" s="1"/>
      <c r="D1600" s="1"/>
      <c r="E1600" s="1"/>
      <c r="F1600" s="1"/>
      <c r="G1600" s="1"/>
      <c r="H1600" s="1"/>
      <c r="I1600" s="1"/>
      <c r="J1600" s="1"/>
      <c r="K1600" s="89" t="s">
        <v>2575</v>
      </c>
      <c r="L1600" s="89" t="str">
        <f>F49</f>
        <v>C1a2a1</v>
      </c>
      <c r="M1600" s="89" t="s">
        <v>2574</v>
      </c>
      <c r="N1600" s="89"/>
      <c r="O1600" s="92">
        <v>1.776384E7</v>
      </c>
      <c r="P1600" s="92">
        <v>1.565196E7</v>
      </c>
      <c r="Q1600" s="89" t="s">
        <v>838</v>
      </c>
      <c r="AF1600" s="1"/>
      <c r="AG1600" s="1"/>
    </row>
    <row r="1601" ht="15.75" customHeight="1">
      <c r="A1601" s="1"/>
      <c r="B1601" s="1"/>
      <c r="C1601" s="1"/>
      <c r="D1601" s="1"/>
      <c r="E1601" s="1"/>
      <c r="F1601" s="1"/>
      <c r="G1601" s="1"/>
      <c r="H1601" s="1"/>
      <c r="I1601" s="1"/>
      <c r="J1601" s="1"/>
      <c r="K1601" s="89" t="s">
        <v>2576</v>
      </c>
      <c r="L1601" s="89" t="str">
        <f>F49</f>
        <v>C1a2a1</v>
      </c>
      <c r="M1601" s="89" t="s">
        <v>2577</v>
      </c>
      <c r="N1601" s="89"/>
      <c r="O1601" s="92">
        <v>1.9149679E7</v>
      </c>
      <c r="P1601" s="92">
        <v>1.7037799E7</v>
      </c>
      <c r="Q1601" s="89" t="s">
        <v>813</v>
      </c>
      <c r="AF1601" s="1"/>
      <c r="AG1601" s="1"/>
    </row>
    <row r="1602" ht="15.75" customHeight="1">
      <c r="A1602" s="1"/>
      <c r="B1602" s="1"/>
      <c r="C1602" s="1"/>
      <c r="D1602" s="1"/>
      <c r="E1602" s="1"/>
      <c r="F1602" s="1"/>
      <c r="G1602" s="1"/>
      <c r="H1602" s="1"/>
      <c r="I1602" s="1"/>
      <c r="J1602" s="1"/>
      <c r="K1602" s="89" t="s">
        <v>2577</v>
      </c>
      <c r="L1602" s="89" t="str">
        <f>F49</f>
        <v>C1a2a1</v>
      </c>
      <c r="M1602" s="89" t="s">
        <v>2576</v>
      </c>
      <c r="N1602" s="89"/>
      <c r="O1602" s="92">
        <v>1.9149679E7</v>
      </c>
      <c r="P1602" s="92">
        <v>1.7037799E7</v>
      </c>
      <c r="Q1602" s="89" t="s">
        <v>813</v>
      </c>
      <c r="AF1602" s="1"/>
      <c r="AG1602" s="1"/>
    </row>
    <row r="1603" ht="15.75" customHeight="1">
      <c r="A1603" s="1"/>
      <c r="B1603" s="1"/>
      <c r="C1603" s="1"/>
      <c r="D1603" s="1"/>
      <c r="E1603" s="1"/>
      <c r="F1603" s="1"/>
      <c r="G1603" s="1"/>
      <c r="H1603" s="1"/>
      <c r="I1603" s="1"/>
      <c r="J1603" s="1"/>
      <c r="K1603" s="89" t="s">
        <v>2578</v>
      </c>
      <c r="L1603" s="89" t="str">
        <f>F49</f>
        <v>C1a2a1</v>
      </c>
      <c r="M1603" s="89" t="s">
        <v>2579</v>
      </c>
      <c r="N1603" s="89"/>
      <c r="O1603" s="92">
        <v>2.137067E7</v>
      </c>
      <c r="P1603" s="92">
        <v>1.9208784E7</v>
      </c>
      <c r="Q1603" s="89" t="s">
        <v>912</v>
      </c>
      <c r="AF1603" s="1"/>
      <c r="AG1603" s="1"/>
    </row>
    <row r="1604" ht="15.75" customHeight="1">
      <c r="A1604" s="1"/>
      <c r="B1604" s="1"/>
      <c r="C1604" s="1"/>
      <c r="D1604" s="1"/>
      <c r="E1604" s="1"/>
      <c r="F1604" s="1"/>
      <c r="G1604" s="1"/>
      <c r="H1604" s="1"/>
      <c r="I1604" s="1"/>
      <c r="J1604" s="1"/>
      <c r="K1604" s="89" t="s">
        <v>2579</v>
      </c>
      <c r="L1604" s="89" t="str">
        <f>F49</f>
        <v>C1a2a1</v>
      </c>
      <c r="M1604" s="89" t="s">
        <v>2578</v>
      </c>
      <c r="N1604" s="89"/>
      <c r="O1604" s="92">
        <v>2.137067E7</v>
      </c>
      <c r="P1604" s="92">
        <v>1.9208784E7</v>
      </c>
      <c r="Q1604" s="89" t="s">
        <v>912</v>
      </c>
      <c r="AF1604" s="1"/>
      <c r="AG1604" s="1"/>
    </row>
    <row r="1605" ht="15.75" customHeight="1">
      <c r="A1605" s="1"/>
      <c r="B1605" s="1"/>
      <c r="C1605" s="1"/>
      <c r="D1605" s="1"/>
      <c r="E1605" s="1"/>
      <c r="F1605" s="1"/>
      <c r="G1605" s="1"/>
      <c r="H1605" s="1"/>
      <c r="I1605" s="1"/>
      <c r="J1605" s="1"/>
      <c r="K1605" s="89" t="s">
        <v>2580</v>
      </c>
      <c r="L1605" s="89" t="str">
        <f>F49</f>
        <v>C1a2a1</v>
      </c>
      <c r="M1605" s="89" t="s">
        <v>2581</v>
      </c>
      <c r="N1605" s="89"/>
      <c r="O1605" s="92">
        <v>2.3070407E7</v>
      </c>
      <c r="P1605" s="92">
        <v>2.0908521E7</v>
      </c>
      <c r="Q1605" s="89" t="s">
        <v>822</v>
      </c>
      <c r="AF1605" s="1"/>
      <c r="AG1605" s="1"/>
    </row>
    <row r="1606" ht="15.75" customHeight="1">
      <c r="A1606" s="1"/>
      <c r="B1606" s="1"/>
      <c r="C1606" s="1"/>
      <c r="D1606" s="1"/>
      <c r="E1606" s="1"/>
      <c r="F1606" s="1"/>
      <c r="G1606" s="1"/>
      <c r="H1606" s="1"/>
      <c r="I1606" s="1"/>
      <c r="J1606" s="1"/>
      <c r="K1606" s="89" t="s">
        <v>2581</v>
      </c>
      <c r="L1606" s="89" t="str">
        <f>F49</f>
        <v>C1a2a1</v>
      </c>
      <c r="M1606" s="89" t="s">
        <v>2580</v>
      </c>
      <c r="N1606" s="89"/>
      <c r="O1606" s="92">
        <v>2.3070407E7</v>
      </c>
      <c r="P1606" s="92">
        <v>2.0908521E7</v>
      </c>
      <c r="Q1606" s="89" t="s">
        <v>822</v>
      </c>
      <c r="AF1606" s="1"/>
      <c r="AG1606" s="1"/>
    </row>
    <row r="1607" ht="15.75" customHeight="1">
      <c r="A1607" s="1"/>
      <c r="B1607" s="1"/>
      <c r="C1607" s="1"/>
      <c r="D1607" s="1"/>
      <c r="E1607" s="1"/>
      <c r="F1607" s="1"/>
      <c r="G1607" s="1"/>
      <c r="H1607" s="1"/>
      <c r="I1607" s="1"/>
      <c r="J1607" s="1"/>
      <c r="K1607" s="89" t="s">
        <v>2582</v>
      </c>
      <c r="L1607" s="89" t="str">
        <f>F49</f>
        <v>C1a2a1</v>
      </c>
      <c r="M1607" s="89" t="s">
        <v>2583</v>
      </c>
      <c r="N1607" s="89" t="s">
        <v>2584</v>
      </c>
      <c r="O1607" s="92">
        <v>6837633.0</v>
      </c>
      <c r="P1607" s="92">
        <v>6969592.0</v>
      </c>
      <c r="Q1607" s="89" t="s">
        <v>822</v>
      </c>
      <c r="AF1607" s="1"/>
      <c r="AG1607" s="1"/>
    </row>
    <row r="1608" ht="15.75" customHeight="1">
      <c r="A1608" s="1"/>
      <c r="B1608" s="1"/>
      <c r="C1608" s="1"/>
      <c r="D1608" s="1"/>
      <c r="E1608" s="1"/>
      <c r="F1608" s="1"/>
      <c r="G1608" s="1"/>
      <c r="H1608" s="1"/>
      <c r="I1608" s="1"/>
      <c r="J1608" s="1"/>
      <c r="K1608" s="89" t="s">
        <v>2583</v>
      </c>
      <c r="L1608" s="89" t="str">
        <f>F49</f>
        <v>C1a2a1</v>
      </c>
      <c r="M1608" s="89" t="s">
        <v>2582</v>
      </c>
      <c r="N1608" s="89" t="s">
        <v>2584</v>
      </c>
      <c r="O1608" s="92">
        <v>6837633.0</v>
      </c>
      <c r="P1608" s="92">
        <v>6969592.0</v>
      </c>
      <c r="Q1608" s="89" t="s">
        <v>822</v>
      </c>
      <c r="AF1608" s="1"/>
      <c r="AG1608" s="1"/>
    </row>
    <row r="1609" ht="15.75" customHeight="1">
      <c r="A1609" s="1"/>
      <c r="B1609" s="1"/>
      <c r="C1609" s="1"/>
      <c r="D1609" s="1"/>
      <c r="E1609" s="1"/>
      <c r="F1609" s="1"/>
      <c r="G1609" s="1"/>
      <c r="H1609" s="1"/>
      <c r="I1609" s="1"/>
      <c r="J1609" s="1"/>
      <c r="K1609" s="89" t="s">
        <v>2585</v>
      </c>
      <c r="L1609" s="89" t="str">
        <f>F49</f>
        <v>C1a2a1</v>
      </c>
      <c r="M1609" s="89" t="s">
        <v>2586</v>
      </c>
      <c r="N1609" s="89"/>
      <c r="O1609" s="92">
        <v>7171182.0</v>
      </c>
      <c r="P1609" s="92">
        <v>7303141.0</v>
      </c>
      <c r="Q1609" s="89" t="s">
        <v>810</v>
      </c>
      <c r="AF1609" s="1"/>
      <c r="AG1609" s="1"/>
    </row>
    <row r="1610" ht="15.75" customHeight="1">
      <c r="A1610" s="1"/>
      <c r="B1610" s="1"/>
      <c r="C1610" s="1"/>
      <c r="D1610" s="1"/>
      <c r="E1610" s="1"/>
      <c r="F1610" s="1"/>
      <c r="G1610" s="1"/>
      <c r="H1610" s="1"/>
      <c r="I1610" s="1"/>
      <c r="J1610" s="1"/>
      <c r="K1610" s="89" t="s">
        <v>2586</v>
      </c>
      <c r="L1610" s="89" t="str">
        <f>F49</f>
        <v>C1a2a1</v>
      </c>
      <c r="M1610" s="89" t="s">
        <v>2585</v>
      </c>
      <c r="N1610" s="89"/>
      <c r="O1610" s="92">
        <v>7171182.0</v>
      </c>
      <c r="P1610" s="92">
        <v>7303141.0</v>
      </c>
      <c r="Q1610" s="89" t="s">
        <v>810</v>
      </c>
      <c r="AF1610" s="1"/>
      <c r="AG1610" s="1"/>
    </row>
    <row r="1611" ht="15.75" customHeight="1">
      <c r="A1611" s="1"/>
      <c r="B1611" s="1"/>
      <c r="C1611" s="1"/>
      <c r="D1611" s="1"/>
      <c r="E1611" s="1"/>
      <c r="F1611" s="1"/>
      <c r="G1611" s="1"/>
      <c r="H1611" s="1"/>
      <c r="I1611" s="1"/>
      <c r="J1611" s="1"/>
      <c r="K1611" s="89" t="s">
        <v>2587</v>
      </c>
      <c r="L1611" s="89" t="str">
        <f>F49</f>
        <v>C1a2a1</v>
      </c>
      <c r="M1611" s="89" t="s">
        <v>2588</v>
      </c>
      <c r="N1611" s="89"/>
      <c r="O1611" s="92">
        <v>7922184.0</v>
      </c>
      <c r="P1611" s="92">
        <v>8054143.0</v>
      </c>
      <c r="Q1611" s="89" t="s">
        <v>917</v>
      </c>
      <c r="AF1611" s="1"/>
      <c r="AG1611" s="1"/>
    </row>
    <row r="1612" ht="15.75" customHeight="1">
      <c r="A1612" s="1"/>
      <c r="B1612" s="1"/>
      <c r="C1612" s="1"/>
      <c r="D1612" s="1"/>
      <c r="E1612" s="1"/>
      <c r="F1612" s="1"/>
      <c r="G1612" s="1"/>
      <c r="H1612" s="1"/>
      <c r="I1612" s="1"/>
      <c r="J1612" s="1"/>
      <c r="K1612" s="89" t="s">
        <v>2588</v>
      </c>
      <c r="L1612" s="89" t="str">
        <f>F49</f>
        <v>C1a2a1</v>
      </c>
      <c r="M1612" s="89" t="s">
        <v>2587</v>
      </c>
      <c r="N1612" s="89"/>
      <c r="O1612" s="92">
        <v>7922184.0</v>
      </c>
      <c r="P1612" s="92">
        <v>8054143.0</v>
      </c>
      <c r="Q1612" s="89" t="s">
        <v>917</v>
      </c>
      <c r="AF1612" s="1"/>
      <c r="AG1612" s="1"/>
    </row>
    <row r="1613" ht="15.75" customHeight="1">
      <c r="A1613" s="1"/>
      <c r="B1613" s="1"/>
      <c r="C1613" s="1"/>
      <c r="D1613" s="1"/>
      <c r="E1613" s="1"/>
      <c r="F1613" s="1"/>
      <c r="G1613" s="1"/>
      <c r="H1613" s="1"/>
      <c r="I1613" s="1"/>
      <c r="J1613" s="1"/>
      <c r="K1613" s="89" t="s">
        <v>2589</v>
      </c>
      <c r="L1613" s="89" t="str">
        <f>F49</f>
        <v>C1a2a1</v>
      </c>
      <c r="M1613" s="89" t="s">
        <v>2590</v>
      </c>
      <c r="N1613" s="89"/>
      <c r="O1613" s="92">
        <v>8638531.0</v>
      </c>
      <c r="P1613" s="92">
        <v>8770490.0</v>
      </c>
      <c r="Q1613" s="89" t="s">
        <v>810</v>
      </c>
      <c r="AF1613" s="1"/>
      <c r="AG1613" s="1"/>
    </row>
    <row r="1614" ht="15.75" customHeight="1">
      <c r="A1614" s="1"/>
      <c r="B1614" s="1"/>
      <c r="C1614" s="1"/>
      <c r="D1614" s="1"/>
      <c r="E1614" s="1"/>
      <c r="F1614" s="1"/>
      <c r="G1614" s="1"/>
      <c r="H1614" s="1"/>
      <c r="I1614" s="1"/>
      <c r="J1614" s="1"/>
      <c r="K1614" s="89" t="s">
        <v>2590</v>
      </c>
      <c r="L1614" s="89" t="str">
        <f>F49</f>
        <v>C1a2a1</v>
      </c>
      <c r="M1614" s="89" t="s">
        <v>2589</v>
      </c>
      <c r="N1614" s="89"/>
      <c r="O1614" s="92">
        <v>8638531.0</v>
      </c>
      <c r="P1614" s="92">
        <v>8770490.0</v>
      </c>
      <c r="Q1614" s="89" t="s">
        <v>810</v>
      </c>
      <c r="AF1614" s="1"/>
      <c r="AG1614" s="1"/>
    </row>
    <row r="1615" ht="15.75" customHeight="1">
      <c r="A1615" s="1"/>
      <c r="B1615" s="1"/>
      <c r="C1615" s="1"/>
      <c r="D1615" s="1"/>
      <c r="E1615" s="1"/>
      <c r="F1615" s="1"/>
      <c r="G1615" s="1"/>
      <c r="H1615" s="1"/>
      <c r="I1615" s="1"/>
      <c r="J1615" s="1"/>
      <c r="K1615" s="89" t="s">
        <v>2591</v>
      </c>
      <c r="L1615" s="89" t="str">
        <f>F49</f>
        <v>C1a2a1</v>
      </c>
      <c r="M1615" s="89" t="s">
        <v>2592</v>
      </c>
      <c r="N1615" s="89"/>
      <c r="O1615" s="92">
        <v>1.9149736E7</v>
      </c>
      <c r="P1615" s="92">
        <v>1.7037856E7</v>
      </c>
      <c r="Q1615" s="89" t="s">
        <v>822</v>
      </c>
      <c r="AF1615" s="1"/>
      <c r="AG1615" s="1"/>
    </row>
    <row r="1616" ht="15.75" customHeight="1">
      <c r="A1616" s="1"/>
      <c r="B1616" s="1"/>
      <c r="C1616" s="1"/>
      <c r="D1616" s="1"/>
      <c r="E1616" s="1"/>
      <c r="F1616" s="1"/>
      <c r="G1616" s="1"/>
      <c r="H1616" s="1"/>
      <c r="I1616" s="1"/>
      <c r="J1616" s="1"/>
      <c r="K1616" s="89" t="s">
        <v>2592</v>
      </c>
      <c r="L1616" s="89" t="str">
        <f>F49</f>
        <v>C1a2a1</v>
      </c>
      <c r="M1616" s="89" t="s">
        <v>2591</v>
      </c>
      <c r="N1616" s="89"/>
      <c r="O1616" s="92">
        <v>1.9149736E7</v>
      </c>
      <c r="P1616" s="92">
        <v>1.7037856E7</v>
      </c>
      <c r="Q1616" s="89" t="s">
        <v>822</v>
      </c>
      <c r="AF1616" s="1"/>
      <c r="AG1616" s="1"/>
    </row>
    <row r="1617" ht="15.75" customHeight="1">
      <c r="A1617" s="1"/>
      <c r="B1617" s="1"/>
      <c r="C1617" s="1"/>
      <c r="D1617" s="1"/>
      <c r="E1617" s="1"/>
      <c r="F1617" s="1"/>
      <c r="G1617" s="1"/>
      <c r="H1617" s="1"/>
      <c r="I1617" s="1"/>
      <c r="J1617" s="1"/>
      <c r="K1617" s="89" t="s">
        <v>2593</v>
      </c>
      <c r="L1617" s="89" t="str">
        <f>F49</f>
        <v>C1a2a1</v>
      </c>
      <c r="M1617" s="89" t="s">
        <v>2594</v>
      </c>
      <c r="N1617" s="89"/>
      <c r="O1617" s="92">
        <v>1.9279591E7</v>
      </c>
      <c r="P1617" s="92">
        <v>1.7167711E7</v>
      </c>
      <c r="Q1617" s="89" t="s">
        <v>822</v>
      </c>
      <c r="AF1617" s="1"/>
      <c r="AG1617" s="1"/>
    </row>
    <row r="1618" ht="15.75" customHeight="1">
      <c r="A1618" s="1"/>
      <c r="B1618" s="1"/>
      <c r="C1618" s="1"/>
      <c r="D1618" s="1"/>
      <c r="E1618" s="1"/>
      <c r="F1618" s="1"/>
      <c r="G1618" s="1"/>
      <c r="H1618" s="1"/>
      <c r="I1618" s="1"/>
      <c r="J1618" s="1"/>
      <c r="K1618" s="89" t="s">
        <v>2594</v>
      </c>
      <c r="L1618" s="89" t="str">
        <f>F49</f>
        <v>C1a2a1</v>
      </c>
      <c r="M1618" s="89" t="s">
        <v>2593</v>
      </c>
      <c r="N1618" s="89"/>
      <c r="O1618" s="92">
        <v>1.9279591E7</v>
      </c>
      <c r="P1618" s="92">
        <v>1.7167711E7</v>
      </c>
      <c r="Q1618" s="89" t="s">
        <v>822</v>
      </c>
      <c r="AF1618" s="1"/>
      <c r="AG1618" s="1"/>
    </row>
    <row r="1619" ht="15.75" customHeight="1">
      <c r="A1619" s="1"/>
      <c r="B1619" s="1"/>
      <c r="C1619" s="1"/>
      <c r="D1619" s="1"/>
      <c r="E1619" s="1"/>
      <c r="F1619" s="1"/>
      <c r="G1619" s="1"/>
      <c r="H1619" s="1"/>
      <c r="I1619" s="1"/>
      <c r="J1619" s="1"/>
      <c r="K1619" s="89" t="s">
        <v>2595</v>
      </c>
      <c r="L1619" s="89" t="str">
        <f>F49</f>
        <v>C1a2a1</v>
      </c>
      <c r="M1619" s="89" t="s">
        <v>2596</v>
      </c>
      <c r="N1619" s="89"/>
      <c r="O1619" s="92">
        <v>2.3809158E7</v>
      </c>
      <c r="P1619" s="92">
        <v>2.1647272E7</v>
      </c>
      <c r="Q1619" s="89" t="s">
        <v>917</v>
      </c>
      <c r="AF1619" s="1"/>
      <c r="AG1619" s="1"/>
    </row>
    <row r="1620" ht="15.75" customHeight="1">
      <c r="A1620" s="1"/>
      <c r="B1620" s="1"/>
      <c r="C1620" s="1"/>
      <c r="D1620" s="1"/>
      <c r="E1620" s="1"/>
      <c r="F1620" s="1"/>
      <c r="G1620" s="1"/>
      <c r="H1620" s="1"/>
      <c r="I1620" s="1"/>
      <c r="J1620" s="1"/>
      <c r="K1620" s="89" t="s">
        <v>2596</v>
      </c>
      <c r="L1620" s="89" t="str">
        <f>F49</f>
        <v>C1a2a1</v>
      </c>
      <c r="M1620" s="89" t="s">
        <v>2595</v>
      </c>
      <c r="N1620" s="89"/>
      <c r="O1620" s="92">
        <v>2.3809158E7</v>
      </c>
      <c r="P1620" s="92">
        <v>2.1647272E7</v>
      </c>
      <c r="Q1620" s="89" t="s">
        <v>917</v>
      </c>
      <c r="AF1620" s="1"/>
      <c r="AG1620" s="1"/>
    </row>
    <row r="1621" ht="15.75" customHeight="1">
      <c r="A1621" s="1"/>
      <c r="B1621" s="1"/>
      <c r="C1621" s="1"/>
      <c r="D1621" s="1"/>
      <c r="E1621" s="1"/>
      <c r="F1621" s="1"/>
      <c r="G1621" s="1"/>
      <c r="H1621" s="1"/>
      <c r="I1621" s="1"/>
      <c r="J1621" s="1"/>
      <c r="K1621" s="89" t="s">
        <v>2597</v>
      </c>
      <c r="L1621" s="89" t="str">
        <f>F49</f>
        <v>C1a2a1</v>
      </c>
      <c r="M1621" s="89" t="s">
        <v>2598</v>
      </c>
      <c r="N1621" s="89" t="s">
        <v>2599</v>
      </c>
      <c r="O1621" s="92">
        <v>8846028.0</v>
      </c>
      <c r="P1621" s="92">
        <v>8977987.0</v>
      </c>
      <c r="Q1621" s="89" t="s">
        <v>822</v>
      </c>
      <c r="AF1621" s="1"/>
      <c r="AG1621" s="1"/>
    </row>
    <row r="1622" ht="15.75" customHeight="1">
      <c r="A1622" s="1"/>
      <c r="B1622" s="1"/>
      <c r="C1622" s="1"/>
      <c r="D1622" s="1"/>
      <c r="E1622" s="1"/>
      <c r="F1622" s="1"/>
      <c r="G1622" s="1"/>
      <c r="H1622" s="1"/>
      <c r="I1622" s="1"/>
      <c r="J1622" s="1"/>
      <c r="K1622" s="89" t="s">
        <v>2598</v>
      </c>
      <c r="L1622" s="89" t="str">
        <f>F49</f>
        <v>C1a2a1</v>
      </c>
      <c r="M1622" s="89" t="s">
        <v>2597</v>
      </c>
      <c r="N1622" s="89" t="s">
        <v>2599</v>
      </c>
      <c r="O1622" s="92">
        <v>8846028.0</v>
      </c>
      <c r="P1622" s="92">
        <v>8977987.0</v>
      </c>
      <c r="Q1622" s="89" t="s">
        <v>822</v>
      </c>
      <c r="AF1622" s="1"/>
      <c r="AG1622" s="1"/>
    </row>
    <row r="1623" ht="15.75" customHeight="1">
      <c r="A1623" s="1"/>
      <c r="B1623" s="1"/>
      <c r="C1623" s="1"/>
      <c r="D1623" s="1"/>
      <c r="E1623" s="1"/>
      <c r="F1623" s="1"/>
      <c r="G1623" s="1"/>
      <c r="H1623" s="1"/>
      <c r="I1623" s="1"/>
      <c r="J1623" s="1"/>
      <c r="K1623" s="89" t="s">
        <v>2600</v>
      </c>
      <c r="L1623" s="89" t="str">
        <f>F49</f>
        <v>C1a2a1</v>
      </c>
      <c r="M1623" s="89" t="s">
        <v>2601</v>
      </c>
      <c r="N1623" s="89"/>
      <c r="O1623" s="92">
        <v>1.4288198E7</v>
      </c>
      <c r="P1623" s="92">
        <v>1.2167492E7</v>
      </c>
      <c r="Q1623" s="89" t="s">
        <v>879</v>
      </c>
      <c r="AF1623" s="1"/>
      <c r="AG1623" s="1"/>
    </row>
    <row r="1624" ht="15.75" customHeight="1">
      <c r="A1624" s="1"/>
      <c r="B1624" s="1"/>
      <c r="C1624" s="1"/>
      <c r="D1624" s="1"/>
      <c r="E1624" s="1"/>
      <c r="F1624" s="1"/>
      <c r="G1624" s="1"/>
      <c r="H1624" s="1"/>
      <c r="I1624" s="1"/>
      <c r="J1624" s="1"/>
      <c r="K1624" s="89" t="s">
        <v>2601</v>
      </c>
      <c r="L1624" s="89" t="str">
        <f>F49</f>
        <v>C1a2a1</v>
      </c>
      <c r="M1624" s="89" t="s">
        <v>2600</v>
      </c>
      <c r="N1624" s="89"/>
      <c r="O1624" s="92">
        <v>1.4288198E7</v>
      </c>
      <c r="P1624" s="92">
        <v>1.2167492E7</v>
      </c>
      <c r="Q1624" s="89" t="s">
        <v>879</v>
      </c>
      <c r="AF1624" s="1"/>
      <c r="AG1624" s="1"/>
    </row>
    <row r="1625" ht="15.75" customHeight="1">
      <c r="A1625" s="1"/>
      <c r="B1625" s="1"/>
      <c r="C1625" s="1"/>
      <c r="D1625" s="1"/>
      <c r="E1625" s="1"/>
      <c r="F1625" s="1"/>
      <c r="G1625" s="1"/>
      <c r="H1625" s="1"/>
      <c r="I1625" s="1"/>
      <c r="J1625" s="1"/>
      <c r="K1625" s="89" t="s">
        <v>2602</v>
      </c>
      <c r="L1625" s="89" t="str">
        <f>F49</f>
        <v>C1a2a1</v>
      </c>
      <c r="M1625" s="89" t="s">
        <v>2603</v>
      </c>
      <c r="N1625" s="89"/>
      <c r="O1625" s="92">
        <v>1.4816608E7</v>
      </c>
      <c r="P1625" s="92">
        <v>1.2704679E7</v>
      </c>
      <c r="Q1625" s="89" t="s">
        <v>822</v>
      </c>
      <c r="AF1625" s="1"/>
      <c r="AG1625" s="1"/>
    </row>
    <row r="1626" ht="15.75" customHeight="1">
      <c r="A1626" s="1"/>
      <c r="B1626" s="1"/>
      <c r="C1626" s="1"/>
      <c r="D1626" s="1"/>
      <c r="E1626" s="1"/>
      <c r="F1626" s="1"/>
      <c r="G1626" s="1"/>
      <c r="H1626" s="1"/>
      <c r="I1626" s="1"/>
      <c r="J1626" s="1"/>
      <c r="K1626" s="89" t="s">
        <v>2603</v>
      </c>
      <c r="L1626" s="89" t="str">
        <f>F49</f>
        <v>C1a2a1</v>
      </c>
      <c r="M1626" s="89" t="s">
        <v>2602</v>
      </c>
      <c r="N1626" s="89"/>
      <c r="O1626" s="92">
        <v>1.4816608E7</v>
      </c>
      <c r="P1626" s="92">
        <v>1.2704679E7</v>
      </c>
      <c r="Q1626" s="89" t="s">
        <v>822</v>
      </c>
      <c r="AF1626" s="1"/>
      <c r="AG1626" s="1"/>
    </row>
    <row r="1627" ht="15.75" customHeight="1">
      <c r="A1627" s="1"/>
      <c r="B1627" s="1"/>
      <c r="C1627" s="1"/>
      <c r="D1627" s="1"/>
      <c r="E1627" s="1"/>
      <c r="F1627" s="1"/>
      <c r="G1627" s="1"/>
      <c r="H1627" s="1"/>
      <c r="I1627" s="1"/>
      <c r="J1627" s="1"/>
      <c r="K1627" s="89" t="s">
        <v>2604</v>
      </c>
      <c r="L1627" s="89" t="str">
        <f>F49</f>
        <v>C1a2a1</v>
      </c>
      <c r="M1627" s="89" t="s">
        <v>2605</v>
      </c>
      <c r="N1627" s="89" t="s">
        <v>2606</v>
      </c>
      <c r="O1627" s="92">
        <v>1.635905E7</v>
      </c>
      <c r="P1627" s="92">
        <v>1.424717E7</v>
      </c>
      <c r="Q1627" s="89" t="s">
        <v>838</v>
      </c>
      <c r="AF1627" s="1"/>
      <c r="AG1627" s="1"/>
    </row>
    <row r="1628" ht="15.75" customHeight="1">
      <c r="A1628" s="1"/>
      <c r="B1628" s="1"/>
      <c r="C1628" s="1"/>
      <c r="D1628" s="1"/>
      <c r="E1628" s="1"/>
      <c r="F1628" s="1"/>
      <c r="G1628" s="1"/>
      <c r="H1628" s="1"/>
      <c r="I1628" s="1"/>
      <c r="J1628" s="1"/>
      <c r="K1628" s="89" t="s">
        <v>2605</v>
      </c>
      <c r="L1628" s="89" t="str">
        <f>F49</f>
        <v>C1a2a1</v>
      </c>
      <c r="M1628" s="89" t="s">
        <v>2604</v>
      </c>
      <c r="N1628" s="89" t="s">
        <v>2606</v>
      </c>
      <c r="O1628" s="92">
        <v>1.635905E7</v>
      </c>
      <c r="P1628" s="92">
        <v>1.424717E7</v>
      </c>
      <c r="Q1628" s="89" t="s">
        <v>838</v>
      </c>
      <c r="AF1628" s="1"/>
      <c r="AG1628" s="1"/>
    </row>
    <row r="1629" ht="15.75" customHeight="1">
      <c r="A1629" s="1"/>
      <c r="B1629" s="1"/>
      <c r="C1629" s="1"/>
      <c r="D1629" s="1"/>
      <c r="E1629" s="1"/>
      <c r="F1629" s="1"/>
      <c r="G1629" s="1"/>
      <c r="H1629" s="1"/>
      <c r="I1629" s="1"/>
      <c r="J1629" s="1"/>
      <c r="K1629" s="89" t="s">
        <v>2607</v>
      </c>
      <c r="L1629" s="89" t="str">
        <f>F49</f>
        <v>C1a2a1</v>
      </c>
      <c r="M1629" s="89" t="s">
        <v>2608</v>
      </c>
      <c r="N1629" s="89" t="s">
        <v>2609</v>
      </c>
      <c r="O1629" s="92">
        <v>1.6578006E7</v>
      </c>
      <c r="P1629" s="92">
        <v>1.4466126E7</v>
      </c>
      <c r="Q1629" s="89" t="s">
        <v>912</v>
      </c>
      <c r="AF1629" s="1"/>
      <c r="AG1629" s="1"/>
    </row>
    <row r="1630" ht="15.75" customHeight="1">
      <c r="A1630" s="1"/>
      <c r="B1630" s="1"/>
      <c r="C1630" s="1"/>
      <c r="D1630" s="1"/>
      <c r="E1630" s="1"/>
      <c r="F1630" s="1"/>
      <c r="G1630" s="1"/>
      <c r="H1630" s="1"/>
      <c r="I1630" s="1"/>
      <c r="J1630" s="1"/>
      <c r="K1630" s="89" t="s">
        <v>2608</v>
      </c>
      <c r="L1630" s="89" t="str">
        <f>F49</f>
        <v>C1a2a1</v>
      </c>
      <c r="M1630" s="89" t="s">
        <v>2607</v>
      </c>
      <c r="N1630" s="89" t="s">
        <v>2609</v>
      </c>
      <c r="O1630" s="92">
        <v>1.6578006E7</v>
      </c>
      <c r="P1630" s="92">
        <v>1.4466126E7</v>
      </c>
      <c r="Q1630" s="89" t="s">
        <v>912</v>
      </c>
      <c r="AF1630" s="1"/>
      <c r="AG1630" s="1"/>
    </row>
    <row r="1631" ht="15.75" customHeight="1">
      <c r="A1631" s="1"/>
      <c r="B1631" s="1"/>
      <c r="C1631" s="1"/>
      <c r="D1631" s="1"/>
      <c r="E1631" s="1"/>
      <c r="F1631" s="1"/>
      <c r="G1631" s="1"/>
      <c r="H1631" s="1"/>
      <c r="I1631" s="1"/>
      <c r="J1631" s="1"/>
      <c r="K1631" s="89" t="s">
        <v>2610</v>
      </c>
      <c r="L1631" s="89" t="str">
        <f>F49</f>
        <v>C1a2a1</v>
      </c>
      <c r="M1631" s="89" t="s">
        <v>2611</v>
      </c>
      <c r="N1631" s="89" t="s">
        <v>2612</v>
      </c>
      <c r="O1631" s="92">
        <v>1.6579091E7</v>
      </c>
      <c r="P1631" s="92">
        <v>1.4467211E7</v>
      </c>
      <c r="Q1631" s="89" t="s">
        <v>802</v>
      </c>
      <c r="AF1631" s="1"/>
      <c r="AG1631" s="1"/>
    </row>
    <row r="1632" ht="15.75" customHeight="1">
      <c r="A1632" s="1"/>
      <c r="B1632" s="1"/>
      <c r="C1632" s="1"/>
      <c r="D1632" s="1"/>
      <c r="E1632" s="1"/>
      <c r="F1632" s="1"/>
      <c r="G1632" s="1"/>
      <c r="H1632" s="1"/>
      <c r="I1632" s="1"/>
      <c r="J1632" s="1"/>
      <c r="K1632" s="89" t="s">
        <v>2611</v>
      </c>
      <c r="L1632" s="89" t="str">
        <f>F49</f>
        <v>C1a2a1</v>
      </c>
      <c r="M1632" s="89" t="s">
        <v>2610</v>
      </c>
      <c r="N1632" s="89" t="s">
        <v>2612</v>
      </c>
      <c r="O1632" s="92">
        <v>1.6579091E7</v>
      </c>
      <c r="P1632" s="92">
        <v>1.4467211E7</v>
      </c>
      <c r="Q1632" s="89" t="s">
        <v>802</v>
      </c>
      <c r="AF1632" s="1"/>
      <c r="AG1632" s="1"/>
    </row>
    <row r="1633" ht="15.75" customHeight="1">
      <c r="A1633" s="1"/>
      <c r="B1633" s="1"/>
      <c r="C1633" s="1"/>
      <c r="D1633" s="1"/>
      <c r="E1633" s="1"/>
      <c r="F1633" s="1"/>
      <c r="G1633" s="1"/>
      <c r="H1633" s="1"/>
      <c r="I1633" s="1"/>
      <c r="J1633" s="1"/>
      <c r="K1633" s="89" t="s">
        <v>2613</v>
      </c>
      <c r="L1633" s="89" t="str">
        <f>F49</f>
        <v>C1a2a1</v>
      </c>
      <c r="M1633" s="89" t="s">
        <v>2614</v>
      </c>
      <c r="N1633" s="89" t="s">
        <v>2615</v>
      </c>
      <c r="O1633" s="92">
        <v>1.6659591E7</v>
      </c>
      <c r="P1633" s="92">
        <v>1.4547711E7</v>
      </c>
      <c r="Q1633" s="89" t="s">
        <v>802</v>
      </c>
      <c r="AF1633" s="1"/>
      <c r="AG1633" s="1"/>
    </row>
    <row r="1634" ht="15.75" customHeight="1">
      <c r="A1634" s="1"/>
      <c r="B1634" s="1"/>
      <c r="C1634" s="1"/>
      <c r="D1634" s="1"/>
      <c r="E1634" s="1"/>
      <c r="F1634" s="1"/>
      <c r="G1634" s="1"/>
      <c r="H1634" s="1"/>
      <c r="I1634" s="1"/>
      <c r="J1634" s="1"/>
      <c r="K1634" s="89" t="s">
        <v>2614</v>
      </c>
      <c r="L1634" s="89" t="str">
        <f>F49</f>
        <v>C1a2a1</v>
      </c>
      <c r="M1634" s="89" t="s">
        <v>2613</v>
      </c>
      <c r="N1634" s="89" t="s">
        <v>2615</v>
      </c>
      <c r="O1634" s="92">
        <v>1.6659591E7</v>
      </c>
      <c r="P1634" s="92">
        <v>1.4547711E7</v>
      </c>
      <c r="Q1634" s="89" t="s">
        <v>802</v>
      </c>
      <c r="AF1634" s="1"/>
      <c r="AG1634" s="1"/>
    </row>
    <row r="1635" ht="15.75" customHeight="1">
      <c r="A1635" s="1"/>
      <c r="B1635" s="1"/>
      <c r="C1635" s="1"/>
      <c r="D1635" s="1"/>
      <c r="E1635" s="1"/>
      <c r="F1635" s="1"/>
      <c r="G1635" s="1"/>
      <c r="H1635" s="1"/>
      <c r="I1635" s="1"/>
      <c r="J1635" s="1"/>
      <c r="K1635" s="89" t="s">
        <v>2616</v>
      </c>
      <c r="L1635" s="89" t="str">
        <f>F49</f>
        <v>C1a2a1</v>
      </c>
      <c r="M1635" s="89" t="s">
        <v>2617</v>
      </c>
      <c r="N1635" s="89" t="s">
        <v>2618</v>
      </c>
      <c r="O1635" s="92">
        <v>1.6960899E7</v>
      </c>
      <c r="P1635" s="92">
        <v>1.4849019E7</v>
      </c>
      <c r="Q1635" s="89" t="s">
        <v>822</v>
      </c>
      <c r="AF1635" s="1"/>
      <c r="AG1635" s="1"/>
    </row>
    <row r="1636" ht="15.75" customHeight="1">
      <c r="A1636" s="1"/>
      <c r="B1636" s="1"/>
      <c r="C1636" s="1"/>
      <c r="D1636" s="1"/>
      <c r="E1636" s="1"/>
      <c r="F1636" s="1"/>
      <c r="G1636" s="1"/>
      <c r="H1636" s="1"/>
      <c r="I1636" s="1"/>
      <c r="J1636" s="1"/>
      <c r="K1636" s="89" t="s">
        <v>2617</v>
      </c>
      <c r="L1636" s="89" t="str">
        <f>F49</f>
        <v>C1a2a1</v>
      </c>
      <c r="M1636" s="89" t="s">
        <v>2616</v>
      </c>
      <c r="N1636" s="89" t="s">
        <v>2618</v>
      </c>
      <c r="O1636" s="92">
        <v>1.6960899E7</v>
      </c>
      <c r="P1636" s="92">
        <v>1.4849019E7</v>
      </c>
      <c r="Q1636" s="89" t="s">
        <v>822</v>
      </c>
      <c r="AF1636" s="1"/>
      <c r="AG1636" s="1"/>
    </row>
    <row r="1637" ht="15.75" customHeight="1">
      <c r="A1637" s="1"/>
      <c r="B1637" s="1"/>
      <c r="C1637" s="1"/>
      <c r="D1637" s="1"/>
      <c r="E1637" s="1"/>
      <c r="F1637" s="1"/>
      <c r="G1637" s="1"/>
      <c r="H1637" s="1"/>
      <c r="I1637" s="1"/>
      <c r="J1637" s="1"/>
      <c r="K1637" s="89" t="s">
        <v>2619</v>
      </c>
      <c r="L1637" s="89" t="str">
        <f>F49</f>
        <v>C1a2a1</v>
      </c>
      <c r="M1637" s="89" t="s">
        <v>2620</v>
      </c>
      <c r="N1637" s="89" t="s">
        <v>2621</v>
      </c>
      <c r="O1637" s="92">
        <v>1.713074E7</v>
      </c>
      <c r="P1637" s="92">
        <v>1.501886E7</v>
      </c>
      <c r="Q1637" s="89" t="s">
        <v>831</v>
      </c>
      <c r="AF1637" s="1"/>
      <c r="AG1637" s="1"/>
    </row>
    <row r="1638" ht="15.75" customHeight="1">
      <c r="A1638" s="1"/>
      <c r="B1638" s="1"/>
      <c r="C1638" s="1"/>
      <c r="D1638" s="1"/>
      <c r="E1638" s="1"/>
      <c r="F1638" s="1"/>
      <c r="G1638" s="1"/>
      <c r="H1638" s="1"/>
      <c r="I1638" s="1"/>
      <c r="J1638" s="1"/>
      <c r="K1638" s="89" t="s">
        <v>2620</v>
      </c>
      <c r="L1638" s="89" t="str">
        <f>F49</f>
        <v>C1a2a1</v>
      </c>
      <c r="M1638" s="89" t="s">
        <v>2619</v>
      </c>
      <c r="N1638" s="89" t="s">
        <v>2621</v>
      </c>
      <c r="O1638" s="92">
        <v>1.713074E7</v>
      </c>
      <c r="P1638" s="92">
        <v>1.501886E7</v>
      </c>
      <c r="Q1638" s="89" t="s">
        <v>831</v>
      </c>
      <c r="AF1638" s="1"/>
      <c r="AG1638" s="1"/>
    </row>
    <row r="1639" ht="15.75" customHeight="1">
      <c r="A1639" s="1"/>
      <c r="B1639" s="1"/>
      <c r="C1639" s="1"/>
      <c r="D1639" s="1"/>
      <c r="E1639" s="1"/>
      <c r="F1639" s="1"/>
      <c r="G1639" s="1"/>
      <c r="H1639" s="1"/>
      <c r="I1639" s="1"/>
      <c r="J1639" s="1"/>
      <c r="K1639" s="89" t="s">
        <v>2622</v>
      </c>
      <c r="L1639" s="89" t="str">
        <f>F49</f>
        <v>C1a2a1</v>
      </c>
      <c r="M1639" s="89" t="s">
        <v>2623</v>
      </c>
      <c r="N1639" s="89"/>
      <c r="O1639" s="92">
        <v>1.7414186E7</v>
      </c>
      <c r="P1639" s="92">
        <v>1.5302306E7</v>
      </c>
      <c r="Q1639" s="89" t="s">
        <v>912</v>
      </c>
      <c r="AF1639" s="1"/>
      <c r="AG1639" s="1"/>
    </row>
    <row r="1640" ht="15.75" customHeight="1">
      <c r="A1640" s="1"/>
      <c r="B1640" s="1"/>
      <c r="C1640" s="1"/>
      <c r="D1640" s="1"/>
      <c r="E1640" s="1"/>
      <c r="F1640" s="1"/>
      <c r="G1640" s="1"/>
      <c r="H1640" s="1"/>
      <c r="I1640" s="1"/>
      <c r="J1640" s="1"/>
      <c r="K1640" s="89" t="s">
        <v>2623</v>
      </c>
      <c r="L1640" s="89" t="str">
        <f>F49</f>
        <v>C1a2a1</v>
      </c>
      <c r="M1640" s="89" t="s">
        <v>2622</v>
      </c>
      <c r="N1640" s="89"/>
      <c r="O1640" s="92">
        <v>1.7414186E7</v>
      </c>
      <c r="P1640" s="92">
        <v>1.5302306E7</v>
      </c>
      <c r="Q1640" s="89" t="s">
        <v>912</v>
      </c>
      <c r="AF1640" s="1"/>
      <c r="AG1640" s="1"/>
    </row>
    <row r="1641" ht="15.75" customHeight="1">
      <c r="A1641" s="1"/>
      <c r="B1641" s="1"/>
      <c r="C1641" s="1"/>
      <c r="D1641" s="1"/>
      <c r="E1641" s="1"/>
      <c r="F1641" s="1"/>
      <c r="G1641" s="1"/>
      <c r="H1641" s="1"/>
      <c r="I1641" s="1"/>
      <c r="J1641" s="1"/>
      <c r="K1641" s="89" t="s">
        <v>2624</v>
      </c>
      <c r="L1641" s="89" t="str">
        <f>F49</f>
        <v>C1a2a1</v>
      </c>
      <c r="M1641" s="89" t="s">
        <v>2625</v>
      </c>
      <c r="N1641" s="89" t="s">
        <v>2626</v>
      </c>
      <c r="O1641" s="92">
        <v>1.7656835E7</v>
      </c>
      <c r="P1641" s="92">
        <v>1.5544955E7</v>
      </c>
      <c r="Q1641" s="89" t="s">
        <v>912</v>
      </c>
      <c r="AF1641" s="1"/>
      <c r="AG1641" s="1"/>
    </row>
    <row r="1642" ht="15.75" customHeight="1">
      <c r="A1642" s="1"/>
      <c r="B1642" s="1"/>
      <c r="C1642" s="1"/>
      <c r="D1642" s="1"/>
      <c r="E1642" s="1"/>
      <c r="F1642" s="1"/>
      <c r="G1642" s="1"/>
      <c r="H1642" s="1"/>
      <c r="I1642" s="1"/>
      <c r="J1642" s="1"/>
      <c r="K1642" s="89" t="s">
        <v>2625</v>
      </c>
      <c r="L1642" s="89" t="str">
        <f>F49</f>
        <v>C1a2a1</v>
      </c>
      <c r="M1642" s="89" t="s">
        <v>2624</v>
      </c>
      <c r="N1642" s="89" t="s">
        <v>2626</v>
      </c>
      <c r="O1642" s="92">
        <v>1.7656835E7</v>
      </c>
      <c r="P1642" s="92">
        <v>1.5544955E7</v>
      </c>
      <c r="Q1642" s="89" t="s">
        <v>912</v>
      </c>
      <c r="AF1642" s="1"/>
      <c r="AG1642" s="1"/>
    </row>
    <row r="1643" ht="15.75" customHeight="1">
      <c r="A1643" s="1"/>
      <c r="B1643" s="1"/>
      <c r="C1643" s="1"/>
      <c r="D1643" s="1"/>
      <c r="E1643" s="1"/>
      <c r="F1643" s="1"/>
      <c r="G1643" s="1"/>
      <c r="H1643" s="1"/>
      <c r="I1643" s="1"/>
      <c r="J1643" s="1"/>
      <c r="K1643" s="89" t="s">
        <v>2627</v>
      </c>
      <c r="L1643" s="89" t="str">
        <f>F49</f>
        <v>C1a2a1</v>
      </c>
      <c r="M1643" s="89" t="s">
        <v>2628</v>
      </c>
      <c r="N1643" s="89"/>
      <c r="O1643" s="92">
        <v>1.814721E7</v>
      </c>
      <c r="P1643" s="92">
        <v>1.603533E7</v>
      </c>
      <c r="Q1643" s="89" t="s">
        <v>886</v>
      </c>
      <c r="AF1643" s="1"/>
      <c r="AG1643" s="1"/>
    </row>
    <row r="1644" ht="15.75" customHeight="1">
      <c r="A1644" s="1"/>
      <c r="B1644" s="1"/>
      <c r="C1644" s="1"/>
      <c r="D1644" s="1"/>
      <c r="E1644" s="1"/>
      <c r="F1644" s="1"/>
      <c r="G1644" s="1"/>
      <c r="H1644" s="1"/>
      <c r="I1644" s="1"/>
      <c r="J1644" s="1"/>
      <c r="K1644" s="89" t="s">
        <v>2628</v>
      </c>
      <c r="L1644" s="89" t="str">
        <f>F49</f>
        <v>C1a2a1</v>
      </c>
      <c r="M1644" s="89" t="s">
        <v>2627</v>
      </c>
      <c r="N1644" s="89"/>
      <c r="O1644" s="92">
        <v>1.814721E7</v>
      </c>
      <c r="P1644" s="92">
        <v>1.603533E7</v>
      </c>
      <c r="Q1644" s="89" t="s">
        <v>886</v>
      </c>
      <c r="AF1644" s="1"/>
      <c r="AG1644" s="1"/>
    </row>
    <row r="1645" ht="15.75" customHeight="1">
      <c r="A1645" s="1"/>
      <c r="B1645" s="1"/>
      <c r="C1645" s="1"/>
      <c r="D1645" s="1"/>
      <c r="E1645" s="1"/>
      <c r="F1645" s="1"/>
      <c r="G1645" s="1"/>
      <c r="H1645" s="1"/>
      <c r="I1645" s="1"/>
      <c r="J1645" s="1"/>
      <c r="K1645" s="89" t="s">
        <v>2629</v>
      </c>
      <c r="L1645" s="89" t="str">
        <f>F49</f>
        <v>C1a2a1</v>
      </c>
      <c r="M1645" s="89" t="s">
        <v>2630</v>
      </c>
      <c r="N1645" s="89"/>
      <c r="O1645" s="92">
        <v>1.8599606E7</v>
      </c>
      <c r="P1645" s="92">
        <v>1.6487726E7</v>
      </c>
      <c r="Q1645" s="89" t="s">
        <v>802</v>
      </c>
      <c r="AF1645" s="1"/>
      <c r="AG1645" s="1"/>
    </row>
    <row r="1646" ht="15.75" customHeight="1">
      <c r="A1646" s="1"/>
      <c r="B1646" s="1"/>
      <c r="C1646" s="1"/>
      <c r="D1646" s="1"/>
      <c r="E1646" s="1"/>
      <c r="F1646" s="1"/>
      <c r="G1646" s="1"/>
      <c r="H1646" s="1"/>
      <c r="I1646" s="1"/>
      <c r="J1646" s="1"/>
      <c r="K1646" s="89" t="s">
        <v>2630</v>
      </c>
      <c r="L1646" s="89" t="str">
        <f>F49</f>
        <v>C1a2a1</v>
      </c>
      <c r="M1646" s="89" t="s">
        <v>2629</v>
      </c>
      <c r="N1646" s="89"/>
      <c r="O1646" s="92">
        <v>1.8599606E7</v>
      </c>
      <c r="P1646" s="92">
        <v>1.6487726E7</v>
      </c>
      <c r="Q1646" s="89" t="s">
        <v>802</v>
      </c>
      <c r="AF1646" s="1"/>
      <c r="AG1646" s="1"/>
    </row>
    <row r="1647" ht="15.75" customHeight="1">
      <c r="A1647" s="1"/>
      <c r="B1647" s="1"/>
      <c r="C1647" s="1"/>
      <c r="D1647" s="1"/>
      <c r="E1647" s="1"/>
      <c r="F1647" s="1"/>
      <c r="G1647" s="1"/>
      <c r="H1647" s="1"/>
      <c r="I1647" s="1"/>
      <c r="J1647" s="1"/>
      <c r="K1647" s="89" t="s">
        <v>2631</v>
      </c>
      <c r="L1647" s="89" t="str">
        <f>F49</f>
        <v>C1a2a1</v>
      </c>
      <c r="M1647" s="89" t="s">
        <v>2632</v>
      </c>
      <c r="N1647" s="89"/>
      <c r="O1647" s="92">
        <v>1.9077213E7</v>
      </c>
      <c r="P1647" s="92">
        <v>1.6965333E7</v>
      </c>
      <c r="Q1647" s="89" t="s">
        <v>886</v>
      </c>
      <c r="AF1647" s="1"/>
      <c r="AG1647" s="1"/>
    </row>
    <row r="1648" ht="15.75" customHeight="1">
      <c r="A1648" s="1"/>
      <c r="B1648" s="1"/>
      <c r="C1648" s="1"/>
      <c r="D1648" s="1"/>
      <c r="E1648" s="1"/>
      <c r="F1648" s="1"/>
      <c r="G1648" s="1"/>
      <c r="H1648" s="1"/>
      <c r="I1648" s="1"/>
      <c r="J1648" s="1"/>
      <c r="K1648" s="89" t="s">
        <v>2632</v>
      </c>
      <c r="L1648" s="89" t="str">
        <f>F49</f>
        <v>C1a2a1</v>
      </c>
      <c r="M1648" s="89" t="s">
        <v>2631</v>
      </c>
      <c r="N1648" s="89"/>
      <c r="O1648" s="92">
        <v>1.9077213E7</v>
      </c>
      <c r="P1648" s="92">
        <v>1.6965333E7</v>
      </c>
      <c r="Q1648" s="89" t="s">
        <v>886</v>
      </c>
      <c r="AF1648" s="1"/>
      <c r="AG1648" s="1"/>
    </row>
    <row r="1649" ht="15.75" customHeight="1">
      <c r="A1649" s="1"/>
      <c r="B1649" s="1"/>
      <c r="C1649" s="1"/>
      <c r="D1649" s="1"/>
      <c r="E1649" s="1"/>
      <c r="F1649" s="1"/>
      <c r="G1649" s="1"/>
      <c r="H1649" s="1"/>
      <c r="I1649" s="1"/>
      <c r="J1649" s="1"/>
      <c r="K1649" s="89" t="s">
        <v>2633</v>
      </c>
      <c r="L1649" s="89" t="str">
        <f>F49</f>
        <v>C1a2a1</v>
      </c>
      <c r="M1649" s="89" t="s">
        <v>2634</v>
      </c>
      <c r="N1649" s="89"/>
      <c r="O1649" s="92">
        <v>2.1739906E7</v>
      </c>
      <c r="P1649" s="92">
        <v>1.957802E7</v>
      </c>
      <c r="Q1649" s="89" t="s">
        <v>802</v>
      </c>
      <c r="AF1649" s="1"/>
      <c r="AG1649" s="1"/>
    </row>
    <row r="1650" ht="15.75" customHeight="1">
      <c r="A1650" s="1"/>
      <c r="B1650" s="1"/>
      <c r="C1650" s="1"/>
      <c r="D1650" s="1"/>
      <c r="E1650" s="1"/>
      <c r="F1650" s="1"/>
      <c r="G1650" s="1"/>
      <c r="H1650" s="1"/>
      <c r="I1650" s="1"/>
      <c r="J1650" s="1"/>
      <c r="K1650" s="89" t="s">
        <v>2634</v>
      </c>
      <c r="L1650" s="89" t="str">
        <f>F49</f>
        <v>C1a2a1</v>
      </c>
      <c r="M1650" s="89" t="s">
        <v>2633</v>
      </c>
      <c r="N1650" s="89"/>
      <c r="O1650" s="92">
        <v>2.1739906E7</v>
      </c>
      <c r="P1650" s="92">
        <v>1.957802E7</v>
      </c>
      <c r="Q1650" s="89" t="s">
        <v>802</v>
      </c>
      <c r="AF1650" s="1"/>
      <c r="AG1650" s="1"/>
    </row>
    <row r="1651" ht="15.75" customHeight="1">
      <c r="A1651" s="1"/>
      <c r="B1651" s="1"/>
      <c r="C1651" s="1"/>
      <c r="D1651" s="1"/>
      <c r="E1651" s="1"/>
      <c r="F1651" s="1"/>
      <c r="G1651" s="1"/>
      <c r="H1651" s="1"/>
      <c r="I1651" s="1"/>
      <c r="J1651" s="1"/>
      <c r="K1651" s="89" t="s">
        <v>2635</v>
      </c>
      <c r="L1651" s="89" t="str">
        <f>F49</f>
        <v>C1a2a1</v>
      </c>
      <c r="M1651" s="89" t="s">
        <v>2636</v>
      </c>
      <c r="N1651" s="89" t="s">
        <v>2637</v>
      </c>
      <c r="O1651" s="92">
        <v>1.5103963E7</v>
      </c>
      <c r="P1651" s="92">
        <v>1.2992051E7</v>
      </c>
      <c r="Q1651" s="89" t="s">
        <v>810</v>
      </c>
      <c r="AF1651" s="1"/>
      <c r="AG1651" s="1"/>
    </row>
    <row r="1652" ht="15.75" customHeight="1">
      <c r="A1652" s="1"/>
      <c r="B1652" s="1"/>
      <c r="C1652" s="1"/>
      <c r="D1652" s="1"/>
      <c r="E1652" s="1"/>
      <c r="F1652" s="1"/>
      <c r="G1652" s="1"/>
      <c r="H1652" s="1"/>
      <c r="I1652" s="1"/>
      <c r="J1652" s="1"/>
      <c r="K1652" s="89" t="s">
        <v>2636</v>
      </c>
      <c r="L1652" s="89" t="str">
        <f>F49</f>
        <v>C1a2a1</v>
      </c>
      <c r="M1652" s="89" t="s">
        <v>2635</v>
      </c>
      <c r="N1652" s="89" t="s">
        <v>2637</v>
      </c>
      <c r="O1652" s="92">
        <v>1.5103963E7</v>
      </c>
      <c r="P1652" s="92">
        <v>1.2992051E7</v>
      </c>
      <c r="Q1652" s="89" t="s">
        <v>810</v>
      </c>
      <c r="AF1652" s="1"/>
      <c r="AG1652" s="1"/>
    </row>
    <row r="1653" ht="15.75" customHeight="1">
      <c r="A1653" s="1"/>
      <c r="B1653" s="1"/>
      <c r="C1653" s="1"/>
      <c r="D1653" s="1"/>
      <c r="E1653" s="1"/>
      <c r="F1653" s="1"/>
      <c r="G1653" s="1"/>
      <c r="H1653" s="1"/>
      <c r="I1653" s="1"/>
      <c r="J1653" s="1"/>
      <c r="K1653" s="89" t="s">
        <v>2638</v>
      </c>
      <c r="L1653" s="89" t="str">
        <f>F49</f>
        <v>C1a2a1</v>
      </c>
      <c r="M1653" s="89" t="s">
        <v>2639</v>
      </c>
      <c r="N1653" s="89" t="s">
        <v>2640</v>
      </c>
      <c r="O1653" s="92">
        <v>1.6870467E7</v>
      </c>
      <c r="P1653" s="92">
        <v>1.4758587E7</v>
      </c>
      <c r="Q1653" s="89" t="s">
        <v>810</v>
      </c>
      <c r="AF1653" s="1"/>
      <c r="AG1653" s="1"/>
    </row>
    <row r="1654" ht="15.75" customHeight="1">
      <c r="A1654" s="1"/>
      <c r="B1654" s="1"/>
      <c r="C1654" s="1"/>
      <c r="D1654" s="1"/>
      <c r="E1654" s="1"/>
      <c r="F1654" s="1"/>
      <c r="G1654" s="1"/>
      <c r="H1654" s="1"/>
      <c r="I1654" s="1"/>
      <c r="J1654" s="1"/>
      <c r="K1654" s="89" t="s">
        <v>2639</v>
      </c>
      <c r="L1654" s="89" t="str">
        <f>F49</f>
        <v>C1a2a1</v>
      </c>
      <c r="M1654" s="89" t="s">
        <v>2638</v>
      </c>
      <c r="N1654" s="89" t="s">
        <v>2640</v>
      </c>
      <c r="O1654" s="92">
        <v>1.6870467E7</v>
      </c>
      <c r="P1654" s="92">
        <v>1.4758587E7</v>
      </c>
      <c r="Q1654" s="89" t="s">
        <v>810</v>
      </c>
      <c r="AF1654" s="1"/>
      <c r="AG1654" s="1"/>
    </row>
    <row r="1655" ht="15.75" customHeight="1">
      <c r="A1655" s="1"/>
      <c r="B1655" s="1"/>
      <c r="C1655" s="1"/>
      <c r="D1655" s="1"/>
      <c r="E1655" s="1"/>
      <c r="F1655" s="1"/>
      <c r="G1655" s="1"/>
      <c r="H1655" s="1"/>
      <c r="I1655" s="1"/>
      <c r="J1655" s="1"/>
      <c r="K1655" s="89" t="s">
        <v>2641</v>
      </c>
      <c r="L1655" s="89" t="str">
        <f>F49</f>
        <v>C1a2a1</v>
      </c>
      <c r="M1655" s="89"/>
      <c r="N1655" s="89"/>
      <c r="O1655" s="92">
        <v>1.3671126E7</v>
      </c>
      <c r="P1655" s="92">
        <v>1.151545E7</v>
      </c>
      <c r="Q1655" s="89" t="s">
        <v>810</v>
      </c>
      <c r="AF1655" s="1"/>
      <c r="AG1655" s="1"/>
    </row>
    <row r="1656" ht="15.75" customHeight="1">
      <c r="A1656" s="1"/>
      <c r="B1656" s="1"/>
      <c r="C1656" s="1"/>
      <c r="D1656" s="1"/>
      <c r="E1656" s="1"/>
      <c r="F1656" s="1"/>
      <c r="G1656" s="1"/>
      <c r="H1656" s="1"/>
      <c r="I1656" s="1"/>
      <c r="J1656" s="1"/>
      <c r="K1656" s="89" t="s">
        <v>2642</v>
      </c>
      <c r="L1656" s="89" t="str">
        <f>G50</f>
        <v>C1a2a1a</v>
      </c>
      <c r="M1656" s="89"/>
      <c r="N1656" s="89"/>
      <c r="O1656" s="92">
        <v>1.4811561E7</v>
      </c>
      <c r="P1656" s="92">
        <v>1.2699632E7</v>
      </c>
      <c r="Q1656" s="89" t="s">
        <v>810</v>
      </c>
      <c r="AF1656" s="1"/>
      <c r="AG1656" s="1"/>
    </row>
    <row r="1657" ht="15.75" customHeight="1">
      <c r="A1657" s="1"/>
      <c r="B1657" s="1"/>
      <c r="C1657" s="1"/>
      <c r="D1657" s="1"/>
      <c r="E1657" s="1"/>
      <c r="F1657" s="1"/>
      <c r="G1657" s="1"/>
      <c r="H1657" s="1"/>
      <c r="I1657" s="1"/>
      <c r="J1657" s="1"/>
      <c r="K1657" s="89" t="s">
        <v>2643</v>
      </c>
      <c r="L1657" s="89" t="str">
        <f>G50</f>
        <v>C1a2a1a</v>
      </c>
      <c r="M1657" s="89"/>
      <c r="N1657" s="89" t="s">
        <v>2644</v>
      </c>
      <c r="O1657" s="92">
        <v>1.6307717E7</v>
      </c>
      <c r="P1657" s="92">
        <v>1.4195837E7</v>
      </c>
      <c r="Q1657" s="89" t="s">
        <v>822</v>
      </c>
      <c r="AF1657" s="1"/>
      <c r="AG1657" s="1"/>
    </row>
    <row r="1658" ht="15.75" customHeight="1">
      <c r="A1658" s="1"/>
      <c r="B1658" s="1"/>
      <c r="C1658" s="1"/>
      <c r="D1658" s="1"/>
      <c r="E1658" s="1"/>
      <c r="F1658" s="1"/>
      <c r="G1658" s="1"/>
      <c r="H1658" s="1"/>
      <c r="I1658" s="1"/>
      <c r="J1658" s="1"/>
      <c r="K1658" s="89" t="s">
        <v>2645</v>
      </c>
      <c r="L1658" s="89" t="str">
        <f>G50</f>
        <v>C1a2a1a</v>
      </c>
      <c r="M1658" s="89"/>
      <c r="N1658" s="89"/>
      <c r="O1658" s="92">
        <v>1.6315542E7</v>
      </c>
      <c r="P1658" s="92">
        <v>1.4203662E7</v>
      </c>
      <c r="Q1658" s="89" t="s">
        <v>802</v>
      </c>
      <c r="AF1658" s="1"/>
      <c r="AG1658" s="1"/>
    </row>
    <row r="1659" ht="15.75" customHeight="1">
      <c r="A1659" s="1"/>
      <c r="B1659" s="1"/>
      <c r="C1659" s="1"/>
      <c r="D1659" s="1"/>
      <c r="E1659" s="1"/>
      <c r="F1659" s="1"/>
      <c r="G1659" s="1"/>
      <c r="H1659" s="1"/>
      <c r="I1659" s="1"/>
      <c r="J1659" s="1"/>
      <c r="K1659" s="89" t="s">
        <v>2646</v>
      </c>
      <c r="L1659" s="89" t="str">
        <f>G50</f>
        <v>C1a2a1a</v>
      </c>
      <c r="M1659" s="89"/>
      <c r="N1659" s="89"/>
      <c r="O1659" s="92">
        <v>1.7129532E7</v>
      </c>
      <c r="P1659" s="92">
        <v>1.5017652E7</v>
      </c>
      <c r="Q1659" s="89" t="s">
        <v>838</v>
      </c>
      <c r="AF1659" s="1"/>
      <c r="AG1659" s="1"/>
    </row>
    <row r="1660" ht="15.75" customHeight="1">
      <c r="A1660" s="1"/>
      <c r="B1660" s="1"/>
      <c r="C1660" s="1"/>
      <c r="D1660" s="1"/>
      <c r="E1660" s="1"/>
      <c r="F1660" s="1"/>
      <c r="G1660" s="1"/>
      <c r="H1660" s="1"/>
      <c r="I1660" s="1"/>
      <c r="J1660" s="1"/>
      <c r="K1660" s="89" t="s">
        <v>2647</v>
      </c>
      <c r="L1660" s="89" t="str">
        <f>G50</f>
        <v>C1a2a1a</v>
      </c>
      <c r="M1660" s="89"/>
      <c r="N1660" s="89"/>
      <c r="O1660" s="92">
        <v>1.8111802E7</v>
      </c>
      <c r="P1660" s="92">
        <v>1.5999922E7</v>
      </c>
      <c r="Q1660" s="89" t="s">
        <v>912</v>
      </c>
      <c r="AF1660" s="1"/>
      <c r="AG1660" s="1"/>
    </row>
    <row r="1661" ht="15.75" customHeight="1">
      <c r="A1661" s="1"/>
      <c r="B1661" s="1"/>
      <c r="C1661" s="1"/>
      <c r="D1661" s="1"/>
      <c r="E1661" s="1"/>
      <c r="F1661" s="1"/>
      <c r="G1661" s="1"/>
      <c r="H1661" s="1"/>
      <c r="I1661" s="1"/>
      <c r="J1661" s="1"/>
      <c r="K1661" s="89" t="s">
        <v>2648</v>
      </c>
      <c r="L1661" s="89" t="str">
        <f>G50</f>
        <v>C1a2a1a</v>
      </c>
      <c r="M1661" s="89"/>
      <c r="N1661" s="89"/>
      <c r="O1661" s="92">
        <v>1.899684E7</v>
      </c>
      <c r="P1661" s="92">
        <v>1.688496E7</v>
      </c>
      <c r="Q1661" s="89" t="s">
        <v>912</v>
      </c>
      <c r="AF1661" s="1"/>
      <c r="AG1661" s="1"/>
    </row>
    <row r="1662" ht="15.75" customHeight="1">
      <c r="A1662" s="1"/>
      <c r="B1662" s="1"/>
      <c r="C1662" s="1"/>
      <c r="D1662" s="1"/>
      <c r="E1662" s="1"/>
      <c r="F1662" s="1"/>
      <c r="G1662" s="1"/>
      <c r="H1662" s="1"/>
      <c r="I1662" s="1"/>
      <c r="J1662" s="1"/>
      <c r="K1662" s="89" t="s">
        <v>2649</v>
      </c>
      <c r="L1662" s="89" t="str">
        <f>G50</f>
        <v>C1a2a1a</v>
      </c>
      <c r="M1662" s="89"/>
      <c r="N1662" s="89"/>
      <c r="O1662" s="92">
        <v>2.186854E7</v>
      </c>
      <c r="P1662" s="92">
        <v>1.9706654E7</v>
      </c>
      <c r="Q1662" s="89" t="s">
        <v>831</v>
      </c>
      <c r="AF1662" s="1"/>
      <c r="AG1662" s="1"/>
    </row>
    <row r="1663" ht="15.75" customHeight="1">
      <c r="A1663" s="1"/>
      <c r="B1663" s="1"/>
      <c r="C1663" s="1"/>
      <c r="D1663" s="1"/>
      <c r="E1663" s="1"/>
      <c r="F1663" s="1"/>
      <c r="G1663" s="1"/>
      <c r="H1663" s="1"/>
      <c r="I1663" s="1"/>
      <c r="J1663" s="1"/>
      <c r="K1663" s="89" t="s">
        <v>2650</v>
      </c>
      <c r="L1663" s="89" t="str">
        <f>H51</f>
        <v>C1a2a1a1~</v>
      </c>
      <c r="M1663" s="89"/>
      <c r="N1663" s="89"/>
      <c r="O1663" s="92">
        <v>6655569.0</v>
      </c>
      <c r="P1663" s="92">
        <v>6787528.0</v>
      </c>
      <c r="Q1663" s="89" t="s">
        <v>838</v>
      </c>
      <c r="AF1663" s="1"/>
      <c r="AG1663" s="1"/>
    </row>
    <row r="1664" ht="15.75" customHeight="1">
      <c r="A1664" s="1"/>
      <c r="B1664" s="1"/>
      <c r="C1664" s="1"/>
      <c r="D1664" s="1"/>
      <c r="E1664" s="1"/>
      <c r="F1664" s="1"/>
      <c r="G1664" s="1"/>
      <c r="H1664" s="1"/>
      <c r="I1664" s="1"/>
      <c r="J1664" s="1"/>
      <c r="K1664" s="89" t="s">
        <v>2651</v>
      </c>
      <c r="L1664" s="89" t="str">
        <f>H51</f>
        <v>C1a2a1a1~</v>
      </c>
      <c r="M1664" s="89"/>
      <c r="N1664" s="89"/>
      <c r="O1664" s="92">
        <v>7251211.0</v>
      </c>
      <c r="P1664" s="92">
        <v>7383170.0</v>
      </c>
      <c r="Q1664" s="89" t="s">
        <v>838</v>
      </c>
      <c r="AF1664" s="1"/>
      <c r="AG1664" s="1"/>
    </row>
    <row r="1665" ht="15.75" customHeight="1">
      <c r="A1665" s="1"/>
      <c r="B1665" s="1"/>
      <c r="C1665" s="1"/>
      <c r="D1665" s="1"/>
      <c r="E1665" s="1"/>
      <c r="F1665" s="1"/>
      <c r="G1665" s="1"/>
      <c r="H1665" s="1"/>
      <c r="I1665" s="1"/>
      <c r="J1665" s="1"/>
      <c r="K1665" s="89" t="s">
        <v>2652</v>
      </c>
      <c r="L1665" s="89" t="str">
        <f>H51</f>
        <v>C1a2a1a1~</v>
      </c>
      <c r="M1665" s="89"/>
      <c r="N1665" s="89"/>
      <c r="O1665" s="92">
        <v>9777372.0</v>
      </c>
      <c r="P1665" s="92">
        <v>9939763.0</v>
      </c>
      <c r="Q1665" s="89" t="s">
        <v>822</v>
      </c>
      <c r="AF1665" s="1"/>
      <c r="AG1665" s="1"/>
    </row>
    <row r="1666" ht="15.75" customHeight="1">
      <c r="A1666" s="1"/>
      <c r="B1666" s="1"/>
      <c r="C1666" s="1"/>
      <c r="D1666" s="1"/>
      <c r="E1666" s="1"/>
      <c r="F1666" s="1"/>
      <c r="G1666" s="1"/>
      <c r="H1666" s="1"/>
      <c r="I1666" s="1"/>
      <c r="J1666" s="1"/>
      <c r="K1666" s="89" t="s">
        <v>2653</v>
      </c>
      <c r="L1666" s="89" t="str">
        <f>H51</f>
        <v>C1a2a1a1~</v>
      </c>
      <c r="M1666" s="89"/>
      <c r="N1666" s="89"/>
      <c r="O1666" s="92">
        <v>1.4882695E7</v>
      </c>
      <c r="P1666" s="92">
        <v>1.2770761E7</v>
      </c>
      <c r="Q1666" s="89" t="s">
        <v>912</v>
      </c>
      <c r="AF1666" s="1"/>
      <c r="AG1666" s="1"/>
    </row>
    <row r="1667" ht="15.75" customHeight="1">
      <c r="A1667" s="1"/>
      <c r="B1667" s="1"/>
      <c r="C1667" s="1"/>
      <c r="D1667" s="1"/>
      <c r="E1667" s="1"/>
      <c r="F1667" s="1"/>
      <c r="G1667" s="1"/>
      <c r="H1667" s="1"/>
      <c r="I1667" s="1"/>
      <c r="J1667" s="1"/>
      <c r="K1667" s="89" t="s">
        <v>2654</v>
      </c>
      <c r="L1667" s="89" t="str">
        <f t="shared" ref="L1667:L1668" si="6">H51</f>
        <v>C1a2a1a1~</v>
      </c>
      <c r="M1667" s="89"/>
      <c r="N1667" s="89"/>
      <c r="O1667" s="92">
        <v>8470014.0</v>
      </c>
      <c r="P1667" s="92">
        <v>8601973.0</v>
      </c>
      <c r="Q1667" s="89" t="s">
        <v>802</v>
      </c>
      <c r="AF1667" s="1"/>
      <c r="AG1667" s="1"/>
    </row>
    <row r="1668" ht="15.75" customHeight="1">
      <c r="A1668" s="1"/>
      <c r="B1668" s="1"/>
      <c r="C1668" s="1"/>
      <c r="D1668" s="1"/>
      <c r="E1668" s="1"/>
      <c r="F1668" s="1"/>
      <c r="G1668" s="1"/>
      <c r="H1668" s="1"/>
      <c r="I1668" s="1"/>
      <c r="J1668" s="1"/>
      <c r="K1668" s="89" t="s">
        <v>67</v>
      </c>
      <c r="L1668" s="89" t="str">
        <f t="shared" si="6"/>
        <v>C1a2a1a2~</v>
      </c>
      <c r="M1668" s="89"/>
      <c r="N1668" s="89"/>
      <c r="O1668" s="92">
        <v>8491711.0</v>
      </c>
      <c r="P1668" s="92">
        <v>8623670.0</v>
      </c>
      <c r="Q1668" s="89" t="s">
        <v>802</v>
      </c>
      <c r="AF1668" s="1"/>
      <c r="AG1668" s="1"/>
    </row>
    <row r="1669" ht="15.75" customHeight="1">
      <c r="A1669" s="1"/>
      <c r="B1669" s="1"/>
      <c r="C1669" s="1"/>
      <c r="D1669" s="1"/>
      <c r="E1669" s="1"/>
      <c r="F1669" s="1"/>
      <c r="G1669" s="1"/>
      <c r="H1669" s="1"/>
      <c r="I1669" s="1"/>
      <c r="J1669" s="1"/>
      <c r="K1669" s="89" t="s">
        <v>2655</v>
      </c>
      <c r="L1669" s="89" t="str">
        <f>G53</f>
        <v>C1a2a1b</v>
      </c>
      <c r="M1669" s="89" t="s">
        <v>2656</v>
      </c>
      <c r="N1669" s="89"/>
      <c r="O1669" s="92">
        <v>1.4415244E7</v>
      </c>
      <c r="P1669" s="92">
        <v>1.2294541E7</v>
      </c>
      <c r="Q1669" s="89" t="s">
        <v>879</v>
      </c>
      <c r="AF1669" s="1"/>
      <c r="AG1669" s="1"/>
    </row>
    <row r="1670" ht="15.75" customHeight="1">
      <c r="A1670" s="1"/>
      <c r="B1670" s="1"/>
      <c r="C1670" s="1"/>
      <c r="D1670" s="1"/>
      <c r="E1670" s="1"/>
      <c r="F1670" s="1"/>
      <c r="G1670" s="1"/>
      <c r="H1670" s="1"/>
      <c r="I1670" s="1"/>
      <c r="J1670" s="1"/>
      <c r="K1670" s="89" t="s">
        <v>2656</v>
      </c>
      <c r="L1670" s="89" t="str">
        <f>G53</f>
        <v>C1a2a1b</v>
      </c>
      <c r="M1670" s="89" t="s">
        <v>2655</v>
      </c>
      <c r="N1670" s="89"/>
      <c r="O1670" s="92">
        <v>1.4415244E7</v>
      </c>
      <c r="P1670" s="92">
        <v>1.2294541E7</v>
      </c>
      <c r="Q1670" s="89" t="s">
        <v>879</v>
      </c>
      <c r="AF1670" s="1"/>
      <c r="AG1670" s="1"/>
    </row>
    <row r="1671" ht="15.75" customHeight="1">
      <c r="A1671" s="1"/>
      <c r="B1671" s="1"/>
      <c r="C1671" s="1"/>
      <c r="D1671" s="1"/>
      <c r="E1671" s="1"/>
      <c r="F1671" s="1"/>
      <c r="G1671" s="1"/>
      <c r="H1671" s="1"/>
      <c r="I1671" s="1"/>
      <c r="J1671" s="1"/>
      <c r="K1671" s="89" t="s">
        <v>2657</v>
      </c>
      <c r="L1671" s="89" t="str">
        <f>G53</f>
        <v>C1a2a1b</v>
      </c>
      <c r="M1671" s="89" t="s">
        <v>2658</v>
      </c>
      <c r="N1671" s="89"/>
      <c r="O1671" s="92">
        <v>1.4433684E7</v>
      </c>
      <c r="P1671" s="92">
        <v>1.2312957E7</v>
      </c>
      <c r="Q1671" s="89" t="s">
        <v>802</v>
      </c>
      <c r="AF1671" s="1"/>
      <c r="AG1671" s="1"/>
    </row>
    <row r="1672" ht="15.75" customHeight="1">
      <c r="A1672" s="1"/>
      <c r="B1672" s="1"/>
      <c r="C1672" s="1"/>
      <c r="D1672" s="1"/>
      <c r="E1672" s="1"/>
      <c r="F1672" s="1"/>
      <c r="G1672" s="1"/>
      <c r="H1672" s="1"/>
      <c r="I1672" s="1"/>
      <c r="J1672" s="1"/>
      <c r="K1672" s="89" t="s">
        <v>2658</v>
      </c>
      <c r="L1672" s="89" t="str">
        <f>G53</f>
        <v>C1a2a1b</v>
      </c>
      <c r="M1672" s="89" t="s">
        <v>2657</v>
      </c>
      <c r="N1672" s="89"/>
      <c r="O1672" s="92">
        <v>1.4433684E7</v>
      </c>
      <c r="P1672" s="92">
        <v>1.2312957E7</v>
      </c>
      <c r="Q1672" s="89" t="s">
        <v>802</v>
      </c>
      <c r="AF1672" s="1"/>
      <c r="AG1672" s="1"/>
    </row>
    <row r="1673" ht="15.75" customHeight="1">
      <c r="A1673" s="1"/>
      <c r="B1673" s="1"/>
      <c r="C1673" s="1"/>
      <c r="D1673" s="1"/>
      <c r="E1673" s="1"/>
      <c r="F1673" s="1"/>
      <c r="G1673" s="1"/>
      <c r="H1673" s="1"/>
      <c r="I1673" s="1"/>
      <c r="J1673" s="1"/>
      <c r="K1673" s="89" t="s">
        <v>2659</v>
      </c>
      <c r="L1673" s="89" t="str">
        <f>G53</f>
        <v>C1a2a1b</v>
      </c>
      <c r="M1673" s="89" t="s">
        <v>2660</v>
      </c>
      <c r="N1673" s="89"/>
      <c r="O1673" s="92">
        <v>1.8704575E7</v>
      </c>
      <c r="P1673" s="92">
        <v>1.6592695E7</v>
      </c>
      <c r="Q1673" s="89" t="s">
        <v>802</v>
      </c>
      <c r="AF1673" s="1"/>
      <c r="AG1673" s="1"/>
    </row>
    <row r="1674" ht="15.75" customHeight="1">
      <c r="A1674" s="1"/>
      <c r="B1674" s="1"/>
      <c r="C1674" s="1"/>
      <c r="D1674" s="1"/>
      <c r="E1674" s="1"/>
      <c r="F1674" s="1"/>
      <c r="G1674" s="1"/>
      <c r="H1674" s="1"/>
      <c r="I1674" s="1"/>
      <c r="J1674" s="1"/>
      <c r="K1674" s="89" t="s">
        <v>2660</v>
      </c>
      <c r="L1674" s="89" t="str">
        <f>G53</f>
        <v>C1a2a1b</v>
      </c>
      <c r="M1674" s="89" t="s">
        <v>2659</v>
      </c>
      <c r="N1674" s="89"/>
      <c r="O1674" s="92">
        <v>1.8704575E7</v>
      </c>
      <c r="P1674" s="92">
        <v>1.6592695E7</v>
      </c>
      <c r="Q1674" s="89" t="s">
        <v>802</v>
      </c>
      <c r="AF1674" s="1"/>
      <c r="AG1674" s="1"/>
    </row>
    <row r="1675" ht="15.75" customHeight="1">
      <c r="A1675" s="1"/>
      <c r="B1675" s="1"/>
      <c r="C1675" s="1"/>
      <c r="D1675" s="1"/>
      <c r="E1675" s="1"/>
      <c r="F1675" s="1"/>
      <c r="G1675" s="1"/>
      <c r="H1675" s="1"/>
      <c r="I1675" s="1"/>
      <c r="J1675" s="1"/>
      <c r="K1675" s="89" t="s">
        <v>2661</v>
      </c>
      <c r="L1675" s="89" t="str">
        <f>G53</f>
        <v>C1a2a1b</v>
      </c>
      <c r="M1675" s="89" t="s">
        <v>2662</v>
      </c>
      <c r="N1675" s="89"/>
      <c r="O1675" s="92">
        <v>2.1360589E7</v>
      </c>
      <c r="P1675" s="92">
        <v>1.9198703E7</v>
      </c>
      <c r="Q1675" s="89" t="s">
        <v>810</v>
      </c>
      <c r="AF1675" s="1"/>
      <c r="AG1675" s="1"/>
    </row>
    <row r="1676" ht="15.75" customHeight="1">
      <c r="A1676" s="1"/>
      <c r="B1676" s="1"/>
      <c r="C1676" s="1"/>
      <c r="D1676" s="1"/>
      <c r="E1676" s="1"/>
      <c r="F1676" s="1"/>
      <c r="G1676" s="1"/>
      <c r="H1676" s="1"/>
      <c r="I1676" s="1"/>
      <c r="J1676" s="1"/>
      <c r="K1676" s="89" t="s">
        <v>2662</v>
      </c>
      <c r="L1676" s="89" t="str">
        <f>G53</f>
        <v>C1a2a1b</v>
      </c>
      <c r="M1676" s="89" t="s">
        <v>2661</v>
      </c>
      <c r="N1676" s="89"/>
      <c r="O1676" s="92">
        <v>2.1360589E7</v>
      </c>
      <c r="P1676" s="92">
        <v>1.9198703E7</v>
      </c>
      <c r="Q1676" s="89" t="s">
        <v>810</v>
      </c>
      <c r="AF1676" s="1"/>
      <c r="AG1676" s="1"/>
    </row>
    <row r="1677" ht="15.75" customHeight="1">
      <c r="A1677" s="1"/>
      <c r="B1677" s="1"/>
      <c r="C1677" s="1"/>
      <c r="D1677" s="1"/>
      <c r="E1677" s="1"/>
      <c r="F1677" s="1"/>
      <c r="G1677" s="1"/>
      <c r="H1677" s="1"/>
      <c r="I1677" s="1"/>
      <c r="J1677" s="1"/>
      <c r="K1677" s="89" t="s">
        <v>2663</v>
      </c>
      <c r="L1677" s="89" t="str">
        <f>G53</f>
        <v>C1a2a1b</v>
      </c>
      <c r="M1677" s="89" t="s">
        <v>2664</v>
      </c>
      <c r="N1677" s="89"/>
      <c r="O1677" s="92">
        <v>2.389612E7</v>
      </c>
      <c r="P1677" s="92">
        <v>2.1734234E7</v>
      </c>
      <c r="Q1677" s="89" t="s">
        <v>838</v>
      </c>
      <c r="AF1677" s="1"/>
      <c r="AG1677" s="1"/>
    </row>
    <row r="1678" ht="15.75" customHeight="1">
      <c r="A1678" s="1"/>
      <c r="B1678" s="1"/>
      <c r="C1678" s="1"/>
      <c r="D1678" s="1"/>
      <c r="E1678" s="1"/>
      <c r="F1678" s="1"/>
      <c r="G1678" s="1"/>
      <c r="H1678" s="1"/>
      <c r="I1678" s="1"/>
      <c r="J1678" s="1"/>
      <c r="K1678" s="89" t="s">
        <v>2664</v>
      </c>
      <c r="L1678" s="89" t="str">
        <f>G53</f>
        <v>C1a2a1b</v>
      </c>
      <c r="M1678" s="89" t="s">
        <v>2663</v>
      </c>
      <c r="N1678" s="89"/>
      <c r="O1678" s="92">
        <v>2.389612E7</v>
      </c>
      <c r="P1678" s="92">
        <v>2.1734234E7</v>
      </c>
      <c r="Q1678" s="89" t="s">
        <v>838</v>
      </c>
      <c r="AF1678" s="1"/>
      <c r="AG1678" s="1"/>
    </row>
    <row r="1679" ht="15.75" customHeight="1">
      <c r="A1679" s="1"/>
      <c r="B1679" s="1"/>
      <c r="C1679" s="1"/>
      <c r="D1679" s="1"/>
      <c r="E1679" s="1"/>
      <c r="F1679" s="1"/>
      <c r="G1679" s="1"/>
      <c r="H1679" s="1"/>
      <c r="I1679" s="1"/>
      <c r="J1679" s="1"/>
      <c r="K1679" s="89" t="s">
        <v>2665</v>
      </c>
      <c r="L1679" s="89" t="str">
        <f>H54</f>
        <v>C1a2a1b1~</v>
      </c>
      <c r="M1679" s="89" t="s">
        <v>2666</v>
      </c>
      <c r="N1679" s="89"/>
      <c r="O1679" s="92">
        <v>2753960.0</v>
      </c>
      <c r="P1679" s="92">
        <v>2885919.0</v>
      </c>
      <c r="Q1679" s="89" t="s">
        <v>838</v>
      </c>
      <c r="AF1679" s="1"/>
      <c r="AG1679" s="1"/>
    </row>
    <row r="1680" ht="15.75" customHeight="1">
      <c r="A1680" s="1"/>
      <c r="B1680" s="1"/>
      <c r="C1680" s="1"/>
      <c r="D1680" s="1"/>
      <c r="E1680" s="1"/>
      <c r="F1680" s="1"/>
      <c r="G1680" s="1"/>
      <c r="H1680" s="1"/>
      <c r="I1680" s="1"/>
      <c r="J1680" s="1"/>
      <c r="K1680" s="89" t="s">
        <v>2666</v>
      </c>
      <c r="L1680" s="89" t="str">
        <f>H54</f>
        <v>C1a2a1b1~</v>
      </c>
      <c r="M1680" s="89" t="s">
        <v>2665</v>
      </c>
      <c r="N1680" s="89"/>
      <c r="O1680" s="92">
        <v>2753960.0</v>
      </c>
      <c r="P1680" s="92">
        <v>2885919.0</v>
      </c>
      <c r="Q1680" s="89" t="s">
        <v>838</v>
      </c>
      <c r="AF1680" s="1"/>
      <c r="AG1680" s="1"/>
    </row>
    <row r="1681" ht="15.75" customHeight="1">
      <c r="A1681" s="1"/>
      <c r="B1681" s="1"/>
      <c r="C1681" s="1"/>
      <c r="D1681" s="1"/>
      <c r="E1681" s="1"/>
      <c r="F1681" s="1"/>
      <c r="G1681" s="1"/>
      <c r="H1681" s="1"/>
      <c r="I1681" s="1"/>
      <c r="J1681" s="1"/>
      <c r="K1681" s="89" t="s">
        <v>2667</v>
      </c>
      <c r="L1681" s="89" t="str">
        <f>H54</f>
        <v>C1a2a1b1~</v>
      </c>
      <c r="M1681" s="89" t="s">
        <v>2668</v>
      </c>
      <c r="N1681" s="89"/>
      <c r="O1681" s="92">
        <v>7099545.0</v>
      </c>
      <c r="P1681" s="92">
        <v>7231504.0</v>
      </c>
      <c r="Q1681" s="89" t="s">
        <v>802</v>
      </c>
      <c r="AF1681" s="1"/>
      <c r="AG1681" s="1"/>
    </row>
    <row r="1682" ht="15.75" customHeight="1">
      <c r="A1682" s="1"/>
      <c r="B1682" s="1"/>
      <c r="C1682" s="1"/>
      <c r="D1682" s="1"/>
      <c r="E1682" s="1"/>
      <c r="F1682" s="1"/>
      <c r="G1682" s="1"/>
      <c r="H1682" s="1"/>
      <c r="I1682" s="1"/>
      <c r="J1682" s="1"/>
      <c r="K1682" s="89" t="s">
        <v>2668</v>
      </c>
      <c r="L1682" s="89" t="str">
        <f>H54</f>
        <v>C1a2a1b1~</v>
      </c>
      <c r="M1682" s="89" t="s">
        <v>2667</v>
      </c>
      <c r="N1682" s="89"/>
      <c r="O1682" s="92">
        <v>7099545.0</v>
      </c>
      <c r="P1682" s="92">
        <v>7231504.0</v>
      </c>
      <c r="Q1682" s="89" t="s">
        <v>802</v>
      </c>
      <c r="AF1682" s="1"/>
      <c r="AG1682" s="1"/>
    </row>
    <row r="1683" ht="15.75" customHeight="1">
      <c r="A1683" s="1"/>
      <c r="B1683" s="1"/>
      <c r="C1683" s="1"/>
      <c r="D1683" s="1"/>
      <c r="E1683" s="1"/>
      <c r="F1683" s="1"/>
      <c r="G1683" s="1"/>
      <c r="H1683" s="1"/>
      <c r="I1683" s="1"/>
      <c r="J1683" s="1"/>
      <c r="K1683" s="89" t="s">
        <v>2669</v>
      </c>
      <c r="L1683" s="89" t="str">
        <f>H54</f>
        <v>C1a2a1b1~</v>
      </c>
      <c r="M1683" s="89" t="s">
        <v>2670</v>
      </c>
      <c r="N1683" s="89"/>
      <c r="O1683" s="92">
        <v>7259812.0</v>
      </c>
      <c r="P1683" s="92">
        <v>7391771.0</v>
      </c>
      <c r="Q1683" s="89" t="s">
        <v>864</v>
      </c>
      <c r="AF1683" s="1"/>
      <c r="AG1683" s="1"/>
    </row>
    <row r="1684" ht="15.75" customHeight="1">
      <c r="A1684" s="1"/>
      <c r="B1684" s="1"/>
      <c r="C1684" s="1"/>
      <c r="D1684" s="1"/>
      <c r="E1684" s="1"/>
      <c r="F1684" s="1"/>
      <c r="G1684" s="1"/>
      <c r="H1684" s="1"/>
      <c r="I1684" s="1"/>
      <c r="J1684" s="1"/>
      <c r="K1684" s="89" t="s">
        <v>2670</v>
      </c>
      <c r="L1684" s="89" t="str">
        <f>H54</f>
        <v>C1a2a1b1~</v>
      </c>
      <c r="M1684" s="89" t="s">
        <v>2669</v>
      </c>
      <c r="N1684" s="89"/>
      <c r="O1684" s="92">
        <v>7259812.0</v>
      </c>
      <c r="P1684" s="92">
        <v>7391771.0</v>
      </c>
      <c r="Q1684" s="89" t="s">
        <v>864</v>
      </c>
      <c r="AF1684" s="1"/>
      <c r="AG1684" s="1"/>
    </row>
    <row r="1685" ht="15.75" customHeight="1">
      <c r="A1685" s="1"/>
      <c r="B1685" s="1"/>
      <c r="C1685" s="1"/>
      <c r="D1685" s="1"/>
      <c r="E1685" s="1"/>
      <c r="F1685" s="1"/>
      <c r="G1685" s="1"/>
      <c r="H1685" s="1"/>
      <c r="I1685" s="1"/>
      <c r="J1685" s="1"/>
      <c r="K1685" s="89" t="s">
        <v>2671</v>
      </c>
      <c r="L1685" s="89" t="str">
        <f>H54</f>
        <v>C1a2a1b1~</v>
      </c>
      <c r="M1685" s="89" t="s">
        <v>2672</v>
      </c>
      <c r="N1685" s="89"/>
      <c r="O1685" s="92">
        <v>8155065.0</v>
      </c>
      <c r="P1685" s="92">
        <v>8287024.0</v>
      </c>
      <c r="Q1685" s="89" t="s">
        <v>879</v>
      </c>
      <c r="AF1685" s="1"/>
      <c r="AG1685" s="1"/>
    </row>
    <row r="1686" ht="15.75" customHeight="1">
      <c r="A1686" s="1"/>
      <c r="B1686" s="1"/>
      <c r="C1686" s="1"/>
      <c r="D1686" s="1"/>
      <c r="E1686" s="1"/>
      <c r="F1686" s="1"/>
      <c r="G1686" s="1"/>
      <c r="H1686" s="1"/>
      <c r="I1686" s="1"/>
      <c r="J1686" s="1"/>
      <c r="K1686" s="89" t="s">
        <v>2672</v>
      </c>
      <c r="L1686" s="89" t="str">
        <f>H54</f>
        <v>C1a2a1b1~</v>
      </c>
      <c r="M1686" s="89" t="s">
        <v>2671</v>
      </c>
      <c r="N1686" s="89"/>
      <c r="O1686" s="92">
        <v>8155065.0</v>
      </c>
      <c r="P1686" s="92">
        <v>8287024.0</v>
      </c>
      <c r="Q1686" s="89" t="s">
        <v>879</v>
      </c>
      <c r="AF1686" s="1"/>
      <c r="AG1686" s="1"/>
    </row>
    <row r="1687" ht="15.75" customHeight="1">
      <c r="A1687" s="1"/>
      <c r="B1687" s="1"/>
      <c r="C1687" s="1"/>
      <c r="D1687" s="1"/>
      <c r="E1687" s="1"/>
      <c r="F1687" s="1"/>
      <c r="G1687" s="1"/>
      <c r="H1687" s="1"/>
      <c r="I1687" s="1"/>
      <c r="J1687" s="1"/>
      <c r="K1687" s="89" t="s">
        <v>2673</v>
      </c>
      <c r="L1687" s="89" t="str">
        <f>H54</f>
        <v>C1a2a1b1~</v>
      </c>
      <c r="M1687" s="89" t="s">
        <v>2674</v>
      </c>
      <c r="N1687" s="89"/>
      <c r="O1687" s="92">
        <v>8198119.0</v>
      </c>
      <c r="P1687" s="92">
        <v>8330078.0</v>
      </c>
      <c r="Q1687" s="89" t="s">
        <v>810</v>
      </c>
      <c r="AF1687" s="1"/>
      <c r="AG1687" s="1"/>
    </row>
    <row r="1688" ht="15.75" customHeight="1">
      <c r="A1688" s="1"/>
      <c r="B1688" s="1"/>
      <c r="C1688" s="1"/>
      <c r="D1688" s="1"/>
      <c r="E1688" s="1"/>
      <c r="F1688" s="1"/>
      <c r="G1688" s="1"/>
      <c r="H1688" s="1"/>
      <c r="I1688" s="1"/>
      <c r="J1688" s="1"/>
      <c r="K1688" s="89" t="s">
        <v>2674</v>
      </c>
      <c r="L1688" s="89" t="str">
        <f t="shared" ref="L1688:L1689" si="7">H54</f>
        <v>C1a2a1b1~</v>
      </c>
      <c r="M1688" s="89" t="s">
        <v>2673</v>
      </c>
      <c r="N1688" s="89"/>
      <c r="O1688" s="92">
        <v>8198119.0</v>
      </c>
      <c r="P1688" s="92">
        <v>8330078.0</v>
      </c>
      <c r="Q1688" s="89" t="s">
        <v>810</v>
      </c>
      <c r="AF1688" s="1"/>
      <c r="AG1688" s="1"/>
    </row>
    <row r="1689" ht="15.75" customHeight="1">
      <c r="A1689" s="1"/>
      <c r="B1689" s="1"/>
      <c r="C1689" s="1"/>
      <c r="D1689" s="1"/>
      <c r="E1689" s="1"/>
      <c r="F1689" s="1"/>
      <c r="G1689" s="1"/>
      <c r="H1689" s="1"/>
      <c r="I1689" s="1"/>
      <c r="J1689" s="1"/>
      <c r="K1689" s="89" t="s">
        <v>2675</v>
      </c>
      <c r="L1689" s="89" t="str">
        <f t="shared" si="7"/>
        <v>C1a2a1b2~</v>
      </c>
      <c r="M1689" s="89"/>
      <c r="N1689" s="89" t="s">
        <v>2676</v>
      </c>
      <c r="O1689" s="92">
        <v>6717952.0</v>
      </c>
      <c r="P1689" s="92">
        <v>6849911.0</v>
      </c>
      <c r="Q1689" s="89" t="s">
        <v>802</v>
      </c>
      <c r="AF1689" s="1"/>
      <c r="AG1689" s="1"/>
    </row>
    <row r="1690" ht="15.75" customHeight="1">
      <c r="A1690" s="1"/>
      <c r="B1690" s="1"/>
      <c r="C1690" s="1"/>
      <c r="D1690" s="1"/>
      <c r="E1690" s="1"/>
      <c r="F1690" s="1"/>
      <c r="G1690" s="1"/>
      <c r="H1690" s="1"/>
      <c r="I1690" s="1"/>
      <c r="J1690" s="1"/>
      <c r="K1690" s="89" t="s">
        <v>2677</v>
      </c>
      <c r="L1690" s="89" t="str">
        <f>H55</f>
        <v>C1a2a1b2~</v>
      </c>
      <c r="M1690" s="89"/>
      <c r="N1690" s="89"/>
      <c r="O1690" s="92">
        <v>7592581.0</v>
      </c>
      <c r="P1690" s="92">
        <v>7724540.0</v>
      </c>
      <c r="Q1690" s="89" t="s">
        <v>886</v>
      </c>
      <c r="AF1690" s="1"/>
      <c r="AG1690" s="1"/>
    </row>
    <row r="1691" ht="15.75" customHeight="1">
      <c r="A1691" s="1"/>
      <c r="B1691" s="1"/>
      <c r="C1691" s="1"/>
      <c r="D1691" s="1"/>
      <c r="E1691" s="1"/>
      <c r="F1691" s="1"/>
      <c r="G1691" s="1"/>
      <c r="H1691" s="1"/>
      <c r="I1691" s="1"/>
      <c r="J1691" s="1"/>
      <c r="K1691" s="89" t="s">
        <v>2678</v>
      </c>
      <c r="L1691" s="89" t="str">
        <f>H55</f>
        <v>C1a2a1b2~</v>
      </c>
      <c r="M1691" s="89"/>
      <c r="N1691" s="89"/>
      <c r="O1691" s="92">
        <v>8382454.0</v>
      </c>
      <c r="P1691" s="92">
        <v>8514413.0</v>
      </c>
      <c r="Q1691" s="89" t="s">
        <v>810</v>
      </c>
      <c r="AF1691" s="1"/>
      <c r="AG1691" s="1"/>
    </row>
    <row r="1692" ht="15.75" customHeight="1">
      <c r="A1692" s="1"/>
      <c r="B1692" s="1"/>
      <c r="C1692" s="1"/>
      <c r="D1692" s="1"/>
      <c r="E1692" s="1"/>
      <c r="F1692" s="1"/>
      <c r="G1692" s="1"/>
      <c r="H1692" s="1"/>
      <c r="I1692" s="1"/>
      <c r="J1692" s="1"/>
      <c r="K1692" s="89" t="s">
        <v>2679</v>
      </c>
      <c r="L1692" s="89" t="str">
        <f>H55</f>
        <v>C1a2a1b2~</v>
      </c>
      <c r="M1692" s="89"/>
      <c r="N1692" s="89"/>
      <c r="O1692" s="92">
        <v>8588394.0</v>
      </c>
      <c r="P1692" s="92">
        <v>8720353.0</v>
      </c>
      <c r="Q1692" s="89" t="s">
        <v>822</v>
      </c>
      <c r="AF1692" s="1"/>
      <c r="AG1692" s="1"/>
    </row>
    <row r="1693" ht="15.75" customHeight="1">
      <c r="A1693" s="1"/>
      <c r="B1693" s="1"/>
      <c r="C1693" s="1"/>
      <c r="D1693" s="1"/>
      <c r="E1693" s="1"/>
      <c r="F1693" s="1"/>
      <c r="G1693" s="1"/>
      <c r="H1693" s="1"/>
      <c r="I1693" s="1"/>
      <c r="J1693" s="1"/>
      <c r="K1693" s="89" t="s">
        <v>2680</v>
      </c>
      <c r="L1693" s="89" t="str">
        <f t="shared" ref="L1693:L1694" si="8">H55</f>
        <v>C1a2a1b2~</v>
      </c>
      <c r="M1693" s="89"/>
      <c r="N1693" s="89"/>
      <c r="O1693" s="92">
        <v>9008730.0</v>
      </c>
      <c r="P1693" s="92">
        <v>9171121.0</v>
      </c>
      <c r="Q1693" s="89" t="s">
        <v>813</v>
      </c>
      <c r="AF1693" s="1"/>
      <c r="AG1693" s="1"/>
    </row>
    <row r="1694" ht="15.75" customHeight="1">
      <c r="A1694" s="1"/>
      <c r="B1694" s="1"/>
      <c r="C1694" s="1"/>
      <c r="D1694" s="1"/>
      <c r="E1694" s="1"/>
      <c r="F1694" s="1"/>
      <c r="G1694" s="1"/>
      <c r="H1694" s="1"/>
      <c r="I1694" s="1"/>
      <c r="J1694" s="1"/>
      <c r="K1694" s="89" t="s">
        <v>2681</v>
      </c>
      <c r="L1694" s="89" t="str">
        <f t="shared" si="8"/>
        <v>C1a2a1b3~</v>
      </c>
      <c r="M1694" s="89"/>
      <c r="N1694" s="89"/>
      <c r="O1694" s="92">
        <v>8442562.0</v>
      </c>
      <c r="P1694" s="92">
        <v>8574521.0</v>
      </c>
      <c r="Q1694" s="89" t="s">
        <v>886</v>
      </c>
      <c r="AF1694" s="1"/>
      <c r="AG1694" s="1"/>
    </row>
    <row r="1695" ht="15.75" customHeight="1">
      <c r="A1695" s="1"/>
      <c r="B1695" s="1"/>
      <c r="C1695" s="1"/>
      <c r="D1695" s="1"/>
      <c r="E1695" s="1"/>
      <c r="F1695" s="1"/>
      <c r="G1695" s="1"/>
      <c r="H1695" s="1"/>
      <c r="I1695" s="1"/>
      <c r="J1695" s="1"/>
      <c r="K1695" s="89" t="s">
        <v>2682</v>
      </c>
      <c r="L1695" s="89" t="str">
        <f>H56</f>
        <v>C1a2a1b3~</v>
      </c>
      <c r="M1695" s="89"/>
      <c r="N1695" s="89"/>
      <c r="O1695" s="92">
        <v>8534593.0</v>
      </c>
      <c r="P1695" s="92">
        <v>8666552.0</v>
      </c>
      <c r="Q1695" s="89" t="s">
        <v>864</v>
      </c>
      <c r="AF1695" s="1"/>
      <c r="AG1695" s="1"/>
    </row>
    <row r="1696" ht="15.75" customHeight="1">
      <c r="A1696" s="1"/>
      <c r="B1696" s="1"/>
      <c r="C1696" s="1"/>
      <c r="D1696" s="1"/>
      <c r="E1696" s="1"/>
      <c r="F1696" s="1"/>
      <c r="G1696" s="1"/>
      <c r="H1696" s="1"/>
      <c r="I1696" s="1"/>
      <c r="J1696" s="1"/>
      <c r="K1696" s="89" t="s">
        <v>2683</v>
      </c>
      <c r="L1696" s="89" t="str">
        <f>H56</f>
        <v>C1a2a1b3~</v>
      </c>
      <c r="M1696" s="89"/>
      <c r="N1696" s="89"/>
      <c r="O1696" s="92">
        <v>8611653.0</v>
      </c>
      <c r="P1696" s="92">
        <v>8743612.0</v>
      </c>
      <c r="Q1696" s="89" t="s">
        <v>802</v>
      </c>
      <c r="AF1696" s="1"/>
      <c r="AG1696" s="1"/>
    </row>
    <row r="1697" ht="15.75" customHeight="1">
      <c r="A1697" s="1"/>
      <c r="B1697" s="1"/>
      <c r="C1697" s="1"/>
      <c r="D1697" s="1"/>
      <c r="E1697" s="1"/>
      <c r="F1697" s="1"/>
      <c r="G1697" s="1"/>
      <c r="H1697" s="1"/>
      <c r="I1697" s="1"/>
      <c r="J1697" s="1"/>
      <c r="K1697" s="89" t="s">
        <v>2684</v>
      </c>
      <c r="L1697" s="89" t="str">
        <f>H56</f>
        <v>C1a2a1b3~</v>
      </c>
      <c r="M1697" s="89"/>
      <c r="N1697" s="89"/>
      <c r="O1697" s="92">
        <v>8864792.0</v>
      </c>
      <c r="P1697" s="92">
        <v>8996751.0</v>
      </c>
      <c r="Q1697" s="89" t="s">
        <v>831</v>
      </c>
      <c r="AF1697" s="1"/>
      <c r="AG1697" s="1"/>
    </row>
    <row r="1698" ht="15.75" customHeight="1">
      <c r="A1698" s="1"/>
      <c r="B1698" s="1"/>
      <c r="C1698" s="1"/>
      <c r="D1698" s="1"/>
      <c r="E1698" s="1"/>
      <c r="F1698" s="1"/>
      <c r="G1698" s="1"/>
      <c r="H1698" s="1"/>
      <c r="I1698" s="1"/>
      <c r="J1698" s="1"/>
      <c r="K1698" s="89" t="s">
        <v>2685</v>
      </c>
      <c r="L1698" s="89" t="str">
        <f>H56</f>
        <v>C1a2a1b3~</v>
      </c>
      <c r="M1698" s="89"/>
      <c r="N1698" s="89"/>
      <c r="O1698" s="92">
        <v>7213034.0</v>
      </c>
      <c r="P1698" s="92">
        <v>7344993.0</v>
      </c>
      <c r="Q1698" s="89" t="s">
        <v>864</v>
      </c>
      <c r="AF1698" s="1"/>
      <c r="AG1698" s="1"/>
    </row>
    <row r="1699" ht="15.75" customHeight="1">
      <c r="A1699" s="1"/>
      <c r="B1699" s="1"/>
      <c r="C1699" s="1"/>
      <c r="D1699" s="1"/>
      <c r="E1699" s="1"/>
      <c r="F1699" s="1"/>
      <c r="G1699" s="1"/>
      <c r="H1699" s="1"/>
      <c r="I1699" s="1"/>
      <c r="J1699" s="1"/>
      <c r="K1699" s="89" t="s">
        <v>2686</v>
      </c>
      <c r="L1699" s="89" t="str">
        <f>G57</f>
        <v>C1a2a1c~</v>
      </c>
      <c r="M1699" s="89"/>
      <c r="N1699" s="89"/>
      <c r="O1699" s="92">
        <v>7245632.0</v>
      </c>
      <c r="P1699" s="92">
        <v>7377591.0</v>
      </c>
      <c r="Q1699" s="89" t="s">
        <v>802</v>
      </c>
      <c r="AF1699" s="1"/>
      <c r="AG1699" s="1"/>
    </row>
    <row r="1700" ht="15.75" customHeight="1">
      <c r="A1700" s="1"/>
      <c r="B1700" s="1"/>
      <c r="C1700" s="1"/>
      <c r="D1700" s="1"/>
      <c r="E1700" s="1"/>
      <c r="F1700" s="1"/>
      <c r="G1700" s="1"/>
      <c r="H1700" s="1"/>
      <c r="I1700" s="1"/>
      <c r="J1700" s="1"/>
      <c r="K1700" s="89" t="s">
        <v>2687</v>
      </c>
      <c r="L1700" s="89" t="str">
        <f>G57</f>
        <v>C1a2a1c~</v>
      </c>
      <c r="M1700" s="89"/>
      <c r="N1700" s="89"/>
      <c r="O1700" s="92">
        <v>7366083.0</v>
      </c>
      <c r="P1700" s="92">
        <v>7498042.0</v>
      </c>
      <c r="Q1700" s="89" t="s">
        <v>802</v>
      </c>
      <c r="AF1700" s="1"/>
      <c r="AG1700" s="1"/>
    </row>
    <row r="1701" ht="15.75" customHeight="1">
      <c r="A1701" s="1"/>
      <c r="B1701" s="1"/>
      <c r="C1701" s="1"/>
      <c r="D1701" s="1"/>
      <c r="E1701" s="1"/>
      <c r="F1701" s="1"/>
      <c r="G1701" s="1"/>
      <c r="H1701" s="1"/>
      <c r="I1701" s="1"/>
      <c r="J1701" s="1"/>
      <c r="K1701" s="89" t="s">
        <v>2688</v>
      </c>
      <c r="L1701" s="89" t="str">
        <f>G57</f>
        <v>C1a2a1c~</v>
      </c>
      <c r="M1701" s="89"/>
      <c r="N1701" s="89"/>
      <c r="O1701" s="92">
        <v>7418868.0</v>
      </c>
      <c r="P1701" s="92">
        <v>7550827.0</v>
      </c>
      <c r="Q1701" s="89" t="s">
        <v>822</v>
      </c>
      <c r="AF1701" s="1"/>
      <c r="AG1701" s="1"/>
    </row>
    <row r="1702" ht="15.75" customHeight="1">
      <c r="A1702" s="1"/>
      <c r="B1702" s="1"/>
      <c r="C1702" s="1"/>
      <c r="D1702" s="1"/>
      <c r="E1702" s="1"/>
      <c r="F1702" s="1"/>
      <c r="G1702" s="1"/>
      <c r="H1702" s="1"/>
      <c r="I1702" s="1"/>
      <c r="J1702" s="1"/>
      <c r="K1702" s="89" t="s">
        <v>2689</v>
      </c>
      <c r="L1702" s="89" t="str">
        <f>G57</f>
        <v>C1a2a1c~</v>
      </c>
      <c r="M1702" s="89"/>
      <c r="N1702" s="89"/>
      <c r="O1702" s="92">
        <v>8112988.0</v>
      </c>
      <c r="P1702" s="92">
        <v>8244947.0</v>
      </c>
      <c r="Q1702" s="89" t="s">
        <v>838</v>
      </c>
      <c r="AF1702" s="1"/>
      <c r="AG1702" s="1"/>
    </row>
    <row r="1703" ht="15.75" customHeight="1">
      <c r="A1703" s="1"/>
      <c r="B1703" s="1"/>
      <c r="C1703" s="1"/>
      <c r="D1703" s="1"/>
      <c r="E1703" s="1"/>
      <c r="F1703" s="1"/>
      <c r="G1703" s="1"/>
      <c r="H1703" s="1"/>
      <c r="I1703" s="1"/>
      <c r="J1703" s="1"/>
      <c r="K1703" s="89" t="s">
        <v>2690</v>
      </c>
      <c r="L1703" s="89" t="str">
        <f>G57</f>
        <v>C1a2a1c~</v>
      </c>
      <c r="M1703" s="89"/>
      <c r="N1703" s="89"/>
      <c r="O1703" s="92">
        <v>8592180.0</v>
      </c>
      <c r="P1703" s="92">
        <v>8724139.0</v>
      </c>
      <c r="Q1703" s="89" t="s">
        <v>810</v>
      </c>
      <c r="AF1703" s="1"/>
      <c r="AG1703" s="1"/>
    </row>
    <row r="1704" ht="15.75" customHeight="1">
      <c r="A1704" s="1"/>
      <c r="B1704" s="1"/>
      <c r="C1704" s="1"/>
      <c r="D1704" s="1"/>
      <c r="E1704" s="1"/>
      <c r="F1704" s="1"/>
      <c r="G1704" s="1"/>
      <c r="H1704" s="1"/>
      <c r="I1704" s="1"/>
      <c r="J1704" s="1"/>
      <c r="K1704" s="89" t="s">
        <v>2691</v>
      </c>
      <c r="L1704" s="89" t="str">
        <f>F59</f>
        <v>C1a2a2</v>
      </c>
      <c r="M1704" s="89" t="s">
        <v>2692</v>
      </c>
      <c r="N1704" s="89"/>
      <c r="O1704" s="92">
        <v>2777695.0</v>
      </c>
      <c r="P1704" s="92">
        <v>2909654.0</v>
      </c>
      <c r="Q1704" s="89" t="s">
        <v>831</v>
      </c>
      <c r="AF1704" s="1"/>
      <c r="AG1704" s="1"/>
    </row>
    <row r="1705" ht="15.75" customHeight="1">
      <c r="A1705" s="1"/>
      <c r="B1705" s="1"/>
      <c r="C1705" s="1"/>
      <c r="D1705" s="1"/>
      <c r="E1705" s="1"/>
      <c r="F1705" s="1"/>
      <c r="G1705" s="1"/>
      <c r="H1705" s="1"/>
      <c r="I1705" s="1"/>
      <c r="J1705" s="1"/>
      <c r="K1705" s="89" t="s">
        <v>2692</v>
      </c>
      <c r="L1705" s="89" t="str">
        <f>F59</f>
        <v>C1a2a2</v>
      </c>
      <c r="M1705" s="89" t="s">
        <v>2691</v>
      </c>
      <c r="N1705" s="89"/>
      <c r="O1705" s="92">
        <v>2777695.0</v>
      </c>
      <c r="P1705" s="92">
        <v>2909654.0</v>
      </c>
      <c r="Q1705" s="89" t="s">
        <v>831</v>
      </c>
      <c r="AF1705" s="1"/>
      <c r="AG1705" s="1"/>
    </row>
    <row r="1706" ht="15.75" customHeight="1">
      <c r="A1706" s="1"/>
      <c r="B1706" s="1"/>
      <c r="C1706" s="1"/>
      <c r="D1706" s="1"/>
      <c r="E1706" s="1"/>
      <c r="F1706" s="1"/>
      <c r="G1706" s="1"/>
      <c r="H1706" s="1"/>
      <c r="I1706" s="1"/>
      <c r="J1706" s="1"/>
      <c r="K1706" s="89" t="s">
        <v>2693</v>
      </c>
      <c r="L1706" s="89" t="str">
        <f>F59</f>
        <v>C1a2a2</v>
      </c>
      <c r="M1706" s="89" t="s">
        <v>2694</v>
      </c>
      <c r="N1706" s="89" t="s">
        <v>2695</v>
      </c>
      <c r="O1706" s="92">
        <v>1.695927E7</v>
      </c>
      <c r="P1706" s="92">
        <v>1.484739E7</v>
      </c>
      <c r="Q1706" s="89" t="s">
        <v>810</v>
      </c>
      <c r="AF1706" s="1"/>
      <c r="AG1706" s="1"/>
    </row>
    <row r="1707" ht="15.75" customHeight="1">
      <c r="A1707" s="1"/>
      <c r="B1707" s="1"/>
      <c r="C1707" s="1"/>
      <c r="D1707" s="1"/>
      <c r="E1707" s="1"/>
      <c r="F1707" s="1"/>
      <c r="G1707" s="1"/>
      <c r="H1707" s="1"/>
      <c r="I1707" s="1"/>
      <c r="J1707" s="1"/>
      <c r="K1707" s="89" t="s">
        <v>2694</v>
      </c>
      <c r="L1707" s="89" t="str">
        <f>F59</f>
        <v>C1a2a2</v>
      </c>
      <c r="M1707" s="89" t="s">
        <v>2693</v>
      </c>
      <c r="N1707" s="89" t="s">
        <v>2695</v>
      </c>
      <c r="O1707" s="92">
        <v>1.695927E7</v>
      </c>
      <c r="P1707" s="92">
        <v>1.484739E7</v>
      </c>
      <c r="Q1707" s="89" t="s">
        <v>810</v>
      </c>
      <c r="AF1707" s="1"/>
      <c r="AG1707" s="1"/>
    </row>
    <row r="1708" ht="15.75" customHeight="1">
      <c r="A1708" s="1"/>
      <c r="B1708" s="1"/>
      <c r="C1708" s="1"/>
      <c r="D1708" s="1"/>
      <c r="E1708" s="1"/>
      <c r="F1708" s="1"/>
      <c r="G1708" s="1"/>
      <c r="H1708" s="1"/>
      <c r="I1708" s="1"/>
      <c r="J1708" s="1"/>
      <c r="K1708" s="89" t="s">
        <v>2696</v>
      </c>
      <c r="L1708" s="89" t="str">
        <f>F59</f>
        <v>C1a2a2</v>
      </c>
      <c r="M1708" s="89"/>
      <c r="N1708" s="89"/>
      <c r="O1708" s="92">
        <v>9863704.0</v>
      </c>
      <c r="P1708" s="92">
        <v>1.0026095E7</v>
      </c>
      <c r="Q1708" s="89" t="s">
        <v>810</v>
      </c>
      <c r="AF1708" s="1"/>
      <c r="AG1708" s="1"/>
    </row>
    <row r="1709" ht="15.75" customHeight="1">
      <c r="A1709" s="1"/>
      <c r="B1709" s="1"/>
      <c r="C1709" s="1"/>
      <c r="D1709" s="1"/>
      <c r="E1709" s="1"/>
      <c r="F1709" s="1"/>
      <c r="G1709" s="1"/>
      <c r="H1709" s="1"/>
      <c r="I1709" s="1"/>
      <c r="J1709" s="1"/>
      <c r="K1709" s="89" t="s">
        <v>2697</v>
      </c>
      <c r="L1709" s="89" t="str">
        <f>F59</f>
        <v>C1a2a2</v>
      </c>
      <c r="M1709" s="89"/>
      <c r="N1709" s="89"/>
      <c r="O1709" s="92">
        <v>1.9107995E7</v>
      </c>
      <c r="P1709" s="92">
        <v>1.6996115E7</v>
      </c>
      <c r="Q1709" s="89" t="s">
        <v>810</v>
      </c>
      <c r="AF1709" s="1"/>
      <c r="AG1709" s="1"/>
    </row>
    <row r="1710" ht="15.75" customHeight="1">
      <c r="A1710" s="1"/>
      <c r="B1710" s="1"/>
      <c r="C1710" s="1"/>
      <c r="D1710" s="1"/>
      <c r="E1710" s="1"/>
      <c r="F1710" s="1"/>
      <c r="G1710" s="1"/>
      <c r="H1710" s="1"/>
      <c r="I1710" s="1"/>
      <c r="J1710" s="1"/>
      <c r="K1710" s="89" t="s">
        <v>2698</v>
      </c>
      <c r="L1710" s="89" t="str">
        <f>F59</f>
        <v>C1a2a2</v>
      </c>
      <c r="M1710" s="89" t="s">
        <v>2699</v>
      </c>
      <c r="N1710" s="89"/>
      <c r="O1710" s="92">
        <v>7179051.0</v>
      </c>
      <c r="P1710" s="92">
        <v>7311010.0</v>
      </c>
      <c r="Q1710" s="89" t="s">
        <v>802</v>
      </c>
      <c r="AF1710" s="1"/>
      <c r="AG1710" s="1"/>
    </row>
    <row r="1711" ht="15.75" customHeight="1">
      <c r="A1711" s="1"/>
      <c r="B1711" s="1"/>
      <c r="C1711" s="1"/>
      <c r="D1711" s="1"/>
      <c r="E1711" s="1"/>
      <c r="F1711" s="1"/>
      <c r="G1711" s="1"/>
      <c r="H1711" s="1"/>
      <c r="I1711" s="1"/>
      <c r="J1711" s="1"/>
      <c r="K1711" s="89" t="s">
        <v>2699</v>
      </c>
      <c r="L1711" s="89" t="str">
        <f>F59</f>
        <v>C1a2a2</v>
      </c>
      <c r="M1711" s="89" t="s">
        <v>2698</v>
      </c>
      <c r="N1711" s="89"/>
      <c r="O1711" s="92">
        <v>7179051.0</v>
      </c>
      <c r="P1711" s="92">
        <v>7311010.0</v>
      </c>
      <c r="Q1711" s="89" t="s">
        <v>802</v>
      </c>
      <c r="AF1711" s="1"/>
      <c r="AG1711" s="1"/>
    </row>
    <row r="1712" ht="15.75" customHeight="1">
      <c r="A1712" s="1"/>
      <c r="B1712" s="1"/>
      <c r="C1712" s="1"/>
      <c r="D1712" s="1"/>
      <c r="E1712" s="1"/>
      <c r="F1712" s="1"/>
      <c r="G1712" s="1"/>
      <c r="H1712" s="1"/>
      <c r="I1712" s="1"/>
      <c r="J1712" s="1"/>
      <c r="K1712" s="89" t="s">
        <v>2700</v>
      </c>
      <c r="L1712" s="89" t="str">
        <f>F59</f>
        <v>C1a2a2</v>
      </c>
      <c r="M1712" s="89" t="s">
        <v>2701</v>
      </c>
      <c r="N1712" s="89"/>
      <c r="O1712" s="92">
        <v>7600058.0</v>
      </c>
      <c r="P1712" s="92">
        <v>7732017.0</v>
      </c>
      <c r="Q1712" s="89" t="s">
        <v>802</v>
      </c>
      <c r="AF1712" s="1"/>
      <c r="AG1712" s="1"/>
    </row>
    <row r="1713" ht="15.75" customHeight="1">
      <c r="A1713" s="1"/>
      <c r="B1713" s="1"/>
      <c r="C1713" s="1"/>
      <c r="D1713" s="1"/>
      <c r="E1713" s="1"/>
      <c r="F1713" s="1"/>
      <c r="G1713" s="1"/>
      <c r="H1713" s="1"/>
      <c r="I1713" s="1"/>
      <c r="J1713" s="1"/>
      <c r="K1713" s="89" t="s">
        <v>2701</v>
      </c>
      <c r="L1713" s="89" t="str">
        <f>F59</f>
        <v>C1a2a2</v>
      </c>
      <c r="M1713" s="89" t="s">
        <v>2700</v>
      </c>
      <c r="N1713" s="89"/>
      <c r="O1713" s="92">
        <v>7600058.0</v>
      </c>
      <c r="P1713" s="92">
        <v>7732017.0</v>
      </c>
      <c r="Q1713" s="89" t="s">
        <v>802</v>
      </c>
      <c r="AF1713" s="1"/>
      <c r="AG1713" s="1"/>
    </row>
    <row r="1714" ht="15.75" customHeight="1">
      <c r="A1714" s="1"/>
      <c r="B1714" s="1"/>
      <c r="C1714" s="1"/>
      <c r="D1714" s="1"/>
      <c r="E1714" s="1"/>
      <c r="F1714" s="1"/>
      <c r="G1714" s="1"/>
      <c r="H1714" s="1"/>
      <c r="I1714" s="1"/>
      <c r="J1714" s="1"/>
      <c r="K1714" s="89" t="s">
        <v>2702</v>
      </c>
      <c r="L1714" s="89" t="str">
        <f>F59</f>
        <v>C1a2a2</v>
      </c>
      <c r="M1714" s="89" t="s">
        <v>2703</v>
      </c>
      <c r="N1714" s="89"/>
      <c r="O1714" s="92">
        <v>7834536.0</v>
      </c>
      <c r="P1714" s="92">
        <v>7966495.0</v>
      </c>
      <c r="Q1714" s="89" t="s">
        <v>912</v>
      </c>
      <c r="AF1714" s="1"/>
      <c r="AG1714" s="1"/>
    </row>
    <row r="1715" ht="15.75" customHeight="1">
      <c r="A1715" s="1"/>
      <c r="B1715" s="1"/>
      <c r="C1715" s="1"/>
      <c r="D1715" s="1"/>
      <c r="E1715" s="1"/>
      <c r="F1715" s="1"/>
      <c r="G1715" s="1"/>
      <c r="H1715" s="1"/>
      <c r="I1715" s="1"/>
      <c r="J1715" s="1"/>
      <c r="K1715" s="89" t="s">
        <v>2703</v>
      </c>
      <c r="L1715" s="89" t="str">
        <f>F59</f>
        <v>C1a2a2</v>
      </c>
      <c r="M1715" s="89" t="s">
        <v>2702</v>
      </c>
      <c r="N1715" s="89"/>
      <c r="O1715" s="92">
        <v>7834536.0</v>
      </c>
      <c r="P1715" s="92">
        <v>7966495.0</v>
      </c>
      <c r="Q1715" s="89" t="s">
        <v>912</v>
      </c>
      <c r="AF1715" s="1"/>
      <c r="AG1715" s="1"/>
    </row>
    <row r="1716" ht="15.75" customHeight="1">
      <c r="A1716" s="1"/>
      <c r="B1716" s="1"/>
      <c r="C1716" s="1"/>
      <c r="D1716" s="1"/>
      <c r="E1716" s="1"/>
      <c r="F1716" s="1"/>
      <c r="G1716" s="1"/>
      <c r="H1716" s="1"/>
      <c r="I1716" s="1"/>
      <c r="J1716" s="1"/>
      <c r="K1716" s="89" t="s">
        <v>2704</v>
      </c>
      <c r="L1716" s="89" t="str">
        <f>F59</f>
        <v>C1a2a2</v>
      </c>
      <c r="M1716" s="89" t="s">
        <v>2705</v>
      </c>
      <c r="N1716" s="89"/>
      <c r="O1716" s="92">
        <v>8171606.0</v>
      </c>
      <c r="P1716" s="92">
        <v>8303565.0</v>
      </c>
      <c r="Q1716" s="89" t="s">
        <v>802</v>
      </c>
      <c r="AF1716" s="1"/>
      <c r="AG1716" s="1"/>
    </row>
    <row r="1717" ht="15.75" customHeight="1">
      <c r="A1717" s="1"/>
      <c r="B1717" s="1"/>
      <c r="C1717" s="1"/>
      <c r="D1717" s="1"/>
      <c r="E1717" s="1"/>
      <c r="F1717" s="1"/>
      <c r="G1717" s="1"/>
      <c r="H1717" s="1"/>
      <c r="I1717" s="1"/>
      <c r="J1717" s="1"/>
      <c r="K1717" s="89" t="s">
        <v>2705</v>
      </c>
      <c r="L1717" s="89" t="str">
        <f>F59</f>
        <v>C1a2a2</v>
      </c>
      <c r="M1717" s="89" t="s">
        <v>2704</v>
      </c>
      <c r="N1717" s="89"/>
      <c r="O1717" s="92">
        <v>8171606.0</v>
      </c>
      <c r="P1717" s="92">
        <v>8303565.0</v>
      </c>
      <c r="Q1717" s="89" t="s">
        <v>802</v>
      </c>
      <c r="AF1717" s="1"/>
      <c r="AG1717" s="1"/>
    </row>
    <row r="1718" ht="15.75" customHeight="1">
      <c r="A1718" s="1"/>
      <c r="B1718" s="1"/>
      <c r="C1718" s="1"/>
      <c r="D1718" s="1"/>
      <c r="E1718" s="1"/>
      <c r="F1718" s="1"/>
      <c r="G1718" s="1"/>
      <c r="H1718" s="1"/>
      <c r="I1718" s="1"/>
      <c r="J1718" s="1"/>
      <c r="K1718" s="89" t="s">
        <v>2706</v>
      </c>
      <c r="L1718" s="89" t="str">
        <f>F59</f>
        <v>C1a2a2</v>
      </c>
      <c r="M1718" s="89" t="s">
        <v>2707</v>
      </c>
      <c r="N1718" s="89"/>
      <c r="O1718" s="92">
        <v>8192567.0</v>
      </c>
      <c r="P1718" s="92">
        <v>8324526.0</v>
      </c>
      <c r="Q1718" s="89" t="s">
        <v>917</v>
      </c>
      <c r="AF1718" s="1"/>
      <c r="AG1718" s="1"/>
    </row>
    <row r="1719" ht="15.75" customHeight="1">
      <c r="A1719" s="1"/>
      <c r="B1719" s="1"/>
      <c r="C1719" s="1"/>
      <c r="D1719" s="1"/>
      <c r="E1719" s="1"/>
      <c r="F1719" s="1"/>
      <c r="G1719" s="1"/>
      <c r="H1719" s="1"/>
      <c r="I1719" s="1"/>
      <c r="J1719" s="1"/>
      <c r="K1719" s="89" t="s">
        <v>2707</v>
      </c>
      <c r="L1719" s="89" t="str">
        <f>F59</f>
        <v>C1a2a2</v>
      </c>
      <c r="M1719" s="89" t="s">
        <v>2706</v>
      </c>
      <c r="N1719" s="89"/>
      <c r="O1719" s="92">
        <v>8192567.0</v>
      </c>
      <c r="P1719" s="92">
        <v>8324526.0</v>
      </c>
      <c r="Q1719" s="89" t="s">
        <v>917</v>
      </c>
      <c r="AF1719" s="1"/>
      <c r="AG1719" s="1"/>
    </row>
    <row r="1720" ht="15.75" customHeight="1">
      <c r="A1720" s="1"/>
      <c r="B1720" s="1"/>
      <c r="C1720" s="1"/>
      <c r="D1720" s="1"/>
      <c r="E1720" s="1"/>
      <c r="F1720" s="1"/>
      <c r="G1720" s="1"/>
      <c r="H1720" s="1"/>
      <c r="I1720" s="1"/>
      <c r="J1720" s="1"/>
      <c r="K1720" s="89" t="s">
        <v>2708</v>
      </c>
      <c r="L1720" s="89" t="str">
        <f>F59</f>
        <v>C1a2a2</v>
      </c>
      <c r="M1720" s="89" t="s">
        <v>2709</v>
      </c>
      <c r="N1720" s="89"/>
      <c r="O1720" s="92">
        <v>8485673.0</v>
      </c>
      <c r="P1720" s="92">
        <v>8617632.0</v>
      </c>
      <c r="Q1720" s="89" t="s">
        <v>810</v>
      </c>
      <c r="AF1720" s="1"/>
      <c r="AG1720" s="1"/>
    </row>
    <row r="1721" ht="15.75" customHeight="1">
      <c r="A1721" s="1"/>
      <c r="B1721" s="1"/>
      <c r="C1721" s="1"/>
      <c r="D1721" s="1"/>
      <c r="E1721" s="1"/>
      <c r="F1721" s="1"/>
      <c r="G1721" s="1"/>
      <c r="H1721" s="1"/>
      <c r="I1721" s="1"/>
      <c r="J1721" s="1"/>
      <c r="K1721" s="89" t="s">
        <v>2709</v>
      </c>
      <c r="L1721" s="89" t="str">
        <f>F59</f>
        <v>C1a2a2</v>
      </c>
      <c r="M1721" s="89" t="s">
        <v>2708</v>
      </c>
      <c r="N1721" s="89"/>
      <c r="O1721" s="92">
        <v>8485673.0</v>
      </c>
      <c r="P1721" s="92">
        <v>8617632.0</v>
      </c>
      <c r="Q1721" s="89" t="s">
        <v>810</v>
      </c>
      <c r="AF1721" s="1"/>
      <c r="AG1721" s="1"/>
    </row>
    <row r="1722" ht="15.75" customHeight="1">
      <c r="A1722" s="1"/>
      <c r="B1722" s="1"/>
      <c r="C1722" s="1"/>
      <c r="D1722" s="1"/>
      <c r="E1722" s="1"/>
      <c r="F1722" s="1"/>
      <c r="G1722" s="1"/>
      <c r="H1722" s="1"/>
      <c r="I1722" s="1"/>
      <c r="J1722" s="1"/>
      <c r="K1722" s="89" t="s">
        <v>2710</v>
      </c>
      <c r="L1722" s="89" t="str">
        <f>F59</f>
        <v>C1a2a2</v>
      </c>
      <c r="M1722" s="89" t="s">
        <v>2711</v>
      </c>
      <c r="N1722" s="89"/>
      <c r="O1722" s="92">
        <v>8577375.0</v>
      </c>
      <c r="P1722" s="92">
        <v>8709334.0</v>
      </c>
      <c r="Q1722" s="89" t="s">
        <v>802</v>
      </c>
      <c r="AF1722" s="1"/>
      <c r="AG1722" s="1"/>
    </row>
    <row r="1723" ht="15.75" customHeight="1">
      <c r="A1723" s="1"/>
      <c r="B1723" s="1"/>
      <c r="C1723" s="1"/>
      <c r="D1723" s="1"/>
      <c r="E1723" s="1"/>
      <c r="F1723" s="1"/>
      <c r="G1723" s="1"/>
      <c r="H1723" s="1"/>
      <c r="I1723" s="1"/>
      <c r="J1723" s="1"/>
      <c r="K1723" s="89" t="s">
        <v>2711</v>
      </c>
      <c r="L1723" s="89" t="str">
        <f>F59</f>
        <v>C1a2a2</v>
      </c>
      <c r="M1723" s="89" t="s">
        <v>2710</v>
      </c>
      <c r="N1723" s="89"/>
      <c r="O1723" s="92">
        <v>8577375.0</v>
      </c>
      <c r="P1723" s="92">
        <v>8709334.0</v>
      </c>
      <c r="Q1723" s="89" t="s">
        <v>802</v>
      </c>
      <c r="AF1723" s="1"/>
      <c r="AG1723" s="1"/>
    </row>
    <row r="1724" ht="15.75" customHeight="1">
      <c r="A1724" s="1"/>
      <c r="B1724" s="1"/>
      <c r="C1724" s="1"/>
      <c r="D1724" s="1"/>
      <c r="E1724" s="1"/>
      <c r="F1724" s="1"/>
      <c r="G1724" s="1"/>
      <c r="H1724" s="1"/>
      <c r="I1724" s="1"/>
      <c r="J1724" s="1"/>
      <c r="K1724" s="89" t="s">
        <v>2712</v>
      </c>
      <c r="L1724" s="89" t="str">
        <f>F59</f>
        <v>C1a2a2</v>
      </c>
      <c r="M1724" s="89" t="s">
        <v>2713</v>
      </c>
      <c r="N1724" s="89"/>
      <c r="O1724" s="92">
        <v>8622985.0</v>
      </c>
      <c r="P1724" s="92">
        <v>8754944.0</v>
      </c>
      <c r="Q1724" s="89" t="s">
        <v>822</v>
      </c>
      <c r="AF1724" s="1"/>
      <c r="AG1724" s="1"/>
    </row>
    <row r="1725" ht="15.75" customHeight="1">
      <c r="A1725" s="1"/>
      <c r="B1725" s="1"/>
      <c r="C1725" s="1"/>
      <c r="D1725" s="1"/>
      <c r="E1725" s="1"/>
      <c r="F1725" s="1"/>
      <c r="G1725" s="1"/>
      <c r="H1725" s="1"/>
      <c r="I1725" s="1"/>
      <c r="J1725" s="1"/>
      <c r="K1725" s="89" t="s">
        <v>2713</v>
      </c>
      <c r="L1725" s="89" t="str">
        <f>F59</f>
        <v>C1a2a2</v>
      </c>
      <c r="M1725" s="89" t="s">
        <v>2712</v>
      </c>
      <c r="N1725" s="89"/>
      <c r="O1725" s="92">
        <v>8622985.0</v>
      </c>
      <c r="P1725" s="92">
        <v>8754944.0</v>
      </c>
      <c r="Q1725" s="89" t="s">
        <v>822</v>
      </c>
      <c r="AF1725" s="1"/>
      <c r="AG1725" s="1"/>
    </row>
    <row r="1726" ht="15.75" customHeight="1">
      <c r="A1726" s="1"/>
      <c r="B1726" s="1"/>
      <c r="C1726" s="1"/>
      <c r="D1726" s="1"/>
      <c r="E1726" s="1"/>
      <c r="F1726" s="1"/>
      <c r="G1726" s="1"/>
      <c r="H1726" s="1"/>
      <c r="I1726" s="1"/>
      <c r="J1726" s="1"/>
      <c r="K1726" s="89" t="s">
        <v>2714</v>
      </c>
      <c r="L1726" s="89" t="str">
        <f>F59</f>
        <v>C1a2a2</v>
      </c>
      <c r="M1726" s="89" t="s">
        <v>2715</v>
      </c>
      <c r="N1726" s="89"/>
      <c r="O1726" s="92">
        <v>1.4205455E7</v>
      </c>
      <c r="P1726" s="92">
        <v>1.2084749E7</v>
      </c>
      <c r="Q1726" s="89" t="s">
        <v>810</v>
      </c>
      <c r="AF1726" s="1"/>
      <c r="AG1726" s="1"/>
    </row>
    <row r="1727" ht="15.75" customHeight="1">
      <c r="A1727" s="1"/>
      <c r="B1727" s="1"/>
      <c r="C1727" s="1"/>
      <c r="D1727" s="1"/>
      <c r="E1727" s="1"/>
      <c r="F1727" s="1"/>
      <c r="G1727" s="1"/>
      <c r="H1727" s="1"/>
      <c r="I1727" s="1"/>
      <c r="J1727" s="1"/>
      <c r="K1727" s="89" t="s">
        <v>2715</v>
      </c>
      <c r="L1727" s="89" t="str">
        <f>F59</f>
        <v>C1a2a2</v>
      </c>
      <c r="M1727" s="89" t="s">
        <v>2714</v>
      </c>
      <c r="N1727" s="89"/>
      <c r="O1727" s="92">
        <v>1.4205455E7</v>
      </c>
      <c r="P1727" s="92">
        <v>1.2084749E7</v>
      </c>
      <c r="Q1727" s="89" t="s">
        <v>810</v>
      </c>
      <c r="AF1727" s="1"/>
      <c r="AG1727" s="1"/>
    </row>
    <row r="1728" ht="15.75" customHeight="1">
      <c r="A1728" s="1"/>
      <c r="B1728" s="1"/>
      <c r="C1728" s="1"/>
      <c r="D1728" s="1"/>
      <c r="E1728" s="1"/>
      <c r="F1728" s="1"/>
      <c r="G1728" s="1"/>
      <c r="H1728" s="1"/>
      <c r="I1728" s="1"/>
      <c r="J1728" s="1"/>
      <c r="K1728" s="89" t="s">
        <v>2716</v>
      </c>
      <c r="L1728" s="89" t="str">
        <f>F59</f>
        <v>C1a2a2</v>
      </c>
      <c r="M1728" s="89" t="s">
        <v>2717</v>
      </c>
      <c r="N1728" s="89"/>
      <c r="O1728" s="92">
        <v>1.5067376E7</v>
      </c>
      <c r="P1728" s="92">
        <v>1.2955467E7</v>
      </c>
      <c r="Q1728" s="89" t="s">
        <v>810</v>
      </c>
      <c r="AF1728" s="1"/>
      <c r="AG1728" s="1"/>
    </row>
    <row r="1729" ht="15.75" customHeight="1">
      <c r="A1729" s="1"/>
      <c r="B1729" s="1"/>
      <c r="C1729" s="1"/>
      <c r="D1729" s="1"/>
      <c r="E1729" s="1"/>
      <c r="F1729" s="1"/>
      <c r="G1729" s="1"/>
      <c r="H1729" s="1"/>
      <c r="I1729" s="1"/>
      <c r="J1729" s="1"/>
      <c r="K1729" s="89" t="s">
        <v>2717</v>
      </c>
      <c r="L1729" s="89" t="str">
        <f>F59</f>
        <v>C1a2a2</v>
      </c>
      <c r="M1729" s="89" t="s">
        <v>2716</v>
      </c>
      <c r="N1729" s="89"/>
      <c r="O1729" s="92">
        <v>1.5067376E7</v>
      </c>
      <c r="P1729" s="92">
        <v>1.2955467E7</v>
      </c>
      <c r="Q1729" s="89" t="s">
        <v>810</v>
      </c>
      <c r="AF1729" s="1"/>
      <c r="AG1729" s="1"/>
    </row>
    <row r="1730" ht="15.75" customHeight="1">
      <c r="A1730" s="1"/>
      <c r="B1730" s="1"/>
      <c r="C1730" s="1"/>
      <c r="D1730" s="1"/>
      <c r="E1730" s="1"/>
      <c r="F1730" s="1"/>
      <c r="G1730" s="1"/>
      <c r="H1730" s="1"/>
      <c r="I1730" s="1"/>
      <c r="J1730" s="1"/>
      <c r="K1730" s="89" t="s">
        <v>2718</v>
      </c>
      <c r="L1730" s="89" t="str">
        <f>F59</f>
        <v>C1a2a2</v>
      </c>
      <c r="M1730" s="89" t="s">
        <v>2719</v>
      </c>
      <c r="N1730" s="89"/>
      <c r="O1730" s="92">
        <v>1.5485269E7</v>
      </c>
      <c r="P1730" s="92">
        <v>1.3373389E7</v>
      </c>
      <c r="Q1730" s="89" t="s">
        <v>831</v>
      </c>
      <c r="AF1730" s="1"/>
      <c r="AG1730" s="1"/>
    </row>
    <row r="1731" ht="15.75" customHeight="1">
      <c r="A1731" s="1"/>
      <c r="B1731" s="1"/>
      <c r="C1731" s="1"/>
      <c r="D1731" s="1"/>
      <c r="E1731" s="1"/>
      <c r="F1731" s="1"/>
      <c r="G1731" s="1"/>
      <c r="H1731" s="1"/>
      <c r="I1731" s="1"/>
      <c r="J1731" s="1"/>
      <c r="K1731" s="89" t="s">
        <v>2719</v>
      </c>
      <c r="L1731" s="89" t="str">
        <f>F59</f>
        <v>C1a2a2</v>
      </c>
      <c r="M1731" s="89" t="s">
        <v>2718</v>
      </c>
      <c r="N1731" s="89"/>
      <c r="O1731" s="92">
        <v>1.5485269E7</v>
      </c>
      <c r="P1731" s="92">
        <v>1.3373389E7</v>
      </c>
      <c r="Q1731" s="89" t="s">
        <v>831</v>
      </c>
      <c r="AF1731" s="1"/>
      <c r="AG1731" s="1"/>
    </row>
    <row r="1732" ht="15.75" customHeight="1">
      <c r="A1732" s="1"/>
      <c r="B1732" s="1"/>
      <c r="C1732" s="1"/>
      <c r="D1732" s="1"/>
      <c r="E1732" s="1"/>
      <c r="F1732" s="1"/>
      <c r="G1732" s="1"/>
      <c r="H1732" s="1"/>
      <c r="I1732" s="1"/>
      <c r="J1732" s="1"/>
      <c r="K1732" s="89" t="s">
        <v>2720</v>
      </c>
      <c r="L1732" s="89" t="str">
        <f>F59</f>
        <v>C1a2a2</v>
      </c>
      <c r="M1732" s="89" t="s">
        <v>2721</v>
      </c>
      <c r="N1732" s="89"/>
      <c r="O1732" s="92">
        <v>1.5576131E7</v>
      </c>
      <c r="P1732" s="92">
        <v>1.3464251E7</v>
      </c>
      <c r="Q1732" s="89" t="s">
        <v>838</v>
      </c>
      <c r="AF1732" s="1"/>
      <c r="AG1732" s="1"/>
    </row>
    <row r="1733" ht="15.75" customHeight="1">
      <c r="A1733" s="1"/>
      <c r="B1733" s="1"/>
      <c r="C1733" s="1"/>
      <c r="D1733" s="1"/>
      <c r="E1733" s="1"/>
      <c r="F1733" s="1"/>
      <c r="G1733" s="1"/>
      <c r="H1733" s="1"/>
      <c r="I1733" s="1"/>
      <c r="J1733" s="1"/>
      <c r="K1733" s="89" t="s">
        <v>2721</v>
      </c>
      <c r="L1733" s="89" t="str">
        <f>F59</f>
        <v>C1a2a2</v>
      </c>
      <c r="M1733" s="89" t="s">
        <v>2720</v>
      </c>
      <c r="N1733" s="89"/>
      <c r="O1733" s="92">
        <v>1.5576131E7</v>
      </c>
      <c r="P1733" s="92">
        <v>1.3464251E7</v>
      </c>
      <c r="Q1733" s="89" t="s">
        <v>838</v>
      </c>
      <c r="AF1733" s="1"/>
      <c r="AG1733" s="1"/>
    </row>
    <row r="1734" ht="15.75" customHeight="1">
      <c r="A1734" s="1"/>
      <c r="B1734" s="1"/>
      <c r="C1734" s="1"/>
      <c r="D1734" s="1"/>
      <c r="E1734" s="1"/>
      <c r="F1734" s="1"/>
      <c r="G1734" s="1"/>
      <c r="H1734" s="1"/>
      <c r="I1734" s="1"/>
      <c r="J1734" s="1"/>
      <c r="K1734" s="89" t="s">
        <v>2722</v>
      </c>
      <c r="L1734" s="89" t="str">
        <f>F59</f>
        <v>C1a2a2</v>
      </c>
      <c r="M1734" s="89" t="s">
        <v>2723</v>
      </c>
      <c r="N1734" s="89"/>
      <c r="O1734" s="92">
        <v>1.5689655E7</v>
      </c>
      <c r="P1734" s="92">
        <v>1.3577775E7</v>
      </c>
      <c r="Q1734" s="89" t="s">
        <v>802</v>
      </c>
      <c r="AF1734" s="1"/>
      <c r="AG1734" s="1"/>
    </row>
    <row r="1735" ht="15.75" customHeight="1">
      <c r="A1735" s="1"/>
      <c r="B1735" s="1"/>
      <c r="C1735" s="1"/>
      <c r="D1735" s="1"/>
      <c r="E1735" s="1"/>
      <c r="F1735" s="1"/>
      <c r="G1735" s="1"/>
      <c r="H1735" s="1"/>
      <c r="I1735" s="1"/>
      <c r="J1735" s="1"/>
      <c r="K1735" s="89" t="s">
        <v>2723</v>
      </c>
      <c r="L1735" s="89" t="str">
        <f>F59</f>
        <v>C1a2a2</v>
      </c>
      <c r="M1735" s="89" t="s">
        <v>2722</v>
      </c>
      <c r="N1735" s="89"/>
      <c r="O1735" s="92">
        <v>1.5689655E7</v>
      </c>
      <c r="P1735" s="92">
        <v>1.3577775E7</v>
      </c>
      <c r="Q1735" s="89" t="s">
        <v>802</v>
      </c>
      <c r="AF1735" s="1"/>
      <c r="AG1735" s="1"/>
    </row>
    <row r="1736" ht="15.75" customHeight="1">
      <c r="A1736" s="1"/>
      <c r="B1736" s="1"/>
      <c r="C1736" s="1"/>
      <c r="D1736" s="1"/>
      <c r="E1736" s="1"/>
      <c r="F1736" s="1"/>
      <c r="G1736" s="1"/>
      <c r="H1736" s="1"/>
      <c r="I1736" s="1"/>
      <c r="J1736" s="1"/>
      <c r="K1736" s="89" t="s">
        <v>2724</v>
      </c>
      <c r="L1736" s="89" t="str">
        <f>F59</f>
        <v>C1a2a2</v>
      </c>
      <c r="M1736" s="89" t="s">
        <v>2725</v>
      </c>
      <c r="N1736" s="89"/>
      <c r="O1736" s="92">
        <v>1.6032777E7</v>
      </c>
      <c r="P1736" s="92">
        <v>1.3920897E7</v>
      </c>
      <c r="Q1736" s="89" t="s">
        <v>810</v>
      </c>
      <c r="AF1736" s="1"/>
      <c r="AG1736" s="1"/>
    </row>
    <row r="1737" ht="15.75" customHeight="1">
      <c r="A1737" s="1"/>
      <c r="B1737" s="1"/>
      <c r="C1737" s="1"/>
      <c r="D1737" s="1"/>
      <c r="E1737" s="1"/>
      <c r="F1737" s="1"/>
      <c r="G1737" s="1"/>
      <c r="H1737" s="1"/>
      <c r="I1737" s="1"/>
      <c r="J1737" s="1"/>
      <c r="K1737" s="89" t="s">
        <v>2725</v>
      </c>
      <c r="L1737" s="89" t="str">
        <f>F59</f>
        <v>C1a2a2</v>
      </c>
      <c r="M1737" s="89" t="s">
        <v>2724</v>
      </c>
      <c r="N1737" s="89"/>
      <c r="O1737" s="92">
        <v>1.6032777E7</v>
      </c>
      <c r="P1737" s="92">
        <v>1.3920897E7</v>
      </c>
      <c r="Q1737" s="89" t="s">
        <v>810</v>
      </c>
      <c r="AF1737" s="1"/>
      <c r="AG1737" s="1"/>
    </row>
    <row r="1738" ht="15.75" customHeight="1">
      <c r="A1738" s="1"/>
      <c r="B1738" s="1"/>
      <c r="C1738" s="1"/>
      <c r="D1738" s="1"/>
      <c r="E1738" s="1"/>
      <c r="F1738" s="1"/>
      <c r="G1738" s="1"/>
      <c r="H1738" s="1"/>
      <c r="I1738" s="1"/>
      <c r="J1738" s="1"/>
      <c r="K1738" s="89" t="s">
        <v>2726</v>
      </c>
      <c r="L1738" s="89" t="str">
        <f>F59</f>
        <v>C1a2a2</v>
      </c>
      <c r="M1738" s="89" t="s">
        <v>2727</v>
      </c>
      <c r="N1738" s="89"/>
      <c r="O1738" s="92">
        <v>1.6448489E7</v>
      </c>
      <c r="P1738" s="92">
        <v>1.4336609E7</v>
      </c>
      <c r="Q1738" s="89" t="s">
        <v>810</v>
      </c>
      <c r="AF1738" s="1"/>
      <c r="AG1738" s="1"/>
    </row>
    <row r="1739" ht="15.75" customHeight="1">
      <c r="A1739" s="1"/>
      <c r="B1739" s="1"/>
      <c r="C1739" s="1"/>
      <c r="D1739" s="1"/>
      <c r="E1739" s="1"/>
      <c r="F1739" s="1"/>
      <c r="G1739" s="1"/>
      <c r="H1739" s="1"/>
      <c r="I1739" s="1"/>
      <c r="J1739" s="1"/>
      <c r="K1739" s="89" t="s">
        <v>2727</v>
      </c>
      <c r="L1739" s="89" t="str">
        <f>F59</f>
        <v>C1a2a2</v>
      </c>
      <c r="M1739" s="89" t="s">
        <v>2726</v>
      </c>
      <c r="N1739" s="89"/>
      <c r="O1739" s="92">
        <v>1.6448489E7</v>
      </c>
      <c r="P1739" s="92">
        <v>1.4336609E7</v>
      </c>
      <c r="Q1739" s="89" t="s">
        <v>810</v>
      </c>
      <c r="AF1739" s="1"/>
      <c r="AG1739" s="1"/>
    </row>
    <row r="1740" ht="15.75" customHeight="1">
      <c r="A1740" s="1"/>
      <c r="B1740" s="1"/>
      <c r="C1740" s="1"/>
      <c r="D1740" s="1"/>
      <c r="E1740" s="1"/>
      <c r="F1740" s="1"/>
      <c r="G1740" s="1"/>
      <c r="H1740" s="1"/>
      <c r="I1740" s="1"/>
      <c r="J1740" s="1"/>
      <c r="K1740" s="89" t="s">
        <v>2728</v>
      </c>
      <c r="L1740" s="89" t="str">
        <f>F59</f>
        <v>C1a2a2</v>
      </c>
      <c r="M1740" s="89" t="s">
        <v>2729</v>
      </c>
      <c r="N1740" s="89"/>
      <c r="O1740" s="92">
        <v>1.6666339E7</v>
      </c>
      <c r="P1740" s="92">
        <v>1.4554459E7</v>
      </c>
      <c r="Q1740" s="89" t="s">
        <v>802</v>
      </c>
      <c r="AF1740" s="1"/>
      <c r="AG1740" s="1"/>
    </row>
    <row r="1741" ht="15.75" customHeight="1">
      <c r="A1741" s="1"/>
      <c r="B1741" s="1"/>
      <c r="C1741" s="1"/>
      <c r="D1741" s="1"/>
      <c r="E1741" s="1"/>
      <c r="F1741" s="1"/>
      <c r="G1741" s="1"/>
      <c r="H1741" s="1"/>
      <c r="I1741" s="1"/>
      <c r="J1741" s="1"/>
      <c r="K1741" s="89" t="s">
        <v>2729</v>
      </c>
      <c r="L1741" s="89" t="str">
        <f>F59</f>
        <v>C1a2a2</v>
      </c>
      <c r="M1741" s="89" t="s">
        <v>2728</v>
      </c>
      <c r="N1741" s="89"/>
      <c r="O1741" s="92">
        <v>1.6666339E7</v>
      </c>
      <c r="P1741" s="92">
        <v>1.4554459E7</v>
      </c>
      <c r="Q1741" s="89" t="s">
        <v>802</v>
      </c>
      <c r="AF1741" s="1"/>
      <c r="AG1741" s="1"/>
    </row>
    <row r="1742" ht="15.75" customHeight="1">
      <c r="A1742" s="1"/>
      <c r="B1742" s="1"/>
      <c r="C1742" s="1"/>
      <c r="D1742" s="1"/>
      <c r="E1742" s="1"/>
      <c r="F1742" s="1"/>
      <c r="G1742" s="1"/>
      <c r="H1742" s="1"/>
      <c r="I1742" s="1"/>
      <c r="J1742" s="1"/>
      <c r="K1742" s="89" t="s">
        <v>2730</v>
      </c>
      <c r="L1742" s="89" t="str">
        <f>F59</f>
        <v>C1a2a2</v>
      </c>
      <c r="M1742" s="89" t="s">
        <v>2731</v>
      </c>
      <c r="N1742" s="89"/>
      <c r="O1742" s="92">
        <v>1.6812808E7</v>
      </c>
      <c r="P1742" s="92">
        <v>1.4700928E7</v>
      </c>
      <c r="Q1742" s="89" t="s">
        <v>838</v>
      </c>
      <c r="AF1742" s="1"/>
      <c r="AG1742" s="1"/>
    </row>
    <row r="1743" ht="15.75" customHeight="1">
      <c r="A1743" s="1"/>
      <c r="B1743" s="1"/>
      <c r="C1743" s="1"/>
      <c r="D1743" s="1"/>
      <c r="E1743" s="1"/>
      <c r="F1743" s="1"/>
      <c r="G1743" s="1"/>
      <c r="H1743" s="1"/>
      <c r="I1743" s="1"/>
      <c r="J1743" s="1"/>
      <c r="K1743" s="89" t="s">
        <v>2731</v>
      </c>
      <c r="L1743" s="89" t="str">
        <f>F59</f>
        <v>C1a2a2</v>
      </c>
      <c r="M1743" s="89" t="s">
        <v>2730</v>
      </c>
      <c r="N1743" s="89"/>
      <c r="O1743" s="92">
        <v>1.6812808E7</v>
      </c>
      <c r="P1743" s="92">
        <v>1.4700928E7</v>
      </c>
      <c r="Q1743" s="89" t="s">
        <v>838</v>
      </c>
      <c r="AF1743" s="1"/>
      <c r="AG1743" s="1"/>
    </row>
    <row r="1744" ht="15.75" customHeight="1">
      <c r="A1744" s="1"/>
      <c r="B1744" s="1"/>
      <c r="C1744" s="1"/>
      <c r="D1744" s="1"/>
      <c r="E1744" s="1"/>
      <c r="F1744" s="1"/>
      <c r="G1744" s="1"/>
      <c r="H1744" s="1"/>
      <c r="I1744" s="1"/>
      <c r="J1744" s="1"/>
      <c r="K1744" s="89" t="s">
        <v>2732</v>
      </c>
      <c r="L1744" s="89" t="str">
        <f>F59</f>
        <v>C1a2a2</v>
      </c>
      <c r="M1744" s="89" t="s">
        <v>2733</v>
      </c>
      <c r="N1744" s="89"/>
      <c r="O1744" s="92">
        <v>1.7576862E7</v>
      </c>
      <c r="P1744" s="92">
        <v>1.5464982E7</v>
      </c>
      <c r="Q1744" s="89" t="s">
        <v>838</v>
      </c>
      <c r="AF1744" s="1"/>
      <c r="AG1744" s="1"/>
    </row>
    <row r="1745" ht="15.75" customHeight="1">
      <c r="A1745" s="1"/>
      <c r="B1745" s="1"/>
      <c r="C1745" s="1"/>
      <c r="D1745" s="1"/>
      <c r="E1745" s="1"/>
      <c r="F1745" s="1"/>
      <c r="G1745" s="1"/>
      <c r="H1745" s="1"/>
      <c r="I1745" s="1"/>
      <c r="J1745" s="1"/>
      <c r="K1745" s="89" t="s">
        <v>2733</v>
      </c>
      <c r="L1745" s="89" t="str">
        <f>F59</f>
        <v>C1a2a2</v>
      </c>
      <c r="M1745" s="89" t="s">
        <v>2732</v>
      </c>
      <c r="N1745" s="89"/>
      <c r="O1745" s="92">
        <v>1.7576862E7</v>
      </c>
      <c r="P1745" s="92">
        <v>1.5464982E7</v>
      </c>
      <c r="Q1745" s="89" t="s">
        <v>838</v>
      </c>
      <c r="AF1745" s="1"/>
      <c r="AG1745" s="1"/>
    </row>
    <row r="1746" ht="15.75" customHeight="1">
      <c r="A1746" s="1"/>
      <c r="B1746" s="1"/>
      <c r="C1746" s="1"/>
      <c r="D1746" s="1"/>
      <c r="E1746" s="1"/>
      <c r="F1746" s="1"/>
      <c r="G1746" s="1"/>
      <c r="H1746" s="1"/>
      <c r="I1746" s="1"/>
      <c r="J1746" s="1"/>
      <c r="K1746" s="89" t="s">
        <v>2734</v>
      </c>
      <c r="L1746" s="89" t="str">
        <f>F59</f>
        <v>C1a2a2</v>
      </c>
      <c r="M1746" s="89" t="s">
        <v>2735</v>
      </c>
      <c r="N1746" s="89"/>
      <c r="O1746" s="92">
        <v>1.7633931E7</v>
      </c>
      <c r="P1746" s="92">
        <v>1.5522051E7</v>
      </c>
      <c r="Q1746" s="89" t="s">
        <v>813</v>
      </c>
      <c r="AF1746" s="1"/>
      <c r="AG1746" s="1"/>
    </row>
    <row r="1747" ht="15.75" customHeight="1">
      <c r="A1747" s="1"/>
      <c r="B1747" s="1"/>
      <c r="C1747" s="1"/>
      <c r="D1747" s="1"/>
      <c r="E1747" s="1"/>
      <c r="F1747" s="1"/>
      <c r="G1747" s="1"/>
      <c r="H1747" s="1"/>
      <c r="I1747" s="1"/>
      <c r="J1747" s="1"/>
      <c r="K1747" s="89" t="s">
        <v>2735</v>
      </c>
      <c r="L1747" s="89" t="str">
        <f>F59</f>
        <v>C1a2a2</v>
      </c>
      <c r="M1747" s="89" t="s">
        <v>2734</v>
      </c>
      <c r="N1747" s="89"/>
      <c r="O1747" s="92">
        <v>1.7633931E7</v>
      </c>
      <c r="P1747" s="92">
        <v>1.5522051E7</v>
      </c>
      <c r="Q1747" s="89" t="s">
        <v>813</v>
      </c>
      <c r="AF1747" s="1"/>
      <c r="AG1747" s="1"/>
    </row>
    <row r="1748" ht="15.75" customHeight="1">
      <c r="A1748" s="1"/>
      <c r="B1748" s="1"/>
      <c r="C1748" s="1"/>
      <c r="D1748" s="1"/>
      <c r="E1748" s="1"/>
      <c r="F1748" s="1"/>
      <c r="G1748" s="1"/>
      <c r="H1748" s="1"/>
      <c r="I1748" s="1"/>
      <c r="J1748" s="1"/>
      <c r="K1748" s="89" t="s">
        <v>2736</v>
      </c>
      <c r="L1748" s="89" t="str">
        <f>F59</f>
        <v>C1a2a2</v>
      </c>
      <c r="M1748" s="89" t="s">
        <v>2737</v>
      </c>
      <c r="N1748" s="89"/>
      <c r="O1748" s="92">
        <v>1.7709866E7</v>
      </c>
      <c r="P1748" s="92">
        <v>1.5597986E7</v>
      </c>
      <c r="Q1748" s="89" t="s">
        <v>822</v>
      </c>
      <c r="AF1748" s="1"/>
      <c r="AG1748" s="1"/>
    </row>
    <row r="1749" ht="15.75" customHeight="1">
      <c r="A1749" s="1"/>
      <c r="B1749" s="1"/>
      <c r="C1749" s="1"/>
      <c r="D1749" s="1"/>
      <c r="E1749" s="1"/>
      <c r="F1749" s="1"/>
      <c r="G1749" s="1"/>
      <c r="H1749" s="1"/>
      <c r="I1749" s="1"/>
      <c r="J1749" s="1"/>
      <c r="K1749" s="89" t="s">
        <v>2737</v>
      </c>
      <c r="L1749" s="89" t="str">
        <f>F59</f>
        <v>C1a2a2</v>
      </c>
      <c r="M1749" s="89" t="s">
        <v>2736</v>
      </c>
      <c r="N1749" s="89"/>
      <c r="O1749" s="92">
        <v>1.7709866E7</v>
      </c>
      <c r="P1749" s="92">
        <v>1.5597986E7</v>
      </c>
      <c r="Q1749" s="89" t="s">
        <v>822</v>
      </c>
      <c r="AF1749" s="1"/>
      <c r="AG1749" s="1"/>
    </row>
    <row r="1750" ht="15.75" customHeight="1">
      <c r="A1750" s="1"/>
      <c r="B1750" s="1"/>
      <c r="C1750" s="1"/>
      <c r="D1750" s="1"/>
      <c r="E1750" s="1"/>
      <c r="F1750" s="1"/>
      <c r="G1750" s="1"/>
      <c r="H1750" s="1"/>
      <c r="I1750" s="1"/>
      <c r="J1750" s="1"/>
      <c r="K1750" s="89" t="s">
        <v>2738</v>
      </c>
      <c r="L1750" s="89" t="str">
        <f>F59</f>
        <v>C1a2a2</v>
      </c>
      <c r="M1750" s="89" t="s">
        <v>2739</v>
      </c>
      <c r="N1750" s="89"/>
      <c r="O1750" s="92">
        <v>1.7985818E7</v>
      </c>
      <c r="P1750" s="92">
        <v>1.5873938E7</v>
      </c>
      <c r="Q1750" s="89" t="s">
        <v>879</v>
      </c>
      <c r="AF1750" s="1"/>
      <c r="AG1750" s="1"/>
    </row>
    <row r="1751" ht="15.75" customHeight="1">
      <c r="A1751" s="1"/>
      <c r="B1751" s="1"/>
      <c r="C1751" s="1"/>
      <c r="D1751" s="1"/>
      <c r="E1751" s="1"/>
      <c r="F1751" s="1"/>
      <c r="G1751" s="1"/>
      <c r="H1751" s="1"/>
      <c r="I1751" s="1"/>
      <c r="J1751" s="1"/>
      <c r="K1751" s="89" t="s">
        <v>2739</v>
      </c>
      <c r="L1751" s="89" t="str">
        <f>F59</f>
        <v>C1a2a2</v>
      </c>
      <c r="M1751" s="89" t="s">
        <v>2738</v>
      </c>
      <c r="N1751" s="89"/>
      <c r="O1751" s="92">
        <v>1.7985818E7</v>
      </c>
      <c r="P1751" s="92">
        <v>1.5873938E7</v>
      </c>
      <c r="Q1751" s="89" t="s">
        <v>879</v>
      </c>
      <c r="AF1751" s="1"/>
      <c r="AG1751" s="1"/>
    </row>
    <row r="1752" ht="15.75" customHeight="1">
      <c r="A1752" s="1"/>
      <c r="B1752" s="1"/>
      <c r="C1752" s="1"/>
      <c r="D1752" s="1"/>
      <c r="E1752" s="1"/>
      <c r="F1752" s="1"/>
      <c r="G1752" s="1"/>
      <c r="H1752" s="1"/>
      <c r="I1752" s="1"/>
      <c r="J1752" s="1"/>
      <c r="K1752" s="89" t="s">
        <v>2740</v>
      </c>
      <c r="L1752" s="89" t="str">
        <f>F59</f>
        <v>C1a2a2</v>
      </c>
      <c r="M1752" s="89" t="s">
        <v>2741</v>
      </c>
      <c r="N1752" s="89"/>
      <c r="O1752" s="92">
        <v>1.8387227E7</v>
      </c>
      <c r="P1752" s="92">
        <v>1.6275347E7</v>
      </c>
      <c r="Q1752" s="89" t="s">
        <v>879</v>
      </c>
      <c r="AF1752" s="1"/>
      <c r="AG1752" s="1"/>
    </row>
    <row r="1753" ht="15.75" customHeight="1">
      <c r="A1753" s="1"/>
      <c r="B1753" s="1"/>
      <c r="C1753" s="1"/>
      <c r="D1753" s="1"/>
      <c r="E1753" s="1"/>
      <c r="F1753" s="1"/>
      <c r="G1753" s="1"/>
      <c r="H1753" s="1"/>
      <c r="I1753" s="1"/>
      <c r="J1753" s="1"/>
      <c r="K1753" s="89" t="s">
        <v>2741</v>
      </c>
      <c r="L1753" s="89" t="str">
        <f>F59</f>
        <v>C1a2a2</v>
      </c>
      <c r="M1753" s="89" t="s">
        <v>2740</v>
      </c>
      <c r="N1753" s="89"/>
      <c r="O1753" s="92">
        <v>1.8387227E7</v>
      </c>
      <c r="P1753" s="92">
        <v>1.6275347E7</v>
      </c>
      <c r="Q1753" s="89" t="s">
        <v>879</v>
      </c>
      <c r="AF1753" s="1"/>
      <c r="AG1753" s="1"/>
    </row>
    <row r="1754" ht="15.75" customHeight="1">
      <c r="A1754" s="1"/>
      <c r="B1754" s="1"/>
      <c r="C1754" s="1"/>
      <c r="D1754" s="1"/>
      <c r="E1754" s="1"/>
      <c r="F1754" s="1"/>
      <c r="G1754" s="1"/>
      <c r="H1754" s="1"/>
      <c r="I1754" s="1"/>
      <c r="J1754" s="1"/>
      <c r="K1754" s="89" t="s">
        <v>2742</v>
      </c>
      <c r="L1754" s="89" t="str">
        <f>F59</f>
        <v>C1a2a2</v>
      </c>
      <c r="M1754" s="89" t="s">
        <v>2743</v>
      </c>
      <c r="N1754" s="89" t="s">
        <v>2744</v>
      </c>
      <c r="O1754" s="92">
        <v>1.8831778E7</v>
      </c>
      <c r="P1754" s="92">
        <v>1.6719898E7</v>
      </c>
      <c r="Q1754" s="89" t="s">
        <v>802</v>
      </c>
      <c r="AF1754" s="1"/>
      <c r="AG1754" s="1"/>
    </row>
    <row r="1755" ht="15.75" customHeight="1">
      <c r="A1755" s="1"/>
      <c r="B1755" s="1"/>
      <c r="C1755" s="1"/>
      <c r="D1755" s="1"/>
      <c r="E1755" s="1"/>
      <c r="F1755" s="1"/>
      <c r="G1755" s="1"/>
      <c r="H1755" s="1"/>
      <c r="I1755" s="1"/>
      <c r="J1755" s="1"/>
      <c r="K1755" s="89" t="s">
        <v>2743</v>
      </c>
      <c r="L1755" s="89" t="str">
        <f>F59</f>
        <v>C1a2a2</v>
      </c>
      <c r="M1755" s="89" t="s">
        <v>2742</v>
      </c>
      <c r="N1755" s="89" t="s">
        <v>2744</v>
      </c>
      <c r="O1755" s="92">
        <v>1.8831778E7</v>
      </c>
      <c r="P1755" s="92">
        <v>1.6719898E7</v>
      </c>
      <c r="Q1755" s="89" t="s">
        <v>802</v>
      </c>
      <c r="AF1755" s="1"/>
      <c r="AG1755" s="1"/>
    </row>
    <row r="1756" ht="15.75" customHeight="1">
      <c r="A1756" s="1"/>
      <c r="B1756" s="1"/>
      <c r="C1756" s="1"/>
      <c r="D1756" s="1"/>
      <c r="E1756" s="1"/>
      <c r="F1756" s="1"/>
      <c r="G1756" s="1"/>
      <c r="H1756" s="1"/>
      <c r="I1756" s="1"/>
      <c r="J1756" s="1"/>
      <c r="K1756" s="89" t="s">
        <v>2745</v>
      </c>
      <c r="L1756" s="89" t="str">
        <f>F59</f>
        <v>C1a2a2</v>
      </c>
      <c r="M1756" s="89" t="s">
        <v>2746</v>
      </c>
      <c r="N1756" s="89"/>
      <c r="O1756" s="92">
        <v>1.8868773E7</v>
      </c>
      <c r="P1756" s="92">
        <v>1.6756893E7</v>
      </c>
      <c r="Q1756" s="89" t="s">
        <v>845</v>
      </c>
      <c r="AF1756" s="1"/>
      <c r="AG1756" s="1"/>
    </row>
    <row r="1757" ht="15.75" customHeight="1">
      <c r="A1757" s="1"/>
      <c r="B1757" s="1"/>
      <c r="C1757" s="1"/>
      <c r="D1757" s="1"/>
      <c r="E1757" s="1"/>
      <c r="F1757" s="1"/>
      <c r="G1757" s="1"/>
      <c r="H1757" s="1"/>
      <c r="I1757" s="1"/>
      <c r="J1757" s="1"/>
      <c r="K1757" s="89" t="s">
        <v>2746</v>
      </c>
      <c r="L1757" s="89" t="str">
        <f>F59</f>
        <v>C1a2a2</v>
      </c>
      <c r="M1757" s="89" t="s">
        <v>2745</v>
      </c>
      <c r="N1757" s="89"/>
      <c r="O1757" s="92">
        <v>1.8868773E7</v>
      </c>
      <c r="P1757" s="92">
        <v>1.6756893E7</v>
      </c>
      <c r="Q1757" s="89" t="s">
        <v>845</v>
      </c>
      <c r="AF1757" s="1"/>
      <c r="AG1757" s="1"/>
    </row>
    <row r="1758" ht="15.75" customHeight="1">
      <c r="A1758" s="1"/>
      <c r="B1758" s="1"/>
      <c r="C1758" s="1"/>
      <c r="D1758" s="1"/>
      <c r="E1758" s="1"/>
      <c r="F1758" s="1"/>
      <c r="G1758" s="1"/>
      <c r="H1758" s="1"/>
      <c r="I1758" s="1"/>
      <c r="J1758" s="1"/>
      <c r="K1758" s="89" t="s">
        <v>2747</v>
      </c>
      <c r="L1758" s="89" t="str">
        <f>F59</f>
        <v>C1a2a2</v>
      </c>
      <c r="M1758" s="89" t="s">
        <v>2748</v>
      </c>
      <c r="N1758" s="89"/>
      <c r="O1758" s="92">
        <v>1.9024439E7</v>
      </c>
      <c r="P1758" s="92">
        <v>1.6912559E7</v>
      </c>
      <c r="Q1758" s="89" t="s">
        <v>912</v>
      </c>
      <c r="AF1758" s="1"/>
      <c r="AG1758" s="1"/>
    </row>
    <row r="1759" ht="15.75" customHeight="1">
      <c r="A1759" s="1"/>
      <c r="B1759" s="1"/>
      <c r="C1759" s="1"/>
      <c r="D1759" s="1"/>
      <c r="E1759" s="1"/>
      <c r="F1759" s="1"/>
      <c r="G1759" s="1"/>
      <c r="H1759" s="1"/>
      <c r="I1759" s="1"/>
      <c r="J1759" s="1"/>
      <c r="K1759" s="89" t="s">
        <v>2748</v>
      </c>
      <c r="L1759" s="89" t="str">
        <f>F59</f>
        <v>C1a2a2</v>
      </c>
      <c r="M1759" s="89" t="s">
        <v>2747</v>
      </c>
      <c r="N1759" s="89"/>
      <c r="O1759" s="92">
        <v>1.9024439E7</v>
      </c>
      <c r="P1759" s="92">
        <v>1.6912559E7</v>
      </c>
      <c r="Q1759" s="89" t="s">
        <v>912</v>
      </c>
      <c r="AF1759" s="1"/>
      <c r="AG1759" s="1"/>
    </row>
    <row r="1760" ht="15.75" customHeight="1">
      <c r="A1760" s="1"/>
      <c r="B1760" s="1"/>
      <c r="C1760" s="1"/>
      <c r="D1760" s="1"/>
      <c r="E1760" s="1"/>
      <c r="F1760" s="1"/>
      <c r="G1760" s="1"/>
      <c r="H1760" s="1"/>
      <c r="I1760" s="1"/>
      <c r="J1760" s="1"/>
      <c r="K1760" s="89" t="s">
        <v>2749</v>
      </c>
      <c r="L1760" s="89" t="str">
        <f>F59</f>
        <v>C1a2a2</v>
      </c>
      <c r="M1760" s="89" t="s">
        <v>2750</v>
      </c>
      <c r="N1760" s="89"/>
      <c r="O1760" s="92">
        <v>1.9548213E7</v>
      </c>
      <c r="P1760" s="92">
        <v>1.7436333E7</v>
      </c>
      <c r="Q1760" s="89" t="s">
        <v>802</v>
      </c>
      <c r="AF1760" s="1"/>
      <c r="AG1760" s="1"/>
    </row>
    <row r="1761" ht="15.75" customHeight="1">
      <c r="A1761" s="1"/>
      <c r="B1761" s="1"/>
      <c r="C1761" s="1"/>
      <c r="D1761" s="1"/>
      <c r="E1761" s="1"/>
      <c r="F1761" s="1"/>
      <c r="G1761" s="1"/>
      <c r="H1761" s="1"/>
      <c r="I1761" s="1"/>
      <c r="J1761" s="1"/>
      <c r="K1761" s="89" t="s">
        <v>2750</v>
      </c>
      <c r="L1761" s="89" t="str">
        <f>F59</f>
        <v>C1a2a2</v>
      </c>
      <c r="M1761" s="89" t="s">
        <v>2749</v>
      </c>
      <c r="N1761" s="89"/>
      <c r="O1761" s="92">
        <v>1.9548213E7</v>
      </c>
      <c r="P1761" s="92">
        <v>1.7436333E7</v>
      </c>
      <c r="Q1761" s="89" t="s">
        <v>802</v>
      </c>
      <c r="AF1761" s="1"/>
      <c r="AG1761" s="1"/>
    </row>
    <row r="1762" ht="15.75" customHeight="1">
      <c r="A1762" s="1"/>
      <c r="B1762" s="1"/>
      <c r="C1762" s="1"/>
      <c r="D1762" s="1"/>
      <c r="E1762" s="1"/>
      <c r="F1762" s="1"/>
      <c r="G1762" s="1"/>
      <c r="H1762" s="1"/>
      <c r="I1762" s="1"/>
      <c r="J1762" s="1"/>
      <c r="K1762" s="89" t="s">
        <v>2751</v>
      </c>
      <c r="L1762" s="89" t="str">
        <f>F59</f>
        <v>C1a2a2</v>
      </c>
      <c r="M1762" s="89" t="s">
        <v>2752</v>
      </c>
      <c r="N1762" s="89"/>
      <c r="O1762" s="92">
        <v>2.218726E7</v>
      </c>
      <c r="P1762" s="92">
        <v>2.0025374E7</v>
      </c>
      <c r="Q1762" s="89" t="s">
        <v>886</v>
      </c>
      <c r="AF1762" s="1"/>
      <c r="AG1762" s="1"/>
    </row>
    <row r="1763" ht="15.75" customHeight="1">
      <c r="A1763" s="1"/>
      <c r="B1763" s="1"/>
      <c r="C1763" s="1"/>
      <c r="D1763" s="1"/>
      <c r="E1763" s="1"/>
      <c r="F1763" s="1"/>
      <c r="G1763" s="1"/>
      <c r="H1763" s="1"/>
      <c r="I1763" s="1"/>
      <c r="J1763" s="1"/>
      <c r="K1763" s="89" t="s">
        <v>2752</v>
      </c>
      <c r="L1763" s="89" t="str">
        <f>F59</f>
        <v>C1a2a2</v>
      </c>
      <c r="M1763" s="89" t="s">
        <v>2751</v>
      </c>
      <c r="N1763" s="89"/>
      <c r="O1763" s="92">
        <v>2.218726E7</v>
      </c>
      <c r="P1763" s="92">
        <v>2.0025374E7</v>
      </c>
      <c r="Q1763" s="89" t="s">
        <v>886</v>
      </c>
      <c r="AF1763" s="1"/>
      <c r="AG1763" s="1"/>
    </row>
    <row r="1764" ht="15.75" customHeight="1">
      <c r="A1764" s="1"/>
      <c r="B1764" s="1"/>
      <c r="C1764" s="1"/>
      <c r="D1764" s="1"/>
      <c r="E1764" s="1"/>
      <c r="F1764" s="1"/>
      <c r="G1764" s="1"/>
      <c r="H1764" s="1"/>
      <c r="I1764" s="1"/>
      <c r="J1764" s="1"/>
      <c r="K1764" s="89" t="s">
        <v>2753</v>
      </c>
      <c r="L1764" s="89" t="str">
        <f>F59</f>
        <v>C1a2a2</v>
      </c>
      <c r="M1764" s="89" t="s">
        <v>2754</v>
      </c>
      <c r="N1764" s="89"/>
      <c r="O1764" s="92">
        <v>2.288827E7</v>
      </c>
      <c r="P1764" s="92">
        <v>2.0726384E7</v>
      </c>
      <c r="Q1764" s="89" t="s">
        <v>802</v>
      </c>
      <c r="AF1764" s="1"/>
      <c r="AG1764" s="1"/>
    </row>
    <row r="1765" ht="15.75" customHeight="1">
      <c r="A1765" s="1"/>
      <c r="B1765" s="1"/>
      <c r="C1765" s="1"/>
      <c r="D1765" s="1"/>
      <c r="E1765" s="1"/>
      <c r="F1765" s="1"/>
      <c r="G1765" s="1"/>
      <c r="H1765" s="1"/>
      <c r="I1765" s="1"/>
      <c r="J1765" s="1"/>
      <c r="K1765" s="89" t="s">
        <v>2754</v>
      </c>
      <c r="L1765" s="89" t="str">
        <f>F59</f>
        <v>C1a2a2</v>
      </c>
      <c r="M1765" s="89" t="s">
        <v>2753</v>
      </c>
      <c r="N1765" s="89"/>
      <c r="O1765" s="92">
        <v>2.288827E7</v>
      </c>
      <c r="P1765" s="92">
        <v>2.0726384E7</v>
      </c>
      <c r="Q1765" s="89" t="s">
        <v>802</v>
      </c>
      <c r="AF1765" s="1"/>
      <c r="AG1765" s="1"/>
    </row>
    <row r="1766" ht="15.75" customHeight="1">
      <c r="A1766" s="1"/>
      <c r="B1766" s="1"/>
      <c r="C1766" s="1"/>
      <c r="D1766" s="1"/>
      <c r="E1766" s="1"/>
      <c r="F1766" s="1"/>
      <c r="G1766" s="1"/>
      <c r="H1766" s="1"/>
      <c r="I1766" s="1"/>
      <c r="J1766" s="1"/>
      <c r="K1766" s="89" t="s">
        <v>2755</v>
      </c>
      <c r="L1766" s="89" t="str">
        <f>F59</f>
        <v>C1a2a2</v>
      </c>
      <c r="M1766" s="89" t="s">
        <v>2756</v>
      </c>
      <c r="N1766" s="89"/>
      <c r="O1766" s="92">
        <v>2796948.0</v>
      </c>
      <c r="P1766" s="92">
        <v>2928907.0</v>
      </c>
      <c r="Q1766" s="89" t="s">
        <v>845</v>
      </c>
      <c r="AF1766" s="1"/>
      <c r="AG1766" s="1"/>
    </row>
    <row r="1767" ht="15.75" customHeight="1">
      <c r="A1767" s="1"/>
      <c r="B1767" s="1"/>
      <c r="C1767" s="1"/>
      <c r="D1767" s="1"/>
      <c r="E1767" s="1"/>
      <c r="F1767" s="1"/>
      <c r="G1767" s="1"/>
      <c r="H1767" s="1"/>
      <c r="I1767" s="1"/>
      <c r="J1767" s="1"/>
      <c r="K1767" s="89" t="s">
        <v>2756</v>
      </c>
      <c r="L1767" s="89" t="str">
        <f>F59</f>
        <v>C1a2a2</v>
      </c>
      <c r="M1767" s="89" t="s">
        <v>2755</v>
      </c>
      <c r="N1767" s="89"/>
      <c r="O1767" s="92">
        <v>2796948.0</v>
      </c>
      <c r="P1767" s="92">
        <v>2928907.0</v>
      </c>
      <c r="Q1767" s="89" t="s">
        <v>845</v>
      </c>
      <c r="AF1767" s="1"/>
      <c r="AG1767" s="1"/>
    </row>
    <row r="1768" ht="15.75" customHeight="1">
      <c r="A1768" s="1"/>
      <c r="B1768" s="1"/>
      <c r="C1768" s="1"/>
      <c r="D1768" s="1"/>
      <c r="E1768" s="1"/>
      <c r="F1768" s="1"/>
      <c r="G1768" s="1"/>
      <c r="H1768" s="1"/>
      <c r="I1768" s="1"/>
      <c r="J1768" s="1"/>
      <c r="K1768" s="89" t="s">
        <v>2757</v>
      </c>
      <c r="L1768" s="89" t="str">
        <f>F59</f>
        <v>C1a2a2</v>
      </c>
      <c r="M1768" s="89" t="s">
        <v>2758</v>
      </c>
      <c r="N1768" s="89"/>
      <c r="O1768" s="92">
        <v>2811550.0</v>
      </c>
      <c r="P1768" s="92">
        <v>2943509.0</v>
      </c>
      <c r="Q1768" s="89" t="s">
        <v>822</v>
      </c>
      <c r="AF1768" s="1"/>
      <c r="AG1768" s="1"/>
    </row>
    <row r="1769" ht="15.75" customHeight="1">
      <c r="A1769" s="1"/>
      <c r="B1769" s="1"/>
      <c r="C1769" s="1"/>
      <c r="D1769" s="1"/>
      <c r="E1769" s="1"/>
      <c r="F1769" s="1"/>
      <c r="G1769" s="1"/>
      <c r="H1769" s="1"/>
      <c r="I1769" s="1"/>
      <c r="J1769" s="1"/>
      <c r="K1769" s="89" t="s">
        <v>2758</v>
      </c>
      <c r="L1769" s="89" t="str">
        <f>F59</f>
        <v>C1a2a2</v>
      </c>
      <c r="M1769" s="89" t="s">
        <v>2757</v>
      </c>
      <c r="N1769" s="89"/>
      <c r="O1769" s="92">
        <v>2811550.0</v>
      </c>
      <c r="P1769" s="92">
        <v>2943509.0</v>
      </c>
      <c r="Q1769" s="89" t="s">
        <v>822</v>
      </c>
      <c r="AF1769" s="1"/>
      <c r="AG1769" s="1"/>
    </row>
    <row r="1770" ht="15.75" customHeight="1">
      <c r="A1770" s="1"/>
      <c r="B1770" s="1"/>
      <c r="C1770" s="1"/>
      <c r="D1770" s="1"/>
      <c r="E1770" s="1"/>
      <c r="F1770" s="1"/>
      <c r="G1770" s="1"/>
      <c r="H1770" s="1"/>
      <c r="I1770" s="1"/>
      <c r="J1770" s="1"/>
      <c r="K1770" s="89" t="s">
        <v>2759</v>
      </c>
      <c r="L1770" s="89" t="str">
        <f>F59</f>
        <v>C1a2a2</v>
      </c>
      <c r="M1770" s="89" t="s">
        <v>2760</v>
      </c>
      <c r="N1770" s="89"/>
      <c r="O1770" s="92">
        <v>6635532.0</v>
      </c>
      <c r="P1770" s="92">
        <v>6767491.0</v>
      </c>
      <c r="Q1770" s="89" t="s">
        <v>838</v>
      </c>
      <c r="AF1770" s="1"/>
      <c r="AG1770" s="1"/>
    </row>
    <row r="1771" ht="15.75" customHeight="1">
      <c r="A1771" s="1"/>
      <c r="B1771" s="1"/>
      <c r="C1771" s="1"/>
      <c r="D1771" s="1"/>
      <c r="E1771" s="1"/>
      <c r="F1771" s="1"/>
      <c r="G1771" s="1"/>
      <c r="H1771" s="1"/>
      <c r="I1771" s="1"/>
      <c r="J1771" s="1"/>
      <c r="K1771" s="89" t="s">
        <v>2760</v>
      </c>
      <c r="L1771" s="89" t="str">
        <f>F59</f>
        <v>C1a2a2</v>
      </c>
      <c r="M1771" s="89" t="s">
        <v>2759</v>
      </c>
      <c r="N1771" s="89"/>
      <c r="O1771" s="92">
        <v>6635532.0</v>
      </c>
      <c r="P1771" s="92">
        <v>6767491.0</v>
      </c>
      <c r="Q1771" s="89" t="s">
        <v>838</v>
      </c>
      <c r="AF1771" s="1"/>
      <c r="AG1771" s="1"/>
    </row>
    <row r="1772" ht="15.75" customHeight="1">
      <c r="A1772" s="1"/>
      <c r="B1772" s="1"/>
      <c r="C1772" s="1"/>
      <c r="D1772" s="1"/>
      <c r="E1772" s="1"/>
      <c r="F1772" s="1"/>
      <c r="G1772" s="1"/>
      <c r="H1772" s="1"/>
      <c r="I1772" s="1"/>
      <c r="J1772" s="1"/>
      <c r="K1772" s="89" t="s">
        <v>2761</v>
      </c>
      <c r="L1772" s="89" t="str">
        <f>F59</f>
        <v>C1a2a2</v>
      </c>
      <c r="M1772" s="89" t="s">
        <v>2762</v>
      </c>
      <c r="N1772" s="89"/>
      <c r="O1772" s="92">
        <v>7644892.0</v>
      </c>
      <c r="P1772" s="92">
        <v>7776851.0</v>
      </c>
      <c r="Q1772" s="89" t="s">
        <v>879</v>
      </c>
      <c r="AF1772" s="1"/>
      <c r="AG1772" s="1"/>
    </row>
    <row r="1773" ht="15.75" customHeight="1">
      <c r="A1773" s="1"/>
      <c r="B1773" s="1"/>
      <c r="C1773" s="1"/>
      <c r="D1773" s="1"/>
      <c r="E1773" s="1"/>
      <c r="F1773" s="1"/>
      <c r="G1773" s="1"/>
      <c r="H1773" s="1"/>
      <c r="I1773" s="1"/>
      <c r="J1773" s="1"/>
      <c r="K1773" s="89" t="s">
        <v>2762</v>
      </c>
      <c r="L1773" s="89" t="str">
        <f>F59</f>
        <v>C1a2a2</v>
      </c>
      <c r="M1773" s="89" t="s">
        <v>2761</v>
      </c>
      <c r="N1773" s="89"/>
      <c r="O1773" s="92">
        <v>7644892.0</v>
      </c>
      <c r="P1773" s="92">
        <v>7776851.0</v>
      </c>
      <c r="Q1773" s="89" t="s">
        <v>879</v>
      </c>
      <c r="AF1773" s="1"/>
      <c r="AG1773" s="1"/>
    </row>
    <row r="1774" ht="15.75" customHeight="1">
      <c r="A1774" s="1"/>
      <c r="B1774" s="1"/>
      <c r="C1774" s="1"/>
      <c r="D1774" s="1"/>
      <c r="E1774" s="1"/>
      <c r="F1774" s="1"/>
      <c r="G1774" s="1"/>
      <c r="H1774" s="1"/>
      <c r="I1774" s="1"/>
      <c r="J1774" s="1"/>
      <c r="K1774" s="89" t="s">
        <v>2763</v>
      </c>
      <c r="L1774" s="89" t="str">
        <f>F59</f>
        <v>C1a2a2</v>
      </c>
      <c r="M1774" s="89" t="s">
        <v>2764</v>
      </c>
      <c r="N1774" s="89"/>
      <c r="O1774" s="92">
        <v>7788764.0</v>
      </c>
      <c r="P1774" s="92">
        <v>7920723.0</v>
      </c>
      <c r="Q1774" s="89" t="s">
        <v>813</v>
      </c>
      <c r="AF1774" s="1"/>
      <c r="AG1774" s="1"/>
    </row>
    <row r="1775" ht="15.75" customHeight="1">
      <c r="A1775" s="1"/>
      <c r="B1775" s="1"/>
      <c r="C1775" s="1"/>
      <c r="D1775" s="1"/>
      <c r="E1775" s="1"/>
      <c r="F1775" s="1"/>
      <c r="G1775" s="1"/>
      <c r="H1775" s="1"/>
      <c r="I1775" s="1"/>
      <c r="J1775" s="1"/>
      <c r="K1775" s="89" t="s">
        <v>2764</v>
      </c>
      <c r="L1775" s="89" t="str">
        <f>F59</f>
        <v>C1a2a2</v>
      </c>
      <c r="M1775" s="89" t="s">
        <v>2763</v>
      </c>
      <c r="N1775" s="89"/>
      <c r="O1775" s="92">
        <v>7788764.0</v>
      </c>
      <c r="P1775" s="92">
        <v>7920723.0</v>
      </c>
      <c r="Q1775" s="89" t="s">
        <v>813</v>
      </c>
      <c r="AF1775" s="1"/>
      <c r="AG1775" s="1"/>
    </row>
    <row r="1776" ht="15.75" customHeight="1">
      <c r="A1776" s="1"/>
      <c r="B1776" s="1"/>
      <c r="C1776" s="1"/>
      <c r="D1776" s="1"/>
      <c r="E1776" s="1"/>
      <c r="F1776" s="1"/>
      <c r="G1776" s="1"/>
      <c r="H1776" s="1"/>
      <c r="I1776" s="1"/>
      <c r="J1776" s="1"/>
      <c r="K1776" s="89" t="s">
        <v>2765</v>
      </c>
      <c r="L1776" s="89" t="str">
        <f>F59</f>
        <v>C1a2a2</v>
      </c>
      <c r="M1776" s="89" t="s">
        <v>2766</v>
      </c>
      <c r="N1776" s="89"/>
      <c r="O1776" s="92">
        <v>7916859.0</v>
      </c>
      <c r="P1776" s="92">
        <v>8048818.0</v>
      </c>
      <c r="Q1776" s="89" t="s">
        <v>810</v>
      </c>
      <c r="AF1776" s="1"/>
      <c r="AG1776" s="1"/>
    </row>
    <row r="1777" ht="15.75" customHeight="1">
      <c r="A1777" s="1"/>
      <c r="B1777" s="1"/>
      <c r="C1777" s="1"/>
      <c r="D1777" s="1"/>
      <c r="E1777" s="1"/>
      <c r="F1777" s="1"/>
      <c r="G1777" s="1"/>
      <c r="H1777" s="1"/>
      <c r="I1777" s="1"/>
      <c r="J1777" s="1"/>
      <c r="K1777" s="89" t="s">
        <v>2766</v>
      </c>
      <c r="L1777" s="89" t="str">
        <f>F59</f>
        <v>C1a2a2</v>
      </c>
      <c r="M1777" s="89" t="s">
        <v>2765</v>
      </c>
      <c r="N1777" s="89"/>
      <c r="O1777" s="92">
        <v>7916859.0</v>
      </c>
      <c r="P1777" s="92">
        <v>8048818.0</v>
      </c>
      <c r="Q1777" s="89" t="s">
        <v>810</v>
      </c>
      <c r="AF1777" s="1"/>
      <c r="AG1777" s="1"/>
    </row>
    <row r="1778" ht="15.75" customHeight="1">
      <c r="A1778" s="1"/>
      <c r="B1778" s="1"/>
      <c r="C1778" s="1"/>
      <c r="D1778" s="1"/>
      <c r="E1778" s="1"/>
      <c r="F1778" s="1"/>
      <c r="G1778" s="1"/>
      <c r="H1778" s="1"/>
      <c r="I1778" s="1"/>
      <c r="J1778" s="1"/>
      <c r="K1778" s="89" t="s">
        <v>2767</v>
      </c>
      <c r="L1778" s="89" t="str">
        <f>F59</f>
        <v>C1a2a2</v>
      </c>
      <c r="M1778" s="89" t="s">
        <v>2768</v>
      </c>
      <c r="N1778" s="89"/>
      <c r="O1778" s="92">
        <v>8090005.0</v>
      </c>
      <c r="P1778" s="92">
        <v>8221964.0</v>
      </c>
      <c r="Q1778" s="89" t="s">
        <v>822</v>
      </c>
      <c r="AF1778" s="1"/>
      <c r="AG1778" s="1"/>
    </row>
    <row r="1779" ht="15.75" customHeight="1">
      <c r="A1779" s="1"/>
      <c r="B1779" s="1"/>
      <c r="C1779" s="1"/>
      <c r="D1779" s="1"/>
      <c r="E1779" s="1"/>
      <c r="F1779" s="1"/>
      <c r="G1779" s="1"/>
      <c r="H1779" s="1"/>
      <c r="I1779" s="1"/>
      <c r="J1779" s="1"/>
      <c r="K1779" s="89" t="s">
        <v>2768</v>
      </c>
      <c r="L1779" s="89" t="str">
        <f>F59</f>
        <v>C1a2a2</v>
      </c>
      <c r="M1779" s="89" t="s">
        <v>2767</v>
      </c>
      <c r="N1779" s="89"/>
      <c r="O1779" s="92">
        <v>8090005.0</v>
      </c>
      <c r="P1779" s="92">
        <v>8221964.0</v>
      </c>
      <c r="Q1779" s="89" t="s">
        <v>822</v>
      </c>
      <c r="AF1779" s="1"/>
      <c r="AG1779" s="1"/>
    </row>
    <row r="1780" ht="15.75" customHeight="1">
      <c r="A1780" s="1"/>
      <c r="B1780" s="1"/>
      <c r="C1780" s="1"/>
      <c r="D1780" s="1"/>
      <c r="E1780" s="1"/>
      <c r="F1780" s="1"/>
      <c r="G1780" s="1"/>
      <c r="H1780" s="1"/>
      <c r="I1780" s="1"/>
      <c r="J1780" s="1"/>
      <c r="K1780" s="89" t="s">
        <v>2769</v>
      </c>
      <c r="L1780" s="89" t="str">
        <f>F59</f>
        <v>C1a2a2</v>
      </c>
      <c r="M1780" s="89" t="s">
        <v>2770</v>
      </c>
      <c r="N1780" s="89"/>
      <c r="O1780" s="92">
        <v>8248790.0</v>
      </c>
      <c r="P1780" s="92">
        <v>8380749.0</v>
      </c>
      <c r="Q1780" s="89" t="s">
        <v>813</v>
      </c>
      <c r="AF1780" s="1"/>
      <c r="AG1780" s="1"/>
    </row>
    <row r="1781" ht="15.75" customHeight="1">
      <c r="A1781" s="1"/>
      <c r="B1781" s="1"/>
      <c r="C1781" s="1"/>
      <c r="D1781" s="1"/>
      <c r="E1781" s="1"/>
      <c r="F1781" s="1"/>
      <c r="G1781" s="1"/>
      <c r="H1781" s="1"/>
      <c r="I1781" s="1"/>
      <c r="J1781" s="1"/>
      <c r="K1781" s="89" t="s">
        <v>2770</v>
      </c>
      <c r="L1781" s="89" t="str">
        <f>F59</f>
        <v>C1a2a2</v>
      </c>
      <c r="M1781" s="89" t="s">
        <v>2769</v>
      </c>
      <c r="N1781" s="89"/>
      <c r="O1781" s="92">
        <v>8248790.0</v>
      </c>
      <c r="P1781" s="92">
        <v>8380749.0</v>
      </c>
      <c r="Q1781" s="89" t="s">
        <v>813</v>
      </c>
      <c r="AF1781" s="1"/>
      <c r="AG1781" s="1"/>
    </row>
    <row r="1782" ht="15.75" customHeight="1">
      <c r="A1782" s="1"/>
      <c r="B1782" s="1"/>
      <c r="C1782" s="1"/>
      <c r="D1782" s="1"/>
      <c r="E1782" s="1"/>
      <c r="F1782" s="1"/>
      <c r="G1782" s="1"/>
      <c r="H1782" s="1"/>
      <c r="I1782" s="1"/>
      <c r="J1782" s="1"/>
      <c r="K1782" s="89" t="s">
        <v>2771</v>
      </c>
      <c r="L1782" s="89" t="str">
        <f>F59</f>
        <v>C1a2a2</v>
      </c>
      <c r="M1782" s="89" t="s">
        <v>2772</v>
      </c>
      <c r="N1782" s="89"/>
      <c r="O1782" s="92">
        <v>8312598.0</v>
      </c>
      <c r="P1782" s="92">
        <v>8444557.0</v>
      </c>
      <c r="Q1782" s="89" t="s">
        <v>831</v>
      </c>
      <c r="AF1782" s="1"/>
      <c r="AG1782" s="1"/>
    </row>
    <row r="1783" ht="15.75" customHeight="1">
      <c r="A1783" s="1"/>
      <c r="B1783" s="1"/>
      <c r="C1783" s="1"/>
      <c r="D1783" s="1"/>
      <c r="E1783" s="1"/>
      <c r="F1783" s="1"/>
      <c r="G1783" s="1"/>
      <c r="H1783" s="1"/>
      <c r="I1783" s="1"/>
      <c r="J1783" s="1"/>
      <c r="K1783" s="89" t="s">
        <v>2772</v>
      </c>
      <c r="L1783" s="89" t="str">
        <f>F59</f>
        <v>C1a2a2</v>
      </c>
      <c r="M1783" s="89" t="s">
        <v>2771</v>
      </c>
      <c r="N1783" s="89"/>
      <c r="O1783" s="92">
        <v>8312598.0</v>
      </c>
      <c r="P1783" s="92">
        <v>8444557.0</v>
      </c>
      <c r="Q1783" s="89" t="s">
        <v>831</v>
      </c>
      <c r="AF1783" s="1"/>
      <c r="AG1783" s="1"/>
    </row>
    <row r="1784" ht="15.75" customHeight="1">
      <c r="A1784" s="1"/>
      <c r="B1784" s="1"/>
      <c r="C1784" s="1"/>
      <c r="D1784" s="1"/>
      <c r="E1784" s="1"/>
      <c r="F1784" s="1"/>
      <c r="G1784" s="1"/>
      <c r="H1784" s="1"/>
      <c r="I1784" s="1"/>
      <c r="J1784" s="1"/>
      <c r="K1784" s="89" t="s">
        <v>2773</v>
      </c>
      <c r="L1784" s="89" t="str">
        <f>F59</f>
        <v>C1a2a2</v>
      </c>
      <c r="M1784" s="89" t="s">
        <v>2774</v>
      </c>
      <c r="N1784" s="89"/>
      <c r="O1784" s="92">
        <v>8348262.0</v>
      </c>
      <c r="P1784" s="92">
        <v>8480221.0</v>
      </c>
      <c r="Q1784" s="89" t="s">
        <v>886</v>
      </c>
      <c r="AF1784" s="1"/>
      <c r="AG1784" s="1"/>
    </row>
    <row r="1785" ht="15.75" customHeight="1">
      <c r="A1785" s="1"/>
      <c r="B1785" s="1"/>
      <c r="C1785" s="1"/>
      <c r="D1785" s="1"/>
      <c r="E1785" s="1"/>
      <c r="F1785" s="1"/>
      <c r="G1785" s="1"/>
      <c r="H1785" s="1"/>
      <c r="I1785" s="1"/>
      <c r="J1785" s="1"/>
      <c r="K1785" s="89" t="s">
        <v>2774</v>
      </c>
      <c r="L1785" s="89" t="str">
        <f>F59</f>
        <v>C1a2a2</v>
      </c>
      <c r="M1785" s="89" t="s">
        <v>2773</v>
      </c>
      <c r="N1785" s="89"/>
      <c r="O1785" s="92">
        <v>8348262.0</v>
      </c>
      <c r="P1785" s="92">
        <v>8480221.0</v>
      </c>
      <c r="Q1785" s="89" t="s">
        <v>886</v>
      </c>
      <c r="AF1785" s="1"/>
      <c r="AG1785" s="1"/>
    </row>
    <row r="1786" ht="15.75" customHeight="1">
      <c r="A1786" s="1"/>
      <c r="B1786" s="1"/>
      <c r="C1786" s="1"/>
      <c r="D1786" s="1"/>
      <c r="E1786" s="1"/>
      <c r="F1786" s="1"/>
      <c r="G1786" s="1"/>
      <c r="H1786" s="1"/>
      <c r="I1786" s="1"/>
      <c r="J1786" s="1"/>
      <c r="K1786" s="89" t="s">
        <v>2775</v>
      </c>
      <c r="L1786" s="89" t="str">
        <f>F59</f>
        <v>C1a2a2</v>
      </c>
      <c r="M1786" s="89" t="s">
        <v>2776</v>
      </c>
      <c r="N1786" s="89"/>
      <c r="O1786" s="92">
        <v>8420345.0</v>
      </c>
      <c r="P1786" s="92">
        <v>8552304.0</v>
      </c>
      <c r="Q1786" s="89" t="s">
        <v>822</v>
      </c>
      <c r="AF1786" s="1"/>
      <c r="AG1786" s="1"/>
    </row>
    <row r="1787" ht="15.75" customHeight="1">
      <c r="A1787" s="1"/>
      <c r="B1787" s="1"/>
      <c r="C1787" s="1"/>
      <c r="D1787" s="1"/>
      <c r="E1787" s="1"/>
      <c r="F1787" s="1"/>
      <c r="G1787" s="1"/>
      <c r="H1787" s="1"/>
      <c r="I1787" s="1"/>
      <c r="J1787" s="1"/>
      <c r="K1787" s="89" t="s">
        <v>2776</v>
      </c>
      <c r="L1787" s="89" t="str">
        <f>F59</f>
        <v>C1a2a2</v>
      </c>
      <c r="M1787" s="89" t="s">
        <v>2775</v>
      </c>
      <c r="N1787" s="89"/>
      <c r="O1787" s="92">
        <v>8420345.0</v>
      </c>
      <c r="P1787" s="92">
        <v>8552304.0</v>
      </c>
      <c r="Q1787" s="89" t="s">
        <v>822</v>
      </c>
      <c r="AF1787" s="1"/>
      <c r="AG1787" s="1"/>
    </row>
    <row r="1788" ht="15.75" customHeight="1">
      <c r="A1788" s="1"/>
      <c r="B1788" s="1"/>
      <c r="C1788" s="1"/>
      <c r="D1788" s="1"/>
      <c r="E1788" s="1"/>
      <c r="F1788" s="1"/>
      <c r="G1788" s="1"/>
      <c r="H1788" s="1"/>
      <c r="I1788" s="1"/>
      <c r="J1788" s="1"/>
      <c r="K1788" s="89" t="s">
        <v>2777</v>
      </c>
      <c r="L1788" s="89" t="str">
        <f>F59</f>
        <v>C1a2a2</v>
      </c>
      <c r="M1788" s="89" t="s">
        <v>2778</v>
      </c>
      <c r="N1788" s="89"/>
      <c r="O1788" s="92">
        <v>8630664.0</v>
      </c>
      <c r="P1788" s="92">
        <v>8762623.0</v>
      </c>
      <c r="Q1788" s="89" t="s">
        <v>912</v>
      </c>
      <c r="AF1788" s="1"/>
      <c r="AG1788" s="1"/>
    </row>
    <row r="1789" ht="15.75" customHeight="1">
      <c r="A1789" s="1"/>
      <c r="B1789" s="1"/>
      <c r="C1789" s="1"/>
      <c r="D1789" s="1"/>
      <c r="E1789" s="1"/>
      <c r="F1789" s="1"/>
      <c r="G1789" s="1"/>
      <c r="H1789" s="1"/>
      <c r="I1789" s="1"/>
      <c r="J1789" s="1"/>
      <c r="K1789" s="89" t="s">
        <v>2778</v>
      </c>
      <c r="L1789" s="89" t="str">
        <f>F59</f>
        <v>C1a2a2</v>
      </c>
      <c r="M1789" s="89" t="s">
        <v>2777</v>
      </c>
      <c r="N1789" s="89"/>
      <c r="O1789" s="92">
        <v>8630664.0</v>
      </c>
      <c r="P1789" s="92">
        <v>8762623.0</v>
      </c>
      <c r="Q1789" s="89" t="s">
        <v>912</v>
      </c>
      <c r="AF1789" s="1"/>
      <c r="AG1789" s="1"/>
    </row>
    <row r="1790" ht="15.75" customHeight="1">
      <c r="A1790" s="1"/>
      <c r="B1790" s="1"/>
      <c r="C1790" s="1"/>
      <c r="D1790" s="1"/>
      <c r="E1790" s="1"/>
      <c r="F1790" s="1"/>
      <c r="G1790" s="1"/>
      <c r="H1790" s="1"/>
      <c r="I1790" s="1"/>
      <c r="J1790" s="1"/>
      <c r="K1790" s="89" t="s">
        <v>2779</v>
      </c>
      <c r="L1790" s="89" t="str">
        <f>F59</f>
        <v>C1a2a2</v>
      </c>
      <c r="M1790" s="89" t="s">
        <v>2780</v>
      </c>
      <c r="N1790" s="89"/>
      <c r="O1790" s="92">
        <v>8903481.0</v>
      </c>
      <c r="P1790" s="92">
        <v>9035440.0</v>
      </c>
      <c r="Q1790" s="89" t="s">
        <v>864</v>
      </c>
      <c r="AF1790" s="1"/>
      <c r="AG1790" s="1"/>
    </row>
    <row r="1791" ht="15.75" customHeight="1">
      <c r="A1791" s="1"/>
      <c r="B1791" s="1"/>
      <c r="C1791" s="1"/>
      <c r="D1791" s="1"/>
      <c r="E1791" s="1"/>
      <c r="F1791" s="1"/>
      <c r="G1791" s="1"/>
      <c r="H1791" s="1"/>
      <c r="I1791" s="1"/>
      <c r="J1791" s="1"/>
      <c r="K1791" s="89" t="s">
        <v>2780</v>
      </c>
      <c r="L1791" s="89" t="str">
        <f>F59</f>
        <v>C1a2a2</v>
      </c>
      <c r="M1791" s="89" t="s">
        <v>2779</v>
      </c>
      <c r="N1791" s="89"/>
      <c r="O1791" s="92">
        <v>8903481.0</v>
      </c>
      <c r="P1791" s="92">
        <v>9035440.0</v>
      </c>
      <c r="Q1791" s="89" t="s">
        <v>864</v>
      </c>
      <c r="AF1791" s="1"/>
      <c r="AG1791" s="1"/>
    </row>
    <row r="1792" ht="15.75" customHeight="1">
      <c r="A1792" s="1"/>
      <c r="B1792" s="1"/>
      <c r="C1792" s="1"/>
      <c r="D1792" s="1"/>
      <c r="E1792" s="1"/>
      <c r="F1792" s="1"/>
      <c r="G1792" s="1"/>
      <c r="H1792" s="1"/>
      <c r="I1792" s="1"/>
      <c r="J1792" s="1"/>
      <c r="K1792" s="89" t="s">
        <v>2781</v>
      </c>
      <c r="L1792" s="89" t="str">
        <f>F59</f>
        <v>C1a2a2</v>
      </c>
      <c r="M1792" s="89" t="s">
        <v>2782</v>
      </c>
      <c r="N1792" s="89"/>
      <c r="O1792" s="92">
        <v>9816016.0</v>
      </c>
      <c r="P1792" s="92">
        <v>9978407.0</v>
      </c>
      <c r="Q1792" s="89" t="s">
        <v>813</v>
      </c>
      <c r="AF1792" s="1"/>
      <c r="AG1792" s="1"/>
    </row>
    <row r="1793" ht="15.75" customHeight="1">
      <c r="A1793" s="1"/>
      <c r="B1793" s="1"/>
      <c r="C1793" s="1"/>
      <c r="D1793" s="1"/>
      <c r="E1793" s="1"/>
      <c r="F1793" s="1"/>
      <c r="G1793" s="1"/>
      <c r="H1793" s="1"/>
      <c r="I1793" s="1"/>
      <c r="J1793" s="1"/>
      <c r="K1793" s="89" t="s">
        <v>2782</v>
      </c>
      <c r="L1793" s="89" t="str">
        <f>F59</f>
        <v>C1a2a2</v>
      </c>
      <c r="M1793" s="89" t="s">
        <v>2781</v>
      </c>
      <c r="N1793" s="89"/>
      <c r="O1793" s="92">
        <v>9816016.0</v>
      </c>
      <c r="P1793" s="92">
        <v>9978407.0</v>
      </c>
      <c r="Q1793" s="89" t="s">
        <v>813</v>
      </c>
      <c r="AF1793" s="1"/>
      <c r="AG1793" s="1"/>
    </row>
    <row r="1794" ht="15.75" customHeight="1">
      <c r="A1794" s="1"/>
      <c r="B1794" s="1"/>
      <c r="C1794" s="1"/>
      <c r="D1794" s="1"/>
      <c r="E1794" s="1"/>
      <c r="F1794" s="1"/>
      <c r="G1794" s="1"/>
      <c r="H1794" s="1"/>
      <c r="I1794" s="1"/>
      <c r="J1794" s="1"/>
      <c r="K1794" s="89" t="s">
        <v>2783</v>
      </c>
      <c r="L1794" s="89" t="str">
        <f>F59</f>
        <v>C1a2a2</v>
      </c>
      <c r="M1794" s="89" t="s">
        <v>2784</v>
      </c>
      <c r="N1794" s="89"/>
      <c r="O1794" s="92">
        <v>1.4262556E7</v>
      </c>
      <c r="P1794" s="92">
        <v>1.214185E7</v>
      </c>
      <c r="Q1794" s="89" t="s">
        <v>802</v>
      </c>
      <c r="AF1794" s="1"/>
      <c r="AG1794" s="1"/>
    </row>
    <row r="1795" ht="15.75" customHeight="1">
      <c r="A1795" s="1"/>
      <c r="B1795" s="1"/>
      <c r="C1795" s="1"/>
      <c r="D1795" s="1"/>
      <c r="E1795" s="1"/>
      <c r="F1795" s="1"/>
      <c r="G1795" s="1"/>
      <c r="H1795" s="1"/>
      <c r="I1795" s="1"/>
      <c r="J1795" s="1"/>
      <c r="K1795" s="89" t="s">
        <v>2784</v>
      </c>
      <c r="L1795" s="89" t="str">
        <f>F59</f>
        <v>C1a2a2</v>
      </c>
      <c r="M1795" s="89" t="s">
        <v>2783</v>
      </c>
      <c r="N1795" s="89"/>
      <c r="O1795" s="92">
        <v>1.4262556E7</v>
      </c>
      <c r="P1795" s="92">
        <v>1.214185E7</v>
      </c>
      <c r="Q1795" s="89" t="s">
        <v>802</v>
      </c>
      <c r="AF1795" s="1"/>
      <c r="AG1795" s="1"/>
    </row>
    <row r="1796" ht="15.75" customHeight="1">
      <c r="A1796" s="1"/>
      <c r="B1796" s="1"/>
      <c r="C1796" s="1"/>
      <c r="D1796" s="1"/>
      <c r="E1796" s="1"/>
      <c r="F1796" s="1"/>
      <c r="G1796" s="1"/>
      <c r="H1796" s="1"/>
      <c r="I1796" s="1"/>
      <c r="J1796" s="1"/>
      <c r="K1796" s="89" t="s">
        <v>2785</v>
      </c>
      <c r="L1796" s="89" t="str">
        <f>F59</f>
        <v>C1a2a2</v>
      </c>
      <c r="M1796" s="89" t="s">
        <v>2786</v>
      </c>
      <c r="N1796" s="89"/>
      <c r="O1796" s="92">
        <v>1.4311102E7</v>
      </c>
      <c r="P1796" s="92">
        <v>1.2190396E7</v>
      </c>
      <c r="Q1796" s="89" t="s">
        <v>838</v>
      </c>
      <c r="AF1796" s="1"/>
      <c r="AG1796" s="1"/>
    </row>
    <row r="1797" ht="15.75" customHeight="1">
      <c r="A1797" s="1"/>
      <c r="B1797" s="1"/>
      <c r="C1797" s="1"/>
      <c r="D1797" s="1"/>
      <c r="E1797" s="1"/>
      <c r="F1797" s="1"/>
      <c r="G1797" s="1"/>
      <c r="H1797" s="1"/>
      <c r="I1797" s="1"/>
      <c r="J1797" s="1"/>
      <c r="K1797" s="89" t="s">
        <v>2786</v>
      </c>
      <c r="L1797" s="89" t="str">
        <f>F59</f>
        <v>C1a2a2</v>
      </c>
      <c r="M1797" s="89" t="s">
        <v>2785</v>
      </c>
      <c r="N1797" s="89"/>
      <c r="O1797" s="92">
        <v>1.4311102E7</v>
      </c>
      <c r="P1797" s="92">
        <v>1.2190396E7</v>
      </c>
      <c r="Q1797" s="89" t="s">
        <v>838</v>
      </c>
      <c r="AF1797" s="1"/>
      <c r="AG1797" s="1"/>
    </row>
    <row r="1798" ht="15.75" customHeight="1">
      <c r="A1798" s="1"/>
      <c r="B1798" s="1"/>
      <c r="C1798" s="1"/>
      <c r="D1798" s="1"/>
      <c r="E1798" s="1"/>
      <c r="F1798" s="1"/>
      <c r="G1798" s="1"/>
      <c r="H1798" s="1"/>
      <c r="I1798" s="1"/>
      <c r="J1798" s="1"/>
      <c r="K1798" s="89" t="s">
        <v>2787</v>
      </c>
      <c r="L1798" s="89" t="str">
        <f>F59</f>
        <v>C1a2a2</v>
      </c>
      <c r="M1798" s="89" t="s">
        <v>2788</v>
      </c>
      <c r="N1798" s="89"/>
      <c r="O1798" s="92">
        <v>1.4335936E7</v>
      </c>
      <c r="P1798" s="92">
        <v>1.2215231E7</v>
      </c>
      <c r="Q1798" s="89" t="s">
        <v>864</v>
      </c>
      <c r="AF1798" s="1"/>
      <c r="AG1798" s="1"/>
    </row>
    <row r="1799" ht="15.75" customHeight="1">
      <c r="A1799" s="1"/>
      <c r="B1799" s="1"/>
      <c r="C1799" s="1"/>
      <c r="D1799" s="1"/>
      <c r="E1799" s="1"/>
      <c r="F1799" s="1"/>
      <c r="G1799" s="1"/>
      <c r="H1799" s="1"/>
      <c r="I1799" s="1"/>
      <c r="J1799" s="1"/>
      <c r="K1799" s="89" t="s">
        <v>2788</v>
      </c>
      <c r="L1799" s="89" t="str">
        <f>F59</f>
        <v>C1a2a2</v>
      </c>
      <c r="M1799" s="89" t="s">
        <v>2787</v>
      </c>
      <c r="N1799" s="89"/>
      <c r="O1799" s="92">
        <v>1.4335936E7</v>
      </c>
      <c r="P1799" s="92">
        <v>1.2215231E7</v>
      </c>
      <c r="Q1799" s="89" t="s">
        <v>864</v>
      </c>
      <c r="AF1799" s="1"/>
      <c r="AG1799" s="1"/>
    </row>
    <row r="1800" ht="15.75" customHeight="1">
      <c r="A1800" s="1"/>
      <c r="B1800" s="1"/>
      <c r="C1800" s="1"/>
      <c r="D1800" s="1"/>
      <c r="E1800" s="1"/>
      <c r="F1800" s="1"/>
      <c r="G1800" s="1"/>
      <c r="H1800" s="1"/>
      <c r="I1800" s="1"/>
      <c r="J1800" s="1"/>
      <c r="K1800" s="89" t="s">
        <v>2789</v>
      </c>
      <c r="L1800" s="89" t="str">
        <f>F59</f>
        <v>C1a2a2</v>
      </c>
      <c r="M1800" s="89" t="s">
        <v>2790</v>
      </c>
      <c r="N1800" s="89"/>
      <c r="O1800" s="92">
        <v>1.4349706E7</v>
      </c>
      <c r="P1800" s="92">
        <v>1.2229001E7</v>
      </c>
      <c r="Q1800" s="89" t="s">
        <v>864</v>
      </c>
      <c r="AF1800" s="1"/>
      <c r="AG1800" s="1"/>
    </row>
    <row r="1801" ht="15.75" customHeight="1">
      <c r="A1801" s="1"/>
      <c r="B1801" s="1"/>
      <c r="C1801" s="1"/>
      <c r="D1801" s="1"/>
      <c r="E1801" s="1"/>
      <c r="F1801" s="1"/>
      <c r="G1801" s="1"/>
      <c r="H1801" s="1"/>
      <c r="I1801" s="1"/>
      <c r="J1801" s="1"/>
      <c r="K1801" s="89" t="s">
        <v>2790</v>
      </c>
      <c r="L1801" s="89" t="str">
        <f>F59</f>
        <v>C1a2a2</v>
      </c>
      <c r="M1801" s="89" t="s">
        <v>2789</v>
      </c>
      <c r="N1801" s="89"/>
      <c r="O1801" s="92">
        <v>1.4349706E7</v>
      </c>
      <c r="P1801" s="92">
        <v>1.2229001E7</v>
      </c>
      <c r="Q1801" s="89" t="s">
        <v>864</v>
      </c>
      <c r="AF1801" s="1"/>
      <c r="AG1801" s="1"/>
    </row>
    <row r="1802" ht="15.75" customHeight="1">
      <c r="A1802" s="1"/>
      <c r="B1802" s="1"/>
      <c r="C1802" s="1"/>
      <c r="D1802" s="1"/>
      <c r="E1802" s="1"/>
      <c r="F1802" s="1"/>
      <c r="G1802" s="1"/>
      <c r="H1802" s="1"/>
      <c r="I1802" s="1"/>
      <c r="J1802" s="1"/>
      <c r="K1802" s="89" t="s">
        <v>2791</v>
      </c>
      <c r="L1802" s="89" t="str">
        <f>F59</f>
        <v>C1a2a2</v>
      </c>
      <c r="M1802" s="89" t="s">
        <v>2792</v>
      </c>
      <c r="N1802" s="89"/>
      <c r="O1802" s="92">
        <v>1.4656077E7</v>
      </c>
      <c r="P1802" s="92">
        <v>1.2544142E7</v>
      </c>
      <c r="Q1802" s="89" t="s">
        <v>822</v>
      </c>
      <c r="AF1802" s="1"/>
      <c r="AG1802" s="1"/>
    </row>
    <row r="1803" ht="15.75" customHeight="1">
      <c r="A1803" s="1"/>
      <c r="B1803" s="1"/>
      <c r="C1803" s="1"/>
      <c r="D1803" s="1"/>
      <c r="E1803" s="1"/>
      <c r="F1803" s="1"/>
      <c r="G1803" s="1"/>
      <c r="H1803" s="1"/>
      <c r="I1803" s="1"/>
      <c r="J1803" s="1"/>
      <c r="K1803" s="89" t="s">
        <v>2792</v>
      </c>
      <c r="L1803" s="89" t="str">
        <f>F59</f>
        <v>C1a2a2</v>
      </c>
      <c r="M1803" s="89" t="s">
        <v>2791</v>
      </c>
      <c r="N1803" s="89"/>
      <c r="O1803" s="92">
        <v>1.4656077E7</v>
      </c>
      <c r="P1803" s="92">
        <v>1.2544142E7</v>
      </c>
      <c r="Q1803" s="89" t="s">
        <v>822</v>
      </c>
      <c r="AF1803" s="1"/>
      <c r="AG1803" s="1"/>
    </row>
    <row r="1804" ht="15.75" customHeight="1">
      <c r="A1804" s="1"/>
      <c r="B1804" s="1"/>
      <c r="C1804" s="1"/>
      <c r="D1804" s="1"/>
      <c r="E1804" s="1"/>
      <c r="F1804" s="1"/>
      <c r="G1804" s="1"/>
      <c r="H1804" s="1"/>
      <c r="I1804" s="1"/>
      <c r="J1804" s="1"/>
      <c r="K1804" s="89" t="s">
        <v>2793</v>
      </c>
      <c r="L1804" s="89" t="str">
        <f>F59</f>
        <v>C1a2a2</v>
      </c>
      <c r="M1804" s="89" t="s">
        <v>2794</v>
      </c>
      <c r="N1804" s="89"/>
      <c r="O1804" s="92">
        <v>1.4831143E7</v>
      </c>
      <c r="P1804" s="92">
        <v>1.271921E7</v>
      </c>
      <c r="Q1804" s="89" t="s">
        <v>886</v>
      </c>
      <c r="AF1804" s="1"/>
      <c r="AG1804" s="1"/>
    </row>
    <row r="1805" ht="15.75" customHeight="1">
      <c r="A1805" s="1"/>
      <c r="B1805" s="1"/>
      <c r="C1805" s="1"/>
      <c r="D1805" s="1"/>
      <c r="E1805" s="1"/>
      <c r="F1805" s="1"/>
      <c r="G1805" s="1"/>
      <c r="H1805" s="1"/>
      <c r="I1805" s="1"/>
      <c r="J1805" s="1"/>
      <c r="K1805" s="89" t="s">
        <v>2794</v>
      </c>
      <c r="L1805" s="89" t="str">
        <f>F59</f>
        <v>C1a2a2</v>
      </c>
      <c r="M1805" s="89" t="s">
        <v>2793</v>
      </c>
      <c r="N1805" s="89"/>
      <c r="O1805" s="92">
        <v>1.4831143E7</v>
      </c>
      <c r="P1805" s="92">
        <v>1.271921E7</v>
      </c>
      <c r="Q1805" s="89" t="s">
        <v>886</v>
      </c>
      <c r="AF1805" s="1"/>
      <c r="AG1805" s="1"/>
    </row>
    <row r="1806" ht="15.75" customHeight="1">
      <c r="A1806" s="1"/>
      <c r="B1806" s="1"/>
      <c r="C1806" s="1"/>
      <c r="D1806" s="1"/>
      <c r="E1806" s="1"/>
      <c r="F1806" s="1"/>
      <c r="G1806" s="1"/>
      <c r="H1806" s="1"/>
      <c r="I1806" s="1"/>
      <c r="J1806" s="1"/>
      <c r="K1806" s="89" t="s">
        <v>2795</v>
      </c>
      <c r="L1806" s="89" t="str">
        <f>F59</f>
        <v>C1a2a2</v>
      </c>
      <c r="M1806" s="89" t="s">
        <v>2796</v>
      </c>
      <c r="N1806" s="89"/>
      <c r="O1806" s="92">
        <v>1.5661413E7</v>
      </c>
      <c r="P1806" s="92">
        <v>1.3549533E7</v>
      </c>
      <c r="Q1806" s="89" t="s">
        <v>845</v>
      </c>
      <c r="AF1806" s="1"/>
      <c r="AG1806" s="1"/>
    </row>
    <row r="1807" ht="15.75" customHeight="1">
      <c r="A1807" s="1"/>
      <c r="B1807" s="1"/>
      <c r="C1807" s="1"/>
      <c r="D1807" s="1"/>
      <c r="E1807" s="1"/>
      <c r="F1807" s="1"/>
      <c r="G1807" s="1"/>
      <c r="H1807" s="1"/>
      <c r="I1807" s="1"/>
      <c r="J1807" s="1"/>
      <c r="K1807" s="89" t="s">
        <v>2796</v>
      </c>
      <c r="L1807" s="89" t="str">
        <f>F59</f>
        <v>C1a2a2</v>
      </c>
      <c r="M1807" s="89" t="s">
        <v>2795</v>
      </c>
      <c r="N1807" s="89"/>
      <c r="O1807" s="92">
        <v>1.5661413E7</v>
      </c>
      <c r="P1807" s="92">
        <v>1.3549533E7</v>
      </c>
      <c r="Q1807" s="89" t="s">
        <v>845</v>
      </c>
      <c r="AF1807" s="1"/>
      <c r="AG1807" s="1"/>
    </row>
    <row r="1808" ht="15.75" customHeight="1">
      <c r="A1808" s="1"/>
      <c r="B1808" s="1"/>
      <c r="C1808" s="1"/>
      <c r="D1808" s="1"/>
      <c r="E1808" s="1"/>
      <c r="F1808" s="1"/>
      <c r="G1808" s="1"/>
      <c r="H1808" s="1"/>
      <c r="I1808" s="1"/>
      <c r="J1808" s="1"/>
      <c r="K1808" s="89" t="s">
        <v>2797</v>
      </c>
      <c r="L1808" s="89" t="str">
        <f>F59</f>
        <v>C1a2a2</v>
      </c>
      <c r="M1808" s="89" t="s">
        <v>2798</v>
      </c>
      <c r="N1808" s="89" t="s">
        <v>2799</v>
      </c>
      <c r="O1808" s="92">
        <v>1.5754825E7</v>
      </c>
      <c r="P1808" s="92">
        <v>1.3642945E7</v>
      </c>
      <c r="Q1808" s="89" t="s">
        <v>822</v>
      </c>
      <c r="AF1808" s="1"/>
      <c r="AG1808" s="1"/>
    </row>
    <row r="1809" ht="15.75" customHeight="1">
      <c r="A1809" s="1"/>
      <c r="B1809" s="1"/>
      <c r="C1809" s="1"/>
      <c r="D1809" s="1"/>
      <c r="E1809" s="1"/>
      <c r="F1809" s="1"/>
      <c r="G1809" s="1"/>
      <c r="H1809" s="1"/>
      <c r="I1809" s="1"/>
      <c r="J1809" s="1"/>
      <c r="K1809" s="89" t="s">
        <v>2798</v>
      </c>
      <c r="L1809" s="89" t="str">
        <f>F59</f>
        <v>C1a2a2</v>
      </c>
      <c r="M1809" s="89" t="s">
        <v>2797</v>
      </c>
      <c r="N1809" s="89" t="s">
        <v>2799</v>
      </c>
      <c r="O1809" s="92">
        <v>1.5754825E7</v>
      </c>
      <c r="P1809" s="92">
        <v>1.3642945E7</v>
      </c>
      <c r="Q1809" s="89" t="s">
        <v>822</v>
      </c>
      <c r="AF1809" s="1"/>
      <c r="AG1809" s="1"/>
    </row>
    <row r="1810" ht="15.75" customHeight="1">
      <c r="A1810" s="1"/>
      <c r="B1810" s="1"/>
      <c r="C1810" s="1"/>
      <c r="D1810" s="1"/>
      <c r="E1810" s="1"/>
      <c r="F1810" s="1"/>
      <c r="G1810" s="1"/>
      <c r="H1810" s="1"/>
      <c r="I1810" s="1"/>
      <c r="J1810" s="1"/>
      <c r="K1810" s="89" t="s">
        <v>2800</v>
      </c>
      <c r="L1810" s="89" t="str">
        <f>F59</f>
        <v>C1a2a2</v>
      </c>
      <c r="M1810" s="89" t="s">
        <v>2801</v>
      </c>
      <c r="N1810" s="89"/>
      <c r="O1810" s="92">
        <v>1.6385879E7</v>
      </c>
      <c r="P1810" s="92">
        <v>1.4273999E7</v>
      </c>
      <c r="Q1810" s="89" t="s">
        <v>838</v>
      </c>
      <c r="AF1810" s="1"/>
      <c r="AG1810" s="1"/>
    </row>
    <row r="1811" ht="15.75" customHeight="1">
      <c r="A1811" s="1"/>
      <c r="B1811" s="1"/>
      <c r="C1811" s="1"/>
      <c r="D1811" s="1"/>
      <c r="E1811" s="1"/>
      <c r="F1811" s="1"/>
      <c r="G1811" s="1"/>
      <c r="H1811" s="1"/>
      <c r="I1811" s="1"/>
      <c r="J1811" s="1"/>
      <c r="K1811" s="89" t="s">
        <v>2801</v>
      </c>
      <c r="L1811" s="89" t="str">
        <f>F59</f>
        <v>C1a2a2</v>
      </c>
      <c r="M1811" s="89" t="s">
        <v>2800</v>
      </c>
      <c r="N1811" s="89"/>
      <c r="O1811" s="92">
        <v>1.6385879E7</v>
      </c>
      <c r="P1811" s="92">
        <v>1.4273999E7</v>
      </c>
      <c r="Q1811" s="89" t="s">
        <v>838</v>
      </c>
      <c r="AF1811" s="1"/>
      <c r="AG1811" s="1"/>
    </row>
    <row r="1812" ht="15.75" customHeight="1">
      <c r="A1812" s="1"/>
      <c r="B1812" s="1"/>
      <c r="C1812" s="1"/>
      <c r="D1812" s="1"/>
      <c r="E1812" s="1"/>
      <c r="F1812" s="1"/>
      <c r="G1812" s="1"/>
      <c r="H1812" s="1"/>
      <c r="I1812" s="1"/>
      <c r="J1812" s="1"/>
      <c r="K1812" s="89" t="s">
        <v>2802</v>
      </c>
      <c r="L1812" s="89" t="str">
        <f>F59</f>
        <v>C1a2a2</v>
      </c>
      <c r="M1812" s="89" t="s">
        <v>2803</v>
      </c>
      <c r="N1812" s="89"/>
      <c r="O1812" s="92">
        <v>1.6452536E7</v>
      </c>
      <c r="P1812" s="92">
        <v>1.4340656E7</v>
      </c>
      <c r="Q1812" s="89" t="s">
        <v>822</v>
      </c>
      <c r="AF1812" s="1"/>
      <c r="AG1812" s="1"/>
    </row>
    <row r="1813" ht="15.75" customHeight="1">
      <c r="A1813" s="1"/>
      <c r="B1813" s="1"/>
      <c r="C1813" s="1"/>
      <c r="D1813" s="1"/>
      <c r="E1813" s="1"/>
      <c r="F1813" s="1"/>
      <c r="G1813" s="1"/>
      <c r="H1813" s="1"/>
      <c r="I1813" s="1"/>
      <c r="J1813" s="1"/>
      <c r="K1813" s="89" t="s">
        <v>2803</v>
      </c>
      <c r="L1813" s="89" t="str">
        <f>F59</f>
        <v>C1a2a2</v>
      </c>
      <c r="M1813" s="89" t="s">
        <v>2802</v>
      </c>
      <c r="N1813" s="89"/>
      <c r="O1813" s="92">
        <v>1.6452536E7</v>
      </c>
      <c r="P1813" s="92">
        <v>1.4340656E7</v>
      </c>
      <c r="Q1813" s="89" t="s">
        <v>822</v>
      </c>
      <c r="AF1813" s="1"/>
      <c r="AG1813" s="1"/>
    </row>
    <row r="1814" ht="15.75" customHeight="1">
      <c r="A1814" s="1"/>
      <c r="B1814" s="1"/>
      <c r="C1814" s="1"/>
      <c r="D1814" s="1"/>
      <c r="E1814" s="1"/>
      <c r="F1814" s="1"/>
      <c r="G1814" s="1"/>
      <c r="H1814" s="1"/>
      <c r="I1814" s="1"/>
      <c r="J1814" s="1"/>
      <c r="K1814" s="89" t="s">
        <v>2804</v>
      </c>
      <c r="L1814" s="89" t="str">
        <f>F59</f>
        <v>C1a2a2</v>
      </c>
      <c r="M1814" s="89" t="s">
        <v>2805</v>
      </c>
      <c r="N1814" s="89"/>
      <c r="O1814" s="92">
        <v>1.6698408E7</v>
      </c>
      <c r="P1814" s="92">
        <v>1.4586528E7</v>
      </c>
      <c r="Q1814" s="89" t="s">
        <v>802</v>
      </c>
      <c r="AF1814" s="1"/>
      <c r="AG1814" s="1"/>
    </row>
    <row r="1815" ht="15.75" customHeight="1">
      <c r="A1815" s="1"/>
      <c r="B1815" s="1"/>
      <c r="C1815" s="1"/>
      <c r="D1815" s="1"/>
      <c r="E1815" s="1"/>
      <c r="F1815" s="1"/>
      <c r="G1815" s="1"/>
      <c r="H1815" s="1"/>
      <c r="I1815" s="1"/>
      <c r="J1815" s="1"/>
      <c r="K1815" s="89" t="s">
        <v>2805</v>
      </c>
      <c r="L1815" s="89" t="str">
        <f>F59</f>
        <v>C1a2a2</v>
      </c>
      <c r="M1815" s="89" t="s">
        <v>2804</v>
      </c>
      <c r="N1815" s="89"/>
      <c r="O1815" s="92">
        <v>1.6698408E7</v>
      </c>
      <c r="P1815" s="92">
        <v>1.4586528E7</v>
      </c>
      <c r="Q1815" s="89" t="s">
        <v>802</v>
      </c>
      <c r="AF1815" s="1"/>
      <c r="AG1815" s="1"/>
    </row>
    <row r="1816" ht="15.75" customHeight="1">
      <c r="A1816" s="1"/>
      <c r="B1816" s="1"/>
      <c r="C1816" s="1"/>
      <c r="D1816" s="1"/>
      <c r="E1816" s="1"/>
      <c r="F1816" s="1"/>
      <c r="G1816" s="1"/>
      <c r="H1816" s="1"/>
      <c r="I1816" s="1"/>
      <c r="J1816" s="1"/>
      <c r="K1816" s="89" t="s">
        <v>2806</v>
      </c>
      <c r="L1816" s="89" t="str">
        <f>F59</f>
        <v>C1a2a2</v>
      </c>
      <c r="M1816" s="89" t="s">
        <v>2807</v>
      </c>
      <c r="N1816" s="89"/>
      <c r="O1816" s="92">
        <v>1.6801056E7</v>
      </c>
      <c r="P1816" s="92">
        <v>1.4689176E7</v>
      </c>
      <c r="Q1816" s="89" t="s">
        <v>810</v>
      </c>
      <c r="AF1816" s="1"/>
      <c r="AG1816" s="1"/>
    </row>
    <row r="1817" ht="15.75" customHeight="1">
      <c r="A1817" s="1"/>
      <c r="B1817" s="1"/>
      <c r="C1817" s="1"/>
      <c r="D1817" s="1"/>
      <c r="E1817" s="1"/>
      <c r="F1817" s="1"/>
      <c r="G1817" s="1"/>
      <c r="H1817" s="1"/>
      <c r="I1817" s="1"/>
      <c r="J1817" s="1"/>
      <c r="K1817" s="89" t="s">
        <v>2807</v>
      </c>
      <c r="L1817" s="89" t="str">
        <f>F59</f>
        <v>C1a2a2</v>
      </c>
      <c r="M1817" s="89" t="s">
        <v>2806</v>
      </c>
      <c r="N1817" s="89"/>
      <c r="O1817" s="92">
        <v>1.6801056E7</v>
      </c>
      <c r="P1817" s="92">
        <v>1.4689176E7</v>
      </c>
      <c r="Q1817" s="89" t="s">
        <v>810</v>
      </c>
      <c r="AF1817" s="1"/>
      <c r="AG1817" s="1"/>
    </row>
    <row r="1818" ht="15.75" customHeight="1">
      <c r="A1818" s="1"/>
      <c r="B1818" s="1"/>
      <c r="C1818" s="1"/>
      <c r="D1818" s="1"/>
      <c r="E1818" s="1"/>
      <c r="F1818" s="1"/>
      <c r="G1818" s="1"/>
      <c r="H1818" s="1"/>
      <c r="I1818" s="1"/>
      <c r="J1818" s="1"/>
      <c r="K1818" s="89" t="s">
        <v>2808</v>
      </c>
      <c r="L1818" s="89" t="str">
        <f>F59</f>
        <v>C1a2a2</v>
      </c>
      <c r="M1818" s="89" t="s">
        <v>2809</v>
      </c>
      <c r="N1818" s="89"/>
      <c r="O1818" s="92">
        <v>1.6869679E7</v>
      </c>
      <c r="P1818" s="92">
        <v>1.4757799E7</v>
      </c>
      <c r="Q1818" s="89" t="s">
        <v>831</v>
      </c>
      <c r="AF1818" s="1"/>
      <c r="AG1818" s="1"/>
    </row>
    <row r="1819" ht="15.75" customHeight="1">
      <c r="A1819" s="1"/>
      <c r="B1819" s="1"/>
      <c r="C1819" s="1"/>
      <c r="D1819" s="1"/>
      <c r="E1819" s="1"/>
      <c r="F1819" s="1"/>
      <c r="G1819" s="1"/>
      <c r="H1819" s="1"/>
      <c r="I1819" s="1"/>
      <c r="J1819" s="1"/>
      <c r="K1819" s="89" t="s">
        <v>2809</v>
      </c>
      <c r="L1819" s="89" t="str">
        <f>F59</f>
        <v>C1a2a2</v>
      </c>
      <c r="M1819" s="89" t="s">
        <v>2808</v>
      </c>
      <c r="N1819" s="89"/>
      <c r="O1819" s="92">
        <v>1.6869679E7</v>
      </c>
      <c r="P1819" s="92">
        <v>1.4757799E7</v>
      </c>
      <c r="Q1819" s="89" t="s">
        <v>831</v>
      </c>
      <c r="AF1819" s="1"/>
      <c r="AG1819" s="1"/>
    </row>
    <row r="1820" ht="15.75" customHeight="1">
      <c r="A1820" s="1"/>
      <c r="B1820" s="1"/>
      <c r="C1820" s="1"/>
      <c r="D1820" s="1"/>
      <c r="E1820" s="1"/>
      <c r="F1820" s="1"/>
      <c r="G1820" s="1"/>
      <c r="H1820" s="1"/>
      <c r="I1820" s="1"/>
      <c r="J1820" s="1"/>
      <c r="K1820" s="89" t="s">
        <v>2810</v>
      </c>
      <c r="L1820" s="89" t="str">
        <f>F59</f>
        <v>C1a2a2</v>
      </c>
      <c r="M1820" s="89" t="s">
        <v>2811</v>
      </c>
      <c r="N1820" s="89"/>
      <c r="O1820" s="92">
        <v>1.6893294E7</v>
      </c>
      <c r="P1820" s="92">
        <v>1.4781414E7</v>
      </c>
      <c r="Q1820" s="89" t="s">
        <v>810</v>
      </c>
      <c r="AF1820" s="1"/>
      <c r="AG1820" s="1"/>
    </row>
    <row r="1821" ht="15.75" customHeight="1">
      <c r="A1821" s="1"/>
      <c r="B1821" s="1"/>
      <c r="C1821" s="1"/>
      <c r="D1821" s="1"/>
      <c r="E1821" s="1"/>
      <c r="F1821" s="1"/>
      <c r="G1821" s="1"/>
      <c r="H1821" s="1"/>
      <c r="I1821" s="1"/>
      <c r="J1821" s="1"/>
      <c r="K1821" s="89" t="s">
        <v>2811</v>
      </c>
      <c r="L1821" s="89" t="str">
        <f>F59</f>
        <v>C1a2a2</v>
      </c>
      <c r="M1821" s="89" t="s">
        <v>2810</v>
      </c>
      <c r="N1821" s="89"/>
      <c r="O1821" s="92">
        <v>1.6893294E7</v>
      </c>
      <c r="P1821" s="92">
        <v>1.4781414E7</v>
      </c>
      <c r="Q1821" s="89" t="s">
        <v>810</v>
      </c>
      <c r="AF1821" s="1"/>
      <c r="AG1821" s="1"/>
    </row>
    <row r="1822" ht="15.75" customHeight="1">
      <c r="A1822" s="1"/>
      <c r="B1822" s="1"/>
      <c r="C1822" s="1"/>
      <c r="D1822" s="1"/>
      <c r="E1822" s="1"/>
      <c r="F1822" s="1"/>
      <c r="G1822" s="1"/>
      <c r="H1822" s="1"/>
      <c r="I1822" s="1"/>
      <c r="J1822" s="1"/>
      <c r="K1822" s="89" t="s">
        <v>2812</v>
      </c>
      <c r="L1822" s="89" t="str">
        <f>F59</f>
        <v>C1a2a2</v>
      </c>
      <c r="M1822" s="89" t="s">
        <v>2813</v>
      </c>
      <c r="N1822" s="89"/>
      <c r="O1822" s="92">
        <v>1.6924117E7</v>
      </c>
      <c r="P1822" s="92">
        <v>1.4812237E7</v>
      </c>
      <c r="Q1822" s="89" t="s">
        <v>879</v>
      </c>
      <c r="AF1822" s="1"/>
      <c r="AG1822" s="1"/>
    </row>
    <row r="1823" ht="15.75" customHeight="1">
      <c r="A1823" s="1"/>
      <c r="B1823" s="1"/>
      <c r="C1823" s="1"/>
      <c r="D1823" s="1"/>
      <c r="E1823" s="1"/>
      <c r="F1823" s="1"/>
      <c r="G1823" s="1"/>
      <c r="H1823" s="1"/>
      <c r="I1823" s="1"/>
      <c r="J1823" s="1"/>
      <c r="K1823" s="89" t="s">
        <v>2813</v>
      </c>
      <c r="L1823" s="89" t="str">
        <f>F59</f>
        <v>C1a2a2</v>
      </c>
      <c r="M1823" s="89" t="s">
        <v>2812</v>
      </c>
      <c r="N1823" s="89"/>
      <c r="O1823" s="92">
        <v>1.6924117E7</v>
      </c>
      <c r="P1823" s="92">
        <v>1.4812237E7</v>
      </c>
      <c r="Q1823" s="89" t="s">
        <v>879</v>
      </c>
      <c r="AF1823" s="1"/>
      <c r="AG1823" s="1"/>
    </row>
    <row r="1824" ht="15.75" customHeight="1">
      <c r="A1824" s="1"/>
      <c r="B1824" s="1"/>
      <c r="C1824" s="1"/>
      <c r="D1824" s="1"/>
      <c r="E1824" s="1"/>
      <c r="F1824" s="1"/>
      <c r="G1824" s="1"/>
      <c r="H1824" s="1"/>
      <c r="I1824" s="1"/>
      <c r="J1824" s="1"/>
      <c r="K1824" s="89" t="s">
        <v>2814</v>
      </c>
      <c r="L1824" s="89" t="str">
        <f>F59</f>
        <v>C1a2a2</v>
      </c>
      <c r="M1824" s="89" t="s">
        <v>2815</v>
      </c>
      <c r="N1824" s="89"/>
      <c r="O1824" s="92">
        <v>1.7100281E7</v>
      </c>
      <c r="P1824" s="92">
        <v>1.4988401E7</v>
      </c>
      <c r="Q1824" s="89" t="s">
        <v>822</v>
      </c>
      <c r="AF1824" s="1"/>
      <c r="AG1824" s="1"/>
    </row>
    <row r="1825" ht="15.75" customHeight="1">
      <c r="A1825" s="1"/>
      <c r="B1825" s="1"/>
      <c r="C1825" s="1"/>
      <c r="D1825" s="1"/>
      <c r="E1825" s="1"/>
      <c r="F1825" s="1"/>
      <c r="G1825" s="1"/>
      <c r="H1825" s="1"/>
      <c r="I1825" s="1"/>
      <c r="J1825" s="1"/>
      <c r="K1825" s="89" t="s">
        <v>2815</v>
      </c>
      <c r="L1825" s="89" t="str">
        <f>F59</f>
        <v>C1a2a2</v>
      </c>
      <c r="M1825" s="89" t="s">
        <v>2814</v>
      </c>
      <c r="N1825" s="89"/>
      <c r="O1825" s="92">
        <v>1.7100281E7</v>
      </c>
      <c r="P1825" s="92">
        <v>1.4988401E7</v>
      </c>
      <c r="Q1825" s="89" t="s">
        <v>822</v>
      </c>
      <c r="AF1825" s="1"/>
      <c r="AG1825" s="1"/>
    </row>
    <row r="1826" ht="15.75" customHeight="1">
      <c r="A1826" s="1"/>
      <c r="B1826" s="1"/>
      <c r="C1826" s="1"/>
      <c r="D1826" s="1"/>
      <c r="E1826" s="1"/>
      <c r="F1826" s="1"/>
      <c r="G1826" s="1"/>
      <c r="H1826" s="1"/>
      <c r="I1826" s="1"/>
      <c r="J1826" s="1"/>
      <c r="K1826" s="89" t="s">
        <v>2816</v>
      </c>
      <c r="L1826" s="89" t="str">
        <f>F59</f>
        <v>C1a2a2</v>
      </c>
      <c r="M1826" s="89" t="s">
        <v>2817</v>
      </c>
      <c r="N1826" s="89"/>
      <c r="O1826" s="92">
        <v>1.7348659E7</v>
      </c>
      <c r="P1826" s="92">
        <v>1.5236779E7</v>
      </c>
      <c r="Q1826" s="89" t="s">
        <v>838</v>
      </c>
      <c r="AF1826" s="1"/>
      <c r="AG1826" s="1"/>
    </row>
    <row r="1827" ht="15.75" customHeight="1">
      <c r="A1827" s="1"/>
      <c r="B1827" s="1"/>
      <c r="C1827" s="1"/>
      <c r="D1827" s="1"/>
      <c r="E1827" s="1"/>
      <c r="F1827" s="1"/>
      <c r="G1827" s="1"/>
      <c r="H1827" s="1"/>
      <c r="I1827" s="1"/>
      <c r="J1827" s="1"/>
      <c r="K1827" s="89" t="s">
        <v>2817</v>
      </c>
      <c r="L1827" s="89" t="str">
        <f>F59</f>
        <v>C1a2a2</v>
      </c>
      <c r="M1827" s="89" t="s">
        <v>2816</v>
      </c>
      <c r="N1827" s="89"/>
      <c r="O1827" s="92">
        <v>1.7348659E7</v>
      </c>
      <c r="P1827" s="92">
        <v>1.5236779E7</v>
      </c>
      <c r="Q1827" s="89" t="s">
        <v>838</v>
      </c>
      <c r="AF1827" s="1"/>
      <c r="AG1827" s="1"/>
    </row>
    <row r="1828" ht="15.75" customHeight="1">
      <c r="A1828" s="1"/>
      <c r="B1828" s="1"/>
      <c r="C1828" s="1"/>
      <c r="D1828" s="1"/>
      <c r="E1828" s="1"/>
      <c r="F1828" s="1"/>
      <c r="G1828" s="1"/>
      <c r="H1828" s="1"/>
      <c r="I1828" s="1"/>
      <c r="J1828" s="1"/>
      <c r="K1828" s="89" t="s">
        <v>2818</v>
      </c>
      <c r="L1828" s="89" t="str">
        <f>F59</f>
        <v>C1a2a2</v>
      </c>
      <c r="M1828" s="89" t="s">
        <v>2819</v>
      </c>
      <c r="N1828" s="89"/>
      <c r="O1828" s="92">
        <v>1.7747353E7</v>
      </c>
      <c r="P1828" s="92">
        <v>1.5635473E7</v>
      </c>
      <c r="Q1828" s="89" t="s">
        <v>810</v>
      </c>
      <c r="AF1828" s="1"/>
      <c r="AG1828" s="1"/>
    </row>
    <row r="1829" ht="15.75" customHeight="1">
      <c r="A1829" s="1"/>
      <c r="B1829" s="1"/>
      <c r="C1829" s="1"/>
      <c r="D1829" s="1"/>
      <c r="E1829" s="1"/>
      <c r="F1829" s="1"/>
      <c r="G1829" s="1"/>
      <c r="H1829" s="1"/>
      <c r="I1829" s="1"/>
      <c r="J1829" s="1"/>
      <c r="K1829" s="89" t="s">
        <v>2819</v>
      </c>
      <c r="L1829" s="89" t="str">
        <f>F59</f>
        <v>C1a2a2</v>
      </c>
      <c r="M1829" s="89" t="s">
        <v>2818</v>
      </c>
      <c r="N1829" s="89"/>
      <c r="O1829" s="92">
        <v>1.7747353E7</v>
      </c>
      <c r="P1829" s="92">
        <v>1.5635473E7</v>
      </c>
      <c r="Q1829" s="89" t="s">
        <v>810</v>
      </c>
      <c r="AF1829" s="1"/>
      <c r="AG1829" s="1"/>
    </row>
    <row r="1830" ht="15.75" customHeight="1">
      <c r="A1830" s="1"/>
      <c r="B1830" s="1"/>
      <c r="C1830" s="1"/>
      <c r="D1830" s="1"/>
      <c r="E1830" s="1"/>
      <c r="F1830" s="1"/>
      <c r="G1830" s="1"/>
      <c r="H1830" s="1"/>
      <c r="I1830" s="1"/>
      <c r="J1830" s="1"/>
      <c r="K1830" s="89" t="s">
        <v>2820</v>
      </c>
      <c r="L1830" s="89" t="str">
        <f>F59</f>
        <v>C1a2a2</v>
      </c>
      <c r="M1830" s="89" t="s">
        <v>2821</v>
      </c>
      <c r="N1830" s="89"/>
      <c r="O1830" s="92">
        <v>1.7890926E7</v>
      </c>
      <c r="P1830" s="92">
        <v>1.5779046E7</v>
      </c>
      <c r="Q1830" s="89" t="s">
        <v>802</v>
      </c>
      <c r="AF1830" s="1"/>
      <c r="AG1830" s="1"/>
    </row>
    <row r="1831" ht="15.75" customHeight="1">
      <c r="A1831" s="1"/>
      <c r="B1831" s="1"/>
      <c r="C1831" s="1"/>
      <c r="D1831" s="1"/>
      <c r="E1831" s="1"/>
      <c r="F1831" s="1"/>
      <c r="G1831" s="1"/>
      <c r="H1831" s="1"/>
      <c r="I1831" s="1"/>
      <c r="J1831" s="1"/>
      <c r="K1831" s="89" t="s">
        <v>2821</v>
      </c>
      <c r="L1831" s="89" t="str">
        <f>F59</f>
        <v>C1a2a2</v>
      </c>
      <c r="M1831" s="89" t="s">
        <v>2820</v>
      </c>
      <c r="N1831" s="89"/>
      <c r="O1831" s="92">
        <v>1.7890926E7</v>
      </c>
      <c r="P1831" s="92">
        <v>1.5779046E7</v>
      </c>
      <c r="Q1831" s="89" t="s">
        <v>802</v>
      </c>
      <c r="AF1831" s="1"/>
      <c r="AG1831" s="1"/>
    </row>
    <row r="1832" ht="15.75" customHeight="1">
      <c r="A1832" s="1"/>
      <c r="B1832" s="1"/>
      <c r="C1832" s="1"/>
      <c r="D1832" s="1"/>
      <c r="E1832" s="1"/>
      <c r="F1832" s="1"/>
      <c r="G1832" s="1"/>
      <c r="H1832" s="1"/>
      <c r="I1832" s="1"/>
      <c r="J1832" s="1"/>
      <c r="K1832" s="89" t="s">
        <v>2822</v>
      </c>
      <c r="L1832" s="89" t="str">
        <f>F59</f>
        <v>C1a2a2</v>
      </c>
      <c r="M1832" s="89" t="s">
        <v>2823</v>
      </c>
      <c r="N1832" s="89"/>
      <c r="O1832" s="92">
        <v>1.814816E7</v>
      </c>
      <c r="P1832" s="92">
        <v>1.603628E7</v>
      </c>
      <c r="Q1832" s="89" t="s">
        <v>838</v>
      </c>
      <c r="AF1832" s="1"/>
      <c r="AG1832" s="1"/>
    </row>
    <row r="1833" ht="15.75" customHeight="1">
      <c r="A1833" s="1"/>
      <c r="B1833" s="1"/>
      <c r="C1833" s="1"/>
      <c r="D1833" s="1"/>
      <c r="E1833" s="1"/>
      <c r="F1833" s="1"/>
      <c r="G1833" s="1"/>
      <c r="H1833" s="1"/>
      <c r="I1833" s="1"/>
      <c r="J1833" s="1"/>
      <c r="K1833" s="89" t="s">
        <v>2823</v>
      </c>
      <c r="L1833" s="89" t="str">
        <f>F59</f>
        <v>C1a2a2</v>
      </c>
      <c r="M1833" s="89" t="s">
        <v>2822</v>
      </c>
      <c r="N1833" s="89"/>
      <c r="O1833" s="92">
        <v>1.814816E7</v>
      </c>
      <c r="P1833" s="92">
        <v>1.603628E7</v>
      </c>
      <c r="Q1833" s="89" t="s">
        <v>838</v>
      </c>
      <c r="AF1833" s="1"/>
      <c r="AG1833" s="1"/>
    </row>
    <row r="1834" ht="15.75" customHeight="1">
      <c r="A1834" s="1"/>
      <c r="B1834" s="1"/>
      <c r="C1834" s="1"/>
      <c r="D1834" s="1"/>
      <c r="E1834" s="1"/>
      <c r="F1834" s="1"/>
      <c r="G1834" s="1"/>
      <c r="H1834" s="1"/>
      <c r="I1834" s="1"/>
      <c r="J1834" s="1"/>
      <c r="K1834" s="89" t="s">
        <v>2824</v>
      </c>
      <c r="L1834" s="89" t="str">
        <f>F59</f>
        <v>C1a2a2</v>
      </c>
      <c r="M1834" s="89" t="s">
        <v>2825</v>
      </c>
      <c r="N1834" s="89"/>
      <c r="O1834" s="92">
        <v>1.8617216E7</v>
      </c>
      <c r="P1834" s="92">
        <v>1.6505336E7</v>
      </c>
      <c r="Q1834" s="89" t="s">
        <v>831</v>
      </c>
      <c r="AF1834" s="1"/>
      <c r="AG1834" s="1"/>
    </row>
    <row r="1835" ht="15.75" customHeight="1">
      <c r="A1835" s="1"/>
      <c r="B1835" s="1"/>
      <c r="C1835" s="1"/>
      <c r="D1835" s="1"/>
      <c r="E1835" s="1"/>
      <c r="F1835" s="1"/>
      <c r="G1835" s="1"/>
      <c r="H1835" s="1"/>
      <c r="I1835" s="1"/>
      <c r="J1835" s="1"/>
      <c r="K1835" s="89" t="s">
        <v>2825</v>
      </c>
      <c r="L1835" s="89" t="str">
        <f>F59</f>
        <v>C1a2a2</v>
      </c>
      <c r="M1835" s="89" t="s">
        <v>2824</v>
      </c>
      <c r="N1835" s="89"/>
      <c r="O1835" s="92">
        <v>1.8617216E7</v>
      </c>
      <c r="P1835" s="92">
        <v>1.6505336E7</v>
      </c>
      <c r="Q1835" s="89" t="s">
        <v>831</v>
      </c>
      <c r="AF1835" s="1"/>
      <c r="AG1835" s="1"/>
    </row>
    <row r="1836" ht="15.75" customHeight="1">
      <c r="A1836" s="1"/>
      <c r="B1836" s="1"/>
      <c r="C1836" s="1"/>
      <c r="D1836" s="1"/>
      <c r="E1836" s="1"/>
      <c r="F1836" s="1"/>
      <c r="G1836" s="1"/>
      <c r="H1836" s="1"/>
      <c r="I1836" s="1"/>
      <c r="J1836" s="1"/>
      <c r="K1836" s="89" t="s">
        <v>2826</v>
      </c>
      <c r="L1836" s="89" t="str">
        <f>F59</f>
        <v>C1a2a2</v>
      </c>
      <c r="M1836" s="89" t="s">
        <v>2827</v>
      </c>
      <c r="N1836" s="89"/>
      <c r="O1836" s="92">
        <v>1.8886814E7</v>
      </c>
      <c r="P1836" s="92">
        <v>1.6774934E7</v>
      </c>
      <c r="Q1836" s="89" t="s">
        <v>838</v>
      </c>
      <c r="AF1836" s="1"/>
      <c r="AG1836" s="1"/>
    </row>
    <row r="1837" ht="15.75" customHeight="1">
      <c r="A1837" s="1"/>
      <c r="B1837" s="1"/>
      <c r="C1837" s="1"/>
      <c r="D1837" s="1"/>
      <c r="E1837" s="1"/>
      <c r="F1837" s="1"/>
      <c r="G1837" s="1"/>
      <c r="H1837" s="1"/>
      <c r="I1837" s="1"/>
      <c r="J1837" s="1"/>
      <c r="K1837" s="89" t="s">
        <v>2827</v>
      </c>
      <c r="L1837" s="89" t="str">
        <f>F59</f>
        <v>C1a2a2</v>
      </c>
      <c r="M1837" s="89" t="s">
        <v>2826</v>
      </c>
      <c r="N1837" s="89"/>
      <c r="O1837" s="92">
        <v>1.8886814E7</v>
      </c>
      <c r="P1837" s="92">
        <v>1.6774934E7</v>
      </c>
      <c r="Q1837" s="89" t="s">
        <v>838</v>
      </c>
      <c r="AF1837" s="1"/>
      <c r="AG1837" s="1"/>
    </row>
    <row r="1838" ht="15.75" customHeight="1">
      <c r="A1838" s="1"/>
      <c r="B1838" s="1"/>
      <c r="C1838" s="1"/>
      <c r="D1838" s="1"/>
      <c r="E1838" s="1"/>
      <c r="F1838" s="1"/>
      <c r="G1838" s="1"/>
      <c r="H1838" s="1"/>
      <c r="I1838" s="1"/>
      <c r="J1838" s="1"/>
      <c r="K1838" s="89" t="s">
        <v>2828</v>
      </c>
      <c r="L1838" s="89" t="str">
        <f>F59</f>
        <v>C1a2a2</v>
      </c>
      <c r="M1838" s="89" t="s">
        <v>2829</v>
      </c>
      <c r="N1838" s="89"/>
      <c r="O1838" s="92">
        <v>1.9105886E7</v>
      </c>
      <c r="P1838" s="92">
        <v>1.6994006E7</v>
      </c>
      <c r="Q1838" s="89" t="s">
        <v>879</v>
      </c>
      <c r="AF1838" s="1"/>
      <c r="AG1838" s="1"/>
    </row>
    <row r="1839" ht="15.75" customHeight="1">
      <c r="A1839" s="1"/>
      <c r="B1839" s="1"/>
      <c r="C1839" s="1"/>
      <c r="D1839" s="1"/>
      <c r="E1839" s="1"/>
      <c r="F1839" s="1"/>
      <c r="G1839" s="1"/>
      <c r="H1839" s="1"/>
      <c r="I1839" s="1"/>
      <c r="J1839" s="1"/>
      <c r="K1839" s="89" t="s">
        <v>2829</v>
      </c>
      <c r="L1839" s="89" t="str">
        <f>F59</f>
        <v>C1a2a2</v>
      </c>
      <c r="M1839" s="89" t="s">
        <v>2828</v>
      </c>
      <c r="N1839" s="89"/>
      <c r="O1839" s="92">
        <v>1.9105886E7</v>
      </c>
      <c r="P1839" s="92">
        <v>1.6994006E7</v>
      </c>
      <c r="Q1839" s="89" t="s">
        <v>879</v>
      </c>
      <c r="AF1839" s="1"/>
      <c r="AG1839" s="1"/>
    </row>
    <row r="1840" ht="15.75" customHeight="1">
      <c r="A1840" s="1"/>
      <c r="B1840" s="1"/>
      <c r="C1840" s="1"/>
      <c r="D1840" s="1"/>
      <c r="E1840" s="1"/>
      <c r="F1840" s="1"/>
      <c r="G1840" s="1"/>
      <c r="H1840" s="1"/>
      <c r="I1840" s="1"/>
      <c r="J1840" s="1"/>
      <c r="K1840" s="89" t="s">
        <v>2830</v>
      </c>
      <c r="L1840" s="89" t="str">
        <f>F59</f>
        <v>C1a2a2</v>
      </c>
      <c r="M1840" s="89" t="s">
        <v>2831</v>
      </c>
      <c r="N1840" s="89"/>
      <c r="O1840" s="92">
        <v>1.940588E7</v>
      </c>
      <c r="P1840" s="92">
        <v>1.7294E7</v>
      </c>
      <c r="Q1840" s="89" t="s">
        <v>879</v>
      </c>
      <c r="AF1840" s="1"/>
      <c r="AG1840" s="1"/>
    </row>
    <row r="1841" ht="15.75" customHeight="1">
      <c r="A1841" s="1"/>
      <c r="B1841" s="1"/>
      <c r="C1841" s="1"/>
      <c r="D1841" s="1"/>
      <c r="E1841" s="1"/>
      <c r="F1841" s="1"/>
      <c r="G1841" s="1"/>
      <c r="H1841" s="1"/>
      <c r="I1841" s="1"/>
      <c r="J1841" s="1"/>
      <c r="K1841" s="89" t="s">
        <v>2831</v>
      </c>
      <c r="L1841" s="89" t="str">
        <f>F59</f>
        <v>C1a2a2</v>
      </c>
      <c r="M1841" s="89" t="s">
        <v>2830</v>
      </c>
      <c r="N1841" s="89"/>
      <c r="O1841" s="92">
        <v>1.940588E7</v>
      </c>
      <c r="P1841" s="92">
        <v>1.7294E7</v>
      </c>
      <c r="Q1841" s="89" t="s">
        <v>879</v>
      </c>
      <c r="AF1841" s="1"/>
      <c r="AG1841" s="1"/>
    </row>
    <row r="1842" ht="15.75" customHeight="1">
      <c r="A1842" s="1"/>
      <c r="B1842" s="1"/>
      <c r="C1842" s="1"/>
      <c r="D1842" s="1"/>
      <c r="E1842" s="1"/>
      <c r="F1842" s="1"/>
      <c r="G1842" s="1"/>
      <c r="H1842" s="1"/>
      <c r="I1842" s="1"/>
      <c r="J1842" s="1"/>
      <c r="K1842" s="89" t="s">
        <v>2832</v>
      </c>
      <c r="L1842" s="89" t="str">
        <f>F59</f>
        <v>C1a2a2</v>
      </c>
      <c r="M1842" s="89" t="s">
        <v>2833</v>
      </c>
      <c r="N1842" s="89"/>
      <c r="O1842" s="92">
        <v>2.1143072E7</v>
      </c>
      <c r="P1842" s="92">
        <v>1.8981186E7</v>
      </c>
      <c r="Q1842" s="89" t="s">
        <v>838</v>
      </c>
      <c r="AF1842" s="1"/>
      <c r="AG1842" s="1"/>
    </row>
    <row r="1843" ht="15.75" customHeight="1">
      <c r="A1843" s="1"/>
      <c r="B1843" s="1"/>
      <c r="C1843" s="1"/>
      <c r="D1843" s="1"/>
      <c r="E1843" s="1"/>
      <c r="F1843" s="1"/>
      <c r="G1843" s="1"/>
      <c r="H1843" s="1"/>
      <c r="I1843" s="1"/>
      <c r="J1843" s="1"/>
      <c r="K1843" s="89" t="s">
        <v>2833</v>
      </c>
      <c r="L1843" s="89" t="str">
        <f>F59</f>
        <v>C1a2a2</v>
      </c>
      <c r="M1843" s="89" t="s">
        <v>2832</v>
      </c>
      <c r="N1843" s="89"/>
      <c r="O1843" s="92">
        <v>2.1143072E7</v>
      </c>
      <c r="P1843" s="92">
        <v>1.8981186E7</v>
      </c>
      <c r="Q1843" s="89" t="s">
        <v>838</v>
      </c>
      <c r="AF1843" s="1"/>
      <c r="AG1843" s="1"/>
    </row>
    <row r="1844" ht="15.75" customHeight="1">
      <c r="A1844" s="1"/>
      <c r="B1844" s="1"/>
      <c r="C1844" s="1"/>
      <c r="D1844" s="1"/>
      <c r="E1844" s="1"/>
      <c r="F1844" s="1"/>
      <c r="G1844" s="1"/>
      <c r="H1844" s="1"/>
      <c r="I1844" s="1"/>
      <c r="J1844" s="1"/>
      <c r="K1844" s="89" t="s">
        <v>2834</v>
      </c>
      <c r="L1844" s="89" t="str">
        <f>F59</f>
        <v>C1a2a2</v>
      </c>
      <c r="M1844" s="89" t="s">
        <v>2835</v>
      </c>
      <c r="N1844" s="89"/>
      <c r="O1844" s="92">
        <v>2.1232831E7</v>
      </c>
      <c r="P1844" s="92">
        <v>1.9070945E7</v>
      </c>
      <c r="Q1844" s="89" t="s">
        <v>810</v>
      </c>
      <c r="AF1844" s="1"/>
      <c r="AG1844" s="1"/>
    </row>
    <row r="1845" ht="15.75" customHeight="1">
      <c r="A1845" s="1"/>
      <c r="B1845" s="1"/>
      <c r="C1845" s="1"/>
      <c r="D1845" s="1"/>
      <c r="E1845" s="1"/>
      <c r="F1845" s="1"/>
      <c r="G1845" s="1"/>
      <c r="H1845" s="1"/>
      <c r="I1845" s="1"/>
      <c r="J1845" s="1"/>
      <c r="K1845" s="89" t="s">
        <v>2835</v>
      </c>
      <c r="L1845" s="89" t="str">
        <f>F59</f>
        <v>C1a2a2</v>
      </c>
      <c r="M1845" s="89" t="s">
        <v>2834</v>
      </c>
      <c r="N1845" s="89"/>
      <c r="O1845" s="92">
        <v>2.1232831E7</v>
      </c>
      <c r="P1845" s="92">
        <v>1.9070945E7</v>
      </c>
      <c r="Q1845" s="89" t="s">
        <v>810</v>
      </c>
      <c r="AF1845" s="1"/>
      <c r="AG1845" s="1"/>
    </row>
    <row r="1846" ht="15.75" customHeight="1">
      <c r="A1846" s="1"/>
      <c r="B1846" s="1"/>
      <c r="C1846" s="1"/>
      <c r="D1846" s="1"/>
      <c r="E1846" s="1"/>
      <c r="F1846" s="1"/>
      <c r="G1846" s="1"/>
      <c r="H1846" s="1"/>
      <c r="I1846" s="1"/>
      <c r="J1846" s="1"/>
      <c r="K1846" s="89" t="s">
        <v>2836</v>
      </c>
      <c r="L1846" s="89" t="str">
        <f>F59</f>
        <v>C1a2a2</v>
      </c>
      <c r="M1846" s="89" t="s">
        <v>2837</v>
      </c>
      <c r="N1846" s="89"/>
      <c r="O1846" s="92">
        <v>2.131549E7</v>
      </c>
      <c r="P1846" s="92">
        <v>1.9153604E7</v>
      </c>
      <c r="Q1846" s="89" t="s">
        <v>864</v>
      </c>
      <c r="AF1846" s="1"/>
      <c r="AG1846" s="1"/>
    </row>
    <row r="1847" ht="15.75" customHeight="1">
      <c r="A1847" s="1"/>
      <c r="B1847" s="1"/>
      <c r="C1847" s="1"/>
      <c r="D1847" s="1"/>
      <c r="E1847" s="1"/>
      <c r="F1847" s="1"/>
      <c r="G1847" s="1"/>
      <c r="H1847" s="1"/>
      <c r="I1847" s="1"/>
      <c r="J1847" s="1"/>
      <c r="K1847" s="89" t="s">
        <v>2837</v>
      </c>
      <c r="L1847" s="89" t="str">
        <f>F59</f>
        <v>C1a2a2</v>
      </c>
      <c r="M1847" s="89" t="s">
        <v>2836</v>
      </c>
      <c r="N1847" s="89"/>
      <c r="O1847" s="92">
        <v>2.131549E7</v>
      </c>
      <c r="P1847" s="92">
        <v>1.9153604E7</v>
      </c>
      <c r="Q1847" s="89" t="s">
        <v>864</v>
      </c>
      <c r="AF1847" s="1"/>
      <c r="AG1847" s="1"/>
    </row>
    <row r="1848" ht="15.75" customHeight="1">
      <c r="A1848" s="1"/>
      <c r="B1848" s="1"/>
      <c r="C1848" s="1"/>
      <c r="D1848" s="1"/>
      <c r="E1848" s="1"/>
      <c r="F1848" s="1"/>
      <c r="G1848" s="1"/>
      <c r="H1848" s="1"/>
      <c r="I1848" s="1"/>
      <c r="J1848" s="1"/>
      <c r="K1848" s="89" t="s">
        <v>2838</v>
      </c>
      <c r="L1848" s="89" t="str">
        <f>F59</f>
        <v>C1a2a2</v>
      </c>
      <c r="M1848" s="89" t="s">
        <v>2839</v>
      </c>
      <c r="N1848" s="89"/>
      <c r="O1848" s="92">
        <v>2.2515722E7</v>
      </c>
      <c r="P1848" s="92">
        <v>2.0353836E7</v>
      </c>
      <c r="Q1848" s="89" t="s">
        <v>831</v>
      </c>
      <c r="AF1848" s="1"/>
      <c r="AG1848" s="1"/>
    </row>
    <row r="1849" ht="15.75" customHeight="1">
      <c r="A1849" s="1"/>
      <c r="B1849" s="1"/>
      <c r="C1849" s="1"/>
      <c r="D1849" s="1"/>
      <c r="E1849" s="1"/>
      <c r="F1849" s="1"/>
      <c r="G1849" s="1"/>
      <c r="H1849" s="1"/>
      <c r="I1849" s="1"/>
      <c r="J1849" s="1"/>
      <c r="K1849" s="89" t="s">
        <v>2839</v>
      </c>
      <c r="L1849" s="89" t="str">
        <f>F59</f>
        <v>C1a2a2</v>
      </c>
      <c r="M1849" s="89" t="s">
        <v>2838</v>
      </c>
      <c r="N1849" s="89"/>
      <c r="O1849" s="92">
        <v>2.2515722E7</v>
      </c>
      <c r="P1849" s="92">
        <v>2.0353836E7</v>
      </c>
      <c r="Q1849" s="89" t="s">
        <v>831</v>
      </c>
      <c r="AF1849" s="1"/>
      <c r="AG1849" s="1"/>
    </row>
    <row r="1850" ht="15.75" customHeight="1">
      <c r="A1850" s="1"/>
      <c r="B1850" s="1"/>
      <c r="C1850" s="1"/>
      <c r="D1850" s="1"/>
      <c r="E1850" s="1"/>
      <c r="F1850" s="1"/>
      <c r="G1850" s="1"/>
      <c r="H1850" s="1"/>
      <c r="I1850" s="1"/>
      <c r="J1850" s="1"/>
      <c r="K1850" s="89" t="s">
        <v>2840</v>
      </c>
      <c r="L1850" s="89" t="str">
        <f>F59</f>
        <v>C1a2a2</v>
      </c>
      <c r="M1850" s="89"/>
      <c r="N1850" s="89" t="s">
        <v>2841</v>
      </c>
      <c r="O1850" s="92">
        <v>2824232.0</v>
      </c>
      <c r="P1850" s="92">
        <v>2956191.0</v>
      </c>
      <c r="Q1850" s="89" t="s">
        <v>838</v>
      </c>
      <c r="AF1850" s="1"/>
      <c r="AG1850" s="1"/>
    </row>
    <row r="1851" ht="15.75" customHeight="1">
      <c r="A1851" s="1"/>
      <c r="B1851" s="1"/>
      <c r="C1851" s="1"/>
      <c r="D1851" s="1"/>
      <c r="E1851" s="1"/>
      <c r="F1851" s="1"/>
      <c r="G1851" s="1"/>
      <c r="H1851" s="1"/>
      <c r="I1851" s="1"/>
      <c r="J1851" s="1"/>
      <c r="K1851" s="89" t="s">
        <v>2842</v>
      </c>
      <c r="L1851" s="89" t="str">
        <f>G60</f>
        <v>C1a2a2a~</v>
      </c>
      <c r="M1851" s="89"/>
      <c r="N1851" s="89"/>
      <c r="O1851" s="92">
        <v>7617913.0</v>
      </c>
      <c r="P1851" s="92">
        <v>7749872.0</v>
      </c>
      <c r="Q1851" s="89" t="s">
        <v>886</v>
      </c>
      <c r="AF1851" s="1"/>
      <c r="AG1851" s="1"/>
    </row>
    <row r="1852" ht="15.75" customHeight="1">
      <c r="A1852" s="1"/>
      <c r="B1852" s="1"/>
      <c r="C1852" s="1"/>
      <c r="D1852" s="1"/>
      <c r="E1852" s="1"/>
      <c r="F1852" s="1"/>
      <c r="G1852" s="1"/>
      <c r="H1852" s="1"/>
      <c r="I1852" s="1"/>
      <c r="J1852" s="1"/>
      <c r="K1852" s="89" t="s">
        <v>2843</v>
      </c>
      <c r="L1852" s="89" t="str">
        <f>G60</f>
        <v>C1a2a2a~</v>
      </c>
      <c r="M1852" s="89"/>
      <c r="N1852" s="89"/>
      <c r="O1852" s="92">
        <v>1.4108389E7</v>
      </c>
      <c r="P1852" s="92">
        <v>1.1987683E7</v>
      </c>
      <c r="Q1852" s="89" t="s">
        <v>912</v>
      </c>
      <c r="AF1852" s="1"/>
      <c r="AG1852" s="1"/>
    </row>
    <row r="1853" ht="15.75" customHeight="1">
      <c r="A1853" s="1"/>
      <c r="B1853" s="1"/>
      <c r="C1853" s="1"/>
      <c r="D1853" s="1"/>
      <c r="E1853" s="1"/>
      <c r="F1853" s="1"/>
      <c r="G1853" s="1"/>
      <c r="H1853" s="1"/>
      <c r="I1853" s="1"/>
      <c r="J1853" s="1"/>
      <c r="K1853" s="89" t="s">
        <v>2844</v>
      </c>
      <c r="L1853" s="89" t="str">
        <f>G60</f>
        <v>C1a2a2a~</v>
      </c>
      <c r="M1853" s="89"/>
      <c r="N1853" s="89"/>
      <c r="O1853" s="92">
        <v>1.5898163E7</v>
      </c>
      <c r="P1853" s="92">
        <v>1.3786283E7</v>
      </c>
      <c r="Q1853" s="89" t="s">
        <v>838</v>
      </c>
      <c r="AF1853" s="1"/>
      <c r="AG1853" s="1"/>
    </row>
    <row r="1854" ht="15.75" customHeight="1">
      <c r="A1854" s="1"/>
      <c r="B1854" s="1"/>
      <c r="C1854" s="1"/>
      <c r="D1854" s="1"/>
      <c r="E1854" s="1"/>
      <c r="F1854" s="1"/>
      <c r="G1854" s="1"/>
      <c r="H1854" s="1"/>
      <c r="I1854" s="1"/>
      <c r="J1854" s="1"/>
      <c r="K1854" s="89" t="s">
        <v>2845</v>
      </c>
      <c r="L1854" s="89" t="str">
        <f>G60</f>
        <v>C1a2a2a~</v>
      </c>
      <c r="M1854" s="89"/>
      <c r="N1854" s="89"/>
      <c r="O1854" s="92">
        <v>1.607041E7</v>
      </c>
      <c r="P1854" s="92">
        <v>1.395853E7</v>
      </c>
      <c r="Q1854" s="89" t="s">
        <v>802</v>
      </c>
      <c r="AF1854" s="1"/>
      <c r="AG1854" s="1"/>
    </row>
    <row r="1855" ht="15.75" customHeight="1">
      <c r="A1855" s="1"/>
      <c r="B1855" s="1"/>
      <c r="C1855" s="1"/>
      <c r="D1855" s="1"/>
      <c r="E1855" s="1"/>
      <c r="F1855" s="1"/>
      <c r="G1855" s="1"/>
      <c r="H1855" s="1"/>
      <c r="I1855" s="1"/>
      <c r="J1855" s="1"/>
      <c r="K1855" s="89" t="s">
        <v>2846</v>
      </c>
      <c r="L1855" s="89" t="str">
        <f t="shared" ref="L1855:L1856" si="9">G60</f>
        <v>C1a2a2a~</v>
      </c>
      <c r="M1855" s="89"/>
      <c r="N1855" s="89"/>
      <c r="O1855" s="92">
        <v>1.7358396E7</v>
      </c>
      <c r="P1855" s="92">
        <v>1.5246516E7</v>
      </c>
      <c r="Q1855" s="89" t="s">
        <v>810</v>
      </c>
      <c r="AF1855" s="1"/>
      <c r="AG1855" s="1"/>
    </row>
    <row r="1856" ht="15.75" customHeight="1">
      <c r="A1856" s="1"/>
      <c r="B1856" s="1"/>
      <c r="C1856" s="1"/>
      <c r="D1856" s="1"/>
      <c r="E1856" s="1"/>
      <c r="F1856" s="1"/>
      <c r="G1856" s="1"/>
      <c r="H1856" s="1"/>
      <c r="I1856" s="1"/>
      <c r="J1856" s="1"/>
      <c r="K1856" s="89" t="s">
        <v>2847</v>
      </c>
      <c r="L1856" s="89" t="str">
        <f t="shared" si="9"/>
        <v>C1a2a2b~</v>
      </c>
      <c r="M1856" s="89"/>
      <c r="N1856" s="89"/>
      <c r="O1856" s="92">
        <v>6655370.0</v>
      </c>
      <c r="P1856" s="92">
        <v>6787329.0</v>
      </c>
      <c r="Q1856" s="89" t="s">
        <v>886</v>
      </c>
      <c r="AF1856" s="1"/>
      <c r="AG1856" s="1"/>
    </row>
    <row r="1857" ht="15.75" customHeight="1">
      <c r="A1857" s="1"/>
      <c r="B1857" s="1"/>
      <c r="C1857" s="1"/>
      <c r="D1857" s="1"/>
      <c r="E1857" s="1"/>
      <c r="F1857" s="1"/>
      <c r="G1857" s="1"/>
      <c r="H1857" s="1"/>
      <c r="I1857" s="1"/>
      <c r="J1857" s="1"/>
      <c r="K1857" s="89" t="s">
        <v>2848</v>
      </c>
      <c r="L1857" s="89" t="str">
        <f>G61</f>
        <v>C1a2a2b~</v>
      </c>
      <c r="M1857" s="89"/>
      <c r="N1857" s="89"/>
      <c r="O1857" s="92">
        <v>6972676.0</v>
      </c>
      <c r="P1857" s="92">
        <v>7104635.0</v>
      </c>
      <c r="Q1857" s="89" t="s">
        <v>879</v>
      </c>
      <c r="AF1857" s="1"/>
      <c r="AG1857" s="1"/>
    </row>
    <row r="1858" ht="15.75" customHeight="1">
      <c r="A1858" s="1"/>
      <c r="B1858" s="1"/>
      <c r="C1858" s="1"/>
      <c r="D1858" s="1"/>
      <c r="E1858" s="1"/>
      <c r="F1858" s="1"/>
      <c r="G1858" s="1"/>
      <c r="H1858" s="1"/>
      <c r="I1858" s="1"/>
      <c r="J1858" s="1"/>
      <c r="K1858" s="89" t="s">
        <v>2849</v>
      </c>
      <c r="L1858" s="89" t="str">
        <f>G61</f>
        <v>C1a2a2b~</v>
      </c>
      <c r="M1858" s="89"/>
      <c r="N1858" s="89"/>
      <c r="O1858" s="92">
        <v>7863703.0</v>
      </c>
      <c r="P1858" s="92">
        <v>7995662.0</v>
      </c>
      <c r="Q1858" s="89" t="s">
        <v>879</v>
      </c>
      <c r="AF1858" s="1"/>
      <c r="AG1858" s="1"/>
    </row>
    <row r="1859" ht="15.75" customHeight="1">
      <c r="A1859" s="1"/>
      <c r="B1859" s="1"/>
      <c r="C1859" s="1"/>
      <c r="D1859" s="1"/>
      <c r="E1859" s="1"/>
      <c r="F1859" s="1"/>
      <c r="G1859" s="1"/>
      <c r="H1859" s="1"/>
      <c r="I1859" s="1"/>
      <c r="J1859" s="1"/>
      <c r="K1859" s="89" t="s">
        <v>2850</v>
      </c>
      <c r="L1859" s="89" t="str">
        <f>G61</f>
        <v>C1a2a2b~</v>
      </c>
      <c r="M1859" s="89"/>
      <c r="N1859" s="89" t="s">
        <v>2851</v>
      </c>
      <c r="O1859" s="92">
        <v>8372860.0</v>
      </c>
      <c r="P1859" s="92">
        <v>8504819.0</v>
      </c>
      <c r="Q1859" s="89" t="s">
        <v>838</v>
      </c>
      <c r="AF1859" s="1"/>
      <c r="AG1859" s="1"/>
    </row>
    <row r="1860" ht="15.75" customHeight="1">
      <c r="A1860" s="1"/>
      <c r="B1860" s="1"/>
      <c r="C1860" s="1"/>
      <c r="D1860" s="1"/>
      <c r="E1860" s="1"/>
      <c r="F1860" s="1"/>
      <c r="G1860" s="1"/>
      <c r="H1860" s="1"/>
      <c r="I1860" s="1"/>
      <c r="J1860" s="1"/>
      <c r="K1860" s="89" t="s">
        <v>2852</v>
      </c>
      <c r="L1860" s="89" t="str">
        <f>G61</f>
        <v>C1a2a2b~</v>
      </c>
      <c r="M1860" s="89"/>
      <c r="N1860" s="89"/>
      <c r="O1860" s="92">
        <v>8525734.0</v>
      </c>
      <c r="P1860" s="92">
        <v>8657693.0</v>
      </c>
      <c r="Q1860" s="89" t="s">
        <v>838</v>
      </c>
      <c r="AF1860" s="1"/>
      <c r="AG1860" s="1"/>
    </row>
    <row r="1861" ht="15.75" customHeight="1">
      <c r="A1861" s="1"/>
      <c r="B1861" s="1"/>
      <c r="C1861" s="1"/>
      <c r="D1861" s="1"/>
      <c r="E1861" s="1"/>
      <c r="F1861" s="1"/>
      <c r="G1861" s="1"/>
      <c r="H1861" s="1"/>
      <c r="I1861" s="1"/>
      <c r="J1861" s="1"/>
      <c r="K1861" s="89" t="s">
        <v>2853</v>
      </c>
      <c r="L1861" s="89" t="str">
        <f>E62</f>
        <v>C1a2b</v>
      </c>
      <c r="M1861" s="89"/>
      <c r="N1861" s="89"/>
      <c r="O1861" s="92">
        <v>2878435.0</v>
      </c>
      <c r="P1861" s="92">
        <v>3010394.0</v>
      </c>
      <c r="Q1861" s="89" t="s">
        <v>802</v>
      </c>
      <c r="AF1861" s="1"/>
      <c r="AG1861" s="1"/>
    </row>
    <row r="1862" ht="15.75" customHeight="1">
      <c r="A1862" s="1"/>
      <c r="B1862" s="1"/>
      <c r="C1862" s="1"/>
      <c r="D1862" s="1"/>
      <c r="E1862" s="1"/>
      <c r="F1862" s="1"/>
      <c r="G1862" s="1"/>
      <c r="H1862" s="1"/>
      <c r="I1862" s="1"/>
      <c r="J1862" s="1"/>
      <c r="K1862" s="89" t="s">
        <v>2854</v>
      </c>
      <c r="L1862" s="89" t="str">
        <f>E62</f>
        <v>C1a2b</v>
      </c>
      <c r="M1862" s="89" t="s">
        <v>2855</v>
      </c>
      <c r="N1862" s="89" t="s">
        <v>2856</v>
      </c>
      <c r="O1862" s="92">
        <v>7105467.0</v>
      </c>
      <c r="P1862" s="92">
        <v>7237426.0</v>
      </c>
      <c r="Q1862" s="89" t="s">
        <v>802</v>
      </c>
      <c r="AF1862" s="1"/>
      <c r="AG1862" s="1"/>
    </row>
    <row r="1863" ht="15.75" customHeight="1">
      <c r="A1863" s="1"/>
      <c r="B1863" s="1"/>
      <c r="C1863" s="1"/>
      <c r="D1863" s="1"/>
      <c r="E1863" s="1"/>
      <c r="F1863" s="1"/>
      <c r="G1863" s="1"/>
      <c r="H1863" s="1"/>
      <c r="I1863" s="1"/>
      <c r="J1863" s="1"/>
      <c r="K1863" s="89" t="s">
        <v>2855</v>
      </c>
      <c r="L1863" s="89" t="str">
        <f>E62</f>
        <v>C1a2b</v>
      </c>
      <c r="M1863" s="89" t="s">
        <v>2854</v>
      </c>
      <c r="N1863" s="89" t="s">
        <v>2856</v>
      </c>
      <c r="O1863" s="92">
        <v>7105467.0</v>
      </c>
      <c r="P1863" s="92">
        <v>7237426.0</v>
      </c>
      <c r="Q1863" s="89" t="s">
        <v>802</v>
      </c>
      <c r="AF1863" s="1"/>
      <c r="AG1863" s="1"/>
    </row>
    <row r="1864" ht="15.75" customHeight="1">
      <c r="A1864" s="1"/>
      <c r="B1864" s="1"/>
      <c r="C1864" s="1"/>
      <c r="D1864" s="1"/>
      <c r="E1864" s="1"/>
      <c r="F1864" s="1"/>
      <c r="G1864" s="1"/>
      <c r="H1864" s="1"/>
      <c r="I1864" s="1"/>
      <c r="J1864" s="1"/>
      <c r="K1864" s="89" t="s">
        <v>2857</v>
      </c>
      <c r="L1864" s="89" t="str">
        <f>E62</f>
        <v>C1a2b</v>
      </c>
      <c r="M1864" s="89"/>
      <c r="N1864" s="89"/>
      <c r="O1864" s="92">
        <v>2800547.0</v>
      </c>
      <c r="P1864" s="92">
        <v>2932506.0</v>
      </c>
      <c r="Q1864" s="89" t="s">
        <v>810</v>
      </c>
      <c r="AF1864" s="1"/>
      <c r="AG1864" s="1"/>
    </row>
    <row r="1865" ht="15.75" customHeight="1">
      <c r="A1865" s="1"/>
      <c r="B1865" s="1"/>
      <c r="C1865" s="1"/>
      <c r="D1865" s="1"/>
      <c r="E1865" s="1"/>
      <c r="F1865" s="1"/>
      <c r="G1865" s="1"/>
      <c r="H1865" s="1"/>
      <c r="I1865" s="1"/>
      <c r="J1865" s="1"/>
      <c r="K1865" s="89" t="s">
        <v>2858</v>
      </c>
      <c r="L1865" s="89" t="str">
        <f>E62</f>
        <v>C1a2b</v>
      </c>
      <c r="M1865" s="89"/>
      <c r="N1865" s="89"/>
      <c r="O1865" s="92">
        <v>2872866.0</v>
      </c>
      <c r="P1865" s="92">
        <v>3004825.0</v>
      </c>
      <c r="Q1865" s="89" t="s">
        <v>810</v>
      </c>
      <c r="AF1865" s="1"/>
      <c r="AG1865" s="1"/>
    </row>
    <row r="1866" ht="15.75" customHeight="1">
      <c r="A1866" s="1"/>
      <c r="B1866" s="1"/>
      <c r="C1866" s="1"/>
      <c r="D1866" s="1"/>
      <c r="E1866" s="1"/>
      <c r="F1866" s="1"/>
      <c r="G1866" s="1"/>
      <c r="H1866" s="1"/>
      <c r="I1866" s="1"/>
      <c r="J1866" s="1"/>
      <c r="K1866" s="89" t="s">
        <v>2859</v>
      </c>
      <c r="L1866" s="89" t="str">
        <f>E62</f>
        <v>C1a2b</v>
      </c>
      <c r="M1866" s="89"/>
      <c r="N1866" s="89"/>
      <c r="O1866" s="92">
        <v>6753617.0</v>
      </c>
      <c r="P1866" s="92">
        <v>6885576.0</v>
      </c>
      <c r="Q1866" s="89" t="s">
        <v>802</v>
      </c>
      <c r="AF1866" s="1"/>
      <c r="AG1866" s="1"/>
    </row>
    <row r="1867" ht="15.75" customHeight="1">
      <c r="A1867" s="1"/>
      <c r="B1867" s="1"/>
      <c r="C1867" s="1"/>
      <c r="D1867" s="1"/>
      <c r="E1867" s="1"/>
      <c r="F1867" s="1"/>
      <c r="G1867" s="1"/>
      <c r="H1867" s="1"/>
      <c r="I1867" s="1"/>
      <c r="J1867" s="1"/>
      <c r="K1867" s="89" t="s">
        <v>2860</v>
      </c>
      <c r="L1867" s="89" t="str">
        <f>E62</f>
        <v>C1a2b</v>
      </c>
      <c r="M1867" s="89"/>
      <c r="N1867" s="89"/>
      <c r="O1867" s="92">
        <v>6768867.0</v>
      </c>
      <c r="P1867" s="92">
        <v>6900826.0</v>
      </c>
      <c r="Q1867" s="89" t="s">
        <v>838</v>
      </c>
      <c r="AF1867" s="1"/>
      <c r="AG1867" s="1"/>
    </row>
    <row r="1868" ht="15.75" customHeight="1">
      <c r="A1868" s="1"/>
      <c r="B1868" s="1"/>
      <c r="C1868" s="1"/>
      <c r="D1868" s="1"/>
      <c r="E1868" s="1"/>
      <c r="F1868" s="1"/>
      <c r="G1868" s="1"/>
      <c r="H1868" s="1"/>
      <c r="I1868" s="1"/>
      <c r="J1868" s="1"/>
      <c r="K1868" s="89" t="s">
        <v>2861</v>
      </c>
      <c r="L1868" s="89" t="str">
        <f>E62</f>
        <v>C1a2b</v>
      </c>
      <c r="M1868" s="89"/>
      <c r="N1868" s="89"/>
      <c r="O1868" s="92">
        <v>6896780.0</v>
      </c>
      <c r="P1868" s="92">
        <v>7028739.0</v>
      </c>
      <c r="Q1868" s="89" t="s">
        <v>879</v>
      </c>
      <c r="AF1868" s="1"/>
      <c r="AG1868" s="1"/>
    </row>
    <row r="1869" ht="15.75" customHeight="1">
      <c r="A1869" s="1"/>
      <c r="B1869" s="1"/>
      <c r="C1869" s="1"/>
      <c r="D1869" s="1"/>
      <c r="E1869" s="1"/>
      <c r="F1869" s="1"/>
      <c r="G1869" s="1"/>
      <c r="H1869" s="1"/>
      <c r="I1869" s="1"/>
      <c r="J1869" s="1"/>
      <c r="K1869" s="89" t="s">
        <v>2862</v>
      </c>
      <c r="L1869" s="89" t="str">
        <f>E62</f>
        <v>C1a2b</v>
      </c>
      <c r="M1869" s="89"/>
      <c r="N1869" s="89"/>
      <c r="O1869" s="92">
        <v>6965925.0</v>
      </c>
      <c r="P1869" s="92">
        <v>7097884.0</v>
      </c>
      <c r="Q1869" s="89" t="s">
        <v>864</v>
      </c>
      <c r="AF1869" s="1"/>
      <c r="AG1869" s="1"/>
    </row>
    <row r="1870" ht="15.75" customHeight="1">
      <c r="A1870" s="1"/>
      <c r="B1870" s="1"/>
      <c r="C1870" s="1"/>
      <c r="D1870" s="1"/>
      <c r="E1870" s="1"/>
      <c r="F1870" s="1"/>
      <c r="G1870" s="1"/>
      <c r="H1870" s="1"/>
      <c r="I1870" s="1"/>
      <c r="J1870" s="1"/>
      <c r="K1870" s="89" t="s">
        <v>2863</v>
      </c>
      <c r="L1870" s="89" t="str">
        <f>E62</f>
        <v>C1a2b</v>
      </c>
      <c r="M1870" s="89"/>
      <c r="N1870" s="89"/>
      <c r="O1870" s="92">
        <v>7104740.0</v>
      </c>
      <c r="P1870" s="92">
        <v>7236699.0</v>
      </c>
      <c r="Q1870" s="89" t="s">
        <v>813</v>
      </c>
      <c r="AF1870" s="1"/>
      <c r="AG1870" s="1"/>
    </row>
    <row r="1871" ht="15.75" customHeight="1">
      <c r="A1871" s="1"/>
      <c r="B1871" s="1"/>
      <c r="C1871" s="1"/>
      <c r="D1871" s="1"/>
      <c r="E1871" s="1"/>
      <c r="F1871" s="1"/>
      <c r="G1871" s="1"/>
      <c r="H1871" s="1"/>
      <c r="I1871" s="1"/>
      <c r="J1871" s="1"/>
      <c r="K1871" s="89" t="s">
        <v>2864</v>
      </c>
      <c r="L1871" s="89" t="str">
        <f>E62</f>
        <v>C1a2b</v>
      </c>
      <c r="M1871" s="89"/>
      <c r="N1871" s="89"/>
      <c r="O1871" s="92">
        <v>7522171.0</v>
      </c>
      <c r="P1871" s="92">
        <v>7654130.0</v>
      </c>
      <c r="Q1871" s="89" t="s">
        <v>838</v>
      </c>
      <c r="AF1871" s="1"/>
      <c r="AG1871" s="1"/>
    </row>
    <row r="1872" ht="15.75" customHeight="1">
      <c r="A1872" s="1"/>
      <c r="B1872" s="1"/>
      <c r="C1872" s="1"/>
      <c r="D1872" s="1"/>
      <c r="E1872" s="1"/>
      <c r="F1872" s="1"/>
      <c r="G1872" s="1"/>
      <c r="H1872" s="1"/>
      <c r="I1872" s="1"/>
      <c r="J1872" s="1"/>
      <c r="K1872" s="89" t="s">
        <v>2865</v>
      </c>
      <c r="L1872" s="89" t="str">
        <f>E62</f>
        <v>C1a2b</v>
      </c>
      <c r="M1872" s="89"/>
      <c r="N1872" s="89"/>
      <c r="O1872" s="92">
        <v>7559757.0</v>
      </c>
      <c r="P1872" s="92">
        <v>7691716.0</v>
      </c>
      <c r="Q1872" s="89" t="s">
        <v>813</v>
      </c>
      <c r="AF1872" s="1"/>
      <c r="AG1872" s="1"/>
    </row>
    <row r="1873" ht="15.75" customHeight="1">
      <c r="A1873" s="1"/>
      <c r="B1873" s="1"/>
      <c r="C1873" s="1"/>
      <c r="D1873" s="1"/>
      <c r="E1873" s="1"/>
      <c r="F1873" s="1"/>
      <c r="G1873" s="1"/>
      <c r="H1873" s="1"/>
      <c r="I1873" s="1"/>
      <c r="J1873" s="1"/>
      <c r="K1873" s="89" t="s">
        <v>2866</v>
      </c>
      <c r="L1873" s="89" t="str">
        <f>E62</f>
        <v>C1a2b</v>
      </c>
      <c r="M1873" s="89"/>
      <c r="N1873" s="89"/>
      <c r="O1873" s="92">
        <v>7748617.0</v>
      </c>
      <c r="P1873" s="92">
        <v>7880576.0</v>
      </c>
      <c r="Q1873" s="89" t="s">
        <v>864</v>
      </c>
      <c r="AF1873" s="1"/>
      <c r="AG1873" s="1"/>
    </row>
    <row r="1874" ht="15.75" customHeight="1">
      <c r="A1874" s="1"/>
      <c r="B1874" s="1"/>
      <c r="C1874" s="1"/>
      <c r="D1874" s="1"/>
      <c r="E1874" s="1"/>
      <c r="F1874" s="1"/>
      <c r="G1874" s="1"/>
      <c r="H1874" s="1"/>
      <c r="I1874" s="1"/>
      <c r="J1874" s="1"/>
      <c r="K1874" s="89" t="s">
        <v>2867</v>
      </c>
      <c r="L1874" s="89" t="str">
        <f>E62</f>
        <v>C1a2b</v>
      </c>
      <c r="M1874" s="89"/>
      <c r="N1874" s="89"/>
      <c r="O1874" s="92">
        <v>7770890.0</v>
      </c>
      <c r="P1874" s="92">
        <v>7902849.0</v>
      </c>
      <c r="Q1874" s="89" t="s">
        <v>838</v>
      </c>
      <c r="AF1874" s="1"/>
      <c r="AG1874" s="1"/>
    </row>
    <row r="1875" ht="15.75" customHeight="1">
      <c r="A1875" s="1"/>
      <c r="B1875" s="1"/>
      <c r="C1875" s="1"/>
      <c r="D1875" s="1"/>
      <c r="E1875" s="1"/>
      <c r="F1875" s="1"/>
      <c r="G1875" s="1"/>
      <c r="H1875" s="1"/>
      <c r="I1875" s="1"/>
      <c r="J1875" s="1"/>
      <c r="K1875" s="89" t="s">
        <v>2868</v>
      </c>
      <c r="L1875" s="89" t="str">
        <f>E62</f>
        <v>C1a2b</v>
      </c>
      <c r="M1875" s="89"/>
      <c r="N1875" s="89"/>
      <c r="O1875" s="92">
        <v>7826836.0</v>
      </c>
      <c r="P1875" s="92">
        <v>7958795.0</v>
      </c>
      <c r="Q1875" s="89" t="s">
        <v>822</v>
      </c>
      <c r="AF1875" s="1"/>
      <c r="AG1875" s="1"/>
    </row>
    <row r="1876" ht="15.75" customHeight="1">
      <c r="A1876" s="1"/>
      <c r="B1876" s="1"/>
      <c r="C1876" s="1"/>
      <c r="D1876" s="1"/>
      <c r="E1876" s="1"/>
      <c r="F1876" s="1"/>
      <c r="G1876" s="1"/>
      <c r="H1876" s="1"/>
      <c r="I1876" s="1"/>
      <c r="J1876" s="1"/>
      <c r="K1876" s="89" t="s">
        <v>2869</v>
      </c>
      <c r="L1876" s="89" t="str">
        <f>E62</f>
        <v>C1a2b</v>
      </c>
      <c r="M1876" s="89"/>
      <c r="N1876" s="89"/>
      <c r="O1876" s="92">
        <v>8018912.0</v>
      </c>
      <c r="P1876" s="92">
        <v>8150871.0</v>
      </c>
      <c r="Q1876" s="89" t="s">
        <v>845</v>
      </c>
      <c r="AF1876" s="1"/>
      <c r="AG1876" s="1"/>
    </row>
    <row r="1877" ht="15.75" customHeight="1">
      <c r="A1877" s="1"/>
      <c r="B1877" s="1"/>
      <c r="C1877" s="1"/>
      <c r="D1877" s="1"/>
      <c r="E1877" s="1"/>
      <c r="F1877" s="1"/>
      <c r="G1877" s="1"/>
      <c r="H1877" s="1"/>
      <c r="I1877" s="1"/>
      <c r="J1877" s="1"/>
      <c r="K1877" s="89" t="s">
        <v>2870</v>
      </c>
      <c r="L1877" s="89" t="str">
        <f>E62</f>
        <v>C1a2b</v>
      </c>
      <c r="M1877" s="89"/>
      <c r="N1877" s="89"/>
      <c r="O1877" s="92">
        <v>8079957.0</v>
      </c>
      <c r="P1877" s="92">
        <v>8211916.0</v>
      </c>
      <c r="Q1877" s="89" t="s">
        <v>802</v>
      </c>
      <c r="AF1877" s="1"/>
      <c r="AG1877" s="1"/>
    </row>
    <row r="1878" ht="15.75" customHeight="1">
      <c r="A1878" s="1"/>
      <c r="B1878" s="1"/>
      <c r="C1878" s="1"/>
      <c r="D1878" s="1"/>
      <c r="E1878" s="1"/>
      <c r="F1878" s="1"/>
      <c r="G1878" s="1"/>
      <c r="H1878" s="1"/>
      <c r="I1878" s="1"/>
      <c r="J1878" s="1"/>
      <c r="K1878" s="89" t="s">
        <v>2871</v>
      </c>
      <c r="L1878" s="89" t="str">
        <f>E62</f>
        <v>C1a2b</v>
      </c>
      <c r="M1878" s="89"/>
      <c r="N1878" s="89"/>
      <c r="O1878" s="92">
        <v>8113910.0</v>
      </c>
      <c r="P1878" s="92">
        <v>8245869.0</v>
      </c>
      <c r="Q1878" s="89" t="s">
        <v>912</v>
      </c>
      <c r="AF1878" s="1"/>
      <c r="AG1878" s="1"/>
    </row>
    <row r="1879" ht="15.75" customHeight="1">
      <c r="A1879" s="1"/>
      <c r="B1879" s="1"/>
      <c r="C1879" s="1"/>
      <c r="D1879" s="1"/>
      <c r="E1879" s="1"/>
      <c r="F1879" s="1"/>
      <c r="G1879" s="1"/>
      <c r="H1879" s="1"/>
      <c r="I1879" s="1"/>
      <c r="J1879" s="1"/>
      <c r="K1879" s="89" t="s">
        <v>2872</v>
      </c>
      <c r="L1879" s="89" t="str">
        <f>E62</f>
        <v>C1a2b</v>
      </c>
      <c r="M1879" s="89"/>
      <c r="N1879" s="89" t="s">
        <v>2873</v>
      </c>
      <c r="O1879" s="92">
        <v>8193082.0</v>
      </c>
      <c r="P1879" s="92">
        <v>8325041.0</v>
      </c>
      <c r="Q1879" s="89" t="s">
        <v>802</v>
      </c>
      <c r="AF1879" s="1"/>
      <c r="AG1879" s="1"/>
    </row>
    <row r="1880" ht="15.75" customHeight="1">
      <c r="A1880" s="1"/>
      <c r="B1880" s="1"/>
      <c r="C1880" s="1"/>
      <c r="D1880" s="1"/>
      <c r="E1880" s="1"/>
      <c r="F1880" s="1"/>
      <c r="G1880" s="1"/>
      <c r="H1880" s="1"/>
      <c r="I1880" s="1"/>
      <c r="J1880" s="1"/>
      <c r="K1880" s="89" t="s">
        <v>2874</v>
      </c>
      <c r="L1880" s="89" t="str">
        <f>E62</f>
        <v>C1a2b</v>
      </c>
      <c r="M1880" s="89"/>
      <c r="N1880" s="89"/>
      <c r="O1880" s="92">
        <v>8193807.0</v>
      </c>
      <c r="P1880" s="92">
        <v>8325766.0</v>
      </c>
      <c r="Q1880" s="89" t="s">
        <v>838</v>
      </c>
      <c r="AF1880" s="1"/>
      <c r="AG1880" s="1"/>
    </row>
    <row r="1881" ht="15.75" customHeight="1">
      <c r="A1881" s="1"/>
      <c r="B1881" s="1"/>
      <c r="C1881" s="1"/>
      <c r="D1881" s="1"/>
      <c r="E1881" s="1"/>
      <c r="F1881" s="1"/>
      <c r="G1881" s="1"/>
      <c r="H1881" s="1"/>
      <c r="I1881" s="1"/>
      <c r="J1881" s="1"/>
      <c r="K1881" s="89" t="s">
        <v>2875</v>
      </c>
      <c r="L1881" s="89" t="str">
        <f>E62</f>
        <v>C1a2b</v>
      </c>
      <c r="M1881" s="89"/>
      <c r="N1881" s="89"/>
      <c r="O1881" s="92">
        <v>8197406.0</v>
      </c>
      <c r="P1881" s="92">
        <v>8329365.0</v>
      </c>
      <c r="Q1881" s="89" t="s">
        <v>838</v>
      </c>
      <c r="AF1881" s="1"/>
      <c r="AG1881" s="1"/>
    </row>
    <row r="1882" ht="15.75" customHeight="1">
      <c r="A1882" s="1"/>
      <c r="B1882" s="1"/>
      <c r="C1882" s="1"/>
      <c r="D1882" s="1"/>
      <c r="E1882" s="1"/>
      <c r="F1882" s="1"/>
      <c r="G1882" s="1"/>
      <c r="H1882" s="1"/>
      <c r="I1882" s="1"/>
      <c r="J1882" s="1"/>
      <c r="K1882" s="89" t="s">
        <v>2876</v>
      </c>
      <c r="L1882" s="89" t="str">
        <f>E62</f>
        <v>C1a2b</v>
      </c>
      <c r="M1882" s="89"/>
      <c r="N1882" s="89"/>
      <c r="O1882" s="92">
        <v>8204931.0</v>
      </c>
      <c r="P1882" s="92">
        <v>8336890.0</v>
      </c>
      <c r="Q1882" s="89" t="s">
        <v>831</v>
      </c>
      <c r="AF1882" s="1"/>
      <c r="AG1882" s="1"/>
    </row>
    <row r="1883" ht="15.75" customHeight="1">
      <c r="A1883" s="1"/>
      <c r="B1883" s="1"/>
      <c r="C1883" s="1"/>
      <c r="D1883" s="1"/>
      <c r="E1883" s="1"/>
      <c r="F1883" s="1"/>
      <c r="G1883" s="1"/>
      <c r="H1883" s="1"/>
      <c r="I1883" s="1"/>
      <c r="J1883" s="1"/>
      <c r="K1883" s="89" t="s">
        <v>2877</v>
      </c>
      <c r="L1883" s="89" t="str">
        <f>E62</f>
        <v>C1a2b</v>
      </c>
      <c r="M1883" s="89"/>
      <c r="N1883" s="89"/>
      <c r="O1883" s="92">
        <v>8645274.0</v>
      </c>
      <c r="P1883" s="92">
        <v>8777233.0</v>
      </c>
      <c r="Q1883" s="89" t="s">
        <v>864</v>
      </c>
      <c r="AF1883" s="1"/>
      <c r="AG1883" s="1"/>
    </row>
    <row r="1884" ht="15.75" customHeight="1">
      <c r="A1884" s="1"/>
      <c r="B1884" s="1"/>
      <c r="C1884" s="1"/>
      <c r="D1884" s="1"/>
      <c r="E1884" s="1"/>
      <c r="F1884" s="1"/>
      <c r="G1884" s="1"/>
      <c r="H1884" s="1"/>
      <c r="I1884" s="1"/>
      <c r="J1884" s="1"/>
      <c r="K1884" s="89" t="s">
        <v>2878</v>
      </c>
      <c r="L1884" s="89" t="str">
        <f>E62</f>
        <v>C1a2b</v>
      </c>
      <c r="M1884" s="89"/>
      <c r="N1884" s="89"/>
      <c r="O1884" s="92">
        <v>8882180.0</v>
      </c>
      <c r="P1884" s="92">
        <v>9014139.0</v>
      </c>
      <c r="Q1884" s="89" t="s">
        <v>912</v>
      </c>
      <c r="AF1884" s="1"/>
      <c r="AG1884" s="1"/>
    </row>
    <row r="1885" ht="15.75" customHeight="1">
      <c r="A1885" s="1"/>
      <c r="B1885" s="1"/>
      <c r="C1885" s="1"/>
      <c r="D1885" s="1"/>
      <c r="E1885" s="1"/>
      <c r="F1885" s="1"/>
      <c r="G1885" s="1"/>
      <c r="H1885" s="1"/>
      <c r="I1885" s="1"/>
      <c r="J1885" s="1"/>
      <c r="K1885" s="89" t="s">
        <v>2879</v>
      </c>
      <c r="L1885" s="89" t="str">
        <f>E62</f>
        <v>C1a2b</v>
      </c>
      <c r="M1885" s="89"/>
      <c r="N1885" s="89"/>
      <c r="O1885" s="92">
        <v>8890402.0</v>
      </c>
      <c r="P1885" s="92">
        <v>9022361.0</v>
      </c>
      <c r="Q1885" s="89" t="s">
        <v>879</v>
      </c>
      <c r="AF1885" s="1"/>
      <c r="AG1885" s="1"/>
    </row>
    <row r="1886" ht="15.75" customHeight="1">
      <c r="A1886" s="1"/>
      <c r="B1886" s="1"/>
      <c r="C1886" s="1"/>
      <c r="D1886" s="1"/>
      <c r="E1886" s="1"/>
      <c r="F1886" s="1"/>
      <c r="G1886" s="1"/>
      <c r="H1886" s="1"/>
      <c r="I1886" s="1"/>
      <c r="J1886" s="1"/>
      <c r="K1886" s="89" t="s">
        <v>2880</v>
      </c>
      <c r="L1886" s="89" t="str">
        <f>E62</f>
        <v>C1a2b</v>
      </c>
      <c r="M1886" s="89"/>
      <c r="N1886" s="89"/>
      <c r="O1886" s="92">
        <v>9104015.0</v>
      </c>
      <c r="P1886" s="92">
        <v>9266406.0</v>
      </c>
      <c r="Q1886" s="89" t="s">
        <v>810</v>
      </c>
      <c r="AF1886" s="1"/>
      <c r="AG1886" s="1"/>
    </row>
    <row r="1887" ht="15.75" customHeight="1">
      <c r="A1887" s="1"/>
      <c r="B1887" s="1"/>
      <c r="C1887" s="1"/>
      <c r="D1887" s="1"/>
      <c r="E1887" s="1"/>
      <c r="F1887" s="1"/>
      <c r="G1887" s="1"/>
      <c r="H1887" s="1"/>
      <c r="I1887" s="1"/>
      <c r="J1887" s="1"/>
      <c r="K1887" s="89" t="s">
        <v>2881</v>
      </c>
      <c r="L1887" s="89" t="str">
        <f>E62</f>
        <v>C1a2b</v>
      </c>
      <c r="M1887" s="89"/>
      <c r="N1887" s="89"/>
      <c r="O1887" s="92">
        <v>9966840.0</v>
      </c>
      <c r="P1887" s="92">
        <v>1.0129231E7</v>
      </c>
      <c r="Q1887" s="89" t="s">
        <v>810</v>
      </c>
      <c r="AF1887" s="1"/>
      <c r="AG1887" s="1"/>
    </row>
    <row r="1888" ht="15.75" customHeight="1">
      <c r="A1888" s="1"/>
      <c r="B1888" s="1"/>
      <c r="C1888" s="1"/>
      <c r="D1888" s="1"/>
      <c r="E1888" s="1"/>
      <c r="F1888" s="1"/>
      <c r="G1888" s="1"/>
      <c r="H1888" s="1"/>
      <c r="I1888" s="1"/>
      <c r="J1888" s="1"/>
      <c r="K1888" s="89" t="s">
        <v>2882</v>
      </c>
      <c r="L1888" s="89" t="str">
        <f>E62</f>
        <v>C1a2b</v>
      </c>
      <c r="M1888" s="89"/>
      <c r="N1888" s="89"/>
      <c r="O1888" s="92">
        <v>1.3648637E7</v>
      </c>
      <c r="P1888" s="92">
        <v>1.1492961E7</v>
      </c>
      <c r="Q1888" s="89" t="s">
        <v>822</v>
      </c>
      <c r="AF1888" s="1"/>
      <c r="AG1888" s="1"/>
    </row>
    <row r="1889" ht="15.75" customHeight="1">
      <c r="A1889" s="1"/>
      <c r="B1889" s="1"/>
      <c r="C1889" s="1"/>
      <c r="D1889" s="1"/>
      <c r="E1889" s="1"/>
      <c r="F1889" s="1"/>
      <c r="G1889" s="1"/>
      <c r="H1889" s="1"/>
      <c r="I1889" s="1"/>
      <c r="J1889" s="1"/>
      <c r="K1889" s="89" t="s">
        <v>2883</v>
      </c>
      <c r="L1889" s="89" t="str">
        <f>E62</f>
        <v>C1a2b</v>
      </c>
      <c r="M1889" s="89"/>
      <c r="N1889" s="89"/>
      <c r="O1889" s="92">
        <v>1.4127767E7</v>
      </c>
      <c r="P1889" s="92">
        <v>1.2007061E7</v>
      </c>
      <c r="Q1889" s="89" t="s">
        <v>831</v>
      </c>
      <c r="AF1889" s="1"/>
      <c r="AG1889" s="1"/>
    </row>
    <row r="1890" ht="15.75" customHeight="1">
      <c r="A1890" s="1"/>
      <c r="B1890" s="1"/>
      <c r="C1890" s="1"/>
      <c r="D1890" s="1"/>
      <c r="E1890" s="1"/>
      <c r="F1890" s="1"/>
      <c r="G1890" s="1"/>
      <c r="H1890" s="1"/>
      <c r="I1890" s="1"/>
      <c r="J1890" s="1"/>
      <c r="K1890" s="89" t="s">
        <v>2884</v>
      </c>
      <c r="L1890" s="89" t="str">
        <f>E62</f>
        <v>C1a2b</v>
      </c>
      <c r="M1890" s="89"/>
      <c r="N1890" s="89"/>
      <c r="O1890" s="92">
        <v>1.4641639E7</v>
      </c>
      <c r="P1890" s="92">
        <v>1.2529708E7</v>
      </c>
      <c r="Q1890" s="89" t="s">
        <v>886</v>
      </c>
      <c r="AF1890" s="1"/>
      <c r="AG1890" s="1"/>
    </row>
    <row r="1891" ht="15.75" customHeight="1">
      <c r="A1891" s="1"/>
      <c r="B1891" s="1"/>
      <c r="C1891" s="1"/>
      <c r="D1891" s="1"/>
      <c r="E1891" s="1"/>
      <c r="F1891" s="1"/>
      <c r="G1891" s="1"/>
      <c r="H1891" s="1"/>
      <c r="I1891" s="1"/>
      <c r="J1891" s="1"/>
      <c r="K1891" s="89" t="s">
        <v>2885</v>
      </c>
      <c r="L1891" s="89" t="str">
        <f>E62</f>
        <v>C1a2b</v>
      </c>
      <c r="M1891" s="89"/>
      <c r="N1891" s="89" t="s">
        <v>2886</v>
      </c>
      <c r="O1891" s="92">
        <v>1.4920982E7</v>
      </c>
      <c r="P1891" s="92">
        <v>1.2809047E7</v>
      </c>
      <c r="Q1891" s="89" t="s">
        <v>912</v>
      </c>
      <c r="AF1891" s="1"/>
      <c r="AG1891" s="1"/>
    </row>
    <row r="1892" ht="15.75" customHeight="1">
      <c r="A1892" s="1"/>
      <c r="B1892" s="1"/>
      <c r="C1892" s="1"/>
      <c r="D1892" s="1"/>
      <c r="E1892" s="1"/>
      <c r="F1892" s="1"/>
      <c r="G1892" s="1"/>
      <c r="H1892" s="1"/>
      <c r="I1892" s="1"/>
      <c r="J1892" s="1"/>
      <c r="K1892" s="89" t="s">
        <v>2887</v>
      </c>
      <c r="L1892" s="89" t="str">
        <f>E62</f>
        <v>C1a2b</v>
      </c>
      <c r="M1892" s="89"/>
      <c r="N1892" s="89"/>
      <c r="O1892" s="92">
        <v>1.4967587E7</v>
      </c>
      <c r="P1892" s="92">
        <v>1.2855662E7</v>
      </c>
      <c r="Q1892" s="89" t="s">
        <v>802</v>
      </c>
      <c r="AF1892" s="1"/>
      <c r="AG1892" s="1"/>
    </row>
    <row r="1893" ht="15.75" customHeight="1">
      <c r="A1893" s="1"/>
      <c r="B1893" s="1"/>
      <c r="C1893" s="1"/>
      <c r="D1893" s="1"/>
      <c r="E1893" s="1"/>
      <c r="F1893" s="1"/>
      <c r="G1893" s="1"/>
      <c r="H1893" s="1"/>
      <c r="I1893" s="1"/>
      <c r="J1893" s="1"/>
      <c r="K1893" s="89" t="s">
        <v>2888</v>
      </c>
      <c r="L1893" s="89" t="str">
        <f>E62</f>
        <v>C1a2b</v>
      </c>
      <c r="M1893" s="89"/>
      <c r="N1893" s="89"/>
      <c r="O1893" s="92">
        <v>1.5486634E7</v>
      </c>
      <c r="P1893" s="92">
        <v>1.3374754E7</v>
      </c>
      <c r="Q1893" s="89" t="s">
        <v>912</v>
      </c>
      <c r="AF1893" s="1"/>
      <c r="AG1893" s="1"/>
    </row>
    <row r="1894" ht="15.75" customHeight="1">
      <c r="A1894" s="1"/>
      <c r="B1894" s="1"/>
      <c r="C1894" s="1"/>
      <c r="D1894" s="1"/>
      <c r="E1894" s="1"/>
      <c r="F1894" s="1"/>
      <c r="G1894" s="1"/>
      <c r="H1894" s="1"/>
      <c r="I1894" s="1"/>
      <c r="J1894" s="1"/>
      <c r="K1894" s="89" t="s">
        <v>2889</v>
      </c>
      <c r="L1894" s="89" t="str">
        <f>E62</f>
        <v>C1a2b</v>
      </c>
      <c r="M1894" s="89"/>
      <c r="N1894" s="89"/>
      <c r="O1894" s="92">
        <v>1.5567555E7</v>
      </c>
      <c r="P1894" s="92">
        <v>1.3455675E7</v>
      </c>
      <c r="Q1894" s="89" t="s">
        <v>810</v>
      </c>
      <c r="AF1894" s="1"/>
      <c r="AG1894" s="1"/>
    </row>
    <row r="1895" ht="15.75" customHeight="1">
      <c r="A1895" s="1"/>
      <c r="B1895" s="1"/>
      <c r="C1895" s="1"/>
      <c r="D1895" s="1"/>
      <c r="E1895" s="1"/>
      <c r="F1895" s="1"/>
      <c r="G1895" s="1"/>
      <c r="H1895" s="1"/>
      <c r="I1895" s="1"/>
      <c r="J1895" s="1"/>
      <c r="K1895" s="89" t="s">
        <v>2890</v>
      </c>
      <c r="L1895" s="89" t="str">
        <f>E62</f>
        <v>C1a2b</v>
      </c>
      <c r="M1895" s="89"/>
      <c r="N1895" s="89"/>
      <c r="O1895" s="92">
        <v>1.5605234E7</v>
      </c>
      <c r="P1895" s="92">
        <v>1.3493354E7</v>
      </c>
      <c r="Q1895" s="89" t="s">
        <v>822</v>
      </c>
      <c r="AF1895" s="1"/>
      <c r="AG1895" s="1"/>
    </row>
    <row r="1896" ht="15.75" customHeight="1">
      <c r="A1896" s="1"/>
      <c r="B1896" s="1"/>
      <c r="C1896" s="1"/>
      <c r="D1896" s="1"/>
      <c r="E1896" s="1"/>
      <c r="F1896" s="1"/>
      <c r="G1896" s="1"/>
      <c r="H1896" s="1"/>
      <c r="I1896" s="1"/>
      <c r="J1896" s="1"/>
      <c r="K1896" s="89" t="s">
        <v>2891</v>
      </c>
      <c r="L1896" s="89" t="str">
        <f>E62</f>
        <v>C1a2b</v>
      </c>
      <c r="M1896" s="89"/>
      <c r="N1896" s="89"/>
      <c r="O1896" s="92">
        <v>1.566191E7</v>
      </c>
      <c r="P1896" s="92">
        <v>1.355003E7</v>
      </c>
      <c r="Q1896" s="89" t="s">
        <v>838</v>
      </c>
      <c r="AF1896" s="1"/>
      <c r="AG1896" s="1"/>
    </row>
    <row r="1897" ht="15.75" customHeight="1">
      <c r="A1897" s="1"/>
      <c r="B1897" s="1"/>
      <c r="C1897" s="1"/>
      <c r="D1897" s="1"/>
      <c r="E1897" s="1"/>
      <c r="F1897" s="1"/>
      <c r="G1897" s="1"/>
      <c r="H1897" s="1"/>
      <c r="I1897" s="1"/>
      <c r="J1897" s="1"/>
      <c r="K1897" s="89" t="s">
        <v>2892</v>
      </c>
      <c r="L1897" s="89" t="str">
        <f>E62</f>
        <v>C1a2b</v>
      </c>
      <c r="M1897" s="89"/>
      <c r="N1897" s="89"/>
      <c r="O1897" s="92">
        <v>1.5899251E7</v>
      </c>
      <c r="P1897" s="92">
        <v>1.3787371E7</v>
      </c>
      <c r="Q1897" s="89" t="s">
        <v>838</v>
      </c>
      <c r="AF1897" s="1"/>
      <c r="AG1897" s="1"/>
    </row>
    <row r="1898" ht="15.75" customHeight="1">
      <c r="A1898" s="1"/>
      <c r="B1898" s="1"/>
      <c r="C1898" s="1"/>
      <c r="D1898" s="1"/>
      <c r="E1898" s="1"/>
      <c r="F1898" s="1"/>
      <c r="G1898" s="1"/>
      <c r="H1898" s="1"/>
      <c r="I1898" s="1"/>
      <c r="J1898" s="1"/>
      <c r="K1898" s="89" t="s">
        <v>2893</v>
      </c>
      <c r="L1898" s="89" t="str">
        <f>E62</f>
        <v>C1a2b</v>
      </c>
      <c r="M1898" s="89"/>
      <c r="N1898" s="89"/>
      <c r="O1898" s="92">
        <v>1.5984073E7</v>
      </c>
      <c r="P1898" s="92">
        <v>1.3872193E7</v>
      </c>
      <c r="Q1898" s="89" t="s">
        <v>831</v>
      </c>
      <c r="AF1898" s="1"/>
      <c r="AG1898" s="1"/>
    </row>
    <row r="1899" ht="15.75" customHeight="1">
      <c r="A1899" s="1"/>
      <c r="B1899" s="1"/>
      <c r="C1899" s="1"/>
      <c r="D1899" s="1"/>
      <c r="E1899" s="1"/>
      <c r="F1899" s="1"/>
      <c r="G1899" s="1"/>
      <c r="H1899" s="1"/>
      <c r="I1899" s="1"/>
      <c r="J1899" s="1"/>
      <c r="K1899" s="89" t="s">
        <v>2894</v>
      </c>
      <c r="L1899" s="89" t="str">
        <f>E62</f>
        <v>C1a2b</v>
      </c>
      <c r="M1899" s="89"/>
      <c r="N1899" s="89"/>
      <c r="O1899" s="92">
        <v>1.6602145E7</v>
      </c>
      <c r="P1899" s="92">
        <v>1.4490265E7</v>
      </c>
      <c r="Q1899" s="89" t="s">
        <v>912</v>
      </c>
      <c r="AF1899" s="1"/>
      <c r="AG1899" s="1"/>
    </row>
    <row r="1900" ht="15.75" customHeight="1">
      <c r="A1900" s="1"/>
      <c r="B1900" s="1"/>
      <c r="C1900" s="1"/>
      <c r="D1900" s="1"/>
      <c r="E1900" s="1"/>
      <c r="F1900" s="1"/>
      <c r="G1900" s="1"/>
      <c r="H1900" s="1"/>
      <c r="I1900" s="1"/>
      <c r="J1900" s="1"/>
      <c r="K1900" s="89" t="s">
        <v>2895</v>
      </c>
      <c r="L1900" s="89" t="str">
        <f>E62</f>
        <v>C1a2b</v>
      </c>
      <c r="M1900" s="89"/>
      <c r="N1900" s="89"/>
      <c r="O1900" s="92">
        <v>1.7054457E7</v>
      </c>
      <c r="P1900" s="92">
        <v>1.4942577E7</v>
      </c>
      <c r="Q1900" s="89" t="s">
        <v>838</v>
      </c>
      <c r="AF1900" s="1"/>
      <c r="AG1900" s="1"/>
    </row>
    <row r="1901" ht="15.75" customHeight="1">
      <c r="A1901" s="1"/>
      <c r="B1901" s="1"/>
      <c r="C1901" s="1"/>
      <c r="D1901" s="1"/>
      <c r="E1901" s="1"/>
      <c r="F1901" s="1"/>
      <c r="G1901" s="1"/>
      <c r="H1901" s="1"/>
      <c r="I1901" s="1"/>
      <c r="J1901" s="1"/>
      <c r="K1901" s="89" t="s">
        <v>2896</v>
      </c>
      <c r="L1901" s="89" t="str">
        <f>E62</f>
        <v>C1a2b</v>
      </c>
      <c r="M1901" s="89"/>
      <c r="N1901" s="89"/>
      <c r="O1901" s="92">
        <v>1.7148556E7</v>
      </c>
      <c r="P1901" s="92">
        <v>1.5036676E7</v>
      </c>
      <c r="Q1901" s="89" t="s">
        <v>802</v>
      </c>
      <c r="AF1901" s="1"/>
      <c r="AG1901" s="1"/>
    </row>
    <row r="1902" ht="15.75" customHeight="1">
      <c r="A1902" s="1"/>
      <c r="B1902" s="1"/>
      <c r="C1902" s="1"/>
      <c r="D1902" s="1"/>
      <c r="E1902" s="1"/>
      <c r="F1902" s="1"/>
      <c r="G1902" s="1"/>
      <c r="H1902" s="1"/>
      <c r="I1902" s="1"/>
      <c r="J1902" s="1"/>
      <c r="K1902" s="89" t="s">
        <v>2897</v>
      </c>
      <c r="L1902" s="89" t="str">
        <f>E62</f>
        <v>C1a2b</v>
      </c>
      <c r="M1902" s="89"/>
      <c r="N1902" s="89"/>
      <c r="O1902" s="92">
        <v>1.7463957E7</v>
      </c>
      <c r="P1902" s="92">
        <v>1.5352077E7</v>
      </c>
      <c r="Q1902" s="89" t="s">
        <v>879</v>
      </c>
      <c r="AF1902" s="1"/>
      <c r="AG1902" s="1"/>
    </row>
    <row r="1903" ht="15.75" customHeight="1">
      <c r="A1903" s="1"/>
      <c r="B1903" s="1"/>
      <c r="C1903" s="1"/>
      <c r="D1903" s="1"/>
      <c r="E1903" s="1"/>
      <c r="F1903" s="1"/>
      <c r="G1903" s="1"/>
      <c r="H1903" s="1"/>
      <c r="I1903" s="1"/>
      <c r="J1903" s="1"/>
      <c r="K1903" s="89" t="s">
        <v>2898</v>
      </c>
      <c r="L1903" s="89" t="str">
        <f>E62</f>
        <v>C1a2b</v>
      </c>
      <c r="M1903" s="89"/>
      <c r="N1903" s="89"/>
      <c r="O1903" s="92">
        <v>1.7527147E7</v>
      </c>
      <c r="P1903" s="92">
        <v>1.5415267E7</v>
      </c>
      <c r="Q1903" s="89" t="s">
        <v>802</v>
      </c>
      <c r="AF1903" s="1"/>
      <c r="AG1903" s="1"/>
    </row>
    <row r="1904" ht="15.75" customHeight="1">
      <c r="A1904" s="1"/>
      <c r="B1904" s="1"/>
      <c r="C1904" s="1"/>
      <c r="D1904" s="1"/>
      <c r="E1904" s="1"/>
      <c r="F1904" s="1"/>
      <c r="G1904" s="1"/>
      <c r="H1904" s="1"/>
      <c r="I1904" s="1"/>
      <c r="J1904" s="1"/>
      <c r="K1904" s="89" t="s">
        <v>2899</v>
      </c>
      <c r="L1904" s="89" t="str">
        <f>E62</f>
        <v>C1a2b</v>
      </c>
      <c r="M1904" s="89"/>
      <c r="N1904" s="89"/>
      <c r="O1904" s="92">
        <v>1.7665585E7</v>
      </c>
      <c r="P1904" s="92">
        <v>1.5553705E7</v>
      </c>
      <c r="Q1904" s="89" t="s">
        <v>822</v>
      </c>
      <c r="AF1904" s="1"/>
      <c r="AG1904" s="1"/>
    </row>
    <row r="1905" ht="15.75" customHeight="1">
      <c r="A1905" s="1"/>
      <c r="B1905" s="1"/>
      <c r="C1905" s="1"/>
      <c r="D1905" s="1"/>
      <c r="E1905" s="1"/>
      <c r="F1905" s="1"/>
      <c r="G1905" s="1"/>
      <c r="H1905" s="1"/>
      <c r="I1905" s="1"/>
      <c r="J1905" s="1"/>
      <c r="K1905" s="89" t="s">
        <v>2900</v>
      </c>
      <c r="L1905" s="89" t="str">
        <f>E62</f>
        <v>C1a2b</v>
      </c>
      <c r="M1905" s="89"/>
      <c r="N1905" s="89"/>
      <c r="O1905" s="92">
        <v>1.80329E7</v>
      </c>
      <c r="P1905" s="92">
        <v>1.592102E7</v>
      </c>
      <c r="Q1905" s="89" t="s">
        <v>912</v>
      </c>
      <c r="AF1905" s="1"/>
      <c r="AG1905" s="1"/>
    </row>
    <row r="1906" ht="15.75" customHeight="1">
      <c r="A1906" s="1"/>
      <c r="B1906" s="1"/>
      <c r="C1906" s="1"/>
      <c r="D1906" s="1"/>
      <c r="E1906" s="1"/>
      <c r="F1906" s="1"/>
      <c r="G1906" s="1"/>
      <c r="H1906" s="1"/>
      <c r="I1906" s="1"/>
      <c r="J1906" s="1"/>
      <c r="K1906" s="89" t="s">
        <v>2901</v>
      </c>
      <c r="L1906" s="89" t="str">
        <f>E62</f>
        <v>C1a2b</v>
      </c>
      <c r="M1906" s="89"/>
      <c r="N1906" s="89"/>
      <c r="O1906" s="92">
        <v>1.8109972E7</v>
      </c>
      <c r="P1906" s="92">
        <v>1.5998092E7</v>
      </c>
      <c r="Q1906" s="89" t="s">
        <v>912</v>
      </c>
      <c r="AF1906" s="1"/>
      <c r="AG1906" s="1"/>
    </row>
    <row r="1907" ht="15.75" customHeight="1">
      <c r="A1907" s="1"/>
      <c r="B1907" s="1"/>
      <c r="C1907" s="1"/>
      <c r="D1907" s="1"/>
      <c r="E1907" s="1"/>
      <c r="F1907" s="1"/>
      <c r="G1907" s="1"/>
      <c r="H1907" s="1"/>
      <c r="I1907" s="1"/>
      <c r="J1907" s="1"/>
      <c r="K1907" s="89" t="s">
        <v>2902</v>
      </c>
      <c r="L1907" s="89" t="str">
        <f>E62</f>
        <v>C1a2b</v>
      </c>
      <c r="M1907" s="89"/>
      <c r="N1907" s="89"/>
      <c r="O1907" s="92">
        <v>1.8195691E7</v>
      </c>
      <c r="P1907" s="92">
        <v>1.6083811E7</v>
      </c>
      <c r="Q1907" s="89" t="s">
        <v>845</v>
      </c>
      <c r="AF1907" s="1"/>
      <c r="AG1907" s="1"/>
    </row>
    <row r="1908" ht="15.75" customHeight="1">
      <c r="A1908" s="1"/>
      <c r="B1908" s="1"/>
      <c r="C1908" s="1"/>
      <c r="D1908" s="1"/>
      <c r="E1908" s="1"/>
      <c r="F1908" s="1"/>
      <c r="G1908" s="1"/>
      <c r="H1908" s="1"/>
      <c r="I1908" s="1"/>
      <c r="J1908" s="1"/>
      <c r="K1908" s="89" t="s">
        <v>2903</v>
      </c>
      <c r="L1908" s="89" t="str">
        <f>E62</f>
        <v>C1a2b</v>
      </c>
      <c r="M1908" s="89"/>
      <c r="N1908" s="89"/>
      <c r="O1908" s="92">
        <v>1.8676638E7</v>
      </c>
      <c r="P1908" s="92">
        <v>1.6564758E7</v>
      </c>
      <c r="Q1908" s="89" t="s">
        <v>802</v>
      </c>
      <c r="AF1908" s="1"/>
      <c r="AG1908" s="1"/>
    </row>
    <row r="1909" ht="15.75" customHeight="1">
      <c r="A1909" s="1"/>
      <c r="B1909" s="1"/>
      <c r="C1909" s="1"/>
      <c r="D1909" s="1"/>
      <c r="E1909" s="1"/>
      <c r="F1909" s="1"/>
      <c r="G1909" s="1"/>
      <c r="H1909" s="1"/>
      <c r="I1909" s="1"/>
      <c r="J1909" s="1"/>
      <c r="K1909" s="89" t="s">
        <v>2904</v>
      </c>
      <c r="L1909" s="89" t="str">
        <f>E62</f>
        <v>C1a2b</v>
      </c>
      <c r="M1909" s="89"/>
      <c r="N1909" s="89"/>
      <c r="O1909" s="92">
        <v>1.8760525E7</v>
      </c>
      <c r="P1909" s="92">
        <v>1.6648645E7</v>
      </c>
      <c r="Q1909" s="89" t="s">
        <v>917</v>
      </c>
      <c r="AF1909" s="1"/>
      <c r="AG1909" s="1"/>
    </row>
    <row r="1910" ht="15.75" customHeight="1">
      <c r="A1910" s="1"/>
      <c r="B1910" s="1"/>
      <c r="C1910" s="1"/>
      <c r="D1910" s="1"/>
      <c r="E1910" s="1"/>
      <c r="F1910" s="1"/>
      <c r="G1910" s="1"/>
      <c r="H1910" s="1"/>
      <c r="I1910" s="1"/>
      <c r="J1910" s="1"/>
      <c r="K1910" s="89" t="s">
        <v>2905</v>
      </c>
      <c r="L1910" s="89" t="str">
        <f>E62</f>
        <v>C1a2b</v>
      </c>
      <c r="M1910" s="89"/>
      <c r="N1910" s="89"/>
      <c r="O1910" s="92">
        <v>1.8957939E7</v>
      </c>
      <c r="P1910" s="92">
        <v>1.6846059E7</v>
      </c>
      <c r="Q1910" s="89" t="s">
        <v>822</v>
      </c>
      <c r="AF1910" s="1"/>
      <c r="AG1910" s="1"/>
    </row>
    <row r="1911" ht="15.75" customHeight="1">
      <c r="A1911" s="1"/>
      <c r="B1911" s="1"/>
      <c r="C1911" s="1"/>
      <c r="D1911" s="1"/>
      <c r="E1911" s="1"/>
      <c r="F1911" s="1"/>
      <c r="G1911" s="1"/>
      <c r="H1911" s="1"/>
      <c r="I1911" s="1"/>
      <c r="J1911" s="1"/>
      <c r="K1911" s="89" t="s">
        <v>2906</v>
      </c>
      <c r="L1911" s="89" t="str">
        <f>E62</f>
        <v>C1a2b</v>
      </c>
      <c r="M1911" s="89"/>
      <c r="N1911" s="89"/>
      <c r="O1911" s="92">
        <v>1.9075809E7</v>
      </c>
      <c r="P1911" s="92">
        <v>1.6963929E7</v>
      </c>
      <c r="Q1911" s="89" t="s">
        <v>886</v>
      </c>
      <c r="AF1911" s="1"/>
      <c r="AG1911" s="1"/>
    </row>
    <row r="1912" ht="15.75" customHeight="1">
      <c r="A1912" s="1"/>
      <c r="B1912" s="1"/>
      <c r="C1912" s="1"/>
      <c r="D1912" s="1"/>
      <c r="E1912" s="1"/>
      <c r="F1912" s="1"/>
      <c r="G1912" s="1"/>
      <c r="H1912" s="1"/>
      <c r="I1912" s="1"/>
      <c r="J1912" s="1"/>
      <c r="K1912" s="89" t="s">
        <v>2907</v>
      </c>
      <c r="L1912" s="89" t="str">
        <f>E62</f>
        <v>C1a2b</v>
      </c>
      <c r="M1912" s="89"/>
      <c r="N1912" s="89"/>
      <c r="O1912" s="92">
        <v>1.9164162E7</v>
      </c>
      <c r="P1912" s="92">
        <v>1.7052282E7</v>
      </c>
      <c r="Q1912" s="89" t="s">
        <v>810</v>
      </c>
      <c r="AF1912" s="1"/>
      <c r="AG1912" s="1"/>
    </row>
    <row r="1913" ht="15.75" customHeight="1">
      <c r="A1913" s="1"/>
      <c r="B1913" s="1"/>
      <c r="C1913" s="1"/>
      <c r="D1913" s="1"/>
      <c r="E1913" s="1"/>
      <c r="F1913" s="1"/>
      <c r="G1913" s="1"/>
      <c r="H1913" s="1"/>
      <c r="I1913" s="1"/>
      <c r="J1913" s="1"/>
      <c r="K1913" s="89" t="s">
        <v>2908</v>
      </c>
      <c r="L1913" s="89" t="str">
        <f>E62</f>
        <v>C1a2b</v>
      </c>
      <c r="M1913" s="89"/>
      <c r="N1913" s="89"/>
      <c r="O1913" s="92">
        <v>1.9190979E7</v>
      </c>
      <c r="P1913" s="92">
        <v>1.7079099E7</v>
      </c>
      <c r="Q1913" s="89" t="s">
        <v>917</v>
      </c>
      <c r="AF1913" s="1"/>
      <c r="AG1913" s="1"/>
    </row>
    <row r="1914" ht="15.75" customHeight="1">
      <c r="A1914" s="1"/>
      <c r="B1914" s="1"/>
      <c r="C1914" s="1"/>
      <c r="D1914" s="1"/>
      <c r="E1914" s="1"/>
      <c r="F1914" s="1"/>
      <c r="G1914" s="1"/>
      <c r="H1914" s="1"/>
      <c r="I1914" s="1"/>
      <c r="J1914" s="1"/>
      <c r="K1914" s="89" t="s">
        <v>2909</v>
      </c>
      <c r="L1914" s="89" t="str">
        <f>E62</f>
        <v>C1a2b</v>
      </c>
      <c r="M1914" s="89"/>
      <c r="N1914" s="89"/>
      <c r="O1914" s="92">
        <v>1.9380451E7</v>
      </c>
      <c r="P1914" s="92">
        <v>1.7268571E7</v>
      </c>
      <c r="Q1914" s="89" t="s">
        <v>864</v>
      </c>
      <c r="AF1914" s="1"/>
      <c r="AG1914" s="1"/>
    </row>
    <row r="1915" ht="15.75" customHeight="1">
      <c r="A1915" s="1"/>
      <c r="B1915" s="1"/>
      <c r="C1915" s="1"/>
      <c r="D1915" s="1"/>
      <c r="E1915" s="1"/>
      <c r="F1915" s="1"/>
      <c r="G1915" s="1"/>
      <c r="H1915" s="1"/>
      <c r="I1915" s="1"/>
      <c r="J1915" s="1"/>
      <c r="K1915" s="89" t="s">
        <v>2910</v>
      </c>
      <c r="L1915" s="89" t="str">
        <f>E62</f>
        <v>C1a2b</v>
      </c>
      <c r="M1915" s="89"/>
      <c r="N1915" s="89"/>
      <c r="O1915" s="92">
        <v>2.1104106E7</v>
      </c>
      <c r="P1915" s="92">
        <v>1.894222E7</v>
      </c>
      <c r="Q1915" s="89" t="s">
        <v>813</v>
      </c>
      <c r="AF1915" s="1"/>
      <c r="AG1915" s="1"/>
    </row>
    <row r="1916" ht="15.75" customHeight="1">
      <c r="A1916" s="1"/>
      <c r="B1916" s="1"/>
      <c r="C1916" s="1"/>
      <c r="D1916" s="1"/>
      <c r="E1916" s="1"/>
      <c r="F1916" s="1"/>
      <c r="G1916" s="1"/>
      <c r="H1916" s="1"/>
      <c r="I1916" s="1"/>
      <c r="J1916" s="1"/>
      <c r="K1916" s="89" t="s">
        <v>2911</v>
      </c>
      <c r="L1916" s="89" t="str">
        <f>E62</f>
        <v>C1a2b</v>
      </c>
      <c r="M1916" s="89"/>
      <c r="N1916" s="89"/>
      <c r="O1916" s="92">
        <v>2.1309686E7</v>
      </c>
      <c r="P1916" s="92">
        <v>1.91478E7</v>
      </c>
      <c r="Q1916" s="89" t="s">
        <v>810</v>
      </c>
      <c r="AF1916" s="1"/>
      <c r="AG1916" s="1"/>
    </row>
    <row r="1917" ht="15.75" customHeight="1">
      <c r="A1917" s="1"/>
      <c r="B1917" s="1"/>
      <c r="C1917" s="1"/>
      <c r="D1917" s="1"/>
      <c r="E1917" s="1"/>
      <c r="F1917" s="1"/>
      <c r="G1917" s="1"/>
      <c r="H1917" s="1"/>
      <c r="I1917" s="1"/>
      <c r="J1917" s="1"/>
      <c r="K1917" s="89" t="s">
        <v>2912</v>
      </c>
      <c r="L1917" s="89" t="str">
        <f>E62</f>
        <v>C1a2b</v>
      </c>
      <c r="M1917" s="89"/>
      <c r="N1917" s="89"/>
      <c r="O1917" s="92">
        <v>2.1608668E7</v>
      </c>
      <c r="P1917" s="92">
        <v>1.9446782E7</v>
      </c>
      <c r="Q1917" s="89" t="s">
        <v>886</v>
      </c>
      <c r="AF1917" s="1"/>
      <c r="AG1917" s="1"/>
    </row>
    <row r="1918" ht="15.75" customHeight="1">
      <c r="A1918" s="1"/>
      <c r="B1918" s="1"/>
      <c r="C1918" s="1"/>
      <c r="D1918" s="1"/>
      <c r="E1918" s="1"/>
      <c r="F1918" s="1"/>
      <c r="G1918" s="1"/>
      <c r="H1918" s="1"/>
      <c r="I1918" s="1"/>
      <c r="J1918" s="1"/>
      <c r="K1918" s="89" t="s">
        <v>2913</v>
      </c>
      <c r="L1918" s="89" t="str">
        <f>E62</f>
        <v>C1a2b</v>
      </c>
      <c r="M1918" s="89"/>
      <c r="N1918" s="89"/>
      <c r="O1918" s="92">
        <v>2.164536E7</v>
      </c>
      <c r="P1918" s="92">
        <v>1.9483474E7</v>
      </c>
      <c r="Q1918" s="89" t="s">
        <v>879</v>
      </c>
      <c r="AF1918" s="1"/>
      <c r="AG1918" s="1"/>
    </row>
    <row r="1919" ht="15.75" customHeight="1">
      <c r="A1919" s="1"/>
      <c r="B1919" s="1"/>
      <c r="C1919" s="1"/>
      <c r="D1919" s="1"/>
      <c r="E1919" s="1"/>
      <c r="F1919" s="1"/>
      <c r="G1919" s="1"/>
      <c r="H1919" s="1"/>
      <c r="I1919" s="1"/>
      <c r="J1919" s="1"/>
      <c r="K1919" s="89" t="s">
        <v>2914</v>
      </c>
      <c r="L1919" s="89" t="str">
        <f>E62</f>
        <v>C1a2b</v>
      </c>
      <c r="M1919" s="89"/>
      <c r="N1919" s="89"/>
      <c r="O1919" s="92">
        <v>2.1738205E7</v>
      </c>
      <c r="P1919" s="92">
        <v>1.9576319E7</v>
      </c>
      <c r="Q1919" s="89" t="s">
        <v>822</v>
      </c>
      <c r="AF1919" s="1"/>
      <c r="AG1919" s="1"/>
    </row>
    <row r="1920" ht="15.75" customHeight="1">
      <c r="A1920" s="1"/>
      <c r="B1920" s="1"/>
      <c r="C1920" s="1"/>
      <c r="D1920" s="1"/>
      <c r="E1920" s="1"/>
      <c r="F1920" s="1"/>
      <c r="G1920" s="1"/>
      <c r="H1920" s="1"/>
      <c r="I1920" s="1"/>
      <c r="J1920" s="1"/>
      <c r="K1920" s="89" t="s">
        <v>2915</v>
      </c>
      <c r="L1920" s="89" t="str">
        <f>E62</f>
        <v>C1a2b</v>
      </c>
      <c r="M1920" s="89"/>
      <c r="N1920" s="89"/>
      <c r="O1920" s="92">
        <v>2.2112004E7</v>
      </c>
      <c r="P1920" s="92">
        <v>1.9950118E7</v>
      </c>
      <c r="Q1920" s="89" t="s">
        <v>802</v>
      </c>
      <c r="AF1920" s="1"/>
      <c r="AG1920" s="1"/>
    </row>
    <row r="1921" ht="15.75" customHeight="1">
      <c r="A1921" s="1"/>
      <c r="B1921" s="1"/>
      <c r="C1921" s="1"/>
      <c r="D1921" s="1"/>
      <c r="E1921" s="1"/>
      <c r="F1921" s="1"/>
      <c r="G1921" s="1"/>
      <c r="H1921" s="1"/>
      <c r="I1921" s="1"/>
      <c r="J1921" s="1"/>
      <c r="K1921" s="89" t="s">
        <v>2916</v>
      </c>
      <c r="L1921" s="89" t="str">
        <f>E62</f>
        <v>C1a2b</v>
      </c>
      <c r="M1921" s="89"/>
      <c r="N1921" s="89"/>
      <c r="O1921" s="92">
        <v>2.2552014E7</v>
      </c>
      <c r="P1921" s="92">
        <v>2.0390128E7</v>
      </c>
      <c r="Q1921" s="89" t="s">
        <v>810</v>
      </c>
      <c r="AF1921" s="1"/>
      <c r="AG1921" s="1"/>
    </row>
    <row r="1922" ht="15.75" customHeight="1">
      <c r="A1922" s="1"/>
      <c r="B1922" s="1"/>
      <c r="C1922" s="1"/>
      <c r="D1922" s="1"/>
      <c r="E1922" s="1"/>
      <c r="F1922" s="1"/>
      <c r="G1922" s="1"/>
      <c r="H1922" s="1"/>
      <c r="I1922" s="1"/>
      <c r="J1922" s="1"/>
      <c r="K1922" s="89" t="s">
        <v>2917</v>
      </c>
      <c r="L1922" s="89" t="str">
        <f>E62</f>
        <v>C1a2b</v>
      </c>
      <c r="M1922" s="89"/>
      <c r="N1922" s="89"/>
      <c r="O1922" s="92">
        <v>2.2612844E7</v>
      </c>
      <c r="P1922" s="92">
        <v>2.0450958E7</v>
      </c>
      <c r="Q1922" s="89" t="s">
        <v>822</v>
      </c>
      <c r="AF1922" s="1"/>
      <c r="AG1922" s="1"/>
    </row>
    <row r="1923" ht="15.75" customHeight="1">
      <c r="A1923" s="1"/>
      <c r="B1923" s="1"/>
      <c r="C1923" s="1"/>
      <c r="D1923" s="1"/>
      <c r="E1923" s="1"/>
      <c r="F1923" s="1"/>
      <c r="G1923" s="1"/>
      <c r="H1923" s="1"/>
      <c r="I1923" s="1"/>
      <c r="J1923" s="1"/>
      <c r="K1923" s="89" t="s">
        <v>2918</v>
      </c>
      <c r="L1923" s="89" t="str">
        <f>E62</f>
        <v>C1a2b</v>
      </c>
      <c r="M1923" s="89"/>
      <c r="N1923" s="89"/>
      <c r="O1923" s="92">
        <v>2.2752247E7</v>
      </c>
      <c r="P1923" s="92">
        <v>2.0590361E7</v>
      </c>
      <c r="Q1923" s="89" t="s">
        <v>802</v>
      </c>
      <c r="AF1923" s="1"/>
      <c r="AG1923" s="1"/>
    </row>
    <row r="1924" ht="15.75" customHeight="1">
      <c r="A1924" s="1"/>
      <c r="B1924" s="1"/>
      <c r="C1924" s="1"/>
      <c r="D1924" s="1"/>
      <c r="E1924" s="1"/>
      <c r="F1924" s="1"/>
      <c r="G1924" s="1"/>
      <c r="H1924" s="1"/>
      <c r="I1924" s="1"/>
      <c r="J1924" s="1"/>
      <c r="K1924" s="89" t="s">
        <v>2919</v>
      </c>
      <c r="L1924" s="89" t="str">
        <f>E62</f>
        <v>C1a2b</v>
      </c>
      <c r="M1924" s="89"/>
      <c r="N1924" s="89"/>
      <c r="O1924" s="92">
        <v>2.288675E7</v>
      </c>
      <c r="P1924" s="92">
        <v>2.0724864E7</v>
      </c>
      <c r="Q1924" s="89" t="s">
        <v>813</v>
      </c>
      <c r="AF1924" s="1"/>
      <c r="AG1924" s="1"/>
    </row>
    <row r="1925" ht="15.75" customHeight="1">
      <c r="A1925" s="1"/>
      <c r="B1925" s="1"/>
      <c r="C1925" s="1"/>
      <c r="D1925" s="1"/>
      <c r="E1925" s="1"/>
      <c r="F1925" s="1"/>
      <c r="G1925" s="1"/>
      <c r="H1925" s="1"/>
      <c r="I1925" s="1"/>
      <c r="J1925" s="1"/>
      <c r="K1925" s="89" t="s">
        <v>2920</v>
      </c>
      <c r="L1925" s="89" t="str">
        <f>E62</f>
        <v>C1a2b</v>
      </c>
      <c r="M1925" s="89"/>
      <c r="N1925" s="89"/>
      <c r="O1925" s="92">
        <v>2.2889166E7</v>
      </c>
      <c r="P1925" s="92">
        <v>2.072728E7</v>
      </c>
      <c r="Q1925" s="89" t="s">
        <v>802</v>
      </c>
      <c r="AF1925" s="1"/>
      <c r="AG1925" s="1"/>
    </row>
    <row r="1926" ht="15.75" customHeight="1">
      <c r="A1926" s="1"/>
      <c r="B1926" s="1"/>
      <c r="C1926" s="1"/>
      <c r="D1926" s="1"/>
      <c r="E1926" s="1"/>
      <c r="F1926" s="1"/>
      <c r="G1926" s="1"/>
      <c r="H1926" s="1"/>
      <c r="I1926" s="1"/>
      <c r="J1926" s="1"/>
      <c r="K1926" s="89" t="s">
        <v>2921</v>
      </c>
      <c r="L1926" s="89" t="str">
        <f>E62</f>
        <v>C1a2b</v>
      </c>
      <c r="M1926" s="89"/>
      <c r="N1926" s="89"/>
      <c r="O1926" s="92">
        <v>2.3132043E7</v>
      </c>
      <c r="P1926" s="92">
        <v>2.0970157E7</v>
      </c>
      <c r="Q1926" s="89" t="s">
        <v>879</v>
      </c>
      <c r="AF1926" s="1"/>
      <c r="AG1926" s="1"/>
    </row>
    <row r="1927" ht="15.75" customHeight="1">
      <c r="A1927" s="1"/>
      <c r="B1927" s="1"/>
      <c r="C1927" s="1"/>
      <c r="D1927" s="1"/>
      <c r="E1927" s="1"/>
      <c r="F1927" s="1"/>
      <c r="G1927" s="1"/>
      <c r="H1927" s="1"/>
      <c r="I1927" s="1"/>
      <c r="J1927" s="1"/>
      <c r="K1927" s="89" t="s">
        <v>2922</v>
      </c>
      <c r="L1927" s="89" t="str">
        <f>E62</f>
        <v>C1a2b</v>
      </c>
      <c r="M1927" s="89"/>
      <c r="N1927" s="89"/>
      <c r="O1927" s="92">
        <v>2.3260415E7</v>
      </c>
      <c r="P1927" s="92">
        <v>2.1098529E7</v>
      </c>
      <c r="Q1927" s="89" t="s">
        <v>810</v>
      </c>
      <c r="AF1927" s="1"/>
      <c r="AG1927" s="1"/>
    </row>
    <row r="1928" ht="15.75" customHeight="1">
      <c r="A1928" s="1"/>
      <c r="B1928" s="1"/>
      <c r="C1928" s="1"/>
      <c r="D1928" s="1"/>
      <c r="E1928" s="1"/>
      <c r="F1928" s="1"/>
      <c r="G1928" s="1"/>
      <c r="H1928" s="1"/>
      <c r="I1928" s="1"/>
      <c r="J1928" s="1"/>
      <c r="K1928" s="89" t="s">
        <v>2923</v>
      </c>
      <c r="L1928" s="89" t="str">
        <f>E62</f>
        <v>C1a2b</v>
      </c>
      <c r="M1928" s="89"/>
      <c r="N1928" s="89"/>
      <c r="O1928" s="92">
        <v>2.3263577E7</v>
      </c>
      <c r="P1928" s="92">
        <v>2.1101691E7</v>
      </c>
      <c r="Q1928" s="89" t="s">
        <v>831</v>
      </c>
      <c r="AF1928" s="1"/>
      <c r="AG1928" s="1"/>
    </row>
    <row r="1929" ht="15.75" customHeight="1">
      <c r="A1929" s="1"/>
      <c r="B1929" s="1"/>
      <c r="C1929" s="1"/>
      <c r="D1929" s="1"/>
      <c r="E1929" s="1"/>
      <c r="F1929" s="1"/>
      <c r="G1929" s="1"/>
      <c r="H1929" s="1"/>
      <c r="I1929" s="1"/>
      <c r="J1929" s="1"/>
      <c r="K1929" s="89" t="s">
        <v>2924</v>
      </c>
      <c r="L1929" s="89" t="str">
        <f>E62</f>
        <v>C1a2b</v>
      </c>
      <c r="M1929" s="89"/>
      <c r="N1929" s="89"/>
      <c r="O1929" s="92">
        <v>2.330231E7</v>
      </c>
      <c r="P1929" s="92">
        <v>2.1140424E7</v>
      </c>
      <c r="Q1929" s="89" t="s">
        <v>810</v>
      </c>
      <c r="AF1929" s="1"/>
      <c r="AG1929" s="1"/>
    </row>
    <row r="1930" ht="15.75" customHeight="1">
      <c r="A1930" s="1"/>
      <c r="B1930" s="1"/>
      <c r="C1930" s="1"/>
      <c r="D1930" s="1"/>
      <c r="E1930" s="1"/>
      <c r="F1930" s="1"/>
      <c r="G1930" s="1"/>
      <c r="H1930" s="1"/>
      <c r="I1930" s="1"/>
      <c r="J1930" s="1"/>
      <c r="K1930" s="89" t="s">
        <v>2925</v>
      </c>
      <c r="L1930" s="89" t="str">
        <f>E62</f>
        <v>C1a2b</v>
      </c>
      <c r="M1930" s="89"/>
      <c r="N1930" s="89"/>
      <c r="O1930" s="92">
        <v>2.3559713E7</v>
      </c>
      <c r="P1930" s="92">
        <v>2.1397827E7</v>
      </c>
      <c r="Q1930" s="89" t="s">
        <v>802</v>
      </c>
      <c r="AF1930" s="1"/>
      <c r="AG1930" s="1"/>
    </row>
    <row r="1931" ht="15.75" customHeight="1">
      <c r="A1931" s="1"/>
      <c r="B1931" s="1"/>
      <c r="C1931" s="1"/>
      <c r="D1931" s="1"/>
      <c r="E1931" s="1"/>
      <c r="F1931" s="1"/>
      <c r="G1931" s="1"/>
      <c r="H1931" s="1"/>
      <c r="I1931" s="1"/>
      <c r="J1931" s="1"/>
      <c r="K1931" s="89" t="s">
        <v>2926</v>
      </c>
      <c r="L1931" s="89" t="str">
        <f>E62</f>
        <v>C1a2b</v>
      </c>
      <c r="M1931" s="89"/>
      <c r="N1931" s="89"/>
      <c r="O1931" s="92">
        <v>2.4398714E7</v>
      </c>
      <c r="P1931" s="92">
        <v>2.2252567E7</v>
      </c>
      <c r="Q1931" s="89" t="s">
        <v>831</v>
      </c>
      <c r="AF1931" s="1"/>
      <c r="AG1931" s="1"/>
    </row>
    <row r="1932" ht="15.75" customHeight="1">
      <c r="A1932" s="1"/>
      <c r="B1932" s="1"/>
      <c r="C1932" s="1"/>
      <c r="D1932" s="1"/>
      <c r="E1932" s="1"/>
      <c r="F1932" s="1"/>
      <c r="G1932" s="1"/>
      <c r="H1932" s="1"/>
      <c r="I1932" s="1"/>
      <c r="J1932" s="1"/>
      <c r="K1932" s="89" t="s">
        <v>2927</v>
      </c>
      <c r="L1932" s="89" t="str">
        <f>E62</f>
        <v>C1a2b</v>
      </c>
      <c r="M1932" s="89"/>
      <c r="N1932" s="89"/>
      <c r="O1932" s="92">
        <v>7807110.0</v>
      </c>
      <c r="P1932" s="92">
        <v>7939069.0</v>
      </c>
      <c r="Q1932" s="89" t="s">
        <v>838</v>
      </c>
      <c r="AF1932" s="1"/>
      <c r="AG1932" s="1"/>
    </row>
    <row r="1933" ht="15.75" customHeight="1">
      <c r="A1933" s="1"/>
      <c r="B1933" s="1"/>
      <c r="C1933" s="1"/>
      <c r="D1933" s="1"/>
      <c r="E1933" s="1"/>
      <c r="F1933" s="1"/>
      <c r="G1933" s="1"/>
      <c r="H1933" s="1"/>
      <c r="I1933" s="1"/>
      <c r="J1933" s="1"/>
      <c r="K1933" s="89" t="s">
        <v>2928</v>
      </c>
      <c r="L1933" s="89" t="str">
        <f>E62</f>
        <v>C1a2b</v>
      </c>
      <c r="M1933" s="89"/>
      <c r="N1933" s="89"/>
      <c r="O1933" s="92">
        <v>8018407.0</v>
      </c>
      <c r="P1933" s="92">
        <v>8150366.0</v>
      </c>
      <c r="Q1933" s="89" t="s">
        <v>822</v>
      </c>
      <c r="AF1933" s="1"/>
      <c r="AG1933" s="1"/>
    </row>
    <row r="1934" ht="15.75" customHeight="1">
      <c r="A1934" s="1"/>
      <c r="B1934" s="1"/>
      <c r="C1934" s="1"/>
      <c r="D1934" s="1"/>
      <c r="E1934" s="1"/>
      <c r="F1934" s="1"/>
      <c r="G1934" s="1"/>
      <c r="H1934" s="1"/>
      <c r="I1934" s="1"/>
      <c r="J1934" s="1"/>
      <c r="K1934" s="89" t="s">
        <v>2929</v>
      </c>
      <c r="L1934" s="89" t="str">
        <f>E62</f>
        <v>C1a2b</v>
      </c>
      <c r="M1934" s="89"/>
      <c r="N1934" s="89"/>
      <c r="O1934" s="92">
        <v>1.3836962E7</v>
      </c>
      <c r="P1934" s="92">
        <v>1.1716256E7</v>
      </c>
      <c r="Q1934" s="89" t="s">
        <v>831</v>
      </c>
      <c r="AF1934" s="1"/>
      <c r="AG1934" s="1"/>
    </row>
    <row r="1935" ht="15.75" customHeight="1">
      <c r="A1935" s="1"/>
      <c r="B1935" s="1"/>
      <c r="C1935" s="1"/>
      <c r="D1935" s="1"/>
      <c r="E1935" s="1"/>
      <c r="F1935" s="1"/>
      <c r="G1935" s="1"/>
      <c r="H1935" s="1"/>
      <c r="I1935" s="1"/>
      <c r="J1935" s="1"/>
      <c r="K1935" s="89" t="s">
        <v>2930</v>
      </c>
      <c r="L1935" s="89" t="str">
        <f>E62</f>
        <v>C1a2b</v>
      </c>
      <c r="M1935" s="89"/>
      <c r="N1935" s="89"/>
      <c r="O1935" s="92">
        <v>1.5927169E7</v>
      </c>
      <c r="P1935" s="92">
        <v>1.3815289E7</v>
      </c>
      <c r="Q1935" s="89" t="s">
        <v>802</v>
      </c>
      <c r="AF1935" s="1"/>
      <c r="AG1935" s="1"/>
    </row>
    <row r="1936" ht="15.75" customHeight="1">
      <c r="A1936" s="1"/>
      <c r="B1936" s="1"/>
      <c r="C1936" s="1"/>
      <c r="D1936" s="1"/>
      <c r="E1936" s="1"/>
      <c r="F1936" s="1"/>
      <c r="G1936" s="1"/>
      <c r="H1936" s="1"/>
      <c r="I1936" s="1"/>
      <c r="J1936" s="1"/>
      <c r="K1936" s="89" t="s">
        <v>2931</v>
      </c>
      <c r="L1936" s="89" t="str">
        <f>E62</f>
        <v>C1a2b</v>
      </c>
      <c r="M1936" s="89"/>
      <c r="N1936" s="89"/>
      <c r="O1936" s="92">
        <v>1.9008177E7</v>
      </c>
      <c r="P1936" s="92">
        <v>1.6896297E7</v>
      </c>
      <c r="Q1936" s="89" t="s">
        <v>810</v>
      </c>
      <c r="AF1936" s="1"/>
      <c r="AG1936" s="1"/>
    </row>
    <row r="1937" ht="15.75" customHeight="1">
      <c r="A1937" s="1"/>
      <c r="B1937" s="1"/>
      <c r="C1937" s="1"/>
      <c r="D1937" s="1"/>
      <c r="E1937" s="1"/>
      <c r="F1937" s="1"/>
      <c r="G1937" s="1"/>
      <c r="H1937" s="1"/>
      <c r="I1937" s="1"/>
      <c r="J1937" s="1"/>
      <c r="K1937" s="89" t="s">
        <v>2932</v>
      </c>
      <c r="L1937" s="89" t="str">
        <f>F63</f>
        <v>C1a2b1~</v>
      </c>
      <c r="M1937" s="89"/>
      <c r="N1937" s="89"/>
      <c r="O1937" s="92">
        <v>6871949.0</v>
      </c>
      <c r="P1937" s="92">
        <v>7003908.0</v>
      </c>
      <c r="Q1937" s="89" t="s">
        <v>838</v>
      </c>
      <c r="AF1937" s="1"/>
      <c r="AG1937" s="1"/>
    </row>
    <row r="1938" ht="15.75" customHeight="1">
      <c r="A1938" s="1"/>
      <c r="B1938" s="1"/>
      <c r="C1938" s="1"/>
      <c r="D1938" s="1"/>
      <c r="E1938" s="1"/>
      <c r="F1938" s="1"/>
      <c r="G1938" s="1"/>
      <c r="H1938" s="1"/>
      <c r="I1938" s="1"/>
      <c r="J1938" s="1"/>
      <c r="K1938" s="89" t="s">
        <v>2933</v>
      </c>
      <c r="L1938" s="89" t="str">
        <f>F63</f>
        <v>C1a2b1~</v>
      </c>
      <c r="M1938" s="89"/>
      <c r="N1938" s="89"/>
      <c r="O1938" s="92">
        <v>6994959.0</v>
      </c>
      <c r="P1938" s="92">
        <v>7126918.0</v>
      </c>
      <c r="Q1938" s="89" t="s">
        <v>822</v>
      </c>
      <c r="AF1938" s="1"/>
      <c r="AG1938" s="1"/>
    </row>
    <row r="1939" ht="15.75" customHeight="1">
      <c r="A1939" s="1"/>
      <c r="B1939" s="1"/>
      <c r="C1939" s="1"/>
      <c r="D1939" s="1"/>
      <c r="E1939" s="1"/>
      <c r="F1939" s="1"/>
      <c r="G1939" s="1"/>
      <c r="H1939" s="1"/>
      <c r="I1939" s="1"/>
      <c r="J1939" s="1"/>
      <c r="K1939" s="89" t="s">
        <v>2934</v>
      </c>
      <c r="L1939" s="89" t="str">
        <f>F63</f>
        <v>C1a2b1~</v>
      </c>
      <c r="M1939" s="89"/>
      <c r="N1939" s="89"/>
      <c r="O1939" s="92">
        <v>7151237.0</v>
      </c>
      <c r="P1939" s="92">
        <v>7283196.0</v>
      </c>
      <c r="Q1939" s="89" t="s">
        <v>831</v>
      </c>
      <c r="AF1939" s="1"/>
      <c r="AG1939" s="1"/>
    </row>
    <row r="1940" ht="15.75" customHeight="1">
      <c r="A1940" s="1"/>
      <c r="B1940" s="1"/>
      <c r="C1940" s="1"/>
      <c r="D1940" s="1"/>
      <c r="E1940" s="1"/>
      <c r="F1940" s="1"/>
      <c r="G1940" s="1"/>
      <c r="H1940" s="1"/>
      <c r="I1940" s="1"/>
      <c r="J1940" s="1"/>
      <c r="K1940" s="89" t="s">
        <v>2935</v>
      </c>
      <c r="L1940" s="89" t="str">
        <f t="shared" ref="L1940:L1941" si="10">F63</f>
        <v>C1a2b1~</v>
      </c>
      <c r="M1940" s="89"/>
      <c r="N1940" s="89"/>
      <c r="O1940" s="92">
        <v>7515584.0</v>
      </c>
      <c r="P1940" s="92">
        <v>7647543.0</v>
      </c>
      <c r="Q1940" s="89" t="s">
        <v>802</v>
      </c>
      <c r="AF1940" s="1"/>
      <c r="AG1940" s="1"/>
    </row>
    <row r="1941" ht="15.75" customHeight="1">
      <c r="A1941" s="1"/>
      <c r="B1941" s="1"/>
      <c r="C1941" s="1"/>
      <c r="D1941" s="1"/>
      <c r="E1941" s="1"/>
      <c r="F1941" s="1"/>
      <c r="G1941" s="1"/>
      <c r="H1941" s="1"/>
      <c r="I1941" s="1"/>
      <c r="J1941" s="1"/>
      <c r="K1941" s="89" t="s">
        <v>2936</v>
      </c>
      <c r="L1941" s="89" t="str">
        <f t="shared" si="10"/>
        <v>C1a2b2~</v>
      </c>
      <c r="M1941" s="89"/>
      <c r="N1941" s="89"/>
      <c r="O1941" s="92">
        <v>2695813.0</v>
      </c>
      <c r="P1941" s="92">
        <v>2827772.0</v>
      </c>
      <c r="Q1941" s="89" t="s">
        <v>822</v>
      </c>
      <c r="AF1941" s="1"/>
      <c r="AG1941" s="1"/>
    </row>
    <row r="1942" ht="15.75" customHeight="1">
      <c r="A1942" s="1"/>
      <c r="B1942" s="1"/>
      <c r="C1942" s="1"/>
      <c r="D1942" s="1"/>
      <c r="E1942" s="1"/>
      <c r="F1942" s="1"/>
      <c r="G1942" s="1"/>
      <c r="H1942" s="1"/>
      <c r="I1942" s="1"/>
      <c r="J1942" s="1"/>
      <c r="K1942" s="89" t="s">
        <v>2937</v>
      </c>
      <c r="L1942" s="89" t="str">
        <f>F64</f>
        <v>C1a2b2~</v>
      </c>
      <c r="M1942" s="89"/>
      <c r="N1942" s="89"/>
      <c r="O1942" s="92">
        <v>2826691.0</v>
      </c>
      <c r="P1942" s="92">
        <v>2958650.0</v>
      </c>
      <c r="Q1942" s="89" t="s">
        <v>822</v>
      </c>
      <c r="AF1942" s="1"/>
      <c r="AG1942" s="1"/>
    </row>
    <row r="1943" ht="15.75" customHeight="1">
      <c r="A1943" s="1"/>
      <c r="B1943" s="1"/>
      <c r="C1943" s="1"/>
      <c r="D1943" s="1"/>
      <c r="E1943" s="1"/>
      <c r="F1943" s="1"/>
      <c r="G1943" s="1"/>
      <c r="H1943" s="1"/>
      <c r="I1943" s="1"/>
      <c r="J1943" s="1"/>
      <c r="K1943" s="89" t="s">
        <v>2938</v>
      </c>
      <c r="L1943" s="89" t="str">
        <f>F64</f>
        <v>C1a2b2~</v>
      </c>
      <c r="M1943" s="89"/>
      <c r="N1943" s="89"/>
      <c r="O1943" s="92">
        <v>7105519.0</v>
      </c>
      <c r="P1943" s="92">
        <v>7237478.0</v>
      </c>
      <c r="Q1943" s="89" t="s">
        <v>802</v>
      </c>
      <c r="AF1943" s="1"/>
      <c r="AG1943" s="1"/>
    </row>
    <row r="1944" ht="15.75" customHeight="1">
      <c r="A1944" s="1"/>
      <c r="B1944" s="1"/>
      <c r="C1944" s="1"/>
      <c r="D1944" s="1"/>
      <c r="E1944" s="1"/>
      <c r="F1944" s="1"/>
      <c r="G1944" s="1"/>
      <c r="H1944" s="1"/>
      <c r="I1944" s="1"/>
      <c r="J1944" s="1"/>
      <c r="K1944" s="89" t="s">
        <v>2939</v>
      </c>
      <c r="L1944" s="89" t="str">
        <f>F64</f>
        <v>C1a2b2~</v>
      </c>
      <c r="M1944" s="89"/>
      <c r="N1944" s="89"/>
      <c r="O1944" s="92">
        <v>7522037.0</v>
      </c>
      <c r="P1944" s="92">
        <v>7653996.0</v>
      </c>
      <c r="Q1944" s="89" t="s">
        <v>822</v>
      </c>
      <c r="AF1944" s="1"/>
      <c r="AG1944" s="1"/>
    </row>
    <row r="1945" ht="15.75" customHeight="1">
      <c r="A1945" s="1"/>
      <c r="B1945" s="1"/>
      <c r="C1945" s="1"/>
      <c r="D1945" s="1"/>
      <c r="E1945" s="1"/>
      <c r="F1945" s="1"/>
      <c r="G1945" s="1"/>
      <c r="H1945" s="1"/>
      <c r="I1945" s="1"/>
      <c r="J1945" s="1"/>
      <c r="K1945" s="89" t="s">
        <v>2940</v>
      </c>
      <c r="L1945" s="89" t="str">
        <f>F64</f>
        <v>C1a2b2~</v>
      </c>
      <c r="M1945" s="89"/>
      <c r="N1945" s="89"/>
      <c r="O1945" s="92">
        <v>7530043.0</v>
      </c>
      <c r="P1945" s="92">
        <v>7662002.0</v>
      </c>
      <c r="Q1945" s="89" t="s">
        <v>879</v>
      </c>
      <c r="AF1945" s="1"/>
      <c r="AG1945" s="1"/>
    </row>
    <row r="1946" ht="15.75" customHeight="1">
      <c r="A1946" s="1"/>
      <c r="B1946" s="1"/>
      <c r="C1946" s="1"/>
      <c r="D1946" s="1"/>
      <c r="E1946" s="1"/>
      <c r="F1946" s="1"/>
      <c r="G1946" s="1"/>
      <c r="H1946" s="1"/>
      <c r="I1946" s="1"/>
      <c r="J1946" s="1"/>
      <c r="K1946" s="89" t="s">
        <v>2941</v>
      </c>
      <c r="L1946" s="89" t="str">
        <f>C65</f>
        <v>C1b</v>
      </c>
      <c r="M1946" s="89"/>
      <c r="N1946" s="89" t="s">
        <v>2942</v>
      </c>
      <c r="O1946" s="92">
        <v>8643365.0</v>
      </c>
      <c r="P1946" s="92">
        <v>8775324.0</v>
      </c>
      <c r="Q1946" s="89" t="s">
        <v>831</v>
      </c>
      <c r="AF1946" s="1"/>
      <c r="AG1946" s="1"/>
    </row>
    <row r="1947" ht="15.75" customHeight="1">
      <c r="A1947" s="1"/>
      <c r="B1947" s="1"/>
      <c r="C1947" s="1"/>
      <c r="D1947" s="1"/>
      <c r="E1947" s="1"/>
      <c r="F1947" s="1"/>
      <c r="G1947" s="1"/>
      <c r="H1947" s="1"/>
      <c r="I1947" s="1"/>
      <c r="J1947" s="1"/>
      <c r="K1947" s="89" t="s">
        <v>2943</v>
      </c>
      <c r="L1947" s="89" t="str">
        <f>C65</f>
        <v>C1b</v>
      </c>
      <c r="M1947" s="89"/>
      <c r="N1947" s="89" t="s">
        <v>2944</v>
      </c>
      <c r="O1947" s="92">
        <v>2.1815765E7</v>
      </c>
      <c r="P1947" s="92">
        <v>1.9653879E7</v>
      </c>
      <c r="Q1947" s="89" t="s">
        <v>838</v>
      </c>
      <c r="AF1947" s="1"/>
      <c r="AG1947" s="1"/>
    </row>
    <row r="1948" ht="15.75" customHeight="1">
      <c r="A1948" s="1"/>
      <c r="B1948" s="1"/>
      <c r="C1948" s="1"/>
      <c r="D1948" s="1"/>
      <c r="E1948" s="1"/>
      <c r="F1948" s="1"/>
      <c r="G1948" s="1"/>
      <c r="H1948" s="1"/>
      <c r="I1948" s="1"/>
      <c r="J1948" s="1"/>
      <c r="K1948" s="89" t="s">
        <v>2945</v>
      </c>
      <c r="L1948" s="89" t="str">
        <f>D66</f>
        <v>C1b1</v>
      </c>
      <c r="M1948" s="89" t="s">
        <v>2946</v>
      </c>
      <c r="N1948" s="89" t="s">
        <v>2947</v>
      </c>
      <c r="O1948" s="92">
        <v>1.7244161E7</v>
      </c>
      <c r="P1948" s="92">
        <v>1.5132281E7</v>
      </c>
      <c r="Q1948" s="89" t="s">
        <v>810</v>
      </c>
      <c r="AF1948" s="1"/>
      <c r="AG1948" s="1"/>
    </row>
    <row r="1949" ht="15.75" customHeight="1">
      <c r="A1949" s="1"/>
      <c r="B1949" s="1"/>
      <c r="C1949" s="1"/>
      <c r="D1949" s="1"/>
      <c r="E1949" s="1"/>
      <c r="F1949" s="1"/>
      <c r="G1949" s="1"/>
      <c r="H1949" s="1"/>
      <c r="I1949" s="1"/>
      <c r="J1949" s="1"/>
      <c r="K1949" s="89" t="s">
        <v>2946</v>
      </c>
      <c r="L1949" s="89" t="str">
        <f>D66</f>
        <v>C1b1</v>
      </c>
      <c r="M1949" s="89" t="s">
        <v>2945</v>
      </c>
      <c r="N1949" s="89" t="s">
        <v>2947</v>
      </c>
      <c r="O1949" s="92">
        <v>1.7244161E7</v>
      </c>
      <c r="P1949" s="92">
        <v>1.5132281E7</v>
      </c>
      <c r="Q1949" s="89" t="s">
        <v>810</v>
      </c>
      <c r="AF1949" s="1"/>
      <c r="AG1949" s="1"/>
    </row>
    <row r="1950" ht="15.75" customHeight="1">
      <c r="A1950" s="1"/>
      <c r="B1950" s="1"/>
      <c r="C1950" s="1"/>
      <c r="D1950" s="1"/>
      <c r="E1950" s="1"/>
      <c r="F1950" s="1"/>
      <c r="G1950" s="1"/>
      <c r="H1950" s="1"/>
      <c r="I1950" s="1"/>
      <c r="J1950" s="1"/>
      <c r="K1950" s="89" t="s">
        <v>2948</v>
      </c>
      <c r="L1950" s="89" t="str">
        <f>E67</f>
        <v>C1b1a</v>
      </c>
      <c r="M1950" s="89" t="s">
        <v>2949</v>
      </c>
      <c r="N1950" s="89" t="s">
        <v>2950</v>
      </c>
      <c r="O1950" s="92">
        <v>9147857.0</v>
      </c>
      <c r="P1950" s="92">
        <v>9310248.0</v>
      </c>
      <c r="Q1950" s="89" t="s">
        <v>822</v>
      </c>
      <c r="AF1950" s="1"/>
      <c r="AG1950" s="1"/>
    </row>
    <row r="1951" ht="15.75" customHeight="1">
      <c r="A1951" s="1"/>
      <c r="B1951" s="1"/>
      <c r="C1951" s="1"/>
      <c r="D1951" s="1"/>
      <c r="E1951" s="1"/>
      <c r="F1951" s="1"/>
      <c r="G1951" s="1"/>
      <c r="H1951" s="1"/>
      <c r="I1951" s="1"/>
      <c r="J1951" s="1"/>
      <c r="K1951" s="89" t="s">
        <v>2949</v>
      </c>
      <c r="L1951" s="89" t="str">
        <f>E67</f>
        <v>C1b1a</v>
      </c>
      <c r="M1951" s="89" t="s">
        <v>2948</v>
      </c>
      <c r="N1951" s="89" t="s">
        <v>2950</v>
      </c>
      <c r="O1951" s="92">
        <v>9147857.0</v>
      </c>
      <c r="P1951" s="92">
        <v>9310248.0</v>
      </c>
      <c r="Q1951" s="89" t="s">
        <v>822</v>
      </c>
      <c r="AF1951" s="1"/>
      <c r="AG1951" s="1"/>
    </row>
    <row r="1952" ht="15.75" customHeight="1">
      <c r="A1952" s="1"/>
      <c r="B1952" s="1"/>
      <c r="C1952" s="1"/>
      <c r="D1952" s="1"/>
      <c r="E1952" s="1"/>
      <c r="F1952" s="1"/>
      <c r="G1952" s="1"/>
      <c r="H1952" s="1"/>
      <c r="I1952" s="1"/>
      <c r="J1952" s="94"/>
      <c r="K1952" s="89" t="s">
        <v>2951</v>
      </c>
      <c r="L1952" s="89" t="str">
        <f>F68</f>
        <v>C1b1a1</v>
      </c>
      <c r="M1952" s="89"/>
      <c r="N1952" s="89" t="s">
        <v>2952</v>
      </c>
      <c r="O1952" s="92">
        <v>2888203.0</v>
      </c>
      <c r="P1952" s="92">
        <v>3020162.0</v>
      </c>
      <c r="Q1952" s="89" t="s">
        <v>813</v>
      </c>
      <c r="AF1952" s="1"/>
      <c r="AG1952" s="1"/>
    </row>
    <row r="1953" ht="15.75" customHeight="1">
      <c r="A1953" s="1"/>
      <c r="B1953" s="1"/>
      <c r="C1953" s="1"/>
      <c r="D1953" s="1"/>
      <c r="E1953" s="1"/>
      <c r="F1953" s="1"/>
      <c r="G1953" s="1"/>
      <c r="H1953" s="1"/>
      <c r="I1953" s="1"/>
      <c r="J1953" s="94" t="s">
        <v>23</v>
      </c>
      <c r="K1953" s="95" t="s">
        <v>2953</v>
      </c>
      <c r="L1953" s="96" t="str">
        <f>F68</f>
        <v>C1b1a1</v>
      </c>
      <c r="O1953" s="97">
        <v>9994547.0</v>
      </c>
      <c r="P1953" s="98">
        <v>1.0156938E7</v>
      </c>
      <c r="Q1953" s="39" t="s">
        <v>822</v>
      </c>
      <c r="AF1953" s="1"/>
      <c r="AG1953" s="1"/>
    </row>
    <row r="1954" ht="15.75" customHeight="1">
      <c r="A1954" s="1"/>
      <c r="B1954" s="1"/>
      <c r="C1954" s="1"/>
      <c r="D1954" s="1"/>
      <c r="E1954" s="1"/>
      <c r="F1954" s="1"/>
      <c r="G1954" s="1"/>
      <c r="H1954" s="1"/>
      <c r="I1954" s="1"/>
      <c r="J1954" s="1"/>
      <c r="K1954" s="95" t="s">
        <v>2954</v>
      </c>
      <c r="L1954" s="96" t="str">
        <f>F68</f>
        <v>C1b1a1</v>
      </c>
      <c r="M1954" s="89"/>
      <c r="N1954" s="89"/>
      <c r="O1954" s="97">
        <v>1.0006214E7</v>
      </c>
      <c r="P1954" s="98">
        <v>1.0168605E7</v>
      </c>
      <c r="Q1954" s="93" t="s">
        <v>810</v>
      </c>
      <c r="AF1954" s="1"/>
      <c r="AG1954" s="1"/>
    </row>
    <row r="1955" ht="15.75" customHeight="1">
      <c r="A1955" s="1"/>
      <c r="B1955" s="1"/>
      <c r="C1955" s="1"/>
      <c r="D1955" s="1"/>
      <c r="E1955" s="1"/>
      <c r="F1955" s="1"/>
      <c r="G1955" s="1"/>
      <c r="H1955" s="1"/>
      <c r="I1955" s="1"/>
      <c r="J1955" s="1"/>
      <c r="K1955" s="95" t="s">
        <v>2955</v>
      </c>
      <c r="L1955" s="96" t="str">
        <f>F68</f>
        <v>C1b1a1</v>
      </c>
      <c r="M1955" s="89"/>
      <c r="N1955" s="89"/>
      <c r="O1955" s="97">
        <v>1.601538E7</v>
      </c>
      <c r="P1955" s="98">
        <v>1.39035E7</v>
      </c>
      <c r="Q1955" s="93" t="s">
        <v>810</v>
      </c>
      <c r="AF1955" s="1"/>
      <c r="AG1955" s="1"/>
    </row>
    <row r="1956" ht="15.75" customHeight="1">
      <c r="A1956" s="1"/>
      <c r="B1956" s="1"/>
      <c r="C1956" s="1"/>
      <c r="D1956" s="1"/>
      <c r="E1956" s="1"/>
      <c r="F1956" s="1"/>
      <c r="G1956" s="1"/>
      <c r="H1956" s="1"/>
      <c r="I1956" s="1"/>
      <c r="J1956" s="1"/>
      <c r="K1956" s="95" t="s">
        <v>2956</v>
      </c>
      <c r="L1956" s="96" t="str">
        <f>F68</f>
        <v>C1b1a1</v>
      </c>
      <c r="M1956" s="89"/>
      <c r="N1956" s="89"/>
      <c r="O1956" s="97">
        <v>9863788.0</v>
      </c>
      <c r="P1956" s="98">
        <v>1.0026179E7</v>
      </c>
      <c r="Q1956" s="93" t="s">
        <v>822</v>
      </c>
      <c r="AF1956" s="1"/>
      <c r="AG1956" s="1"/>
    </row>
    <row r="1957" ht="15.75" customHeight="1">
      <c r="A1957" s="1"/>
      <c r="B1957" s="1"/>
      <c r="C1957" s="1"/>
      <c r="D1957" s="1"/>
      <c r="E1957" s="1"/>
      <c r="F1957" s="1"/>
      <c r="G1957" s="1"/>
      <c r="H1957" s="1"/>
      <c r="I1957" s="1"/>
      <c r="J1957" s="1"/>
      <c r="K1957" s="95" t="s">
        <v>2957</v>
      </c>
      <c r="L1957" s="96" t="str">
        <f>F68</f>
        <v>C1b1a1</v>
      </c>
      <c r="M1957" s="89"/>
      <c r="N1957" s="99" t="s">
        <v>2958</v>
      </c>
      <c r="O1957" s="97">
        <v>1.9414335E7</v>
      </c>
      <c r="P1957" s="98">
        <v>1.7302455E7</v>
      </c>
      <c r="Q1957" s="93" t="s">
        <v>822</v>
      </c>
      <c r="AF1957" s="1"/>
      <c r="AG1957" s="1"/>
    </row>
    <row r="1958" ht="15.75" customHeight="1">
      <c r="A1958" s="1"/>
      <c r="B1958" s="1"/>
      <c r="C1958" s="1"/>
      <c r="D1958" s="1"/>
      <c r="E1958" s="1"/>
      <c r="F1958" s="1"/>
      <c r="G1958" s="1"/>
      <c r="H1958" s="1"/>
      <c r="I1958" s="1"/>
      <c r="J1958" s="1"/>
      <c r="K1958" s="95" t="s">
        <v>2959</v>
      </c>
      <c r="L1958" s="96" t="str">
        <f>F68</f>
        <v>C1b1a1</v>
      </c>
      <c r="M1958" s="89"/>
      <c r="N1958" s="89"/>
      <c r="O1958" s="97">
        <v>1.003951E7</v>
      </c>
      <c r="P1958" s="98">
        <v>1.0201901E7</v>
      </c>
      <c r="Q1958" s="93" t="s">
        <v>838</v>
      </c>
      <c r="AF1958" s="1"/>
      <c r="AG1958" s="1"/>
    </row>
    <row r="1959" ht="15.75" customHeight="1">
      <c r="A1959" s="1"/>
      <c r="B1959" s="1"/>
      <c r="C1959" s="1"/>
      <c r="D1959" s="1"/>
      <c r="E1959" s="1"/>
      <c r="F1959" s="1"/>
      <c r="G1959" s="1"/>
      <c r="H1959" s="1"/>
      <c r="I1959" s="1"/>
      <c r="J1959" s="1"/>
      <c r="K1959" s="95" t="s">
        <v>2960</v>
      </c>
      <c r="L1959" s="96" t="str">
        <f>F68</f>
        <v>C1b1a1</v>
      </c>
      <c r="M1959" s="89"/>
      <c r="N1959" s="99" t="s">
        <v>2961</v>
      </c>
      <c r="O1959" s="97">
        <v>6763414.0</v>
      </c>
      <c r="P1959" s="98">
        <v>6895373.0</v>
      </c>
      <c r="Q1959" s="93" t="s">
        <v>917</v>
      </c>
      <c r="AF1959" s="1"/>
      <c r="AG1959" s="1"/>
    </row>
    <row r="1960" ht="15.75" customHeight="1">
      <c r="A1960" s="1"/>
      <c r="B1960" s="1"/>
      <c r="C1960" s="1"/>
      <c r="D1960" s="1"/>
      <c r="E1960" s="1"/>
      <c r="F1960" s="1"/>
      <c r="G1960" s="1"/>
      <c r="H1960" s="1"/>
      <c r="I1960" s="1"/>
      <c r="J1960" s="1"/>
      <c r="K1960" s="95" t="s">
        <v>2962</v>
      </c>
      <c r="L1960" s="96" t="str">
        <f>F68</f>
        <v>C1b1a1</v>
      </c>
      <c r="M1960" s="89"/>
      <c r="N1960" s="99" t="s">
        <v>2963</v>
      </c>
      <c r="O1960" s="97">
        <v>7421033.0</v>
      </c>
      <c r="P1960" s="98">
        <v>7552992.0</v>
      </c>
      <c r="Q1960" s="93" t="s">
        <v>879</v>
      </c>
      <c r="AF1960" s="1"/>
      <c r="AG1960" s="1"/>
    </row>
    <row r="1961" ht="15.75" customHeight="1">
      <c r="A1961" s="1"/>
      <c r="B1961" s="1"/>
      <c r="C1961" s="1"/>
      <c r="D1961" s="1"/>
      <c r="E1961" s="1"/>
      <c r="F1961" s="1"/>
      <c r="G1961" s="1"/>
      <c r="H1961" s="1"/>
      <c r="I1961" s="1"/>
      <c r="J1961" s="1"/>
      <c r="K1961" s="95" t="s">
        <v>2964</v>
      </c>
      <c r="L1961" s="96" t="str">
        <f>F68</f>
        <v>C1b1a1</v>
      </c>
      <c r="M1961" s="89"/>
      <c r="N1961" s="100" t="s">
        <v>2965</v>
      </c>
      <c r="O1961" s="97">
        <v>7613775.0</v>
      </c>
      <c r="P1961" s="98">
        <v>7745734.0</v>
      </c>
      <c r="Q1961" s="93" t="s">
        <v>864</v>
      </c>
      <c r="AF1961" s="1"/>
      <c r="AG1961" s="1"/>
    </row>
    <row r="1962" ht="15.75" customHeight="1">
      <c r="A1962" s="1"/>
      <c r="B1962" s="1"/>
      <c r="C1962" s="1"/>
      <c r="D1962" s="1"/>
      <c r="E1962" s="1"/>
      <c r="F1962" s="1"/>
      <c r="G1962" s="1"/>
      <c r="H1962" s="1"/>
      <c r="I1962" s="1"/>
      <c r="J1962" s="1"/>
      <c r="K1962" s="95" t="s">
        <v>2966</v>
      </c>
      <c r="L1962" s="96" t="str">
        <f>F68</f>
        <v>C1b1a1</v>
      </c>
      <c r="M1962" s="89"/>
      <c r="N1962" s="99" t="s">
        <v>2967</v>
      </c>
      <c r="O1962" s="97">
        <v>8073759.0</v>
      </c>
      <c r="P1962" s="98">
        <v>8205718.0</v>
      </c>
      <c r="Q1962" s="93" t="s">
        <v>831</v>
      </c>
      <c r="AF1962" s="1"/>
      <c r="AG1962" s="1"/>
    </row>
    <row r="1963" ht="15.75" customHeight="1">
      <c r="A1963" s="1"/>
      <c r="B1963" s="1"/>
      <c r="C1963" s="1"/>
      <c r="D1963" s="1"/>
      <c r="E1963" s="1"/>
      <c r="F1963" s="1"/>
      <c r="G1963" s="1"/>
      <c r="H1963" s="1"/>
      <c r="I1963" s="1"/>
      <c r="J1963" s="1"/>
      <c r="K1963" s="95" t="s">
        <v>2968</v>
      </c>
      <c r="L1963" s="96" t="str">
        <f>F68</f>
        <v>C1b1a1</v>
      </c>
      <c r="M1963" s="89"/>
      <c r="N1963" s="99" t="s">
        <v>2969</v>
      </c>
      <c r="O1963" s="97">
        <v>8162049.0</v>
      </c>
      <c r="P1963" s="98">
        <v>8294008.0</v>
      </c>
      <c r="Q1963" s="93" t="s">
        <v>886</v>
      </c>
      <c r="AF1963" s="1"/>
      <c r="AG1963" s="1"/>
    </row>
    <row r="1964" ht="15.75" customHeight="1">
      <c r="A1964" s="1"/>
      <c r="B1964" s="1"/>
      <c r="C1964" s="1"/>
      <c r="D1964" s="1"/>
      <c r="E1964" s="1"/>
      <c r="F1964" s="1"/>
      <c r="G1964" s="1"/>
      <c r="H1964" s="1"/>
      <c r="I1964" s="1"/>
      <c r="J1964" s="1"/>
      <c r="K1964" s="95" t="s">
        <v>2970</v>
      </c>
      <c r="L1964" s="96" t="str">
        <f>F68</f>
        <v>C1b1a1</v>
      </c>
      <c r="M1964" s="89"/>
      <c r="N1964" s="100" t="s">
        <v>2971</v>
      </c>
      <c r="O1964" s="97">
        <v>8226654.0</v>
      </c>
      <c r="P1964" s="98">
        <v>8358613.0</v>
      </c>
      <c r="Q1964" s="93" t="s">
        <v>912</v>
      </c>
      <c r="AF1964" s="1"/>
      <c r="AG1964" s="1"/>
    </row>
    <row r="1965" ht="15.75" customHeight="1">
      <c r="A1965" s="1"/>
      <c r="B1965" s="1"/>
      <c r="C1965" s="1"/>
      <c r="D1965" s="1"/>
      <c r="E1965" s="1"/>
      <c r="F1965" s="1"/>
      <c r="G1965" s="1"/>
      <c r="H1965" s="1"/>
      <c r="I1965" s="1"/>
      <c r="J1965" s="1"/>
      <c r="K1965" s="95" t="s">
        <v>2972</v>
      </c>
      <c r="L1965" s="96" t="str">
        <f>F68</f>
        <v>C1b1a1</v>
      </c>
      <c r="M1965" s="89"/>
      <c r="N1965" s="99" t="s">
        <v>2973</v>
      </c>
      <c r="O1965" s="97">
        <v>8325833.0</v>
      </c>
      <c r="P1965" s="98">
        <v>8457792.0</v>
      </c>
      <c r="Q1965" s="93" t="s">
        <v>822</v>
      </c>
      <c r="AF1965" s="1"/>
      <c r="AG1965" s="1"/>
    </row>
    <row r="1966" ht="15.75" customHeight="1">
      <c r="A1966" s="1"/>
      <c r="B1966" s="1"/>
      <c r="C1966" s="1"/>
      <c r="D1966" s="1"/>
      <c r="E1966" s="1"/>
      <c r="F1966" s="1"/>
      <c r="G1966" s="1"/>
      <c r="H1966" s="1"/>
      <c r="I1966" s="1"/>
      <c r="J1966" s="1"/>
      <c r="K1966" s="95" t="s">
        <v>2974</v>
      </c>
      <c r="L1966" s="96" t="str">
        <f>F68</f>
        <v>C1b1a1</v>
      </c>
      <c r="M1966" s="89"/>
      <c r="N1966" s="100" t="s">
        <v>2975</v>
      </c>
      <c r="O1966" s="97">
        <v>8477123.0</v>
      </c>
      <c r="P1966" s="98">
        <v>8609082.0</v>
      </c>
      <c r="Q1966" s="93" t="s">
        <v>802</v>
      </c>
      <c r="AF1966" s="1"/>
      <c r="AG1966" s="1"/>
    </row>
    <row r="1967" ht="15.75" customHeight="1">
      <c r="A1967" s="1"/>
      <c r="B1967" s="1"/>
      <c r="C1967" s="1"/>
      <c r="D1967" s="1"/>
      <c r="E1967" s="1"/>
      <c r="F1967" s="1"/>
      <c r="G1967" s="1"/>
      <c r="H1967" s="1"/>
      <c r="I1967" s="1"/>
      <c r="J1967" s="1"/>
      <c r="K1967" s="95" t="s">
        <v>2976</v>
      </c>
      <c r="L1967" s="96" t="str">
        <f>F68</f>
        <v>C1b1a1</v>
      </c>
      <c r="M1967" s="89"/>
      <c r="N1967" s="89"/>
      <c r="O1967" s="97">
        <v>9953457.0</v>
      </c>
      <c r="P1967" s="98">
        <v>1.0115848E7</v>
      </c>
      <c r="Q1967" s="93" t="s">
        <v>822</v>
      </c>
      <c r="AF1967" s="1"/>
      <c r="AG1967" s="1"/>
    </row>
    <row r="1968" ht="15.75" customHeight="1">
      <c r="A1968" s="1"/>
      <c r="B1968" s="1"/>
      <c r="C1968" s="1"/>
      <c r="D1968" s="1"/>
      <c r="E1968" s="1"/>
      <c r="F1968" s="1"/>
      <c r="G1968" s="1"/>
      <c r="H1968" s="1"/>
      <c r="I1968" s="1"/>
      <c r="J1968" s="1"/>
      <c r="K1968" s="95" t="s">
        <v>2977</v>
      </c>
      <c r="L1968" s="96" t="str">
        <f>F68</f>
        <v>C1b1a1</v>
      </c>
      <c r="M1968" s="89"/>
      <c r="N1968" s="89"/>
      <c r="O1968" s="97">
        <v>1.3225498E7</v>
      </c>
      <c r="P1968" s="98">
        <v>1.1069822E7</v>
      </c>
      <c r="Q1968" s="93" t="s">
        <v>917</v>
      </c>
      <c r="AF1968" s="1"/>
      <c r="AG1968" s="1"/>
    </row>
    <row r="1969" ht="15.75" customHeight="1">
      <c r="A1969" s="1"/>
      <c r="B1969" s="1"/>
      <c r="C1969" s="1"/>
      <c r="D1969" s="1"/>
      <c r="E1969" s="1"/>
      <c r="F1969" s="1"/>
      <c r="G1969" s="1"/>
      <c r="H1969" s="1"/>
      <c r="I1969" s="1"/>
      <c r="J1969" s="1"/>
      <c r="K1969" s="95" t="s">
        <v>2978</v>
      </c>
      <c r="L1969" s="96" t="str">
        <f>F68</f>
        <v>C1b1a1</v>
      </c>
      <c r="M1969" s="89"/>
      <c r="N1969" s="100" t="s">
        <v>2979</v>
      </c>
      <c r="O1969" s="97">
        <v>1.5039226E7</v>
      </c>
      <c r="P1969" s="98">
        <v>1.2927316E7</v>
      </c>
      <c r="Q1969" s="93" t="s">
        <v>810</v>
      </c>
      <c r="AF1969" s="1"/>
      <c r="AG1969" s="1"/>
    </row>
    <row r="1970" ht="15.75" customHeight="1">
      <c r="A1970" s="1"/>
      <c r="B1970" s="1"/>
      <c r="C1970" s="1"/>
      <c r="D1970" s="1"/>
      <c r="E1970" s="1"/>
      <c r="F1970" s="1"/>
      <c r="G1970" s="1"/>
      <c r="H1970" s="1"/>
      <c r="I1970" s="1"/>
      <c r="J1970" s="1"/>
      <c r="K1970" s="95" t="s">
        <v>2980</v>
      </c>
      <c r="L1970" s="96" t="str">
        <f>F68</f>
        <v>C1b1a1</v>
      </c>
      <c r="M1970" s="89"/>
      <c r="N1970" s="99" t="s">
        <v>2981</v>
      </c>
      <c r="O1970" s="97">
        <v>1.5094894E7</v>
      </c>
      <c r="P1970" s="98">
        <v>1.2982982E7</v>
      </c>
      <c r="Q1970" s="93" t="s">
        <v>810</v>
      </c>
      <c r="AF1970" s="1"/>
      <c r="AG1970" s="1"/>
    </row>
    <row r="1971" ht="15.75" customHeight="1">
      <c r="A1971" s="1"/>
      <c r="B1971" s="1"/>
      <c r="C1971" s="1"/>
      <c r="D1971" s="1"/>
      <c r="E1971" s="1"/>
      <c r="F1971" s="1"/>
      <c r="G1971" s="1"/>
      <c r="H1971" s="1"/>
      <c r="I1971" s="1"/>
      <c r="J1971" s="1"/>
      <c r="K1971" s="95" t="s">
        <v>2982</v>
      </c>
      <c r="L1971" s="96" t="str">
        <f>F68</f>
        <v>C1b1a1</v>
      </c>
      <c r="M1971" s="89"/>
      <c r="N1971" s="89"/>
      <c r="O1971" s="97">
        <v>1.522922E7</v>
      </c>
      <c r="P1971" s="98">
        <v>1.3117306E7</v>
      </c>
      <c r="Q1971" s="93" t="s">
        <v>813</v>
      </c>
      <c r="AF1971" s="1"/>
      <c r="AG1971" s="1"/>
    </row>
    <row r="1972" ht="15.75" customHeight="1">
      <c r="A1972" s="1"/>
      <c r="B1972" s="1"/>
      <c r="C1972" s="1"/>
      <c r="D1972" s="1"/>
      <c r="E1972" s="1"/>
      <c r="F1972" s="1"/>
      <c r="G1972" s="1"/>
      <c r="H1972" s="1"/>
      <c r="I1972" s="1"/>
      <c r="J1972" s="1"/>
      <c r="K1972" s="95" t="s">
        <v>2983</v>
      </c>
      <c r="L1972" s="96" t="str">
        <f>F68</f>
        <v>C1b1a1</v>
      </c>
      <c r="M1972" s="89"/>
      <c r="N1972" s="99" t="s">
        <v>2984</v>
      </c>
      <c r="O1972" s="97">
        <v>1.5473955E7</v>
      </c>
      <c r="P1972" s="98">
        <v>1.3362075E7</v>
      </c>
      <c r="Q1972" s="93" t="s">
        <v>810</v>
      </c>
      <c r="AF1972" s="1"/>
      <c r="AG1972" s="1"/>
    </row>
    <row r="1973" ht="15.75" customHeight="1">
      <c r="A1973" s="1"/>
      <c r="B1973" s="1"/>
      <c r="C1973" s="1"/>
      <c r="D1973" s="1"/>
      <c r="E1973" s="1"/>
      <c r="F1973" s="1"/>
      <c r="G1973" s="1"/>
      <c r="H1973" s="1"/>
      <c r="I1973" s="1"/>
      <c r="J1973" s="1"/>
      <c r="K1973" s="95" t="s">
        <v>2985</v>
      </c>
      <c r="L1973" s="96" t="str">
        <f>F68</f>
        <v>C1b1a1</v>
      </c>
      <c r="M1973" s="89"/>
      <c r="N1973" s="99" t="s">
        <v>2986</v>
      </c>
      <c r="O1973" s="97">
        <v>1.5499645E7</v>
      </c>
      <c r="P1973" s="98">
        <v>1.3387765E7</v>
      </c>
      <c r="Q1973" s="93" t="s">
        <v>810</v>
      </c>
      <c r="AF1973" s="1"/>
      <c r="AG1973" s="1"/>
    </row>
    <row r="1974" ht="15.75" customHeight="1">
      <c r="A1974" s="1"/>
      <c r="B1974" s="1"/>
      <c r="C1974" s="1"/>
      <c r="D1974" s="1"/>
      <c r="E1974" s="1"/>
      <c r="F1974" s="1"/>
      <c r="G1974" s="1"/>
      <c r="H1974" s="1"/>
      <c r="I1974" s="1"/>
      <c r="J1974" s="1"/>
      <c r="K1974" s="95" t="s">
        <v>2987</v>
      </c>
      <c r="L1974" s="96" t="str">
        <f>F68</f>
        <v>C1b1a1</v>
      </c>
      <c r="M1974" s="89"/>
      <c r="N1974" s="99" t="s">
        <v>2988</v>
      </c>
      <c r="O1974" s="97">
        <v>1.5532276E7</v>
      </c>
      <c r="P1974" s="98">
        <v>1.3420396E7</v>
      </c>
      <c r="Q1974" s="93" t="s">
        <v>838</v>
      </c>
      <c r="AF1974" s="1"/>
      <c r="AG1974" s="1"/>
    </row>
    <row r="1975" ht="15.75" customHeight="1">
      <c r="A1975" s="1"/>
      <c r="B1975" s="1"/>
      <c r="C1975" s="1"/>
      <c r="D1975" s="1"/>
      <c r="E1975" s="1"/>
      <c r="F1975" s="1"/>
      <c r="G1975" s="1"/>
      <c r="H1975" s="1"/>
      <c r="I1975" s="1"/>
      <c r="J1975" s="1"/>
      <c r="K1975" s="95" t="s">
        <v>2989</v>
      </c>
      <c r="L1975" s="96" t="str">
        <f>F68</f>
        <v>C1b1a1</v>
      </c>
      <c r="M1975" s="89"/>
      <c r="N1975" s="100" t="s">
        <v>2990</v>
      </c>
      <c r="O1975" s="97">
        <v>1.5946103E7</v>
      </c>
      <c r="P1975" s="98">
        <v>1.3834223E7</v>
      </c>
      <c r="Q1975" s="93" t="s">
        <v>810</v>
      </c>
      <c r="AF1975" s="1"/>
      <c r="AG1975" s="1"/>
    </row>
    <row r="1976" ht="15.75" customHeight="1">
      <c r="A1976" s="1"/>
      <c r="B1976" s="1"/>
      <c r="C1976" s="1"/>
      <c r="D1976" s="1"/>
      <c r="E1976" s="1"/>
      <c r="F1976" s="1"/>
      <c r="G1976" s="1"/>
      <c r="H1976" s="1"/>
      <c r="I1976" s="1"/>
      <c r="J1976" s="1"/>
      <c r="K1976" s="95" t="s">
        <v>2991</v>
      </c>
      <c r="L1976" s="96" t="str">
        <f>F68</f>
        <v>C1b1a1</v>
      </c>
      <c r="M1976" s="89"/>
      <c r="N1976" s="100" t="s">
        <v>2992</v>
      </c>
      <c r="O1976" s="97">
        <v>1.5968229E7</v>
      </c>
      <c r="P1976" s="98">
        <v>1.3856349E7</v>
      </c>
      <c r="Q1976" s="93" t="s">
        <v>838</v>
      </c>
      <c r="AF1976" s="1"/>
      <c r="AG1976" s="1"/>
    </row>
    <row r="1977" ht="15.75" customHeight="1">
      <c r="A1977" s="1"/>
      <c r="B1977" s="1"/>
      <c r="C1977" s="1"/>
      <c r="D1977" s="1"/>
      <c r="E1977" s="1"/>
      <c r="F1977" s="1"/>
      <c r="G1977" s="1"/>
      <c r="H1977" s="1"/>
      <c r="I1977" s="1"/>
      <c r="J1977" s="1"/>
      <c r="K1977" s="95" t="s">
        <v>2993</v>
      </c>
      <c r="L1977" s="96" t="str">
        <f>F68</f>
        <v>C1b1a1</v>
      </c>
      <c r="M1977" s="89"/>
      <c r="N1977" s="99" t="s">
        <v>2994</v>
      </c>
      <c r="O1977" s="97">
        <v>1.6034027E7</v>
      </c>
      <c r="P1977" s="98">
        <v>1.3922147E7</v>
      </c>
      <c r="Q1977" s="93" t="s">
        <v>810</v>
      </c>
      <c r="AF1977" s="1"/>
      <c r="AG1977" s="1"/>
    </row>
    <row r="1978" ht="15.75" customHeight="1">
      <c r="A1978" s="1"/>
      <c r="B1978" s="1"/>
      <c r="C1978" s="1"/>
      <c r="D1978" s="1"/>
      <c r="E1978" s="1"/>
      <c r="F1978" s="1"/>
      <c r="G1978" s="1"/>
      <c r="H1978" s="1"/>
      <c r="I1978" s="1"/>
      <c r="J1978" s="1"/>
      <c r="K1978" s="95" t="s">
        <v>2995</v>
      </c>
      <c r="L1978" s="96" t="str">
        <f>F68</f>
        <v>C1b1a1</v>
      </c>
      <c r="M1978" s="89"/>
      <c r="N1978" s="99" t="s">
        <v>2996</v>
      </c>
      <c r="O1978" s="97">
        <v>1.6496185E7</v>
      </c>
      <c r="P1978" s="98">
        <v>1.4384305E7</v>
      </c>
      <c r="Q1978" s="93" t="s">
        <v>912</v>
      </c>
      <c r="AF1978" s="1"/>
      <c r="AG1978" s="1"/>
    </row>
    <row r="1979" ht="15.75" customHeight="1">
      <c r="A1979" s="1"/>
      <c r="B1979" s="1"/>
      <c r="C1979" s="1"/>
      <c r="D1979" s="1"/>
      <c r="E1979" s="1"/>
      <c r="F1979" s="1"/>
      <c r="G1979" s="1"/>
      <c r="H1979" s="1"/>
      <c r="I1979" s="1"/>
      <c r="J1979" s="1"/>
      <c r="K1979" s="95" t="s">
        <v>2997</v>
      </c>
      <c r="L1979" s="96" t="str">
        <f>F68</f>
        <v>C1b1a1</v>
      </c>
      <c r="M1979" s="89"/>
      <c r="N1979" s="100" t="s">
        <v>2998</v>
      </c>
      <c r="O1979" s="97">
        <v>1.6790243E7</v>
      </c>
      <c r="P1979" s="98">
        <v>1.4678363E7</v>
      </c>
      <c r="Q1979" s="93" t="s">
        <v>810</v>
      </c>
      <c r="AF1979" s="1"/>
      <c r="AG1979" s="1"/>
    </row>
    <row r="1980" ht="15.75" customHeight="1">
      <c r="A1980" s="1"/>
      <c r="B1980" s="1"/>
      <c r="C1980" s="1"/>
      <c r="D1980" s="1"/>
      <c r="E1980" s="1"/>
      <c r="F1980" s="1"/>
      <c r="G1980" s="1"/>
      <c r="H1980" s="1"/>
      <c r="I1980" s="1"/>
      <c r="J1980" s="1"/>
      <c r="K1980" s="95" t="s">
        <v>2999</v>
      </c>
      <c r="L1980" s="96" t="str">
        <f>F68</f>
        <v>C1b1a1</v>
      </c>
      <c r="M1980" s="89"/>
      <c r="N1980" s="100" t="s">
        <v>3000</v>
      </c>
      <c r="O1980" s="97">
        <v>1.6846883E7</v>
      </c>
      <c r="P1980" s="98">
        <v>1.4735003E7</v>
      </c>
      <c r="Q1980" s="93" t="s">
        <v>822</v>
      </c>
      <c r="AF1980" s="1"/>
      <c r="AG1980" s="1"/>
    </row>
    <row r="1981" ht="15.75" customHeight="1">
      <c r="A1981" s="1"/>
      <c r="B1981" s="1"/>
      <c r="C1981" s="1"/>
      <c r="D1981" s="1"/>
      <c r="E1981" s="1"/>
      <c r="F1981" s="1"/>
      <c r="G1981" s="1"/>
      <c r="H1981" s="1"/>
      <c r="I1981" s="1"/>
      <c r="J1981" s="1"/>
      <c r="K1981" s="95" t="s">
        <v>3001</v>
      </c>
      <c r="L1981" s="96" t="str">
        <f>F68</f>
        <v>C1b1a1</v>
      </c>
      <c r="M1981" s="89"/>
      <c r="N1981" s="100" t="s">
        <v>3002</v>
      </c>
      <c r="O1981" s="97">
        <v>1.7031614E7</v>
      </c>
      <c r="P1981" s="98">
        <v>1.4919734E7</v>
      </c>
      <c r="Q1981" s="93" t="s">
        <v>838</v>
      </c>
      <c r="AF1981" s="1"/>
      <c r="AG1981" s="1"/>
    </row>
    <row r="1982" ht="15.75" customHeight="1">
      <c r="A1982" s="1"/>
      <c r="B1982" s="1"/>
      <c r="C1982" s="1"/>
      <c r="D1982" s="1"/>
      <c r="E1982" s="1"/>
      <c r="F1982" s="1"/>
      <c r="G1982" s="1"/>
      <c r="H1982" s="1"/>
      <c r="I1982" s="1"/>
      <c r="J1982" s="1"/>
      <c r="K1982" s="95" t="s">
        <v>3003</v>
      </c>
      <c r="L1982" s="96" t="str">
        <f>F68</f>
        <v>C1b1a1</v>
      </c>
      <c r="M1982" s="89"/>
      <c r="N1982" s="100" t="s">
        <v>3004</v>
      </c>
      <c r="O1982" s="97">
        <v>1.7137306E7</v>
      </c>
      <c r="P1982" s="98">
        <v>1.5025426E7</v>
      </c>
      <c r="Q1982" s="93" t="s">
        <v>810</v>
      </c>
      <c r="AF1982" s="1"/>
      <c r="AG1982" s="1"/>
    </row>
    <row r="1983" ht="15.75" customHeight="1">
      <c r="A1983" s="1"/>
      <c r="B1983" s="1"/>
      <c r="C1983" s="1"/>
      <c r="D1983" s="1"/>
      <c r="E1983" s="1"/>
      <c r="F1983" s="1"/>
      <c r="G1983" s="1"/>
      <c r="H1983" s="1"/>
      <c r="I1983" s="1"/>
      <c r="J1983" s="1"/>
      <c r="K1983" s="95" t="s">
        <v>3005</v>
      </c>
      <c r="L1983" s="96" t="str">
        <f>F68</f>
        <v>C1b1a1</v>
      </c>
      <c r="M1983" s="89"/>
      <c r="N1983" s="99" t="s">
        <v>3006</v>
      </c>
      <c r="O1983" s="97">
        <v>1.7195672E7</v>
      </c>
      <c r="P1983" s="98">
        <v>1.5083792E7</v>
      </c>
      <c r="Q1983" s="93" t="s">
        <v>838</v>
      </c>
      <c r="AF1983" s="1"/>
      <c r="AG1983" s="1"/>
    </row>
    <row r="1984" ht="15.75" customHeight="1">
      <c r="A1984" s="1"/>
      <c r="B1984" s="1"/>
      <c r="C1984" s="1"/>
      <c r="D1984" s="1"/>
      <c r="E1984" s="1"/>
      <c r="F1984" s="1"/>
      <c r="G1984" s="1"/>
      <c r="H1984" s="1"/>
      <c r="I1984" s="1"/>
      <c r="J1984" s="1"/>
      <c r="K1984" s="95" t="s">
        <v>3007</v>
      </c>
      <c r="L1984" s="96" t="str">
        <f>F68</f>
        <v>C1b1a1</v>
      </c>
      <c r="M1984" s="89"/>
      <c r="N1984" s="100" t="s">
        <v>3008</v>
      </c>
      <c r="O1984" s="97">
        <v>1.72241E7</v>
      </c>
      <c r="P1984" s="98">
        <v>1.511222E7</v>
      </c>
      <c r="Q1984" s="93" t="s">
        <v>917</v>
      </c>
      <c r="AF1984" s="1"/>
      <c r="AG1984" s="1"/>
    </row>
    <row r="1985" ht="15.75" customHeight="1">
      <c r="A1985" s="1"/>
      <c r="B1985" s="1"/>
      <c r="C1985" s="1"/>
      <c r="D1985" s="1"/>
      <c r="E1985" s="1"/>
      <c r="F1985" s="1"/>
      <c r="G1985" s="1"/>
      <c r="H1985" s="1"/>
      <c r="I1985" s="1"/>
      <c r="J1985" s="1"/>
      <c r="K1985" s="95" t="s">
        <v>3009</v>
      </c>
      <c r="L1985" s="96" t="str">
        <f>F68</f>
        <v>C1b1a1</v>
      </c>
      <c r="M1985" s="89"/>
      <c r="N1985" s="100" t="s">
        <v>3010</v>
      </c>
      <c r="O1985" s="97">
        <v>1.738013E7</v>
      </c>
      <c r="P1985" s="98">
        <v>1.526825E7</v>
      </c>
      <c r="Q1985" s="93" t="s">
        <v>810</v>
      </c>
      <c r="AF1985" s="1"/>
      <c r="AG1985" s="1"/>
    </row>
    <row r="1986" ht="15.75" customHeight="1">
      <c r="A1986" s="1"/>
      <c r="B1986" s="1"/>
      <c r="C1986" s="1"/>
      <c r="D1986" s="1"/>
      <c r="E1986" s="1"/>
      <c r="F1986" s="1"/>
      <c r="G1986" s="1"/>
      <c r="H1986" s="1"/>
      <c r="I1986" s="1"/>
      <c r="J1986" s="1"/>
      <c r="K1986" s="95" t="s">
        <v>3011</v>
      </c>
      <c r="L1986" s="96" t="str">
        <f>F68</f>
        <v>C1b1a1</v>
      </c>
      <c r="M1986" s="89"/>
      <c r="N1986" s="100" t="s">
        <v>3012</v>
      </c>
      <c r="O1986" s="97">
        <v>1.7416072E7</v>
      </c>
      <c r="P1986" s="98">
        <v>1.5304192E7</v>
      </c>
      <c r="Q1986" s="93" t="s">
        <v>810</v>
      </c>
      <c r="AF1986" s="1"/>
      <c r="AG1986" s="1"/>
    </row>
    <row r="1987" ht="15.75" customHeight="1">
      <c r="A1987" s="1"/>
      <c r="B1987" s="1"/>
      <c r="C1987" s="1"/>
      <c r="D1987" s="1"/>
      <c r="E1987" s="1"/>
      <c r="F1987" s="1"/>
      <c r="G1987" s="1"/>
      <c r="H1987" s="1"/>
      <c r="I1987" s="1"/>
      <c r="J1987" s="1"/>
      <c r="K1987" s="95" t="s">
        <v>3013</v>
      </c>
      <c r="L1987" s="96" t="str">
        <f>F68</f>
        <v>C1b1a1</v>
      </c>
      <c r="M1987" s="89"/>
      <c r="N1987" s="100" t="s">
        <v>3014</v>
      </c>
      <c r="O1987" s="97">
        <v>1.7511305E7</v>
      </c>
      <c r="P1987" s="98">
        <v>1.5399425E7</v>
      </c>
      <c r="Q1987" s="93" t="s">
        <v>802</v>
      </c>
      <c r="AF1987" s="1"/>
      <c r="AG1987" s="1"/>
    </row>
    <row r="1988" ht="15.75" customHeight="1">
      <c r="A1988" s="1"/>
      <c r="B1988" s="1"/>
      <c r="C1988" s="1"/>
      <c r="D1988" s="1"/>
      <c r="E1988" s="1"/>
      <c r="F1988" s="1"/>
      <c r="G1988" s="1"/>
      <c r="H1988" s="1"/>
      <c r="I1988" s="1"/>
      <c r="J1988" s="1"/>
      <c r="K1988" s="95" t="s">
        <v>3015</v>
      </c>
      <c r="L1988" s="96" t="str">
        <f>F68</f>
        <v>C1b1a1</v>
      </c>
      <c r="M1988" s="89"/>
      <c r="N1988" s="99" t="s">
        <v>3016</v>
      </c>
      <c r="O1988" s="97">
        <v>1.7753075E7</v>
      </c>
      <c r="P1988" s="98">
        <v>1.5641195E7</v>
      </c>
      <c r="Q1988" s="93" t="s">
        <v>879</v>
      </c>
      <c r="AF1988" s="1"/>
      <c r="AG1988" s="1"/>
    </row>
    <row r="1989" ht="15.75" customHeight="1">
      <c r="A1989" s="1"/>
      <c r="B1989" s="1"/>
      <c r="C1989" s="1"/>
      <c r="D1989" s="1"/>
      <c r="E1989" s="1"/>
      <c r="F1989" s="1"/>
      <c r="G1989" s="1"/>
      <c r="H1989" s="1"/>
      <c r="I1989" s="1"/>
      <c r="J1989" s="1"/>
      <c r="K1989" s="95" t="s">
        <v>3017</v>
      </c>
      <c r="L1989" s="96" t="str">
        <f>F68</f>
        <v>C1b1a1</v>
      </c>
      <c r="M1989" s="89"/>
      <c r="N1989" s="99" t="s">
        <v>3018</v>
      </c>
      <c r="O1989" s="97">
        <v>1.8389671E7</v>
      </c>
      <c r="P1989" s="98">
        <v>1.6277791E7</v>
      </c>
      <c r="Q1989" s="93" t="s">
        <v>917</v>
      </c>
      <c r="AF1989" s="1"/>
      <c r="AG1989" s="1"/>
    </row>
    <row r="1990" ht="15.75" customHeight="1">
      <c r="A1990" s="1"/>
      <c r="B1990" s="1"/>
      <c r="C1990" s="1"/>
      <c r="D1990" s="1"/>
      <c r="E1990" s="1"/>
      <c r="F1990" s="1"/>
      <c r="G1990" s="1"/>
      <c r="H1990" s="1"/>
      <c r="I1990" s="1"/>
      <c r="J1990" s="1"/>
      <c r="K1990" s="95" t="s">
        <v>3019</v>
      </c>
      <c r="L1990" s="96" t="str">
        <f>F68</f>
        <v>C1b1a1</v>
      </c>
      <c r="M1990" s="89"/>
      <c r="N1990" s="99" t="s">
        <v>3020</v>
      </c>
      <c r="O1990" s="101">
        <v>1.9237276E7</v>
      </c>
      <c r="P1990" s="98">
        <v>1.7125396E7</v>
      </c>
      <c r="Q1990" s="93" t="s">
        <v>864</v>
      </c>
      <c r="AF1990" s="1"/>
      <c r="AG1990" s="1"/>
    </row>
    <row r="1991" ht="15.75" customHeight="1">
      <c r="A1991" s="1"/>
      <c r="B1991" s="1"/>
      <c r="C1991" s="1"/>
      <c r="D1991" s="1"/>
      <c r="E1991" s="1"/>
      <c r="F1991" s="1"/>
      <c r="G1991" s="1"/>
      <c r="H1991" s="1"/>
      <c r="I1991" s="1"/>
      <c r="J1991" s="1"/>
      <c r="K1991" s="95" t="s">
        <v>3021</v>
      </c>
      <c r="L1991" s="96" t="str">
        <f>F68</f>
        <v>C1b1a1</v>
      </c>
      <c r="M1991" s="89"/>
      <c r="N1991" s="99" t="s">
        <v>3022</v>
      </c>
      <c r="O1991" s="97">
        <v>1.92692E7</v>
      </c>
      <c r="P1991" s="98">
        <v>1.715732E7</v>
      </c>
      <c r="Q1991" s="93" t="s">
        <v>845</v>
      </c>
      <c r="AF1991" s="1"/>
      <c r="AG1991" s="1"/>
    </row>
    <row r="1992" ht="15.75" customHeight="1">
      <c r="A1992" s="1"/>
      <c r="B1992" s="1"/>
      <c r="C1992" s="1"/>
      <c r="D1992" s="1"/>
      <c r="E1992" s="1"/>
      <c r="F1992" s="1"/>
      <c r="G1992" s="1"/>
      <c r="H1992" s="1"/>
      <c r="I1992" s="1"/>
      <c r="J1992" s="1"/>
      <c r="K1992" s="95" t="s">
        <v>3023</v>
      </c>
      <c r="L1992" s="96" t="str">
        <f>F68</f>
        <v>C1b1a1</v>
      </c>
      <c r="M1992" s="89"/>
      <c r="N1992" s="99" t="s">
        <v>3024</v>
      </c>
      <c r="O1992" s="97">
        <v>1.9455392E7</v>
      </c>
      <c r="P1992" s="98">
        <v>1.7343512E7</v>
      </c>
      <c r="Q1992" s="93" t="s">
        <v>810</v>
      </c>
      <c r="AF1992" s="1"/>
      <c r="AG1992" s="1"/>
    </row>
    <row r="1993" ht="15.75" customHeight="1">
      <c r="A1993" s="1"/>
      <c r="B1993" s="1"/>
      <c r="C1993" s="1"/>
      <c r="D1993" s="1"/>
      <c r="E1993" s="1"/>
      <c r="F1993" s="1"/>
      <c r="G1993" s="1"/>
      <c r="H1993" s="1"/>
      <c r="I1993" s="1"/>
      <c r="J1993" s="1"/>
      <c r="K1993" s="95" t="s">
        <v>3025</v>
      </c>
      <c r="L1993" s="96" t="str">
        <f>F68</f>
        <v>C1b1a1</v>
      </c>
      <c r="M1993" s="89"/>
      <c r="N1993" s="100" t="s">
        <v>3026</v>
      </c>
      <c r="O1993" s="97">
        <v>2.1234025E7</v>
      </c>
      <c r="P1993" s="98">
        <v>1.9072139E7</v>
      </c>
      <c r="Q1993" s="93" t="s">
        <v>822</v>
      </c>
      <c r="AF1993" s="1"/>
      <c r="AG1993" s="1"/>
    </row>
    <row r="1994" ht="15.75" customHeight="1">
      <c r="A1994" s="1"/>
      <c r="B1994" s="1"/>
      <c r="C1994" s="1"/>
      <c r="D1994" s="1"/>
      <c r="E1994" s="1"/>
      <c r="F1994" s="1"/>
      <c r="G1994" s="1"/>
      <c r="H1994" s="1"/>
      <c r="I1994" s="1"/>
      <c r="J1994" s="1"/>
      <c r="K1994" s="95" t="s">
        <v>3027</v>
      </c>
      <c r="L1994" s="96" t="str">
        <f>F68</f>
        <v>C1b1a1</v>
      </c>
      <c r="M1994" s="89"/>
      <c r="N1994" s="100" t="s">
        <v>3028</v>
      </c>
      <c r="O1994" s="97">
        <v>2.1259254E7</v>
      </c>
      <c r="P1994" s="98">
        <v>1.9097368E7</v>
      </c>
      <c r="Q1994" s="93" t="s">
        <v>838</v>
      </c>
      <c r="AF1994" s="1"/>
      <c r="AG1994" s="1"/>
    </row>
    <row r="1995" ht="15.75" customHeight="1">
      <c r="A1995" s="1"/>
      <c r="B1995" s="1"/>
      <c r="C1995" s="1"/>
      <c r="D1995" s="1"/>
      <c r="E1995" s="1"/>
      <c r="F1995" s="1"/>
      <c r="G1995" s="1"/>
      <c r="H1995" s="1"/>
      <c r="I1995" s="1"/>
      <c r="J1995" s="1"/>
      <c r="K1995" s="95" t="s">
        <v>3029</v>
      </c>
      <c r="L1995" s="96" t="str">
        <f>F68</f>
        <v>C1b1a1</v>
      </c>
      <c r="M1995" s="89"/>
      <c r="N1995" s="99" t="s">
        <v>3030</v>
      </c>
      <c r="O1995" s="97">
        <v>2.1289193E7</v>
      </c>
      <c r="P1995" s="98">
        <v>1.9127307E7</v>
      </c>
      <c r="Q1995" s="93" t="s">
        <v>864</v>
      </c>
      <c r="AF1995" s="1"/>
      <c r="AG1995" s="1"/>
    </row>
    <row r="1996" ht="15.75" customHeight="1">
      <c r="A1996" s="1"/>
      <c r="B1996" s="1"/>
      <c r="C1996" s="1"/>
      <c r="D1996" s="1"/>
      <c r="E1996" s="1"/>
      <c r="F1996" s="1"/>
      <c r="G1996" s="1"/>
      <c r="H1996" s="1"/>
      <c r="I1996" s="1"/>
      <c r="J1996" s="1"/>
      <c r="K1996" s="95" t="s">
        <v>3031</v>
      </c>
      <c r="L1996" s="96" t="str">
        <f>F68</f>
        <v>C1b1a1</v>
      </c>
      <c r="M1996" s="89"/>
      <c r="N1996" s="99" t="s">
        <v>3032</v>
      </c>
      <c r="O1996" s="97">
        <v>2.1853126E7</v>
      </c>
      <c r="P1996" s="98">
        <v>1.969124E7</v>
      </c>
      <c r="Q1996" s="93" t="s">
        <v>917</v>
      </c>
      <c r="AF1996" s="1"/>
      <c r="AG1996" s="1"/>
    </row>
    <row r="1997" ht="15.75" customHeight="1">
      <c r="A1997" s="1"/>
      <c r="B1997" s="1"/>
      <c r="C1997" s="1"/>
      <c r="D1997" s="1"/>
      <c r="E1997" s="1"/>
      <c r="F1997" s="1"/>
      <c r="G1997" s="1"/>
      <c r="H1997" s="1"/>
      <c r="I1997" s="1"/>
      <c r="J1997" s="1"/>
      <c r="K1997" s="95" t="s">
        <v>3033</v>
      </c>
      <c r="L1997" s="96" t="str">
        <f>F68</f>
        <v>C1b1a1</v>
      </c>
      <c r="M1997" s="89"/>
      <c r="N1997" s="99" t="s">
        <v>3034</v>
      </c>
      <c r="O1997" s="97">
        <v>2.2028204E7</v>
      </c>
      <c r="P1997" s="98">
        <v>1.9866318E7</v>
      </c>
      <c r="Q1997" s="93" t="s">
        <v>838</v>
      </c>
      <c r="AF1997" s="1"/>
      <c r="AG1997" s="1"/>
    </row>
    <row r="1998" ht="15.75" customHeight="1">
      <c r="A1998" s="1"/>
      <c r="B1998" s="1"/>
      <c r="C1998" s="1"/>
      <c r="D1998" s="1"/>
      <c r="E1998" s="1"/>
      <c r="F1998" s="1"/>
      <c r="G1998" s="1"/>
      <c r="H1998" s="1"/>
      <c r="I1998" s="1"/>
      <c r="J1998" s="1"/>
      <c r="K1998" s="95" t="s">
        <v>3035</v>
      </c>
      <c r="L1998" s="96" t="str">
        <f>F68</f>
        <v>C1b1a1</v>
      </c>
      <c r="M1998" s="89"/>
      <c r="N1998" s="99" t="s">
        <v>3036</v>
      </c>
      <c r="O1998" s="97">
        <v>2.2783314E7</v>
      </c>
      <c r="P1998" s="98">
        <v>2.0621428E7</v>
      </c>
      <c r="Q1998" s="93" t="s">
        <v>810</v>
      </c>
      <c r="AF1998" s="1"/>
      <c r="AG1998" s="1"/>
    </row>
    <row r="1999" ht="15.75" customHeight="1">
      <c r="A1999" s="1"/>
      <c r="B1999" s="1"/>
      <c r="C1999" s="1"/>
      <c r="D1999" s="1"/>
      <c r="E1999" s="1"/>
      <c r="F1999" s="1"/>
      <c r="G1999" s="1"/>
      <c r="H1999" s="1"/>
      <c r="I1999" s="1"/>
      <c r="J1999" s="1"/>
      <c r="K1999" s="95" t="s">
        <v>3037</v>
      </c>
      <c r="L1999" s="96" t="str">
        <f>F68</f>
        <v>C1b1a1</v>
      </c>
      <c r="M1999" s="89"/>
      <c r="N1999" s="99" t="s">
        <v>3038</v>
      </c>
      <c r="O1999" s="97">
        <v>2.3150304E7</v>
      </c>
      <c r="P1999" s="98">
        <v>2.0988418E7</v>
      </c>
      <c r="Q1999" s="93" t="s">
        <v>802</v>
      </c>
      <c r="AF1999" s="1"/>
      <c r="AG1999" s="1"/>
    </row>
    <row r="2000" ht="15.75" customHeight="1">
      <c r="A2000" s="1"/>
      <c r="B2000" s="1"/>
      <c r="C2000" s="1"/>
      <c r="D2000" s="1"/>
      <c r="E2000" s="1"/>
      <c r="F2000" s="1"/>
      <c r="G2000" s="1"/>
      <c r="H2000" s="1"/>
      <c r="I2000" s="1"/>
      <c r="J2000" s="1"/>
      <c r="K2000" s="95" t="s">
        <v>3039</v>
      </c>
      <c r="L2000" s="96" t="str">
        <f>F68</f>
        <v>C1b1a1</v>
      </c>
      <c r="M2000" s="89"/>
      <c r="N2000" s="100" t="s">
        <v>3040</v>
      </c>
      <c r="O2000" s="97">
        <v>2.355413E7</v>
      </c>
      <c r="P2000" s="98">
        <v>2.1392244E7</v>
      </c>
      <c r="Q2000" s="93" t="s">
        <v>802</v>
      </c>
      <c r="AF2000" s="1"/>
      <c r="AG2000" s="1"/>
    </row>
    <row r="2001" ht="15.75" customHeight="1">
      <c r="A2001" s="1"/>
      <c r="B2001" s="1"/>
      <c r="C2001" s="1"/>
      <c r="D2001" s="1"/>
      <c r="E2001" s="1"/>
      <c r="F2001" s="1"/>
      <c r="G2001" s="1"/>
      <c r="H2001" s="1"/>
      <c r="I2001" s="1"/>
      <c r="J2001" s="1"/>
      <c r="K2001" s="95" t="s">
        <v>3041</v>
      </c>
      <c r="L2001" s="96" t="str">
        <f>F68</f>
        <v>C1b1a1</v>
      </c>
      <c r="M2001" s="89"/>
      <c r="N2001" s="99" t="s">
        <v>3042</v>
      </c>
      <c r="O2001" s="97">
        <v>7065087.0</v>
      </c>
      <c r="P2001" s="98">
        <v>7197046.0</v>
      </c>
      <c r="Q2001" s="93" t="s">
        <v>802</v>
      </c>
      <c r="AF2001" s="1"/>
      <c r="AG2001" s="1"/>
    </row>
    <row r="2002" ht="15.75" customHeight="1">
      <c r="A2002" s="1"/>
      <c r="B2002" s="1"/>
      <c r="C2002" s="1"/>
      <c r="D2002" s="1"/>
      <c r="E2002" s="1"/>
      <c r="F2002" s="1"/>
      <c r="G2002" s="1"/>
      <c r="H2002" s="1"/>
      <c r="I2002" s="1"/>
      <c r="J2002" s="1"/>
      <c r="K2002" s="95" t="s">
        <v>3043</v>
      </c>
      <c r="L2002" s="96" t="str">
        <f>F68</f>
        <v>C1b1a1</v>
      </c>
      <c r="M2002" s="89"/>
      <c r="N2002" s="100" t="s">
        <v>3044</v>
      </c>
      <c r="O2002" s="97">
        <v>1.5275882E7</v>
      </c>
      <c r="P2002" s="98">
        <v>1.3163971E7</v>
      </c>
      <c r="Q2002" s="93" t="s">
        <v>838</v>
      </c>
      <c r="AF2002" s="1"/>
      <c r="AG2002" s="1"/>
    </row>
    <row r="2003" ht="15.75" customHeight="1">
      <c r="A2003" s="1"/>
      <c r="B2003" s="1"/>
      <c r="C2003" s="1"/>
      <c r="D2003" s="1"/>
      <c r="E2003" s="1"/>
      <c r="F2003" s="1"/>
      <c r="G2003" s="1"/>
      <c r="H2003" s="1"/>
      <c r="I2003" s="1"/>
      <c r="J2003" s="1"/>
      <c r="K2003" s="95" t="s">
        <v>3045</v>
      </c>
      <c r="L2003" s="96" t="str">
        <f>F68</f>
        <v>C1b1a1</v>
      </c>
      <c r="M2003" s="89"/>
      <c r="N2003" s="100" t="s">
        <v>3046</v>
      </c>
      <c r="O2003" s="97">
        <v>1.6846506E7</v>
      </c>
      <c r="P2003" s="98">
        <v>1.4734626E7</v>
      </c>
      <c r="Q2003" s="93" t="s">
        <v>810</v>
      </c>
      <c r="AF2003" s="1"/>
      <c r="AG2003" s="1"/>
    </row>
    <row r="2004" ht="15.75" customHeight="1">
      <c r="A2004" s="1"/>
      <c r="B2004" s="1"/>
      <c r="C2004" s="1"/>
      <c r="D2004" s="1"/>
      <c r="E2004" s="1"/>
      <c r="F2004" s="1"/>
      <c r="G2004" s="1"/>
      <c r="H2004" s="1"/>
      <c r="I2004" s="1"/>
      <c r="J2004" s="1"/>
      <c r="K2004" s="95" t="s">
        <v>3047</v>
      </c>
      <c r="L2004" s="96" t="str">
        <f>F68</f>
        <v>C1b1a1</v>
      </c>
      <c r="M2004" s="89"/>
      <c r="N2004" s="99" t="s">
        <v>3048</v>
      </c>
      <c r="O2004" s="97">
        <v>1.8064726E7</v>
      </c>
      <c r="P2004" s="98">
        <v>1.5952846E7</v>
      </c>
      <c r="Q2004" s="93" t="s">
        <v>912</v>
      </c>
      <c r="AF2004" s="1"/>
      <c r="AG2004" s="1"/>
    </row>
    <row r="2005" ht="15.75" customHeight="1">
      <c r="A2005" s="1"/>
      <c r="B2005" s="1"/>
      <c r="C2005" s="1"/>
      <c r="D2005" s="1"/>
      <c r="E2005" s="1"/>
      <c r="F2005" s="1"/>
      <c r="G2005" s="1"/>
      <c r="H2005" s="1"/>
      <c r="I2005" s="1"/>
      <c r="J2005" s="1"/>
      <c r="K2005" s="95" t="s">
        <v>3049</v>
      </c>
      <c r="L2005" s="96" t="str">
        <f>F68</f>
        <v>C1b1a1</v>
      </c>
      <c r="M2005" s="89"/>
      <c r="N2005" s="99" t="s">
        <v>3050</v>
      </c>
      <c r="O2005" s="97">
        <v>1.8118556E7</v>
      </c>
      <c r="P2005" s="98">
        <v>1.6006676E7</v>
      </c>
      <c r="Q2005" s="93" t="s">
        <v>912</v>
      </c>
      <c r="AF2005" s="1"/>
      <c r="AG2005" s="1"/>
    </row>
    <row r="2006" ht="15.75" customHeight="1">
      <c r="A2006" s="1"/>
      <c r="B2006" s="1"/>
      <c r="C2006" s="1"/>
      <c r="D2006" s="1"/>
      <c r="E2006" s="1"/>
      <c r="F2006" s="1"/>
      <c r="G2006" s="1"/>
      <c r="H2006" s="1"/>
      <c r="I2006" s="1"/>
      <c r="J2006" s="1"/>
      <c r="K2006" s="95" t="s">
        <v>3051</v>
      </c>
      <c r="L2006" s="96" t="str">
        <f>F68</f>
        <v>C1b1a1</v>
      </c>
      <c r="M2006" s="89"/>
      <c r="N2006" s="99" t="s">
        <v>3052</v>
      </c>
      <c r="O2006" s="97">
        <v>1.8721746E7</v>
      </c>
      <c r="P2006" s="98">
        <v>1.6609866E7</v>
      </c>
      <c r="Q2006" s="93" t="s">
        <v>802</v>
      </c>
      <c r="AF2006" s="1"/>
      <c r="AG2006" s="1"/>
    </row>
    <row r="2007" ht="15.75" customHeight="1">
      <c r="A2007" s="1"/>
      <c r="B2007" s="1"/>
      <c r="C2007" s="1"/>
      <c r="D2007" s="1"/>
      <c r="E2007" s="1"/>
      <c r="F2007" s="1"/>
      <c r="G2007" s="1"/>
      <c r="H2007" s="1"/>
      <c r="I2007" s="1"/>
      <c r="J2007" s="1"/>
      <c r="K2007" s="95" t="s">
        <v>3053</v>
      </c>
      <c r="L2007" s="96" t="str">
        <f>F68</f>
        <v>C1b1a1</v>
      </c>
      <c r="M2007" s="89"/>
      <c r="N2007" s="99" t="s">
        <v>3054</v>
      </c>
      <c r="O2007" s="97">
        <v>1.8746683E7</v>
      </c>
      <c r="P2007" s="98">
        <v>1.6634803E7</v>
      </c>
      <c r="Q2007" s="93" t="s">
        <v>810</v>
      </c>
      <c r="AF2007" s="1"/>
      <c r="AG2007" s="1"/>
    </row>
    <row r="2008" ht="15.75" customHeight="1">
      <c r="A2008" s="1"/>
      <c r="B2008" s="1"/>
      <c r="C2008" s="1"/>
      <c r="D2008" s="1"/>
      <c r="E2008" s="1"/>
      <c r="F2008" s="1"/>
      <c r="G2008" s="1"/>
      <c r="H2008" s="1"/>
      <c r="I2008" s="1"/>
      <c r="J2008" s="1"/>
      <c r="K2008" s="95" t="s">
        <v>3055</v>
      </c>
      <c r="L2008" s="96" t="str">
        <f>F68</f>
        <v>C1b1a1</v>
      </c>
      <c r="M2008" s="89"/>
      <c r="N2008" s="100" t="s">
        <v>3056</v>
      </c>
      <c r="O2008" s="97">
        <v>1.9286086E7</v>
      </c>
      <c r="P2008" s="98">
        <v>1.7174206E7</v>
      </c>
      <c r="Q2008" s="93" t="s">
        <v>838</v>
      </c>
      <c r="AF2008" s="1"/>
      <c r="AG2008" s="1"/>
    </row>
    <row r="2009" ht="15.75" customHeight="1">
      <c r="A2009" s="1"/>
      <c r="B2009" s="1"/>
      <c r="C2009" s="1"/>
      <c r="D2009" s="1"/>
      <c r="E2009" s="1"/>
      <c r="F2009" s="1"/>
      <c r="G2009" s="1"/>
      <c r="H2009" s="1"/>
      <c r="I2009" s="1"/>
      <c r="J2009" s="1"/>
      <c r="K2009" s="95" t="s">
        <v>3057</v>
      </c>
      <c r="L2009" s="96" t="str">
        <f>F68</f>
        <v>C1b1a1</v>
      </c>
      <c r="M2009" s="89"/>
      <c r="N2009" s="100" t="s">
        <v>3058</v>
      </c>
      <c r="O2009" s="97">
        <v>1.9493582E7</v>
      </c>
      <c r="P2009" s="98">
        <v>1.7381702E7</v>
      </c>
      <c r="Q2009" s="93" t="s">
        <v>802</v>
      </c>
      <c r="AF2009" s="1"/>
      <c r="AG2009" s="1"/>
    </row>
    <row r="2010" ht="15.75" customHeight="1">
      <c r="A2010" s="1"/>
      <c r="B2010" s="1"/>
      <c r="C2010" s="1"/>
      <c r="D2010" s="1"/>
      <c r="E2010" s="1"/>
      <c r="F2010" s="1"/>
      <c r="G2010" s="1"/>
      <c r="H2010" s="1"/>
      <c r="I2010" s="1"/>
      <c r="J2010" s="1"/>
      <c r="K2010" s="95" t="s">
        <v>3059</v>
      </c>
      <c r="L2010" s="96" t="str">
        <f>F68</f>
        <v>C1b1a1</v>
      </c>
      <c r="M2010" s="89"/>
      <c r="N2010" s="99" t="s">
        <v>3060</v>
      </c>
      <c r="O2010" s="97">
        <v>2.2665414E7</v>
      </c>
      <c r="P2010" s="98">
        <v>2.0503528E7</v>
      </c>
      <c r="Q2010" s="93" t="s">
        <v>831</v>
      </c>
      <c r="AF2010" s="1"/>
      <c r="AG2010" s="1"/>
    </row>
    <row r="2011" ht="15.75" customHeight="1">
      <c r="A2011" s="1"/>
      <c r="B2011" s="1"/>
      <c r="C2011" s="1"/>
      <c r="D2011" s="1"/>
      <c r="E2011" s="1"/>
      <c r="F2011" s="1"/>
      <c r="G2011" s="1"/>
      <c r="H2011" s="1"/>
      <c r="I2011" s="1"/>
      <c r="J2011" s="1"/>
      <c r="K2011" s="95" t="s">
        <v>3061</v>
      </c>
      <c r="L2011" s="96" t="str">
        <f>F68</f>
        <v>C1b1a1</v>
      </c>
      <c r="M2011" s="89"/>
      <c r="N2011" s="99" t="s">
        <v>3062</v>
      </c>
      <c r="O2011" s="97">
        <v>2.3037124E7</v>
      </c>
      <c r="P2011" s="98">
        <v>2.0875238E7</v>
      </c>
      <c r="Q2011" s="93" t="s">
        <v>831</v>
      </c>
      <c r="AF2011" s="1"/>
      <c r="AG2011" s="1"/>
    </row>
    <row r="2012" ht="15.75" customHeight="1">
      <c r="A2012" s="1"/>
      <c r="B2012" s="1"/>
      <c r="C2012" s="1"/>
      <c r="D2012" s="1"/>
      <c r="E2012" s="1"/>
      <c r="F2012" s="1"/>
      <c r="G2012" s="1"/>
      <c r="H2012" s="1"/>
      <c r="I2012" s="1"/>
      <c r="J2012" s="1"/>
      <c r="K2012" s="95" t="s">
        <v>3063</v>
      </c>
      <c r="L2012" s="96" t="str">
        <f>F68</f>
        <v>C1b1a1</v>
      </c>
      <c r="M2012" s="89"/>
      <c r="N2012" s="99" t="s">
        <v>3064</v>
      </c>
      <c r="O2012" s="97">
        <v>2.3191644E7</v>
      </c>
      <c r="P2012" s="98">
        <v>2.1029758E7</v>
      </c>
      <c r="Q2012" s="93" t="s">
        <v>802</v>
      </c>
      <c r="AF2012" s="1"/>
      <c r="AG2012" s="1"/>
    </row>
    <row r="2013" ht="15.75" customHeight="1">
      <c r="A2013" s="1"/>
      <c r="B2013" s="1"/>
      <c r="C2013" s="1"/>
      <c r="D2013" s="1"/>
      <c r="E2013" s="1"/>
      <c r="F2013" s="1"/>
      <c r="G2013" s="1"/>
      <c r="H2013" s="1"/>
      <c r="I2013" s="1"/>
      <c r="J2013" s="1"/>
      <c r="K2013" s="95" t="s">
        <v>3065</v>
      </c>
      <c r="L2013" s="96" t="str">
        <f>F68</f>
        <v>C1b1a1</v>
      </c>
      <c r="M2013" s="89"/>
      <c r="N2013" s="99" t="s">
        <v>3066</v>
      </c>
      <c r="O2013" s="97">
        <v>1.9471376E7</v>
      </c>
      <c r="P2013" s="98">
        <v>1.7359496E7</v>
      </c>
      <c r="Q2013" s="93" t="s">
        <v>831</v>
      </c>
      <c r="AF2013" s="1"/>
      <c r="AG2013" s="1"/>
    </row>
    <row r="2014" ht="15.75" customHeight="1">
      <c r="A2014" s="1"/>
      <c r="B2014" s="1"/>
      <c r="C2014" s="1"/>
      <c r="D2014" s="1"/>
      <c r="E2014" s="1"/>
      <c r="F2014" s="1"/>
      <c r="G2014" s="1"/>
      <c r="H2014" s="1"/>
      <c r="I2014" s="1"/>
      <c r="J2014" s="1"/>
      <c r="K2014" s="89" t="s">
        <v>3067</v>
      </c>
      <c r="L2014" s="89" t="str">
        <f>F68</f>
        <v>C1b1a1</v>
      </c>
      <c r="M2014" s="89" t="s">
        <v>3068</v>
      </c>
      <c r="N2014" s="89" t="s">
        <v>3069</v>
      </c>
      <c r="O2014" s="92">
        <v>9463526.0</v>
      </c>
      <c r="P2014" s="92">
        <v>9625917.0</v>
      </c>
      <c r="Q2014" s="89" t="s">
        <v>879</v>
      </c>
      <c r="AF2014" s="1"/>
      <c r="AG2014" s="1"/>
    </row>
    <row r="2015" ht="15.75" customHeight="1">
      <c r="A2015" s="1"/>
      <c r="B2015" s="1"/>
      <c r="C2015" s="1"/>
      <c r="D2015" s="1"/>
      <c r="E2015" s="1"/>
      <c r="F2015" s="1"/>
      <c r="G2015" s="1"/>
      <c r="H2015" s="1"/>
      <c r="I2015" s="1"/>
      <c r="J2015" s="1"/>
      <c r="K2015" s="89" t="s">
        <v>3068</v>
      </c>
      <c r="L2015" s="89" t="str">
        <f>F68</f>
        <v>C1b1a1</v>
      </c>
      <c r="M2015" s="89" t="s">
        <v>3067</v>
      </c>
      <c r="N2015" s="89" t="s">
        <v>3069</v>
      </c>
      <c r="O2015" s="92">
        <v>9463526.0</v>
      </c>
      <c r="P2015" s="92">
        <v>9625917.0</v>
      </c>
      <c r="Q2015" s="89" t="s">
        <v>879</v>
      </c>
      <c r="AF2015" s="1"/>
      <c r="AG2015" s="1"/>
    </row>
    <row r="2016" ht="15.75" customHeight="1">
      <c r="A2016" s="1"/>
      <c r="B2016" s="1"/>
      <c r="C2016" s="1"/>
      <c r="D2016" s="1"/>
      <c r="E2016" s="1"/>
      <c r="F2016" s="1"/>
      <c r="G2016" s="1"/>
      <c r="H2016" s="1"/>
      <c r="I2016" s="1"/>
      <c r="J2016" s="1"/>
      <c r="K2016" s="89" t="s">
        <v>3070</v>
      </c>
      <c r="L2016" s="89" t="str">
        <f>F68</f>
        <v>C1b1a1</v>
      </c>
      <c r="M2016" s="89" t="s">
        <v>3071</v>
      </c>
      <c r="N2016" s="89" t="s">
        <v>3072</v>
      </c>
      <c r="O2016" s="92">
        <v>6742724.0</v>
      </c>
      <c r="P2016" s="92">
        <v>6874683.0</v>
      </c>
      <c r="Q2016" s="89" t="s">
        <v>802</v>
      </c>
      <c r="AF2016" s="1"/>
      <c r="AG2016" s="1"/>
    </row>
    <row r="2017" ht="15.75" customHeight="1">
      <c r="A2017" s="1"/>
      <c r="B2017" s="1"/>
      <c r="C2017" s="1"/>
      <c r="D2017" s="1"/>
      <c r="E2017" s="1"/>
      <c r="F2017" s="1"/>
      <c r="G2017" s="1"/>
      <c r="H2017" s="1"/>
      <c r="I2017" s="1"/>
      <c r="J2017" s="1"/>
      <c r="K2017" s="89" t="s">
        <v>3071</v>
      </c>
      <c r="L2017" s="89" t="str">
        <f>F68</f>
        <v>C1b1a1</v>
      </c>
      <c r="M2017" s="89" t="s">
        <v>3070</v>
      </c>
      <c r="N2017" s="89" t="s">
        <v>3072</v>
      </c>
      <c r="O2017" s="92">
        <v>6742724.0</v>
      </c>
      <c r="P2017" s="92">
        <v>6874683.0</v>
      </c>
      <c r="Q2017" s="89" t="s">
        <v>802</v>
      </c>
      <c r="AF2017" s="1"/>
      <c r="AG2017" s="1"/>
    </row>
    <row r="2018" ht="15.75" customHeight="1">
      <c r="A2018" s="1"/>
      <c r="B2018" s="1"/>
      <c r="C2018" s="1"/>
      <c r="D2018" s="1"/>
      <c r="E2018" s="1"/>
      <c r="F2018" s="1"/>
      <c r="G2018" s="1"/>
      <c r="H2018" s="1"/>
      <c r="I2018" s="1"/>
      <c r="J2018" s="1"/>
      <c r="K2018" s="89" t="s">
        <v>3073</v>
      </c>
      <c r="L2018" s="89" t="str">
        <f>F68</f>
        <v>C1b1a1</v>
      </c>
      <c r="M2018" s="89" t="s">
        <v>3074</v>
      </c>
      <c r="N2018" s="89" t="s">
        <v>3075</v>
      </c>
      <c r="O2018" s="92">
        <v>1.6358765E7</v>
      </c>
      <c r="P2018" s="92">
        <v>1.4246885E7</v>
      </c>
      <c r="Q2018" s="89" t="s">
        <v>838</v>
      </c>
      <c r="AF2018" s="1"/>
      <c r="AG2018" s="1"/>
    </row>
    <row r="2019" ht="15.75" customHeight="1">
      <c r="A2019" s="1"/>
      <c r="B2019" s="1"/>
      <c r="C2019" s="1"/>
      <c r="D2019" s="1"/>
      <c r="E2019" s="1"/>
      <c r="F2019" s="1"/>
      <c r="G2019" s="1"/>
      <c r="H2019" s="1"/>
      <c r="I2019" s="1"/>
      <c r="J2019" s="1"/>
      <c r="K2019" s="89" t="s">
        <v>3074</v>
      </c>
      <c r="L2019" s="89" t="str">
        <f>F68</f>
        <v>C1b1a1</v>
      </c>
      <c r="M2019" s="89" t="s">
        <v>3073</v>
      </c>
      <c r="N2019" s="89" t="s">
        <v>3075</v>
      </c>
      <c r="O2019" s="92">
        <v>1.6358765E7</v>
      </c>
      <c r="P2019" s="92">
        <v>1.4246885E7</v>
      </c>
      <c r="Q2019" s="89" t="s">
        <v>838</v>
      </c>
      <c r="AF2019" s="1"/>
      <c r="AG2019" s="1"/>
    </row>
    <row r="2020" ht="15.75" customHeight="1">
      <c r="A2020" s="1"/>
      <c r="B2020" s="1"/>
      <c r="C2020" s="1"/>
      <c r="D2020" s="1"/>
      <c r="E2020" s="1"/>
      <c r="F2020" s="1"/>
      <c r="G2020" s="1"/>
      <c r="H2020" s="1"/>
      <c r="I2020" s="1"/>
      <c r="J2020" s="1"/>
      <c r="K2020" s="95" t="s">
        <v>3076</v>
      </c>
      <c r="L2020" s="96" t="str">
        <f>F68</f>
        <v>C1b1a1</v>
      </c>
      <c r="M2020" s="89"/>
      <c r="N2020" s="100" t="s">
        <v>3077</v>
      </c>
      <c r="O2020" s="97">
        <v>8179108.0</v>
      </c>
      <c r="P2020" s="98">
        <v>8311067.0</v>
      </c>
      <c r="Q2020" s="93" t="s">
        <v>838</v>
      </c>
      <c r="AF2020" s="1"/>
      <c r="AG2020" s="1"/>
    </row>
    <row r="2021" ht="15.75" customHeight="1">
      <c r="A2021" s="1"/>
      <c r="B2021" s="1"/>
      <c r="C2021" s="1"/>
      <c r="D2021" s="1"/>
      <c r="E2021" s="1"/>
      <c r="F2021" s="1"/>
      <c r="G2021" s="1"/>
      <c r="H2021" s="1"/>
      <c r="I2021" s="1"/>
      <c r="J2021" s="1"/>
      <c r="K2021" s="95" t="s">
        <v>3078</v>
      </c>
      <c r="L2021" s="96" t="str">
        <f>F68</f>
        <v>C1b1a1</v>
      </c>
      <c r="M2021" s="89"/>
      <c r="N2021" s="100" t="s">
        <v>3079</v>
      </c>
      <c r="O2021" s="97">
        <v>8424904.0</v>
      </c>
      <c r="P2021" s="98">
        <v>8556863.0</v>
      </c>
      <c r="Q2021" s="93" t="s">
        <v>810</v>
      </c>
      <c r="AF2021" s="1"/>
      <c r="AG2021" s="1"/>
    </row>
    <row r="2022" ht="15.75" customHeight="1">
      <c r="A2022" s="1"/>
      <c r="B2022" s="1"/>
      <c r="C2022" s="1"/>
      <c r="D2022" s="1"/>
      <c r="E2022" s="1"/>
      <c r="F2022" s="1"/>
      <c r="G2022" s="1"/>
      <c r="H2022" s="1"/>
      <c r="I2022" s="1"/>
      <c r="J2022" s="1"/>
      <c r="K2022" s="95" t="s">
        <v>3080</v>
      </c>
      <c r="L2022" s="96" t="str">
        <f>F68</f>
        <v>C1b1a1</v>
      </c>
      <c r="M2022" s="89"/>
      <c r="N2022" s="99" t="s">
        <v>3081</v>
      </c>
      <c r="O2022" s="97">
        <v>9387451.0</v>
      </c>
      <c r="P2022" s="98">
        <v>9549842.0</v>
      </c>
      <c r="Q2022" s="93" t="s">
        <v>838</v>
      </c>
      <c r="AF2022" s="1"/>
      <c r="AG2022" s="1"/>
    </row>
    <row r="2023" ht="15.75" customHeight="1">
      <c r="A2023" s="1"/>
      <c r="B2023" s="1"/>
      <c r="C2023" s="1"/>
      <c r="D2023" s="1"/>
      <c r="E2023" s="1"/>
      <c r="F2023" s="1"/>
      <c r="G2023" s="1"/>
      <c r="H2023" s="1"/>
      <c r="I2023" s="1"/>
      <c r="J2023" s="1"/>
      <c r="K2023" s="95" t="s">
        <v>3082</v>
      </c>
      <c r="L2023" s="96" t="str">
        <f>F68</f>
        <v>C1b1a1</v>
      </c>
      <c r="M2023" s="89"/>
      <c r="N2023" s="99" t="s">
        <v>3083</v>
      </c>
      <c r="O2023" s="97">
        <v>2.1589883E7</v>
      </c>
      <c r="P2023" s="98">
        <v>1.9427997E7</v>
      </c>
      <c r="Q2023" s="93" t="s">
        <v>822</v>
      </c>
      <c r="AF2023" s="1"/>
      <c r="AG2023" s="1"/>
    </row>
    <row r="2024" ht="15.75" customHeight="1">
      <c r="A2024" s="1"/>
      <c r="B2024" s="1"/>
      <c r="C2024" s="1"/>
      <c r="D2024" s="1"/>
      <c r="E2024" s="1"/>
      <c r="F2024" s="1"/>
      <c r="G2024" s="1"/>
      <c r="H2024" s="1"/>
      <c r="I2024" s="1"/>
      <c r="J2024" s="1"/>
      <c r="K2024" s="95" t="s">
        <v>3084</v>
      </c>
      <c r="L2024" s="96" t="str">
        <f>F68</f>
        <v>C1b1a1</v>
      </c>
      <c r="M2024" s="89"/>
      <c r="N2024" s="100" t="s">
        <v>3085</v>
      </c>
      <c r="O2024" s="97">
        <v>2.3304503E7</v>
      </c>
      <c r="P2024" s="98">
        <v>2.1142617E7</v>
      </c>
      <c r="Q2024" s="93" t="s">
        <v>802</v>
      </c>
      <c r="AF2024" s="1"/>
      <c r="AG2024" s="1"/>
    </row>
    <row r="2025" ht="15.75" customHeight="1">
      <c r="A2025" s="1"/>
      <c r="B2025" s="1"/>
      <c r="C2025" s="1"/>
      <c r="D2025" s="1"/>
      <c r="E2025" s="1"/>
      <c r="F2025" s="1"/>
      <c r="G2025" s="1"/>
      <c r="H2025" s="1"/>
      <c r="I2025" s="1"/>
      <c r="J2025" s="1"/>
      <c r="K2025" s="95" t="s">
        <v>3086</v>
      </c>
      <c r="L2025" s="96" t="str">
        <f>F68</f>
        <v>C1b1a1</v>
      </c>
      <c r="M2025" s="89"/>
      <c r="N2025" s="99" t="s">
        <v>3087</v>
      </c>
      <c r="O2025" s="97">
        <v>2.4519021E7</v>
      </c>
      <c r="P2025" s="98">
        <v>2.2372874E7</v>
      </c>
      <c r="Q2025" s="93" t="s">
        <v>813</v>
      </c>
      <c r="AF2025" s="1"/>
      <c r="AG2025" s="1"/>
    </row>
    <row r="2026" ht="15.75" customHeight="1">
      <c r="A2026" s="1"/>
      <c r="B2026" s="1"/>
      <c r="C2026" s="1"/>
      <c r="D2026" s="1"/>
      <c r="E2026" s="1"/>
      <c r="F2026" s="1"/>
      <c r="G2026" s="1"/>
      <c r="H2026" s="1"/>
      <c r="I2026" s="1"/>
      <c r="J2026" s="1"/>
      <c r="K2026" s="95" t="s">
        <v>3088</v>
      </c>
      <c r="L2026" s="96" t="str">
        <f>F68</f>
        <v>C1b1a1</v>
      </c>
      <c r="M2026" s="89"/>
      <c r="N2026" s="99" t="s">
        <v>3089</v>
      </c>
      <c r="O2026" s="97">
        <v>2.2614776E7</v>
      </c>
      <c r="P2026" s="98">
        <v>2.045289E7</v>
      </c>
      <c r="Q2026" s="93" t="s">
        <v>912</v>
      </c>
      <c r="AF2026" s="1"/>
      <c r="AG2026" s="1"/>
    </row>
    <row r="2027" ht="15.75" customHeight="1">
      <c r="A2027" s="1"/>
      <c r="B2027" s="1"/>
      <c r="C2027" s="1"/>
      <c r="D2027" s="1"/>
      <c r="E2027" s="1"/>
      <c r="F2027" s="1"/>
      <c r="G2027" s="1"/>
      <c r="H2027" s="1"/>
      <c r="I2027" s="1"/>
      <c r="J2027" s="94"/>
      <c r="K2027" s="95" t="s">
        <v>3090</v>
      </c>
      <c r="L2027" s="96" t="str">
        <f>F68</f>
        <v>C1b1a1</v>
      </c>
      <c r="M2027" s="89"/>
      <c r="N2027" s="99" t="s">
        <v>3091</v>
      </c>
      <c r="O2027" s="97">
        <v>2.1461204E7</v>
      </c>
      <c r="P2027" s="98">
        <v>1.9299318E7</v>
      </c>
      <c r="Q2027" s="93" t="s">
        <v>802</v>
      </c>
      <c r="AF2027" s="1"/>
      <c r="AG2027" s="1"/>
    </row>
    <row r="2028" ht="15.75" customHeight="1">
      <c r="A2028" s="1"/>
      <c r="B2028" s="1"/>
      <c r="C2028" s="1"/>
      <c r="D2028" s="1"/>
      <c r="E2028" s="1"/>
      <c r="F2028" s="1"/>
      <c r="G2028" s="1"/>
      <c r="H2028" s="1"/>
      <c r="I2028" s="1"/>
      <c r="J2028" s="94" t="s">
        <v>23</v>
      </c>
      <c r="K2028" s="95" t="s">
        <v>3092</v>
      </c>
      <c r="L2028" s="96" t="str">
        <f>F68</f>
        <v>C1b1a1</v>
      </c>
      <c r="M2028" s="89"/>
      <c r="N2028" s="99" t="s">
        <v>3093</v>
      </c>
      <c r="O2028" s="101">
        <v>2.4518636E7</v>
      </c>
      <c r="P2028" s="98">
        <v>2.2372489E7</v>
      </c>
      <c r="Q2028" s="93" t="s">
        <v>802</v>
      </c>
      <c r="AF2028" s="1"/>
      <c r="AG2028" s="1"/>
    </row>
    <row r="2029" ht="15.75" customHeight="1">
      <c r="A2029" s="1"/>
      <c r="B2029" s="1"/>
      <c r="C2029" s="1"/>
      <c r="D2029" s="1"/>
      <c r="E2029" s="1"/>
      <c r="F2029" s="1"/>
      <c r="G2029" s="1"/>
      <c r="H2029" s="1"/>
      <c r="I2029" s="1"/>
      <c r="J2029" s="1"/>
      <c r="K2029" s="89" t="s">
        <v>3094</v>
      </c>
      <c r="L2029" s="89" t="str">
        <f>F68</f>
        <v>C1b1a1</v>
      </c>
      <c r="M2029" s="89"/>
      <c r="N2029" s="89" t="s">
        <v>3095</v>
      </c>
      <c r="O2029" s="92">
        <v>6996300.0</v>
      </c>
      <c r="P2029" s="92">
        <v>7128259.0</v>
      </c>
      <c r="Q2029" s="89" t="s">
        <v>802</v>
      </c>
      <c r="AF2029" s="1"/>
      <c r="AG2029" s="1"/>
    </row>
    <row r="2030" ht="15.75" customHeight="1">
      <c r="A2030" s="1"/>
      <c r="B2030" s="1"/>
      <c r="C2030" s="1"/>
      <c r="D2030" s="1"/>
      <c r="E2030" s="1"/>
      <c r="F2030" s="1"/>
      <c r="G2030" s="1"/>
      <c r="H2030" s="1"/>
      <c r="I2030" s="1"/>
      <c r="J2030" s="1"/>
      <c r="K2030" s="89" t="s">
        <v>3096</v>
      </c>
      <c r="L2030" s="89" t="str">
        <f>F68</f>
        <v>C1b1a1</v>
      </c>
      <c r="M2030" s="89"/>
      <c r="N2030" s="89" t="s">
        <v>3097</v>
      </c>
      <c r="O2030" s="92">
        <v>7213945.0</v>
      </c>
      <c r="P2030" s="92">
        <v>7345904.0</v>
      </c>
      <c r="Q2030" s="89" t="s">
        <v>838</v>
      </c>
      <c r="AF2030" s="1"/>
      <c r="AG2030" s="1"/>
    </row>
    <row r="2031" ht="15.75" customHeight="1">
      <c r="A2031" s="1"/>
      <c r="B2031" s="1"/>
      <c r="C2031" s="1"/>
      <c r="D2031" s="1"/>
      <c r="E2031" s="1"/>
      <c r="F2031" s="1"/>
      <c r="G2031" s="1"/>
      <c r="H2031" s="1"/>
      <c r="I2031" s="1"/>
      <c r="J2031" s="1"/>
      <c r="K2031" s="89" t="s">
        <v>3098</v>
      </c>
      <c r="L2031" s="89" t="str">
        <f>F68</f>
        <v>C1b1a1</v>
      </c>
      <c r="M2031" s="89"/>
      <c r="N2031" s="89" t="s">
        <v>3099</v>
      </c>
      <c r="O2031" s="92">
        <v>7540763.0</v>
      </c>
      <c r="P2031" s="92">
        <v>7672722.0</v>
      </c>
      <c r="Q2031" s="89" t="s">
        <v>886</v>
      </c>
      <c r="AF2031" s="1"/>
      <c r="AG2031" s="1"/>
    </row>
    <row r="2032" ht="15.75" customHeight="1">
      <c r="A2032" s="1"/>
      <c r="B2032" s="1"/>
      <c r="C2032" s="1"/>
      <c r="D2032" s="1"/>
      <c r="E2032" s="1"/>
      <c r="F2032" s="1"/>
      <c r="G2032" s="1"/>
      <c r="H2032" s="1"/>
      <c r="I2032" s="1"/>
      <c r="J2032" s="1"/>
      <c r="K2032" s="89" t="s">
        <v>3100</v>
      </c>
      <c r="L2032" s="89" t="str">
        <f>F68</f>
        <v>C1b1a1</v>
      </c>
      <c r="M2032" s="89"/>
      <c r="N2032" s="89" t="s">
        <v>3101</v>
      </c>
      <c r="O2032" s="92">
        <v>8316433.0</v>
      </c>
      <c r="P2032" s="92">
        <v>8448392.0</v>
      </c>
      <c r="Q2032" s="89" t="s">
        <v>864</v>
      </c>
      <c r="AF2032" s="1"/>
      <c r="AG2032" s="1"/>
    </row>
    <row r="2033" ht="15.75" customHeight="1">
      <c r="A2033" s="1"/>
      <c r="B2033" s="1"/>
      <c r="C2033" s="1"/>
      <c r="D2033" s="1"/>
      <c r="E2033" s="1"/>
      <c r="F2033" s="1"/>
      <c r="G2033" s="1"/>
      <c r="H2033" s="1"/>
      <c r="I2033" s="1"/>
      <c r="J2033" s="1"/>
      <c r="K2033" s="89" t="s">
        <v>3102</v>
      </c>
      <c r="L2033" s="89" t="str">
        <f>F68</f>
        <v>C1b1a1</v>
      </c>
      <c r="M2033" s="89"/>
      <c r="N2033" s="89" t="s">
        <v>3103</v>
      </c>
      <c r="O2033" s="92">
        <v>8794776.0</v>
      </c>
      <c r="P2033" s="92">
        <v>8926735.0</v>
      </c>
      <c r="Q2033" s="89" t="s">
        <v>810</v>
      </c>
      <c r="AF2033" s="1"/>
      <c r="AG2033" s="1"/>
    </row>
    <row r="2034" ht="15.75" customHeight="1">
      <c r="A2034" s="1"/>
      <c r="B2034" s="1"/>
      <c r="C2034" s="1"/>
      <c r="D2034" s="1"/>
      <c r="E2034" s="1"/>
      <c r="F2034" s="1"/>
      <c r="G2034" s="1"/>
      <c r="H2034" s="1"/>
      <c r="I2034" s="1"/>
      <c r="J2034" s="1"/>
      <c r="K2034" s="89" t="s">
        <v>3104</v>
      </c>
      <c r="L2034" s="89" t="str">
        <f>F68</f>
        <v>C1b1a1</v>
      </c>
      <c r="M2034" s="89"/>
      <c r="N2034" s="89" t="s">
        <v>3105</v>
      </c>
      <c r="O2034" s="92">
        <v>9064006.0</v>
      </c>
      <c r="P2034" s="92">
        <v>9226397.0</v>
      </c>
      <c r="Q2034" s="89" t="s">
        <v>838</v>
      </c>
      <c r="AF2034" s="1"/>
      <c r="AG2034" s="1"/>
    </row>
    <row r="2035" ht="15.75" customHeight="1">
      <c r="A2035" s="1"/>
      <c r="B2035" s="1"/>
      <c r="C2035" s="1"/>
      <c r="D2035" s="1"/>
      <c r="E2035" s="1"/>
      <c r="F2035" s="1"/>
      <c r="G2035" s="1"/>
      <c r="H2035" s="1"/>
      <c r="I2035" s="1"/>
      <c r="J2035" s="1"/>
      <c r="K2035" s="89" t="s">
        <v>3068</v>
      </c>
      <c r="L2035" s="89" t="str">
        <f>F68</f>
        <v>C1b1a1</v>
      </c>
      <c r="M2035" s="89"/>
      <c r="N2035" s="89" t="s">
        <v>3069</v>
      </c>
      <c r="O2035" s="92">
        <v>9463526.0</v>
      </c>
      <c r="P2035" s="92">
        <v>9625917.0</v>
      </c>
      <c r="Q2035" s="89" t="s">
        <v>879</v>
      </c>
      <c r="AF2035" s="1"/>
      <c r="AG2035" s="1"/>
    </row>
    <row r="2036" ht="15.75" customHeight="1">
      <c r="A2036" s="1"/>
      <c r="B2036" s="1"/>
      <c r="C2036" s="1"/>
      <c r="D2036" s="1"/>
      <c r="E2036" s="1"/>
      <c r="F2036" s="1"/>
      <c r="G2036" s="1"/>
      <c r="H2036" s="1"/>
      <c r="I2036" s="1"/>
      <c r="J2036" s="1"/>
      <c r="K2036" s="89" t="s">
        <v>3106</v>
      </c>
      <c r="L2036" s="89" t="str">
        <f>F68</f>
        <v>C1b1a1</v>
      </c>
      <c r="M2036" s="89"/>
      <c r="N2036" s="89" t="s">
        <v>3107</v>
      </c>
      <c r="O2036" s="92">
        <v>1.4464822E7</v>
      </c>
      <c r="P2036" s="92">
        <v>1.2344095E7</v>
      </c>
      <c r="Q2036" s="89" t="s">
        <v>802</v>
      </c>
      <c r="AF2036" s="1"/>
      <c r="AG2036" s="1"/>
    </row>
    <row r="2037" ht="15.75" customHeight="1">
      <c r="A2037" s="1"/>
      <c r="B2037" s="1"/>
      <c r="C2037" s="1"/>
      <c r="D2037" s="1"/>
      <c r="E2037" s="1"/>
      <c r="F2037" s="1"/>
      <c r="G2037" s="1"/>
      <c r="H2037" s="1"/>
      <c r="I2037" s="1"/>
      <c r="J2037" s="1"/>
      <c r="K2037" s="89" t="s">
        <v>3108</v>
      </c>
      <c r="L2037" s="89" t="str">
        <f>F68</f>
        <v>C1b1a1</v>
      </c>
      <c r="M2037" s="89"/>
      <c r="N2037" s="89" t="s">
        <v>3109</v>
      </c>
      <c r="O2037" s="92">
        <v>1.4709172E7</v>
      </c>
      <c r="P2037" s="92">
        <v>1.2597238E7</v>
      </c>
      <c r="Q2037" s="89" t="s">
        <v>917</v>
      </c>
      <c r="AF2037" s="1"/>
      <c r="AG2037" s="1"/>
    </row>
    <row r="2038" ht="15.75" customHeight="1">
      <c r="A2038" s="1"/>
      <c r="B2038" s="1"/>
      <c r="C2038" s="1"/>
      <c r="D2038" s="1"/>
      <c r="E2038" s="1"/>
      <c r="F2038" s="1"/>
      <c r="G2038" s="1"/>
      <c r="H2038" s="1"/>
      <c r="I2038" s="1"/>
      <c r="J2038" s="1"/>
      <c r="K2038" s="89" t="s">
        <v>3110</v>
      </c>
      <c r="L2038" s="89" t="str">
        <f>F68</f>
        <v>C1b1a1</v>
      </c>
      <c r="M2038" s="89"/>
      <c r="N2038" s="89" t="s">
        <v>3111</v>
      </c>
      <c r="O2038" s="92">
        <v>1.4912387E7</v>
      </c>
      <c r="P2038" s="92">
        <v>1.2800454E7</v>
      </c>
      <c r="Q2038" s="89" t="s">
        <v>838</v>
      </c>
      <c r="AF2038" s="1"/>
      <c r="AG2038" s="1"/>
    </row>
    <row r="2039" ht="15.75" customHeight="1">
      <c r="A2039" s="1"/>
      <c r="B2039" s="1"/>
      <c r="C2039" s="1"/>
      <c r="D2039" s="1"/>
      <c r="E2039" s="1"/>
      <c r="F2039" s="1"/>
      <c r="G2039" s="1"/>
      <c r="H2039" s="1"/>
      <c r="I2039" s="1"/>
      <c r="J2039" s="1"/>
      <c r="K2039" s="89" t="s">
        <v>3112</v>
      </c>
      <c r="L2039" s="89" t="str">
        <f>F68</f>
        <v>C1b1a1</v>
      </c>
      <c r="M2039" s="89"/>
      <c r="N2039" s="89" t="s">
        <v>3113</v>
      </c>
      <c r="O2039" s="92">
        <v>1.5331028E7</v>
      </c>
      <c r="P2039" s="92">
        <v>1.3219146E7</v>
      </c>
      <c r="Q2039" s="89" t="s">
        <v>810</v>
      </c>
      <c r="AF2039" s="1"/>
      <c r="AG2039" s="1"/>
    </row>
    <row r="2040" ht="15.75" customHeight="1">
      <c r="A2040" s="1"/>
      <c r="B2040" s="1"/>
      <c r="C2040" s="1"/>
      <c r="D2040" s="1"/>
      <c r="E2040" s="1"/>
      <c r="F2040" s="1"/>
      <c r="G2040" s="1"/>
      <c r="H2040" s="1"/>
      <c r="I2040" s="1"/>
      <c r="J2040" s="1"/>
      <c r="K2040" s="89" t="s">
        <v>3114</v>
      </c>
      <c r="L2040" s="89" t="str">
        <f>F68</f>
        <v>C1b1a1</v>
      </c>
      <c r="M2040" s="89"/>
      <c r="N2040" s="89" t="s">
        <v>3115</v>
      </c>
      <c r="O2040" s="92">
        <v>1.5661941E7</v>
      </c>
      <c r="P2040" s="92">
        <v>1.3550061E7</v>
      </c>
      <c r="Q2040" s="89" t="s">
        <v>838</v>
      </c>
      <c r="AF2040" s="1"/>
      <c r="AG2040" s="1"/>
    </row>
    <row r="2041" ht="15.75" customHeight="1">
      <c r="A2041" s="1"/>
      <c r="B2041" s="1"/>
      <c r="C2041" s="1"/>
      <c r="D2041" s="1"/>
      <c r="E2041" s="1"/>
      <c r="F2041" s="1"/>
      <c r="G2041" s="1"/>
      <c r="H2041" s="1"/>
      <c r="I2041" s="1"/>
      <c r="J2041" s="1"/>
      <c r="K2041" s="89" t="s">
        <v>3116</v>
      </c>
      <c r="L2041" s="89" t="str">
        <f>F68</f>
        <v>C1b1a1</v>
      </c>
      <c r="M2041" s="89"/>
      <c r="N2041" s="89" t="s">
        <v>3117</v>
      </c>
      <c r="O2041" s="92">
        <v>1.5896687E7</v>
      </c>
      <c r="P2041" s="92">
        <v>1.3784807E7</v>
      </c>
      <c r="Q2041" s="89" t="s">
        <v>822</v>
      </c>
      <c r="AF2041" s="1"/>
      <c r="AG2041" s="1"/>
    </row>
    <row r="2042" ht="15.75" customHeight="1">
      <c r="A2042" s="1"/>
      <c r="B2042" s="1"/>
      <c r="C2042" s="1"/>
      <c r="D2042" s="1"/>
      <c r="E2042" s="1"/>
      <c r="F2042" s="1"/>
      <c r="G2042" s="1"/>
      <c r="H2042" s="1"/>
      <c r="I2042" s="1"/>
      <c r="J2042" s="1"/>
      <c r="K2042" s="89" t="s">
        <v>3118</v>
      </c>
      <c r="L2042" s="89" t="str">
        <f>F68</f>
        <v>C1b1a1</v>
      </c>
      <c r="M2042" s="89"/>
      <c r="N2042" s="89" t="s">
        <v>3119</v>
      </c>
      <c r="O2042" s="92">
        <v>1.6530407E7</v>
      </c>
      <c r="P2042" s="92">
        <v>1.4418527E7</v>
      </c>
      <c r="Q2042" s="89" t="s">
        <v>838</v>
      </c>
      <c r="AF2042" s="1"/>
      <c r="AG2042" s="1"/>
    </row>
    <row r="2043" ht="15.75" customHeight="1">
      <c r="A2043" s="1"/>
      <c r="B2043" s="1"/>
      <c r="C2043" s="1"/>
      <c r="D2043" s="1"/>
      <c r="E2043" s="1"/>
      <c r="F2043" s="1"/>
      <c r="G2043" s="1"/>
      <c r="H2043" s="1"/>
      <c r="I2043" s="1"/>
      <c r="J2043" s="1"/>
      <c r="K2043" s="89" t="s">
        <v>3120</v>
      </c>
      <c r="L2043" s="89" t="str">
        <f>F68</f>
        <v>C1b1a1</v>
      </c>
      <c r="M2043" s="89"/>
      <c r="N2043" s="89" t="s">
        <v>3121</v>
      </c>
      <c r="O2043" s="92">
        <v>1.7361161E7</v>
      </c>
      <c r="P2043" s="92">
        <v>1.5249281E7</v>
      </c>
      <c r="Q2043" s="89" t="s">
        <v>810</v>
      </c>
      <c r="AF2043" s="1"/>
      <c r="AG2043" s="1"/>
    </row>
    <row r="2044" ht="15.75" customHeight="1">
      <c r="A2044" s="1"/>
      <c r="B2044" s="1"/>
      <c r="C2044" s="1"/>
      <c r="D2044" s="1"/>
      <c r="E2044" s="1"/>
      <c r="F2044" s="1"/>
      <c r="G2044" s="1"/>
      <c r="H2044" s="1"/>
      <c r="I2044" s="1"/>
      <c r="J2044" s="1"/>
      <c r="K2044" s="89" t="s">
        <v>3122</v>
      </c>
      <c r="L2044" s="89" t="str">
        <f>F68</f>
        <v>C1b1a1</v>
      </c>
      <c r="M2044" s="89"/>
      <c r="N2044" s="89" t="s">
        <v>3123</v>
      </c>
      <c r="O2044" s="92">
        <v>1.7595393E7</v>
      </c>
      <c r="P2044" s="92">
        <v>1.5483513E7</v>
      </c>
      <c r="Q2044" s="89" t="s">
        <v>813</v>
      </c>
      <c r="AF2044" s="1"/>
      <c r="AG2044" s="1"/>
    </row>
    <row r="2045" ht="15.75" customHeight="1">
      <c r="A2045" s="1"/>
      <c r="B2045" s="1"/>
      <c r="C2045" s="1"/>
      <c r="D2045" s="1"/>
      <c r="E2045" s="1"/>
      <c r="F2045" s="1"/>
      <c r="G2045" s="1"/>
      <c r="H2045" s="1"/>
      <c r="I2045" s="1"/>
      <c r="J2045" s="1"/>
      <c r="K2045" s="89" t="s">
        <v>3124</v>
      </c>
      <c r="L2045" s="89" t="str">
        <f>F68</f>
        <v>C1b1a1</v>
      </c>
      <c r="M2045" s="89"/>
      <c r="N2045" s="89" t="s">
        <v>3125</v>
      </c>
      <c r="O2045" s="92">
        <v>1.809608E7</v>
      </c>
      <c r="P2045" s="92">
        <v>1.59842E7</v>
      </c>
      <c r="Q2045" s="89" t="s">
        <v>810</v>
      </c>
      <c r="AF2045" s="1"/>
      <c r="AG2045" s="1"/>
    </row>
    <row r="2046" ht="15.75" customHeight="1">
      <c r="A2046" s="1"/>
      <c r="B2046" s="1"/>
      <c r="C2046" s="1"/>
      <c r="D2046" s="1"/>
      <c r="E2046" s="1"/>
      <c r="F2046" s="1"/>
      <c r="G2046" s="1"/>
      <c r="H2046" s="1"/>
      <c r="I2046" s="1"/>
      <c r="J2046" s="1"/>
      <c r="K2046" s="89" t="s">
        <v>3126</v>
      </c>
      <c r="L2046" s="89" t="str">
        <f>F68</f>
        <v>C1b1a1</v>
      </c>
      <c r="M2046" s="89"/>
      <c r="N2046" s="89" t="s">
        <v>3127</v>
      </c>
      <c r="O2046" s="92">
        <v>1.8584964E7</v>
      </c>
      <c r="P2046" s="92">
        <v>1.6473084E7</v>
      </c>
      <c r="Q2046" s="89" t="s">
        <v>879</v>
      </c>
      <c r="AF2046" s="1"/>
      <c r="AG2046" s="1"/>
    </row>
    <row r="2047" ht="15.75" customHeight="1">
      <c r="A2047" s="1"/>
      <c r="B2047" s="1"/>
      <c r="C2047" s="1"/>
      <c r="D2047" s="1"/>
      <c r="E2047" s="1"/>
      <c r="F2047" s="1"/>
      <c r="G2047" s="1"/>
      <c r="H2047" s="1"/>
      <c r="I2047" s="1"/>
      <c r="J2047" s="1"/>
      <c r="K2047" s="89" t="s">
        <v>3128</v>
      </c>
      <c r="L2047" s="89" t="str">
        <f>F68</f>
        <v>C1b1a1</v>
      </c>
      <c r="M2047" s="89"/>
      <c r="N2047" s="89" t="s">
        <v>3129</v>
      </c>
      <c r="O2047" s="92">
        <v>1.8993799E7</v>
      </c>
      <c r="P2047" s="92">
        <v>1.6881919E7</v>
      </c>
      <c r="Q2047" s="89" t="s">
        <v>810</v>
      </c>
      <c r="AF2047" s="1"/>
      <c r="AG2047" s="1"/>
    </row>
    <row r="2048" ht="15.75" customHeight="1">
      <c r="A2048" s="1"/>
      <c r="B2048" s="1"/>
      <c r="C2048" s="1"/>
      <c r="D2048" s="1"/>
      <c r="E2048" s="1"/>
      <c r="F2048" s="1"/>
      <c r="G2048" s="1"/>
      <c r="H2048" s="1"/>
      <c r="I2048" s="1"/>
      <c r="J2048" s="1"/>
      <c r="K2048" s="89" t="s">
        <v>3130</v>
      </c>
      <c r="L2048" s="89" t="str">
        <f>F68</f>
        <v>C1b1a1</v>
      </c>
      <c r="M2048" s="89"/>
      <c r="N2048" s="89" t="s">
        <v>3131</v>
      </c>
      <c r="O2048" s="92">
        <v>1.9564052E7</v>
      </c>
      <c r="P2048" s="92">
        <v>1.7452172E7</v>
      </c>
      <c r="Q2048" s="89" t="s">
        <v>879</v>
      </c>
      <c r="AF2048" s="1"/>
      <c r="AG2048" s="1"/>
    </row>
    <row r="2049" ht="15.75" customHeight="1">
      <c r="A2049" s="1"/>
      <c r="B2049" s="1"/>
      <c r="C2049" s="1"/>
      <c r="D2049" s="1"/>
      <c r="E2049" s="1"/>
      <c r="F2049" s="1"/>
      <c r="G2049" s="1"/>
      <c r="H2049" s="1"/>
      <c r="I2049" s="1"/>
      <c r="J2049" s="1"/>
      <c r="K2049" s="89" t="s">
        <v>3132</v>
      </c>
      <c r="L2049" s="89" t="str">
        <f>F68</f>
        <v>C1b1a1</v>
      </c>
      <c r="M2049" s="89"/>
      <c r="N2049" s="89" t="s">
        <v>3133</v>
      </c>
      <c r="O2049" s="92">
        <v>2.1204651E7</v>
      </c>
      <c r="P2049" s="92">
        <v>1.9042765E7</v>
      </c>
      <c r="Q2049" s="89" t="s">
        <v>802</v>
      </c>
      <c r="AF2049" s="1"/>
      <c r="AG2049" s="1"/>
    </row>
    <row r="2050" ht="15.75" customHeight="1">
      <c r="A2050" s="1"/>
      <c r="B2050" s="1"/>
      <c r="C2050" s="1"/>
      <c r="D2050" s="1"/>
      <c r="E2050" s="1"/>
      <c r="F2050" s="1"/>
      <c r="G2050" s="1"/>
      <c r="H2050" s="1"/>
      <c r="I2050" s="1"/>
      <c r="J2050" s="1"/>
      <c r="K2050" s="89" t="s">
        <v>3134</v>
      </c>
      <c r="L2050" s="89" t="str">
        <f>F68</f>
        <v>C1b1a1</v>
      </c>
      <c r="M2050" s="89"/>
      <c r="N2050" s="89" t="s">
        <v>3135</v>
      </c>
      <c r="O2050" s="92">
        <v>2.1541888E7</v>
      </c>
      <c r="P2050" s="92">
        <v>1.9380002E7</v>
      </c>
      <c r="Q2050" s="89" t="s">
        <v>813</v>
      </c>
      <c r="AF2050" s="1"/>
      <c r="AG2050" s="1"/>
    </row>
    <row r="2051" ht="15.75" customHeight="1">
      <c r="A2051" s="1"/>
      <c r="B2051" s="1"/>
      <c r="C2051" s="1"/>
      <c r="D2051" s="1"/>
      <c r="E2051" s="1"/>
      <c r="F2051" s="1"/>
      <c r="G2051" s="1"/>
      <c r="H2051" s="1"/>
      <c r="I2051" s="1"/>
      <c r="J2051" s="1"/>
      <c r="K2051" s="89" t="s">
        <v>3136</v>
      </c>
      <c r="L2051" s="89" t="str">
        <f>F68</f>
        <v>C1b1a1</v>
      </c>
      <c r="M2051" s="89"/>
      <c r="N2051" s="89"/>
      <c r="O2051" s="92">
        <v>2.1726128E7</v>
      </c>
      <c r="P2051" s="92">
        <v>1.9564242E7</v>
      </c>
      <c r="Q2051" s="89" t="s">
        <v>810</v>
      </c>
      <c r="AF2051" s="1"/>
      <c r="AG2051" s="1"/>
    </row>
    <row r="2052" ht="15.75" customHeight="1">
      <c r="A2052" s="1"/>
      <c r="B2052" s="1"/>
      <c r="C2052" s="1"/>
      <c r="D2052" s="1"/>
      <c r="E2052" s="1"/>
      <c r="F2052" s="1"/>
      <c r="G2052" s="1"/>
      <c r="H2052" s="1"/>
      <c r="I2052" s="1"/>
      <c r="J2052" s="1"/>
      <c r="K2052" s="89" t="s">
        <v>3137</v>
      </c>
      <c r="L2052" s="89" t="str">
        <f>F68</f>
        <v>C1b1a1</v>
      </c>
      <c r="M2052" s="89"/>
      <c r="N2052" s="89" t="s">
        <v>3138</v>
      </c>
      <c r="O2052" s="92">
        <v>2.2753904E7</v>
      </c>
      <c r="P2052" s="92">
        <v>2.0592018E7</v>
      </c>
      <c r="Q2052" s="89" t="s">
        <v>822</v>
      </c>
      <c r="AF2052" s="1"/>
      <c r="AG2052" s="1"/>
    </row>
    <row r="2053" ht="15.75" customHeight="1">
      <c r="A2053" s="1"/>
      <c r="B2053" s="1"/>
      <c r="C2053" s="1"/>
      <c r="D2053" s="1"/>
      <c r="E2053" s="1"/>
      <c r="F2053" s="1"/>
      <c r="G2053" s="1"/>
      <c r="H2053" s="1"/>
      <c r="I2053" s="1"/>
      <c r="J2053" s="1"/>
      <c r="K2053" s="89" t="s">
        <v>3139</v>
      </c>
      <c r="L2053" s="89" t="str">
        <f>F68</f>
        <v>C1b1a1</v>
      </c>
      <c r="M2053" s="89"/>
      <c r="N2053" s="89" t="s">
        <v>3140</v>
      </c>
      <c r="O2053" s="92">
        <v>2.3547679E7</v>
      </c>
      <c r="P2053" s="92">
        <v>2.1385793E7</v>
      </c>
      <c r="Q2053" s="89" t="s">
        <v>810</v>
      </c>
      <c r="AF2053" s="1"/>
      <c r="AG2053" s="1"/>
    </row>
    <row r="2054" ht="15.75" customHeight="1">
      <c r="A2054" s="1"/>
      <c r="B2054" s="1"/>
      <c r="C2054" s="1"/>
      <c r="D2054" s="1"/>
      <c r="E2054" s="1"/>
      <c r="F2054" s="1"/>
      <c r="G2054" s="1"/>
      <c r="H2054" s="1"/>
      <c r="I2054" s="1"/>
      <c r="J2054" s="1"/>
      <c r="K2054" s="89" t="s">
        <v>3141</v>
      </c>
      <c r="L2054" s="89" t="str">
        <f>F68</f>
        <v>C1b1a1</v>
      </c>
      <c r="M2054" s="89"/>
      <c r="N2054" s="89" t="s">
        <v>3142</v>
      </c>
      <c r="O2054" s="92">
        <v>8792394.0</v>
      </c>
      <c r="P2054" s="92">
        <v>8924353.0</v>
      </c>
      <c r="Q2054" s="89" t="s">
        <v>912</v>
      </c>
      <c r="AF2054" s="1"/>
      <c r="AG2054" s="1"/>
    </row>
    <row r="2055" ht="15.75" customHeight="1">
      <c r="A2055" s="1"/>
      <c r="B2055" s="1"/>
      <c r="C2055" s="1"/>
      <c r="D2055" s="1"/>
      <c r="E2055" s="1"/>
      <c r="F2055" s="1"/>
      <c r="G2055" s="1"/>
      <c r="H2055" s="1"/>
      <c r="I2055" s="1"/>
      <c r="J2055" s="1"/>
      <c r="K2055" s="89" t="s">
        <v>3143</v>
      </c>
      <c r="L2055" s="89" t="str">
        <f t="shared" ref="L2055:L2056" si="11">F68</f>
        <v>C1b1a1</v>
      </c>
      <c r="M2055" s="89"/>
      <c r="N2055" s="89" t="s">
        <v>3144</v>
      </c>
      <c r="O2055" s="92">
        <v>9457677.0</v>
      </c>
      <c r="P2055" s="92">
        <v>9620068.0</v>
      </c>
      <c r="Q2055" s="89" t="s">
        <v>917</v>
      </c>
      <c r="AF2055" s="1"/>
      <c r="AG2055" s="1"/>
    </row>
    <row r="2056" ht="15.75" customHeight="1">
      <c r="A2056" s="1"/>
      <c r="B2056" s="1"/>
      <c r="C2056" s="1"/>
      <c r="D2056" s="1"/>
      <c r="E2056" s="1"/>
      <c r="F2056" s="1"/>
      <c r="G2056" s="1"/>
      <c r="H2056" s="1"/>
      <c r="I2056" s="1"/>
      <c r="J2056" s="1"/>
      <c r="K2056" s="89" t="s">
        <v>99</v>
      </c>
      <c r="L2056" s="89" t="str">
        <f t="shared" si="11"/>
        <v>C1b1a1~</v>
      </c>
      <c r="M2056" s="89"/>
      <c r="N2056" s="89" t="s">
        <v>3145</v>
      </c>
      <c r="O2056" s="92">
        <v>2763056.0</v>
      </c>
      <c r="P2056" s="92">
        <v>2895015.0</v>
      </c>
      <c r="Q2056" s="89" t="s">
        <v>838</v>
      </c>
      <c r="AF2056" s="1"/>
      <c r="AG2056" s="1"/>
    </row>
    <row r="2057" ht="15.75" customHeight="1">
      <c r="A2057" s="1"/>
      <c r="B2057" s="1"/>
      <c r="C2057" s="1"/>
      <c r="D2057" s="1"/>
      <c r="E2057" s="1"/>
      <c r="F2057" s="1"/>
      <c r="G2057" s="1"/>
      <c r="H2057" s="1"/>
      <c r="I2057" s="1"/>
      <c r="J2057" s="1"/>
      <c r="K2057" s="89" t="s">
        <v>3146</v>
      </c>
      <c r="L2057" s="89" t="str">
        <f>G70</f>
        <v>C1b1a1a</v>
      </c>
      <c r="M2057" s="89"/>
      <c r="N2057" s="89" t="s">
        <v>3147</v>
      </c>
      <c r="O2057" s="92">
        <v>1.4850853E7</v>
      </c>
      <c r="P2057" s="92">
        <v>1.2738919E7</v>
      </c>
      <c r="Q2057" s="89" t="s">
        <v>802</v>
      </c>
      <c r="AF2057" s="1"/>
      <c r="AG2057" s="1"/>
    </row>
    <row r="2058" ht="15.75" customHeight="1">
      <c r="A2058" s="1"/>
      <c r="B2058" s="1"/>
      <c r="C2058" s="1"/>
      <c r="D2058" s="1"/>
      <c r="E2058" s="1"/>
      <c r="F2058" s="1"/>
      <c r="G2058" s="1"/>
      <c r="H2058" s="1"/>
      <c r="I2058" s="1"/>
      <c r="J2058" s="1"/>
      <c r="K2058" s="89" t="s">
        <v>3148</v>
      </c>
      <c r="L2058" s="89" t="str">
        <f>G70</f>
        <v>C1b1a1a</v>
      </c>
      <c r="M2058" s="89"/>
      <c r="N2058" s="89" t="s">
        <v>3149</v>
      </c>
      <c r="O2058" s="92">
        <v>7202706.0</v>
      </c>
      <c r="P2058" s="92">
        <v>7334665.0</v>
      </c>
      <c r="Q2058" s="89" t="s">
        <v>879</v>
      </c>
      <c r="AF2058" s="1"/>
      <c r="AG2058" s="1"/>
    </row>
    <row r="2059" ht="15.75" customHeight="1">
      <c r="A2059" s="1"/>
      <c r="B2059" s="1"/>
      <c r="C2059" s="1"/>
      <c r="D2059" s="1"/>
      <c r="E2059" s="1"/>
      <c r="F2059" s="1"/>
      <c r="G2059" s="1"/>
      <c r="H2059" s="1"/>
      <c r="I2059" s="1"/>
      <c r="J2059" s="1"/>
      <c r="K2059" s="89" t="s">
        <v>3150</v>
      </c>
      <c r="L2059" s="89" t="str">
        <f>G70</f>
        <v>C1b1a1a</v>
      </c>
      <c r="M2059" s="89"/>
      <c r="N2059" s="89" t="s">
        <v>3151</v>
      </c>
      <c r="O2059" s="92">
        <v>2889366.0</v>
      </c>
      <c r="P2059" s="92">
        <v>3021325.0</v>
      </c>
      <c r="Q2059" s="89" t="s">
        <v>810</v>
      </c>
      <c r="AF2059" s="1"/>
      <c r="AG2059" s="1"/>
    </row>
    <row r="2060" ht="15.75" customHeight="1">
      <c r="A2060" s="1"/>
      <c r="B2060" s="1"/>
      <c r="C2060" s="1"/>
      <c r="D2060" s="1"/>
      <c r="E2060" s="1"/>
      <c r="F2060" s="1"/>
      <c r="G2060" s="1"/>
      <c r="H2060" s="1"/>
      <c r="I2060" s="1"/>
      <c r="J2060" s="1"/>
      <c r="K2060" s="89" t="s">
        <v>3152</v>
      </c>
      <c r="L2060" s="89" t="str">
        <f>G70</f>
        <v>C1b1a1a</v>
      </c>
      <c r="M2060" s="89"/>
      <c r="N2060" s="89" t="s">
        <v>3153</v>
      </c>
      <c r="O2060" s="92">
        <v>6905780.0</v>
      </c>
      <c r="P2060" s="92">
        <v>7037739.0</v>
      </c>
      <c r="Q2060" s="89" t="s">
        <v>810</v>
      </c>
      <c r="AF2060" s="1"/>
      <c r="AG2060" s="1"/>
    </row>
    <row r="2061" ht="15.75" customHeight="1">
      <c r="A2061" s="1"/>
      <c r="B2061" s="1"/>
      <c r="C2061" s="1"/>
      <c r="D2061" s="1"/>
      <c r="E2061" s="1"/>
      <c r="F2061" s="1"/>
      <c r="G2061" s="1"/>
      <c r="H2061" s="1"/>
      <c r="I2061" s="1"/>
      <c r="J2061" s="1"/>
      <c r="K2061" s="89" t="s">
        <v>3154</v>
      </c>
      <c r="L2061" s="89" t="str">
        <f>G70</f>
        <v>C1b1a1a</v>
      </c>
      <c r="M2061" s="89"/>
      <c r="N2061" s="89" t="s">
        <v>3155</v>
      </c>
      <c r="O2061" s="92">
        <v>7281157.0</v>
      </c>
      <c r="P2061" s="92">
        <v>7413116.0</v>
      </c>
      <c r="Q2061" s="89" t="s">
        <v>802</v>
      </c>
      <c r="AF2061" s="1"/>
      <c r="AG2061" s="1"/>
    </row>
    <row r="2062" ht="15.75" customHeight="1">
      <c r="A2062" s="1"/>
      <c r="B2062" s="1"/>
      <c r="C2062" s="1"/>
      <c r="D2062" s="1"/>
      <c r="E2062" s="1"/>
      <c r="F2062" s="1"/>
      <c r="G2062" s="1"/>
      <c r="H2062" s="1"/>
      <c r="I2062" s="1"/>
      <c r="J2062" s="1"/>
      <c r="K2062" s="89" t="s">
        <v>3156</v>
      </c>
      <c r="L2062" s="89" t="str">
        <f>G70</f>
        <v>C1b1a1a</v>
      </c>
      <c r="M2062" s="89"/>
      <c r="N2062" s="89" t="s">
        <v>3157</v>
      </c>
      <c r="O2062" s="92">
        <v>8292050.0</v>
      </c>
      <c r="P2062" s="92">
        <v>8424009.0</v>
      </c>
      <c r="Q2062" s="89" t="s">
        <v>810</v>
      </c>
      <c r="AF2062" s="1"/>
      <c r="AG2062" s="1"/>
    </row>
    <row r="2063" ht="15.75" customHeight="1">
      <c r="A2063" s="1"/>
      <c r="B2063" s="1"/>
      <c r="C2063" s="1"/>
      <c r="D2063" s="1"/>
      <c r="E2063" s="1"/>
      <c r="F2063" s="1"/>
      <c r="G2063" s="1"/>
      <c r="H2063" s="1"/>
      <c r="I2063" s="1"/>
      <c r="J2063" s="1"/>
      <c r="K2063" s="89" t="s">
        <v>3158</v>
      </c>
      <c r="L2063" s="89" t="str">
        <f>G70</f>
        <v>C1b1a1a</v>
      </c>
      <c r="M2063" s="89"/>
      <c r="N2063" s="89" t="s">
        <v>3159</v>
      </c>
      <c r="O2063" s="92">
        <v>8440936.0</v>
      </c>
      <c r="P2063" s="92">
        <v>8572895.0</v>
      </c>
      <c r="Q2063" s="89" t="s">
        <v>822</v>
      </c>
      <c r="AF2063" s="1"/>
      <c r="AG2063" s="1"/>
    </row>
    <row r="2064" ht="15.75" customHeight="1">
      <c r="A2064" s="1"/>
      <c r="B2064" s="1"/>
      <c r="C2064" s="1"/>
      <c r="D2064" s="1"/>
      <c r="E2064" s="1"/>
      <c r="F2064" s="1"/>
      <c r="G2064" s="1"/>
      <c r="H2064" s="1"/>
      <c r="I2064" s="1"/>
      <c r="J2064" s="1"/>
      <c r="K2064" s="89" t="s">
        <v>3160</v>
      </c>
      <c r="L2064" s="89" t="str">
        <f>G70</f>
        <v>C1b1a1a</v>
      </c>
      <c r="M2064" s="89"/>
      <c r="N2064" s="89" t="s">
        <v>3161</v>
      </c>
      <c r="O2064" s="92">
        <v>8583426.0</v>
      </c>
      <c r="P2064" s="92">
        <v>8715385.0</v>
      </c>
      <c r="Q2064" s="89" t="s">
        <v>813</v>
      </c>
      <c r="AF2064" s="1"/>
      <c r="AG2064" s="1"/>
    </row>
    <row r="2065" ht="15.75" customHeight="1">
      <c r="A2065" s="1"/>
      <c r="B2065" s="1"/>
      <c r="C2065" s="1"/>
      <c r="D2065" s="1"/>
      <c r="E2065" s="1"/>
      <c r="F2065" s="1"/>
      <c r="G2065" s="1"/>
      <c r="H2065" s="1"/>
      <c r="I2065" s="1"/>
      <c r="J2065" s="1"/>
      <c r="K2065" s="89" t="s">
        <v>3162</v>
      </c>
      <c r="L2065" s="89" t="str">
        <f>G70</f>
        <v>C1b1a1a</v>
      </c>
      <c r="M2065" s="89"/>
      <c r="N2065" s="89" t="s">
        <v>3163</v>
      </c>
      <c r="O2065" s="92">
        <v>8777395.0</v>
      </c>
      <c r="P2065" s="92">
        <v>8909354.0</v>
      </c>
      <c r="Q2065" s="89" t="s">
        <v>810</v>
      </c>
      <c r="AF2065" s="1"/>
      <c r="AG2065" s="1"/>
    </row>
    <row r="2066" ht="15.75" customHeight="1">
      <c r="A2066" s="1"/>
      <c r="B2066" s="1"/>
      <c r="C2066" s="1"/>
      <c r="D2066" s="1"/>
      <c r="E2066" s="1"/>
      <c r="F2066" s="1"/>
      <c r="G2066" s="1"/>
      <c r="H2066" s="1"/>
      <c r="I2066" s="1"/>
      <c r="J2066" s="1"/>
      <c r="K2066" s="89" t="s">
        <v>3164</v>
      </c>
      <c r="L2066" s="89" t="str">
        <f>G70</f>
        <v>C1b1a1a</v>
      </c>
      <c r="M2066" s="89"/>
      <c r="N2066" s="89" t="s">
        <v>3165</v>
      </c>
      <c r="O2066" s="92">
        <v>8885973.0</v>
      </c>
      <c r="P2066" s="92">
        <v>9017932.0</v>
      </c>
      <c r="Q2066" s="89" t="s">
        <v>810</v>
      </c>
      <c r="AF2066" s="1"/>
      <c r="AG2066" s="1"/>
    </row>
    <row r="2067" ht="15.75" customHeight="1">
      <c r="A2067" s="1"/>
      <c r="B2067" s="1"/>
      <c r="C2067" s="1"/>
      <c r="D2067" s="1"/>
      <c r="E2067" s="1"/>
      <c r="F2067" s="1"/>
      <c r="G2067" s="1"/>
      <c r="H2067" s="1"/>
      <c r="I2067" s="1"/>
      <c r="J2067" s="1"/>
      <c r="K2067" s="89" t="s">
        <v>3166</v>
      </c>
      <c r="L2067" s="89" t="str">
        <f>G70</f>
        <v>C1b1a1a</v>
      </c>
      <c r="M2067" s="89"/>
      <c r="N2067" s="89" t="s">
        <v>3167</v>
      </c>
      <c r="O2067" s="92">
        <v>9772692.0</v>
      </c>
      <c r="P2067" s="92">
        <v>9935083.0</v>
      </c>
      <c r="Q2067" s="89" t="s">
        <v>838</v>
      </c>
      <c r="AF2067" s="1"/>
      <c r="AG2067" s="1"/>
    </row>
    <row r="2068" ht="15.75" customHeight="1">
      <c r="A2068" s="1"/>
      <c r="B2068" s="1"/>
      <c r="C2068" s="1"/>
      <c r="D2068" s="1"/>
      <c r="E2068" s="1"/>
      <c r="F2068" s="1"/>
      <c r="G2068" s="1"/>
      <c r="H2068" s="1"/>
      <c r="I2068" s="1"/>
      <c r="J2068" s="1"/>
      <c r="K2068" s="89" t="s">
        <v>3168</v>
      </c>
      <c r="L2068" s="89" t="str">
        <f>G70</f>
        <v>C1b1a1a</v>
      </c>
      <c r="M2068" s="89"/>
      <c r="N2068" s="89"/>
      <c r="O2068" s="92">
        <v>1.0026519E7</v>
      </c>
      <c r="P2068" s="92">
        <v>1.018891E7</v>
      </c>
      <c r="Q2068" s="89" t="s">
        <v>813</v>
      </c>
      <c r="AF2068" s="1"/>
      <c r="AG2068" s="1"/>
    </row>
    <row r="2069" ht="15.75" customHeight="1">
      <c r="A2069" s="1"/>
      <c r="B2069" s="1"/>
      <c r="C2069" s="1"/>
      <c r="D2069" s="1"/>
      <c r="E2069" s="1"/>
      <c r="F2069" s="1"/>
      <c r="G2069" s="1"/>
      <c r="H2069" s="1"/>
      <c r="I2069" s="1"/>
      <c r="J2069" s="1"/>
      <c r="K2069" s="89" t="s">
        <v>3169</v>
      </c>
      <c r="L2069" s="89" t="str">
        <f>G70</f>
        <v>C1b1a1a</v>
      </c>
      <c r="M2069" s="89"/>
      <c r="N2069" s="89" t="s">
        <v>3170</v>
      </c>
      <c r="O2069" s="92">
        <v>1.0048502E7</v>
      </c>
      <c r="P2069" s="92">
        <v>1.0210893E7</v>
      </c>
      <c r="Q2069" s="89" t="s">
        <v>838</v>
      </c>
      <c r="AF2069" s="1"/>
      <c r="AG2069" s="1"/>
    </row>
    <row r="2070" ht="15.75" customHeight="1">
      <c r="A2070" s="1"/>
      <c r="B2070" s="1"/>
      <c r="C2070" s="1"/>
      <c r="D2070" s="1"/>
      <c r="E2070" s="1"/>
      <c r="F2070" s="1"/>
      <c r="G2070" s="1"/>
      <c r="H2070" s="1"/>
      <c r="I2070" s="1"/>
      <c r="J2070" s="1"/>
      <c r="K2070" s="89" t="s">
        <v>3171</v>
      </c>
      <c r="L2070" s="89" t="str">
        <f>G70</f>
        <v>C1b1a1a</v>
      </c>
      <c r="M2070" s="89"/>
      <c r="N2070" s="89" t="s">
        <v>3172</v>
      </c>
      <c r="O2070" s="92">
        <v>1.4069571E7</v>
      </c>
      <c r="P2070" s="92">
        <v>1.1948865E7</v>
      </c>
      <c r="Q2070" s="89" t="s">
        <v>912</v>
      </c>
      <c r="AF2070" s="1"/>
      <c r="AG2070" s="1"/>
    </row>
    <row r="2071" ht="15.75" customHeight="1">
      <c r="A2071" s="1"/>
      <c r="B2071" s="1"/>
      <c r="C2071" s="1"/>
      <c r="D2071" s="1"/>
      <c r="E2071" s="1"/>
      <c r="F2071" s="1"/>
      <c r="G2071" s="1"/>
      <c r="H2071" s="1"/>
      <c r="I2071" s="1"/>
      <c r="J2071" s="1"/>
      <c r="K2071" s="89" t="s">
        <v>3173</v>
      </c>
      <c r="L2071" s="89" t="str">
        <f>G70</f>
        <v>C1b1a1a</v>
      </c>
      <c r="M2071" s="89"/>
      <c r="N2071" s="89" t="s">
        <v>3174</v>
      </c>
      <c r="O2071" s="92">
        <v>1.4365829E7</v>
      </c>
      <c r="P2071" s="92">
        <v>1.2245124E7</v>
      </c>
      <c r="Q2071" s="89" t="s">
        <v>838</v>
      </c>
      <c r="AF2071" s="1"/>
      <c r="AG2071" s="1"/>
    </row>
    <row r="2072" ht="15.75" customHeight="1">
      <c r="A2072" s="1"/>
      <c r="B2072" s="1"/>
      <c r="C2072" s="1"/>
      <c r="D2072" s="1"/>
      <c r="E2072" s="1"/>
      <c r="F2072" s="1"/>
      <c r="G2072" s="1"/>
      <c r="H2072" s="1"/>
      <c r="I2072" s="1"/>
      <c r="J2072" s="1"/>
      <c r="K2072" s="89" t="s">
        <v>3175</v>
      </c>
      <c r="L2072" s="89" t="str">
        <f>G70</f>
        <v>C1b1a1a</v>
      </c>
      <c r="M2072" s="89"/>
      <c r="N2072" s="89" t="s">
        <v>3176</v>
      </c>
      <c r="O2072" s="92">
        <v>1.6255267E7</v>
      </c>
      <c r="P2072" s="92">
        <v>1.4143387E7</v>
      </c>
      <c r="Q2072" s="89" t="s">
        <v>912</v>
      </c>
      <c r="AF2072" s="1"/>
      <c r="AG2072" s="1"/>
    </row>
    <row r="2073" ht="15.75" customHeight="1">
      <c r="A2073" s="1"/>
      <c r="B2073" s="1"/>
      <c r="C2073" s="1"/>
      <c r="D2073" s="1"/>
      <c r="E2073" s="1"/>
      <c r="F2073" s="1"/>
      <c r="G2073" s="1"/>
      <c r="H2073" s="1"/>
      <c r="I2073" s="1"/>
      <c r="J2073" s="1"/>
      <c r="K2073" s="89" t="s">
        <v>3177</v>
      </c>
      <c r="L2073" s="89" t="str">
        <f>G70</f>
        <v>C1b1a1a</v>
      </c>
      <c r="M2073" s="89"/>
      <c r="N2073" s="89" t="s">
        <v>3178</v>
      </c>
      <c r="O2073" s="92">
        <v>1.6369871E7</v>
      </c>
      <c r="P2073" s="92">
        <v>1.4257991E7</v>
      </c>
      <c r="Q2073" s="89" t="s">
        <v>802</v>
      </c>
      <c r="AF2073" s="1"/>
      <c r="AG2073" s="1"/>
    </row>
    <row r="2074" ht="15.75" customHeight="1">
      <c r="A2074" s="1"/>
      <c r="B2074" s="1"/>
      <c r="C2074" s="1"/>
      <c r="D2074" s="1"/>
      <c r="E2074" s="1"/>
      <c r="F2074" s="1"/>
      <c r="G2074" s="1"/>
      <c r="H2074" s="1"/>
      <c r="I2074" s="1"/>
      <c r="J2074" s="1"/>
      <c r="K2074" s="89" t="s">
        <v>3179</v>
      </c>
      <c r="L2074" s="89" t="str">
        <f>G70</f>
        <v>C1b1a1a</v>
      </c>
      <c r="M2074" s="89"/>
      <c r="N2074" s="89" t="s">
        <v>3180</v>
      </c>
      <c r="O2074" s="92">
        <v>1.6731085E7</v>
      </c>
      <c r="P2074" s="92">
        <v>1.4619205E7</v>
      </c>
      <c r="Q2074" s="89" t="s">
        <v>802</v>
      </c>
      <c r="AF2074" s="1"/>
      <c r="AG2074" s="1"/>
    </row>
    <row r="2075" ht="15.75" customHeight="1">
      <c r="A2075" s="1"/>
      <c r="B2075" s="1"/>
      <c r="C2075" s="1"/>
      <c r="D2075" s="1"/>
      <c r="E2075" s="1"/>
      <c r="F2075" s="1"/>
      <c r="G2075" s="1"/>
      <c r="H2075" s="1"/>
      <c r="I2075" s="1"/>
      <c r="J2075" s="1"/>
      <c r="K2075" s="89" t="s">
        <v>3181</v>
      </c>
      <c r="L2075" s="89" t="str">
        <f>G70</f>
        <v>C1b1a1a</v>
      </c>
      <c r="M2075" s="89"/>
      <c r="N2075" s="89" t="s">
        <v>3182</v>
      </c>
      <c r="O2075" s="92">
        <v>1.6757995E7</v>
      </c>
      <c r="P2075" s="92">
        <v>1.4646115E7</v>
      </c>
      <c r="Q2075" s="89" t="s">
        <v>838</v>
      </c>
      <c r="AF2075" s="1"/>
      <c r="AG2075" s="1"/>
    </row>
    <row r="2076" ht="15.75" customHeight="1">
      <c r="A2076" s="1"/>
      <c r="B2076" s="1"/>
      <c r="C2076" s="1"/>
      <c r="D2076" s="1"/>
      <c r="E2076" s="1"/>
      <c r="F2076" s="1"/>
      <c r="G2076" s="1"/>
      <c r="H2076" s="1"/>
      <c r="I2076" s="1"/>
      <c r="J2076" s="1"/>
      <c r="K2076" s="89" t="s">
        <v>3183</v>
      </c>
      <c r="L2076" s="89" t="str">
        <f>G70</f>
        <v>C1b1a1a</v>
      </c>
      <c r="M2076" s="89"/>
      <c r="N2076" s="89" t="s">
        <v>3184</v>
      </c>
      <c r="O2076" s="92">
        <v>1.685067E7</v>
      </c>
      <c r="P2076" s="92">
        <v>1.473879E7</v>
      </c>
      <c r="Q2076" s="89" t="s">
        <v>822</v>
      </c>
      <c r="AF2076" s="1"/>
      <c r="AG2076" s="1"/>
    </row>
    <row r="2077" ht="15.75" customHeight="1">
      <c r="A2077" s="1"/>
      <c r="B2077" s="1"/>
      <c r="C2077" s="1"/>
      <c r="D2077" s="1"/>
      <c r="E2077" s="1"/>
      <c r="F2077" s="1"/>
      <c r="G2077" s="1"/>
      <c r="H2077" s="1"/>
      <c r="I2077" s="1"/>
      <c r="J2077" s="1"/>
      <c r="K2077" s="89" t="s">
        <v>3185</v>
      </c>
      <c r="L2077" s="89" t="str">
        <f>G70</f>
        <v>C1b1a1a</v>
      </c>
      <c r="M2077" s="89"/>
      <c r="N2077" s="89" t="s">
        <v>3186</v>
      </c>
      <c r="O2077" s="92">
        <v>1.723726E7</v>
      </c>
      <c r="P2077" s="92">
        <v>1.512538E7</v>
      </c>
      <c r="Q2077" s="89" t="s">
        <v>838</v>
      </c>
      <c r="AF2077" s="1"/>
      <c r="AG2077" s="1"/>
    </row>
    <row r="2078" ht="15.75" customHeight="1">
      <c r="A2078" s="1"/>
      <c r="B2078" s="1"/>
      <c r="C2078" s="1"/>
      <c r="D2078" s="1"/>
      <c r="E2078" s="1"/>
      <c r="F2078" s="1"/>
      <c r="G2078" s="1"/>
      <c r="H2078" s="1"/>
      <c r="I2078" s="1"/>
      <c r="J2078" s="1"/>
      <c r="K2078" s="89" t="s">
        <v>3187</v>
      </c>
      <c r="L2078" s="89" t="str">
        <f>G70</f>
        <v>C1b1a1a</v>
      </c>
      <c r="M2078" s="89"/>
      <c r="N2078" s="89" t="s">
        <v>3188</v>
      </c>
      <c r="O2078" s="92">
        <v>1.7558497E7</v>
      </c>
      <c r="P2078" s="92">
        <v>1.5446617E7</v>
      </c>
      <c r="Q2078" s="89" t="s">
        <v>864</v>
      </c>
      <c r="AF2078" s="1"/>
      <c r="AG2078" s="1"/>
    </row>
    <row r="2079" ht="15.75" customHeight="1">
      <c r="A2079" s="1"/>
      <c r="B2079" s="1"/>
      <c r="C2079" s="1"/>
      <c r="D2079" s="1"/>
      <c r="E2079" s="1"/>
      <c r="F2079" s="1"/>
      <c r="G2079" s="1"/>
      <c r="H2079" s="1"/>
      <c r="I2079" s="1"/>
      <c r="J2079" s="1"/>
      <c r="K2079" s="89" t="s">
        <v>3189</v>
      </c>
      <c r="L2079" s="89" t="str">
        <f>G70</f>
        <v>C1b1a1a</v>
      </c>
      <c r="M2079" s="89"/>
      <c r="N2079" s="89" t="s">
        <v>3190</v>
      </c>
      <c r="O2079" s="92">
        <v>1.8111259E7</v>
      </c>
      <c r="P2079" s="92">
        <v>1.5999379E7</v>
      </c>
      <c r="Q2079" s="89" t="s">
        <v>810</v>
      </c>
      <c r="AF2079" s="1"/>
      <c r="AG2079" s="1"/>
    </row>
    <row r="2080" ht="15.75" customHeight="1">
      <c r="A2080" s="1"/>
      <c r="B2080" s="1"/>
      <c r="C2080" s="1"/>
      <c r="D2080" s="1"/>
      <c r="E2080" s="1"/>
      <c r="F2080" s="1"/>
      <c r="G2080" s="1"/>
      <c r="H2080" s="1"/>
      <c r="I2080" s="1"/>
      <c r="J2080" s="1"/>
      <c r="K2080" s="89" t="s">
        <v>3191</v>
      </c>
      <c r="L2080" s="89" t="str">
        <f>G70</f>
        <v>C1b1a1a</v>
      </c>
      <c r="M2080" s="89"/>
      <c r="N2080" s="89"/>
      <c r="O2080" s="92">
        <v>1.8417935E7</v>
      </c>
      <c r="P2080" s="92">
        <v>1.6306055E7</v>
      </c>
      <c r="Q2080" s="89" t="s">
        <v>879</v>
      </c>
      <c r="AF2080" s="1"/>
      <c r="AG2080" s="1"/>
    </row>
    <row r="2081" ht="15.75" customHeight="1">
      <c r="A2081" s="1"/>
      <c r="B2081" s="1"/>
      <c r="C2081" s="1"/>
      <c r="D2081" s="1"/>
      <c r="E2081" s="1"/>
      <c r="F2081" s="1"/>
      <c r="G2081" s="1"/>
      <c r="H2081" s="1"/>
      <c r="I2081" s="1"/>
      <c r="J2081" s="1"/>
      <c r="K2081" s="89" t="s">
        <v>3192</v>
      </c>
      <c r="L2081" s="89" t="str">
        <f>G70</f>
        <v>C1b1a1a</v>
      </c>
      <c r="M2081" s="89"/>
      <c r="N2081" s="89" t="s">
        <v>3193</v>
      </c>
      <c r="O2081" s="92">
        <v>1.8602855E7</v>
      </c>
      <c r="P2081" s="92">
        <v>1.6490975E7</v>
      </c>
      <c r="Q2081" s="89" t="s">
        <v>838</v>
      </c>
      <c r="AF2081" s="1"/>
      <c r="AG2081" s="1"/>
    </row>
    <row r="2082" ht="15.75" customHeight="1">
      <c r="A2082" s="1"/>
      <c r="B2082" s="1"/>
      <c r="C2082" s="1"/>
      <c r="D2082" s="1"/>
      <c r="E2082" s="1"/>
      <c r="F2082" s="1"/>
      <c r="G2082" s="1"/>
      <c r="H2082" s="1"/>
      <c r="I2082" s="1"/>
      <c r="J2082" s="1"/>
      <c r="K2082" s="89" t="s">
        <v>3194</v>
      </c>
      <c r="L2082" s="89" t="str">
        <f>G70</f>
        <v>C1b1a1a</v>
      </c>
      <c r="M2082" s="89"/>
      <c r="N2082" s="89" t="s">
        <v>3195</v>
      </c>
      <c r="O2082" s="92">
        <v>1.8662443E7</v>
      </c>
      <c r="P2082" s="92">
        <v>1.6550563E7</v>
      </c>
      <c r="Q2082" s="89" t="s">
        <v>838</v>
      </c>
      <c r="AF2082" s="1"/>
      <c r="AG2082" s="1"/>
    </row>
    <row r="2083" ht="15.75" customHeight="1">
      <c r="A2083" s="1"/>
      <c r="B2083" s="1"/>
      <c r="C2083" s="1"/>
      <c r="D2083" s="1"/>
      <c r="E2083" s="1"/>
      <c r="F2083" s="1"/>
      <c r="G2083" s="1"/>
      <c r="H2083" s="1"/>
      <c r="I2083" s="1"/>
      <c r="J2083" s="1"/>
      <c r="K2083" s="89" t="s">
        <v>3196</v>
      </c>
      <c r="L2083" s="89" t="str">
        <f>G70</f>
        <v>C1b1a1a</v>
      </c>
      <c r="M2083" s="89"/>
      <c r="N2083" s="89" t="s">
        <v>3197</v>
      </c>
      <c r="O2083" s="92">
        <v>1.8814453E7</v>
      </c>
      <c r="P2083" s="92">
        <v>1.6702573E7</v>
      </c>
      <c r="Q2083" s="89" t="s">
        <v>802</v>
      </c>
      <c r="AF2083" s="1"/>
      <c r="AG2083" s="1"/>
    </row>
    <row r="2084" ht="15.75" customHeight="1">
      <c r="A2084" s="1"/>
      <c r="B2084" s="1"/>
      <c r="C2084" s="1"/>
      <c r="D2084" s="1"/>
      <c r="E2084" s="1"/>
      <c r="F2084" s="1"/>
      <c r="G2084" s="1"/>
      <c r="H2084" s="1"/>
      <c r="I2084" s="1"/>
      <c r="J2084" s="1"/>
      <c r="K2084" s="89" t="s">
        <v>3198</v>
      </c>
      <c r="L2084" s="89" t="str">
        <f>G70</f>
        <v>C1b1a1a</v>
      </c>
      <c r="M2084" s="89"/>
      <c r="N2084" s="89" t="s">
        <v>3199</v>
      </c>
      <c r="O2084" s="92">
        <v>1.9005661E7</v>
      </c>
      <c r="P2084" s="92">
        <v>1.6893781E7</v>
      </c>
      <c r="Q2084" s="89" t="s">
        <v>879</v>
      </c>
      <c r="AF2084" s="1"/>
      <c r="AG2084" s="1"/>
    </row>
    <row r="2085" ht="15.75" customHeight="1">
      <c r="A2085" s="1"/>
      <c r="B2085" s="1"/>
      <c r="C2085" s="1"/>
      <c r="D2085" s="1"/>
      <c r="E2085" s="1"/>
      <c r="F2085" s="1"/>
      <c r="G2085" s="1"/>
      <c r="H2085" s="1"/>
      <c r="I2085" s="1"/>
      <c r="J2085" s="1"/>
      <c r="K2085" s="89" t="s">
        <v>3200</v>
      </c>
      <c r="L2085" s="89" t="str">
        <f>G70</f>
        <v>C1b1a1a</v>
      </c>
      <c r="M2085" s="89"/>
      <c r="N2085" s="89" t="s">
        <v>3201</v>
      </c>
      <c r="O2085" s="89">
        <v>1.905456E7</v>
      </c>
      <c r="P2085" s="89">
        <v>1.694268E7</v>
      </c>
      <c r="Q2085" s="89" t="s">
        <v>813</v>
      </c>
      <c r="AF2085" s="1"/>
      <c r="AG2085" s="1"/>
    </row>
    <row r="2086" ht="15.75" customHeight="1">
      <c r="A2086" s="1"/>
      <c r="B2086" s="1"/>
      <c r="C2086" s="1"/>
      <c r="D2086" s="1"/>
      <c r="E2086" s="1"/>
      <c r="F2086" s="1"/>
      <c r="G2086" s="1"/>
      <c r="H2086" s="1"/>
      <c r="I2086" s="1"/>
      <c r="J2086" s="1"/>
      <c r="K2086" s="89" t="s">
        <v>3202</v>
      </c>
      <c r="L2086" s="89" t="str">
        <f>G70</f>
        <v>C1b1a1a</v>
      </c>
      <c r="M2086" s="89"/>
      <c r="N2086" s="89" t="s">
        <v>3203</v>
      </c>
      <c r="O2086" s="92">
        <v>2.1333892E7</v>
      </c>
      <c r="P2086" s="92">
        <v>1.9172006E7</v>
      </c>
      <c r="Q2086" s="89" t="s">
        <v>810</v>
      </c>
      <c r="AF2086" s="1"/>
      <c r="AG2086" s="1"/>
    </row>
    <row r="2087" ht="15.75" customHeight="1">
      <c r="A2087" s="1"/>
      <c r="B2087" s="1"/>
      <c r="C2087" s="1"/>
      <c r="D2087" s="1"/>
      <c r="E2087" s="1"/>
      <c r="F2087" s="1"/>
      <c r="G2087" s="1"/>
      <c r="H2087" s="1"/>
      <c r="I2087" s="1"/>
      <c r="J2087" s="1"/>
      <c r="K2087" s="89" t="s">
        <v>3204</v>
      </c>
      <c r="L2087" s="89" t="str">
        <f>G70</f>
        <v>C1b1a1a</v>
      </c>
      <c r="M2087" s="89"/>
      <c r="N2087" s="89" t="s">
        <v>3205</v>
      </c>
      <c r="O2087" s="92">
        <v>2.208474E7</v>
      </c>
      <c r="P2087" s="92">
        <v>1.9922854E7</v>
      </c>
      <c r="Q2087" s="89" t="s">
        <v>838</v>
      </c>
      <c r="AF2087" s="1"/>
      <c r="AG2087" s="1"/>
    </row>
    <row r="2088" ht="15.75" customHeight="1">
      <c r="A2088" s="1"/>
      <c r="B2088" s="1"/>
      <c r="C2088" s="1"/>
      <c r="D2088" s="1"/>
      <c r="E2088" s="1"/>
      <c r="F2088" s="1"/>
      <c r="G2088" s="1"/>
      <c r="H2088" s="1"/>
      <c r="I2088" s="1"/>
      <c r="J2088" s="1"/>
      <c r="K2088" s="89" t="s">
        <v>3206</v>
      </c>
      <c r="L2088" s="89" t="str">
        <f>G70</f>
        <v>C1b1a1a</v>
      </c>
      <c r="M2088" s="89"/>
      <c r="N2088" s="89" t="s">
        <v>3207</v>
      </c>
      <c r="O2088" s="92">
        <v>2.276131E7</v>
      </c>
      <c r="P2088" s="92">
        <v>2.0599424E7</v>
      </c>
      <c r="Q2088" s="89" t="s">
        <v>813</v>
      </c>
      <c r="AF2088" s="1"/>
      <c r="AG2088" s="1"/>
    </row>
    <row r="2089" ht="15.75" customHeight="1">
      <c r="A2089" s="1"/>
      <c r="B2089" s="1"/>
      <c r="C2089" s="1"/>
      <c r="D2089" s="1"/>
      <c r="E2089" s="1"/>
      <c r="F2089" s="1"/>
      <c r="G2089" s="1"/>
      <c r="H2089" s="1"/>
      <c r="I2089" s="1"/>
      <c r="J2089" s="1"/>
      <c r="K2089" s="89" t="s">
        <v>3208</v>
      </c>
      <c r="L2089" s="89" t="str">
        <f>G70</f>
        <v>C1b1a1a</v>
      </c>
      <c r="M2089" s="89"/>
      <c r="N2089" s="89" t="s">
        <v>3209</v>
      </c>
      <c r="O2089" s="92">
        <v>2.3131625E7</v>
      </c>
      <c r="P2089" s="92">
        <v>2.0969739E7</v>
      </c>
      <c r="Q2089" s="89" t="s">
        <v>912</v>
      </c>
      <c r="AF2089" s="1"/>
      <c r="AG2089" s="1"/>
    </row>
    <row r="2090" ht="15.75" customHeight="1">
      <c r="A2090" s="1"/>
      <c r="B2090" s="1"/>
      <c r="C2090" s="1"/>
      <c r="D2090" s="1"/>
      <c r="E2090" s="1"/>
      <c r="F2090" s="1"/>
      <c r="G2090" s="1"/>
      <c r="H2090" s="1"/>
      <c r="I2090" s="1"/>
      <c r="J2090" s="1"/>
      <c r="K2090" s="89" t="s">
        <v>3210</v>
      </c>
      <c r="L2090" s="89" t="str">
        <f>G70</f>
        <v>C1b1a1a</v>
      </c>
      <c r="M2090" s="89"/>
      <c r="N2090" s="89" t="s">
        <v>3211</v>
      </c>
      <c r="O2090" s="92">
        <v>2.3150146E7</v>
      </c>
      <c r="P2090" s="92">
        <v>2.098826E7</v>
      </c>
      <c r="Q2090" s="89" t="s">
        <v>822</v>
      </c>
      <c r="AF2090" s="1"/>
      <c r="AG2090" s="1"/>
    </row>
    <row r="2091" ht="15.75" customHeight="1">
      <c r="A2091" s="1"/>
      <c r="B2091" s="1"/>
      <c r="C2091" s="1"/>
      <c r="D2091" s="1"/>
      <c r="E2091" s="1"/>
      <c r="F2091" s="1"/>
      <c r="G2091" s="1"/>
      <c r="H2091" s="1"/>
      <c r="I2091" s="1"/>
      <c r="J2091" s="1"/>
      <c r="K2091" s="89" t="s">
        <v>3212</v>
      </c>
      <c r="L2091" s="89" t="str">
        <f>G70</f>
        <v>C1b1a1a</v>
      </c>
      <c r="M2091" s="89"/>
      <c r="N2091" s="89" t="s">
        <v>3213</v>
      </c>
      <c r="O2091" s="92">
        <v>2.3156792E7</v>
      </c>
      <c r="P2091" s="92">
        <v>2.0994906E7</v>
      </c>
      <c r="Q2091" s="89" t="s">
        <v>845</v>
      </c>
      <c r="AF2091" s="1"/>
      <c r="AG2091" s="1"/>
    </row>
    <row r="2092" ht="15.75" customHeight="1">
      <c r="A2092" s="1"/>
      <c r="B2092" s="1"/>
      <c r="C2092" s="1"/>
      <c r="D2092" s="1"/>
      <c r="E2092" s="1"/>
      <c r="F2092" s="1"/>
      <c r="G2092" s="1"/>
      <c r="H2092" s="1"/>
      <c r="I2092" s="1"/>
      <c r="J2092" s="1"/>
      <c r="K2092" s="89" t="s">
        <v>3214</v>
      </c>
      <c r="L2092" s="89" t="str">
        <f>G70</f>
        <v>C1b1a1a</v>
      </c>
      <c r="M2092" s="89"/>
      <c r="N2092" s="89" t="s">
        <v>3215</v>
      </c>
      <c r="O2092" s="92">
        <v>2.3273888E7</v>
      </c>
      <c r="P2092" s="92">
        <v>2.1112002E7</v>
      </c>
      <c r="Q2092" s="89" t="s">
        <v>810</v>
      </c>
      <c r="AF2092" s="1"/>
      <c r="AG2092" s="1"/>
    </row>
    <row r="2093" ht="15.75" customHeight="1">
      <c r="A2093" s="1"/>
      <c r="B2093" s="1"/>
      <c r="C2093" s="1"/>
      <c r="D2093" s="1"/>
      <c r="E2093" s="1"/>
      <c r="F2093" s="1"/>
      <c r="G2093" s="1"/>
      <c r="H2093" s="1"/>
      <c r="I2093" s="1"/>
      <c r="J2093" s="1"/>
      <c r="K2093" s="89" t="s">
        <v>3216</v>
      </c>
      <c r="L2093" s="89" t="str">
        <f>G70</f>
        <v>C1b1a1a</v>
      </c>
      <c r="M2093" s="89"/>
      <c r="N2093" s="89" t="s">
        <v>3217</v>
      </c>
      <c r="O2093" s="92">
        <v>2.3281685E7</v>
      </c>
      <c r="P2093" s="92">
        <v>2.1119799E7</v>
      </c>
      <c r="Q2093" s="89" t="s">
        <v>822</v>
      </c>
      <c r="AF2093" s="1"/>
      <c r="AG2093" s="1"/>
    </row>
    <row r="2094" ht="15.75" customHeight="1">
      <c r="A2094" s="1"/>
      <c r="B2094" s="1"/>
      <c r="C2094" s="1"/>
      <c r="D2094" s="1"/>
      <c r="E2094" s="1"/>
      <c r="F2094" s="1"/>
      <c r="G2094" s="1"/>
      <c r="H2094" s="1"/>
      <c r="I2094" s="1"/>
      <c r="J2094" s="1"/>
      <c r="K2094" s="89" t="s">
        <v>3218</v>
      </c>
      <c r="L2094" s="89" t="str">
        <f>G70</f>
        <v>C1b1a1a</v>
      </c>
      <c r="M2094" s="89"/>
      <c r="N2094" s="89" t="s">
        <v>3219</v>
      </c>
      <c r="O2094" s="92">
        <v>2.3630857E7</v>
      </c>
      <c r="P2094" s="92">
        <v>2.1468971E7</v>
      </c>
      <c r="Q2094" s="89" t="s">
        <v>810</v>
      </c>
      <c r="AF2094" s="1"/>
      <c r="AG2094" s="1"/>
    </row>
    <row r="2095" ht="15.75" customHeight="1">
      <c r="A2095" s="1"/>
      <c r="B2095" s="1"/>
      <c r="C2095" s="1"/>
      <c r="D2095" s="1"/>
      <c r="E2095" s="1"/>
      <c r="F2095" s="1"/>
      <c r="G2095" s="1"/>
      <c r="H2095" s="1"/>
      <c r="I2095" s="1"/>
      <c r="J2095" s="1"/>
      <c r="K2095" s="89" t="s">
        <v>3220</v>
      </c>
      <c r="L2095" s="89" t="str">
        <f>G70</f>
        <v>C1b1a1a</v>
      </c>
      <c r="M2095" s="89"/>
      <c r="N2095" s="89" t="s">
        <v>3221</v>
      </c>
      <c r="O2095" s="92">
        <v>1.6549378E7</v>
      </c>
      <c r="P2095" s="92">
        <v>1.4437498E7</v>
      </c>
      <c r="Q2095" s="89" t="s">
        <v>838</v>
      </c>
      <c r="AF2095" s="1"/>
      <c r="AG2095" s="1"/>
    </row>
    <row r="2096" ht="15.75" customHeight="1">
      <c r="A2096" s="1"/>
      <c r="B2096" s="1"/>
      <c r="C2096" s="1"/>
      <c r="D2096" s="1"/>
      <c r="E2096" s="1"/>
      <c r="F2096" s="1"/>
      <c r="G2096" s="1"/>
      <c r="H2096" s="1"/>
      <c r="I2096" s="1"/>
      <c r="J2096" s="1"/>
      <c r="K2096" s="89" t="s">
        <v>3222</v>
      </c>
      <c r="L2096" s="89" t="str">
        <f>G70</f>
        <v>C1b1a1a</v>
      </c>
      <c r="M2096" s="89"/>
      <c r="N2096" s="89" t="s">
        <v>3223</v>
      </c>
      <c r="O2096" s="89">
        <v>2656127.0</v>
      </c>
      <c r="P2096" s="89">
        <v>2788086.0</v>
      </c>
      <c r="Q2096" s="89" t="s">
        <v>831</v>
      </c>
      <c r="AF2096" s="1"/>
      <c r="AG2096" s="1"/>
    </row>
    <row r="2097" ht="15.75" customHeight="1">
      <c r="A2097" s="1"/>
      <c r="B2097" s="1"/>
      <c r="C2097" s="1"/>
      <c r="D2097" s="1"/>
      <c r="E2097" s="1"/>
      <c r="F2097" s="1"/>
      <c r="G2097" s="1"/>
      <c r="H2097" s="1"/>
      <c r="I2097" s="1"/>
      <c r="J2097" s="1"/>
      <c r="K2097" s="89" t="s">
        <v>3224</v>
      </c>
      <c r="L2097" s="89" t="str">
        <f>G70</f>
        <v>C1b1a1a</v>
      </c>
      <c r="M2097" s="89"/>
      <c r="N2097" s="89"/>
      <c r="O2097" s="92">
        <v>4682537.0</v>
      </c>
      <c r="P2097" s="92">
        <v>4814496.0</v>
      </c>
      <c r="Q2097" s="89" t="s">
        <v>838</v>
      </c>
      <c r="AF2097" s="1"/>
      <c r="AG2097" s="1"/>
    </row>
    <row r="2098" ht="15.75" customHeight="1">
      <c r="A2098" s="1"/>
      <c r="B2098" s="1"/>
      <c r="C2098" s="1"/>
      <c r="D2098" s="1"/>
      <c r="E2098" s="1"/>
      <c r="F2098" s="1"/>
      <c r="G2098" s="1"/>
      <c r="H2098" s="1"/>
      <c r="I2098" s="1"/>
      <c r="J2098" s="1"/>
      <c r="K2098" s="89" t="s">
        <v>3225</v>
      </c>
      <c r="L2098" s="89" t="str">
        <f>G70</f>
        <v>C1b1a1a</v>
      </c>
      <c r="M2098" s="89"/>
      <c r="N2098" s="89" t="s">
        <v>3226</v>
      </c>
      <c r="O2098" s="92">
        <v>7747597.0</v>
      </c>
      <c r="P2098" s="92">
        <v>7879556.0</v>
      </c>
      <c r="Q2098" s="89" t="s">
        <v>810</v>
      </c>
      <c r="AF2098" s="1"/>
      <c r="AG2098" s="1"/>
    </row>
    <row r="2099" ht="15.75" customHeight="1">
      <c r="A2099" s="1"/>
      <c r="B2099" s="1"/>
      <c r="C2099" s="1"/>
      <c r="D2099" s="1"/>
      <c r="E2099" s="1"/>
      <c r="F2099" s="1"/>
      <c r="G2099" s="1"/>
      <c r="H2099" s="1"/>
      <c r="I2099" s="1"/>
      <c r="J2099" s="1"/>
      <c r="K2099" s="89" t="s">
        <v>3227</v>
      </c>
      <c r="L2099" s="89" t="str">
        <f>G70</f>
        <v>C1b1a1a</v>
      </c>
      <c r="M2099" s="89"/>
      <c r="N2099" s="89" t="s">
        <v>3228</v>
      </c>
      <c r="O2099" s="92">
        <v>7821105.0</v>
      </c>
      <c r="P2099" s="92">
        <v>7953064.0</v>
      </c>
      <c r="Q2099" s="89" t="s">
        <v>912</v>
      </c>
      <c r="AF2099" s="1"/>
      <c r="AG2099" s="1"/>
    </row>
    <row r="2100" ht="15.75" customHeight="1">
      <c r="A2100" s="1"/>
      <c r="B2100" s="1"/>
      <c r="C2100" s="1"/>
      <c r="D2100" s="1"/>
      <c r="E2100" s="1"/>
      <c r="F2100" s="1"/>
      <c r="G2100" s="1"/>
      <c r="H2100" s="1"/>
      <c r="I2100" s="1"/>
      <c r="J2100" s="1"/>
      <c r="K2100" s="89" t="s">
        <v>3229</v>
      </c>
      <c r="L2100" s="89" t="str">
        <f>G70</f>
        <v>C1b1a1a</v>
      </c>
      <c r="M2100" s="89"/>
      <c r="N2100" s="89" t="s">
        <v>3230</v>
      </c>
      <c r="O2100" s="92">
        <v>7901740.0</v>
      </c>
      <c r="P2100" s="92">
        <v>8033699.0</v>
      </c>
      <c r="Q2100" s="89" t="s">
        <v>838</v>
      </c>
      <c r="AF2100" s="1"/>
      <c r="AG2100" s="1"/>
    </row>
    <row r="2101" ht="15.75" customHeight="1">
      <c r="A2101" s="1"/>
      <c r="B2101" s="1"/>
      <c r="C2101" s="1"/>
      <c r="D2101" s="1"/>
      <c r="E2101" s="1"/>
      <c r="F2101" s="1"/>
      <c r="G2101" s="1"/>
      <c r="H2101" s="1"/>
      <c r="I2101" s="1"/>
      <c r="J2101" s="1"/>
      <c r="K2101" s="89" t="s">
        <v>3231</v>
      </c>
      <c r="L2101" s="89" t="str">
        <f>G70</f>
        <v>C1b1a1a</v>
      </c>
      <c r="M2101" s="89"/>
      <c r="N2101" s="89" t="s">
        <v>3232</v>
      </c>
      <c r="O2101" s="92">
        <v>8218625.0</v>
      </c>
      <c r="P2101" s="92">
        <v>8350584.0</v>
      </c>
      <c r="Q2101" s="89" t="s">
        <v>912</v>
      </c>
      <c r="AF2101" s="1"/>
      <c r="AG2101" s="1"/>
    </row>
    <row r="2102" ht="15.75" customHeight="1">
      <c r="A2102" s="1"/>
      <c r="B2102" s="1"/>
      <c r="C2102" s="1"/>
      <c r="D2102" s="1"/>
      <c r="E2102" s="1"/>
      <c r="F2102" s="1"/>
      <c r="G2102" s="1"/>
      <c r="H2102" s="1"/>
      <c r="I2102" s="1"/>
      <c r="J2102" s="1"/>
      <c r="K2102" s="89" t="s">
        <v>3233</v>
      </c>
      <c r="L2102" s="89" t="str">
        <f>G70</f>
        <v>C1b1a1a</v>
      </c>
      <c r="M2102" s="89"/>
      <c r="N2102" s="89" t="s">
        <v>3234</v>
      </c>
      <c r="O2102" s="92">
        <v>8373844.0</v>
      </c>
      <c r="P2102" s="92">
        <v>8505803.0</v>
      </c>
      <c r="Q2102" s="89" t="s">
        <v>822</v>
      </c>
      <c r="AF2102" s="1"/>
      <c r="AG2102" s="1"/>
    </row>
    <row r="2103" ht="15.75" customHeight="1">
      <c r="A2103" s="1"/>
      <c r="B2103" s="1"/>
      <c r="C2103" s="1"/>
      <c r="D2103" s="1"/>
      <c r="E2103" s="1"/>
      <c r="F2103" s="1"/>
      <c r="G2103" s="1"/>
      <c r="H2103" s="1"/>
      <c r="I2103" s="1"/>
      <c r="J2103" s="1"/>
      <c r="K2103" s="89" t="s">
        <v>3235</v>
      </c>
      <c r="L2103" s="89" t="str">
        <f>G70</f>
        <v>C1b1a1a</v>
      </c>
      <c r="M2103" s="89"/>
      <c r="N2103" s="89" t="s">
        <v>3236</v>
      </c>
      <c r="O2103" s="92">
        <v>8410393.0</v>
      </c>
      <c r="P2103" s="92">
        <v>8542352.0</v>
      </c>
      <c r="Q2103" s="89" t="s">
        <v>810</v>
      </c>
      <c r="AF2103" s="1"/>
      <c r="AG2103" s="1"/>
    </row>
    <row r="2104" ht="15.75" customHeight="1">
      <c r="A2104" s="1"/>
      <c r="B2104" s="1"/>
      <c r="C2104" s="1"/>
      <c r="D2104" s="1"/>
      <c r="E2104" s="1"/>
      <c r="F2104" s="1"/>
      <c r="G2104" s="1"/>
      <c r="H2104" s="1"/>
      <c r="I2104" s="1"/>
      <c r="J2104" s="1"/>
      <c r="K2104" s="89" t="s">
        <v>3237</v>
      </c>
      <c r="L2104" s="89" t="str">
        <f>G70</f>
        <v>C1b1a1a</v>
      </c>
      <c r="M2104" s="89"/>
      <c r="N2104" s="89" t="s">
        <v>3238</v>
      </c>
      <c r="O2104" s="92">
        <v>8635324.0</v>
      </c>
      <c r="P2104" s="92">
        <v>8767283.0</v>
      </c>
      <c r="Q2104" s="89" t="s">
        <v>810</v>
      </c>
      <c r="AF2104" s="1"/>
      <c r="AG2104" s="1"/>
    </row>
    <row r="2105" ht="15.75" customHeight="1">
      <c r="A2105" s="1"/>
      <c r="B2105" s="1"/>
      <c r="C2105" s="1"/>
      <c r="D2105" s="1"/>
      <c r="E2105" s="1"/>
      <c r="F2105" s="1"/>
      <c r="G2105" s="1"/>
      <c r="H2105" s="1"/>
      <c r="I2105" s="1"/>
      <c r="J2105" s="1"/>
      <c r="K2105" s="89" t="s">
        <v>3239</v>
      </c>
      <c r="L2105" s="89" t="str">
        <f>G70</f>
        <v>C1b1a1a</v>
      </c>
      <c r="M2105" s="89"/>
      <c r="N2105" s="89" t="s">
        <v>3240</v>
      </c>
      <c r="O2105" s="89">
        <v>9822942.0</v>
      </c>
      <c r="P2105" s="89">
        <v>9985333.0</v>
      </c>
      <c r="Q2105" s="89" t="s">
        <v>810</v>
      </c>
      <c r="AF2105" s="1"/>
      <c r="AG2105" s="1"/>
    </row>
    <row r="2106" ht="15.75" customHeight="1">
      <c r="A2106" s="1"/>
      <c r="B2106" s="1"/>
      <c r="C2106" s="1"/>
      <c r="D2106" s="1"/>
      <c r="E2106" s="1"/>
      <c r="F2106" s="1"/>
      <c r="G2106" s="1"/>
      <c r="H2106" s="1"/>
      <c r="I2106" s="1"/>
      <c r="J2106" s="1"/>
      <c r="K2106" s="89" t="s">
        <v>3241</v>
      </c>
      <c r="L2106" s="89" t="str">
        <f>G70</f>
        <v>C1b1a1a</v>
      </c>
      <c r="M2106" s="89"/>
      <c r="N2106" s="89" t="s">
        <v>3242</v>
      </c>
      <c r="O2106" s="92">
        <v>1.3463474E7</v>
      </c>
      <c r="P2106" s="92">
        <v>1.1307798E7</v>
      </c>
      <c r="Q2106" s="89" t="s">
        <v>810</v>
      </c>
      <c r="AF2106" s="1"/>
      <c r="AG2106" s="1"/>
    </row>
    <row r="2107" ht="15.75" customHeight="1">
      <c r="A2107" s="1"/>
      <c r="B2107" s="1"/>
      <c r="C2107" s="1"/>
      <c r="D2107" s="1"/>
      <c r="E2107" s="1"/>
      <c r="F2107" s="1"/>
      <c r="G2107" s="1"/>
      <c r="H2107" s="1"/>
      <c r="I2107" s="1"/>
      <c r="J2107" s="1"/>
      <c r="K2107" s="89" t="s">
        <v>3243</v>
      </c>
      <c r="L2107" s="89" t="str">
        <f>G70</f>
        <v>C1b1a1a</v>
      </c>
      <c r="M2107" s="89"/>
      <c r="N2107" s="89"/>
      <c r="O2107" s="92" t="s">
        <v>3244</v>
      </c>
      <c r="P2107" s="92" t="s">
        <v>3245</v>
      </c>
      <c r="Q2107" s="89" t="s">
        <v>3246</v>
      </c>
      <c r="AF2107" s="1"/>
      <c r="AG2107" s="1"/>
    </row>
    <row r="2108" ht="15.75" customHeight="1">
      <c r="A2108" s="1"/>
      <c r="B2108" s="1"/>
      <c r="C2108" s="1"/>
      <c r="D2108" s="1"/>
      <c r="E2108" s="1"/>
      <c r="F2108" s="1"/>
      <c r="G2108" s="1"/>
      <c r="H2108" s="1"/>
      <c r="I2108" s="1"/>
      <c r="J2108" s="1"/>
      <c r="K2108" s="89" t="s">
        <v>3247</v>
      </c>
      <c r="L2108" s="89" t="str">
        <f>G70</f>
        <v>C1b1a1a</v>
      </c>
      <c r="M2108" s="89"/>
      <c r="N2108" s="89" t="s">
        <v>3248</v>
      </c>
      <c r="O2108" s="92">
        <v>1.4653473E7</v>
      </c>
      <c r="P2108" s="92">
        <v>1.2541538E7</v>
      </c>
      <c r="Q2108" s="89" t="s">
        <v>879</v>
      </c>
      <c r="AF2108" s="1"/>
      <c r="AG2108" s="1"/>
    </row>
    <row r="2109" ht="15.75" customHeight="1">
      <c r="A2109" s="1"/>
      <c r="B2109" s="1"/>
      <c r="C2109" s="1"/>
      <c r="D2109" s="1"/>
      <c r="E2109" s="1"/>
      <c r="F2109" s="1"/>
      <c r="G2109" s="1"/>
      <c r="H2109" s="1"/>
      <c r="I2109" s="1"/>
      <c r="J2109" s="1"/>
      <c r="K2109" s="89" t="s">
        <v>3249</v>
      </c>
      <c r="L2109" s="89" t="str">
        <f>G70</f>
        <v>C1b1a1a</v>
      </c>
      <c r="M2109" s="89"/>
      <c r="N2109" s="89" t="s">
        <v>3250</v>
      </c>
      <c r="O2109" s="89">
        <v>1.4751135E7</v>
      </c>
      <c r="P2109" s="89">
        <v>1.2639204E7</v>
      </c>
      <c r="Q2109" s="89" t="s">
        <v>912</v>
      </c>
      <c r="AF2109" s="1"/>
      <c r="AG2109" s="1"/>
    </row>
    <row r="2110" ht="15.75" customHeight="1">
      <c r="A2110" s="1"/>
      <c r="B2110" s="1"/>
      <c r="C2110" s="1"/>
      <c r="D2110" s="1"/>
      <c r="E2110" s="1"/>
      <c r="F2110" s="1"/>
      <c r="G2110" s="1"/>
      <c r="H2110" s="1"/>
      <c r="I2110" s="1"/>
      <c r="J2110" s="1"/>
      <c r="K2110" s="89" t="s">
        <v>3251</v>
      </c>
      <c r="L2110" s="89" t="str">
        <f>G70</f>
        <v>C1b1a1a</v>
      </c>
      <c r="M2110" s="89"/>
      <c r="N2110" s="89" t="s">
        <v>3252</v>
      </c>
      <c r="O2110" s="92">
        <v>1.5409211E7</v>
      </c>
      <c r="P2110" s="92">
        <v>1.3297331E7</v>
      </c>
      <c r="Q2110" s="89" t="s">
        <v>879</v>
      </c>
      <c r="AF2110" s="1"/>
      <c r="AG2110" s="1"/>
    </row>
    <row r="2111" ht="15.75" customHeight="1">
      <c r="A2111" s="1"/>
      <c r="B2111" s="1"/>
      <c r="C2111" s="1"/>
      <c r="D2111" s="1"/>
      <c r="E2111" s="1"/>
      <c r="F2111" s="1"/>
      <c r="G2111" s="1"/>
      <c r="H2111" s="1"/>
      <c r="I2111" s="1"/>
      <c r="J2111" s="1"/>
      <c r="K2111" s="89" t="s">
        <v>3253</v>
      </c>
      <c r="L2111" s="89" t="str">
        <f>G70</f>
        <v>C1b1a1a</v>
      </c>
      <c r="M2111" s="89"/>
      <c r="N2111" s="89" t="s">
        <v>3254</v>
      </c>
      <c r="O2111" s="92">
        <v>1.5475864E7</v>
      </c>
      <c r="P2111" s="92">
        <v>1.3363984E7</v>
      </c>
      <c r="Q2111" s="89" t="s">
        <v>822</v>
      </c>
      <c r="AF2111" s="1"/>
      <c r="AG2111" s="1"/>
    </row>
    <row r="2112" ht="15.75" customHeight="1">
      <c r="A2112" s="1"/>
      <c r="B2112" s="1"/>
      <c r="C2112" s="1"/>
      <c r="D2112" s="1"/>
      <c r="E2112" s="1"/>
      <c r="F2112" s="1"/>
      <c r="G2112" s="1"/>
      <c r="H2112" s="1"/>
      <c r="I2112" s="1"/>
      <c r="J2112" s="1"/>
      <c r="K2112" s="89" t="s">
        <v>3255</v>
      </c>
      <c r="L2112" s="89" t="str">
        <f>G70</f>
        <v>C1b1a1a</v>
      </c>
      <c r="M2112" s="89"/>
      <c r="N2112" s="89" t="s">
        <v>3256</v>
      </c>
      <c r="O2112" s="92">
        <v>1.5603818E7</v>
      </c>
      <c r="P2112" s="92">
        <v>1.3491938E7</v>
      </c>
      <c r="Q2112" s="89" t="s">
        <v>810</v>
      </c>
      <c r="AF2112" s="1"/>
      <c r="AG2112" s="1"/>
    </row>
    <row r="2113" ht="15.75" customHeight="1">
      <c r="A2113" s="1"/>
      <c r="B2113" s="1"/>
      <c r="C2113" s="1"/>
      <c r="D2113" s="1"/>
      <c r="E2113" s="1"/>
      <c r="F2113" s="1"/>
      <c r="G2113" s="1"/>
      <c r="H2113" s="1"/>
      <c r="I2113" s="1"/>
      <c r="J2113" s="1"/>
      <c r="K2113" s="89" t="s">
        <v>3257</v>
      </c>
      <c r="L2113" s="89" t="str">
        <f>G70</f>
        <v>C1b1a1a</v>
      </c>
      <c r="M2113" s="89"/>
      <c r="N2113" s="89" t="s">
        <v>3258</v>
      </c>
      <c r="O2113" s="92">
        <v>1.5750472E7</v>
      </c>
      <c r="P2113" s="92">
        <v>1.3638592E7</v>
      </c>
      <c r="Q2113" s="89" t="s">
        <v>810</v>
      </c>
      <c r="AF2113" s="1"/>
      <c r="AG2113" s="1"/>
    </row>
    <row r="2114" ht="15.75" customHeight="1">
      <c r="A2114" s="1"/>
      <c r="B2114" s="1"/>
      <c r="C2114" s="1"/>
      <c r="D2114" s="1"/>
      <c r="E2114" s="1"/>
      <c r="F2114" s="1"/>
      <c r="G2114" s="1"/>
      <c r="H2114" s="1"/>
      <c r="I2114" s="1"/>
      <c r="J2114" s="1"/>
      <c r="K2114" s="89" t="s">
        <v>3259</v>
      </c>
      <c r="L2114" s="89" t="str">
        <f>G70</f>
        <v>C1b1a1a</v>
      </c>
      <c r="M2114" s="89"/>
      <c r="N2114" s="89" t="s">
        <v>3260</v>
      </c>
      <c r="O2114" s="92">
        <v>1.5951998E7</v>
      </c>
      <c r="P2114" s="92">
        <v>1.3840118E7</v>
      </c>
      <c r="Q2114" s="89" t="s">
        <v>810</v>
      </c>
      <c r="AF2114" s="1"/>
      <c r="AG2114" s="1"/>
    </row>
    <row r="2115" ht="15.75" customHeight="1">
      <c r="A2115" s="1"/>
      <c r="B2115" s="1"/>
      <c r="C2115" s="1"/>
      <c r="D2115" s="1"/>
      <c r="E2115" s="1"/>
      <c r="F2115" s="1"/>
      <c r="G2115" s="1"/>
      <c r="H2115" s="1"/>
      <c r="I2115" s="1"/>
      <c r="J2115" s="1"/>
      <c r="K2115" s="89" t="s">
        <v>3261</v>
      </c>
      <c r="L2115" s="89" t="str">
        <f>G70</f>
        <v>C1b1a1a</v>
      </c>
      <c r="M2115" s="89"/>
      <c r="N2115" s="89" t="s">
        <v>3262</v>
      </c>
      <c r="O2115" s="92">
        <v>1.6181084E7</v>
      </c>
      <c r="P2115" s="92">
        <v>1.4069204E7</v>
      </c>
      <c r="Q2115" s="89" t="s">
        <v>802</v>
      </c>
      <c r="AF2115" s="1"/>
      <c r="AG2115" s="1"/>
    </row>
    <row r="2116" ht="15.75" customHeight="1">
      <c r="A2116" s="1"/>
      <c r="B2116" s="1"/>
      <c r="C2116" s="1"/>
      <c r="D2116" s="1"/>
      <c r="E2116" s="1"/>
      <c r="F2116" s="1"/>
      <c r="G2116" s="1"/>
      <c r="H2116" s="1"/>
      <c r="I2116" s="1"/>
      <c r="J2116" s="1"/>
      <c r="K2116" s="89" t="s">
        <v>3263</v>
      </c>
      <c r="L2116" s="89" t="str">
        <f>G70</f>
        <v>C1b1a1a</v>
      </c>
      <c r="M2116" s="89"/>
      <c r="N2116" s="89" t="s">
        <v>3264</v>
      </c>
      <c r="O2116" s="92">
        <v>1.632707E7</v>
      </c>
      <c r="P2116" s="92">
        <v>1.421519E7</v>
      </c>
      <c r="Q2116" s="89" t="s">
        <v>845</v>
      </c>
      <c r="AF2116" s="1"/>
      <c r="AG2116" s="1"/>
    </row>
    <row r="2117" ht="15.75" customHeight="1">
      <c r="A2117" s="1"/>
      <c r="B2117" s="1"/>
      <c r="C2117" s="1"/>
      <c r="D2117" s="1"/>
      <c r="E2117" s="1"/>
      <c r="F2117" s="1"/>
      <c r="G2117" s="1"/>
      <c r="H2117" s="1"/>
      <c r="I2117" s="1"/>
      <c r="J2117" s="1"/>
      <c r="K2117" s="89" t="s">
        <v>3265</v>
      </c>
      <c r="L2117" s="89" t="str">
        <f>G70</f>
        <v>C1b1a1a</v>
      </c>
      <c r="M2117" s="89"/>
      <c r="N2117" s="89" t="s">
        <v>3266</v>
      </c>
      <c r="O2117" s="92">
        <v>1.6854925E7</v>
      </c>
      <c r="P2117" s="92">
        <v>1.4743045E7</v>
      </c>
      <c r="Q2117" s="89" t="s">
        <v>810</v>
      </c>
      <c r="AF2117" s="1"/>
      <c r="AG2117" s="1"/>
    </row>
    <row r="2118" ht="15.75" customHeight="1">
      <c r="A2118" s="1"/>
      <c r="B2118" s="1"/>
      <c r="C2118" s="1"/>
      <c r="D2118" s="1"/>
      <c r="E2118" s="1"/>
      <c r="F2118" s="1"/>
      <c r="G2118" s="1"/>
      <c r="H2118" s="1"/>
      <c r="I2118" s="1"/>
      <c r="J2118" s="1"/>
      <c r="K2118" s="89" t="s">
        <v>3267</v>
      </c>
      <c r="L2118" s="89" t="str">
        <f>G70</f>
        <v>C1b1a1a</v>
      </c>
      <c r="M2118" s="89"/>
      <c r="N2118" s="89" t="s">
        <v>3268</v>
      </c>
      <c r="O2118" s="92">
        <v>1.6868213E7</v>
      </c>
      <c r="P2118" s="92">
        <v>1.4756333E7</v>
      </c>
      <c r="Q2118" s="89" t="s">
        <v>822</v>
      </c>
      <c r="AF2118" s="1"/>
      <c r="AG2118" s="1"/>
    </row>
    <row r="2119" ht="15.75" customHeight="1">
      <c r="A2119" s="1"/>
      <c r="B2119" s="1"/>
      <c r="C2119" s="1"/>
      <c r="D2119" s="1"/>
      <c r="E2119" s="1"/>
      <c r="F2119" s="1"/>
      <c r="G2119" s="1"/>
      <c r="H2119" s="1"/>
      <c r="I2119" s="1"/>
      <c r="J2119" s="1"/>
      <c r="K2119" s="89" t="s">
        <v>3269</v>
      </c>
      <c r="L2119" s="89" t="str">
        <f>G70</f>
        <v>C1b1a1a</v>
      </c>
      <c r="M2119" s="89"/>
      <c r="N2119" s="89" t="s">
        <v>3270</v>
      </c>
      <c r="O2119" s="92">
        <v>1.6997547E7</v>
      </c>
      <c r="P2119" s="92">
        <v>1.4885667E7</v>
      </c>
      <c r="Q2119" s="89" t="s">
        <v>810</v>
      </c>
      <c r="AF2119" s="1"/>
      <c r="AG2119" s="1"/>
    </row>
    <row r="2120" ht="15.75" customHeight="1">
      <c r="A2120" s="1"/>
      <c r="B2120" s="1"/>
      <c r="C2120" s="1"/>
      <c r="D2120" s="1"/>
      <c r="E2120" s="1"/>
      <c r="F2120" s="1"/>
      <c r="G2120" s="1"/>
      <c r="H2120" s="1"/>
      <c r="I2120" s="1"/>
      <c r="J2120" s="1"/>
      <c r="K2120" s="89" t="s">
        <v>3271</v>
      </c>
      <c r="L2120" s="89" t="str">
        <f>G70</f>
        <v>C1b1a1a</v>
      </c>
      <c r="M2120" s="89"/>
      <c r="N2120" s="89" t="s">
        <v>3272</v>
      </c>
      <c r="O2120" s="92">
        <v>1.763124E7</v>
      </c>
      <c r="P2120" s="92">
        <v>1.551936E7</v>
      </c>
      <c r="Q2120" s="89" t="s">
        <v>802</v>
      </c>
      <c r="AF2120" s="1"/>
      <c r="AG2120" s="1"/>
    </row>
    <row r="2121" ht="15.75" customHeight="1">
      <c r="A2121" s="1"/>
      <c r="B2121" s="1"/>
      <c r="C2121" s="1"/>
      <c r="D2121" s="1"/>
      <c r="E2121" s="1"/>
      <c r="F2121" s="1"/>
      <c r="G2121" s="1"/>
      <c r="H2121" s="1"/>
      <c r="I2121" s="1"/>
      <c r="J2121" s="1"/>
      <c r="K2121" s="89" t="s">
        <v>3273</v>
      </c>
      <c r="L2121" s="89" t="str">
        <f>G70</f>
        <v>C1b1a1a</v>
      </c>
      <c r="M2121" s="89"/>
      <c r="N2121" s="89" t="s">
        <v>3274</v>
      </c>
      <c r="O2121" s="92">
        <v>1.838185E7</v>
      </c>
      <c r="P2121" s="92">
        <v>1.626997E7</v>
      </c>
      <c r="Q2121" s="89" t="s">
        <v>810</v>
      </c>
      <c r="AF2121" s="1"/>
      <c r="AG2121" s="1"/>
    </row>
    <row r="2122" ht="15.75" customHeight="1">
      <c r="A2122" s="1"/>
      <c r="B2122" s="1"/>
      <c r="C2122" s="1"/>
      <c r="D2122" s="1"/>
      <c r="E2122" s="1"/>
      <c r="F2122" s="1"/>
      <c r="G2122" s="1"/>
      <c r="H2122" s="1"/>
      <c r="I2122" s="1"/>
      <c r="J2122" s="1"/>
      <c r="K2122" s="89" t="s">
        <v>3275</v>
      </c>
      <c r="L2122" s="89" t="str">
        <f>G70</f>
        <v>C1b1a1a</v>
      </c>
      <c r="M2122" s="89"/>
      <c r="N2122" s="89" t="s">
        <v>3276</v>
      </c>
      <c r="O2122" s="92">
        <v>2.0807162E7</v>
      </c>
      <c r="P2122" s="92">
        <v>1.8645276E7</v>
      </c>
      <c r="Q2122" s="89" t="s">
        <v>802</v>
      </c>
      <c r="AF2122" s="1"/>
      <c r="AG2122" s="1"/>
    </row>
    <row r="2123" ht="15.75" customHeight="1">
      <c r="A2123" s="1"/>
      <c r="B2123" s="1"/>
      <c r="C2123" s="1"/>
      <c r="D2123" s="1"/>
      <c r="E2123" s="1"/>
      <c r="F2123" s="1"/>
      <c r="G2123" s="1"/>
      <c r="H2123" s="1"/>
      <c r="I2123" s="1"/>
      <c r="J2123" s="1"/>
      <c r="K2123" s="89" t="s">
        <v>3277</v>
      </c>
      <c r="L2123" s="89" t="str">
        <f>G70</f>
        <v>C1b1a1a</v>
      </c>
      <c r="M2123" s="89"/>
      <c r="N2123" s="89" t="s">
        <v>3278</v>
      </c>
      <c r="O2123" s="92">
        <v>2.134745E7</v>
      </c>
      <c r="P2123" s="92">
        <v>1.9185564E7</v>
      </c>
      <c r="Q2123" s="89" t="s">
        <v>912</v>
      </c>
      <c r="AF2123" s="1"/>
      <c r="AG2123" s="1"/>
    </row>
    <row r="2124" ht="15.75" customHeight="1">
      <c r="A2124" s="1"/>
      <c r="B2124" s="1"/>
      <c r="C2124" s="1"/>
      <c r="D2124" s="1"/>
      <c r="E2124" s="1"/>
      <c r="F2124" s="1"/>
      <c r="G2124" s="1"/>
      <c r="H2124" s="1"/>
      <c r="I2124" s="1"/>
      <c r="J2124" s="1"/>
      <c r="K2124" s="89" t="s">
        <v>3279</v>
      </c>
      <c r="L2124" s="89" t="str">
        <f>G70</f>
        <v>C1b1a1a</v>
      </c>
      <c r="M2124" s="89"/>
      <c r="N2124" s="89" t="s">
        <v>3280</v>
      </c>
      <c r="O2124" s="89">
        <v>2.1349351E7</v>
      </c>
      <c r="P2124" s="89">
        <v>1.9187465E7</v>
      </c>
      <c r="Q2124" s="89" t="s">
        <v>802</v>
      </c>
      <c r="AF2124" s="1"/>
      <c r="AG2124" s="1"/>
    </row>
    <row r="2125" ht="15.75" customHeight="1">
      <c r="A2125" s="1"/>
      <c r="B2125" s="1"/>
      <c r="C2125" s="1"/>
      <c r="D2125" s="1"/>
      <c r="E2125" s="1"/>
      <c r="F2125" s="1"/>
      <c r="G2125" s="1"/>
      <c r="H2125" s="1"/>
      <c r="I2125" s="1"/>
      <c r="J2125" s="1"/>
      <c r="K2125" s="89" t="s">
        <v>3281</v>
      </c>
      <c r="L2125" s="89" t="str">
        <f>G70</f>
        <v>C1b1a1a</v>
      </c>
      <c r="M2125" s="89"/>
      <c r="N2125" s="89" t="s">
        <v>3282</v>
      </c>
      <c r="O2125" s="92">
        <v>2.1431927E7</v>
      </c>
      <c r="P2125" s="92">
        <v>1.9270041E7</v>
      </c>
      <c r="Q2125" s="89" t="s">
        <v>802</v>
      </c>
      <c r="AF2125" s="1"/>
      <c r="AG2125" s="1"/>
    </row>
    <row r="2126" ht="15.75" customHeight="1">
      <c r="A2126" s="1"/>
      <c r="B2126" s="1"/>
      <c r="C2126" s="1"/>
      <c r="D2126" s="1"/>
      <c r="E2126" s="1"/>
      <c r="F2126" s="1"/>
      <c r="G2126" s="1"/>
      <c r="H2126" s="1"/>
      <c r="I2126" s="1"/>
      <c r="J2126" s="1"/>
      <c r="K2126" s="89" t="s">
        <v>3283</v>
      </c>
      <c r="L2126" s="89" t="str">
        <f>G70</f>
        <v>C1b1a1a</v>
      </c>
      <c r="M2126" s="89"/>
      <c r="N2126" s="89" t="s">
        <v>3284</v>
      </c>
      <c r="O2126" s="92">
        <v>2.1487886E7</v>
      </c>
      <c r="P2126" s="92">
        <v>1.9326E7</v>
      </c>
      <c r="Q2126" s="89" t="s">
        <v>802</v>
      </c>
      <c r="AF2126" s="1"/>
      <c r="AG2126" s="1"/>
    </row>
    <row r="2127" ht="15.75" customHeight="1">
      <c r="A2127" s="1"/>
      <c r="B2127" s="1"/>
      <c r="C2127" s="1"/>
      <c r="D2127" s="1"/>
      <c r="E2127" s="1"/>
      <c r="F2127" s="1"/>
      <c r="G2127" s="1"/>
      <c r="H2127" s="1"/>
      <c r="I2127" s="1"/>
      <c r="J2127" s="1"/>
      <c r="K2127" s="89" t="s">
        <v>3285</v>
      </c>
      <c r="L2127" s="89" t="str">
        <f>G70</f>
        <v>C1b1a1a</v>
      </c>
      <c r="M2127" s="89"/>
      <c r="N2127" s="89" t="s">
        <v>3286</v>
      </c>
      <c r="O2127" s="92">
        <v>2.1823075E7</v>
      </c>
      <c r="P2127" s="92">
        <v>1.9661189E7</v>
      </c>
      <c r="Q2127" s="89" t="s">
        <v>912</v>
      </c>
      <c r="AF2127" s="1"/>
      <c r="AG2127" s="1"/>
    </row>
    <row r="2128" ht="15.75" customHeight="1">
      <c r="A2128" s="1"/>
      <c r="B2128" s="1"/>
      <c r="C2128" s="1"/>
      <c r="D2128" s="1"/>
      <c r="E2128" s="1"/>
      <c r="F2128" s="1"/>
      <c r="G2128" s="1"/>
      <c r="H2128" s="1"/>
      <c r="I2128" s="1"/>
      <c r="J2128" s="1"/>
      <c r="K2128" s="89" t="s">
        <v>3287</v>
      </c>
      <c r="L2128" s="89" t="str">
        <f>G70</f>
        <v>C1b1a1a</v>
      </c>
      <c r="M2128" s="89"/>
      <c r="N2128" s="89" t="s">
        <v>3288</v>
      </c>
      <c r="O2128" s="92">
        <v>2.2091237E7</v>
      </c>
      <c r="P2128" s="92">
        <v>1.9929351E7</v>
      </c>
      <c r="Q2128" s="89" t="s">
        <v>917</v>
      </c>
      <c r="AF2128" s="1"/>
      <c r="AG2128" s="1"/>
    </row>
    <row r="2129" ht="15.75" customHeight="1">
      <c r="A2129" s="1"/>
      <c r="B2129" s="1"/>
      <c r="C2129" s="1"/>
      <c r="D2129" s="1"/>
      <c r="E2129" s="1"/>
      <c r="F2129" s="1"/>
      <c r="G2129" s="1"/>
      <c r="H2129" s="1"/>
      <c r="I2129" s="1"/>
      <c r="J2129" s="1"/>
      <c r="K2129" s="89" t="s">
        <v>3289</v>
      </c>
      <c r="L2129" s="89" t="str">
        <f>G70</f>
        <v>C1b1a1a</v>
      </c>
      <c r="M2129" s="89"/>
      <c r="N2129" s="89"/>
      <c r="O2129" s="92">
        <v>2.2300719E7</v>
      </c>
      <c r="P2129" s="92">
        <v>2.0138833E7</v>
      </c>
      <c r="Q2129" s="89" t="s">
        <v>813</v>
      </c>
      <c r="AF2129" s="1"/>
      <c r="AG2129" s="1"/>
    </row>
    <row r="2130" ht="15.75" customHeight="1">
      <c r="A2130" s="1"/>
      <c r="B2130" s="1"/>
      <c r="C2130" s="1"/>
      <c r="D2130" s="1"/>
      <c r="E2130" s="1"/>
      <c r="F2130" s="1"/>
      <c r="G2130" s="1"/>
      <c r="H2130" s="1"/>
      <c r="I2130" s="1"/>
      <c r="J2130" s="1"/>
      <c r="K2130" s="89" t="s">
        <v>3290</v>
      </c>
      <c r="L2130" s="89" t="str">
        <f>G70</f>
        <v>C1b1a1a</v>
      </c>
      <c r="M2130" s="89"/>
      <c r="N2130" s="89"/>
      <c r="O2130" s="92">
        <v>2.2423331E7</v>
      </c>
      <c r="P2130" s="92">
        <v>2.0261445E7</v>
      </c>
      <c r="Q2130" s="89" t="s">
        <v>838</v>
      </c>
      <c r="AF2130" s="1"/>
      <c r="AG2130" s="1"/>
    </row>
    <row r="2131" ht="15.75" customHeight="1">
      <c r="A2131" s="1"/>
      <c r="B2131" s="1"/>
      <c r="C2131" s="1"/>
      <c r="D2131" s="1"/>
      <c r="E2131" s="1"/>
      <c r="F2131" s="1"/>
      <c r="G2131" s="1"/>
      <c r="H2131" s="1"/>
      <c r="I2131" s="1"/>
      <c r="J2131" s="1"/>
      <c r="K2131" s="89" t="s">
        <v>3291</v>
      </c>
      <c r="L2131" s="89" t="str">
        <f>G70</f>
        <v>C1b1a1a</v>
      </c>
      <c r="M2131" s="89"/>
      <c r="N2131" s="89" t="s">
        <v>3292</v>
      </c>
      <c r="O2131" s="92">
        <v>2.2540251E7</v>
      </c>
      <c r="P2131" s="92">
        <v>2.0378365E7</v>
      </c>
      <c r="Q2131" s="89" t="s">
        <v>810</v>
      </c>
      <c r="AF2131" s="1"/>
      <c r="AG2131" s="1"/>
    </row>
    <row r="2132" ht="15.75" customHeight="1">
      <c r="A2132" s="1"/>
      <c r="B2132" s="1"/>
      <c r="C2132" s="1"/>
      <c r="D2132" s="1"/>
      <c r="E2132" s="1"/>
      <c r="F2132" s="1"/>
      <c r="G2132" s="1"/>
      <c r="H2132" s="1"/>
      <c r="I2132" s="1"/>
      <c r="J2132" s="1"/>
      <c r="K2132" s="89" t="s">
        <v>3293</v>
      </c>
      <c r="L2132" s="89" t="str">
        <f>G70</f>
        <v>C1b1a1a</v>
      </c>
      <c r="M2132" s="89"/>
      <c r="N2132" s="89" t="s">
        <v>3294</v>
      </c>
      <c r="O2132" s="92">
        <v>2.314364E7</v>
      </c>
      <c r="P2132" s="92">
        <v>2.0981754E7</v>
      </c>
      <c r="Q2132" s="89" t="s">
        <v>810</v>
      </c>
      <c r="AF2132" s="1"/>
      <c r="AG2132" s="1"/>
    </row>
    <row r="2133" ht="15.75" customHeight="1">
      <c r="A2133" s="1"/>
      <c r="B2133" s="1"/>
      <c r="C2133" s="1"/>
      <c r="D2133" s="1"/>
      <c r="E2133" s="1"/>
      <c r="F2133" s="1"/>
      <c r="G2133" s="1"/>
      <c r="H2133" s="1"/>
      <c r="I2133" s="1"/>
      <c r="J2133" s="1"/>
      <c r="K2133" s="89" t="s">
        <v>3295</v>
      </c>
      <c r="L2133" s="89" t="str">
        <f>G70</f>
        <v>C1b1a1a</v>
      </c>
      <c r="M2133" s="89"/>
      <c r="N2133" s="89" t="s">
        <v>3296</v>
      </c>
      <c r="O2133" s="89" t="s">
        <v>3297</v>
      </c>
      <c r="P2133" s="89" t="s">
        <v>3298</v>
      </c>
      <c r="Q2133" s="89" t="s">
        <v>3299</v>
      </c>
      <c r="AF2133" s="1"/>
      <c r="AG2133" s="1"/>
    </row>
    <row r="2134" ht="15.75" customHeight="1">
      <c r="A2134" s="1"/>
      <c r="B2134" s="1"/>
      <c r="C2134" s="1"/>
      <c r="D2134" s="1"/>
      <c r="E2134" s="1"/>
      <c r="F2134" s="1"/>
      <c r="G2134" s="1"/>
      <c r="H2134" s="1"/>
      <c r="I2134" s="1"/>
      <c r="J2134" s="1"/>
      <c r="K2134" s="89" t="s">
        <v>3300</v>
      </c>
      <c r="L2134" s="89" t="str">
        <f>H71</f>
        <v>C1b1a1a1</v>
      </c>
      <c r="M2134" s="89"/>
      <c r="N2134" s="89" t="s">
        <v>3301</v>
      </c>
      <c r="O2134" s="92">
        <v>2757033.0</v>
      </c>
      <c r="P2134" s="92">
        <v>2888992.0</v>
      </c>
      <c r="Q2134" s="89" t="s">
        <v>886</v>
      </c>
      <c r="AF2134" s="1"/>
      <c r="AG2134" s="1"/>
    </row>
    <row r="2135" ht="15.75" customHeight="1">
      <c r="A2135" s="1"/>
      <c r="B2135" s="1"/>
      <c r="C2135" s="1"/>
      <c r="D2135" s="1"/>
      <c r="E2135" s="1"/>
      <c r="F2135" s="1"/>
      <c r="G2135" s="1"/>
      <c r="H2135" s="1"/>
      <c r="I2135" s="1"/>
      <c r="J2135" s="1"/>
      <c r="K2135" s="89" t="s">
        <v>3302</v>
      </c>
      <c r="L2135" s="89" t="str">
        <f>H71</f>
        <v>C1b1a1a1</v>
      </c>
      <c r="M2135" s="89"/>
      <c r="N2135" s="89" t="s">
        <v>3303</v>
      </c>
      <c r="O2135" s="92">
        <v>2758758.0</v>
      </c>
      <c r="P2135" s="92">
        <v>2890717.0</v>
      </c>
      <c r="Q2135" s="89" t="s">
        <v>831</v>
      </c>
      <c r="AF2135" s="1"/>
      <c r="AG2135" s="1"/>
    </row>
    <row r="2136" ht="15.75" customHeight="1">
      <c r="A2136" s="1"/>
      <c r="B2136" s="1"/>
      <c r="C2136" s="1"/>
      <c r="D2136" s="1"/>
      <c r="E2136" s="1"/>
      <c r="F2136" s="1"/>
      <c r="G2136" s="1"/>
      <c r="H2136" s="1"/>
      <c r="I2136" s="1"/>
      <c r="J2136" s="1"/>
      <c r="K2136" s="89" t="s">
        <v>3304</v>
      </c>
      <c r="L2136" s="89" t="str">
        <f>H71</f>
        <v>C1b1a1a1</v>
      </c>
      <c r="M2136" s="89"/>
      <c r="N2136" s="89" t="s">
        <v>3305</v>
      </c>
      <c r="O2136" s="92">
        <v>2784458.0</v>
      </c>
      <c r="P2136" s="92">
        <v>2916417.0</v>
      </c>
      <c r="Q2136" s="89" t="s">
        <v>810</v>
      </c>
      <c r="AF2136" s="1"/>
      <c r="AG2136" s="1"/>
    </row>
    <row r="2137" ht="15.75" customHeight="1">
      <c r="A2137" s="1"/>
      <c r="B2137" s="1"/>
      <c r="C2137" s="1"/>
      <c r="D2137" s="1"/>
      <c r="E2137" s="1"/>
      <c r="F2137" s="1"/>
      <c r="G2137" s="1"/>
      <c r="H2137" s="1"/>
      <c r="I2137" s="1"/>
      <c r="J2137" s="1"/>
      <c r="K2137" s="89" t="s">
        <v>3306</v>
      </c>
      <c r="L2137" s="89" t="str">
        <f>H71</f>
        <v>C1b1a1a1</v>
      </c>
      <c r="M2137" s="89"/>
      <c r="N2137" s="89" t="s">
        <v>3307</v>
      </c>
      <c r="O2137" s="92">
        <v>7073573.0</v>
      </c>
      <c r="P2137" s="92">
        <v>7205532.0</v>
      </c>
      <c r="Q2137" s="89" t="s">
        <v>813</v>
      </c>
      <c r="AF2137" s="1"/>
      <c r="AG2137" s="1"/>
    </row>
    <row r="2138" ht="15.75" customHeight="1">
      <c r="A2138" s="1"/>
      <c r="B2138" s="1"/>
      <c r="C2138" s="1"/>
      <c r="D2138" s="1"/>
      <c r="E2138" s="1"/>
      <c r="F2138" s="1"/>
      <c r="G2138" s="1"/>
      <c r="H2138" s="1"/>
      <c r="I2138" s="1"/>
      <c r="J2138" s="1"/>
      <c r="K2138" s="89" t="s">
        <v>3308</v>
      </c>
      <c r="L2138" s="89" t="str">
        <f>H71</f>
        <v>C1b1a1a1</v>
      </c>
      <c r="M2138" s="89"/>
      <c r="N2138" s="89" t="s">
        <v>3309</v>
      </c>
      <c r="O2138" s="92">
        <v>7156821.0</v>
      </c>
      <c r="P2138" s="92">
        <v>7288780.0</v>
      </c>
      <c r="Q2138" s="89" t="s">
        <v>802</v>
      </c>
      <c r="AF2138" s="1"/>
      <c r="AG2138" s="1"/>
    </row>
    <row r="2139" ht="15.75" customHeight="1">
      <c r="A2139" s="1"/>
      <c r="B2139" s="1"/>
      <c r="C2139" s="1"/>
      <c r="D2139" s="1"/>
      <c r="E2139" s="1"/>
      <c r="F2139" s="1"/>
      <c r="G2139" s="1"/>
      <c r="H2139" s="1"/>
      <c r="I2139" s="1"/>
      <c r="J2139" s="1"/>
      <c r="K2139" s="89" t="s">
        <v>3310</v>
      </c>
      <c r="L2139" s="89" t="str">
        <f>H71</f>
        <v>C1b1a1a1</v>
      </c>
      <c r="M2139" s="89"/>
      <c r="N2139" s="89" t="s">
        <v>3311</v>
      </c>
      <c r="O2139" s="92">
        <v>7651979.0</v>
      </c>
      <c r="P2139" s="92">
        <v>7783938.0</v>
      </c>
      <c r="Q2139" s="89" t="s">
        <v>802</v>
      </c>
      <c r="AF2139" s="1"/>
      <c r="AG2139" s="1"/>
    </row>
    <row r="2140" ht="15.75" customHeight="1">
      <c r="A2140" s="1"/>
      <c r="B2140" s="1"/>
      <c r="C2140" s="1"/>
      <c r="D2140" s="1"/>
      <c r="E2140" s="1"/>
      <c r="F2140" s="1"/>
      <c r="G2140" s="1"/>
      <c r="H2140" s="1"/>
      <c r="I2140" s="1"/>
      <c r="J2140" s="1"/>
      <c r="K2140" s="89" t="s">
        <v>3312</v>
      </c>
      <c r="L2140" s="89" t="str">
        <f>H71</f>
        <v>C1b1a1a1</v>
      </c>
      <c r="M2140" s="89"/>
      <c r="N2140" s="89" t="s">
        <v>3313</v>
      </c>
      <c r="O2140" s="92">
        <v>7886381.0</v>
      </c>
      <c r="P2140" s="92">
        <v>8018340.0</v>
      </c>
      <c r="Q2140" s="89" t="s">
        <v>802</v>
      </c>
      <c r="AF2140" s="1"/>
      <c r="AG2140" s="1"/>
    </row>
    <row r="2141" ht="15.75" customHeight="1">
      <c r="A2141" s="1"/>
      <c r="B2141" s="1"/>
      <c r="C2141" s="1"/>
      <c r="D2141" s="1"/>
      <c r="E2141" s="1"/>
      <c r="F2141" s="1"/>
      <c r="G2141" s="1"/>
      <c r="H2141" s="1"/>
      <c r="I2141" s="1"/>
      <c r="J2141" s="1"/>
      <c r="K2141" s="89" t="s">
        <v>3314</v>
      </c>
      <c r="L2141" s="89" t="str">
        <f>H71</f>
        <v>C1b1a1a1</v>
      </c>
      <c r="M2141" s="89"/>
      <c r="N2141" s="89" t="s">
        <v>3315</v>
      </c>
      <c r="O2141" s="92">
        <v>8461068.0</v>
      </c>
      <c r="P2141" s="92">
        <v>8593027.0</v>
      </c>
      <c r="Q2141" s="89" t="s">
        <v>822</v>
      </c>
      <c r="AF2141" s="1"/>
      <c r="AG2141" s="1"/>
    </row>
    <row r="2142" ht="15.75" customHeight="1">
      <c r="A2142" s="1"/>
      <c r="B2142" s="1"/>
      <c r="C2142" s="1"/>
      <c r="D2142" s="1"/>
      <c r="E2142" s="1"/>
      <c r="F2142" s="1"/>
      <c r="G2142" s="1"/>
      <c r="H2142" s="1"/>
      <c r="I2142" s="1"/>
      <c r="J2142" s="1"/>
      <c r="K2142" s="89" t="s">
        <v>3316</v>
      </c>
      <c r="L2142" s="89" t="str">
        <f>H71</f>
        <v>C1b1a1a1</v>
      </c>
      <c r="M2142" s="89"/>
      <c r="N2142" s="89" t="s">
        <v>3317</v>
      </c>
      <c r="O2142" s="92">
        <v>8518433.0</v>
      </c>
      <c r="P2142" s="92">
        <v>8650392.0</v>
      </c>
      <c r="Q2142" s="89" t="s">
        <v>886</v>
      </c>
      <c r="AF2142" s="1"/>
      <c r="AG2142" s="1"/>
    </row>
    <row r="2143" ht="15.75" customHeight="1">
      <c r="A2143" s="1"/>
      <c r="B2143" s="1"/>
      <c r="C2143" s="1"/>
      <c r="D2143" s="1"/>
      <c r="E2143" s="1"/>
      <c r="F2143" s="1"/>
      <c r="G2143" s="1"/>
      <c r="H2143" s="1"/>
      <c r="I2143" s="1"/>
      <c r="J2143" s="1"/>
      <c r="K2143" s="89" t="s">
        <v>3318</v>
      </c>
      <c r="L2143" s="89" t="str">
        <f>H71</f>
        <v>C1b1a1a1</v>
      </c>
      <c r="M2143" s="89"/>
      <c r="N2143" s="89" t="s">
        <v>3319</v>
      </c>
      <c r="O2143" s="89">
        <v>1.4211515E7</v>
      </c>
      <c r="P2143" s="89">
        <v>1.2090809E7</v>
      </c>
      <c r="Q2143" s="89" t="s">
        <v>813</v>
      </c>
      <c r="AF2143" s="1"/>
      <c r="AG2143" s="1"/>
    </row>
    <row r="2144" ht="15.75" customHeight="1">
      <c r="A2144" s="1"/>
      <c r="B2144" s="1"/>
      <c r="C2144" s="1"/>
      <c r="D2144" s="1"/>
      <c r="E2144" s="1"/>
      <c r="F2144" s="1"/>
      <c r="G2144" s="1"/>
      <c r="H2144" s="1"/>
      <c r="I2144" s="1"/>
      <c r="J2144" s="1"/>
      <c r="K2144" s="89" t="s">
        <v>3320</v>
      </c>
      <c r="L2144" s="89" t="str">
        <f>H71</f>
        <v>C1b1a1a1</v>
      </c>
      <c r="M2144" s="89"/>
      <c r="N2144" s="89" t="s">
        <v>3321</v>
      </c>
      <c r="O2144" s="92">
        <v>1.4216901E7</v>
      </c>
      <c r="P2144" s="92">
        <v>1.2096195E7</v>
      </c>
      <c r="Q2144" s="89" t="s">
        <v>864</v>
      </c>
      <c r="AF2144" s="1"/>
      <c r="AG2144" s="1"/>
    </row>
    <row r="2145" ht="15.75" customHeight="1">
      <c r="A2145" s="1"/>
      <c r="B2145" s="1"/>
      <c r="C2145" s="1"/>
      <c r="D2145" s="1"/>
      <c r="E2145" s="1"/>
      <c r="F2145" s="1"/>
      <c r="G2145" s="1"/>
      <c r="H2145" s="1"/>
      <c r="I2145" s="1"/>
      <c r="J2145" s="1"/>
      <c r="K2145" s="89" t="s">
        <v>3322</v>
      </c>
      <c r="L2145" s="89" t="str">
        <f>H71</f>
        <v>C1b1a1a1</v>
      </c>
      <c r="M2145" s="89"/>
      <c r="N2145" s="89" t="s">
        <v>3323</v>
      </c>
      <c r="O2145" s="92">
        <v>1.4227972E7</v>
      </c>
      <c r="P2145" s="92">
        <v>1.2107266E7</v>
      </c>
      <c r="Q2145" s="89" t="s">
        <v>810</v>
      </c>
      <c r="AF2145" s="1"/>
      <c r="AG2145" s="1"/>
    </row>
    <row r="2146" ht="15.75" customHeight="1">
      <c r="A2146" s="1"/>
      <c r="B2146" s="1"/>
      <c r="C2146" s="1"/>
      <c r="D2146" s="1"/>
      <c r="E2146" s="1"/>
      <c r="F2146" s="1"/>
      <c r="G2146" s="1"/>
      <c r="H2146" s="1"/>
      <c r="I2146" s="1"/>
      <c r="J2146" s="1"/>
      <c r="K2146" s="89" t="s">
        <v>3324</v>
      </c>
      <c r="L2146" s="89" t="str">
        <f>H71</f>
        <v>C1b1a1a1</v>
      </c>
      <c r="M2146" s="89"/>
      <c r="N2146" s="89" t="s">
        <v>3325</v>
      </c>
      <c r="O2146" s="92">
        <v>1.4237904E7</v>
      </c>
      <c r="P2146" s="92">
        <v>1.2117198E7</v>
      </c>
      <c r="Q2146" s="89" t="s">
        <v>917</v>
      </c>
      <c r="AF2146" s="1"/>
      <c r="AG2146" s="1"/>
    </row>
    <row r="2147" ht="15.75" customHeight="1">
      <c r="A2147" s="1"/>
      <c r="B2147" s="1"/>
      <c r="C2147" s="1"/>
      <c r="D2147" s="1"/>
      <c r="E2147" s="1"/>
      <c r="F2147" s="1"/>
      <c r="G2147" s="1"/>
      <c r="H2147" s="1"/>
      <c r="I2147" s="1"/>
      <c r="J2147" s="1"/>
      <c r="K2147" s="89" t="s">
        <v>3326</v>
      </c>
      <c r="L2147" s="89" t="str">
        <f>H71</f>
        <v>C1b1a1a1</v>
      </c>
      <c r="M2147" s="89"/>
      <c r="N2147" s="89" t="s">
        <v>3327</v>
      </c>
      <c r="O2147" s="92">
        <v>1.5224729E7</v>
      </c>
      <c r="P2147" s="92">
        <v>1.3112815E7</v>
      </c>
      <c r="Q2147" s="89" t="s">
        <v>810</v>
      </c>
      <c r="AF2147" s="1"/>
      <c r="AG2147" s="1"/>
    </row>
    <row r="2148" ht="15.75" customHeight="1">
      <c r="A2148" s="1"/>
      <c r="B2148" s="1"/>
      <c r="C2148" s="1"/>
      <c r="D2148" s="1"/>
      <c r="E2148" s="1"/>
      <c r="F2148" s="1"/>
      <c r="G2148" s="1"/>
      <c r="H2148" s="1"/>
      <c r="I2148" s="1"/>
      <c r="J2148" s="1"/>
      <c r="K2148" s="89" t="s">
        <v>3328</v>
      </c>
      <c r="L2148" s="89" t="str">
        <f>H71</f>
        <v>C1b1a1a1</v>
      </c>
      <c r="M2148" s="89"/>
      <c r="N2148" s="89" t="s">
        <v>3329</v>
      </c>
      <c r="O2148" s="92">
        <v>1.554527E7</v>
      </c>
      <c r="P2148" s="92">
        <v>1.343339E7</v>
      </c>
      <c r="Q2148" s="89" t="s">
        <v>822</v>
      </c>
      <c r="AF2148" s="1"/>
      <c r="AG2148" s="1"/>
    </row>
    <row r="2149" ht="15.75" customHeight="1">
      <c r="A2149" s="1"/>
      <c r="B2149" s="1"/>
      <c r="C2149" s="1"/>
      <c r="D2149" s="1"/>
      <c r="E2149" s="1"/>
      <c r="F2149" s="1"/>
      <c r="G2149" s="1"/>
      <c r="H2149" s="1"/>
      <c r="I2149" s="1"/>
      <c r="J2149" s="1"/>
      <c r="K2149" s="89" t="s">
        <v>3330</v>
      </c>
      <c r="L2149" s="89" t="str">
        <f>H71</f>
        <v>C1b1a1a1</v>
      </c>
      <c r="M2149" s="89"/>
      <c r="N2149" s="89" t="s">
        <v>3331</v>
      </c>
      <c r="O2149" s="92">
        <v>1.5764724E7</v>
      </c>
      <c r="P2149" s="92">
        <v>1.3652844E7</v>
      </c>
      <c r="Q2149" s="89" t="s">
        <v>802</v>
      </c>
      <c r="AF2149" s="1"/>
      <c r="AG2149" s="1"/>
    </row>
    <row r="2150" ht="15.75" customHeight="1">
      <c r="A2150" s="1"/>
      <c r="B2150" s="1"/>
      <c r="C2150" s="1"/>
      <c r="D2150" s="1"/>
      <c r="E2150" s="1"/>
      <c r="F2150" s="1"/>
      <c r="G2150" s="1"/>
      <c r="H2150" s="1"/>
      <c r="I2150" s="1"/>
      <c r="J2150" s="1"/>
      <c r="K2150" s="89" t="s">
        <v>3332</v>
      </c>
      <c r="L2150" s="89" t="str">
        <f>H71</f>
        <v>C1b1a1a1</v>
      </c>
      <c r="M2150" s="89"/>
      <c r="N2150" s="89" t="s">
        <v>3333</v>
      </c>
      <c r="O2150" s="92">
        <v>1.5900573E7</v>
      </c>
      <c r="P2150" s="92">
        <v>1.3788693E7</v>
      </c>
      <c r="Q2150" s="89" t="s">
        <v>802</v>
      </c>
      <c r="AF2150" s="1"/>
      <c r="AG2150" s="1"/>
    </row>
    <row r="2151" ht="15.75" customHeight="1">
      <c r="A2151" s="1"/>
      <c r="B2151" s="1"/>
      <c r="C2151" s="1"/>
      <c r="D2151" s="1"/>
      <c r="E2151" s="1"/>
      <c r="F2151" s="1"/>
      <c r="G2151" s="1"/>
      <c r="H2151" s="1"/>
      <c r="I2151" s="1"/>
      <c r="J2151" s="1"/>
      <c r="K2151" s="89" t="s">
        <v>3334</v>
      </c>
      <c r="L2151" s="89" t="str">
        <f>H71</f>
        <v>C1b1a1a1</v>
      </c>
      <c r="M2151" s="89"/>
      <c r="N2151" s="89" t="s">
        <v>3335</v>
      </c>
      <c r="O2151" s="92">
        <v>1.6662477E7</v>
      </c>
      <c r="P2151" s="92">
        <v>1.4550597E7</v>
      </c>
      <c r="Q2151" s="89" t="s">
        <v>802</v>
      </c>
      <c r="AF2151" s="1"/>
      <c r="AG2151" s="1"/>
    </row>
    <row r="2152" ht="15.75" customHeight="1">
      <c r="A2152" s="1"/>
      <c r="B2152" s="1"/>
      <c r="C2152" s="1"/>
      <c r="D2152" s="1"/>
      <c r="E2152" s="1"/>
      <c r="F2152" s="1"/>
      <c r="G2152" s="1"/>
      <c r="H2152" s="1"/>
      <c r="I2152" s="1"/>
      <c r="J2152" s="1"/>
      <c r="K2152" s="89" t="s">
        <v>3336</v>
      </c>
      <c r="L2152" s="89" t="str">
        <f>H71</f>
        <v>C1b1a1a1</v>
      </c>
      <c r="M2152" s="89"/>
      <c r="N2152" s="89" t="s">
        <v>3337</v>
      </c>
      <c r="O2152" s="92">
        <v>1.7120301E7</v>
      </c>
      <c r="P2152" s="92">
        <v>1.5008421E7</v>
      </c>
      <c r="Q2152" s="89" t="s">
        <v>886</v>
      </c>
      <c r="AF2152" s="1"/>
      <c r="AG2152" s="1"/>
    </row>
    <row r="2153" ht="15.75" customHeight="1">
      <c r="A2153" s="1"/>
      <c r="B2153" s="1"/>
      <c r="C2153" s="1"/>
      <c r="D2153" s="1"/>
      <c r="E2153" s="1"/>
      <c r="F2153" s="1"/>
      <c r="G2153" s="1"/>
      <c r="H2153" s="1"/>
      <c r="I2153" s="1"/>
      <c r="J2153" s="1"/>
      <c r="K2153" s="89" t="s">
        <v>3338</v>
      </c>
      <c r="L2153" s="89" t="str">
        <f>H71</f>
        <v>C1b1a1a1</v>
      </c>
      <c r="M2153" s="89"/>
      <c r="N2153" s="89" t="s">
        <v>3339</v>
      </c>
      <c r="O2153" s="92">
        <v>1.7192396E7</v>
      </c>
      <c r="P2153" s="92">
        <v>1.5080516E7</v>
      </c>
      <c r="Q2153" s="89" t="s">
        <v>838</v>
      </c>
      <c r="AF2153" s="1"/>
      <c r="AG2153" s="1"/>
    </row>
    <row r="2154" ht="15.75" customHeight="1">
      <c r="A2154" s="1"/>
      <c r="B2154" s="1"/>
      <c r="C2154" s="1"/>
      <c r="D2154" s="1"/>
      <c r="E2154" s="1"/>
      <c r="F2154" s="1"/>
      <c r="G2154" s="1"/>
      <c r="H2154" s="1"/>
      <c r="I2154" s="1"/>
      <c r="J2154" s="1"/>
      <c r="K2154" s="89" t="s">
        <v>3340</v>
      </c>
      <c r="L2154" s="89" t="str">
        <f>H71</f>
        <v>C1b1a1a1</v>
      </c>
      <c r="M2154" s="89"/>
      <c r="N2154" s="89" t="s">
        <v>3341</v>
      </c>
      <c r="O2154" s="92">
        <v>1.7662131E7</v>
      </c>
      <c r="P2154" s="92">
        <v>1.5550251E7</v>
      </c>
      <c r="Q2154" s="89" t="s">
        <v>822</v>
      </c>
      <c r="AF2154" s="1"/>
      <c r="AG2154" s="1"/>
    </row>
    <row r="2155" ht="15.75" customHeight="1">
      <c r="A2155" s="1"/>
      <c r="B2155" s="1"/>
      <c r="C2155" s="1"/>
      <c r="D2155" s="1"/>
      <c r="E2155" s="1"/>
      <c r="F2155" s="1"/>
      <c r="G2155" s="1"/>
      <c r="H2155" s="1"/>
      <c r="I2155" s="1"/>
      <c r="J2155" s="1"/>
      <c r="K2155" s="89" t="s">
        <v>3342</v>
      </c>
      <c r="L2155" s="89" t="str">
        <f>H71</f>
        <v>C1b1a1a1</v>
      </c>
      <c r="M2155" s="89"/>
      <c r="N2155" s="89" t="s">
        <v>3343</v>
      </c>
      <c r="O2155" s="92">
        <v>1.7731567E7</v>
      </c>
      <c r="P2155" s="92">
        <v>1.5619687E7</v>
      </c>
      <c r="Q2155" s="89" t="s">
        <v>912</v>
      </c>
      <c r="AF2155" s="1"/>
      <c r="AG2155" s="1"/>
    </row>
    <row r="2156" ht="15.75" customHeight="1">
      <c r="A2156" s="1"/>
      <c r="B2156" s="1"/>
      <c r="C2156" s="1"/>
      <c r="D2156" s="1"/>
      <c r="E2156" s="1"/>
      <c r="F2156" s="1"/>
      <c r="G2156" s="1"/>
      <c r="H2156" s="1"/>
      <c r="I2156" s="1"/>
      <c r="J2156" s="1"/>
      <c r="K2156" s="89" t="s">
        <v>3344</v>
      </c>
      <c r="L2156" s="89" t="str">
        <f>H71</f>
        <v>C1b1a1a1</v>
      </c>
      <c r="M2156" s="89"/>
      <c r="N2156" s="89" t="s">
        <v>3345</v>
      </c>
      <c r="O2156" s="92">
        <v>1.7856253E7</v>
      </c>
      <c r="P2156" s="92">
        <v>1.5744373E7</v>
      </c>
      <c r="Q2156" s="89" t="s">
        <v>802</v>
      </c>
      <c r="AF2156" s="1"/>
      <c r="AG2156" s="1"/>
    </row>
    <row r="2157" ht="15.75" customHeight="1">
      <c r="A2157" s="1"/>
      <c r="B2157" s="1"/>
      <c r="C2157" s="1"/>
      <c r="D2157" s="1"/>
      <c r="E2157" s="1"/>
      <c r="F2157" s="1"/>
      <c r="G2157" s="1"/>
      <c r="H2157" s="1"/>
      <c r="I2157" s="1"/>
      <c r="J2157" s="1"/>
      <c r="K2157" s="89" t="s">
        <v>3346</v>
      </c>
      <c r="L2157" s="89" t="str">
        <f>H71</f>
        <v>C1b1a1a1</v>
      </c>
      <c r="M2157" s="89"/>
      <c r="N2157" s="89" t="s">
        <v>3347</v>
      </c>
      <c r="O2157" s="92">
        <v>1.8064025E7</v>
      </c>
      <c r="P2157" s="92">
        <v>1.5952145E7</v>
      </c>
      <c r="Q2157" s="89" t="s">
        <v>802</v>
      </c>
      <c r="AF2157" s="1"/>
      <c r="AG2157" s="1"/>
    </row>
    <row r="2158" ht="15.75" customHeight="1">
      <c r="A2158" s="1"/>
      <c r="B2158" s="1"/>
      <c r="C2158" s="1"/>
      <c r="D2158" s="1"/>
      <c r="E2158" s="1"/>
      <c r="F2158" s="1"/>
      <c r="G2158" s="1"/>
      <c r="H2158" s="1"/>
      <c r="I2158" s="1"/>
      <c r="J2158" s="1"/>
      <c r="K2158" s="89" t="s">
        <v>3348</v>
      </c>
      <c r="L2158" s="89" t="str">
        <f>H71</f>
        <v>C1b1a1a1</v>
      </c>
      <c r="M2158" s="89"/>
      <c r="N2158" s="89" t="s">
        <v>3349</v>
      </c>
      <c r="O2158" s="92">
        <v>1.8064308E7</v>
      </c>
      <c r="P2158" s="92">
        <v>1.5952428E7</v>
      </c>
      <c r="Q2158" s="89" t="s">
        <v>802</v>
      </c>
      <c r="AF2158" s="1"/>
      <c r="AG2158" s="1"/>
    </row>
    <row r="2159" ht="15.75" customHeight="1">
      <c r="A2159" s="1"/>
      <c r="B2159" s="1"/>
      <c r="C2159" s="1"/>
      <c r="D2159" s="1"/>
      <c r="E2159" s="1"/>
      <c r="F2159" s="1"/>
      <c r="G2159" s="1"/>
      <c r="H2159" s="1"/>
      <c r="I2159" s="1"/>
      <c r="J2159" s="1"/>
      <c r="K2159" s="89" t="s">
        <v>3350</v>
      </c>
      <c r="L2159" s="89" t="str">
        <f>H71</f>
        <v>C1b1a1a1</v>
      </c>
      <c r="M2159" s="89"/>
      <c r="N2159" s="89" t="s">
        <v>3351</v>
      </c>
      <c r="O2159" s="92">
        <v>1.9108935E7</v>
      </c>
      <c r="P2159" s="92">
        <v>1.6997055E7</v>
      </c>
      <c r="Q2159" s="89" t="s">
        <v>810</v>
      </c>
      <c r="AF2159" s="1"/>
      <c r="AG2159" s="1"/>
    </row>
    <row r="2160" ht="15.75" customHeight="1">
      <c r="A2160" s="1"/>
      <c r="B2160" s="1"/>
      <c r="C2160" s="1"/>
      <c r="D2160" s="1"/>
      <c r="E2160" s="1"/>
      <c r="F2160" s="1"/>
      <c r="G2160" s="1"/>
      <c r="H2160" s="1"/>
      <c r="I2160" s="1"/>
      <c r="J2160" s="1"/>
      <c r="K2160" s="89" t="s">
        <v>3352</v>
      </c>
      <c r="L2160" s="89" t="str">
        <f>H71</f>
        <v>C1b1a1a1</v>
      </c>
      <c r="M2160" s="89"/>
      <c r="N2160" s="89" t="s">
        <v>3353</v>
      </c>
      <c r="O2160" s="92">
        <v>1.916981E7</v>
      </c>
      <c r="P2160" s="92">
        <v>1.705793E7</v>
      </c>
      <c r="Q2160" s="89" t="s">
        <v>810</v>
      </c>
      <c r="AF2160" s="1"/>
      <c r="AG2160" s="1"/>
    </row>
    <row r="2161" ht="15.75" customHeight="1">
      <c r="A2161" s="1"/>
      <c r="B2161" s="1"/>
      <c r="C2161" s="1"/>
      <c r="D2161" s="1"/>
      <c r="E2161" s="1"/>
      <c r="F2161" s="1"/>
      <c r="G2161" s="1"/>
      <c r="H2161" s="1"/>
      <c r="I2161" s="1"/>
      <c r="J2161" s="1"/>
      <c r="K2161" s="89" t="s">
        <v>3354</v>
      </c>
      <c r="L2161" s="89" t="str">
        <f>H71</f>
        <v>C1b1a1a1</v>
      </c>
      <c r="M2161" s="89"/>
      <c r="N2161" s="89" t="s">
        <v>3355</v>
      </c>
      <c r="O2161" s="92">
        <v>1.948536E7</v>
      </c>
      <c r="P2161" s="92">
        <v>1.737348E7</v>
      </c>
      <c r="Q2161" s="89" t="s">
        <v>886</v>
      </c>
      <c r="AF2161" s="1"/>
      <c r="AG2161" s="1"/>
    </row>
    <row r="2162" ht="15.75" customHeight="1">
      <c r="A2162" s="1"/>
      <c r="B2162" s="1"/>
      <c r="C2162" s="1"/>
      <c r="D2162" s="1"/>
      <c r="E2162" s="1"/>
      <c r="F2162" s="1"/>
      <c r="G2162" s="1"/>
      <c r="H2162" s="1"/>
      <c r="I2162" s="1"/>
      <c r="J2162" s="1"/>
      <c r="K2162" s="89" t="s">
        <v>3356</v>
      </c>
      <c r="L2162" s="89" t="str">
        <f>H71</f>
        <v>C1b1a1a1</v>
      </c>
      <c r="M2162" s="89"/>
      <c r="N2162" s="89" t="s">
        <v>3357</v>
      </c>
      <c r="O2162" s="92">
        <v>2.2602506E7</v>
      </c>
      <c r="P2162" s="92">
        <v>2.044062E7</v>
      </c>
      <c r="Q2162" s="89" t="s">
        <v>802</v>
      </c>
      <c r="AF2162" s="1"/>
      <c r="AG2162" s="1"/>
    </row>
    <row r="2163" ht="15.75" customHeight="1">
      <c r="A2163" s="1"/>
      <c r="B2163" s="1"/>
      <c r="C2163" s="1"/>
      <c r="D2163" s="1"/>
      <c r="E2163" s="1"/>
      <c r="F2163" s="1"/>
      <c r="G2163" s="1"/>
      <c r="H2163" s="1"/>
      <c r="I2163" s="1"/>
      <c r="J2163" s="1"/>
      <c r="K2163" s="89" t="s">
        <v>3358</v>
      </c>
      <c r="L2163" s="89" t="str">
        <f>H71</f>
        <v>C1b1a1a1</v>
      </c>
      <c r="M2163" s="89"/>
      <c r="N2163" s="89" t="s">
        <v>3359</v>
      </c>
      <c r="O2163" s="92">
        <v>2.2877936E7</v>
      </c>
      <c r="P2163" s="92">
        <v>2.071605E7</v>
      </c>
      <c r="Q2163" s="89" t="s">
        <v>810</v>
      </c>
      <c r="AF2163" s="1"/>
      <c r="AG2163" s="1"/>
    </row>
    <row r="2164" ht="15.75" customHeight="1">
      <c r="A2164" s="1"/>
      <c r="B2164" s="1"/>
      <c r="C2164" s="1"/>
      <c r="D2164" s="1"/>
      <c r="E2164" s="1"/>
      <c r="F2164" s="1"/>
      <c r="G2164" s="1"/>
      <c r="H2164" s="1"/>
      <c r="I2164" s="1"/>
      <c r="J2164" s="1"/>
      <c r="K2164" s="89" t="s">
        <v>3360</v>
      </c>
      <c r="L2164" s="89" t="str">
        <f>H71</f>
        <v>C1b1a1a1</v>
      </c>
      <c r="M2164" s="89"/>
      <c r="N2164" s="89" t="s">
        <v>3361</v>
      </c>
      <c r="O2164" s="92">
        <v>2.2884296E7</v>
      </c>
      <c r="P2164" s="92">
        <v>2.072241E7</v>
      </c>
      <c r="Q2164" s="89" t="s">
        <v>813</v>
      </c>
      <c r="AF2164" s="1"/>
      <c r="AG2164" s="1"/>
    </row>
    <row r="2165" ht="15.75" customHeight="1">
      <c r="A2165" s="1"/>
      <c r="B2165" s="1"/>
      <c r="C2165" s="1"/>
      <c r="D2165" s="1"/>
      <c r="E2165" s="1"/>
      <c r="F2165" s="1"/>
      <c r="G2165" s="1"/>
      <c r="H2165" s="1"/>
      <c r="I2165" s="1"/>
      <c r="J2165" s="1"/>
      <c r="K2165" s="89" t="s">
        <v>3362</v>
      </c>
      <c r="L2165" s="89" t="str">
        <f>H71</f>
        <v>C1b1a1a1</v>
      </c>
      <c r="M2165" s="89"/>
      <c r="N2165" s="89" t="s">
        <v>3363</v>
      </c>
      <c r="O2165" s="92">
        <v>2.3006337E7</v>
      </c>
      <c r="P2165" s="92">
        <v>2.0844451E7</v>
      </c>
      <c r="Q2165" s="89" t="s">
        <v>912</v>
      </c>
      <c r="AF2165" s="1"/>
      <c r="AG2165" s="1"/>
    </row>
    <row r="2166" ht="15.75" customHeight="1">
      <c r="A2166" s="1"/>
      <c r="B2166" s="1"/>
      <c r="C2166" s="1"/>
      <c r="D2166" s="1"/>
      <c r="E2166" s="1"/>
      <c r="F2166" s="1"/>
      <c r="G2166" s="1"/>
      <c r="H2166" s="1"/>
      <c r="I2166" s="1"/>
      <c r="J2166" s="1"/>
      <c r="K2166" s="89" t="s">
        <v>3364</v>
      </c>
      <c r="L2166" s="89" t="str">
        <f>H71</f>
        <v>C1b1a1a1</v>
      </c>
      <c r="M2166" s="89"/>
      <c r="N2166" s="89" t="s">
        <v>3365</v>
      </c>
      <c r="O2166" s="92">
        <v>2.3373542E7</v>
      </c>
      <c r="P2166" s="92">
        <v>2.1211656E7</v>
      </c>
      <c r="Q2166" s="89" t="s">
        <v>822</v>
      </c>
      <c r="AF2166" s="1"/>
      <c r="AG2166" s="1"/>
    </row>
    <row r="2167" ht="15.75" customHeight="1">
      <c r="A2167" s="1"/>
      <c r="B2167" s="1"/>
      <c r="C2167" s="1"/>
      <c r="D2167" s="1"/>
      <c r="E2167" s="1"/>
      <c r="F2167" s="1"/>
      <c r="G2167" s="1"/>
      <c r="H2167" s="1"/>
      <c r="I2167" s="1"/>
      <c r="J2167" s="1"/>
      <c r="K2167" s="89" t="s">
        <v>3366</v>
      </c>
      <c r="L2167" s="89" t="str">
        <f>H71</f>
        <v>C1b1a1a1</v>
      </c>
      <c r="M2167" s="89"/>
      <c r="N2167" s="89" t="s">
        <v>3367</v>
      </c>
      <c r="O2167" s="92">
        <v>2.3611305E7</v>
      </c>
      <c r="P2167" s="92">
        <v>2.1449419E7</v>
      </c>
      <c r="Q2167" s="89" t="s">
        <v>802</v>
      </c>
      <c r="AF2167" s="1"/>
      <c r="AG2167" s="1"/>
    </row>
    <row r="2168" ht="15.75" customHeight="1">
      <c r="A2168" s="1"/>
      <c r="B2168" s="1"/>
      <c r="C2168" s="1"/>
      <c r="D2168" s="1"/>
      <c r="E2168" s="1"/>
      <c r="F2168" s="1"/>
      <c r="G2168" s="1"/>
      <c r="H2168" s="1"/>
      <c r="I2168" s="1"/>
      <c r="J2168" s="1"/>
      <c r="K2168" s="89" t="s">
        <v>3368</v>
      </c>
      <c r="L2168" s="89" t="str">
        <f>H71</f>
        <v>C1b1a1a1</v>
      </c>
      <c r="M2168" s="89"/>
      <c r="N2168" s="89" t="s">
        <v>3369</v>
      </c>
      <c r="O2168" s="92">
        <v>8626372.0</v>
      </c>
      <c r="P2168" s="92">
        <v>8758331.0</v>
      </c>
      <c r="Q2168" s="89" t="s">
        <v>912</v>
      </c>
      <c r="AF2168" s="1"/>
      <c r="AG2168" s="1"/>
    </row>
    <row r="2169" ht="15.75" customHeight="1">
      <c r="A2169" s="1"/>
      <c r="B2169" s="1"/>
      <c r="C2169" s="1"/>
      <c r="D2169" s="1"/>
      <c r="E2169" s="1"/>
      <c r="F2169" s="1"/>
      <c r="G2169" s="1"/>
      <c r="H2169" s="1"/>
      <c r="I2169" s="1"/>
      <c r="J2169" s="1"/>
      <c r="K2169" s="89" t="s">
        <v>3370</v>
      </c>
      <c r="L2169" s="89" t="str">
        <f>H71</f>
        <v>C1b1a1a1</v>
      </c>
      <c r="M2169" s="89"/>
      <c r="N2169" s="89"/>
      <c r="O2169" s="92">
        <v>8906733.0</v>
      </c>
      <c r="P2169" s="92">
        <v>9038692.0</v>
      </c>
      <c r="Q2169" s="89" t="s">
        <v>810</v>
      </c>
      <c r="AF2169" s="1"/>
      <c r="AG2169" s="1"/>
    </row>
    <row r="2170" ht="15.75" customHeight="1">
      <c r="A2170" s="1"/>
      <c r="B2170" s="1"/>
      <c r="C2170" s="1"/>
      <c r="D2170" s="1"/>
      <c r="E2170" s="1"/>
      <c r="F2170" s="1"/>
      <c r="G2170" s="1"/>
      <c r="H2170" s="1"/>
      <c r="I2170" s="1"/>
      <c r="J2170" s="1"/>
      <c r="K2170" s="89" t="s">
        <v>3371</v>
      </c>
      <c r="L2170" s="89" t="str">
        <f>H71</f>
        <v>C1b1a1a1</v>
      </c>
      <c r="M2170" s="89"/>
      <c r="N2170" s="89" t="s">
        <v>3372</v>
      </c>
      <c r="O2170" s="92">
        <v>1.4423081E7</v>
      </c>
      <c r="P2170" s="92">
        <v>1.2302356E7</v>
      </c>
      <c r="Q2170" s="89" t="s">
        <v>810</v>
      </c>
      <c r="AF2170" s="1"/>
      <c r="AG2170" s="1"/>
    </row>
    <row r="2171" ht="15.75" customHeight="1">
      <c r="A2171" s="1"/>
      <c r="B2171" s="1"/>
      <c r="C2171" s="1"/>
      <c r="D2171" s="1"/>
      <c r="E2171" s="1"/>
      <c r="F2171" s="1"/>
      <c r="G2171" s="1"/>
      <c r="H2171" s="1"/>
      <c r="I2171" s="1"/>
      <c r="J2171" s="1"/>
      <c r="K2171" s="89" t="s">
        <v>3373</v>
      </c>
      <c r="L2171" s="89" t="str">
        <f>H71</f>
        <v>C1b1a1a1</v>
      </c>
      <c r="M2171" s="89"/>
      <c r="N2171" s="89" t="s">
        <v>3374</v>
      </c>
      <c r="O2171" s="92">
        <v>1.6385086E7</v>
      </c>
      <c r="P2171" s="92">
        <v>1.4273206E7</v>
      </c>
      <c r="Q2171" s="89" t="s">
        <v>802</v>
      </c>
      <c r="AF2171" s="1"/>
      <c r="AG2171" s="1"/>
    </row>
    <row r="2172" ht="15.75" customHeight="1">
      <c r="A2172" s="1"/>
      <c r="B2172" s="1"/>
      <c r="C2172" s="1"/>
      <c r="D2172" s="1"/>
      <c r="E2172" s="1"/>
      <c r="F2172" s="1"/>
      <c r="G2172" s="1"/>
      <c r="H2172" s="1"/>
      <c r="I2172" s="1"/>
      <c r="J2172" s="1"/>
      <c r="K2172" s="89" t="s">
        <v>3375</v>
      </c>
      <c r="L2172" s="89" t="str">
        <f>H71</f>
        <v>C1b1a1a1</v>
      </c>
      <c r="M2172" s="89"/>
      <c r="N2172" s="89" t="s">
        <v>3376</v>
      </c>
      <c r="O2172" s="92">
        <v>1.7780301E7</v>
      </c>
      <c r="P2172" s="92">
        <v>1.5668421E7</v>
      </c>
      <c r="Q2172" s="89" t="s">
        <v>917</v>
      </c>
      <c r="AF2172" s="1"/>
      <c r="AG2172" s="1"/>
    </row>
    <row r="2173" ht="15.75" customHeight="1">
      <c r="A2173" s="1"/>
      <c r="B2173" s="1"/>
      <c r="C2173" s="1"/>
      <c r="D2173" s="1"/>
      <c r="E2173" s="1"/>
      <c r="F2173" s="1"/>
      <c r="G2173" s="1"/>
      <c r="H2173" s="1"/>
      <c r="I2173" s="1"/>
      <c r="J2173" s="1"/>
      <c r="K2173" s="89" t="s">
        <v>3377</v>
      </c>
      <c r="L2173" s="89" t="str">
        <f>H71</f>
        <v>C1b1a1a1</v>
      </c>
      <c r="M2173" s="89"/>
      <c r="N2173" s="89" t="s">
        <v>3378</v>
      </c>
      <c r="O2173" s="92">
        <v>1.8384052E7</v>
      </c>
      <c r="P2173" s="92">
        <v>1.6272172E7</v>
      </c>
      <c r="Q2173" s="89" t="s">
        <v>912</v>
      </c>
      <c r="AF2173" s="1"/>
      <c r="AG2173" s="1"/>
    </row>
    <row r="2174" ht="15.75" customHeight="1">
      <c r="A2174" s="1"/>
      <c r="B2174" s="1"/>
      <c r="C2174" s="1"/>
      <c r="D2174" s="1"/>
      <c r="E2174" s="1"/>
      <c r="F2174" s="1"/>
      <c r="G2174" s="1"/>
      <c r="H2174" s="1"/>
      <c r="I2174" s="1"/>
      <c r="J2174" s="1"/>
      <c r="K2174" s="89" t="s">
        <v>3379</v>
      </c>
      <c r="L2174" s="89" t="str">
        <f>H71</f>
        <v>C1b1a1a1</v>
      </c>
      <c r="M2174" s="89"/>
      <c r="N2174" s="89" t="s">
        <v>3380</v>
      </c>
      <c r="O2174" s="92">
        <v>1.9303541E7</v>
      </c>
      <c r="P2174" s="92">
        <v>1.7191661E7</v>
      </c>
      <c r="Q2174" s="89" t="s">
        <v>831</v>
      </c>
      <c r="AF2174" s="1"/>
      <c r="AG2174" s="1"/>
    </row>
    <row r="2175" ht="15.75" customHeight="1">
      <c r="A2175" s="1"/>
      <c r="B2175" s="1"/>
      <c r="C2175" s="1"/>
      <c r="D2175" s="1"/>
      <c r="E2175" s="1"/>
      <c r="F2175" s="1"/>
      <c r="G2175" s="1"/>
      <c r="H2175" s="1"/>
      <c r="I2175" s="1"/>
      <c r="J2175" s="1"/>
      <c r="K2175" s="89" t="s">
        <v>3381</v>
      </c>
      <c r="L2175" s="89" t="str">
        <f>H71</f>
        <v>C1b1a1a1</v>
      </c>
      <c r="M2175" s="89"/>
      <c r="N2175" s="89" t="s">
        <v>3382</v>
      </c>
      <c r="O2175" s="92">
        <v>1.9457637E7</v>
      </c>
      <c r="P2175" s="92">
        <v>1.7345757E7</v>
      </c>
      <c r="Q2175" s="89" t="s">
        <v>831</v>
      </c>
      <c r="AF2175" s="1"/>
      <c r="AG2175" s="1"/>
    </row>
    <row r="2176" ht="15.75" customHeight="1">
      <c r="A2176" s="1"/>
      <c r="B2176" s="1"/>
      <c r="C2176" s="1"/>
      <c r="D2176" s="1"/>
      <c r="E2176" s="1"/>
      <c r="F2176" s="1"/>
      <c r="G2176" s="1"/>
      <c r="H2176" s="1"/>
      <c r="I2176" s="1"/>
      <c r="J2176" s="1"/>
      <c r="K2176" s="89" t="s">
        <v>3383</v>
      </c>
      <c r="L2176" s="89" t="str">
        <f>H71</f>
        <v>C1b1a1a1</v>
      </c>
      <c r="M2176" s="89"/>
      <c r="N2176" s="89" t="s">
        <v>3384</v>
      </c>
      <c r="O2176" s="92">
        <v>2.3325778E7</v>
      </c>
      <c r="P2176" s="92">
        <v>2.1163892E7</v>
      </c>
      <c r="Q2176" s="89" t="s">
        <v>802</v>
      </c>
      <c r="AF2176" s="1"/>
      <c r="AG2176" s="1"/>
    </row>
    <row r="2177" ht="15.75" customHeight="1">
      <c r="A2177" s="1"/>
      <c r="B2177" s="1"/>
      <c r="C2177" s="1"/>
      <c r="D2177" s="1"/>
      <c r="E2177" s="1"/>
      <c r="F2177" s="1"/>
      <c r="G2177" s="1"/>
      <c r="H2177" s="1"/>
      <c r="I2177" s="1"/>
      <c r="J2177" s="1"/>
      <c r="K2177" s="89" t="s">
        <v>105</v>
      </c>
      <c r="L2177" s="89" t="str">
        <f>I72</f>
        <v>C1b1a1a1a</v>
      </c>
      <c r="M2177" s="89"/>
      <c r="N2177" s="89"/>
      <c r="O2177" s="92">
        <v>9964881.0</v>
      </c>
      <c r="P2177" s="92">
        <v>1.0127272E7</v>
      </c>
      <c r="Q2177" s="89" t="s">
        <v>864</v>
      </c>
      <c r="AF2177" s="1"/>
      <c r="AG2177" s="1"/>
    </row>
    <row r="2178" ht="15.75" customHeight="1">
      <c r="A2178" s="1"/>
      <c r="B2178" s="1"/>
      <c r="C2178" s="1"/>
      <c r="D2178" s="1"/>
      <c r="E2178" s="1"/>
      <c r="F2178" s="1"/>
      <c r="G2178" s="1"/>
      <c r="H2178" s="1"/>
      <c r="I2178" s="1"/>
      <c r="J2178" s="1"/>
      <c r="K2178" s="89" t="s">
        <v>3385</v>
      </c>
      <c r="L2178" s="89" t="str">
        <f>J73</f>
        <v>C1b1a1a1a1</v>
      </c>
      <c r="M2178" s="89"/>
      <c r="N2178" s="89" t="s">
        <v>3386</v>
      </c>
      <c r="O2178" s="92">
        <v>6622621.0</v>
      </c>
      <c r="P2178" s="92">
        <v>6754580.0</v>
      </c>
      <c r="Q2178" s="89" t="s">
        <v>838</v>
      </c>
      <c r="AF2178" s="1"/>
      <c r="AG2178" s="1"/>
    </row>
    <row r="2179" ht="15.75" customHeight="1">
      <c r="A2179" s="1"/>
      <c r="B2179" s="1"/>
      <c r="C2179" s="1"/>
      <c r="D2179" s="1"/>
      <c r="E2179" s="1"/>
      <c r="F2179" s="1"/>
      <c r="G2179" s="1"/>
      <c r="H2179" s="1"/>
      <c r="I2179" s="1"/>
      <c r="J2179" s="1"/>
      <c r="K2179" s="89" t="s">
        <v>3387</v>
      </c>
      <c r="L2179" s="89" t="str">
        <f>J73</f>
        <v>C1b1a1a1a1</v>
      </c>
      <c r="M2179" s="89"/>
      <c r="N2179" s="89" t="s">
        <v>3388</v>
      </c>
      <c r="O2179" s="92">
        <v>7279954.0</v>
      </c>
      <c r="P2179" s="92">
        <v>7411913.0</v>
      </c>
      <c r="Q2179" s="89" t="s">
        <v>822</v>
      </c>
      <c r="AF2179" s="1"/>
      <c r="AG2179" s="1"/>
    </row>
    <row r="2180" ht="15.75" customHeight="1">
      <c r="A2180" s="1"/>
      <c r="B2180" s="1"/>
      <c r="C2180" s="1"/>
      <c r="D2180" s="1"/>
      <c r="E2180" s="1"/>
      <c r="F2180" s="1"/>
      <c r="G2180" s="1"/>
      <c r="H2180" s="1"/>
      <c r="I2180" s="1"/>
      <c r="J2180" s="1"/>
      <c r="K2180" s="89" t="s">
        <v>3389</v>
      </c>
      <c r="L2180" s="89" t="str">
        <f>J73</f>
        <v>C1b1a1a1a1</v>
      </c>
      <c r="M2180" s="89"/>
      <c r="N2180" s="89" t="s">
        <v>3390</v>
      </c>
      <c r="O2180" s="92">
        <v>8367491.0</v>
      </c>
      <c r="P2180" s="92">
        <v>8499450.0</v>
      </c>
      <c r="Q2180" s="89" t="s">
        <v>802</v>
      </c>
      <c r="AF2180" s="1"/>
      <c r="AG2180" s="1"/>
    </row>
    <row r="2181" ht="15.75" customHeight="1">
      <c r="A2181" s="1"/>
      <c r="B2181" s="1"/>
      <c r="C2181" s="1"/>
      <c r="D2181" s="1"/>
      <c r="E2181" s="1"/>
      <c r="F2181" s="1"/>
      <c r="G2181" s="1"/>
      <c r="H2181" s="1"/>
      <c r="I2181" s="1"/>
      <c r="J2181" s="1"/>
      <c r="K2181" s="89" t="s">
        <v>3391</v>
      </c>
      <c r="L2181" s="89" t="str">
        <f>J73</f>
        <v>C1b1a1a1a1</v>
      </c>
      <c r="M2181" s="89"/>
      <c r="N2181" s="89" t="s">
        <v>3392</v>
      </c>
      <c r="O2181" s="92">
        <v>1.3132996E7</v>
      </c>
      <c r="P2181" s="92">
        <v>1.0622482E7</v>
      </c>
      <c r="Q2181" s="89" t="s">
        <v>802</v>
      </c>
      <c r="AF2181" s="1"/>
      <c r="AG2181" s="1"/>
    </row>
    <row r="2182" ht="15.75" customHeight="1">
      <c r="A2182" s="1"/>
      <c r="B2182" s="1"/>
      <c r="C2182" s="1"/>
      <c r="D2182" s="1"/>
      <c r="E2182" s="1"/>
      <c r="F2182" s="1"/>
      <c r="G2182" s="1"/>
      <c r="H2182" s="1"/>
      <c r="I2182" s="1"/>
      <c r="J2182" s="1"/>
      <c r="K2182" s="89" t="s">
        <v>3393</v>
      </c>
      <c r="L2182" s="89" t="str">
        <f>J73</f>
        <v>C1b1a1a1a1</v>
      </c>
      <c r="M2182" s="89"/>
      <c r="N2182" s="89" t="s">
        <v>3394</v>
      </c>
      <c r="O2182" s="92">
        <v>1.5745792E7</v>
      </c>
      <c r="P2182" s="92">
        <v>1.3633912E7</v>
      </c>
      <c r="Q2182" s="89" t="s">
        <v>822</v>
      </c>
      <c r="AF2182" s="1"/>
      <c r="AG2182" s="1"/>
    </row>
    <row r="2183" ht="15.75" customHeight="1">
      <c r="A2183" s="1"/>
      <c r="B2183" s="1"/>
      <c r="C2183" s="1"/>
      <c r="D2183" s="1"/>
      <c r="E2183" s="1"/>
      <c r="F2183" s="1"/>
      <c r="G2183" s="1"/>
      <c r="H2183" s="1"/>
      <c r="I2183" s="1"/>
      <c r="J2183" s="1"/>
      <c r="K2183" s="89" t="s">
        <v>3395</v>
      </c>
      <c r="L2183" s="89" t="str">
        <f>J73</f>
        <v>C1b1a1a1a1</v>
      </c>
      <c r="M2183" s="89"/>
      <c r="N2183" s="89"/>
      <c r="O2183" s="92">
        <v>1.7035531E7</v>
      </c>
      <c r="P2183" s="92">
        <v>1.4923651E7</v>
      </c>
      <c r="Q2183" s="89" t="s">
        <v>822</v>
      </c>
      <c r="AF2183" s="1"/>
      <c r="AG2183" s="1"/>
    </row>
    <row r="2184" ht="15.75" customHeight="1">
      <c r="A2184" s="1"/>
      <c r="B2184" s="1"/>
      <c r="C2184" s="1"/>
      <c r="D2184" s="1"/>
      <c r="E2184" s="1"/>
      <c r="F2184" s="1"/>
      <c r="G2184" s="1"/>
      <c r="H2184" s="1"/>
      <c r="I2184" s="1"/>
      <c r="J2184" s="1"/>
      <c r="K2184" s="89" t="s">
        <v>3396</v>
      </c>
      <c r="L2184" s="89" t="str">
        <f>J73</f>
        <v>C1b1a1a1a1</v>
      </c>
      <c r="M2184" s="89"/>
      <c r="N2184" s="89" t="s">
        <v>3397</v>
      </c>
      <c r="O2184" s="92">
        <v>1.7358646E7</v>
      </c>
      <c r="P2184" s="92">
        <v>1.5246766E7</v>
      </c>
      <c r="Q2184" s="89" t="s">
        <v>845</v>
      </c>
      <c r="AF2184" s="1"/>
      <c r="AG2184" s="1"/>
    </row>
    <row r="2185" ht="15.75" customHeight="1">
      <c r="A2185" s="1"/>
      <c r="B2185" s="1"/>
      <c r="C2185" s="1"/>
      <c r="D2185" s="1"/>
      <c r="E2185" s="1"/>
      <c r="F2185" s="1"/>
      <c r="G2185" s="1"/>
      <c r="H2185" s="1"/>
      <c r="I2185" s="1"/>
      <c r="J2185" s="1"/>
      <c r="K2185" s="89" t="s">
        <v>3398</v>
      </c>
      <c r="L2185" s="89" t="str">
        <f>J73</f>
        <v>C1b1a1a1a1</v>
      </c>
      <c r="M2185" s="89"/>
      <c r="N2185" s="89" t="s">
        <v>3399</v>
      </c>
      <c r="O2185" s="92">
        <v>2.3251619E7</v>
      </c>
      <c r="P2185" s="92">
        <v>2.1089733E7</v>
      </c>
      <c r="Q2185" s="89" t="s">
        <v>802</v>
      </c>
      <c r="AF2185" s="1"/>
      <c r="AG2185" s="1"/>
    </row>
    <row r="2186" ht="15.75" customHeight="1">
      <c r="A2186" s="1"/>
      <c r="B2186" s="1"/>
      <c r="C2186" s="1"/>
      <c r="D2186" s="1"/>
      <c r="E2186" s="1"/>
      <c r="F2186" s="1"/>
      <c r="G2186" s="1"/>
      <c r="H2186" s="1"/>
      <c r="I2186" s="1"/>
      <c r="J2186" s="1"/>
      <c r="K2186" s="89" t="s">
        <v>3400</v>
      </c>
      <c r="L2186" s="89" t="str">
        <f>J73</f>
        <v>C1b1a1a1a1</v>
      </c>
      <c r="M2186" s="89"/>
      <c r="N2186" s="89" t="s">
        <v>3401</v>
      </c>
      <c r="O2186" s="92">
        <v>2866198.0</v>
      </c>
      <c r="P2186" s="92">
        <v>2998157.0</v>
      </c>
      <c r="Q2186" s="89" t="s">
        <v>845</v>
      </c>
      <c r="AF2186" s="1"/>
      <c r="AG2186" s="1"/>
    </row>
    <row r="2187" ht="15.75" customHeight="1">
      <c r="A2187" s="1"/>
      <c r="B2187" s="1"/>
      <c r="C2187" s="1"/>
      <c r="D2187" s="1"/>
      <c r="E2187" s="1"/>
      <c r="F2187" s="1"/>
      <c r="G2187" s="1"/>
      <c r="H2187" s="1"/>
      <c r="I2187" s="1"/>
      <c r="J2187" s="1"/>
      <c r="K2187" s="89" t="s">
        <v>3402</v>
      </c>
      <c r="L2187" s="89" t="str">
        <f>J73</f>
        <v>C1b1a1a1a1</v>
      </c>
      <c r="M2187" s="89"/>
      <c r="N2187" s="89"/>
      <c r="O2187" s="92">
        <v>4625800.0</v>
      </c>
      <c r="P2187" s="92">
        <v>4757759.0</v>
      </c>
      <c r="Q2187" s="89" t="s">
        <v>838</v>
      </c>
      <c r="AF2187" s="1"/>
      <c r="AG2187" s="1"/>
    </row>
    <row r="2188" ht="15.75" customHeight="1">
      <c r="A2188" s="1"/>
      <c r="B2188" s="1"/>
      <c r="C2188" s="1"/>
      <c r="D2188" s="1"/>
      <c r="E2188" s="1"/>
      <c r="F2188" s="1"/>
      <c r="G2188" s="1"/>
      <c r="H2188" s="1"/>
      <c r="I2188" s="1"/>
      <c r="J2188" s="1"/>
      <c r="K2188" s="89" t="s">
        <v>3403</v>
      </c>
      <c r="L2188" s="89" t="str">
        <f>J73</f>
        <v>C1b1a1a1a1</v>
      </c>
      <c r="M2188" s="89"/>
      <c r="N2188" s="89" t="s">
        <v>3404</v>
      </c>
      <c r="O2188" s="92">
        <v>1.4129342E7</v>
      </c>
      <c r="P2188" s="92">
        <v>1.2008636E7</v>
      </c>
      <c r="Q2188" s="89" t="s">
        <v>886</v>
      </c>
      <c r="AF2188" s="1"/>
      <c r="AG2188" s="1"/>
    </row>
    <row r="2189" ht="15.75" customHeight="1">
      <c r="A2189" s="1"/>
      <c r="B2189" s="1"/>
      <c r="C2189" s="1"/>
      <c r="D2189" s="1"/>
      <c r="E2189" s="1"/>
      <c r="F2189" s="1"/>
      <c r="G2189" s="1"/>
      <c r="H2189" s="1"/>
      <c r="I2189" s="1"/>
      <c r="J2189" s="1"/>
      <c r="K2189" s="89" t="s">
        <v>3405</v>
      </c>
      <c r="L2189" s="89" t="str">
        <f>J73</f>
        <v>C1b1a1a1a1</v>
      </c>
      <c r="M2189" s="89"/>
      <c r="N2189" s="89" t="s">
        <v>3406</v>
      </c>
      <c r="O2189" s="92">
        <v>1.4826918E7</v>
      </c>
      <c r="P2189" s="92">
        <v>1.2714985E7</v>
      </c>
      <c r="Q2189" s="89" t="s">
        <v>802</v>
      </c>
      <c r="AF2189" s="1"/>
      <c r="AG2189" s="1"/>
    </row>
    <row r="2190" ht="15.75" customHeight="1">
      <c r="A2190" s="1"/>
      <c r="B2190" s="1"/>
      <c r="C2190" s="1"/>
      <c r="D2190" s="1"/>
      <c r="E2190" s="1"/>
      <c r="F2190" s="1"/>
      <c r="G2190" s="1"/>
      <c r="H2190" s="1"/>
      <c r="I2190" s="1"/>
      <c r="J2190" s="1"/>
      <c r="K2190" s="89" t="s">
        <v>3407</v>
      </c>
      <c r="L2190" s="89" t="str">
        <f>J73</f>
        <v>C1b1a1a1a1</v>
      </c>
      <c r="M2190" s="89"/>
      <c r="N2190" s="89" t="s">
        <v>3408</v>
      </c>
      <c r="O2190" s="92">
        <v>1.6077974E7</v>
      </c>
      <c r="P2190" s="92">
        <v>1.3966094E7</v>
      </c>
      <c r="Q2190" s="89" t="s">
        <v>822</v>
      </c>
      <c r="AF2190" s="1"/>
      <c r="AG2190" s="1"/>
    </row>
    <row r="2191" ht="15.75" customHeight="1">
      <c r="A2191" s="1"/>
      <c r="B2191" s="1"/>
      <c r="C2191" s="1"/>
      <c r="D2191" s="1"/>
      <c r="E2191" s="1"/>
      <c r="F2191" s="1"/>
      <c r="G2191" s="1"/>
      <c r="H2191" s="1"/>
      <c r="I2191" s="1"/>
      <c r="J2191" s="1"/>
      <c r="K2191" s="89" t="s">
        <v>3409</v>
      </c>
      <c r="L2191" s="89" t="str">
        <f>J73</f>
        <v>C1b1a1a1a1</v>
      </c>
      <c r="M2191" s="89"/>
      <c r="N2191" s="89" t="s">
        <v>3410</v>
      </c>
      <c r="O2191" s="92">
        <v>1.7151918E7</v>
      </c>
      <c r="P2191" s="92">
        <v>1.5040038E7</v>
      </c>
      <c r="Q2191" s="89" t="s">
        <v>886</v>
      </c>
      <c r="AF2191" s="1"/>
      <c r="AG2191" s="1"/>
    </row>
    <row r="2192" ht="15.75" customHeight="1">
      <c r="A2192" s="1"/>
      <c r="B2192" s="1"/>
      <c r="C2192" s="1"/>
      <c r="D2192" s="1"/>
      <c r="E2192" s="1"/>
      <c r="F2192" s="1"/>
      <c r="G2192" s="1"/>
      <c r="H2192" s="1"/>
      <c r="I2192" s="1"/>
      <c r="J2192" s="1"/>
      <c r="K2192" s="89" t="s">
        <v>3411</v>
      </c>
      <c r="L2192" s="89" t="str">
        <f>J73</f>
        <v>C1b1a1a1a1</v>
      </c>
      <c r="M2192" s="89"/>
      <c r="N2192" s="89" t="s">
        <v>3412</v>
      </c>
      <c r="O2192" s="92">
        <v>2.3065533E7</v>
      </c>
      <c r="P2192" s="92">
        <v>2.0903647E7</v>
      </c>
      <c r="Q2192" s="89" t="s">
        <v>802</v>
      </c>
      <c r="AF2192" s="1"/>
      <c r="AG2192" s="1"/>
    </row>
    <row r="2193" ht="15.75" customHeight="1">
      <c r="A2193" s="1"/>
      <c r="B2193" s="1"/>
      <c r="C2193" s="1"/>
      <c r="D2193" s="1"/>
      <c r="E2193" s="1"/>
      <c r="F2193" s="1"/>
      <c r="G2193" s="1"/>
      <c r="H2193" s="1"/>
      <c r="I2193" s="1"/>
      <c r="J2193" s="1"/>
      <c r="K2193" s="89" t="s">
        <v>3413</v>
      </c>
      <c r="L2193" s="89" t="str">
        <f>J73</f>
        <v>C1b1a1a1a1</v>
      </c>
      <c r="M2193" s="89"/>
      <c r="N2193" s="89" t="s">
        <v>3414</v>
      </c>
      <c r="O2193" s="92">
        <v>2.4400414E7</v>
      </c>
      <c r="P2193" s="92">
        <v>2.2254267E7</v>
      </c>
      <c r="Q2193" s="89" t="s">
        <v>822</v>
      </c>
      <c r="AF2193" s="1"/>
      <c r="AG2193" s="1"/>
    </row>
    <row r="2194" ht="15.75" customHeight="1">
      <c r="A2194" s="1"/>
      <c r="B2194" s="1"/>
      <c r="C2194" s="1"/>
      <c r="D2194" s="1"/>
      <c r="E2194" s="1"/>
      <c r="F2194" s="1"/>
      <c r="G2194" s="1"/>
      <c r="H2194" s="1"/>
      <c r="I2194" s="1"/>
      <c r="J2194" s="1"/>
      <c r="K2194" s="89" t="s">
        <v>3415</v>
      </c>
      <c r="L2194" s="89" t="str">
        <f>K74</f>
        <v>C1b1a1a1a1a</v>
      </c>
      <c r="M2194" s="89"/>
      <c r="N2194" s="89" t="s">
        <v>3416</v>
      </c>
      <c r="O2194" s="92">
        <v>2794557.0</v>
      </c>
      <c r="P2194" s="92">
        <v>2926516.0</v>
      </c>
      <c r="Q2194" s="89" t="s">
        <v>822</v>
      </c>
      <c r="AF2194" s="1"/>
      <c r="AG2194" s="1"/>
    </row>
    <row r="2195" ht="15.75" customHeight="1">
      <c r="A2195" s="1"/>
      <c r="B2195" s="1"/>
      <c r="C2195" s="1"/>
      <c r="D2195" s="1"/>
      <c r="E2195" s="1"/>
      <c r="F2195" s="1"/>
      <c r="G2195" s="1"/>
      <c r="H2195" s="1"/>
      <c r="I2195" s="1"/>
      <c r="J2195" s="1"/>
      <c r="K2195" s="89" t="s">
        <v>3417</v>
      </c>
      <c r="L2195" s="89" t="str">
        <f>K74</f>
        <v>C1b1a1a1a1a</v>
      </c>
      <c r="M2195" s="89"/>
      <c r="N2195" s="89" t="s">
        <v>3418</v>
      </c>
      <c r="O2195" s="92">
        <v>7066041.0</v>
      </c>
      <c r="P2195" s="92">
        <v>7198000.0</v>
      </c>
      <c r="Q2195" s="89" t="s">
        <v>802</v>
      </c>
      <c r="AF2195" s="1"/>
      <c r="AG2195" s="1"/>
    </row>
    <row r="2196" ht="15.75" customHeight="1">
      <c r="A2196" s="1"/>
      <c r="B2196" s="1"/>
      <c r="C2196" s="1"/>
      <c r="D2196" s="1"/>
      <c r="E2196" s="1"/>
      <c r="F2196" s="1"/>
      <c r="G2196" s="1"/>
      <c r="H2196" s="1"/>
      <c r="I2196" s="1"/>
      <c r="J2196" s="1"/>
      <c r="K2196" s="89" t="s">
        <v>3419</v>
      </c>
      <c r="L2196" s="89" t="str">
        <f>K74</f>
        <v>C1b1a1a1a1a</v>
      </c>
      <c r="M2196" s="89"/>
      <c r="N2196" s="89" t="s">
        <v>3420</v>
      </c>
      <c r="O2196" s="92">
        <v>7804698.0</v>
      </c>
      <c r="P2196" s="92">
        <v>7936657.0</v>
      </c>
      <c r="Q2196" s="89" t="s">
        <v>917</v>
      </c>
      <c r="AF2196" s="1"/>
      <c r="AG2196" s="1"/>
    </row>
    <row r="2197" ht="15.75" customHeight="1">
      <c r="A2197" s="1"/>
      <c r="B2197" s="1"/>
      <c r="C2197" s="1"/>
      <c r="D2197" s="1"/>
      <c r="E2197" s="1"/>
      <c r="F2197" s="1"/>
      <c r="G2197" s="1"/>
      <c r="H2197" s="1"/>
      <c r="I2197" s="1"/>
      <c r="J2197" s="1"/>
      <c r="K2197" s="89" t="s">
        <v>3421</v>
      </c>
      <c r="L2197" s="89" t="str">
        <f>K74</f>
        <v>C1b1a1a1a1a</v>
      </c>
      <c r="M2197" s="89"/>
      <c r="N2197" s="89" t="s">
        <v>3422</v>
      </c>
      <c r="O2197" s="92">
        <v>7846295.0</v>
      </c>
      <c r="P2197" s="92">
        <v>7978254.0</v>
      </c>
      <c r="Q2197" s="89" t="s">
        <v>822</v>
      </c>
      <c r="AF2197" s="1"/>
      <c r="AG2197" s="1"/>
    </row>
    <row r="2198" ht="15.75" customHeight="1">
      <c r="A2198" s="1"/>
      <c r="B2198" s="1"/>
      <c r="C2198" s="1"/>
      <c r="D2198" s="1"/>
      <c r="E2198" s="1"/>
      <c r="F2198" s="1"/>
      <c r="G2198" s="1"/>
      <c r="H2198" s="1"/>
      <c r="I2198" s="1"/>
      <c r="J2198" s="1"/>
      <c r="K2198" s="89" t="s">
        <v>3423</v>
      </c>
      <c r="L2198" s="89" t="str">
        <f>K74</f>
        <v>C1b1a1a1a1a</v>
      </c>
      <c r="M2198" s="89"/>
      <c r="N2198" s="89" t="s">
        <v>3424</v>
      </c>
      <c r="O2198" s="92">
        <v>8459806.0</v>
      </c>
      <c r="P2198" s="92">
        <v>8591765.0</v>
      </c>
      <c r="Q2198" s="89" t="s">
        <v>802</v>
      </c>
      <c r="AF2198" s="1"/>
      <c r="AG2198" s="1"/>
    </row>
    <row r="2199" ht="15.75" customHeight="1">
      <c r="A2199" s="1"/>
      <c r="B2199" s="1"/>
      <c r="C2199" s="1"/>
      <c r="D2199" s="1"/>
      <c r="E2199" s="1"/>
      <c r="F2199" s="1"/>
      <c r="G2199" s="1"/>
      <c r="H2199" s="1"/>
      <c r="I2199" s="1"/>
      <c r="J2199" s="1"/>
      <c r="K2199" s="89" t="s">
        <v>3425</v>
      </c>
      <c r="L2199" s="89" t="str">
        <f>K74</f>
        <v>C1b1a1a1a1a</v>
      </c>
      <c r="M2199" s="89"/>
      <c r="N2199" s="89" t="s">
        <v>3426</v>
      </c>
      <c r="O2199" s="92">
        <v>8582614.0</v>
      </c>
      <c r="P2199" s="92">
        <v>8714573.0</v>
      </c>
      <c r="Q2199" s="89" t="s">
        <v>802</v>
      </c>
      <c r="AF2199" s="1"/>
      <c r="AG2199" s="1"/>
    </row>
    <row r="2200" ht="15.75" customHeight="1">
      <c r="A2200" s="1"/>
      <c r="B2200" s="1"/>
      <c r="C2200" s="1"/>
      <c r="D2200" s="1"/>
      <c r="E2200" s="1"/>
      <c r="F2200" s="1"/>
      <c r="G2200" s="1"/>
      <c r="H2200" s="1"/>
      <c r="I2200" s="1"/>
      <c r="J2200" s="1"/>
      <c r="K2200" s="89" t="s">
        <v>3427</v>
      </c>
      <c r="L2200" s="89" t="str">
        <f>K74</f>
        <v>C1b1a1a1a1a</v>
      </c>
      <c r="M2200" s="89"/>
      <c r="N2200" s="89" t="s">
        <v>3428</v>
      </c>
      <c r="O2200" s="92">
        <v>8715004.0</v>
      </c>
      <c r="P2200" s="92">
        <v>8846963.0</v>
      </c>
      <c r="Q2200" s="89" t="s">
        <v>810</v>
      </c>
      <c r="AF2200" s="1"/>
      <c r="AG2200" s="1"/>
    </row>
    <row r="2201" ht="15.75" customHeight="1">
      <c r="A2201" s="1"/>
      <c r="B2201" s="1"/>
      <c r="C2201" s="1"/>
      <c r="D2201" s="1"/>
      <c r="E2201" s="1"/>
      <c r="F2201" s="1"/>
      <c r="G2201" s="1"/>
      <c r="H2201" s="1"/>
      <c r="I2201" s="1"/>
      <c r="J2201" s="1"/>
      <c r="K2201" s="89" t="s">
        <v>3429</v>
      </c>
      <c r="L2201" s="89" t="str">
        <f>K74</f>
        <v>C1b1a1a1a1a</v>
      </c>
      <c r="M2201" s="89"/>
      <c r="N2201" s="89" t="s">
        <v>3430</v>
      </c>
      <c r="O2201" s="92">
        <v>1.4576315E7</v>
      </c>
      <c r="P2201" s="92">
        <v>1.2464515E7</v>
      </c>
      <c r="Q2201" s="89" t="s">
        <v>810</v>
      </c>
      <c r="AF2201" s="1"/>
      <c r="AG2201" s="1"/>
    </row>
    <row r="2202" ht="15.75" customHeight="1">
      <c r="A2202" s="1"/>
      <c r="B2202" s="1"/>
      <c r="C2202" s="1"/>
      <c r="D2202" s="1"/>
      <c r="E2202" s="1"/>
      <c r="F2202" s="1"/>
      <c r="G2202" s="1"/>
      <c r="H2202" s="1"/>
      <c r="I2202" s="1"/>
      <c r="J2202" s="1"/>
      <c r="K2202" s="89" t="s">
        <v>3431</v>
      </c>
      <c r="L2202" s="89" t="str">
        <f>K74</f>
        <v>C1b1a1a1a1a</v>
      </c>
      <c r="M2202" s="89"/>
      <c r="N2202" s="89" t="s">
        <v>3432</v>
      </c>
      <c r="O2202" s="92">
        <v>1.531307E7</v>
      </c>
      <c r="P2202" s="92">
        <v>1.3201175E7</v>
      </c>
      <c r="Q2202" s="89" t="s">
        <v>879</v>
      </c>
      <c r="AF2202" s="1"/>
      <c r="AG2202" s="1"/>
    </row>
    <row r="2203" ht="15.75" customHeight="1">
      <c r="A2203" s="1"/>
      <c r="B2203" s="1"/>
      <c r="C2203" s="1"/>
      <c r="D2203" s="1"/>
      <c r="E2203" s="1"/>
      <c r="F2203" s="1"/>
      <c r="G2203" s="1"/>
      <c r="H2203" s="1"/>
      <c r="I2203" s="1"/>
      <c r="J2203" s="1"/>
      <c r="K2203" s="89" t="s">
        <v>3433</v>
      </c>
      <c r="L2203" s="89" t="str">
        <f>K74</f>
        <v>C1b1a1a1a1a</v>
      </c>
      <c r="M2203" s="89"/>
      <c r="N2203" s="89" t="s">
        <v>3434</v>
      </c>
      <c r="O2203" s="92">
        <v>1.5788017E7</v>
      </c>
      <c r="P2203" s="92">
        <v>1.3676137E7</v>
      </c>
      <c r="Q2203" s="89" t="s">
        <v>822</v>
      </c>
      <c r="AF2203" s="1"/>
      <c r="AG2203" s="1"/>
    </row>
    <row r="2204" ht="15.75" customHeight="1">
      <c r="A2204" s="1"/>
      <c r="B2204" s="1"/>
      <c r="C2204" s="1"/>
      <c r="D2204" s="1"/>
      <c r="E2204" s="1"/>
      <c r="F2204" s="1"/>
      <c r="G2204" s="1"/>
      <c r="H2204" s="1"/>
      <c r="I2204" s="1"/>
      <c r="J2204" s="1"/>
      <c r="K2204" s="89" t="s">
        <v>3435</v>
      </c>
      <c r="L2204" s="89" t="str">
        <f>K74</f>
        <v>C1b1a1a1a1a</v>
      </c>
      <c r="M2204" s="89"/>
      <c r="N2204" s="89" t="s">
        <v>3436</v>
      </c>
      <c r="O2204" s="92">
        <v>1.5879909E7</v>
      </c>
      <c r="P2204" s="92">
        <v>1.3768029E7</v>
      </c>
      <c r="Q2204" s="89" t="s">
        <v>810</v>
      </c>
      <c r="AF2204" s="1"/>
      <c r="AG2204" s="1"/>
    </row>
    <row r="2205" ht="15.75" customHeight="1">
      <c r="A2205" s="1"/>
      <c r="B2205" s="1"/>
      <c r="C2205" s="1"/>
      <c r="D2205" s="1"/>
      <c r="E2205" s="1"/>
      <c r="F2205" s="1"/>
      <c r="G2205" s="1"/>
      <c r="H2205" s="1"/>
      <c r="I2205" s="1"/>
      <c r="J2205" s="1"/>
      <c r="K2205" s="89" t="s">
        <v>3437</v>
      </c>
      <c r="L2205" s="89" t="str">
        <f>K74</f>
        <v>C1b1a1a1a1a</v>
      </c>
      <c r="M2205" s="89"/>
      <c r="N2205" s="89" t="s">
        <v>3438</v>
      </c>
      <c r="O2205" s="92">
        <v>1.6064681E7</v>
      </c>
      <c r="P2205" s="92">
        <v>1.3952801E7</v>
      </c>
      <c r="Q2205" s="89" t="s">
        <v>845</v>
      </c>
      <c r="AF2205" s="1"/>
      <c r="AG2205" s="1"/>
    </row>
    <row r="2206" ht="15.75" customHeight="1">
      <c r="A2206" s="1"/>
      <c r="B2206" s="1"/>
      <c r="C2206" s="1"/>
      <c r="D2206" s="1"/>
      <c r="E2206" s="1"/>
      <c r="F2206" s="1"/>
      <c r="G2206" s="1"/>
      <c r="H2206" s="1"/>
      <c r="I2206" s="1"/>
      <c r="J2206" s="1"/>
      <c r="K2206" s="89" t="s">
        <v>3439</v>
      </c>
      <c r="L2206" s="89" t="str">
        <f>K74</f>
        <v>C1b1a1a1a1a</v>
      </c>
      <c r="M2206" s="89"/>
      <c r="N2206" s="89" t="s">
        <v>3440</v>
      </c>
      <c r="O2206" s="92">
        <v>1.715871E7</v>
      </c>
      <c r="P2206" s="92">
        <v>1.504683E7</v>
      </c>
      <c r="Q2206" s="89" t="s">
        <v>822</v>
      </c>
      <c r="AF2206" s="1"/>
      <c r="AG2206" s="1"/>
    </row>
    <row r="2207" ht="15.75" customHeight="1">
      <c r="A2207" s="1"/>
      <c r="B2207" s="1"/>
      <c r="C2207" s="1"/>
      <c r="D2207" s="1"/>
      <c r="E2207" s="1"/>
      <c r="F2207" s="1"/>
      <c r="G2207" s="1"/>
      <c r="H2207" s="1"/>
      <c r="I2207" s="1"/>
      <c r="J2207" s="1"/>
      <c r="K2207" s="89" t="s">
        <v>3441</v>
      </c>
      <c r="L2207" s="89" t="str">
        <f>K74</f>
        <v>C1b1a1a1a1a</v>
      </c>
      <c r="M2207" s="89"/>
      <c r="N2207" s="89" t="s">
        <v>3442</v>
      </c>
      <c r="O2207" s="92">
        <v>1.780654E7</v>
      </c>
      <c r="P2207" s="92">
        <v>1.569466E7</v>
      </c>
      <c r="Q2207" s="89" t="s">
        <v>802</v>
      </c>
      <c r="AF2207" s="1"/>
      <c r="AG2207" s="1"/>
    </row>
    <row r="2208" ht="15.75" customHeight="1">
      <c r="A2208" s="1"/>
      <c r="B2208" s="1"/>
      <c r="C2208" s="1"/>
      <c r="D2208" s="1"/>
      <c r="E2208" s="1"/>
      <c r="F2208" s="1"/>
      <c r="G2208" s="1"/>
      <c r="H2208" s="1"/>
      <c r="I2208" s="1"/>
      <c r="J2208" s="1"/>
      <c r="K2208" s="89" t="s">
        <v>3443</v>
      </c>
      <c r="L2208" s="89" t="str">
        <f>K74</f>
        <v>C1b1a1a1a1a</v>
      </c>
      <c r="M2208" s="89"/>
      <c r="N2208" s="89" t="s">
        <v>3444</v>
      </c>
      <c r="O2208" s="92">
        <v>1.8410149E7</v>
      </c>
      <c r="P2208" s="92">
        <v>1.6298269E7</v>
      </c>
      <c r="Q2208" s="89" t="s">
        <v>813</v>
      </c>
      <c r="AF2208" s="1"/>
      <c r="AG2208" s="1"/>
    </row>
    <row r="2209" ht="15.75" customHeight="1">
      <c r="A2209" s="1"/>
      <c r="B2209" s="1"/>
      <c r="C2209" s="1"/>
      <c r="D2209" s="1"/>
      <c r="E2209" s="1"/>
      <c r="F2209" s="1"/>
      <c r="G2209" s="1"/>
      <c r="H2209" s="1"/>
      <c r="I2209" s="1"/>
      <c r="J2209" s="1"/>
      <c r="K2209" s="89" t="s">
        <v>3445</v>
      </c>
      <c r="L2209" s="89" t="str">
        <f>K74</f>
        <v>C1b1a1a1a1a</v>
      </c>
      <c r="M2209" s="89"/>
      <c r="N2209" s="89" t="s">
        <v>3446</v>
      </c>
      <c r="O2209" s="92">
        <v>1.9384287E7</v>
      </c>
      <c r="P2209" s="92">
        <v>1.7272407E7</v>
      </c>
      <c r="Q2209" s="89" t="s">
        <v>886</v>
      </c>
      <c r="AF2209" s="1"/>
      <c r="AG2209" s="1"/>
    </row>
    <row r="2210" ht="15.75" customHeight="1">
      <c r="A2210" s="1"/>
      <c r="B2210" s="1"/>
      <c r="C2210" s="1"/>
      <c r="D2210" s="1"/>
      <c r="E2210" s="1"/>
      <c r="F2210" s="1"/>
      <c r="G2210" s="1"/>
      <c r="H2210" s="1"/>
      <c r="I2210" s="1"/>
      <c r="J2210" s="1"/>
      <c r="K2210" s="89" t="s">
        <v>3447</v>
      </c>
      <c r="L2210" s="89" t="str">
        <f>K74</f>
        <v>C1b1a1a1a1a</v>
      </c>
      <c r="M2210" s="89"/>
      <c r="N2210" s="89" t="s">
        <v>3448</v>
      </c>
      <c r="O2210" s="92">
        <v>2.1527071E7</v>
      </c>
      <c r="P2210" s="92">
        <v>1.9365185E7</v>
      </c>
      <c r="Q2210" s="89" t="s">
        <v>810</v>
      </c>
      <c r="AF2210" s="1"/>
      <c r="AG2210" s="1"/>
    </row>
    <row r="2211" ht="15.75" customHeight="1">
      <c r="A2211" s="1"/>
      <c r="B2211" s="1"/>
      <c r="C2211" s="1"/>
      <c r="D2211" s="1"/>
      <c r="E2211" s="1"/>
      <c r="F2211" s="1"/>
      <c r="G2211" s="1"/>
      <c r="H2211" s="1"/>
      <c r="I2211" s="1"/>
      <c r="J2211" s="1"/>
      <c r="K2211" s="89" t="s">
        <v>3449</v>
      </c>
      <c r="L2211" s="89" t="str">
        <f>K74</f>
        <v>C1b1a1a1a1a</v>
      </c>
      <c r="M2211" s="89" t="s">
        <v>3450</v>
      </c>
      <c r="N2211" s="89" t="s">
        <v>3451</v>
      </c>
      <c r="O2211" s="92">
        <v>2.3159323E7</v>
      </c>
      <c r="P2211" s="92">
        <v>2.0997437E7</v>
      </c>
      <c r="Q2211" s="89" t="s">
        <v>912</v>
      </c>
      <c r="AF2211" s="1"/>
      <c r="AG2211" s="1"/>
    </row>
    <row r="2212" ht="15.75" customHeight="1">
      <c r="A2212" s="1"/>
      <c r="B2212" s="1"/>
      <c r="C2212" s="1"/>
      <c r="D2212" s="1"/>
      <c r="E2212" s="1"/>
      <c r="F2212" s="1"/>
      <c r="G2212" s="1"/>
      <c r="H2212" s="1"/>
      <c r="I2212" s="1"/>
      <c r="J2212" s="1"/>
      <c r="K2212" s="89" t="s">
        <v>3450</v>
      </c>
      <c r="L2212" s="89" t="str">
        <f>K74</f>
        <v>C1b1a1a1a1a</v>
      </c>
      <c r="M2212" s="89" t="s">
        <v>3449</v>
      </c>
      <c r="N2212" s="89" t="s">
        <v>3451</v>
      </c>
      <c r="O2212" s="92">
        <v>2.3159323E7</v>
      </c>
      <c r="P2212" s="92">
        <v>2.0997437E7</v>
      </c>
      <c r="Q2212" s="89" t="s">
        <v>912</v>
      </c>
      <c r="AF2212" s="1"/>
      <c r="AG2212" s="1"/>
    </row>
    <row r="2213" ht="15.75" customHeight="1">
      <c r="A2213" s="1"/>
      <c r="B2213" s="1"/>
      <c r="C2213" s="1"/>
      <c r="D2213" s="1"/>
      <c r="E2213" s="1"/>
      <c r="F2213" s="1"/>
      <c r="G2213" s="1"/>
      <c r="H2213" s="1"/>
      <c r="I2213" s="1"/>
      <c r="J2213" s="1"/>
      <c r="K2213" s="89" t="s">
        <v>3452</v>
      </c>
      <c r="L2213" s="89" t="str">
        <f>K74</f>
        <v>C1b1a1a1a1a</v>
      </c>
      <c r="M2213" s="89"/>
      <c r="N2213" s="89" t="s">
        <v>3453</v>
      </c>
      <c r="O2213" s="92">
        <v>7698561.0</v>
      </c>
      <c r="P2213" s="92">
        <v>7830520.0</v>
      </c>
      <c r="Q2213" s="89" t="s">
        <v>886</v>
      </c>
      <c r="AF2213" s="1"/>
      <c r="AG2213" s="1"/>
    </row>
    <row r="2214" ht="15.75" customHeight="1">
      <c r="A2214" s="1"/>
      <c r="B2214" s="1"/>
      <c r="C2214" s="1"/>
      <c r="D2214" s="1"/>
      <c r="E2214" s="1"/>
      <c r="F2214" s="1"/>
      <c r="G2214" s="1"/>
      <c r="H2214" s="1"/>
      <c r="I2214" s="1"/>
      <c r="J2214" s="1"/>
      <c r="K2214" s="89" t="s">
        <v>3454</v>
      </c>
      <c r="L2214" s="89" t="str">
        <f>K74</f>
        <v>C1b1a1a1a1a</v>
      </c>
      <c r="M2214" s="89"/>
      <c r="N2214" s="89" t="s">
        <v>3455</v>
      </c>
      <c r="O2214" s="92">
        <v>7957930.0</v>
      </c>
      <c r="P2214" s="92">
        <v>8089889.0</v>
      </c>
      <c r="Q2214" s="89" t="s">
        <v>810</v>
      </c>
      <c r="AF2214" s="1"/>
      <c r="AG2214" s="1"/>
    </row>
    <row r="2215" ht="15.75" customHeight="1">
      <c r="A2215" s="1"/>
      <c r="B2215" s="1"/>
      <c r="C2215" s="1"/>
      <c r="D2215" s="1"/>
      <c r="E2215" s="1"/>
      <c r="F2215" s="1"/>
      <c r="G2215" s="1"/>
      <c r="H2215" s="1"/>
      <c r="I2215" s="1"/>
      <c r="J2215" s="1"/>
      <c r="K2215" s="89" t="s">
        <v>3456</v>
      </c>
      <c r="L2215" s="89" t="str">
        <f>K74</f>
        <v>C1b1a1a1a1a</v>
      </c>
      <c r="M2215" s="89"/>
      <c r="N2215" s="89" t="s">
        <v>3457</v>
      </c>
      <c r="O2215" s="92">
        <v>1.7234628E7</v>
      </c>
      <c r="P2215" s="92">
        <v>1.5122748E7</v>
      </c>
      <c r="Q2215" s="89" t="s">
        <v>838</v>
      </c>
      <c r="AF2215" s="1"/>
      <c r="AG2215" s="1"/>
    </row>
    <row r="2216" ht="15.75" customHeight="1">
      <c r="A2216" s="1"/>
      <c r="B2216" s="1"/>
      <c r="C2216" s="1"/>
      <c r="D2216" s="1"/>
      <c r="E2216" s="1"/>
      <c r="F2216" s="1"/>
      <c r="G2216" s="1"/>
      <c r="H2216" s="1"/>
      <c r="I2216" s="1"/>
      <c r="J2216" s="1"/>
      <c r="K2216" s="89" t="s">
        <v>3458</v>
      </c>
      <c r="L2216" s="89" t="str">
        <f>K74</f>
        <v>C1b1a1a1a1a</v>
      </c>
      <c r="M2216" s="89" t="s">
        <v>3459</v>
      </c>
      <c r="N2216" s="89" t="s">
        <v>3460</v>
      </c>
      <c r="O2216" s="92">
        <v>1.7832094E7</v>
      </c>
      <c r="P2216" s="92">
        <v>1.5720214E7</v>
      </c>
      <c r="Q2216" s="89" t="s">
        <v>802</v>
      </c>
      <c r="AF2216" s="1"/>
      <c r="AG2216" s="1"/>
    </row>
    <row r="2217" ht="15.75" customHeight="1">
      <c r="A2217" s="1"/>
      <c r="B2217" s="1"/>
      <c r="C2217" s="1"/>
      <c r="D2217" s="1"/>
      <c r="E2217" s="1"/>
      <c r="F2217" s="1"/>
      <c r="G2217" s="1"/>
      <c r="H2217" s="1"/>
      <c r="I2217" s="1"/>
      <c r="J2217" s="1"/>
      <c r="K2217" s="89" t="s">
        <v>3459</v>
      </c>
      <c r="L2217" s="89" t="str">
        <f>K74</f>
        <v>C1b1a1a1a1a</v>
      </c>
      <c r="M2217" s="89" t="s">
        <v>3458</v>
      </c>
      <c r="N2217" s="89" t="s">
        <v>3460</v>
      </c>
      <c r="O2217" s="92">
        <v>1.7832094E7</v>
      </c>
      <c r="P2217" s="92">
        <v>1.5720214E7</v>
      </c>
      <c r="Q2217" s="89" t="s">
        <v>802</v>
      </c>
      <c r="AF2217" s="1"/>
      <c r="AG2217" s="1"/>
    </row>
    <row r="2218" ht="15.75" customHeight="1">
      <c r="A2218" s="1"/>
      <c r="B2218" s="1"/>
      <c r="C2218" s="1"/>
      <c r="D2218" s="1"/>
      <c r="E2218" s="1"/>
      <c r="F2218" s="1"/>
      <c r="G2218" s="1"/>
      <c r="H2218" s="1"/>
      <c r="I2218" s="1"/>
      <c r="J2218" s="1"/>
      <c r="K2218" s="89" t="s">
        <v>3461</v>
      </c>
      <c r="L2218" s="89" t="str">
        <f>K74</f>
        <v>C1b1a1a1a1a</v>
      </c>
      <c r="M2218" s="89"/>
      <c r="N2218" s="89" t="s">
        <v>3462</v>
      </c>
      <c r="O2218" s="92">
        <v>1.899913E7</v>
      </c>
      <c r="P2218" s="92">
        <v>1.688725E7</v>
      </c>
      <c r="Q2218" s="89" t="s">
        <v>864</v>
      </c>
      <c r="AF2218" s="1"/>
      <c r="AG2218" s="1"/>
    </row>
    <row r="2219" ht="15.75" customHeight="1">
      <c r="A2219" s="1"/>
      <c r="B2219" s="1"/>
      <c r="C2219" s="1"/>
      <c r="D2219" s="1"/>
      <c r="E2219" s="1"/>
      <c r="F2219" s="1"/>
      <c r="G2219" s="1"/>
      <c r="H2219" s="1"/>
      <c r="I2219" s="1"/>
      <c r="J2219" s="1"/>
      <c r="K2219" s="89" t="s">
        <v>3463</v>
      </c>
      <c r="L2219" s="89" t="str">
        <f>K74</f>
        <v>C1b1a1a1a1a</v>
      </c>
      <c r="M2219" s="89"/>
      <c r="N2219" s="89" t="s">
        <v>3464</v>
      </c>
      <c r="O2219" s="92">
        <v>2.1580755E7</v>
      </c>
      <c r="P2219" s="92">
        <v>1.9418869E7</v>
      </c>
      <c r="Q2219" s="89" t="s">
        <v>802</v>
      </c>
      <c r="AF2219" s="1"/>
      <c r="AG2219" s="1"/>
    </row>
    <row r="2220" ht="15.75" customHeight="1">
      <c r="A2220" s="1"/>
      <c r="B2220" s="1"/>
      <c r="C2220" s="1"/>
      <c r="D2220" s="1"/>
      <c r="E2220" s="1"/>
      <c r="F2220" s="1"/>
      <c r="G2220" s="1"/>
      <c r="H2220" s="1"/>
      <c r="I2220" s="1"/>
      <c r="J2220" s="1"/>
      <c r="K2220" s="89" t="s">
        <v>3465</v>
      </c>
      <c r="L2220" s="89" t="str">
        <f>K74</f>
        <v>C1b1a1a1a1a</v>
      </c>
      <c r="M2220" s="89"/>
      <c r="N2220" s="89" t="s">
        <v>3466</v>
      </c>
      <c r="O2220" s="92">
        <v>2.3465768E7</v>
      </c>
      <c r="P2220" s="92">
        <v>2.1303882E7</v>
      </c>
      <c r="Q2220" s="89" t="s">
        <v>810</v>
      </c>
      <c r="AF2220" s="1"/>
      <c r="AG2220" s="1"/>
    </row>
    <row r="2221" ht="15.75" customHeight="1">
      <c r="A2221" s="1"/>
      <c r="B2221" s="1"/>
      <c r="C2221" s="1"/>
      <c r="D2221" s="1"/>
      <c r="E2221" s="1"/>
      <c r="F2221" s="1"/>
      <c r="G2221" s="1"/>
      <c r="H2221" s="1"/>
      <c r="I2221" s="1"/>
      <c r="J2221" s="1"/>
      <c r="K2221" s="89" t="s">
        <v>3467</v>
      </c>
      <c r="L2221" s="89" t="str">
        <f>L75</f>
        <v>C1b1a1a1a1a1</v>
      </c>
      <c r="M2221" s="89"/>
      <c r="N2221" s="89" t="s">
        <v>3468</v>
      </c>
      <c r="O2221" s="92">
        <v>1.4044697E7</v>
      </c>
      <c r="P2221" s="92">
        <v>1.1923991E7</v>
      </c>
      <c r="Q2221" s="89" t="s">
        <v>822</v>
      </c>
      <c r="AF2221" s="1"/>
      <c r="AG2221" s="1"/>
    </row>
    <row r="2222" ht="15.75" customHeight="1">
      <c r="A2222" s="1"/>
      <c r="B2222" s="1"/>
      <c r="C2222" s="1"/>
      <c r="D2222" s="1"/>
      <c r="E2222" s="1"/>
      <c r="F2222" s="1"/>
      <c r="G2222" s="1"/>
      <c r="H2222" s="1"/>
      <c r="I2222" s="1"/>
      <c r="J2222" s="1"/>
      <c r="K2222" s="89" t="s">
        <v>3469</v>
      </c>
      <c r="L2222" s="89" t="str">
        <f>L75</f>
        <v>C1b1a1a1a1a1</v>
      </c>
      <c r="M2222" s="89"/>
      <c r="N2222" s="89" t="s">
        <v>3470</v>
      </c>
      <c r="O2222" s="89">
        <v>2.3290151E7</v>
      </c>
      <c r="P2222" s="89">
        <v>2.1128265E7</v>
      </c>
      <c r="Q2222" s="89" t="s">
        <v>813</v>
      </c>
      <c r="AF2222" s="1"/>
      <c r="AG2222" s="1"/>
    </row>
    <row r="2223" ht="15.75" customHeight="1">
      <c r="A2223" s="1"/>
      <c r="B2223" s="1"/>
      <c r="C2223" s="1"/>
      <c r="D2223" s="1"/>
      <c r="E2223" s="1"/>
      <c r="F2223" s="1"/>
      <c r="G2223" s="1"/>
      <c r="H2223" s="1"/>
      <c r="I2223" s="1"/>
      <c r="J2223" s="1"/>
      <c r="K2223" s="89" t="s">
        <v>3471</v>
      </c>
      <c r="L2223" s="89" t="str">
        <f>L75</f>
        <v>C1b1a1a1a1a1</v>
      </c>
      <c r="M2223" s="89"/>
      <c r="N2223" s="89" t="s">
        <v>3472</v>
      </c>
      <c r="O2223" s="92">
        <v>8645095.0</v>
      </c>
      <c r="P2223" s="92">
        <v>8777054.0</v>
      </c>
      <c r="Q2223" s="89" t="s">
        <v>802</v>
      </c>
      <c r="AF2223" s="1"/>
      <c r="AG2223" s="1"/>
    </row>
    <row r="2224" ht="15.75" customHeight="1">
      <c r="A2224" s="1"/>
      <c r="B2224" s="1"/>
      <c r="C2224" s="1"/>
      <c r="D2224" s="1"/>
      <c r="E2224" s="1"/>
      <c r="F2224" s="1"/>
      <c r="G2224" s="1"/>
      <c r="H2224" s="1"/>
      <c r="I2224" s="1"/>
      <c r="J2224" s="1"/>
      <c r="K2224" s="89" t="s">
        <v>3473</v>
      </c>
      <c r="L2224" s="89" t="str">
        <f>L75</f>
        <v>C1b1a1a1a1a1</v>
      </c>
      <c r="M2224" s="89"/>
      <c r="N2224" s="89"/>
      <c r="O2224" s="92" t="s">
        <v>3474</v>
      </c>
      <c r="P2224" s="92" t="s">
        <v>3475</v>
      </c>
      <c r="Q2224" s="89" t="s">
        <v>3476</v>
      </c>
      <c r="AF2224" s="1"/>
      <c r="AG2224" s="1"/>
    </row>
    <row r="2225" ht="15.75" customHeight="1">
      <c r="A2225" s="1"/>
      <c r="B2225" s="1"/>
      <c r="C2225" s="1"/>
      <c r="D2225" s="1"/>
      <c r="E2225" s="1"/>
      <c r="F2225" s="1"/>
      <c r="G2225" s="1"/>
      <c r="H2225" s="1"/>
      <c r="I2225" s="1"/>
      <c r="J2225" s="1"/>
      <c r="K2225" s="89" t="s">
        <v>3477</v>
      </c>
      <c r="L2225" s="89" t="str">
        <f>L75</f>
        <v>C1b1a1a1a1a1</v>
      </c>
      <c r="M2225" s="89"/>
      <c r="N2225" s="89" t="s">
        <v>3478</v>
      </c>
      <c r="O2225" s="92">
        <v>2.3792572E7</v>
      </c>
      <c r="P2225" s="92">
        <v>2.1630686E7</v>
      </c>
      <c r="Q2225" s="89" t="s">
        <v>810</v>
      </c>
      <c r="AF2225" s="1"/>
      <c r="AG2225" s="1"/>
    </row>
    <row r="2226" ht="15.75" customHeight="1">
      <c r="A2226" s="1"/>
      <c r="B2226" s="1"/>
      <c r="C2226" s="1"/>
      <c r="D2226" s="1"/>
      <c r="E2226" s="1"/>
      <c r="F2226" s="1"/>
      <c r="G2226" s="1"/>
      <c r="H2226" s="1"/>
      <c r="I2226" s="1"/>
      <c r="J2226" s="1"/>
      <c r="K2226" s="89" t="s">
        <v>3479</v>
      </c>
      <c r="L2226" s="89" t="str">
        <f t="shared" ref="L2226:L2227" si="12">L75</f>
        <v>C1b1a1a1a1a1</v>
      </c>
      <c r="M2226" s="89"/>
      <c r="N2226" s="89"/>
      <c r="O2226" s="92">
        <v>2.4512463E7</v>
      </c>
      <c r="P2226" s="92">
        <v>2.2366316E7</v>
      </c>
      <c r="Q2226" s="89" t="s">
        <v>810</v>
      </c>
      <c r="AF2226" s="1"/>
      <c r="AG2226" s="1"/>
    </row>
    <row r="2227" ht="15.75" customHeight="1">
      <c r="A2227" s="1"/>
      <c r="B2227" s="1"/>
      <c r="C2227" s="1"/>
      <c r="D2227" s="1"/>
      <c r="E2227" s="1"/>
      <c r="F2227" s="1"/>
      <c r="G2227" s="1"/>
      <c r="H2227" s="1"/>
      <c r="I2227" s="1"/>
      <c r="J2227" s="1"/>
      <c r="K2227" s="89" t="s">
        <v>113</v>
      </c>
      <c r="L2227" s="89" t="str">
        <f t="shared" si="12"/>
        <v>C1b1a1a1a1a1~</v>
      </c>
      <c r="M2227" s="89"/>
      <c r="N2227" s="89" t="s">
        <v>3480</v>
      </c>
      <c r="O2227" s="92">
        <v>1.5260773E7</v>
      </c>
      <c r="P2227" s="92">
        <v>1.3148857E7</v>
      </c>
      <c r="Q2227" s="89" t="s">
        <v>802</v>
      </c>
      <c r="AF2227" s="1"/>
      <c r="AG2227" s="1"/>
    </row>
    <row r="2228" ht="15.75" customHeight="1">
      <c r="A2228" s="1"/>
      <c r="B2228" s="1"/>
      <c r="C2228" s="1"/>
      <c r="D2228" s="1"/>
      <c r="E2228" s="1"/>
      <c r="F2228" s="1"/>
      <c r="G2228" s="1"/>
      <c r="H2228" s="1"/>
      <c r="I2228" s="1"/>
      <c r="J2228" s="1"/>
      <c r="K2228" s="89" t="s">
        <v>115</v>
      </c>
      <c r="L2228" s="89" t="str">
        <f>M77</f>
        <v>C1b1a1a1a1a1a</v>
      </c>
      <c r="M2228" s="89"/>
      <c r="N2228" s="89" t="s">
        <v>3481</v>
      </c>
      <c r="O2228" s="92">
        <v>1.4144911E7</v>
      </c>
      <c r="P2228" s="92">
        <v>1.2024205E7</v>
      </c>
      <c r="Q2228" s="89" t="s">
        <v>845</v>
      </c>
      <c r="AF2228" s="1"/>
      <c r="AG2228" s="1"/>
    </row>
    <row r="2229" ht="15.75" customHeight="1">
      <c r="A2229" s="1"/>
      <c r="B2229" s="1"/>
      <c r="C2229" s="1"/>
      <c r="D2229" s="1"/>
      <c r="E2229" s="1"/>
      <c r="F2229" s="1"/>
      <c r="G2229" s="1"/>
      <c r="H2229" s="1"/>
      <c r="I2229" s="1"/>
      <c r="J2229" s="1"/>
      <c r="K2229" s="89" t="s">
        <v>117</v>
      </c>
      <c r="L2229" s="89" t="str">
        <f>N78</f>
        <v>C1b1a1a1a1a1a1</v>
      </c>
      <c r="M2229" s="89"/>
      <c r="N2229" s="89" t="s">
        <v>3482</v>
      </c>
      <c r="O2229" s="92">
        <v>1.4549129E7</v>
      </c>
      <c r="P2229" s="92">
        <v>1.243733E7</v>
      </c>
      <c r="Q2229" s="89" t="s">
        <v>838</v>
      </c>
      <c r="AF2229" s="1"/>
      <c r="AG2229" s="1"/>
    </row>
    <row r="2230" ht="15.75" customHeight="1">
      <c r="A2230" s="1"/>
      <c r="B2230" s="1"/>
      <c r="C2230" s="1"/>
      <c r="D2230" s="1"/>
      <c r="E2230" s="1"/>
      <c r="F2230" s="1"/>
      <c r="G2230" s="1"/>
      <c r="H2230" s="1"/>
      <c r="I2230" s="1"/>
      <c r="J2230" s="1"/>
      <c r="K2230" s="89" t="s">
        <v>3483</v>
      </c>
      <c r="L2230" s="89" t="str">
        <f>O79</f>
        <v>C1b1a1a1a1a1a1a</v>
      </c>
      <c r="M2230" s="89"/>
      <c r="N2230" s="89" t="s">
        <v>3484</v>
      </c>
      <c r="O2230" s="92">
        <v>8748510.0</v>
      </c>
      <c r="P2230" s="92">
        <v>8880469.0</v>
      </c>
      <c r="Q2230" s="89" t="s">
        <v>912</v>
      </c>
      <c r="AF2230" s="1"/>
      <c r="AG2230" s="1"/>
    </row>
    <row r="2231" ht="15.75" customHeight="1">
      <c r="A2231" s="1"/>
      <c r="B2231" s="1"/>
      <c r="C2231" s="1"/>
      <c r="D2231" s="1"/>
      <c r="E2231" s="1"/>
      <c r="F2231" s="1"/>
      <c r="G2231" s="1"/>
      <c r="H2231" s="1"/>
      <c r="I2231" s="1"/>
      <c r="J2231" s="1"/>
      <c r="K2231" s="89" t="s">
        <v>3485</v>
      </c>
      <c r="L2231" s="89" t="str">
        <f>O79</f>
        <v>C1b1a1a1a1a1a1a</v>
      </c>
      <c r="M2231" s="89"/>
      <c r="N2231" s="89"/>
      <c r="O2231" s="92">
        <v>2.3638553E7</v>
      </c>
      <c r="P2231" s="92">
        <v>2.1476667E7</v>
      </c>
      <c r="Q2231" s="89" t="s">
        <v>879</v>
      </c>
      <c r="AF2231" s="1"/>
      <c r="AG2231" s="1"/>
    </row>
    <row r="2232" ht="15.75" customHeight="1">
      <c r="A2232" s="1"/>
      <c r="B2232" s="1"/>
      <c r="C2232" s="1"/>
      <c r="D2232" s="1"/>
      <c r="E2232" s="1"/>
      <c r="F2232" s="1"/>
      <c r="G2232" s="1"/>
      <c r="H2232" s="1"/>
      <c r="I2232" s="1"/>
      <c r="J2232" s="1"/>
      <c r="K2232" s="89" t="s">
        <v>121</v>
      </c>
      <c r="L2232" s="89" t="str">
        <f>P80</f>
        <v>C1b1a1a1a1a1a1a1</v>
      </c>
      <c r="M2232" s="89"/>
      <c r="N2232" s="89" t="s">
        <v>3486</v>
      </c>
      <c r="O2232" s="92">
        <v>1.3429261E7</v>
      </c>
      <c r="P2232" s="92">
        <v>1.1273585E7</v>
      </c>
      <c r="Q2232" s="89" t="s">
        <v>879</v>
      </c>
      <c r="AF2232" s="1"/>
      <c r="AG2232" s="1"/>
    </row>
    <row r="2233" ht="15.75" customHeight="1">
      <c r="A2233" s="1"/>
      <c r="B2233" s="1"/>
      <c r="C2233" s="1"/>
      <c r="D2233" s="1"/>
      <c r="E2233" s="1"/>
      <c r="F2233" s="1"/>
      <c r="G2233" s="1"/>
      <c r="H2233" s="1"/>
      <c r="I2233" s="1"/>
      <c r="J2233" s="1"/>
      <c r="K2233" s="89" t="s">
        <v>123</v>
      </c>
      <c r="L2233" s="89" t="str">
        <f>Q81</f>
        <v>C1b1a1a1a1a1a1a1a</v>
      </c>
      <c r="M2233" s="89"/>
      <c r="N2233" s="89" t="s">
        <v>3487</v>
      </c>
      <c r="O2233" s="92">
        <v>2.1594932E7</v>
      </c>
      <c r="P2233" s="92">
        <v>1.9433046E7</v>
      </c>
      <c r="Q2233" s="89" t="s">
        <v>831</v>
      </c>
      <c r="AF2233" s="1"/>
      <c r="AG2233" s="1"/>
    </row>
    <row r="2234" ht="15.75" customHeight="1">
      <c r="A2234" s="1"/>
      <c r="B2234" s="1"/>
      <c r="C2234" s="1"/>
      <c r="D2234" s="1"/>
      <c r="E2234" s="1"/>
      <c r="F2234" s="1"/>
      <c r="G2234" s="1"/>
      <c r="H2234" s="1"/>
      <c r="I2234" s="1"/>
      <c r="J2234" s="1"/>
      <c r="K2234" s="89" t="s">
        <v>3488</v>
      </c>
      <c r="L2234" s="89" t="str">
        <f>R82</f>
        <v>C1b1a1a1a1a1a1a1a1~</v>
      </c>
      <c r="M2234" s="89"/>
      <c r="N2234" s="89"/>
      <c r="O2234" s="92">
        <v>2.8590899E7</v>
      </c>
      <c r="P2234" s="92">
        <v>2.6444752E7</v>
      </c>
      <c r="Q2234" s="89" t="s">
        <v>886</v>
      </c>
      <c r="AF2234" s="1"/>
      <c r="AG2234" s="1"/>
    </row>
    <row r="2235" ht="15.75" customHeight="1">
      <c r="A2235" s="1"/>
      <c r="B2235" s="1"/>
      <c r="C2235" s="1"/>
      <c r="D2235" s="1"/>
      <c r="E2235" s="1"/>
      <c r="F2235" s="1"/>
      <c r="G2235" s="1"/>
      <c r="H2235" s="1"/>
      <c r="I2235" s="1"/>
      <c r="J2235" s="1"/>
      <c r="K2235" s="89" t="s">
        <v>3489</v>
      </c>
      <c r="L2235" s="89" t="str">
        <f>R82</f>
        <v>C1b1a1a1a1a1a1a1a1~</v>
      </c>
      <c r="M2235" s="89"/>
      <c r="N2235" s="89"/>
      <c r="O2235" s="89">
        <v>1.5337109E7</v>
      </c>
      <c r="P2235" s="89">
        <v>1.3225227E7</v>
      </c>
      <c r="Q2235" s="89" t="s">
        <v>917</v>
      </c>
      <c r="AF2235" s="1"/>
      <c r="AG2235" s="1"/>
    </row>
    <row r="2236" ht="15.75" customHeight="1">
      <c r="A2236" s="1"/>
      <c r="B2236" s="1"/>
      <c r="C2236" s="1"/>
      <c r="D2236" s="1"/>
      <c r="E2236" s="1"/>
      <c r="F2236" s="1"/>
      <c r="G2236" s="1"/>
      <c r="H2236" s="1"/>
      <c r="I2236" s="1"/>
      <c r="J2236" s="1"/>
      <c r="K2236" s="89" t="s">
        <v>3490</v>
      </c>
      <c r="L2236" s="89" t="str">
        <f>R82</f>
        <v>C1b1a1a1a1a1a1a1a1~</v>
      </c>
      <c r="M2236" s="89"/>
      <c r="N2236" s="89"/>
      <c r="O2236" s="89">
        <v>1.6179041E7</v>
      </c>
      <c r="P2236" s="89">
        <v>1.4067161E7</v>
      </c>
      <c r="Q2236" s="89" t="s">
        <v>838</v>
      </c>
      <c r="AF2236" s="1"/>
      <c r="AG2236" s="1"/>
    </row>
    <row r="2237" ht="15.75" customHeight="1">
      <c r="A2237" s="1"/>
      <c r="B2237" s="1"/>
      <c r="C2237" s="1"/>
      <c r="D2237" s="1"/>
      <c r="E2237" s="1"/>
      <c r="F2237" s="1"/>
      <c r="G2237" s="1"/>
      <c r="H2237" s="1"/>
      <c r="I2237" s="1"/>
      <c r="J2237" s="1"/>
      <c r="K2237" s="89" t="s">
        <v>3491</v>
      </c>
      <c r="L2237" s="89" t="str">
        <f t="shared" ref="L2237:L2238" si="13">R82</f>
        <v>C1b1a1a1a1a1a1a1a1~</v>
      </c>
      <c r="M2237" s="89"/>
      <c r="N2237" s="89"/>
      <c r="O2237" s="89">
        <v>1.859678E7</v>
      </c>
      <c r="P2237" s="89">
        <v>1.64849E7</v>
      </c>
      <c r="Q2237" s="89" t="s">
        <v>838</v>
      </c>
      <c r="AF2237" s="1"/>
      <c r="AG2237" s="1"/>
    </row>
    <row r="2238" ht="15.75" customHeight="1">
      <c r="A2238" s="1"/>
      <c r="B2238" s="1"/>
      <c r="C2238" s="1"/>
      <c r="D2238" s="1"/>
      <c r="E2238" s="1"/>
      <c r="F2238" s="1"/>
      <c r="G2238" s="1"/>
      <c r="H2238" s="1"/>
      <c r="I2238" s="1"/>
      <c r="J2238" s="1"/>
      <c r="K2238" s="89" t="s">
        <v>3492</v>
      </c>
      <c r="L2238" s="89" t="str">
        <f t="shared" si="13"/>
        <v>C1b1a1a1a1a1a1a1a2~</v>
      </c>
      <c r="M2238" s="89"/>
      <c r="N2238" s="89" t="s">
        <v>3493</v>
      </c>
      <c r="O2238" s="92">
        <v>2.3163701E7</v>
      </c>
      <c r="P2238" s="92">
        <v>2.1001815E7</v>
      </c>
      <c r="Q2238" s="89" t="s">
        <v>879</v>
      </c>
      <c r="AF2238" s="1"/>
      <c r="AG2238" s="1"/>
    </row>
    <row r="2239" ht="15.75" customHeight="1">
      <c r="A2239" s="1"/>
      <c r="B2239" s="1"/>
      <c r="C2239" s="1"/>
      <c r="D2239" s="1"/>
      <c r="E2239" s="1"/>
      <c r="F2239" s="1"/>
      <c r="G2239" s="1"/>
      <c r="H2239" s="1"/>
      <c r="I2239" s="1"/>
      <c r="J2239" s="1"/>
      <c r="K2239" s="89" t="s">
        <v>3494</v>
      </c>
      <c r="L2239" s="89" t="str">
        <f>R83</f>
        <v>C1b1a1a1a1a1a1a1a2~</v>
      </c>
      <c r="M2239" s="89"/>
      <c r="N2239" s="89"/>
      <c r="O2239" s="92">
        <v>2.8787742E7</v>
      </c>
      <c r="P2239" s="92">
        <v>2.6641595E7</v>
      </c>
      <c r="Q2239" s="89" t="s">
        <v>810</v>
      </c>
      <c r="AF2239" s="1"/>
      <c r="AG2239" s="1"/>
    </row>
    <row r="2240" ht="15.75" customHeight="1">
      <c r="A2240" s="1"/>
      <c r="B2240" s="1"/>
      <c r="C2240" s="1"/>
      <c r="D2240" s="1"/>
      <c r="E2240" s="1"/>
      <c r="F2240" s="1"/>
      <c r="G2240" s="1"/>
      <c r="H2240" s="1"/>
      <c r="I2240" s="1"/>
      <c r="J2240" s="1"/>
      <c r="K2240" s="89" t="s">
        <v>3495</v>
      </c>
      <c r="L2240" s="89" t="str">
        <f>R83</f>
        <v>C1b1a1a1a1a1a1a1a2~</v>
      </c>
      <c r="M2240" s="89"/>
      <c r="N2240" s="89" t="s">
        <v>3496</v>
      </c>
      <c r="O2240" s="89">
        <v>6747856.0</v>
      </c>
      <c r="P2240" s="89">
        <v>6879815.0</v>
      </c>
      <c r="Q2240" s="89" t="s">
        <v>822</v>
      </c>
      <c r="AF2240" s="1"/>
      <c r="AG2240" s="1"/>
    </row>
    <row r="2241" ht="15.75" customHeight="1">
      <c r="A2241" s="1"/>
      <c r="B2241" s="1"/>
      <c r="C2241" s="1"/>
      <c r="D2241" s="1"/>
      <c r="E2241" s="1"/>
      <c r="F2241" s="1"/>
      <c r="G2241" s="1"/>
      <c r="H2241" s="1"/>
      <c r="I2241" s="1"/>
      <c r="J2241" s="1"/>
      <c r="K2241" s="89" t="s">
        <v>3497</v>
      </c>
      <c r="L2241" s="89" t="str">
        <f>R83</f>
        <v>C1b1a1a1a1a1a1a1a2~</v>
      </c>
      <c r="M2241" s="89"/>
      <c r="N2241" s="89" t="s">
        <v>3498</v>
      </c>
      <c r="O2241" s="89">
        <v>1.4330528E7</v>
      </c>
      <c r="P2241" s="89">
        <v>1.2209822E7</v>
      </c>
      <c r="Q2241" s="89" t="s">
        <v>864</v>
      </c>
      <c r="AF2241" s="1"/>
      <c r="AG2241" s="1"/>
    </row>
    <row r="2242" ht="15.75" customHeight="1">
      <c r="A2242" s="1"/>
      <c r="B2242" s="1"/>
      <c r="C2242" s="1"/>
      <c r="D2242" s="1"/>
      <c r="E2242" s="1"/>
      <c r="F2242" s="1"/>
      <c r="G2242" s="1"/>
      <c r="H2242" s="1"/>
      <c r="I2242" s="1"/>
      <c r="J2242" s="1"/>
      <c r="K2242" s="89" t="s">
        <v>3499</v>
      </c>
      <c r="L2242" s="89" t="str">
        <f>Q84</f>
        <v>C1b1a1a1a1a1a1a1b~</v>
      </c>
      <c r="M2242" s="89" t="s">
        <v>3500</v>
      </c>
      <c r="N2242" s="89" t="s">
        <v>3501</v>
      </c>
      <c r="O2242" s="89">
        <v>2.1159234E7</v>
      </c>
      <c r="P2242" s="89">
        <v>1.8997348E7</v>
      </c>
      <c r="Q2242" s="89" t="s">
        <v>879</v>
      </c>
      <c r="AF2242" s="1"/>
      <c r="AG2242" s="1"/>
    </row>
    <row r="2243" ht="15.75" customHeight="1">
      <c r="A2243" s="1"/>
      <c r="B2243" s="1"/>
      <c r="C2243" s="1"/>
      <c r="D2243" s="1"/>
      <c r="E2243" s="1"/>
      <c r="F2243" s="1"/>
      <c r="G2243" s="1"/>
      <c r="H2243" s="1"/>
      <c r="I2243" s="1"/>
      <c r="J2243" s="1"/>
      <c r="K2243" s="89" t="s">
        <v>3500</v>
      </c>
      <c r="L2243" s="89" t="str">
        <f>Q84</f>
        <v>C1b1a1a1a1a1a1a1b~</v>
      </c>
      <c r="M2243" s="89" t="s">
        <v>3499</v>
      </c>
      <c r="N2243" s="89" t="s">
        <v>3501</v>
      </c>
      <c r="O2243" s="89">
        <v>2.1159234E7</v>
      </c>
      <c r="P2243" s="89">
        <v>1.8997348E7</v>
      </c>
      <c r="Q2243" s="89" t="s">
        <v>879</v>
      </c>
      <c r="AF2243" s="1"/>
      <c r="AG2243" s="1"/>
    </row>
    <row r="2244" ht="15.75" customHeight="1">
      <c r="A2244" s="1"/>
      <c r="B2244" s="1"/>
      <c r="C2244" s="1"/>
      <c r="D2244" s="1"/>
      <c r="E2244" s="1"/>
      <c r="F2244" s="1"/>
      <c r="G2244" s="1"/>
      <c r="H2244" s="1"/>
      <c r="I2244" s="1"/>
      <c r="J2244" s="1"/>
      <c r="K2244" s="89" t="s">
        <v>3502</v>
      </c>
      <c r="L2244" s="89" t="str">
        <f>Q84</f>
        <v>C1b1a1a1a1a1a1a1b~</v>
      </c>
      <c r="M2244" s="89"/>
      <c r="N2244" s="89" t="s">
        <v>3503</v>
      </c>
      <c r="O2244" s="89">
        <v>1.7754902E7</v>
      </c>
      <c r="P2244" s="89">
        <v>1.5643022E7</v>
      </c>
      <c r="Q2244" s="89" t="s">
        <v>802</v>
      </c>
      <c r="AF2244" s="1"/>
      <c r="AG2244" s="1"/>
    </row>
    <row r="2245" ht="15.75" customHeight="1">
      <c r="A2245" s="1"/>
      <c r="B2245" s="1"/>
      <c r="C2245" s="1"/>
      <c r="D2245" s="1"/>
      <c r="E2245" s="1"/>
      <c r="F2245" s="1"/>
      <c r="G2245" s="1"/>
      <c r="H2245" s="1"/>
      <c r="I2245" s="1"/>
      <c r="J2245" s="1"/>
      <c r="K2245" s="89" t="s">
        <v>3504</v>
      </c>
      <c r="L2245" s="89" t="str">
        <f>Q84</f>
        <v>C1b1a1a1a1a1a1a1b~</v>
      </c>
      <c r="M2245" s="89"/>
      <c r="N2245" s="89" t="s">
        <v>3505</v>
      </c>
      <c r="O2245" s="89">
        <v>1.546857E7</v>
      </c>
      <c r="P2245" s="89">
        <v>1.335669E7</v>
      </c>
      <c r="Q2245" s="89" t="s">
        <v>879</v>
      </c>
      <c r="AF2245" s="1"/>
      <c r="AG2245" s="1"/>
    </row>
    <row r="2246" ht="15.75" customHeight="1">
      <c r="A2246" s="1"/>
      <c r="B2246" s="1"/>
      <c r="C2246" s="1"/>
      <c r="D2246" s="1"/>
      <c r="E2246" s="1"/>
      <c r="F2246" s="1"/>
      <c r="G2246" s="1"/>
      <c r="H2246" s="1"/>
      <c r="I2246" s="1"/>
      <c r="J2246" s="1"/>
      <c r="K2246" s="89" t="s">
        <v>3506</v>
      </c>
      <c r="L2246" s="89" t="str">
        <f>Q84</f>
        <v>C1b1a1a1a1a1a1a1b~</v>
      </c>
      <c r="M2246" s="89"/>
      <c r="N2246" s="89" t="s">
        <v>3507</v>
      </c>
      <c r="O2246" s="89">
        <v>2802195.0</v>
      </c>
      <c r="P2246" s="89">
        <v>2934154.0</v>
      </c>
      <c r="Q2246" s="89" t="s">
        <v>831</v>
      </c>
      <c r="AF2246" s="1"/>
      <c r="AG2246" s="1"/>
    </row>
    <row r="2247" ht="15.75" customHeight="1">
      <c r="A2247" s="1"/>
      <c r="B2247" s="1"/>
      <c r="C2247" s="1"/>
      <c r="D2247" s="1"/>
      <c r="E2247" s="1"/>
      <c r="F2247" s="1"/>
      <c r="G2247" s="1"/>
      <c r="H2247" s="1"/>
      <c r="I2247" s="1"/>
      <c r="J2247" s="1"/>
      <c r="K2247" s="89" t="s">
        <v>3508</v>
      </c>
      <c r="L2247" s="89" t="str">
        <f t="shared" ref="L2247:L2248" si="14">Q84</f>
        <v>C1b1a1a1a1a1a1a1b~</v>
      </c>
      <c r="M2247" s="89"/>
      <c r="N2247" s="89"/>
      <c r="O2247" s="89">
        <v>6866550.0</v>
      </c>
      <c r="P2247" s="89">
        <v>6998509.0</v>
      </c>
      <c r="Q2247" s="89" t="s">
        <v>912</v>
      </c>
      <c r="AF2247" s="1"/>
      <c r="AG2247" s="1"/>
    </row>
    <row r="2248" ht="15.75" customHeight="1">
      <c r="A2248" s="1"/>
      <c r="B2248" s="1"/>
      <c r="C2248" s="1"/>
      <c r="D2248" s="1"/>
      <c r="E2248" s="1"/>
      <c r="F2248" s="1"/>
      <c r="G2248" s="1"/>
      <c r="H2248" s="1"/>
      <c r="I2248" s="1"/>
      <c r="J2248" s="1"/>
      <c r="K2248" s="89" t="s">
        <v>3509</v>
      </c>
      <c r="L2248" s="89" t="str">
        <f t="shared" si="14"/>
        <v>C1b1a1a1a1a1a1a1c~</v>
      </c>
      <c r="M2248" s="89"/>
      <c r="N2248" s="89"/>
      <c r="O2248" s="89">
        <v>2861777.0</v>
      </c>
      <c r="P2248" s="89">
        <v>2993736.0</v>
      </c>
      <c r="Q2248" s="89" t="s">
        <v>810</v>
      </c>
      <c r="AF2248" s="1"/>
      <c r="AG2248" s="1"/>
    </row>
    <row r="2249" ht="15.75" customHeight="1">
      <c r="A2249" s="1"/>
      <c r="B2249" s="1"/>
      <c r="C2249" s="1"/>
      <c r="D2249" s="1"/>
      <c r="E2249" s="1"/>
      <c r="F2249" s="1"/>
      <c r="G2249" s="1"/>
      <c r="H2249" s="1"/>
      <c r="I2249" s="1"/>
      <c r="J2249" s="1"/>
      <c r="K2249" s="89" t="s">
        <v>3510</v>
      </c>
      <c r="L2249" s="89" t="str">
        <f>Q85</f>
        <v>C1b1a1a1a1a1a1a1c~</v>
      </c>
      <c r="M2249" s="89"/>
      <c r="N2249" s="89"/>
      <c r="O2249" s="89">
        <v>6704110.0</v>
      </c>
      <c r="P2249" s="89">
        <v>6836069.0</v>
      </c>
      <c r="Q2249" s="89" t="s">
        <v>810</v>
      </c>
      <c r="AF2249" s="1"/>
      <c r="AG2249" s="1"/>
    </row>
    <row r="2250" ht="15.75" customHeight="1">
      <c r="A2250" s="1"/>
      <c r="B2250" s="1"/>
      <c r="C2250" s="1"/>
      <c r="D2250" s="1"/>
      <c r="E2250" s="1"/>
      <c r="F2250" s="1"/>
      <c r="G2250" s="1"/>
      <c r="H2250" s="1"/>
      <c r="I2250" s="1"/>
      <c r="J2250" s="1"/>
      <c r="K2250" s="89" t="s">
        <v>3511</v>
      </c>
      <c r="L2250" s="89" t="str">
        <f>Q85</f>
        <v>C1b1a1a1a1a1a1a1c~</v>
      </c>
      <c r="M2250" s="89"/>
      <c r="N2250" s="89"/>
      <c r="O2250" s="89">
        <v>7161640.0</v>
      </c>
      <c r="P2250" s="89">
        <v>7293599.0</v>
      </c>
      <c r="Q2250" s="89" t="s">
        <v>822</v>
      </c>
      <c r="AF2250" s="1"/>
      <c r="AG2250" s="1"/>
    </row>
    <row r="2251" ht="15.75" customHeight="1">
      <c r="A2251" s="1"/>
      <c r="B2251" s="1"/>
      <c r="C2251" s="1"/>
      <c r="D2251" s="1"/>
      <c r="E2251" s="1"/>
      <c r="F2251" s="1"/>
      <c r="G2251" s="1"/>
      <c r="H2251" s="1"/>
      <c r="I2251" s="1"/>
      <c r="J2251" s="1"/>
      <c r="K2251" s="89" t="s">
        <v>3512</v>
      </c>
      <c r="L2251" s="89" t="str">
        <f>Q85</f>
        <v>C1b1a1a1a1a1a1a1c~</v>
      </c>
      <c r="M2251" s="89"/>
      <c r="N2251" s="89"/>
      <c r="O2251" s="89">
        <v>7228323.0</v>
      </c>
      <c r="P2251" s="89">
        <v>7360282.0</v>
      </c>
      <c r="Q2251" s="89" t="s">
        <v>810</v>
      </c>
      <c r="AF2251" s="1"/>
      <c r="AG2251" s="1"/>
    </row>
    <row r="2252" ht="15.75" customHeight="1">
      <c r="A2252" s="1"/>
      <c r="B2252" s="1"/>
      <c r="C2252" s="1"/>
      <c r="D2252" s="1"/>
      <c r="E2252" s="1"/>
      <c r="F2252" s="1"/>
      <c r="G2252" s="1"/>
      <c r="H2252" s="1"/>
      <c r="I2252" s="1"/>
      <c r="J2252" s="1"/>
      <c r="K2252" s="89" t="s">
        <v>3513</v>
      </c>
      <c r="L2252" s="89" t="str">
        <f>Q85</f>
        <v>C1b1a1a1a1a1a1a1c~</v>
      </c>
      <c r="M2252" s="89"/>
      <c r="N2252" s="89"/>
      <c r="O2252" s="89">
        <v>7228338.0</v>
      </c>
      <c r="P2252" s="89">
        <v>7360297.0</v>
      </c>
      <c r="Q2252" s="89" t="s">
        <v>917</v>
      </c>
      <c r="AF2252" s="1"/>
      <c r="AG2252" s="1"/>
    </row>
    <row r="2253" ht="15.75" customHeight="1">
      <c r="A2253" s="1"/>
      <c r="B2253" s="1"/>
      <c r="C2253" s="1"/>
      <c r="D2253" s="1"/>
      <c r="E2253" s="1"/>
      <c r="F2253" s="1"/>
      <c r="G2253" s="1"/>
      <c r="H2253" s="1"/>
      <c r="I2253" s="1"/>
      <c r="J2253" s="1"/>
      <c r="K2253" s="89" t="s">
        <v>3514</v>
      </c>
      <c r="L2253" s="89" t="str">
        <f>P86</f>
        <v>C1b1a1a1a1a1a1a2~</v>
      </c>
      <c r="M2253" s="89"/>
      <c r="N2253" s="89"/>
      <c r="O2253" s="89">
        <v>2650272.0</v>
      </c>
      <c r="P2253" s="89">
        <v>2782231.0</v>
      </c>
      <c r="Q2253" s="89" t="s">
        <v>912</v>
      </c>
      <c r="AF2253" s="1"/>
      <c r="AG2253" s="1"/>
    </row>
    <row r="2254" ht="15.75" customHeight="1">
      <c r="A2254" s="1"/>
      <c r="B2254" s="1"/>
      <c r="C2254" s="1"/>
      <c r="D2254" s="1"/>
      <c r="E2254" s="1"/>
      <c r="F2254" s="1"/>
      <c r="G2254" s="1"/>
      <c r="H2254" s="1"/>
      <c r="I2254" s="1"/>
      <c r="J2254" s="1"/>
      <c r="K2254" s="89" t="s">
        <v>3515</v>
      </c>
      <c r="L2254" s="89" t="str">
        <f>P86</f>
        <v>C1b1a1a1a1a1a1a2~</v>
      </c>
      <c r="M2254" s="89"/>
      <c r="N2254" s="89"/>
      <c r="O2254" s="89">
        <v>6958287.0</v>
      </c>
      <c r="P2254" s="89">
        <v>7090246.0</v>
      </c>
      <c r="Q2254" s="89" t="s">
        <v>810</v>
      </c>
      <c r="AF2254" s="1"/>
      <c r="AG2254" s="1"/>
    </row>
    <row r="2255" ht="15.75" customHeight="1">
      <c r="A2255" s="1"/>
      <c r="B2255" s="1"/>
      <c r="C2255" s="1"/>
      <c r="D2255" s="1"/>
      <c r="E2255" s="1"/>
      <c r="F2255" s="1"/>
      <c r="G2255" s="1"/>
      <c r="H2255" s="1"/>
      <c r="I2255" s="1"/>
      <c r="J2255" s="1"/>
      <c r="K2255" s="89" t="s">
        <v>3516</v>
      </c>
      <c r="L2255" s="89" t="str">
        <f>P86</f>
        <v>C1b1a1a1a1a1a1a2~</v>
      </c>
      <c r="M2255" s="89"/>
      <c r="N2255" s="89"/>
      <c r="O2255" s="89">
        <v>6963753.0</v>
      </c>
      <c r="P2255" s="89">
        <v>7095712.0</v>
      </c>
      <c r="Q2255" s="89" t="s">
        <v>802</v>
      </c>
      <c r="AF2255" s="1"/>
      <c r="AG2255" s="1"/>
    </row>
    <row r="2256" ht="15.75" customHeight="1">
      <c r="A2256" s="1"/>
      <c r="B2256" s="1"/>
      <c r="C2256" s="1"/>
      <c r="D2256" s="1"/>
      <c r="E2256" s="1"/>
      <c r="F2256" s="1"/>
      <c r="G2256" s="1"/>
      <c r="H2256" s="1"/>
      <c r="I2256" s="1"/>
      <c r="J2256" s="1"/>
      <c r="K2256" s="89" t="s">
        <v>3517</v>
      </c>
      <c r="L2256" s="89" t="str">
        <f>P86</f>
        <v>C1b1a1a1a1a1a1a2~</v>
      </c>
      <c r="M2256" s="89"/>
      <c r="N2256" s="89" t="s">
        <v>3518</v>
      </c>
      <c r="O2256" s="89">
        <v>7049203.0</v>
      </c>
      <c r="P2256" s="89">
        <v>7181162.0</v>
      </c>
      <c r="Q2256" s="89" t="s">
        <v>810</v>
      </c>
      <c r="AF2256" s="1"/>
      <c r="AG2256" s="1"/>
    </row>
    <row r="2257" ht="15.75" customHeight="1">
      <c r="A2257" s="1"/>
      <c r="B2257" s="1"/>
      <c r="C2257" s="1"/>
      <c r="D2257" s="1"/>
      <c r="E2257" s="1"/>
      <c r="F2257" s="1"/>
      <c r="G2257" s="1"/>
      <c r="H2257" s="1"/>
      <c r="I2257" s="1"/>
      <c r="J2257" s="1"/>
      <c r="K2257" s="89" t="s">
        <v>3519</v>
      </c>
      <c r="L2257" s="89" t="str">
        <f>O87</f>
        <v>C1b1a1a1a1a1a1b~</v>
      </c>
      <c r="M2257" s="89"/>
      <c r="N2257" s="89" t="s">
        <v>3520</v>
      </c>
      <c r="O2257" s="92">
        <v>2.3775008E7</v>
      </c>
      <c r="P2257" s="92">
        <v>2.1613122E7</v>
      </c>
      <c r="Q2257" s="89" t="s">
        <v>917</v>
      </c>
      <c r="AF2257" s="1"/>
      <c r="AG2257" s="1"/>
    </row>
    <row r="2258" ht="15.75" customHeight="1">
      <c r="A2258" s="1"/>
      <c r="B2258" s="1"/>
      <c r="C2258" s="1"/>
      <c r="D2258" s="1"/>
      <c r="E2258" s="1"/>
      <c r="F2258" s="1"/>
      <c r="G2258" s="1"/>
      <c r="H2258" s="1"/>
      <c r="I2258" s="1"/>
      <c r="J2258" s="1"/>
      <c r="K2258" s="89" t="s">
        <v>3521</v>
      </c>
      <c r="L2258" s="89" t="str">
        <f>O87</f>
        <v>C1b1a1a1a1a1a1b~</v>
      </c>
      <c r="M2258" s="89"/>
      <c r="N2258" s="89" t="s">
        <v>3522</v>
      </c>
      <c r="O2258" s="92">
        <v>1.5860494E7</v>
      </c>
      <c r="P2258" s="92">
        <v>1.3748614E7</v>
      </c>
      <c r="Q2258" s="89" t="s">
        <v>810</v>
      </c>
      <c r="AF2258" s="1"/>
      <c r="AG2258" s="1"/>
    </row>
    <row r="2259" ht="15.75" customHeight="1">
      <c r="A2259" s="1"/>
      <c r="B2259" s="1"/>
      <c r="C2259" s="1"/>
      <c r="D2259" s="1"/>
      <c r="E2259" s="1"/>
      <c r="F2259" s="1"/>
      <c r="G2259" s="1"/>
      <c r="H2259" s="1"/>
      <c r="I2259" s="1"/>
      <c r="J2259" s="1"/>
      <c r="K2259" s="89" t="s">
        <v>3523</v>
      </c>
      <c r="L2259" s="89" t="str">
        <f>O87</f>
        <v>C1b1a1a1a1a1a1b~</v>
      </c>
      <c r="M2259" s="89"/>
      <c r="N2259" s="89"/>
      <c r="O2259" s="89">
        <v>1.6821123E7</v>
      </c>
      <c r="P2259" s="89">
        <v>1.4709243E7</v>
      </c>
      <c r="Q2259" s="89" t="s">
        <v>879</v>
      </c>
      <c r="AF2259" s="1"/>
      <c r="AG2259" s="1"/>
    </row>
    <row r="2260" ht="15.75" customHeight="1">
      <c r="A2260" s="1"/>
      <c r="B2260" s="1"/>
      <c r="C2260" s="1"/>
      <c r="D2260" s="1"/>
      <c r="E2260" s="1"/>
      <c r="F2260" s="1"/>
      <c r="G2260" s="1"/>
      <c r="H2260" s="1"/>
      <c r="I2260" s="1"/>
      <c r="J2260" s="1"/>
      <c r="K2260" s="89" t="s">
        <v>3524</v>
      </c>
      <c r="L2260" s="89" t="str">
        <f>O87</f>
        <v>C1b1a1a1a1a1a1b~</v>
      </c>
      <c r="M2260" s="89"/>
      <c r="N2260" s="89" t="s">
        <v>3525</v>
      </c>
      <c r="O2260" s="92">
        <v>1.6899703E7</v>
      </c>
      <c r="P2260" s="92">
        <v>1.4787823E7</v>
      </c>
      <c r="Q2260" s="89" t="s">
        <v>810</v>
      </c>
      <c r="AF2260" s="1"/>
      <c r="AG2260" s="1"/>
    </row>
    <row r="2261" ht="15.75" customHeight="1">
      <c r="A2261" s="1"/>
      <c r="B2261" s="1"/>
      <c r="C2261" s="1"/>
      <c r="D2261" s="1"/>
      <c r="E2261" s="1"/>
      <c r="F2261" s="1"/>
      <c r="G2261" s="1"/>
      <c r="H2261" s="1"/>
      <c r="I2261" s="1"/>
      <c r="J2261" s="1"/>
      <c r="K2261" s="89" t="s">
        <v>3526</v>
      </c>
      <c r="L2261" s="89" t="str">
        <f t="shared" ref="L2261:L2262" si="15">O87</f>
        <v>C1b1a1a1a1a1a1b~</v>
      </c>
      <c r="M2261" s="89"/>
      <c r="N2261" s="89" t="s">
        <v>3527</v>
      </c>
      <c r="O2261" s="92">
        <v>1.7218231E7</v>
      </c>
      <c r="P2261" s="92">
        <v>1.5106351E7</v>
      </c>
      <c r="Q2261" s="89" t="s">
        <v>802</v>
      </c>
      <c r="AF2261" s="1"/>
      <c r="AG2261" s="1"/>
    </row>
    <row r="2262" ht="15.75" customHeight="1">
      <c r="A2262" s="1"/>
      <c r="B2262" s="1"/>
      <c r="C2262" s="1"/>
      <c r="D2262" s="1"/>
      <c r="E2262" s="1"/>
      <c r="F2262" s="1"/>
      <c r="G2262" s="1"/>
      <c r="H2262" s="1"/>
      <c r="I2262" s="1"/>
      <c r="J2262" s="1"/>
      <c r="K2262" s="89" t="s">
        <v>3528</v>
      </c>
      <c r="L2262" s="89" t="str">
        <f t="shared" si="15"/>
        <v>C1b1a1a1a1a1a1c~</v>
      </c>
      <c r="M2262" s="89"/>
      <c r="N2262" s="89" t="s">
        <v>3529</v>
      </c>
      <c r="O2262" s="89">
        <v>7912160.0</v>
      </c>
      <c r="P2262" s="89">
        <v>8044119.0</v>
      </c>
      <c r="Q2262" s="89" t="s">
        <v>912</v>
      </c>
      <c r="AF2262" s="1"/>
      <c r="AG2262" s="1"/>
    </row>
    <row r="2263" ht="15.75" customHeight="1">
      <c r="A2263" s="1"/>
      <c r="B2263" s="1"/>
      <c r="C2263" s="1"/>
      <c r="D2263" s="1"/>
      <c r="E2263" s="1"/>
      <c r="F2263" s="1"/>
      <c r="G2263" s="1"/>
      <c r="H2263" s="1"/>
      <c r="I2263" s="1"/>
      <c r="J2263" s="1"/>
      <c r="K2263" s="89" t="s">
        <v>3530</v>
      </c>
      <c r="L2263" s="89" t="str">
        <f>O88</f>
        <v>C1b1a1a1a1a1a1c~</v>
      </c>
      <c r="M2263" s="89"/>
      <c r="N2263" s="89" t="s">
        <v>3531</v>
      </c>
      <c r="O2263" s="92">
        <v>1.7484942E7</v>
      </c>
      <c r="P2263" s="92">
        <v>1.5373062E7</v>
      </c>
      <c r="Q2263" s="89" t="s">
        <v>802</v>
      </c>
      <c r="AF2263" s="1"/>
      <c r="AG2263" s="1"/>
    </row>
    <row r="2264" ht="15.75" customHeight="1">
      <c r="A2264" s="1"/>
      <c r="B2264" s="1"/>
      <c r="C2264" s="1"/>
      <c r="D2264" s="1"/>
      <c r="E2264" s="1"/>
      <c r="F2264" s="1"/>
      <c r="G2264" s="1"/>
      <c r="H2264" s="1"/>
      <c r="I2264" s="1"/>
      <c r="J2264" s="1"/>
      <c r="K2264" s="89" t="s">
        <v>3532</v>
      </c>
      <c r="L2264" s="89" t="str">
        <f>O88</f>
        <v>C1b1a1a1a1a1a1c~</v>
      </c>
      <c r="M2264" s="89"/>
      <c r="N2264" s="89" t="s">
        <v>3533</v>
      </c>
      <c r="O2264" s="92">
        <v>7624275.0</v>
      </c>
      <c r="P2264" s="92">
        <v>7756234.0</v>
      </c>
      <c r="Q2264" s="89" t="s">
        <v>810</v>
      </c>
      <c r="AF2264" s="1"/>
      <c r="AG2264" s="1"/>
    </row>
    <row r="2265" ht="15.75" customHeight="1">
      <c r="A2265" s="1"/>
      <c r="B2265" s="1"/>
      <c r="C2265" s="1"/>
      <c r="D2265" s="1"/>
      <c r="E2265" s="1"/>
      <c r="F2265" s="1"/>
      <c r="G2265" s="1"/>
      <c r="H2265" s="1"/>
      <c r="I2265" s="1"/>
      <c r="J2265" s="1"/>
      <c r="K2265" s="89" t="s">
        <v>3534</v>
      </c>
      <c r="L2265" s="89" t="str">
        <f>O88</f>
        <v>C1b1a1a1a1a1a1c~</v>
      </c>
      <c r="M2265" s="89"/>
      <c r="N2265" s="89"/>
      <c r="O2265" s="92">
        <v>9464450.0</v>
      </c>
      <c r="P2265" s="92">
        <v>9626841.0</v>
      </c>
      <c r="Q2265" s="89" t="s">
        <v>802</v>
      </c>
      <c r="AF2265" s="1"/>
      <c r="AG2265" s="1"/>
    </row>
    <row r="2266" ht="15.75" customHeight="1">
      <c r="A2266" s="1"/>
      <c r="B2266" s="1"/>
      <c r="C2266" s="1"/>
      <c r="D2266" s="1"/>
      <c r="E2266" s="1"/>
      <c r="F2266" s="1"/>
      <c r="G2266" s="1"/>
      <c r="H2266" s="1"/>
      <c r="I2266" s="1"/>
      <c r="J2266" s="1"/>
      <c r="K2266" s="89" t="s">
        <v>3535</v>
      </c>
      <c r="L2266" s="89" t="str">
        <f t="shared" ref="L2266:L2267" si="16">O88</f>
        <v>C1b1a1a1a1a1a1c~</v>
      </c>
      <c r="M2266" s="89"/>
      <c r="N2266" s="89" t="s">
        <v>3536</v>
      </c>
      <c r="O2266" s="89">
        <v>1.508214E7</v>
      </c>
      <c r="P2266" s="89">
        <v>1.297023E7</v>
      </c>
      <c r="Q2266" s="89" t="s">
        <v>822</v>
      </c>
      <c r="AF2266" s="1"/>
      <c r="AG2266" s="1"/>
    </row>
    <row r="2267" ht="15.75" customHeight="1">
      <c r="A2267" s="1"/>
      <c r="B2267" s="1"/>
      <c r="C2267" s="1"/>
      <c r="D2267" s="1"/>
      <c r="E2267" s="1"/>
      <c r="F2267" s="1"/>
      <c r="G2267" s="1"/>
      <c r="H2267" s="1"/>
      <c r="I2267" s="1"/>
      <c r="J2267" s="1"/>
      <c r="K2267" s="89" t="s">
        <v>3537</v>
      </c>
      <c r="L2267" s="89" t="str">
        <f t="shared" si="16"/>
        <v>C1b1a1a1a1a1a1d~</v>
      </c>
      <c r="M2267" s="89"/>
      <c r="N2267" s="89"/>
      <c r="O2267" s="89">
        <v>1.77281E7</v>
      </c>
      <c r="P2267" s="89">
        <v>1.561622E7</v>
      </c>
      <c r="Q2267" s="89" t="s">
        <v>802</v>
      </c>
      <c r="AF2267" s="1"/>
      <c r="AG2267" s="1"/>
    </row>
    <row r="2268" ht="15.75" customHeight="1">
      <c r="A2268" s="1"/>
      <c r="B2268" s="1"/>
      <c r="C2268" s="1"/>
      <c r="D2268" s="1"/>
      <c r="E2268" s="1"/>
      <c r="F2268" s="1"/>
      <c r="G2268" s="1"/>
      <c r="H2268" s="1"/>
      <c r="I2268" s="1"/>
      <c r="J2268" s="1"/>
      <c r="K2268" s="89" t="s">
        <v>3538</v>
      </c>
      <c r="L2268" s="89" t="str">
        <f>O89</f>
        <v>C1b1a1a1a1a1a1d~</v>
      </c>
      <c r="M2268" s="89"/>
      <c r="N2268" s="89" t="s">
        <v>3539</v>
      </c>
      <c r="O2268" s="92">
        <v>1.4210541E7</v>
      </c>
      <c r="P2268" s="92">
        <v>1.2089835E7</v>
      </c>
      <c r="Q2268" s="89" t="s">
        <v>802</v>
      </c>
      <c r="AF2268" s="1"/>
      <c r="AG2268" s="1"/>
    </row>
    <row r="2269" ht="15.75" customHeight="1">
      <c r="A2269" s="1"/>
      <c r="B2269" s="1"/>
      <c r="C2269" s="1"/>
      <c r="D2269" s="1"/>
      <c r="E2269" s="1"/>
      <c r="F2269" s="1"/>
      <c r="G2269" s="1"/>
      <c r="H2269" s="1"/>
      <c r="I2269" s="1"/>
      <c r="J2269" s="1"/>
      <c r="K2269" s="89" t="s">
        <v>3540</v>
      </c>
      <c r="L2269" s="89" t="str">
        <f>O89</f>
        <v>C1b1a1a1a1a1a1d~</v>
      </c>
      <c r="M2269" s="89"/>
      <c r="N2269" s="93" t="s">
        <v>3541</v>
      </c>
      <c r="O2269" s="89">
        <v>1.4385977E7</v>
      </c>
      <c r="P2269" s="89">
        <v>1.2265273E7</v>
      </c>
      <c r="Q2269" s="89" t="s">
        <v>802</v>
      </c>
      <c r="AF2269" s="1"/>
      <c r="AG2269" s="1"/>
    </row>
    <row r="2270" ht="15.75" customHeight="1">
      <c r="A2270" s="1"/>
      <c r="B2270" s="1"/>
      <c r="C2270" s="1"/>
      <c r="D2270" s="1"/>
      <c r="E2270" s="1"/>
      <c r="F2270" s="1"/>
      <c r="G2270" s="1"/>
      <c r="H2270" s="1"/>
      <c r="I2270" s="1"/>
      <c r="J2270" s="1"/>
      <c r="K2270" s="89" t="s">
        <v>3542</v>
      </c>
      <c r="L2270" s="89" t="str">
        <f>M90</f>
        <v>C1b1a1a1a1a1b~</v>
      </c>
      <c r="M2270" s="89"/>
      <c r="N2270" s="89"/>
      <c r="O2270" s="89">
        <v>2.1907757E7</v>
      </c>
      <c r="P2270" s="89">
        <v>1.9745871E7</v>
      </c>
      <c r="Q2270" s="89" t="s">
        <v>802</v>
      </c>
      <c r="AF2270" s="1"/>
      <c r="AG2270" s="1"/>
    </row>
    <row r="2271" ht="15.75" customHeight="1">
      <c r="A2271" s="1"/>
      <c r="B2271" s="1"/>
      <c r="C2271" s="1"/>
      <c r="D2271" s="1"/>
      <c r="E2271" s="1"/>
      <c r="F2271" s="1"/>
      <c r="G2271" s="1"/>
      <c r="H2271" s="1"/>
      <c r="I2271" s="1"/>
      <c r="J2271" s="1"/>
      <c r="K2271" s="89" t="s">
        <v>3543</v>
      </c>
      <c r="L2271" s="89" t="str">
        <f>M90</f>
        <v>C1b1a1a1a1a1b~</v>
      </c>
      <c r="M2271" s="89"/>
      <c r="N2271" s="89" t="s">
        <v>3544</v>
      </c>
      <c r="O2271" s="92">
        <v>7411279.0</v>
      </c>
      <c r="P2271" s="92">
        <v>7543238.0</v>
      </c>
      <c r="Q2271" s="89" t="s">
        <v>838</v>
      </c>
      <c r="AF2271" s="1"/>
      <c r="AG2271" s="1"/>
    </row>
    <row r="2272" ht="15.75" customHeight="1">
      <c r="A2272" s="1"/>
      <c r="B2272" s="1"/>
      <c r="C2272" s="1"/>
      <c r="D2272" s="1"/>
      <c r="E2272" s="1"/>
      <c r="F2272" s="1"/>
      <c r="G2272" s="1"/>
      <c r="H2272" s="1"/>
      <c r="I2272" s="1"/>
      <c r="J2272" s="1"/>
      <c r="K2272" s="89" t="s">
        <v>3545</v>
      </c>
      <c r="L2272" s="89" t="str">
        <f>M90</f>
        <v>C1b1a1a1a1a1b~</v>
      </c>
      <c r="M2272" s="89"/>
      <c r="N2272" s="89"/>
      <c r="O2272" s="89">
        <v>8800644.0</v>
      </c>
      <c r="P2272" s="89">
        <v>8932603.0</v>
      </c>
      <c r="Q2272" s="89" t="s">
        <v>810</v>
      </c>
      <c r="AF2272" s="1"/>
      <c r="AG2272" s="1"/>
    </row>
    <row r="2273" ht="15.75" customHeight="1">
      <c r="A2273" s="1"/>
      <c r="B2273" s="1"/>
      <c r="C2273" s="1"/>
      <c r="D2273" s="1"/>
      <c r="E2273" s="1"/>
      <c r="F2273" s="1"/>
      <c r="G2273" s="1"/>
      <c r="H2273" s="1"/>
      <c r="I2273" s="1"/>
      <c r="J2273" s="1"/>
      <c r="K2273" s="89" t="s">
        <v>3546</v>
      </c>
      <c r="L2273" s="89" t="str">
        <f>M90</f>
        <v>C1b1a1a1a1a1b~</v>
      </c>
      <c r="M2273" s="89"/>
      <c r="N2273" s="89"/>
      <c r="O2273" s="89">
        <v>1.5018543E7</v>
      </c>
      <c r="P2273" s="89">
        <v>1.2906632E7</v>
      </c>
      <c r="Q2273" s="89" t="s">
        <v>802</v>
      </c>
      <c r="AF2273" s="1"/>
      <c r="AG2273" s="1"/>
    </row>
    <row r="2274" ht="15.75" customHeight="1">
      <c r="A2274" s="1"/>
      <c r="B2274" s="1"/>
      <c r="C2274" s="1"/>
      <c r="D2274" s="1"/>
      <c r="E2274" s="1"/>
      <c r="F2274" s="1"/>
      <c r="G2274" s="1"/>
      <c r="H2274" s="1"/>
      <c r="I2274" s="1"/>
      <c r="J2274" s="1"/>
      <c r="K2274" s="89" t="s">
        <v>3547</v>
      </c>
      <c r="L2274" s="89" t="str">
        <f>L91</f>
        <v>C1b1a1a1a1a2~</v>
      </c>
      <c r="M2274" s="89"/>
      <c r="N2274" s="89"/>
      <c r="O2274" s="89">
        <v>1.4549173E7</v>
      </c>
      <c r="P2274" s="89">
        <v>1.2437374E7</v>
      </c>
      <c r="Q2274" s="89" t="s">
        <v>912</v>
      </c>
      <c r="AF2274" s="1"/>
      <c r="AG2274" s="1"/>
    </row>
    <row r="2275" ht="15.75" customHeight="1">
      <c r="A2275" s="1"/>
      <c r="B2275" s="1"/>
      <c r="C2275" s="1"/>
      <c r="D2275" s="1"/>
      <c r="E2275" s="1"/>
      <c r="F2275" s="1"/>
      <c r="G2275" s="1"/>
      <c r="H2275" s="1"/>
      <c r="I2275" s="1"/>
      <c r="J2275" s="1"/>
      <c r="K2275" s="89" t="s">
        <v>3548</v>
      </c>
      <c r="L2275" s="89" t="str">
        <f>L91</f>
        <v>C1b1a1a1a1a2~</v>
      </c>
      <c r="M2275" s="89"/>
      <c r="N2275" s="89" t="s">
        <v>3549</v>
      </c>
      <c r="O2275" s="89">
        <v>1.664657E7</v>
      </c>
      <c r="P2275" s="89">
        <v>1.453469E7</v>
      </c>
      <c r="Q2275" s="89" t="s">
        <v>813</v>
      </c>
      <c r="AF2275" s="1"/>
      <c r="AG2275" s="1"/>
    </row>
    <row r="2276" ht="15.75" customHeight="1">
      <c r="A2276" s="1"/>
      <c r="B2276" s="1"/>
      <c r="C2276" s="1"/>
      <c r="D2276" s="1"/>
      <c r="E2276" s="1"/>
      <c r="F2276" s="1"/>
      <c r="G2276" s="1"/>
      <c r="H2276" s="1"/>
      <c r="I2276" s="1"/>
      <c r="J2276" s="1"/>
      <c r="K2276" s="89" t="s">
        <v>3550</v>
      </c>
      <c r="L2276" s="89" t="str">
        <f>L91</f>
        <v>C1b1a1a1a1a2~</v>
      </c>
      <c r="M2276" s="89"/>
      <c r="N2276" s="89" t="s">
        <v>3551</v>
      </c>
      <c r="O2276" s="89">
        <v>2.1309251E7</v>
      </c>
      <c r="P2276" s="89">
        <v>1.9147365E7</v>
      </c>
      <c r="Q2276" s="89" t="s">
        <v>838</v>
      </c>
      <c r="AF2276" s="1"/>
      <c r="AG2276" s="1"/>
    </row>
    <row r="2277" ht="15.75" customHeight="1">
      <c r="A2277" s="1"/>
      <c r="B2277" s="1"/>
      <c r="C2277" s="1"/>
      <c r="D2277" s="1"/>
      <c r="E2277" s="1"/>
      <c r="F2277" s="1"/>
      <c r="G2277" s="1"/>
      <c r="H2277" s="1"/>
      <c r="I2277" s="1"/>
      <c r="J2277" s="1"/>
      <c r="K2277" s="89" t="s">
        <v>3552</v>
      </c>
      <c r="L2277" s="89" t="str">
        <f>K92</f>
        <v>C1b1a1a1a1b~</v>
      </c>
      <c r="M2277" s="89"/>
      <c r="N2277" s="89" t="s">
        <v>3553</v>
      </c>
      <c r="O2277" s="89">
        <v>6814802.0</v>
      </c>
      <c r="P2277" s="89">
        <v>6946761.0</v>
      </c>
      <c r="Q2277" s="89" t="s">
        <v>822</v>
      </c>
      <c r="AF2277" s="1"/>
      <c r="AG2277" s="1"/>
    </row>
    <row r="2278" ht="15.75" customHeight="1">
      <c r="A2278" s="1"/>
      <c r="B2278" s="1"/>
      <c r="C2278" s="1"/>
      <c r="D2278" s="1"/>
      <c r="E2278" s="1"/>
      <c r="F2278" s="1"/>
      <c r="G2278" s="1"/>
      <c r="H2278" s="1"/>
      <c r="I2278" s="1"/>
      <c r="J2278" s="1"/>
      <c r="K2278" s="89" t="s">
        <v>3554</v>
      </c>
      <c r="L2278" s="89" t="str">
        <f>K92</f>
        <v>C1b1a1a1a1b~</v>
      </c>
      <c r="M2278" s="89"/>
      <c r="N2278" s="89" t="s">
        <v>3555</v>
      </c>
      <c r="O2278" s="89">
        <v>6873433.0</v>
      </c>
      <c r="P2278" s="89">
        <v>7005392.0</v>
      </c>
      <c r="Q2278" s="89" t="s">
        <v>822</v>
      </c>
      <c r="AF2278" s="1"/>
      <c r="AG2278" s="1"/>
    </row>
    <row r="2279" ht="15.75" customHeight="1">
      <c r="A2279" s="1"/>
      <c r="B2279" s="1"/>
      <c r="C2279" s="1"/>
      <c r="D2279" s="1"/>
      <c r="E2279" s="1"/>
      <c r="F2279" s="1"/>
      <c r="G2279" s="1"/>
      <c r="H2279" s="1"/>
      <c r="I2279" s="1"/>
      <c r="J2279" s="1"/>
      <c r="K2279" s="89" t="s">
        <v>3556</v>
      </c>
      <c r="L2279" s="89" t="str">
        <f>K92</f>
        <v>C1b1a1a1a1b~</v>
      </c>
      <c r="M2279" s="89"/>
      <c r="N2279" s="89" t="s">
        <v>3557</v>
      </c>
      <c r="O2279" s="89">
        <v>7177491.0</v>
      </c>
      <c r="P2279" s="89">
        <v>7309450.0</v>
      </c>
      <c r="Q2279" s="89" t="s">
        <v>810</v>
      </c>
      <c r="AF2279" s="1"/>
      <c r="AG2279" s="1"/>
    </row>
    <row r="2280" ht="15.75" customHeight="1">
      <c r="A2280" s="1"/>
      <c r="B2280" s="1"/>
      <c r="C2280" s="1"/>
      <c r="D2280" s="1"/>
      <c r="E2280" s="1"/>
      <c r="F2280" s="1"/>
      <c r="G2280" s="1"/>
      <c r="H2280" s="1"/>
      <c r="I2280" s="1"/>
      <c r="J2280" s="1"/>
      <c r="K2280" s="89" t="s">
        <v>3558</v>
      </c>
      <c r="L2280" s="89" t="str">
        <f>K92</f>
        <v>C1b1a1a1a1b~</v>
      </c>
      <c r="M2280" s="89"/>
      <c r="N2280" s="89" t="s">
        <v>3559</v>
      </c>
      <c r="O2280" s="92">
        <v>7534923.0</v>
      </c>
      <c r="P2280" s="92">
        <v>7666882.0</v>
      </c>
      <c r="Q2280" s="89" t="s">
        <v>810</v>
      </c>
      <c r="AF2280" s="1"/>
      <c r="AG2280" s="1"/>
    </row>
    <row r="2281" ht="15.75" customHeight="1">
      <c r="A2281" s="1"/>
      <c r="B2281" s="1"/>
      <c r="C2281" s="1"/>
      <c r="D2281" s="1"/>
      <c r="E2281" s="1"/>
      <c r="F2281" s="1"/>
      <c r="G2281" s="1"/>
      <c r="H2281" s="1"/>
      <c r="I2281" s="1"/>
      <c r="J2281" s="1"/>
      <c r="K2281" s="89" t="s">
        <v>3560</v>
      </c>
      <c r="L2281" s="89" t="str">
        <f>K92</f>
        <v>C1b1a1a1a1b~</v>
      </c>
      <c r="M2281" s="89"/>
      <c r="N2281" s="89" t="s">
        <v>3561</v>
      </c>
      <c r="O2281" s="92">
        <v>7606091.0</v>
      </c>
      <c r="P2281" s="92">
        <v>7738050.0</v>
      </c>
      <c r="Q2281" s="89" t="s">
        <v>810</v>
      </c>
      <c r="AF2281" s="1"/>
      <c r="AG2281" s="1"/>
    </row>
    <row r="2282" ht="15.75" customHeight="1">
      <c r="A2282" s="1"/>
      <c r="B2282" s="1"/>
      <c r="C2282" s="1"/>
      <c r="D2282" s="1"/>
      <c r="E2282" s="1"/>
      <c r="F2282" s="1"/>
      <c r="G2282" s="1"/>
      <c r="H2282" s="1"/>
      <c r="I2282" s="1"/>
      <c r="J2282" s="1"/>
      <c r="K2282" s="89" t="s">
        <v>3562</v>
      </c>
      <c r="L2282" s="89" t="str">
        <f>J93</f>
        <v>C1b1a1a1a2~</v>
      </c>
      <c r="M2282" s="89"/>
      <c r="N2282" s="89"/>
      <c r="O2282" s="89">
        <v>6749848.0</v>
      </c>
      <c r="P2282" s="89">
        <v>6881807.0</v>
      </c>
      <c r="Q2282" s="89" t="s">
        <v>802</v>
      </c>
      <c r="AF2282" s="1"/>
      <c r="AG2282" s="1"/>
    </row>
    <row r="2283" ht="15.75" customHeight="1">
      <c r="A2283" s="1"/>
      <c r="B2283" s="1"/>
      <c r="C2283" s="1"/>
      <c r="D2283" s="1"/>
      <c r="E2283" s="1"/>
      <c r="F2283" s="1"/>
      <c r="G2283" s="1"/>
      <c r="H2283" s="1"/>
      <c r="I2283" s="1"/>
      <c r="J2283" s="1"/>
      <c r="K2283" s="89" t="s">
        <v>3563</v>
      </c>
      <c r="L2283" s="89" t="str">
        <f>J93</f>
        <v>C1b1a1a1a2~</v>
      </c>
      <c r="M2283" s="89"/>
      <c r="N2283" s="89" t="s">
        <v>3564</v>
      </c>
      <c r="O2283" s="89">
        <v>8737078.0</v>
      </c>
      <c r="P2283" s="89">
        <v>8869037.0</v>
      </c>
      <c r="Q2283" s="89" t="s">
        <v>917</v>
      </c>
      <c r="AF2283" s="1"/>
      <c r="AG2283" s="1"/>
    </row>
    <row r="2284" ht="15.75" customHeight="1">
      <c r="A2284" s="1"/>
      <c r="B2284" s="1"/>
      <c r="C2284" s="1"/>
      <c r="D2284" s="1"/>
      <c r="E2284" s="1"/>
      <c r="F2284" s="1"/>
      <c r="G2284" s="1"/>
      <c r="H2284" s="1"/>
      <c r="I2284" s="1"/>
      <c r="J2284" s="1"/>
      <c r="K2284" s="89" t="s">
        <v>3565</v>
      </c>
      <c r="L2284" s="89" t="str">
        <f>J93</f>
        <v>C1b1a1a1a2~</v>
      </c>
      <c r="M2284" s="89"/>
      <c r="N2284" s="89" t="s">
        <v>3566</v>
      </c>
      <c r="O2284" s="89">
        <v>7266625.0</v>
      </c>
      <c r="P2284" s="89">
        <v>7398584.0</v>
      </c>
      <c r="Q2284" s="89" t="s">
        <v>838</v>
      </c>
      <c r="AF2284" s="1"/>
      <c r="AG2284" s="1"/>
    </row>
    <row r="2285" ht="15.75" customHeight="1">
      <c r="A2285" s="1"/>
      <c r="B2285" s="1"/>
      <c r="C2285" s="1"/>
      <c r="D2285" s="1"/>
      <c r="E2285" s="1"/>
      <c r="F2285" s="1"/>
      <c r="G2285" s="1"/>
      <c r="H2285" s="1"/>
      <c r="I2285" s="1"/>
      <c r="J2285" s="1"/>
      <c r="K2285" s="89" t="s">
        <v>3567</v>
      </c>
      <c r="L2285" s="89" t="str">
        <f>J93</f>
        <v>C1b1a1a1a2~</v>
      </c>
      <c r="M2285" s="89"/>
      <c r="N2285" s="89" t="s">
        <v>3568</v>
      </c>
      <c r="O2285" s="92">
        <v>7420541.0</v>
      </c>
      <c r="P2285" s="92">
        <v>7552500.0</v>
      </c>
      <c r="Q2285" s="89" t="s">
        <v>838</v>
      </c>
      <c r="AF2285" s="1"/>
      <c r="AG2285" s="1"/>
    </row>
    <row r="2286" ht="15.75" customHeight="1">
      <c r="A2286" s="1"/>
      <c r="B2286" s="1"/>
      <c r="C2286" s="1"/>
      <c r="D2286" s="1"/>
      <c r="E2286" s="1"/>
      <c r="F2286" s="1"/>
      <c r="G2286" s="1"/>
      <c r="H2286" s="1"/>
      <c r="I2286" s="1"/>
      <c r="J2286" s="1"/>
      <c r="K2286" s="89" t="s">
        <v>3569</v>
      </c>
      <c r="L2286" s="89" t="str">
        <f>J93</f>
        <v>C1b1a1a1a2~</v>
      </c>
      <c r="M2286" s="89"/>
      <c r="N2286" s="89" t="s">
        <v>3570</v>
      </c>
      <c r="O2286" s="92">
        <v>7581537.0</v>
      </c>
      <c r="P2286" s="92">
        <v>7713496.0</v>
      </c>
      <c r="Q2286" s="89" t="s">
        <v>822</v>
      </c>
      <c r="AF2286" s="1"/>
      <c r="AG2286" s="1"/>
    </row>
    <row r="2287" ht="15.75" customHeight="1">
      <c r="A2287" s="1"/>
      <c r="B2287" s="1"/>
      <c r="C2287" s="1"/>
      <c r="D2287" s="1"/>
      <c r="E2287" s="1"/>
      <c r="F2287" s="1"/>
      <c r="G2287" s="1"/>
      <c r="H2287" s="1"/>
      <c r="I2287" s="1"/>
      <c r="J2287" s="1"/>
      <c r="K2287" s="89" t="s">
        <v>3571</v>
      </c>
      <c r="L2287" s="89" t="str">
        <f>H94</f>
        <v>C1b1a1a2~</v>
      </c>
      <c r="M2287" s="89"/>
      <c r="N2287" s="89" t="s">
        <v>3572</v>
      </c>
      <c r="O2287" s="92">
        <v>6710021.0</v>
      </c>
      <c r="P2287" s="92">
        <v>6841980.0</v>
      </c>
      <c r="Q2287" s="89" t="s">
        <v>838</v>
      </c>
      <c r="AF2287" s="1"/>
      <c r="AG2287" s="1"/>
    </row>
    <row r="2288" ht="15.75" customHeight="1">
      <c r="A2288" s="1"/>
      <c r="B2288" s="1"/>
      <c r="C2288" s="1"/>
      <c r="D2288" s="1"/>
      <c r="E2288" s="1"/>
      <c r="F2288" s="1"/>
      <c r="G2288" s="1"/>
      <c r="H2288" s="1"/>
      <c r="I2288" s="1"/>
      <c r="J2288" s="1"/>
      <c r="K2288" s="89" t="s">
        <v>3573</v>
      </c>
      <c r="L2288" s="89" t="str">
        <f>H94</f>
        <v>C1b1a1a2~</v>
      </c>
      <c r="M2288" s="89"/>
      <c r="N2288" s="89" t="s">
        <v>3574</v>
      </c>
      <c r="O2288" s="92">
        <v>6716114.0</v>
      </c>
      <c r="P2288" s="92">
        <v>6848073.0</v>
      </c>
      <c r="Q2288" s="89" t="s">
        <v>886</v>
      </c>
      <c r="AF2288" s="1"/>
      <c r="AG2288" s="1"/>
    </row>
    <row r="2289" ht="15.75" customHeight="1">
      <c r="A2289" s="1"/>
      <c r="B2289" s="1"/>
      <c r="C2289" s="1"/>
      <c r="D2289" s="1"/>
      <c r="E2289" s="1"/>
      <c r="F2289" s="1"/>
      <c r="G2289" s="1"/>
      <c r="H2289" s="1"/>
      <c r="I2289" s="1"/>
      <c r="J2289" s="1"/>
      <c r="K2289" s="89" t="s">
        <v>3575</v>
      </c>
      <c r="L2289" s="89" t="str">
        <f>H94</f>
        <v>C1b1a1a2~</v>
      </c>
      <c r="M2289" s="89"/>
      <c r="N2289" s="89" t="s">
        <v>3576</v>
      </c>
      <c r="O2289" s="92">
        <v>6925934.0</v>
      </c>
      <c r="P2289" s="92">
        <v>7057893.0</v>
      </c>
      <c r="Q2289" s="89" t="s">
        <v>802</v>
      </c>
      <c r="AF2289" s="1"/>
      <c r="AG2289" s="1"/>
    </row>
    <row r="2290" ht="15.75" customHeight="1">
      <c r="A2290" s="1"/>
      <c r="B2290" s="1"/>
      <c r="C2290" s="1"/>
      <c r="D2290" s="1"/>
      <c r="E2290" s="1"/>
      <c r="F2290" s="1"/>
      <c r="G2290" s="1"/>
      <c r="H2290" s="1"/>
      <c r="I2290" s="1"/>
      <c r="J2290" s="1"/>
      <c r="K2290" s="89" t="s">
        <v>3577</v>
      </c>
      <c r="L2290" s="89" t="str">
        <f>H94</f>
        <v>C1b1a1a2~</v>
      </c>
      <c r="M2290" s="89"/>
      <c r="N2290" s="89" t="s">
        <v>3578</v>
      </c>
      <c r="O2290" s="92">
        <v>7000081.0</v>
      </c>
      <c r="P2290" s="92">
        <v>7132040.0</v>
      </c>
      <c r="Q2290" s="89" t="s">
        <v>879</v>
      </c>
      <c r="AF2290" s="1"/>
      <c r="AG2290" s="1"/>
    </row>
    <row r="2291" ht="15.75" customHeight="1">
      <c r="A2291" s="1"/>
      <c r="B2291" s="1"/>
      <c r="C2291" s="1"/>
      <c r="D2291" s="1"/>
      <c r="E2291" s="1"/>
      <c r="F2291" s="1"/>
      <c r="G2291" s="1"/>
      <c r="H2291" s="1"/>
      <c r="I2291" s="1"/>
      <c r="J2291" s="1"/>
      <c r="K2291" s="89" t="s">
        <v>3579</v>
      </c>
      <c r="L2291" s="89" t="str">
        <f>H94</f>
        <v>C1b1a1a2~</v>
      </c>
      <c r="M2291" s="89"/>
      <c r="N2291" s="89" t="s">
        <v>3580</v>
      </c>
      <c r="O2291" s="92">
        <v>7034096.0</v>
      </c>
      <c r="P2291" s="92">
        <v>7166055.0</v>
      </c>
      <c r="Q2291" s="89" t="s">
        <v>802</v>
      </c>
      <c r="AF2291" s="1"/>
      <c r="AG2291" s="1"/>
    </row>
    <row r="2292" ht="15.75" customHeight="1">
      <c r="A2292" s="1"/>
      <c r="B2292" s="1"/>
      <c r="C2292" s="1"/>
      <c r="D2292" s="1"/>
      <c r="E2292" s="1"/>
      <c r="F2292" s="1"/>
      <c r="G2292" s="1"/>
      <c r="H2292" s="1"/>
      <c r="I2292" s="1"/>
      <c r="J2292" s="1"/>
      <c r="K2292" s="89" t="s">
        <v>3581</v>
      </c>
      <c r="L2292" s="89" t="str">
        <f>G95</f>
        <v>C1b1a1b</v>
      </c>
      <c r="M2292" s="89"/>
      <c r="N2292" s="89" t="s">
        <v>3582</v>
      </c>
      <c r="O2292" s="92">
        <v>2852640.0</v>
      </c>
      <c r="P2292" s="92">
        <v>2984599.0</v>
      </c>
      <c r="Q2292" s="89" t="s">
        <v>838</v>
      </c>
      <c r="AF2292" s="1"/>
      <c r="AG2292" s="1"/>
    </row>
    <row r="2293" ht="15.75" customHeight="1">
      <c r="A2293" s="1"/>
      <c r="B2293" s="1"/>
      <c r="C2293" s="1"/>
      <c r="D2293" s="1"/>
      <c r="E2293" s="1"/>
      <c r="F2293" s="1"/>
      <c r="G2293" s="1"/>
      <c r="H2293" s="1"/>
      <c r="I2293" s="1"/>
      <c r="J2293" s="94" t="s">
        <v>23</v>
      </c>
      <c r="K2293" s="93" t="s">
        <v>3583</v>
      </c>
      <c r="L2293" t="str">
        <f>G95</f>
        <v>C1b1a1b</v>
      </c>
      <c r="M2293" s="93" t="s">
        <v>3584</v>
      </c>
      <c r="N2293" s="102" t="s">
        <v>3585</v>
      </c>
      <c r="O2293" s="101">
        <v>2.3457237E7</v>
      </c>
      <c r="P2293" s="98">
        <v>2.1295351E7</v>
      </c>
      <c r="Q2293" s="93" t="s">
        <v>912</v>
      </c>
      <c r="AF2293" s="1"/>
      <c r="AG2293" s="1"/>
    </row>
    <row r="2294" ht="15.75" customHeight="1">
      <c r="A2294" s="1"/>
      <c r="B2294" s="1"/>
      <c r="C2294" s="1"/>
      <c r="D2294" s="1"/>
      <c r="E2294" s="1"/>
      <c r="F2294" s="1"/>
      <c r="G2294" s="1"/>
      <c r="H2294" s="1"/>
      <c r="I2294" s="1"/>
      <c r="J2294" s="1"/>
      <c r="K2294" s="93" t="s">
        <v>3584</v>
      </c>
      <c r="L2294" t="str">
        <f>G95</f>
        <v>C1b1a1b</v>
      </c>
      <c r="M2294" s="93" t="s">
        <v>3583</v>
      </c>
      <c r="N2294" s="102" t="s">
        <v>3585</v>
      </c>
      <c r="O2294" s="101">
        <v>2.3457237E7</v>
      </c>
      <c r="P2294" s="98">
        <v>2.1295351E7</v>
      </c>
      <c r="Q2294" s="93" t="s">
        <v>912</v>
      </c>
      <c r="AF2294" s="1"/>
      <c r="AG2294" s="1"/>
    </row>
    <row r="2295" ht="15.75" customHeight="1">
      <c r="A2295" s="1"/>
      <c r="B2295" s="1"/>
      <c r="C2295" s="1"/>
      <c r="D2295" s="1"/>
      <c r="E2295" s="1"/>
      <c r="F2295" s="1"/>
      <c r="G2295" s="1"/>
      <c r="H2295" s="1"/>
      <c r="I2295" s="1"/>
      <c r="J2295" s="1"/>
      <c r="K2295" s="93" t="s">
        <v>3586</v>
      </c>
      <c r="L2295" t="str">
        <f>G95</f>
        <v>C1b1a1b</v>
      </c>
      <c r="M2295" s="93" t="s">
        <v>3587</v>
      </c>
      <c r="N2295" s="102" t="s">
        <v>3588</v>
      </c>
      <c r="O2295" s="101">
        <v>2.3330008E7</v>
      </c>
      <c r="P2295" s="98">
        <v>2.1168122E7</v>
      </c>
      <c r="Q2295" s="93" t="s">
        <v>838</v>
      </c>
      <c r="AF2295" s="1"/>
      <c r="AG2295" s="1"/>
    </row>
    <row r="2296" ht="15.75" customHeight="1">
      <c r="A2296" s="1"/>
      <c r="B2296" s="1"/>
      <c r="C2296" s="1"/>
      <c r="D2296" s="1"/>
      <c r="E2296" s="1"/>
      <c r="F2296" s="1"/>
      <c r="G2296" s="1"/>
      <c r="H2296" s="1"/>
      <c r="I2296" s="1"/>
      <c r="J2296" s="1"/>
      <c r="K2296" s="93" t="s">
        <v>3587</v>
      </c>
      <c r="L2296" t="str">
        <f>G95</f>
        <v>C1b1a1b</v>
      </c>
      <c r="M2296" s="93" t="s">
        <v>3586</v>
      </c>
      <c r="N2296" s="102" t="s">
        <v>3588</v>
      </c>
      <c r="O2296" s="101">
        <v>2.3330008E7</v>
      </c>
      <c r="P2296" s="98">
        <v>2.1168122E7</v>
      </c>
      <c r="Q2296" s="93" t="s">
        <v>838</v>
      </c>
      <c r="AF2296" s="1"/>
      <c r="AG2296" s="1"/>
    </row>
    <row r="2297" ht="15.75" customHeight="1">
      <c r="A2297" s="1"/>
      <c r="B2297" s="1"/>
      <c r="C2297" s="1"/>
      <c r="D2297" s="1"/>
      <c r="E2297" s="1"/>
      <c r="F2297" s="1"/>
      <c r="G2297" s="1"/>
      <c r="H2297" s="1"/>
      <c r="I2297" s="1"/>
      <c r="J2297" s="1"/>
      <c r="K2297" s="93" t="s">
        <v>3589</v>
      </c>
      <c r="L2297" t="str">
        <f>G95</f>
        <v>C1b1a1b</v>
      </c>
      <c r="M2297" s="93" t="s">
        <v>3590</v>
      </c>
      <c r="N2297" s="103"/>
      <c r="O2297" s="101">
        <v>2.2628944E7</v>
      </c>
      <c r="P2297" s="98">
        <v>2.0467058E7</v>
      </c>
      <c r="Q2297" s="93" t="s">
        <v>845</v>
      </c>
      <c r="AF2297" s="1"/>
      <c r="AG2297" s="1"/>
    </row>
    <row r="2298" ht="15.75" customHeight="1">
      <c r="A2298" s="1"/>
      <c r="B2298" s="1"/>
      <c r="C2298" s="1"/>
      <c r="D2298" s="1"/>
      <c r="E2298" s="1"/>
      <c r="F2298" s="1"/>
      <c r="G2298" s="1"/>
      <c r="H2298" s="1"/>
      <c r="I2298" s="1"/>
      <c r="J2298" s="1"/>
      <c r="K2298" s="93" t="s">
        <v>3590</v>
      </c>
      <c r="L2298" t="str">
        <f>G95</f>
        <v>C1b1a1b</v>
      </c>
      <c r="M2298" s="93" t="s">
        <v>3589</v>
      </c>
      <c r="N2298" s="102"/>
      <c r="O2298" s="101">
        <v>2.2628944E7</v>
      </c>
      <c r="P2298" s="98">
        <v>2.0467058E7</v>
      </c>
      <c r="Q2298" s="93" t="s">
        <v>845</v>
      </c>
      <c r="AF2298" s="1"/>
      <c r="AG2298" s="1"/>
    </row>
    <row r="2299" ht="15.75" customHeight="1">
      <c r="A2299" s="1"/>
      <c r="B2299" s="1"/>
      <c r="C2299" s="1"/>
      <c r="D2299" s="1"/>
      <c r="E2299" s="1"/>
      <c r="F2299" s="1"/>
      <c r="G2299" s="1"/>
      <c r="H2299" s="1"/>
      <c r="I2299" s="1"/>
      <c r="J2299" s="1"/>
      <c r="K2299" s="93" t="s">
        <v>3591</v>
      </c>
      <c r="L2299" t="str">
        <f>G95</f>
        <v>C1b1a1b</v>
      </c>
      <c r="M2299" s="93" t="s">
        <v>3592</v>
      </c>
      <c r="N2299" s="102" t="s">
        <v>3593</v>
      </c>
      <c r="O2299" s="101">
        <v>2.2094284E7</v>
      </c>
      <c r="P2299" s="98">
        <v>1.9932398E7</v>
      </c>
      <c r="Q2299" s="93" t="s">
        <v>802</v>
      </c>
      <c r="AF2299" s="1"/>
      <c r="AG2299" s="1"/>
    </row>
    <row r="2300" ht="15.75" customHeight="1">
      <c r="A2300" s="1"/>
      <c r="B2300" s="1"/>
      <c r="C2300" s="1"/>
      <c r="D2300" s="1"/>
      <c r="E2300" s="1"/>
      <c r="F2300" s="1"/>
      <c r="G2300" s="1"/>
      <c r="H2300" s="1"/>
      <c r="I2300" s="1"/>
      <c r="J2300" s="1"/>
      <c r="K2300" s="93" t="s">
        <v>3592</v>
      </c>
      <c r="L2300" t="str">
        <f>G95</f>
        <v>C1b1a1b</v>
      </c>
      <c r="M2300" s="93" t="s">
        <v>3591</v>
      </c>
      <c r="N2300" s="102" t="s">
        <v>3593</v>
      </c>
      <c r="O2300" s="101">
        <v>2.2094284E7</v>
      </c>
      <c r="P2300" s="98">
        <v>1.9932398E7</v>
      </c>
      <c r="Q2300" s="93" t="s">
        <v>802</v>
      </c>
      <c r="AF2300" s="1"/>
      <c r="AG2300" s="1"/>
    </row>
    <row r="2301" ht="15.75" customHeight="1">
      <c r="A2301" s="1"/>
      <c r="B2301" s="1"/>
      <c r="C2301" s="1"/>
      <c r="D2301" s="1"/>
      <c r="E2301" s="1"/>
      <c r="F2301" s="1"/>
      <c r="G2301" s="1"/>
      <c r="H2301" s="1"/>
      <c r="I2301" s="1"/>
      <c r="J2301" s="1"/>
      <c r="K2301" s="93" t="s">
        <v>3594</v>
      </c>
      <c r="L2301" t="str">
        <f>G95</f>
        <v>C1b1a1b</v>
      </c>
      <c r="M2301" s="93" t="s">
        <v>3595</v>
      </c>
      <c r="N2301" s="102" t="s">
        <v>3596</v>
      </c>
      <c r="O2301" s="101">
        <v>2.1858052E7</v>
      </c>
      <c r="P2301" s="98">
        <v>1.9696166E7</v>
      </c>
      <c r="Q2301" s="93" t="s">
        <v>802</v>
      </c>
      <c r="AF2301" s="1"/>
      <c r="AG2301" s="1"/>
    </row>
    <row r="2302" ht="15.75" customHeight="1">
      <c r="A2302" s="1"/>
      <c r="B2302" s="1"/>
      <c r="C2302" s="1"/>
      <c r="D2302" s="1"/>
      <c r="E2302" s="1"/>
      <c r="F2302" s="1"/>
      <c r="G2302" s="1"/>
      <c r="H2302" s="1"/>
      <c r="I2302" s="1"/>
      <c r="J2302" s="1"/>
      <c r="K2302" s="93" t="s">
        <v>3595</v>
      </c>
      <c r="L2302" t="str">
        <f>G95</f>
        <v>C1b1a1b</v>
      </c>
      <c r="M2302" s="93" t="s">
        <v>3594</v>
      </c>
      <c r="N2302" s="102" t="s">
        <v>3596</v>
      </c>
      <c r="O2302" s="101">
        <v>2.1858052E7</v>
      </c>
      <c r="P2302" s="98">
        <v>1.9696166E7</v>
      </c>
      <c r="Q2302" s="93" t="s">
        <v>802</v>
      </c>
      <c r="AF2302" s="1"/>
      <c r="AG2302" s="1"/>
    </row>
    <row r="2303" ht="15.75" customHeight="1">
      <c r="A2303" s="1"/>
      <c r="B2303" s="1"/>
      <c r="C2303" s="1"/>
      <c r="D2303" s="1"/>
      <c r="E2303" s="1"/>
      <c r="F2303" s="1"/>
      <c r="G2303" s="1"/>
      <c r="H2303" s="1"/>
      <c r="I2303" s="1"/>
      <c r="J2303" s="1"/>
      <c r="K2303" s="93" t="s">
        <v>3597</v>
      </c>
      <c r="L2303" t="str">
        <f>G95</f>
        <v>C1b1a1b</v>
      </c>
      <c r="M2303" s="93" t="s">
        <v>3598</v>
      </c>
      <c r="N2303" s="102" t="s">
        <v>3599</v>
      </c>
      <c r="O2303" s="101">
        <v>1.9218766E7</v>
      </c>
      <c r="P2303" s="98">
        <v>1.7106886E7</v>
      </c>
      <c r="Q2303" s="93" t="s">
        <v>822</v>
      </c>
      <c r="AF2303" s="1"/>
      <c r="AG2303" s="1"/>
    </row>
    <row r="2304" ht="15.75" customHeight="1">
      <c r="A2304" s="1"/>
      <c r="B2304" s="1"/>
      <c r="C2304" s="1"/>
      <c r="D2304" s="1"/>
      <c r="E2304" s="1"/>
      <c r="F2304" s="1"/>
      <c r="G2304" s="1"/>
      <c r="H2304" s="1"/>
      <c r="I2304" s="1"/>
      <c r="J2304" s="1"/>
      <c r="K2304" s="93" t="s">
        <v>3598</v>
      </c>
      <c r="L2304" t="str">
        <f>G95</f>
        <v>C1b1a1b</v>
      </c>
      <c r="M2304" s="93" t="s">
        <v>3597</v>
      </c>
      <c r="N2304" s="102" t="s">
        <v>3599</v>
      </c>
      <c r="O2304" s="101">
        <v>1.9218766E7</v>
      </c>
      <c r="P2304" s="98">
        <v>1.7106886E7</v>
      </c>
      <c r="Q2304" s="93" t="s">
        <v>822</v>
      </c>
      <c r="AF2304" s="1"/>
      <c r="AG2304" s="1"/>
    </row>
    <row r="2305" ht="15.75" customHeight="1">
      <c r="A2305" s="1"/>
      <c r="B2305" s="1"/>
      <c r="C2305" s="1"/>
      <c r="D2305" s="1"/>
      <c r="E2305" s="1"/>
      <c r="F2305" s="1"/>
      <c r="G2305" s="1"/>
      <c r="H2305" s="1"/>
      <c r="I2305" s="1"/>
      <c r="J2305" s="1"/>
      <c r="K2305" s="93" t="s">
        <v>3600</v>
      </c>
      <c r="L2305" t="str">
        <f>G95</f>
        <v>C1b1a1b</v>
      </c>
      <c r="M2305" s="93" t="s">
        <v>3601</v>
      </c>
      <c r="N2305" s="103"/>
      <c r="O2305" s="101">
        <v>1.9190465E7</v>
      </c>
      <c r="P2305" s="98">
        <v>1.7078585E7</v>
      </c>
      <c r="Q2305" s="93" t="s">
        <v>810</v>
      </c>
      <c r="AF2305" s="1"/>
      <c r="AG2305" s="1"/>
    </row>
    <row r="2306" ht="15.75" customHeight="1">
      <c r="A2306" s="1"/>
      <c r="B2306" s="1"/>
      <c r="C2306" s="1"/>
      <c r="D2306" s="1"/>
      <c r="E2306" s="1"/>
      <c r="F2306" s="1"/>
      <c r="G2306" s="1"/>
      <c r="H2306" s="1"/>
      <c r="I2306" s="1"/>
      <c r="J2306" s="1"/>
      <c r="K2306" s="93" t="s">
        <v>3601</v>
      </c>
      <c r="L2306" t="str">
        <f>G95</f>
        <v>C1b1a1b</v>
      </c>
      <c r="M2306" s="93" t="s">
        <v>3600</v>
      </c>
      <c r="N2306" s="102"/>
      <c r="O2306" s="101">
        <v>1.9190465E7</v>
      </c>
      <c r="P2306" s="98">
        <v>1.7078585E7</v>
      </c>
      <c r="Q2306" s="93" t="s">
        <v>810</v>
      </c>
      <c r="AF2306" s="1"/>
      <c r="AG2306" s="1"/>
    </row>
    <row r="2307" ht="15.75" customHeight="1">
      <c r="A2307" s="1"/>
      <c r="B2307" s="1"/>
      <c r="C2307" s="1"/>
      <c r="D2307" s="1"/>
      <c r="E2307" s="1"/>
      <c r="F2307" s="1"/>
      <c r="G2307" s="1"/>
      <c r="H2307" s="1"/>
      <c r="I2307" s="1"/>
      <c r="J2307" s="1"/>
      <c r="K2307" s="93" t="s">
        <v>3602</v>
      </c>
      <c r="L2307" t="str">
        <f>G95</f>
        <v>C1b1a1b</v>
      </c>
      <c r="M2307" s="93" t="s">
        <v>3603</v>
      </c>
      <c r="N2307" s="102" t="s">
        <v>3604</v>
      </c>
      <c r="O2307" s="101">
        <v>1.9126069E7</v>
      </c>
      <c r="P2307" s="98">
        <v>1.7014189E7</v>
      </c>
      <c r="Q2307" s="93" t="s">
        <v>802</v>
      </c>
      <c r="AF2307" s="1"/>
      <c r="AG2307" s="1"/>
    </row>
    <row r="2308" ht="15.75" customHeight="1">
      <c r="A2308" s="1"/>
      <c r="B2308" s="1"/>
      <c r="C2308" s="1"/>
      <c r="D2308" s="1"/>
      <c r="E2308" s="1"/>
      <c r="F2308" s="1"/>
      <c r="G2308" s="1"/>
      <c r="H2308" s="1"/>
      <c r="I2308" s="1"/>
      <c r="J2308" s="1"/>
      <c r="K2308" s="93" t="s">
        <v>3603</v>
      </c>
      <c r="L2308" t="str">
        <f>G95</f>
        <v>C1b1a1b</v>
      </c>
      <c r="M2308" s="93" t="s">
        <v>3602</v>
      </c>
      <c r="N2308" s="103"/>
      <c r="O2308" s="101">
        <v>1.9126069E7</v>
      </c>
      <c r="P2308" s="98">
        <v>1.7014189E7</v>
      </c>
      <c r="Q2308" s="93" t="s">
        <v>802</v>
      </c>
      <c r="AF2308" s="1"/>
      <c r="AG2308" s="1"/>
    </row>
    <row r="2309" ht="15.75" customHeight="1">
      <c r="A2309" s="1"/>
      <c r="B2309" s="1"/>
      <c r="C2309" s="1"/>
      <c r="D2309" s="1"/>
      <c r="E2309" s="1"/>
      <c r="F2309" s="1"/>
      <c r="G2309" s="1"/>
      <c r="H2309" s="1"/>
      <c r="I2309" s="1"/>
      <c r="J2309" s="1"/>
      <c r="K2309" s="93" t="s">
        <v>3605</v>
      </c>
      <c r="L2309" t="str">
        <f>G95</f>
        <v>C1b1a1b</v>
      </c>
      <c r="M2309" s="93" t="s">
        <v>3606</v>
      </c>
      <c r="N2309" s="103"/>
      <c r="O2309" s="101">
        <v>1.9114823E7</v>
      </c>
      <c r="P2309" s="98">
        <v>1.7002943E7</v>
      </c>
      <c r="Q2309" s="93" t="s">
        <v>917</v>
      </c>
      <c r="AF2309" s="1"/>
      <c r="AG2309" s="1"/>
    </row>
    <row r="2310" ht="15.75" customHeight="1">
      <c r="A2310" s="1"/>
      <c r="B2310" s="1"/>
      <c r="C2310" s="1"/>
      <c r="D2310" s="1"/>
      <c r="E2310" s="1"/>
      <c r="F2310" s="1"/>
      <c r="G2310" s="1"/>
      <c r="H2310" s="1"/>
      <c r="I2310" s="1"/>
      <c r="J2310" s="1"/>
      <c r="K2310" s="93" t="s">
        <v>3606</v>
      </c>
      <c r="L2310" t="str">
        <f>G95</f>
        <v>C1b1a1b</v>
      </c>
      <c r="M2310" s="93" t="s">
        <v>3605</v>
      </c>
      <c r="N2310" s="102"/>
      <c r="O2310" s="101">
        <v>1.9114823E7</v>
      </c>
      <c r="P2310" s="98">
        <v>1.7002943E7</v>
      </c>
      <c r="Q2310" s="93" t="s">
        <v>917</v>
      </c>
      <c r="AF2310" s="1"/>
      <c r="AG2310" s="1"/>
    </row>
    <row r="2311" ht="15.75" customHeight="1">
      <c r="A2311" s="1"/>
      <c r="B2311" s="1"/>
      <c r="C2311" s="1"/>
      <c r="D2311" s="1"/>
      <c r="E2311" s="1"/>
      <c r="F2311" s="1"/>
      <c r="G2311" s="1"/>
      <c r="H2311" s="1"/>
      <c r="I2311" s="1"/>
      <c r="J2311" s="1"/>
      <c r="K2311" s="93" t="s">
        <v>3607</v>
      </c>
      <c r="L2311" t="str">
        <f>G95</f>
        <v>C1b1a1b</v>
      </c>
      <c r="M2311" s="93" t="s">
        <v>3608</v>
      </c>
      <c r="N2311" s="102" t="s">
        <v>3609</v>
      </c>
      <c r="O2311" s="101">
        <v>1.8957138E7</v>
      </c>
      <c r="P2311" s="98">
        <v>1.6845258E7</v>
      </c>
      <c r="Q2311" s="93" t="s">
        <v>838</v>
      </c>
      <c r="AF2311" s="1"/>
      <c r="AG2311" s="1"/>
    </row>
    <row r="2312" ht="15.75" customHeight="1">
      <c r="A2312" s="1"/>
      <c r="B2312" s="1"/>
      <c r="C2312" s="1"/>
      <c r="D2312" s="1"/>
      <c r="E2312" s="1"/>
      <c r="F2312" s="1"/>
      <c r="G2312" s="1"/>
      <c r="H2312" s="1"/>
      <c r="I2312" s="1"/>
      <c r="J2312" s="1"/>
      <c r="K2312" s="93" t="s">
        <v>3608</v>
      </c>
      <c r="L2312" t="str">
        <f>G95</f>
        <v>C1b1a1b</v>
      </c>
      <c r="M2312" s="93" t="s">
        <v>3607</v>
      </c>
      <c r="N2312" s="102" t="s">
        <v>3609</v>
      </c>
      <c r="O2312" s="101">
        <v>1.8957138E7</v>
      </c>
      <c r="P2312" s="98">
        <v>1.6845258E7</v>
      </c>
      <c r="Q2312" s="93" t="s">
        <v>838</v>
      </c>
      <c r="AF2312" s="1"/>
      <c r="AG2312" s="1"/>
    </row>
    <row r="2313" ht="15.75" customHeight="1">
      <c r="A2313" s="1"/>
      <c r="B2313" s="1"/>
      <c r="C2313" s="1"/>
      <c r="D2313" s="1"/>
      <c r="E2313" s="1"/>
      <c r="F2313" s="1"/>
      <c r="G2313" s="1"/>
      <c r="H2313" s="1"/>
      <c r="I2313" s="1"/>
      <c r="J2313" s="1"/>
      <c r="K2313" s="93" t="s">
        <v>3610</v>
      </c>
      <c r="L2313" t="str">
        <f>G95</f>
        <v>C1b1a1b</v>
      </c>
      <c r="M2313" s="93" t="s">
        <v>3611</v>
      </c>
      <c r="N2313" s="102" t="s">
        <v>3612</v>
      </c>
      <c r="O2313" s="101">
        <v>1.8575191E7</v>
      </c>
      <c r="P2313" s="98">
        <v>1.6463311E7</v>
      </c>
      <c r="Q2313" s="93" t="s">
        <v>838</v>
      </c>
      <c r="AF2313" s="1"/>
      <c r="AG2313" s="1"/>
    </row>
    <row r="2314" ht="15.75" customHeight="1">
      <c r="A2314" s="1"/>
      <c r="B2314" s="1"/>
      <c r="C2314" s="1"/>
      <c r="D2314" s="1"/>
      <c r="E2314" s="1"/>
      <c r="F2314" s="1"/>
      <c r="G2314" s="1"/>
      <c r="H2314" s="1"/>
      <c r="I2314" s="1"/>
      <c r="J2314" s="1"/>
      <c r="K2314" s="93" t="s">
        <v>3611</v>
      </c>
      <c r="L2314" t="str">
        <f>G95</f>
        <v>C1b1a1b</v>
      </c>
      <c r="M2314" s="93" t="s">
        <v>3610</v>
      </c>
      <c r="N2314" s="102" t="s">
        <v>3612</v>
      </c>
      <c r="O2314" s="101">
        <v>1.8575191E7</v>
      </c>
      <c r="P2314" s="98">
        <v>1.6463311E7</v>
      </c>
      <c r="Q2314" s="93" t="s">
        <v>838</v>
      </c>
      <c r="AF2314" s="1"/>
      <c r="AG2314" s="1"/>
    </row>
    <row r="2315" ht="15.75" customHeight="1">
      <c r="A2315" s="1"/>
      <c r="B2315" s="1"/>
      <c r="C2315" s="1"/>
      <c r="D2315" s="1"/>
      <c r="E2315" s="1"/>
      <c r="F2315" s="1"/>
      <c r="G2315" s="1"/>
      <c r="H2315" s="1"/>
      <c r="I2315" s="1"/>
      <c r="J2315" s="1"/>
      <c r="K2315" s="93" t="s">
        <v>3613</v>
      </c>
      <c r="L2315" t="str">
        <f>G95</f>
        <v>C1b1a1b</v>
      </c>
      <c r="M2315" s="93" t="s">
        <v>3614</v>
      </c>
      <c r="N2315" s="103"/>
      <c r="O2315" s="101">
        <v>1.8403672E7</v>
      </c>
      <c r="P2315" s="101">
        <v>1.8403672E7</v>
      </c>
      <c r="Q2315" s="93" t="s">
        <v>810</v>
      </c>
      <c r="AF2315" s="1"/>
      <c r="AG2315" s="1"/>
    </row>
    <row r="2316" ht="15.75" customHeight="1">
      <c r="A2316" s="1"/>
      <c r="B2316" s="1"/>
      <c r="C2316" s="1"/>
      <c r="D2316" s="1"/>
      <c r="E2316" s="1"/>
      <c r="F2316" s="1"/>
      <c r="G2316" s="1"/>
      <c r="H2316" s="1"/>
      <c r="I2316" s="1"/>
      <c r="J2316" s="1"/>
      <c r="K2316" s="93" t="s">
        <v>3614</v>
      </c>
      <c r="L2316" t="str">
        <f>G95</f>
        <v>C1b1a1b</v>
      </c>
      <c r="M2316" s="93" t="s">
        <v>3613</v>
      </c>
      <c r="N2316" s="103"/>
      <c r="O2316" s="101">
        <v>1.8403672E7</v>
      </c>
      <c r="P2316" s="101">
        <v>1.8403672E7</v>
      </c>
      <c r="Q2316" s="93" t="s">
        <v>810</v>
      </c>
      <c r="AF2316" s="1"/>
      <c r="AG2316" s="1"/>
    </row>
    <row r="2317" ht="15.75" customHeight="1">
      <c r="A2317" s="1"/>
      <c r="B2317" s="1"/>
      <c r="C2317" s="1"/>
      <c r="D2317" s="1"/>
      <c r="E2317" s="1"/>
      <c r="F2317" s="1"/>
      <c r="G2317" s="1"/>
      <c r="H2317" s="1"/>
      <c r="I2317" s="1"/>
      <c r="J2317" s="1"/>
      <c r="K2317" s="93" t="s">
        <v>3615</v>
      </c>
      <c r="L2317" t="str">
        <f>G95</f>
        <v>C1b1a1b</v>
      </c>
      <c r="M2317" s="93" t="s">
        <v>3616</v>
      </c>
      <c r="N2317" s="103"/>
      <c r="O2317" s="101">
        <v>1.7977419E7</v>
      </c>
      <c r="P2317" s="98">
        <v>1.5865539E7</v>
      </c>
      <c r="Q2317" s="93" t="s">
        <v>802</v>
      </c>
      <c r="AF2317" s="1"/>
      <c r="AG2317" s="1"/>
    </row>
    <row r="2318" ht="15.75" customHeight="1">
      <c r="A2318" s="1"/>
      <c r="B2318" s="1"/>
      <c r="C2318" s="1"/>
      <c r="D2318" s="1"/>
      <c r="E2318" s="1"/>
      <c r="F2318" s="1"/>
      <c r="G2318" s="1"/>
      <c r="H2318" s="1"/>
      <c r="I2318" s="1"/>
      <c r="J2318" s="1"/>
      <c r="K2318" s="93" t="s">
        <v>3616</v>
      </c>
      <c r="L2318" t="str">
        <f>G95</f>
        <v>C1b1a1b</v>
      </c>
      <c r="M2318" s="93" t="s">
        <v>3615</v>
      </c>
      <c r="N2318" s="104"/>
      <c r="O2318" s="101">
        <v>1.7977419E7</v>
      </c>
      <c r="P2318" s="98">
        <v>1.5865539E7</v>
      </c>
      <c r="Q2318" s="93" t="s">
        <v>802</v>
      </c>
      <c r="AF2318" s="1"/>
      <c r="AG2318" s="1"/>
    </row>
    <row r="2319" ht="15.75" customHeight="1">
      <c r="A2319" s="1"/>
      <c r="B2319" s="1"/>
      <c r="C2319" s="1"/>
      <c r="D2319" s="1"/>
      <c r="E2319" s="1"/>
      <c r="F2319" s="1"/>
      <c r="G2319" s="1"/>
      <c r="H2319" s="1"/>
      <c r="I2319" s="1"/>
      <c r="J2319" s="1"/>
      <c r="K2319" s="93" t="s">
        <v>3617</v>
      </c>
      <c r="L2319" t="str">
        <f>G95</f>
        <v>C1b1a1b</v>
      </c>
      <c r="M2319" s="93" t="s">
        <v>3618</v>
      </c>
      <c r="N2319" s="104" t="s">
        <v>3619</v>
      </c>
      <c r="O2319" s="101">
        <v>1.7972017E7</v>
      </c>
      <c r="P2319" s="101">
        <v>1.7972017E7</v>
      </c>
      <c r="Q2319" s="93" t="s">
        <v>845</v>
      </c>
      <c r="AF2319" s="1"/>
      <c r="AG2319" s="1"/>
    </row>
    <row r="2320" ht="15.75" customHeight="1">
      <c r="A2320" s="1"/>
      <c r="B2320" s="1"/>
      <c r="C2320" s="1"/>
      <c r="D2320" s="1"/>
      <c r="E2320" s="1"/>
      <c r="F2320" s="1"/>
      <c r="G2320" s="1"/>
      <c r="H2320" s="1"/>
      <c r="I2320" s="1"/>
      <c r="J2320" s="1"/>
      <c r="K2320" s="93" t="s">
        <v>3618</v>
      </c>
      <c r="L2320" t="str">
        <f>G95</f>
        <v>C1b1a1b</v>
      </c>
      <c r="M2320" s="93" t="s">
        <v>3617</v>
      </c>
      <c r="N2320" s="104" t="s">
        <v>3619</v>
      </c>
      <c r="O2320" s="101">
        <v>1.7972017E7</v>
      </c>
      <c r="P2320" s="101">
        <v>1.7972017E7</v>
      </c>
      <c r="Q2320" s="93" t="s">
        <v>845</v>
      </c>
      <c r="AF2320" s="1"/>
      <c r="AG2320" s="1"/>
    </row>
    <row r="2321" ht="15.75" customHeight="1">
      <c r="A2321" s="1"/>
      <c r="B2321" s="1"/>
      <c r="C2321" s="1"/>
      <c r="D2321" s="1"/>
      <c r="E2321" s="1"/>
      <c r="F2321" s="1"/>
      <c r="G2321" s="1"/>
      <c r="H2321" s="1"/>
      <c r="I2321" s="1"/>
      <c r="J2321" s="1"/>
      <c r="K2321" s="93" t="s">
        <v>3620</v>
      </c>
      <c r="L2321" t="str">
        <f>G95</f>
        <v>C1b1a1b</v>
      </c>
      <c r="M2321" s="93" t="s">
        <v>3621</v>
      </c>
      <c r="N2321" s="102" t="s">
        <v>3622</v>
      </c>
      <c r="O2321" s="101">
        <v>1.7928826E7</v>
      </c>
      <c r="P2321" s="98">
        <v>1.5816946E7</v>
      </c>
      <c r="Q2321" s="93" t="s">
        <v>802</v>
      </c>
      <c r="AF2321" s="1"/>
      <c r="AG2321" s="1"/>
    </row>
    <row r="2322" ht="15.75" customHeight="1">
      <c r="A2322" s="1"/>
      <c r="B2322" s="1"/>
      <c r="C2322" s="1"/>
      <c r="D2322" s="1"/>
      <c r="E2322" s="1"/>
      <c r="F2322" s="1"/>
      <c r="G2322" s="1"/>
      <c r="H2322" s="1"/>
      <c r="I2322" s="1"/>
      <c r="J2322" s="1"/>
      <c r="K2322" s="93" t="s">
        <v>3621</v>
      </c>
      <c r="L2322" t="str">
        <f>G95</f>
        <v>C1b1a1b</v>
      </c>
      <c r="M2322" s="93" t="s">
        <v>3620</v>
      </c>
      <c r="N2322" s="102" t="s">
        <v>3622</v>
      </c>
      <c r="O2322" s="101">
        <v>1.7928826E7</v>
      </c>
      <c r="P2322" s="98">
        <v>1.5816946E7</v>
      </c>
      <c r="Q2322" s="93" t="s">
        <v>802</v>
      </c>
      <c r="AF2322" s="1"/>
      <c r="AG2322" s="1"/>
    </row>
    <row r="2323" ht="15.75" customHeight="1">
      <c r="A2323" s="1"/>
      <c r="B2323" s="1"/>
      <c r="C2323" s="1"/>
      <c r="D2323" s="1"/>
      <c r="E2323" s="1"/>
      <c r="F2323" s="1"/>
      <c r="G2323" s="1"/>
      <c r="H2323" s="1"/>
      <c r="I2323" s="1"/>
      <c r="J2323" s="1"/>
      <c r="K2323" s="93" t="s">
        <v>3623</v>
      </c>
      <c r="L2323" t="str">
        <f>G95</f>
        <v>C1b1a1b</v>
      </c>
      <c r="M2323" s="93" t="s">
        <v>3624</v>
      </c>
      <c r="N2323" s="104" t="s">
        <v>3625</v>
      </c>
      <c r="O2323" s="101">
        <v>1.7559899E7</v>
      </c>
      <c r="P2323" s="98">
        <v>1.5448019E7</v>
      </c>
      <c r="Q2323" s="93" t="s">
        <v>886</v>
      </c>
      <c r="AF2323" s="1"/>
      <c r="AG2323" s="1"/>
    </row>
    <row r="2324" ht="15.75" customHeight="1">
      <c r="A2324" s="1"/>
      <c r="B2324" s="1"/>
      <c r="C2324" s="1"/>
      <c r="D2324" s="1"/>
      <c r="E2324" s="1"/>
      <c r="F2324" s="1"/>
      <c r="G2324" s="1"/>
      <c r="H2324" s="1"/>
      <c r="I2324" s="1"/>
      <c r="J2324" s="1"/>
      <c r="K2324" s="93" t="s">
        <v>3624</v>
      </c>
      <c r="L2324" t="str">
        <f>G95</f>
        <v>C1b1a1b</v>
      </c>
      <c r="M2324" s="93" t="s">
        <v>3623</v>
      </c>
      <c r="N2324" s="104" t="s">
        <v>3625</v>
      </c>
      <c r="O2324" s="101">
        <v>1.7559899E7</v>
      </c>
      <c r="P2324" s="98">
        <v>1.5448019E7</v>
      </c>
      <c r="Q2324" s="93" t="s">
        <v>886</v>
      </c>
      <c r="AF2324" s="1"/>
      <c r="AG2324" s="1"/>
    </row>
    <row r="2325" ht="15.75" customHeight="1">
      <c r="A2325" s="1"/>
      <c r="B2325" s="1"/>
      <c r="C2325" s="1"/>
      <c r="D2325" s="1"/>
      <c r="E2325" s="1"/>
      <c r="F2325" s="1"/>
      <c r="G2325" s="1"/>
      <c r="H2325" s="1"/>
      <c r="I2325" s="1"/>
      <c r="J2325" s="1"/>
      <c r="K2325" s="93" t="s">
        <v>3626</v>
      </c>
      <c r="L2325" t="str">
        <f>G95</f>
        <v>C1b1a1b</v>
      </c>
      <c r="M2325" s="93" t="s">
        <v>3627</v>
      </c>
      <c r="N2325" s="102" t="s">
        <v>3628</v>
      </c>
      <c r="O2325" s="101">
        <v>1.720845E7</v>
      </c>
      <c r="P2325" s="98">
        <v>1.509657E7</v>
      </c>
      <c r="Q2325" s="93" t="s">
        <v>802</v>
      </c>
      <c r="AF2325" s="1"/>
      <c r="AG2325" s="1"/>
    </row>
    <row r="2326" ht="15.75" customHeight="1">
      <c r="A2326" s="1"/>
      <c r="B2326" s="1"/>
      <c r="C2326" s="1"/>
      <c r="D2326" s="1"/>
      <c r="E2326" s="1"/>
      <c r="F2326" s="1"/>
      <c r="G2326" s="1"/>
      <c r="H2326" s="1"/>
      <c r="I2326" s="1"/>
      <c r="J2326" s="1"/>
      <c r="K2326" s="93" t="s">
        <v>3627</v>
      </c>
      <c r="L2326" t="str">
        <f>G95</f>
        <v>C1b1a1b</v>
      </c>
      <c r="M2326" s="93" t="s">
        <v>3626</v>
      </c>
      <c r="N2326" s="102" t="s">
        <v>3628</v>
      </c>
      <c r="O2326" s="101">
        <v>1.720845E7</v>
      </c>
      <c r="P2326" s="98">
        <v>1.509657E7</v>
      </c>
      <c r="Q2326" s="93" t="s">
        <v>802</v>
      </c>
      <c r="AF2326" s="1"/>
      <c r="AG2326" s="1"/>
    </row>
    <row r="2327" ht="15.75" customHeight="1">
      <c r="A2327" s="1"/>
      <c r="B2327" s="1"/>
      <c r="C2327" s="1"/>
      <c r="D2327" s="1"/>
      <c r="E2327" s="1"/>
      <c r="F2327" s="1"/>
      <c r="G2327" s="1"/>
      <c r="H2327" s="1"/>
      <c r="I2327" s="1"/>
      <c r="J2327" s="1"/>
      <c r="K2327" s="93" t="s">
        <v>3629</v>
      </c>
      <c r="L2327" t="str">
        <f>G95</f>
        <v>C1b1a1b</v>
      </c>
      <c r="M2327" s="89"/>
      <c r="N2327" s="103"/>
      <c r="O2327" s="101">
        <v>1.6916701E7</v>
      </c>
      <c r="P2327" s="98">
        <v>1.4804821E7</v>
      </c>
      <c r="Q2327" s="93" t="s">
        <v>838</v>
      </c>
      <c r="AF2327" s="1"/>
      <c r="AG2327" s="1"/>
    </row>
    <row r="2328" ht="15.75" customHeight="1">
      <c r="A2328" s="1"/>
      <c r="B2328" s="1"/>
      <c r="C2328" s="1"/>
      <c r="D2328" s="1"/>
      <c r="E2328" s="1"/>
      <c r="F2328" s="1"/>
      <c r="G2328" s="1"/>
      <c r="H2328" s="1"/>
      <c r="I2328" s="1"/>
      <c r="J2328" s="1"/>
      <c r="K2328" s="93" t="s">
        <v>3630</v>
      </c>
      <c r="L2328" t="str">
        <f>G95</f>
        <v>C1b1a1b</v>
      </c>
      <c r="M2328" s="93" t="s">
        <v>3631</v>
      </c>
      <c r="N2328" s="105" t="s">
        <v>3632</v>
      </c>
      <c r="O2328" s="101">
        <v>1.6741872E7</v>
      </c>
      <c r="P2328" s="98">
        <v>1.4629992E7</v>
      </c>
      <c r="Q2328" s="93" t="s">
        <v>917</v>
      </c>
      <c r="AF2328" s="1"/>
      <c r="AG2328" s="1"/>
    </row>
    <row r="2329" ht="15.75" customHeight="1">
      <c r="A2329" s="1"/>
      <c r="B2329" s="1"/>
      <c r="C2329" s="1"/>
      <c r="D2329" s="1"/>
      <c r="E2329" s="1"/>
      <c r="F2329" s="1"/>
      <c r="G2329" s="1"/>
      <c r="H2329" s="1"/>
      <c r="I2329" s="1"/>
      <c r="J2329" s="1"/>
      <c r="K2329" s="93" t="s">
        <v>3631</v>
      </c>
      <c r="L2329" t="str">
        <f>G95</f>
        <v>C1b1a1b</v>
      </c>
      <c r="M2329" s="93" t="s">
        <v>3630</v>
      </c>
      <c r="N2329" s="105" t="s">
        <v>3632</v>
      </c>
      <c r="O2329" s="101">
        <v>1.6741872E7</v>
      </c>
      <c r="P2329" s="98">
        <v>1.4629992E7</v>
      </c>
      <c r="Q2329" s="93" t="s">
        <v>917</v>
      </c>
      <c r="AF2329" s="1"/>
      <c r="AG2329" s="1"/>
    </row>
    <row r="2330" ht="15.75" customHeight="1">
      <c r="A2330" s="1"/>
      <c r="B2330" s="1"/>
      <c r="C2330" s="1"/>
      <c r="D2330" s="1"/>
      <c r="E2330" s="1"/>
      <c r="F2330" s="1"/>
      <c r="G2330" s="1"/>
      <c r="H2330" s="1"/>
      <c r="I2330" s="1"/>
      <c r="J2330" s="1"/>
      <c r="K2330" s="93" t="s">
        <v>3633</v>
      </c>
      <c r="L2330" t="str">
        <f>G95</f>
        <v>C1b1a1b</v>
      </c>
      <c r="M2330" s="93" t="s">
        <v>3634</v>
      </c>
      <c r="N2330" s="103"/>
      <c r="O2330" s="101">
        <v>1.6091963E7</v>
      </c>
      <c r="P2330" s="98">
        <v>1.3980083E7</v>
      </c>
      <c r="Q2330" s="93" t="s">
        <v>802</v>
      </c>
      <c r="AF2330" s="1"/>
      <c r="AG2330" s="1"/>
    </row>
    <row r="2331" ht="15.75" customHeight="1">
      <c r="A2331" s="1"/>
      <c r="B2331" s="1"/>
      <c r="C2331" s="1"/>
      <c r="D2331" s="1"/>
      <c r="E2331" s="1"/>
      <c r="F2331" s="1"/>
      <c r="G2331" s="1"/>
      <c r="H2331" s="1"/>
      <c r="I2331" s="1"/>
      <c r="J2331" s="1"/>
      <c r="K2331" s="93" t="s">
        <v>3634</v>
      </c>
      <c r="L2331" t="str">
        <f>G95</f>
        <v>C1b1a1b</v>
      </c>
      <c r="M2331" s="93" t="s">
        <v>3633</v>
      </c>
      <c r="N2331" s="104"/>
      <c r="O2331" s="101">
        <v>1.6091963E7</v>
      </c>
      <c r="P2331" s="98">
        <v>1.3980083E7</v>
      </c>
      <c r="Q2331" s="93" t="s">
        <v>802</v>
      </c>
      <c r="AF2331" s="1"/>
      <c r="AG2331" s="1"/>
    </row>
    <row r="2332" ht="15.75" customHeight="1">
      <c r="A2332" s="1"/>
      <c r="B2332" s="1"/>
      <c r="C2332" s="1"/>
      <c r="D2332" s="1"/>
      <c r="E2332" s="1"/>
      <c r="F2332" s="1"/>
      <c r="G2332" s="1"/>
      <c r="H2332" s="1"/>
      <c r="I2332" s="1"/>
      <c r="J2332" s="1"/>
      <c r="K2332" s="93" t="s">
        <v>3635</v>
      </c>
      <c r="L2332" t="str">
        <f>G95</f>
        <v>C1b1a1b</v>
      </c>
      <c r="M2332" s="93" t="s">
        <v>3636</v>
      </c>
      <c r="N2332" s="104" t="s">
        <v>3637</v>
      </c>
      <c r="O2332" s="98">
        <v>1.3205923E7</v>
      </c>
      <c r="P2332" s="101">
        <v>1.5317817E7</v>
      </c>
      <c r="Q2332" s="93" t="s">
        <v>810</v>
      </c>
      <c r="AF2332" s="1"/>
      <c r="AG2332" s="1"/>
    </row>
    <row r="2333" ht="15.75" customHeight="1">
      <c r="A2333" s="1"/>
      <c r="B2333" s="1"/>
      <c r="C2333" s="1"/>
      <c r="D2333" s="1"/>
      <c r="E2333" s="1"/>
      <c r="F2333" s="1"/>
      <c r="G2333" s="1"/>
      <c r="H2333" s="1"/>
      <c r="I2333" s="1"/>
      <c r="J2333" s="1"/>
      <c r="K2333" s="93" t="s">
        <v>3636</v>
      </c>
      <c r="L2333" t="str">
        <f>G95</f>
        <v>C1b1a1b</v>
      </c>
      <c r="M2333" s="93" t="s">
        <v>3635</v>
      </c>
      <c r="N2333" s="104" t="s">
        <v>3637</v>
      </c>
      <c r="O2333" s="98">
        <v>1.3205923E7</v>
      </c>
      <c r="P2333" s="101">
        <v>1.5317817E7</v>
      </c>
      <c r="Q2333" s="93" t="s">
        <v>810</v>
      </c>
      <c r="AF2333" s="1"/>
      <c r="AG2333" s="1"/>
    </row>
    <row r="2334" ht="15.75" customHeight="1">
      <c r="A2334" s="1"/>
      <c r="B2334" s="1"/>
      <c r="C2334" s="1"/>
      <c r="D2334" s="1"/>
      <c r="E2334" s="1"/>
      <c r="F2334" s="1"/>
      <c r="G2334" s="1"/>
      <c r="H2334" s="1"/>
      <c r="I2334" s="1"/>
      <c r="J2334" s="1"/>
      <c r="K2334" s="93" t="s">
        <v>3638</v>
      </c>
      <c r="L2334" t="str">
        <f>G95</f>
        <v>C1b1a1b</v>
      </c>
      <c r="M2334" s="93" t="s">
        <v>3639</v>
      </c>
      <c r="N2334" s="105" t="s">
        <v>3640</v>
      </c>
      <c r="O2334" s="101">
        <v>1.4981358E7</v>
      </c>
      <c r="P2334" s="98">
        <v>1.2869434E7</v>
      </c>
      <c r="Q2334" s="93" t="s">
        <v>864</v>
      </c>
      <c r="AF2334" s="1"/>
      <c r="AG2334" s="1"/>
    </row>
    <row r="2335" ht="15.75" customHeight="1">
      <c r="A2335" s="1"/>
      <c r="B2335" s="1"/>
      <c r="C2335" s="1"/>
      <c r="D2335" s="1"/>
      <c r="E2335" s="1"/>
      <c r="F2335" s="1"/>
      <c r="G2335" s="1"/>
      <c r="H2335" s="1"/>
      <c r="I2335" s="1"/>
      <c r="J2335" s="1"/>
      <c r="K2335" s="93" t="s">
        <v>3639</v>
      </c>
      <c r="L2335" t="str">
        <f>G95</f>
        <v>C1b1a1b</v>
      </c>
      <c r="M2335" s="93" t="s">
        <v>3638</v>
      </c>
      <c r="N2335" s="105" t="s">
        <v>3640</v>
      </c>
      <c r="O2335" s="101">
        <v>1.4981358E7</v>
      </c>
      <c r="P2335" s="98">
        <v>1.2869434E7</v>
      </c>
      <c r="Q2335" s="93" t="s">
        <v>864</v>
      </c>
      <c r="AF2335" s="1"/>
      <c r="AG2335" s="1"/>
    </row>
    <row r="2336" ht="15.75" customHeight="1">
      <c r="A2336" s="1"/>
      <c r="B2336" s="1"/>
      <c r="C2336" s="1"/>
      <c r="D2336" s="1"/>
      <c r="E2336" s="1"/>
      <c r="F2336" s="1"/>
      <c r="G2336" s="1"/>
      <c r="H2336" s="1"/>
      <c r="I2336" s="1"/>
      <c r="J2336" s="1"/>
      <c r="K2336" s="93" t="s">
        <v>3641</v>
      </c>
      <c r="L2336" t="str">
        <f>G95</f>
        <v>C1b1a1b</v>
      </c>
      <c r="M2336" s="93" t="s">
        <v>3642</v>
      </c>
      <c r="N2336" s="103"/>
      <c r="O2336" s="101">
        <v>1.4433118E7</v>
      </c>
      <c r="P2336" s="98">
        <v>1.2312391E7</v>
      </c>
      <c r="Q2336" s="93" t="s">
        <v>813</v>
      </c>
      <c r="AF2336" s="1"/>
      <c r="AG2336" s="1"/>
    </row>
    <row r="2337" ht="15.75" customHeight="1">
      <c r="A2337" s="1"/>
      <c r="B2337" s="1"/>
      <c r="C2337" s="1"/>
      <c r="D2337" s="1"/>
      <c r="E2337" s="1"/>
      <c r="F2337" s="1"/>
      <c r="G2337" s="1"/>
      <c r="H2337" s="1"/>
      <c r="I2337" s="1"/>
      <c r="J2337" s="1"/>
      <c r="K2337" s="93" t="s">
        <v>3642</v>
      </c>
      <c r="L2337" t="str">
        <f>G95</f>
        <v>C1b1a1b</v>
      </c>
      <c r="M2337" s="93" t="s">
        <v>3641</v>
      </c>
      <c r="N2337" s="105"/>
      <c r="O2337" s="101">
        <v>1.4433118E7</v>
      </c>
      <c r="P2337" s="98">
        <v>1.2312391E7</v>
      </c>
      <c r="Q2337" s="93" t="s">
        <v>813</v>
      </c>
      <c r="AF2337" s="1"/>
      <c r="AG2337" s="1"/>
    </row>
    <row r="2338" ht="15.75" customHeight="1">
      <c r="A2338" s="1"/>
      <c r="B2338" s="1"/>
      <c r="C2338" s="1"/>
      <c r="D2338" s="1"/>
      <c r="E2338" s="1"/>
      <c r="F2338" s="1"/>
      <c r="G2338" s="1"/>
      <c r="H2338" s="1"/>
      <c r="I2338" s="1"/>
      <c r="J2338" s="1"/>
      <c r="K2338" s="93" t="s">
        <v>3643</v>
      </c>
      <c r="L2338" t="str">
        <f>G95</f>
        <v>C1b1a1b</v>
      </c>
      <c r="M2338" s="93" t="s">
        <v>3644</v>
      </c>
      <c r="N2338" s="105" t="s">
        <v>3645</v>
      </c>
      <c r="O2338" s="101">
        <v>9123281.0</v>
      </c>
      <c r="P2338" s="98">
        <v>9285672.0</v>
      </c>
      <c r="Q2338" s="93" t="s">
        <v>802</v>
      </c>
      <c r="AF2338" s="1"/>
      <c r="AG2338" s="1"/>
    </row>
    <row r="2339" ht="15.75" customHeight="1">
      <c r="A2339" s="1"/>
      <c r="B2339" s="1"/>
      <c r="C2339" s="1"/>
      <c r="D2339" s="1"/>
      <c r="E2339" s="1"/>
      <c r="F2339" s="1"/>
      <c r="G2339" s="1"/>
      <c r="H2339" s="1"/>
      <c r="I2339" s="1"/>
      <c r="J2339" s="1"/>
      <c r="K2339" s="93" t="s">
        <v>3644</v>
      </c>
      <c r="L2339" t="str">
        <f>G95</f>
        <v>C1b1a1b</v>
      </c>
      <c r="M2339" s="93" t="s">
        <v>3643</v>
      </c>
      <c r="N2339" s="105" t="s">
        <v>3645</v>
      </c>
      <c r="O2339" s="101">
        <v>9123281.0</v>
      </c>
      <c r="P2339" s="98">
        <v>9285672.0</v>
      </c>
      <c r="Q2339" s="93" t="s">
        <v>802</v>
      </c>
      <c r="AF2339" s="1"/>
      <c r="AG2339" s="1"/>
    </row>
    <row r="2340" ht="15.75" customHeight="1">
      <c r="A2340" s="1"/>
      <c r="B2340" s="1"/>
      <c r="C2340" s="1"/>
      <c r="D2340" s="1"/>
      <c r="E2340" s="1"/>
      <c r="F2340" s="1"/>
      <c r="G2340" s="1"/>
      <c r="H2340" s="1"/>
      <c r="I2340" s="1"/>
      <c r="J2340" s="1"/>
      <c r="K2340" s="93" t="s">
        <v>3646</v>
      </c>
      <c r="L2340" t="str">
        <f>G95</f>
        <v>C1b1a1b</v>
      </c>
      <c r="M2340" s="93" t="s">
        <v>3647</v>
      </c>
      <c r="N2340" s="104" t="s">
        <v>3648</v>
      </c>
      <c r="O2340" s="101">
        <v>8405514.0</v>
      </c>
      <c r="P2340" s="98">
        <v>8537473.0</v>
      </c>
      <c r="Q2340" s="93" t="s">
        <v>802</v>
      </c>
      <c r="AF2340" s="1"/>
      <c r="AG2340" s="1"/>
    </row>
    <row r="2341" ht="15.75" customHeight="1">
      <c r="A2341" s="1"/>
      <c r="B2341" s="1"/>
      <c r="C2341" s="1"/>
      <c r="D2341" s="1"/>
      <c r="E2341" s="1"/>
      <c r="F2341" s="1"/>
      <c r="G2341" s="1"/>
      <c r="H2341" s="1"/>
      <c r="I2341" s="1"/>
      <c r="J2341" s="1"/>
      <c r="K2341" s="93" t="s">
        <v>3647</v>
      </c>
      <c r="L2341" t="str">
        <f>G95</f>
        <v>C1b1a1b</v>
      </c>
      <c r="M2341" s="93" t="s">
        <v>3646</v>
      </c>
      <c r="N2341" s="104" t="s">
        <v>3648</v>
      </c>
      <c r="O2341" s="101">
        <v>8405514.0</v>
      </c>
      <c r="P2341" s="98">
        <v>8537473.0</v>
      </c>
      <c r="Q2341" s="93" t="s">
        <v>802</v>
      </c>
      <c r="AF2341" s="1"/>
      <c r="AG2341" s="1"/>
    </row>
    <row r="2342" ht="15.75" customHeight="1">
      <c r="A2342" s="1"/>
      <c r="B2342" s="1"/>
      <c r="C2342" s="1"/>
      <c r="D2342" s="1"/>
      <c r="E2342" s="1"/>
      <c r="F2342" s="1"/>
      <c r="G2342" s="1"/>
      <c r="H2342" s="1"/>
      <c r="I2342" s="1"/>
      <c r="J2342" s="1"/>
      <c r="K2342" s="93" t="s">
        <v>3649</v>
      </c>
      <c r="L2342" t="str">
        <f>G95</f>
        <v>C1b1a1b</v>
      </c>
      <c r="M2342" s="93" t="s">
        <v>3650</v>
      </c>
      <c r="N2342" s="105" t="s">
        <v>3651</v>
      </c>
      <c r="O2342" s="101">
        <v>8183405.0</v>
      </c>
      <c r="P2342" s="98">
        <v>8315364.0</v>
      </c>
      <c r="Q2342" s="93" t="s">
        <v>802</v>
      </c>
      <c r="AF2342" s="1"/>
      <c r="AG2342" s="1"/>
    </row>
    <row r="2343" ht="15.75" customHeight="1">
      <c r="A2343" s="1"/>
      <c r="B2343" s="1"/>
      <c r="C2343" s="1"/>
      <c r="D2343" s="1"/>
      <c r="E2343" s="1"/>
      <c r="F2343" s="1"/>
      <c r="G2343" s="1"/>
      <c r="H2343" s="1"/>
      <c r="I2343" s="1"/>
      <c r="J2343" s="1"/>
      <c r="K2343" s="93" t="s">
        <v>3650</v>
      </c>
      <c r="L2343" t="str">
        <f>G95</f>
        <v>C1b1a1b</v>
      </c>
      <c r="M2343" s="93" t="s">
        <v>3649</v>
      </c>
      <c r="N2343" s="105" t="s">
        <v>3651</v>
      </c>
      <c r="O2343" s="101">
        <v>8183405.0</v>
      </c>
      <c r="P2343" s="98">
        <v>8315364.0</v>
      </c>
      <c r="Q2343" s="93" t="s">
        <v>802</v>
      </c>
      <c r="AF2343" s="1"/>
      <c r="AG2343" s="1"/>
    </row>
    <row r="2344" ht="15.75" customHeight="1">
      <c r="A2344" s="1"/>
      <c r="B2344" s="1"/>
      <c r="C2344" s="1"/>
      <c r="D2344" s="1"/>
      <c r="E2344" s="1"/>
      <c r="F2344" s="1"/>
      <c r="G2344" s="1"/>
      <c r="H2344" s="1"/>
      <c r="I2344" s="1"/>
      <c r="J2344" s="1"/>
      <c r="K2344" s="93" t="s">
        <v>3652</v>
      </c>
      <c r="L2344" t="str">
        <f>G95</f>
        <v>C1b1a1b</v>
      </c>
      <c r="M2344" s="93" t="s">
        <v>3653</v>
      </c>
      <c r="N2344" s="105" t="s">
        <v>3654</v>
      </c>
      <c r="O2344" s="101">
        <v>7780351.0</v>
      </c>
      <c r="P2344" s="98">
        <v>7912310.0</v>
      </c>
      <c r="Q2344" s="93" t="s">
        <v>912</v>
      </c>
      <c r="AF2344" s="1"/>
      <c r="AG2344" s="1"/>
    </row>
    <row r="2345" ht="15.75" customHeight="1">
      <c r="A2345" s="1"/>
      <c r="B2345" s="1"/>
      <c r="C2345" s="1"/>
      <c r="D2345" s="1"/>
      <c r="E2345" s="1"/>
      <c r="F2345" s="1"/>
      <c r="G2345" s="1"/>
      <c r="H2345" s="1"/>
      <c r="I2345" s="1"/>
      <c r="J2345" s="1"/>
      <c r="K2345" s="93" t="s">
        <v>3653</v>
      </c>
      <c r="L2345" t="str">
        <f>G95</f>
        <v>C1b1a1b</v>
      </c>
      <c r="M2345" s="93" t="s">
        <v>3652</v>
      </c>
      <c r="N2345" s="105" t="s">
        <v>3654</v>
      </c>
      <c r="O2345" s="101">
        <v>7780351.0</v>
      </c>
      <c r="P2345" s="98">
        <v>7912310.0</v>
      </c>
      <c r="Q2345" s="93" t="s">
        <v>912</v>
      </c>
      <c r="AF2345" s="1"/>
      <c r="AG2345" s="1"/>
    </row>
    <row r="2346" ht="15.75" customHeight="1">
      <c r="A2346" s="1"/>
      <c r="B2346" s="1"/>
      <c r="C2346" s="1"/>
      <c r="D2346" s="1"/>
      <c r="E2346" s="1"/>
      <c r="F2346" s="1"/>
      <c r="G2346" s="1"/>
      <c r="H2346" s="1"/>
      <c r="I2346" s="1"/>
      <c r="J2346" s="1"/>
      <c r="K2346" s="93" t="s">
        <v>3655</v>
      </c>
      <c r="L2346" t="str">
        <f>G95</f>
        <v>C1b1a1b</v>
      </c>
      <c r="M2346" s="93" t="s">
        <v>3656</v>
      </c>
      <c r="N2346" s="105" t="s">
        <v>3657</v>
      </c>
      <c r="O2346" s="101">
        <v>7697375.0</v>
      </c>
      <c r="P2346" s="98">
        <v>7829334.0</v>
      </c>
      <c r="Q2346" s="93" t="s">
        <v>802</v>
      </c>
      <c r="AF2346" s="1"/>
      <c r="AG2346" s="1"/>
    </row>
    <row r="2347" ht="15.75" customHeight="1">
      <c r="A2347" s="1"/>
      <c r="B2347" s="1"/>
      <c r="C2347" s="1"/>
      <c r="D2347" s="1"/>
      <c r="E2347" s="1"/>
      <c r="F2347" s="1"/>
      <c r="G2347" s="1"/>
      <c r="H2347" s="1"/>
      <c r="I2347" s="1"/>
      <c r="J2347" s="1"/>
      <c r="K2347" s="93" t="s">
        <v>3656</v>
      </c>
      <c r="L2347" t="str">
        <f>G95</f>
        <v>C1b1a1b</v>
      </c>
      <c r="M2347" s="93" t="s">
        <v>3655</v>
      </c>
      <c r="N2347" s="105" t="s">
        <v>3657</v>
      </c>
      <c r="O2347" s="101">
        <v>7697375.0</v>
      </c>
      <c r="P2347" s="98">
        <v>7829334.0</v>
      </c>
      <c r="Q2347" s="93" t="s">
        <v>802</v>
      </c>
      <c r="AF2347" s="1"/>
      <c r="AG2347" s="1"/>
    </row>
    <row r="2348" ht="15.75" customHeight="1">
      <c r="A2348" s="1"/>
      <c r="B2348" s="1"/>
      <c r="C2348" s="1"/>
      <c r="D2348" s="1"/>
      <c r="E2348" s="1"/>
      <c r="F2348" s="1"/>
      <c r="G2348" s="1"/>
      <c r="H2348" s="1"/>
      <c r="I2348" s="1"/>
      <c r="J2348" s="1"/>
      <c r="K2348" s="93" t="s">
        <v>3658</v>
      </c>
      <c r="L2348" t="str">
        <f>G95</f>
        <v>C1b1a1b</v>
      </c>
      <c r="M2348" s="93" t="s">
        <v>3659</v>
      </c>
      <c r="N2348" s="105" t="s">
        <v>3660</v>
      </c>
      <c r="O2348" s="101">
        <v>7383185.0</v>
      </c>
      <c r="P2348" s="98">
        <v>7515144.0</v>
      </c>
      <c r="Q2348" s="93" t="s">
        <v>810</v>
      </c>
      <c r="AF2348" s="1"/>
      <c r="AG2348" s="1"/>
    </row>
    <row r="2349" ht="15.75" customHeight="1">
      <c r="A2349" s="1"/>
      <c r="B2349" s="1"/>
      <c r="C2349" s="1"/>
      <c r="D2349" s="1"/>
      <c r="E2349" s="1"/>
      <c r="F2349" s="1"/>
      <c r="G2349" s="1"/>
      <c r="H2349" s="1"/>
      <c r="I2349" s="1"/>
      <c r="J2349" s="1"/>
      <c r="K2349" s="93" t="s">
        <v>3659</v>
      </c>
      <c r="L2349" t="str">
        <f>G95</f>
        <v>C1b1a1b</v>
      </c>
      <c r="M2349" s="93" t="s">
        <v>3658</v>
      </c>
      <c r="N2349" s="105" t="s">
        <v>3660</v>
      </c>
      <c r="O2349" s="101">
        <v>7383185.0</v>
      </c>
      <c r="P2349" s="98">
        <v>7515144.0</v>
      </c>
      <c r="Q2349" s="93" t="s">
        <v>810</v>
      </c>
      <c r="AF2349" s="1"/>
      <c r="AG2349" s="1"/>
    </row>
    <row r="2350" ht="15.75" customHeight="1">
      <c r="A2350" s="1"/>
      <c r="B2350" s="1"/>
      <c r="C2350" s="1"/>
      <c r="D2350" s="1"/>
      <c r="E2350" s="1"/>
      <c r="F2350" s="1"/>
      <c r="G2350" s="1"/>
      <c r="H2350" s="1"/>
      <c r="I2350" s="1"/>
      <c r="J2350" s="1"/>
      <c r="K2350" s="93" t="s">
        <v>3661</v>
      </c>
      <c r="L2350" t="str">
        <f>G95</f>
        <v>C1b1a1b</v>
      </c>
      <c r="M2350" s="93" t="s">
        <v>3662</v>
      </c>
      <c r="N2350" s="104" t="s">
        <v>3663</v>
      </c>
      <c r="O2350" s="101">
        <v>7161375.0</v>
      </c>
      <c r="P2350" s="98">
        <v>7293334.0</v>
      </c>
      <c r="Q2350" s="93" t="s">
        <v>810</v>
      </c>
      <c r="AF2350" s="1"/>
      <c r="AG2350" s="1"/>
    </row>
    <row r="2351" ht="15.75" customHeight="1">
      <c r="A2351" s="1"/>
      <c r="B2351" s="1"/>
      <c r="C2351" s="1"/>
      <c r="D2351" s="1"/>
      <c r="E2351" s="1"/>
      <c r="F2351" s="1"/>
      <c r="G2351" s="1"/>
      <c r="H2351" s="1"/>
      <c r="I2351" s="1"/>
      <c r="J2351" s="1"/>
      <c r="K2351" s="93" t="s">
        <v>3662</v>
      </c>
      <c r="L2351" t="str">
        <f>G95</f>
        <v>C1b1a1b</v>
      </c>
      <c r="M2351" s="93" t="s">
        <v>3661</v>
      </c>
      <c r="N2351" s="104" t="s">
        <v>3663</v>
      </c>
      <c r="O2351" s="101">
        <v>7161375.0</v>
      </c>
      <c r="P2351" s="98">
        <v>7293334.0</v>
      </c>
      <c r="Q2351" s="93" t="s">
        <v>810</v>
      </c>
      <c r="AF2351" s="1"/>
      <c r="AG2351" s="1"/>
    </row>
    <row r="2352" ht="15.75" customHeight="1">
      <c r="A2352" s="1"/>
      <c r="B2352" s="1"/>
      <c r="C2352" s="1"/>
      <c r="D2352" s="1"/>
      <c r="E2352" s="1"/>
      <c r="F2352" s="1"/>
      <c r="G2352" s="1"/>
      <c r="H2352" s="1"/>
      <c r="I2352" s="1"/>
      <c r="J2352" s="1"/>
      <c r="K2352" s="93" t="s">
        <v>3664</v>
      </c>
      <c r="L2352" t="str">
        <f>G95</f>
        <v>C1b1a1b</v>
      </c>
      <c r="M2352" s="93" t="s">
        <v>3665</v>
      </c>
      <c r="N2352" s="102" t="s">
        <v>3666</v>
      </c>
      <c r="O2352" s="101">
        <v>7153097.0</v>
      </c>
      <c r="P2352" s="98">
        <v>7285056.0</v>
      </c>
      <c r="Q2352" s="93" t="s">
        <v>838</v>
      </c>
      <c r="AF2352" s="1"/>
      <c r="AG2352" s="1"/>
    </row>
    <row r="2353" ht="15.75" customHeight="1">
      <c r="A2353" s="1"/>
      <c r="B2353" s="1"/>
      <c r="C2353" s="1"/>
      <c r="D2353" s="1"/>
      <c r="E2353" s="1"/>
      <c r="F2353" s="1"/>
      <c r="G2353" s="1"/>
      <c r="H2353" s="1"/>
      <c r="I2353" s="1"/>
      <c r="J2353" s="1"/>
      <c r="K2353" s="93" t="s">
        <v>3665</v>
      </c>
      <c r="L2353" t="str">
        <f>G95</f>
        <v>C1b1a1b</v>
      </c>
      <c r="M2353" s="93" t="s">
        <v>3664</v>
      </c>
      <c r="N2353" s="102" t="s">
        <v>3666</v>
      </c>
      <c r="O2353" s="101">
        <v>7153097.0</v>
      </c>
      <c r="P2353" s="98">
        <v>7285056.0</v>
      </c>
      <c r="Q2353" s="93" t="s">
        <v>838</v>
      </c>
      <c r="AF2353" s="1"/>
      <c r="AG2353" s="1"/>
    </row>
    <row r="2354" ht="15.75" customHeight="1">
      <c r="A2354" s="1"/>
      <c r="B2354" s="1"/>
      <c r="C2354" s="1"/>
      <c r="D2354" s="1"/>
      <c r="E2354" s="1"/>
      <c r="F2354" s="1"/>
      <c r="G2354" s="1"/>
      <c r="H2354" s="1"/>
      <c r="I2354" s="1"/>
      <c r="J2354" s="1"/>
      <c r="K2354" s="93" t="s">
        <v>3667</v>
      </c>
      <c r="L2354" t="str">
        <f>G95</f>
        <v>C1b1a1b</v>
      </c>
      <c r="M2354" s="93" t="s">
        <v>3668</v>
      </c>
      <c r="N2354" s="105" t="s">
        <v>3669</v>
      </c>
      <c r="O2354" s="101">
        <v>8139724.0</v>
      </c>
      <c r="P2354" s="98">
        <v>8271683.0</v>
      </c>
      <c r="Q2354" s="93" t="s">
        <v>810</v>
      </c>
      <c r="AF2354" s="1"/>
      <c r="AG2354" s="1"/>
    </row>
    <row r="2355" ht="15.75" customHeight="1">
      <c r="A2355" s="1"/>
      <c r="B2355" s="1"/>
      <c r="C2355" s="1"/>
      <c r="D2355" s="1"/>
      <c r="E2355" s="1"/>
      <c r="F2355" s="1"/>
      <c r="G2355" s="1"/>
      <c r="H2355" s="1"/>
      <c r="I2355" s="1"/>
      <c r="J2355" s="1"/>
      <c r="K2355" s="93" t="s">
        <v>3668</v>
      </c>
      <c r="L2355" t="str">
        <f>G95</f>
        <v>C1b1a1b</v>
      </c>
      <c r="M2355" s="93" t="s">
        <v>3667</v>
      </c>
      <c r="N2355" s="105" t="s">
        <v>3669</v>
      </c>
      <c r="O2355" s="101">
        <v>8139724.0</v>
      </c>
      <c r="P2355" s="98">
        <v>8271683.0</v>
      </c>
      <c r="Q2355" s="93" t="s">
        <v>810</v>
      </c>
      <c r="AF2355" s="1"/>
      <c r="AG2355" s="1"/>
    </row>
    <row r="2356" ht="15.75" customHeight="1">
      <c r="A2356" s="1"/>
      <c r="B2356" s="1"/>
      <c r="C2356" s="1"/>
      <c r="D2356" s="1"/>
      <c r="E2356" s="1"/>
      <c r="F2356" s="1"/>
      <c r="G2356" s="1"/>
      <c r="H2356" s="1"/>
      <c r="I2356" s="1"/>
      <c r="J2356" s="1"/>
      <c r="K2356" s="93" t="s">
        <v>3670</v>
      </c>
      <c r="L2356" t="str">
        <f>G95</f>
        <v>C1b1a1b</v>
      </c>
      <c r="M2356" s="89"/>
      <c r="N2356" s="102" t="s">
        <v>3671</v>
      </c>
      <c r="O2356" s="101">
        <v>1.9381877E7</v>
      </c>
      <c r="P2356" s="98">
        <v>1.7269997E7</v>
      </c>
      <c r="Q2356" s="93" t="s">
        <v>810</v>
      </c>
      <c r="AF2356" s="1"/>
      <c r="AG2356" s="1"/>
    </row>
    <row r="2357" ht="15.75" customHeight="1">
      <c r="A2357" s="1"/>
      <c r="B2357" s="1"/>
      <c r="C2357" s="1"/>
      <c r="D2357" s="1"/>
      <c r="E2357" s="1"/>
      <c r="F2357" s="1"/>
      <c r="G2357" s="1"/>
      <c r="H2357" s="1"/>
      <c r="I2357" s="1"/>
      <c r="J2357" s="1"/>
      <c r="K2357" s="93" t="s">
        <v>3672</v>
      </c>
      <c r="L2357" t="str">
        <f>G95</f>
        <v>C1b1a1b</v>
      </c>
      <c r="M2357" s="89"/>
      <c r="N2357" s="102" t="s">
        <v>3673</v>
      </c>
      <c r="O2357" s="101">
        <v>6742864.0</v>
      </c>
      <c r="P2357" s="98">
        <v>6874823.0</v>
      </c>
      <c r="Q2357" s="93" t="s">
        <v>810</v>
      </c>
      <c r="AF2357" s="1"/>
      <c r="AG2357" s="1"/>
    </row>
    <row r="2358" ht="15.75" customHeight="1">
      <c r="A2358" s="1"/>
      <c r="B2358" s="1"/>
      <c r="C2358" s="1"/>
      <c r="D2358" s="1"/>
      <c r="E2358" s="1"/>
      <c r="F2358" s="1"/>
      <c r="G2358" s="1"/>
      <c r="H2358" s="1"/>
      <c r="I2358" s="1"/>
      <c r="J2358" s="1"/>
      <c r="K2358" s="93" t="s">
        <v>3674</v>
      </c>
      <c r="L2358" t="str">
        <f>G95</f>
        <v>C1b1a1b</v>
      </c>
      <c r="M2358" s="89"/>
      <c r="N2358" s="103"/>
      <c r="O2358" s="101">
        <v>2.0064267E7</v>
      </c>
      <c r="P2358" s="98">
        <v>1.7952387E7</v>
      </c>
      <c r="Q2358" s="93" t="s">
        <v>802</v>
      </c>
      <c r="AF2358" s="1"/>
      <c r="AG2358" s="1"/>
    </row>
    <row r="2359" ht="15.75" customHeight="1">
      <c r="A2359" s="1"/>
      <c r="B2359" s="1"/>
      <c r="C2359" s="1"/>
      <c r="D2359" s="1"/>
      <c r="E2359" s="1"/>
      <c r="F2359" s="1"/>
      <c r="G2359" s="1"/>
      <c r="H2359" s="1"/>
      <c r="I2359" s="1"/>
      <c r="J2359" s="94"/>
      <c r="K2359" s="93" t="s">
        <v>3675</v>
      </c>
      <c r="L2359" t="str">
        <f t="shared" ref="L2359:L2360" si="17">G95</f>
        <v>C1b1a1b</v>
      </c>
      <c r="M2359" s="89"/>
      <c r="N2359" s="103"/>
      <c r="O2359" s="101">
        <v>1.0006136E7</v>
      </c>
      <c r="P2359" s="98">
        <v>1.0168527E7</v>
      </c>
      <c r="Q2359" s="93" t="s">
        <v>802</v>
      </c>
      <c r="AF2359" s="1"/>
      <c r="AG2359" s="1"/>
    </row>
    <row r="2360" ht="15.75" customHeight="1">
      <c r="A2360" s="1"/>
      <c r="B2360" s="1"/>
      <c r="C2360" s="1"/>
      <c r="D2360" s="1"/>
      <c r="E2360" s="1"/>
      <c r="F2360" s="1"/>
      <c r="G2360" s="1"/>
      <c r="H2360" s="1"/>
      <c r="I2360" s="1"/>
      <c r="J2360" s="1"/>
      <c r="K2360" s="93" t="s">
        <v>3676</v>
      </c>
      <c r="L2360" s="89" t="str">
        <f t="shared" si="17"/>
        <v>C1b1a1b~</v>
      </c>
      <c r="M2360" s="93" t="s">
        <v>3677</v>
      </c>
      <c r="N2360" s="102" t="s">
        <v>3678</v>
      </c>
      <c r="O2360" s="101">
        <v>6918746.0</v>
      </c>
      <c r="P2360" s="98">
        <v>7050705.0</v>
      </c>
      <c r="Q2360" s="93" t="s">
        <v>864</v>
      </c>
      <c r="AF2360" s="1"/>
      <c r="AG2360" s="1"/>
    </row>
    <row r="2361" ht="15.75" customHeight="1">
      <c r="A2361" s="1"/>
      <c r="B2361" s="1"/>
      <c r="C2361" s="1"/>
      <c r="D2361" s="1"/>
      <c r="E2361" s="1"/>
      <c r="F2361" s="1"/>
      <c r="G2361" s="1"/>
      <c r="H2361" s="1"/>
      <c r="I2361" s="1"/>
      <c r="J2361" s="94"/>
      <c r="K2361" s="93" t="s">
        <v>3677</v>
      </c>
      <c r="L2361" s="89" t="str">
        <f>G96</f>
        <v>C1b1a1b~</v>
      </c>
      <c r="M2361" s="93" t="s">
        <v>3676</v>
      </c>
      <c r="N2361" s="102" t="s">
        <v>3678</v>
      </c>
      <c r="O2361" s="101">
        <v>6918746.0</v>
      </c>
      <c r="P2361" s="98">
        <v>7050705.0</v>
      </c>
      <c r="Q2361" s="93" t="s">
        <v>864</v>
      </c>
      <c r="AF2361" s="1"/>
      <c r="AG2361" s="1"/>
    </row>
    <row r="2362" ht="15.75" customHeight="1">
      <c r="A2362" s="1"/>
      <c r="B2362" s="1"/>
      <c r="C2362" s="1"/>
      <c r="D2362" s="1"/>
      <c r="E2362" s="1"/>
      <c r="F2362" s="1"/>
      <c r="G2362" s="1"/>
      <c r="H2362" s="1"/>
      <c r="I2362" s="1"/>
      <c r="J2362" s="94" t="s">
        <v>23</v>
      </c>
      <c r="K2362" s="93" t="s">
        <v>3679</v>
      </c>
      <c r="L2362" s="89" t="str">
        <f>G96</f>
        <v>C1b1a1b~</v>
      </c>
      <c r="M2362" s="89"/>
      <c r="N2362" s="103"/>
      <c r="O2362" s="101">
        <v>1.8643232E7</v>
      </c>
      <c r="P2362" s="98">
        <v>1.6531352E7</v>
      </c>
      <c r="Q2362" s="93" t="s">
        <v>802</v>
      </c>
      <c r="AF2362" s="1"/>
      <c r="AG2362" s="1"/>
    </row>
    <row r="2363" ht="15.75" customHeight="1">
      <c r="A2363" s="1"/>
      <c r="B2363" s="1"/>
      <c r="C2363" s="1"/>
      <c r="D2363" s="1"/>
      <c r="E2363" s="1"/>
      <c r="F2363" s="1"/>
      <c r="G2363" s="1"/>
      <c r="H2363" s="1"/>
      <c r="I2363" s="1"/>
      <c r="J2363" s="1"/>
      <c r="K2363" s="93" t="s">
        <v>3680</v>
      </c>
      <c r="L2363" s="89" t="str">
        <f>H97</f>
        <v>C1b1a1b1</v>
      </c>
      <c r="M2363" s="89"/>
      <c r="N2363" s="89"/>
      <c r="O2363" s="101">
        <v>1.4296217E7</v>
      </c>
      <c r="P2363" s="98">
        <v>1.2175511E7</v>
      </c>
      <c r="Q2363" s="93" t="s">
        <v>810</v>
      </c>
      <c r="AF2363" s="1"/>
      <c r="AG2363" s="1"/>
    </row>
    <row r="2364" ht="15.75" customHeight="1">
      <c r="A2364" s="1"/>
      <c r="B2364" s="1"/>
      <c r="C2364" s="1"/>
      <c r="D2364" s="1"/>
      <c r="E2364" s="1"/>
      <c r="F2364" s="1"/>
      <c r="G2364" s="1"/>
      <c r="H2364" s="1"/>
      <c r="I2364" s="1"/>
      <c r="J2364" s="1"/>
      <c r="K2364" s="89" t="s">
        <v>3681</v>
      </c>
      <c r="L2364" s="89" t="str">
        <f>H97</f>
        <v>C1b1a1b1</v>
      </c>
      <c r="M2364" s="89"/>
      <c r="N2364" s="89" t="s">
        <v>3682</v>
      </c>
      <c r="O2364" s="92">
        <v>7158852.0</v>
      </c>
      <c r="P2364" s="92">
        <v>7290811.0</v>
      </c>
      <c r="Q2364" s="89" t="s">
        <v>810</v>
      </c>
      <c r="AF2364" s="1"/>
      <c r="AG2364" s="1"/>
    </row>
    <row r="2365" ht="15.75" customHeight="1">
      <c r="A2365" s="1"/>
      <c r="B2365" s="1"/>
      <c r="C2365" s="1"/>
      <c r="D2365" s="1"/>
      <c r="E2365" s="1"/>
      <c r="F2365" s="1"/>
      <c r="G2365" s="1"/>
      <c r="H2365" s="1"/>
      <c r="I2365" s="1"/>
      <c r="J2365" s="1"/>
      <c r="K2365" s="89" t="s">
        <v>3683</v>
      </c>
      <c r="L2365" s="89" t="str">
        <f>H97</f>
        <v>C1b1a1b1</v>
      </c>
      <c r="M2365" s="89"/>
      <c r="N2365" s="89" t="s">
        <v>3684</v>
      </c>
      <c r="O2365" s="92">
        <v>7361231.0</v>
      </c>
      <c r="P2365" s="92">
        <v>7493190.0</v>
      </c>
      <c r="Q2365" s="89" t="s">
        <v>810</v>
      </c>
      <c r="AF2365" s="1"/>
      <c r="AG2365" s="1"/>
    </row>
    <row r="2366" ht="15.75" customHeight="1">
      <c r="A2366" s="1"/>
      <c r="B2366" s="1"/>
      <c r="C2366" s="1"/>
      <c r="D2366" s="1"/>
      <c r="E2366" s="1"/>
      <c r="F2366" s="1"/>
      <c r="G2366" s="1"/>
      <c r="H2366" s="1"/>
      <c r="I2366" s="1"/>
      <c r="J2366" s="1"/>
      <c r="K2366" s="89" t="s">
        <v>3685</v>
      </c>
      <c r="L2366" s="89" t="str">
        <f>H97</f>
        <v>C1b1a1b1</v>
      </c>
      <c r="M2366" s="89"/>
      <c r="N2366" s="89" t="s">
        <v>3686</v>
      </c>
      <c r="O2366" s="92">
        <v>1.5382329E7</v>
      </c>
      <c r="P2366" s="92">
        <v>1.3270449E7</v>
      </c>
      <c r="Q2366" s="89" t="s">
        <v>838</v>
      </c>
      <c r="AF2366" s="1"/>
      <c r="AG2366" s="1"/>
    </row>
    <row r="2367" ht="15.75" customHeight="1">
      <c r="A2367" s="1"/>
      <c r="B2367" s="1"/>
      <c r="C2367" s="1"/>
      <c r="D2367" s="1"/>
      <c r="E2367" s="1"/>
      <c r="F2367" s="1"/>
      <c r="G2367" s="1"/>
      <c r="H2367" s="1"/>
      <c r="I2367" s="1"/>
      <c r="J2367" s="1"/>
      <c r="K2367" s="93" t="s">
        <v>3687</v>
      </c>
      <c r="L2367" s="89" t="str">
        <f>H97</f>
        <v>C1b1a1b1</v>
      </c>
      <c r="M2367" s="89"/>
      <c r="N2367" s="106" t="s">
        <v>3688</v>
      </c>
      <c r="O2367" s="101">
        <v>1.6792547E7</v>
      </c>
      <c r="P2367" s="98">
        <v>1.4680667E7</v>
      </c>
      <c r="Q2367" s="93" t="s">
        <v>802</v>
      </c>
      <c r="AF2367" s="1"/>
      <c r="AG2367" s="1"/>
    </row>
    <row r="2368" ht="15.75" customHeight="1">
      <c r="A2368" s="1"/>
      <c r="B2368" s="1"/>
      <c r="C2368" s="1"/>
      <c r="D2368" s="1"/>
      <c r="E2368" s="1"/>
      <c r="F2368" s="1"/>
      <c r="G2368" s="1"/>
      <c r="H2368" s="1"/>
      <c r="I2368" s="1"/>
      <c r="J2368" s="1"/>
      <c r="K2368" s="93" t="s">
        <v>3689</v>
      </c>
      <c r="L2368" s="89" t="str">
        <f>H97</f>
        <v>C1b1a1b1</v>
      </c>
      <c r="M2368" s="89"/>
      <c r="N2368" s="89" t="s">
        <v>3690</v>
      </c>
      <c r="O2368" s="89">
        <v>1.8896942E7</v>
      </c>
      <c r="P2368" s="89">
        <v>1.6785062E7</v>
      </c>
      <c r="Q2368" s="89" t="s">
        <v>838</v>
      </c>
      <c r="AF2368" s="1"/>
      <c r="AG2368" s="1"/>
    </row>
    <row r="2369" ht="15.75" customHeight="1">
      <c r="A2369" s="1"/>
      <c r="B2369" s="1"/>
      <c r="C2369" s="1"/>
      <c r="D2369" s="1"/>
      <c r="E2369" s="1"/>
      <c r="F2369" s="1"/>
      <c r="G2369" s="1"/>
      <c r="H2369" s="1"/>
      <c r="I2369" s="1"/>
      <c r="J2369" s="1"/>
      <c r="K2369" s="89" t="s">
        <v>3691</v>
      </c>
      <c r="L2369" s="89" t="str">
        <f>H97</f>
        <v>C1b1a1b1</v>
      </c>
      <c r="M2369" s="89"/>
      <c r="N2369" s="89" t="s">
        <v>3692</v>
      </c>
      <c r="O2369" s="92">
        <v>1.9347301E7</v>
      </c>
      <c r="P2369" s="92">
        <v>1.7235421E7</v>
      </c>
      <c r="Q2369" s="89" t="s">
        <v>838</v>
      </c>
      <c r="AF2369" s="1"/>
      <c r="AG2369" s="1"/>
    </row>
    <row r="2370" ht="15.75" customHeight="1">
      <c r="A2370" s="1"/>
      <c r="B2370" s="1"/>
      <c r="C2370" s="1"/>
      <c r="D2370" s="1"/>
      <c r="E2370" s="1"/>
      <c r="F2370" s="1"/>
      <c r="G2370" s="1"/>
      <c r="H2370" s="1"/>
      <c r="I2370" s="1"/>
      <c r="J2370" s="94"/>
      <c r="K2370" s="89" t="s">
        <v>3693</v>
      </c>
      <c r="L2370" s="89" t="str">
        <f>H97</f>
        <v>C1b1a1b1</v>
      </c>
      <c r="M2370" s="89"/>
      <c r="N2370" s="89" t="s">
        <v>3694</v>
      </c>
      <c r="O2370" s="89">
        <v>2.1342768E7</v>
      </c>
      <c r="P2370" s="89">
        <v>1.9180882E7</v>
      </c>
      <c r="Q2370" s="89" t="s">
        <v>886</v>
      </c>
      <c r="AF2370" s="1"/>
      <c r="AG2370" s="1"/>
    </row>
    <row r="2371" ht="15.75" customHeight="1">
      <c r="A2371" s="1"/>
      <c r="B2371" s="1"/>
      <c r="C2371" s="1"/>
      <c r="D2371" s="1"/>
      <c r="E2371" s="1"/>
      <c r="F2371" s="1"/>
      <c r="G2371" s="1"/>
      <c r="H2371" s="1"/>
      <c r="I2371" s="1"/>
      <c r="J2371" s="94" t="s">
        <v>23</v>
      </c>
      <c r="K2371" s="89" t="s">
        <v>3695</v>
      </c>
      <c r="L2371" s="89" t="str">
        <f>H97</f>
        <v>C1b1a1b1</v>
      </c>
      <c r="M2371" s="89"/>
      <c r="N2371" s="89" t="s">
        <v>3696</v>
      </c>
      <c r="O2371" s="92">
        <v>2.3856176E7</v>
      </c>
      <c r="P2371" s="92">
        <v>2.169429E7</v>
      </c>
      <c r="Q2371" s="89" t="s">
        <v>838</v>
      </c>
      <c r="AF2371" s="1"/>
      <c r="AG2371" s="1"/>
    </row>
    <row r="2372" ht="15.75" customHeight="1">
      <c r="A2372" s="1"/>
      <c r="B2372" s="1"/>
      <c r="C2372" s="1"/>
      <c r="D2372" s="1"/>
      <c r="E2372" s="1"/>
      <c r="F2372" s="1"/>
      <c r="G2372" s="1"/>
      <c r="H2372" s="1"/>
      <c r="I2372" s="1"/>
      <c r="J2372" s="1"/>
      <c r="K2372" s="93" t="s">
        <v>3697</v>
      </c>
      <c r="L2372" s="89" t="str">
        <f t="shared" ref="L2372:L2373" si="18">H97</f>
        <v>C1b1a1b1</v>
      </c>
      <c r="M2372" s="89"/>
      <c r="N2372" s="89" t="s">
        <v>3698</v>
      </c>
      <c r="O2372" s="89">
        <v>2.8763654E7</v>
      </c>
      <c r="P2372" s="89">
        <v>2.6617507E7</v>
      </c>
      <c r="Q2372" s="89" t="s">
        <v>822</v>
      </c>
      <c r="AF2372" s="1"/>
      <c r="AG2372" s="1"/>
    </row>
    <row r="2373" ht="15.75" customHeight="1">
      <c r="A2373" s="1"/>
      <c r="B2373" s="1"/>
      <c r="C2373" s="1"/>
      <c r="D2373" s="1"/>
      <c r="E2373" s="1"/>
      <c r="F2373" s="1"/>
      <c r="G2373" s="1"/>
      <c r="H2373" s="1"/>
      <c r="I2373" s="1"/>
      <c r="J2373" s="1"/>
      <c r="K2373" s="93" t="s">
        <v>3699</v>
      </c>
      <c r="L2373" s="89" t="str">
        <f t="shared" si="18"/>
        <v>C1b1a1b1~</v>
      </c>
      <c r="M2373" s="93" t="s">
        <v>3700</v>
      </c>
      <c r="N2373" s="106" t="s">
        <v>3701</v>
      </c>
      <c r="O2373" s="101">
        <v>2.3421192E7</v>
      </c>
      <c r="P2373" s="98">
        <v>2.1259306E7</v>
      </c>
      <c r="Q2373" s="93" t="s">
        <v>802</v>
      </c>
      <c r="AF2373" s="1"/>
      <c r="AG2373" s="1"/>
    </row>
    <row r="2374" ht="15.75" customHeight="1">
      <c r="A2374" s="1"/>
      <c r="B2374" s="1"/>
      <c r="C2374" s="1"/>
      <c r="D2374" s="1"/>
      <c r="E2374" s="1"/>
      <c r="F2374" s="1"/>
      <c r="G2374" s="1"/>
      <c r="H2374" s="1"/>
      <c r="I2374" s="1"/>
      <c r="J2374" s="1"/>
      <c r="K2374" s="93" t="s">
        <v>3700</v>
      </c>
      <c r="L2374" s="89" t="str">
        <f>H98</f>
        <v>C1b1a1b1~</v>
      </c>
      <c r="M2374" s="93" t="s">
        <v>3699</v>
      </c>
      <c r="N2374" s="106" t="s">
        <v>3701</v>
      </c>
      <c r="O2374" s="101">
        <v>2.3421192E7</v>
      </c>
      <c r="P2374" s="98">
        <v>2.1259306E7</v>
      </c>
      <c r="Q2374" s="93" t="s">
        <v>802</v>
      </c>
      <c r="AF2374" s="1"/>
      <c r="AG2374" s="1"/>
    </row>
    <row r="2375" ht="15.75" customHeight="1">
      <c r="A2375" s="1"/>
      <c r="B2375" s="1"/>
      <c r="C2375" s="1"/>
      <c r="D2375" s="1"/>
      <c r="E2375" s="1"/>
      <c r="F2375" s="1"/>
      <c r="G2375" s="1"/>
      <c r="H2375" s="1"/>
      <c r="I2375" s="1"/>
      <c r="J2375" s="1"/>
      <c r="K2375" s="93" t="s">
        <v>3702</v>
      </c>
      <c r="L2375" s="89" t="str">
        <f>H98</f>
        <v>C1b1a1b1~</v>
      </c>
      <c r="M2375" s="89"/>
      <c r="N2375" s="103" t="s">
        <v>3703</v>
      </c>
      <c r="O2375" s="101">
        <v>1.5971018E7</v>
      </c>
      <c r="P2375" s="98">
        <v>1.3859138E7</v>
      </c>
      <c r="Q2375" s="93" t="s">
        <v>802</v>
      </c>
      <c r="AF2375" s="1"/>
      <c r="AG2375" s="1"/>
    </row>
    <row r="2376" ht="15.75" customHeight="1">
      <c r="A2376" s="1"/>
      <c r="B2376" s="1"/>
      <c r="C2376" s="1"/>
      <c r="D2376" s="1"/>
      <c r="E2376" s="1"/>
      <c r="F2376" s="1"/>
      <c r="G2376" s="1"/>
      <c r="H2376" s="1"/>
      <c r="I2376" s="1"/>
      <c r="J2376" s="1"/>
      <c r="K2376" s="89" t="s">
        <v>3704</v>
      </c>
      <c r="L2376" s="89" t="str">
        <f>I99</f>
        <v>C1b1a1b1a</v>
      </c>
      <c r="M2376" s="89"/>
      <c r="N2376" s="89" t="s">
        <v>3705</v>
      </c>
      <c r="O2376" s="92">
        <v>2890490.0</v>
      </c>
      <c r="P2376" s="92">
        <v>3022449.0</v>
      </c>
      <c r="Q2376" s="89" t="s">
        <v>802</v>
      </c>
      <c r="AF2376" s="1"/>
      <c r="AG2376" s="1"/>
    </row>
    <row r="2377" ht="15.75" customHeight="1">
      <c r="A2377" s="1"/>
      <c r="B2377" s="1"/>
      <c r="C2377" s="1"/>
      <c r="D2377" s="1"/>
      <c r="E2377" s="1"/>
      <c r="F2377" s="1"/>
      <c r="G2377" s="1"/>
      <c r="H2377" s="1"/>
      <c r="I2377" s="1"/>
      <c r="J2377" s="1"/>
      <c r="K2377" s="89" t="s">
        <v>3706</v>
      </c>
      <c r="L2377" s="89" t="str">
        <f>I99</f>
        <v>C1b1a1b1a</v>
      </c>
      <c r="M2377" s="89" t="s">
        <v>3707</v>
      </c>
      <c r="N2377" s="89" t="s">
        <v>3708</v>
      </c>
      <c r="O2377" s="92">
        <v>8567314.0</v>
      </c>
      <c r="P2377" s="92">
        <v>8699273.0</v>
      </c>
      <c r="Q2377" s="89" t="s">
        <v>810</v>
      </c>
      <c r="AF2377" s="1"/>
      <c r="AG2377" s="1"/>
    </row>
    <row r="2378" ht="15.75" customHeight="1">
      <c r="A2378" s="1"/>
      <c r="B2378" s="1"/>
      <c r="C2378" s="1"/>
      <c r="D2378" s="1"/>
      <c r="E2378" s="1"/>
      <c r="F2378" s="1"/>
      <c r="G2378" s="1"/>
      <c r="H2378" s="1"/>
      <c r="I2378" s="1"/>
      <c r="J2378" s="1"/>
      <c r="K2378" s="89" t="s">
        <v>3707</v>
      </c>
      <c r="L2378" s="89" t="str">
        <f>I99</f>
        <v>C1b1a1b1a</v>
      </c>
      <c r="M2378" s="89" t="s">
        <v>3706</v>
      </c>
      <c r="N2378" s="89" t="s">
        <v>3708</v>
      </c>
      <c r="O2378" s="92">
        <v>8567314.0</v>
      </c>
      <c r="P2378" s="92">
        <v>8699273.0</v>
      </c>
      <c r="Q2378" s="89" t="s">
        <v>810</v>
      </c>
      <c r="AF2378" s="1"/>
      <c r="AG2378" s="1"/>
    </row>
    <row r="2379" ht="15.75" customHeight="1">
      <c r="A2379" s="1"/>
      <c r="B2379" s="1"/>
      <c r="C2379" s="1"/>
      <c r="D2379" s="1"/>
      <c r="E2379" s="1"/>
      <c r="F2379" s="1"/>
      <c r="G2379" s="1"/>
      <c r="H2379" s="1"/>
      <c r="I2379" s="1"/>
      <c r="J2379" s="1"/>
      <c r="K2379" s="89" t="s">
        <v>3709</v>
      </c>
      <c r="L2379" s="89" t="str">
        <f>I99</f>
        <v>C1b1a1b1a</v>
      </c>
      <c r="M2379" s="89"/>
      <c r="N2379" s="89" t="s">
        <v>3710</v>
      </c>
      <c r="O2379" s="92">
        <v>6688641.0</v>
      </c>
      <c r="P2379" s="92">
        <v>6820600.0</v>
      </c>
      <c r="Q2379" s="89" t="s">
        <v>810</v>
      </c>
      <c r="AF2379" s="1"/>
      <c r="AG2379" s="1"/>
    </row>
    <row r="2380" ht="15.75" customHeight="1">
      <c r="A2380" s="1"/>
      <c r="B2380" s="1"/>
      <c r="C2380" s="1"/>
      <c r="D2380" s="1"/>
      <c r="E2380" s="1"/>
      <c r="F2380" s="1"/>
      <c r="G2380" s="1"/>
      <c r="H2380" s="1"/>
      <c r="I2380" s="1"/>
      <c r="J2380" s="1"/>
      <c r="K2380" s="89" t="s">
        <v>3711</v>
      </c>
      <c r="L2380" s="89" t="str">
        <f>I99</f>
        <v>C1b1a1b1a</v>
      </c>
      <c r="M2380" s="89"/>
      <c r="N2380" s="89" t="s">
        <v>3712</v>
      </c>
      <c r="O2380" s="92">
        <v>6734463.0</v>
      </c>
      <c r="P2380" s="92">
        <v>6866422.0</v>
      </c>
      <c r="Q2380" s="89" t="s">
        <v>810</v>
      </c>
      <c r="AF2380" s="1"/>
      <c r="AG2380" s="1"/>
    </row>
    <row r="2381" ht="15.75" customHeight="1">
      <c r="A2381" s="1"/>
      <c r="B2381" s="1"/>
      <c r="C2381" s="1"/>
      <c r="D2381" s="1"/>
      <c r="E2381" s="1"/>
      <c r="F2381" s="1"/>
      <c r="G2381" s="1"/>
      <c r="H2381" s="1"/>
      <c r="I2381" s="1"/>
      <c r="J2381" s="1"/>
      <c r="K2381" s="89" t="s">
        <v>3713</v>
      </c>
      <c r="L2381" s="89" t="str">
        <f>I99</f>
        <v>C1b1a1b1a</v>
      </c>
      <c r="M2381" s="89"/>
      <c r="N2381" s="89" t="s">
        <v>3714</v>
      </c>
      <c r="O2381" s="92">
        <v>6930793.0</v>
      </c>
      <c r="P2381" s="92">
        <v>7062752.0</v>
      </c>
      <c r="Q2381" s="89" t="s">
        <v>813</v>
      </c>
      <c r="AF2381" s="1"/>
      <c r="AG2381" s="1"/>
    </row>
    <row r="2382" ht="15.75" customHeight="1">
      <c r="A2382" s="1"/>
      <c r="B2382" s="1"/>
      <c r="C2382" s="1"/>
      <c r="D2382" s="1"/>
      <c r="E2382" s="1"/>
      <c r="F2382" s="1"/>
      <c r="G2382" s="1"/>
      <c r="H2382" s="1"/>
      <c r="I2382" s="1"/>
      <c r="J2382" s="1"/>
      <c r="K2382" s="89" t="s">
        <v>3715</v>
      </c>
      <c r="L2382" s="89" t="str">
        <f>I99</f>
        <v>C1b1a1b1a</v>
      </c>
      <c r="M2382" s="89"/>
      <c r="N2382" s="89" t="s">
        <v>3716</v>
      </c>
      <c r="O2382" s="92">
        <v>7040465.0</v>
      </c>
      <c r="P2382" s="92">
        <v>7172424.0</v>
      </c>
      <c r="Q2382" s="89" t="s">
        <v>802</v>
      </c>
      <c r="AF2382" s="1"/>
      <c r="AG2382" s="1"/>
    </row>
    <row r="2383" ht="15.75" customHeight="1">
      <c r="A2383" s="1"/>
      <c r="B2383" s="1"/>
      <c r="C2383" s="1"/>
      <c r="D2383" s="1"/>
      <c r="E2383" s="1"/>
      <c r="F2383" s="1"/>
      <c r="G2383" s="1"/>
      <c r="H2383" s="1"/>
      <c r="I2383" s="1"/>
      <c r="J2383" s="1"/>
      <c r="K2383" s="89" t="s">
        <v>3717</v>
      </c>
      <c r="L2383" s="89" t="str">
        <f>I99</f>
        <v>C1b1a1b1a</v>
      </c>
      <c r="M2383" s="89"/>
      <c r="N2383" s="89" t="s">
        <v>3718</v>
      </c>
      <c r="O2383" s="92">
        <v>7093146.0</v>
      </c>
      <c r="P2383" s="92">
        <v>7225105.0</v>
      </c>
      <c r="Q2383" s="89" t="s">
        <v>813</v>
      </c>
      <c r="AF2383" s="1"/>
      <c r="AG2383" s="1"/>
    </row>
    <row r="2384" ht="15.75" customHeight="1">
      <c r="A2384" s="1"/>
      <c r="B2384" s="1"/>
      <c r="C2384" s="1"/>
      <c r="D2384" s="1"/>
      <c r="E2384" s="1"/>
      <c r="F2384" s="1"/>
      <c r="G2384" s="1"/>
      <c r="H2384" s="1"/>
      <c r="I2384" s="1"/>
      <c r="J2384" s="1"/>
      <c r="K2384" s="89" t="s">
        <v>3719</v>
      </c>
      <c r="L2384" s="89" t="str">
        <f>I99</f>
        <v>C1b1a1b1a</v>
      </c>
      <c r="M2384" s="89"/>
      <c r="N2384" s="89" t="s">
        <v>3720</v>
      </c>
      <c r="O2384" s="92">
        <v>7303300.0</v>
      </c>
      <c r="P2384" s="92">
        <v>7435259.0</v>
      </c>
      <c r="Q2384" s="89" t="s">
        <v>831</v>
      </c>
      <c r="AF2384" s="1"/>
      <c r="AG2384" s="1"/>
    </row>
    <row r="2385" ht="15.75" customHeight="1">
      <c r="A2385" s="1"/>
      <c r="B2385" s="1"/>
      <c r="C2385" s="1"/>
      <c r="D2385" s="1"/>
      <c r="E2385" s="1"/>
      <c r="F2385" s="1"/>
      <c r="G2385" s="1"/>
      <c r="H2385" s="1"/>
      <c r="I2385" s="1"/>
      <c r="J2385" s="1"/>
      <c r="K2385" s="89" t="s">
        <v>3721</v>
      </c>
      <c r="L2385" s="89" t="str">
        <f>I99</f>
        <v>C1b1a1b1a</v>
      </c>
      <c r="M2385" s="89"/>
      <c r="N2385" s="89" t="s">
        <v>3722</v>
      </c>
      <c r="O2385" s="92">
        <v>7423478.0</v>
      </c>
      <c r="P2385" s="92">
        <v>7555437.0</v>
      </c>
      <c r="Q2385" s="89" t="s">
        <v>838</v>
      </c>
      <c r="AF2385" s="1"/>
      <c r="AG2385" s="1"/>
    </row>
    <row r="2386" ht="15.75" customHeight="1">
      <c r="A2386" s="1"/>
      <c r="B2386" s="1"/>
      <c r="C2386" s="1"/>
      <c r="D2386" s="1"/>
      <c r="E2386" s="1"/>
      <c r="F2386" s="1"/>
      <c r="G2386" s="1"/>
      <c r="H2386" s="1"/>
      <c r="I2386" s="1"/>
      <c r="J2386" s="1"/>
      <c r="K2386" s="89" t="s">
        <v>3723</v>
      </c>
      <c r="L2386" s="89" t="str">
        <f>I99</f>
        <v>C1b1a1b1a</v>
      </c>
      <c r="M2386" s="89"/>
      <c r="N2386" s="89" t="s">
        <v>3724</v>
      </c>
      <c r="O2386" s="92">
        <v>8341774.0</v>
      </c>
      <c r="P2386" s="92">
        <v>8473733.0</v>
      </c>
      <c r="Q2386" s="89" t="s">
        <v>802</v>
      </c>
      <c r="AF2386" s="1"/>
      <c r="AG2386" s="1"/>
    </row>
    <row r="2387" ht="15.75" customHeight="1">
      <c r="A2387" s="1"/>
      <c r="B2387" s="1"/>
      <c r="C2387" s="1"/>
      <c r="D2387" s="1"/>
      <c r="E2387" s="1"/>
      <c r="F2387" s="1"/>
      <c r="G2387" s="1"/>
      <c r="H2387" s="1"/>
      <c r="I2387" s="1"/>
      <c r="J2387" s="1"/>
      <c r="K2387" s="89" t="s">
        <v>3725</v>
      </c>
      <c r="L2387" s="89" t="str">
        <f>I99</f>
        <v>C1b1a1b1a</v>
      </c>
      <c r="M2387" s="89"/>
      <c r="N2387" s="89" t="s">
        <v>3726</v>
      </c>
      <c r="O2387" s="89">
        <v>8379505.0</v>
      </c>
      <c r="P2387" s="89">
        <v>8511464.0</v>
      </c>
      <c r="Q2387" s="89" t="s">
        <v>845</v>
      </c>
      <c r="AF2387" s="1"/>
      <c r="AG2387" s="1"/>
    </row>
    <row r="2388" ht="15.75" customHeight="1">
      <c r="A2388" s="1"/>
      <c r="B2388" s="1"/>
      <c r="C2388" s="1"/>
      <c r="D2388" s="1"/>
      <c r="E2388" s="1"/>
      <c r="F2388" s="1"/>
      <c r="G2388" s="1"/>
      <c r="H2388" s="1"/>
      <c r="I2388" s="1"/>
      <c r="J2388" s="1"/>
      <c r="K2388" s="89" t="s">
        <v>3727</v>
      </c>
      <c r="L2388" s="89" t="str">
        <f>I99</f>
        <v>C1b1a1b1a</v>
      </c>
      <c r="M2388" s="89"/>
      <c r="N2388" s="89" t="s">
        <v>3728</v>
      </c>
      <c r="O2388" s="89">
        <v>8415603.0</v>
      </c>
      <c r="P2388" s="89">
        <v>8547562.0</v>
      </c>
      <c r="Q2388" s="89" t="s">
        <v>838</v>
      </c>
      <c r="AF2388" s="1"/>
      <c r="AG2388" s="1"/>
    </row>
    <row r="2389" ht="15.75" customHeight="1">
      <c r="A2389" s="1"/>
      <c r="B2389" s="1"/>
      <c r="C2389" s="1"/>
      <c r="D2389" s="1"/>
      <c r="E2389" s="1"/>
      <c r="F2389" s="1"/>
      <c r="G2389" s="1"/>
      <c r="H2389" s="1"/>
      <c r="I2389" s="1"/>
      <c r="J2389" s="1"/>
      <c r="K2389" s="89" t="s">
        <v>3729</v>
      </c>
      <c r="L2389" s="89" t="str">
        <f>I99</f>
        <v>C1b1a1b1a</v>
      </c>
      <c r="M2389" s="89"/>
      <c r="N2389" s="89" t="s">
        <v>3730</v>
      </c>
      <c r="O2389" s="89">
        <v>8498879.0</v>
      </c>
      <c r="P2389" s="89">
        <v>8630838.0</v>
      </c>
      <c r="Q2389" s="89" t="s">
        <v>838</v>
      </c>
      <c r="AF2389" s="1"/>
      <c r="AG2389" s="1"/>
    </row>
    <row r="2390" ht="15.75" customHeight="1">
      <c r="A2390" s="1"/>
      <c r="B2390" s="1"/>
      <c r="C2390" s="1"/>
      <c r="D2390" s="1"/>
      <c r="E2390" s="1"/>
      <c r="F2390" s="1"/>
      <c r="G2390" s="1"/>
      <c r="H2390" s="1"/>
      <c r="I2390" s="1"/>
      <c r="J2390" s="1"/>
      <c r="K2390" s="89" t="s">
        <v>3731</v>
      </c>
      <c r="L2390" s="89" t="str">
        <f>I99</f>
        <v>C1b1a1b1a</v>
      </c>
      <c r="M2390" s="89"/>
      <c r="N2390" s="89" t="s">
        <v>3732</v>
      </c>
      <c r="O2390" s="89">
        <v>8533253.0</v>
      </c>
      <c r="P2390" s="89">
        <v>8665212.0</v>
      </c>
      <c r="Q2390" s="89" t="s">
        <v>864</v>
      </c>
      <c r="AF2390" s="1"/>
      <c r="AG2390" s="1"/>
    </row>
    <row r="2391" ht="15.75" customHeight="1">
      <c r="A2391" s="1"/>
      <c r="B2391" s="1"/>
      <c r="C2391" s="1"/>
      <c r="D2391" s="1"/>
      <c r="E2391" s="1"/>
      <c r="F2391" s="1"/>
      <c r="G2391" s="1"/>
      <c r="H2391" s="1"/>
      <c r="I2391" s="1"/>
      <c r="J2391" s="1"/>
      <c r="K2391" s="89" t="s">
        <v>3733</v>
      </c>
      <c r="L2391" s="89" t="str">
        <f>I99</f>
        <v>C1b1a1b1a</v>
      </c>
      <c r="M2391" s="89"/>
      <c r="N2391" s="89" t="s">
        <v>3734</v>
      </c>
      <c r="O2391" s="89">
        <v>8668083.0</v>
      </c>
      <c r="P2391" s="89">
        <v>8800042.0</v>
      </c>
      <c r="Q2391" s="89" t="s">
        <v>831</v>
      </c>
      <c r="AF2391" s="1"/>
      <c r="AG2391" s="1"/>
    </row>
    <row r="2392" ht="15.75" customHeight="1">
      <c r="A2392" s="1"/>
      <c r="B2392" s="1"/>
      <c r="C2392" s="1"/>
      <c r="D2392" s="1"/>
      <c r="E2392" s="1"/>
      <c r="F2392" s="1"/>
      <c r="G2392" s="1"/>
      <c r="H2392" s="1"/>
      <c r="I2392" s="1"/>
      <c r="J2392" s="1"/>
      <c r="K2392" s="89" t="s">
        <v>3735</v>
      </c>
      <c r="L2392" s="89" t="str">
        <f>I99</f>
        <v>C1b1a1b1a</v>
      </c>
      <c r="M2392" s="89"/>
      <c r="N2392" s="89" t="s">
        <v>3736</v>
      </c>
      <c r="O2392" s="92">
        <v>9460216.0</v>
      </c>
      <c r="P2392" s="92">
        <v>9622607.0</v>
      </c>
      <c r="Q2392" s="89" t="s">
        <v>845</v>
      </c>
      <c r="AF2392" s="1"/>
      <c r="AG2392" s="1"/>
    </row>
    <row r="2393" ht="15.75" customHeight="1">
      <c r="A2393" s="1"/>
      <c r="B2393" s="1"/>
      <c r="C2393" s="1"/>
      <c r="D2393" s="1"/>
      <c r="E2393" s="1"/>
      <c r="F2393" s="1"/>
      <c r="G2393" s="1"/>
      <c r="H2393" s="1"/>
      <c r="I2393" s="1"/>
      <c r="J2393" s="1"/>
      <c r="K2393" s="89" t="s">
        <v>3737</v>
      </c>
      <c r="L2393" s="89" t="str">
        <f>I99</f>
        <v>C1b1a1b1a</v>
      </c>
      <c r="M2393" s="89"/>
      <c r="N2393" s="89"/>
      <c r="O2393" s="92">
        <v>9991385.0</v>
      </c>
      <c r="P2393" s="92">
        <v>1.0153776E7</v>
      </c>
      <c r="Q2393" s="89" t="s">
        <v>813</v>
      </c>
      <c r="AF2393" s="1"/>
      <c r="AG2393" s="1"/>
    </row>
    <row r="2394" ht="15.75" customHeight="1">
      <c r="A2394" s="1"/>
      <c r="B2394" s="1"/>
      <c r="C2394" s="1"/>
      <c r="D2394" s="1"/>
      <c r="E2394" s="1"/>
      <c r="F2394" s="1"/>
      <c r="G2394" s="1"/>
      <c r="H2394" s="1"/>
      <c r="I2394" s="1"/>
      <c r="J2394" s="1"/>
      <c r="K2394" s="89" t="s">
        <v>3738</v>
      </c>
      <c r="L2394" s="89" t="str">
        <f>I99</f>
        <v>C1b1a1b1a</v>
      </c>
      <c r="M2394" s="89"/>
      <c r="N2394" s="89"/>
      <c r="O2394" s="92">
        <v>1.0075845E7</v>
      </c>
      <c r="P2394" s="92">
        <v>1.0238236E7</v>
      </c>
      <c r="Q2394" s="89" t="s">
        <v>810</v>
      </c>
      <c r="AF2394" s="1"/>
      <c r="AG2394" s="1"/>
    </row>
    <row r="2395" ht="15.75" customHeight="1">
      <c r="A2395" s="1"/>
      <c r="B2395" s="1"/>
      <c r="C2395" s="1"/>
      <c r="D2395" s="1"/>
      <c r="E2395" s="1"/>
      <c r="F2395" s="1"/>
      <c r="G2395" s="1"/>
      <c r="H2395" s="1"/>
      <c r="I2395" s="1"/>
      <c r="J2395" s="1"/>
      <c r="K2395" s="89" t="s">
        <v>3739</v>
      </c>
      <c r="L2395" s="89" t="str">
        <f>I99</f>
        <v>C1b1a1b1a</v>
      </c>
      <c r="M2395" s="89"/>
      <c r="N2395" s="89"/>
      <c r="O2395" s="92">
        <v>1.3210051E7</v>
      </c>
      <c r="P2395" s="92">
        <v>1.1054375E7</v>
      </c>
      <c r="Q2395" s="89" t="s">
        <v>917</v>
      </c>
      <c r="AF2395" s="1"/>
      <c r="AG2395" s="1"/>
    </row>
    <row r="2396" ht="15.75" customHeight="1">
      <c r="A2396" s="1"/>
      <c r="B2396" s="1"/>
      <c r="C2396" s="1"/>
      <c r="D2396" s="1"/>
      <c r="E2396" s="1"/>
      <c r="F2396" s="1"/>
      <c r="G2396" s="1"/>
      <c r="H2396" s="1"/>
      <c r="I2396" s="1"/>
      <c r="J2396" s="1"/>
      <c r="K2396" s="89" t="s">
        <v>3740</v>
      </c>
      <c r="L2396" s="89" t="str">
        <f>I99</f>
        <v>C1b1a1b1a</v>
      </c>
      <c r="M2396" s="89"/>
      <c r="N2396" s="89"/>
      <c r="O2396" s="92">
        <v>1.3644849E7</v>
      </c>
      <c r="P2396" s="92">
        <v>1.1489173E7</v>
      </c>
      <c r="Q2396" s="89" t="s">
        <v>802</v>
      </c>
      <c r="AF2396" s="1"/>
      <c r="AG2396" s="1"/>
    </row>
    <row r="2397" ht="15.75" customHeight="1">
      <c r="A2397" s="1"/>
      <c r="B2397" s="1"/>
      <c r="C2397" s="1"/>
      <c r="D2397" s="1"/>
      <c r="E2397" s="1"/>
      <c r="F2397" s="1"/>
      <c r="G2397" s="1"/>
      <c r="H2397" s="1"/>
      <c r="I2397" s="1"/>
      <c r="J2397" s="1"/>
      <c r="K2397" s="89" t="s">
        <v>3741</v>
      </c>
      <c r="L2397" s="89" t="str">
        <f>I99</f>
        <v>C1b1a1b1a</v>
      </c>
      <c r="M2397" s="89"/>
      <c r="N2397" s="89"/>
      <c r="O2397" s="92">
        <v>1.3823097E7</v>
      </c>
      <c r="P2397" s="92">
        <v>1.1702391E7</v>
      </c>
      <c r="Q2397" s="89" t="s">
        <v>810</v>
      </c>
      <c r="AF2397" s="1"/>
      <c r="AG2397" s="1"/>
    </row>
    <row r="2398" ht="15.75" customHeight="1">
      <c r="A2398" s="1"/>
      <c r="B2398" s="1"/>
      <c r="C2398" s="1"/>
      <c r="D2398" s="1"/>
      <c r="E2398" s="1"/>
      <c r="F2398" s="1"/>
      <c r="G2398" s="1"/>
      <c r="H2398" s="1"/>
      <c r="I2398" s="1"/>
      <c r="J2398" s="1"/>
      <c r="K2398" s="89" t="s">
        <v>3742</v>
      </c>
      <c r="L2398" s="89" t="str">
        <f>I99</f>
        <v>C1b1a1b1a</v>
      </c>
      <c r="M2398" s="89"/>
      <c r="N2398" s="89" t="s">
        <v>3743</v>
      </c>
      <c r="O2398" s="92">
        <v>1.4407146E7</v>
      </c>
      <c r="P2398" s="92">
        <v>1.2286444E7</v>
      </c>
      <c r="Q2398" s="89" t="s">
        <v>822</v>
      </c>
      <c r="AF2398" s="1"/>
      <c r="AG2398" s="1"/>
    </row>
    <row r="2399" ht="15.75" customHeight="1">
      <c r="A2399" s="1"/>
      <c r="B2399" s="1"/>
      <c r="C2399" s="1"/>
      <c r="D2399" s="1"/>
      <c r="E2399" s="1"/>
      <c r="F2399" s="1"/>
      <c r="G2399" s="1"/>
      <c r="H2399" s="1"/>
      <c r="I2399" s="1"/>
      <c r="J2399" s="1"/>
      <c r="K2399" s="89" t="s">
        <v>3744</v>
      </c>
      <c r="L2399" s="89" t="str">
        <f>I99</f>
        <v>C1b1a1b1a</v>
      </c>
      <c r="M2399" s="89"/>
      <c r="N2399" s="89" t="s">
        <v>3745</v>
      </c>
      <c r="O2399" s="89">
        <v>1.445141E7</v>
      </c>
      <c r="P2399" s="89">
        <v>1.2330683E7</v>
      </c>
      <c r="Q2399" s="89" t="s">
        <v>838</v>
      </c>
      <c r="AF2399" s="1"/>
      <c r="AG2399" s="1"/>
    </row>
    <row r="2400" ht="15.75" customHeight="1">
      <c r="A2400" s="1"/>
      <c r="B2400" s="1"/>
      <c r="C2400" s="1"/>
      <c r="D2400" s="1"/>
      <c r="E2400" s="1"/>
      <c r="F2400" s="1"/>
      <c r="G2400" s="1"/>
      <c r="H2400" s="1"/>
      <c r="I2400" s="1"/>
      <c r="J2400" s="1"/>
      <c r="K2400" s="89" t="s">
        <v>3746</v>
      </c>
      <c r="L2400" s="89" t="str">
        <f>I99</f>
        <v>C1b1a1b1a</v>
      </c>
      <c r="M2400" s="89"/>
      <c r="N2400" s="89" t="s">
        <v>3747</v>
      </c>
      <c r="O2400" s="89">
        <v>1.4457611E7</v>
      </c>
      <c r="P2400" s="89">
        <v>1.2336884E7</v>
      </c>
      <c r="Q2400" s="89" t="s">
        <v>822</v>
      </c>
      <c r="AF2400" s="1"/>
      <c r="AG2400" s="1"/>
    </row>
    <row r="2401" ht="15.75" customHeight="1">
      <c r="A2401" s="1"/>
      <c r="B2401" s="1"/>
      <c r="C2401" s="1"/>
      <c r="D2401" s="1"/>
      <c r="E2401" s="1"/>
      <c r="F2401" s="1"/>
      <c r="G2401" s="1"/>
      <c r="H2401" s="1"/>
      <c r="I2401" s="1"/>
      <c r="J2401" s="1"/>
      <c r="K2401" s="89" t="s">
        <v>3748</v>
      </c>
      <c r="L2401" s="89" t="str">
        <f>I99</f>
        <v>C1b1a1b1a</v>
      </c>
      <c r="M2401" s="89"/>
      <c r="N2401" s="89" t="s">
        <v>3749</v>
      </c>
      <c r="O2401" s="92">
        <v>1.4790055E7</v>
      </c>
      <c r="P2401" s="92">
        <v>1.2678126E7</v>
      </c>
      <c r="Q2401" s="89" t="s">
        <v>864</v>
      </c>
      <c r="AF2401" s="1"/>
      <c r="AG2401" s="1"/>
    </row>
    <row r="2402" ht="15.75" customHeight="1">
      <c r="A2402" s="1"/>
      <c r="B2402" s="1"/>
      <c r="C2402" s="1"/>
      <c r="D2402" s="1"/>
      <c r="E2402" s="1"/>
      <c r="F2402" s="1"/>
      <c r="G2402" s="1"/>
      <c r="H2402" s="1"/>
      <c r="I2402" s="1"/>
      <c r="J2402" s="1"/>
      <c r="K2402" s="89" t="s">
        <v>3750</v>
      </c>
      <c r="L2402" s="89" t="str">
        <f>I99</f>
        <v>C1b1a1b1a</v>
      </c>
      <c r="M2402" s="89"/>
      <c r="N2402" s="89" t="s">
        <v>3751</v>
      </c>
      <c r="O2402" s="92">
        <v>1.5014391E7</v>
      </c>
      <c r="P2402" s="92">
        <v>1.2902479E7</v>
      </c>
      <c r="Q2402" s="89" t="s">
        <v>845</v>
      </c>
      <c r="AF2402" s="1"/>
      <c r="AG2402" s="1"/>
    </row>
    <row r="2403" ht="15.75" customHeight="1">
      <c r="A2403" s="1"/>
      <c r="B2403" s="1"/>
      <c r="C2403" s="1"/>
      <c r="D2403" s="1"/>
      <c r="E2403" s="1"/>
      <c r="F2403" s="1"/>
      <c r="G2403" s="1"/>
      <c r="H2403" s="1"/>
      <c r="I2403" s="1"/>
      <c r="J2403" s="1"/>
      <c r="K2403" s="89" t="s">
        <v>3752</v>
      </c>
      <c r="L2403" s="89" t="str">
        <f>I99</f>
        <v>C1b1a1b1a</v>
      </c>
      <c r="M2403" s="89"/>
      <c r="N2403" s="93" t="s">
        <v>3753</v>
      </c>
      <c r="O2403" s="89">
        <v>1.5256772E7</v>
      </c>
      <c r="P2403" s="89">
        <v>1.3144856E7</v>
      </c>
      <c r="Q2403" s="89" t="s">
        <v>831</v>
      </c>
      <c r="AF2403" s="1"/>
      <c r="AG2403" s="1"/>
    </row>
    <row r="2404" ht="15.75" customHeight="1">
      <c r="A2404" s="1"/>
      <c r="B2404" s="1"/>
      <c r="C2404" s="1"/>
      <c r="D2404" s="1"/>
      <c r="E2404" s="1"/>
      <c r="F2404" s="1"/>
      <c r="G2404" s="1"/>
      <c r="H2404" s="1"/>
      <c r="I2404" s="1"/>
      <c r="J2404" s="1"/>
      <c r="K2404" s="89" t="s">
        <v>3754</v>
      </c>
      <c r="L2404" s="89" t="str">
        <f>I99</f>
        <v>C1b1a1b1a</v>
      </c>
      <c r="M2404" s="89"/>
      <c r="N2404" s="89" t="s">
        <v>3755</v>
      </c>
      <c r="O2404" s="89">
        <v>1.5418415E7</v>
      </c>
      <c r="P2404" s="89">
        <v>1.3306535E7</v>
      </c>
      <c r="Q2404" s="89" t="s">
        <v>838</v>
      </c>
      <c r="AF2404" s="1"/>
      <c r="AG2404" s="1"/>
    </row>
    <row r="2405" ht="15.75" customHeight="1">
      <c r="A2405" s="1"/>
      <c r="B2405" s="1"/>
      <c r="C2405" s="1"/>
      <c r="D2405" s="1"/>
      <c r="E2405" s="1"/>
      <c r="F2405" s="1"/>
      <c r="G2405" s="1"/>
      <c r="H2405" s="1"/>
      <c r="I2405" s="1"/>
      <c r="J2405" s="1"/>
      <c r="K2405" s="89" t="s">
        <v>3756</v>
      </c>
      <c r="L2405" s="89" t="str">
        <f>I99</f>
        <v>C1b1a1b1a</v>
      </c>
      <c r="M2405" s="89"/>
      <c r="N2405" s="89" t="s">
        <v>3757</v>
      </c>
      <c r="O2405" s="92">
        <v>1.5434999E7</v>
      </c>
      <c r="P2405" s="92">
        <v>1.3323119E7</v>
      </c>
      <c r="Q2405" s="89" t="s">
        <v>810</v>
      </c>
      <c r="AF2405" s="1"/>
      <c r="AG2405" s="1"/>
    </row>
    <row r="2406" ht="15.75" customHeight="1">
      <c r="A2406" s="1"/>
      <c r="B2406" s="1"/>
      <c r="C2406" s="1"/>
      <c r="D2406" s="1"/>
      <c r="E2406" s="1"/>
      <c r="F2406" s="1"/>
      <c r="G2406" s="1"/>
      <c r="H2406" s="1"/>
      <c r="I2406" s="1"/>
      <c r="J2406" s="1"/>
      <c r="K2406" s="89" t="s">
        <v>3758</v>
      </c>
      <c r="L2406" s="89" t="str">
        <f>I99</f>
        <v>C1b1a1b1a</v>
      </c>
      <c r="M2406" s="89"/>
      <c r="N2406" s="89" t="s">
        <v>3759</v>
      </c>
      <c r="O2406" s="92">
        <v>1.5614126E7</v>
      </c>
      <c r="P2406" s="92">
        <v>1.3502246E7</v>
      </c>
      <c r="Q2406" s="89" t="s">
        <v>802</v>
      </c>
      <c r="AF2406" s="1"/>
      <c r="AG2406" s="1"/>
    </row>
    <row r="2407" ht="15.75" customHeight="1">
      <c r="A2407" s="1"/>
      <c r="B2407" s="1"/>
      <c r="C2407" s="1"/>
      <c r="D2407" s="1"/>
      <c r="E2407" s="1"/>
      <c r="F2407" s="1"/>
      <c r="G2407" s="1"/>
      <c r="H2407" s="1"/>
      <c r="I2407" s="1"/>
      <c r="J2407" s="1"/>
      <c r="K2407" s="89" t="s">
        <v>3760</v>
      </c>
      <c r="L2407" s="89" t="str">
        <f>I99</f>
        <v>C1b1a1b1a</v>
      </c>
      <c r="M2407" s="89"/>
      <c r="N2407" s="89" t="s">
        <v>3761</v>
      </c>
      <c r="O2407" s="92">
        <v>1.569916E7</v>
      </c>
      <c r="P2407" s="92">
        <v>1.358728E7</v>
      </c>
      <c r="Q2407" s="89" t="s">
        <v>810</v>
      </c>
      <c r="AF2407" s="1"/>
      <c r="AG2407" s="1"/>
    </row>
    <row r="2408" ht="15.75" customHeight="1">
      <c r="A2408" s="1"/>
      <c r="B2408" s="1"/>
      <c r="C2408" s="1"/>
      <c r="D2408" s="1"/>
      <c r="E2408" s="1"/>
      <c r="F2408" s="1"/>
      <c r="G2408" s="1"/>
      <c r="H2408" s="1"/>
      <c r="I2408" s="1"/>
      <c r="J2408" s="1"/>
      <c r="K2408" s="89" t="s">
        <v>3762</v>
      </c>
      <c r="L2408" s="89" t="str">
        <f>I99</f>
        <v>C1b1a1b1a</v>
      </c>
      <c r="M2408" s="89"/>
      <c r="N2408" s="89" t="s">
        <v>3763</v>
      </c>
      <c r="O2408" s="92">
        <v>1.6301976E7</v>
      </c>
      <c r="P2408" s="92">
        <v>1.4190096E7</v>
      </c>
      <c r="Q2408" s="89" t="s">
        <v>822</v>
      </c>
      <c r="AF2408" s="1"/>
      <c r="AG2408" s="1"/>
    </row>
    <row r="2409" ht="15.75" customHeight="1">
      <c r="A2409" s="1"/>
      <c r="B2409" s="1"/>
      <c r="C2409" s="1"/>
      <c r="D2409" s="1"/>
      <c r="E2409" s="1"/>
      <c r="F2409" s="1"/>
      <c r="G2409" s="1"/>
      <c r="H2409" s="1"/>
      <c r="I2409" s="1"/>
      <c r="J2409" s="1"/>
      <c r="K2409" s="89" t="s">
        <v>3764</v>
      </c>
      <c r="L2409" s="89" t="str">
        <f>I99</f>
        <v>C1b1a1b1a</v>
      </c>
      <c r="M2409" s="89"/>
      <c r="N2409" s="89" t="s">
        <v>3765</v>
      </c>
      <c r="O2409" s="92">
        <v>1.6319864E7</v>
      </c>
      <c r="P2409" s="92">
        <v>1.4207984E7</v>
      </c>
      <c r="Q2409" s="89" t="s">
        <v>802</v>
      </c>
      <c r="AF2409" s="1"/>
      <c r="AG2409" s="1"/>
    </row>
    <row r="2410" ht="15.75" customHeight="1">
      <c r="A2410" s="1"/>
      <c r="B2410" s="1"/>
      <c r="C2410" s="1"/>
      <c r="D2410" s="1"/>
      <c r="E2410" s="1"/>
      <c r="F2410" s="1"/>
      <c r="G2410" s="1"/>
      <c r="H2410" s="1"/>
      <c r="I2410" s="1"/>
      <c r="J2410" s="1"/>
      <c r="K2410" s="89" t="s">
        <v>3766</v>
      </c>
      <c r="L2410" s="89" t="str">
        <f>I99</f>
        <v>C1b1a1b1a</v>
      </c>
      <c r="M2410" s="89"/>
      <c r="N2410" s="89" t="s">
        <v>3767</v>
      </c>
      <c r="O2410" s="92">
        <v>1.6356203E7</v>
      </c>
      <c r="P2410" s="92">
        <v>1.4244323E7</v>
      </c>
      <c r="Q2410" s="89" t="s">
        <v>845</v>
      </c>
      <c r="AF2410" s="1"/>
      <c r="AG2410" s="1"/>
    </row>
    <row r="2411" ht="15.75" customHeight="1">
      <c r="A2411" s="1"/>
      <c r="B2411" s="1"/>
      <c r="C2411" s="1"/>
      <c r="D2411" s="1"/>
      <c r="E2411" s="1"/>
      <c r="F2411" s="1"/>
      <c r="G2411" s="1"/>
      <c r="H2411" s="1"/>
      <c r="I2411" s="1"/>
      <c r="J2411" s="1"/>
      <c r="K2411" s="89" t="s">
        <v>3768</v>
      </c>
      <c r="L2411" s="89" t="str">
        <f>I99</f>
        <v>C1b1a1b1a</v>
      </c>
      <c r="M2411" s="89"/>
      <c r="N2411" s="89" t="s">
        <v>3769</v>
      </c>
      <c r="O2411" s="92">
        <v>1.6506622E7</v>
      </c>
      <c r="P2411" s="92">
        <v>1.4394742E7</v>
      </c>
      <c r="Q2411" s="89" t="s">
        <v>802</v>
      </c>
      <c r="AF2411" s="1"/>
      <c r="AG2411" s="1"/>
    </row>
    <row r="2412" ht="15.75" customHeight="1">
      <c r="A2412" s="1"/>
      <c r="B2412" s="1"/>
      <c r="C2412" s="1"/>
      <c r="D2412" s="1"/>
      <c r="E2412" s="1"/>
      <c r="F2412" s="1"/>
      <c r="G2412" s="1"/>
      <c r="H2412" s="1"/>
      <c r="I2412" s="1"/>
      <c r="J2412" s="1"/>
      <c r="K2412" s="89" t="s">
        <v>3770</v>
      </c>
      <c r="L2412" s="89" t="str">
        <f>I99</f>
        <v>C1b1a1b1a</v>
      </c>
      <c r="M2412" s="89"/>
      <c r="N2412" s="89" t="s">
        <v>3771</v>
      </c>
      <c r="O2412" s="89">
        <v>1.6686089E7</v>
      </c>
      <c r="P2412" s="89">
        <v>1.4574209E7</v>
      </c>
      <c r="Q2412" s="89" t="s">
        <v>802</v>
      </c>
      <c r="AF2412" s="1"/>
      <c r="AG2412" s="1"/>
    </row>
    <row r="2413" ht="15.75" customHeight="1">
      <c r="A2413" s="1"/>
      <c r="B2413" s="1"/>
      <c r="C2413" s="1"/>
      <c r="D2413" s="1"/>
      <c r="E2413" s="1"/>
      <c r="F2413" s="1"/>
      <c r="G2413" s="1"/>
      <c r="H2413" s="1"/>
      <c r="I2413" s="1"/>
      <c r="J2413" s="1"/>
      <c r="K2413" s="89" t="s">
        <v>3772</v>
      </c>
      <c r="L2413" s="89" t="str">
        <f>I99</f>
        <v>C1b1a1b1a</v>
      </c>
      <c r="M2413" s="89"/>
      <c r="N2413" s="89" t="s">
        <v>3688</v>
      </c>
      <c r="O2413" s="92">
        <v>1.6792547E7</v>
      </c>
      <c r="P2413" s="92">
        <v>1.4680667E7</v>
      </c>
      <c r="Q2413" s="89" t="s">
        <v>802</v>
      </c>
      <c r="AF2413" s="1"/>
      <c r="AG2413" s="1"/>
    </row>
    <row r="2414" ht="15.75" customHeight="1">
      <c r="A2414" s="1"/>
      <c r="B2414" s="1"/>
      <c r="C2414" s="1"/>
      <c r="D2414" s="1"/>
      <c r="E2414" s="1"/>
      <c r="F2414" s="1"/>
      <c r="G2414" s="1"/>
      <c r="H2414" s="1"/>
      <c r="I2414" s="1"/>
      <c r="J2414" s="1"/>
      <c r="K2414" s="93" t="s">
        <v>3773</v>
      </c>
      <c r="L2414" s="89" t="str">
        <f>I99</f>
        <v>C1b1a1b1a</v>
      </c>
      <c r="M2414" s="89"/>
      <c r="N2414" s="107" t="s">
        <v>3774</v>
      </c>
      <c r="O2414" s="108">
        <v>1.6949223E7</v>
      </c>
      <c r="P2414" s="93">
        <v>1.4837343E7</v>
      </c>
      <c r="Q2414" s="93" t="s">
        <v>838</v>
      </c>
      <c r="AF2414" s="1"/>
      <c r="AG2414" s="1"/>
    </row>
    <row r="2415" ht="15.75" customHeight="1">
      <c r="A2415" s="1"/>
      <c r="B2415" s="1"/>
      <c r="C2415" s="1"/>
      <c r="D2415" s="1"/>
      <c r="E2415" s="1"/>
      <c r="F2415" s="1"/>
      <c r="G2415" s="1"/>
      <c r="H2415" s="1"/>
      <c r="I2415" s="1"/>
      <c r="J2415" s="1"/>
      <c r="K2415" s="89" t="s">
        <v>3775</v>
      </c>
      <c r="L2415" s="89" t="str">
        <f>I99</f>
        <v>C1b1a1b1a</v>
      </c>
      <c r="M2415" s="89"/>
      <c r="N2415" s="89" t="s">
        <v>3776</v>
      </c>
      <c r="O2415" s="92">
        <v>1.7069164E7</v>
      </c>
      <c r="P2415" s="92">
        <v>1.4957284E7</v>
      </c>
      <c r="Q2415" s="89" t="s">
        <v>822</v>
      </c>
      <c r="AF2415" s="1"/>
      <c r="AG2415" s="1"/>
    </row>
    <row r="2416" ht="15.75" customHeight="1">
      <c r="A2416" s="1"/>
      <c r="B2416" s="1"/>
      <c r="C2416" s="1"/>
      <c r="D2416" s="1"/>
      <c r="E2416" s="1"/>
      <c r="F2416" s="1"/>
      <c r="G2416" s="1"/>
      <c r="H2416" s="1"/>
      <c r="I2416" s="1"/>
      <c r="J2416" s="1"/>
      <c r="K2416" s="89" t="s">
        <v>3777</v>
      </c>
      <c r="L2416" s="89" t="str">
        <f>I99</f>
        <v>C1b1a1b1a</v>
      </c>
      <c r="M2416" s="89"/>
      <c r="N2416" s="89" t="s">
        <v>3778</v>
      </c>
      <c r="O2416" s="92">
        <v>1.7318719E7</v>
      </c>
      <c r="P2416" s="92">
        <v>1.5206839E7</v>
      </c>
      <c r="Q2416" s="89" t="s">
        <v>813</v>
      </c>
      <c r="AF2416" s="1"/>
      <c r="AG2416" s="1"/>
    </row>
    <row r="2417" ht="15.75" customHeight="1">
      <c r="A2417" s="1"/>
      <c r="B2417" s="1"/>
      <c r="C2417" s="1"/>
      <c r="D2417" s="1"/>
      <c r="E2417" s="1"/>
      <c r="F2417" s="1"/>
      <c r="G2417" s="1"/>
      <c r="H2417" s="1"/>
      <c r="I2417" s="1"/>
      <c r="J2417" s="1"/>
      <c r="K2417" s="89" t="s">
        <v>3779</v>
      </c>
      <c r="L2417" s="89" t="str">
        <f>I99</f>
        <v>C1b1a1b1a</v>
      </c>
      <c r="M2417" s="89"/>
      <c r="N2417" s="89" t="s">
        <v>3780</v>
      </c>
      <c r="O2417" s="89">
        <v>1.7319383E7</v>
      </c>
      <c r="P2417" s="89">
        <v>1.5207503E7</v>
      </c>
      <c r="Q2417" s="89" t="s">
        <v>912</v>
      </c>
      <c r="AF2417" s="1"/>
      <c r="AG2417" s="1"/>
    </row>
    <row r="2418" ht="15.75" customHeight="1">
      <c r="A2418" s="1"/>
      <c r="B2418" s="1"/>
      <c r="C2418" s="1"/>
      <c r="D2418" s="1"/>
      <c r="E2418" s="1"/>
      <c r="F2418" s="1"/>
      <c r="G2418" s="1"/>
      <c r="H2418" s="1"/>
      <c r="I2418" s="1"/>
      <c r="J2418" s="1"/>
      <c r="K2418" s="89" t="s">
        <v>3781</v>
      </c>
      <c r="L2418" s="89" t="str">
        <f>I99</f>
        <v>C1b1a1b1a</v>
      </c>
      <c r="M2418" s="89"/>
      <c r="N2418" s="89" t="s">
        <v>3782</v>
      </c>
      <c r="O2418" s="92">
        <v>1.737105E7</v>
      </c>
      <c r="P2418" s="92">
        <v>1.525917E7</v>
      </c>
      <c r="Q2418" s="89" t="s">
        <v>822</v>
      </c>
      <c r="AF2418" s="1"/>
      <c r="AG2418" s="1"/>
    </row>
    <row r="2419" ht="15.75" customHeight="1">
      <c r="A2419" s="1"/>
      <c r="B2419" s="1"/>
      <c r="C2419" s="1"/>
      <c r="D2419" s="1"/>
      <c r="E2419" s="1"/>
      <c r="F2419" s="1"/>
      <c r="G2419" s="1"/>
      <c r="H2419" s="1"/>
      <c r="I2419" s="1"/>
      <c r="J2419" s="1"/>
      <c r="K2419" s="89" t="s">
        <v>3783</v>
      </c>
      <c r="L2419" s="89" t="str">
        <f>I99</f>
        <v>C1b1a1b1a</v>
      </c>
      <c r="M2419" s="89"/>
      <c r="N2419" s="89" t="s">
        <v>3784</v>
      </c>
      <c r="O2419" s="92">
        <v>1.7482275E7</v>
      </c>
      <c r="P2419" s="92">
        <v>1.5370395E7</v>
      </c>
      <c r="Q2419" s="89" t="s">
        <v>810</v>
      </c>
      <c r="AF2419" s="1"/>
      <c r="AG2419" s="1"/>
    </row>
    <row r="2420" ht="15.75" customHeight="1">
      <c r="A2420" s="1"/>
      <c r="B2420" s="1"/>
      <c r="C2420" s="1"/>
      <c r="D2420" s="1"/>
      <c r="E2420" s="1"/>
      <c r="F2420" s="1"/>
      <c r="G2420" s="1"/>
      <c r="H2420" s="1"/>
      <c r="I2420" s="1"/>
      <c r="J2420" s="1"/>
      <c r="K2420" s="89" t="s">
        <v>3785</v>
      </c>
      <c r="L2420" s="89" t="str">
        <f>I99</f>
        <v>C1b1a1b1a</v>
      </c>
      <c r="M2420" s="89"/>
      <c r="N2420" s="89" t="s">
        <v>3786</v>
      </c>
      <c r="O2420" s="92">
        <v>1.7537194E7</v>
      </c>
      <c r="P2420" s="92">
        <v>1.5425314E7</v>
      </c>
      <c r="Q2420" s="89" t="s">
        <v>917</v>
      </c>
      <c r="AF2420" s="1"/>
      <c r="AG2420" s="1"/>
    </row>
    <row r="2421" ht="15.75" customHeight="1">
      <c r="A2421" s="1"/>
      <c r="B2421" s="1"/>
      <c r="C2421" s="1"/>
      <c r="D2421" s="1"/>
      <c r="E2421" s="1"/>
      <c r="F2421" s="1"/>
      <c r="G2421" s="1"/>
      <c r="H2421" s="1"/>
      <c r="I2421" s="1"/>
      <c r="J2421" s="1"/>
      <c r="K2421" s="89" t="s">
        <v>3787</v>
      </c>
      <c r="L2421" s="89" t="str">
        <f>I99</f>
        <v>C1b1a1b1a</v>
      </c>
      <c r="M2421" s="89"/>
      <c r="N2421" s="89" t="s">
        <v>3788</v>
      </c>
      <c r="O2421" s="89">
        <v>1.7661075E7</v>
      </c>
      <c r="P2421" s="89">
        <v>1.5549195E7</v>
      </c>
      <c r="Q2421" s="89" t="s">
        <v>879</v>
      </c>
      <c r="AF2421" s="1"/>
      <c r="AG2421" s="1"/>
    </row>
    <row r="2422" ht="15.75" customHeight="1">
      <c r="A2422" s="1"/>
      <c r="B2422" s="1"/>
      <c r="C2422" s="1"/>
      <c r="D2422" s="1"/>
      <c r="E2422" s="1"/>
      <c r="F2422" s="1"/>
      <c r="G2422" s="1"/>
      <c r="H2422" s="1"/>
      <c r="I2422" s="1"/>
      <c r="J2422" s="1"/>
      <c r="K2422" s="89" t="s">
        <v>3789</v>
      </c>
      <c r="L2422" s="89" t="str">
        <f>I99</f>
        <v>C1b1a1b1a</v>
      </c>
      <c r="M2422" s="89"/>
      <c r="N2422" s="89" t="s">
        <v>3790</v>
      </c>
      <c r="O2422" s="92">
        <v>1.7746601E7</v>
      </c>
      <c r="P2422" s="92">
        <v>1.5634721E7</v>
      </c>
      <c r="Q2422" s="89" t="s">
        <v>917</v>
      </c>
      <c r="AF2422" s="1"/>
      <c r="AG2422" s="1"/>
    </row>
    <row r="2423" ht="15.75" customHeight="1">
      <c r="A2423" s="1"/>
      <c r="B2423" s="1"/>
      <c r="C2423" s="1"/>
      <c r="D2423" s="1"/>
      <c r="E2423" s="1"/>
      <c r="F2423" s="1"/>
      <c r="G2423" s="1"/>
      <c r="H2423" s="1"/>
      <c r="I2423" s="1"/>
      <c r="J2423" s="1"/>
      <c r="K2423" s="89" t="s">
        <v>3791</v>
      </c>
      <c r="L2423" s="89" t="str">
        <f>I99</f>
        <v>C1b1a1b1a</v>
      </c>
      <c r="M2423" s="89"/>
      <c r="N2423" s="89" t="s">
        <v>3792</v>
      </c>
      <c r="O2423" s="92">
        <v>1.777574E7</v>
      </c>
      <c r="P2423" s="92">
        <v>1.566386E7</v>
      </c>
      <c r="Q2423" s="89" t="s">
        <v>810</v>
      </c>
      <c r="AF2423" s="1"/>
      <c r="AG2423" s="1"/>
    </row>
    <row r="2424" ht="15.75" customHeight="1">
      <c r="A2424" s="1"/>
      <c r="B2424" s="1"/>
      <c r="C2424" s="1"/>
      <c r="D2424" s="1"/>
      <c r="E2424" s="1"/>
      <c r="F2424" s="1"/>
      <c r="G2424" s="1"/>
      <c r="H2424" s="1"/>
      <c r="I2424" s="1"/>
      <c r="J2424" s="1"/>
      <c r="K2424" s="89" t="s">
        <v>3793</v>
      </c>
      <c r="L2424" s="89" t="str">
        <f>I99</f>
        <v>C1b1a1b1a</v>
      </c>
      <c r="M2424" s="89"/>
      <c r="N2424" s="89" t="s">
        <v>3794</v>
      </c>
      <c r="O2424" s="89">
        <v>1.7957975E7</v>
      </c>
      <c r="P2424" s="89">
        <v>1.5846095E7</v>
      </c>
      <c r="Q2424" s="89" t="s">
        <v>886</v>
      </c>
      <c r="AF2424" s="1"/>
      <c r="AG2424" s="1"/>
    </row>
    <row r="2425" ht="15.75" customHeight="1">
      <c r="A2425" s="1"/>
      <c r="B2425" s="1"/>
      <c r="C2425" s="1"/>
      <c r="D2425" s="1"/>
      <c r="E2425" s="1"/>
      <c r="F2425" s="1"/>
      <c r="G2425" s="1"/>
      <c r="H2425" s="1"/>
      <c r="I2425" s="1"/>
      <c r="J2425" s="1"/>
      <c r="K2425" s="89" t="s">
        <v>3795</v>
      </c>
      <c r="L2425" s="89" t="str">
        <f>I99</f>
        <v>C1b1a1b1a</v>
      </c>
      <c r="M2425" s="89"/>
      <c r="N2425" s="89" t="s">
        <v>3796</v>
      </c>
      <c r="O2425" s="89">
        <v>1.8055241E7</v>
      </c>
      <c r="P2425" s="89">
        <v>1.5943361E7</v>
      </c>
      <c r="Q2425" s="89" t="s">
        <v>813</v>
      </c>
      <c r="AF2425" s="1"/>
      <c r="AG2425" s="1"/>
    </row>
    <row r="2426" ht="15.75" customHeight="1">
      <c r="A2426" s="1"/>
      <c r="B2426" s="1"/>
      <c r="C2426" s="1"/>
      <c r="D2426" s="1"/>
      <c r="E2426" s="1"/>
      <c r="F2426" s="1"/>
      <c r="G2426" s="1"/>
      <c r="H2426" s="1"/>
      <c r="I2426" s="1"/>
      <c r="J2426" s="1"/>
      <c r="K2426" s="89" t="s">
        <v>3797</v>
      </c>
      <c r="L2426" s="89" t="str">
        <f>I99</f>
        <v>C1b1a1b1a</v>
      </c>
      <c r="M2426" s="89"/>
      <c r="N2426" s="89" t="s">
        <v>3798</v>
      </c>
      <c r="O2426" s="92">
        <v>1.8171383E7</v>
      </c>
      <c r="P2426" s="92">
        <v>1.6059503E7</v>
      </c>
      <c r="Q2426" s="89" t="s">
        <v>810</v>
      </c>
      <c r="AF2426" s="1"/>
      <c r="AG2426" s="1"/>
    </row>
    <row r="2427" ht="15.75" customHeight="1">
      <c r="A2427" s="1"/>
      <c r="B2427" s="1"/>
      <c r="C2427" s="1"/>
      <c r="D2427" s="1"/>
      <c r="E2427" s="1"/>
      <c r="F2427" s="1"/>
      <c r="G2427" s="1"/>
      <c r="H2427" s="1"/>
      <c r="I2427" s="1"/>
      <c r="J2427" s="1"/>
      <c r="K2427" s="89" t="s">
        <v>3799</v>
      </c>
      <c r="L2427" s="89" t="str">
        <f>I99</f>
        <v>C1b1a1b1a</v>
      </c>
      <c r="M2427" s="89"/>
      <c r="N2427" s="89" t="s">
        <v>3800</v>
      </c>
      <c r="O2427" s="92">
        <v>1.8187312E7</v>
      </c>
      <c r="P2427" s="92">
        <v>1.6075432E7</v>
      </c>
      <c r="Q2427" s="89" t="s">
        <v>810</v>
      </c>
      <c r="AF2427" s="1"/>
      <c r="AG2427" s="1"/>
    </row>
    <row r="2428" ht="15.75" customHeight="1">
      <c r="A2428" s="1"/>
      <c r="B2428" s="1"/>
      <c r="C2428" s="1"/>
      <c r="D2428" s="1"/>
      <c r="E2428" s="1"/>
      <c r="F2428" s="1"/>
      <c r="G2428" s="1"/>
      <c r="H2428" s="1"/>
      <c r="I2428" s="1"/>
      <c r="J2428" s="1"/>
      <c r="K2428" s="89" t="s">
        <v>3801</v>
      </c>
      <c r="L2428" s="89" t="str">
        <f>I99</f>
        <v>C1b1a1b1a</v>
      </c>
      <c r="M2428" s="89"/>
      <c r="N2428" s="89"/>
      <c r="O2428" s="92">
        <v>1.8553359E7</v>
      </c>
      <c r="P2428" s="92">
        <v>1.6441479E7</v>
      </c>
      <c r="Q2428" s="89" t="s">
        <v>886</v>
      </c>
      <c r="AF2428" s="1"/>
      <c r="AG2428" s="1"/>
    </row>
    <row r="2429" ht="15.75" customHeight="1">
      <c r="A2429" s="1"/>
      <c r="B2429" s="1"/>
      <c r="C2429" s="1"/>
      <c r="D2429" s="1"/>
      <c r="E2429" s="1"/>
      <c r="F2429" s="1"/>
      <c r="G2429" s="1"/>
      <c r="H2429" s="1"/>
      <c r="I2429" s="1"/>
      <c r="J2429" s="1"/>
      <c r="K2429" s="89" t="s">
        <v>3802</v>
      </c>
      <c r="L2429" s="89" t="str">
        <f>I99</f>
        <v>C1b1a1b1a</v>
      </c>
      <c r="M2429" s="89"/>
      <c r="N2429" s="89" t="s">
        <v>3803</v>
      </c>
      <c r="O2429" s="89">
        <v>1.8620233E7</v>
      </c>
      <c r="P2429" s="89">
        <v>1.6508353E7</v>
      </c>
      <c r="Q2429" s="89" t="s">
        <v>813</v>
      </c>
      <c r="AF2429" s="1"/>
      <c r="AG2429" s="1"/>
    </row>
    <row r="2430" ht="15.75" customHeight="1">
      <c r="A2430" s="1"/>
      <c r="B2430" s="1"/>
      <c r="C2430" s="1"/>
      <c r="D2430" s="1"/>
      <c r="E2430" s="1"/>
      <c r="F2430" s="1"/>
      <c r="G2430" s="1"/>
      <c r="H2430" s="1"/>
      <c r="I2430" s="1"/>
      <c r="J2430" s="1"/>
      <c r="K2430" s="89" t="s">
        <v>3804</v>
      </c>
      <c r="L2430" s="89" t="str">
        <f>I99</f>
        <v>C1b1a1b1a</v>
      </c>
      <c r="M2430" s="89"/>
      <c r="N2430" s="89" t="s">
        <v>3805</v>
      </c>
      <c r="O2430" s="89">
        <v>1.8643804E7</v>
      </c>
      <c r="P2430" s="89">
        <v>1.6531924E7</v>
      </c>
      <c r="Q2430" s="89" t="s">
        <v>810</v>
      </c>
      <c r="AF2430" s="1"/>
      <c r="AG2430" s="1"/>
    </row>
    <row r="2431" ht="15.75" customHeight="1">
      <c r="A2431" s="1"/>
      <c r="B2431" s="1"/>
      <c r="C2431" s="1"/>
      <c r="D2431" s="1"/>
      <c r="E2431" s="1"/>
      <c r="F2431" s="1"/>
      <c r="G2431" s="1"/>
      <c r="H2431" s="1"/>
      <c r="I2431" s="1"/>
      <c r="J2431" s="1"/>
      <c r="K2431" s="89" t="s">
        <v>3806</v>
      </c>
      <c r="L2431" s="89" t="str">
        <f>I99</f>
        <v>C1b1a1b1a</v>
      </c>
      <c r="M2431" s="89"/>
      <c r="N2431" s="89" t="s">
        <v>3807</v>
      </c>
      <c r="O2431" s="92">
        <v>1.8970695E7</v>
      </c>
      <c r="P2431" s="92">
        <v>1.6858815E7</v>
      </c>
      <c r="Q2431" s="89" t="s">
        <v>831</v>
      </c>
      <c r="AF2431" s="1"/>
      <c r="AG2431" s="1"/>
    </row>
    <row r="2432" ht="15.75" customHeight="1">
      <c r="A2432" s="1"/>
      <c r="B2432" s="1"/>
      <c r="C2432" s="1"/>
      <c r="D2432" s="1"/>
      <c r="E2432" s="1"/>
      <c r="F2432" s="1"/>
      <c r="G2432" s="1"/>
      <c r="H2432" s="1"/>
      <c r="I2432" s="1"/>
      <c r="J2432" s="1"/>
      <c r="K2432" s="89" t="s">
        <v>3808</v>
      </c>
      <c r="L2432" s="89" t="str">
        <f>I99</f>
        <v>C1b1a1b1a</v>
      </c>
      <c r="M2432" s="89"/>
      <c r="N2432" s="89" t="s">
        <v>3809</v>
      </c>
      <c r="O2432" s="92">
        <v>1.9124999E7</v>
      </c>
      <c r="P2432" s="92">
        <v>1.7013119E7</v>
      </c>
      <c r="Q2432" s="89" t="s">
        <v>802</v>
      </c>
      <c r="AF2432" s="1"/>
      <c r="AG2432" s="1"/>
    </row>
    <row r="2433" ht="15.75" customHeight="1">
      <c r="A2433" s="1"/>
      <c r="B2433" s="1"/>
      <c r="C2433" s="1"/>
      <c r="D2433" s="1"/>
      <c r="E2433" s="1"/>
      <c r="F2433" s="1"/>
      <c r="G2433" s="1"/>
      <c r="H2433" s="1"/>
      <c r="I2433" s="1"/>
      <c r="J2433" s="1"/>
      <c r="K2433" s="89" t="s">
        <v>3810</v>
      </c>
      <c r="L2433" s="89" t="str">
        <f>I99</f>
        <v>C1b1a1b1a</v>
      </c>
      <c r="M2433" s="89"/>
      <c r="N2433" s="89" t="s">
        <v>3811</v>
      </c>
      <c r="O2433" s="92">
        <v>1.9474264E7</v>
      </c>
      <c r="P2433" s="92">
        <v>1.7362384E7</v>
      </c>
      <c r="Q2433" s="89" t="s">
        <v>810</v>
      </c>
      <c r="AF2433" s="1"/>
      <c r="AG2433" s="1"/>
    </row>
    <row r="2434" ht="15.75" customHeight="1">
      <c r="A2434" s="1"/>
      <c r="B2434" s="1"/>
      <c r="C2434" s="1"/>
      <c r="D2434" s="1"/>
      <c r="E2434" s="1"/>
      <c r="F2434" s="1"/>
      <c r="G2434" s="1"/>
      <c r="H2434" s="1"/>
      <c r="I2434" s="1"/>
      <c r="J2434" s="1"/>
      <c r="K2434" s="89" t="s">
        <v>3812</v>
      </c>
      <c r="L2434" s="89" t="str">
        <f>I99</f>
        <v>C1b1a1b1a</v>
      </c>
      <c r="M2434" s="89"/>
      <c r="N2434" s="89" t="s">
        <v>3813</v>
      </c>
      <c r="O2434" s="92">
        <v>2.1303922E7</v>
      </c>
      <c r="P2434" s="92">
        <v>1.9142036E7</v>
      </c>
      <c r="Q2434" s="89" t="s">
        <v>813</v>
      </c>
      <c r="AF2434" s="1"/>
      <c r="AG2434" s="1"/>
    </row>
    <row r="2435" ht="15.75" customHeight="1">
      <c r="A2435" s="1"/>
      <c r="B2435" s="1"/>
      <c r="C2435" s="1"/>
      <c r="D2435" s="1"/>
      <c r="E2435" s="1"/>
      <c r="F2435" s="1"/>
      <c r="G2435" s="1"/>
      <c r="H2435" s="1"/>
      <c r="I2435" s="1"/>
      <c r="J2435" s="1"/>
      <c r="K2435" s="89" t="s">
        <v>3814</v>
      </c>
      <c r="L2435" s="89" t="str">
        <f>I99</f>
        <v>C1b1a1b1a</v>
      </c>
      <c r="M2435" s="89"/>
      <c r="N2435" s="89" t="s">
        <v>3815</v>
      </c>
      <c r="O2435" s="89">
        <v>2.1771944E7</v>
      </c>
      <c r="P2435" s="89">
        <v>1.9610058E7</v>
      </c>
      <c r="Q2435" s="89" t="s">
        <v>802</v>
      </c>
      <c r="AF2435" s="1"/>
      <c r="AG2435" s="1"/>
    </row>
    <row r="2436" ht="15.75" customHeight="1">
      <c r="A2436" s="1"/>
      <c r="B2436" s="1"/>
      <c r="C2436" s="1"/>
      <c r="D2436" s="1"/>
      <c r="E2436" s="1"/>
      <c r="F2436" s="1"/>
      <c r="G2436" s="1"/>
      <c r="H2436" s="1"/>
      <c r="I2436" s="1"/>
      <c r="J2436" s="1"/>
      <c r="K2436" s="89" t="s">
        <v>3816</v>
      </c>
      <c r="L2436" s="89" t="str">
        <f>I99</f>
        <v>C1b1a1b1a</v>
      </c>
      <c r="M2436" s="89"/>
      <c r="N2436" s="89" t="s">
        <v>3817</v>
      </c>
      <c r="O2436" s="89">
        <v>2.2624533E7</v>
      </c>
      <c r="P2436" s="89">
        <v>2.0462647E7</v>
      </c>
      <c r="Q2436" s="89" t="s">
        <v>879</v>
      </c>
      <c r="AF2436" s="1"/>
      <c r="AG2436" s="1"/>
    </row>
    <row r="2437" ht="15.75" customHeight="1">
      <c r="A2437" s="1"/>
      <c r="B2437" s="1"/>
      <c r="C2437" s="1"/>
      <c r="D2437" s="1"/>
      <c r="E2437" s="1"/>
      <c r="F2437" s="1"/>
      <c r="G2437" s="1"/>
      <c r="H2437" s="1"/>
      <c r="I2437" s="1"/>
      <c r="J2437" s="1"/>
      <c r="K2437" s="89" t="s">
        <v>3818</v>
      </c>
      <c r="L2437" s="89" t="str">
        <f>I99</f>
        <v>C1b1a1b1a</v>
      </c>
      <c r="M2437" s="89"/>
      <c r="N2437" s="89" t="s">
        <v>3819</v>
      </c>
      <c r="O2437" s="92">
        <v>2.2813257E7</v>
      </c>
      <c r="P2437" s="92">
        <v>2.0651371E7</v>
      </c>
      <c r="Q2437" s="89" t="s">
        <v>802</v>
      </c>
      <c r="AF2437" s="1"/>
      <c r="AG2437" s="1"/>
    </row>
    <row r="2438" ht="15.75" customHeight="1">
      <c r="A2438" s="1"/>
      <c r="B2438" s="1"/>
      <c r="C2438" s="1"/>
      <c r="D2438" s="1"/>
      <c r="E2438" s="1"/>
      <c r="F2438" s="1"/>
      <c r="G2438" s="1"/>
      <c r="H2438" s="1"/>
      <c r="I2438" s="1"/>
      <c r="J2438" s="1"/>
      <c r="K2438" s="89" t="s">
        <v>3820</v>
      </c>
      <c r="L2438" s="89" t="str">
        <f>I99</f>
        <v>C1b1a1b1a</v>
      </c>
      <c r="M2438" s="89"/>
      <c r="N2438" s="89" t="s">
        <v>3821</v>
      </c>
      <c r="O2438" s="89">
        <v>2.3048979E7</v>
      </c>
      <c r="P2438" s="89">
        <v>2.0887093E7</v>
      </c>
      <c r="Q2438" s="89" t="s">
        <v>802</v>
      </c>
      <c r="AF2438" s="1"/>
      <c r="AG2438" s="1"/>
    </row>
    <row r="2439" ht="15.75" customHeight="1">
      <c r="A2439" s="1"/>
      <c r="B2439" s="1"/>
      <c r="C2439" s="1"/>
      <c r="D2439" s="1"/>
      <c r="E2439" s="1"/>
      <c r="F2439" s="1"/>
      <c r="G2439" s="1"/>
      <c r="H2439" s="1"/>
      <c r="I2439" s="1"/>
      <c r="J2439" s="1"/>
      <c r="K2439" s="89" t="s">
        <v>3822</v>
      </c>
      <c r="L2439" s="89" t="str">
        <f>I99</f>
        <v>C1b1a1b1a</v>
      </c>
      <c r="M2439" s="89"/>
      <c r="N2439" s="89" t="s">
        <v>3823</v>
      </c>
      <c r="O2439" s="92">
        <v>2.3287597E7</v>
      </c>
      <c r="P2439" s="92">
        <v>2.1125711E7</v>
      </c>
      <c r="Q2439" s="89" t="s">
        <v>917</v>
      </c>
      <c r="AF2439" s="1"/>
      <c r="AG2439" s="1"/>
    </row>
    <row r="2440" ht="15.75" customHeight="1">
      <c r="A2440" s="1"/>
      <c r="B2440" s="1"/>
      <c r="C2440" s="1"/>
      <c r="D2440" s="1"/>
      <c r="E2440" s="1"/>
      <c r="F2440" s="1"/>
      <c r="G2440" s="1"/>
      <c r="H2440" s="1"/>
      <c r="I2440" s="1"/>
      <c r="J2440" s="1"/>
      <c r="K2440" s="89" t="s">
        <v>3824</v>
      </c>
      <c r="L2440" s="89" t="str">
        <f>I99</f>
        <v>C1b1a1b1a</v>
      </c>
      <c r="M2440" s="89"/>
      <c r="N2440" s="89" t="s">
        <v>3825</v>
      </c>
      <c r="O2440" s="92">
        <v>2.3332484E7</v>
      </c>
      <c r="P2440" s="92">
        <v>2.1170598E7</v>
      </c>
      <c r="Q2440" s="89" t="s">
        <v>802</v>
      </c>
      <c r="AF2440" s="1"/>
      <c r="AG2440" s="1"/>
    </row>
    <row r="2441" ht="15.75" customHeight="1">
      <c r="A2441" s="1"/>
      <c r="B2441" s="1"/>
      <c r="C2441" s="1"/>
      <c r="D2441" s="1"/>
      <c r="E2441" s="1"/>
      <c r="F2441" s="1"/>
      <c r="G2441" s="1"/>
      <c r="H2441" s="1"/>
      <c r="I2441" s="1"/>
      <c r="J2441" s="1"/>
      <c r="K2441" s="89" t="s">
        <v>3826</v>
      </c>
      <c r="L2441" s="89" t="str">
        <f>I99</f>
        <v>C1b1a1b1a</v>
      </c>
      <c r="M2441" s="89"/>
      <c r="N2441" s="89" t="s">
        <v>3827</v>
      </c>
      <c r="O2441" s="92">
        <v>2.3525722E7</v>
      </c>
      <c r="P2441" s="92">
        <v>2.1363836E7</v>
      </c>
      <c r="Q2441" s="89" t="s">
        <v>838</v>
      </c>
      <c r="AF2441" s="1"/>
      <c r="AG2441" s="1"/>
    </row>
    <row r="2442" ht="15.75" customHeight="1">
      <c r="A2442" s="1"/>
      <c r="B2442" s="1"/>
      <c r="C2442" s="1"/>
      <c r="D2442" s="1"/>
      <c r="E2442" s="1"/>
      <c r="F2442" s="1"/>
      <c r="G2442" s="1"/>
      <c r="H2442" s="1"/>
      <c r="I2442" s="1"/>
      <c r="J2442" s="1"/>
      <c r="K2442" s="89" t="s">
        <v>3828</v>
      </c>
      <c r="L2442" s="89" t="str">
        <f>I99</f>
        <v>C1b1a1b1a</v>
      </c>
      <c r="M2442" s="89"/>
      <c r="N2442" s="89" t="s">
        <v>3829</v>
      </c>
      <c r="O2442" s="92">
        <v>2.3560878E7</v>
      </c>
      <c r="P2442" s="92">
        <v>2.1398992E7</v>
      </c>
      <c r="Q2442" s="89" t="s">
        <v>813</v>
      </c>
      <c r="AF2442" s="1"/>
      <c r="AG2442" s="1"/>
    </row>
    <row r="2443" ht="15.75" customHeight="1">
      <c r="A2443" s="1"/>
      <c r="B2443" s="1"/>
      <c r="C2443" s="1"/>
      <c r="D2443" s="1"/>
      <c r="E2443" s="1"/>
      <c r="F2443" s="1"/>
      <c r="G2443" s="1"/>
      <c r="H2443" s="1"/>
      <c r="I2443" s="1"/>
      <c r="J2443" s="1"/>
      <c r="K2443" s="89" t="s">
        <v>3830</v>
      </c>
      <c r="L2443" s="89" t="str">
        <f>I99</f>
        <v>C1b1a1b1a</v>
      </c>
      <c r="M2443" s="89"/>
      <c r="N2443" s="89" t="s">
        <v>3831</v>
      </c>
      <c r="O2443" s="92">
        <v>2.3596346E7</v>
      </c>
      <c r="P2443" s="92">
        <v>2.143446E7</v>
      </c>
      <c r="Q2443" s="89" t="s">
        <v>802</v>
      </c>
      <c r="AF2443" s="1"/>
      <c r="AG2443" s="1"/>
    </row>
    <row r="2444" ht="15.75" customHeight="1">
      <c r="A2444" s="1"/>
      <c r="B2444" s="1"/>
      <c r="C2444" s="1"/>
      <c r="D2444" s="1"/>
      <c r="E2444" s="1"/>
      <c r="F2444" s="1"/>
      <c r="G2444" s="1"/>
      <c r="H2444" s="1"/>
      <c r="I2444" s="1"/>
      <c r="J2444" s="1"/>
      <c r="K2444" s="89" t="s">
        <v>3832</v>
      </c>
      <c r="L2444" s="89" t="str">
        <f>I99</f>
        <v>C1b1a1b1a</v>
      </c>
      <c r="M2444" s="89"/>
      <c r="N2444" s="89"/>
      <c r="O2444" s="92">
        <v>2.4370583E7</v>
      </c>
      <c r="P2444" s="92">
        <v>2.2224436E7</v>
      </c>
      <c r="Q2444" s="89" t="s">
        <v>831</v>
      </c>
      <c r="AF2444" s="1"/>
      <c r="AG2444" s="1"/>
    </row>
    <row r="2445" ht="15.75" customHeight="1">
      <c r="A2445" s="1"/>
      <c r="B2445" s="1"/>
      <c r="C2445" s="1"/>
      <c r="D2445" s="1"/>
      <c r="E2445" s="1"/>
      <c r="F2445" s="1"/>
      <c r="G2445" s="1"/>
      <c r="H2445" s="1"/>
      <c r="I2445" s="1"/>
      <c r="J2445" s="1"/>
      <c r="K2445" s="89" t="s">
        <v>3833</v>
      </c>
      <c r="L2445" s="89" t="str">
        <f>J100</f>
        <v>C1b1a1b1a1~</v>
      </c>
      <c r="M2445" s="89"/>
      <c r="N2445" s="89"/>
      <c r="O2445" s="89">
        <v>6783586.0</v>
      </c>
      <c r="P2445" s="89">
        <v>6915545.0</v>
      </c>
      <c r="Q2445" s="89" t="s">
        <v>879</v>
      </c>
      <c r="AF2445" s="1"/>
      <c r="AG2445" s="1"/>
    </row>
    <row r="2446" ht="15.75" customHeight="1">
      <c r="A2446" s="1"/>
      <c r="B2446" s="1"/>
      <c r="C2446" s="1"/>
      <c r="D2446" s="1"/>
      <c r="E2446" s="1"/>
      <c r="F2446" s="1"/>
      <c r="G2446" s="1"/>
      <c r="H2446" s="1"/>
      <c r="I2446" s="1"/>
      <c r="J2446" s="1"/>
      <c r="K2446" s="89" t="s">
        <v>3834</v>
      </c>
      <c r="L2446" s="89" t="str">
        <f>J100</f>
        <v>C1b1a1b1a1~</v>
      </c>
      <c r="M2446" s="89"/>
      <c r="N2446" s="89" t="s">
        <v>3835</v>
      </c>
      <c r="O2446" s="92">
        <v>6912087.0</v>
      </c>
      <c r="P2446" s="92">
        <v>7044046.0</v>
      </c>
      <c r="Q2446" s="89" t="s">
        <v>822</v>
      </c>
      <c r="AF2446" s="1"/>
      <c r="AG2446" s="1"/>
    </row>
    <row r="2447" ht="15.75" customHeight="1">
      <c r="A2447" s="1"/>
      <c r="B2447" s="1"/>
      <c r="C2447" s="1"/>
      <c r="D2447" s="1"/>
      <c r="E2447" s="1"/>
      <c r="F2447" s="1"/>
      <c r="G2447" s="1"/>
      <c r="H2447" s="1"/>
      <c r="I2447" s="1"/>
      <c r="J2447" s="1"/>
      <c r="K2447" s="89" t="s">
        <v>3836</v>
      </c>
      <c r="L2447" s="89" t="str">
        <f>J100</f>
        <v>C1b1a1b1a1~</v>
      </c>
      <c r="M2447" s="89"/>
      <c r="N2447" s="89" t="s">
        <v>3837</v>
      </c>
      <c r="O2447" s="89">
        <v>7239848.0</v>
      </c>
      <c r="P2447" s="89">
        <v>7371807.0</v>
      </c>
      <c r="Q2447" s="89" t="s">
        <v>822</v>
      </c>
      <c r="AF2447" s="1"/>
      <c r="AG2447" s="1"/>
    </row>
    <row r="2448" ht="15.75" customHeight="1">
      <c r="A2448" s="1"/>
      <c r="B2448" s="1"/>
      <c r="C2448" s="1"/>
      <c r="D2448" s="1"/>
      <c r="E2448" s="1"/>
      <c r="F2448" s="1"/>
      <c r="G2448" s="1"/>
      <c r="H2448" s="1"/>
      <c r="I2448" s="1"/>
      <c r="J2448" s="1"/>
      <c r="K2448" s="89" t="s">
        <v>3838</v>
      </c>
      <c r="L2448" s="89" t="str">
        <f t="shared" ref="L2448:L2449" si="19">J100</f>
        <v>C1b1a1b1a1~</v>
      </c>
      <c r="M2448" s="89"/>
      <c r="N2448" s="89"/>
      <c r="O2448" s="89">
        <v>7704287.0</v>
      </c>
      <c r="P2448" s="89">
        <v>7836246.0</v>
      </c>
      <c r="Q2448" s="89" t="s">
        <v>802</v>
      </c>
      <c r="AF2448" s="1"/>
      <c r="AG2448" s="1"/>
    </row>
    <row r="2449" ht="15.75" customHeight="1">
      <c r="A2449" s="1"/>
      <c r="B2449" s="1"/>
      <c r="C2449" s="1"/>
      <c r="D2449" s="1"/>
      <c r="E2449" s="1"/>
      <c r="F2449" s="1"/>
      <c r="G2449" s="1"/>
      <c r="H2449" s="1"/>
      <c r="I2449" s="1"/>
      <c r="J2449" s="1"/>
      <c r="K2449" s="89" t="s">
        <v>3839</v>
      </c>
      <c r="L2449" s="89" t="str">
        <f t="shared" si="19"/>
        <v>C1b1a1b1a2~</v>
      </c>
      <c r="M2449" s="89" t="s">
        <v>3840</v>
      </c>
      <c r="N2449" s="89" t="s">
        <v>3841</v>
      </c>
      <c r="O2449" s="89">
        <v>7769936.0</v>
      </c>
      <c r="P2449" s="89">
        <v>7901895.0</v>
      </c>
      <c r="Q2449" s="89" t="s">
        <v>802</v>
      </c>
      <c r="AF2449" s="1"/>
      <c r="AG2449" s="1"/>
    </row>
    <row r="2450" ht="15.75" customHeight="1">
      <c r="A2450" s="1"/>
      <c r="B2450" s="1"/>
      <c r="C2450" s="1"/>
      <c r="D2450" s="1"/>
      <c r="E2450" s="1"/>
      <c r="F2450" s="1"/>
      <c r="G2450" s="1"/>
      <c r="H2450" s="1"/>
      <c r="I2450" s="1"/>
      <c r="J2450" s="1"/>
      <c r="K2450" s="89" t="s">
        <v>3840</v>
      </c>
      <c r="L2450" s="89" t="str">
        <f>J101</f>
        <v>C1b1a1b1a2~</v>
      </c>
      <c r="M2450" s="89" t="s">
        <v>3839</v>
      </c>
      <c r="N2450" s="89" t="s">
        <v>3841</v>
      </c>
      <c r="O2450" s="89">
        <v>7769936.0</v>
      </c>
      <c r="P2450" s="89">
        <v>7901895.0</v>
      </c>
      <c r="Q2450" s="89" t="s">
        <v>802</v>
      </c>
      <c r="AF2450" s="1"/>
      <c r="AG2450" s="1"/>
    </row>
    <row r="2451" ht="15.75" customHeight="1">
      <c r="A2451" s="1"/>
      <c r="B2451" s="1"/>
      <c r="C2451" s="1"/>
      <c r="D2451" s="1"/>
      <c r="E2451" s="1"/>
      <c r="F2451" s="1"/>
      <c r="G2451" s="1"/>
      <c r="H2451" s="1"/>
      <c r="I2451" s="1"/>
      <c r="J2451" s="1"/>
      <c r="K2451" s="89" t="s">
        <v>3842</v>
      </c>
      <c r="L2451" s="89" t="str">
        <f>J101</f>
        <v>C1b1a1b1a2~</v>
      </c>
      <c r="M2451" s="89"/>
      <c r="N2451" s="89" t="s">
        <v>3843</v>
      </c>
      <c r="O2451" s="89">
        <v>2811404.0</v>
      </c>
      <c r="P2451" s="89">
        <v>2943363.0</v>
      </c>
      <c r="Q2451" s="89" t="s">
        <v>838</v>
      </c>
      <c r="AF2451" s="1"/>
      <c r="AG2451" s="1"/>
    </row>
    <row r="2452" ht="15.75" customHeight="1">
      <c r="A2452" s="1"/>
      <c r="B2452" s="1"/>
      <c r="C2452" s="1"/>
      <c r="D2452" s="1"/>
      <c r="E2452" s="1"/>
      <c r="F2452" s="1"/>
      <c r="G2452" s="1"/>
      <c r="H2452" s="1"/>
      <c r="I2452" s="1"/>
      <c r="J2452" s="1"/>
      <c r="K2452" s="89" t="s">
        <v>3844</v>
      </c>
      <c r="L2452" s="89" t="str">
        <f>J101</f>
        <v>C1b1a1b1a2~</v>
      </c>
      <c r="M2452" s="89"/>
      <c r="N2452" s="89" t="s">
        <v>3845</v>
      </c>
      <c r="O2452" s="92">
        <v>7704587.0</v>
      </c>
      <c r="P2452" s="92">
        <v>7836546.0</v>
      </c>
      <c r="Q2452" s="89" t="s">
        <v>802</v>
      </c>
      <c r="AF2452" s="1"/>
      <c r="AG2452" s="1"/>
    </row>
    <row r="2453" ht="15.75" customHeight="1">
      <c r="A2453" s="1"/>
      <c r="B2453" s="1"/>
      <c r="C2453" s="1"/>
      <c r="D2453" s="1"/>
      <c r="E2453" s="1"/>
      <c r="F2453" s="1"/>
      <c r="G2453" s="1"/>
      <c r="H2453" s="1"/>
      <c r="I2453" s="1"/>
      <c r="J2453" s="1"/>
      <c r="K2453" s="89" t="s">
        <v>3846</v>
      </c>
      <c r="L2453" s="89" t="str">
        <f>J101</f>
        <v>C1b1a1b1a2~</v>
      </c>
      <c r="M2453" s="89"/>
      <c r="N2453" s="89" t="s">
        <v>3847</v>
      </c>
      <c r="O2453" s="89">
        <v>1.7237289E7</v>
      </c>
      <c r="P2453" s="89">
        <v>1.5125409E7</v>
      </c>
      <c r="Q2453" s="89" t="s">
        <v>802</v>
      </c>
      <c r="AF2453" s="1"/>
      <c r="AG2453" s="1"/>
    </row>
    <row r="2454" ht="15.75" customHeight="1">
      <c r="A2454" s="1"/>
      <c r="B2454" s="1"/>
      <c r="C2454" s="1"/>
      <c r="D2454" s="1"/>
      <c r="E2454" s="1"/>
      <c r="F2454" s="1"/>
      <c r="G2454" s="1"/>
      <c r="H2454" s="1"/>
      <c r="I2454" s="1"/>
      <c r="J2454" s="1"/>
      <c r="K2454" s="89" t="s">
        <v>3848</v>
      </c>
      <c r="L2454" s="89" t="str">
        <f>J101</f>
        <v>C1b1a1b1a2~</v>
      </c>
      <c r="M2454" s="89"/>
      <c r="N2454" s="89" t="s">
        <v>3849</v>
      </c>
      <c r="O2454" s="89">
        <v>1.7305125E7</v>
      </c>
      <c r="P2454" s="89">
        <v>1.5193245E7</v>
      </c>
      <c r="Q2454" s="89" t="s">
        <v>838</v>
      </c>
      <c r="AF2454" s="1"/>
      <c r="AG2454" s="1"/>
    </row>
    <row r="2455" ht="15.75" customHeight="1">
      <c r="A2455" s="1"/>
      <c r="B2455" s="1"/>
      <c r="C2455" s="1"/>
      <c r="D2455" s="1"/>
      <c r="E2455" s="1"/>
      <c r="F2455" s="1"/>
      <c r="G2455" s="1"/>
      <c r="H2455" s="1"/>
      <c r="I2455" s="1"/>
      <c r="J2455" s="1"/>
      <c r="K2455" s="93" t="s">
        <v>3850</v>
      </c>
      <c r="L2455" s="89" t="str">
        <f>I102</f>
        <v>C1b1a1b1b~</v>
      </c>
      <c r="M2455" s="93" t="s">
        <v>3851</v>
      </c>
      <c r="N2455" s="89"/>
      <c r="O2455" s="98">
        <v>8008110.0</v>
      </c>
      <c r="P2455" s="101">
        <v>7876151.0</v>
      </c>
      <c r="Q2455" s="93" t="s">
        <v>802</v>
      </c>
      <c r="AF2455" s="1"/>
      <c r="AG2455" s="1"/>
    </row>
    <row r="2456" ht="15.75" customHeight="1">
      <c r="A2456" s="1"/>
      <c r="B2456" s="1"/>
      <c r="C2456" s="1"/>
      <c r="D2456" s="1"/>
      <c r="E2456" s="1"/>
      <c r="F2456" s="1"/>
      <c r="G2456" s="1"/>
      <c r="H2456" s="1"/>
      <c r="I2456" s="1"/>
      <c r="J2456" s="1"/>
      <c r="K2456" s="93" t="s">
        <v>3851</v>
      </c>
      <c r="L2456" s="89" t="str">
        <f>I102</f>
        <v>C1b1a1b1b~</v>
      </c>
      <c r="M2456" s="93" t="s">
        <v>3850</v>
      </c>
      <c r="N2456" s="89"/>
      <c r="O2456" s="98">
        <v>8008110.0</v>
      </c>
      <c r="P2456" s="101">
        <v>7876151.0</v>
      </c>
      <c r="Q2456" s="93" t="s">
        <v>802</v>
      </c>
      <c r="AF2456" s="1"/>
      <c r="AG2456" s="1"/>
    </row>
    <row r="2457" ht="15.75" customHeight="1">
      <c r="A2457" s="1"/>
      <c r="B2457" s="1"/>
      <c r="C2457" s="1"/>
      <c r="D2457" s="1"/>
      <c r="E2457" s="1"/>
      <c r="F2457" s="1"/>
      <c r="G2457" s="1"/>
      <c r="H2457" s="1"/>
      <c r="I2457" s="1"/>
      <c r="J2457" s="1"/>
      <c r="K2457" s="93" t="s">
        <v>3852</v>
      </c>
      <c r="L2457" s="89" t="str">
        <f>I102</f>
        <v>C1b1a1b1b~</v>
      </c>
      <c r="M2457" s="93" t="s">
        <v>3853</v>
      </c>
      <c r="N2457" s="89"/>
      <c r="O2457" s="101">
        <v>7799926.0</v>
      </c>
      <c r="P2457" s="98">
        <v>7931885.0</v>
      </c>
      <c r="Q2457" s="93" t="s">
        <v>838</v>
      </c>
      <c r="AF2457" s="1"/>
      <c r="AG2457" s="1"/>
    </row>
    <row r="2458" ht="15.75" customHeight="1">
      <c r="A2458" s="1"/>
      <c r="B2458" s="1"/>
      <c r="C2458" s="1"/>
      <c r="D2458" s="1"/>
      <c r="E2458" s="1"/>
      <c r="F2458" s="1"/>
      <c r="G2458" s="1"/>
      <c r="H2458" s="1"/>
      <c r="I2458" s="1"/>
      <c r="J2458" s="1"/>
      <c r="K2458" s="93" t="s">
        <v>3853</v>
      </c>
      <c r="L2458" s="89" t="str">
        <f>I102</f>
        <v>C1b1a1b1b~</v>
      </c>
      <c r="M2458" s="93" t="s">
        <v>3852</v>
      </c>
      <c r="N2458" s="89"/>
      <c r="O2458" s="101">
        <v>7799926.0</v>
      </c>
      <c r="P2458" s="98">
        <v>7931885.0</v>
      </c>
      <c r="Q2458" s="93" t="s">
        <v>838</v>
      </c>
      <c r="AF2458" s="1"/>
      <c r="AG2458" s="1"/>
    </row>
    <row r="2459" ht="15.75" customHeight="1">
      <c r="A2459" s="1"/>
      <c r="B2459" s="1"/>
      <c r="C2459" s="1"/>
      <c r="D2459" s="1"/>
      <c r="E2459" s="1"/>
      <c r="F2459" s="1"/>
      <c r="G2459" s="1"/>
      <c r="H2459" s="1"/>
      <c r="I2459" s="1"/>
      <c r="J2459" s="1"/>
      <c r="K2459" s="93" t="s">
        <v>3854</v>
      </c>
      <c r="L2459" s="89" t="str">
        <f>I102</f>
        <v>C1b1a1b1b~</v>
      </c>
      <c r="M2459" s="93" t="s">
        <v>3855</v>
      </c>
      <c r="N2459" s="89"/>
      <c r="O2459" s="101">
        <v>7793289.0</v>
      </c>
      <c r="P2459" s="98">
        <v>7925248.0</v>
      </c>
      <c r="Q2459" s="93" t="s">
        <v>810</v>
      </c>
      <c r="AF2459" s="1"/>
      <c r="AG2459" s="1"/>
    </row>
    <row r="2460" ht="15.75" customHeight="1">
      <c r="A2460" s="1"/>
      <c r="B2460" s="1"/>
      <c r="C2460" s="1"/>
      <c r="D2460" s="1"/>
      <c r="E2460" s="1"/>
      <c r="F2460" s="1"/>
      <c r="G2460" s="1"/>
      <c r="H2460" s="1"/>
      <c r="I2460" s="1"/>
      <c r="J2460" s="1"/>
      <c r="K2460" s="93" t="s">
        <v>3855</v>
      </c>
      <c r="L2460" s="89" t="str">
        <f>I102</f>
        <v>C1b1a1b1b~</v>
      </c>
      <c r="M2460" s="93" t="s">
        <v>3854</v>
      </c>
      <c r="N2460" s="89"/>
      <c r="O2460" s="101">
        <v>7793289.0</v>
      </c>
      <c r="P2460" s="98">
        <v>7925248.0</v>
      </c>
      <c r="Q2460" s="93" t="s">
        <v>810</v>
      </c>
      <c r="AF2460" s="1"/>
      <c r="AG2460" s="1"/>
    </row>
    <row r="2461" ht="15.75" customHeight="1">
      <c r="A2461" s="1"/>
      <c r="B2461" s="1"/>
      <c r="C2461" s="1"/>
      <c r="D2461" s="1"/>
      <c r="E2461" s="1"/>
      <c r="F2461" s="1"/>
      <c r="G2461" s="1"/>
      <c r="H2461" s="1"/>
      <c r="I2461" s="1"/>
      <c r="J2461" s="1"/>
      <c r="K2461" s="93" t="s">
        <v>3856</v>
      </c>
      <c r="L2461" s="89" t="str">
        <f>I102</f>
        <v>C1b1a1b1b~</v>
      </c>
      <c r="M2461" s="89"/>
      <c r="N2461" s="89"/>
      <c r="O2461" s="101">
        <v>7705895.0</v>
      </c>
      <c r="P2461" s="98">
        <v>7837854.0</v>
      </c>
      <c r="Q2461" s="93" t="s">
        <v>838</v>
      </c>
      <c r="AF2461" s="1"/>
      <c r="AG2461" s="1"/>
    </row>
    <row r="2462" ht="15.75" customHeight="1">
      <c r="A2462" s="1"/>
      <c r="B2462" s="1"/>
      <c r="C2462" s="1"/>
      <c r="D2462" s="1"/>
      <c r="E2462" s="1"/>
      <c r="F2462" s="1"/>
      <c r="G2462" s="1"/>
      <c r="H2462" s="1"/>
      <c r="I2462" s="1"/>
      <c r="J2462" s="1"/>
      <c r="K2462" s="93" t="s">
        <v>3857</v>
      </c>
      <c r="L2462" s="89" t="str">
        <f>I102</f>
        <v>C1b1a1b1b~</v>
      </c>
      <c r="M2462" s="93" t="s">
        <v>3858</v>
      </c>
      <c r="N2462" s="89"/>
      <c r="O2462" s="101">
        <v>2715250.0</v>
      </c>
      <c r="P2462" s="98">
        <v>2847209.0</v>
      </c>
      <c r="Q2462" s="93" t="s">
        <v>810</v>
      </c>
      <c r="AF2462" s="1"/>
      <c r="AG2462" s="1"/>
    </row>
    <row r="2463" ht="15.75" customHeight="1">
      <c r="A2463" s="1"/>
      <c r="B2463" s="1"/>
      <c r="C2463" s="1"/>
      <c r="D2463" s="1"/>
      <c r="E2463" s="1"/>
      <c r="F2463" s="1"/>
      <c r="G2463" s="1"/>
      <c r="H2463" s="1"/>
      <c r="I2463" s="1"/>
      <c r="J2463" s="1"/>
      <c r="K2463" s="93" t="s">
        <v>3858</v>
      </c>
      <c r="L2463" s="89" t="str">
        <f>I102</f>
        <v>C1b1a1b1b~</v>
      </c>
      <c r="M2463" s="93" t="s">
        <v>3857</v>
      </c>
      <c r="N2463" s="89"/>
      <c r="O2463" s="101">
        <v>2715250.0</v>
      </c>
      <c r="P2463" s="98">
        <v>2847209.0</v>
      </c>
      <c r="Q2463" s="93" t="s">
        <v>810</v>
      </c>
      <c r="AF2463" s="1"/>
      <c r="AG2463" s="1"/>
    </row>
    <row r="2464" ht="15.75" customHeight="1">
      <c r="A2464" s="1"/>
      <c r="B2464" s="1"/>
      <c r="C2464" s="1"/>
      <c r="D2464" s="1"/>
      <c r="E2464" s="1"/>
      <c r="F2464" s="1"/>
      <c r="G2464" s="1"/>
      <c r="H2464" s="1"/>
      <c r="I2464" s="1"/>
      <c r="J2464" s="1"/>
      <c r="K2464" s="89" t="s">
        <v>3859</v>
      </c>
      <c r="L2464" s="89" t="str">
        <f>H103</f>
        <v>C1b1a1b2~</v>
      </c>
      <c r="M2464" s="89"/>
      <c r="N2464" s="89" t="s">
        <v>3860</v>
      </c>
      <c r="O2464" s="89">
        <v>1.5208788E7</v>
      </c>
      <c r="P2464" s="89">
        <v>1.3096874E7</v>
      </c>
      <c r="Q2464" s="89" t="s">
        <v>810</v>
      </c>
      <c r="AF2464" s="1"/>
      <c r="AG2464" s="1"/>
    </row>
    <row r="2465" ht="15.75" customHeight="1">
      <c r="A2465" s="1"/>
      <c r="B2465" s="1"/>
      <c r="C2465" s="1"/>
      <c r="D2465" s="1"/>
      <c r="E2465" s="1"/>
      <c r="F2465" s="1"/>
      <c r="G2465" s="1"/>
      <c r="H2465" s="1"/>
      <c r="I2465" s="1"/>
      <c r="J2465" s="1"/>
      <c r="K2465" s="89" t="s">
        <v>3861</v>
      </c>
      <c r="L2465" s="89" t="str">
        <f>H103</f>
        <v>C1b1a1b2~</v>
      </c>
      <c r="M2465" s="89"/>
      <c r="N2465" s="89" t="s">
        <v>3862</v>
      </c>
      <c r="O2465" s="89">
        <v>2728723.0</v>
      </c>
      <c r="P2465" s="89">
        <v>2860682.0</v>
      </c>
      <c r="Q2465" s="89" t="s">
        <v>864</v>
      </c>
      <c r="AF2465" s="1"/>
      <c r="AG2465" s="1"/>
    </row>
    <row r="2466" ht="15.75" customHeight="1">
      <c r="A2466" s="1"/>
      <c r="B2466" s="1"/>
      <c r="C2466" s="1"/>
      <c r="D2466" s="1"/>
      <c r="E2466" s="1"/>
      <c r="F2466" s="1"/>
      <c r="G2466" s="1"/>
      <c r="H2466" s="1"/>
      <c r="I2466" s="1"/>
      <c r="J2466" s="1"/>
      <c r="K2466" s="89" t="s">
        <v>3863</v>
      </c>
      <c r="L2466" s="89" t="str">
        <f>H103</f>
        <v>C1b1a1b2~</v>
      </c>
      <c r="M2466" s="89"/>
      <c r="N2466" s="89" t="s">
        <v>3864</v>
      </c>
      <c r="O2466" s="89">
        <v>6752814.0</v>
      </c>
      <c r="P2466" s="89">
        <v>6884773.0</v>
      </c>
      <c r="Q2466" s="89" t="s">
        <v>831</v>
      </c>
      <c r="AF2466" s="1"/>
      <c r="AG2466" s="1"/>
    </row>
    <row r="2467" ht="15.75" customHeight="1">
      <c r="A2467" s="1"/>
      <c r="B2467" s="1"/>
      <c r="C2467" s="1"/>
      <c r="D2467" s="1"/>
      <c r="E2467" s="1"/>
      <c r="F2467" s="1"/>
      <c r="G2467" s="1"/>
      <c r="H2467" s="1"/>
      <c r="I2467" s="1"/>
      <c r="J2467" s="1"/>
      <c r="K2467" s="89" t="s">
        <v>3865</v>
      </c>
      <c r="L2467" s="89" t="str">
        <f>H103</f>
        <v>C1b1a1b2~</v>
      </c>
      <c r="M2467" s="89"/>
      <c r="N2467" s="89" t="s">
        <v>3866</v>
      </c>
      <c r="O2467" s="92">
        <v>6824287.0</v>
      </c>
      <c r="P2467" s="92">
        <v>6956246.0</v>
      </c>
      <c r="Q2467" s="89" t="s">
        <v>822</v>
      </c>
      <c r="AF2467" s="1"/>
      <c r="AG2467" s="1"/>
    </row>
    <row r="2468" ht="15.75" customHeight="1">
      <c r="A2468" s="1"/>
      <c r="B2468" s="1"/>
      <c r="C2468" s="1"/>
      <c r="D2468" s="1"/>
      <c r="E2468" s="1"/>
      <c r="F2468" s="1"/>
      <c r="G2468" s="1"/>
      <c r="H2468" s="1"/>
      <c r="I2468" s="1"/>
      <c r="J2468" s="1"/>
      <c r="K2468" s="89" t="s">
        <v>3867</v>
      </c>
      <c r="L2468" s="89" t="str">
        <f>H103</f>
        <v>C1b1a1b2~</v>
      </c>
      <c r="M2468" s="89"/>
      <c r="N2468" s="89" t="s">
        <v>3868</v>
      </c>
      <c r="O2468" s="92">
        <v>6842135.0</v>
      </c>
      <c r="P2468" s="92">
        <v>6974094.0</v>
      </c>
      <c r="Q2468" s="89" t="s">
        <v>886</v>
      </c>
      <c r="AF2468" s="1"/>
      <c r="AG2468" s="1"/>
    </row>
    <row r="2469" ht="15.75" customHeight="1">
      <c r="A2469" s="1"/>
      <c r="B2469" s="1"/>
      <c r="C2469" s="1"/>
      <c r="D2469" s="1"/>
      <c r="E2469" s="1"/>
      <c r="F2469" s="1"/>
      <c r="G2469" s="1"/>
      <c r="H2469" s="1"/>
      <c r="I2469" s="1"/>
      <c r="J2469" s="1"/>
      <c r="K2469" s="89" t="s">
        <v>3869</v>
      </c>
      <c r="L2469" s="89" t="str">
        <f>F104</f>
        <v>C1b1a2</v>
      </c>
      <c r="M2469" s="89" t="s">
        <v>3870</v>
      </c>
      <c r="N2469" s="89" t="s">
        <v>3871</v>
      </c>
      <c r="O2469" s="92">
        <v>2.3430253E7</v>
      </c>
      <c r="P2469" s="92">
        <v>2.1268367E7</v>
      </c>
      <c r="Q2469" s="89" t="s">
        <v>813</v>
      </c>
      <c r="AF2469" s="1"/>
      <c r="AG2469" s="1"/>
    </row>
    <row r="2470" ht="15.75" customHeight="1">
      <c r="A2470" s="1"/>
      <c r="B2470" s="1"/>
      <c r="C2470" s="1"/>
      <c r="D2470" s="1"/>
      <c r="E2470" s="1"/>
      <c r="F2470" s="1"/>
      <c r="G2470" s="1"/>
      <c r="H2470" s="1"/>
      <c r="I2470" s="1"/>
      <c r="J2470" s="1"/>
      <c r="K2470" s="89" t="s">
        <v>3872</v>
      </c>
      <c r="L2470" s="89" t="str">
        <f>F104</f>
        <v>C1b1a2</v>
      </c>
      <c r="M2470" s="89" t="s">
        <v>3873</v>
      </c>
      <c r="N2470" s="89"/>
      <c r="O2470" s="92">
        <v>2.3430253E7</v>
      </c>
      <c r="P2470" s="92">
        <v>2869421.0</v>
      </c>
      <c r="Q2470" s="89" t="s">
        <v>813</v>
      </c>
      <c r="AF2470" s="1"/>
      <c r="AG2470" s="1"/>
    </row>
    <row r="2471" ht="15.75" customHeight="1">
      <c r="A2471" s="1"/>
      <c r="B2471" s="1"/>
      <c r="C2471" s="1"/>
      <c r="D2471" s="1"/>
      <c r="E2471" s="1"/>
      <c r="F2471" s="1"/>
      <c r="G2471" s="1"/>
      <c r="H2471" s="1"/>
      <c r="I2471" s="1"/>
      <c r="J2471" s="1"/>
      <c r="K2471" s="89" t="s">
        <v>3874</v>
      </c>
      <c r="L2471" s="89" t="str">
        <f>F104</f>
        <v>C1b1a2</v>
      </c>
      <c r="M2471" s="89" t="s">
        <v>3875</v>
      </c>
      <c r="N2471" s="89" t="s">
        <v>3871</v>
      </c>
      <c r="O2471" s="92">
        <v>2.3430253E7</v>
      </c>
      <c r="P2471" s="92">
        <v>2.1268367E7</v>
      </c>
      <c r="Q2471" s="89" t="s">
        <v>813</v>
      </c>
      <c r="AF2471" s="1"/>
      <c r="AG2471" s="1"/>
    </row>
    <row r="2472" ht="15.75" customHeight="1">
      <c r="A2472" s="1"/>
      <c r="B2472" s="1"/>
      <c r="C2472" s="1"/>
      <c r="D2472" s="1"/>
      <c r="E2472" s="1"/>
      <c r="F2472" s="1"/>
      <c r="G2472" s="1"/>
      <c r="H2472" s="1"/>
      <c r="I2472" s="1"/>
      <c r="J2472" s="1"/>
      <c r="K2472" s="89" t="s">
        <v>3876</v>
      </c>
      <c r="L2472" s="89" t="str">
        <f>G105</f>
        <v>C1b1a2a</v>
      </c>
      <c r="M2472" s="89"/>
      <c r="N2472" s="89"/>
      <c r="O2472" s="92">
        <v>6621096.0</v>
      </c>
      <c r="P2472" s="92">
        <v>6753055.0</v>
      </c>
      <c r="Q2472" s="89" t="s">
        <v>838</v>
      </c>
      <c r="AF2472" s="1"/>
      <c r="AG2472" s="1"/>
    </row>
    <row r="2473" ht="15.75" customHeight="1">
      <c r="A2473" s="1"/>
      <c r="B2473" s="1"/>
      <c r="C2473" s="1"/>
      <c r="D2473" s="1"/>
      <c r="E2473" s="1"/>
      <c r="F2473" s="1"/>
      <c r="G2473" s="1"/>
      <c r="H2473" s="1"/>
      <c r="I2473" s="1"/>
      <c r="J2473" s="1"/>
      <c r="K2473" s="89" t="s">
        <v>3877</v>
      </c>
      <c r="L2473" s="89" t="str">
        <f>G105</f>
        <v>C1b1a2a</v>
      </c>
      <c r="M2473" s="89"/>
      <c r="N2473" s="89"/>
      <c r="O2473" s="92">
        <v>1.6851387E7</v>
      </c>
      <c r="P2473" s="92">
        <v>1.4739507E7</v>
      </c>
      <c r="Q2473" s="89" t="s">
        <v>802</v>
      </c>
      <c r="AF2473" s="1"/>
      <c r="AG2473" s="1"/>
    </row>
    <row r="2474" ht="15.75" customHeight="1">
      <c r="A2474" s="1"/>
      <c r="B2474" s="1"/>
      <c r="C2474" s="1"/>
      <c r="D2474" s="1"/>
      <c r="E2474" s="1"/>
      <c r="F2474" s="1"/>
      <c r="G2474" s="1"/>
      <c r="H2474" s="1"/>
      <c r="I2474" s="1"/>
      <c r="J2474" s="1"/>
      <c r="K2474" s="89" t="s">
        <v>3878</v>
      </c>
      <c r="L2474" s="89" t="str">
        <f>G105</f>
        <v>C1b1a2a</v>
      </c>
      <c r="M2474" s="89"/>
      <c r="N2474" s="89"/>
      <c r="O2474" s="92">
        <v>1.431999E7</v>
      </c>
      <c r="P2474" s="92">
        <v>1.2199284E7</v>
      </c>
      <c r="Q2474" s="89" t="s">
        <v>810</v>
      </c>
      <c r="AF2474" s="1"/>
      <c r="AG2474" s="1"/>
    </row>
    <row r="2475" ht="15.75" customHeight="1">
      <c r="A2475" s="1"/>
      <c r="B2475" s="1"/>
      <c r="C2475" s="1"/>
      <c r="D2475" s="1"/>
      <c r="E2475" s="1"/>
      <c r="F2475" s="1"/>
      <c r="G2475" s="1"/>
      <c r="H2475" s="1"/>
      <c r="I2475" s="1"/>
      <c r="J2475" s="1"/>
      <c r="K2475" s="89" t="s">
        <v>3879</v>
      </c>
      <c r="L2475" s="89" t="str">
        <f>G105</f>
        <v>C1b1a2a</v>
      </c>
      <c r="M2475" s="89"/>
      <c r="N2475" s="89"/>
      <c r="O2475" s="92">
        <v>9850011.0</v>
      </c>
      <c r="P2475" s="92">
        <v>1.0012402E7</v>
      </c>
      <c r="Q2475" s="89" t="s">
        <v>802</v>
      </c>
      <c r="AF2475" s="1"/>
      <c r="AG2475" s="1"/>
    </row>
    <row r="2476" ht="15.75" customHeight="1">
      <c r="A2476" s="1"/>
      <c r="B2476" s="1"/>
      <c r="C2476" s="1"/>
      <c r="D2476" s="1"/>
      <c r="E2476" s="1"/>
      <c r="F2476" s="1"/>
      <c r="G2476" s="1"/>
      <c r="H2476" s="1"/>
      <c r="I2476" s="1"/>
      <c r="J2476" s="1"/>
      <c r="K2476" s="89" t="s">
        <v>3880</v>
      </c>
      <c r="L2476" s="89" t="str">
        <f>G105</f>
        <v>C1b1a2a</v>
      </c>
      <c r="M2476" s="89"/>
      <c r="N2476" s="89" t="s">
        <v>3881</v>
      </c>
      <c r="O2476" s="92">
        <v>2.3126815E7</v>
      </c>
      <c r="P2476" s="92">
        <v>2.0964929E7</v>
      </c>
      <c r="Q2476" s="89" t="s">
        <v>802</v>
      </c>
      <c r="AF2476" s="1"/>
      <c r="AG2476" s="1"/>
    </row>
    <row r="2477" ht="15.75" customHeight="1">
      <c r="A2477" s="1"/>
      <c r="B2477" s="1"/>
      <c r="C2477" s="1"/>
      <c r="D2477" s="1"/>
      <c r="E2477" s="1"/>
      <c r="F2477" s="1"/>
      <c r="G2477" s="1"/>
      <c r="H2477" s="1"/>
      <c r="I2477" s="1"/>
      <c r="J2477" s="1"/>
      <c r="K2477" s="89" t="s">
        <v>3882</v>
      </c>
      <c r="L2477" s="89" t="str">
        <f>G105</f>
        <v>C1b1a2a</v>
      </c>
      <c r="M2477" s="89"/>
      <c r="N2477" s="89" t="s">
        <v>3883</v>
      </c>
      <c r="O2477" s="92">
        <v>2888661.0</v>
      </c>
      <c r="P2477" s="92">
        <v>3020620.0</v>
      </c>
      <c r="Q2477" s="89" t="s">
        <v>822</v>
      </c>
      <c r="AF2477" s="1"/>
      <c r="AG2477" s="1"/>
    </row>
    <row r="2478" ht="15.75" customHeight="1">
      <c r="A2478" s="1"/>
      <c r="B2478" s="1"/>
      <c r="C2478" s="1"/>
      <c r="D2478" s="1"/>
      <c r="E2478" s="1"/>
      <c r="F2478" s="1"/>
      <c r="G2478" s="1"/>
      <c r="H2478" s="1"/>
      <c r="I2478" s="1"/>
      <c r="J2478" s="1"/>
      <c r="K2478" s="89" t="s">
        <v>3884</v>
      </c>
      <c r="L2478" s="89" t="str">
        <f>G105</f>
        <v>C1b1a2a</v>
      </c>
      <c r="M2478" s="89"/>
      <c r="N2478" s="89"/>
      <c r="O2478" s="92">
        <v>2.1216634E7</v>
      </c>
      <c r="P2478" s="92">
        <v>1.9054748E7</v>
      </c>
      <c r="Q2478" s="89" t="s">
        <v>845</v>
      </c>
      <c r="AF2478" s="1"/>
      <c r="AG2478" s="1"/>
    </row>
    <row r="2479" ht="15.75" customHeight="1">
      <c r="A2479" s="1"/>
      <c r="B2479" s="1"/>
      <c r="C2479" s="1"/>
      <c r="D2479" s="1"/>
      <c r="E2479" s="1"/>
      <c r="F2479" s="1"/>
      <c r="G2479" s="1"/>
      <c r="H2479" s="1"/>
      <c r="I2479" s="1"/>
      <c r="J2479" s="1"/>
      <c r="K2479" s="89" t="s">
        <v>3885</v>
      </c>
      <c r="L2479" s="89" t="str">
        <f>G105</f>
        <v>C1b1a2a</v>
      </c>
      <c r="M2479" s="89"/>
      <c r="N2479" s="89" t="s">
        <v>3886</v>
      </c>
      <c r="O2479" s="92">
        <v>7598886.0</v>
      </c>
      <c r="P2479" s="92">
        <v>7730845.0</v>
      </c>
      <c r="Q2479" s="89" t="s">
        <v>802</v>
      </c>
      <c r="AF2479" s="1"/>
      <c r="AG2479" s="1"/>
    </row>
    <row r="2480" ht="15.75" customHeight="1">
      <c r="A2480" s="1"/>
      <c r="B2480" s="1"/>
      <c r="C2480" s="1"/>
      <c r="D2480" s="1"/>
      <c r="E2480" s="1"/>
      <c r="F2480" s="1"/>
      <c r="G2480" s="1"/>
      <c r="H2480" s="1"/>
      <c r="I2480" s="1"/>
      <c r="J2480" s="1"/>
      <c r="K2480" s="89" t="s">
        <v>3887</v>
      </c>
      <c r="L2480" s="89" t="str">
        <f>G105</f>
        <v>C1b1a2a</v>
      </c>
      <c r="M2480" s="93" t="s">
        <v>3888</v>
      </c>
      <c r="N2480" s="89"/>
      <c r="O2480" s="92">
        <v>1.7711347E7</v>
      </c>
      <c r="P2480" s="92">
        <v>1.5599467E7</v>
      </c>
      <c r="Q2480" s="89" t="s">
        <v>822</v>
      </c>
      <c r="AF2480" s="1"/>
      <c r="AG2480" s="1"/>
    </row>
    <row r="2481" ht="15.75" customHeight="1">
      <c r="A2481" s="1"/>
      <c r="B2481" s="1"/>
      <c r="C2481" s="1"/>
      <c r="D2481" s="1"/>
      <c r="E2481" s="1"/>
      <c r="F2481" s="1"/>
      <c r="G2481" s="1"/>
      <c r="H2481" s="1"/>
      <c r="I2481" s="1"/>
      <c r="J2481" s="1"/>
      <c r="K2481" s="93" t="s">
        <v>3888</v>
      </c>
      <c r="L2481" s="89" t="str">
        <f>G105</f>
        <v>C1b1a2a</v>
      </c>
      <c r="M2481" s="89" t="s">
        <v>3887</v>
      </c>
      <c r="N2481" s="89"/>
      <c r="O2481" s="92">
        <v>1.7711347E7</v>
      </c>
      <c r="P2481" s="92">
        <v>1.5599467E7</v>
      </c>
      <c r="Q2481" s="89" t="s">
        <v>822</v>
      </c>
      <c r="AF2481" s="1"/>
      <c r="AG2481" s="1"/>
    </row>
    <row r="2482" ht="15.75" customHeight="1">
      <c r="A2482" s="1"/>
      <c r="B2482" s="1"/>
      <c r="C2482" s="1"/>
      <c r="D2482" s="1"/>
      <c r="E2482" s="1"/>
      <c r="F2482" s="1"/>
      <c r="G2482" s="1"/>
      <c r="H2482" s="1"/>
      <c r="I2482" s="1"/>
      <c r="J2482" s="1"/>
      <c r="K2482" s="89" t="s">
        <v>3889</v>
      </c>
      <c r="L2482" s="89" t="str">
        <f>G105</f>
        <v>C1b1a2a</v>
      </c>
      <c r="M2482" s="89" t="s">
        <v>3890</v>
      </c>
      <c r="N2482" s="89"/>
      <c r="O2482" s="92">
        <v>2.2857966E7</v>
      </c>
      <c r="P2482" s="92">
        <v>2.069608E7</v>
      </c>
      <c r="Q2482" s="89" t="s">
        <v>886</v>
      </c>
      <c r="AF2482" s="1"/>
      <c r="AG2482" s="1"/>
    </row>
    <row r="2483" ht="15.75" customHeight="1">
      <c r="A2483" s="1"/>
      <c r="B2483" s="1"/>
      <c r="C2483" s="1"/>
      <c r="D2483" s="1"/>
      <c r="E2483" s="1"/>
      <c r="F2483" s="1"/>
      <c r="G2483" s="1"/>
      <c r="H2483" s="1"/>
      <c r="I2483" s="1"/>
      <c r="J2483" s="1"/>
      <c r="K2483" s="89" t="s">
        <v>3890</v>
      </c>
      <c r="L2483" s="89" t="str">
        <f>G105</f>
        <v>C1b1a2a</v>
      </c>
      <c r="M2483" s="89" t="s">
        <v>3889</v>
      </c>
      <c r="N2483" s="89"/>
      <c r="O2483" s="92">
        <v>2.2857966E7</v>
      </c>
      <c r="P2483" s="92">
        <v>2.069608E7</v>
      </c>
      <c r="Q2483" s="89" t="s">
        <v>886</v>
      </c>
      <c r="AF2483" s="1"/>
      <c r="AG2483" s="1"/>
    </row>
    <row r="2484" ht="15.75" customHeight="1">
      <c r="A2484" s="1"/>
      <c r="B2484" s="1"/>
      <c r="C2484" s="1"/>
      <c r="D2484" s="1"/>
      <c r="E2484" s="1"/>
      <c r="F2484" s="1"/>
      <c r="G2484" s="1"/>
      <c r="H2484" s="1"/>
      <c r="I2484" s="1"/>
      <c r="J2484" s="1"/>
      <c r="K2484" s="89" t="s">
        <v>3891</v>
      </c>
      <c r="L2484" s="89" t="str">
        <f>G105</f>
        <v>C1b1a2a</v>
      </c>
      <c r="M2484" s="89" t="s">
        <v>3892</v>
      </c>
      <c r="N2484" s="89" t="s">
        <v>3893</v>
      </c>
      <c r="O2484" s="92">
        <v>2723295.0</v>
      </c>
      <c r="P2484" s="92">
        <v>2855254.0</v>
      </c>
      <c r="Q2484" s="89" t="s">
        <v>845</v>
      </c>
      <c r="AF2484" s="1"/>
      <c r="AG2484" s="1"/>
    </row>
    <row r="2485" ht="15.75" customHeight="1">
      <c r="A2485" s="1"/>
      <c r="B2485" s="1"/>
      <c r="C2485" s="1"/>
      <c r="D2485" s="1"/>
      <c r="E2485" s="1"/>
      <c r="F2485" s="1"/>
      <c r="G2485" s="1"/>
      <c r="H2485" s="1"/>
      <c r="I2485" s="1"/>
      <c r="J2485" s="1"/>
      <c r="K2485" s="89" t="s">
        <v>3892</v>
      </c>
      <c r="L2485" s="89" t="str">
        <f>G105</f>
        <v>C1b1a2a</v>
      </c>
      <c r="M2485" s="89" t="s">
        <v>3891</v>
      </c>
      <c r="N2485" s="89" t="s">
        <v>3893</v>
      </c>
      <c r="O2485" s="92">
        <v>2723295.0</v>
      </c>
      <c r="P2485" s="92">
        <v>2855254.0</v>
      </c>
      <c r="Q2485" s="89" t="s">
        <v>845</v>
      </c>
      <c r="AF2485" s="1"/>
      <c r="AG2485" s="1"/>
    </row>
    <row r="2486" ht="15.75" customHeight="1">
      <c r="A2486" s="1"/>
      <c r="B2486" s="1"/>
      <c r="C2486" s="1"/>
      <c r="D2486" s="1"/>
      <c r="E2486" s="1"/>
      <c r="F2486" s="1"/>
      <c r="G2486" s="1"/>
      <c r="H2486" s="1"/>
      <c r="I2486" s="1"/>
      <c r="J2486" s="1"/>
      <c r="K2486" s="89" t="s">
        <v>3894</v>
      </c>
      <c r="L2486" s="89" t="str">
        <f>G105</f>
        <v>C1b1a2a</v>
      </c>
      <c r="M2486" s="89"/>
      <c r="N2486" s="89"/>
      <c r="O2486" s="89">
        <v>2866786.0</v>
      </c>
      <c r="P2486" s="89">
        <v>2998745.0</v>
      </c>
      <c r="Q2486" s="89" t="s">
        <v>822</v>
      </c>
      <c r="AF2486" s="1"/>
      <c r="AG2486" s="1"/>
    </row>
    <row r="2487" ht="15.75" customHeight="1">
      <c r="A2487" s="1"/>
      <c r="B2487" s="1"/>
      <c r="C2487" s="1"/>
      <c r="D2487" s="1"/>
      <c r="E2487" s="1"/>
      <c r="F2487" s="1"/>
      <c r="G2487" s="1"/>
      <c r="H2487" s="1"/>
      <c r="I2487" s="1"/>
      <c r="J2487" s="1"/>
      <c r="K2487" s="89" t="s">
        <v>3895</v>
      </c>
      <c r="L2487" s="89" t="str">
        <f>G105</f>
        <v>C1b1a2a</v>
      </c>
      <c r="M2487" s="89"/>
      <c r="N2487" s="89" t="s">
        <v>3896</v>
      </c>
      <c r="O2487" s="92">
        <v>1.4471873E7</v>
      </c>
      <c r="P2487" s="92">
        <v>1.2351142E7</v>
      </c>
      <c r="Q2487" s="89" t="s">
        <v>810</v>
      </c>
      <c r="AF2487" s="1"/>
      <c r="AG2487" s="1"/>
    </row>
    <row r="2488" ht="15.75" customHeight="1">
      <c r="A2488" s="1"/>
      <c r="B2488" s="1"/>
      <c r="C2488" s="1"/>
      <c r="D2488" s="1"/>
      <c r="E2488" s="1"/>
      <c r="F2488" s="1"/>
      <c r="G2488" s="1"/>
      <c r="H2488" s="1"/>
      <c r="I2488" s="1"/>
      <c r="J2488" s="1"/>
      <c r="K2488" s="89" t="s">
        <v>3897</v>
      </c>
      <c r="L2488" s="89" t="str">
        <f>G105</f>
        <v>C1b1a2a</v>
      </c>
      <c r="M2488" s="89"/>
      <c r="N2488" s="89"/>
      <c r="O2488" s="92">
        <v>2.3434628E7</v>
      </c>
      <c r="P2488" s="92">
        <v>2.1272742E7</v>
      </c>
      <c r="Q2488" s="89" t="s">
        <v>813</v>
      </c>
      <c r="AF2488" s="1"/>
      <c r="AG2488" s="1"/>
    </row>
    <row r="2489" ht="15.75" customHeight="1">
      <c r="A2489" s="1"/>
      <c r="B2489" s="1"/>
      <c r="C2489" s="1"/>
      <c r="D2489" s="1"/>
      <c r="E2489" s="1"/>
      <c r="F2489" s="1"/>
      <c r="G2489" s="1"/>
      <c r="H2489" s="1"/>
      <c r="I2489" s="1"/>
      <c r="J2489" s="1"/>
      <c r="K2489" s="89" t="s">
        <v>3898</v>
      </c>
      <c r="L2489" s="89" t="str">
        <f>G105</f>
        <v>C1b1a2a</v>
      </c>
      <c r="M2489" s="89"/>
      <c r="N2489" s="89"/>
      <c r="O2489" s="92">
        <v>2.8540045E7</v>
      </c>
      <c r="P2489" s="92">
        <v>2.6393898E7</v>
      </c>
      <c r="Q2489" s="89" t="s">
        <v>822</v>
      </c>
      <c r="AF2489" s="1"/>
      <c r="AG2489" s="1"/>
    </row>
    <row r="2490" ht="15.75" customHeight="1">
      <c r="A2490" s="1"/>
      <c r="B2490" s="1"/>
      <c r="C2490" s="1"/>
      <c r="D2490" s="1"/>
      <c r="E2490" s="1"/>
      <c r="F2490" s="1"/>
      <c r="G2490" s="1"/>
      <c r="H2490" s="1"/>
      <c r="I2490" s="1"/>
      <c r="J2490" s="1"/>
      <c r="K2490" s="89" t="s">
        <v>3899</v>
      </c>
      <c r="L2490" s="89" t="str">
        <f>G105</f>
        <v>C1b1a2a</v>
      </c>
      <c r="M2490" s="89"/>
      <c r="N2490" s="89"/>
      <c r="O2490" s="92">
        <v>2.8575517E7</v>
      </c>
      <c r="P2490" s="92">
        <v>2.642937E7</v>
      </c>
      <c r="Q2490" s="89" t="s">
        <v>838</v>
      </c>
      <c r="AF2490" s="1"/>
      <c r="AG2490" s="1"/>
    </row>
    <row r="2491" ht="15.75" customHeight="1">
      <c r="A2491" s="1"/>
      <c r="B2491" s="1"/>
      <c r="C2491" s="1"/>
      <c r="D2491" s="1"/>
      <c r="E2491" s="1"/>
      <c r="F2491" s="1"/>
      <c r="G2491" s="1"/>
      <c r="H2491" s="1"/>
      <c r="I2491" s="1"/>
      <c r="J2491" s="1"/>
      <c r="K2491" s="89" t="s">
        <v>3900</v>
      </c>
      <c r="L2491" s="89" t="str">
        <f>G105</f>
        <v>C1b1a2a</v>
      </c>
      <c r="M2491" s="89"/>
      <c r="N2491" s="89"/>
      <c r="O2491" s="92">
        <v>2.862774E7</v>
      </c>
      <c r="P2491" s="92">
        <v>2.6481593E7</v>
      </c>
      <c r="Q2491" s="89" t="s">
        <v>802</v>
      </c>
      <c r="AF2491" s="1"/>
      <c r="AG2491" s="1"/>
    </row>
    <row r="2492" ht="15.75" customHeight="1">
      <c r="A2492" s="1"/>
      <c r="B2492" s="1"/>
      <c r="C2492" s="1"/>
      <c r="D2492" s="1"/>
      <c r="E2492" s="1"/>
      <c r="F2492" s="1"/>
      <c r="G2492" s="1"/>
      <c r="H2492" s="1"/>
      <c r="I2492" s="1"/>
      <c r="J2492" s="1"/>
      <c r="K2492" s="89" t="s">
        <v>3901</v>
      </c>
      <c r="L2492" s="89" t="str">
        <f>G105</f>
        <v>C1b1a2a</v>
      </c>
      <c r="M2492" s="89"/>
      <c r="N2492" s="89"/>
      <c r="O2492" s="92">
        <v>2.8684159E7</v>
      </c>
      <c r="P2492" s="92">
        <v>2.6538012E7</v>
      </c>
      <c r="Q2492" s="89" t="s">
        <v>802</v>
      </c>
      <c r="AF2492" s="1"/>
      <c r="AG2492" s="1"/>
    </row>
    <row r="2493" ht="15.75" customHeight="1">
      <c r="A2493" s="1"/>
      <c r="B2493" s="1"/>
      <c r="C2493" s="1"/>
      <c r="D2493" s="1"/>
      <c r="E2493" s="1"/>
      <c r="F2493" s="1"/>
      <c r="G2493" s="1"/>
      <c r="H2493" s="1"/>
      <c r="I2493" s="1"/>
      <c r="J2493" s="1"/>
      <c r="K2493" s="89" t="s">
        <v>3902</v>
      </c>
      <c r="L2493" s="89" t="str">
        <f>G105</f>
        <v>C1b1a2a</v>
      </c>
      <c r="M2493" s="89"/>
      <c r="N2493" s="89"/>
      <c r="O2493" s="92">
        <v>2.8770259E7</v>
      </c>
      <c r="P2493" s="92">
        <v>2.6624112E7</v>
      </c>
      <c r="Q2493" s="89" t="s">
        <v>879</v>
      </c>
      <c r="AF2493" s="1"/>
      <c r="AG2493" s="1"/>
    </row>
    <row r="2494" ht="15.75" customHeight="1">
      <c r="A2494" s="1"/>
      <c r="B2494" s="1"/>
      <c r="C2494" s="1"/>
      <c r="D2494" s="1"/>
      <c r="E2494" s="1"/>
      <c r="F2494" s="1"/>
      <c r="G2494" s="1"/>
      <c r="H2494" s="1"/>
      <c r="I2494" s="1"/>
      <c r="J2494" s="1"/>
      <c r="K2494" s="89" t="s">
        <v>3903</v>
      </c>
      <c r="L2494" s="89" t="str">
        <f>G105</f>
        <v>C1b1a2a</v>
      </c>
      <c r="M2494" s="89"/>
      <c r="N2494" s="89"/>
      <c r="O2494" s="92">
        <v>2.8774323E7</v>
      </c>
      <c r="P2494" s="92">
        <v>2.6628176E7</v>
      </c>
      <c r="Q2494" s="89" t="s">
        <v>845</v>
      </c>
      <c r="AF2494" s="1"/>
      <c r="AG2494" s="1"/>
    </row>
    <row r="2495" ht="15.75" customHeight="1">
      <c r="A2495" s="1"/>
      <c r="B2495" s="1"/>
      <c r="C2495" s="1"/>
      <c r="D2495" s="1"/>
      <c r="E2495" s="1"/>
      <c r="F2495" s="1"/>
      <c r="G2495" s="1"/>
      <c r="H2495" s="1"/>
      <c r="I2495" s="1"/>
      <c r="J2495" s="1"/>
      <c r="K2495" s="89" t="s">
        <v>3904</v>
      </c>
      <c r="L2495" s="89" t="str">
        <f>G105</f>
        <v>C1b1a2a</v>
      </c>
      <c r="M2495" s="89"/>
      <c r="N2495" s="89"/>
      <c r="O2495" s="92">
        <v>2.8781519E7</v>
      </c>
      <c r="P2495" s="92">
        <v>2.6635372E7</v>
      </c>
      <c r="Q2495" s="89" t="s">
        <v>838</v>
      </c>
      <c r="AF2495" s="1"/>
      <c r="AG2495" s="1"/>
    </row>
    <row r="2496" ht="15.75" customHeight="1">
      <c r="A2496" s="1"/>
      <c r="B2496" s="1"/>
      <c r="C2496" s="1"/>
      <c r="D2496" s="1"/>
      <c r="E2496" s="1"/>
      <c r="F2496" s="1"/>
      <c r="G2496" s="1"/>
      <c r="H2496" s="1"/>
      <c r="I2496" s="1"/>
      <c r="J2496" s="1"/>
      <c r="K2496" s="89" t="s">
        <v>3905</v>
      </c>
      <c r="L2496" s="89" t="str">
        <f>G105</f>
        <v>C1b1a2a</v>
      </c>
      <c r="M2496" s="89"/>
      <c r="N2496" s="89"/>
      <c r="O2496" s="92">
        <v>2749709.0</v>
      </c>
      <c r="P2496" s="92">
        <v>2881668.0</v>
      </c>
      <c r="Q2496" s="89" t="s">
        <v>838</v>
      </c>
      <c r="AF2496" s="1"/>
      <c r="AG2496" s="1"/>
    </row>
    <row r="2497" ht="15.75" customHeight="1">
      <c r="A2497" s="1"/>
      <c r="B2497" s="1"/>
      <c r="C2497" s="1"/>
      <c r="D2497" s="1"/>
      <c r="E2497" s="1"/>
      <c r="F2497" s="1"/>
      <c r="G2497" s="1"/>
      <c r="H2497" s="1"/>
      <c r="I2497" s="1"/>
      <c r="J2497" s="1"/>
      <c r="K2497" s="89" t="s">
        <v>3906</v>
      </c>
      <c r="L2497" s="89" t="str">
        <f>G105</f>
        <v>C1b1a2a</v>
      </c>
      <c r="M2497" s="89"/>
      <c r="N2497" s="89"/>
      <c r="O2497" s="92">
        <v>2787423.0</v>
      </c>
      <c r="P2497" s="92">
        <v>2919382.0</v>
      </c>
      <c r="Q2497" s="89" t="s">
        <v>822</v>
      </c>
      <c r="AF2497" s="1"/>
      <c r="AG2497" s="1"/>
    </row>
    <row r="2498" ht="15.75" customHeight="1">
      <c r="A2498" s="1"/>
      <c r="B2498" s="1"/>
      <c r="C2498" s="1"/>
      <c r="D2498" s="1"/>
      <c r="E2498" s="1"/>
      <c r="F2498" s="1"/>
      <c r="G2498" s="1"/>
      <c r="H2498" s="1"/>
      <c r="I2498" s="1"/>
      <c r="J2498" s="1"/>
      <c r="K2498" s="89" t="s">
        <v>3907</v>
      </c>
      <c r="L2498" s="89" t="str">
        <f>G105</f>
        <v>C1b1a2a</v>
      </c>
      <c r="M2498" s="89"/>
      <c r="N2498" s="89"/>
      <c r="O2498" s="92">
        <v>2851913.0</v>
      </c>
      <c r="P2498" s="92">
        <v>2983872.0</v>
      </c>
      <c r="Q2498" s="89" t="s">
        <v>838</v>
      </c>
      <c r="AF2498" s="1"/>
      <c r="AG2498" s="1"/>
    </row>
    <row r="2499" ht="15.75" customHeight="1">
      <c r="A2499" s="1"/>
      <c r="B2499" s="1"/>
      <c r="C2499" s="1"/>
      <c r="D2499" s="1"/>
      <c r="E2499" s="1"/>
      <c r="F2499" s="1"/>
      <c r="G2499" s="1"/>
      <c r="H2499" s="1"/>
      <c r="I2499" s="1"/>
      <c r="J2499" s="1"/>
      <c r="K2499" s="89" t="s">
        <v>3908</v>
      </c>
      <c r="L2499" s="89" t="str">
        <f>G105</f>
        <v>C1b1a2a</v>
      </c>
      <c r="M2499" s="89"/>
      <c r="N2499" s="89"/>
      <c r="O2499" s="92">
        <v>2855298.0</v>
      </c>
      <c r="P2499" s="92">
        <v>2987257.0</v>
      </c>
      <c r="Q2499" s="89" t="s">
        <v>831</v>
      </c>
      <c r="AF2499" s="1"/>
      <c r="AG2499" s="1"/>
    </row>
    <row r="2500" ht="15.75" customHeight="1">
      <c r="A2500" s="1"/>
      <c r="B2500" s="1"/>
      <c r="C2500" s="1"/>
      <c r="D2500" s="1"/>
      <c r="E2500" s="1"/>
      <c r="F2500" s="1"/>
      <c r="G2500" s="1"/>
      <c r="H2500" s="1"/>
      <c r="I2500" s="1"/>
      <c r="J2500" s="1"/>
      <c r="K2500" s="89" t="s">
        <v>3909</v>
      </c>
      <c r="L2500" s="89" t="str">
        <f>G105</f>
        <v>C1b1a2a</v>
      </c>
      <c r="M2500" s="89"/>
      <c r="N2500" s="89"/>
      <c r="O2500" s="92">
        <v>2712311.0</v>
      </c>
      <c r="P2500" s="92">
        <v>2844270.0</v>
      </c>
      <c r="Q2500" s="89" t="s">
        <v>864</v>
      </c>
      <c r="AF2500" s="1"/>
      <c r="AG2500" s="1"/>
    </row>
    <row r="2501" ht="15.75" customHeight="1">
      <c r="A2501" s="1"/>
      <c r="B2501" s="1"/>
      <c r="C2501" s="1"/>
      <c r="D2501" s="1"/>
      <c r="E2501" s="1"/>
      <c r="F2501" s="1"/>
      <c r="G2501" s="1"/>
      <c r="H2501" s="1"/>
      <c r="I2501" s="1"/>
      <c r="J2501" s="1"/>
      <c r="K2501" s="89" t="s">
        <v>3910</v>
      </c>
      <c r="L2501" s="89" t="str">
        <f>G105</f>
        <v>C1b1a2a</v>
      </c>
      <c r="M2501" s="89"/>
      <c r="N2501" s="89"/>
      <c r="O2501" s="92">
        <v>2889685.0</v>
      </c>
      <c r="P2501" s="92">
        <v>3021644.0</v>
      </c>
      <c r="Q2501" s="89" t="s">
        <v>831</v>
      </c>
      <c r="AF2501" s="1"/>
      <c r="AG2501" s="1"/>
    </row>
    <row r="2502" ht="15.75" customHeight="1">
      <c r="A2502" s="1"/>
      <c r="B2502" s="1"/>
      <c r="C2502" s="1"/>
      <c r="D2502" s="1"/>
      <c r="E2502" s="1"/>
      <c r="F2502" s="1"/>
      <c r="G2502" s="1"/>
      <c r="H2502" s="1"/>
      <c r="I2502" s="1"/>
      <c r="J2502" s="1"/>
      <c r="K2502" s="89" t="s">
        <v>3911</v>
      </c>
      <c r="L2502" s="89" t="str">
        <f>G105</f>
        <v>C1b1a2a</v>
      </c>
      <c r="M2502" s="89"/>
      <c r="N2502" s="89"/>
      <c r="O2502" s="92">
        <v>2891582.0</v>
      </c>
      <c r="P2502" s="92">
        <v>3023541.0</v>
      </c>
      <c r="Q2502" s="89" t="s">
        <v>810</v>
      </c>
      <c r="AF2502" s="1"/>
      <c r="AG2502" s="1"/>
    </row>
    <row r="2503" ht="15.75" customHeight="1">
      <c r="A2503" s="1"/>
      <c r="B2503" s="1"/>
      <c r="C2503" s="1"/>
      <c r="D2503" s="1"/>
      <c r="E2503" s="1"/>
      <c r="F2503" s="1"/>
      <c r="G2503" s="1"/>
      <c r="H2503" s="1"/>
      <c r="I2503" s="1"/>
      <c r="J2503" s="1"/>
      <c r="K2503" s="89" t="s">
        <v>3912</v>
      </c>
      <c r="L2503" s="89" t="str">
        <f>G105</f>
        <v>C1b1a2a</v>
      </c>
      <c r="M2503" s="89"/>
      <c r="N2503" s="89" t="s">
        <v>3913</v>
      </c>
      <c r="O2503" s="92">
        <v>6760012.0</v>
      </c>
      <c r="P2503" s="92">
        <v>6891971.0</v>
      </c>
      <c r="Q2503" s="89" t="s">
        <v>802</v>
      </c>
      <c r="AF2503" s="1"/>
      <c r="AG2503" s="1"/>
    </row>
    <row r="2504" ht="15.75" customHeight="1">
      <c r="A2504" s="1"/>
      <c r="B2504" s="1"/>
      <c r="C2504" s="1"/>
      <c r="D2504" s="1"/>
      <c r="E2504" s="1"/>
      <c r="F2504" s="1"/>
      <c r="G2504" s="1"/>
      <c r="H2504" s="1"/>
      <c r="I2504" s="1"/>
      <c r="J2504" s="1"/>
      <c r="K2504" s="89" t="s">
        <v>3914</v>
      </c>
      <c r="L2504" s="89" t="str">
        <f>G105</f>
        <v>C1b1a2a</v>
      </c>
      <c r="M2504" s="89"/>
      <c r="N2504" s="89"/>
      <c r="O2504" s="92">
        <v>6769991.0</v>
      </c>
      <c r="P2504" s="92">
        <v>6901950.0</v>
      </c>
      <c r="Q2504" s="89" t="s">
        <v>802</v>
      </c>
      <c r="AF2504" s="1"/>
      <c r="AG2504" s="1"/>
    </row>
    <row r="2505" ht="15.75" customHeight="1">
      <c r="A2505" s="1"/>
      <c r="B2505" s="1"/>
      <c r="C2505" s="1"/>
      <c r="D2505" s="1"/>
      <c r="E2505" s="1"/>
      <c r="F2505" s="1"/>
      <c r="G2505" s="1"/>
      <c r="H2505" s="1"/>
      <c r="I2505" s="1"/>
      <c r="J2505" s="1"/>
      <c r="K2505" s="89" t="s">
        <v>3915</v>
      </c>
      <c r="L2505" s="89" t="str">
        <f>G105</f>
        <v>C1b1a2a</v>
      </c>
      <c r="M2505" s="89"/>
      <c r="N2505" s="89"/>
      <c r="O2505" s="92">
        <v>6821677.0</v>
      </c>
      <c r="P2505" s="92">
        <v>6953636.0</v>
      </c>
      <c r="Q2505" s="89" t="s">
        <v>831</v>
      </c>
      <c r="AF2505" s="1"/>
      <c r="AG2505" s="1"/>
    </row>
    <row r="2506" ht="15.75" customHeight="1">
      <c r="A2506" s="1"/>
      <c r="B2506" s="1"/>
      <c r="C2506" s="1"/>
      <c r="D2506" s="1"/>
      <c r="E2506" s="1"/>
      <c r="F2506" s="1"/>
      <c r="G2506" s="1"/>
      <c r="H2506" s="1"/>
      <c r="I2506" s="1"/>
      <c r="J2506" s="1"/>
      <c r="K2506" s="89" t="s">
        <v>3916</v>
      </c>
      <c r="L2506" s="89" t="str">
        <f>G105</f>
        <v>C1b1a2a</v>
      </c>
      <c r="M2506" s="89"/>
      <c r="N2506" s="89"/>
      <c r="O2506" s="92">
        <v>6821682.0</v>
      </c>
      <c r="P2506" s="92">
        <v>6953641.0</v>
      </c>
      <c r="Q2506" s="89" t="s">
        <v>810</v>
      </c>
      <c r="AF2506" s="1"/>
      <c r="AG2506" s="1"/>
    </row>
    <row r="2507" ht="15.75" customHeight="1">
      <c r="A2507" s="1"/>
      <c r="B2507" s="1"/>
      <c r="C2507" s="1"/>
      <c r="D2507" s="1"/>
      <c r="E2507" s="1"/>
      <c r="F2507" s="1"/>
      <c r="G2507" s="1"/>
      <c r="H2507" s="1"/>
      <c r="I2507" s="1"/>
      <c r="J2507" s="1"/>
      <c r="K2507" s="89" t="s">
        <v>3917</v>
      </c>
      <c r="L2507" s="89" t="str">
        <f>G105</f>
        <v>C1b1a2a</v>
      </c>
      <c r="M2507" s="89"/>
      <c r="N2507" s="89"/>
      <c r="O2507" s="92">
        <v>6839660.0</v>
      </c>
      <c r="P2507" s="92">
        <v>6971619.0</v>
      </c>
      <c r="Q2507" s="89" t="s">
        <v>810</v>
      </c>
      <c r="AF2507" s="1"/>
      <c r="AG2507" s="1"/>
    </row>
    <row r="2508" ht="15.75" customHeight="1">
      <c r="A2508" s="1"/>
      <c r="B2508" s="1"/>
      <c r="C2508" s="1"/>
      <c r="D2508" s="1"/>
      <c r="E2508" s="1"/>
      <c r="F2508" s="1"/>
      <c r="G2508" s="1"/>
      <c r="H2508" s="1"/>
      <c r="I2508" s="1"/>
      <c r="J2508" s="1"/>
      <c r="K2508" s="89" t="s">
        <v>3918</v>
      </c>
      <c r="L2508" s="89" t="str">
        <f>G105</f>
        <v>C1b1a2a</v>
      </c>
      <c r="M2508" s="89"/>
      <c r="N2508" s="89"/>
      <c r="O2508" s="92">
        <v>6877857.0</v>
      </c>
      <c r="P2508" s="92">
        <v>7009816.0</v>
      </c>
      <c r="Q2508" s="89" t="s">
        <v>912</v>
      </c>
      <c r="AF2508" s="1"/>
      <c r="AG2508" s="1"/>
    </row>
    <row r="2509" ht="15.75" customHeight="1">
      <c r="A2509" s="1"/>
      <c r="B2509" s="1"/>
      <c r="C2509" s="1"/>
      <c r="D2509" s="1"/>
      <c r="E2509" s="1"/>
      <c r="F2509" s="1"/>
      <c r="G2509" s="1"/>
      <c r="H2509" s="1"/>
      <c r="I2509" s="1"/>
      <c r="J2509" s="1"/>
      <c r="K2509" s="89" t="s">
        <v>3919</v>
      </c>
      <c r="L2509" s="89" t="str">
        <f>G105</f>
        <v>C1b1a2a</v>
      </c>
      <c r="M2509" s="89"/>
      <c r="N2509" s="89"/>
      <c r="O2509" s="92">
        <v>6945839.0</v>
      </c>
      <c r="P2509" s="92">
        <v>7077798.0</v>
      </c>
      <c r="Q2509" s="89" t="s">
        <v>838</v>
      </c>
      <c r="AF2509" s="1"/>
      <c r="AG2509" s="1"/>
    </row>
    <row r="2510" ht="15.75" customHeight="1">
      <c r="A2510" s="1"/>
      <c r="B2510" s="1"/>
      <c r="C2510" s="1"/>
      <c r="D2510" s="1"/>
      <c r="E2510" s="1"/>
      <c r="F2510" s="1"/>
      <c r="G2510" s="1"/>
      <c r="H2510" s="1"/>
      <c r="I2510" s="1"/>
      <c r="J2510" s="1"/>
      <c r="K2510" s="89" t="s">
        <v>3920</v>
      </c>
      <c r="L2510" s="89" t="str">
        <f>G105</f>
        <v>C1b1a2a</v>
      </c>
      <c r="M2510" s="89"/>
      <c r="N2510" s="89"/>
      <c r="O2510" s="92">
        <v>6946959.0</v>
      </c>
      <c r="P2510" s="92">
        <v>7078918.0</v>
      </c>
      <c r="Q2510" s="89" t="s">
        <v>810</v>
      </c>
      <c r="AF2510" s="1"/>
      <c r="AG2510" s="1"/>
    </row>
    <row r="2511" ht="15.75" customHeight="1">
      <c r="A2511" s="1"/>
      <c r="B2511" s="1"/>
      <c r="C2511" s="1"/>
      <c r="D2511" s="1"/>
      <c r="E2511" s="1"/>
      <c r="F2511" s="1"/>
      <c r="G2511" s="1"/>
      <c r="H2511" s="1"/>
      <c r="I2511" s="1"/>
      <c r="J2511" s="1"/>
      <c r="K2511" s="89" t="s">
        <v>3921</v>
      </c>
      <c r="L2511" s="89" t="str">
        <f>G105</f>
        <v>C1b1a2a</v>
      </c>
      <c r="M2511" s="89"/>
      <c r="N2511" s="89"/>
      <c r="O2511" s="92">
        <v>6996785.0</v>
      </c>
      <c r="P2511" s="92">
        <v>7128744.0</v>
      </c>
      <c r="Q2511" s="89" t="s">
        <v>802</v>
      </c>
      <c r="AF2511" s="1"/>
      <c r="AG2511" s="1"/>
    </row>
    <row r="2512" ht="15.75" customHeight="1">
      <c r="A2512" s="1"/>
      <c r="B2512" s="1"/>
      <c r="C2512" s="1"/>
      <c r="D2512" s="1"/>
      <c r="E2512" s="1"/>
      <c r="F2512" s="1"/>
      <c r="G2512" s="1"/>
      <c r="H2512" s="1"/>
      <c r="I2512" s="1"/>
      <c r="J2512" s="1"/>
      <c r="K2512" s="89" t="s">
        <v>3922</v>
      </c>
      <c r="L2512" s="89" t="str">
        <f>G105</f>
        <v>C1b1a2a</v>
      </c>
      <c r="M2512" s="89"/>
      <c r="N2512" s="89"/>
      <c r="O2512" s="92">
        <v>7064249.0</v>
      </c>
      <c r="P2512" s="92">
        <v>7196208.0</v>
      </c>
      <c r="Q2512" s="89" t="s">
        <v>912</v>
      </c>
      <c r="AF2512" s="1"/>
      <c r="AG2512" s="1"/>
    </row>
    <row r="2513" ht="15.75" customHeight="1">
      <c r="A2513" s="1"/>
      <c r="B2513" s="1"/>
      <c r="C2513" s="1"/>
      <c r="D2513" s="1"/>
      <c r="E2513" s="1"/>
      <c r="F2513" s="1"/>
      <c r="G2513" s="1"/>
      <c r="H2513" s="1"/>
      <c r="I2513" s="1"/>
      <c r="J2513" s="1"/>
      <c r="K2513" s="89" t="s">
        <v>3923</v>
      </c>
      <c r="L2513" s="89" t="str">
        <f>G105</f>
        <v>C1b1a2a</v>
      </c>
      <c r="M2513" s="89"/>
      <c r="N2513" s="89"/>
      <c r="O2513" s="92">
        <v>7080291.0</v>
      </c>
      <c r="P2513" s="92">
        <v>7212250.0</v>
      </c>
      <c r="Q2513" s="89" t="s">
        <v>879</v>
      </c>
      <c r="AF2513" s="1"/>
      <c r="AG2513" s="1"/>
    </row>
    <row r="2514" ht="15.75" customHeight="1">
      <c r="A2514" s="1"/>
      <c r="B2514" s="1"/>
      <c r="C2514" s="1"/>
      <c r="D2514" s="1"/>
      <c r="E2514" s="1"/>
      <c r="F2514" s="1"/>
      <c r="G2514" s="1"/>
      <c r="H2514" s="1"/>
      <c r="I2514" s="1"/>
      <c r="J2514" s="1"/>
      <c r="K2514" s="89" t="s">
        <v>3924</v>
      </c>
      <c r="L2514" s="89" t="str">
        <f>G105</f>
        <v>C1b1a2a</v>
      </c>
      <c r="M2514" s="89"/>
      <c r="N2514" s="89"/>
      <c r="O2514" s="92">
        <v>7105189.0</v>
      </c>
      <c r="P2514" s="92">
        <v>7237148.0</v>
      </c>
      <c r="Q2514" s="89" t="s">
        <v>831</v>
      </c>
      <c r="AF2514" s="1"/>
      <c r="AG2514" s="1"/>
    </row>
    <row r="2515" ht="15.75" customHeight="1">
      <c r="A2515" s="1"/>
      <c r="B2515" s="1"/>
      <c r="C2515" s="1"/>
      <c r="D2515" s="1"/>
      <c r="E2515" s="1"/>
      <c r="F2515" s="1"/>
      <c r="G2515" s="1"/>
      <c r="H2515" s="1"/>
      <c r="I2515" s="1"/>
      <c r="J2515" s="1"/>
      <c r="K2515" s="89" t="s">
        <v>3925</v>
      </c>
      <c r="L2515" s="89" t="str">
        <f>G105</f>
        <v>C1b1a2a</v>
      </c>
      <c r="M2515" s="89"/>
      <c r="N2515" s="89"/>
      <c r="O2515" s="92">
        <v>7110833.0</v>
      </c>
      <c r="P2515" s="92">
        <v>7242792.0</v>
      </c>
      <c r="Q2515" s="89" t="s">
        <v>845</v>
      </c>
      <c r="AF2515" s="1"/>
      <c r="AG2515" s="1"/>
    </row>
    <row r="2516" ht="15.75" customHeight="1">
      <c r="A2516" s="1"/>
      <c r="B2516" s="1"/>
      <c r="C2516" s="1"/>
      <c r="D2516" s="1"/>
      <c r="E2516" s="1"/>
      <c r="F2516" s="1"/>
      <c r="G2516" s="1"/>
      <c r="H2516" s="1"/>
      <c r="I2516" s="1"/>
      <c r="J2516" s="1"/>
      <c r="K2516" s="89" t="s">
        <v>3926</v>
      </c>
      <c r="L2516" s="89" t="str">
        <f>G105</f>
        <v>C1b1a2a</v>
      </c>
      <c r="M2516" s="89"/>
      <c r="N2516" s="89"/>
      <c r="O2516" s="92">
        <v>7126289.0</v>
      </c>
      <c r="P2516" s="92">
        <v>7258248.0</v>
      </c>
      <c r="Q2516" s="89" t="s">
        <v>864</v>
      </c>
      <c r="AF2516" s="1"/>
      <c r="AG2516" s="1"/>
    </row>
    <row r="2517" ht="15.75" customHeight="1">
      <c r="A2517" s="1"/>
      <c r="B2517" s="1"/>
      <c r="C2517" s="1"/>
      <c r="D2517" s="1"/>
      <c r="E2517" s="1"/>
      <c r="F2517" s="1"/>
      <c r="G2517" s="1"/>
      <c r="H2517" s="1"/>
      <c r="I2517" s="1"/>
      <c r="J2517" s="1"/>
      <c r="K2517" s="89" t="s">
        <v>3927</v>
      </c>
      <c r="L2517" s="89" t="str">
        <f>G105</f>
        <v>C1b1a2a</v>
      </c>
      <c r="M2517" s="89"/>
      <c r="N2517" s="89"/>
      <c r="O2517" s="92">
        <v>7137465.0</v>
      </c>
      <c r="P2517" s="92">
        <v>7269424.0</v>
      </c>
      <c r="Q2517" s="89" t="s">
        <v>810</v>
      </c>
      <c r="AF2517" s="1"/>
      <c r="AG2517" s="1"/>
    </row>
    <row r="2518" ht="15.75" customHeight="1">
      <c r="A2518" s="1"/>
      <c r="B2518" s="1"/>
      <c r="C2518" s="1"/>
      <c r="D2518" s="1"/>
      <c r="E2518" s="1"/>
      <c r="F2518" s="1"/>
      <c r="G2518" s="1"/>
      <c r="H2518" s="1"/>
      <c r="I2518" s="1"/>
      <c r="J2518" s="1"/>
      <c r="K2518" s="89" t="s">
        <v>3928</v>
      </c>
      <c r="L2518" s="89" t="str">
        <f>G105</f>
        <v>C1b1a2a</v>
      </c>
      <c r="M2518" s="89"/>
      <c r="N2518" s="89"/>
      <c r="O2518" s="92">
        <v>7194763.0</v>
      </c>
      <c r="P2518" s="92">
        <v>7326722.0</v>
      </c>
      <c r="Q2518" s="89" t="s">
        <v>802</v>
      </c>
      <c r="AF2518" s="1"/>
      <c r="AG2518" s="1"/>
    </row>
    <row r="2519" ht="15.75" customHeight="1">
      <c r="A2519" s="1"/>
      <c r="B2519" s="1"/>
      <c r="C2519" s="1"/>
      <c r="D2519" s="1"/>
      <c r="E2519" s="1"/>
      <c r="F2519" s="1"/>
      <c r="G2519" s="1"/>
      <c r="H2519" s="1"/>
      <c r="I2519" s="1"/>
      <c r="J2519" s="1"/>
      <c r="K2519" s="89" t="s">
        <v>3929</v>
      </c>
      <c r="L2519" s="89" t="str">
        <f>G105</f>
        <v>C1b1a2a</v>
      </c>
      <c r="M2519" s="89"/>
      <c r="N2519" s="89"/>
      <c r="O2519" s="92">
        <v>7196248.0</v>
      </c>
      <c r="P2519" s="92">
        <v>7328207.0</v>
      </c>
      <c r="Q2519" s="89" t="s">
        <v>802</v>
      </c>
      <c r="AF2519" s="1"/>
      <c r="AG2519" s="1"/>
    </row>
    <row r="2520" ht="15.75" customHeight="1">
      <c r="A2520" s="1"/>
      <c r="B2520" s="1"/>
      <c r="C2520" s="1"/>
      <c r="D2520" s="1"/>
      <c r="E2520" s="1"/>
      <c r="F2520" s="1"/>
      <c r="G2520" s="1"/>
      <c r="H2520" s="1"/>
      <c r="I2520" s="1"/>
      <c r="J2520" s="1"/>
      <c r="K2520" s="89" t="s">
        <v>3930</v>
      </c>
      <c r="L2520" s="89" t="str">
        <f>G105</f>
        <v>C1b1a2a</v>
      </c>
      <c r="M2520" s="89"/>
      <c r="N2520" s="89"/>
      <c r="O2520" s="92">
        <v>7219331.0</v>
      </c>
      <c r="P2520" s="92">
        <v>7351290.0</v>
      </c>
      <c r="Q2520" s="89" t="s">
        <v>912</v>
      </c>
      <c r="AF2520" s="1"/>
      <c r="AG2520" s="1"/>
    </row>
    <row r="2521" ht="15.75" customHeight="1">
      <c r="A2521" s="1"/>
      <c r="B2521" s="1"/>
      <c r="C2521" s="1"/>
      <c r="D2521" s="1"/>
      <c r="E2521" s="1"/>
      <c r="F2521" s="1"/>
      <c r="G2521" s="1"/>
      <c r="H2521" s="1"/>
      <c r="I2521" s="1"/>
      <c r="J2521" s="1"/>
      <c r="K2521" s="89" t="s">
        <v>3931</v>
      </c>
      <c r="L2521" s="89" t="str">
        <f>G105</f>
        <v>C1b1a2a</v>
      </c>
      <c r="M2521" s="89"/>
      <c r="N2521" s="89"/>
      <c r="O2521" s="92">
        <v>7254333.0</v>
      </c>
      <c r="P2521" s="92">
        <v>7386292.0</v>
      </c>
      <c r="Q2521" s="89" t="s">
        <v>810</v>
      </c>
      <c r="AF2521" s="1"/>
      <c r="AG2521" s="1"/>
    </row>
    <row r="2522" ht="15.75" customHeight="1">
      <c r="A2522" s="1"/>
      <c r="B2522" s="1"/>
      <c r="C2522" s="1"/>
      <c r="D2522" s="1"/>
      <c r="E2522" s="1"/>
      <c r="F2522" s="1"/>
      <c r="G2522" s="1"/>
      <c r="H2522" s="1"/>
      <c r="I2522" s="1"/>
      <c r="J2522" s="1"/>
      <c r="K2522" s="89" t="s">
        <v>3932</v>
      </c>
      <c r="L2522" s="89" t="str">
        <f>G105</f>
        <v>C1b1a2a</v>
      </c>
      <c r="M2522" s="89"/>
      <c r="N2522" s="89"/>
      <c r="O2522" s="92">
        <v>7265785.0</v>
      </c>
      <c r="P2522" s="92">
        <v>7397744.0</v>
      </c>
      <c r="Q2522" s="89" t="s">
        <v>802</v>
      </c>
      <c r="AF2522" s="1"/>
      <c r="AG2522" s="1"/>
    </row>
    <row r="2523" ht="15.75" customHeight="1">
      <c r="A2523" s="1"/>
      <c r="B2523" s="1"/>
      <c r="C2523" s="1"/>
      <c r="D2523" s="1"/>
      <c r="E2523" s="1"/>
      <c r="F2523" s="1"/>
      <c r="G2523" s="1"/>
      <c r="H2523" s="1"/>
      <c r="I2523" s="1"/>
      <c r="J2523" s="1"/>
      <c r="K2523" s="89" t="s">
        <v>3933</v>
      </c>
      <c r="L2523" s="89" t="str">
        <f>G105</f>
        <v>C1b1a2a</v>
      </c>
      <c r="M2523" s="89"/>
      <c r="N2523" s="89"/>
      <c r="O2523" s="92">
        <v>7270440.0</v>
      </c>
      <c r="P2523" s="92">
        <v>7402399.0</v>
      </c>
      <c r="Q2523" s="89" t="s">
        <v>810</v>
      </c>
      <c r="AF2523" s="1"/>
      <c r="AG2523" s="1"/>
    </row>
    <row r="2524" ht="15.75" customHeight="1">
      <c r="A2524" s="1"/>
      <c r="B2524" s="1"/>
      <c r="C2524" s="1"/>
      <c r="D2524" s="1"/>
      <c r="E2524" s="1"/>
      <c r="F2524" s="1"/>
      <c r="G2524" s="1"/>
      <c r="H2524" s="1"/>
      <c r="I2524" s="1"/>
      <c r="J2524" s="1"/>
      <c r="K2524" s="89" t="s">
        <v>3934</v>
      </c>
      <c r="L2524" s="89" t="str">
        <f>G105</f>
        <v>C1b1a2a</v>
      </c>
      <c r="M2524" s="89"/>
      <c r="N2524" s="89"/>
      <c r="O2524" s="92">
        <v>7274683.0</v>
      </c>
      <c r="P2524" s="92">
        <v>7406642.0</v>
      </c>
      <c r="Q2524" s="89" t="s">
        <v>864</v>
      </c>
      <c r="AF2524" s="1"/>
      <c r="AG2524" s="1"/>
    </row>
    <row r="2525" ht="15.75" customHeight="1">
      <c r="A2525" s="1"/>
      <c r="B2525" s="1"/>
      <c r="C2525" s="1"/>
      <c r="D2525" s="1"/>
      <c r="E2525" s="1"/>
      <c r="F2525" s="1"/>
      <c r="G2525" s="1"/>
      <c r="H2525" s="1"/>
      <c r="I2525" s="1"/>
      <c r="J2525" s="1"/>
      <c r="K2525" s="89" t="s">
        <v>3935</v>
      </c>
      <c r="L2525" s="89" t="str">
        <f>G105</f>
        <v>C1b1a2a</v>
      </c>
      <c r="M2525" s="89"/>
      <c r="N2525" s="89"/>
      <c r="O2525" s="92">
        <v>7297568.0</v>
      </c>
      <c r="P2525" s="92">
        <v>7429527.0</v>
      </c>
      <c r="Q2525" s="89" t="s">
        <v>802</v>
      </c>
      <c r="AF2525" s="1"/>
      <c r="AG2525" s="1"/>
    </row>
    <row r="2526" ht="15.75" customHeight="1">
      <c r="A2526" s="1"/>
      <c r="B2526" s="1"/>
      <c r="C2526" s="1"/>
      <c r="D2526" s="1"/>
      <c r="E2526" s="1"/>
      <c r="F2526" s="1"/>
      <c r="G2526" s="1"/>
      <c r="H2526" s="1"/>
      <c r="I2526" s="1"/>
      <c r="J2526" s="1"/>
      <c r="K2526" s="93" t="s">
        <v>3936</v>
      </c>
      <c r="L2526" s="89" t="str">
        <f>G105</f>
        <v>C1b1a2a</v>
      </c>
      <c r="M2526" s="89"/>
      <c r="N2526" s="89"/>
      <c r="O2526" s="109">
        <v>7317273.0</v>
      </c>
      <c r="P2526" s="108">
        <v>7449232.0</v>
      </c>
      <c r="Q2526" s="93" t="s">
        <v>822</v>
      </c>
      <c r="AF2526" s="1"/>
      <c r="AG2526" s="1"/>
    </row>
    <row r="2527" ht="15.75" customHeight="1">
      <c r="A2527" s="1"/>
      <c r="B2527" s="1"/>
      <c r="C2527" s="1"/>
      <c r="D2527" s="1"/>
      <c r="E2527" s="1"/>
      <c r="F2527" s="1"/>
      <c r="G2527" s="1"/>
      <c r="H2527" s="1"/>
      <c r="I2527" s="1"/>
      <c r="J2527" s="1"/>
      <c r="K2527" s="89" t="s">
        <v>3937</v>
      </c>
      <c r="L2527" s="89" t="str">
        <f>G105</f>
        <v>C1b1a2a</v>
      </c>
      <c r="M2527" s="89"/>
      <c r="N2527" s="89"/>
      <c r="O2527" s="92">
        <v>7350372.0</v>
      </c>
      <c r="P2527" s="92">
        <v>7482331.0</v>
      </c>
      <c r="Q2527" s="89" t="s">
        <v>802</v>
      </c>
      <c r="AF2527" s="1"/>
      <c r="AG2527" s="1"/>
    </row>
    <row r="2528" ht="15.75" customHeight="1">
      <c r="A2528" s="1"/>
      <c r="B2528" s="1"/>
      <c r="C2528" s="1"/>
      <c r="D2528" s="1"/>
      <c r="E2528" s="1"/>
      <c r="F2528" s="1"/>
      <c r="G2528" s="1"/>
      <c r="H2528" s="1"/>
      <c r="I2528" s="1"/>
      <c r="J2528" s="1"/>
      <c r="K2528" s="89" t="s">
        <v>3938</v>
      </c>
      <c r="L2528" s="89" t="str">
        <f>G105</f>
        <v>C1b1a2a</v>
      </c>
      <c r="M2528" s="89"/>
      <c r="N2528" s="89"/>
      <c r="O2528" s="92">
        <v>7352297.0</v>
      </c>
      <c r="P2528" s="92">
        <v>7484256.0</v>
      </c>
      <c r="Q2528" s="89" t="s">
        <v>810</v>
      </c>
      <c r="AF2528" s="1"/>
      <c r="AG2528" s="1"/>
    </row>
    <row r="2529" ht="15.75" customHeight="1">
      <c r="A2529" s="1"/>
      <c r="B2529" s="1"/>
      <c r="C2529" s="1"/>
      <c r="D2529" s="1"/>
      <c r="E2529" s="1"/>
      <c r="F2529" s="1"/>
      <c r="G2529" s="1"/>
      <c r="H2529" s="1"/>
      <c r="I2529" s="1"/>
      <c r="J2529" s="1"/>
      <c r="K2529" s="89" t="s">
        <v>3939</v>
      </c>
      <c r="L2529" s="89" t="str">
        <f>G105</f>
        <v>C1b1a2a</v>
      </c>
      <c r="M2529" s="89"/>
      <c r="N2529" s="89"/>
      <c r="O2529" s="92">
        <v>7355302.0</v>
      </c>
      <c r="P2529" s="92">
        <v>7487261.0</v>
      </c>
      <c r="Q2529" s="89" t="s">
        <v>802</v>
      </c>
      <c r="AF2529" s="1"/>
      <c r="AG2529" s="1"/>
    </row>
    <row r="2530" ht="15.75" customHeight="1">
      <c r="A2530" s="1"/>
      <c r="B2530" s="1"/>
      <c r="C2530" s="1"/>
      <c r="D2530" s="1"/>
      <c r="E2530" s="1"/>
      <c r="F2530" s="1"/>
      <c r="G2530" s="1"/>
      <c r="H2530" s="1"/>
      <c r="I2530" s="1"/>
      <c r="J2530" s="1"/>
      <c r="K2530" s="89" t="s">
        <v>3940</v>
      </c>
      <c r="L2530" s="89" t="str">
        <f>G105</f>
        <v>C1b1a2a</v>
      </c>
      <c r="M2530" s="89"/>
      <c r="N2530" s="89"/>
      <c r="O2530" s="92">
        <v>7416312.0</v>
      </c>
      <c r="P2530" s="92">
        <v>7548271.0</v>
      </c>
      <c r="Q2530" s="89" t="s">
        <v>879</v>
      </c>
      <c r="AF2530" s="1"/>
      <c r="AG2530" s="1"/>
    </row>
    <row r="2531" ht="15.75" customHeight="1">
      <c r="A2531" s="1"/>
      <c r="B2531" s="1"/>
      <c r="C2531" s="1"/>
      <c r="D2531" s="1"/>
      <c r="E2531" s="1"/>
      <c r="F2531" s="1"/>
      <c r="G2531" s="1"/>
      <c r="H2531" s="1"/>
      <c r="I2531" s="1"/>
      <c r="J2531" s="1"/>
      <c r="K2531" s="89" t="s">
        <v>3941</v>
      </c>
      <c r="L2531" s="89" t="str">
        <f>G105</f>
        <v>C1b1a2a</v>
      </c>
      <c r="M2531" s="89"/>
      <c r="N2531" s="89"/>
      <c r="O2531" s="92">
        <v>7430665.0</v>
      </c>
      <c r="P2531" s="92">
        <v>7562624.0</v>
      </c>
      <c r="Q2531" s="89" t="s">
        <v>802</v>
      </c>
      <c r="AF2531" s="1"/>
      <c r="AG2531" s="1"/>
    </row>
    <row r="2532" ht="15.75" customHeight="1">
      <c r="A2532" s="1"/>
      <c r="B2532" s="1"/>
      <c r="C2532" s="1"/>
      <c r="D2532" s="1"/>
      <c r="E2532" s="1"/>
      <c r="F2532" s="1"/>
      <c r="G2532" s="1"/>
      <c r="H2532" s="1"/>
      <c r="I2532" s="1"/>
      <c r="J2532" s="1"/>
      <c r="K2532" s="89" t="s">
        <v>3942</v>
      </c>
      <c r="L2532" s="89" t="str">
        <f>G105</f>
        <v>C1b1a2a</v>
      </c>
      <c r="M2532" s="89"/>
      <c r="N2532" s="89"/>
      <c r="O2532" s="92">
        <v>7535965.0</v>
      </c>
      <c r="P2532" s="92">
        <v>7667924.0</v>
      </c>
      <c r="Q2532" s="89" t="s">
        <v>838</v>
      </c>
      <c r="AF2532" s="1"/>
      <c r="AG2532" s="1"/>
    </row>
    <row r="2533" ht="15.75" customHeight="1">
      <c r="A2533" s="1"/>
      <c r="B2533" s="1"/>
      <c r="C2533" s="1"/>
      <c r="D2533" s="1"/>
      <c r="E2533" s="1"/>
      <c r="F2533" s="1"/>
      <c r="G2533" s="1"/>
      <c r="H2533" s="1"/>
      <c r="I2533" s="1"/>
      <c r="J2533" s="1"/>
      <c r="K2533" s="89" t="s">
        <v>3943</v>
      </c>
      <c r="L2533" s="89" t="str">
        <f>G105</f>
        <v>C1b1a2a</v>
      </c>
      <c r="M2533" s="89"/>
      <c r="N2533" s="89"/>
      <c r="O2533" s="92">
        <v>7561257.0</v>
      </c>
      <c r="P2533" s="92">
        <v>7693216.0</v>
      </c>
      <c r="Q2533" s="89" t="s">
        <v>822</v>
      </c>
      <c r="AF2533" s="1"/>
      <c r="AG2533" s="1"/>
    </row>
    <row r="2534" ht="15.75" customHeight="1">
      <c r="A2534" s="1"/>
      <c r="B2534" s="1"/>
      <c r="C2534" s="1"/>
      <c r="D2534" s="1"/>
      <c r="E2534" s="1"/>
      <c r="F2534" s="1"/>
      <c r="G2534" s="1"/>
      <c r="H2534" s="1"/>
      <c r="I2534" s="1"/>
      <c r="J2534" s="1"/>
      <c r="K2534" s="89" t="s">
        <v>3944</v>
      </c>
      <c r="L2534" s="89" t="str">
        <f>G105</f>
        <v>C1b1a2a</v>
      </c>
      <c r="M2534" s="89"/>
      <c r="N2534" s="89"/>
      <c r="O2534" s="92">
        <v>7581237.0</v>
      </c>
      <c r="P2534" s="92">
        <v>7713196.0</v>
      </c>
      <c r="Q2534" s="89" t="s">
        <v>845</v>
      </c>
      <c r="AF2534" s="1"/>
      <c r="AG2534" s="1"/>
    </row>
    <row r="2535" ht="15.75" customHeight="1">
      <c r="A2535" s="1"/>
      <c r="B2535" s="1"/>
      <c r="C2535" s="1"/>
      <c r="D2535" s="1"/>
      <c r="E2535" s="1"/>
      <c r="F2535" s="1"/>
      <c r="G2535" s="1"/>
      <c r="H2535" s="1"/>
      <c r="I2535" s="1"/>
      <c r="J2535" s="1"/>
      <c r="K2535" s="89" t="s">
        <v>3945</v>
      </c>
      <c r="L2535" s="89" t="str">
        <f>G105</f>
        <v>C1b1a2a</v>
      </c>
      <c r="M2535" s="89"/>
      <c r="N2535" s="89"/>
      <c r="O2535" s="92">
        <v>7643383.0</v>
      </c>
      <c r="P2535" s="92">
        <v>7775342.0</v>
      </c>
      <c r="Q2535" s="89" t="s">
        <v>838</v>
      </c>
      <c r="AF2535" s="1"/>
      <c r="AG2535" s="1"/>
    </row>
    <row r="2536" ht="15.75" customHeight="1">
      <c r="A2536" s="1"/>
      <c r="B2536" s="1"/>
      <c r="C2536" s="1"/>
      <c r="D2536" s="1"/>
      <c r="E2536" s="1"/>
      <c r="F2536" s="1"/>
      <c r="G2536" s="1"/>
      <c r="H2536" s="1"/>
      <c r="I2536" s="1"/>
      <c r="J2536" s="1"/>
      <c r="K2536" s="89" t="s">
        <v>3946</v>
      </c>
      <c r="L2536" s="89" t="str">
        <f>G105</f>
        <v>C1b1a2a</v>
      </c>
      <c r="M2536" s="89"/>
      <c r="N2536" s="89"/>
      <c r="O2536" s="92">
        <v>7676848.0</v>
      </c>
      <c r="P2536" s="92">
        <v>7808807.0</v>
      </c>
      <c r="Q2536" s="89" t="s">
        <v>802</v>
      </c>
      <c r="AF2536" s="1"/>
      <c r="AG2536" s="1"/>
    </row>
    <row r="2537" ht="15.75" customHeight="1">
      <c r="A2537" s="1"/>
      <c r="B2537" s="1"/>
      <c r="C2537" s="1"/>
      <c r="D2537" s="1"/>
      <c r="E2537" s="1"/>
      <c r="F2537" s="1"/>
      <c r="G2537" s="1"/>
      <c r="H2537" s="1"/>
      <c r="I2537" s="1"/>
      <c r="J2537" s="1"/>
      <c r="K2537" s="89" t="s">
        <v>3947</v>
      </c>
      <c r="L2537" s="89" t="str">
        <f>G105</f>
        <v>C1b1a2a</v>
      </c>
      <c r="M2537" s="89"/>
      <c r="N2537" s="89"/>
      <c r="O2537" s="92">
        <v>7691748.0</v>
      </c>
      <c r="P2537" s="92">
        <v>7823707.0</v>
      </c>
      <c r="Q2537" s="89" t="s">
        <v>864</v>
      </c>
      <c r="AF2537" s="1"/>
      <c r="AG2537" s="1"/>
    </row>
    <row r="2538" ht="15.75" customHeight="1">
      <c r="A2538" s="1"/>
      <c r="B2538" s="1"/>
      <c r="C2538" s="1"/>
      <c r="D2538" s="1"/>
      <c r="E2538" s="1"/>
      <c r="F2538" s="1"/>
      <c r="G2538" s="1"/>
      <c r="H2538" s="1"/>
      <c r="I2538" s="1"/>
      <c r="J2538" s="1"/>
      <c r="K2538" s="89" t="s">
        <v>3948</v>
      </c>
      <c r="L2538" s="89" t="str">
        <f>G105</f>
        <v>C1b1a2a</v>
      </c>
      <c r="M2538" s="89"/>
      <c r="N2538" s="89"/>
      <c r="O2538" s="92">
        <v>7738860.0</v>
      </c>
      <c r="P2538" s="92">
        <v>7870819.0</v>
      </c>
      <c r="Q2538" s="89" t="s">
        <v>810</v>
      </c>
      <c r="AF2538" s="1"/>
      <c r="AG2538" s="1"/>
    </row>
    <row r="2539" ht="15.75" customHeight="1">
      <c r="A2539" s="1"/>
      <c r="B2539" s="1"/>
      <c r="C2539" s="1"/>
      <c r="D2539" s="1"/>
      <c r="E2539" s="1"/>
      <c r="F2539" s="1"/>
      <c r="G2539" s="1"/>
      <c r="H2539" s="1"/>
      <c r="I2539" s="1"/>
      <c r="J2539" s="1"/>
      <c r="K2539" s="89" t="s">
        <v>3949</v>
      </c>
      <c r="L2539" s="89" t="str">
        <f>G105</f>
        <v>C1b1a2a</v>
      </c>
      <c r="M2539" s="89"/>
      <c r="N2539" s="89"/>
      <c r="O2539" s="92">
        <v>7741256.0</v>
      </c>
      <c r="P2539" s="92">
        <v>7873215.0</v>
      </c>
      <c r="Q2539" s="89" t="s">
        <v>822</v>
      </c>
      <c r="AF2539" s="1"/>
      <c r="AG2539" s="1"/>
    </row>
    <row r="2540" ht="15.75" customHeight="1">
      <c r="A2540" s="1"/>
      <c r="B2540" s="1"/>
      <c r="C2540" s="1"/>
      <c r="D2540" s="1"/>
      <c r="E2540" s="1"/>
      <c r="F2540" s="1"/>
      <c r="G2540" s="1"/>
      <c r="H2540" s="1"/>
      <c r="I2540" s="1"/>
      <c r="J2540" s="1"/>
      <c r="K2540" s="89" t="s">
        <v>3950</v>
      </c>
      <c r="L2540" s="89" t="str">
        <f>G105</f>
        <v>C1b1a2a</v>
      </c>
      <c r="M2540" s="89"/>
      <c r="N2540" s="89"/>
      <c r="O2540" s="92">
        <v>7773253.0</v>
      </c>
      <c r="P2540" s="92">
        <v>7905212.0</v>
      </c>
      <c r="Q2540" s="89" t="s">
        <v>813</v>
      </c>
      <c r="AF2540" s="1"/>
      <c r="AG2540" s="1"/>
    </row>
    <row r="2541" ht="15.75" customHeight="1">
      <c r="A2541" s="1"/>
      <c r="B2541" s="1"/>
      <c r="C2541" s="1"/>
      <c r="D2541" s="1"/>
      <c r="E2541" s="1"/>
      <c r="F2541" s="1"/>
      <c r="G2541" s="1"/>
      <c r="H2541" s="1"/>
      <c r="I2541" s="1"/>
      <c r="J2541" s="1"/>
      <c r="K2541" s="89" t="s">
        <v>3951</v>
      </c>
      <c r="L2541" s="89" t="str">
        <f>G105</f>
        <v>C1b1a2a</v>
      </c>
      <c r="M2541" s="89"/>
      <c r="N2541" s="89"/>
      <c r="O2541" s="92">
        <v>7805225.0</v>
      </c>
      <c r="P2541" s="92">
        <v>7937184.0</v>
      </c>
      <c r="Q2541" s="89" t="s">
        <v>886</v>
      </c>
      <c r="AF2541" s="1"/>
      <c r="AG2541" s="1"/>
    </row>
    <row r="2542" ht="15.75" customHeight="1">
      <c r="A2542" s="1"/>
      <c r="B2542" s="1"/>
      <c r="C2542" s="1"/>
      <c r="D2542" s="1"/>
      <c r="E2542" s="1"/>
      <c r="F2542" s="1"/>
      <c r="G2542" s="1"/>
      <c r="H2542" s="1"/>
      <c r="I2542" s="1"/>
      <c r="J2542" s="1"/>
      <c r="K2542" s="89" t="s">
        <v>3952</v>
      </c>
      <c r="L2542" s="89" t="str">
        <f>G105</f>
        <v>C1b1a2a</v>
      </c>
      <c r="M2542" s="89"/>
      <c r="N2542" s="89"/>
      <c r="O2542" s="92">
        <v>7862307.0</v>
      </c>
      <c r="P2542" s="92">
        <v>7994266.0</v>
      </c>
      <c r="Q2542" s="89" t="s">
        <v>917</v>
      </c>
      <c r="AF2542" s="1"/>
      <c r="AG2542" s="1"/>
    </row>
    <row r="2543" ht="15.75" customHeight="1">
      <c r="A2543" s="1"/>
      <c r="B2543" s="1"/>
      <c r="C2543" s="1"/>
      <c r="D2543" s="1"/>
      <c r="E2543" s="1"/>
      <c r="F2543" s="1"/>
      <c r="G2543" s="1"/>
      <c r="H2543" s="1"/>
      <c r="I2543" s="1"/>
      <c r="J2543" s="1"/>
      <c r="K2543" s="89" t="s">
        <v>3953</v>
      </c>
      <c r="L2543" s="89" t="str">
        <f>G105</f>
        <v>C1b1a2a</v>
      </c>
      <c r="M2543" s="89"/>
      <c r="N2543" s="89" t="s">
        <v>3954</v>
      </c>
      <c r="O2543" s="92">
        <v>7900713.0</v>
      </c>
      <c r="P2543" s="92">
        <v>8032672.0</v>
      </c>
      <c r="Q2543" s="89" t="s">
        <v>802</v>
      </c>
      <c r="AF2543" s="1"/>
      <c r="AG2543" s="1"/>
    </row>
    <row r="2544" ht="15.75" customHeight="1">
      <c r="A2544" s="1"/>
      <c r="B2544" s="1"/>
      <c r="C2544" s="1"/>
      <c r="D2544" s="1"/>
      <c r="E2544" s="1"/>
      <c r="F2544" s="1"/>
      <c r="G2544" s="1"/>
      <c r="H2544" s="1"/>
      <c r="I2544" s="1"/>
      <c r="J2544" s="1"/>
      <c r="K2544" s="89" t="s">
        <v>3955</v>
      </c>
      <c r="L2544" s="89" t="str">
        <f>G105</f>
        <v>C1b1a2a</v>
      </c>
      <c r="M2544" s="89"/>
      <c r="N2544" s="89"/>
      <c r="O2544" s="92">
        <v>7912619.0</v>
      </c>
      <c r="P2544" s="92">
        <v>8044578.0</v>
      </c>
      <c r="Q2544" s="89" t="s">
        <v>845</v>
      </c>
      <c r="AF2544" s="1"/>
      <c r="AG2544" s="1"/>
    </row>
    <row r="2545" ht="15.75" customHeight="1">
      <c r="A2545" s="1"/>
      <c r="B2545" s="1"/>
      <c r="C2545" s="1"/>
      <c r="D2545" s="1"/>
      <c r="E2545" s="1"/>
      <c r="F2545" s="1"/>
      <c r="G2545" s="1"/>
      <c r="H2545" s="1"/>
      <c r="I2545" s="1"/>
      <c r="J2545" s="1"/>
      <c r="K2545" s="89" t="s">
        <v>3956</v>
      </c>
      <c r="L2545" s="89" t="str">
        <f>G105</f>
        <v>C1b1a2a</v>
      </c>
      <c r="M2545" s="89"/>
      <c r="N2545" s="89"/>
      <c r="O2545" s="92">
        <v>7922215.0</v>
      </c>
      <c r="P2545" s="92">
        <v>8054174.0</v>
      </c>
      <c r="Q2545" s="89" t="s">
        <v>802</v>
      </c>
      <c r="AF2545" s="1"/>
      <c r="AG2545" s="1"/>
    </row>
    <row r="2546" ht="15.75" customHeight="1">
      <c r="A2546" s="1"/>
      <c r="B2546" s="1"/>
      <c r="C2546" s="1"/>
      <c r="D2546" s="1"/>
      <c r="E2546" s="1"/>
      <c r="F2546" s="1"/>
      <c r="G2546" s="1"/>
      <c r="H2546" s="1"/>
      <c r="I2546" s="1"/>
      <c r="J2546" s="1"/>
      <c r="K2546" s="89" t="s">
        <v>3957</v>
      </c>
      <c r="L2546" s="89" t="str">
        <f>G105</f>
        <v>C1b1a2a</v>
      </c>
      <c r="M2546" s="89"/>
      <c r="N2546" s="89"/>
      <c r="O2546" s="92">
        <v>7932524.0</v>
      </c>
      <c r="P2546" s="92">
        <v>8064483.0</v>
      </c>
      <c r="Q2546" s="89" t="s">
        <v>810</v>
      </c>
      <c r="AF2546" s="1"/>
      <c r="AG2546" s="1"/>
    </row>
    <row r="2547" ht="15.75" customHeight="1">
      <c r="A2547" s="1"/>
      <c r="B2547" s="1"/>
      <c r="C2547" s="1"/>
      <c r="D2547" s="1"/>
      <c r="E2547" s="1"/>
      <c r="F2547" s="1"/>
      <c r="G2547" s="1"/>
      <c r="H2547" s="1"/>
      <c r="I2547" s="1"/>
      <c r="J2547" s="1"/>
      <c r="K2547" s="89" t="s">
        <v>3958</v>
      </c>
      <c r="L2547" s="89" t="str">
        <f>G105</f>
        <v>C1b1a2a</v>
      </c>
      <c r="M2547" s="89"/>
      <c r="N2547" s="89"/>
      <c r="O2547" s="92">
        <v>7939839.0</v>
      </c>
      <c r="P2547" s="92">
        <v>8071798.0</v>
      </c>
      <c r="Q2547" s="89" t="s">
        <v>822</v>
      </c>
      <c r="AF2547" s="1"/>
      <c r="AG2547" s="1"/>
    </row>
    <row r="2548" ht="15.75" customHeight="1">
      <c r="A2548" s="1"/>
      <c r="B2548" s="1"/>
      <c r="C2548" s="1"/>
      <c r="D2548" s="1"/>
      <c r="E2548" s="1"/>
      <c r="F2548" s="1"/>
      <c r="G2548" s="1"/>
      <c r="H2548" s="1"/>
      <c r="I2548" s="1"/>
      <c r="J2548" s="1"/>
      <c r="K2548" s="89" t="s">
        <v>3959</v>
      </c>
      <c r="L2548" s="89" t="str">
        <f>G105</f>
        <v>C1b1a2a</v>
      </c>
      <c r="M2548" s="89"/>
      <c r="N2548" s="89"/>
      <c r="O2548" s="92">
        <v>7943573.0</v>
      </c>
      <c r="P2548" s="92">
        <v>8075532.0</v>
      </c>
      <c r="Q2548" s="89" t="s">
        <v>886</v>
      </c>
      <c r="AF2548" s="1"/>
      <c r="AG2548" s="1"/>
    </row>
    <row r="2549" ht="15.75" customHeight="1">
      <c r="A2549" s="1"/>
      <c r="B2549" s="1"/>
      <c r="C2549" s="1"/>
      <c r="D2549" s="1"/>
      <c r="E2549" s="1"/>
      <c r="F2549" s="1"/>
      <c r="G2549" s="1"/>
      <c r="H2549" s="1"/>
      <c r="I2549" s="1"/>
      <c r="J2549" s="1"/>
      <c r="K2549" s="89" t="s">
        <v>3960</v>
      </c>
      <c r="L2549" s="89" t="str">
        <f>G105</f>
        <v>C1b1a2a</v>
      </c>
      <c r="M2549" s="89"/>
      <c r="N2549" s="89"/>
      <c r="O2549" s="92">
        <v>7976582.0</v>
      </c>
      <c r="P2549" s="92">
        <v>8108541.0</v>
      </c>
      <c r="Q2549" s="89" t="s">
        <v>845</v>
      </c>
      <c r="AF2549" s="1"/>
      <c r="AG2549" s="1"/>
    </row>
    <row r="2550" ht="15.75" customHeight="1">
      <c r="A2550" s="1"/>
      <c r="B2550" s="1"/>
      <c r="C2550" s="1"/>
      <c r="D2550" s="1"/>
      <c r="E2550" s="1"/>
      <c r="F2550" s="1"/>
      <c r="G2550" s="1"/>
      <c r="H2550" s="1"/>
      <c r="I2550" s="1"/>
      <c r="J2550" s="1"/>
      <c r="K2550" s="89" t="s">
        <v>3961</v>
      </c>
      <c r="L2550" s="89" t="str">
        <f>G105</f>
        <v>C1b1a2a</v>
      </c>
      <c r="M2550" s="89"/>
      <c r="N2550" s="89" t="s">
        <v>3962</v>
      </c>
      <c r="O2550" s="92">
        <v>8052616.0</v>
      </c>
      <c r="P2550" s="92">
        <v>8184575.0</v>
      </c>
      <c r="Q2550" s="89" t="s">
        <v>802</v>
      </c>
      <c r="AF2550" s="1"/>
      <c r="AG2550" s="1"/>
    </row>
    <row r="2551" ht="15.75" customHeight="1">
      <c r="A2551" s="1"/>
      <c r="B2551" s="1"/>
      <c r="C2551" s="1"/>
      <c r="D2551" s="1"/>
      <c r="E2551" s="1"/>
      <c r="F2551" s="1"/>
      <c r="G2551" s="1"/>
      <c r="H2551" s="1"/>
      <c r="I2551" s="1"/>
      <c r="J2551" s="1"/>
      <c r="K2551" s="89" t="s">
        <v>3963</v>
      </c>
      <c r="L2551" s="89" t="str">
        <f>G105</f>
        <v>C1b1a2a</v>
      </c>
      <c r="M2551" s="89"/>
      <c r="N2551" s="89"/>
      <c r="O2551" s="92">
        <v>8064539.0</v>
      </c>
      <c r="P2551" s="92">
        <v>8196498.0</v>
      </c>
      <c r="Q2551" s="89" t="s">
        <v>810</v>
      </c>
      <c r="AF2551" s="1"/>
      <c r="AG2551" s="1"/>
    </row>
    <row r="2552" ht="15.75" customHeight="1">
      <c r="A2552" s="1"/>
      <c r="B2552" s="1"/>
      <c r="C2552" s="1"/>
      <c r="D2552" s="1"/>
      <c r="E2552" s="1"/>
      <c r="F2552" s="1"/>
      <c r="G2552" s="1"/>
      <c r="H2552" s="1"/>
      <c r="I2552" s="1"/>
      <c r="J2552" s="1"/>
      <c r="K2552" s="89" t="s">
        <v>3964</v>
      </c>
      <c r="L2552" s="89" t="str">
        <f>G105</f>
        <v>C1b1a2a</v>
      </c>
      <c r="M2552" s="89"/>
      <c r="N2552" s="89" t="s">
        <v>3965</v>
      </c>
      <c r="O2552" s="89">
        <v>8069441.0</v>
      </c>
      <c r="P2552" s="89">
        <v>8201400.0</v>
      </c>
      <c r="Q2552" s="89" t="s">
        <v>802</v>
      </c>
      <c r="AF2552" s="1"/>
      <c r="AG2552" s="1"/>
    </row>
    <row r="2553" ht="15.75" customHeight="1">
      <c r="A2553" s="1"/>
      <c r="B2553" s="1"/>
      <c r="C2553" s="1"/>
      <c r="D2553" s="1"/>
      <c r="E2553" s="1"/>
      <c r="F2553" s="1"/>
      <c r="G2553" s="1"/>
      <c r="H2553" s="1"/>
      <c r="I2553" s="1"/>
      <c r="J2553" s="1"/>
      <c r="K2553" s="89" t="s">
        <v>3966</v>
      </c>
      <c r="L2553" s="89" t="str">
        <f>G105</f>
        <v>C1b1a2a</v>
      </c>
      <c r="M2553" s="89"/>
      <c r="N2553" s="89"/>
      <c r="O2553" s="92">
        <v>8120910.0</v>
      </c>
      <c r="P2553" s="92">
        <v>8252869.0</v>
      </c>
      <c r="Q2553" s="89" t="s">
        <v>912</v>
      </c>
      <c r="AF2553" s="1"/>
      <c r="AG2553" s="1"/>
    </row>
    <row r="2554" ht="15.75" customHeight="1">
      <c r="A2554" s="1"/>
      <c r="B2554" s="1"/>
      <c r="C2554" s="1"/>
      <c r="D2554" s="1"/>
      <c r="E2554" s="1"/>
      <c r="F2554" s="1"/>
      <c r="G2554" s="1"/>
      <c r="H2554" s="1"/>
      <c r="I2554" s="1"/>
      <c r="J2554" s="1"/>
      <c r="K2554" s="89" t="s">
        <v>3967</v>
      </c>
      <c r="L2554" s="89" t="str">
        <f>G105</f>
        <v>C1b1a2a</v>
      </c>
      <c r="M2554" s="89"/>
      <c r="N2554" s="89"/>
      <c r="O2554" s="92">
        <v>8125974.0</v>
      </c>
      <c r="P2554" s="92">
        <v>8257933.0</v>
      </c>
      <c r="Q2554" s="89" t="s">
        <v>886</v>
      </c>
      <c r="AF2554" s="1"/>
      <c r="AG2554" s="1"/>
    </row>
    <row r="2555" ht="15.75" customHeight="1">
      <c r="A2555" s="1"/>
      <c r="B2555" s="1"/>
      <c r="C2555" s="1"/>
      <c r="D2555" s="1"/>
      <c r="E2555" s="1"/>
      <c r="F2555" s="1"/>
      <c r="G2555" s="1"/>
      <c r="H2555" s="1"/>
      <c r="I2555" s="1"/>
      <c r="J2555" s="1"/>
      <c r="K2555" s="89" t="s">
        <v>3968</v>
      </c>
      <c r="L2555" s="89" t="str">
        <f>G105</f>
        <v>C1b1a2a</v>
      </c>
      <c r="M2555" s="89"/>
      <c r="N2555" s="89"/>
      <c r="O2555" s="92">
        <v>8145751.0</v>
      </c>
      <c r="P2555" s="92">
        <v>8277710.0</v>
      </c>
      <c r="Q2555" s="89" t="s">
        <v>802</v>
      </c>
      <c r="AF2555" s="1"/>
      <c r="AG2555" s="1"/>
    </row>
    <row r="2556" ht="15.75" customHeight="1">
      <c r="A2556" s="1"/>
      <c r="B2556" s="1"/>
      <c r="C2556" s="1"/>
      <c r="D2556" s="1"/>
      <c r="E2556" s="1"/>
      <c r="F2556" s="1"/>
      <c r="G2556" s="1"/>
      <c r="H2556" s="1"/>
      <c r="I2556" s="1"/>
      <c r="J2556" s="1"/>
      <c r="K2556" s="89" t="s">
        <v>3969</v>
      </c>
      <c r="L2556" s="89" t="str">
        <f>G105</f>
        <v>C1b1a2a</v>
      </c>
      <c r="M2556" s="89"/>
      <c r="N2556" s="89"/>
      <c r="O2556" s="92">
        <v>8167125.0</v>
      </c>
      <c r="P2556" s="92">
        <v>8299084.0</v>
      </c>
      <c r="Q2556" s="89" t="s">
        <v>838</v>
      </c>
      <c r="AF2556" s="1"/>
      <c r="AG2556" s="1"/>
    </row>
    <row r="2557" ht="15.75" customHeight="1">
      <c r="A2557" s="1"/>
      <c r="B2557" s="1"/>
      <c r="C2557" s="1"/>
      <c r="D2557" s="1"/>
      <c r="E2557" s="1"/>
      <c r="F2557" s="1"/>
      <c r="G2557" s="1"/>
      <c r="H2557" s="1"/>
      <c r="I2557" s="1"/>
      <c r="J2557" s="1"/>
      <c r="K2557" s="89" t="s">
        <v>3970</v>
      </c>
      <c r="L2557" s="89" t="str">
        <f>G105</f>
        <v>C1b1a2a</v>
      </c>
      <c r="M2557" s="89"/>
      <c r="N2557" s="89"/>
      <c r="O2557" s="92">
        <v>8216883.0</v>
      </c>
      <c r="P2557" s="92">
        <v>8348842.0</v>
      </c>
      <c r="Q2557" s="89" t="s">
        <v>822</v>
      </c>
      <c r="AF2557" s="1"/>
      <c r="AG2557" s="1"/>
    </row>
    <row r="2558" ht="15.75" customHeight="1">
      <c r="A2558" s="1"/>
      <c r="B2558" s="1"/>
      <c r="C2558" s="1"/>
      <c r="D2558" s="1"/>
      <c r="E2558" s="1"/>
      <c r="F2558" s="1"/>
      <c r="G2558" s="1"/>
      <c r="H2558" s="1"/>
      <c r="I2558" s="1"/>
      <c r="J2558" s="1"/>
      <c r="K2558" s="89" t="s">
        <v>3971</v>
      </c>
      <c r="L2558" s="89" t="str">
        <f>G105</f>
        <v>C1b1a2a</v>
      </c>
      <c r="M2558" s="89"/>
      <c r="N2558" s="89"/>
      <c r="O2558" s="92">
        <v>8245909.0</v>
      </c>
      <c r="P2558" s="92">
        <v>8377868.0</v>
      </c>
      <c r="Q2558" s="89" t="s">
        <v>813</v>
      </c>
      <c r="AF2558" s="1"/>
      <c r="AG2558" s="1"/>
    </row>
    <row r="2559" ht="15.75" customHeight="1">
      <c r="A2559" s="1"/>
      <c r="B2559" s="1"/>
      <c r="C2559" s="1"/>
      <c r="D2559" s="1"/>
      <c r="E2559" s="1"/>
      <c r="F2559" s="1"/>
      <c r="G2559" s="1"/>
      <c r="H2559" s="1"/>
      <c r="I2559" s="1"/>
      <c r="J2559" s="1"/>
      <c r="K2559" s="89" t="s">
        <v>3972</v>
      </c>
      <c r="L2559" s="89" t="str">
        <f>G105</f>
        <v>C1b1a2a</v>
      </c>
      <c r="M2559" s="89"/>
      <c r="N2559" s="89"/>
      <c r="O2559" s="92">
        <v>8258760.0</v>
      </c>
      <c r="P2559" s="92">
        <v>8390719.0</v>
      </c>
      <c r="Q2559" s="89" t="s">
        <v>838</v>
      </c>
      <c r="AF2559" s="1"/>
      <c r="AG2559" s="1"/>
    </row>
    <row r="2560" ht="15.75" customHeight="1">
      <c r="A2560" s="1"/>
      <c r="B2560" s="1"/>
      <c r="C2560" s="1"/>
      <c r="D2560" s="1"/>
      <c r="E2560" s="1"/>
      <c r="F2560" s="1"/>
      <c r="G2560" s="1"/>
      <c r="H2560" s="1"/>
      <c r="I2560" s="1"/>
      <c r="J2560" s="1"/>
      <c r="K2560" s="89" t="s">
        <v>3973</v>
      </c>
      <c r="L2560" s="89" t="str">
        <f>G105</f>
        <v>C1b1a2a</v>
      </c>
      <c r="M2560" s="89"/>
      <c r="N2560" s="89"/>
      <c r="O2560" s="92">
        <v>8384450.0</v>
      </c>
      <c r="P2560" s="92">
        <v>8516409.0</v>
      </c>
      <c r="Q2560" s="89" t="s">
        <v>802</v>
      </c>
      <c r="AF2560" s="1"/>
      <c r="AG2560" s="1"/>
    </row>
    <row r="2561" ht="15.75" customHeight="1">
      <c r="A2561" s="1"/>
      <c r="B2561" s="1"/>
      <c r="C2561" s="1"/>
      <c r="D2561" s="1"/>
      <c r="E2561" s="1"/>
      <c r="F2561" s="1"/>
      <c r="G2561" s="1"/>
      <c r="H2561" s="1"/>
      <c r="I2561" s="1"/>
      <c r="J2561" s="1"/>
      <c r="K2561" s="89" t="s">
        <v>3974</v>
      </c>
      <c r="L2561" s="89" t="str">
        <f>G105</f>
        <v>C1b1a2a</v>
      </c>
      <c r="M2561" s="89"/>
      <c r="N2561" s="89"/>
      <c r="O2561" s="92">
        <v>8477920.0</v>
      </c>
      <c r="P2561" s="92">
        <v>8609879.0</v>
      </c>
      <c r="Q2561" s="89" t="s">
        <v>838</v>
      </c>
      <c r="AF2561" s="1"/>
      <c r="AG2561" s="1"/>
    </row>
    <row r="2562" ht="15.75" customHeight="1">
      <c r="A2562" s="1"/>
      <c r="B2562" s="1"/>
      <c r="C2562" s="1"/>
      <c r="D2562" s="1"/>
      <c r="E2562" s="1"/>
      <c r="F2562" s="1"/>
      <c r="G2562" s="1"/>
      <c r="H2562" s="1"/>
      <c r="I2562" s="1"/>
      <c r="J2562" s="1"/>
      <c r="K2562" s="89" t="s">
        <v>3975</v>
      </c>
      <c r="L2562" s="89" t="str">
        <f>G105</f>
        <v>C1b1a2a</v>
      </c>
      <c r="M2562" s="89"/>
      <c r="N2562" s="89"/>
      <c r="O2562" s="92">
        <v>8533485.0</v>
      </c>
      <c r="P2562" s="92">
        <v>8665444.0</v>
      </c>
      <c r="Q2562" s="89" t="s">
        <v>802</v>
      </c>
      <c r="AF2562" s="1"/>
      <c r="AG2562" s="1"/>
    </row>
    <row r="2563" ht="15.75" customHeight="1">
      <c r="A2563" s="1"/>
      <c r="B2563" s="1"/>
      <c r="C2563" s="1"/>
      <c r="D2563" s="1"/>
      <c r="E2563" s="1"/>
      <c r="F2563" s="1"/>
      <c r="G2563" s="1"/>
      <c r="H2563" s="1"/>
      <c r="I2563" s="1"/>
      <c r="J2563" s="1"/>
      <c r="K2563" s="89" t="s">
        <v>3976</v>
      </c>
      <c r="L2563" s="89" t="str">
        <f>G105</f>
        <v>C1b1a2a</v>
      </c>
      <c r="M2563" s="89"/>
      <c r="N2563" s="89"/>
      <c r="O2563" s="92">
        <v>8550144.0</v>
      </c>
      <c r="P2563" s="92">
        <v>8682103.0</v>
      </c>
      <c r="Q2563" s="89" t="s">
        <v>879</v>
      </c>
      <c r="AF2563" s="1"/>
      <c r="AG2563" s="1"/>
    </row>
    <row r="2564" ht="15.75" customHeight="1">
      <c r="A2564" s="1"/>
      <c r="B2564" s="1"/>
      <c r="C2564" s="1"/>
      <c r="D2564" s="1"/>
      <c r="E2564" s="1"/>
      <c r="F2564" s="1"/>
      <c r="G2564" s="1"/>
      <c r="H2564" s="1"/>
      <c r="I2564" s="1"/>
      <c r="J2564" s="1"/>
      <c r="K2564" s="89" t="s">
        <v>3977</v>
      </c>
      <c r="L2564" s="89" t="str">
        <f>G105</f>
        <v>C1b1a2a</v>
      </c>
      <c r="M2564" s="89"/>
      <c r="N2564" s="89"/>
      <c r="O2564" s="92">
        <v>8554472.0</v>
      </c>
      <c r="P2564" s="92">
        <v>8686431.0</v>
      </c>
      <c r="Q2564" s="89" t="s">
        <v>810</v>
      </c>
      <c r="AF2564" s="1"/>
      <c r="AG2564" s="1"/>
    </row>
    <row r="2565" ht="15.75" customHeight="1">
      <c r="A2565" s="1"/>
      <c r="B2565" s="1"/>
      <c r="C2565" s="1"/>
      <c r="D2565" s="1"/>
      <c r="E2565" s="1"/>
      <c r="F2565" s="1"/>
      <c r="G2565" s="1"/>
      <c r="H2565" s="1"/>
      <c r="I2565" s="1"/>
      <c r="J2565" s="1"/>
      <c r="K2565" s="89" t="s">
        <v>3978</v>
      </c>
      <c r="L2565" s="89" t="str">
        <f>G105</f>
        <v>C1b1a2a</v>
      </c>
      <c r="M2565" s="89"/>
      <c r="N2565" s="89"/>
      <c r="O2565" s="92">
        <v>8561292.0</v>
      </c>
      <c r="P2565" s="92">
        <v>8693251.0</v>
      </c>
      <c r="Q2565" s="89" t="s">
        <v>810</v>
      </c>
      <c r="AF2565" s="1"/>
      <c r="AG2565" s="1"/>
    </row>
    <row r="2566" ht="15.75" customHeight="1">
      <c r="A2566" s="1"/>
      <c r="B2566" s="1"/>
      <c r="C2566" s="1"/>
      <c r="D2566" s="1"/>
      <c r="E2566" s="1"/>
      <c r="F2566" s="1"/>
      <c r="G2566" s="1"/>
      <c r="H2566" s="1"/>
      <c r="I2566" s="1"/>
      <c r="J2566" s="1"/>
      <c r="K2566" s="89" t="s">
        <v>3979</v>
      </c>
      <c r="L2566" s="89" t="str">
        <f>G105</f>
        <v>C1b1a2a</v>
      </c>
      <c r="M2566" s="89"/>
      <c r="N2566" s="89"/>
      <c r="O2566" s="92">
        <v>8596562.0</v>
      </c>
      <c r="P2566" s="92">
        <v>8728521.0</v>
      </c>
      <c r="Q2566" s="89" t="s">
        <v>917</v>
      </c>
      <c r="AF2566" s="1"/>
      <c r="AG2566" s="1"/>
    </row>
    <row r="2567" ht="15.75" customHeight="1">
      <c r="A2567" s="1"/>
      <c r="B2567" s="1"/>
      <c r="C2567" s="1"/>
      <c r="D2567" s="1"/>
      <c r="E2567" s="1"/>
      <c r="F2567" s="1"/>
      <c r="G2567" s="1"/>
      <c r="H2567" s="1"/>
      <c r="I2567" s="1"/>
      <c r="J2567" s="1"/>
      <c r="K2567" s="89" t="s">
        <v>3980</v>
      </c>
      <c r="L2567" s="89" t="str">
        <f>G105</f>
        <v>C1b1a2a</v>
      </c>
      <c r="M2567" s="89"/>
      <c r="N2567" s="89"/>
      <c r="O2567" s="92">
        <v>8604234.0</v>
      </c>
      <c r="P2567" s="92">
        <v>8736193.0</v>
      </c>
      <c r="Q2567" s="89" t="s">
        <v>802</v>
      </c>
      <c r="AF2567" s="1"/>
      <c r="AG2567" s="1"/>
    </row>
    <row r="2568" ht="15.75" customHeight="1">
      <c r="A2568" s="1"/>
      <c r="B2568" s="1"/>
      <c r="C2568" s="1"/>
      <c r="D2568" s="1"/>
      <c r="E2568" s="1"/>
      <c r="F2568" s="1"/>
      <c r="G2568" s="1"/>
      <c r="H2568" s="1"/>
      <c r="I2568" s="1"/>
      <c r="J2568" s="1"/>
      <c r="K2568" s="89" t="s">
        <v>3981</v>
      </c>
      <c r="L2568" s="89" t="str">
        <f>G105</f>
        <v>C1b1a2a</v>
      </c>
      <c r="M2568" s="89"/>
      <c r="N2568" s="89"/>
      <c r="O2568" s="92">
        <v>8736458.0</v>
      </c>
      <c r="P2568" s="92">
        <v>8868417.0</v>
      </c>
      <c r="Q2568" s="89" t="s">
        <v>838</v>
      </c>
      <c r="AF2568" s="1"/>
      <c r="AG2568" s="1"/>
    </row>
    <row r="2569" ht="15.75" customHeight="1">
      <c r="A2569" s="1"/>
      <c r="B2569" s="1"/>
      <c r="C2569" s="1"/>
      <c r="D2569" s="1"/>
      <c r="E2569" s="1"/>
      <c r="F2569" s="1"/>
      <c r="G2569" s="1"/>
      <c r="H2569" s="1"/>
      <c r="I2569" s="1"/>
      <c r="J2569" s="1"/>
      <c r="K2569" s="89" t="s">
        <v>3982</v>
      </c>
      <c r="L2569" s="89" t="str">
        <f>G105</f>
        <v>C1b1a2a</v>
      </c>
      <c r="M2569" s="89"/>
      <c r="N2569" s="89"/>
      <c r="O2569" s="92">
        <v>8807755.0</v>
      </c>
      <c r="P2569" s="92">
        <v>8939714.0</v>
      </c>
      <c r="Q2569" s="89" t="s">
        <v>802</v>
      </c>
      <c r="AF2569" s="1"/>
      <c r="AG2569" s="1"/>
    </row>
    <row r="2570" ht="15.75" customHeight="1">
      <c r="A2570" s="1"/>
      <c r="B2570" s="1"/>
      <c r="C2570" s="1"/>
      <c r="D2570" s="1"/>
      <c r="E2570" s="1"/>
      <c r="F2570" s="1"/>
      <c r="G2570" s="1"/>
      <c r="H2570" s="1"/>
      <c r="I2570" s="1"/>
      <c r="J2570" s="1"/>
      <c r="K2570" s="89" t="s">
        <v>3983</v>
      </c>
      <c r="L2570" s="89" t="str">
        <f>G105</f>
        <v>C1b1a2a</v>
      </c>
      <c r="M2570" s="89"/>
      <c r="N2570" s="89"/>
      <c r="O2570" s="92">
        <v>8814695.0</v>
      </c>
      <c r="P2570" s="92">
        <v>8946654.0</v>
      </c>
      <c r="Q2570" s="89" t="s">
        <v>838</v>
      </c>
      <c r="AF2570" s="1"/>
      <c r="AG2570" s="1"/>
    </row>
    <row r="2571" ht="15.75" customHeight="1">
      <c r="A2571" s="1"/>
      <c r="B2571" s="1"/>
      <c r="C2571" s="1"/>
      <c r="D2571" s="1"/>
      <c r="E2571" s="1"/>
      <c r="F2571" s="1"/>
      <c r="G2571" s="1"/>
      <c r="H2571" s="1"/>
      <c r="I2571" s="1"/>
      <c r="J2571" s="1"/>
      <c r="K2571" s="89" t="s">
        <v>3984</v>
      </c>
      <c r="L2571" s="89" t="str">
        <f>G105</f>
        <v>C1b1a2a</v>
      </c>
      <c r="M2571" s="89"/>
      <c r="N2571" s="89"/>
      <c r="O2571" s="92">
        <v>8817486.0</v>
      </c>
      <c r="P2571" s="92">
        <v>8949445.0</v>
      </c>
      <c r="Q2571" s="89" t="s">
        <v>912</v>
      </c>
      <c r="AF2571" s="1"/>
      <c r="AG2571" s="1"/>
    </row>
    <row r="2572" ht="15.75" customHeight="1">
      <c r="A2572" s="1"/>
      <c r="B2572" s="1"/>
      <c r="C2572" s="1"/>
      <c r="D2572" s="1"/>
      <c r="E2572" s="1"/>
      <c r="F2572" s="1"/>
      <c r="G2572" s="1"/>
      <c r="H2572" s="1"/>
      <c r="I2572" s="1"/>
      <c r="J2572" s="1"/>
      <c r="K2572" s="89" t="s">
        <v>3985</v>
      </c>
      <c r="L2572" s="89" t="str">
        <f>G105</f>
        <v>C1b1a2a</v>
      </c>
      <c r="M2572" s="89"/>
      <c r="N2572" s="89"/>
      <c r="O2572" s="92">
        <v>8821346.0</v>
      </c>
      <c r="P2572" s="92">
        <v>8953305.0</v>
      </c>
      <c r="Q2572" s="89" t="s">
        <v>838</v>
      </c>
      <c r="AF2572" s="1"/>
      <c r="AG2572" s="1"/>
    </row>
    <row r="2573" ht="15.75" customHeight="1">
      <c r="A2573" s="1"/>
      <c r="B2573" s="1"/>
      <c r="C2573" s="1"/>
      <c r="D2573" s="1"/>
      <c r="E2573" s="1"/>
      <c r="F2573" s="1"/>
      <c r="G2573" s="1"/>
      <c r="H2573" s="1"/>
      <c r="I2573" s="1"/>
      <c r="J2573" s="1"/>
      <c r="K2573" s="89" t="s">
        <v>3986</v>
      </c>
      <c r="L2573" s="89" t="str">
        <f>G105</f>
        <v>C1b1a2a</v>
      </c>
      <c r="M2573" s="89"/>
      <c r="N2573" s="89"/>
      <c r="O2573" s="92">
        <v>8827595.0</v>
      </c>
      <c r="P2573" s="92">
        <v>8959554.0</v>
      </c>
      <c r="Q2573" s="89" t="s">
        <v>838</v>
      </c>
      <c r="AF2573" s="1"/>
      <c r="AG2573" s="1"/>
    </row>
    <row r="2574" ht="15.75" customHeight="1">
      <c r="A2574" s="1"/>
      <c r="B2574" s="1"/>
      <c r="C2574" s="1"/>
      <c r="D2574" s="1"/>
      <c r="E2574" s="1"/>
      <c r="F2574" s="1"/>
      <c r="G2574" s="1"/>
      <c r="H2574" s="1"/>
      <c r="I2574" s="1"/>
      <c r="J2574" s="1"/>
      <c r="K2574" s="89" t="s">
        <v>3987</v>
      </c>
      <c r="L2574" s="89" t="str">
        <f>G105</f>
        <v>C1b1a2a</v>
      </c>
      <c r="M2574" s="89"/>
      <c r="N2574" s="89"/>
      <c r="O2574" s="92">
        <v>8828798.0</v>
      </c>
      <c r="P2574" s="92">
        <v>8960757.0</v>
      </c>
      <c r="Q2574" s="89" t="s">
        <v>802</v>
      </c>
      <c r="AF2574" s="1"/>
      <c r="AG2574" s="1"/>
    </row>
    <row r="2575" ht="15.75" customHeight="1">
      <c r="A2575" s="1"/>
      <c r="B2575" s="1"/>
      <c r="C2575" s="1"/>
      <c r="D2575" s="1"/>
      <c r="E2575" s="1"/>
      <c r="F2575" s="1"/>
      <c r="G2575" s="1"/>
      <c r="H2575" s="1"/>
      <c r="I2575" s="1"/>
      <c r="J2575" s="1"/>
      <c r="K2575" s="89" t="s">
        <v>3988</v>
      </c>
      <c r="L2575" s="89" t="str">
        <f>G105</f>
        <v>C1b1a2a</v>
      </c>
      <c r="M2575" s="89"/>
      <c r="N2575" s="89"/>
      <c r="O2575" s="92">
        <v>8840996.0</v>
      </c>
      <c r="P2575" s="92">
        <v>8972955.0</v>
      </c>
      <c r="Q2575" s="89" t="s">
        <v>810</v>
      </c>
      <c r="AF2575" s="1"/>
      <c r="AG2575" s="1"/>
    </row>
    <row r="2576" ht="15.75" customHeight="1">
      <c r="A2576" s="1"/>
      <c r="B2576" s="1"/>
      <c r="C2576" s="1"/>
      <c r="D2576" s="1"/>
      <c r="E2576" s="1"/>
      <c r="F2576" s="1"/>
      <c r="G2576" s="1"/>
      <c r="H2576" s="1"/>
      <c r="I2576" s="1"/>
      <c r="J2576" s="1"/>
      <c r="K2576" s="89" t="s">
        <v>3989</v>
      </c>
      <c r="L2576" s="89" t="str">
        <f>G105</f>
        <v>C1b1a2a</v>
      </c>
      <c r="M2576" s="89"/>
      <c r="N2576" s="89" t="s">
        <v>3990</v>
      </c>
      <c r="O2576" s="92">
        <v>8872436.0</v>
      </c>
      <c r="P2576" s="92">
        <v>9004395.0</v>
      </c>
      <c r="Q2576" s="89" t="s">
        <v>822</v>
      </c>
      <c r="AF2576" s="1"/>
      <c r="AG2576" s="1"/>
    </row>
    <row r="2577" ht="15.75" customHeight="1">
      <c r="A2577" s="1"/>
      <c r="B2577" s="1"/>
      <c r="C2577" s="1"/>
      <c r="D2577" s="1"/>
      <c r="E2577" s="1"/>
      <c r="F2577" s="1"/>
      <c r="G2577" s="1"/>
      <c r="H2577" s="1"/>
      <c r="I2577" s="1"/>
      <c r="J2577" s="1"/>
      <c r="K2577" s="89" t="s">
        <v>3991</v>
      </c>
      <c r="L2577" s="89" t="str">
        <f>G105</f>
        <v>C1b1a2a</v>
      </c>
      <c r="M2577" s="89"/>
      <c r="N2577" s="89"/>
      <c r="O2577" s="92">
        <v>8891593.0</v>
      </c>
      <c r="P2577" s="92">
        <v>9023552.0</v>
      </c>
      <c r="Q2577" s="89" t="s">
        <v>810</v>
      </c>
      <c r="AF2577" s="1"/>
      <c r="AG2577" s="1"/>
    </row>
    <row r="2578" ht="15.75" customHeight="1">
      <c r="A2578" s="1"/>
      <c r="B2578" s="1"/>
      <c r="C2578" s="1"/>
      <c r="D2578" s="1"/>
      <c r="E2578" s="1"/>
      <c r="F2578" s="1"/>
      <c r="G2578" s="1"/>
      <c r="H2578" s="1"/>
      <c r="I2578" s="1"/>
      <c r="J2578" s="1"/>
      <c r="K2578" s="89" t="s">
        <v>3992</v>
      </c>
      <c r="L2578" s="89" t="str">
        <f>G105</f>
        <v>C1b1a2a</v>
      </c>
      <c r="M2578" s="89"/>
      <c r="N2578" s="89"/>
      <c r="O2578" s="92">
        <v>8893596.0</v>
      </c>
      <c r="P2578" s="92">
        <v>9025555.0</v>
      </c>
      <c r="Q2578" s="89" t="s">
        <v>886</v>
      </c>
      <c r="AF2578" s="1"/>
      <c r="AG2578" s="1"/>
    </row>
    <row r="2579" ht="15.75" customHeight="1">
      <c r="A2579" s="1"/>
      <c r="B2579" s="1"/>
      <c r="C2579" s="1"/>
      <c r="D2579" s="1"/>
      <c r="E2579" s="1"/>
      <c r="F2579" s="1"/>
      <c r="G2579" s="1"/>
      <c r="H2579" s="1"/>
      <c r="I2579" s="1"/>
      <c r="J2579" s="1"/>
      <c r="K2579" s="89" t="s">
        <v>3993</v>
      </c>
      <c r="L2579" s="89" t="str">
        <f>G105</f>
        <v>C1b1a2a</v>
      </c>
      <c r="M2579" s="89"/>
      <c r="N2579" s="89"/>
      <c r="O2579" s="92">
        <v>9113848.0</v>
      </c>
      <c r="P2579" s="92">
        <v>9276239.0</v>
      </c>
      <c r="Q2579" s="89" t="s">
        <v>810</v>
      </c>
      <c r="AF2579" s="1"/>
      <c r="AG2579" s="1"/>
    </row>
    <row r="2580" ht="15.75" customHeight="1">
      <c r="A2580" s="1"/>
      <c r="B2580" s="1"/>
      <c r="C2580" s="1"/>
      <c r="D2580" s="1"/>
      <c r="E2580" s="1"/>
      <c r="F2580" s="1"/>
      <c r="G2580" s="1"/>
      <c r="H2580" s="1"/>
      <c r="I2580" s="1"/>
      <c r="J2580" s="1"/>
      <c r="K2580" s="89" t="s">
        <v>3994</v>
      </c>
      <c r="L2580" s="89" t="str">
        <f>G105</f>
        <v>C1b1a2a</v>
      </c>
      <c r="M2580" s="89"/>
      <c r="N2580" s="89"/>
      <c r="O2580" s="92">
        <v>9135282.0</v>
      </c>
      <c r="P2580" s="92">
        <v>9297673.0</v>
      </c>
      <c r="Q2580" s="89" t="s">
        <v>822</v>
      </c>
      <c r="AF2580" s="1"/>
      <c r="AG2580" s="1"/>
    </row>
    <row r="2581" ht="15.75" customHeight="1">
      <c r="A2581" s="1"/>
      <c r="B2581" s="1"/>
      <c r="C2581" s="1"/>
      <c r="D2581" s="1"/>
      <c r="E2581" s="1"/>
      <c r="F2581" s="1"/>
      <c r="G2581" s="1"/>
      <c r="H2581" s="1"/>
      <c r="I2581" s="1"/>
      <c r="J2581" s="1"/>
      <c r="K2581" s="89" t="s">
        <v>3995</v>
      </c>
      <c r="L2581" s="89" t="str">
        <f>G105</f>
        <v>C1b1a2a</v>
      </c>
      <c r="M2581" s="89"/>
      <c r="N2581" s="89"/>
      <c r="O2581" s="92">
        <v>9812596.0</v>
      </c>
      <c r="P2581" s="92">
        <v>9974987.0</v>
      </c>
      <c r="Q2581" s="89" t="s">
        <v>838</v>
      </c>
      <c r="AF2581" s="1"/>
      <c r="AG2581" s="1"/>
    </row>
    <row r="2582" ht="15.75" customHeight="1">
      <c r="A2582" s="1"/>
      <c r="B2582" s="1"/>
      <c r="C2582" s="1"/>
      <c r="D2582" s="1"/>
      <c r="E2582" s="1"/>
      <c r="F2582" s="1"/>
      <c r="G2582" s="1"/>
      <c r="H2582" s="1"/>
      <c r="I2582" s="1"/>
      <c r="J2582" s="1"/>
      <c r="K2582" s="89" t="s">
        <v>3996</v>
      </c>
      <c r="L2582" s="89" t="str">
        <f>G105</f>
        <v>C1b1a2a</v>
      </c>
      <c r="M2582" s="89"/>
      <c r="N2582" s="89"/>
      <c r="O2582" s="92">
        <v>9830749.0</v>
      </c>
      <c r="P2582" s="92">
        <v>9993140.0</v>
      </c>
      <c r="Q2582" s="89" t="s">
        <v>831</v>
      </c>
      <c r="AF2582" s="1"/>
      <c r="AG2582" s="1"/>
    </row>
    <row r="2583" ht="15.75" customHeight="1">
      <c r="A2583" s="1"/>
      <c r="B2583" s="1"/>
      <c r="C2583" s="1"/>
      <c r="D2583" s="1"/>
      <c r="E2583" s="1"/>
      <c r="F2583" s="1"/>
      <c r="G2583" s="1"/>
      <c r="H2583" s="1"/>
      <c r="I2583" s="1"/>
      <c r="J2583" s="1"/>
      <c r="K2583" s="89" t="s">
        <v>3997</v>
      </c>
      <c r="L2583" s="89" t="str">
        <f>G105</f>
        <v>C1b1a2a</v>
      </c>
      <c r="M2583" s="89"/>
      <c r="N2583" s="89"/>
      <c r="O2583" s="92">
        <v>9840621.0</v>
      </c>
      <c r="P2583" s="92">
        <v>1.0003012E7</v>
      </c>
      <c r="Q2583" s="89" t="s">
        <v>822</v>
      </c>
      <c r="AF2583" s="1"/>
      <c r="AG2583" s="1"/>
    </row>
    <row r="2584" ht="15.75" customHeight="1">
      <c r="A2584" s="1"/>
      <c r="B2584" s="1"/>
      <c r="C2584" s="1"/>
      <c r="D2584" s="1"/>
      <c r="E2584" s="1"/>
      <c r="F2584" s="1"/>
      <c r="G2584" s="1"/>
      <c r="H2584" s="1"/>
      <c r="I2584" s="1"/>
      <c r="J2584" s="1"/>
      <c r="K2584" s="89" t="s">
        <v>3998</v>
      </c>
      <c r="L2584" s="89" t="str">
        <f>G105</f>
        <v>C1b1a2a</v>
      </c>
      <c r="M2584" s="89"/>
      <c r="N2584" s="89"/>
      <c r="O2584" s="92">
        <v>9840788.0</v>
      </c>
      <c r="P2584" s="92">
        <v>1.0003179E7</v>
      </c>
      <c r="Q2584" s="89" t="s">
        <v>822</v>
      </c>
      <c r="AF2584" s="1"/>
      <c r="AG2584" s="1"/>
    </row>
    <row r="2585" ht="15.75" customHeight="1">
      <c r="A2585" s="1"/>
      <c r="B2585" s="1"/>
      <c r="C2585" s="1"/>
      <c r="D2585" s="1"/>
      <c r="E2585" s="1"/>
      <c r="F2585" s="1"/>
      <c r="G2585" s="1"/>
      <c r="H2585" s="1"/>
      <c r="I2585" s="1"/>
      <c r="J2585" s="1"/>
      <c r="K2585" s="89" t="s">
        <v>3999</v>
      </c>
      <c r="L2585" s="89" t="str">
        <f>G105</f>
        <v>C1b1a2a</v>
      </c>
      <c r="M2585" s="89"/>
      <c r="N2585" s="89"/>
      <c r="O2585" s="92">
        <v>1.4051318E7</v>
      </c>
      <c r="P2585" s="92">
        <v>1.1930612E7</v>
      </c>
      <c r="Q2585" s="89" t="s">
        <v>917</v>
      </c>
      <c r="AF2585" s="1"/>
      <c r="AG2585" s="1"/>
    </row>
    <row r="2586" ht="15.75" customHeight="1">
      <c r="A2586" s="1"/>
      <c r="B2586" s="1"/>
      <c r="C2586" s="1"/>
      <c r="D2586" s="1"/>
      <c r="E2586" s="1"/>
      <c r="F2586" s="1"/>
      <c r="G2586" s="1"/>
      <c r="H2586" s="1"/>
      <c r="I2586" s="1"/>
      <c r="J2586" s="1"/>
      <c r="K2586" s="89" t="s">
        <v>4000</v>
      </c>
      <c r="L2586" s="89" t="str">
        <f>G105</f>
        <v>C1b1a2a</v>
      </c>
      <c r="M2586" s="89"/>
      <c r="N2586" s="89"/>
      <c r="O2586" s="92">
        <v>1.4077631E7</v>
      </c>
      <c r="P2586" s="92">
        <v>1.1956925E7</v>
      </c>
      <c r="Q2586" s="89" t="s">
        <v>802</v>
      </c>
      <c r="AF2586" s="1"/>
      <c r="AG2586" s="1"/>
    </row>
    <row r="2587" ht="15.75" customHeight="1">
      <c r="A2587" s="1"/>
      <c r="B2587" s="1"/>
      <c r="C2587" s="1"/>
      <c r="D2587" s="1"/>
      <c r="E2587" s="1"/>
      <c r="F2587" s="1"/>
      <c r="G2587" s="1"/>
      <c r="H2587" s="1"/>
      <c r="I2587" s="1"/>
      <c r="J2587" s="1"/>
      <c r="K2587" s="89" t="s">
        <v>4001</v>
      </c>
      <c r="L2587" s="89" t="str">
        <f>G105</f>
        <v>C1b1a2a</v>
      </c>
      <c r="M2587" s="89"/>
      <c r="N2587" s="89"/>
      <c r="O2587" s="92">
        <v>1.4084463E7</v>
      </c>
      <c r="P2587" s="92">
        <v>1.1963757E7</v>
      </c>
      <c r="Q2587" s="89" t="s">
        <v>886</v>
      </c>
      <c r="AF2587" s="1"/>
      <c r="AG2587" s="1"/>
    </row>
    <row r="2588" ht="15.75" customHeight="1">
      <c r="A2588" s="1"/>
      <c r="B2588" s="1"/>
      <c r="C2588" s="1"/>
      <c r="D2588" s="1"/>
      <c r="E2588" s="1"/>
      <c r="F2588" s="1"/>
      <c r="G2588" s="1"/>
      <c r="H2588" s="1"/>
      <c r="I2588" s="1"/>
      <c r="J2588" s="1"/>
      <c r="K2588" s="89" t="s">
        <v>4002</v>
      </c>
      <c r="L2588" s="89" t="str">
        <f>G105</f>
        <v>C1b1a2a</v>
      </c>
      <c r="M2588" s="89"/>
      <c r="N2588" s="89"/>
      <c r="O2588" s="92">
        <v>1.4098127E7</v>
      </c>
      <c r="P2588" s="92">
        <v>1.1977421E7</v>
      </c>
      <c r="Q2588" s="89" t="s">
        <v>917</v>
      </c>
      <c r="AF2588" s="1"/>
      <c r="AG2588" s="1"/>
    </row>
    <row r="2589" ht="15.75" customHeight="1">
      <c r="A2589" s="1"/>
      <c r="B2589" s="1"/>
      <c r="C2589" s="1"/>
      <c r="D2589" s="1"/>
      <c r="E2589" s="1"/>
      <c r="F2589" s="1"/>
      <c r="G2589" s="1"/>
      <c r="H2589" s="1"/>
      <c r="I2589" s="1"/>
      <c r="J2589" s="1"/>
      <c r="K2589" s="89" t="s">
        <v>4003</v>
      </c>
      <c r="L2589" s="89" t="str">
        <f>G105</f>
        <v>C1b1a2a</v>
      </c>
      <c r="M2589" s="89"/>
      <c r="N2589" s="89"/>
      <c r="O2589" s="92">
        <v>1.4117399E7</v>
      </c>
      <c r="P2589" s="92">
        <v>1.1996693E7</v>
      </c>
      <c r="Q2589" s="89" t="s">
        <v>831</v>
      </c>
      <c r="AF2589" s="1"/>
      <c r="AG2589" s="1"/>
    </row>
    <row r="2590" ht="15.75" customHeight="1">
      <c r="A2590" s="1"/>
      <c r="B2590" s="1"/>
      <c r="C2590" s="1"/>
      <c r="D2590" s="1"/>
      <c r="E2590" s="1"/>
      <c r="F2590" s="1"/>
      <c r="G2590" s="1"/>
      <c r="H2590" s="1"/>
      <c r="I2590" s="1"/>
      <c r="J2590" s="1"/>
      <c r="K2590" s="89" t="s">
        <v>4004</v>
      </c>
      <c r="L2590" s="89" t="str">
        <f>G105</f>
        <v>C1b1a2a</v>
      </c>
      <c r="M2590" s="89"/>
      <c r="N2590" s="89"/>
      <c r="O2590" s="92">
        <v>1.4138858E7</v>
      </c>
      <c r="P2590" s="92">
        <v>1.2018152E7</v>
      </c>
      <c r="Q2590" s="89" t="s">
        <v>802</v>
      </c>
      <c r="AF2590" s="1"/>
      <c r="AG2590" s="1"/>
    </row>
    <row r="2591" ht="15.75" customHeight="1">
      <c r="A2591" s="1"/>
      <c r="B2591" s="1"/>
      <c r="C2591" s="1"/>
      <c r="D2591" s="1"/>
      <c r="E2591" s="1"/>
      <c r="F2591" s="1"/>
      <c r="G2591" s="1"/>
      <c r="H2591" s="1"/>
      <c r="I2591" s="1"/>
      <c r="J2591" s="1"/>
      <c r="K2591" s="89" t="s">
        <v>4005</v>
      </c>
      <c r="L2591" s="89" t="str">
        <f>G105</f>
        <v>C1b1a2a</v>
      </c>
      <c r="M2591" s="89"/>
      <c r="N2591" s="89"/>
      <c r="O2591" s="92">
        <v>1.4142891E7</v>
      </c>
      <c r="P2591" s="92">
        <v>1.2022185E7</v>
      </c>
      <c r="Q2591" s="89" t="s">
        <v>810</v>
      </c>
      <c r="AF2591" s="1"/>
      <c r="AG2591" s="1"/>
    </row>
    <row r="2592" ht="15.75" customHeight="1">
      <c r="A2592" s="1"/>
      <c r="B2592" s="1"/>
      <c r="C2592" s="1"/>
      <c r="D2592" s="1"/>
      <c r="E2592" s="1"/>
      <c r="F2592" s="1"/>
      <c r="G2592" s="1"/>
      <c r="H2592" s="1"/>
      <c r="I2592" s="1"/>
      <c r="J2592" s="1"/>
      <c r="K2592" s="89" t="s">
        <v>4006</v>
      </c>
      <c r="L2592" s="89" t="str">
        <f>G105</f>
        <v>C1b1a2a</v>
      </c>
      <c r="M2592" s="89"/>
      <c r="N2592" s="89"/>
      <c r="O2592" s="92">
        <v>1.4152205E7</v>
      </c>
      <c r="P2592" s="92">
        <v>1.2031499E7</v>
      </c>
      <c r="Q2592" s="89" t="s">
        <v>810</v>
      </c>
      <c r="AF2592" s="1"/>
      <c r="AG2592" s="1"/>
    </row>
    <row r="2593" ht="15.75" customHeight="1">
      <c r="A2593" s="1"/>
      <c r="B2593" s="1"/>
      <c r="C2593" s="1"/>
      <c r="D2593" s="1"/>
      <c r="E2593" s="1"/>
      <c r="F2593" s="1"/>
      <c r="G2593" s="1"/>
      <c r="H2593" s="1"/>
      <c r="I2593" s="1"/>
      <c r="J2593" s="1"/>
      <c r="K2593" s="89" t="s">
        <v>4007</v>
      </c>
      <c r="L2593" s="89" t="str">
        <f>G105</f>
        <v>C1b1a2a</v>
      </c>
      <c r="M2593" s="89"/>
      <c r="N2593" s="89"/>
      <c r="O2593" s="92">
        <v>1.4157646E7</v>
      </c>
      <c r="P2593" s="92">
        <v>1.203694E7</v>
      </c>
      <c r="Q2593" s="89" t="s">
        <v>802</v>
      </c>
      <c r="AF2593" s="1"/>
      <c r="AG2593" s="1"/>
    </row>
    <row r="2594" ht="15.75" customHeight="1">
      <c r="A2594" s="1"/>
      <c r="B2594" s="1"/>
      <c r="C2594" s="1"/>
      <c r="D2594" s="1"/>
      <c r="E2594" s="1"/>
      <c r="F2594" s="1"/>
      <c r="G2594" s="1"/>
      <c r="H2594" s="1"/>
      <c r="I2594" s="1"/>
      <c r="J2594" s="1"/>
      <c r="K2594" s="89" t="s">
        <v>4008</v>
      </c>
      <c r="L2594" s="89" t="str">
        <f>G105</f>
        <v>C1b1a2a</v>
      </c>
      <c r="M2594" s="89"/>
      <c r="N2594" s="89"/>
      <c r="O2594" s="92">
        <v>1.416712E7</v>
      </c>
      <c r="P2594" s="92">
        <v>1.2046414E7</v>
      </c>
      <c r="Q2594" s="93" t="s">
        <v>813</v>
      </c>
      <c r="AF2594" s="1"/>
      <c r="AG2594" s="1"/>
    </row>
    <row r="2595" ht="15.75" customHeight="1">
      <c r="A2595" s="1"/>
      <c r="B2595" s="1"/>
      <c r="C2595" s="1"/>
      <c r="D2595" s="1"/>
      <c r="E2595" s="1"/>
      <c r="F2595" s="1"/>
      <c r="G2595" s="1"/>
      <c r="H2595" s="1"/>
      <c r="I2595" s="1"/>
      <c r="J2595" s="1"/>
      <c r="K2595" s="89" t="s">
        <v>4009</v>
      </c>
      <c r="L2595" s="89" t="str">
        <f>G105</f>
        <v>C1b1a2a</v>
      </c>
      <c r="M2595" s="89"/>
      <c r="N2595" s="89"/>
      <c r="O2595" s="92">
        <v>1.4168574E7</v>
      </c>
      <c r="P2595" s="92">
        <v>1.2047868E7</v>
      </c>
      <c r="Q2595" s="89" t="s">
        <v>802</v>
      </c>
      <c r="AF2595" s="1"/>
      <c r="AG2595" s="1"/>
    </row>
    <row r="2596" ht="15.75" customHeight="1">
      <c r="A2596" s="1"/>
      <c r="B2596" s="1"/>
      <c r="C2596" s="1"/>
      <c r="D2596" s="1"/>
      <c r="E2596" s="1"/>
      <c r="F2596" s="1"/>
      <c r="G2596" s="1"/>
      <c r="H2596" s="1"/>
      <c r="I2596" s="1"/>
      <c r="J2596" s="1"/>
      <c r="K2596" s="89" t="s">
        <v>4010</v>
      </c>
      <c r="L2596" s="89" t="str">
        <f>G105</f>
        <v>C1b1a2a</v>
      </c>
      <c r="M2596" s="89"/>
      <c r="N2596" s="89"/>
      <c r="O2596" s="92">
        <v>1.4188713E7</v>
      </c>
      <c r="P2596" s="92">
        <v>1.2068007E7</v>
      </c>
      <c r="Q2596" s="89" t="s">
        <v>879</v>
      </c>
      <c r="AF2596" s="1"/>
      <c r="AG2596" s="1"/>
    </row>
    <row r="2597" ht="15.75" customHeight="1">
      <c r="A2597" s="1"/>
      <c r="B2597" s="1"/>
      <c r="C2597" s="1"/>
      <c r="D2597" s="1"/>
      <c r="E2597" s="1"/>
      <c r="F2597" s="1"/>
      <c r="G2597" s="1"/>
      <c r="H2597" s="1"/>
      <c r="I2597" s="1"/>
      <c r="J2597" s="1"/>
      <c r="K2597" s="89" t="s">
        <v>4011</v>
      </c>
      <c r="L2597" s="89" t="str">
        <f>G105</f>
        <v>C1b1a2a</v>
      </c>
      <c r="M2597" s="89"/>
      <c r="N2597" s="89"/>
      <c r="O2597" s="92">
        <v>1.4204767E7</v>
      </c>
      <c r="P2597" s="92">
        <v>1.2084061E7</v>
      </c>
      <c r="Q2597" s="89" t="s">
        <v>886</v>
      </c>
      <c r="AF2597" s="1"/>
      <c r="AG2597" s="1"/>
    </row>
    <row r="2598" ht="15.75" customHeight="1">
      <c r="A2598" s="1"/>
      <c r="B2598" s="1"/>
      <c r="C2598" s="1"/>
      <c r="D2598" s="1"/>
      <c r="E2598" s="1"/>
      <c r="F2598" s="1"/>
      <c r="G2598" s="1"/>
      <c r="H2598" s="1"/>
      <c r="I2598" s="1"/>
      <c r="J2598" s="1"/>
      <c r="K2598" s="89" t="s">
        <v>4012</v>
      </c>
      <c r="L2598" s="89" t="str">
        <f>G105</f>
        <v>C1b1a2a</v>
      </c>
      <c r="M2598" s="89"/>
      <c r="N2598" s="89"/>
      <c r="O2598" s="92">
        <v>1.4228201E7</v>
      </c>
      <c r="P2598" s="92">
        <v>1.2107495E7</v>
      </c>
      <c r="Q2598" s="89" t="s">
        <v>810</v>
      </c>
      <c r="AF2598" s="1"/>
      <c r="AG2598" s="1"/>
    </row>
    <row r="2599" ht="15.75" customHeight="1">
      <c r="A2599" s="1"/>
      <c r="B2599" s="1"/>
      <c r="C2599" s="1"/>
      <c r="D2599" s="1"/>
      <c r="E2599" s="1"/>
      <c r="F2599" s="1"/>
      <c r="G2599" s="1"/>
      <c r="H2599" s="1"/>
      <c r="I2599" s="1"/>
      <c r="J2599" s="1"/>
      <c r="K2599" s="89" t="s">
        <v>4013</v>
      </c>
      <c r="L2599" s="89" t="str">
        <f>G105</f>
        <v>C1b1a2a</v>
      </c>
      <c r="M2599" s="89"/>
      <c r="N2599" s="89"/>
      <c r="O2599" s="92">
        <v>1.4263959E7</v>
      </c>
      <c r="P2599" s="92">
        <v>1.2143253E7</v>
      </c>
      <c r="Q2599" s="89" t="s">
        <v>838</v>
      </c>
      <c r="AF2599" s="1"/>
      <c r="AG2599" s="1"/>
    </row>
    <row r="2600" ht="15.75" customHeight="1">
      <c r="A2600" s="1"/>
      <c r="B2600" s="1"/>
      <c r="C2600" s="1"/>
      <c r="D2600" s="1"/>
      <c r="E2600" s="1"/>
      <c r="F2600" s="1"/>
      <c r="G2600" s="1"/>
      <c r="H2600" s="1"/>
      <c r="I2600" s="1"/>
      <c r="J2600" s="1"/>
      <c r="K2600" s="89" t="s">
        <v>4014</v>
      </c>
      <c r="L2600" s="89" t="str">
        <f>G105</f>
        <v>C1b1a2a</v>
      </c>
      <c r="M2600" s="89"/>
      <c r="N2600" s="89"/>
      <c r="O2600" s="92">
        <v>1.4269036E7</v>
      </c>
      <c r="P2600" s="92">
        <v>1.214833E7</v>
      </c>
      <c r="Q2600" s="89" t="s">
        <v>864</v>
      </c>
      <c r="AF2600" s="1"/>
      <c r="AG2600" s="1"/>
    </row>
    <row r="2601" ht="15.75" customHeight="1">
      <c r="A2601" s="1"/>
      <c r="B2601" s="1"/>
      <c r="C2601" s="1"/>
      <c r="D2601" s="1"/>
      <c r="E2601" s="1"/>
      <c r="F2601" s="1"/>
      <c r="G2601" s="1"/>
      <c r="H2601" s="1"/>
      <c r="I2601" s="1"/>
      <c r="J2601" s="1"/>
      <c r="K2601" s="89" t="s">
        <v>4015</v>
      </c>
      <c r="L2601" s="89" t="str">
        <f>G105</f>
        <v>C1b1a2a</v>
      </c>
      <c r="M2601" s="89"/>
      <c r="N2601" s="89"/>
      <c r="O2601" s="92">
        <v>1.4281576E7</v>
      </c>
      <c r="P2601" s="92">
        <v>1.216087E7</v>
      </c>
      <c r="Q2601" s="89" t="s">
        <v>802</v>
      </c>
      <c r="AF2601" s="1"/>
      <c r="AG2601" s="1"/>
    </row>
    <row r="2602" ht="15.75" customHeight="1">
      <c r="A2602" s="1"/>
      <c r="B2602" s="1"/>
      <c r="C2602" s="1"/>
      <c r="D2602" s="1"/>
      <c r="E2602" s="1"/>
      <c r="F2602" s="1"/>
      <c r="G2602" s="1"/>
      <c r="H2602" s="1"/>
      <c r="I2602" s="1"/>
      <c r="J2602" s="1"/>
      <c r="K2602" s="89" t="s">
        <v>4016</v>
      </c>
      <c r="L2602" s="89" t="str">
        <f>G105</f>
        <v>C1b1a2a</v>
      </c>
      <c r="M2602" s="89"/>
      <c r="N2602" s="89"/>
      <c r="O2602" s="92">
        <v>1.4305147E7</v>
      </c>
      <c r="P2602" s="92">
        <v>1.2184441E7</v>
      </c>
      <c r="Q2602" s="89" t="s">
        <v>879</v>
      </c>
      <c r="AF2602" s="1"/>
      <c r="AG2602" s="1"/>
    </row>
    <row r="2603" ht="15.75" customHeight="1">
      <c r="A2603" s="1"/>
      <c r="B2603" s="1"/>
      <c r="C2603" s="1"/>
      <c r="D2603" s="1"/>
      <c r="E2603" s="1"/>
      <c r="F2603" s="1"/>
      <c r="G2603" s="1"/>
      <c r="H2603" s="1"/>
      <c r="I2603" s="1"/>
      <c r="J2603" s="1"/>
      <c r="K2603" s="89" t="s">
        <v>4017</v>
      </c>
      <c r="L2603" s="89" t="str">
        <f>G105</f>
        <v>C1b1a2a</v>
      </c>
      <c r="M2603" s="89"/>
      <c r="N2603" s="89"/>
      <c r="O2603" s="92">
        <v>1.4312924E7</v>
      </c>
      <c r="P2603" s="92">
        <v>1.2192218E7</v>
      </c>
      <c r="Q2603" s="89" t="s">
        <v>810</v>
      </c>
      <c r="AF2603" s="1"/>
      <c r="AG2603" s="1"/>
    </row>
    <row r="2604" ht="15.75" customHeight="1">
      <c r="A2604" s="1"/>
      <c r="B2604" s="1"/>
      <c r="C2604" s="1"/>
      <c r="D2604" s="1"/>
      <c r="E2604" s="1"/>
      <c r="F2604" s="1"/>
      <c r="G2604" s="1"/>
      <c r="H2604" s="1"/>
      <c r="I2604" s="1"/>
      <c r="J2604" s="1"/>
      <c r="K2604" s="89" t="s">
        <v>4018</v>
      </c>
      <c r="L2604" s="89" t="str">
        <f>G105</f>
        <v>C1b1a2a</v>
      </c>
      <c r="M2604" s="89"/>
      <c r="N2604" s="89"/>
      <c r="O2604" s="92">
        <v>1.4314291E7</v>
      </c>
      <c r="P2604" s="92">
        <v>1.2193585E7</v>
      </c>
      <c r="Q2604" s="89" t="s">
        <v>912</v>
      </c>
      <c r="AF2604" s="1"/>
      <c r="AG2604" s="1"/>
    </row>
    <row r="2605" ht="15.75" customHeight="1">
      <c r="A2605" s="1"/>
      <c r="B2605" s="1"/>
      <c r="C2605" s="1"/>
      <c r="D2605" s="1"/>
      <c r="E2605" s="1"/>
      <c r="F2605" s="1"/>
      <c r="G2605" s="1"/>
      <c r="H2605" s="1"/>
      <c r="I2605" s="1"/>
      <c r="J2605" s="1"/>
      <c r="K2605" s="89" t="s">
        <v>4019</v>
      </c>
      <c r="L2605" s="89" t="str">
        <f>G105</f>
        <v>C1b1a2a</v>
      </c>
      <c r="M2605" s="89"/>
      <c r="N2605" s="89"/>
      <c r="O2605" s="92">
        <v>1.4429646E7</v>
      </c>
      <c r="P2605" s="92">
        <v>1.2308919E7</v>
      </c>
      <c r="Q2605" s="89" t="s">
        <v>838</v>
      </c>
      <c r="AF2605" s="1"/>
      <c r="AG2605" s="1"/>
    </row>
    <row r="2606" ht="15.75" customHeight="1">
      <c r="A2606" s="1"/>
      <c r="B2606" s="1"/>
      <c r="C2606" s="1"/>
      <c r="D2606" s="1"/>
      <c r="E2606" s="1"/>
      <c r="F2606" s="1"/>
      <c r="G2606" s="1"/>
      <c r="H2606" s="1"/>
      <c r="I2606" s="1"/>
      <c r="J2606" s="1"/>
      <c r="K2606" s="89" t="s">
        <v>4020</v>
      </c>
      <c r="L2606" s="89" t="str">
        <f>G105</f>
        <v>C1b1a2a</v>
      </c>
      <c r="M2606" s="89"/>
      <c r="N2606" s="89"/>
      <c r="O2606" s="92">
        <v>1.4468516E7</v>
      </c>
      <c r="P2606" s="92">
        <v>1.2347785E7</v>
      </c>
      <c r="Q2606" s="89" t="s">
        <v>838</v>
      </c>
      <c r="AF2606" s="1"/>
      <c r="AG2606" s="1"/>
    </row>
    <row r="2607" ht="15.75" customHeight="1">
      <c r="A2607" s="1"/>
      <c r="B2607" s="1"/>
      <c r="C2607" s="1"/>
      <c r="D2607" s="1"/>
      <c r="E2607" s="1"/>
      <c r="F2607" s="1"/>
      <c r="G2607" s="1"/>
      <c r="H2607" s="1"/>
      <c r="I2607" s="1"/>
      <c r="J2607" s="1"/>
      <c r="K2607" s="89" t="s">
        <v>4021</v>
      </c>
      <c r="L2607" s="89" t="str">
        <f>G105</f>
        <v>C1b1a2a</v>
      </c>
      <c r="M2607" s="89"/>
      <c r="N2607" s="89" t="s">
        <v>4022</v>
      </c>
      <c r="O2607" s="92">
        <v>1.4481359E7</v>
      </c>
      <c r="P2607" s="92">
        <v>1.2360628E7</v>
      </c>
      <c r="Q2607" s="89" t="s">
        <v>802</v>
      </c>
      <c r="AF2607" s="1"/>
      <c r="AG2607" s="1"/>
    </row>
    <row r="2608" ht="15.75" customHeight="1">
      <c r="A2608" s="1"/>
      <c r="B2608" s="1"/>
      <c r="C2608" s="1"/>
      <c r="D2608" s="1"/>
      <c r="E2608" s="1"/>
      <c r="F2608" s="1"/>
      <c r="G2608" s="1"/>
      <c r="H2608" s="1"/>
      <c r="I2608" s="1"/>
      <c r="J2608" s="1"/>
      <c r="K2608" s="89" t="s">
        <v>4023</v>
      </c>
      <c r="L2608" s="89" t="str">
        <f>G105</f>
        <v>C1b1a2a</v>
      </c>
      <c r="M2608" s="89"/>
      <c r="N2608" s="89"/>
      <c r="O2608" s="92">
        <v>1.4498312E7</v>
      </c>
      <c r="P2608" s="92">
        <v>1.2386517E7</v>
      </c>
      <c r="Q2608" s="89" t="s">
        <v>831</v>
      </c>
      <c r="AF2608" s="1"/>
      <c r="AG2608" s="1"/>
    </row>
    <row r="2609" ht="15.75" customHeight="1">
      <c r="A2609" s="1"/>
      <c r="B2609" s="1"/>
      <c r="C2609" s="1"/>
      <c r="D2609" s="1"/>
      <c r="E2609" s="1"/>
      <c r="F2609" s="1"/>
      <c r="G2609" s="1"/>
      <c r="H2609" s="1"/>
      <c r="I2609" s="1"/>
      <c r="J2609" s="1"/>
      <c r="K2609" s="89" t="s">
        <v>4024</v>
      </c>
      <c r="L2609" s="89" t="str">
        <f>G105</f>
        <v>C1b1a2a</v>
      </c>
      <c r="M2609" s="89"/>
      <c r="N2609" s="89"/>
      <c r="O2609" s="92">
        <v>1.4514232E7</v>
      </c>
      <c r="P2609" s="92">
        <v>1.2402437E7</v>
      </c>
      <c r="Q2609" s="89" t="s">
        <v>802</v>
      </c>
      <c r="AF2609" s="1"/>
      <c r="AG2609" s="1"/>
    </row>
    <row r="2610" ht="15.75" customHeight="1">
      <c r="A2610" s="1"/>
      <c r="B2610" s="1"/>
      <c r="C2610" s="1"/>
      <c r="D2610" s="1"/>
      <c r="E2610" s="1"/>
      <c r="F2610" s="1"/>
      <c r="G2610" s="1"/>
      <c r="H2610" s="1"/>
      <c r="I2610" s="1"/>
      <c r="J2610" s="1"/>
      <c r="K2610" s="89" t="s">
        <v>4025</v>
      </c>
      <c r="L2610" s="89" t="str">
        <f>G105</f>
        <v>C1b1a2a</v>
      </c>
      <c r="M2610" s="89"/>
      <c r="N2610" s="89"/>
      <c r="O2610" s="92">
        <v>1.4637906E7</v>
      </c>
      <c r="P2610" s="92">
        <v>1.2525975E7</v>
      </c>
      <c r="Q2610" s="89" t="s">
        <v>838</v>
      </c>
      <c r="AF2610" s="1"/>
      <c r="AG2610" s="1"/>
    </row>
    <row r="2611" ht="15.75" customHeight="1">
      <c r="A2611" s="1"/>
      <c r="B2611" s="1"/>
      <c r="C2611" s="1"/>
      <c r="D2611" s="1"/>
      <c r="E2611" s="1"/>
      <c r="F2611" s="1"/>
      <c r="G2611" s="1"/>
      <c r="H2611" s="1"/>
      <c r="I2611" s="1"/>
      <c r="J2611" s="1"/>
      <c r="K2611" s="89" t="s">
        <v>4026</v>
      </c>
      <c r="L2611" s="89" t="str">
        <f>G105</f>
        <v>C1b1a2a</v>
      </c>
      <c r="M2611" s="89"/>
      <c r="N2611" s="89"/>
      <c r="O2611" s="92">
        <v>1.464496E7</v>
      </c>
      <c r="P2611" s="92">
        <v>1.2533029E7</v>
      </c>
      <c r="Q2611" s="89" t="s">
        <v>802</v>
      </c>
      <c r="AF2611" s="1"/>
      <c r="AG2611" s="1"/>
    </row>
    <row r="2612" ht="15.75" customHeight="1">
      <c r="A2612" s="1"/>
      <c r="B2612" s="1"/>
      <c r="C2612" s="1"/>
      <c r="D2612" s="1"/>
      <c r="E2612" s="1"/>
      <c r="F2612" s="1"/>
      <c r="G2612" s="1"/>
      <c r="H2612" s="1"/>
      <c r="I2612" s="1"/>
      <c r="J2612" s="1"/>
      <c r="K2612" s="89" t="s">
        <v>4027</v>
      </c>
      <c r="L2612" s="89" t="str">
        <f>G105</f>
        <v>C1b1a2a</v>
      </c>
      <c r="M2612" s="89"/>
      <c r="N2612" s="89"/>
      <c r="O2612" s="92">
        <v>1.4720951E7</v>
      </c>
      <c r="P2612" s="92">
        <v>1.2609019E7</v>
      </c>
      <c r="Q2612" s="89" t="s">
        <v>845</v>
      </c>
      <c r="AF2612" s="1"/>
      <c r="AG2612" s="1"/>
    </row>
    <row r="2613" ht="15.75" customHeight="1">
      <c r="A2613" s="1"/>
      <c r="B2613" s="1"/>
      <c r="C2613" s="1"/>
      <c r="D2613" s="1"/>
      <c r="E2613" s="1"/>
      <c r="F2613" s="1"/>
      <c r="G2613" s="1"/>
      <c r="H2613" s="1"/>
      <c r="I2613" s="1"/>
      <c r="J2613" s="1"/>
      <c r="K2613" s="89" t="s">
        <v>4028</v>
      </c>
      <c r="L2613" s="89" t="str">
        <f>G105</f>
        <v>C1b1a2a</v>
      </c>
      <c r="M2613" s="89"/>
      <c r="N2613" s="89"/>
      <c r="O2613" s="92">
        <v>1.4744196E7</v>
      </c>
      <c r="P2613" s="92">
        <v>1.2632265E7</v>
      </c>
      <c r="Q2613" s="89" t="s">
        <v>886</v>
      </c>
      <c r="AF2613" s="1"/>
      <c r="AG2613" s="1"/>
    </row>
    <row r="2614" ht="15.75" customHeight="1">
      <c r="A2614" s="1"/>
      <c r="B2614" s="1"/>
      <c r="C2614" s="1"/>
      <c r="D2614" s="1"/>
      <c r="E2614" s="1"/>
      <c r="F2614" s="1"/>
      <c r="G2614" s="1"/>
      <c r="H2614" s="1"/>
      <c r="I2614" s="1"/>
      <c r="J2614" s="1"/>
      <c r="K2614" s="89" t="s">
        <v>4029</v>
      </c>
      <c r="L2614" s="89" t="str">
        <f>G105</f>
        <v>C1b1a2a</v>
      </c>
      <c r="M2614" s="89"/>
      <c r="N2614" s="89"/>
      <c r="O2614" s="92">
        <v>1.4832554E7</v>
      </c>
      <c r="P2614" s="92">
        <v>1.2720621E7</v>
      </c>
      <c r="Q2614" s="89" t="s">
        <v>802</v>
      </c>
      <c r="AF2614" s="1"/>
      <c r="AG2614" s="1"/>
    </row>
    <row r="2615" ht="15.75" customHeight="1">
      <c r="A2615" s="1"/>
      <c r="B2615" s="1"/>
      <c r="C2615" s="1"/>
      <c r="D2615" s="1"/>
      <c r="E2615" s="1"/>
      <c r="F2615" s="1"/>
      <c r="G2615" s="1"/>
      <c r="H2615" s="1"/>
      <c r="I2615" s="1"/>
      <c r="J2615" s="1"/>
      <c r="K2615" s="89" t="s">
        <v>4030</v>
      </c>
      <c r="L2615" s="89" t="str">
        <f>G105</f>
        <v>C1b1a2a</v>
      </c>
      <c r="M2615" s="89"/>
      <c r="N2615" s="89"/>
      <c r="O2615" s="92">
        <v>1.4908925E7</v>
      </c>
      <c r="P2615" s="92">
        <v>1.2796992E7</v>
      </c>
      <c r="Q2615" s="89" t="s">
        <v>802</v>
      </c>
      <c r="AF2615" s="1"/>
      <c r="AG2615" s="1"/>
    </row>
    <row r="2616" ht="15.75" customHeight="1">
      <c r="A2616" s="1"/>
      <c r="B2616" s="1"/>
      <c r="C2616" s="1"/>
      <c r="D2616" s="1"/>
      <c r="E2616" s="1"/>
      <c r="F2616" s="1"/>
      <c r="G2616" s="1"/>
      <c r="H2616" s="1"/>
      <c r="I2616" s="1"/>
      <c r="J2616" s="1"/>
      <c r="K2616" s="89" t="s">
        <v>4031</v>
      </c>
      <c r="L2616" s="89" t="str">
        <f>G105</f>
        <v>C1b1a2a</v>
      </c>
      <c r="M2616" s="89"/>
      <c r="N2616" s="89"/>
      <c r="O2616" s="92">
        <v>1.4943238E7</v>
      </c>
      <c r="P2616" s="92">
        <v>1.2831312E7</v>
      </c>
      <c r="Q2616" s="89" t="s">
        <v>831</v>
      </c>
      <c r="AF2616" s="1"/>
      <c r="AG2616" s="1"/>
    </row>
    <row r="2617" ht="15.75" customHeight="1">
      <c r="A2617" s="1"/>
      <c r="B2617" s="1"/>
      <c r="C2617" s="1"/>
      <c r="D2617" s="1"/>
      <c r="E2617" s="1"/>
      <c r="F2617" s="1"/>
      <c r="G2617" s="1"/>
      <c r="H2617" s="1"/>
      <c r="I2617" s="1"/>
      <c r="J2617" s="1"/>
      <c r="K2617" s="89" t="s">
        <v>4032</v>
      </c>
      <c r="L2617" s="89" t="str">
        <f>G105</f>
        <v>C1b1a2a</v>
      </c>
      <c r="M2617" s="89"/>
      <c r="N2617" s="89"/>
      <c r="O2617" s="89">
        <v>1.5007026E7</v>
      </c>
      <c r="P2617" s="89">
        <v>1.2895111E7</v>
      </c>
      <c r="Q2617" s="89" t="s">
        <v>802</v>
      </c>
      <c r="AF2617" s="1"/>
      <c r="AG2617" s="1"/>
    </row>
    <row r="2618" ht="15.75" customHeight="1">
      <c r="A2618" s="1"/>
      <c r="B2618" s="1"/>
      <c r="C2618" s="1"/>
      <c r="D2618" s="1"/>
      <c r="E2618" s="1"/>
      <c r="F2618" s="1"/>
      <c r="G2618" s="1"/>
      <c r="H2618" s="1"/>
      <c r="I2618" s="1"/>
      <c r="J2618" s="1"/>
      <c r="K2618" s="89" t="s">
        <v>4033</v>
      </c>
      <c r="L2618" s="89" t="str">
        <f>G105</f>
        <v>C1b1a2a</v>
      </c>
      <c r="M2618" s="89"/>
      <c r="N2618" s="89"/>
      <c r="O2618" s="92">
        <v>1.5074524E7</v>
      </c>
      <c r="P2618" s="92">
        <v>1.2962614E7</v>
      </c>
      <c r="Q2618" s="89" t="s">
        <v>802</v>
      </c>
      <c r="AF2618" s="1"/>
      <c r="AG2618" s="1"/>
    </row>
    <row r="2619" ht="15.75" customHeight="1">
      <c r="A2619" s="1"/>
      <c r="B2619" s="1"/>
      <c r="C2619" s="1"/>
      <c r="D2619" s="1"/>
      <c r="E2619" s="1"/>
      <c r="F2619" s="1"/>
      <c r="G2619" s="1"/>
      <c r="H2619" s="1"/>
      <c r="I2619" s="1"/>
      <c r="J2619" s="1"/>
      <c r="K2619" s="89" t="s">
        <v>4034</v>
      </c>
      <c r="L2619" s="89" t="str">
        <f>G105</f>
        <v>C1b1a2a</v>
      </c>
      <c r="M2619" s="89"/>
      <c r="N2619" s="89"/>
      <c r="O2619" s="92">
        <v>1.5343779E7</v>
      </c>
      <c r="P2619" s="92">
        <v>1.3231898E7</v>
      </c>
      <c r="Q2619" s="89" t="s">
        <v>810</v>
      </c>
      <c r="AF2619" s="1"/>
      <c r="AG2619" s="1"/>
    </row>
    <row r="2620" ht="15.75" customHeight="1">
      <c r="A2620" s="1"/>
      <c r="B2620" s="1"/>
      <c r="C2620" s="1"/>
      <c r="D2620" s="1"/>
      <c r="E2620" s="1"/>
      <c r="F2620" s="1"/>
      <c r="G2620" s="1"/>
      <c r="H2620" s="1"/>
      <c r="I2620" s="1"/>
      <c r="J2620" s="1"/>
      <c r="K2620" s="89" t="s">
        <v>4035</v>
      </c>
      <c r="L2620" s="89" t="str">
        <f>G105</f>
        <v>C1b1a2a</v>
      </c>
      <c r="M2620" s="89"/>
      <c r="N2620" s="89"/>
      <c r="O2620" s="92">
        <v>1.5367479E7</v>
      </c>
      <c r="P2620" s="92">
        <v>1.3255599E7</v>
      </c>
      <c r="Q2620" s="89" t="s">
        <v>917</v>
      </c>
      <c r="AF2620" s="1"/>
      <c r="AG2620" s="1"/>
    </row>
    <row r="2621" ht="15.75" customHeight="1">
      <c r="A2621" s="1"/>
      <c r="B2621" s="1"/>
      <c r="C2621" s="1"/>
      <c r="D2621" s="1"/>
      <c r="E2621" s="1"/>
      <c r="F2621" s="1"/>
      <c r="G2621" s="1"/>
      <c r="H2621" s="1"/>
      <c r="I2621" s="1"/>
      <c r="J2621" s="1"/>
      <c r="K2621" s="89" t="s">
        <v>4036</v>
      </c>
      <c r="L2621" s="89" t="str">
        <f>G105</f>
        <v>C1b1a2a</v>
      </c>
      <c r="M2621" s="89"/>
      <c r="N2621" s="89"/>
      <c r="O2621" s="92">
        <v>1.5395493E7</v>
      </c>
      <c r="P2621" s="92">
        <v>1.3283613E7</v>
      </c>
      <c r="Q2621" s="89" t="s">
        <v>810</v>
      </c>
      <c r="AF2621" s="1"/>
      <c r="AG2621" s="1"/>
    </row>
    <row r="2622" ht="15.75" customHeight="1">
      <c r="A2622" s="1"/>
      <c r="B2622" s="1"/>
      <c r="C2622" s="1"/>
      <c r="D2622" s="1"/>
      <c r="E2622" s="1"/>
      <c r="F2622" s="1"/>
      <c r="G2622" s="1"/>
      <c r="H2622" s="1"/>
      <c r="I2622" s="1"/>
      <c r="J2622" s="1"/>
      <c r="K2622" s="89" t="s">
        <v>4037</v>
      </c>
      <c r="L2622" s="89" t="str">
        <f>G105</f>
        <v>C1b1a2a</v>
      </c>
      <c r="M2622" s="89"/>
      <c r="N2622" s="89"/>
      <c r="O2622" s="92">
        <v>1.5429045E7</v>
      </c>
      <c r="P2622" s="92">
        <v>1.3317165E7</v>
      </c>
      <c r="Q2622" s="89" t="s">
        <v>810</v>
      </c>
      <c r="AF2622" s="1"/>
      <c r="AG2622" s="1"/>
    </row>
    <row r="2623" ht="15.75" customHeight="1">
      <c r="A2623" s="1"/>
      <c r="B2623" s="1"/>
      <c r="C2623" s="1"/>
      <c r="D2623" s="1"/>
      <c r="E2623" s="1"/>
      <c r="F2623" s="1"/>
      <c r="G2623" s="1"/>
      <c r="H2623" s="1"/>
      <c r="I2623" s="1"/>
      <c r="J2623" s="1"/>
      <c r="K2623" s="89" t="s">
        <v>4038</v>
      </c>
      <c r="L2623" s="89" t="str">
        <f>G105</f>
        <v>C1b1a2a</v>
      </c>
      <c r="M2623" s="89"/>
      <c r="N2623" s="89"/>
      <c r="O2623" s="92">
        <v>1.5445241E7</v>
      </c>
      <c r="P2623" s="92">
        <v>1.3333361E7</v>
      </c>
      <c r="Q2623" s="89" t="s">
        <v>802</v>
      </c>
      <c r="AF2623" s="1"/>
      <c r="AG2623" s="1"/>
    </row>
    <row r="2624" ht="15.75" customHeight="1">
      <c r="A2624" s="1"/>
      <c r="B2624" s="1"/>
      <c r="C2624" s="1"/>
      <c r="D2624" s="1"/>
      <c r="E2624" s="1"/>
      <c r="F2624" s="1"/>
      <c r="G2624" s="1"/>
      <c r="H2624" s="1"/>
      <c r="I2624" s="1"/>
      <c r="J2624" s="1"/>
      <c r="K2624" s="89" t="s">
        <v>4039</v>
      </c>
      <c r="L2624" s="89" t="str">
        <f>G105</f>
        <v>C1b1a2a</v>
      </c>
      <c r="M2624" s="89"/>
      <c r="N2624" s="89"/>
      <c r="O2624" s="92">
        <v>1.5450378E7</v>
      </c>
      <c r="P2624" s="92">
        <v>1.3338498E7</v>
      </c>
      <c r="Q2624" s="89" t="s">
        <v>810</v>
      </c>
      <c r="AF2624" s="1"/>
      <c r="AG2624" s="1"/>
    </row>
    <row r="2625" ht="15.75" customHeight="1">
      <c r="A2625" s="1"/>
      <c r="B2625" s="1"/>
      <c r="C2625" s="1"/>
      <c r="D2625" s="1"/>
      <c r="E2625" s="1"/>
      <c r="F2625" s="1"/>
      <c r="G2625" s="1"/>
      <c r="H2625" s="1"/>
      <c r="I2625" s="1"/>
      <c r="J2625" s="1"/>
      <c r="K2625" s="89" t="s">
        <v>4040</v>
      </c>
      <c r="L2625" s="89" t="str">
        <f>G105</f>
        <v>C1b1a2a</v>
      </c>
      <c r="M2625" s="89"/>
      <c r="N2625" s="89"/>
      <c r="O2625" s="92">
        <v>1.5463325E7</v>
      </c>
      <c r="P2625" s="92">
        <v>1.3351445E7</v>
      </c>
      <c r="Q2625" s="89" t="s">
        <v>810</v>
      </c>
      <c r="AF2625" s="1"/>
      <c r="AG2625" s="1"/>
    </row>
    <row r="2626" ht="15.75" customHeight="1">
      <c r="A2626" s="1"/>
      <c r="B2626" s="1"/>
      <c r="C2626" s="1"/>
      <c r="D2626" s="1"/>
      <c r="E2626" s="1"/>
      <c r="F2626" s="1"/>
      <c r="G2626" s="1"/>
      <c r="H2626" s="1"/>
      <c r="I2626" s="1"/>
      <c r="J2626" s="1"/>
      <c r="K2626" s="89" t="s">
        <v>4041</v>
      </c>
      <c r="L2626" s="89" t="str">
        <f>G105</f>
        <v>C1b1a2a</v>
      </c>
      <c r="M2626" s="89"/>
      <c r="N2626" s="89"/>
      <c r="O2626" s="92">
        <v>1.5519384E7</v>
      </c>
      <c r="P2626" s="92">
        <v>1.3407504E7</v>
      </c>
      <c r="Q2626" s="89" t="s">
        <v>886</v>
      </c>
      <c r="AF2626" s="1"/>
      <c r="AG2626" s="1"/>
    </row>
    <row r="2627" ht="15.75" customHeight="1">
      <c r="A2627" s="1"/>
      <c r="B2627" s="1"/>
      <c r="C2627" s="1"/>
      <c r="D2627" s="1"/>
      <c r="E2627" s="1"/>
      <c r="F2627" s="1"/>
      <c r="G2627" s="1"/>
      <c r="H2627" s="1"/>
      <c r="I2627" s="1"/>
      <c r="J2627" s="1"/>
      <c r="K2627" s="89" t="s">
        <v>4042</v>
      </c>
      <c r="L2627" s="89" t="str">
        <f>G105</f>
        <v>C1b1a2a</v>
      </c>
      <c r="M2627" s="89"/>
      <c r="N2627" s="89"/>
      <c r="O2627" s="92">
        <v>1.5560197E7</v>
      </c>
      <c r="P2627" s="92">
        <v>1.3448317E7</v>
      </c>
      <c r="Q2627" s="89" t="s">
        <v>813</v>
      </c>
      <c r="AF2627" s="1"/>
      <c r="AG2627" s="1"/>
    </row>
    <row r="2628" ht="15.75" customHeight="1">
      <c r="A2628" s="1"/>
      <c r="B2628" s="1"/>
      <c r="C2628" s="1"/>
      <c r="D2628" s="1"/>
      <c r="E2628" s="1"/>
      <c r="F2628" s="1"/>
      <c r="G2628" s="1"/>
      <c r="H2628" s="1"/>
      <c r="I2628" s="1"/>
      <c r="J2628" s="1"/>
      <c r="K2628" s="89" t="s">
        <v>4043</v>
      </c>
      <c r="L2628" s="89" t="str">
        <f>G105</f>
        <v>C1b1a2a</v>
      </c>
      <c r="M2628" s="89"/>
      <c r="N2628" s="89"/>
      <c r="O2628" s="92">
        <v>1.5590116E7</v>
      </c>
      <c r="P2628" s="92">
        <v>1.3478236E7</v>
      </c>
      <c r="Q2628" s="89" t="s">
        <v>838</v>
      </c>
      <c r="AF2628" s="1"/>
      <c r="AG2628" s="1"/>
    </row>
    <row r="2629" ht="15.75" customHeight="1">
      <c r="A2629" s="1"/>
      <c r="B2629" s="1"/>
      <c r="C2629" s="1"/>
      <c r="D2629" s="1"/>
      <c r="E2629" s="1"/>
      <c r="F2629" s="1"/>
      <c r="G2629" s="1"/>
      <c r="H2629" s="1"/>
      <c r="I2629" s="1"/>
      <c r="J2629" s="1"/>
      <c r="K2629" s="89" t="s">
        <v>4044</v>
      </c>
      <c r="L2629" s="89" t="str">
        <f>G105</f>
        <v>C1b1a2a</v>
      </c>
      <c r="M2629" s="89"/>
      <c r="N2629" s="89"/>
      <c r="O2629" s="92">
        <v>1.5620198E7</v>
      </c>
      <c r="P2629" s="92">
        <v>1.3508318E7</v>
      </c>
      <c r="Q2629" s="89" t="s">
        <v>822</v>
      </c>
      <c r="AF2629" s="1"/>
      <c r="AG2629" s="1"/>
    </row>
    <row r="2630" ht="15.75" customHeight="1">
      <c r="A2630" s="1"/>
      <c r="B2630" s="1"/>
      <c r="C2630" s="1"/>
      <c r="D2630" s="1"/>
      <c r="E2630" s="1"/>
      <c r="F2630" s="1"/>
      <c r="G2630" s="1"/>
      <c r="H2630" s="1"/>
      <c r="I2630" s="1"/>
      <c r="J2630" s="1"/>
      <c r="K2630" s="89" t="s">
        <v>4045</v>
      </c>
      <c r="L2630" s="89" t="str">
        <f>G105</f>
        <v>C1b1a2a</v>
      </c>
      <c r="M2630" s="89"/>
      <c r="N2630" s="89"/>
      <c r="O2630" s="92">
        <v>1.5627618E7</v>
      </c>
      <c r="P2630" s="92">
        <v>1.3515738E7</v>
      </c>
      <c r="Q2630" s="89" t="s">
        <v>917</v>
      </c>
      <c r="AF2630" s="1"/>
      <c r="AG2630" s="1"/>
    </row>
    <row r="2631" ht="15.75" customHeight="1">
      <c r="A2631" s="1"/>
      <c r="B2631" s="1"/>
      <c r="C2631" s="1"/>
      <c r="D2631" s="1"/>
      <c r="E2631" s="1"/>
      <c r="F2631" s="1"/>
      <c r="G2631" s="1"/>
      <c r="H2631" s="1"/>
      <c r="I2631" s="1"/>
      <c r="J2631" s="1"/>
      <c r="K2631" s="89" t="s">
        <v>4046</v>
      </c>
      <c r="L2631" s="89" t="str">
        <f>G105</f>
        <v>C1b1a2a</v>
      </c>
      <c r="M2631" s="89"/>
      <c r="N2631" s="89"/>
      <c r="O2631" s="92">
        <v>1.5646288E7</v>
      </c>
      <c r="P2631" s="92">
        <v>1.3534408E7</v>
      </c>
      <c r="Q2631" s="89" t="s">
        <v>810</v>
      </c>
      <c r="AF2631" s="1"/>
      <c r="AG2631" s="1"/>
    </row>
    <row r="2632" ht="15.75" customHeight="1">
      <c r="A2632" s="1"/>
      <c r="B2632" s="1"/>
      <c r="C2632" s="1"/>
      <c r="D2632" s="1"/>
      <c r="E2632" s="1"/>
      <c r="F2632" s="1"/>
      <c r="G2632" s="1"/>
      <c r="H2632" s="1"/>
      <c r="I2632" s="1"/>
      <c r="J2632" s="1"/>
      <c r="K2632" s="89" t="s">
        <v>4047</v>
      </c>
      <c r="L2632" s="89" t="str">
        <f>G105</f>
        <v>C1b1a2a</v>
      </c>
      <c r="M2632" s="89"/>
      <c r="N2632" s="89"/>
      <c r="O2632" s="92">
        <v>1.5659823E7</v>
      </c>
      <c r="P2632" s="92">
        <v>1.3547943E7</v>
      </c>
      <c r="Q2632" s="89" t="s">
        <v>802</v>
      </c>
      <c r="AF2632" s="1"/>
      <c r="AG2632" s="1"/>
    </row>
    <row r="2633" ht="15.75" customHeight="1">
      <c r="A2633" s="1"/>
      <c r="B2633" s="1"/>
      <c r="C2633" s="1"/>
      <c r="D2633" s="1"/>
      <c r="E2633" s="1"/>
      <c r="F2633" s="1"/>
      <c r="G2633" s="1"/>
      <c r="H2633" s="1"/>
      <c r="I2633" s="1"/>
      <c r="J2633" s="1"/>
      <c r="K2633" s="89" t="s">
        <v>4048</v>
      </c>
      <c r="L2633" s="89" t="str">
        <f>G105</f>
        <v>C1b1a2a</v>
      </c>
      <c r="M2633" s="89"/>
      <c r="N2633" s="89"/>
      <c r="O2633" s="92">
        <v>1.5666386E7</v>
      </c>
      <c r="P2633" s="92">
        <v>1.3554506E7</v>
      </c>
      <c r="Q2633" s="89" t="s">
        <v>802</v>
      </c>
      <c r="AF2633" s="1"/>
      <c r="AG2633" s="1"/>
    </row>
    <row r="2634" ht="15.75" customHeight="1">
      <c r="A2634" s="1"/>
      <c r="B2634" s="1"/>
      <c r="C2634" s="1"/>
      <c r="D2634" s="1"/>
      <c r="E2634" s="1"/>
      <c r="F2634" s="1"/>
      <c r="G2634" s="1"/>
      <c r="H2634" s="1"/>
      <c r="I2634" s="1"/>
      <c r="J2634" s="1"/>
      <c r="K2634" s="89" t="s">
        <v>4049</v>
      </c>
      <c r="L2634" s="89" t="str">
        <f>G105</f>
        <v>C1b1a2a</v>
      </c>
      <c r="M2634" s="89"/>
      <c r="N2634" s="89"/>
      <c r="O2634" s="92">
        <v>1.5711519E7</v>
      </c>
      <c r="P2634" s="92">
        <v>1.3599639E7</v>
      </c>
      <c r="Q2634" s="89" t="s">
        <v>802</v>
      </c>
      <c r="AF2634" s="1"/>
      <c r="AG2634" s="1"/>
    </row>
    <row r="2635" ht="15.75" customHeight="1">
      <c r="A2635" s="1"/>
      <c r="B2635" s="1"/>
      <c r="C2635" s="1"/>
      <c r="D2635" s="1"/>
      <c r="E2635" s="1"/>
      <c r="F2635" s="1"/>
      <c r="G2635" s="1"/>
      <c r="H2635" s="1"/>
      <c r="I2635" s="1"/>
      <c r="J2635" s="1"/>
      <c r="K2635" s="89" t="s">
        <v>4050</v>
      </c>
      <c r="L2635" s="89" t="str">
        <f>G105</f>
        <v>C1b1a2a</v>
      </c>
      <c r="M2635" s="89"/>
      <c r="N2635" s="89"/>
      <c r="O2635" s="92">
        <v>1.5712416E7</v>
      </c>
      <c r="P2635" s="92">
        <v>1.3600536E7</v>
      </c>
      <c r="Q2635" s="89" t="s">
        <v>912</v>
      </c>
      <c r="AF2635" s="1"/>
      <c r="AG2635" s="1"/>
    </row>
    <row r="2636" ht="15.75" customHeight="1">
      <c r="A2636" s="1"/>
      <c r="B2636" s="1"/>
      <c r="C2636" s="1"/>
      <c r="D2636" s="1"/>
      <c r="E2636" s="1"/>
      <c r="F2636" s="1"/>
      <c r="G2636" s="1"/>
      <c r="H2636" s="1"/>
      <c r="I2636" s="1"/>
      <c r="J2636" s="1"/>
      <c r="K2636" s="89" t="s">
        <v>4051</v>
      </c>
      <c r="L2636" s="89" t="str">
        <f>G105</f>
        <v>C1b1a2a</v>
      </c>
      <c r="M2636" s="89"/>
      <c r="N2636" s="89" t="s">
        <v>4052</v>
      </c>
      <c r="O2636" s="92">
        <v>1.57399E7</v>
      </c>
      <c r="P2636" s="92">
        <v>1.362802E7</v>
      </c>
      <c r="Q2636" s="89" t="s">
        <v>810</v>
      </c>
      <c r="AF2636" s="1"/>
      <c r="AG2636" s="1"/>
    </row>
    <row r="2637" ht="15.75" customHeight="1">
      <c r="A2637" s="1"/>
      <c r="B2637" s="1"/>
      <c r="C2637" s="1"/>
      <c r="D2637" s="1"/>
      <c r="E2637" s="1"/>
      <c r="F2637" s="1"/>
      <c r="G2637" s="1"/>
      <c r="H2637" s="1"/>
      <c r="I2637" s="1"/>
      <c r="J2637" s="1"/>
      <c r="K2637" s="89" t="s">
        <v>4053</v>
      </c>
      <c r="L2637" s="89" t="str">
        <f>G105</f>
        <v>C1b1a2a</v>
      </c>
      <c r="M2637" s="89"/>
      <c r="N2637" s="89"/>
      <c r="O2637" s="92">
        <v>1.5873856E7</v>
      </c>
      <c r="P2637" s="92">
        <v>1.3761976E7</v>
      </c>
      <c r="Q2637" s="89" t="s">
        <v>864</v>
      </c>
      <c r="AF2637" s="1"/>
      <c r="AG2637" s="1"/>
    </row>
    <row r="2638" ht="15.75" customHeight="1">
      <c r="A2638" s="1"/>
      <c r="B2638" s="1"/>
      <c r="C2638" s="1"/>
      <c r="D2638" s="1"/>
      <c r="E2638" s="1"/>
      <c r="F2638" s="1"/>
      <c r="G2638" s="1"/>
      <c r="H2638" s="1"/>
      <c r="I2638" s="1"/>
      <c r="J2638" s="1"/>
      <c r="K2638" s="89" t="s">
        <v>4054</v>
      </c>
      <c r="L2638" s="89" t="str">
        <f>G105</f>
        <v>C1b1a2a</v>
      </c>
      <c r="M2638" s="89"/>
      <c r="N2638" s="89"/>
      <c r="O2638" s="92">
        <v>1.5874927E7</v>
      </c>
      <c r="P2638" s="92">
        <v>1.3763047E7</v>
      </c>
      <c r="Q2638" s="89" t="s">
        <v>838</v>
      </c>
      <c r="AF2638" s="1"/>
      <c r="AG2638" s="1"/>
    </row>
    <row r="2639" ht="15.75" customHeight="1">
      <c r="A2639" s="1"/>
      <c r="B2639" s="1"/>
      <c r="C2639" s="1"/>
      <c r="D2639" s="1"/>
      <c r="E2639" s="1"/>
      <c r="F2639" s="1"/>
      <c r="G2639" s="1"/>
      <c r="H2639" s="1"/>
      <c r="I2639" s="1"/>
      <c r="J2639" s="1"/>
      <c r="K2639" s="89" t="s">
        <v>4055</v>
      </c>
      <c r="L2639" s="89" t="str">
        <f>G105</f>
        <v>C1b1a2a</v>
      </c>
      <c r="M2639" s="89"/>
      <c r="N2639" s="89"/>
      <c r="O2639" s="92">
        <v>1.5876016E7</v>
      </c>
      <c r="P2639" s="92">
        <v>1.3764136E7</v>
      </c>
      <c r="Q2639" s="89" t="s">
        <v>838</v>
      </c>
      <c r="AF2639" s="1"/>
      <c r="AG2639" s="1"/>
    </row>
    <row r="2640" ht="15.75" customHeight="1">
      <c r="A2640" s="1"/>
      <c r="B2640" s="1"/>
      <c r="C2640" s="1"/>
      <c r="D2640" s="1"/>
      <c r="E2640" s="1"/>
      <c r="F2640" s="1"/>
      <c r="G2640" s="1"/>
      <c r="H2640" s="1"/>
      <c r="I2640" s="1"/>
      <c r="J2640" s="1"/>
      <c r="K2640" s="89" t="s">
        <v>4056</v>
      </c>
      <c r="L2640" s="89" t="str">
        <f>G105</f>
        <v>C1b1a2a</v>
      </c>
      <c r="M2640" s="89"/>
      <c r="N2640" s="89"/>
      <c r="O2640" s="92">
        <v>1.5894404E7</v>
      </c>
      <c r="P2640" s="92">
        <v>1.3782524E7</v>
      </c>
      <c r="Q2640" s="89" t="s">
        <v>802</v>
      </c>
      <c r="AF2640" s="1"/>
      <c r="AG2640" s="1"/>
    </row>
    <row r="2641" ht="15.75" customHeight="1">
      <c r="A2641" s="1"/>
      <c r="B2641" s="1"/>
      <c r="C2641" s="1"/>
      <c r="D2641" s="1"/>
      <c r="E2641" s="1"/>
      <c r="F2641" s="1"/>
      <c r="G2641" s="1"/>
      <c r="H2641" s="1"/>
      <c r="I2641" s="1"/>
      <c r="J2641" s="1"/>
      <c r="K2641" s="89" t="s">
        <v>4057</v>
      </c>
      <c r="L2641" s="89" t="str">
        <f>G105</f>
        <v>C1b1a2a</v>
      </c>
      <c r="M2641" s="89"/>
      <c r="N2641" s="89" t="s">
        <v>4058</v>
      </c>
      <c r="O2641" s="92">
        <v>1.5898295E7</v>
      </c>
      <c r="P2641" s="92">
        <v>1.3786415E7</v>
      </c>
      <c r="Q2641" s="89" t="s">
        <v>810</v>
      </c>
      <c r="AF2641" s="1"/>
      <c r="AG2641" s="1"/>
    </row>
    <row r="2642" ht="15.75" customHeight="1">
      <c r="A2642" s="1"/>
      <c r="B2642" s="1"/>
      <c r="C2642" s="1"/>
      <c r="D2642" s="1"/>
      <c r="E2642" s="1"/>
      <c r="F2642" s="1"/>
      <c r="G2642" s="1"/>
      <c r="H2642" s="1"/>
      <c r="I2642" s="1"/>
      <c r="J2642" s="1"/>
      <c r="K2642" s="89" t="s">
        <v>4059</v>
      </c>
      <c r="L2642" s="89" t="str">
        <f>G105</f>
        <v>C1b1a2a</v>
      </c>
      <c r="M2642" s="89"/>
      <c r="N2642" s="89"/>
      <c r="O2642" s="92">
        <v>1.5922162E7</v>
      </c>
      <c r="P2642" s="92">
        <v>1.3810282E7</v>
      </c>
      <c r="Q2642" s="89" t="s">
        <v>813</v>
      </c>
      <c r="AF2642" s="1"/>
      <c r="AG2642" s="1"/>
    </row>
    <row r="2643" ht="15.75" customHeight="1">
      <c r="A2643" s="1"/>
      <c r="B2643" s="1"/>
      <c r="C2643" s="1"/>
      <c r="D2643" s="1"/>
      <c r="E2643" s="1"/>
      <c r="F2643" s="1"/>
      <c r="G2643" s="1"/>
      <c r="H2643" s="1"/>
      <c r="I2643" s="1"/>
      <c r="J2643" s="1"/>
      <c r="K2643" s="89" t="s">
        <v>4060</v>
      </c>
      <c r="L2643" s="89" t="str">
        <f>G105</f>
        <v>C1b1a2a</v>
      </c>
      <c r="M2643" s="89"/>
      <c r="N2643" s="89"/>
      <c r="O2643" s="92">
        <v>1.5974169E7</v>
      </c>
      <c r="P2643" s="92">
        <v>1.3862289E7</v>
      </c>
      <c r="Q2643" s="89" t="s">
        <v>838</v>
      </c>
      <c r="AF2643" s="1"/>
      <c r="AG2643" s="1"/>
    </row>
    <row r="2644" ht="15.75" customHeight="1">
      <c r="A2644" s="1"/>
      <c r="B2644" s="1"/>
      <c r="C2644" s="1"/>
      <c r="D2644" s="1"/>
      <c r="E2644" s="1"/>
      <c r="F2644" s="1"/>
      <c r="G2644" s="1"/>
      <c r="H2644" s="1"/>
      <c r="I2644" s="1"/>
      <c r="J2644" s="1"/>
      <c r="K2644" s="89" t="s">
        <v>4061</v>
      </c>
      <c r="L2644" s="89" t="str">
        <f>G105</f>
        <v>C1b1a2a</v>
      </c>
      <c r="M2644" s="89"/>
      <c r="N2644" s="89"/>
      <c r="O2644" s="92">
        <v>1.5974486E7</v>
      </c>
      <c r="P2644" s="92">
        <v>1.3862606E7</v>
      </c>
      <c r="Q2644" s="89" t="s">
        <v>879</v>
      </c>
      <c r="AF2644" s="1"/>
      <c r="AG2644" s="1"/>
    </row>
    <row r="2645" ht="15.75" customHeight="1">
      <c r="A2645" s="1"/>
      <c r="B2645" s="1"/>
      <c r="C2645" s="1"/>
      <c r="D2645" s="1"/>
      <c r="E2645" s="1"/>
      <c r="F2645" s="1"/>
      <c r="G2645" s="1"/>
      <c r="H2645" s="1"/>
      <c r="I2645" s="1"/>
      <c r="J2645" s="1"/>
      <c r="K2645" s="89" t="s">
        <v>4062</v>
      </c>
      <c r="L2645" s="89" t="str">
        <f>G105</f>
        <v>C1b1a2a</v>
      </c>
      <c r="M2645" s="89"/>
      <c r="N2645" s="89"/>
      <c r="O2645" s="92">
        <v>1.5994108E7</v>
      </c>
      <c r="P2645" s="92">
        <v>1.3882228E7</v>
      </c>
      <c r="Q2645" s="89" t="s">
        <v>912</v>
      </c>
      <c r="AF2645" s="1"/>
      <c r="AG2645" s="1"/>
    </row>
    <row r="2646" ht="15.75" customHeight="1">
      <c r="A2646" s="1"/>
      <c r="B2646" s="1"/>
      <c r="C2646" s="1"/>
      <c r="D2646" s="1"/>
      <c r="E2646" s="1"/>
      <c r="F2646" s="1"/>
      <c r="G2646" s="1"/>
      <c r="H2646" s="1"/>
      <c r="I2646" s="1"/>
      <c r="J2646" s="1"/>
      <c r="K2646" s="89" t="s">
        <v>4063</v>
      </c>
      <c r="L2646" s="89" t="str">
        <f>G105</f>
        <v>C1b1a2a</v>
      </c>
      <c r="M2646" s="89"/>
      <c r="N2646" s="89"/>
      <c r="O2646" s="92">
        <v>1.5997049E7</v>
      </c>
      <c r="P2646" s="92">
        <v>1.3885169E7</v>
      </c>
      <c r="Q2646" s="89" t="s">
        <v>912</v>
      </c>
      <c r="AF2646" s="1"/>
      <c r="AG2646" s="1"/>
    </row>
    <row r="2647" ht="15.75" customHeight="1">
      <c r="A2647" s="1"/>
      <c r="B2647" s="1"/>
      <c r="C2647" s="1"/>
      <c r="D2647" s="1"/>
      <c r="E2647" s="1"/>
      <c r="F2647" s="1"/>
      <c r="G2647" s="1"/>
      <c r="H2647" s="1"/>
      <c r="I2647" s="1"/>
      <c r="J2647" s="1"/>
      <c r="K2647" s="89" t="s">
        <v>4064</v>
      </c>
      <c r="L2647" s="89" t="str">
        <f>G105</f>
        <v>C1b1a2a</v>
      </c>
      <c r="M2647" s="89"/>
      <c r="N2647" s="89"/>
      <c r="O2647" s="92">
        <v>1.6091045E7</v>
      </c>
      <c r="P2647" s="92">
        <v>1.3979165E7</v>
      </c>
      <c r="Q2647" s="89" t="s">
        <v>912</v>
      </c>
      <c r="AF2647" s="1"/>
      <c r="AG2647" s="1"/>
    </row>
    <row r="2648" ht="15.75" customHeight="1">
      <c r="A2648" s="1"/>
      <c r="B2648" s="1"/>
      <c r="C2648" s="1"/>
      <c r="D2648" s="1"/>
      <c r="E2648" s="1"/>
      <c r="F2648" s="1"/>
      <c r="G2648" s="1"/>
      <c r="H2648" s="1"/>
      <c r="I2648" s="1"/>
      <c r="J2648" s="1"/>
      <c r="K2648" s="89" t="s">
        <v>4065</v>
      </c>
      <c r="L2648" s="89" t="str">
        <f>G105</f>
        <v>C1b1a2a</v>
      </c>
      <c r="M2648" s="89"/>
      <c r="N2648" s="89"/>
      <c r="O2648" s="92">
        <v>1.618354E7</v>
      </c>
      <c r="P2648" s="92">
        <v>1.407166E7</v>
      </c>
      <c r="Q2648" s="89" t="s">
        <v>912</v>
      </c>
      <c r="AF2648" s="1"/>
      <c r="AG2648" s="1"/>
    </row>
    <row r="2649" ht="15.75" customHeight="1">
      <c r="A2649" s="1"/>
      <c r="B2649" s="1"/>
      <c r="C2649" s="1"/>
      <c r="D2649" s="1"/>
      <c r="E2649" s="1"/>
      <c r="F2649" s="1"/>
      <c r="G2649" s="1"/>
      <c r="H2649" s="1"/>
      <c r="I2649" s="1"/>
      <c r="J2649" s="1"/>
      <c r="K2649" s="89" t="s">
        <v>4066</v>
      </c>
      <c r="L2649" s="89" t="str">
        <f>G105</f>
        <v>C1b1a2a</v>
      </c>
      <c r="M2649" s="89"/>
      <c r="N2649" s="89"/>
      <c r="O2649" s="92">
        <v>1.6186589E7</v>
      </c>
      <c r="P2649" s="92">
        <v>1.4074709E7</v>
      </c>
      <c r="Q2649" s="89" t="s">
        <v>810</v>
      </c>
      <c r="AF2649" s="1"/>
      <c r="AG2649" s="1"/>
    </row>
    <row r="2650" ht="15.75" customHeight="1">
      <c r="A2650" s="1"/>
      <c r="B2650" s="1"/>
      <c r="C2650" s="1"/>
      <c r="D2650" s="1"/>
      <c r="E2650" s="1"/>
      <c r="F2650" s="1"/>
      <c r="G2650" s="1"/>
      <c r="H2650" s="1"/>
      <c r="I2650" s="1"/>
      <c r="J2650" s="1"/>
      <c r="K2650" s="89" t="s">
        <v>4067</v>
      </c>
      <c r="L2650" s="89" t="str">
        <f>G105</f>
        <v>C1b1a2a</v>
      </c>
      <c r="M2650" s="89"/>
      <c r="N2650" s="89"/>
      <c r="O2650" s="92">
        <v>1.6201482E7</v>
      </c>
      <c r="P2650" s="92">
        <v>1.4089602E7</v>
      </c>
      <c r="Q2650" s="89" t="s">
        <v>838</v>
      </c>
      <c r="AF2650" s="1"/>
      <c r="AG2650" s="1"/>
    </row>
    <row r="2651" ht="15.75" customHeight="1">
      <c r="A2651" s="1"/>
      <c r="B2651" s="1"/>
      <c r="C2651" s="1"/>
      <c r="D2651" s="1"/>
      <c r="E2651" s="1"/>
      <c r="F2651" s="1"/>
      <c r="G2651" s="1"/>
      <c r="H2651" s="1"/>
      <c r="I2651" s="1"/>
      <c r="J2651" s="1"/>
      <c r="K2651" s="89" t="s">
        <v>4068</v>
      </c>
      <c r="L2651" s="89" t="str">
        <f>G105</f>
        <v>C1b1a2a</v>
      </c>
      <c r="M2651" s="89"/>
      <c r="N2651" s="89"/>
      <c r="O2651" s="92">
        <v>1.6222071E7</v>
      </c>
      <c r="P2651" s="92">
        <v>1.4110191E7</v>
      </c>
      <c r="Q2651" s="89" t="s">
        <v>802</v>
      </c>
      <c r="AF2651" s="1"/>
      <c r="AG2651" s="1"/>
    </row>
    <row r="2652" ht="15.75" customHeight="1">
      <c r="A2652" s="1"/>
      <c r="B2652" s="1"/>
      <c r="C2652" s="1"/>
      <c r="D2652" s="1"/>
      <c r="E2652" s="1"/>
      <c r="F2652" s="1"/>
      <c r="G2652" s="1"/>
      <c r="H2652" s="1"/>
      <c r="I2652" s="1"/>
      <c r="J2652" s="1"/>
      <c r="K2652" s="89" t="s">
        <v>4069</v>
      </c>
      <c r="L2652" s="89" t="str">
        <f>G105</f>
        <v>C1b1a2a</v>
      </c>
      <c r="M2652" s="89"/>
      <c r="N2652" s="89"/>
      <c r="O2652" s="92">
        <v>1.6277332E7</v>
      </c>
      <c r="P2652" s="92">
        <v>1.4165452E7</v>
      </c>
      <c r="Q2652" s="89" t="s">
        <v>810</v>
      </c>
      <c r="AF2652" s="1"/>
      <c r="AG2652" s="1"/>
    </row>
    <row r="2653" ht="15.75" customHeight="1">
      <c r="A2653" s="1"/>
      <c r="B2653" s="1"/>
      <c r="C2653" s="1"/>
      <c r="D2653" s="1"/>
      <c r="E2653" s="1"/>
      <c r="F2653" s="1"/>
      <c r="G2653" s="1"/>
      <c r="H2653" s="1"/>
      <c r="I2653" s="1"/>
      <c r="J2653" s="1"/>
      <c r="K2653" s="89" t="s">
        <v>4070</v>
      </c>
      <c r="L2653" s="89" t="str">
        <f>G105</f>
        <v>C1b1a2a</v>
      </c>
      <c r="M2653" s="89"/>
      <c r="N2653" s="89"/>
      <c r="O2653" s="92">
        <v>1.6281707E7</v>
      </c>
      <c r="P2653" s="92">
        <v>1.4169827E7</v>
      </c>
      <c r="Q2653" s="89" t="s">
        <v>802</v>
      </c>
      <c r="AF2653" s="1"/>
      <c r="AG2653" s="1"/>
    </row>
    <row r="2654" ht="15.75" customHeight="1">
      <c r="A2654" s="1"/>
      <c r="B2654" s="1"/>
      <c r="C2654" s="1"/>
      <c r="D2654" s="1"/>
      <c r="E2654" s="1"/>
      <c r="F2654" s="1"/>
      <c r="G2654" s="1"/>
      <c r="H2654" s="1"/>
      <c r="I2654" s="1"/>
      <c r="J2654" s="1"/>
      <c r="K2654" s="89" t="s">
        <v>4071</v>
      </c>
      <c r="L2654" s="89" t="str">
        <f>G105</f>
        <v>C1b1a2a</v>
      </c>
      <c r="M2654" s="89"/>
      <c r="N2654" s="89"/>
      <c r="O2654" s="92">
        <v>1.6285879E7</v>
      </c>
      <c r="P2654" s="92">
        <v>1.4173999E7</v>
      </c>
      <c r="Q2654" s="89" t="s">
        <v>838</v>
      </c>
      <c r="AF2654" s="1"/>
      <c r="AG2654" s="1"/>
    </row>
    <row r="2655" ht="15.75" customHeight="1">
      <c r="A2655" s="1"/>
      <c r="B2655" s="1"/>
      <c r="C2655" s="1"/>
      <c r="D2655" s="1"/>
      <c r="E2655" s="1"/>
      <c r="F2655" s="1"/>
      <c r="G2655" s="1"/>
      <c r="H2655" s="1"/>
      <c r="I2655" s="1"/>
      <c r="J2655" s="1"/>
      <c r="K2655" s="89" t="s">
        <v>4072</v>
      </c>
      <c r="L2655" s="89" t="str">
        <f>G105</f>
        <v>C1b1a2a</v>
      </c>
      <c r="M2655" s="89"/>
      <c r="N2655" s="89"/>
      <c r="O2655" s="89">
        <v>1.6297286E7</v>
      </c>
      <c r="P2655" s="89">
        <v>1.4185406E7</v>
      </c>
      <c r="Q2655" s="89" t="s">
        <v>864</v>
      </c>
      <c r="AF2655" s="1"/>
      <c r="AG2655" s="1"/>
    </row>
    <row r="2656" ht="15.75" customHeight="1">
      <c r="A2656" s="1"/>
      <c r="B2656" s="1"/>
      <c r="C2656" s="1"/>
      <c r="D2656" s="1"/>
      <c r="E2656" s="1"/>
      <c r="F2656" s="1"/>
      <c r="G2656" s="1"/>
      <c r="H2656" s="1"/>
      <c r="I2656" s="1"/>
      <c r="J2656" s="1"/>
      <c r="K2656" s="89" t="s">
        <v>4073</v>
      </c>
      <c r="L2656" s="89" t="str">
        <f>G105</f>
        <v>C1b1a2a</v>
      </c>
      <c r="M2656" s="89"/>
      <c r="N2656" s="89"/>
      <c r="O2656" s="92">
        <v>1.6329969E7</v>
      </c>
      <c r="P2656" s="92">
        <v>1.4218089E7</v>
      </c>
      <c r="Q2656" s="89" t="s">
        <v>838</v>
      </c>
      <c r="AF2656" s="1"/>
      <c r="AG2656" s="1"/>
    </row>
    <row r="2657" ht="15.75" customHeight="1">
      <c r="A2657" s="1"/>
      <c r="B2657" s="1"/>
      <c r="C2657" s="1"/>
      <c r="D2657" s="1"/>
      <c r="E2657" s="1"/>
      <c r="F2657" s="1"/>
      <c r="G2657" s="1"/>
      <c r="H2657" s="1"/>
      <c r="I2657" s="1"/>
      <c r="J2657" s="1"/>
      <c r="K2657" s="89" t="s">
        <v>4074</v>
      </c>
      <c r="L2657" s="89" t="str">
        <f>G105</f>
        <v>C1b1a2a</v>
      </c>
      <c r="M2657" s="89"/>
      <c r="N2657" s="89"/>
      <c r="O2657" s="92">
        <v>1.6341265E7</v>
      </c>
      <c r="P2657" s="92">
        <v>1.4229385E7</v>
      </c>
      <c r="Q2657" s="89" t="s">
        <v>864</v>
      </c>
      <c r="AF2657" s="1"/>
      <c r="AG2657" s="1"/>
    </row>
    <row r="2658" ht="15.75" customHeight="1">
      <c r="A2658" s="1"/>
      <c r="B2658" s="1"/>
      <c r="C2658" s="1"/>
      <c r="D2658" s="1"/>
      <c r="E2658" s="1"/>
      <c r="F2658" s="1"/>
      <c r="G2658" s="1"/>
      <c r="H2658" s="1"/>
      <c r="I2658" s="1"/>
      <c r="J2658" s="1"/>
      <c r="K2658" s="89" t="s">
        <v>4075</v>
      </c>
      <c r="L2658" s="89" t="str">
        <f>G105</f>
        <v>C1b1a2a</v>
      </c>
      <c r="M2658" s="89"/>
      <c r="N2658" s="89"/>
      <c r="O2658" s="92">
        <v>1.6426218E7</v>
      </c>
      <c r="P2658" s="92">
        <v>1.4314338E7</v>
      </c>
      <c r="Q2658" s="89" t="s">
        <v>810</v>
      </c>
      <c r="AF2658" s="1"/>
      <c r="AG2658" s="1"/>
    </row>
    <row r="2659" ht="15.75" customHeight="1">
      <c r="A2659" s="1"/>
      <c r="B2659" s="1"/>
      <c r="C2659" s="1"/>
      <c r="D2659" s="1"/>
      <c r="E2659" s="1"/>
      <c r="F2659" s="1"/>
      <c r="G2659" s="1"/>
      <c r="H2659" s="1"/>
      <c r="I2659" s="1"/>
      <c r="J2659" s="1"/>
      <c r="K2659" s="89" t="s">
        <v>4076</v>
      </c>
      <c r="L2659" s="89" t="str">
        <f>G105</f>
        <v>C1b1a2a</v>
      </c>
      <c r="M2659" s="89"/>
      <c r="N2659" s="89"/>
      <c r="O2659" s="92">
        <v>1.645966E7</v>
      </c>
      <c r="P2659" s="92">
        <v>1.434778E7</v>
      </c>
      <c r="Q2659" s="89" t="s">
        <v>802</v>
      </c>
      <c r="AF2659" s="1"/>
      <c r="AG2659" s="1"/>
    </row>
    <row r="2660" ht="15.75" customHeight="1">
      <c r="A2660" s="1"/>
      <c r="B2660" s="1"/>
      <c r="C2660" s="1"/>
      <c r="D2660" s="1"/>
      <c r="E2660" s="1"/>
      <c r="F2660" s="1"/>
      <c r="G2660" s="1"/>
      <c r="H2660" s="1"/>
      <c r="I2660" s="1"/>
      <c r="J2660" s="1"/>
      <c r="K2660" s="89" t="s">
        <v>4077</v>
      </c>
      <c r="L2660" s="89" t="str">
        <f>G105</f>
        <v>C1b1a2a</v>
      </c>
      <c r="M2660" s="89"/>
      <c r="N2660" s="89"/>
      <c r="O2660" s="92">
        <v>1.6482544E7</v>
      </c>
      <c r="P2660" s="92">
        <v>1.4370664E7</v>
      </c>
      <c r="Q2660" s="89" t="s">
        <v>879</v>
      </c>
      <c r="AF2660" s="1"/>
      <c r="AG2660" s="1"/>
    </row>
    <row r="2661" ht="15.75" customHeight="1">
      <c r="A2661" s="1"/>
      <c r="B2661" s="1"/>
      <c r="C2661" s="1"/>
      <c r="D2661" s="1"/>
      <c r="E2661" s="1"/>
      <c r="F2661" s="1"/>
      <c r="G2661" s="1"/>
      <c r="H2661" s="1"/>
      <c r="I2661" s="1"/>
      <c r="J2661" s="1"/>
      <c r="K2661" s="89" t="s">
        <v>4078</v>
      </c>
      <c r="L2661" s="89" t="str">
        <f>G105</f>
        <v>C1b1a2a</v>
      </c>
      <c r="M2661" s="89"/>
      <c r="N2661" s="89"/>
      <c r="O2661" s="92">
        <v>1.6503128E7</v>
      </c>
      <c r="P2661" s="92">
        <v>1.4391248E7</v>
      </c>
      <c r="Q2661" s="89" t="s">
        <v>810</v>
      </c>
      <c r="AF2661" s="1"/>
      <c r="AG2661" s="1"/>
    </row>
    <row r="2662" ht="15.75" customHeight="1">
      <c r="A2662" s="1"/>
      <c r="B2662" s="1"/>
      <c r="C2662" s="1"/>
      <c r="D2662" s="1"/>
      <c r="E2662" s="1"/>
      <c r="F2662" s="1"/>
      <c r="G2662" s="1"/>
      <c r="H2662" s="1"/>
      <c r="I2662" s="1"/>
      <c r="J2662" s="1"/>
      <c r="K2662" s="89" t="s">
        <v>4079</v>
      </c>
      <c r="L2662" s="89" t="str">
        <f>G105</f>
        <v>C1b1a2a</v>
      </c>
      <c r="M2662" s="89"/>
      <c r="N2662" s="89"/>
      <c r="O2662" s="92">
        <v>1.663318E7</v>
      </c>
      <c r="P2662" s="92">
        <v>1.45213E7</v>
      </c>
      <c r="Q2662" s="89" t="s">
        <v>810</v>
      </c>
      <c r="AF2662" s="1"/>
      <c r="AG2662" s="1"/>
    </row>
    <row r="2663" ht="15.75" customHeight="1">
      <c r="A2663" s="1"/>
      <c r="B2663" s="1"/>
      <c r="C2663" s="1"/>
      <c r="D2663" s="1"/>
      <c r="E2663" s="1"/>
      <c r="F2663" s="1"/>
      <c r="G2663" s="1"/>
      <c r="H2663" s="1"/>
      <c r="I2663" s="1"/>
      <c r="J2663" s="1"/>
      <c r="K2663" s="89" t="s">
        <v>4080</v>
      </c>
      <c r="L2663" s="89" t="str">
        <f>G105</f>
        <v>C1b1a2a</v>
      </c>
      <c r="M2663" s="89"/>
      <c r="N2663" s="89"/>
      <c r="O2663" s="92">
        <v>1.6689482E7</v>
      </c>
      <c r="P2663" s="92">
        <v>1.4577602E7</v>
      </c>
      <c r="Q2663" s="89" t="s">
        <v>802</v>
      </c>
      <c r="AF2663" s="1"/>
      <c r="AG2663" s="1"/>
    </row>
    <row r="2664" ht="15.75" customHeight="1">
      <c r="A2664" s="1"/>
      <c r="B2664" s="1"/>
      <c r="C2664" s="1"/>
      <c r="D2664" s="1"/>
      <c r="E2664" s="1"/>
      <c r="F2664" s="1"/>
      <c r="G2664" s="1"/>
      <c r="H2664" s="1"/>
      <c r="I2664" s="1"/>
      <c r="J2664" s="1"/>
      <c r="K2664" s="89" t="s">
        <v>4081</v>
      </c>
      <c r="L2664" s="89" t="str">
        <f>G105</f>
        <v>C1b1a2a</v>
      </c>
      <c r="M2664" s="89"/>
      <c r="N2664" s="89"/>
      <c r="O2664" s="92">
        <v>1.6691451E7</v>
      </c>
      <c r="P2664" s="92">
        <v>1.4579571E7</v>
      </c>
      <c r="Q2664" s="89" t="s">
        <v>912</v>
      </c>
      <c r="AF2664" s="1"/>
      <c r="AG2664" s="1"/>
    </row>
    <row r="2665" ht="15.75" customHeight="1">
      <c r="A2665" s="1"/>
      <c r="B2665" s="1"/>
      <c r="C2665" s="1"/>
      <c r="D2665" s="1"/>
      <c r="E2665" s="1"/>
      <c r="F2665" s="1"/>
      <c r="G2665" s="1"/>
      <c r="H2665" s="1"/>
      <c r="I2665" s="1"/>
      <c r="J2665" s="1"/>
      <c r="K2665" s="89" t="s">
        <v>4082</v>
      </c>
      <c r="L2665" s="89" t="str">
        <f>G105</f>
        <v>C1b1a2a</v>
      </c>
      <c r="M2665" s="89"/>
      <c r="N2665" s="89"/>
      <c r="O2665" s="92">
        <v>1.6730065E7</v>
      </c>
      <c r="P2665" s="92">
        <v>1.4618185E7</v>
      </c>
      <c r="Q2665" s="89" t="s">
        <v>802</v>
      </c>
      <c r="AF2665" s="1"/>
      <c r="AG2665" s="1"/>
    </row>
    <row r="2666" ht="15.75" customHeight="1">
      <c r="A2666" s="1"/>
      <c r="B2666" s="1"/>
      <c r="C2666" s="1"/>
      <c r="D2666" s="1"/>
      <c r="E2666" s="1"/>
      <c r="F2666" s="1"/>
      <c r="G2666" s="1"/>
      <c r="H2666" s="1"/>
      <c r="I2666" s="1"/>
      <c r="J2666" s="1"/>
      <c r="K2666" s="89" t="s">
        <v>4083</v>
      </c>
      <c r="L2666" s="89" t="str">
        <f>G105</f>
        <v>C1b1a2a</v>
      </c>
      <c r="M2666" s="89"/>
      <c r="N2666" s="89"/>
      <c r="O2666" s="92">
        <v>1.6770251E7</v>
      </c>
      <c r="P2666" s="92">
        <v>1.4658371E7</v>
      </c>
      <c r="Q2666" s="89" t="s">
        <v>810</v>
      </c>
      <c r="AF2666" s="1"/>
      <c r="AG2666" s="1"/>
    </row>
    <row r="2667" ht="15.75" customHeight="1">
      <c r="A2667" s="1"/>
      <c r="B2667" s="1"/>
      <c r="C2667" s="1"/>
      <c r="D2667" s="1"/>
      <c r="E2667" s="1"/>
      <c r="F2667" s="1"/>
      <c r="G2667" s="1"/>
      <c r="H2667" s="1"/>
      <c r="I2667" s="1"/>
      <c r="J2667" s="1"/>
      <c r="K2667" s="89" t="s">
        <v>4084</v>
      </c>
      <c r="L2667" s="89" t="str">
        <f>G105</f>
        <v>C1b1a2a</v>
      </c>
      <c r="M2667" s="89"/>
      <c r="N2667" s="89"/>
      <c r="O2667" s="92">
        <v>1.6791178E7</v>
      </c>
      <c r="P2667" s="92">
        <v>1.4679298E7</v>
      </c>
      <c r="Q2667" s="89" t="s">
        <v>917</v>
      </c>
      <c r="AF2667" s="1"/>
      <c r="AG2667" s="1"/>
    </row>
    <row r="2668" ht="15.75" customHeight="1">
      <c r="A2668" s="1"/>
      <c r="B2668" s="1"/>
      <c r="C2668" s="1"/>
      <c r="D2668" s="1"/>
      <c r="E2668" s="1"/>
      <c r="F2668" s="1"/>
      <c r="G2668" s="1"/>
      <c r="H2668" s="1"/>
      <c r="I2668" s="1"/>
      <c r="J2668" s="1"/>
      <c r="K2668" s="89" t="s">
        <v>4085</v>
      </c>
      <c r="L2668" s="89" t="str">
        <f>G105</f>
        <v>C1b1a2a</v>
      </c>
      <c r="M2668" s="89"/>
      <c r="N2668" s="89"/>
      <c r="O2668" s="92">
        <v>1.6819348E7</v>
      </c>
      <c r="P2668" s="92">
        <v>1.4707468E7</v>
      </c>
      <c r="Q2668" s="89" t="s">
        <v>838</v>
      </c>
      <c r="AF2668" s="1"/>
      <c r="AG2668" s="1"/>
    </row>
    <row r="2669" ht="15.75" customHeight="1">
      <c r="A2669" s="1"/>
      <c r="B2669" s="1"/>
      <c r="C2669" s="1"/>
      <c r="D2669" s="1"/>
      <c r="E2669" s="1"/>
      <c r="F2669" s="1"/>
      <c r="G2669" s="1"/>
      <c r="H2669" s="1"/>
      <c r="I2669" s="1"/>
      <c r="J2669" s="1"/>
      <c r="K2669" s="89" t="s">
        <v>4086</v>
      </c>
      <c r="L2669" s="89" t="str">
        <f>G105</f>
        <v>C1b1a2a</v>
      </c>
      <c r="M2669" s="89"/>
      <c r="N2669" s="89"/>
      <c r="O2669" s="92">
        <v>1.6820131E7</v>
      </c>
      <c r="P2669" s="92">
        <v>1.4708251E7</v>
      </c>
      <c r="Q2669" s="89" t="s">
        <v>802</v>
      </c>
      <c r="AF2669" s="1"/>
      <c r="AG2669" s="1"/>
    </row>
    <row r="2670" ht="15.75" customHeight="1">
      <c r="A2670" s="1"/>
      <c r="B2670" s="1"/>
      <c r="C2670" s="1"/>
      <c r="D2670" s="1"/>
      <c r="E2670" s="1"/>
      <c r="F2670" s="1"/>
      <c r="G2670" s="1"/>
      <c r="H2670" s="1"/>
      <c r="I2670" s="1"/>
      <c r="J2670" s="1"/>
      <c r="K2670" s="89" t="s">
        <v>4087</v>
      </c>
      <c r="L2670" s="89" t="str">
        <f>G105</f>
        <v>C1b1a2a</v>
      </c>
      <c r="M2670" s="89"/>
      <c r="N2670" s="89" t="s">
        <v>4088</v>
      </c>
      <c r="O2670" s="92">
        <v>1.6831697E7</v>
      </c>
      <c r="P2670" s="92">
        <v>1.4719817E7</v>
      </c>
      <c r="Q2670" s="89" t="s">
        <v>831</v>
      </c>
      <c r="AF2670" s="1"/>
      <c r="AG2670" s="1"/>
    </row>
    <row r="2671" ht="15.75" customHeight="1">
      <c r="A2671" s="1"/>
      <c r="B2671" s="1"/>
      <c r="C2671" s="1"/>
      <c r="D2671" s="1"/>
      <c r="E2671" s="1"/>
      <c r="F2671" s="1"/>
      <c r="G2671" s="1"/>
      <c r="H2671" s="1"/>
      <c r="I2671" s="1"/>
      <c r="J2671" s="1"/>
      <c r="K2671" s="89" t="s">
        <v>4089</v>
      </c>
      <c r="L2671" s="89" t="str">
        <f>G105</f>
        <v>C1b1a2a</v>
      </c>
      <c r="M2671" s="89"/>
      <c r="N2671" s="89"/>
      <c r="O2671" s="92">
        <v>1.6835578E7</v>
      </c>
      <c r="P2671" s="92">
        <v>1.4723698E7</v>
      </c>
      <c r="Q2671" s="89" t="s">
        <v>802</v>
      </c>
      <c r="AF2671" s="1"/>
      <c r="AG2671" s="1"/>
    </row>
    <row r="2672" ht="15.75" customHeight="1">
      <c r="A2672" s="1"/>
      <c r="B2672" s="1"/>
      <c r="C2672" s="1"/>
      <c r="D2672" s="1"/>
      <c r="E2672" s="1"/>
      <c r="F2672" s="1"/>
      <c r="G2672" s="1"/>
      <c r="H2672" s="1"/>
      <c r="I2672" s="1"/>
      <c r="J2672" s="1"/>
      <c r="K2672" s="89" t="s">
        <v>4090</v>
      </c>
      <c r="L2672" s="89" t="str">
        <f>G105</f>
        <v>C1b1a2a</v>
      </c>
      <c r="M2672" s="89"/>
      <c r="N2672" s="89"/>
      <c r="O2672" s="92">
        <v>1.6853394E7</v>
      </c>
      <c r="P2672" s="92">
        <v>1.4741514E7</v>
      </c>
      <c r="Q2672" s="89" t="s">
        <v>810</v>
      </c>
      <c r="AF2672" s="1"/>
      <c r="AG2672" s="1"/>
    </row>
    <row r="2673" ht="15.75" customHeight="1">
      <c r="A2673" s="1"/>
      <c r="B2673" s="1"/>
      <c r="C2673" s="1"/>
      <c r="D2673" s="1"/>
      <c r="E2673" s="1"/>
      <c r="F2673" s="1"/>
      <c r="G2673" s="1"/>
      <c r="H2673" s="1"/>
      <c r="I2673" s="1"/>
      <c r="J2673" s="1"/>
      <c r="K2673" s="89" t="s">
        <v>4091</v>
      </c>
      <c r="L2673" s="89" t="str">
        <f>G105</f>
        <v>C1b1a2a</v>
      </c>
      <c r="M2673" s="89"/>
      <c r="N2673" s="89"/>
      <c r="O2673" s="92">
        <v>1.6870129E7</v>
      </c>
      <c r="P2673" s="92">
        <v>1.4758249E7</v>
      </c>
      <c r="Q2673" s="89" t="s">
        <v>810</v>
      </c>
      <c r="AF2673" s="1"/>
      <c r="AG2673" s="1"/>
    </row>
    <row r="2674" ht="15.75" customHeight="1">
      <c r="A2674" s="1"/>
      <c r="B2674" s="1"/>
      <c r="C2674" s="1"/>
      <c r="D2674" s="1"/>
      <c r="E2674" s="1"/>
      <c r="F2674" s="1"/>
      <c r="G2674" s="1"/>
      <c r="H2674" s="1"/>
      <c r="I2674" s="1"/>
      <c r="J2674" s="1"/>
      <c r="K2674" s="89" t="s">
        <v>4092</v>
      </c>
      <c r="L2674" s="89" t="str">
        <f>G105</f>
        <v>C1b1a2a</v>
      </c>
      <c r="M2674" s="89"/>
      <c r="N2674" s="89"/>
      <c r="O2674" s="92">
        <v>1.6874135E7</v>
      </c>
      <c r="P2674" s="92">
        <v>1.4762255E7</v>
      </c>
      <c r="Q2674" s="89" t="s">
        <v>864</v>
      </c>
      <c r="AF2674" s="1"/>
      <c r="AG2674" s="1"/>
    </row>
    <row r="2675" ht="15.75" customHeight="1">
      <c r="A2675" s="1"/>
      <c r="B2675" s="1"/>
      <c r="C2675" s="1"/>
      <c r="D2675" s="1"/>
      <c r="E2675" s="1"/>
      <c r="F2675" s="1"/>
      <c r="G2675" s="1"/>
      <c r="H2675" s="1"/>
      <c r="I2675" s="1"/>
      <c r="J2675" s="1"/>
      <c r="K2675" s="89" t="s">
        <v>4093</v>
      </c>
      <c r="L2675" s="89" t="str">
        <f>G105</f>
        <v>C1b1a2a</v>
      </c>
      <c r="M2675" s="89"/>
      <c r="N2675" s="89"/>
      <c r="O2675" s="92">
        <v>1.696286E7</v>
      </c>
      <c r="P2675" s="92">
        <v>1.485098E7</v>
      </c>
      <c r="Q2675" s="89" t="s">
        <v>802</v>
      </c>
      <c r="AF2675" s="1"/>
      <c r="AG2675" s="1"/>
    </row>
    <row r="2676" ht="15.75" customHeight="1">
      <c r="A2676" s="1"/>
      <c r="B2676" s="1"/>
      <c r="C2676" s="1"/>
      <c r="D2676" s="1"/>
      <c r="E2676" s="1"/>
      <c r="F2676" s="1"/>
      <c r="G2676" s="1"/>
      <c r="H2676" s="1"/>
      <c r="I2676" s="1"/>
      <c r="J2676" s="1"/>
      <c r="K2676" s="89" t="s">
        <v>4094</v>
      </c>
      <c r="L2676" s="89" t="str">
        <f>G105</f>
        <v>C1b1a2a</v>
      </c>
      <c r="M2676" s="89"/>
      <c r="N2676" s="89"/>
      <c r="O2676" s="92">
        <v>1.698302E7</v>
      </c>
      <c r="P2676" s="92">
        <v>1.487114E7</v>
      </c>
      <c r="Q2676" s="89" t="s">
        <v>813</v>
      </c>
      <c r="AF2676" s="1"/>
      <c r="AG2676" s="1"/>
    </row>
    <row r="2677" ht="15.75" customHeight="1">
      <c r="A2677" s="1"/>
      <c r="B2677" s="1"/>
      <c r="C2677" s="1"/>
      <c r="D2677" s="1"/>
      <c r="E2677" s="1"/>
      <c r="F2677" s="1"/>
      <c r="G2677" s="1"/>
      <c r="H2677" s="1"/>
      <c r="I2677" s="1"/>
      <c r="J2677" s="1"/>
      <c r="K2677" s="89" t="s">
        <v>4095</v>
      </c>
      <c r="L2677" s="89" t="str">
        <f>G105</f>
        <v>C1b1a2a</v>
      </c>
      <c r="M2677" s="89"/>
      <c r="N2677" s="89"/>
      <c r="O2677" s="92">
        <v>1.6983745E7</v>
      </c>
      <c r="P2677" s="92">
        <v>1.4871865E7</v>
      </c>
      <c r="Q2677" s="89" t="s">
        <v>845</v>
      </c>
      <c r="AF2677" s="1"/>
      <c r="AG2677" s="1"/>
    </row>
    <row r="2678" ht="15.75" customHeight="1">
      <c r="A2678" s="1"/>
      <c r="B2678" s="1"/>
      <c r="C2678" s="1"/>
      <c r="D2678" s="1"/>
      <c r="E2678" s="1"/>
      <c r="F2678" s="1"/>
      <c r="G2678" s="1"/>
      <c r="H2678" s="1"/>
      <c r="I2678" s="1"/>
      <c r="J2678" s="1"/>
      <c r="K2678" s="89" t="s">
        <v>4096</v>
      </c>
      <c r="L2678" s="89" t="str">
        <f>G105</f>
        <v>C1b1a2a</v>
      </c>
      <c r="M2678" s="89"/>
      <c r="N2678" s="89"/>
      <c r="O2678" s="92">
        <v>1.7002476E7</v>
      </c>
      <c r="P2678" s="92">
        <v>1.4890596E7</v>
      </c>
      <c r="Q2678" s="89" t="s">
        <v>810</v>
      </c>
      <c r="AF2678" s="1"/>
      <c r="AG2678" s="1"/>
    </row>
    <row r="2679" ht="15.75" customHeight="1">
      <c r="A2679" s="1"/>
      <c r="B2679" s="1"/>
      <c r="C2679" s="1"/>
      <c r="D2679" s="1"/>
      <c r="E2679" s="1"/>
      <c r="F2679" s="1"/>
      <c r="G2679" s="1"/>
      <c r="H2679" s="1"/>
      <c r="I2679" s="1"/>
      <c r="J2679" s="1"/>
      <c r="K2679" s="89" t="s">
        <v>4097</v>
      </c>
      <c r="L2679" s="89" t="str">
        <f>G105</f>
        <v>C1b1a2a</v>
      </c>
      <c r="M2679" s="89"/>
      <c r="N2679" s="89"/>
      <c r="O2679" s="92">
        <v>1.7011014E7</v>
      </c>
      <c r="P2679" s="92">
        <v>1.4899134E7</v>
      </c>
      <c r="Q2679" s="89" t="s">
        <v>810</v>
      </c>
      <c r="AF2679" s="1"/>
      <c r="AG2679" s="1"/>
    </row>
    <row r="2680" ht="15.75" customHeight="1">
      <c r="A2680" s="1"/>
      <c r="B2680" s="1"/>
      <c r="C2680" s="1"/>
      <c r="D2680" s="1"/>
      <c r="E2680" s="1"/>
      <c r="F2680" s="1"/>
      <c r="G2680" s="1"/>
      <c r="H2680" s="1"/>
      <c r="I2680" s="1"/>
      <c r="J2680" s="1"/>
      <c r="K2680" s="89" t="s">
        <v>4098</v>
      </c>
      <c r="L2680" s="89" t="str">
        <f>G105</f>
        <v>C1b1a2a</v>
      </c>
      <c r="M2680" s="89"/>
      <c r="N2680" s="89"/>
      <c r="O2680" s="92">
        <v>1.7014356E7</v>
      </c>
      <c r="P2680" s="92">
        <v>1.4902476E7</v>
      </c>
      <c r="Q2680" s="89" t="s">
        <v>813</v>
      </c>
      <c r="AF2680" s="1"/>
      <c r="AG2680" s="1"/>
    </row>
    <row r="2681" ht="15.75" customHeight="1">
      <c r="A2681" s="1"/>
      <c r="B2681" s="1"/>
      <c r="C2681" s="1"/>
      <c r="D2681" s="1"/>
      <c r="E2681" s="1"/>
      <c r="F2681" s="1"/>
      <c r="G2681" s="1"/>
      <c r="H2681" s="1"/>
      <c r="I2681" s="1"/>
      <c r="J2681" s="1"/>
      <c r="K2681" s="89" t="s">
        <v>4099</v>
      </c>
      <c r="L2681" s="89" t="str">
        <f>G105</f>
        <v>C1b1a2a</v>
      </c>
      <c r="M2681" s="89"/>
      <c r="N2681" s="89"/>
      <c r="O2681" s="92">
        <v>1.7030742E7</v>
      </c>
      <c r="P2681" s="92">
        <v>1.4918862E7</v>
      </c>
      <c r="Q2681" s="89" t="s">
        <v>838</v>
      </c>
      <c r="AF2681" s="1"/>
      <c r="AG2681" s="1"/>
    </row>
    <row r="2682" ht="15.75" customHeight="1">
      <c r="A2682" s="1"/>
      <c r="B2682" s="1"/>
      <c r="C2682" s="1"/>
      <c r="D2682" s="1"/>
      <c r="E2682" s="1"/>
      <c r="F2682" s="1"/>
      <c r="G2682" s="1"/>
      <c r="H2682" s="1"/>
      <c r="I2682" s="1"/>
      <c r="J2682" s="1"/>
      <c r="K2682" s="89" t="s">
        <v>4100</v>
      </c>
      <c r="L2682" s="89" t="str">
        <f>G105</f>
        <v>C1b1a2a</v>
      </c>
      <c r="M2682" s="89"/>
      <c r="N2682" s="89"/>
      <c r="O2682" s="92">
        <v>1.705577E7</v>
      </c>
      <c r="P2682" s="92">
        <v>1.494389E7</v>
      </c>
      <c r="Q2682" s="89" t="s">
        <v>912</v>
      </c>
      <c r="AF2682" s="1"/>
      <c r="AG2682" s="1"/>
    </row>
    <row r="2683" ht="15.75" customHeight="1">
      <c r="A2683" s="1"/>
      <c r="B2683" s="1"/>
      <c r="C2683" s="1"/>
      <c r="D2683" s="1"/>
      <c r="E2683" s="1"/>
      <c r="F2683" s="1"/>
      <c r="G2683" s="1"/>
      <c r="H2683" s="1"/>
      <c r="I2683" s="1"/>
      <c r="J2683" s="1"/>
      <c r="K2683" s="89" t="s">
        <v>4101</v>
      </c>
      <c r="L2683" s="89" t="str">
        <f>G105</f>
        <v>C1b1a2a</v>
      </c>
      <c r="M2683" s="89"/>
      <c r="N2683" s="89"/>
      <c r="O2683" s="92">
        <v>1.706536E7</v>
      </c>
      <c r="P2683" s="92">
        <v>1.495348E7</v>
      </c>
      <c r="Q2683" s="89" t="s">
        <v>802</v>
      </c>
      <c r="AF2683" s="1"/>
      <c r="AG2683" s="1"/>
    </row>
    <row r="2684" ht="15.75" customHeight="1">
      <c r="A2684" s="1"/>
      <c r="B2684" s="1"/>
      <c r="C2684" s="1"/>
      <c r="D2684" s="1"/>
      <c r="E2684" s="1"/>
      <c r="F2684" s="1"/>
      <c r="G2684" s="1"/>
      <c r="H2684" s="1"/>
      <c r="I2684" s="1"/>
      <c r="J2684" s="1"/>
      <c r="K2684" s="89" t="s">
        <v>4102</v>
      </c>
      <c r="L2684" s="89" t="str">
        <f>G105</f>
        <v>C1b1a2a</v>
      </c>
      <c r="M2684" s="89"/>
      <c r="N2684" s="89"/>
      <c r="O2684" s="92">
        <v>1.7107206E7</v>
      </c>
      <c r="P2684" s="92">
        <v>1.4995326E7</v>
      </c>
      <c r="Q2684" s="89" t="s">
        <v>802</v>
      </c>
      <c r="AF2684" s="1"/>
      <c r="AG2684" s="1"/>
    </row>
    <row r="2685" ht="15.75" customHeight="1">
      <c r="A2685" s="1"/>
      <c r="B2685" s="1"/>
      <c r="C2685" s="1"/>
      <c r="D2685" s="1"/>
      <c r="E2685" s="1"/>
      <c r="F2685" s="1"/>
      <c r="G2685" s="1"/>
      <c r="H2685" s="1"/>
      <c r="I2685" s="1"/>
      <c r="J2685" s="1"/>
      <c r="K2685" s="89" t="s">
        <v>4103</v>
      </c>
      <c r="L2685" s="89" t="str">
        <f>G105</f>
        <v>C1b1a2a</v>
      </c>
      <c r="M2685" s="89"/>
      <c r="N2685" s="89"/>
      <c r="O2685" s="92">
        <v>1.7129619E7</v>
      </c>
      <c r="P2685" s="92">
        <v>1.5017739E7</v>
      </c>
      <c r="Q2685" s="89" t="s">
        <v>912</v>
      </c>
      <c r="AF2685" s="1"/>
      <c r="AG2685" s="1"/>
    </row>
    <row r="2686" ht="15.75" customHeight="1">
      <c r="A2686" s="1"/>
      <c r="B2686" s="1"/>
      <c r="C2686" s="1"/>
      <c r="D2686" s="1"/>
      <c r="E2686" s="1"/>
      <c r="F2686" s="1"/>
      <c r="G2686" s="1"/>
      <c r="H2686" s="1"/>
      <c r="I2686" s="1"/>
      <c r="J2686" s="1"/>
      <c r="K2686" s="89" t="s">
        <v>4104</v>
      </c>
      <c r="L2686" s="89" t="str">
        <f>G105</f>
        <v>C1b1a2a</v>
      </c>
      <c r="M2686" s="89"/>
      <c r="N2686" s="89" t="s">
        <v>4105</v>
      </c>
      <c r="O2686" s="92">
        <v>1.716717E7</v>
      </c>
      <c r="P2686" s="92">
        <v>1.505529E7</v>
      </c>
      <c r="Q2686" s="89" t="s">
        <v>822</v>
      </c>
      <c r="AF2686" s="1"/>
      <c r="AG2686" s="1"/>
    </row>
    <row r="2687" ht="15.75" customHeight="1">
      <c r="A2687" s="1"/>
      <c r="B2687" s="1"/>
      <c r="C2687" s="1"/>
      <c r="D2687" s="1"/>
      <c r="E2687" s="1"/>
      <c r="F2687" s="1"/>
      <c r="G2687" s="1"/>
      <c r="H2687" s="1"/>
      <c r="I2687" s="1"/>
      <c r="J2687" s="1"/>
      <c r="K2687" s="89" t="s">
        <v>4106</v>
      </c>
      <c r="L2687" s="89" t="str">
        <f>G105</f>
        <v>C1b1a2a</v>
      </c>
      <c r="M2687" s="89"/>
      <c r="N2687" s="89"/>
      <c r="O2687" s="92">
        <v>1.7180862E7</v>
      </c>
      <c r="P2687" s="92">
        <v>1.5068982E7</v>
      </c>
      <c r="Q2687" s="89" t="s">
        <v>879</v>
      </c>
      <c r="AF2687" s="1"/>
      <c r="AG2687" s="1"/>
    </row>
    <row r="2688" ht="15.75" customHeight="1">
      <c r="A2688" s="1"/>
      <c r="B2688" s="1"/>
      <c r="C2688" s="1"/>
      <c r="D2688" s="1"/>
      <c r="E2688" s="1"/>
      <c r="F2688" s="1"/>
      <c r="G2688" s="1"/>
      <c r="H2688" s="1"/>
      <c r="I2688" s="1"/>
      <c r="J2688" s="1"/>
      <c r="K2688" s="89" t="s">
        <v>4107</v>
      </c>
      <c r="L2688" s="89" t="str">
        <f>G105</f>
        <v>C1b1a2a</v>
      </c>
      <c r="M2688" s="89"/>
      <c r="N2688" s="89"/>
      <c r="O2688" s="92">
        <v>1.7185752E7</v>
      </c>
      <c r="P2688" s="92">
        <v>1.5073872E7</v>
      </c>
      <c r="Q2688" s="89" t="s">
        <v>879</v>
      </c>
      <c r="AF2688" s="1"/>
      <c r="AG2688" s="1"/>
    </row>
    <row r="2689" ht="15.75" customHeight="1">
      <c r="A2689" s="1"/>
      <c r="B2689" s="1"/>
      <c r="C2689" s="1"/>
      <c r="D2689" s="1"/>
      <c r="E2689" s="1"/>
      <c r="F2689" s="1"/>
      <c r="G2689" s="1"/>
      <c r="H2689" s="1"/>
      <c r="I2689" s="1"/>
      <c r="J2689" s="1"/>
      <c r="K2689" s="89" t="s">
        <v>4108</v>
      </c>
      <c r="L2689" s="89" t="str">
        <f>G105</f>
        <v>C1b1a2a</v>
      </c>
      <c r="M2689" s="89"/>
      <c r="N2689" s="89"/>
      <c r="O2689" s="92">
        <v>1.7191637E7</v>
      </c>
      <c r="P2689" s="92">
        <v>1.5079757E7</v>
      </c>
      <c r="Q2689" s="89" t="s">
        <v>802</v>
      </c>
      <c r="AF2689" s="1"/>
      <c r="AG2689" s="1"/>
    </row>
    <row r="2690" ht="15.75" customHeight="1">
      <c r="A2690" s="1"/>
      <c r="B2690" s="1"/>
      <c r="C2690" s="1"/>
      <c r="D2690" s="1"/>
      <c r="E2690" s="1"/>
      <c r="F2690" s="1"/>
      <c r="G2690" s="1"/>
      <c r="H2690" s="1"/>
      <c r="I2690" s="1"/>
      <c r="J2690" s="1"/>
      <c r="K2690" s="89" t="s">
        <v>4109</v>
      </c>
      <c r="L2690" s="89" t="str">
        <f>G105</f>
        <v>C1b1a2a</v>
      </c>
      <c r="M2690" s="89"/>
      <c r="N2690" s="89"/>
      <c r="O2690" s="92">
        <v>1.726091E7</v>
      </c>
      <c r="P2690" s="92">
        <v>1.514903E7</v>
      </c>
      <c r="Q2690" s="89" t="s">
        <v>886</v>
      </c>
      <c r="AF2690" s="1"/>
      <c r="AG2690" s="1"/>
    </row>
    <row r="2691" ht="15.75" customHeight="1">
      <c r="A2691" s="1"/>
      <c r="B2691" s="1"/>
      <c r="C2691" s="1"/>
      <c r="D2691" s="1"/>
      <c r="E2691" s="1"/>
      <c r="F2691" s="1"/>
      <c r="G2691" s="1"/>
      <c r="H2691" s="1"/>
      <c r="I2691" s="1"/>
      <c r="J2691" s="1"/>
      <c r="K2691" s="89" t="s">
        <v>4110</v>
      </c>
      <c r="L2691" s="89" t="str">
        <f>G105</f>
        <v>C1b1a2a</v>
      </c>
      <c r="M2691" s="89"/>
      <c r="N2691" s="89"/>
      <c r="O2691" s="92">
        <v>1.7272826E7</v>
      </c>
      <c r="P2691" s="92">
        <v>1.5160946E7</v>
      </c>
      <c r="Q2691" s="89" t="s">
        <v>845</v>
      </c>
      <c r="AF2691" s="1"/>
      <c r="AG2691" s="1"/>
    </row>
    <row r="2692" ht="15.75" customHeight="1">
      <c r="A2692" s="1"/>
      <c r="B2692" s="1"/>
      <c r="C2692" s="1"/>
      <c r="D2692" s="1"/>
      <c r="E2692" s="1"/>
      <c r="F2692" s="1"/>
      <c r="G2692" s="1"/>
      <c r="H2692" s="1"/>
      <c r="I2692" s="1"/>
      <c r="J2692" s="1"/>
      <c r="K2692" s="89" t="s">
        <v>4111</v>
      </c>
      <c r="L2692" s="89" t="str">
        <f>G105</f>
        <v>C1b1a2a</v>
      </c>
      <c r="M2692" s="89"/>
      <c r="N2692" s="89"/>
      <c r="O2692" s="92">
        <v>1.7282779E7</v>
      </c>
      <c r="P2692" s="92">
        <v>1.5170899E7</v>
      </c>
      <c r="Q2692" s="89" t="s">
        <v>822</v>
      </c>
      <c r="AF2692" s="1"/>
      <c r="AG2692" s="1"/>
    </row>
    <row r="2693" ht="15.75" customHeight="1">
      <c r="A2693" s="1"/>
      <c r="B2693" s="1"/>
      <c r="C2693" s="1"/>
      <c r="D2693" s="1"/>
      <c r="E2693" s="1"/>
      <c r="F2693" s="1"/>
      <c r="G2693" s="1"/>
      <c r="H2693" s="1"/>
      <c r="I2693" s="1"/>
      <c r="J2693" s="1"/>
      <c r="K2693" s="89" t="s">
        <v>4112</v>
      </c>
      <c r="L2693" s="89" t="str">
        <f>G105</f>
        <v>C1b1a2a</v>
      </c>
      <c r="M2693" s="89"/>
      <c r="N2693" s="89"/>
      <c r="O2693" s="92">
        <v>1.739494E7</v>
      </c>
      <c r="P2693" s="92">
        <v>1.528306E7</v>
      </c>
      <c r="Q2693" s="89" t="s">
        <v>822</v>
      </c>
      <c r="AF2693" s="1"/>
      <c r="AG2693" s="1"/>
    </row>
    <row r="2694" ht="15.75" customHeight="1">
      <c r="A2694" s="1"/>
      <c r="B2694" s="1"/>
      <c r="C2694" s="1"/>
      <c r="D2694" s="1"/>
      <c r="E2694" s="1"/>
      <c r="F2694" s="1"/>
      <c r="G2694" s="1"/>
      <c r="H2694" s="1"/>
      <c r="I2694" s="1"/>
      <c r="J2694" s="1"/>
      <c r="K2694" s="89" t="s">
        <v>4113</v>
      </c>
      <c r="L2694" s="89" t="str">
        <f>G105</f>
        <v>C1b1a2a</v>
      </c>
      <c r="M2694" s="89"/>
      <c r="N2694" s="89"/>
      <c r="O2694" s="92">
        <v>1.73962E7</v>
      </c>
      <c r="P2694" s="92">
        <v>1.528432E7</v>
      </c>
      <c r="Q2694" s="89" t="s">
        <v>822</v>
      </c>
      <c r="AF2694" s="1"/>
      <c r="AG2694" s="1"/>
    </row>
    <row r="2695" ht="15.75" customHeight="1">
      <c r="A2695" s="1"/>
      <c r="B2695" s="1"/>
      <c r="C2695" s="1"/>
      <c r="D2695" s="1"/>
      <c r="E2695" s="1"/>
      <c r="F2695" s="1"/>
      <c r="G2695" s="1"/>
      <c r="H2695" s="1"/>
      <c r="I2695" s="1"/>
      <c r="J2695" s="1"/>
      <c r="K2695" s="89" t="s">
        <v>4114</v>
      </c>
      <c r="L2695" s="89" t="str">
        <f>G105</f>
        <v>C1b1a2a</v>
      </c>
      <c r="M2695" s="89"/>
      <c r="N2695" s="89"/>
      <c r="O2695" s="92">
        <v>1.7437576E7</v>
      </c>
      <c r="P2695" s="92">
        <v>1.5325696E7</v>
      </c>
      <c r="Q2695" s="89" t="s">
        <v>838</v>
      </c>
      <c r="AF2695" s="1"/>
      <c r="AG2695" s="1"/>
    </row>
    <row r="2696" ht="15.75" customHeight="1">
      <c r="A2696" s="1"/>
      <c r="B2696" s="1"/>
      <c r="C2696" s="1"/>
      <c r="D2696" s="1"/>
      <c r="E2696" s="1"/>
      <c r="F2696" s="1"/>
      <c r="G2696" s="1"/>
      <c r="H2696" s="1"/>
      <c r="I2696" s="1"/>
      <c r="J2696" s="1"/>
      <c r="K2696" s="89" t="s">
        <v>4115</v>
      </c>
      <c r="L2696" s="89" t="str">
        <f>G105</f>
        <v>C1b1a2a</v>
      </c>
      <c r="M2696" s="89"/>
      <c r="N2696" s="89"/>
      <c r="O2696" s="92">
        <v>1.7477573E7</v>
      </c>
      <c r="P2696" s="92">
        <v>1.5365693E7</v>
      </c>
      <c r="Q2696" s="89" t="s">
        <v>810</v>
      </c>
      <c r="AF2696" s="1"/>
      <c r="AG2696" s="1"/>
    </row>
    <row r="2697" ht="15.75" customHeight="1">
      <c r="A2697" s="1"/>
      <c r="B2697" s="1"/>
      <c r="C2697" s="1"/>
      <c r="D2697" s="1"/>
      <c r="E2697" s="1"/>
      <c r="F2697" s="1"/>
      <c r="G2697" s="1"/>
      <c r="H2697" s="1"/>
      <c r="I2697" s="1"/>
      <c r="J2697" s="1"/>
      <c r="K2697" s="89" t="s">
        <v>4116</v>
      </c>
      <c r="L2697" s="89" t="str">
        <f>G105</f>
        <v>C1b1a2a</v>
      </c>
      <c r="M2697" s="89"/>
      <c r="N2697" s="89"/>
      <c r="O2697" s="92">
        <v>1.7481217E7</v>
      </c>
      <c r="P2697" s="92">
        <v>1.5369337E7</v>
      </c>
      <c r="Q2697" s="89" t="s">
        <v>912</v>
      </c>
      <c r="AF2697" s="1"/>
      <c r="AG2697" s="1"/>
    </row>
    <row r="2698" ht="15.75" customHeight="1">
      <c r="A2698" s="1"/>
      <c r="B2698" s="1"/>
      <c r="C2698" s="1"/>
      <c r="D2698" s="1"/>
      <c r="E2698" s="1"/>
      <c r="F2698" s="1"/>
      <c r="G2698" s="1"/>
      <c r="H2698" s="1"/>
      <c r="I2698" s="1"/>
      <c r="J2698" s="1"/>
      <c r="K2698" s="89" t="s">
        <v>4117</v>
      </c>
      <c r="L2698" s="89" t="str">
        <f>G105</f>
        <v>C1b1a2a</v>
      </c>
      <c r="M2698" s="89"/>
      <c r="N2698" s="89"/>
      <c r="O2698" s="92">
        <v>1.7489495E7</v>
      </c>
      <c r="P2698" s="92">
        <v>1.5377615E7</v>
      </c>
      <c r="Q2698" s="89" t="s">
        <v>912</v>
      </c>
      <c r="AF2698" s="1"/>
      <c r="AG2698" s="1"/>
    </row>
    <row r="2699" ht="15.75" customHeight="1">
      <c r="A2699" s="1"/>
      <c r="B2699" s="1"/>
      <c r="C2699" s="1"/>
      <c r="D2699" s="1"/>
      <c r="E2699" s="1"/>
      <c r="F2699" s="1"/>
      <c r="G2699" s="1"/>
      <c r="H2699" s="1"/>
      <c r="I2699" s="1"/>
      <c r="J2699" s="1"/>
      <c r="K2699" s="89" t="s">
        <v>4118</v>
      </c>
      <c r="L2699" s="89" t="str">
        <f>G105</f>
        <v>C1b1a2a</v>
      </c>
      <c r="M2699" s="89"/>
      <c r="N2699" s="89"/>
      <c r="O2699" s="92">
        <v>1.7560487E7</v>
      </c>
      <c r="P2699" s="92">
        <v>1.5448607E7</v>
      </c>
      <c r="Q2699" s="89" t="s">
        <v>838</v>
      </c>
      <c r="AF2699" s="1"/>
      <c r="AG2699" s="1"/>
    </row>
    <row r="2700" ht="15.75" customHeight="1">
      <c r="A2700" s="1"/>
      <c r="B2700" s="1"/>
      <c r="C2700" s="1"/>
      <c r="D2700" s="1"/>
      <c r="E2700" s="1"/>
      <c r="F2700" s="1"/>
      <c r="G2700" s="1"/>
      <c r="H2700" s="1"/>
      <c r="I2700" s="1"/>
      <c r="J2700" s="1"/>
      <c r="K2700" s="89" t="s">
        <v>4119</v>
      </c>
      <c r="L2700" s="89" t="str">
        <f>G105</f>
        <v>C1b1a2a</v>
      </c>
      <c r="M2700" s="89"/>
      <c r="N2700" s="89"/>
      <c r="O2700" s="92">
        <v>1.7586595E7</v>
      </c>
      <c r="P2700" s="92">
        <v>1.5474715E7</v>
      </c>
      <c r="Q2700" s="89" t="s">
        <v>879</v>
      </c>
      <c r="AF2700" s="1"/>
      <c r="AG2700" s="1"/>
    </row>
    <row r="2701" ht="15.75" customHeight="1">
      <c r="A2701" s="1"/>
      <c r="B2701" s="1"/>
      <c r="C2701" s="1"/>
      <c r="D2701" s="1"/>
      <c r="E2701" s="1"/>
      <c r="F2701" s="1"/>
      <c r="G2701" s="1"/>
      <c r="H2701" s="1"/>
      <c r="I2701" s="1"/>
      <c r="J2701" s="1"/>
      <c r="K2701" s="89" t="s">
        <v>4120</v>
      </c>
      <c r="L2701" s="89" t="str">
        <f>G105</f>
        <v>C1b1a2a</v>
      </c>
      <c r="M2701" s="89"/>
      <c r="N2701" s="89"/>
      <c r="O2701" s="92">
        <v>1.7616046E7</v>
      </c>
      <c r="P2701" s="92">
        <v>1.5504166E7</v>
      </c>
      <c r="Q2701" s="89" t="s">
        <v>917</v>
      </c>
      <c r="AF2701" s="1"/>
      <c r="AG2701" s="1"/>
    </row>
    <row r="2702" ht="15.75" customHeight="1">
      <c r="A2702" s="1"/>
      <c r="B2702" s="1"/>
      <c r="C2702" s="1"/>
      <c r="D2702" s="1"/>
      <c r="E2702" s="1"/>
      <c r="F2702" s="1"/>
      <c r="G2702" s="1"/>
      <c r="H2702" s="1"/>
      <c r="I2702" s="1"/>
      <c r="J2702" s="1"/>
      <c r="K2702" s="89" t="s">
        <v>4121</v>
      </c>
      <c r="L2702" s="89" t="str">
        <f>G105</f>
        <v>C1b1a2a</v>
      </c>
      <c r="M2702" s="89"/>
      <c r="N2702" s="89"/>
      <c r="O2702" s="92">
        <v>1.7618714E7</v>
      </c>
      <c r="P2702" s="92">
        <v>1.5506834E7</v>
      </c>
      <c r="Q2702" s="89" t="s">
        <v>822</v>
      </c>
      <c r="AF2702" s="1"/>
      <c r="AG2702" s="1"/>
    </row>
    <row r="2703" ht="15.75" customHeight="1">
      <c r="A2703" s="1"/>
      <c r="B2703" s="1"/>
      <c r="C2703" s="1"/>
      <c r="D2703" s="1"/>
      <c r="E2703" s="1"/>
      <c r="F2703" s="1"/>
      <c r="G2703" s="1"/>
      <c r="H2703" s="1"/>
      <c r="I2703" s="1"/>
      <c r="J2703" s="1"/>
      <c r="K2703" s="89" t="s">
        <v>4122</v>
      </c>
      <c r="L2703" s="89" t="str">
        <f>G105</f>
        <v>C1b1a2a</v>
      </c>
      <c r="M2703" s="89"/>
      <c r="N2703" s="89"/>
      <c r="O2703" s="92">
        <v>1.7637355E7</v>
      </c>
      <c r="P2703" s="92">
        <v>1.5525475E7</v>
      </c>
      <c r="Q2703" s="89" t="s">
        <v>822</v>
      </c>
      <c r="AF2703" s="1"/>
      <c r="AG2703" s="1"/>
    </row>
    <row r="2704" ht="15.75" customHeight="1">
      <c r="A2704" s="1"/>
      <c r="B2704" s="1"/>
      <c r="C2704" s="1"/>
      <c r="D2704" s="1"/>
      <c r="E2704" s="1"/>
      <c r="F2704" s="1"/>
      <c r="G2704" s="1"/>
      <c r="H2704" s="1"/>
      <c r="I2704" s="1"/>
      <c r="J2704" s="1"/>
      <c r="K2704" s="89" t="s">
        <v>4123</v>
      </c>
      <c r="L2704" s="89" t="str">
        <f>G105</f>
        <v>C1b1a2a</v>
      </c>
      <c r="M2704" s="89"/>
      <c r="N2704" s="89" t="s">
        <v>4124</v>
      </c>
      <c r="O2704" s="92">
        <v>1.7661323E7</v>
      </c>
      <c r="P2704" s="92">
        <v>1.5549443E7</v>
      </c>
      <c r="Q2704" s="89" t="s">
        <v>802</v>
      </c>
      <c r="AF2704" s="1"/>
      <c r="AG2704" s="1"/>
    </row>
    <row r="2705" ht="15.75" customHeight="1">
      <c r="A2705" s="1"/>
      <c r="B2705" s="1"/>
      <c r="C2705" s="1"/>
      <c r="D2705" s="1"/>
      <c r="E2705" s="1"/>
      <c r="F2705" s="1"/>
      <c r="G2705" s="1"/>
      <c r="H2705" s="1"/>
      <c r="I2705" s="1"/>
      <c r="J2705" s="1"/>
      <c r="K2705" s="89" t="s">
        <v>4125</v>
      </c>
      <c r="L2705" s="89" t="str">
        <f>G105</f>
        <v>C1b1a2a</v>
      </c>
      <c r="M2705" s="89"/>
      <c r="N2705" s="89"/>
      <c r="O2705" s="92">
        <v>1.7670898E7</v>
      </c>
      <c r="P2705" s="92">
        <v>1.5559018E7</v>
      </c>
      <c r="Q2705" s="89" t="s">
        <v>802</v>
      </c>
      <c r="AF2705" s="1"/>
      <c r="AG2705" s="1"/>
    </row>
    <row r="2706" ht="15.75" customHeight="1">
      <c r="A2706" s="1"/>
      <c r="B2706" s="1"/>
      <c r="C2706" s="1"/>
      <c r="D2706" s="1"/>
      <c r="E2706" s="1"/>
      <c r="F2706" s="1"/>
      <c r="G2706" s="1"/>
      <c r="H2706" s="1"/>
      <c r="I2706" s="1"/>
      <c r="J2706" s="1"/>
      <c r="K2706" s="89" t="s">
        <v>4126</v>
      </c>
      <c r="L2706" s="89" t="str">
        <f>G105</f>
        <v>C1b1a2a</v>
      </c>
      <c r="M2706" s="89"/>
      <c r="N2706" s="89"/>
      <c r="O2706" s="92">
        <v>1.7730367E7</v>
      </c>
      <c r="P2706" s="92">
        <v>1.5618487E7</v>
      </c>
      <c r="Q2706" s="89" t="s">
        <v>864</v>
      </c>
      <c r="AF2706" s="1"/>
      <c r="AG2706" s="1"/>
    </row>
    <row r="2707" ht="15.75" customHeight="1">
      <c r="A2707" s="1"/>
      <c r="B2707" s="1"/>
      <c r="C2707" s="1"/>
      <c r="D2707" s="1"/>
      <c r="E2707" s="1"/>
      <c r="F2707" s="1"/>
      <c r="G2707" s="1"/>
      <c r="H2707" s="1"/>
      <c r="I2707" s="1"/>
      <c r="J2707" s="1"/>
      <c r="K2707" s="89" t="s">
        <v>4127</v>
      </c>
      <c r="L2707" s="89" t="str">
        <f>G105</f>
        <v>C1b1a2a</v>
      </c>
      <c r="M2707" s="89"/>
      <c r="N2707" s="89"/>
      <c r="O2707" s="92">
        <v>1.7733109E7</v>
      </c>
      <c r="P2707" s="92">
        <v>1.5621229E7</v>
      </c>
      <c r="Q2707" s="89" t="s">
        <v>838</v>
      </c>
      <c r="AF2707" s="1"/>
      <c r="AG2707" s="1"/>
    </row>
    <row r="2708" ht="15.75" customHeight="1">
      <c r="A2708" s="1"/>
      <c r="B2708" s="1"/>
      <c r="C2708" s="1"/>
      <c r="D2708" s="1"/>
      <c r="E2708" s="1"/>
      <c r="F2708" s="1"/>
      <c r="G2708" s="1"/>
      <c r="H2708" s="1"/>
      <c r="I2708" s="1"/>
      <c r="J2708" s="1"/>
      <c r="K2708" s="89" t="s">
        <v>4128</v>
      </c>
      <c r="L2708" s="89" t="str">
        <f>G105</f>
        <v>C1b1a2a</v>
      </c>
      <c r="M2708" s="89"/>
      <c r="N2708" s="89"/>
      <c r="O2708" s="92">
        <v>1.773484E7</v>
      </c>
      <c r="P2708" s="92">
        <v>1.562296E7</v>
      </c>
      <c r="Q2708" s="89" t="s">
        <v>838</v>
      </c>
      <c r="AF2708" s="1"/>
      <c r="AG2708" s="1"/>
    </row>
    <row r="2709" ht="15.75" customHeight="1">
      <c r="A2709" s="1"/>
      <c r="B2709" s="1"/>
      <c r="C2709" s="1"/>
      <c r="D2709" s="1"/>
      <c r="E2709" s="1"/>
      <c r="F2709" s="1"/>
      <c r="G2709" s="1"/>
      <c r="H2709" s="1"/>
      <c r="I2709" s="1"/>
      <c r="J2709" s="1"/>
      <c r="K2709" s="89" t="s">
        <v>4129</v>
      </c>
      <c r="L2709" s="89" t="str">
        <f>G105</f>
        <v>C1b1a2a</v>
      </c>
      <c r="M2709" s="89"/>
      <c r="N2709" s="89"/>
      <c r="O2709" s="92">
        <v>1.7735799E7</v>
      </c>
      <c r="P2709" s="92">
        <v>1.5623919E7</v>
      </c>
      <c r="Q2709" s="89" t="s">
        <v>822</v>
      </c>
      <c r="AF2709" s="1"/>
      <c r="AG2709" s="1"/>
    </row>
    <row r="2710" ht="15.75" customHeight="1">
      <c r="A2710" s="1"/>
      <c r="B2710" s="1"/>
      <c r="C2710" s="1"/>
      <c r="D2710" s="1"/>
      <c r="E2710" s="1"/>
      <c r="F2710" s="1"/>
      <c r="G2710" s="1"/>
      <c r="H2710" s="1"/>
      <c r="I2710" s="1"/>
      <c r="J2710" s="1"/>
      <c r="K2710" s="89" t="s">
        <v>4130</v>
      </c>
      <c r="L2710" s="89" t="str">
        <f>G105</f>
        <v>C1b1a2a</v>
      </c>
      <c r="M2710" s="89"/>
      <c r="N2710" s="89"/>
      <c r="O2710" s="92">
        <v>1.7741584E7</v>
      </c>
      <c r="P2710" s="92">
        <v>1.5629704E7</v>
      </c>
      <c r="Q2710" s="89" t="s">
        <v>810</v>
      </c>
      <c r="AF2710" s="1"/>
      <c r="AG2710" s="1"/>
    </row>
    <row r="2711" ht="15.75" customHeight="1">
      <c r="A2711" s="1"/>
      <c r="B2711" s="1"/>
      <c r="C2711" s="1"/>
      <c r="D2711" s="1"/>
      <c r="E2711" s="1"/>
      <c r="F2711" s="1"/>
      <c r="G2711" s="1"/>
      <c r="H2711" s="1"/>
      <c r="I2711" s="1"/>
      <c r="J2711" s="1"/>
      <c r="K2711" s="89" t="s">
        <v>4131</v>
      </c>
      <c r="L2711" s="89" t="str">
        <f>G105</f>
        <v>C1b1a2a</v>
      </c>
      <c r="M2711" s="89"/>
      <c r="N2711" s="89"/>
      <c r="O2711" s="92">
        <v>1.7812156E7</v>
      </c>
      <c r="P2711" s="92">
        <v>1.5700276E7</v>
      </c>
      <c r="Q2711" s="89" t="s">
        <v>813</v>
      </c>
      <c r="AF2711" s="1"/>
      <c r="AG2711" s="1"/>
    </row>
    <row r="2712" ht="15.75" customHeight="1">
      <c r="A2712" s="1"/>
      <c r="B2712" s="1"/>
      <c r="C2712" s="1"/>
      <c r="D2712" s="1"/>
      <c r="E2712" s="1"/>
      <c r="F2712" s="1"/>
      <c r="G2712" s="1"/>
      <c r="H2712" s="1"/>
      <c r="I2712" s="1"/>
      <c r="J2712" s="1"/>
      <c r="K2712" s="89" t="s">
        <v>4132</v>
      </c>
      <c r="L2712" s="89" t="str">
        <f>G105</f>
        <v>C1b1a2a</v>
      </c>
      <c r="M2712" s="89"/>
      <c r="N2712" s="89"/>
      <c r="O2712" s="92">
        <v>1.785398E7</v>
      </c>
      <c r="P2712" s="92">
        <v>1.57421E7</v>
      </c>
      <c r="Q2712" s="89" t="s">
        <v>813</v>
      </c>
      <c r="AF2712" s="1"/>
      <c r="AG2712" s="1"/>
    </row>
    <row r="2713" ht="15.75" customHeight="1">
      <c r="A2713" s="1"/>
      <c r="B2713" s="1"/>
      <c r="C2713" s="1"/>
      <c r="D2713" s="1"/>
      <c r="E2713" s="1"/>
      <c r="F2713" s="1"/>
      <c r="G2713" s="1"/>
      <c r="H2713" s="1"/>
      <c r="I2713" s="1"/>
      <c r="J2713" s="1"/>
      <c r="K2713" s="89" t="s">
        <v>4133</v>
      </c>
      <c r="L2713" s="89" t="str">
        <f>G105</f>
        <v>C1b1a2a</v>
      </c>
      <c r="M2713" s="89"/>
      <c r="N2713" s="89"/>
      <c r="O2713" s="92">
        <v>1.7864493E7</v>
      </c>
      <c r="P2713" s="92">
        <v>1.5752613E7</v>
      </c>
      <c r="Q2713" s="89" t="s">
        <v>831</v>
      </c>
      <c r="AF2713" s="1"/>
      <c r="AG2713" s="1"/>
    </row>
    <row r="2714" ht="15.75" customHeight="1">
      <c r="A2714" s="1"/>
      <c r="B2714" s="1"/>
      <c r="C2714" s="1"/>
      <c r="D2714" s="1"/>
      <c r="E2714" s="1"/>
      <c r="F2714" s="1"/>
      <c r="G2714" s="1"/>
      <c r="H2714" s="1"/>
      <c r="I2714" s="1"/>
      <c r="J2714" s="1"/>
      <c r="K2714" s="89" t="s">
        <v>4134</v>
      </c>
      <c r="L2714" s="89" t="str">
        <f>G105</f>
        <v>C1b1a2a</v>
      </c>
      <c r="M2714" s="89"/>
      <c r="N2714" s="89"/>
      <c r="O2714" s="92">
        <v>1.7909725E7</v>
      </c>
      <c r="P2714" s="92">
        <v>1.5797845E7</v>
      </c>
      <c r="Q2714" s="89" t="s">
        <v>838</v>
      </c>
      <c r="AF2714" s="1"/>
      <c r="AG2714" s="1"/>
    </row>
    <row r="2715" ht="15.75" customHeight="1">
      <c r="A2715" s="1"/>
      <c r="B2715" s="1"/>
      <c r="C2715" s="1"/>
      <c r="D2715" s="1"/>
      <c r="E2715" s="1"/>
      <c r="F2715" s="1"/>
      <c r="G2715" s="1"/>
      <c r="H2715" s="1"/>
      <c r="I2715" s="1"/>
      <c r="J2715" s="1"/>
      <c r="K2715" s="89" t="s">
        <v>4135</v>
      </c>
      <c r="L2715" s="89" t="str">
        <f>G105</f>
        <v>C1b1a2a</v>
      </c>
      <c r="M2715" s="89"/>
      <c r="N2715" s="89"/>
      <c r="O2715" s="92">
        <v>1.7941873E7</v>
      </c>
      <c r="P2715" s="92">
        <v>1.5829993E7</v>
      </c>
      <c r="Q2715" s="89" t="s">
        <v>912</v>
      </c>
      <c r="AF2715" s="1"/>
      <c r="AG2715" s="1"/>
    </row>
    <row r="2716" ht="15.75" customHeight="1">
      <c r="A2716" s="1"/>
      <c r="B2716" s="1"/>
      <c r="C2716" s="1"/>
      <c r="D2716" s="1"/>
      <c r="E2716" s="1"/>
      <c r="F2716" s="1"/>
      <c r="G2716" s="1"/>
      <c r="H2716" s="1"/>
      <c r="I2716" s="1"/>
      <c r="J2716" s="1"/>
      <c r="K2716" s="89" t="s">
        <v>4136</v>
      </c>
      <c r="L2716" s="89" t="str">
        <f>G105</f>
        <v>C1b1a2a</v>
      </c>
      <c r="M2716" s="89"/>
      <c r="N2716" s="89"/>
      <c r="O2716" s="92">
        <v>1.7956504E7</v>
      </c>
      <c r="P2716" s="92">
        <v>1.5844624E7</v>
      </c>
      <c r="Q2716" s="89" t="s">
        <v>838</v>
      </c>
      <c r="AF2716" s="1"/>
      <c r="AG2716" s="1"/>
    </row>
    <row r="2717" ht="15.75" customHeight="1">
      <c r="A2717" s="1"/>
      <c r="B2717" s="1"/>
      <c r="C2717" s="1"/>
      <c r="D2717" s="1"/>
      <c r="E2717" s="1"/>
      <c r="F2717" s="1"/>
      <c r="G2717" s="1"/>
      <c r="H2717" s="1"/>
      <c r="I2717" s="1"/>
      <c r="J2717" s="1"/>
      <c r="K2717" s="89" t="s">
        <v>4137</v>
      </c>
      <c r="L2717" s="89" t="str">
        <f>G105</f>
        <v>C1b1a2a</v>
      </c>
      <c r="M2717" s="89"/>
      <c r="N2717" s="89"/>
      <c r="O2717" s="92">
        <v>1.8075631E7</v>
      </c>
      <c r="P2717" s="92">
        <v>1.5963751E7</v>
      </c>
      <c r="Q2717" s="89" t="s">
        <v>831</v>
      </c>
      <c r="AF2717" s="1"/>
      <c r="AG2717" s="1"/>
    </row>
    <row r="2718" ht="15.75" customHeight="1">
      <c r="A2718" s="1"/>
      <c r="B2718" s="1"/>
      <c r="C2718" s="1"/>
      <c r="D2718" s="1"/>
      <c r="E2718" s="1"/>
      <c r="F2718" s="1"/>
      <c r="G2718" s="1"/>
      <c r="H2718" s="1"/>
      <c r="I2718" s="1"/>
      <c r="J2718" s="1"/>
      <c r="K2718" s="89" t="s">
        <v>4138</v>
      </c>
      <c r="L2718" s="89" t="str">
        <f>G105</f>
        <v>C1b1a2a</v>
      </c>
      <c r="M2718" s="89"/>
      <c r="N2718" s="89"/>
      <c r="O2718" s="92">
        <v>1.8093402E7</v>
      </c>
      <c r="P2718" s="92">
        <v>1.5981522E7</v>
      </c>
      <c r="Q2718" s="89" t="s">
        <v>838</v>
      </c>
      <c r="AF2718" s="1"/>
      <c r="AG2718" s="1"/>
    </row>
    <row r="2719" ht="15.75" customHeight="1">
      <c r="A2719" s="1"/>
      <c r="B2719" s="1"/>
      <c r="C2719" s="1"/>
      <c r="D2719" s="1"/>
      <c r="E2719" s="1"/>
      <c r="F2719" s="1"/>
      <c r="G2719" s="1"/>
      <c r="H2719" s="1"/>
      <c r="I2719" s="1"/>
      <c r="J2719" s="1"/>
      <c r="K2719" s="89" t="s">
        <v>4139</v>
      </c>
      <c r="L2719" s="89" t="str">
        <f>G105</f>
        <v>C1b1a2a</v>
      </c>
      <c r="M2719" s="89"/>
      <c r="N2719" s="89"/>
      <c r="O2719" s="92">
        <v>1.8115795E7</v>
      </c>
      <c r="P2719" s="92">
        <v>1.6003915E7</v>
      </c>
      <c r="Q2719" s="89" t="s">
        <v>917</v>
      </c>
      <c r="AF2719" s="1"/>
      <c r="AG2719" s="1"/>
    </row>
    <row r="2720" ht="15.75" customHeight="1">
      <c r="A2720" s="1"/>
      <c r="B2720" s="1"/>
      <c r="C2720" s="1"/>
      <c r="D2720" s="1"/>
      <c r="E2720" s="1"/>
      <c r="F2720" s="1"/>
      <c r="G2720" s="1"/>
      <c r="H2720" s="1"/>
      <c r="I2720" s="1"/>
      <c r="J2720" s="1"/>
      <c r="K2720" s="89" t="s">
        <v>4140</v>
      </c>
      <c r="L2720" s="89" t="str">
        <f>G105</f>
        <v>C1b1a2a</v>
      </c>
      <c r="M2720" s="89"/>
      <c r="N2720" s="89"/>
      <c r="O2720" s="92">
        <v>1.814968E7</v>
      </c>
      <c r="P2720" s="92">
        <v>1.60378E7</v>
      </c>
      <c r="Q2720" s="89" t="s">
        <v>810</v>
      </c>
      <c r="AF2720" s="1"/>
      <c r="AG2720" s="1"/>
    </row>
    <row r="2721" ht="15.75" customHeight="1">
      <c r="A2721" s="1"/>
      <c r="B2721" s="1"/>
      <c r="C2721" s="1"/>
      <c r="D2721" s="1"/>
      <c r="E2721" s="1"/>
      <c r="F2721" s="1"/>
      <c r="G2721" s="1"/>
      <c r="H2721" s="1"/>
      <c r="I2721" s="1"/>
      <c r="J2721" s="1"/>
      <c r="K2721" s="89" t="s">
        <v>4141</v>
      </c>
      <c r="L2721" s="89" t="str">
        <f>G105</f>
        <v>C1b1a2a</v>
      </c>
      <c r="M2721" s="89"/>
      <c r="N2721" s="89"/>
      <c r="O2721" s="92">
        <v>1.8154415E7</v>
      </c>
      <c r="P2721" s="92">
        <v>1.6042535E7</v>
      </c>
      <c r="Q2721" s="89" t="s">
        <v>831</v>
      </c>
      <c r="AF2721" s="1"/>
      <c r="AG2721" s="1"/>
    </row>
    <row r="2722" ht="15.75" customHeight="1">
      <c r="A2722" s="1"/>
      <c r="B2722" s="1"/>
      <c r="C2722" s="1"/>
      <c r="D2722" s="1"/>
      <c r="E2722" s="1"/>
      <c r="F2722" s="1"/>
      <c r="G2722" s="1"/>
      <c r="H2722" s="1"/>
      <c r="I2722" s="1"/>
      <c r="J2722" s="1"/>
      <c r="K2722" s="89" t="s">
        <v>4142</v>
      </c>
      <c r="L2722" s="89" t="str">
        <f>G105</f>
        <v>C1b1a2a</v>
      </c>
      <c r="M2722" s="89"/>
      <c r="N2722" s="89"/>
      <c r="O2722" s="92">
        <v>1.8192171E7</v>
      </c>
      <c r="P2722" s="92">
        <v>1.6080291E7</v>
      </c>
      <c r="Q2722" s="89" t="s">
        <v>886</v>
      </c>
      <c r="AF2722" s="1"/>
      <c r="AG2722" s="1"/>
    </row>
    <row r="2723" ht="15.75" customHeight="1">
      <c r="A2723" s="1"/>
      <c r="B2723" s="1"/>
      <c r="C2723" s="1"/>
      <c r="D2723" s="1"/>
      <c r="E2723" s="1"/>
      <c r="F2723" s="1"/>
      <c r="G2723" s="1"/>
      <c r="H2723" s="1"/>
      <c r="I2723" s="1"/>
      <c r="J2723" s="1"/>
      <c r="K2723" s="89" t="s">
        <v>4143</v>
      </c>
      <c r="L2723" s="89" t="str">
        <f>G105</f>
        <v>C1b1a2a</v>
      </c>
      <c r="M2723" s="89"/>
      <c r="N2723" s="89"/>
      <c r="O2723" s="92">
        <v>1.8235121E7</v>
      </c>
      <c r="P2723" s="92">
        <v>1.6123241E7</v>
      </c>
      <c r="Q2723" s="89" t="s">
        <v>864</v>
      </c>
      <c r="AF2723" s="1"/>
      <c r="AG2723" s="1"/>
    </row>
    <row r="2724" ht="15.75" customHeight="1">
      <c r="A2724" s="1"/>
      <c r="B2724" s="1"/>
      <c r="C2724" s="1"/>
      <c r="D2724" s="1"/>
      <c r="E2724" s="1"/>
      <c r="F2724" s="1"/>
      <c r="G2724" s="1"/>
      <c r="H2724" s="1"/>
      <c r="I2724" s="1"/>
      <c r="J2724" s="1"/>
      <c r="K2724" s="89" t="s">
        <v>4144</v>
      </c>
      <c r="L2724" s="89" t="str">
        <f>G105</f>
        <v>C1b1a2a</v>
      </c>
      <c r="M2724" s="89"/>
      <c r="N2724" s="89"/>
      <c r="O2724" s="92">
        <v>1.8587012E7</v>
      </c>
      <c r="P2724" s="92">
        <v>1.6475132E7</v>
      </c>
      <c r="Q2724" s="89" t="s">
        <v>912</v>
      </c>
      <c r="AF2724" s="1"/>
      <c r="AG2724" s="1"/>
    </row>
    <row r="2725" ht="15.75" customHeight="1">
      <c r="A2725" s="1"/>
      <c r="B2725" s="1"/>
      <c r="C2725" s="1"/>
      <c r="D2725" s="1"/>
      <c r="E2725" s="1"/>
      <c r="F2725" s="1"/>
      <c r="G2725" s="1"/>
      <c r="H2725" s="1"/>
      <c r="I2725" s="1"/>
      <c r="J2725" s="1"/>
      <c r="K2725" s="89" t="s">
        <v>4145</v>
      </c>
      <c r="L2725" s="89" t="str">
        <f>G105</f>
        <v>C1b1a2a</v>
      </c>
      <c r="M2725" s="89"/>
      <c r="N2725" s="89"/>
      <c r="O2725" s="92">
        <v>1.8619772E7</v>
      </c>
      <c r="P2725" s="92">
        <v>1.6507892E7</v>
      </c>
      <c r="Q2725" s="89" t="s">
        <v>822</v>
      </c>
      <c r="AF2725" s="1"/>
      <c r="AG2725" s="1"/>
    </row>
    <row r="2726" ht="15.75" customHeight="1">
      <c r="A2726" s="1"/>
      <c r="B2726" s="1"/>
      <c r="C2726" s="1"/>
      <c r="D2726" s="1"/>
      <c r="E2726" s="1"/>
      <c r="F2726" s="1"/>
      <c r="G2726" s="1"/>
      <c r="H2726" s="1"/>
      <c r="I2726" s="1"/>
      <c r="J2726" s="1"/>
      <c r="K2726" s="89" t="s">
        <v>4146</v>
      </c>
      <c r="L2726" s="89" t="str">
        <f>G105</f>
        <v>C1b1a2a</v>
      </c>
      <c r="M2726" s="89"/>
      <c r="N2726" s="89"/>
      <c r="O2726" s="92">
        <v>1.8624766E7</v>
      </c>
      <c r="P2726" s="92">
        <v>1.6512886E7</v>
      </c>
      <c r="Q2726" s="89" t="s">
        <v>838</v>
      </c>
      <c r="AF2726" s="1"/>
      <c r="AG2726" s="1"/>
    </row>
    <row r="2727" ht="15.75" customHeight="1">
      <c r="A2727" s="1"/>
      <c r="B2727" s="1"/>
      <c r="C2727" s="1"/>
      <c r="D2727" s="1"/>
      <c r="E2727" s="1"/>
      <c r="F2727" s="1"/>
      <c r="G2727" s="1"/>
      <c r="H2727" s="1"/>
      <c r="I2727" s="1"/>
      <c r="J2727" s="1"/>
      <c r="K2727" s="89" t="s">
        <v>4147</v>
      </c>
      <c r="L2727" s="89" t="str">
        <f>G105</f>
        <v>C1b1a2a</v>
      </c>
      <c r="M2727" s="89"/>
      <c r="N2727" s="89"/>
      <c r="O2727" s="92">
        <v>1.8642273E7</v>
      </c>
      <c r="P2727" s="92">
        <v>1.6530393E7</v>
      </c>
      <c r="Q2727" s="89" t="s">
        <v>810</v>
      </c>
      <c r="AF2727" s="1"/>
      <c r="AG2727" s="1"/>
    </row>
    <row r="2728" ht="15.75" customHeight="1">
      <c r="A2728" s="1"/>
      <c r="B2728" s="1"/>
      <c r="C2728" s="1"/>
      <c r="D2728" s="1"/>
      <c r="E2728" s="1"/>
      <c r="F2728" s="1"/>
      <c r="G2728" s="1"/>
      <c r="H2728" s="1"/>
      <c r="I2728" s="1"/>
      <c r="J2728" s="1"/>
      <c r="K2728" s="89" t="s">
        <v>4148</v>
      </c>
      <c r="L2728" s="89" t="str">
        <f>G105</f>
        <v>C1b1a2a</v>
      </c>
      <c r="M2728" s="89"/>
      <c r="N2728" s="89"/>
      <c r="O2728" s="92">
        <v>1.867672E7</v>
      </c>
      <c r="P2728" s="92">
        <v>1.656484E7</v>
      </c>
      <c r="Q2728" s="89" t="s">
        <v>886</v>
      </c>
      <c r="AF2728" s="1"/>
      <c r="AG2728" s="1"/>
    </row>
    <row r="2729" ht="15.75" customHeight="1">
      <c r="A2729" s="1"/>
      <c r="B2729" s="1"/>
      <c r="C2729" s="1"/>
      <c r="D2729" s="1"/>
      <c r="E2729" s="1"/>
      <c r="F2729" s="1"/>
      <c r="G2729" s="1"/>
      <c r="H2729" s="1"/>
      <c r="I2729" s="1"/>
      <c r="J2729" s="1"/>
      <c r="K2729" s="89" t="s">
        <v>4149</v>
      </c>
      <c r="L2729" s="89" t="str">
        <f>G105</f>
        <v>C1b1a2a</v>
      </c>
      <c r="M2729" s="89"/>
      <c r="N2729" s="89"/>
      <c r="O2729" s="92">
        <v>1.8703E7</v>
      </c>
      <c r="P2729" s="92">
        <v>1.659112E7</v>
      </c>
      <c r="Q2729" s="89" t="s">
        <v>879</v>
      </c>
      <c r="AF2729" s="1"/>
      <c r="AG2729" s="1"/>
    </row>
    <row r="2730" ht="15.75" customHeight="1">
      <c r="A2730" s="1"/>
      <c r="B2730" s="1"/>
      <c r="C2730" s="1"/>
      <c r="D2730" s="1"/>
      <c r="E2730" s="1"/>
      <c r="F2730" s="1"/>
      <c r="G2730" s="1"/>
      <c r="H2730" s="1"/>
      <c r="I2730" s="1"/>
      <c r="J2730" s="1"/>
      <c r="K2730" s="89" t="s">
        <v>4150</v>
      </c>
      <c r="L2730" s="89" t="str">
        <f>G105</f>
        <v>C1b1a2a</v>
      </c>
      <c r="M2730" s="89"/>
      <c r="N2730" s="89"/>
      <c r="O2730" s="92">
        <v>1.8722653E7</v>
      </c>
      <c r="P2730" s="92">
        <v>1.6610773E7</v>
      </c>
      <c r="Q2730" s="89" t="s">
        <v>810</v>
      </c>
      <c r="AF2730" s="1"/>
      <c r="AG2730" s="1"/>
    </row>
    <row r="2731" ht="15.75" customHeight="1">
      <c r="A2731" s="1"/>
      <c r="B2731" s="1"/>
      <c r="C2731" s="1"/>
      <c r="D2731" s="1"/>
      <c r="E2731" s="1"/>
      <c r="F2731" s="1"/>
      <c r="G2731" s="1"/>
      <c r="H2731" s="1"/>
      <c r="I2731" s="1"/>
      <c r="J2731" s="1"/>
      <c r="K2731" s="89" t="s">
        <v>4151</v>
      </c>
      <c r="L2731" s="89" t="str">
        <f>G105</f>
        <v>C1b1a2a</v>
      </c>
      <c r="M2731" s="89"/>
      <c r="N2731" s="89"/>
      <c r="O2731" s="92">
        <v>1.8724877E7</v>
      </c>
      <c r="P2731" s="92">
        <v>1.6612997E7</v>
      </c>
      <c r="Q2731" s="89" t="s">
        <v>838</v>
      </c>
      <c r="AF2731" s="1"/>
      <c r="AG2731" s="1"/>
    </row>
    <row r="2732" ht="15.75" customHeight="1">
      <c r="A2732" s="1"/>
      <c r="B2732" s="1"/>
      <c r="C2732" s="1"/>
      <c r="D2732" s="1"/>
      <c r="E2732" s="1"/>
      <c r="F2732" s="1"/>
      <c r="G2732" s="1"/>
      <c r="H2732" s="1"/>
      <c r="I2732" s="1"/>
      <c r="J2732" s="1"/>
      <c r="K2732" s="89" t="s">
        <v>4152</v>
      </c>
      <c r="L2732" s="89" t="str">
        <f>G105</f>
        <v>C1b1a2a</v>
      </c>
      <c r="M2732" s="89"/>
      <c r="N2732" s="89"/>
      <c r="O2732" s="92">
        <v>1.8791208E7</v>
      </c>
      <c r="P2732" s="92">
        <v>1.6679328E7</v>
      </c>
      <c r="Q2732" s="89" t="s">
        <v>838</v>
      </c>
      <c r="AF2732" s="1"/>
      <c r="AG2732" s="1"/>
    </row>
    <row r="2733" ht="15.75" customHeight="1">
      <c r="A2733" s="1"/>
      <c r="B2733" s="1"/>
      <c r="C2733" s="1"/>
      <c r="D2733" s="1"/>
      <c r="E2733" s="1"/>
      <c r="F2733" s="1"/>
      <c r="G2733" s="1"/>
      <c r="H2733" s="1"/>
      <c r="I2733" s="1"/>
      <c r="J2733" s="1"/>
      <c r="K2733" s="89" t="s">
        <v>4153</v>
      </c>
      <c r="L2733" s="89" t="str">
        <f>G105</f>
        <v>C1b1a2a</v>
      </c>
      <c r="M2733" s="89"/>
      <c r="N2733" s="89"/>
      <c r="O2733" s="92">
        <v>1.8799574E7</v>
      </c>
      <c r="P2733" s="92">
        <v>1.6687694E7</v>
      </c>
      <c r="Q2733" s="89" t="s">
        <v>813</v>
      </c>
      <c r="AF2733" s="1"/>
      <c r="AG2733" s="1"/>
    </row>
    <row r="2734" ht="15.75" customHeight="1">
      <c r="A2734" s="1"/>
      <c r="B2734" s="1"/>
      <c r="C2734" s="1"/>
      <c r="D2734" s="1"/>
      <c r="E2734" s="1"/>
      <c r="F2734" s="1"/>
      <c r="G2734" s="1"/>
      <c r="H2734" s="1"/>
      <c r="I2734" s="1"/>
      <c r="J2734" s="1"/>
      <c r="K2734" s="89" t="s">
        <v>4154</v>
      </c>
      <c r="L2734" s="89" t="str">
        <f>G105</f>
        <v>C1b1a2a</v>
      </c>
      <c r="M2734" s="89"/>
      <c r="N2734" s="89"/>
      <c r="O2734" s="92">
        <v>1.881479E7</v>
      </c>
      <c r="P2734" s="92">
        <v>1.670291E7</v>
      </c>
      <c r="Q2734" s="89" t="s">
        <v>838</v>
      </c>
      <c r="AF2734" s="1"/>
      <c r="AG2734" s="1"/>
    </row>
    <row r="2735" ht="15.75" customHeight="1">
      <c r="A2735" s="1"/>
      <c r="B2735" s="1"/>
      <c r="C2735" s="1"/>
      <c r="D2735" s="1"/>
      <c r="E2735" s="1"/>
      <c r="F2735" s="1"/>
      <c r="G2735" s="1"/>
      <c r="H2735" s="1"/>
      <c r="I2735" s="1"/>
      <c r="J2735" s="1"/>
      <c r="K2735" s="89" t="s">
        <v>4155</v>
      </c>
      <c r="L2735" s="89" t="str">
        <f>G105</f>
        <v>C1b1a2a</v>
      </c>
      <c r="M2735" s="89"/>
      <c r="N2735" s="89"/>
      <c r="O2735" s="92">
        <v>1.8834242E7</v>
      </c>
      <c r="P2735" s="92">
        <v>1.6722362E7</v>
      </c>
      <c r="Q2735" s="89" t="s">
        <v>838</v>
      </c>
      <c r="AF2735" s="1"/>
      <c r="AG2735" s="1"/>
    </row>
    <row r="2736" ht="15.75" customHeight="1">
      <c r="A2736" s="1"/>
      <c r="B2736" s="1"/>
      <c r="C2736" s="1"/>
      <c r="D2736" s="1"/>
      <c r="E2736" s="1"/>
      <c r="F2736" s="1"/>
      <c r="G2736" s="1"/>
      <c r="H2736" s="1"/>
      <c r="I2736" s="1"/>
      <c r="J2736" s="1"/>
      <c r="K2736" s="89" t="s">
        <v>4156</v>
      </c>
      <c r="L2736" s="89" t="str">
        <f>G105</f>
        <v>C1b1a2a</v>
      </c>
      <c r="M2736" s="89"/>
      <c r="N2736" s="89"/>
      <c r="O2736" s="92">
        <v>1.8954378E7</v>
      </c>
      <c r="P2736" s="92">
        <v>1.6842498E7</v>
      </c>
      <c r="Q2736" s="89" t="s">
        <v>879</v>
      </c>
      <c r="AF2736" s="1"/>
      <c r="AG2736" s="1"/>
    </row>
    <row r="2737" ht="15.75" customHeight="1">
      <c r="A2737" s="1"/>
      <c r="B2737" s="1"/>
      <c r="C2737" s="1"/>
      <c r="D2737" s="1"/>
      <c r="E2737" s="1"/>
      <c r="F2737" s="1"/>
      <c r="G2737" s="1"/>
      <c r="H2737" s="1"/>
      <c r="I2737" s="1"/>
      <c r="J2737" s="1"/>
      <c r="K2737" s="89" t="s">
        <v>4157</v>
      </c>
      <c r="L2737" s="89" t="str">
        <f>G105</f>
        <v>C1b1a2a</v>
      </c>
      <c r="M2737" s="89"/>
      <c r="N2737" s="89"/>
      <c r="O2737" s="92">
        <v>1.8975977E7</v>
      </c>
      <c r="P2737" s="92">
        <v>1.6864097E7</v>
      </c>
      <c r="Q2737" s="89" t="s">
        <v>879</v>
      </c>
      <c r="AF2737" s="1"/>
      <c r="AG2737" s="1"/>
    </row>
    <row r="2738" ht="15.75" customHeight="1">
      <c r="A2738" s="1"/>
      <c r="B2738" s="1"/>
      <c r="C2738" s="1"/>
      <c r="D2738" s="1"/>
      <c r="E2738" s="1"/>
      <c r="F2738" s="1"/>
      <c r="G2738" s="1"/>
      <c r="H2738" s="1"/>
      <c r="I2738" s="1"/>
      <c r="J2738" s="1"/>
      <c r="K2738" s="89" t="s">
        <v>4158</v>
      </c>
      <c r="L2738" s="89" t="str">
        <f>G105</f>
        <v>C1b1a2a</v>
      </c>
      <c r="M2738" s="89"/>
      <c r="N2738" s="89"/>
      <c r="O2738" s="92">
        <v>1.903048E7</v>
      </c>
      <c r="P2738" s="92">
        <v>1.69186E7</v>
      </c>
      <c r="Q2738" s="89" t="s">
        <v>813</v>
      </c>
      <c r="AF2738" s="1"/>
      <c r="AG2738" s="1"/>
    </row>
    <row r="2739" ht="15.75" customHeight="1">
      <c r="A2739" s="1"/>
      <c r="B2739" s="1"/>
      <c r="C2739" s="1"/>
      <c r="D2739" s="1"/>
      <c r="E2739" s="1"/>
      <c r="F2739" s="1"/>
      <c r="G2739" s="1"/>
      <c r="H2739" s="1"/>
      <c r="I2739" s="1"/>
      <c r="J2739" s="1"/>
      <c r="K2739" s="89" t="s">
        <v>4159</v>
      </c>
      <c r="L2739" s="89" t="str">
        <f>G105</f>
        <v>C1b1a2a</v>
      </c>
      <c r="M2739" s="89"/>
      <c r="N2739" s="89"/>
      <c r="O2739" s="92">
        <v>1.9030601E7</v>
      </c>
      <c r="P2739" s="92">
        <v>1.6918721E7</v>
      </c>
      <c r="Q2739" s="89" t="s">
        <v>802</v>
      </c>
      <c r="AF2739" s="1"/>
      <c r="AG2739" s="1"/>
    </row>
    <row r="2740" ht="15.75" customHeight="1">
      <c r="A2740" s="1"/>
      <c r="B2740" s="1"/>
      <c r="C2740" s="1"/>
      <c r="D2740" s="1"/>
      <c r="E2740" s="1"/>
      <c r="F2740" s="1"/>
      <c r="G2740" s="1"/>
      <c r="H2740" s="1"/>
      <c r="I2740" s="1"/>
      <c r="J2740" s="1"/>
      <c r="K2740" s="89" t="s">
        <v>4160</v>
      </c>
      <c r="L2740" s="89" t="str">
        <f>G105</f>
        <v>C1b1a2a</v>
      </c>
      <c r="M2740" s="89"/>
      <c r="N2740" s="89"/>
      <c r="O2740" s="92">
        <v>1.9089387E7</v>
      </c>
      <c r="P2740" s="92">
        <v>1.6977507E7</v>
      </c>
      <c r="Q2740" s="89" t="s">
        <v>802</v>
      </c>
      <c r="AF2740" s="1"/>
      <c r="AG2740" s="1"/>
    </row>
    <row r="2741" ht="15.75" customHeight="1">
      <c r="A2741" s="1"/>
      <c r="B2741" s="1"/>
      <c r="C2741" s="1"/>
      <c r="D2741" s="1"/>
      <c r="E2741" s="1"/>
      <c r="F2741" s="1"/>
      <c r="G2741" s="1"/>
      <c r="H2741" s="1"/>
      <c r="I2741" s="1"/>
      <c r="J2741" s="1"/>
      <c r="K2741" s="89" t="s">
        <v>4161</v>
      </c>
      <c r="L2741" s="89" t="str">
        <f>G105</f>
        <v>C1b1a2a</v>
      </c>
      <c r="M2741" s="89"/>
      <c r="N2741" s="89"/>
      <c r="O2741" s="92">
        <v>1.9102802E7</v>
      </c>
      <c r="P2741" s="92">
        <v>1.6990922E7</v>
      </c>
      <c r="Q2741" s="89" t="s">
        <v>810</v>
      </c>
      <c r="AF2741" s="1"/>
      <c r="AG2741" s="1"/>
    </row>
    <row r="2742" ht="15.75" customHeight="1">
      <c r="A2742" s="1"/>
      <c r="B2742" s="1"/>
      <c r="C2742" s="1"/>
      <c r="D2742" s="1"/>
      <c r="E2742" s="1"/>
      <c r="F2742" s="1"/>
      <c r="G2742" s="1"/>
      <c r="H2742" s="1"/>
      <c r="I2742" s="1"/>
      <c r="J2742" s="1"/>
      <c r="K2742" s="89" t="s">
        <v>4162</v>
      </c>
      <c r="L2742" s="89" t="str">
        <f>G105</f>
        <v>C1b1a2a</v>
      </c>
      <c r="M2742" s="89"/>
      <c r="N2742" s="89"/>
      <c r="O2742" s="92">
        <v>1.9114807E7</v>
      </c>
      <c r="P2742" s="92">
        <v>1.7002927E7</v>
      </c>
      <c r="Q2742" s="89" t="s">
        <v>838</v>
      </c>
      <c r="AF2742" s="1"/>
      <c r="AG2742" s="1"/>
    </row>
    <row r="2743" ht="15.75" customHeight="1">
      <c r="A2743" s="1"/>
      <c r="B2743" s="1"/>
      <c r="C2743" s="1"/>
      <c r="D2743" s="1"/>
      <c r="E2743" s="1"/>
      <c r="F2743" s="1"/>
      <c r="G2743" s="1"/>
      <c r="H2743" s="1"/>
      <c r="I2743" s="1"/>
      <c r="J2743" s="1"/>
      <c r="K2743" s="89" t="s">
        <v>4163</v>
      </c>
      <c r="L2743" s="89" t="str">
        <f>G105</f>
        <v>C1b1a2a</v>
      </c>
      <c r="M2743" s="89"/>
      <c r="N2743" s="89"/>
      <c r="O2743" s="92">
        <v>1.9189694E7</v>
      </c>
      <c r="P2743" s="92">
        <v>1.7077814E7</v>
      </c>
      <c r="Q2743" s="89" t="s">
        <v>802</v>
      </c>
      <c r="AF2743" s="1"/>
      <c r="AG2743" s="1"/>
    </row>
    <row r="2744" ht="15.75" customHeight="1">
      <c r="A2744" s="1"/>
      <c r="B2744" s="1"/>
      <c r="C2744" s="1"/>
      <c r="D2744" s="1"/>
      <c r="E2744" s="1"/>
      <c r="F2744" s="1"/>
      <c r="G2744" s="1"/>
      <c r="H2744" s="1"/>
      <c r="I2744" s="1"/>
      <c r="J2744" s="1"/>
      <c r="K2744" s="89" t="s">
        <v>4164</v>
      </c>
      <c r="L2744" s="89" t="str">
        <f>G105</f>
        <v>C1b1a2a</v>
      </c>
      <c r="M2744" s="89"/>
      <c r="N2744" s="89"/>
      <c r="O2744" s="92">
        <v>1.9283421E7</v>
      </c>
      <c r="P2744" s="92">
        <v>1.7171541E7</v>
      </c>
      <c r="Q2744" s="89" t="s">
        <v>838</v>
      </c>
      <c r="AF2744" s="1"/>
      <c r="AG2744" s="1"/>
    </row>
    <row r="2745" ht="15.75" customHeight="1">
      <c r="A2745" s="1"/>
      <c r="B2745" s="1"/>
      <c r="C2745" s="1"/>
      <c r="D2745" s="1"/>
      <c r="E2745" s="1"/>
      <c r="F2745" s="1"/>
      <c r="G2745" s="1"/>
      <c r="H2745" s="1"/>
      <c r="I2745" s="1"/>
      <c r="J2745" s="1"/>
      <c r="K2745" s="89" t="s">
        <v>4165</v>
      </c>
      <c r="L2745" s="89" t="str">
        <f>G105</f>
        <v>C1b1a2a</v>
      </c>
      <c r="M2745" s="89"/>
      <c r="N2745" s="89"/>
      <c r="O2745" s="92">
        <v>1.9295365E7</v>
      </c>
      <c r="P2745" s="92">
        <v>1.7183485E7</v>
      </c>
      <c r="Q2745" s="89" t="s">
        <v>810</v>
      </c>
      <c r="AF2745" s="1"/>
      <c r="AG2745" s="1"/>
    </row>
    <row r="2746" ht="15.75" customHeight="1">
      <c r="A2746" s="1"/>
      <c r="B2746" s="1"/>
      <c r="C2746" s="1"/>
      <c r="D2746" s="1"/>
      <c r="E2746" s="1"/>
      <c r="F2746" s="1"/>
      <c r="G2746" s="1"/>
      <c r="H2746" s="1"/>
      <c r="I2746" s="1"/>
      <c r="J2746" s="1"/>
      <c r="K2746" s="89" t="s">
        <v>4166</v>
      </c>
      <c r="L2746" s="89" t="str">
        <f>G105</f>
        <v>C1b1a2a</v>
      </c>
      <c r="M2746" s="89"/>
      <c r="N2746" s="89"/>
      <c r="O2746" s="92">
        <v>1.9307057E7</v>
      </c>
      <c r="P2746" s="92">
        <v>1.7195177E7</v>
      </c>
      <c r="Q2746" s="89" t="s">
        <v>822</v>
      </c>
      <c r="AF2746" s="1"/>
      <c r="AG2746" s="1"/>
    </row>
    <row r="2747" ht="15.75" customHeight="1">
      <c r="A2747" s="1"/>
      <c r="B2747" s="1"/>
      <c r="C2747" s="1"/>
      <c r="D2747" s="1"/>
      <c r="E2747" s="1"/>
      <c r="F2747" s="1"/>
      <c r="G2747" s="1"/>
      <c r="H2747" s="1"/>
      <c r="I2747" s="1"/>
      <c r="J2747" s="1"/>
      <c r="K2747" s="89" t="s">
        <v>4167</v>
      </c>
      <c r="L2747" s="89" t="str">
        <f>G105</f>
        <v>C1b1a2a</v>
      </c>
      <c r="M2747" s="89"/>
      <c r="N2747" s="89"/>
      <c r="O2747" s="92">
        <v>1.9316825E7</v>
      </c>
      <c r="P2747" s="92">
        <v>1.7204945E7</v>
      </c>
      <c r="Q2747" s="89" t="s">
        <v>810</v>
      </c>
      <c r="AF2747" s="1"/>
      <c r="AG2747" s="1"/>
    </row>
    <row r="2748" ht="15.75" customHeight="1">
      <c r="A2748" s="1"/>
      <c r="B2748" s="1"/>
      <c r="C2748" s="1"/>
      <c r="D2748" s="1"/>
      <c r="E2748" s="1"/>
      <c r="F2748" s="1"/>
      <c r="G2748" s="1"/>
      <c r="H2748" s="1"/>
      <c r="I2748" s="1"/>
      <c r="J2748" s="1"/>
      <c r="K2748" s="89" t="s">
        <v>4168</v>
      </c>
      <c r="L2748" s="89" t="str">
        <f>G105</f>
        <v>C1b1a2a</v>
      </c>
      <c r="M2748" s="89"/>
      <c r="N2748" s="89"/>
      <c r="O2748" s="92">
        <v>1.9322534E7</v>
      </c>
      <c r="P2748" s="92">
        <v>1.7210654E7</v>
      </c>
      <c r="Q2748" s="89" t="s">
        <v>802</v>
      </c>
      <c r="AF2748" s="1"/>
      <c r="AG2748" s="1"/>
    </row>
    <row r="2749" ht="15.75" customHeight="1">
      <c r="A2749" s="1"/>
      <c r="B2749" s="1"/>
      <c r="C2749" s="1"/>
      <c r="D2749" s="1"/>
      <c r="E2749" s="1"/>
      <c r="F2749" s="1"/>
      <c r="G2749" s="1"/>
      <c r="H2749" s="1"/>
      <c r="I2749" s="1"/>
      <c r="J2749" s="1"/>
      <c r="K2749" s="89" t="s">
        <v>4169</v>
      </c>
      <c r="L2749" s="89" t="str">
        <f>G105</f>
        <v>C1b1a2a</v>
      </c>
      <c r="M2749" s="89"/>
      <c r="N2749" s="89"/>
      <c r="O2749" s="92">
        <v>1.9327264E7</v>
      </c>
      <c r="P2749" s="92">
        <v>1.7215384E7</v>
      </c>
      <c r="Q2749" s="89" t="s">
        <v>822</v>
      </c>
      <c r="AF2749" s="1"/>
      <c r="AG2749" s="1"/>
    </row>
    <row r="2750" ht="15.75" customHeight="1">
      <c r="A2750" s="1"/>
      <c r="B2750" s="1"/>
      <c r="C2750" s="1"/>
      <c r="D2750" s="1"/>
      <c r="E2750" s="1"/>
      <c r="F2750" s="1"/>
      <c r="G2750" s="1"/>
      <c r="H2750" s="1"/>
      <c r="I2750" s="1"/>
      <c r="J2750" s="1"/>
      <c r="K2750" s="89" t="s">
        <v>4170</v>
      </c>
      <c r="L2750" s="89" t="str">
        <f>G105</f>
        <v>C1b1a2a</v>
      </c>
      <c r="M2750" s="89"/>
      <c r="N2750" s="89"/>
      <c r="O2750" s="92">
        <v>1.9337306E7</v>
      </c>
      <c r="P2750" s="92">
        <v>1.7225426E7</v>
      </c>
      <c r="Q2750" s="89" t="s">
        <v>802</v>
      </c>
      <c r="AF2750" s="1"/>
      <c r="AG2750" s="1"/>
    </row>
    <row r="2751" ht="15.75" customHeight="1">
      <c r="A2751" s="1"/>
      <c r="B2751" s="1"/>
      <c r="C2751" s="1"/>
      <c r="D2751" s="1"/>
      <c r="E2751" s="1"/>
      <c r="F2751" s="1"/>
      <c r="G2751" s="1"/>
      <c r="H2751" s="1"/>
      <c r="I2751" s="1"/>
      <c r="J2751" s="1"/>
      <c r="K2751" s="89" t="s">
        <v>4171</v>
      </c>
      <c r="L2751" s="89" t="str">
        <f>G105</f>
        <v>C1b1a2a</v>
      </c>
      <c r="M2751" s="89"/>
      <c r="N2751" s="89"/>
      <c r="O2751" s="92">
        <v>1.9372873E7</v>
      </c>
      <c r="P2751" s="92">
        <v>1.7260993E7</v>
      </c>
      <c r="Q2751" s="89" t="s">
        <v>813</v>
      </c>
      <c r="AF2751" s="1"/>
      <c r="AG2751" s="1"/>
    </row>
    <row r="2752" ht="15.75" customHeight="1">
      <c r="A2752" s="1"/>
      <c r="B2752" s="1"/>
      <c r="C2752" s="1"/>
      <c r="D2752" s="1"/>
      <c r="E2752" s="1"/>
      <c r="F2752" s="1"/>
      <c r="G2752" s="1"/>
      <c r="H2752" s="1"/>
      <c r="I2752" s="1"/>
      <c r="J2752" s="1"/>
      <c r="K2752" s="89" t="s">
        <v>4172</v>
      </c>
      <c r="L2752" s="89" t="str">
        <f>G105</f>
        <v>C1b1a2a</v>
      </c>
      <c r="M2752" s="89"/>
      <c r="N2752" s="89"/>
      <c r="O2752" s="92">
        <v>1.9382273E7</v>
      </c>
      <c r="P2752" s="92">
        <v>1.7270393E7</v>
      </c>
      <c r="Q2752" s="89" t="s">
        <v>810</v>
      </c>
      <c r="AF2752" s="1"/>
      <c r="AG2752" s="1"/>
    </row>
    <row r="2753" ht="15.75" customHeight="1">
      <c r="A2753" s="1"/>
      <c r="B2753" s="1"/>
      <c r="C2753" s="1"/>
      <c r="D2753" s="1"/>
      <c r="E2753" s="1"/>
      <c r="F2753" s="1"/>
      <c r="G2753" s="1"/>
      <c r="H2753" s="1"/>
      <c r="I2753" s="1"/>
      <c r="J2753" s="1"/>
      <c r="K2753" s="89" t="s">
        <v>4173</v>
      </c>
      <c r="L2753" s="89" t="str">
        <f>G105</f>
        <v>C1b1a2a</v>
      </c>
      <c r="M2753" s="89"/>
      <c r="N2753" s="89"/>
      <c r="O2753" s="92">
        <v>1.9407172E7</v>
      </c>
      <c r="P2753" s="92">
        <v>1.7295292E7</v>
      </c>
      <c r="Q2753" s="89" t="s">
        <v>813</v>
      </c>
      <c r="AF2753" s="1"/>
      <c r="AG2753" s="1"/>
    </row>
    <row r="2754" ht="15.75" customHeight="1">
      <c r="A2754" s="1"/>
      <c r="B2754" s="1"/>
      <c r="C2754" s="1"/>
      <c r="D2754" s="1"/>
      <c r="E2754" s="1"/>
      <c r="F2754" s="1"/>
      <c r="G2754" s="1"/>
      <c r="H2754" s="1"/>
      <c r="I2754" s="1"/>
      <c r="J2754" s="1"/>
      <c r="K2754" s="89" t="s">
        <v>4174</v>
      </c>
      <c r="L2754" s="89" t="str">
        <f>G105</f>
        <v>C1b1a2a</v>
      </c>
      <c r="M2754" s="89"/>
      <c r="N2754" s="89"/>
      <c r="O2754" s="92">
        <v>1.9417766E7</v>
      </c>
      <c r="P2754" s="92">
        <v>1.7305886E7</v>
      </c>
      <c r="Q2754" s="89" t="s">
        <v>802</v>
      </c>
      <c r="AF2754" s="1"/>
      <c r="AG2754" s="1"/>
    </row>
    <row r="2755" ht="15.75" customHeight="1">
      <c r="A2755" s="1"/>
      <c r="B2755" s="1"/>
      <c r="C2755" s="1"/>
      <c r="D2755" s="1"/>
      <c r="E2755" s="1"/>
      <c r="F2755" s="1"/>
      <c r="G2755" s="1"/>
      <c r="H2755" s="1"/>
      <c r="I2755" s="1"/>
      <c r="J2755" s="1"/>
      <c r="K2755" s="89" t="s">
        <v>4175</v>
      </c>
      <c r="L2755" s="89" t="str">
        <f>G105</f>
        <v>C1b1a2a</v>
      </c>
      <c r="M2755" s="89"/>
      <c r="N2755" s="89"/>
      <c r="O2755" s="92">
        <v>1.9440581E7</v>
      </c>
      <c r="P2755" s="92">
        <v>1.7328701E7</v>
      </c>
      <c r="Q2755" s="89" t="s">
        <v>886</v>
      </c>
      <c r="AF2755" s="1"/>
      <c r="AG2755" s="1"/>
    </row>
    <row r="2756" ht="15.75" customHeight="1">
      <c r="A2756" s="1"/>
      <c r="B2756" s="1"/>
      <c r="C2756" s="1"/>
      <c r="D2756" s="1"/>
      <c r="E2756" s="1"/>
      <c r="F2756" s="1"/>
      <c r="G2756" s="1"/>
      <c r="H2756" s="1"/>
      <c r="I2756" s="1"/>
      <c r="J2756" s="1"/>
      <c r="K2756" s="89" t="s">
        <v>4176</v>
      </c>
      <c r="L2756" s="89" t="str">
        <f>G105</f>
        <v>C1b1a2a</v>
      </c>
      <c r="M2756" s="89"/>
      <c r="N2756" s="89"/>
      <c r="O2756" s="92">
        <v>1.945155E7</v>
      </c>
      <c r="P2756" s="92">
        <v>1.733967E7</v>
      </c>
      <c r="Q2756" s="89" t="s">
        <v>845</v>
      </c>
      <c r="AF2756" s="1"/>
      <c r="AG2756" s="1"/>
    </row>
    <row r="2757" ht="15.75" customHeight="1">
      <c r="A2757" s="1"/>
      <c r="B2757" s="1"/>
      <c r="C2757" s="1"/>
      <c r="D2757" s="1"/>
      <c r="E2757" s="1"/>
      <c r="F2757" s="1"/>
      <c r="G2757" s="1"/>
      <c r="H2757" s="1"/>
      <c r="I2757" s="1"/>
      <c r="J2757" s="1"/>
      <c r="K2757" s="89" t="s">
        <v>4177</v>
      </c>
      <c r="L2757" s="89" t="str">
        <f>G105</f>
        <v>C1b1a2a</v>
      </c>
      <c r="M2757" s="89"/>
      <c r="N2757" s="89"/>
      <c r="O2757" s="92">
        <v>1.9474562E7</v>
      </c>
      <c r="P2757" s="92">
        <v>1.7362682E7</v>
      </c>
      <c r="Q2757" s="89" t="s">
        <v>831</v>
      </c>
      <c r="AF2757" s="1"/>
      <c r="AG2757" s="1"/>
    </row>
    <row r="2758" ht="15.75" customHeight="1">
      <c r="A2758" s="1"/>
      <c r="B2758" s="1"/>
      <c r="C2758" s="1"/>
      <c r="D2758" s="1"/>
      <c r="E2758" s="1"/>
      <c r="F2758" s="1"/>
      <c r="G2758" s="1"/>
      <c r="H2758" s="1"/>
      <c r="I2758" s="1"/>
      <c r="J2758" s="1"/>
      <c r="K2758" s="89" t="s">
        <v>4178</v>
      </c>
      <c r="L2758" s="89" t="str">
        <f>G105</f>
        <v>C1b1a2a</v>
      </c>
      <c r="M2758" s="89"/>
      <c r="N2758" s="89" t="s">
        <v>4179</v>
      </c>
      <c r="O2758" s="92">
        <v>1.953817E7</v>
      </c>
      <c r="P2758" s="92">
        <v>1.742629E7</v>
      </c>
      <c r="Q2758" s="89" t="s">
        <v>810</v>
      </c>
      <c r="AF2758" s="1"/>
      <c r="AG2758" s="1"/>
    </row>
    <row r="2759" ht="15.75" customHeight="1">
      <c r="A2759" s="1"/>
      <c r="B2759" s="1"/>
      <c r="C2759" s="1"/>
      <c r="D2759" s="1"/>
      <c r="E2759" s="1"/>
      <c r="F2759" s="1"/>
      <c r="G2759" s="1"/>
      <c r="H2759" s="1"/>
      <c r="I2759" s="1"/>
      <c r="J2759" s="1"/>
      <c r="K2759" s="89" t="s">
        <v>4180</v>
      </c>
      <c r="L2759" s="89" t="str">
        <f>G105</f>
        <v>C1b1a2a</v>
      </c>
      <c r="M2759" s="89"/>
      <c r="N2759" s="89"/>
      <c r="O2759" s="92">
        <v>2.1040945E7</v>
      </c>
      <c r="P2759" s="92">
        <v>1.8879059E7</v>
      </c>
      <c r="Q2759" s="89" t="s">
        <v>802</v>
      </c>
      <c r="AF2759" s="1"/>
      <c r="AG2759" s="1"/>
    </row>
    <row r="2760" ht="15.75" customHeight="1">
      <c r="A2760" s="1"/>
      <c r="B2760" s="1"/>
      <c r="C2760" s="1"/>
      <c r="D2760" s="1"/>
      <c r="E2760" s="1"/>
      <c r="F2760" s="1"/>
      <c r="G2760" s="1"/>
      <c r="H2760" s="1"/>
      <c r="I2760" s="1"/>
      <c r="J2760" s="1"/>
      <c r="K2760" s="89" t="s">
        <v>4181</v>
      </c>
      <c r="L2760" s="89" t="str">
        <f>G105</f>
        <v>C1b1a2a</v>
      </c>
      <c r="M2760" s="89"/>
      <c r="N2760" s="89" t="s">
        <v>4182</v>
      </c>
      <c r="O2760" s="92">
        <v>2.1044478E7</v>
      </c>
      <c r="P2760" s="92">
        <v>1.8882592E7</v>
      </c>
      <c r="Q2760" s="89" t="s">
        <v>886</v>
      </c>
      <c r="AF2760" s="1"/>
      <c r="AG2760" s="1"/>
    </row>
    <row r="2761" ht="15.75" customHeight="1">
      <c r="A2761" s="1"/>
      <c r="B2761" s="1"/>
      <c r="C2761" s="1"/>
      <c r="D2761" s="1"/>
      <c r="E2761" s="1"/>
      <c r="F2761" s="1"/>
      <c r="G2761" s="1"/>
      <c r="H2761" s="1"/>
      <c r="I2761" s="1"/>
      <c r="J2761" s="1"/>
      <c r="K2761" s="89" t="s">
        <v>4183</v>
      </c>
      <c r="L2761" s="89" t="str">
        <f>G105</f>
        <v>C1b1a2a</v>
      </c>
      <c r="M2761" s="89"/>
      <c r="N2761" s="89"/>
      <c r="O2761" s="92">
        <v>2.1079812E7</v>
      </c>
      <c r="P2761" s="92">
        <v>1.8917926E7</v>
      </c>
      <c r="Q2761" s="89" t="s">
        <v>917</v>
      </c>
      <c r="AF2761" s="1"/>
      <c r="AG2761" s="1"/>
    </row>
    <row r="2762" ht="15.75" customHeight="1">
      <c r="A2762" s="1"/>
      <c r="B2762" s="1"/>
      <c r="C2762" s="1"/>
      <c r="D2762" s="1"/>
      <c r="E2762" s="1"/>
      <c r="F2762" s="1"/>
      <c r="G2762" s="1"/>
      <c r="H2762" s="1"/>
      <c r="I2762" s="1"/>
      <c r="J2762" s="1"/>
      <c r="K2762" s="89" t="s">
        <v>4184</v>
      </c>
      <c r="L2762" s="89" t="str">
        <f>G105</f>
        <v>C1b1a2a</v>
      </c>
      <c r="M2762" s="89"/>
      <c r="N2762" s="89" t="s">
        <v>4185</v>
      </c>
      <c r="O2762" s="92">
        <v>2.1099195E7</v>
      </c>
      <c r="P2762" s="92">
        <v>1.8937309E7</v>
      </c>
      <c r="Q2762" s="89" t="s">
        <v>838</v>
      </c>
      <c r="AF2762" s="1"/>
      <c r="AG2762" s="1"/>
    </row>
    <row r="2763" ht="15.75" customHeight="1">
      <c r="A2763" s="1"/>
      <c r="B2763" s="1"/>
      <c r="C2763" s="1"/>
      <c r="D2763" s="1"/>
      <c r="E2763" s="1"/>
      <c r="F2763" s="1"/>
      <c r="G2763" s="1"/>
      <c r="H2763" s="1"/>
      <c r="I2763" s="1"/>
      <c r="J2763" s="1"/>
      <c r="K2763" s="89" t="s">
        <v>4186</v>
      </c>
      <c r="L2763" s="89" t="str">
        <f>G105</f>
        <v>C1b1a2a</v>
      </c>
      <c r="M2763" s="89"/>
      <c r="N2763" s="89"/>
      <c r="O2763" s="92">
        <v>2.1114134E7</v>
      </c>
      <c r="P2763" s="92">
        <v>1.8952248E7</v>
      </c>
      <c r="Q2763" s="89" t="s">
        <v>813</v>
      </c>
      <c r="AF2763" s="1"/>
      <c r="AG2763" s="1"/>
    </row>
    <row r="2764" ht="15.75" customHeight="1">
      <c r="A2764" s="1"/>
      <c r="B2764" s="1"/>
      <c r="C2764" s="1"/>
      <c r="D2764" s="1"/>
      <c r="E2764" s="1"/>
      <c r="F2764" s="1"/>
      <c r="G2764" s="1"/>
      <c r="H2764" s="1"/>
      <c r="I2764" s="1"/>
      <c r="J2764" s="1"/>
      <c r="K2764" s="89" t="s">
        <v>4187</v>
      </c>
      <c r="L2764" s="89" t="str">
        <f>G105</f>
        <v>C1b1a2a</v>
      </c>
      <c r="M2764" s="89"/>
      <c r="N2764" s="89"/>
      <c r="O2764" s="92">
        <v>2.1121879E7</v>
      </c>
      <c r="P2764" s="92">
        <v>1.8959993E7</v>
      </c>
      <c r="Q2764" s="89" t="s">
        <v>810</v>
      </c>
      <c r="AF2764" s="1"/>
      <c r="AG2764" s="1"/>
    </row>
    <row r="2765" ht="15.75" customHeight="1">
      <c r="A2765" s="1"/>
      <c r="B2765" s="1"/>
      <c r="C2765" s="1"/>
      <c r="D2765" s="1"/>
      <c r="E2765" s="1"/>
      <c r="F2765" s="1"/>
      <c r="G2765" s="1"/>
      <c r="H2765" s="1"/>
      <c r="I2765" s="1"/>
      <c r="J2765" s="1"/>
      <c r="K2765" s="89" t="s">
        <v>4187</v>
      </c>
      <c r="L2765" s="89" t="str">
        <f>G105</f>
        <v>C1b1a2a</v>
      </c>
      <c r="M2765" s="89"/>
      <c r="N2765" s="89"/>
      <c r="O2765" s="92">
        <v>2.1121879E7</v>
      </c>
      <c r="P2765" s="92">
        <v>1.8959993E7</v>
      </c>
      <c r="Q2765" s="89" t="s">
        <v>810</v>
      </c>
      <c r="AF2765" s="1"/>
      <c r="AG2765" s="1"/>
    </row>
    <row r="2766" ht="15.75" customHeight="1">
      <c r="A2766" s="1"/>
      <c r="B2766" s="1"/>
      <c r="C2766" s="1"/>
      <c r="D2766" s="1"/>
      <c r="E2766" s="1"/>
      <c r="F2766" s="1"/>
      <c r="G2766" s="1"/>
      <c r="H2766" s="1"/>
      <c r="I2766" s="1"/>
      <c r="J2766" s="1"/>
      <c r="K2766" s="89" t="s">
        <v>4188</v>
      </c>
      <c r="L2766" s="89" t="str">
        <f>G105</f>
        <v>C1b1a2a</v>
      </c>
      <c r="M2766" s="89"/>
      <c r="N2766" s="89"/>
      <c r="O2766" s="92">
        <v>2.1139865E7</v>
      </c>
      <c r="P2766" s="92">
        <v>1.8977979E7</v>
      </c>
      <c r="Q2766" s="89" t="s">
        <v>886</v>
      </c>
      <c r="AF2766" s="1"/>
      <c r="AG2766" s="1"/>
    </row>
    <row r="2767" ht="15.75" customHeight="1">
      <c r="A2767" s="1"/>
      <c r="B2767" s="1"/>
      <c r="C2767" s="1"/>
      <c r="D2767" s="1"/>
      <c r="E2767" s="1"/>
      <c r="F2767" s="1"/>
      <c r="G2767" s="1"/>
      <c r="H2767" s="1"/>
      <c r="I2767" s="1"/>
      <c r="J2767" s="1"/>
      <c r="K2767" s="89" t="s">
        <v>4189</v>
      </c>
      <c r="L2767" s="89" t="str">
        <f>G105</f>
        <v>C1b1a2a</v>
      </c>
      <c r="M2767" s="89"/>
      <c r="N2767" s="89"/>
      <c r="O2767" s="92">
        <v>2.1166262E7</v>
      </c>
      <c r="P2767" s="92">
        <v>1.9004376E7</v>
      </c>
      <c r="Q2767" s="89" t="s">
        <v>879</v>
      </c>
      <c r="AF2767" s="1"/>
      <c r="AG2767" s="1"/>
    </row>
    <row r="2768" ht="15.75" customHeight="1">
      <c r="A2768" s="1"/>
      <c r="B2768" s="1"/>
      <c r="C2768" s="1"/>
      <c r="D2768" s="1"/>
      <c r="E2768" s="1"/>
      <c r="F2768" s="1"/>
      <c r="G2768" s="1"/>
      <c r="H2768" s="1"/>
      <c r="I2768" s="1"/>
      <c r="J2768" s="1"/>
      <c r="K2768" s="89" t="s">
        <v>4190</v>
      </c>
      <c r="L2768" s="89" t="str">
        <f>G105</f>
        <v>C1b1a2a</v>
      </c>
      <c r="M2768" s="89"/>
      <c r="N2768" s="89"/>
      <c r="O2768" s="92">
        <v>2.1183328E7</v>
      </c>
      <c r="P2768" s="92">
        <v>1.9021442E7</v>
      </c>
      <c r="Q2768" s="89" t="s">
        <v>810</v>
      </c>
      <c r="AF2768" s="1"/>
      <c r="AG2768" s="1"/>
    </row>
    <row r="2769" ht="15.75" customHeight="1">
      <c r="A2769" s="1"/>
      <c r="B2769" s="1"/>
      <c r="C2769" s="1"/>
      <c r="D2769" s="1"/>
      <c r="E2769" s="1"/>
      <c r="F2769" s="1"/>
      <c r="G2769" s="1"/>
      <c r="H2769" s="1"/>
      <c r="I2769" s="1"/>
      <c r="J2769" s="1"/>
      <c r="K2769" s="89" t="s">
        <v>4191</v>
      </c>
      <c r="L2769" s="89" t="str">
        <f>G105</f>
        <v>C1b1a2a</v>
      </c>
      <c r="M2769" s="89"/>
      <c r="N2769" s="89"/>
      <c r="O2769" s="92">
        <v>2.121266E7</v>
      </c>
      <c r="P2769" s="92">
        <v>1.9050774E7</v>
      </c>
      <c r="Q2769" s="89" t="s">
        <v>802</v>
      </c>
      <c r="AF2769" s="1"/>
      <c r="AG2769" s="1"/>
    </row>
    <row r="2770" ht="15.75" customHeight="1">
      <c r="A2770" s="1"/>
      <c r="B2770" s="1"/>
      <c r="C2770" s="1"/>
      <c r="D2770" s="1"/>
      <c r="E2770" s="1"/>
      <c r="F2770" s="1"/>
      <c r="G2770" s="1"/>
      <c r="H2770" s="1"/>
      <c r="I2770" s="1"/>
      <c r="J2770" s="1"/>
      <c r="K2770" s="89" t="s">
        <v>4192</v>
      </c>
      <c r="L2770" s="89" t="str">
        <f>G105</f>
        <v>C1b1a2a</v>
      </c>
      <c r="M2770" s="89"/>
      <c r="N2770" s="89"/>
      <c r="O2770" s="92">
        <v>2.1213502E7</v>
      </c>
      <c r="P2770" s="92">
        <v>1.9051616E7</v>
      </c>
      <c r="Q2770" s="89" t="s">
        <v>822</v>
      </c>
      <c r="AF2770" s="1"/>
      <c r="AG2770" s="1"/>
    </row>
    <row r="2771" ht="15.75" customHeight="1">
      <c r="A2771" s="1"/>
      <c r="B2771" s="1"/>
      <c r="C2771" s="1"/>
      <c r="D2771" s="1"/>
      <c r="E2771" s="1"/>
      <c r="F2771" s="1"/>
      <c r="G2771" s="1"/>
      <c r="H2771" s="1"/>
      <c r="I2771" s="1"/>
      <c r="J2771" s="1"/>
      <c r="K2771" s="89" t="s">
        <v>4193</v>
      </c>
      <c r="L2771" s="89" t="str">
        <f>G105</f>
        <v>C1b1a2a</v>
      </c>
      <c r="M2771" s="89"/>
      <c r="N2771" s="89"/>
      <c r="O2771" s="92">
        <v>2.1269521E7</v>
      </c>
      <c r="P2771" s="92">
        <v>1.9107635E7</v>
      </c>
      <c r="Q2771" s="89" t="s">
        <v>802</v>
      </c>
      <c r="AF2771" s="1"/>
      <c r="AG2771" s="1"/>
    </row>
    <row r="2772" ht="15.75" customHeight="1">
      <c r="A2772" s="1"/>
      <c r="B2772" s="1"/>
      <c r="C2772" s="1"/>
      <c r="D2772" s="1"/>
      <c r="E2772" s="1"/>
      <c r="F2772" s="1"/>
      <c r="G2772" s="1"/>
      <c r="H2772" s="1"/>
      <c r="I2772" s="1"/>
      <c r="J2772" s="1"/>
      <c r="K2772" s="89" t="s">
        <v>4194</v>
      </c>
      <c r="L2772" s="89" t="str">
        <f>G105</f>
        <v>C1b1a2a</v>
      </c>
      <c r="M2772" s="89"/>
      <c r="N2772" s="89"/>
      <c r="O2772" s="92">
        <v>2.1283545E7</v>
      </c>
      <c r="P2772" s="92">
        <v>1.9121659E7</v>
      </c>
      <c r="Q2772" s="89" t="s">
        <v>810</v>
      </c>
      <c r="AF2772" s="1"/>
      <c r="AG2772" s="1"/>
    </row>
    <row r="2773" ht="15.75" customHeight="1">
      <c r="A2773" s="1"/>
      <c r="B2773" s="1"/>
      <c r="C2773" s="1"/>
      <c r="D2773" s="1"/>
      <c r="E2773" s="1"/>
      <c r="F2773" s="1"/>
      <c r="G2773" s="1"/>
      <c r="H2773" s="1"/>
      <c r="I2773" s="1"/>
      <c r="J2773" s="1"/>
      <c r="K2773" s="89" t="s">
        <v>4195</v>
      </c>
      <c r="L2773" s="89" t="str">
        <f>G105</f>
        <v>C1b1a2a</v>
      </c>
      <c r="M2773" s="89"/>
      <c r="N2773" s="89"/>
      <c r="O2773" s="92">
        <v>2.1304164E7</v>
      </c>
      <c r="P2773" s="92">
        <v>1.9142278E7</v>
      </c>
      <c r="Q2773" s="89" t="s">
        <v>879</v>
      </c>
      <c r="AF2773" s="1"/>
      <c r="AG2773" s="1"/>
    </row>
    <row r="2774" ht="15.75" customHeight="1">
      <c r="A2774" s="1"/>
      <c r="B2774" s="1"/>
      <c r="C2774" s="1"/>
      <c r="D2774" s="1"/>
      <c r="E2774" s="1"/>
      <c r="F2774" s="1"/>
      <c r="G2774" s="1"/>
      <c r="H2774" s="1"/>
      <c r="I2774" s="1"/>
      <c r="J2774" s="1"/>
      <c r="K2774" s="89" t="s">
        <v>4196</v>
      </c>
      <c r="L2774" s="89" t="str">
        <f>G105</f>
        <v>C1b1a2a</v>
      </c>
      <c r="M2774" s="89"/>
      <c r="N2774" s="89" t="s">
        <v>4197</v>
      </c>
      <c r="O2774" s="92">
        <v>2.131303E7</v>
      </c>
      <c r="P2774" s="92">
        <v>1.9151144E7</v>
      </c>
      <c r="Q2774" s="89" t="s">
        <v>802</v>
      </c>
      <c r="AF2774" s="1"/>
      <c r="AG2774" s="1"/>
    </row>
    <row r="2775" ht="15.75" customHeight="1">
      <c r="A2775" s="1"/>
      <c r="B2775" s="1"/>
      <c r="C2775" s="1"/>
      <c r="D2775" s="1"/>
      <c r="E2775" s="1"/>
      <c r="F2775" s="1"/>
      <c r="G2775" s="1"/>
      <c r="H2775" s="1"/>
      <c r="I2775" s="1"/>
      <c r="J2775" s="1"/>
      <c r="K2775" s="89" t="s">
        <v>4198</v>
      </c>
      <c r="L2775" s="89" t="str">
        <f>G105</f>
        <v>C1b1a2a</v>
      </c>
      <c r="M2775" s="89"/>
      <c r="N2775" s="89"/>
      <c r="O2775" s="92">
        <v>2.1316737E7</v>
      </c>
      <c r="P2775" s="92">
        <v>1.9154851E7</v>
      </c>
      <c r="Q2775" s="89" t="s">
        <v>822</v>
      </c>
      <c r="AF2775" s="1"/>
      <c r="AG2775" s="1"/>
    </row>
    <row r="2776" ht="15.75" customHeight="1">
      <c r="A2776" s="1"/>
      <c r="B2776" s="1"/>
      <c r="C2776" s="1"/>
      <c r="D2776" s="1"/>
      <c r="E2776" s="1"/>
      <c r="F2776" s="1"/>
      <c r="G2776" s="1"/>
      <c r="H2776" s="1"/>
      <c r="I2776" s="1"/>
      <c r="J2776" s="1"/>
      <c r="K2776" s="89" t="s">
        <v>4199</v>
      </c>
      <c r="L2776" s="89" t="str">
        <f>G105</f>
        <v>C1b1a2a</v>
      </c>
      <c r="M2776" s="89"/>
      <c r="N2776" s="89"/>
      <c r="O2776" s="92">
        <v>2.1336266E7</v>
      </c>
      <c r="P2776" s="92">
        <v>1.917438E7</v>
      </c>
      <c r="Q2776" s="89" t="s">
        <v>917</v>
      </c>
      <c r="AF2776" s="1"/>
      <c r="AG2776" s="1"/>
    </row>
    <row r="2777" ht="15.75" customHeight="1">
      <c r="A2777" s="1"/>
      <c r="B2777" s="1"/>
      <c r="C2777" s="1"/>
      <c r="D2777" s="1"/>
      <c r="E2777" s="1"/>
      <c r="F2777" s="1"/>
      <c r="G2777" s="1"/>
      <c r="H2777" s="1"/>
      <c r="I2777" s="1"/>
      <c r="J2777" s="1"/>
      <c r="K2777" s="89" t="s">
        <v>4200</v>
      </c>
      <c r="L2777" s="89" t="str">
        <f>G105</f>
        <v>C1b1a2a</v>
      </c>
      <c r="M2777" s="89"/>
      <c r="N2777" s="89"/>
      <c r="O2777" s="92">
        <v>2.1344845E7</v>
      </c>
      <c r="P2777" s="92">
        <v>1.9182959E7</v>
      </c>
      <c r="Q2777" s="89" t="s">
        <v>810</v>
      </c>
      <c r="AF2777" s="1"/>
      <c r="AG2777" s="1"/>
    </row>
    <row r="2778" ht="15.75" customHeight="1">
      <c r="A2778" s="1"/>
      <c r="B2778" s="1"/>
      <c r="C2778" s="1"/>
      <c r="D2778" s="1"/>
      <c r="E2778" s="1"/>
      <c r="F2778" s="1"/>
      <c r="G2778" s="1"/>
      <c r="H2778" s="1"/>
      <c r="I2778" s="1"/>
      <c r="J2778" s="1"/>
      <c r="K2778" s="89" t="s">
        <v>4201</v>
      </c>
      <c r="L2778" s="89" t="str">
        <f>G105</f>
        <v>C1b1a2a</v>
      </c>
      <c r="M2778" s="89"/>
      <c r="N2778" s="89"/>
      <c r="O2778" s="92">
        <v>2.1394989E7</v>
      </c>
      <c r="P2778" s="92">
        <v>1.9233103E7</v>
      </c>
      <c r="Q2778" s="89" t="s">
        <v>822</v>
      </c>
      <c r="AF2778" s="1"/>
      <c r="AG2778" s="1"/>
    </row>
    <row r="2779" ht="15.75" customHeight="1">
      <c r="A2779" s="1"/>
      <c r="B2779" s="1"/>
      <c r="C2779" s="1"/>
      <c r="D2779" s="1"/>
      <c r="E2779" s="1"/>
      <c r="F2779" s="1"/>
      <c r="G2779" s="1"/>
      <c r="H2779" s="1"/>
      <c r="I2779" s="1"/>
      <c r="J2779" s="1"/>
      <c r="K2779" s="89" t="s">
        <v>4202</v>
      </c>
      <c r="L2779" s="89" t="str">
        <f>G105</f>
        <v>C1b1a2a</v>
      </c>
      <c r="M2779" s="89"/>
      <c r="N2779" s="89"/>
      <c r="O2779" s="92">
        <v>2.1439987E7</v>
      </c>
      <c r="P2779" s="92">
        <v>1.9278101E7</v>
      </c>
      <c r="Q2779" s="89" t="s">
        <v>822</v>
      </c>
      <c r="AF2779" s="1"/>
      <c r="AG2779" s="1"/>
    </row>
    <row r="2780" ht="15.75" customHeight="1">
      <c r="A2780" s="1"/>
      <c r="B2780" s="1"/>
      <c r="C2780" s="1"/>
      <c r="D2780" s="1"/>
      <c r="E2780" s="1"/>
      <c r="F2780" s="1"/>
      <c r="G2780" s="1"/>
      <c r="H2780" s="1"/>
      <c r="I2780" s="1"/>
      <c r="J2780" s="1"/>
      <c r="K2780" s="89" t="s">
        <v>4203</v>
      </c>
      <c r="L2780" s="89" t="str">
        <f>G105</f>
        <v>C1b1a2a</v>
      </c>
      <c r="M2780" s="89"/>
      <c r="N2780" s="89"/>
      <c r="O2780" s="92">
        <v>2.1469803E7</v>
      </c>
      <c r="P2780" s="92">
        <v>1.9307917E7</v>
      </c>
      <c r="Q2780" s="89" t="s">
        <v>838</v>
      </c>
      <c r="AF2780" s="1"/>
      <c r="AG2780" s="1"/>
    </row>
    <row r="2781" ht="15.75" customHeight="1">
      <c r="A2781" s="1"/>
      <c r="B2781" s="1"/>
      <c r="C2781" s="1"/>
      <c r="D2781" s="1"/>
      <c r="E2781" s="1"/>
      <c r="F2781" s="1"/>
      <c r="G2781" s="1"/>
      <c r="H2781" s="1"/>
      <c r="I2781" s="1"/>
      <c r="J2781" s="1"/>
      <c r="K2781" s="89" t="s">
        <v>4204</v>
      </c>
      <c r="L2781" s="89" t="str">
        <f>G105</f>
        <v>C1b1a2a</v>
      </c>
      <c r="M2781" s="89"/>
      <c r="N2781" s="89"/>
      <c r="O2781" s="92">
        <v>2.1493883E7</v>
      </c>
      <c r="P2781" s="92">
        <v>1.9331997E7</v>
      </c>
      <c r="Q2781" s="89" t="s">
        <v>838</v>
      </c>
      <c r="AF2781" s="1"/>
      <c r="AG2781" s="1"/>
    </row>
    <row r="2782" ht="15.75" customHeight="1">
      <c r="A2782" s="1"/>
      <c r="B2782" s="1"/>
      <c r="C2782" s="1"/>
      <c r="D2782" s="1"/>
      <c r="E2782" s="1"/>
      <c r="F2782" s="1"/>
      <c r="G2782" s="1"/>
      <c r="H2782" s="1"/>
      <c r="I2782" s="1"/>
      <c r="J2782" s="1"/>
      <c r="K2782" s="89" t="s">
        <v>4205</v>
      </c>
      <c r="L2782" s="89" t="str">
        <f>G105</f>
        <v>C1b1a2a</v>
      </c>
      <c r="M2782" s="89"/>
      <c r="N2782" s="89"/>
      <c r="O2782" s="92">
        <v>2.1530335E7</v>
      </c>
      <c r="P2782" s="92">
        <v>1.9368449E7</v>
      </c>
      <c r="Q2782" s="89" t="s">
        <v>822</v>
      </c>
      <c r="AF2782" s="1"/>
      <c r="AG2782" s="1"/>
    </row>
    <row r="2783" ht="15.75" customHeight="1">
      <c r="A2783" s="1"/>
      <c r="B2783" s="1"/>
      <c r="C2783" s="1"/>
      <c r="D2783" s="1"/>
      <c r="E2783" s="1"/>
      <c r="F2783" s="1"/>
      <c r="G2783" s="1"/>
      <c r="H2783" s="1"/>
      <c r="I2783" s="1"/>
      <c r="J2783" s="1"/>
      <c r="K2783" s="89" t="s">
        <v>4206</v>
      </c>
      <c r="L2783" s="89" t="str">
        <f>G105</f>
        <v>C1b1a2a</v>
      </c>
      <c r="M2783" s="89"/>
      <c r="N2783" s="89"/>
      <c r="O2783" s="92">
        <v>2.1542038E7</v>
      </c>
      <c r="P2783" s="92">
        <v>1.9380152E7</v>
      </c>
      <c r="Q2783" s="89" t="s">
        <v>822</v>
      </c>
      <c r="AF2783" s="1"/>
      <c r="AG2783" s="1"/>
    </row>
    <row r="2784" ht="15.75" customHeight="1">
      <c r="A2784" s="1"/>
      <c r="B2784" s="1"/>
      <c r="C2784" s="1"/>
      <c r="D2784" s="1"/>
      <c r="E2784" s="1"/>
      <c r="F2784" s="1"/>
      <c r="G2784" s="1"/>
      <c r="H2784" s="1"/>
      <c r="I2784" s="1"/>
      <c r="J2784" s="1"/>
      <c r="K2784" s="89" t="s">
        <v>4207</v>
      </c>
      <c r="L2784" s="89" t="str">
        <f>G105</f>
        <v>C1b1a2a</v>
      </c>
      <c r="M2784" s="89"/>
      <c r="N2784" s="89"/>
      <c r="O2784" s="92">
        <v>2.1545496E7</v>
      </c>
      <c r="P2784" s="92">
        <v>1.938361E7</v>
      </c>
      <c r="Q2784" s="89" t="s">
        <v>810</v>
      </c>
      <c r="AF2784" s="1"/>
      <c r="AG2784" s="1"/>
    </row>
    <row r="2785" ht="15.75" customHeight="1">
      <c r="A2785" s="1"/>
      <c r="B2785" s="1"/>
      <c r="C2785" s="1"/>
      <c r="D2785" s="1"/>
      <c r="E2785" s="1"/>
      <c r="F2785" s="1"/>
      <c r="G2785" s="1"/>
      <c r="H2785" s="1"/>
      <c r="I2785" s="1"/>
      <c r="J2785" s="1"/>
      <c r="K2785" s="89" t="s">
        <v>4208</v>
      </c>
      <c r="L2785" s="89" t="str">
        <f>G105</f>
        <v>C1b1a2a</v>
      </c>
      <c r="M2785" s="89"/>
      <c r="N2785" s="89"/>
      <c r="O2785" s="92">
        <v>2.155562E7</v>
      </c>
      <c r="P2785" s="92">
        <v>1.9393734E7</v>
      </c>
      <c r="Q2785" s="89" t="s">
        <v>813</v>
      </c>
      <c r="AF2785" s="1"/>
      <c r="AG2785" s="1"/>
    </row>
    <row r="2786" ht="15.75" customHeight="1">
      <c r="A2786" s="1"/>
      <c r="B2786" s="1"/>
      <c r="C2786" s="1"/>
      <c r="D2786" s="1"/>
      <c r="E2786" s="1"/>
      <c r="F2786" s="1"/>
      <c r="G2786" s="1"/>
      <c r="H2786" s="1"/>
      <c r="I2786" s="1"/>
      <c r="J2786" s="1"/>
      <c r="K2786" s="89" t="s">
        <v>4209</v>
      </c>
      <c r="L2786" s="89" t="str">
        <f>G105</f>
        <v>C1b1a2a</v>
      </c>
      <c r="M2786" s="89"/>
      <c r="N2786" s="89"/>
      <c r="O2786" s="92">
        <v>2.1561954E7</v>
      </c>
      <c r="P2786" s="92">
        <v>1.9400068E7</v>
      </c>
      <c r="Q2786" s="89" t="s">
        <v>822</v>
      </c>
      <c r="AF2786" s="1"/>
      <c r="AG2786" s="1"/>
    </row>
    <row r="2787" ht="15.75" customHeight="1">
      <c r="A2787" s="1"/>
      <c r="B2787" s="1"/>
      <c r="C2787" s="1"/>
      <c r="D2787" s="1"/>
      <c r="E2787" s="1"/>
      <c r="F2787" s="1"/>
      <c r="G2787" s="1"/>
      <c r="H2787" s="1"/>
      <c r="I2787" s="1"/>
      <c r="J2787" s="1"/>
      <c r="K2787" s="89" t="s">
        <v>4210</v>
      </c>
      <c r="L2787" s="89" t="str">
        <f>G105</f>
        <v>C1b1a2a</v>
      </c>
      <c r="M2787" s="89"/>
      <c r="N2787" s="89"/>
      <c r="O2787" s="92">
        <v>2.1616588E7</v>
      </c>
      <c r="P2787" s="92">
        <v>1.9454702E7</v>
      </c>
      <c r="Q2787" s="89" t="s">
        <v>813</v>
      </c>
      <c r="AF2787" s="1"/>
      <c r="AG2787" s="1"/>
    </row>
    <row r="2788" ht="15.75" customHeight="1">
      <c r="A2788" s="1"/>
      <c r="B2788" s="1"/>
      <c r="C2788" s="1"/>
      <c r="D2788" s="1"/>
      <c r="E2788" s="1"/>
      <c r="F2788" s="1"/>
      <c r="G2788" s="1"/>
      <c r="H2788" s="1"/>
      <c r="I2788" s="1"/>
      <c r="J2788" s="1"/>
      <c r="K2788" s="89" t="s">
        <v>4211</v>
      </c>
      <c r="L2788" s="89" t="str">
        <f>G105</f>
        <v>C1b1a2a</v>
      </c>
      <c r="M2788" s="89"/>
      <c r="N2788" s="89"/>
      <c r="O2788" s="92">
        <v>2.1667844E7</v>
      </c>
      <c r="P2788" s="92">
        <v>1.9505958E7</v>
      </c>
      <c r="Q2788" s="89" t="s">
        <v>810</v>
      </c>
      <c r="AF2788" s="1"/>
      <c r="AG2788" s="1"/>
    </row>
    <row r="2789" ht="15.75" customHeight="1">
      <c r="A2789" s="1"/>
      <c r="B2789" s="1"/>
      <c r="C2789" s="1"/>
      <c r="D2789" s="1"/>
      <c r="E2789" s="1"/>
      <c r="F2789" s="1"/>
      <c r="G2789" s="1"/>
      <c r="H2789" s="1"/>
      <c r="I2789" s="1"/>
      <c r="J2789" s="1"/>
      <c r="K2789" s="89" t="s">
        <v>4212</v>
      </c>
      <c r="L2789" s="89" t="str">
        <f>G105</f>
        <v>C1b1a2a</v>
      </c>
      <c r="M2789" s="89"/>
      <c r="N2789" s="89"/>
      <c r="O2789" s="92">
        <v>2.1685983E7</v>
      </c>
      <c r="P2789" s="92">
        <v>1.9524097E7</v>
      </c>
      <c r="Q2789" s="89" t="s">
        <v>810</v>
      </c>
      <c r="AF2789" s="1"/>
      <c r="AG2789" s="1"/>
    </row>
    <row r="2790" ht="15.75" customHeight="1">
      <c r="A2790" s="1"/>
      <c r="B2790" s="1"/>
      <c r="C2790" s="1"/>
      <c r="D2790" s="1"/>
      <c r="E2790" s="1"/>
      <c r="F2790" s="1"/>
      <c r="G2790" s="1"/>
      <c r="H2790" s="1"/>
      <c r="I2790" s="1"/>
      <c r="J2790" s="1"/>
      <c r="K2790" s="89" t="s">
        <v>4213</v>
      </c>
      <c r="L2790" s="89" t="str">
        <f>G105</f>
        <v>C1b1a2a</v>
      </c>
      <c r="M2790" s="89"/>
      <c r="N2790" s="89"/>
      <c r="O2790" s="92">
        <v>2.1751674E7</v>
      </c>
      <c r="P2790" s="92">
        <v>1.9589788E7</v>
      </c>
      <c r="Q2790" s="93" t="s">
        <v>912</v>
      </c>
      <c r="AF2790" s="1"/>
      <c r="AG2790" s="1"/>
    </row>
    <row r="2791" ht="15.75" customHeight="1">
      <c r="A2791" s="1"/>
      <c r="B2791" s="1"/>
      <c r="C2791" s="1"/>
      <c r="D2791" s="1"/>
      <c r="E2791" s="1"/>
      <c r="F2791" s="1"/>
      <c r="G2791" s="1"/>
      <c r="H2791" s="1"/>
      <c r="I2791" s="1"/>
      <c r="J2791" s="1"/>
      <c r="K2791" s="89" t="s">
        <v>4214</v>
      </c>
      <c r="L2791" s="89" t="str">
        <f>G105</f>
        <v>C1b1a2a</v>
      </c>
      <c r="M2791" s="89"/>
      <c r="N2791" s="89"/>
      <c r="O2791" s="92">
        <v>2.1809876E7</v>
      </c>
      <c r="P2791" s="92">
        <v>1.964799E7</v>
      </c>
      <c r="Q2791" s="89" t="s">
        <v>912</v>
      </c>
      <c r="AF2791" s="1"/>
      <c r="AG2791" s="1"/>
    </row>
    <row r="2792" ht="15.75" customHeight="1">
      <c r="A2792" s="1"/>
      <c r="B2792" s="1"/>
      <c r="C2792" s="1"/>
      <c r="D2792" s="1"/>
      <c r="E2792" s="1"/>
      <c r="F2792" s="1"/>
      <c r="G2792" s="1"/>
      <c r="H2792" s="1"/>
      <c r="I2792" s="1"/>
      <c r="J2792" s="1"/>
      <c r="K2792" s="89" t="s">
        <v>4215</v>
      </c>
      <c r="L2792" s="89" t="str">
        <f>G105</f>
        <v>C1b1a2a</v>
      </c>
      <c r="M2792" s="89"/>
      <c r="N2792" s="89"/>
      <c r="O2792" s="92">
        <v>2.1831278E7</v>
      </c>
      <c r="P2792" s="92">
        <v>1.9669392E7</v>
      </c>
      <c r="Q2792" s="89" t="s">
        <v>802</v>
      </c>
      <c r="AF2792" s="1"/>
      <c r="AG2792" s="1"/>
    </row>
    <row r="2793" ht="15.75" customHeight="1">
      <c r="A2793" s="1"/>
      <c r="B2793" s="1"/>
      <c r="C2793" s="1"/>
      <c r="D2793" s="1"/>
      <c r="E2793" s="1"/>
      <c r="F2793" s="1"/>
      <c r="G2793" s="1"/>
      <c r="H2793" s="1"/>
      <c r="I2793" s="1"/>
      <c r="J2793" s="1"/>
      <c r="K2793" s="89" t="s">
        <v>4216</v>
      </c>
      <c r="L2793" s="89" t="str">
        <f>G105</f>
        <v>C1b1a2a</v>
      </c>
      <c r="M2793" s="89"/>
      <c r="N2793" s="89"/>
      <c r="O2793" s="92">
        <v>2.1843408E7</v>
      </c>
      <c r="P2793" s="92">
        <v>1.9681522E7</v>
      </c>
      <c r="Q2793" s="89" t="s">
        <v>802</v>
      </c>
      <c r="AF2793" s="1"/>
      <c r="AG2793" s="1"/>
    </row>
    <row r="2794" ht="15.75" customHeight="1">
      <c r="A2794" s="1"/>
      <c r="B2794" s="1"/>
      <c r="C2794" s="1"/>
      <c r="D2794" s="1"/>
      <c r="E2794" s="1"/>
      <c r="F2794" s="1"/>
      <c r="G2794" s="1"/>
      <c r="H2794" s="1"/>
      <c r="I2794" s="1"/>
      <c r="J2794" s="1"/>
      <c r="K2794" s="89" t="s">
        <v>4217</v>
      </c>
      <c r="L2794" s="89" t="str">
        <f>G105</f>
        <v>C1b1a2a</v>
      </c>
      <c r="M2794" s="89"/>
      <c r="N2794" s="89"/>
      <c r="O2794" s="92">
        <v>2.1849378E7</v>
      </c>
      <c r="P2794" s="92">
        <v>1.9687492E7</v>
      </c>
      <c r="Q2794" s="89" t="s">
        <v>813</v>
      </c>
      <c r="AF2794" s="1"/>
      <c r="AG2794" s="1"/>
    </row>
    <row r="2795" ht="15.75" customHeight="1">
      <c r="A2795" s="1"/>
      <c r="B2795" s="1"/>
      <c r="C2795" s="1"/>
      <c r="D2795" s="1"/>
      <c r="E2795" s="1"/>
      <c r="F2795" s="1"/>
      <c r="G2795" s="1"/>
      <c r="H2795" s="1"/>
      <c r="I2795" s="1"/>
      <c r="J2795" s="1"/>
      <c r="K2795" s="89" t="s">
        <v>4218</v>
      </c>
      <c r="L2795" s="89" t="str">
        <f>G105</f>
        <v>C1b1a2a</v>
      </c>
      <c r="M2795" s="89"/>
      <c r="N2795" s="89"/>
      <c r="O2795" s="92">
        <v>2.1863471E7</v>
      </c>
      <c r="P2795" s="92">
        <v>1.9701585E7</v>
      </c>
      <c r="Q2795" s="89" t="s">
        <v>912</v>
      </c>
      <c r="AF2795" s="1"/>
      <c r="AG2795" s="1"/>
    </row>
    <row r="2796" ht="15.75" customHeight="1">
      <c r="A2796" s="1"/>
      <c r="B2796" s="1"/>
      <c r="C2796" s="1"/>
      <c r="D2796" s="1"/>
      <c r="E2796" s="1"/>
      <c r="F2796" s="1"/>
      <c r="G2796" s="1"/>
      <c r="H2796" s="1"/>
      <c r="I2796" s="1"/>
      <c r="J2796" s="1"/>
      <c r="K2796" s="89" t="s">
        <v>4219</v>
      </c>
      <c r="L2796" s="89" t="str">
        <f>G105</f>
        <v>C1b1a2a</v>
      </c>
      <c r="M2796" s="89"/>
      <c r="N2796" s="89"/>
      <c r="O2796" s="92">
        <v>2.1919907E7</v>
      </c>
      <c r="P2796" s="92">
        <v>1.9758021E7</v>
      </c>
      <c r="Q2796" s="89" t="s">
        <v>864</v>
      </c>
      <c r="AF2796" s="1"/>
      <c r="AG2796" s="1"/>
    </row>
    <row r="2797" ht="15.75" customHeight="1">
      <c r="A2797" s="1"/>
      <c r="B2797" s="1"/>
      <c r="C2797" s="1"/>
      <c r="D2797" s="1"/>
      <c r="E2797" s="1"/>
      <c r="F2797" s="1"/>
      <c r="G2797" s="1"/>
      <c r="H2797" s="1"/>
      <c r="I2797" s="1"/>
      <c r="J2797" s="1"/>
      <c r="K2797" s="89" t="s">
        <v>4220</v>
      </c>
      <c r="L2797" s="89" t="str">
        <f>G105</f>
        <v>C1b1a2a</v>
      </c>
      <c r="M2797" s="89"/>
      <c r="N2797" s="89"/>
      <c r="O2797" s="92">
        <v>2.1932329E7</v>
      </c>
      <c r="P2797" s="92">
        <v>1.9770443E7</v>
      </c>
      <c r="Q2797" s="89" t="s">
        <v>802</v>
      </c>
      <c r="AF2797" s="1"/>
      <c r="AG2797" s="1"/>
    </row>
    <row r="2798" ht="15.75" customHeight="1">
      <c r="A2798" s="1"/>
      <c r="B2798" s="1"/>
      <c r="C2798" s="1"/>
      <c r="D2798" s="1"/>
      <c r="E2798" s="1"/>
      <c r="F2798" s="1"/>
      <c r="G2798" s="1"/>
      <c r="H2798" s="1"/>
      <c r="I2798" s="1"/>
      <c r="J2798" s="1"/>
      <c r="K2798" s="89" t="s">
        <v>4221</v>
      </c>
      <c r="L2798" s="89" t="str">
        <f>G105</f>
        <v>C1b1a2a</v>
      </c>
      <c r="M2798" s="89"/>
      <c r="N2798" s="89"/>
      <c r="O2798" s="92">
        <v>2.1976016E7</v>
      </c>
      <c r="P2798" s="92">
        <v>1.981413E7</v>
      </c>
      <c r="Q2798" s="89" t="s">
        <v>838</v>
      </c>
      <c r="AF2798" s="1"/>
      <c r="AG2798" s="1"/>
    </row>
    <row r="2799" ht="15.75" customHeight="1">
      <c r="A2799" s="1"/>
      <c r="B2799" s="1"/>
      <c r="C2799" s="1"/>
      <c r="D2799" s="1"/>
      <c r="E2799" s="1"/>
      <c r="F2799" s="1"/>
      <c r="G2799" s="1"/>
      <c r="H2799" s="1"/>
      <c r="I2799" s="1"/>
      <c r="J2799" s="1"/>
      <c r="K2799" s="89" t="s">
        <v>4222</v>
      </c>
      <c r="L2799" s="89" t="str">
        <f>G105</f>
        <v>C1b1a2a</v>
      </c>
      <c r="M2799" s="89"/>
      <c r="N2799" s="89"/>
      <c r="O2799" s="92">
        <v>2.1985088E7</v>
      </c>
      <c r="P2799" s="92">
        <v>1.9823202E7</v>
      </c>
      <c r="Q2799" s="89" t="s">
        <v>838</v>
      </c>
      <c r="AF2799" s="1"/>
      <c r="AG2799" s="1"/>
    </row>
    <row r="2800" ht="15.75" customHeight="1">
      <c r="A2800" s="1"/>
      <c r="B2800" s="1"/>
      <c r="C2800" s="1"/>
      <c r="D2800" s="1"/>
      <c r="E2800" s="1"/>
      <c r="F2800" s="1"/>
      <c r="G2800" s="1"/>
      <c r="H2800" s="1"/>
      <c r="I2800" s="1"/>
      <c r="J2800" s="1"/>
      <c r="K2800" s="89" t="s">
        <v>4223</v>
      </c>
      <c r="L2800" s="89" t="str">
        <f>G105</f>
        <v>C1b1a2a</v>
      </c>
      <c r="M2800" s="89"/>
      <c r="N2800" s="89"/>
      <c r="O2800" s="92">
        <v>2.1987242E7</v>
      </c>
      <c r="P2800" s="92">
        <v>1.9825356E7</v>
      </c>
      <c r="Q2800" s="89" t="s">
        <v>838</v>
      </c>
      <c r="AF2800" s="1"/>
      <c r="AG2800" s="1"/>
    </row>
    <row r="2801" ht="15.75" customHeight="1">
      <c r="A2801" s="1"/>
      <c r="B2801" s="1"/>
      <c r="C2801" s="1"/>
      <c r="D2801" s="1"/>
      <c r="E2801" s="1"/>
      <c r="F2801" s="1"/>
      <c r="G2801" s="1"/>
      <c r="H2801" s="1"/>
      <c r="I2801" s="1"/>
      <c r="J2801" s="1"/>
      <c r="K2801" s="89" t="s">
        <v>4224</v>
      </c>
      <c r="L2801" s="89" t="str">
        <f>G105</f>
        <v>C1b1a2a</v>
      </c>
      <c r="M2801" s="89"/>
      <c r="N2801" s="89"/>
      <c r="O2801" s="92">
        <v>2.203404E7</v>
      </c>
      <c r="P2801" s="92">
        <v>1.9872154E7</v>
      </c>
      <c r="Q2801" s="89" t="s">
        <v>802</v>
      </c>
      <c r="AF2801" s="1"/>
      <c r="AG2801" s="1"/>
    </row>
    <row r="2802" ht="15.75" customHeight="1">
      <c r="A2802" s="1"/>
      <c r="B2802" s="1"/>
      <c r="C2802" s="1"/>
      <c r="D2802" s="1"/>
      <c r="E2802" s="1"/>
      <c r="F2802" s="1"/>
      <c r="G2802" s="1"/>
      <c r="H2802" s="1"/>
      <c r="I2802" s="1"/>
      <c r="J2802" s="1"/>
      <c r="K2802" s="89" t="s">
        <v>4225</v>
      </c>
      <c r="L2802" s="89" t="str">
        <f>G105</f>
        <v>C1b1a2a</v>
      </c>
      <c r="M2802" s="89"/>
      <c r="N2802" s="89"/>
      <c r="O2802" s="92">
        <v>2.2156715E7</v>
      </c>
      <c r="P2802" s="92">
        <v>1.9994829E7</v>
      </c>
      <c r="Q2802" s="89" t="s">
        <v>838</v>
      </c>
      <c r="AF2802" s="1"/>
      <c r="AG2802" s="1"/>
    </row>
    <row r="2803" ht="15.75" customHeight="1">
      <c r="A2803" s="1"/>
      <c r="B2803" s="1"/>
      <c r="C2803" s="1"/>
      <c r="D2803" s="1"/>
      <c r="E2803" s="1"/>
      <c r="F2803" s="1"/>
      <c r="G2803" s="1"/>
      <c r="H2803" s="1"/>
      <c r="I2803" s="1"/>
      <c r="J2803" s="1"/>
      <c r="K2803" s="89" t="s">
        <v>4226</v>
      </c>
      <c r="L2803" s="89" t="str">
        <f>G105</f>
        <v>C1b1a2a</v>
      </c>
      <c r="M2803" s="89"/>
      <c r="N2803" s="89"/>
      <c r="O2803" s="92">
        <v>2.2178785E7</v>
      </c>
      <c r="P2803" s="92">
        <v>2.0016899E7</v>
      </c>
      <c r="Q2803" s="89" t="s">
        <v>810</v>
      </c>
      <c r="AF2803" s="1"/>
      <c r="AG2803" s="1"/>
    </row>
    <row r="2804" ht="15.75" customHeight="1">
      <c r="A2804" s="1"/>
      <c r="B2804" s="1"/>
      <c r="C2804" s="1"/>
      <c r="D2804" s="1"/>
      <c r="E2804" s="1"/>
      <c r="F2804" s="1"/>
      <c r="G2804" s="1"/>
      <c r="H2804" s="1"/>
      <c r="I2804" s="1"/>
      <c r="J2804" s="1"/>
      <c r="K2804" s="89" t="s">
        <v>4227</v>
      </c>
      <c r="L2804" s="89" t="str">
        <f>G105</f>
        <v>C1b1a2a</v>
      </c>
      <c r="M2804" s="89"/>
      <c r="N2804" s="89"/>
      <c r="O2804" s="92">
        <v>2.2181507E7</v>
      </c>
      <c r="P2804" s="92">
        <v>2.0019621E7</v>
      </c>
      <c r="Q2804" s="89" t="s">
        <v>813</v>
      </c>
      <c r="AF2804" s="1"/>
      <c r="AG2804" s="1"/>
    </row>
    <row r="2805" ht="15.75" customHeight="1">
      <c r="A2805" s="1"/>
      <c r="B2805" s="1"/>
      <c r="C2805" s="1"/>
      <c r="D2805" s="1"/>
      <c r="E2805" s="1"/>
      <c r="F2805" s="1"/>
      <c r="G2805" s="1"/>
      <c r="H2805" s="1"/>
      <c r="I2805" s="1"/>
      <c r="J2805" s="1"/>
      <c r="K2805" s="89" t="s">
        <v>4228</v>
      </c>
      <c r="L2805" s="89" t="str">
        <f>G105</f>
        <v>C1b1a2a</v>
      </c>
      <c r="M2805" s="89"/>
      <c r="N2805" s="89"/>
      <c r="O2805" s="92">
        <v>2.2186026E7</v>
      </c>
      <c r="P2805" s="92">
        <v>2.002414E7</v>
      </c>
      <c r="Q2805" s="89" t="s">
        <v>912</v>
      </c>
      <c r="AF2805" s="1"/>
      <c r="AG2805" s="1"/>
    </row>
    <row r="2806" ht="15.75" customHeight="1">
      <c r="A2806" s="1"/>
      <c r="B2806" s="1"/>
      <c r="C2806" s="1"/>
      <c r="D2806" s="1"/>
      <c r="E2806" s="1"/>
      <c r="F2806" s="1"/>
      <c r="G2806" s="1"/>
      <c r="H2806" s="1"/>
      <c r="I2806" s="1"/>
      <c r="J2806" s="1"/>
      <c r="K2806" s="89" t="s">
        <v>4229</v>
      </c>
      <c r="L2806" s="89" t="str">
        <f>G105</f>
        <v>C1b1a2a</v>
      </c>
      <c r="M2806" s="89"/>
      <c r="N2806" s="89"/>
      <c r="O2806" s="92">
        <v>2.2188392E7</v>
      </c>
      <c r="P2806" s="92">
        <v>2.0026506E7</v>
      </c>
      <c r="Q2806" s="89" t="s">
        <v>802</v>
      </c>
      <c r="AF2806" s="1"/>
      <c r="AG2806" s="1"/>
    </row>
    <row r="2807" ht="15.75" customHeight="1">
      <c r="A2807" s="1"/>
      <c r="B2807" s="1"/>
      <c r="C2807" s="1"/>
      <c r="D2807" s="1"/>
      <c r="E2807" s="1"/>
      <c r="F2807" s="1"/>
      <c r="G2807" s="1"/>
      <c r="H2807" s="1"/>
      <c r="I2807" s="1"/>
      <c r="J2807" s="1"/>
      <c r="K2807" s="89" t="s">
        <v>4230</v>
      </c>
      <c r="L2807" s="89" t="str">
        <f>G105</f>
        <v>C1b1a2a</v>
      </c>
      <c r="M2807" s="89"/>
      <c r="N2807" s="89"/>
      <c r="O2807" s="92">
        <v>2.2559364E7</v>
      </c>
      <c r="P2807" s="92">
        <v>2.0397478E7</v>
      </c>
      <c r="Q2807" s="89" t="s">
        <v>838</v>
      </c>
      <c r="AF2807" s="1"/>
      <c r="AG2807" s="1"/>
    </row>
    <row r="2808" ht="15.75" customHeight="1">
      <c r="A2808" s="1"/>
      <c r="B2808" s="1"/>
      <c r="C2808" s="1"/>
      <c r="D2808" s="1"/>
      <c r="E2808" s="1"/>
      <c r="F2808" s="1"/>
      <c r="G2808" s="1"/>
      <c r="H2808" s="1"/>
      <c r="I2808" s="1"/>
      <c r="J2808" s="1"/>
      <c r="K2808" s="89" t="s">
        <v>4231</v>
      </c>
      <c r="L2808" s="89" t="str">
        <f>G105</f>
        <v>C1b1a2a</v>
      </c>
      <c r="M2808" s="89"/>
      <c r="N2808" s="89"/>
      <c r="O2808" s="92">
        <v>2.2630812E7</v>
      </c>
      <c r="P2808" s="92">
        <v>2.0468926E7</v>
      </c>
      <c r="Q2808" s="89" t="s">
        <v>802</v>
      </c>
      <c r="AF2808" s="1"/>
      <c r="AG2808" s="1"/>
    </row>
    <row r="2809" ht="15.75" customHeight="1">
      <c r="A2809" s="1"/>
      <c r="B2809" s="1"/>
      <c r="C2809" s="1"/>
      <c r="D2809" s="1"/>
      <c r="E2809" s="1"/>
      <c r="F2809" s="1"/>
      <c r="G2809" s="1"/>
      <c r="H2809" s="1"/>
      <c r="I2809" s="1"/>
      <c r="J2809" s="1"/>
      <c r="K2809" s="89" t="s">
        <v>4232</v>
      </c>
      <c r="L2809" s="89" t="str">
        <f>G105</f>
        <v>C1b1a2a</v>
      </c>
      <c r="M2809" s="89"/>
      <c r="N2809" s="89"/>
      <c r="O2809" s="92">
        <v>2.2690146E7</v>
      </c>
      <c r="P2809" s="92">
        <v>2.052826E7</v>
      </c>
      <c r="Q2809" s="89" t="s">
        <v>802</v>
      </c>
      <c r="AF2809" s="1"/>
      <c r="AG2809" s="1"/>
    </row>
    <row r="2810" ht="15.75" customHeight="1">
      <c r="A2810" s="1"/>
      <c r="B2810" s="1"/>
      <c r="C2810" s="1"/>
      <c r="D2810" s="1"/>
      <c r="E2810" s="1"/>
      <c r="F2810" s="1"/>
      <c r="G2810" s="1"/>
      <c r="H2810" s="1"/>
      <c r="I2810" s="1"/>
      <c r="J2810" s="1"/>
      <c r="K2810" s="89" t="s">
        <v>4233</v>
      </c>
      <c r="L2810" s="89" t="str">
        <f>G105</f>
        <v>C1b1a2a</v>
      </c>
      <c r="M2810" s="89"/>
      <c r="N2810" s="89"/>
      <c r="O2810" s="92">
        <v>2.2696831E7</v>
      </c>
      <c r="P2810" s="92">
        <v>2.0534945E7</v>
      </c>
      <c r="Q2810" s="89" t="s">
        <v>802</v>
      </c>
      <c r="AF2810" s="1"/>
      <c r="AG2810" s="1"/>
    </row>
    <row r="2811" ht="15.75" customHeight="1">
      <c r="A2811" s="1"/>
      <c r="B2811" s="1"/>
      <c r="C2811" s="1"/>
      <c r="D2811" s="1"/>
      <c r="E2811" s="1"/>
      <c r="F2811" s="1"/>
      <c r="G2811" s="1"/>
      <c r="H2811" s="1"/>
      <c r="I2811" s="1"/>
      <c r="J2811" s="1"/>
      <c r="K2811" s="89" t="s">
        <v>4234</v>
      </c>
      <c r="L2811" s="89" t="str">
        <f>G105</f>
        <v>C1b1a2a</v>
      </c>
      <c r="M2811" s="89"/>
      <c r="N2811" s="89"/>
      <c r="O2811" s="92">
        <v>2.2704406E7</v>
      </c>
      <c r="P2811" s="92">
        <v>2.054252E7</v>
      </c>
      <c r="Q2811" s="89" t="s">
        <v>912</v>
      </c>
      <c r="AF2811" s="1"/>
      <c r="AG2811" s="1"/>
    </row>
    <row r="2812" ht="15.75" customHeight="1">
      <c r="A2812" s="1"/>
      <c r="B2812" s="1"/>
      <c r="C2812" s="1"/>
      <c r="D2812" s="1"/>
      <c r="E2812" s="1"/>
      <c r="F2812" s="1"/>
      <c r="G2812" s="1"/>
      <c r="H2812" s="1"/>
      <c r="I2812" s="1"/>
      <c r="J2812" s="1"/>
      <c r="K2812" s="89" t="s">
        <v>4235</v>
      </c>
      <c r="L2812" s="89" t="str">
        <f>G105</f>
        <v>C1b1a2a</v>
      </c>
      <c r="M2812" s="89"/>
      <c r="N2812" s="89" t="s">
        <v>4236</v>
      </c>
      <c r="O2812" s="92">
        <v>2.2714096E7</v>
      </c>
      <c r="P2812" s="92">
        <v>2.055221E7</v>
      </c>
      <c r="Q2812" s="89" t="s">
        <v>810</v>
      </c>
      <c r="AF2812" s="1"/>
      <c r="AG2812" s="1"/>
    </row>
    <row r="2813" ht="15.75" customHeight="1">
      <c r="A2813" s="1"/>
      <c r="B2813" s="1"/>
      <c r="C2813" s="1"/>
      <c r="D2813" s="1"/>
      <c r="E2813" s="1"/>
      <c r="F2813" s="1"/>
      <c r="G2813" s="1"/>
      <c r="H2813" s="1"/>
      <c r="I2813" s="1"/>
      <c r="J2813" s="1"/>
      <c r="K2813" s="89" t="s">
        <v>4237</v>
      </c>
      <c r="L2813" s="89" t="str">
        <f>G105</f>
        <v>C1b1a2a</v>
      </c>
      <c r="M2813" s="89"/>
      <c r="N2813" s="89"/>
      <c r="O2813" s="92">
        <v>2.2760801E7</v>
      </c>
      <c r="P2813" s="92">
        <v>2.0598915E7</v>
      </c>
      <c r="Q2813" s="89" t="s">
        <v>822</v>
      </c>
      <c r="AF2813" s="1"/>
      <c r="AG2813" s="1"/>
    </row>
    <row r="2814" ht="15.75" customHeight="1">
      <c r="A2814" s="1"/>
      <c r="B2814" s="1"/>
      <c r="C2814" s="1"/>
      <c r="D2814" s="1"/>
      <c r="E2814" s="1"/>
      <c r="F2814" s="1"/>
      <c r="G2814" s="1"/>
      <c r="H2814" s="1"/>
      <c r="I2814" s="1"/>
      <c r="J2814" s="1"/>
      <c r="K2814" s="89" t="s">
        <v>4238</v>
      </c>
      <c r="L2814" s="89" t="str">
        <f>G105</f>
        <v>C1b1a2a</v>
      </c>
      <c r="M2814" s="89"/>
      <c r="N2814" s="89"/>
      <c r="O2814" s="92">
        <v>2.2771284E7</v>
      </c>
      <c r="P2814" s="92">
        <v>2.0609398E7</v>
      </c>
      <c r="Q2814" s="89" t="s">
        <v>838</v>
      </c>
      <c r="AF2814" s="1"/>
      <c r="AG2814" s="1"/>
    </row>
    <row r="2815" ht="15.75" customHeight="1">
      <c r="A2815" s="1"/>
      <c r="B2815" s="1"/>
      <c r="C2815" s="1"/>
      <c r="D2815" s="1"/>
      <c r="E2815" s="1"/>
      <c r="F2815" s="1"/>
      <c r="G2815" s="1"/>
      <c r="H2815" s="1"/>
      <c r="I2815" s="1"/>
      <c r="J2815" s="1"/>
      <c r="K2815" s="89" t="s">
        <v>4239</v>
      </c>
      <c r="L2815" s="89" t="str">
        <f>G105</f>
        <v>C1b1a2a</v>
      </c>
      <c r="M2815" s="89"/>
      <c r="N2815" s="89"/>
      <c r="O2815" s="92">
        <v>2.2827828E7</v>
      </c>
      <c r="P2815" s="92">
        <v>2.0665942E7</v>
      </c>
      <c r="Q2815" s="89" t="s">
        <v>838</v>
      </c>
      <c r="AF2815" s="1"/>
      <c r="AG2815" s="1"/>
    </row>
    <row r="2816" ht="15.75" customHeight="1">
      <c r="A2816" s="1"/>
      <c r="B2816" s="1"/>
      <c r="C2816" s="1"/>
      <c r="D2816" s="1"/>
      <c r="E2816" s="1"/>
      <c r="F2816" s="1"/>
      <c r="G2816" s="1"/>
      <c r="H2816" s="1"/>
      <c r="I2816" s="1"/>
      <c r="J2816" s="1"/>
      <c r="K2816" s="89" t="s">
        <v>4240</v>
      </c>
      <c r="L2816" s="89" t="str">
        <f>G105</f>
        <v>C1b1a2a</v>
      </c>
      <c r="M2816" s="89"/>
      <c r="N2816" s="89"/>
      <c r="O2816" s="92">
        <v>2.2828317E7</v>
      </c>
      <c r="P2816" s="92">
        <v>2.0666431E7</v>
      </c>
      <c r="Q2816" s="89" t="s">
        <v>831</v>
      </c>
      <c r="AF2816" s="1"/>
      <c r="AG2816" s="1"/>
    </row>
    <row r="2817" ht="15.75" customHeight="1">
      <c r="A2817" s="1"/>
      <c r="B2817" s="1"/>
      <c r="C2817" s="1"/>
      <c r="D2817" s="1"/>
      <c r="E2817" s="1"/>
      <c r="F2817" s="1"/>
      <c r="G2817" s="1"/>
      <c r="H2817" s="1"/>
      <c r="I2817" s="1"/>
      <c r="J2817" s="1"/>
      <c r="K2817" s="89" t="s">
        <v>4241</v>
      </c>
      <c r="L2817" s="89" t="str">
        <f>G105</f>
        <v>C1b1a2a</v>
      </c>
      <c r="M2817" s="89"/>
      <c r="N2817" s="89"/>
      <c r="O2817" s="92">
        <v>2.2849272E7</v>
      </c>
      <c r="P2817" s="92">
        <v>2.0687386E7</v>
      </c>
      <c r="Q2817" s="89" t="s">
        <v>838</v>
      </c>
      <c r="AF2817" s="1"/>
      <c r="AG2817" s="1"/>
    </row>
    <row r="2818" ht="15.75" customHeight="1">
      <c r="A2818" s="1"/>
      <c r="B2818" s="1"/>
      <c r="C2818" s="1"/>
      <c r="D2818" s="1"/>
      <c r="E2818" s="1"/>
      <c r="F2818" s="1"/>
      <c r="G2818" s="1"/>
      <c r="H2818" s="1"/>
      <c r="I2818" s="1"/>
      <c r="J2818" s="1"/>
      <c r="K2818" s="89" t="s">
        <v>4242</v>
      </c>
      <c r="L2818" s="89" t="str">
        <f>G105</f>
        <v>C1b1a2a</v>
      </c>
      <c r="M2818" s="89"/>
      <c r="N2818" s="89"/>
      <c r="O2818" s="92">
        <v>2.2866013E7</v>
      </c>
      <c r="P2818" s="92">
        <v>2.0704127E7</v>
      </c>
      <c r="Q2818" s="89" t="s">
        <v>912</v>
      </c>
      <c r="AF2818" s="1"/>
      <c r="AG2818" s="1"/>
    </row>
    <row r="2819" ht="15.75" customHeight="1">
      <c r="A2819" s="1"/>
      <c r="B2819" s="1"/>
      <c r="C2819" s="1"/>
      <c r="D2819" s="1"/>
      <c r="E2819" s="1"/>
      <c r="F2819" s="1"/>
      <c r="G2819" s="1"/>
      <c r="H2819" s="1"/>
      <c r="I2819" s="1"/>
      <c r="J2819" s="1"/>
      <c r="K2819" s="89" t="s">
        <v>4243</v>
      </c>
      <c r="L2819" s="89" t="str">
        <f>G105</f>
        <v>C1b1a2a</v>
      </c>
      <c r="M2819" s="89"/>
      <c r="N2819" s="89"/>
      <c r="O2819" s="92">
        <v>2.2902069E7</v>
      </c>
      <c r="P2819" s="92">
        <v>2.0740183E7</v>
      </c>
      <c r="Q2819" s="89" t="s">
        <v>802</v>
      </c>
      <c r="AF2819" s="1"/>
      <c r="AG2819" s="1"/>
    </row>
    <row r="2820" ht="15.75" customHeight="1">
      <c r="A2820" s="1"/>
      <c r="B2820" s="1"/>
      <c r="C2820" s="1"/>
      <c r="D2820" s="1"/>
      <c r="E2820" s="1"/>
      <c r="F2820" s="1"/>
      <c r="G2820" s="1"/>
      <c r="H2820" s="1"/>
      <c r="I2820" s="1"/>
      <c r="J2820" s="1"/>
      <c r="K2820" s="89" t="s">
        <v>4244</v>
      </c>
      <c r="L2820" s="89" t="str">
        <f>G105</f>
        <v>C1b1a2a</v>
      </c>
      <c r="M2820" s="89"/>
      <c r="N2820" s="89"/>
      <c r="O2820" s="92">
        <v>2.2930754E7</v>
      </c>
      <c r="P2820" s="92">
        <v>2.0768868E7</v>
      </c>
      <c r="Q2820" s="89" t="s">
        <v>813</v>
      </c>
      <c r="AF2820" s="1"/>
      <c r="AG2820" s="1"/>
    </row>
    <row r="2821" ht="15.75" customHeight="1">
      <c r="A2821" s="1"/>
      <c r="B2821" s="1"/>
      <c r="C2821" s="1"/>
      <c r="D2821" s="1"/>
      <c r="E2821" s="1"/>
      <c r="F2821" s="1"/>
      <c r="G2821" s="1"/>
      <c r="H2821" s="1"/>
      <c r="I2821" s="1"/>
      <c r="J2821" s="1"/>
      <c r="K2821" s="89" t="s">
        <v>4245</v>
      </c>
      <c r="L2821" s="89" t="str">
        <f>G105</f>
        <v>C1b1a2a</v>
      </c>
      <c r="M2821" s="89"/>
      <c r="N2821" s="89"/>
      <c r="O2821" s="92">
        <v>2.2971483E7</v>
      </c>
      <c r="P2821" s="92">
        <v>2.0809597E7</v>
      </c>
      <c r="Q2821" s="89" t="s">
        <v>813</v>
      </c>
      <c r="AF2821" s="1"/>
      <c r="AG2821" s="1"/>
    </row>
    <row r="2822" ht="15.75" customHeight="1">
      <c r="A2822" s="1"/>
      <c r="B2822" s="1"/>
      <c r="C2822" s="1"/>
      <c r="D2822" s="1"/>
      <c r="E2822" s="1"/>
      <c r="F2822" s="1"/>
      <c r="G2822" s="1"/>
      <c r="H2822" s="1"/>
      <c r="I2822" s="1"/>
      <c r="J2822" s="1"/>
      <c r="K2822" s="89" t="s">
        <v>4246</v>
      </c>
      <c r="L2822" s="89" t="str">
        <f>G105</f>
        <v>C1b1a2a</v>
      </c>
      <c r="M2822" s="89"/>
      <c r="N2822" s="89"/>
      <c r="O2822" s="92">
        <v>2.2990443E7</v>
      </c>
      <c r="P2822" s="92">
        <v>2.0828557E7</v>
      </c>
      <c r="Q2822" s="89" t="s">
        <v>838</v>
      </c>
      <c r="AF2822" s="1"/>
      <c r="AG2822" s="1"/>
    </row>
    <row r="2823" ht="15.75" customHeight="1">
      <c r="A2823" s="1"/>
      <c r="B2823" s="1"/>
      <c r="C2823" s="1"/>
      <c r="D2823" s="1"/>
      <c r="E2823" s="1"/>
      <c r="F2823" s="1"/>
      <c r="G2823" s="1"/>
      <c r="H2823" s="1"/>
      <c r="I2823" s="1"/>
      <c r="J2823" s="1"/>
      <c r="K2823" s="89" t="s">
        <v>4247</v>
      </c>
      <c r="L2823" s="89" t="str">
        <f>G105</f>
        <v>C1b1a2a</v>
      </c>
      <c r="M2823" s="89"/>
      <c r="N2823" s="89"/>
      <c r="O2823" s="92">
        <v>2.3051406E7</v>
      </c>
      <c r="P2823" s="92">
        <v>2.088952E7</v>
      </c>
      <c r="Q2823" s="89" t="s">
        <v>810</v>
      </c>
      <c r="AF2823" s="1"/>
      <c r="AG2823" s="1"/>
    </row>
    <row r="2824" ht="15.75" customHeight="1">
      <c r="A2824" s="1"/>
      <c r="B2824" s="1"/>
      <c r="C2824" s="1"/>
      <c r="D2824" s="1"/>
      <c r="E2824" s="1"/>
      <c r="F2824" s="1"/>
      <c r="G2824" s="1"/>
      <c r="H2824" s="1"/>
      <c r="I2824" s="1"/>
      <c r="J2824" s="1"/>
      <c r="K2824" s="89" t="s">
        <v>4248</v>
      </c>
      <c r="L2824" s="89" t="str">
        <f>G105</f>
        <v>C1b1a2a</v>
      </c>
      <c r="M2824" s="89"/>
      <c r="N2824" s="89"/>
      <c r="O2824" s="92">
        <v>2.3067908E7</v>
      </c>
      <c r="P2824" s="92">
        <v>2.0906022E7</v>
      </c>
      <c r="Q2824" s="89" t="s">
        <v>917</v>
      </c>
      <c r="AF2824" s="1"/>
      <c r="AG2824" s="1"/>
    </row>
    <row r="2825" ht="15.75" customHeight="1">
      <c r="A2825" s="1"/>
      <c r="B2825" s="1"/>
      <c r="C2825" s="1"/>
      <c r="D2825" s="1"/>
      <c r="E2825" s="1"/>
      <c r="F2825" s="1"/>
      <c r="G2825" s="1"/>
      <c r="H2825" s="1"/>
      <c r="I2825" s="1"/>
      <c r="J2825" s="1"/>
      <c r="K2825" s="89" t="s">
        <v>4249</v>
      </c>
      <c r="L2825" s="89" t="str">
        <f>G105</f>
        <v>C1b1a2a</v>
      </c>
      <c r="M2825" s="89"/>
      <c r="N2825" s="89"/>
      <c r="O2825" s="92">
        <v>2.306797E7</v>
      </c>
      <c r="P2825" s="92">
        <v>2.0906084E7</v>
      </c>
      <c r="Q2825" s="89" t="s">
        <v>838</v>
      </c>
      <c r="AF2825" s="1"/>
      <c r="AG2825" s="1"/>
    </row>
    <row r="2826" ht="15.75" customHeight="1">
      <c r="A2826" s="1"/>
      <c r="B2826" s="1"/>
      <c r="C2826" s="1"/>
      <c r="D2826" s="1"/>
      <c r="E2826" s="1"/>
      <c r="F2826" s="1"/>
      <c r="G2826" s="1"/>
      <c r="H2826" s="1"/>
      <c r="I2826" s="1"/>
      <c r="J2826" s="1"/>
      <c r="K2826" s="89" t="s">
        <v>4250</v>
      </c>
      <c r="L2826" s="89" t="str">
        <f>G105</f>
        <v>C1b1a2a</v>
      </c>
      <c r="M2826" s="89"/>
      <c r="N2826" s="89"/>
      <c r="O2826" s="92">
        <v>2.3078195E7</v>
      </c>
      <c r="P2826" s="92">
        <v>2.0916309E7</v>
      </c>
      <c r="Q2826" s="89" t="s">
        <v>802</v>
      </c>
      <c r="AF2826" s="1"/>
      <c r="AG2826" s="1"/>
    </row>
    <row r="2827" ht="15.75" customHeight="1">
      <c r="A2827" s="1"/>
      <c r="B2827" s="1"/>
      <c r="C2827" s="1"/>
      <c r="D2827" s="1"/>
      <c r="E2827" s="1"/>
      <c r="F2827" s="1"/>
      <c r="G2827" s="1"/>
      <c r="H2827" s="1"/>
      <c r="I2827" s="1"/>
      <c r="J2827" s="1"/>
      <c r="K2827" s="89" t="s">
        <v>4251</v>
      </c>
      <c r="L2827" s="89" t="str">
        <f>G105</f>
        <v>C1b1a2a</v>
      </c>
      <c r="M2827" s="89"/>
      <c r="N2827" s="89" t="s">
        <v>4252</v>
      </c>
      <c r="O2827" s="92">
        <v>2.3086019E7</v>
      </c>
      <c r="P2827" s="92">
        <v>2.0924133E7</v>
      </c>
      <c r="Q2827" s="89" t="s">
        <v>912</v>
      </c>
      <c r="AF2827" s="1"/>
      <c r="AG2827" s="1"/>
    </row>
    <row r="2828" ht="15.75" customHeight="1">
      <c r="A2828" s="1"/>
      <c r="B2828" s="1"/>
      <c r="C2828" s="1"/>
      <c r="D2828" s="1"/>
      <c r="E2828" s="1"/>
      <c r="F2828" s="1"/>
      <c r="G2828" s="1"/>
      <c r="H2828" s="1"/>
      <c r="I2828" s="1"/>
      <c r="J2828" s="1"/>
      <c r="K2828" s="89" t="s">
        <v>4253</v>
      </c>
      <c r="L2828" s="89" t="str">
        <f>G105</f>
        <v>C1b1a2a</v>
      </c>
      <c r="M2828" s="89"/>
      <c r="N2828" s="89"/>
      <c r="O2828" s="92">
        <v>2.3113978E7</v>
      </c>
      <c r="P2828" s="92">
        <v>2.0952092E7</v>
      </c>
      <c r="Q2828" s="89" t="s">
        <v>813</v>
      </c>
      <c r="AF2828" s="1"/>
      <c r="AG2828" s="1"/>
    </row>
    <row r="2829" ht="15.75" customHeight="1">
      <c r="A2829" s="1"/>
      <c r="B2829" s="1"/>
      <c r="C2829" s="1"/>
      <c r="D2829" s="1"/>
      <c r="E2829" s="1"/>
      <c r="F2829" s="1"/>
      <c r="G2829" s="1"/>
      <c r="H2829" s="1"/>
      <c r="I2829" s="1"/>
      <c r="J2829" s="1"/>
      <c r="K2829" s="89" t="s">
        <v>4254</v>
      </c>
      <c r="L2829" s="89" t="str">
        <f>G105</f>
        <v>C1b1a2a</v>
      </c>
      <c r="M2829" s="89"/>
      <c r="N2829" s="89"/>
      <c r="O2829" s="92">
        <v>2.3124451E7</v>
      </c>
      <c r="P2829" s="92">
        <v>2.0962565E7</v>
      </c>
      <c r="Q2829" s="89" t="s">
        <v>917</v>
      </c>
      <c r="AF2829" s="1"/>
      <c r="AG2829" s="1"/>
    </row>
    <row r="2830" ht="15.75" customHeight="1">
      <c r="A2830" s="1"/>
      <c r="B2830" s="1"/>
      <c r="C2830" s="1"/>
      <c r="D2830" s="1"/>
      <c r="E2830" s="1"/>
      <c r="F2830" s="1"/>
      <c r="G2830" s="1"/>
      <c r="H2830" s="1"/>
      <c r="I2830" s="1"/>
      <c r="J2830" s="1"/>
      <c r="K2830" s="89" t="s">
        <v>4255</v>
      </c>
      <c r="L2830" s="89" t="str">
        <f>G105</f>
        <v>C1b1a2a</v>
      </c>
      <c r="M2830" s="89"/>
      <c r="N2830" s="89"/>
      <c r="O2830" s="92">
        <v>2.313097E7</v>
      </c>
      <c r="P2830" s="92">
        <v>2.0969084E7</v>
      </c>
      <c r="Q2830" s="89" t="s">
        <v>838</v>
      </c>
      <c r="AF2830" s="1"/>
      <c r="AG2830" s="1"/>
    </row>
    <row r="2831" ht="15.75" customHeight="1">
      <c r="A2831" s="1"/>
      <c r="B2831" s="1"/>
      <c r="C2831" s="1"/>
      <c r="D2831" s="1"/>
      <c r="E2831" s="1"/>
      <c r="F2831" s="1"/>
      <c r="G2831" s="1"/>
      <c r="H2831" s="1"/>
      <c r="I2831" s="1"/>
      <c r="J2831" s="1"/>
      <c r="K2831" s="89" t="s">
        <v>4256</v>
      </c>
      <c r="L2831" s="89" t="str">
        <f>G105</f>
        <v>C1b1a2a</v>
      </c>
      <c r="M2831" s="89"/>
      <c r="N2831" s="89"/>
      <c r="O2831" s="92">
        <v>2.3149962E7</v>
      </c>
      <c r="P2831" s="92">
        <v>2.0988076E7</v>
      </c>
      <c r="Q2831" s="89" t="s">
        <v>802</v>
      </c>
      <c r="AF2831" s="1"/>
      <c r="AG2831" s="1"/>
    </row>
    <row r="2832" ht="15.75" customHeight="1">
      <c r="A2832" s="1"/>
      <c r="B2832" s="1"/>
      <c r="C2832" s="1"/>
      <c r="D2832" s="1"/>
      <c r="E2832" s="1"/>
      <c r="F2832" s="1"/>
      <c r="G2832" s="1"/>
      <c r="H2832" s="1"/>
      <c r="I2832" s="1"/>
      <c r="J2832" s="1"/>
      <c r="K2832" s="89" t="s">
        <v>4257</v>
      </c>
      <c r="L2832" s="89" t="str">
        <f>G105</f>
        <v>C1b1a2a</v>
      </c>
      <c r="M2832" s="89"/>
      <c r="N2832" s="89"/>
      <c r="O2832" s="92">
        <v>2.3157198E7</v>
      </c>
      <c r="P2832" s="92">
        <v>2.0995312E7</v>
      </c>
      <c r="Q2832" s="89" t="s">
        <v>845</v>
      </c>
      <c r="AF2832" s="1"/>
      <c r="AG2832" s="1"/>
    </row>
    <row r="2833" ht="15.75" customHeight="1">
      <c r="A2833" s="1"/>
      <c r="B2833" s="1"/>
      <c r="C2833" s="1"/>
      <c r="D2833" s="1"/>
      <c r="E2833" s="1"/>
      <c r="F2833" s="1"/>
      <c r="G2833" s="1"/>
      <c r="H2833" s="1"/>
      <c r="I2833" s="1"/>
      <c r="J2833" s="1"/>
      <c r="K2833" s="89" t="s">
        <v>4258</v>
      </c>
      <c r="L2833" s="89" t="str">
        <f>G105</f>
        <v>C1b1a2a</v>
      </c>
      <c r="M2833" s="89"/>
      <c r="N2833" s="89" t="s">
        <v>4259</v>
      </c>
      <c r="O2833" s="92">
        <v>2.3188313E7</v>
      </c>
      <c r="P2833" s="92">
        <v>2.1026427E7</v>
      </c>
      <c r="Q2833" s="89" t="s">
        <v>810</v>
      </c>
      <c r="AF2833" s="1"/>
      <c r="AG2833" s="1"/>
    </row>
    <row r="2834" ht="15.75" customHeight="1">
      <c r="A2834" s="1"/>
      <c r="B2834" s="1"/>
      <c r="C2834" s="1"/>
      <c r="D2834" s="1"/>
      <c r="E2834" s="1"/>
      <c r="F2834" s="1"/>
      <c r="G2834" s="1"/>
      <c r="H2834" s="1"/>
      <c r="I2834" s="1"/>
      <c r="J2834" s="1"/>
      <c r="K2834" s="89" t="s">
        <v>4260</v>
      </c>
      <c r="L2834" s="89" t="str">
        <f>G105</f>
        <v>C1b1a2a</v>
      </c>
      <c r="M2834" s="89"/>
      <c r="N2834" s="89"/>
      <c r="O2834" s="92">
        <v>2.3189831E7</v>
      </c>
      <c r="P2834" s="92">
        <v>2.1027945E7</v>
      </c>
      <c r="Q2834" s="89" t="s">
        <v>822</v>
      </c>
      <c r="AF2834" s="1"/>
      <c r="AG2834" s="1"/>
    </row>
    <row r="2835" ht="15.75" customHeight="1">
      <c r="A2835" s="1"/>
      <c r="B2835" s="1"/>
      <c r="C2835" s="1"/>
      <c r="D2835" s="1"/>
      <c r="E2835" s="1"/>
      <c r="F2835" s="1"/>
      <c r="G2835" s="1"/>
      <c r="H2835" s="1"/>
      <c r="I2835" s="1"/>
      <c r="J2835" s="1"/>
      <c r="K2835" s="89" t="s">
        <v>4261</v>
      </c>
      <c r="L2835" s="89" t="str">
        <f>G105</f>
        <v>C1b1a2a</v>
      </c>
      <c r="M2835" s="89"/>
      <c r="N2835" s="89"/>
      <c r="O2835" s="92">
        <v>2.3247175E7</v>
      </c>
      <c r="P2835" s="92">
        <v>2.1085289E7</v>
      </c>
      <c r="Q2835" s="89" t="s">
        <v>822</v>
      </c>
      <c r="AF2835" s="1"/>
      <c r="AG2835" s="1"/>
    </row>
    <row r="2836" ht="15.75" customHeight="1">
      <c r="A2836" s="1"/>
      <c r="B2836" s="1"/>
      <c r="C2836" s="1"/>
      <c r="D2836" s="1"/>
      <c r="E2836" s="1"/>
      <c r="F2836" s="1"/>
      <c r="G2836" s="1"/>
      <c r="H2836" s="1"/>
      <c r="I2836" s="1"/>
      <c r="J2836" s="1"/>
      <c r="K2836" s="89" t="s">
        <v>4262</v>
      </c>
      <c r="L2836" s="89" t="str">
        <f>G105</f>
        <v>C1b1a2a</v>
      </c>
      <c r="M2836" s="89"/>
      <c r="N2836" s="89"/>
      <c r="O2836" s="92">
        <v>2.3255769E7</v>
      </c>
      <c r="P2836" s="92">
        <v>2.1093883E7</v>
      </c>
      <c r="Q2836" s="89" t="s">
        <v>810</v>
      </c>
      <c r="AF2836" s="1"/>
      <c r="AG2836" s="1"/>
    </row>
    <row r="2837" ht="15.75" customHeight="1">
      <c r="A2837" s="1"/>
      <c r="B2837" s="1"/>
      <c r="C2837" s="1"/>
      <c r="D2837" s="1"/>
      <c r="E2837" s="1"/>
      <c r="F2837" s="1"/>
      <c r="G2837" s="1"/>
      <c r="H2837" s="1"/>
      <c r="I2837" s="1"/>
      <c r="J2837" s="1"/>
      <c r="K2837" s="89" t="s">
        <v>4263</v>
      </c>
      <c r="L2837" s="89" t="str">
        <f>G105</f>
        <v>C1b1a2a</v>
      </c>
      <c r="M2837" s="89"/>
      <c r="N2837" s="89"/>
      <c r="O2837" s="92">
        <v>2.3270938E7</v>
      </c>
      <c r="P2837" s="92">
        <v>2.1109052E7</v>
      </c>
      <c r="Q2837" s="89" t="s">
        <v>810</v>
      </c>
      <c r="AF2837" s="1"/>
      <c r="AG2837" s="1"/>
    </row>
    <row r="2838" ht="15.75" customHeight="1">
      <c r="A2838" s="1"/>
      <c r="B2838" s="1"/>
      <c r="C2838" s="1"/>
      <c r="D2838" s="1"/>
      <c r="E2838" s="1"/>
      <c r="F2838" s="1"/>
      <c r="G2838" s="1"/>
      <c r="H2838" s="1"/>
      <c r="I2838" s="1"/>
      <c r="J2838" s="1"/>
      <c r="K2838" s="89" t="s">
        <v>4264</v>
      </c>
      <c r="L2838" s="89" t="str">
        <f>G105</f>
        <v>C1b1a2a</v>
      </c>
      <c r="M2838" s="89"/>
      <c r="N2838" s="89"/>
      <c r="O2838" s="92">
        <v>2.3272953E7</v>
      </c>
      <c r="P2838" s="92">
        <v>2.1111067E7</v>
      </c>
      <c r="Q2838" s="89" t="s">
        <v>813</v>
      </c>
      <c r="AF2838" s="1"/>
      <c r="AG2838" s="1"/>
    </row>
    <row r="2839" ht="15.75" customHeight="1">
      <c r="A2839" s="1"/>
      <c r="B2839" s="1"/>
      <c r="C2839" s="1"/>
      <c r="D2839" s="1"/>
      <c r="E2839" s="1"/>
      <c r="F2839" s="1"/>
      <c r="G2839" s="1"/>
      <c r="H2839" s="1"/>
      <c r="I2839" s="1"/>
      <c r="J2839" s="1"/>
      <c r="K2839" s="89" t="s">
        <v>4265</v>
      </c>
      <c r="L2839" s="89" t="str">
        <f>G105</f>
        <v>C1b1a2a</v>
      </c>
      <c r="M2839" s="89"/>
      <c r="N2839" s="89"/>
      <c r="O2839" s="92">
        <v>2.3367627E7</v>
      </c>
      <c r="P2839" s="92">
        <v>2.1205741E7</v>
      </c>
      <c r="Q2839" s="89" t="s">
        <v>822</v>
      </c>
      <c r="AF2839" s="1"/>
      <c r="AG2839" s="1"/>
    </row>
    <row r="2840" ht="15.75" customHeight="1">
      <c r="A2840" s="1"/>
      <c r="B2840" s="1"/>
      <c r="C2840" s="1"/>
      <c r="D2840" s="1"/>
      <c r="E2840" s="1"/>
      <c r="F2840" s="1"/>
      <c r="G2840" s="1"/>
      <c r="H2840" s="1"/>
      <c r="I2840" s="1"/>
      <c r="J2840" s="1"/>
      <c r="K2840" s="89" t="s">
        <v>4266</v>
      </c>
      <c r="L2840" s="89" t="str">
        <f>H106</f>
        <v>C1b1a2a1~</v>
      </c>
      <c r="M2840" s="89"/>
      <c r="N2840" s="89"/>
      <c r="O2840" s="92">
        <v>8141614.0</v>
      </c>
      <c r="P2840" s="92">
        <v>8273573.0</v>
      </c>
      <c r="Q2840" s="89" t="s">
        <v>838</v>
      </c>
      <c r="AF2840" s="1"/>
      <c r="AG2840" s="1"/>
    </row>
    <row r="2841" ht="15.75" customHeight="1">
      <c r="A2841" s="1"/>
      <c r="B2841" s="1"/>
      <c r="C2841" s="1"/>
      <c r="D2841" s="1"/>
      <c r="E2841" s="1"/>
      <c r="F2841" s="1"/>
      <c r="G2841" s="1"/>
      <c r="H2841" s="1"/>
      <c r="I2841" s="1"/>
      <c r="J2841" s="1"/>
      <c r="K2841" s="89" t="s">
        <v>4267</v>
      </c>
      <c r="L2841" s="89" t="str">
        <f>H106</f>
        <v>C1b1a2a1~</v>
      </c>
      <c r="M2841" s="89"/>
      <c r="N2841" s="89"/>
      <c r="O2841" s="92">
        <v>1.5744718E7</v>
      </c>
      <c r="P2841" s="92">
        <v>1.3632838E7</v>
      </c>
      <c r="Q2841" s="89" t="s">
        <v>810</v>
      </c>
      <c r="AF2841" s="1"/>
      <c r="AG2841" s="1"/>
    </row>
    <row r="2842" ht="15.75" customHeight="1">
      <c r="A2842" s="1"/>
      <c r="B2842" s="1"/>
      <c r="C2842" s="1"/>
      <c r="D2842" s="1"/>
      <c r="E2842" s="1"/>
      <c r="F2842" s="1"/>
      <c r="G2842" s="1"/>
      <c r="H2842" s="1"/>
      <c r="I2842" s="1"/>
      <c r="J2842" s="1"/>
      <c r="K2842" s="89" t="s">
        <v>4268</v>
      </c>
      <c r="L2842" s="89" t="str">
        <f>H106</f>
        <v>C1b1a2a1~</v>
      </c>
      <c r="M2842" s="89"/>
      <c r="N2842" s="89"/>
      <c r="O2842" s="92">
        <v>1.6700555E7</v>
      </c>
      <c r="P2842" s="92">
        <v>1.4588675E7</v>
      </c>
      <c r="Q2842" s="89" t="s">
        <v>912</v>
      </c>
      <c r="AF2842" s="1"/>
      <c r="AG2842" s="1"/>
    </row>
    <row r="2843" ht="15.75" customHeight="1">
      <c r="A2843" s="1"/>
      <c r="B2843" s="1"/>
      <c r="C2843" s="1"/>
      <c r="D2843" s="1"/>
      <c r="E2843" s="1"/>
      <c r="F2843" s="1"/>
      <c r="G2843" s="1"/>
      <c r="H2843" s="1"/>
      <c r="I2843" s="1"/>
      <c r="J2843" s="1"/>
      <c r="K2843" s="89" t="s">
        <v>4269</v>
      </c>
      <c r="L2843" s="89" t="str">
        <f t="shared" ref="L2843:L2844" si="20">H106</f>
        <v>C1b1a2a1~</v>
      </c>
      <c r="M2843" s="89"/>
      <c r="N2843" s="89"/>
      <c r="O2843" s="92">
        <v>1.7364316E7</v>
      </c>
      <c r="P2843" s="92">
        <v>1.5252436E7</v>
      </c>
      <c r="Q2843" s="89" t="s">
        <v>886</v>
      </c>
      <c r="AF2843" s="1"/>
      <c r="AG2843" s="1"/>
    </row>
    <row r="2844" ht="15.75" customHeight="1">
      <c r="A2844" s="1"/>
      <c r="B2844" s="1"/>
      <c r="C2844" s="1"/>
      <c r="D2844" s="1"/>
      <c r="E2844" s="1"/>
      <c r="F2844" s="1"/>
      <c r="G2844" s="1"/>
      <c r="H2844" s="1"/>
      <c r="I2844" s="1"/>
      <c r="J2844" s="1"/>
      <c r="K2844" s="89" t="s">
        <v>4270</v>
      </c>
      <c r="L2844" s="89" t="str">
        <f t="shared" si="20"/>
        <v>C1b1a2a2~</v>
      </c>
      <c r="M2844" s="89"/>
      <c r="N2844" s="89"/>
      <c r="O2844" s="89">
        <v>8416671.0</v>
      </c>
      <c r="P2844" s="89">
        <v>8548630.0</v>
      </c>
      <c r="Q2844" s="89" t="s">
        <v>810</v>
      </c>
      <c r="AF2844" s="1"/>
      <c r="AG2844" s="1"/>
    </row>
    <row r="2845" ht="15.75" customHeight="1">
      <c r="A2845" s="1"/>
      <c r="B2845" s="1"/>
      <c r="C2845" s="1"/>
      <c r="D2845" s="1"/>
      <c r="E2845" s="1"/>
      <c r="F2845" s="1"/>
      <c r="G2845" s="1"/>
      <c r="H2845" s="1"/>
      <c r="I2845" s="1"/>
      <c r="J2845" s="1"/>
      <c r="K2845" s="89" t="s">
        <v>4271</v>
      </c>
      <c r="L2845" s="89" t="str">
        <f>H107</f>
        <v>C1b1a2a2~</v>
      </c>
      <c r="M2845" s="89"/>
      <c r="N2845" s="89"/>
      <c r="O2845" s="89">
        <v>1.5489237E7</v>
      </c>
      <c r="P2845" s="89">
        <v>1.3377357E7</v>
      </c>
      <c r="Q2845" s="89" t="s">
        <v>845</v>
      </c>
      <c r="AF2845" s="1"/>
      <c r="AG2845" s="1"/>
    </row>
    <row r="2846" ht="15.75" customHeight="1">
      <c r="A2846" s="1"/>
      <c r="B2846" s="1"/>
      <c r="C2846" s="1"/>
      <c r="D2846" s="1"/>
      <c r="E2846" s="1"/>
      <c r="F2846" s="1"/>
      <c r="G2846" s="1"/>
      <c r="H2846" s="1"/>
      <c r="I2846" s="1"/>
      <c r="J2846" s="1"/>
      <c r="K2846" s="89" t="s">
        <v>4272</v>
      </c>
      <c r="L2846" s="89" t="str">
        <f>H107</f>
        <v>C1b1a2a2~</v>
      </c>
      <c r="M2846" s="89"/>
      <c r="N2846" s="89"/>
      <c r="O2846" s="89">
        <v>1.7075164E7</v>
      </c>
      <c r="P2846" s="89">
        <v>1.4963284E7</v>
      </c>
      <c r="Q2846" s="89" t="s">
        <v>822</v>
      </c>
      <c r="AF2846" s="1"/>
      <c r="AG2846" s="1"/>
    </row>
    <row r="2847" ht="15.75" customHeight="1">
      <c r="A2847" s="1"/>
      <c r="B2847" s="1"/>
      <c r="C2847" s="1"/>
      <c r="D2847" s="1"/>
      <c r="E2847" s="1"/>
      <c r="F2847" s="1"/>
      <c r="G2847" s="1"/>
      <c r="H2847" s="1"/>
      <c r="I2847" s="1"/>
      <c r="J2847" s="1"/>
      <c r="K2847" s="89" t="s">
        <v>4273</v>
      </c>
      <c r="L2847" s="89" t="str">
        <f>H107</f>
        <v>C1b1a2a2~</v>
      </c>
      <c r="M2847" s="89"/>
      <c r="N2847" s="89"/>
      <c r="O2847" s="89">
        <v>1.8952583E7</v>
      </c>
      <c r="P2847" s="89">
        <v>1.6840703E7</v>
      </c>
      <c r="Q2847" s="89" t="s">
        <v>810</v>
      </c>
      <c r="AF2847" s="1"/>
      <c r="AG2847" s="1"/>
    </row>
    <row r="2848" ht="15.75" customHeight="1">
      <c r="A2848" s="1"/>
      <c r="B2848" s="1"/>
      <c r="C2848" s="1"/>
      <c r="D2848" s="1"/>
      <c r="E2848" s="1"/>
      <c r="F2848" s="1"/>
      <c r="G2848" s="1"/>
      <c r="H2848" s="1"/>
      <c r="I2848" s="1"/>
      <c r="J2848" s="1"/>
      <c r="K2848" s="89" t="s">
        <v>4274</v>
      </c>
      <c r="L2848" s="89" t="str">
        <f>H107</f>
        <v>C1b1a2a2~</v>
      </c>
      <c r="M2848" s="89"/>
      <c r="N2848" s="89"/>
      <c r="O2848" s="89">
        <v>2.1724291E7</v>
      </c>
      <c r="P2848" s="89">
        <v>1.9562405E7</v>
      </c>
      <c r="Q2848" s="89" t="s">
        <v>802</v>
      </c>
      <c r="AF2848" s="1"/>
      <c r="AG2848" s="1"/>
    </row>
    <row r="2849" ht="15.75" customHeight="1">
      <c r="A2849" s="1"/>
      <c r="B2849" s="1"/>
      <c r="C2849" s="1"/>
      <c r="D2849" s="1"/>
      <c r="E2849" s="1"/>
      <c r="F2849" s="1"/>
      <c r="G2849" s="1"/>
      <c r="H2849" s="1"/>
      <c r="I2849" s="1"/>
      <c r="J2849" s="1"/>
      <c r="K2849" s="89" t="s">
        <v>4275</v>
      </c>
      <c r="L2849" s="89" t="str">
        <f>G108</f>
        <v>C1b1a2b</v>
      </c>
      <c r="M2849" s="89" t="s">
        <v>4276</v>
      </c>
      <c r="N2849" s="89" t="s">
        <v>4277</v>
      </c>
      <c r="O2849" s="92">
        <v>2737462.0</v>
      </c>
      <c r="P2849" s="92">
        <v>2869421.0</v>
      </c>
      <c r="Q2849" s="89" t="s">
        <v>802</v>
      </c>
      <c r="AF2849" s="1"/>
      <c r="AG2849" s="1"/>
    </row>
    <row r="2850" ht="15.75" customHeight="1">
      <c r="A2850" s="1"/>
      <c r="B2850" s="1"/>
      <c r="C2850" s="1"/>
      <c r="D2850" s="1"/>
      <c r="E2850" s="1"/>
      <c r="F2850" s="1"/>
      <c r="G2850" s="1"/>
      <c r="H2850" s="1"/>
      <c r="I2850" s="1"/>
      <c r="J2850" s="1"/>
      <c r="K2850" s="89" t="s">
        <v>4278</v>
      </c>
      <c r="L2850" s="89" t="str">
        <f>G108</f>
        <v>C1b1a2b</v>
      </c>
      <c r="M2850" s="89" t="s">
        <v>4279</v>
      </c>
      <c r="N2850" s="89" t="s">
        <v>4280</v>
      </c>
      <c r="O2850" s="92">
        <v>2737462.0</v>
      </c>
      <c r="P2850" s="92">
        <v>2869421.0</v>
      </c>
      <c r="Q2850" s="89" t="s">
        <v>802</v>
      </c>
      <c r="AF2850" s="1"/>
      <c r="AG2850" s="1"/>
    </row>
    <row r="2851" ht="15.75" customHeight="1">
      <c r="A2851" s="1"/>
      <c r="B2851" s="1"/>
      <c r="C2851" s="1"/>
      <c r="D2851" s="1"/>
      <c r="E2851" s="1"/>
      <c r="F2851" s="1"/>
      <c r="G2851" s="1"/>
      <c r="H2851" s="1"/>
      <c r="I2851" s="1"/>
      <c r="J2851" s="1"/>
      <c r="K2851" s="89" t="s">
        <v>4281</v>
      </c>
      <c r="L2851" s="89" t="str">
        <f>G108</f>
        <v>C1b1a2b</v>
      </c>
      <c r="M2851" s="89" t="s">
        <v>4282</v>
      </c>
      <c r="N2851" s="89" t="s">
        <v>4277</v>
      </c>
      <c r="O2851" s="92">
        <v>2737462.0</v>
      </c>
      <c r="P2851" s="92">
        <v>2869421.0</v>
      </c>
      <c r="Q2851" s="89" t="s">
        <v>802</v>
      </c>
      <c r="AF2851" s="1"/>
      <c r="AG2851" s="1"/>
    </row>
    <row r="2852" ht="15.75" customHeight="1">
      <c r="A2852" s="1"/>
      <c r="B2852" s="1"/>
      <c r="C2852" s="1"/>
      <c r="D2852" s="1"/>
      <c r="E2852" s="1"/>
      <c r="F2852" s="1"/>
      <c r="G2852" s="1"/>
      <c r="H2852" s="1"/>
      <c r="I2852" s="1"/>
      <c r="J2852" s="1"/>
      <c r="K2852" s="89" t="s">
        <v>4283</v>
      </c>
      <c r="L2852" s="89" t="str">
        <f>G108</f>
        <v>C1b1a2b</v>
      </c>
      <c r="M2852" s="89" t="s">
        <v>4284</v>
      </c>
      <c r="N2852" s="89" t="s">
        <v>4285</v>
      </c>
      <c r="O2852" s="92">
        <v>1.4031626E7</v>
      </c>
      <c r="P2852" s="92">
        <v>1.191092E7</v>
      </c>
      <c r="Q2852" s="89" t="s">
        <v>879</v>
      </c>
      <c r="AF2852" s="1"/>
      <c r="AG2852" s="1"/>
    </row>
    <row r="2853" ht="15.75" customHeight="1">
      <c r="A2853" s="1"/>
      <c r="B2853" s="1"/>
      <c r="C2853" s="1"/>
      <c r="D2853" s="1"/>
      <c r="E2853" s="1"/>
      <c r="F2853" s="1"/>
      <c r="G2853" s="1"/>
      <c r="H2853" s="1"/>
      <c r="I2853" s="1"/>
      <c r="J2853" s="1"/>
      <c r="K2853" s="89" t="s">
        <v>4284</v>
      </c>
      <c r="L2853" s="89" t="str">
        <f>G108</f>
        <v>C1b1a2b</v>
      </c>
      <c r="M2853" s="89" t="s">
        <v>4283</v>
      </c>
      <c r="N2853" s="89" t="s">
        <v>4285</v>
      </c>
      <c r="O2853" s="92">
        <v>1.4031626E7</v>
      </c>
      <c r="P2853" s="92">
        <v>1.191092E7</v>
      </c>
      <c r="Q2853" s="89" t="s">
        <v>879</v>
      </c>
      <c r="AF2853" s="1"/>
      <c r="AG2853" s="1"/>
    </row>
    <row r="2854" ht="15.75" customHeight="1">
      <c r="A2854" s="1"/>
      <c r="B2854" s="1"/>
      <c r="C2854" s="1"/>
      <c r="D2854" s="1"/>
      <c r="E2854" s="1"/>
      <c r="F2854" s="1"/>
      <c r="G2854" s="1"/>
      <c r="H2854" s="1"/>
      <c r="I2854" s="1"/>
      <c r="J2854" s="1"/>
      <c r="K2854" s="89" t="s">
        <v>4286</v>
      </c>
      <c r="L2854" s="89" t="str">
        <f>G108</f>
        <v>C1b1a2b</v>
      </c>
      <c r="M2854" s="89" t="s">
        <v>4287</v>
      </c>
      <c r="N2854" s="89" t="s">
        <v>4288</v>
      </c>
      <c r="O2854" s="92">
        <v>1.4065152E7</v>
      </c>
      <c r="P2854" s="92">
        <v>1.1944446E7</v>
      </c>
      <c r="Q2854" s="89" t="s">
        <v>810</v>
      </c>
      <c r="AF2854" s="1"/>
      <c r="AG2854" s="1"/>
    </row>
    <row r="2855" ht="15.75" customHeight="1">
      <c r="A2855" s="1"/>
      <c r="B2855" s="1"/>
      <c r="C2855" s="1"/>
      <c r="D2855" s="1"/>
      <c r="E2855" s="1"/>
      <c r="F2855" s="1"/>
      <c r="G2855" s="1"/>
      <c r="H2855" s="1"/>
      <c r="I2855" s="1"/>
      <c r="J2855" s="1"/>
      <c r="K2855" s="89" t="s">
        <v>4287</v>
      </c>
      <c r="L2855" s="89" t="str">
        <f>G108</f>
        <v>C1b1a2b</v>
      </c>
      <c r="M2855" s="89" t="s">
        <v>4286</v>
      </c>
      <c r="N2855" s="89" t="s">
        <v>4288</v>
      </c>
      <c r="O2855" s="92">
        <v>1.4065152E7</v>
      </c>
      <c r="P2855" s="92">
        <v>1.1944446E7</v>
      </c>
      <c r="Q2855" s="89" t="s">
        <v>810</v>
      </c>
      <c r="AF2855" s="1"/>
      <c r="AG2855" s="1"/>
    </row>
    <row r="2856" ht="15.75" customHeight="1">
      <c r="A2856" s="1"/>
      <c r="B2856" s="1"/>
      <c r="C2856" s="1"/>
      <c r="D2856" s="1"/>
      <c r="E2856" s="1"/>
      <c r="F2856" s="1"/>
      <c r="G2856" s="1"/>
      <c r="H2856" s="1"/>
      <c r="I2856" s="1"/>
      <c r="J2856" s="1"/>
      <c r="K2856" s="89" t="s">
        <v>4289</v>
      </c>
      <c r="L2856" s="89" t="str">
        <f>G108</f>
        <v>C1b1a2b</v>
      </c>
      <c r="M2856" s="89" t="s">
        <v>4290</v>
      </c>
      <c r="N2856" s="89" t="s">
        <v>4291</v>
      </c>
      <c r="O2856" s="92">
        <v>1.4076319E7</v>
      </c>
      <c r="P2856" s="92">
        <v>1.1955613E7</v>
      </c>
      <c r="Q2856" s="89" t="s">
        <v>802</v>
      </c>
      <c r="AF2856" s="1"/>
      <c r="AG2856" s="1"/>
    </row>
    <row r="2857" ht="15.75" customHeight="1">
      <c r="A2857" s="1"/>
      <c r="B2857" s="1"/>
      <c r="C2857" s="1"/>
      <c r="D2857" s="1"/>
      <c r="E2857" s="1"/>
      <c r="F2857" s="1"/>
      <c r="G2857" s="1"/>
      <c r="H2857" s="1"/>
      <c r="I2857" s="1"/>
      <c r="J2857" s="1"/>
      <c r="K2857" s="89" t="s">
        <v>4290</v>
      </c>
      <c r="L2857" s="89" t="str">
        <f>G108</f>
        <v>C1b1a2b</v>
      </c>
      <c r="M2857" s="89" t="s">
        <v>4289</v>
      </c>
      <c r="N2857" s="89" t="s">
        <v>4291</v>
      </c>
      <c r="O2857" s="92">
        <v>1.4076319E7</v>
      </c>
      <c r="P2857" s="92">
        <v>1.1955613E7</v>
      </c>
      <c r="Q2857" s="89" t="s">
        <v>802</v>
      </c>
      <c r="AF2857" s="1"/>
      <c r="AG2857" s="1"/>
    </row>
    <row r="2858" ht="15.75" customHeight="1">
      <c r="A2858" s="1"/>
      <c r="B2858" s="1"/>
      <c r="C2858" s="1"/>
      <c r="D2858" s="1"/>
      <c r="E2858" s="1"/>
      <c r="F2858" s="1"/>
      <c r="G2858" s="1"/>
      <c r="H2858" s="1"/>
      <c r="I2858" s="1"/>
      <c r="J2858" s="1"/>
      <c r="K2858" s="89" t="s">
        <v>4292</v>
      </c>
      <c r="L2858" s="89" t="str">
        <f>G108</f>
        <v>C1b1a2b</v>
      </c>
      <c r="M2858" s="89" t="s">
        <v>4293</v>
      </c>
      <c r="N2858" s="89" t="s">
        <v>4294</v>
      </c>
      <c r="O2858" s="92">
        <v>1.4083095E7</v>
      </c>
      <c r="P2858" s="92">
        <v>1.1962389E7</v>
      </c>
      <c r="Q2858" s="89" t="s">
        <v>879</v>
      </c>
      <c r="AF2858" s="1"/>
      <c r="AG2858" s="1"/>
    </row>
    <row r="2859" ht="15.75" customHeight="1">
      <c r="A2859" s="1"/>
      <c r="B2859" s="1"/>
      <c r="C2859" s="1"/>
      <c r="D2859" s="1"/>
      <c r="E2859" s="1"/>
      <c r="F2859" s="1"/>
      <c r="G2859" s="1"/>
      <c r="H2859" s="1"/>
      <c r="I2859" s="1"/>
      <c r="J2859" s="1"/>
      <c r="K2859" s="89" t="s">
        <v>4293</v>
      </c>
      <c r="L2859" s="89" t="str">
        <f>G108</f>
        <v>C1b1a2b</v>
      </c>
      <c r="M2859" s="89" t="s">
        <v>4292</v>
      </c>
      <c r="N2859" s="89" t="s">
        <v>4294</v>
      </c>
      <c r="O2859" s="92">
        <v>1.4083095E7</v>
      </c>
      <c r="P2859" s="92">
        <v>1.1962389E7</v>
      </c>
      <c r="Q2859" s="89" t="s">
        <v>879</v>
      </c>
      <c r="AF2859" s="1"/>
      <c r="AG2859" s="1"/>
    </row>
    <row r="2860" ht="15.75" customHeight="1">
      <c r="A2860" s="1"/>
      <c r="B2860" s="1"/>
      <c r="C2860" s="1"/>
      <c r="D2860" s="1"/>
      <c r="E2860" s="1"/>
      <c r="F2860" s="1"/>
      <c r="G2860" s="1"/>
      <c r="H2860" s="1"/>
      <c r="I2860" s="1"/>
      <c r="J2860" s="1"/>
      <c r="K2860" s="89" t="s">
        <v>4295</v>
      </c>
      <c r="L2860" s="89" t="str">
        <f>G108</f>
        <v>C1b1a2b</v>
      </c>
      <c r="M2860" s="89" t="s">
        <v>4296</v>
      </c>
      <c r="N2860" s="89" t="s">
        <v>4297</v>
      </c>
      <c r="O2860" s="92">
        <v>1.4154946E7</v>
      </c>
      <c r="P2860" s="92">
        <v>1.203424E7</v>
      </c>
      <c r="Q2860" s="89" t="s">
        <v>845</v>
      </c>
      <c r="AF2860" s="1"/>
      <c r="AG2860" s="1"/>
    </row>
    <row r="2861" ht="15.75" customHeight="1">
      <c r="A2861" s="1"/>
      <c r="B2861" s="1"/>
      <c r="C2861" s="1"/>
      <c r="D2861" s="1"/>
      <c r="E2861" s="1"/>
      <c r="F2861" s="1"/>
      <c r="G2861" s="1"/>
      <c r="H2861" s="1"/>
      <c r="I2861" s="1"/>
      <c r="J2861" s="1"/>
      <c r="K2861" s="89" t="s">
        <v>4296</v>
      </c>
      <c r="L2861" s="89" t="str">
        <f>G108</f>
        <v>C1b1a2b</v>
      </c>
      <c r="M2861" s="89" t="s">
        <v>4295</v>
      </c>
      <c r="N2861" s="89" t="s">
        <v>4297</v>
      </c>
      <c r="O2861" s="92">
        <v>1.4154946E7</v>
      </c>
      <c r="P2861" s="92">
        <v>1.203424E7</v>
      </c>
      <c r="Q2861" s="89" t="s">
        <v>845</v>
      </c>
      <c r="AF2861" s="1"/>
      <c r="AG2861" s="1"/>
    </row>
    <row r="2862" ht="15.75" customHeight="1">
      <c r="A2862" s="1"/>
      <c r="B2862" s="1"/>
      <c r="C2862" s="1"/>
      <c r="D2862" s="1"/>
      <c r="E2862" s="1"/>
      <c r="F2862" s="1"/>
      <c r="G2862" s="1"/>
      <c r="H2862" s="1"/>
      <c r="I2862" s="1"/>
      <c r="J2862" s="1"/>
      <c r="K2862" s="89" t="s">
        <v>4298</v>
      </c>
      <c r="L2862" s="89" t="str">
        <f>G108</f>
        <v>C1b1a2b</v>
      </c>
      <c r="M2862" s="89" t="s">
        <v>4299</v>
      </c>
      <c r="N2862" s="89" t="s">
        <v>4300</v>
      </c>
      <c r="O2862" s="92">
        <v>1.416181E7</v>
      </c>
      <c r="P2862" s="92">
        <v>1.2041104E7</v>
      </c>
      <c r="Q2862" s="89" t="s">
        <v>810</v>
      </c>
      <c r="AF2862" s="1"/>
      <c r="AG2862" s="1"/>
    </row>
    <row r="2863" ht="15.75" customHeight="1">
      <c r="A2863" s="1"/>
      <c r="B2863" s="1"/>
      <c r="C2863" s="1"/>
      <c r="D2863" s="1"/>
      <c r="E2863" s="1"/>
      <c r="F2863" s="1"/>
      <c r="G2863" s="1"/>
      <c r="H2863" s="1"/>
      <c r="I2863" s="1"/>
      <c r="J2863" s="1"/>
      <c r="K2863" s="89" t="s">
        <v>4299</v>
      </c>
      <c r="L2863" s="89" t="str">
        <f>G108</f>
        <v>C1b1a2b</v>
      </c>
      <c r="M2863" s="89" t="s">
        <v>4298</v>
      </c>
      <c r="N2863" s="89" t="s">
        <v>4300</v>
      </c>
      <c r="O2863" s="92">
        <v>1.416181E7</v>
      </c>
      <c r="P2863" s="92">
        <v>1.2041104E7</v>
      </c>
      <c r="Q2863" s="89" t="s">
        <v>810</v>
      </c>
      <c r="AF2863" s="1"/>
      <c r="AG2863" s="1"/>
    </row>
    <row r="2864" ht="15.75" customHeight="1">
      <c r="A2864" s="1"/>
      <c r="B2864" s="1"/>
      <c r="C2864" s="1"/>
      <c r="D2864" s="1"/>
      <c r="E2864" s="1"/>
      <c r="F2864" s="1"/>
      <c r="G2864" s="1"/>
      <c r="H2864" s="1"/>
      <c r="I2864" s="1"/>
      <c r="J2864" s="1"/>
      <c r="K2864" s="89" t="s">
        <v>4301</v>
      </c>
      <c r="L2864" s="89" t="str">
        <f>G108</f>
        <v>C1b1a2b</v>
      </c>
      <c r="M2864" s="89" t="s">
        <v>4302</v>
      </c>
      <c r="N2864" s="89" t="s">
        <v>4303</v>
      </c>
      <c r="O2864" s="92">
        <v>1.4162413E7</v>
      </c>
      <c r="P2864" s="92">
        <v>1.2041707E7</v>
      </c>
      <c r="Q2864" s="89" t="s">
        <v>810</v>
      </c>
      <c r="AF2864" s="1"/>
      <c r="AG2864" s="1"/>
    </row>
    <row r="2865" ht="15.75" customHeight="1">
      <c r="A2865" s="1"/>
      <c r="B2865" s="1"/>
      <c r="C2865" s="1"/>
      <c r="D2865" s="1"/>
      <c r="E2865" s="1"/>
      <c r="F2865" s="1"/>
      <c r="G2865" s="1"/>
      <c r="H2865" s="1"/>
      <c r="I2865" s="1"/>
      <c r="J2865" s="1"/>
      <c r="K2865" s="89" t="s">
        <v>4302</v>
      </c>
      <c r="L2865" s="89" t="str">
        <f>G108</f>
        <v>C1b1a2b</v>
      </c>
      <c r="M2865" s="89" t="s">
        <v>4301</v>
      </c>
      <c r="N2865" s="89" t="s">
        <v>4303</v>
      </c>
      <c r="O2865" s="92">
        <v>1.4162413E7</v>
      </c>
      <c r="P2865" s="92">
        <v>1.2041707E7</v>
      </c>
      <c r="Q2865" s="89" t="s">
        <v>810</v>
      </c>
      <c r="AF2865" s="1"/>
      <c r="AG2865" s="1"/>
    </row>
    <row r="2866" ht="15.75" customHeight="1">
      <c r="A2866" s="1"/>
      <c r="B2866" s="1"/>
      <c r="C2866" s="1"/>
      <c r="D2866" s="1"/>
      <c r="E2866" s="1"/>
      <c r="F2866" s="1"/>
      <c r="G2866" s="1"/>
      <c r="H2866" s="1"/>
      <c r="I2866" s="1"/>
      <c r="J2866" s="1"/>
      <c r="K2866" s="89" t="s">
        <v>4304</v>
      </c>
      <c r="L2866" s="89" t="str">
        <f>G108</f>
        <v>C1b1a2b</v>
      </c>
      <c r="M2866" s="89" t="s">
        <v>4305</v>
      </c>
      <c r="N2866" s="89" t="s">
        <v>4306</v>
      </c>
      <c r="O2866" s="92">
        <v>1.4173497E7</v>
      </c>
      <c r="P2866" s="92">
        <v>1.2052791E7</v>
      </c>
      <c r="Q2866" s="89" t="s">
        <v>886</v>
      </c>
      <c r="AF2866" s="1"/>
      <c r="AG2866" s="1"/>
    </row>
    <row r="2867" ht="15.75" customHeight="1">
      <c r="A2867" s="1"/>
      <c r="B2867" s="1"/>
      <c r="C2867" s="1"/>
      <c r="D2867" s="1"/>
      <c r="E2867" s="1"/>
      <c r="F2867" s="1"/>
      <c r="G2867" s="1"/>
      <c r="H2867" s="1"/>
      <c r="I2867" s="1"/>
      <c r="J2867" s="1"/>
      <c r="K2867" s="89" t="s">
        <v>4305</v>
      </c>
      <c r="L2867" s="89" t="str">
        <f>G108</f>
        <v>C1b1a2b</v>
      </c>
      <c r="M2867" s="89" t="s">
        <v>4304</v>
      </c>
      <c r="N2867" s="89" t="s">
        <v>4306</v>
      </c>
      <c r="O2867" s="92">
        <v>1.4173497E7</v>
      </c>
      <c r="P2867" s="92">
        <v>1.2052791E7</v>
      </c>
      <c r="Q2867" s="89" t="s">
        <v>886</v>
      </c>
      <c r="AF2867" s="1"/>
      <c r="AG2867" s="1"/>
    </row>
    <row r="2868" ht="15.75" customHeight="1">
      <c r="A2868" s="1"/>
      <c r="B2868" s="1"/>
      <c r="C2868" s="1"/>
      <c r="D2868" s="1"/>
      <c r="E2868" s="1"/>
      <c r="F2868" s="1"/>
      <c r="G2868" s="1"/>
      <c r="H2868" s="1"/>
      <c r="I2868" s="1"/>
      <c r="J2868" s="1"/>
      <c r="K2868" s="89" t="s">
        <v>4307</v>
      </c>
      <c r="L2868" s="89" t="str">
        <f>G108</f>
        <v>C1b1a2b</v>
      </c>
      <c r="M2868" s="89" t="s">
        <v>4308</v>
      </c>
      <c r="N2868" s="89" t="s">
        <v>4309</v>
      </c>
      <c r="O2868" s="92">
        <v>1.4174352E7</v>
      </c>
      <c r="P2868" s="92">
        <v>1.2053646E7</v>
      </c>
      <c r="Q2868" s="89" t="s">
        <v>802</v>
      </c>
      <c r="AF2868" s="1"/>
      <c r="AG2868" s="1"/>
    </row>
    <row r="2869" ht="15.75" customHeight="1">
      <c r="A2869" s="1"/>
      <c r="B2869" s="1"/>
      <c r="C2869" s="1"/>
      <c r="D2869" s="1"/>
      <c r="E2869" s="1"/>
      <c r="F2869" s="1"/>
      <c r="G2869" s="1"/>
      <c r="H2869" s="1"/>
      <c r="I2869" s="1"/>
      <c r="J2869" s="1"/>
      <c r="K2869" s="89" t="s">
        <v>4308</v>
      </c>
      <c r="L2869" s="89" t="str">
        <f>G108</f>
        <v>C1b1a2b</v>
      </c>
      <c r="M2869" s="89" t="s">
        <v>4307</v>
      </c>
      <c r="N2869" s="89" t="s">
        <v>4309</v>
      </c>
      <c r="O2869" s="92">
        <v>1.4174352E7</v>
      </c>
      <c r="P2869" s="92">
        <v>1.2053646E7</v>
      </c>
      <c r="Q2869" s="89" t="s">
        <v>802</v>
      </c>
      <c r="AF2869" s="1"/>
      <c r="AG2869" s="1"/>
    </row>
    <row r="2870" ht="15.75" customHeight="1">
      <c r="A2870" s="1"/>
      <c r="B2870" s="1"/>
      <c r="C2870" s="1"/>
      <c r="D2870" s="1"/>
      <c r="E2870" s="1"/>
      <c r="F2870" s="1"/>
      <c r="G2870" s="1"/>
      <c r="H2870" s="1"/>
      <c r="I2870" s="1"/>
      <c r="J2870" s="1"/>
      <c r="K2870" s="89" t="s">
        <v>4310</v>
      </c>
      <c r="L2870" s="89" t="str">
        <f>G108</f>
        <v>C1b1a2b</v>
      </c>
      <c r="M2870" s="89" t="s">
        <v>4311</v>
      </c>
      <c r="N2870" s="89" t="s">
        <v>4312</v>
      </c>
      <c r="O2870" s="92">
        <v>1.4190842E7</v>
      </c>
      <c r="P2870" s="92">
        <v>1.2070136E7</v>
      </c>
      <c r="Q2870" s="89" t="s">
        <v>912</v>
      </c>
      <c r="AF2870" s="1"/>
      <c r="AG2870" s="1"/>
    </row>
    <row r="2871" ht="15.75" customHeight="1">
      <c r="A2871" s="1"/>
      <c r="B2871" s="1"/>
      <c r="C2871" s="1"/>
      <c r="D2871" s="1"/>
      <c r="E2871" s="1"/>
      <c r="F2871" s="1"/>
      <c r="G2871" s="1"/>
      <c r="H2871" s="1"/>
      <c r="I2871" s="1"/>
      <c r="J2871" s="1"/>
      <c r="K2871" s="89" t="s">
        <v>4311</v>
      </c>
      <c r="L2871" s="89" t="str">
        <f>G108</f>
        <v>C1b1a2b</v>
      </c>
      <c r="M2871" s="89" t="s">
        <v>4310</v>
      </c>
      <c r="N2871" s="89" t="s">
        <v>4312</v>
      </c>
      <c r="O2871" s="92">
        <v>1.4190842E7</v>
      </c>
      <c r="P2871" s="92">
        <v>1.2070136E7</v>
      </c>
      <c r="Q2871" s="89" t="s">
        <v>912</v>
      </c>
      <c r="AF2871" s="1"/>
      <c r="AG2871" s="1"/>
    </row>
    <row r="2872" ht="15.75" customHeight="1">
      <c r="A2872" s="1"/>
      <c r="B2872" s="1"/>
      <c r="C2872" s="1"/>
      <c r="D2872" s="1"/>
      <c r="E2872" s="1"/>
      <c r="F2872" s="1"/>
      <c r="G2872" s="1"/>
      <c r="H2872" s="1"/>
      <c r="I2872" s="1"/>
      <c r="J2872" s="1"/>
      <c r="K2872" s="89" t="s">
        <v>4313</v>
      </c>
      <c r="L2872" s="89" t="str">
        <f>G108</f>
        <v>C1b1a2b</v>
      </c>
      <c r="M2872" s="89" t="s">
        <v>4314</v>
      </c>
      <c r="N2872" s="89" t="s">
        <v>4315</v>
      </c>
      <c r="O2872" s="92">
        <v>1.4228932E7</v>
      </c>
      <c r="P2872" s="92">
        <v>1.2108226E7</v>
      </c>
      <c r="Q2872" s="89" t="s">
        <v>802</v>
      </c>
      <c r="AF2872" s="1"/>
      <c r="AG2872" s="1"/>
    </row>
    <row r="2873" ht="15.75" customHeight="1">
      <c r="A2873" s="1"/>
      <c r="B2873" s="1"/>
      <c r="C2873" s="1"/>
      <c r="D2873" s="1"/>
      <c r="E2873" s="1"/>
      <c r="F2873" s="1"/>
      <c r="G2873" s="1"/>
      <c r="H2873" s="1"/>
      <c r="I2873" s="1"/>
      <c r="J2873" s="1"/>
      <c r="K2873" s="89" t="s">
        <v>4314</v>
      </c>
      <c r="L2873" s="89" t="str">
        <f>G108</f>
        <v>C1b1a2b</v>
      </c>
      <c r="M2873" s="89" t="s">
        <v>4313</v>
      </c>
      <c r="N2873" s="89" t="s">
        <v>4315</v>
      </c>
      <c r="O2873" s="92">
        <v>1.4228932E7</v>
      </c>
      <c r="P2873" s="92">
        <v>1.2108226E7</v>
      </c>
      <c r="Q2873" s="89" t="s">
        <v>802</v>
      </c>
      <c r="AF2873" s="1"/>
      <c r="AG2873" s="1"/>
    </row>
    <row r="2874" ht="15.75" customHeight="1">
      <c r="A2874" s="1"/>
      <c r="B2874" s="1"/>
      <c r="C2874" s="1"/>
      <c r="D2874" s="1"/>
      <c r="E2874" s="1"/>
      <c r="F2874" s="1"/>
      <c r="G2874" s="1"/>
      <c r="H2874" s="1"/>
      <c r="I2874" s="1"/>
      <c r="J2874" s="1"/>
      <c r="K2874" s="89" t="s">
        <v>4316</v>
      </c>
      <c r="L2874" s="89" t="str">
        <f>G108</f>
        <v>C1b1a2b</v>
      </c>
      <c r="M2874" s="89" t="s">
        <v>4317</v>
      </c>
      <c r="N2874" s="89" t="s">
        <v>4318</v>
      </c>
      <c r="O2874" s="92">
        <v>1.4269535E7</v>
      </c>
      <c r="P2874" s="92">
        <v>1.2148829E7</v>
      </c>
      <c r="Q2874" s="89" t="s">
        <v>917</v>
      </c>
      <c r="AF2874" s="1"/>
      <c r="AG2874" s="1"/>
    </row>
    <row r="2875" ht="15.75" customHeight="1">
      <c r="A2875" s="1"/>
      <c r="B2875" s="1"/>
      <c r="C2875" s="1"/>
      <c r="D2875" s="1"/>
      <c r="E2875" s="1"/>
      <c r="F2875" s="1"/>
      <c r="G2875" s="1"/>
      <c r="H2875" s="1"/>
      <c r="I2875" s="1"/>
      <c r="J2875" s="1"/>
      <c r="K2875" s="89" t="s">
        <v>4317</v>
      </c>
      <c r="L2875" s="89" t="str">
        <f>G108</f>
        <v>C1b1a2b</v>
      </c>
      <c r="M2875" s="89" t="s">
        <v>4316</v>
      </c>
      <c r="N2875" s="89" t="s">
        <v>4318</v>
      </c>
      <c r="O2875" s="92">
        <v>1.4269535E7</v>
      </c>
      <c r="P2875" s="92">
        <v>1.2148829E7</v>
      </c>
      <c r="Q2875" s="89" t="s">
        <v>917</v>
      </c>
      <c r="AF2875" s="1"/>
      <c r="AG2875" s="1"/>
    </row>
    <row r="2876" ht="15.75" customHeight="1">
      <c r="A2876" s="1"/>
      <c r="B2876" s="1"/>
      <c r="C2876" s="1"/>
      <c r="D2876" s="1"/>
      <c r="E2876" s="1"/>
      <c r="F2876" s="1"/>
      <c r="G2876" s="1"/>
      <c r="H2876" s="1"/>
      <c r="I2876" s="1"/>
      <c r="J2876" s="1"/>
      <c r="K2876" s="89" t="s">
        <v>4319</v>
      </c>
      <c r="L2876" s="89" t="str">
        <f>G108</f>
        <v>C1b1a2b</v>
      </c>
      <c r="M2876" s="89" t="s">
        <v>4320</v>
      </c>
      <c r="N2876" s="89" t="s">
        <v>4321</v>
      </c>
      <c r="O2876" s="92">
        <v>1.4275268E7</v>
      </c>
      <c r="P2876" s="92">
        <v>1.2154562E7</v>
      </c>
      <c r="Q2876" s="89" t="s">
        <v>810</v>
      </c>
      <c r="AF2876" s="1"/>
      <c r="AG2876" s="1"/>
    </row>
    <row r="2877" ht="15.75" customHeight="1">
      <c r="A2877" s="1"/>
      <c r="B2877" s="1"/>
      <c r="C2877" s="1"/>
      <c r="D2877" s="1"/>
      <c r="E2877" s="1"/>
      <c r="F2877" s="1"/>
      <c r="G2877" s="1"/>
      <c r="H2877" s="1"/>
      <c r="I2877" s="1"/>
      <c r="J2877" s="1"/>
      <c r="K2877" s="89" t="s">
        <v>4320</v>
      </c>
      <c r="L2877" s="89" t="str">
        <f>G108</f>
        <v>C1b1a2b</v>
      </c>
      <c r="M2877" s="89" t="s">
        <v>4319</v>
      </c>
      <c r="N2877" s="89" t="s">
        <v>4321</v>
      </c>
      <c r="O2877" s="92">
        <v>1.4275268E7</v>
      </c>
      <c r="P2877" s="92">
        <v>1.2154562E7</v>
      </c>
      <c r="Q2877" s="89" t="s">
        <v>810</v>
      </c>
      <c r="AF2877" s="1"/>
      <c r="AG2877" s="1"/>
    </row>
    <row r="2878" ht="15.75" customHeight="1">
      <c r="A2878" s="1"/>
      <c r="B2878" s="1"/>
      <c r="C2878" s="1"/>
      <c r="D2878" s="1"/>
      <c r="E2878" s="1"/>
      <c r="F2878" s="1"/>
      <c r="G2878" s="1"/>
      <c r="H2878" s="1"/>
      <c r="I2878" s="1"/>
      <c r="J2878" s="1"/>
      <c r="K2878" s="89" t="s">
        <v>4322</v>
      </c>
      <c r="L2878" s="89" t="str">
        <f>G108</f>
        <v>C1b1a2b</v>
      </c>
      <c r="M2878" s="89" t="s">
        <v>4323</v>
      </c>
      <c r="N2878" s="89" t="s">
        <v>4324</v>
      </c>
      <c r="O2878" s="92">
        <v>1.4297796E7</v>
      </c>
      <c r="P2878" s="92">
        <v>1.217709E7</v>
      </c>
      <c r="Q2878" s="89" t="s">
        <v>822</v>
      </c>
      <c r="AF2878" s="1"/>
      <c r="AG2878" s="1"/>
    </row>
    <row r="2879" ht="15.75" customHeight="1">
      <c r="A2879" s="1"/>
      <c r="B2879" s="1"/>
      <c r="C2879" s="1"/>
      <c r="D2879" s="1"/>
      <c r="E2879" s="1"/>
      <c r="F2879" s="1"/>
      <c r="G2879" s="1"/>
      <c r="H2879" s="1"/>
      <c r="I2879" s="1"/>
      <c r="J2879" s="1"/>
      <c r="K2879" s="89" t="s">
        <v>4323</v>
      </c>
      <c r="L2879" s="89" t="str">
        <f>G108</f>
        <v>C1b1a2b</v>
      </c>
      <c r="M2879" s="89" t="s">
        <v>4322</v>
      </c>
      <c r="N2879" s="89" t="s">
        <v>4324</v>
      </c>
      <c r="O2879" s="92">
        <v>1.4297796E7</v>
      </c>
      <c r="P2879" s="92">
        <v>1.217709E7</v>
      </c>
      <c r="Q2879" s="89" t="s">
        <v>822</v>
      </c>
      <c r="AF2879" s="1"/>
      <c r="AG2879" s="1"/>
    </row>
    <row r="2880" ht="15.75" customHeight="1">
      <c r="A2880" s="1"/>
      <c r="B2880" s="1"/>
      <c r="C2880" s="1"/>
      <c r="D2880" s="1"/>
      <c r="E2880" s="1"/>
      <c r="F2880" s="1"/>
      <c r="G2880" s="1"/>
      <c r="H2880" s="1"/>
      <c r="I2880" s="1"/>
      <c r="J2880" s="1"/>
      <c r="K2880" s="89" t="s">
        <v>4325</v>
      </c>
      <c r="L2880" s="89" t="str">
        <f>G108</f>
        <v>C1b1a2b</v>
      </c>
      <c r="M2880" s="89" t="s">
        <v>4326</v>
      </c>
      <c r="N2880" s="89" t="s">
        <v>4327</v>
      </c>
      <c r="O2880" s="92">
        <v>1.4300305E7</v>
      </c>
      <c r="P2880" s="92">
        <v>1.2179599E7</v>
      </c>
      <c r="Q2880" s="89" t="s">
        <v>886</v>
      </c>
      <c r="AF2880" s="1"/>
      <c r="AG2880" s="1"/>
    </row>
    <row r="2881" ht="15.75" customHeight="1">
      <c r="A2881" s="1"/>
      <c r="B2881" s="1"/>
      <c r="C2881" s="1"/>
      <c r="D2881" s="1"/>
      <c r="E2881" s="1"/>
      <c r="F2881" s="1"/>
      <c r="G2881" s="1"/>
      <c r="H2881" s="1"/>
      <c r="I2881" s="1"/>
      <c r="J2881" s="1"/>
      <c r="K2881" s="89" t="s">
        <v>4326</v>
      </c>
      <c r="L2881" s="89" t="str">
        <f>G108</f>
        <v>C1b1a2b</v>
      </c>
      <c r="M2881" s="89" t="s">
        <v>4325</v>
      </c>
      <c r="N2881" s="89" t="s">
        <v>4327</v>
      </c>
      <c r="O2881" s="92">
        <v>1.4300305E7</v>
      </c>
      <c r="P2881" s="92">
        <v>1.2179599E7</v>
      </c>
      <c r="Q2881" s="89" t="s">
        <v>886</v>
      </c>
      <c r="AF2881" s="1"/>
      <c r="AG2881" s="1"/>
    </row>
    <row r="2882" ht="15.75" customHeight="1">
      <c r="A2882" s="1"/>
      <c r="B2882" s="1"/>
      <c r="C2882" s="1"/>
      <c r="D2882" s="1"/>
      <c r="E2882" s="1"/>
      <c r="F2882" s="1"/>
      <c r="G2882" s="1"/>
      <c r="H2882" s="1"/>
      <c r="I2882" s="1"/>
      <c r="J2882" s="1"/>
      <c r="K2882" s="89" t="s">
        <v>4328</v>
      </c>
      <c r="L2882" s="89" t="str">
        <f>G108</f>
        <v>C1b1a2b</v>
      </c>
      <c r="M2882" s="89"/>
      <c r="N2882" s="89" t="s">
        <v>4329</v>
      </c>
      <c r="O2882" s="92">
        <v>1.4314656E7</v>
      </c>
      <c r="P2882" s="92">
        <v>1.219395E7</v>
      </c>
      <c r="Q2882" s="89" t="s">
        <v>810</v>
      </c>
      <c r="AF2882" s="1"/>
      <c r="AG2882" s="1"/>
    </row>
    <row r="2883" ht="15.75" customHeight="1">
      <c r="A2883" s="1"/>
      <c r="B2883" s="1"/>
      <c r="C2883" s="1"/>
      <c r="D2883" s="1"/>
      <c r="E2883" s="1"/>
      <c r="F2883" s="1"/>
      <c r="G2883" s="1"/>
      <c r="H2883" s="1"/>
      <c r="I2883" s="1"/>
      <c r="J2883" s="1"/>
      <c r="K2883" s="89" t="s">
        <v>4330</v>
      </c>
      <c r="L2883" s="89" t="str">
        <f>G108</f>
        <v>C1b1a2b</v>
      </c>
      <c r="M2883" s="89" t="s">
        <v>4331</v>
      </c>
      <c r="N2883" s="89" t="s">
        <v>4332</v>
      </c>
      <c r="O2883" s="92">
        <v>1.4344804E7</v>
      </c>
      <c r="P2883" s="92">
        <v>1.2224099E7</v>
      </c>
      <c r="Q2883" s="89" t="s">
        <v>879</v>
      </c>
      <c r="AF2883" s="1"/>
      <c r="AG2883" s="1"/>
    </row>
    <row r="2884" ht="15.75" customHeight="1">
      <c r="A2884" s="1"/>
      <c r="B2884" s="1"/>
      <c r="C2884" s="1"/>
      <c r="D2884" s="1"/>
      <c r="E2884" s="1"/>
      <c r="F2884" s="1"/>
      <c r="G2884" s="1"/>
      <c r="H2884" s="1"/>
      <c r="I2884" s="1"/>
      <c r="J2884" s="1"/>
      <c r="K2884" s="89" t="s">
        <v>4331</v>
      </c>
      <c r="L2884" s="89" t="str">
        <f>G108</f>
        <v>C1b1a2b</v>
      </c>
      <c r="M2884" s="89" t="s">
        <v>4330</v>
      </c>
      <c r="N2884" s="89" t="s">
        <v>4332</v>
      </c>
      <c r="O2884" s="92">
        <v>1.4344804E7</v>
      </c>
      <c r="P2884" s="92">
        <v>1.2224099E7</v>
      </c>
      <c r="Q2884" s="89" t="s">
        <v>879</v>
      </c>
      <c r="AF2884" s="1"/>
      <c r="AG2884" s="1"/>
    </row>
    <row r="2885" ht="15.75" customHeight="1">
      <c r="A2885" s="1"/>
      <c r="B2885" s="1"/>
      <c r="C2885" s="1"/>
      <c r="D2885" s="1"/>
      <c r="E2885" s="1"/>
      <c r="F2885" s="1"/>
      <c r="G2885" s="1"/>
      <c r="H2885" s="1"/>
      <c r="I2885" s="1"/>
      <c r="J2885" s="1"/>
      <c r="K2885" s="89" t="s">
        <v>4333</v>
      </c>
      <c r="L2885" s="89" t="str">
        <f>G108</f>
        <v>C1b1a2b</v>
      </c>
      <c r="M2885" s="89" t="s">
        <v>4334</v>
      </c>
      <c r="N2885" s="89" t="s">
        <v>4335</v>
      </c>
      <c r="O2885" s="92">
        <v>1.4397271E7</v>
      </c>
      <c r="P2885" s="92">
        <v>1.2276567E7</v>
      </c>
      <c r="Q2885" s="89" t="s">
        <v>912</v>
      </c>
      <c r="AF2885" s="1"/>
      <c r="AG2885" s="1"/>
    </row>
    <row r="2886" ht="15.75" customHeight="1">
      <c r="A2886" s="1"/>
      <c r="B2886" s="1"/>
      <c r="C2886" s="1"/>
      <c r="D2886" s="1"/>
      <c r="E2886" s="1"/>
      <c r="F2886" s="1"/>
      <c r="G2886" s="1"/>
      <c r="H2886" s="1"/>
      <c r="I2886" s="1"/>
      <c r="J2886" s="1"/>
      <c r="K2886" s="89" t="s">
        <v>4334</v>
      </c>
      <c r="L2886" s="89" t="str">
        <f>G108</f>
        <v>C1b1a2b</v>
      </c>
      <c r="M2886" s="89" t="s">
        <v>4333</v>
      </c>
      <c r="N2886" s="89" t="s">
        <v>4335</v>
      </c>
      <c r="O2886" s="92">
        <v>1.4397271E7</v>
      </c>
      <c r="P2886" s="92">
        <v>1.2276567E7</v>
      </c>
      <c r="Q2886" s="89" t="s">
        <v>912</v>
      </c>
      <c r="AF2886" s="1"/>
      <c r="AG2886" s="1"/>
    </row>
    <row r="2887" ht="15.75" customHeight="1">
      <c r="A2887" s="1"/>
      <c r="B2887" s="1"/>
      <c r="C2887" s="1"/>
      <c r="D2887" s="1"/>
      <c r="E2887" s="1"/>
      <c r="F2887" s="1"/>
      <c r="G2887" s="1"/>
      <c r="H2887" s="1"/>
      <c r="I2887" s="1"/>
      <c r="J2887" s="1"/>
      <c r="K2887" s="89" t="s">
        <v>4336</v>
      </c>
      <c r="L2887" s="89" t="str">
        <f>G108</f>
        <v>C1b1a2b</v>
      </c>
      <c r="M2887" s="89" t="s">
        <v>4337</v>
      </c>
      <c r="N2887" s="89" t="s">
        <v>4338</v>
      </c>
      <c r="O2887" s="92">
        <v>1.4408667E7</v>
      </c>
      <c r="P2887" s="92">
        <v>1.2287965E7</v>
      </c>
      <c r="Q2887" s="89" t="s">
        <v>810</v>
      </c>
      <c r="AF2887" s="1"/>
      <c r="AG2887" s="1"/>
    </row>
    <row r="2888" ht="15.75" customHeight="1">
      <c r="A2888" s="1"/>
      <c r="B2888" s="1"/>
      <c r="C2888" s="1"/>
      <c r="D2888" s="1"/>
      <c r="E2888" s="1"/>
      <c r="F2888" s="1"/>
      <c r="G2888" s="1"/>
      <c r="H2888" s="1"/>
      <c r="I2888" s="1"/>
      <c r="J2888" s="1"/>
      <c r="K2888" s="89" t="s">
        <v>4337</v>
      </c>
      <c r="L2888" s="89" t="str">
        <f>G108</f>
        <v>C1b1a2b</v>
      </c>
      <c r="M2888" s="89" t="s">
        <v>4336</v>
      </c>
      <c r="N2888" s="89" t="s">
        <v>4338</v>
      </c>
      <c r="O2888" s="92">
        <v>1.4408667E7</v>
      </c>
      <c r="P2888" s="92">
        <v>1.2287965E7</v>
      </c>
      <c r="Q2888" s="89" t="s">
        <v>810</v>
      </c>
      <c r="AF2888" s="1"/>
      <c r="AG2888" s="1"/>
    </row>
    <row r="2889" ht="15.75" customHeight="1">
      <c r="A2889" s="1"/>
      <c r="B2889" s="1"/>
      <c r="C2889" s="1"/>
      <c r="D2889" s="1"/>
      <c r="E2889" s="1"/>
      <c r="F2889" s="1"/>
      <c r="G2889" s="1"/>
      <c r="H2889" s="1"/>
      <c r="I2889" s="1"/>
      <c r="J2889" s="1"/>
      <c r="K2889" s="89" t="s">
        <v>4339</v>
      </c>
      <c r="L2889" s="89" t="str">
        <f>G108</f>
        <v>C1b1a2b</v>
      </c>
      <c r="M2889" s="89" t="s">
        <v>4340</v>
      </c>
      <c r="N2889" s="89" t="s">
        <v>4341</v>
      </c>
      <c r="O2889" s="92">
        <v>1.4474131E7</v>
      </c>
      <c r="P2889" s="92">
        <v>1.23534E7</v>
      </c>
      <c r="Q2889" s="89" t="s">
        <v>822</v>
      </c>
      <c r="AF2889" s="1"/>
      <c r="AG2889" s="1"/>
    </row>
    <row r="2890" ht="15.75" customHeight="1">
      <c r="A2890" s="1"/>
      <c r="B2890" s="1"/>
      <c r="C2890" s="1"/>
      <c r="D2890" s="1"/>
      <c r="E2890" s="1"/>
      <c r="F2890" s="1"/>
      <c r="G2890" s="1"/>
      <c r="H2890" s="1"/>
      <c r="I2890" s="1"/>
      <c r="J2890" s="1"/>
      <c r="K2890" s="89" t="s">
        <v>4340</v>
      </c>
      <c r="L2890" s="89" t="str">
        <f>G108</f>
        <v>C1b1a2b</v>
      </c>
      <c r="M2890" s="89" t="s">
        <v>4339</v>
      </c>
      <c r="N2890" s="89" t="s">
        <v>4341</v>
      </c>
      <c r="O2890" s="92">
        <v>1.4474131E7</v>
      </c>
      <c r="P2890" s="92">
        <v>1.23534E7</v>
      </c>
      <c r="Q2890" s="89" t="s">
        <v>822</v>
      </c>
      <c r="AF2890" s="1"/>
      <c r="AG2890" s="1"/>
    </row>
    <row r="2891" ht="15.75" customHeight="1">
      <c r="A2891" s="1"/>
      <c r="B2891" s="1"/>
      <c r="C2891" s="1"/>
      <c r="D2891" s="1"/>
      <c r="E2891" s="1"/>
      <c r="F2891" s="1"/>
      <c r="G2891" s="1"/>
      <c r="H2891" s="1"/>
      <c r="I2891" s="1"/>
      <c r="J2891" s="1"/>
      <c r="K2891" s="89" t="s">
        <v>4342</v>
      </c>
      <c r="L2891" s="89" t="str">
        <f>G108</f>
        <v>C1b1a2b</v>
      </c>
      <c r="M2891" s="89" t="s">
        <v>4343</v>
      </c>
      <c r="N2891" s="89" t="s">
        <v>4344</v>
      </c>
      <c r="O2891" s="92">
        <v>1.4529077E7</v>
      </c>
      <c r="P2891" s="92">
        <v>1.2417278E7</v>
      </c>
      <c r="Q2891" s="89" t="s">
        <v>822</v>
      </c>
      <c r="AF2891" s="1"/>
      <c r="AG2891" s="1"/>
    </row>
    <row r="2892" ht="15.75" customHeight="1">
      <c r="A2892" s="1"/>
      <c r="B2892" s="1"/>
      <c r="C2892" s="1"/>
      <c r="D2892" s="1"/>
      <c r="E2892" s="1"/>
      <c r="F2892" s="1"/>
      <c r="G2892" s="1"/>
      <c r="H2892" s="1"/>
      <c r="I2892" s="1"/>
      <c r="J2892" s="1"/>
      <c r="K2892" s="89" t="s">
        <v>4343</v>
      </c>
      <c r="L2892" s="89" t="str">
        <f>G108</f>
        <v>C1b1a2b</v>
      </c>
      <c r="M2892" s="89" t="s">
        <v>4342</v>
      </c>
      <c r="N2892" s="89" t="s">
        <v>4344</v>
      </c>
      <c r="O2892" s="92">
        <v>1.4529077E7</v>
      </c>
      <c r="P2892" s="92">
        <v>1.2417278E7</v>
      </c>
      <c r="Q2892" s="89" t="s">
        <v>822</v>
      </c>
      <c r="AF2892" s="1"/>
      <c r="AG2892" s="1"/>
    </row>
    <row r="2893" ht="15.75" customHeight="1">
      <c r="A2893" s="1"/>
      <c r="B2893" s="1"/>
      <c r="C2893" s="1"/>
      <c r="D2893" s="1"/>
      <c r="E2893" s="1"/>
      <c r="F2893" s="1"/>
      <c r="G2893" s="1"/>
      <c r="H2893" s="1"/>
      <c r="I2893" s="1"/>
      <c r="J2893" s="1"/>
      <c r="K2893" s="89" t="s">
        <v>4345</v>
      </c>
      <c r="L2893" s="89" t="str">
        <f>G108</f>
        <v>C1b1a2b</v>
      </c>
      <c r="M2893" s="89" t="s">
        <v>4346</v>
      </c>
      <c r="N2893" s="89" t="s">
        <v>4347</v>
      </c>
      <c r="O2893" s="92">
        <v>1.45657E7</v>
      </c>
      <c r="P2893" s="92">
        <v>1.24539E7</v>
      </c>
      <c r="Q2893" s="89" t="s">
        <v>802</v>
      </c>
      <c r="AF2893" s="1"/>
      <c r="AG2893" s="1"/>
    </row>
    <row r="2894" ht="15.75" customHeight="1">
      <c r="A2894" s="1"/>
      <c r="B2894" s="1"/>
      <c r="C2894" s="1"/>
      <c r="D2894" s="1"/>
      <c r="E2894" s="1"/>
      <c r="F2894" s="1"/>
      <c r="G2894" s="1"/>
      <c r="H2894" s="1"/>
      <c r="I2894" s="1"/>
      <c r="J2894" s="1"/>
      <c r="K2894" s="89" t="s">
        <v>4346</v>
      </c>
      <c r="L2894" s="89" t="str">
        <f>G108</f>
        <v>C1b1a2b</v>
      </c>
      <c r="M2894" s="89" t="s">
        <v>4345</v>
      </c>
      <c r="N2894" s="89" t="s">
        <v>4347</v>
      </c>
      <c r="O2894" s="92">
        <v>1.45657E7</v>
      </c>
      <c r="P2894" s="92">
        <v>1.24539E7</v>
      </c>
      <c r="Q2894" s="89" t="s">
        <v>802</v>
      </c>
      <c r="AF2894" s="1"/>
      <c r="AG2894" s="1"/>
    </row>
    <row r="2895" ht="15.75" customHeight="1">
      <c r="A2895" s="1"/>
      <c r="B2895" s="1"/>
      <c r="C2895" s="1"/>
      <c r="D2895" s="1"/>
      <c r="E2895" s="1"/>
      <c r="F2895" s="1"/>
      <c r="G2895" s="1"/>
      <c r="H2895" s="1"/>
      <c r="I2895" s="1"/>
      <c r="J2895" s="1"/>
      <c r="K2895" s="89" t="s">
        <v>4348</v>
      </c>
      <c r="L2895" s="89" t="str">
        <f>G108</f>
        <v>C1b1a2b</v>
      </c>
      <c r="M2895" s="89" t="s">
        <v>4349</v>
      </c>
      <c r="N2895" s="89" t="s">
        <v>4350</v>
      </c>
      <c r="O2895" s="92">
        <v>1.4626916E7</v>
      </c>
      <c r="P2895" s="92">
        <v>1.2514984E7</v>
      </c>
      <c r="Q2895" s="89" t="s">
        <v>845</v>
      </c>
      <c r="AF2895" s="1"/>
      <c r="AG2895" s="1"/>
    </row>
    <row r="2896" ht="15.75" customHeight="1">
      <c r="A2896" s="1"/>
      <c r="B2896" s="1"/>
      <c r="C2896" s="1"/>
      <c r="D2896" s="1"/>
      <c r="E2896" s="1"/>
      <c r="F2896" s="1"/>
      <c r="G2896" s="1"/>
      <c r="H2896" s="1"/>
      <c r="I2896" s="1"/>
      <c r="J2896" s="1"/>
      <c r="K2896" s="89" t="s">
        <v>4349</v>
      </c>
      <c r="L2896" s="89" t="str">
        <f>G108</f>
        <v>C1b1a2b</v>
      </c>
      <c r="M2896" s="89" t="s">
        <v>4348</v>
      </c>
      <c r="N2896" s="89" t="s">
        <v>4350</v>
      </c>
      <c r="O2896" s="92">
        <v>1.4626916E7</v>
      </c>
      <c r="P2896" s="92">
        <v>1.2514984E7</v>
      </c>
      <c r="Q2896" s="89" t="s">
        <v>845</v>
      </c>
      <c r="AF2896" s="1"/>
      <c r="AG2896" s="1"/>
    </row>
    <row r="2897" ht="15.75" customHeight="1">
      <c r="A2897" s="1"/>
      <c r="B2897" s="1"/>
      <c r="C2897" s="1"/>
      <c r="D2897" s="1"/>
      <c r="E2897" s="1"/>
      <c r="F2897" s="1"/>
      <c r="G2897" s="1"/>
      <c r="H2897" s="1"/>
      <c r="I2897" s="1"/>
      <c r="J2897" s="1"/>
      <c r="K2897" s="89" t="s">
        <v>4351</v>
      </c>
      <c r="L2897" s="89" t="str">
        <f>G108</f>
        <v>C1b1a2b</v>
      </c>
      <c r="M2897" s="89" t="s">
        <v>4352</v>
      </c>
      <c r="N2897" s="89" t="s">
        <v>4353</v>
      </c>
      <c r="O2897" s="92">
        <v>1.4664385E7</v>
      </c>
      <c r="P2897" s="92">
        <v>1.2552451E7</v>
      </c>
      <c r="Q2897" s="89" t="s">
        <v>810</v>
      </c>
      <c r="AF2897" s="1"/>
      <c r="AG2897" s="1"/>
    </row>
    <row r="2898" ht="15.75" customHeight="1">
      <c r="A2898" s="1"/>
      <c r="B2898" s="1"/>
      <c r="C2898" s="1"/>
      <c r="D2898" s="1"/>
      <c r="E2898" s="1"/>
      <c r="F2898" s="1"/>
      <c r="G2898" s="1"/>
      <c r="H2898" s="1"/>
      <c r="I2898" s="1"/>
      <c r="J2898" s="1"/>
      <c r="K2898" s="89" t="s">
        <v>4352</v>
      </c>
      <c r="L2898" s="89" t="str">
        <f>G108</f>
        <v>C1b1a2b</v>
      </c>
      <c r="M2898" s="89" t="s">
        <v>4351</v>
      </c>
      <c r="N2898" s="89" t="s">
        <v>4353</v>
      </c>
      <c r="O2898" s="92">
        <v>1.4664385E7</v>
      </c>
      <c r="P2898" s="92">
        <v>1.2552451E7</v>
      </c>
      <c r="Q2898" s="89" t="s">
        <v>810</v>
      </c>
      <c r="AF2898" s="1"/>
      <c r="AG2898" s="1"/>
    </row>
    <row r="2899" ht="15.75" customHeight="1">
      <c r="A2899" s="1"/>
      <c r="B2899" s="1"/>
      <c r="C2899" s="1"/>
      <c r="D2899" s="1"/>
      <c r="E2899" s="1"/>
      <c r="F2899" s="1"/>
      <c r="G2899" s="1"/>
      <c r="H2899" s="1"/>
      <c r="I2899" s="1"/>
      <c r="J2899" s="1"/>
      <c r="K2899" s="89" t="s">
        <v>4354</v>
      </c>
      <c r="L2899" s="89" t="str">
        <f>G108</f>
        <v>C1b1a2b</v>
      </c>
      <c r="M2899" s="89" t="s">
        <v>4355</v>
      </c>
      <c r="N2899" s="89" t="s">
        <v>4356</v>
      </c>
      <c r="O2899" s="92">
        <v>1.4697887E7</v>
      </c>
      <c r="P2899" s="92">
        <v>1.2585953E7</v>
      </c>
      <c r="Q2899" s="89" t="s">
        <v>822</v>
      </c>
      <c r="AF2899" s="1"/>
      <c r="AG2899" s="1"/>
    </row>
    <row r="2900" ht="15.75" customHeight="1">
      <c r="A2900" s="1"/>
      <c r="B2900" s="1"/>
      <c r="C2900" s="1"/>
      <c r="D2900" s="1"/>
      <c r="E2900" s="1"/>
      <c r="F2900" s="1"/>
      <c r="G2900" s="1"/>
      <c r="H2900" s="1"/>
      <c r="I2900" s="1"/>
      <c r="J2900" s="1"/>
      <c r="K2900" s="89" t="s">
        <v>4355</v>
      </c>
      <c r="L2900" s="89" t="str">
        <f>G108</f>
        <v>C1b1a2b</v>
      </c>
      <c r="M2900" s="89" t="s">
        <v>4354</v>
      </c>
      <c r="N2900" s="89" t="s">
        <v>4356</v>
      </c>
      <c r="O2900" s="92">
        <v>1.4697887E7</v>
      </c>
      <c r="P2900" s="92">
        <v>1.2585953E7</v>
      </c>
      <c r="Q2900" s="89" t="s">
        <v>822</v>
      </c>
      <c r="AF2900" s="1"/>
      <c r="AG2900" s="1"/>
    </row>
    <row r="2901" ht="15.75" customHeight="1">
      <c r="A2901" s="1"/>
      <c r="B2901" s="1"/>
      <c r="C2901" s="1"/>
      <c r="D2901" s="1"/>
      <c r="E2901" s="1"/>
      <c r="F2901" s="1"/>
      <c r="G2901" s="1"/>
      <c r="H2901" s="1"/>
      <c r="I2901" s="1"/>
      <c r="J2901" s="1"/>
      <c r="K2901" s="89" t="s">
        <v>4357</v>
      </c>
      <c r="L2901" s="89" t="str">
        <f>G108</f>
        <v>C1b1a2b</v>
      </c>
      <c r="M2901" s="89" t="s">
        <v>4358</v>
      </c>
      <c r="N2901" s="89" t="s">
        <v>4359</v>
      </c>
      <c r="O2901" s="92">
        <v>1.4807714E7</v>
      </c>
      <c r="P2901" s="92">
        <v>1.2695785E7</v>
      </c>
      <c r="Q2901" s="89" t="s">
        <v>810</v>
      </c>
      <c r="AF2901" s="1"/>
      <c r="AG2901" s="1"/>
    </row>
    <row r="2902" ht="15.75" customHeight="1">
      <c r="A2902" s="1"/>
      <c r="B2902" s="1"/>
      <c r="C2902" s="1"/>
      <c r="D2902" s="1"/>
      <c r="E2902" s="1"/>
      <c r="F2902" s="1"/>
      <c r="G2902" s="1"/>
      <c r="H2902" s="1"/>
      <c r="I2902" s="1"/>
      <c r="J2902" s="1"/>
      <c r="K2902" s="89" t="s">
        <v>4358</v>
      </c>
      <c r="L2902" s="89" t="str">
        <f>G108</f>
        <v>C1b1a2b</v>
      </c>
      <c r="M2902" s="89" t="s">
        <v>4357</v>
      </c>
      <c r="N2902" s="89" t="s">
        <v>4359</v>
      </c>
      <c r="O2902" s="92">
        <v>1.4807714E7</v>
      </c>
      <c r="P2902" s="92">
        <v>1.2695785E7</v>
      </c>
      <c r="Q2902" s="89" t="s">
        <v>810</v>
      </c>
      <c r="AF2902" s="1"/>
      <c r="AG2902" s="1"/>
    </row>
    <row r="2903" ht="15.75" customHeight="1">
      <c r="A2903" s="1"/>
      <c r="B2903" s="1"/>
      <c r="C2903" s="1"/>
      <c r="D2903" s="1"/>
      <c r="E2903" s="1"/>
      <c r="F2903" s="1"/>
      <c r="G2903" s="1"/>
      <c r="H2903" s="1"/>
      <c r="I2903" s="1"/>
      <c r="J2903" s="1"/>
      <c r="K2903" s="89" t="s">
        <v>4360</v>
      </c>
      <c r="L2903" s="89" t="str">
        <f>G108</f>
        <v>C1b1a2b</v>
      </c>
      <c r="M2903" s="89" t="s">
        <v>4361</v>
      </c>
      <c r="N2903" s="89" t="s">
        <v>4362</v>
      </c>
      <c r="O2903" s="92">
        <v>1.4809277E7</v>
      </c>
      <c r="P2903" s="92">
        <v>1.2697348E7</v>
      </c>
      <c r="Q2903" s="89" t="s">
        <v>813</v>
      </c>
      <c r="AF2903" s="1"/>
      <c r="AG2903" s="1"/>
    </row>
    <row r="2904" ht="15.75" customHeight="1">
      <c r="A2904" s="1"/>
      <c r="B2904" s="1"/>
      <c r="C2904" s="1"/>
      <c r="D2904" s="1"/>
      <c r="E2904" s="1"/>
      <c r="F2904" s="1"/>
      <c r="G2904" s="1"/>
      <c r="H2904" s="1"/>
      <c r="I2904" s="1"/>
      <c r="J2904" s="1"/>
      <c r="K2904" s="89" t="s">
        <v>4361</v>
      </c>
      <c r="L2904" s="89" t="str">
        <f>G108</f>
        <v>C1b1a2b</v>
      </c>
      <c r="M2904" s="89" t="s">
        <v>4360</v>
      </c>
      <c r="N2904" s="89" t="s">
        <v>4362</v>
      </c>
      <c r="O2904" s="92">
        <v>1.4809277E7</v>
      </c>
      <c r="P2904" s="92">
        <v>1.2697348E7</v>
      </c>
      <c r="Q2904" s="89" t="s">
        <v>813</v>
      </c>
      <c r="AF2904" s="1"/>
      <c r="AG2904" s="1"/>
    </row>
    <row r="2905" ht="15.75" customHeight="1">
      <c r="A2905" s="1"/>
      <c r="B2905" s="1"/>
      <c r="C2905" s="1"/>
      <c r="D2905" s="1"/>
      <c r="E2905" s="1"/>
      <c r="F2905" s="1"/>
      <c r="G2905" s="1"/>
      <c r="H2905" s="1"/>
      <c r="I2905" s="1"/>
      <c r="J2905" s="1"/>
      <c r="K2905" s="89" t="s">
        <v>4363</v>
      </c>
      <c r="L2905" s="89" t="str">
        <f>G108</f>
        <v>C1b1a2b</v>
      </c>
      <c r="M2905" s="89" t="s">
        <v>4364</v>
      </c>
      <c r="N2905" s="89" t="s">
        <v>4365</v>
      </c>
      <c r="O2905" s="92">
        <v>1.481769E7</v>
      </c>
      <c r="P2905" s="92">
        <v>1.2705761E7</v>
      </c>
      <c r="Q2905" s="89" t="s">
        <v>822</v>
      </c>
      <c r="AF2905" s="1"/>
      <c r="AG2905" s="1"/>
    </row>
    <row r="2906" ht="15.75" customHeight="1">
      <c r="A2906" s="1"/>
      <c r="B2906" s="1"/>
      <c r="C2906" s="1"/>
      <c r="D2906" s="1"/>
      <c r="E2906" s="1"/>
      <c r="F2906" s="1"/>
      <c r="G2906" s="1"/>
      <c r="H2906" s="1"/>
      <c r="I2906" s="1"/>
      <c r="J2906" s="1"/>
      <c r="K2906" s="89" t="s">
        <v>4364</v>
      </c>
      <c r="L2906" s="89" t="str">
        <f>G108</f>
        <v>C1b1a2b</v>
      </c>
      <c r="M2906" s="89" t="s">
        <v>4363</v>
      </c>
      <c r="N2906" s="89" t="s">
        <v>4365</v>
      </c>
      <c r="O2906" s="92">
        <v>1.481769E7</v>
      </c>
      <c r="P2906" s="92">
        <v>1.2705761E7</v>
      </c>
      <c r="Q2906" s="89" t="s">
        <v>822</v>
      </c>
      <c r="AF2906" s="1"/>
      <c r="AG2906" s="1"/>
    </row>
    <row r="2907" ht="15.75" customHeight="1">
      <c r="A2907" s="1"/>
      <c r="B2907" s="1"/>
      <c r="C2907" s="1"/>
      <c r="D2907" s="1"/>
      <c r="E2907" s="1"/>
      <c r="F2907" s="1"/>
      <c r="G2907" s="1"/>
      <c r="H2907" s="1"/>
      <c r="I2907" s="1"/>
      <c r="J2907" s="1"/>
      <c r="K2907" s="89" t="s">
        <v>4366</v>
      </c>
      <c r="L2907" s="89" t="str">
        <f>G108</f>
        <v>C1b1a2b</v>
      </c>
      <c r="M2907" s="89" t="s">
        <v>4367</v>
      </c>
      <c r="N2907" s="89" t="s">
        <v>4368</v>
      </c>
      <c r="O2907" s="92">
        <v>1.4848992E7</v>
      </c>
      <c r="P2907" s="92">
        <v>1.2737058E7</v>
      </c>
      <c r="Q2907" s="89" t="s">
        <v>810</v>
      </c>
      <c r="AF2907" s="1"/>
      <c r="AG2907" s="1"/>
    </row>
    <row r="2908" ht="15.75" customHeight="1">
      <c r="A2908" s="1"/>
      <c r="B2908" s="1"/>
      <c r="C2908" s="1"/>
      <c r="D2908" s="1"/>
      <c r="E2908" s="1"/>
      <c r="F2908" s="1"/>
      <c r="G2908" s="1"/>
      <c r="H2908" s="1"/>
      <c r="I2908" s="1"/>
      <c r="J2908" s="1"/>
      <c r="K2908" s="89" t="s">
        <v>4367</v>
      </c>
      <c r="L2908" s="89" t="str">
        <f>G108</f>
        <v>C1b1a2b</v>
      </c>
      <c r="M2908" s="89" t="s">
        <v>4366</v>
      </c>
      <c r="N2908" s="89" t="s">
        <v>4368</v>
      </c>
      <c r="O2908" s="92">
        <v>1.4848992E7</v>
      </c>
      <c r="P2908" s="92">
        <v>1.2737058E7</v>
      </c>
      <c r="Q2908" s="89" t="s">
        <v>810</v>
      </c>
      <c r="AF2908" s="1"/>
      <c r="AG2908" s="1"/>
    </row>
    <row r="2909" ht="15.75" customHeight="1">
      <c r="A2909" s="1"/>
      <c r="B2909" s="1"/>
      <c r="C2909" s="1"/>
      <c r="D2909" s="1"/>
      <c r="E2909" s="1"/>
      <c r="F2909" s="1"/>
      <c r="G2909" s="1"/>
      <c r="H2909" s="1"/>
      <c r="I2909" s="1"/>
      <c r="J2909" s="1"/>
      <c r="K2909" s="89" t="s">
        <v>4369</v>
      </c>
      <c r="L2909" s="89" t="str">
        <f>G108</f>
        <v>C1b1a2b</v>
      </c>
      <c r="M2909" s="89" t="s">
        <v>4370</v>
      </c>
      <c r="N2909" s="89" t="s">
        <v>4371</v>
      </c>
      <c r="O2909" s="92">
        <v>1.4867838E7</v>
      </c>
      <c r="P2909" s="92">
        <v>1.2755908E7</v>
      </c>
      <c r="Q2909" s="89" t="s">
        <v>838</v>
      </c>
      <c r="AF2909" s="1"/>
      <c r="AG2909" s="1"/>
    </row>
    <row r="2910" ht="15.75" customHeight="1">
      <c r="A2910" s="1"/>
      <c r="B2910" s="1"/>
      <c r="C2910" s="1"/>
      <c r="D2910" s="1"/>
      <c r="E2910" s="1"/>
      <c r="F2910" s="1"/>
      <c r="G2910" s="1"/>
      <c r="H2910" s="1"/>
      <c r="I2910" s="1"/>
      <c r="J2910" s="1"/>
      <c r="K2910" s="89" t="s">
        <v>4370</v>
      </c>
      <c r="L2910" s="89" t="str">
        <f>G108</f>
        <v>C1b1a2b</v>
      </c>
      <c r="M2910" s="89" t="s">
        <v>4369</v>
      </c>
      <c r="N2910" s="89" t="s">
        <v>4371</v>
      </c>
      <c r="O2910" s="92">
        <v>1.4867838E7</v>
      </c>
      <c r="P2910" s="92">
        <v>1.2755908E7</v>
      </c>
      <c r="Q2910" s="89" t="s">
        <v>838</v>
      </c>
      <c r="AF2910" s="1"/>
      <c r="AG2910" s="1"/>
    </row>
    <row r="2911" ht="15.75" customHeight="1">
      <c r="A2911" s="1"/>
      <c r="B2911" s="1"/>
      <c r="C2911" s="1"/>
      <c r="D2911" s="1"/>
      <c r="E2911" s="1"/>
      <c r="F2911" s="1"/>
      <c r="G2911" s="1"/>
      <c r="H2911" s="1"/>
      <c r="I2911" s="1"/>
      <c r="J2911" s="1"/>
      <c r="K2911" s="89" t="s">
        <v>4372</v>
      </c>
      <c r="L2911" s="89" t="str">
        <f>G108</f>
        <v>C1b1a2b</v>
      </c>
      <c r="M2911" s="89" t="s">
        <v>4373</v>
      </c>
      <c r="N2911" s="89" t="s">
        <v>4374</v>
      </c>
      <c r="O2911" s="92">
        <v>1.4939817E7</v>
      </c>
      <c r="P2911" s="92">
        <v>1.2827891E7</v>
      </c>
      <c r="Q2911" s="89" t="s">
        <v>810</v>
      </c>
      <c r="AF2911" s="1"/>
      <c r="AG2911" s="1"/>
    </row>
    <row r="2912" ht="15.75" customHeight="1">
      <c r="A2912" s="1"/>
      <c r="B2912" s="1"/>
      <c r="C2912" s="1"/>
      <c r="D2912" s="1"/>
      <c r="E2912" s="1"/>
      <c r="F2912" s="1"/>
      <c r="G2912" s="1"/>
      <c r="H2912" s="1"/>
      <c r="I2912" s="1"/>
      <c r="J2912" s="1"/>
      <c r="K2912" s="89" t="s">
        <v>4373</v>
      </c>
      <c r="L2912" s="89" t="str">
        <f>G108</f>
        <v>C1b1a2b</v>
      </c>
      <c r="M2912" s="89" t="s">
        <v>4372</v>
      </c>
      <c r="N2912" s="89" t="s">
        <v>4374</v>
      </c>
      <c r="O2912" s="92">
        <v>1.4939817E7</v>
      </c>
      <c r="P2912" s="92">
        <v>1.2827891E7</v>
      </c>
      <c r="Q2912" s="89" t="s">
        <v>810</v>
      </c>
      <c r="AF2912" s="1"/>
      <c r="AG2912" s="1"/>
    </row>
    <row r="2913" ht="15.75" customHeight="1">
      <c r="A2913" s="1"/>
      <c r="B2913" s="1"/>
      <c r="C2913" s="1"/>
      <c r="D2913" s="1"/>
      <c r="E2913" s="1"/>
      <c r="F2913" s="1"/>
      <c r="G2913" s="1"/>
      <c r="H2913" s="1"/>
      <c r="I2913" s="1"/>
      <c r="J2913" s="1"/>
      <c r="K2913" s="89" t="s">
        <v>4375</v>
      </c>
      <c r="L2913" s="89" t="str">
        <f>G108</f>
        <v>C1b1a2b</v>
      </c>
      <c r="M2913" s="89" t="s">
        <v>4376</v>
      </c>
      <c r="N2913" s="89" t="s">
        <v>4377</v>
      </c>
      <c r="O2913" s="92">
        <v>1.5056839E7</v>
      </c>
      <c r="P2913" s="92">
        <v>1.2944931E7</v>
      </c>
      <c r="Q2913" s="89" t="s">
        <v>845</v>
      </c>
      <c r="AF2913" s="1"/>
      <c r="AG2913" s="1"/>
    </row>
    <row r="2914" ht="15.75" customHeight="1">
      <c r="A2914" s="1"/>
      <c r="B2914" s="1"/>
      <c r="C2914" s="1"/>
      <c r="D2914" s="1"/>
      <c r="E2914" s="1"/>
      <c r="F2914" s="1"/>
      <c r="G2914" s="1"/>
      <c r="H2914" s="1"/>
      <c r="I2914" s="1"/>
      <c r="J2914" s="1"/>
      <c r="K2914" s="89" t="s">
        <v>4376</v>
      </c>
      <c r="L2914" s="89" t="str">
        <f>G108</f>
        <v>C1b1a2b</v>
      </c>
      <c r="M2914" s="89" t="s">
        <v>4375</v>
      </c>
      <c r="N2914" s="89" t="s">
        <v>4377</v>
      </c>
      <c r="O2914" s="92">
        <v>1.5056839E7</v>
      </c>
      <c r="P2914" s="92">
        <v>1.2944931E7</v>
      </c>
      <c r="Q2914" s="89" t="s">
        <v>845</v>
      </c>
      <c r="AF2914" s="1"/>
      <c r="AG2914" s="1"/>
    </row>
    <row r="2915" ht="15.75" customHeight="1">
      <c r="A2915" s="1"/>
      <c r="B2915" s="1"/>
      <c r="C2915" s="1"/>
      <c r="D2915" s="1"/>
      <c r="E2915" s="1"/>
      <c r="F2915" s="1"/>
      <c r="G2915" s="1"/>
      <c r="H2915" s="1"/>
      <c r="I2915" s="1"/>
      <c r="J2915" s="1"/>
      <c r="K2915" s="89" t="s">
        <v>4378</v>
      </c>
      <c r="L2915" s="89" t="str">
        <f>G108</f>
        <v>C1b1a2b</v>
      </c>
      <c r="M2915" s="89" t="s">
        <v>4379</v>
      </c>
      <c r="N2915" s="89" t="s">
        <v>4380</v>
      </c>
      <c r="O2915" s="92">
        <v>1.5076555E7</v>
      </c>
      <c r="P2915" s="92">
        <v>1.2964645E7</v>
      </c>
      <c r="Q2915" s="89" t="s">
        <v>822</v>
      </c>
      <c r="AF2915" s="1"/>
      <c r="AG2915" s="1"/>
    </row>
    <row r="2916" ht="15.75" customHeight="1">
      <c r="A2916" s="1"/>
      <c r="B2916" s="1"/>
      <c r="C2916" s="1"/>
      <c r="D2916" s="1"/>
      <c r="E2916" s="1"/>
      <c r="F2916" s="1"/>
      <c r="G2916" s="1"/>
      <c r="H2916" s="1"/>
      <c r="I2916" s="1"/>
      <c r="J2916" s="1"/>
      <c r="K2916" s="89" t="s">
        <v>4379</v>
      </c>
      <c r="L2916" s="89" t="str">
        <f>G108</f>
        <v>C1b1a2b</v>
      </c>
      <c r="M2916" s="89" t="s">
        <v>4378</v>
      </c>
      <c r="N2916" s="89" t="s">
        <v>4380</v>
      </c>
      <c r="O2916" s="92">
        <v>1.5076555E7</v>
      </c>
      <c r="P2916" s="92">
        <v>1.2964645E7</v>
      </c>
      <c r="Q2916" s="89" t="s">
        <v>822</v>
      </c>
      <c r="AF2916" s="1"/>
      <c r="AG2916" s="1"/>
    </row>
    <row r="2917" ht="15.75" customHeight="1">
      <c r="A2917" s="1"/>
      <c r="B2917" s="1"/>
      <c r="C2917" s="1"/>
      <c r="D2917" s="1"/>
      <c r="E2917" s="1"/>
      <c r="F2917" s="1"/>
      <c r="G2917" s="1"/>
      <c r="H2917" s="1"/>
      <c r="I2917" s="1"/>
      <c r="J2917" s="1"/>
      <c r="K2917" s="89" t="s">
        <v>4381</v>
      </c>
      <c r="L2917" s="89" t="str">
        <f>G108</f>
        <v>C1b1a2b</v>
      </c>
      <c r="M2917" s="89" t="s">
        <v>4382</v>
      </c>
      <c r="N2917" s="89" t="s">
        <v>4383</v>
      </c>
      <c r="O2917" s="92">
        <v>1.5124801E7</v>
      </c>
      <c r="P2917" s="92">
        <v>1.3012888E7</v>
      </c>
      <c r="Q2917" s="89" t="s">
        <v>813</v>
      </c>
      <c r="AF2917" s="1"/>
      <c r="AG2917" s="1"/>
    </row>
    <row r="2918" ht="15.75" customHeight="1">
      <c r="A2918" s="1"/>
      <c r="B2918" s="1"/>
      <c r="C2918" s="1"/>
      <c r="D2918" s="1"/>
      <c r="E2918" s="1"/>
      <c r="F2918" s="1"/>
      <c r="G2918" s="1"/>
      <c r="H2918" s="1"/>
      <c r="I2918" s="1"/>
      <c r="J2918" s="1"/>
      <c r="K2918" s="89" t="s">
        <v>4382</v>
      </c>
      <c r="L2918" s="89" t="str">
        <f>G108</f>
        <v>C1b1a2b</v>
      </c>
      <c r="M2918" s="89" t="s">
        <v>4381</v>
      </c>
      <c r="N2918" s="89" t="s">
        <v>4383</v>
      </c>
      <c r="O2918" s="92">
        <v>1.5124801E7</v>
      </c>
      <c r="P2918" s="92">
        <v>1.3012888E7</v>
      </c>
      <c r="Q2918" s="89" t="s">
        <v>813</v>
      </c>
      <c r="AF2918" s="1"/>
      <c r="AG2918" s="1"/>
    </row>
    <row r="2919" ht="15.75" customHeight="1">
      <c r="A2919" s="1"/>
      <c r="B2919" s="1"/>
      <c r="C2919" s="1"/>
      <c r="D2919" s="1"/>
      <c r="E2919" s="1"/>
      <c r="F2919" s="1"/>
      <c r="G2919" s="1"/>
      <c r="H2919" s="1"/>
      <c r="I2919" s="1"/>
      <c r="J2919" s="1"/>
      <c r="K2919" s="89" t="s">
        <v>4384</v>
      </c>
      <c r="L2919" s="89" t="str">
        <f>G108</f>
        <v>C1b1a2b</v>
      </c>
      <c r="M2919" s="89" t="s">
        <v>4385</v>
      </c>
      <c r="N2919" s="89" t="s">
        <v>4386</v>
      </c>
      <c r="O2919" s="92">
        <v>1.5185601E7</v>
      </c>
      <c r="P2919" s="92">
        <v>1.3073687E7</v>
      </c>
      <c r="Q2919" s="89" t="s">
        <v>813</v>
      </c>
      <c r="AF2919" s="1"/>
      <c r="AG2919" s="1"/>
    </row>
    <row r="2920" ht="15.75" customHeight="1">
      <c r="A2920" s="1"/>
      <c r="B2920" s="1"/>
      <c r="C2920" s="1"/>
      <c r="D2920" s="1"/>
      <c r="E2920" s="1"/>
      <c r="F2920" s="1"/>
      <c r="G2920" s="1"/>
      <c r="H2920" s="1"/>
      <c r="I2920" s="1"/>
      <c r="J2920" s="1"/>
      <c r="K2920" s="89" t="s">
        <v>4385</v>
      </c>
      <c r="L2920" s="89" t="str">
        <f>G108</f>
        <v>C1b1a2b</v>
      </c>
      <c r="M2920" s="89" t="s">
        <v>4384</v>
      </c>
      <c r="N2920" s="89" t="s">
        <v>4386</v>
      </c>
      <c r="O2920" s="92">
        <v>1.5185601E7</v>
      </c>
      <c r="P2920" s="92">
        <v>1.3073687E7</v>
      </c>
      <c r="Q2920" s="89" t="s">
        <v>813</v>
      </c>
      <c r="AF2920" s="1"/>
      <c r="AG2920" s="1"/>
    </row>
    <row r="2921" ht="15.75" customHeight="1">
      <c r="A2921" s="1"/>
      <c r="B2921" s="1"/>
      <c r="C2921" s="1"/>
      <c r="D2921" s="1"/>
      <c r="E2921" s="1"/>
      <c r="F2921" s="1"/>
      <c r="G2921" s="1"/>
      <c r="H2921" s="1"/>
      <c r="I2921" s="1"/>
      <c r="J2921" s="1"/>
      <c r="K2921" s="89" t="s">
        <v>4387</v>
      </c>
      <c r="L2921" s="89" t="str">
        <f>G108</f>
        <v>C1b1a2b</v>
      </c>
      <c r="M2921" s="89" t="s">
        <v>4388</v>
      </c>
      <c r="N2921" s="89" t="s">
        <v>4389</v>
      </c>
      <c r="O2921" s="92">
        <v>1.5219892E7</v>
      </c>
      <c r="P2921" s="92">
        <v>1.3107978E7</v>
      </c>
      <c r="Q2921" s="89" t="s">
        <v>822</v>
      </c>
      <c r="AF2921" s="1"/>
      <c r="AG2921" s="1"/>
    </row>
    <row r="2922" ht="15.75" customHeight="1">
      <c r="A2922" s="1"/>
      <c r="B2922" s="1"/>
      <c r="C2922" s="1"/>
      <c r="D2922" s="1"/>
      <c r="E2922" s="1"/>
      <c r="F2922" s="1"/>
      <c r="G2922" s="1"/>
      <c r="H2922" s="1"/>
      <c r="I2922" s="1"/>
      <c r="J2922" s="1"/>
      <c r="K2922" s="89" t="s">
        <v>4388</v>
      </c>
      <c r="L2922" s="89" t="str">
        <f>G108</f>
        <v>C1b1a2b</v>
      </c>
      <c r="M2922" s="89" t="s">
        <v>4387</v>
      </c>
      <c r="N2922" s="89" t="s">
        <v>4389</v>
      </c>
      <c r="O2922" s="92">
        <v>1.5219892E7</v>
      </c>
      <c r="P2922" s="92">
        <v>1.3107978E7</v>
      </c>
      <c r="Q2922" s="89" t="s">
        <v>822</v>
      </c>
      <c r="AF2922" s="1"/>
      <c r="AG2922" s="1"/>
    </row>
    <row r="2923" ht="15.75" customHeight="1">
      <c r="A2923" s="1"/>
      <c r="B2923" s="1"/>
      <c r="C2923" s="1"/>
      <c r="D2923" s="1"/>
      <c r="E2923" s="1"/>
      <c r="F2923" s="1"/>
      <c r="G2923" s="1"/>
      <c r="H2923" s="1"/>
      <c r="I2923" s="1"/>
      <c r="J2923" s="1"/>
      <c r="K2923" s="89" t="s">
        <v>4390</v>
      </c>
      <c r="L2923" s="89" t="str">
        <f>G108</f>
        <v>C1b1a2b</v>
      </c>
      <c r="M2923" s="89" t="s">
        <v>4391</v>
      </c>
      <c r="N2923" s="89" t="s">
        <v>4392</v>
      </c>
      <c r="O2923" s="92">
        <v>1.523501E7</v>
      </c>
      <c r="P2923" s="92">
        <v>1.3123096E7</v>
      </c>
      <c r="Q2923" s="89" t="s">
        <v>813</v>
      </c>
      <c r="AF2923" s="1"/>
      <c r="AG2923" s="1"/>
    </row>
    <row r="2924" ht="15.75" customHeight="1">
      <c r="A2924" s="1"/>
      <c r="B2924" s="1"/>
      <c r="C2924" s="1"/>
      <c r="D2924" s="1"/>
      <c r="E2924" s="1"/>
      <c r="F2924" s="1"/>
      <c r="G2924" s="1"/>
      <c r="H2924" s="1"/>
      <c r="I2924" s="1"/>
      <c r="J2924" s="1"/>
      <c r="K2924" s="89" t="s">
        <v>4391</v>
      </c>
      <c r="L2924" s="89" t="str">
        <f>G108</f>
        <v>C1b1a2b</v>
      </c>
      <c r="M2924" s="89" t="s">
        <v>4390</v>
      </c>
      <c r="N2924" s="89" t="s">
        <v>4392</v>
      </c>
      <c r="O2924" s="92">
        <v>1.523501E7</v>
      </c>
      <c r="P2924" s="92">
        <v>1.3123096E7</v>
      </c>
      <c r="Q2924" s="89" t="s">
        <v>813</v>
      </c>
      <c r="AF2924" s="1"/>
      <c r="AG2924" s="1"/>
    </row>
    <row r="2925" ht="15.75" customHeight="1">
      <c r="A2925" s="1"/>
      <c r="B2925" s="1"/>
      <c r="C2925" s="1"/>
      <c r="D2925" s="1"/>
      <c r="E2925" s="1"/>
      <c r="F2925" s="1"/>
      <c r="G2925" s="1"/>
      <c r="H2925" s="1"/>
      <c r="I2925" s="1"/>
      <c r="J2925" s="1"/>
      <c r="K2925" s="89" t="s">
        <v>4393</v>
      </c>
      <c r="L2925" s="89" t="str">
        <f>G108</f>
        <v>C1b1a2b</v>
      </c>
      <c r="M2925" s="89" t="s">
        <v>4394</v>
      </c>
      <c r="N2925" s="89" t="s">
        <v>4395</v>
      </c>
      <c r="O2925" s="92">
        <v>1.5299462E7</v>
      </c>
      <c r="P2925" s="92">
        <v>1.3187561E7</v>
      </c>
      <c r="Q2925" s="89" t="s">
        <v>810</v>
      </c>
      <c r="AF2925" s="1"/>
      <c r="AG2925" s="1"/>
    </row>
    <row r="2926" ht="15.75" customHeight="1">
      <c r="A2926" s="1"/>
      <c r="B2926" s="1"/>
      <c r="C2926" s="1"/>
      <c r="D2926" s="1"/>
      <c r="E2926" s="1"/>
      <c r="F2926" s="1"/>
      <c r="G2926" s="1"/>
      <c r="H2926" s="1"/>
      <c r="I2926" s="1"/>
      <c r="J2926" s="1"/>
      <c r="K2926" s="89" t="s">
        <v>4394</v>
      </c>
      <c r="L2926" s="89" t="str">
        <f>G108</f>
        <v>C1b1a2b</v>
      </c>
      <c r="M2926" s="89" t="s">
        <v>4393</v>
      </c>
      <c r="N2926" s="89" t="s">
        <v>4395</v>
      </c>
      <c r="O2926" s="92">
        <v>1.5299462E7</v>
      </c>
      <c r="P2926" s="92">
        <v>1.3187561E7</v>
      </c>
      <c r="Q2926" s="89" t="s">
        <v>810</v>
      </c>
      <c r="AF2926" s="1"/>
      <c r="AG2926" s="1"/>
    </row>
    <row r="2927" ht="15.75" customHeight="1">
      <c r="A2927" s="1"/>
      <c r="B2927" s="1"/>
      <c r="C2927" s="1"/>
      <c r="D2927" s="1"/>
      <c r="E2927" s="1"/>
      <c r="F2927" s="1"/>
      <c r="G2927" s="1"/>
      <c r="H2927" s="1"/>
      <c r="I2927" s="1"/>
      <c r="J2927" s="1"/>
      <c r="K2927" s="89" t="s">
        <v>4396</v>
      </c>
      <c r="L2927" s="89" t="str">
        <f>G108</f>
        <v>C1b1a2b</v>
      </c>
      <c r="M2927" s="89" t="s">
        <v>4397</v>
      </c>
      <c r="N2927" s="89" t="s">
        <v>4398</v>
      </c>
      <c r="O2927" s="92">
        <v>1.5433243E7</v>
      </c>
      <c r="P2927" s="92">
        <v>1.3321363E7</v>
      </c>
      <c r="Q2927" s="89" t="s">
        <v>822</v>
      </c>
      <c r="AF2927" s="1"/>
      <c r="AG2927" s="1"/>
    </row>
    <row r="2928" ht="15.75" customHeight="1">
      <c r="A2928" s="1"/>
      <c r="B2928" s="1"/>
      <c r="C2928" s="1"/>
      <c r="D2928" s="1"/>
      <c r="E2928" s="1"/>
      <c r="F2928" s="1"/>
      <c r="G2928" s="1"/>
      <c r="H2928" s="1"/>
      <c r="I2928" s="1"/>
      <c r="J2928" s="1"/>
      <c r="K2928" s="89" t="s">
        <v>4397</v>
      </c>
      <c r="L2928" s="89" t="str">
        <f>G108</f>
        <v>C1b1a2b</v>
      </c>
      <c r="M2928" s="89" t="s">
        <v>4396</v>
      </c>
      <c r="N2928" s="89" t="s">
        <v>4398</v>
      </c>
      <c r="O2928" s="92">
        <v>1.5433243E7</v>
      </c>
      <c r="P2928" s="92">
        <v>1.3321363E7</v>
      </c>
      <c r="Q2928" s="89" t="s">
        <v>822</v>
      </c>
      <c r="AF2928" s="1"/>
      <c r="AG2928" s="1"/>
    </row>
    <row r="2929" ht="15.75" customHeight="1">
      <c r="A2929" s="1"/>
      <c r="B2929" s="1"/>
      <c r="C2929" s="1"/>
      <c r="D2929" s="1"/>
      <c r="E2929" s="1"/>
      <c r="F2929" s="1"/>
      <c r="G2929" s="1"/>
      <c r="H2929" s="1"/>
      <c r="I2929" s="1"/>
      <c r="J2929" s="1"/>
      <c r="K2929" s="89" t="s">
        <v>4399</v>
      </c>
      <c r="L2929" s="89" t="str">
        <f>G108</f>
        <v>C1b1a2b</v>
      </c>
      <c r="M2929" s="89" t="s">
        <v>4400</v>
      </c>
      <c r="N2929" s="89" t="s">
        <v>4401</v>
      </c>
      <c r="O2929" s="92">
        <v>1.5488592E7</v>
      </c>
      <c r="P2929" s="92">
        <v>1.3376712E7</v>
      </c>
      <c r="Q2929" s="89" t="s">
        <v>845</v>
      </c>
      <c r="AF2929" s="1"/>
      <c r="AG2929" s="1"/>
    </row>
    <row r="2930" ht="15.75" customHeight="1">
      <c r="A2930" s="1"/>
      <c r="B2930" s="1"/>
      <c r="C2930" s="1"/>
      <c r="D2930" s="1"/>
      <c r="E2930" s="1"/>
      <c r="F2930" s="1"/>
      <c r="G2930" s="1"/>
      <c r="H2930" s="1"/>
      <c r="I2930" s="1"/>
      <c r="J2930" s="1"/>
      <c r="K2930" s="89" t="s">
        <v>4400</v>
      </c>
      <c r="L2930" s="89" t="str">
        <f>G108</f>
        <v>C1b1a2b</v>
      </c>
      <c r="M2930" s="89" t="s">
        <v>4399</v>
      </c>
      <c r="N2930" s="89" t="s">
        <v>4401</v>
      </c>
      <c r="O2930" s="92">
        <v>1.5488592E7</v>
      </c>
      <c r="P2930" s="92">
        <v>1.3376712E7</v>
      </c>
      <c r="Q2930" s="89" t="s">
        <v>845</v>
      </c>
      <c r="AF2930" s="1"/>
      <c r="AG2930" s="1"/>
    </row>
    <row r="2931" ht="15.75" customHeight="1">
      <c r="A2931" s="1"/>
      <c r="B2931" s="1"/>
      <c r="C2931" s="1"/>
      <c r="D2931" s="1"/>
      <c r="E2931" s="1"/>
      <c r="F2931" s="1"/>
      <c r="G2931" s="1"/>
      <c r="H2931" s="1"/>
      <c r="I2931" s="1"/>
      <c r="J2931" s="1"/>
      <c r="K2931" s="89" t="s">
        <v>4402</v>
      </c>
      <c r="L2931" s="89" t="str">
        <f>G108</f>
        <v>C1b1a2b</v>
      </c>
      <c r="M2931" s="89" t="s">
        <v>4403</v>
      </c>
      <c r="N2931" s="89" t="s">
        <v>4404</v>
      </c>
      <c r="O2931" s="92">
        <v>1.5602951E7</v>
      </c>
      <c r="P2931" s="92">
        <v>1.3491071E7</v>
      </c>
      <c r="Q2931" s="89" t="s">
        <v>838</v>
      </c>
      <c r="AF2931" s="1"/>
      <c r="AG2931" s="1"/>
    </row>
    <row r="2932" ht="15.75" customHeight="1">
      <c r="A2932" s="1"/>
      <c r="B2932" s="1"/>
      <c r="C2932" s="1"/>
      <c r="D2932" s="1"/>
      <c r="E2932" s="1"/>
      <c r="F2932" s="1"/>
      <c r="G2932" s="1"/>
      <c r="H2932" s="1"/>
      <c r="I2932" s="1"/>
      <c r="J2932" s="1"/>
      <c r="K2932" s="89" t="s">
        <v>4403</v>
      </c>
      <c r="L2932" s="89" t="str">
        <f>G108</f>
        <v>C1b1a2b</v>
      </c>
      <c r="M2932" s="89" t="s">
        <v>4402</v>
      </c>
      <c r="N2932" s="89" t="s">
        <v>4404</v>
      </c>
      <c r="O2932" s="92">
        <v>1.5602951E7</v>
      </c>
      <c r="P2932" s="92">
        <v>1.3491071E7</v>
      </c>
      <c r="Q2932" s="89" t="s">
        <v>838</v>
      </c>
      <c r="AF2932" s="1"/>
      <c r="AG2932" s="1"/>
    </row>
    <row r="2933" ht="15.75" customHeight="1">
      <c r="A2933" s="1"/>
      <c r="B2933" s="1"/>
      <c r="C2933" s="1"/>
      <c r="D2933" s="1"/>
      <c r="E2933" s="1"/>
      <c r="F2933" s="1"/>
      <c r="G2933" s="1"/>
      <c r="H2933" s="1"/>
      <c r="I2933" s="1"/>
      <c r="J2933" s="1"/>
      <c r="K2933" s="89" t="s">
        <v>4405</v>
      </c>
      <c r="L2933" s="89" t="str">
        <f>G108</f>
        <v>C1b1a2b</v>
      </c>
      <c r="M2933" s="89" t="s">
        <v>4406</v>
      </c>
      <c r="N2933" s="89" t="s">
        <v>4407</v>
      </c>
      <c r="O2933" s="92">
        <v>1.5701584E7</v>
      </c>
      <c r="P2933" s="92">
        <v>1.3589704E7</v>
      </c>
      <c r="Q2933" s="89" t="s">
        <v>886</v>
      </c>
      <c r="AF2933" s="1"/>
      <c r="AG2933" s="1"/>
    </row>
    <row r="2934" ht="15.75" customHeight="1">
      <c r="A2934" s="1"/>
      <c r="B2934" s="1"/>
      <c r="C2934" s="1"/>
      <c r="D2934" s="1"/>
      <c r="E2934" s="1"/>
      <c r="F2934" s="1"/>
      <c r="G2934" s="1"/>
      <c r="H2934" s="1"/>
      <c r="I2934" s="1"/>
      <c r="J2934" s="1"/>
      <c r="K2934" s="89" t="s">
        <v>4406</v>
      </c>
      <c r="L2934" s="89" t="str">
        <f>G108</f>
        <v>C1b1a2b</v>
      </c>
      <c r="M2934" s="89" t="s">
        <v>4405</v>
      </c>
      <c r="N2934" s="89" t="s">
        <v>4407</v>
      </c>
      <c r="O2934" s="92">
        <v>1.5701584E7</v>
      </c>
      <c r="P2934" s="92">
        <v>1.3589704E7</v>
      </c>
      <c r="Q2934" s="89" t="s">
        <v>886</v>
      </c>
      <c r="AF2934" s="1"/>
      <c r="AG2934" s="1"/>
    </row>
    <row r="2935" ht="15.75" customHeight="1">
      <c r="A2935" s="1"/>
      <c r="B2935" s="1"/>
      <c r="C2935" s="1"/>
      <c r="D2935" s="1"/>
      <c r="E2935" s="1"/>
      <c r="F2935" s="1"/>
      <c r="G2935" s="1"/>
      <c r="H2935" s="1"/>
      <c r="I2935" s="1"/>
      <c r="J2935" s="1"/>
      <c r="K2935" s="89" t="s">
        <v>4408</v>
      </c>
      <c r="L2935" s="89" t="str">
        <f>G108</f>
        <v>C1b1a2b</v>
      </c>
      <c r="M2935" s="89" t="s">
        <v>4409</v>
      </c>
      <c r="N2935" s="89" t="s">
        <v>4410</v>
      </c>
      <c r="O2935" s="92">
        <v>1.5723465E7</v>
      </c>
      <c r="P2935" s="92">
        <v>1.3611585E7</v>
      </c>
      <c r="Q2935" s="89" t="s">
        <v>802</v>
      </c>
      <c r="AF2935" s="1"/>
      <c r="AG2935" s="1"/>
    </row>
    <row r="2936" ht="15.75" customHeight="1">
      <c r="A2936" s="1"/>
      <c r="B2936" s="1"/>
      <c r="C2936" s="1"/>
      <c r="D2936" s="1"/>
      <c r="E2936" s="1"/>
      <c r="F2936" s="1"/>
      <c r="G2936" s="1"/>
      <c r="H2936" s="1"/>
      <c r="I2936" s="1"/>
      <c r="J2936" s="1"/>
      <c r="K2936" s="89" t="s">
        <v>4409</v>
      </c>
      <c r="L2936" s="89" t="str">
        <f>G108</f>
        <v>C1b1a2b</v>
      </c>
      <c r="M2936" s="89" t="s">
        <v>4408</v>
      </c>
      <c r="N2936" s="89" t="s">
        <v>4410</v>
      </c>
      <c r="O2936" s="92">
        <v>1.5723465E7</v>
      </c>
      <c r="P2936" s="92">
        <v>1.3611585E7</v>
      </c>
      <c r="Q2936" s="89" t="s">
        <v>802</v>
      </c>
      <c r="AF2936" s="1"/>
      <c r="AG2936" s="1"/>
    </row>
    <row r="2937" ht="15.75" customHeight="1">
      <c r="A2937" s="1"/>
      <c r="B2937" s="1"/>
      <c r="C2937" s="1"/>
      <c r="D2937" s="1"/>
      <c r="E2937" s="1"/>
      <c r="F2937" s="1"/>
      <c r="G2937" s="1"/>
      <c r="H2937" s="1"/>
      <c r="I2937" s="1"/>
      <c r="J2937" s="1"/>
      <c r="K2937" s="89" t="s">
        <v>4411</v>
      </c>
      <c r="L2937" s="89" t="str">
        <f>G108</f>
        <v>C1b1a2b</v>
      </c>
      <c r="M2937" s="89" t="s">
        <v>4412</v>
      </c>
      <c r="N2937" s="89" t="s">
        <v>4413</v>
      </c>
      <c r="O2937" s="92">
        <v>1.5731092E7</v>
      </c>
      <c r="P2937" s="92">
        <v>1.3619212E7</v>
      </c>
      <c r="Q2937" s="89" t="s">
        <v>822</v>
      </c>
      <c r="AF2937" s="1"/>
      <c r="AG2937" s="1"/>
    </row>
    <row r="2938" ht="15.75" customHeight="1">
      <c r="A2938" s="1"/>
      <c r="B2938" s="1"/>
      <c r="C2938" s="1"/>
      <c r="D2938" s="1"/>
      <c r="E2938" s="1"/>
      <c r="F2938" s="1"/>
      <c r="G2938" s="1"/>
      <c r="H2938" s="1"/>
      <c r="I2938" s="1"/>
      <c r="J2938" s="1"/>
      <c r="K2938" s="89" t="s">
        <v>4412</v>
      </c>
      <c r="L2938" s="89" t="str">
        <f>G108</f>
        <v>C1b1a2b</v>
      </c>
      <c r="M2938" s="89" t="s">
        <v>4411</v>
      </c>
      <c r="N2938" s="89" t="s">
        <v>4413</v>
      </c>
      <c r="O2938" s="92">
        <v>1.5731092E7</v>
      </c>
      <c r="P2938" s="92">
        <v>1.3619212E7</v>
      </c>
      <c r="Q2938" s="89" t="s">
        <v>822</v>
      </c>
      <c r="AF2938" s="1"/>
      <c r="AG2938" s="1"/>
    </row>
    <row r="2939" ht="15.75" customHeight="1">
      <c r="A2939" s="1"/>
      <c r="B2939" s="1"/>
      <c r="C2939" s="1"/>
      <c r="D2939" s="1"/>
      <c r="E2939" s="1"/>
      <c r="F2939" s="1"/>
      <c r="G2939" s="1"/>
      <c r="H2939" s="1"/>
      <c r="I2939" s="1"/>
      <c r="J2939" s="1"/>
      <c r="K2939" s="89" t="s">
        <v>4414</v>
      </c>
      <c r="L2939" s="89" t="str">
        <f>G108</f>
        <v>C1b1a2b</v>
      </c>
      <c r="M2939" s="89" t="s">
        <v>4415</v>
      </c>
      <c r="N2939" s="89" t="s">
        <v>4416</v>
      </c>
      <c r="O2939" s="92">
        <v>1.5741576E7</v>
      </c>
      <c r="P2939" s="92">
        <v>1.3629696E7</v>
      </c>
      <c r="Q2939" s="89" t="s">
        <v>886</v>
      </c>
      <c r="AF2939" s="1"/>
      <c r="AG2939" s="1"/>
    </row>
    <row r="2940" ht="15.75" customHeight="1">
      <c r="A2940" s="1"/>
      <c r="B2940" s="1"/>
      <c r="C2940" s="1"/>
      <c r="D2940" s="1"/>
      <c r="E2940" s="1"/>
      <c r="F2940" s="1"/>
      <c r="G2940" s="1"/>
      <c r="H2940" s="1"/>
      <c r="I2940" s="1"/>
      <c r="J2940" s="1"/>
      <c r="K2940" s="89" t="s">
        <v>4415</v>
      </c>
      <c r="L2940" s="89" t="str">
        <f>G108</f>
        <v>C1b1a2b</v>
      </c>
      <c r="M2940" s="89" t="s">
        <v>4414</v>
      </c>
      <c r="N2940" s="89" t="s">
        <v>4416</v>
      </c>
      <c r="O2940" s="92">
        <v>1.5741576E7</v>
      </c>
      <c r="P2940" s="92">
        <v>1.3629696E7</v>
      </c>
      <c r="Q2940" s="89" t="s">
        <v>886</v>
      </c>
      <c r="AF2940" s="1"/>
      <c r="AG2940" s="1"/>
    </row>
    <row r="2941" ht="15.75" customHeight="1">
      <c r="A2941" s="1"/>
      <c r="B2941" s="1"/>
      <c r="C2941" s="1"/>
      <c r="D2941" s="1"/>
      <c r="E2941" s="1"/>
      <c r="F2941" s="1"/>
      <c r="G2941" s="1"/>
      <c r="H2941" s="1"/>
      <c r="I2941" s="1"/>
      <c r="J2941" s="1"/>
      <c r="K2941" s="89" t="s">
        <v>4417</v>
      </c>
      <c r="L2941" s="89" t="str">
        <f>G108</f>
        <v>C1b1a2b</v>
      </c>
      <c r="M2941" s="89" t="s">
        <v>4418</v>
      </c>
      <c r="N2941" s="89" t="s">
        <v>4419</v>
      </c>
      <c r="O2941" s="92">
        <v>1.5747663E7</v>
      </c>
      <c r="P2941" s="92">
        <v>1.3635783E7</v>
      </c>
      <c r="Q2941" s="89" t="s">
        <v>802</v>
      </c>
      <c r="AF2941" s="1"/>
      <c r="AG2941" s="1"/>
    </row>
    <row r="2942" ht="15.75" customHeight="1">
      <c r="A2942" s="1"/>
      <c r="B2942" s="1"/>
      <c r="C2942" s="1"/>
      <c r="D2942" s="1"/>
      <c r="E2942" s="1"/>
      <c r="F2942" s="1"/>
      <c r="G2942" s="1"/>
      <c r="H2942" s="1"/>
      <c r="I2942" s="1"/>
      <c r="J2942" s="1"/>
      <c r="K2942" s="89" t="s">
        <v>4418</v>
      </c>
      <c r="L2942" s="89" t="str">
        <f>G108</f>
        <v>C1b1a2b</v>
      </c>
      <c r="M2942" s="89" t="s">
        <v>4417</v>
      </c>
      <c r="N2942" s="89" t="s">
        <v>4419</v>
      </c>
      <c r="O2942" s="92">
        <v>1.5747663E7</v>
      </c>
      <c r="P2942" s="92">
        <v>1.3635783E7</v>
      </c>
      <c r="Q2942" s="89" t="s">
        <v>802</v>
      </c>
      <c r="AF2942" s="1"/>
      <c r="AG2942" s="1"/>
    </row>
    <row r="2943" ht="15.75" customHeight="1">
      <c r="A2943" s="1"/>
      <c r="B2943" s="1"/>
      <c r="C2943" s="1"/>
      <c r="D2943" s="1"/>
      <c r="E2943" s="1"/>
      <c r="F2943" s="1"/>
      <c r="G2943" s="1"/>
      <c r="H2943" s="1"/>
      <c r="I2943" s="1"/>
      <c r="J2943" s="1"/>
      <c r="K2943" s="89" t="s">
        <v>4420</v>
      </c>
      <c r="L2943" s="89" t="str">
        <f>G108</f>
        <v>C1b1a2b</v>
      </c>
      <c r="M2943" s="89" t="s">
        <v>4421</v>
      </c>
      <c r="N2943" s="89" t="s">
        <v>4422</v>
      </c>
      <c r="O2943" s="92">
        <v>1.5764766E7</v>
      </c>
      <c r="P2943" s="92">
        <v>1.3652886E7</v>
      </c>
      <c r="Q2943" s="89" t="s">
        <v>838</v>
      </c>
      <c r="AF2943" s="1"/>
      <c r="AG2943" s="1"/>
    </row>
    <row r="2944" ht="15.75" customHeight="1">
      <c r="A2944" s="1"/>
      <c r="B2944" s="1"/>
      <c r="C2944" s="1"/>
      <c r="D2944" s="1"/>
      <c r="E2944" s="1"/>
      <c r="F2944" s="1"/>
      <c r="G2944" s="1"/>
      <c r="H2944" s="1"/>
      <c r="I2944" s="1"/>
      <c r="J2944" s="1"/>
      <c r="K2944" s="89" t="s">
        <v>4421</v>
      </c>
      <c r="L2944" s="89" t="str">
        <f>G108</f>
        <v>C1b1a2b</v>
      </c>
      <c r="M2944" s="89" t="s">
        <v>4420</v>
      </c>
      <c r="N2944" s="89" t="s">
        <v>4422</v>
      </c>
      <c r="O2944" s="92">
        <v>1.5764766E7</v>
      </c>
      <c r="P2944" s="92">
        <v>1.3652886E7</v>
      </c>
      <c r="Q2944" s="89" t="s">
        <v>838</v>
      </c>
      <c r="AF2944" s="1"/>
      <c r="AG2944" s="1"/>
    </row>
    <row r="2945" ht="15.75" customHeight="1">
      <c r="A2945" s="1"/>
      <c r="B2945" s="1"/>
      <c r="C2945" s="1"/>
      <c r="D2945" s="1"/>
      <c r="E2945" s="1"/>
      <c r="F2945" s="1"/>
      <c r="G2945" s="1"/>
      <c r="H2945" s="1"/>
      <c r="I2945" s="1"/>
      <c r="J2945" s="1"/>
      <c r="K2945" s="89" t="s">
        <v>4423</v>
      </c>
      <c r="L2945" s="89" t="str">
        <f>G108</f>
        <v>C1b1a2b</v>
      </c>
      <c r="M2945" s="89" t="s">
        <v>4424</v>
      </c>
      <c r="N2945" s="89" t="s">
        <v>4425</v>
      </c>
      <c r="O2945" s="92">
        <v>1.578199E7</v>
      </c>
      <c r="P2945" s="92">
        <v>1.367011E7</v>
      </c>
      <c r="Q2945" s="89" t="s">
        <v>802</v>
      </c>
      <c r="AF2945" s="1"/>
      <c r="AG2945" s="1"/>
    </row>
    <row r="2946" ht="15.75" customHeight="1">
      <c r="A2946" s="1"/>
      <c r="B2946" s="1"/>
      <c r="C2946" s="1"/>
      <c r="D2946" s="1"/>
      <c r="E2946" s="1"/>
      <c r="F2946" s="1"/>
      <c r="G2946" s="1"/>
      <c r="H2946" s="1"/>
      <c r="I2946" s="1"/>
      <c r="J2946" s="1"/>
      <c r="K2946" s="89" t="s">
        <v>4424</v>
      </c>
      <c r="L2946" s="89" t="str">
        <f>G108</f>
        <v>C1b1a2b</v>
      </c>
      <c r="M2946" s="89" t="s">
        <v>4423</v>
      </c>
      <c r="N2946" s="89" t="s">
        <v>4425</v>
      </c>
      <c r="O2946" s="92">
        <v>1.578199E7</v>
      </c>
      <c r="P2946" s="92">
        <v>1.367011E7</v>
      </c>
      <c r="Q2946" s="89" t="s">
        <v>802</v>
      </c>
      <c r="AF2946" s="1"/>
      <c r="AG2946" s="1"/>
    </row>
    <row r="2947" ht="15.75" customHeight="1">
      <c r="A2947" s="1"/>
      <c r="B2947" s="1"/>
      <c r="C2947" s="1"/>
      <c r="D2947" s="1"/>
      <c r="E2947" s="1"/>
      <c r="F2947" s="1"/>
      <c r="G2947" s="1"/>
      <c r="H2947" s="1"/>
      <c r="I2947" s="1"/>
      <c r="J2947" s="1"/>
      <c r="K2947" s="89" t="s">
        <v>4426</v>
      </c>
      <c r="L2947" s="89" t="str">
        <f>G108</f>
        <v>C1b1a2b</v>
      </c>
      <c r="M2947" s="89" t="s">
        <v>4427</v>
      </c>
      <c r="N2947" s="89" t="s">
        <v>4428</v>
      </c>
      <c r="O2947" s="92">
        <v>1.5784386E7</v>
      </c>
      <c r="P2947" s="92">
        <v>1.3672506E7</v>
      </c>
      <c r="Q2947" s="89" t="s">
        <v>822</v>
      </c>
      <c r="AF2947" s="1"/>
      <c r="AG2947" s="1"/>
    </row>
    <row r="2948" ht="15.75" customHeight="1">
      <c r="A2948" s="1"/>
      <c r="B2948" s="1"/>
      <c r="C2948" s="1"/>
      <c r="D2948" s="1"/>
      <c r="E2948" s="1"/>
      <c r="F2948" s="1"/>
      <c r="G2948" s="1"/>
      <c r="H2948" s="1"/>
      <c r="I2948" s="1"/>
      <c r="J2948" s="1"/>
      <c r="K2948" s="89" t="s">
        <v>4427</v>
      </c>
      <c r="L2948" s="89" t="str">
        <f>G108</f>
        <v>C1b1a2b</v>
      </c>
      <c r="M2948" s="89" t="s">
        <v>4426</v>
      </c>
      <c r="N2948" s="89" t="s">
        <v>4428</v>
      </c>
      <c r="O2948" s="92">
        <v>1.5784386E7</v>
      </c>
      <c r="P2948" s="92">
        <v>1.3672506E7</v>
      </c>
      <c r="Q2948" s="89" t="s">
        <v>822</v>
      </c>
      <c r="AF2948" s="1"/>
      <c r="AG2948" s="1"/>
    </row>
    <row r="2949" ht="15.75" customHeight="1">
      <c r="A2949" s="1"/>
      <c r="B2949" s="1"/>
      <c r="C2949" s="1"/>
      <c r="D2949" s="1"/>
      <c r="E2949" s="1"/>
      <c r="F2949" s="1"/>
      <c r="G2949" s="1"/>
      <c r="H2949" s="1"/>
      <c r="I2949" s="1"/>
      <c r="J2949" s="1"/>
      <c r="K2949" s="89" t="s">
        <v>4429</v>
      </c>
      <c r="L2949" s="89" t="str">
        <f>G108</f>
        <v>C1b1a2b</v>
      </c>
      <c r="M2949" s="89" t="s">
        <v>4430</v>
      </c>
      <c r="N2949" s="89" t="s">
        <v>4431</v>
      </c>
      <c r="O2949" s="92">
        <v>1.5798936E7</v>
      </c>
      <c r="P2949" s="92">
        <v>1.3687056E7</v>
      </c>
      <c r="Q2949" s="89" t="s">
        <v>912</v>
      </c>
      <c r="AF2949" s="1"/>
      <c r="AG2949" s="1"/>
    </row>
    <row r="2950" ht="15.75" customHeight="1">
      <c r="A2950" s="1"/>
      <c r="B2950" s="1"/>
      <c r="C2950" s="1"/>
      <c r="D2950" s="1"/>
      <c r="E2950" s="1"/>
      <c r="F2950" s="1"/>
      <c r="G2950" s="1"/>
      <c r="H2950" s="1"/>
      <c r="I2950" s="1"/>
      <c r="J2950" s="1"/>
      <c r="K2950" s="89" t="s">
        <v>4430</v>
      </c>
      <c r="L2950" s="89" t="str">
        <f>G108</f>
        <v>C1b1a2b</v>
      </c>
      <c r="M2950" s="89" t="s">
        <v>4429</v>
      </c>
      <c r="N2950" s="89" t="s">
        <v>4431</v>
      </c>
      <c r="O2950" s="92">
        <v>1.5798936E7</v>
      </c>
      <c r="P2950" s="92">
        <v>1.3687056E7</v>
      </c>
      <c r="Q2950" s="89" t="s">
        <v>912</v>
      </c>
      <c r="AF2950" s="1"/>
      <c r="AG2950" s="1"/>
    </row>
    <row r="2951" ht="15.75" customHeight="1">
      <c r="A2951" s="1"/>
      <c r="B2951" s="1"/>
      <c r="C2951" s="1"/>
      <c r="D2951" s="1"/>
      <c r="E2951" s="1"/>
      <c r="F2951" s="1"/>
      <c r="G2951" s="1"/>
      <c r="H2951" s="1"/>
      <c r="I2951" s="1"/>
      <c r="J2951" s="1"/>
      <c r="K2951" s="89" t="s">
        <v>4432</v>
      </c>
      <c r="L2951" s="89" t="str">
        <f>G108</f>
        <v>C1b1a2b</v>
      </c>
      <c r="M2951" s="89" t="s">
        <v>4433</v>
      </c>
      <c r="N2951" s="89" t="s">
        <v>4434</v>
      </c>
      <c r="O2951" s="92">
        <v>1.5847267E7</v>
      </c>
      <c r="P2951" s="92">
        <v>1.3735387E7</v>
      </c>
      <c r="Q2951" s="89" t="s">
        <v>822</v>
      </c>
      <c r="AF2951" s="1"/>
      <c r="AG2951" s="1"/>
    </row>
    <row r="2952" ht="15.75" customHeight="1">
      <c r="A2952" s="1"/>
      <c r="B2952" s="1"/>
      <c r="C2952" s="1"/>
      <c r="D2952" s="1"/>
      <c r="E2952" s="1"/>
      <c r="F2952" s="1"/>
      <c r="G2952" s="1"/>
      <c r="H2952" s="1"/>
      <c r="I2952" s="1"/>
      <c r="J2952" s="1"/>
      <c r="K2952" s="89" t="s">
        <v>4433</v>
      </c>
      <c r="L2952" s="89" t="str">
        <f>G108</f>
        <v>C1b1a2b</v>
      </c>
      <c r="M2952" s="89" t="s">
        <v>4432</v>
      </c>
      <c r="N2952" s="89" t="s">
        <v>4434</v>
      </c>
      <c r="O2952" s="92">
        <v>1.5847267E7</v>
      </c>
      <c r="P2952" s="92">
        <v>1.3735387E7</v>
      </c>
      <c r="Q2952" s="89" t="s">
        <v>822</v>
      </c>
      <c r="AF2952" s="1"/>
      <c r="AG2952" s="1"/>
    </row>
    <row r="2953" ht="15.75" customHeight="1">
      <c r="A2953" s="1"/>
      <c r="B2953" s="1"/>
      <c r="C2953" s="1"/>
      <c r="D2953" s="1"/>
      <c r="E2953" s="1"/>
      <c r="F2953" s="1"/>
      <c r="G2953" s="1"/>
      <c r="H2953" s="1"/>
      <c r="I2953" s="1"/>
      <c r="J2953" s="1"/>
      <c r="K2953" s="89" t="s">
        <v>4435</v>
      </c>
      <c r="L2953" s="89" t="str">
        <f>G108</f>
        <v>C1b1a2b</v>
      </c>
      <c r="M2953" s="89" t="s">
        <v>4436</v>
      </c>
      <c r="N2953" s="89" t="s">
        <v>4437</v>
      </c>
      <c r="O2953" s="92">
        <v>1.5877749E7</v>
      </c>
      <c r="P2953" s="92">
        <v>1.3765869E7</v>
      </c>
      <c r="Q2953" s="89" t="s">
        <v>912</v>
      </c>
      <c r="AF2953" s="1"/>
      <c r="AG2953" s="1"/>
    </row>
    <row r="2954" ht="15.75" customHeight="1">
      <c r="A2954" s="1"/>
      <c r="B2954" s="1"/>
      <c r="C2954" s="1"/>
      <c r="D2954" s="1"/>
      <c r="E2954" s="1"/>
      <c r="F2954" s="1"/>
      <c r="G2954" s="1"/>
      <c r="H2954" s="1"/>
      <c r="I2954" s="1"/>
      <c r="J2954" s="1"/>
      <c r="K2954" s="89" t="s">
        <v>4436</v>
      </c>
      <c r="L2954" s="89" t="str">
        <f>G108</f>
        <v>C1b1a2b</v>
      </c>
      <c r="M2954" s="89" t="s">
        <v>4435</v>
      </c>
      <c r="N2954" s="89" t="s">
        <v>4437</v>
      </c>
      <c r="O2954" s="92">
        <v>1.5877749E7</v>
      </c>
      <c r="P2954" s="92">
        <v>1.3765869E7</v>
      </c>
      <c r="Q2954" s="89" t="s">
        <v>912</v>
      </c>
      <c r="AF2954" s="1"/>
      <c r="AG2954" s="1"/>
    </row>
    <row r="2955" ht="15.75" customHeight="1">
      <c r="A2955" s="1"/>
      <c r="B2955" s="1"/>
      <c r="C2955" s="1"/>
      <c r="D2955" s="1"/>
      <c r="E2955" s="1"/>
      <c r="F2955" s="1"/>
      <c r="G2955" s="1"/>
      <c r="H2955" s="1"/>
      <c r="I2955" s="1"/>
      <c r="J2955" s="1"/>
      <c r="K2955" s="89" t="s">
        <v>4438</v>
      </c>
      <c r="L2955" s="89" t="str">
        <f>G108</f>
        <v>C1b1a2b</v>
      </c>
      <c r="M2955" s="89" t="s">
        <v>4439</v>
      </c>
      <c r="N2955" s="89" t="s">
        <v>4440</v>
      </c>
      <c r="O2955" s="92">
        <v>1.589114E7</v>
      </c>
      <c r="P2955" s="92">
        <v>1.377926E7</v>
      </c>
      <c r="Q2955" s="89" t="s">
        <v>864</v>
      </c>
      <c r="AF2955" s="1"/>
      <c r="AG2955" s="1"/>
    </row>
    <row r="2956" ht="15.75" customHeight="1">
      <c r="A2956" s="1"/>
      <c r="B2956" s="1"/>
      <c r="C2956" s="1"/>
      <c r="D2956" s="1"/>
      <c r="E2956" s="1"/>
      <c r="F2956" s="1"/>
      <c r="G2956" s="1"/>
      <c r="H2956" s="1"/>
      <c r="I2956" s="1"/>
      <c r="J2956" s="1"/>
      <c r="K2956" s="89" t="s">
        <v>4439</v>
      </c>
      <c r="L2956" s="89" t="str">
        <f>G108</f>
        <v>C1b1a2b</v>
      </c>
      <c r="M2956" s="89" t="s">
        <v>4438</v>
      </c>
      <c r="N2956" s="89" t="s">
        <v>4440</v>
      </c>
      <c r="O2956" s="92">
        <v>1.589114E7</v>
      </c>
      <c r="P2956" s="92">
        <v>1.377926E7</v>
      </c>
      <c r="Q2956" s="89" t="s">
        <v>864</v>
      </c>
      <c r="AF2956" s="1"/>
      <c r="AG2956" s="1"/>
    </row>
    <row r="2957" ht="15.75" customHeight="1">
      <c r="A2957" s="1"/>
      <c r="B2957" s="1"/>
      <c r="C2957" s="1"/>
      <c r="D2957" s="1"/>
      <c r="E2957" s="1"/>
      <c r="F2957" s="1"/>
      <c r="G2957" s="1"/>
      <c r="H2957" s="1"/>
      <c r="I2957" s="1"/>
      <c r="J2957" s="1"/>
      <c r="K2957" s="89" t="s">
        <v>4441</v>
      </c>
      <c r="L2957" s="89" t="str">
        <f>G108</f>
        <v>C1b1a2b</v>
      </c>
      <c r="M2957" s="89" t="s">
        <v>4442</v>
      </c>
      <c r="N2957" s="89" t="s">
        <v>4443</v>
      </c>
      <c r="O2957" s="92">
        <v>1.5899755E7</v>
      </c>
      <c r="P2957" s="92">
        <v>1.3787875E7</v>
      </c>
      <c r="Q2957" s="89" t="s">
        <v>822</v>
      </c>
      <c r="AF2957" s="1"/>
      <c r="AG2957" s="1"/>
    </row>
    <row r="2958" ht="15.75" customHeight="1">
      <c r="A2958" s="1"/>
      <c r="B2958" s="1"/>
      <c r="C2958" s="1"/>
      <c r="D2958" s="1"/>
      <c r="E2958" s="1"/>
      <c r="F2958" s="1"/>
      <c r="G2958" s="1"/>
      <c r="H2958" s="1"/>
      <c r="I2958" s="1"/>
      <c r="J2958" s="1"/>
      <c r="K2958" s="89" t="s">
        <v>4442</v>
      </c>
      <c r="L2958" s="89" t="str">
        <f>G108</f>
        <v>C1b1a2b</v>
      </c>
      <c r="M2958" s="89" t="s">
        <v>4441</v>
      </c>
      <c r="N2958" s="89" t="s">
        <v>4443</v>
      </c>
      <c r="O2958" s="92">
        <v>1.5899755E7</v>
      </c>
      <c r="P2958" s="92">
        <v>1.3787875E7</v>
      </c>
      <c r="Q2958" s="89" t="s">
        <v>822</v>
      </c>
      <c r="AF2958" s="1"/>
      <c r="AG2958" s="1"/>
    </row>
    <row r="2959" ht="15.75" customHeight="1">
      <c r="A2959" s="1"/>
      <c r="B2959" s="1"/>
      <c r="C2959" s="1"/>
      <c r="D2959" s="1"/>
      <c r="E2959" s="1"/>
      <c r="F2959" s="1"/>
      <c r="G2959" s="1"/>
      <c r="H2959" s="1"/>
      <c r="I2959" s="1"/>
      <c r="J2959" s="1"/>
      <c r="K2959" s="89" t="s">
        <v>4444</v>
      </c>
      <c r="L2959" s="89" t="str">
        <f>G108</f>
        <v>C1b1a2b</v>
      </c>
      <c r="M2959" s="89" t="s">
        <v>4445</v>
      </c>
      <c r="N2959" s="89" t="s">
        <v>4446</v>
      </c>
      <c r="O2959" s="92">
        <v>1.5994105E7</v>
      </c>
      <c r="P2959" s="92">
        <v>1.3882225E7</v>
      </c>
      <c r="Q2959" s="89" t="s">
        <v>810</v>
      </c>
      <c r="AF2959" s="1"/>
      <c r="AG2959" s="1"/>
    </row>
    <row r="2960" ht="15.75" customHeight="1">
      <c r="A2960" s="1"/>
      <c r="B2960" s="1"/>
      <c r="C2960" s="1"/>
      <c r="D2960" s="1"/>
      <c r="E2960" s="1"/>
      <c r="F2960" s="1"/>
      <c r="G2960" s="1"/>
      <c r="H2960" s="1"/>
      <c r="I2960" s="1"/>
      <c r="J2960" s="1"/>
      <c r="K2960" s="89" t="s">
        <v>4445</v>
      </c>
      <c r="L2960" s="89" t="str">
        <f>G108</f>
        <v>C1b1a2b</v>
      </c>
      <c r="M2960" s="89" t="s">
        <v>4444</v>
      </c>
      <c r="N2960" s="89" t="s">
        <v>4446</v>
      </c>
      <c r="O2960" s="92">
        <v>1.5994105E7</v>
      </c>
      <c r="P2960" s="92">
        <v>1.3882225E7</v>
      </c>
      <c r="Q2960" s="89" t="s">
        <v>810</v>
      </c>
      <c r="AF2960" s="1"/>
      <c r="AG2960" s="1"/>
    </row>
    <row r="2961" ht="15.75" customHeight="1">
      <c r="A2961" s="1"/>
      <c r="B2961" s="1"/>
      <c r="C2961" s="1"/>
      <c r="D2961" s="1"/>
      <c r="E2961" s="1"/>
      <c r="F2961" s="1"/>
      <c r="G2961" s="1"/>
      <c r="H2961" s="1"/>
      <c r="I2961" s="1"/>
      <c r="J2961" s="1"/>
      <c r="K2961" s="89" t="s">
        <v>4447</v>
      </c>
      <c r="L2961" s="89" t="str">
        <f>G108</f>
        <v>C1b1a2b</v>
      </c>
      <c r="M2961" s="89" t="s">
        <v>4448</v>
      </c>
      <c r="N2961" s="89" t="s">
        <v>4449</v>
      </c>
      <c r="O2961" s="92">
        <v>1.6020515E7</v>
      </c>
      <c r="P2961" s="92">
        <v>1.3908635E7</v>
      </c>
      <c r="Q2961" s="89" t="s">
        <v>864</v>
      </c>
      <c r="AF2961" s="1"/>
      <c r="AG2961" s="1"/>
    </row>
    <row r="2962" ht="15.75" customHeight="1">
      <c r="A2962" s="1"/>
      <c r="B2962" s="1"/>
      <c r="C2962" s="1"/>
      <c r="D2962" s="1"/>
      <c r="E2962" s="1"/>
      <c r="F2962" s="1"/>
      <c r="G2962" s="1"/>
      <c r="H2962" s="1"/>
      <c r="I2962" s="1"/>
      <c r="J2962" s="1"/>
      <c r="K2962" s="89" t="s">
        <v>4448</v>
      </c>
      <c r="L2962" s="89" t="str">
        <f>G108</f>
        <v>C1b1a2b</v>
      </c>
      <c r="M2962" s="89" t="s">
        <v>4447</v>
      </c>
      <c r="N2962" s="89" t="s">
        <v>4449</v>
      </c>
      <c r="O2962" s="92">
        <v>1.6020515E7</v>
      </c>
      <c r="P2962" s="92">
        <v>1.3908635E7</v>
      </c>
      <c r="Q2962" s="89" t="s">
        <v>864</v>
      </c>
      <c r="AF2962" s="1"/>
      <c r="AG2962" s="1"/>
    </row>
    <row r="2963" ht="15.75" customHeight="1">
      <c r="A2963" s="1"/>
      <c r="B2963" s="1"/>
      <c r="C2963" s="1"/>
      <c r="D2963" s="1"/>
      <c r="E2963" s="1"/>
      <c r="F2963" s="1"/>
      <c r="G2963" s="1"/>
      <c r="H2963" s="1"/>
      <c r="I2963" s="1"/>
      <c r="J2963" s="1"/>
      <c r="K2963" s="89" t="s">
        <v>4450</v>
      </c>
      <c r="L2963" s="89" t="str">
        <f>G108</f>
        <v>C1b1a2b</v>
      </c>
      <c r="M2963" s="89" t="s">
        <v>4451</v>
      </c>
      <c r="N2963" s="89" t="s">
        <v>4452</v>
      </c>
      <c r="O2963" s="92">
        <v>1.6172534E7</v>
      </c>
      <c r="P2963" s="92">
        <v>1.4060654E7</v>
      </c>
      <c r="Q2963" s="89" t="s">
        <v>822</v>
      </c>
      <c r="AF2963" s="1"/>
      <c r="AG2963" s="1"/>
    </row>
    <row r="2964" ht="15.75" customHeight="1">
      <c r="A2964" s="1"/>
      <c r="B2964" s="1"/>
      <c r="C2964" s="1"/>
      <c r="D2964" s="1"/>
      <c r="E2964" s="1"/>
      <c r="F2964" s="1"/>
      <c r="G2964" s="1"/>
      <c r="H2964" s="1"/>
      <c r="I2964" s="1"/>
      <c r="J2964" s="1"/>
      <c r="K2964" s="89" t="s">
        <v>4451</v>
      </c>
      <c r="L2964" s="89" t="str">
        <f>G108</f>
        <v>C1b1a2b</v>
      </c>
      <c r="M2964" s="89" t="s">
        <v>4450</v>
      </c>
      <c r="N2964" s="89" t="s">
        <v>4452</v>
      </c>
      <c r="O2964" s="92">
        <v>1.6172534E7</v>
      </c>
      <c r="P2964" s="92">
        <v>1.4060654E7</v>
      </c>
      <c r="Q2964" s="89" t="s">
        <v>822</v>
      </c>
      <c r="AF2964" s="1"/>
      <c r="AG2964" s="1"/>
    </row>
    <row r="2965" ht="15.75" customHeight="1">
      <c r="A2965" s="1"/>
      <c r="B2965" s="1"/>
      <c r="C2965" s="1"/>
      <c r="D2965" s="1"/>
      <c r="E2965" s="1"/>
      <c r="F2965" s="1"/>
      <c r="G2965" s="1"/>
      <c r="H2965" s="1"/>
      <c r="I2965" s="1"/>
      <c r="J2965" s="1"/>
      <c r="K2965" s="89" t="s">
        <v>4453</v>
      </c>
      <c r="L2965" s="89" t="str">
        <f>G108</f>
        <v>C1b1a2b</v>
      </c>
      <c r="M2965" s="89" t="s">
        <v>4454</v>
      </c>
      <c r="N2965" s="89" t="s">
        <v>4455</v>
      </c>
      <c r="O2965" s="92">
        <v>1.6176075E7</v>
      </c>
      <c r="P2965" s="92">
        <v>1.4064195E7</v>
      </c>
      <c r="Q2965" s="89" t="s">
        <v>822</v>
      </c>
      <c r="AF2965" s="1"/>
      <c r="AG2965" s="1"/>
    </row>
    <row r="2966" ht="15.75" customHeight="1">
      <c r="A2966" s="1"/>
      <c r="B2966" s="1"/>
      <c r="C2966" s="1"/>
      <c r="D2966" s="1"/>
      <c r="E2966" s="1"/>
      <c r="F2966" s="1"/>
      <c r="G2966" s="1"/>
      <c r="H2966" s="1"/>
      <c r="I2966" s="1"/>
      <c r="J2966" s="1"/>
      <c r="K2966" s="89" t="s">
        <v>4454</v>
      </c>
      <c r="L2966" s="89" t="str">
        <f>G108</f>
        <v>C1b1a2b</v>
      </c>
      <c r="M2966" s="89" t="s">
        <v>4453</v>
      </c>
      <c r="N2966" s="89" t="s">
        <v>4455</v>
      </c>
      <c r="O2966" s="92">
        <v>1.6176075E7</v>
      </c>
      <c r="P2966" s="92">
        <v>1.4064195E7</v>
      </c>
      <c r="Q2966" s="89" t="s">
        <v>822</v>
      </c>
      <c r="AF2966" s="1"/>
      <c r="AG2966" s="1"/>
    </row>
    <row r="2967" ht="15.75" customHeight="1">
      <c r="A2967" s="1"/>
      <c r="B2967" s="1"/>
      <c r="C2967" s="1"/>
      <c r="D2967" s="1"/>
      <c r="E2967" s="1"/>
      <c r="F2967" s="1"/>
      <c r="G2967" s="1"/>
      <c r="H2967" s="1"/>
      <c r="I2967" s="1"/>
      <c r="J2967" s="1"/>
      <c r="K2967" s="89" t="s">
        <v>4456</v>
      </c>
      <c r="L2967" s="89" t="str">
        <f>G108</f>
        <v>C1b1a2b</v>
      </c>
      <c r="M2967" s="89" t="s">
        <v>4457</v>
      </c>
      <c r="N2967" s="89" t="s">
        <v>4458</v>
      </c>
      <c r="O2967" s="92">
        <v>1.6201991E7</v>
      </c>
      <c r="P2967" s="92">
        <v>1.4090111E7</v>
      </c>
      <c r="Q2967" s="89" t="s">
        <v>802</v>
      </c>
      <c r="AF2967" s="1"/>
      <c r="AG2967" s="1"/>
    </row>
    <row r="2968" ht="15.75" customHeight="1">
      <c r="A2968" s="1"/>
      <c r="B2968" s="1"/>
      <c r="C2968" s="1"/>
      <c r="D2968" s="1"/>
      <c r="E2968" s="1"/>
      <c r="F2968" s="1"/>
      <c r="G2968" s="1"/>
      <c r="H2968" s="1"/>
      <c r="I2968" s="1"/>
      <c r="J2968" s="1"/>
      <c r="K2968" s="89" t="s">
        <v>4457</v>
      </c>
      <c r="L2968" s="89" t="str">
        <f>G108</f>
        <v>C1b1a2b</v>
      </c>
      <c r="M2968" s="89" t="s">
        <v>4456</v>
      </c>
      <c r="N2968" s="89" t="s">
        <v>4458</v>
      </c>
      <c r="O2968" s="92">
        <v>1.6201991E7</v>
      </c>
      <c r="P2968" s="92">
        <v>1.4090111E7</v>
      </c>
      <c r="Q2968" s="89" t="s">
        <v>802</v>
      </c>
      <c r="AF2968" s="1"/>
      <c r="AG2968" s="1"/>
    </row>
    <row r="2969" ht="15.75" customHeight="1">
      <c r="A2969" s="1"/>
      <c r="B2969" s="1"/>
      <c r="C2969" s="1"/>
      <c r="D2969" s="1"/>
      <c r="E2969" s="1"/>
      <c r="F2969" s="1"/>
      <c r="G2969" s="1"/>
      <c r="H2969" s="1"/>
      <c r="I2969" s="1"/>
      <c r="J2969" s="1"/>
      <c r="K2969" s="89" t="s">
        <v>4459</v>
      </c>
      <c r="L2969" s="89" t="str">
        <f>G108</f>
        <v>C1b1a2b</v>
      </c>
      <c r="M2969" s="89" t="s">
        <v>4460</v>
      </c>
      <c r="N2969" s="89" t="s">
        <v>4461</v>
      </c>
      <c r="O2969" s="92">
        <v>1.6224533E7</v>
      </c>
      <c r="P2969" s="92">
        <v>1.4112653E7</v>
      </c>
      <c r="Q2969" s="89" t="s">
        <v>912</v>
      </c>
      <c r="AF2969" s="1"/>
      <c r="AG2969" s="1"/>
    </row>
    <row r="2970" ht="15.75" customHeight="1">
      <c r="A2970" s="1"/>
      <c r="B2970" s="1"/>
      <c r="C2970" s="1"/>
      <c r="D2970" s="1"/>
      <c r="E2970" s="1"/>
      <c r="F2970" s="1"/>
      <c r="G2970" s="1"/>
      <c r="H2970" s="1"/>
      <c r="I2970" s="1"/>
      <c r="J2970" s="1"/>
      <c r="K2970" s="89" t="s">
        <v>4460</v>
      </c>
      <c r="L2970" s="89" t="str">
        <f>G108</f>
        <v>C1b1a2b</v>
      </c>
      <c r="M2970" s="89" t="s">
        <v>4459</v>
      </c>
      <c r="N2970" s="89" t="s">
        <v>4461</v>
      </c>
      <c r="O2970" s="92">
        <v>1.6224533E7</v>
      </c>
      <c r="P2970" s="92">
        <v>1.4112653E7</v>
      </c>
      <c r="Q2970" s="89" t="s">
        <v>912</v>
      </c>
      <c r="AF2970" s="1"/>
      <c r="AG2970" s="1"/>
    </row>
    <row r="2971" ht="15.75" customHeight="1">
      <c r="A2971" s="1"/>
      <c r="B2971" s="1"/>
      <c r="C2971" s="1"/>
      <c r="D2971" s="1"/>
      <c r="E2971" s="1"/>
      <c r="F2971" s="1"/>
      <c r="G2971" s="1"/>
      <c r="H2971" s="1"/>
      <c r="I2971" s="1"/>
      <c r="J2971" s="1"/>
      <c r="K2971" s="89" t="s">
        <v>4462</v>
      </c>
      <c r="L2971" s="89" t="str">
        <f>G108</f>
        <v>C1b1a2b</v>
      </c>
      <c r="M2971" s="89" t="s">
        <v>4463</v>
      </c>
      <c r="N2971" s="89" t="s">
        <v>4464</v>
      </c>
      <c r="O2971" s="92">
        <v>1.6242856E7</v>
      </c>
      <c r="P2971" s="92">
        <v>1.4130976E7</v>
      </c>
      <c r="Q2971" s="89" t="s">
        <v>810</v>
      </c>
      <c r="AF2971" s="1"/>
      <c r="AG2971" s="1"/>
    </row>
    <row r="2972" ht="15.75" customHeight="1">
      <c r="A2972" s="1"/>
      <c r="B2972" s="1"/>
      <c r="C2972" s="1"/>
      <c r="D2972" s="1"/>
      <c r="E2972" s="1"/>
      <c r="F2972" s="1"/>
      <c r="G2972" s="1"/>
      <c r="H2972" s="1"/>
      <c r="I2972" s="1"/>
      <c r="J2972" s="1"/>
      <c r="K2972" s="89" t="s">
        <v>4463</v>
      </c>
      <c r="L2972" s="89" t="str">
        <f>G108</f>
        <v>C1b1a2b</v>
      </c>
      <c r="M2972" s="89" t="s">
        <v>4462</v>
      </c>
      <c r="N2972" s="89" t="s">
        <v>4464</v>
      </c>
      <c r="O2972" s="92">
        <v>1.6242856E7</v>
      </c>
      <c r="P2972" s="92">
        <v>1.4130976E7</v>
      </c>
      <c r="Q2972" s="89" t="s">
        <v>810</v>
      </c>
      <c r="AF2972" s="1"/>
      <c r="AG2972" s="1"/>
    </row>
    <row r="2973" ht="15.75" customHeight="1">
      <c r="A2973" s="1"/>
      <c r="B2973" s="1"/>
      <c r="C2973" s="1"/>
      <c r="D2973" s="1"/>
      <c r="E2973" s="1"/>
      <c r="F2973" s="1"/>
      <c r="G2973" s="1"/>
      <c r="H2973" s="1"/>
      <c r="I2973" s="1"/>
      <c r="J2973" s="1"/>
      <c r="K2973" s="89" t="s">
        <v>4465</v>
      </c>
      <c r="L2973" s="89" t="str">
        <f>G108</f>
        <v>C1b1a2b</v>
      </c>
      <c r="M2973" s="89" t="s">
        <v>4466</v>
      </c>
      <c r="N2973" s="89" t="s">
        <v>4467</v>
      </c>
      <c r="O2973" s="92">
        <v>1.6289389E7</v>
      </c>
      <c r="P2973" s="92">
        <v>1.4177509E7</v>
      </c>
      <c r="Q2973" s="89" t="s">
        <v>810</v>
      </c>
      <c r="AF2973" s="1"/>
      <c r="AG2973" s="1"/>
    </row>
    <row r="2974" ht="15.75" customHeight="1">
      <c r="A2974" s="1"/>
      <c r="B2974" s="1"/>
      <c r="C2974" s="1"/>
      <c r="D2974" s="1"/>
      <c r="E2974" s="1"/>
      <c r="F2974" s="1"/>
      <c r="G2974" s="1"/>
      <c r="H2974" s="1"/>
      <c r="I2974" s="1"/>
      <c r="J2974" s="1"/>
      <c r="K2974" s="89" t="s">
        <v>4466</v>
      </c>
      <c r="L2974" s="89" t="str">
        <f>G108</f>
        <v>C1b1a2b</v>
      </c>
      <c r="M2974" s="89" t="s">
        <v>4465</v>
      </c>
      <c r="N2974" s="89" t="s">
        <v>4467</v>
      </c>
      <c r="O2974" s="92">
        <v>1.6289389E7</v>
      </c>
      <c r="P2974" s="92">
        <v>1.4177509E7</v>
      </c>
      <c r="Q2974" s="89" t="s">
        <v>810</v>
      </c>
      <c r="AF2974" s="1"/>
      <c r="AG2974" s="1"/>
    </row>
    <row r="2975" ht="15.75" customHeight="1">
      <c r="A2975" s="1"/>
      <c r="B2975" s="1"/>
      <c r="C2975" s="1"/>
      <c r="D2975" s="1"/>
      <c r="E2975" s="1"/>
      <c r="F2975" s="1"/>
      <c r="G2975" s="1"/>
      <c r="H2975" s="1"/>
      <c r="I2975" s="1"/>
      <c r="J2975" s="1"/>
      <c r="K2975" s="89" t="s">
        <v>4468</v>
      </c>
      <c r="L2975" s="89" t="str">
        <f>G108</f>
        <v>C1b1a2b</v>
      </c>
      <c r="M2975" s="89" t="s">
        <v>4469</v>
      </c>
      <c r="N2975" s="89" t="s">
        <v>4470</v>
      </c>
      <c r="O2975" s="92">
        <v>1.6306281E7</v>
      </c>
      <c r="P2975" s="92">
        <v>1.4194401E7</v>
      </c>
      <c r="Q2975" s="89" t="s">
        <v>802</v>
      </c>
      <c r="AF2975" s="1"/>
      <c r="AG2975" s="1"/>
    </row>
    <row r="2976" ht="15.75" customHeight="1">
      <c r="A2976" s="1"/>
      <c r="B2976" s="1"/>
      <c r="C2976" s="1"/>
      <c r="D2976" s="1"/>
      <c r="E2976" s="1"/>
      <c r="F2976" s="1"/>
      <c r="G2976" s="1"/>
      <c r="H2976" s="1"/>
      <c r="I2976" s="1"/>
      <c r="J2976" s="1"/>
      <c r="K2976" s="89" t="s">
        <v>4469</v>
      </c>
      <c r="L2976" s="89" t="str">
        <f>G108</f>
        <v>C1b1a2b</v>
      </c>
      <c r="M2976" s="89" t="s">
        <v>4468</v>
      </c>
      <c r="N2976" s="89" t="s">
        <v>4470</v>
      </c>
      <c r="O2976" s="92">
        <v>1.6306281E7</v>
      </c>
      <c r="P2976" s="92">
        <v>1.4194401E7</v>
      </c>
      <c r="Q2976" s="89" t="s">
        <v>802</v>
      </c>
      <c r="AF2976" s="1"/>
      <c r="AG2976" s="1"/>
    </row>
    <row r="2977" ht="15.75" customHeight="1">
      <c r="A2977" s="1"/>
      <c r="B2977" s="1"/>
      <c r="C2977" s="1"/>
      <c r="D2977" s="1"/>
      <c r="E2977" s="1"/>
      <c r="F2977" s="1"/>
      <c r="G2977" s="1"/>
      <c r="H2977" s="1"/>
      <c r="I2977" s="1"/>
      <c r="J2977" s="1"/>
      <c r="K2977" s="89" t="s">
        <v>4471</v>
      </c>
      <c r="L2977" s="89" t="str">
        <f>G108</f>
        <v>C1b1a2b</v>
      </c>
      <c r="M2977" s="89" t="s">
        <v>4472</v>
      </c>
      <c r="N2977" s="89" t="s">
        <v>4473</v>
      </c>
      <c r="O2977" s="92">
        <v>1.6367979E7</v>
      </c>
      <c r="P2977" s="92">
        <v>1.4256099E7</v>
      </c>
      <c r="Q2977" s="89" t="s">
        <v>810</v>
      </c>
      <c r="AF2977" s="1"/>
      <c r="AG2977" s="1"/>
    </row>
    <row r="2978" ht="15.75" customHeight="1">
      <c r="A2978" s="1"/>
      <c r="B2978" s="1"/>
      <c r="C2978" s="1"/>
      <c r="D2978" s="1"/>
      <c r="E2978" s="1"/>
      <c r="F2978" s="1"/>
      <c r="G2978" s="1"/>
      <c r="H2978" s="1"/>
      <c r="I2978" s="1"/>
      <c r="J2978" s="1"/>
      <c r="K2978" s="89" t="s">
        <v>4472</v>
      </c>
      <c r="L2978" s="89" t="str">
        <f>G108</f>
        <v>C1b1a2b</v>
      </c>
      <c r="M2978" s="89" t="s">
        <v>4471</v>
      </c>
      <c r="N2978" s="89" t="s">
        <v>4473</v>
      </c>
      <c r="O2978" s="92">
        <v>1.6367979E7</v>
      </c>
      <c r="P2978" s="92">
        <v>1.4256099E7</v>
      </c>
      <c r="Q2978" s="89" t="s">
        <v>810</v>
      </c>
      <c r="AF2978" s="1"/>
      <c r="AG2978" s="1"/>
    </row>
    <row r="2979" ht="15.75" customHeight="1">
      <c r="A2979" s="1"/>
      <c r="B2979" s="1"/>
      <c r="C2979" s="1"/>
      <c r="D2979" s="1"/>
      <c r="E2979" s="1"/>
      <c r="F2979" s="1"/>
      <c r="G2979" s="1"/>
      <c r="H2979" s="1"/>
      <c r="I2979" s="1"/>
      <c r="J2979" s="1"/>
      <c r="K2979" s="89" t="s">
        <v>4474</v>
      </c>
      <c r="L2979" s="89" t="str">
        <f>G108</f>
        <v>C1b1a2b</v>
      </c>
      <c r="M2979" s="89" t="s">
        <v>4475</v>
      </c>
      <c r="N2979" s="89" t="s">
        <v>4476</v>
      </c>
      <c r="O2979" s="92">
        <v>1.6368478E7</v>
      </c>
      <c r="P2979" s="92">
        <v>1.4256598E7</v>
      </c>
      <c r="Q2979" s="89" t="s">
        <v>831</v>
      </c>
      <c r="AF2979" s="1"/>
      <c r="AG2979" s="1"/>
    </row>
    <row r="2980" ht="15.75" customHeight="1">
      <c r="A2980" s="1"/>
      <c r="B2980" s="1"/>
      <c r="C2980" s="1"/>
      <c r="D2980" s="1"/>
      <c r="E2980" s="1"/>
      <c r="F2980" s="1"/>
      <c r="G2980" s="1"/>
      <c r="H2980" s="1"/>
      <c r="I2980" s="1"/>
      <c r="J2980" s="1"/>
      <c r="K2980" s="89" t="s">
        <v>4475</v>
      </c>
      <c r="L2980" s="89" t="str">
        <f>G108</f>
        <v>C1b1a2b</v>
      </c>
      <c r="M2980" s="89" t="s">
        <v>4474</v>
      </c>
      <c r="N2980" s="89" t="s">
        <v>4476</v>
      </c>
      <c r="O2980" s="92">
        <v>1.6368478E7</v>
      </c>
      <c r="P2980" s="92">
        <v>1.4256598E7</v>
      </c>
      <c r="Q2980" s="89" t="s">
        <v>831</v>
      </c>
      <c r="AF2980" s="1"/>
      <c r="AG2980" s="1"/>
    </row>
    <row r="2981" ht="15.75" customHeight="1">
      <c r="A2981" s="1"/>
      <c r="B2981" s="1"/>
      <c r="C2981" s="1"/>
      <c r="D2981" s="1"/>
      <c r="E2981" s="1"/>
      <c r="F2981" s="1"/>
      <c r="G2981" s="1"/>
      <c r="H2981" s="1"/>
      <c r="I2981" s="1"/>
      <c r="J2981" s="1"/>
      <c r="K2981" s="89" t="s">
        <v>4477</v>
      </c>
      <c r="L2981" s="89" t="str">
        <f>G108</f>
        <v>C1b1a2b</v>
      </c>
      <c r="M2981" s="89" t="s">
        <v>4478</v>
      </c>
      <c r="N2981" s="89" t="s">
        <v>4479</v>
      </c>
      <c r="O2981" s="92">
        <v>1.6375934E7</v>
      </c>
      <c r="P2981" s="92">
        <v>1.4264054E7</v>
      </c>
      <c r="Q2981" s="89" t="s">
        <v>838</v>
      </c>
      <c r="AF2981" s="1"/>
      <c r="AG2981" s="1"/>
    </row>
    <row r="2982" ht="15.75" customHeight="1">
      <c r="A2982" s="1"/>
      <c r="B2982" s="1"/>
      <c r="C2982" s="1"/>
      <c r="D2982" s="1"/>
      <c r="E2982" s="1"/>
      <c r="F2982" s="1"/>
      <c r="G2982" s="1"/>
      <c r="H2982" s="1"/>
      <c r="I2982" s="1"/>
      <c r="J2982" s="1"/>
      <c r="K2982" s="89" t="s">
        <v>4478</v>
      </c>
      <c r="L2982" s="89" t="str">
        <f>G108</f>
        <v>C1b1a2b</v>
      </c>
      <c r="M2982" s="89" t="s">
        <v>4477</v>
      </c>
      <c r="N2982" s="89" t="s">
        <v>4479</v>
      </c>
      <c r="O2982" s="92">
        <v>1.6375934E7</v>
      </c>
      <c r="P2982" s="92">
        <v>1.4264054E7</v>
      </c>
      <c r="Q2982" s="89" t="s">
        <v>838</v>
      </c>
      <c r="AF2982" s="1"/>
      <c r="AG2982" s="1"/>
    </row>
    <row r="2983" ht="15.75" customHeight="1">
      <c r="A2983" s="1"/>
      <c r="B2983" s="1"/>
      <c r="C2983" s="1"/>
      <c r="D2983" s="1"/>
      <c r="E2983" s="1"/>
      <c r="F2983" s="1"/>
      <c r="G2983" s="1"/>
      <c r="H2983" s="1"/>
      <c r="I2983" s="1"/>
      <c r="J2983" s="1"/>
      <c r="K2983" s="89" t="s">
        <v>4480</v>
      </c>
      <c r="L2983" s="89" t="str">
        <f>G108</f>
        <v>C1b1a2b</v>
      </c>
      <c r="M2983" s="89" t="s">
        <v>4481</v>
      </c>
      <c r="N2983" s="89" t="s">
        <v>4482</v>
      </c>
      <c r="O2983" s="92">
        <v>1.6389471E7</v>
      </c>
      <c r="P2983" s="92">
        <v>1.4277591E7</v>
      </c>
      <c r="Q2983" s="89" t="s">
        <v>802</v>
      </c>
      <c r="AF2983" s="1"/>
      <c r="AG2983" s="1"/>
    </row>
    <row r="2984" ht="15.75" customHeight="1">
      <c r="A2984" s="1"/>
      <c r="B2984" s="1"/>
      <c r="C2984" s="1"/>
      <c r="D2984" s="1"/>
      <c r="E2984" s="1"/>
      <c r="F2984" s="1"/>
      <c r="G2984" s="1"/>
      <c r="H2984" s="1"/>
      <c r="I2984" s="1"/>
      <c r="J2984" s="1"/>
      <c r="K2984" s="89" t="s">
        <v>4481</v>
      </c>
      <c r="L2984" s="89" t="str">
        <f>G108</f>
        <v>C1b1a2b</v>
      </c>
      <c r="M2984" s="89" t="s">
        <v>4480</v>
      </c>
      <c r="N2984" s="89" t="s">
        <v>4482</v>
      </c>
      <c r="O2984" s="92">
        <v>1.6389471E7</v>
      </c>
      <c r="P2984" s="92">
        <v>1.4277591E7</v>
      </c>
      <c r="Q2984" s="89" t="s">
        <v>802</v>
      </c>
      <c r="AF2984" s="1"/>
      <c r="AG2984" s="1"/>
    </row>
    <row r="2985" ht="15.75" customHeight="1">
      <c r="A2985" s="1"/>
      <c r="B2985" s="1"/>
      <c r="C2985" s="1"/>
      <c r="D2985" s="1"/>
      <c r="E2985" s="1"/>
      <c r="F2985" s="1"/>
      <c r="G2985" s="1"/>
      <c r="H2985" s="1"/>
      <c r="I2985" s="1"/>
      <c r="J2985" s="1"/>
      <c r="K2985" s="89" t="s">
        <v>4483</v>
      </c>
      <c r="L2985" s="89" t="str">
        <f>G108</f>
        <v>C1b1a2b</v>
      </c>
      <c r="M2985" s="89" t="s">
        <v>4484</v>
      </c>
      <c r="N2985" s="89" t="s">
        <v>4485</v>
      </c>
      <c r="O2985" s="92">
        <v>1.6432105E7</v>
      </c>
      <c r="P2985" s="92">
        <v>1.4320225E7</v>
      </c>
      <c r="Q2985" s="89" t="s">
        <v>810</v>
      </c>
      <c r="AF2985" s="1"/>
      <c r="AG2985" s="1"/>
    </row>
    <row r="2986" ht="15.75" customHeight="1">
      <c r="A2986" s="1"/>
      <c r="B2986" s="1"/>
      <c r="C2986" s="1"/>
      <c r="D2986" s="1"/>
      <c r="E2986" s="1"/>
      <c r="F2986" s="1"/>
      <c r="G2986" s="1"/>
      <c r="H2986" s="1"/>
      <c r="I2986" s="1"/>
      <c r="J2986" s="1"/>
      <c r="K2986" s="89" t="s">
        <v>4484</v>
      </c>
      <c r="L2986" s="89" t="str">
        <f>G108</f>
        <v>C1b1a2b</v>
      </c>
      <c r="M2986" s="89" t="s">
        <v>4483</v>
      </c>
      <c r="N2986" s="89" t="s">
        <v>4485</v>
      </c>
      <c r="O2986" s="92">
        <v>1.6432105E7</v>
      </c>
      <c r="P2986" s="92">
        <v>1.4320225E7</v>
      </c>
      <c r="Q2986" s="89" t="s">
        <v>810</v>
      </c>
      <c r="AF2986" s="1"/>
      <c r="AG2986" s="1"/>
    </row>
    <row r="2987" ht="15.75" customHeight="1">
      <c r="A2987" s="1"/>
      <c r="B2987" s="1"/>
      <c r="C2987" s="1"/>
      <c r="D2987" s="1"/>
      <c r="E2987" s="1"/>
      <c r="F2987" s="1"/>
      <c r="G2987" s="1"/>
      <c r="H2987" s="1"/>
      <c r="I2987" s="1"/>
      <c r="J2987" s="1"/>
      <c r="K2987" s="89" t="s">
        <v>4486</v>
      </c>
      <c r="L2987" s="89" t="str">
        <f>G108</f>
        <v>C1b1a2b</v>
      </c>
      <c r="M2987" s="89" t="s">
        <v>4487</v>
      </c>
      <c r="N2987" s="89" t="s">
        <v>4488</v>
      </c>
      <c r="O2987" s="92">
        <v>1.6437557E7</v>
      </c>
      <c r="P2987" s="92">
        <v>1.4325677E7</v>
      </c>
      <c r="Q2987" s="89" t="s">
        <v>838</v>
      </c>
      <c r="AF2987" s="1"/>
      <c r="AG2987" s="1"/>
    </row>
    <row r="2988" ht="15.75" customHeight="1">
      <c r="A2988" s="1"/>
      <c r="B2988" s="1"/>
      <c r="C2988" s="1"/>
      <c r="D2988" s="1"/>
      <c r="E2988" s="1"/>
      <c r="F2988" s="1"/>
      <c r="G2988" s="1"/>
      <c r="H2988" s="1"/>
      <c r="I2988" s="1"/>
      <c r="J2988" s="1"/>
      <c r="K2988" s="89" t="s">
        <v>4487</v>
      </c>
      <c r="L2988" s="89" t="str">
        <f>G108</f>
        <v>C1b1a2b</v>
      </c>
      <c r="M2988" s="89" t="s">
        <v>4486</v>
      </c>
      <c r="N2988" s="89" t="s">
        <v>4488</v>
      </c>
      <c r="O2988" s="92">
        <v>1.6437557E7</v>
      </c>
      <c r="P2988" s="92">
        <v>1.4325677E7</v>
      </c>
      <c r="Q2988" s="89" t="s">
        <v>838</v>
      </c>
      <c r="AF2988" s="1"/>
      <c r="AG2988" s="1"/>
    </row>
    <row r="2989" ht="15.75" customHeight="1">
      <c r="A2989" s="1"/>
      <c r="B2989" s="1"/>
      <c r="C2989" s="1"/>
      <c r="D2989" s="1"/>
      <c r="E2989" s="1"/>
      <c r="F2989" s="1"/>
      <c r="G2989" s="1"/>
      <c r="H2989" s="1"/>
      <c r="I2989" s="1"/>
      <c r="J2989" s="1"/>
      <c r="K2989" s="89" t="s">
        <v>4489</v>
      </c>
      <c r="L2989" s="89" t="str">
        <f>G108</f>
        <v>C1b1a2b</v>
      </c>
      <c r="M2989" s="89" t="s">
        <v>4490</v>
      </c>
      <c r="N2989" s="89" t="s">
        <v>4491</v>
      </c>
      <c r="O2989" s="92">
        <v>1.6505425E7</v>
      </c>
      <c r="P2989" s="92">
        <v>1.4393545E7</v>
      </c>
      <c r="Q2989" s="89" t="s">
        <v>831</v>
      </c>
      <c r="AF2989" s="1"/>
      <c r="AG2989" s="1"/>
    </row>
    <row r="2990" ht="15.75" customHeight="1">
      <c r="A2990" s="1"/>
      <c r="B2990" s="1"/>
      <c r="C2990" s="1"/>
      <c r="D2990" s="1"/>
      <c r="E2990" s="1"/>
      <c r="F2990" s="1"/>
      <c r="G2990" s="1"/>
      <c r="H2990" s="1"/>
      <c r="I2990" s="1"/>
      <c r="J2990" s="1"/>
      <c r="K2990" s="89" t="s">
        <v>4490</v>
      </c>
      <c r="L2990" s="89" t="str">
        <f>G108</f>
        <v>C1b1a2b</v>
      </c>
      <c r="M2990" s="89" t="s">
        <v>4489</v>
      </c>
      <c r="N2990" s="89" t="s">
        <v>4491</v>
      </c>
      <c r="O2990" s="92">
        <v>1.6505425E7</v>
      </c>
      <c r="P2990" s="92">
        <v>1.4393545E7</v>
      </c>
      <c r="Q2990" s="89" t="s">
        <v>831</v>
      </c>
      <c r="AF2990" s="1"/>
      <c r="AG2990" s="1"/>
    </row>
    <row r="2991" ht="15.75" customHeight="1">
      <c r="A2991" s="1"/>
      <c r="B2991" s="1"/>
      <c r="C2991" s="1"/>
      <c r="D2991" s="1"/>
      <c r="E2991" s="1"/>
      <c r="F2991" s="1"/>
      <c r="G2991" s="1"/>
      <c r="H2991" s="1"/>
      <c r="I2991" s="1"/>
      <c r="J2991" s="1"/>
      <c r="K2991" s="89" t="s">
        <v>4492</v>
      </c>
      <c r="L2991" s="89" t="str">
        <f>G108</f>
        <v>C1b1a2b</v>
      </c>
      <c r="M2991" s="89" t="s">
        <v>4493</v>
      </c>
      <c r="N2991" s="89" t="s">
        <v>4494</v>
      </c>
      <c r="O2991" s="92">
        <v>1.6508917E7</v>
      </c>
      <c r="P2991" s="92">
        <v>1.4397037E7</v>
      </c>
      <c r="Q2991" s="89" t="s">
        <v>810</v>
      </c>
      <c r="AF2991" s="1"/>
      <c r="AG2991" s="1"/>
    </row>
    <row r="2992" ht="15.75" customHeight="1">
      <c r="A2992" s="1"/>
      <c r="B2992" s="1"/>
      <c r="C2992" s="1"/>
      <c r="D2992" s="1"/>
      <c r="E2992" s="1"/>
      <c r="F2992" s="1"/>
      <c r="G2992" s="1"/>
      <c r="H2992" s="1"/>
      <c r="I2992" s="1"/>
      <c r="J2992" s="1"/>
      <c r="K2992" s="89" t="s">
        <v>4493</v>
      </c>
      <c r="L2992" s="89" t="str">
        <f>G108</f>
        <v>C1b1a2b</v>
      </c>
      <c r="M2992" s="89" t="s">
        <v>4492</v>
      </c>
      <c r="N2992" s="89" t="s">
        <v>4494</v>
      </c>
      <c r="O2992" s="92">
        <v>1.6508917E7</v>
      </c>
      <c r="P2992" s="92">
        <v>1.4397037E7</v>
      </c>
      <c r="Q2992" s="89" t="s">
        <v>810</v>
      </c>
      <c r="AF2992" s="1"/>
      <c r="AG2992" s="1"/>
    </row>
    <row r="2993" ht="15.75" customHeight="1">
      <c r="A2993" s="1"/>
      <c r="B2993" s="1"/>
      <c r="C2993" s="1"/>
      <c r="D2993" s="1"/>
      <c r="E2993" s="1"/>
      <c r="F2993" s="1"/>
      <c r="G2993" s="1"/>
      <c r="H2993" s="1"/>
      <c r="I2993" s="1"/>
      <c r="J2993" s="1"/>
      <c r="K2993" s="89" t="s">
        <v>4495</v>
      </c>
      <c r="L2993" s="89" t="str">
        <f>G108</f>
        <v>C1b1a2b</v>
      </c>
      <c r="M2993" s="89" t="s">
        <v>4496</v>
      </c>
      <c r="N2993" s="89" t="s">
        <v>4497</v>
      </c>
      <c r="O2993" s="92">
        <v>1.6570973E7</v>
      </c>
      <c r="P2993" s="92">
        <v>1.4459093E7</v>
      </c>
      <c r="Q2993" s="89" t="s">
        <v>802</v>
      </c>
      <c r="AF2993" s="1"/>
      <c r="AG2993" s="1"/>
    </row>
    <row r="2994" ht="15.75" customHeight="1">
      <c r="A2994" s="1"/>
      <c r="B2994" s="1"/>
      <c r="C2994" s="1"/>
      <c r="D2994" s="1"/>
      <c r="E2994" s="1"/>
      <c r="F2994" s="1"/>
      <c r="G2994" s="1"/>
      <c r="H2994" s="1"/>
      <c r="I2994" s="1"/>
      <c r="J2994" s="1"/>
      <c r="K2994" s="89" t="s">
        <v>4496</v>
      </c>
      <c r="L2994" s="89" t="str">
        <f>G108</f>
        <v>C1b1a2b</v>
      </c>
      <c r="M2994" s="89" t="s">
        <v>4495</v>
      </c>
      <c r="N2994" s="89" t="s">
        <v>4497</v>
      </c>
      <c r="O2994" s="92">
        <v>1.6570973E7</v>
      </c>
      <c r="P2994" s="92">
        <v>1.4459093E7</v>
      </c>
      <c r="Q2994" s="89" t="s">
        <v>802</v>
      </c>
      <c r="AF2994" s="1"/>
      <c r="AG2994" s="1"/>
    </row>
    <row r="2995" ht="15.75" customHeight="1">
      <c r="A2995" s="1"/>
      <c r="B2995" s="1"/>
      <c r="C2995" s="1"/>
      <c r="D2995" s="1"/>
      <c r="E2995" s="1"/>
      <c r="F2995" s="1"/>
      <c r="G2995" s="1"/>
      <c r="H2995" s="1"/>
      <c r="I2995" s="1"/>
      <c r="J2995" s="1"/>
      <c r="K2995" s="89" t="s">
        <v>4498</v>
      </c>
      <c r="L2995" s="89" t="str">
        <f>G108</f>
        <v>C1b1a2b</v>
      </c>
      <c r="M2995" s="89" t="s">
        <v>4499</v>
      </c>
      <c r="N2995" s="89" t="s">
        <v>4500</v>
      </c>
      <c r="O2995" s="92">
        <v>1.6682336E7</v>
      </c>
      <c r="P2995" s="92">
        <v>1.4570456E7</v>
      </c>
      <c r="Q2995" s="89" t="s">
        <v>822</v>
      </c>
      <c r="AF2995" s="1"/>
      <c r="AG2995" s="1"/>
    </row>
    <row r="2996" ht="15.75" customHeight="1">
      <c r="A2996" s="1"/>
      <c r="B2996" s="1"/>
      <c r="C2996" s="1"/>
      <c r="D2996" s="1"/>
      <c r="E2996" s="1"/>
      <c r="F2996" s="1"/>
      <c r="G2996" s="1"/>
      <c r="H2996" s="1"/>
      <c r="I2996" s="1"/>
      <c r="J2996" s="1"/>
      <c r="K2996" s="89" t="s">
        <v>4499</v>
      </c>
      <c r="L2996" s="89" t="str">
        <f>G108</f>
        <v>C1b1a2b</v>
      </c>
      <c r="M2996" s="89" t="s">
        <v>4498</v>
      </c>
      <c r="N2996" s="89" t="s">
        <v>4500</v>
      </c>
      <c r="O2996" s="92">
        <v>1.6682336E7</v>
      </c>
      <c r="P2996" s="92">
        <v>1.4570456E7</v>
      </c>
      <c r="Q2996" s="89" t="s">
        <v>822</v>
      </c>
      <c r="AF2996" s="1"/>
      <c r="AG2996" s="1"/>
    </row>
    <row r="2997" ht="15.75" customHeight="1">
      <c r="A2997" s="1"/>
      <c r="B2997" s="1"/>
      <c r="C2997" s="1"/>
      <c r="D2997" s="1"/>
      <c r="E2997" s="1"/>
      <c r="F2997" s="1"/>
      <c r="G2997" s="1"/>
      <c r="H2997" s="1"/>
      <c r="I2997" s="1"/>
      <c r="J2997" s="1"/>
      <c r="K2997" s="89" t="s">
        <v>4501</v>
      </c>
      <c r="L2997" s="89" t="str">
        <f>G108</f>
        <v>C1b1a2b</v>
      </c>
      <c r="M2997" s="89" t="s">
        <v>4502</v>
      </c>
      <c r="N2997" s="89" t="s">
        <v>4503</v>
      </c>
      <c r="O2997" s="92">
        <v>1.6709935E7</v>
      </c>
      <c r="P2997" s="92">
        <v>1.4598055E7</v>
      </c>
      <c r="Q2997" s="89" t="s">
        <v>912</v>
      </c>
      <c r="AF2997" s="1"/>
      <c r="AG2997" s="1"/>
    </row>
    <row r="2998" ht="15.75" customHeight="1">
      <c r="A2998" s="1"/>
      <c r="B2998" s="1"/>
      <c r="C2998" s="1"/>
      <c r="D2998" s="1"/>
      <c r="E2998" s="1"/>
      <c r="F2998" s="1"/>
      <c r="G2998" s="1"/>
      <c r="H2998" s="1"/>
      <c r="I2998" s="1"/>
      <c r="J2998" s="1"/>
      <c r="K2998" s="89" t="s">
        <v>4502</v>
      </c>
      <c r="L2998" s="89" t="str">
        <f>G108</f>
        <v>C1b1a2b</v>
      </c>
      <c r="M2998" s="89" t="s">
        <v>4501</v>
      </c>
      <c r="N2998" s="89" t="s">
        <v>4503</v>
      </c>
      <c r="O2998" s="92">
        <v>1.6709935E7</v>
      </c>
      <c r="P2998" s="92">
        <v>1.4598055E7</v>
      </c>
      <c r="Q2998" s="89" t="s">
        <v>912</v>
      </c>
      <c r="AF2998" s="1"/>
      <c r="AG2998" s="1"/>
    </row>
    <row r="2999" ht="15.75" customHeight="1">
      <c r="A2999" s="1"/>
      <c r="B2999" s="1"/>
      <c r="C2999" s="1"/>
      <c r="D2999" s="1"/>
      <c r="E2999" s="1"/>
      <c r="F2999" s="1"/>
      <c r="G2999" s="1"/>
      <c r="H2999" s="1"/>
      <c r="I2999" s="1"/>
      <c r="J2999" s="1"/>
      <c r="K2999" s="89" t="s">
        <v>4504</v>
      </c>
      <c r="L2999" s="89" t="str">
        <f>G108</f>
        <v>C1b1a2b</v>
      </c>
      <c r="M2999" s="89" t="s">
        <v>4505</v>
      </c>
      <c r="N2999" s="89" t="s">
        <v>4506</v>
      </c>
      <c r="O2999" s="92">
        <v>1.6736046E7</v>
      </c>
      <c r="P2999" s="92">
        <v>1.4624166E7</v>
      </c>
      <c r="Q2999" s="89" t="s">
        <v>879</v>
      </c>
      <c r="AF2999" s="1"/>
      <c r="AG2999" s="1"/>
    </row>
    <row r="3000" ht="15.75" customHeight="1">
      <c r="A3000" s="1"/>
      <c r="B3000" s="1"/>
      <c r="C3000" s="1"/>
      <c r="D3000" s="1"/>
      <c r="E3000" s="1"/>
      <c r="F3000" s="1"/>
      <c r="G3000" s="1"/>
      <c r="H3000" s="1"/>
      <c r="I3000" s="1"/>
      <c r="J3000" s="1"/>
      <c r="K3000" s="89" t="s">
        <v>4505</v>
      </c>
      <c r="L3000" s="89" t="str">
        <f>G108</f>
        <v>C1b1a2b</v>
      </c>
      <c r="M3000" s="89" t="s">
        <v>4504</v>
      </c>
      <c r="N3000" s="89" t="s">
        <v>4506</v>
      </c>
      <c r="O3000" s="92">
        <v>1.6736046E7</v>
      </c>
      <c r="P3000" s="92">
        <v>1.4624166E7</v>
      </c>
      <c r="Q3000" s="89" t="s">
        <v>879</v>
      </c>
      <c r="AF3000" s="1"/>
      <c r="AG3000" s="1"/>
    </row>
    <row r="3001" ht="15.75" customHeight="1">
      <c r="A3001" s="1"/>
      <c r="B3001" s="1"/>
      <c r="C3001" s="1"/>
      <c r="D3001" s="1"/>
      <c r="E3001" s="1"/>
      <c r="F3001" s="1"/>
      <c r="G3001" s="1"/>
      <c r="H3001" s="1"/>
      <c r="I3001" s="1"/>
      <c r="J3001" s="1"/>
      <c r="K3001" s="89" t="s">
        <v>4507</v>
      </c>
      <c r="L3001" s="89" t="str">
        <f>G108</f>
        <v>C1b1a2b</v>
      </c>
      <c r="M3001" s="89" t="s">
        <v>4508</v>
      </c>
      <c r="N3001" s="89" t="s">
        <v>4509</v>
      </c>
      <c r="O3001" s="92">
        <v>1.6833052E7</v>
      </c>
      <c r="P3001" s="92">
        <v>1.4721172E7</v>
      </c>
      <c r="Q3001" s="89" t="s">
        <v>886</v>
      </c>
      <c r="AF3001" s="1"/>
      <c r="AG3001" s="1"/>
    </row>
    <row r="3002" ht="15.75" customHeight="1">
      <c r="A3002" s="1"/>
      <c r="B3002" s="1"/>
      <c r="C3002" s="1"/>
      <c r="D3002" s="1"/>
      <c r="E3002" s="1"/>
      <c r="F3002" s="1"/>
      <c r="G3002" s="1"/>
      <c r="H3002" s="1"/>
      <c r="I3002" s="1"/>
      <c r="J3002" s="1"/>
      <c r="K3002" s="89" t="s">
        <v>4508</v>
      </c>
      <c r="L3002" s="89" t="str">
        <f>G108</f>
        <v>C1b1a2b</v>
      </c>
      <c r="M3002" s="89" t="s">
        <v>4507</v>
      </c>
      <c r="N3002" s="89" t="s">
        <v>4509</v>
      </c>
      <c r="O3002" s="92">
        <v>1.6833052E7</v>
      </c>
      <c r="P3002" s="92">
        <v>1.4721172E7</v>
      </c>
      <c r="Q3002" s="89" t="s">
        <v>886</v>
      </c>
      <c r="AF3002" s="1"/>
      <c r="AG3002" s="1"/>
    </row>
    <row r="3003" ht="15.75" customHeight="1">
      <c r="A3003" s="1"/>
      <c r="B3003" s="1"/>
      <c r="C3003" s="1"/>
      <c r="D3003" s="1"/>
      <c r="E3003" s="1"/>
      <c r="F3003" s="1"/>
      <c r="G3003" s="1"/>
      <c r="H3003" s="1"/>
      <c r="I3003" s="1"/>
      <c r="J3003" s="1"/>
      <c r="K3003" s="89" t="s">
        <v>4510</v>
      </c>
      <c r="L3003" s="89" t="str">
        <f>G108</f>
        <v>C1b1a2b</v>
      </c>
      <c r="M3003" s="89" t="s">
        <v>4511</v>
      </c>
      <c r="N3003" s="89" t="s">
        <v>4512</v>
      </c>
      <c r="O3003" s="92">
        <v>1.6854044E7</v>
      </c>
      <c r="P3003" s="92">
        <v>1.4742164E7</v>
      </c>
      <c r="Q3003" s="89" t="s">
        <v>802</v>
      </c>
      <c r="AF3003" s="1"/>
      <c r="AG3003" s="1"/>
    </row>
    <row r="3004" ht="15.75" customHeight="1">
      <c r="A3004" s="1"/>
      <c r="B3004" s="1"/>
      <c r="C3004" s="1"/>
      <c r="D3004" s="1"/>
      <c r="E3004" s="1"/>
      <c r="F3004" s="1"/>
      <c r="G3004" s="1"/>
      <c r="H3004" s="1"/>
      <c r="I3004" s="1"/>
      <c r="J3004" s="1"/>
      <c r="K3004" s="89" t="s">
        <v>4511</v>
      </c>
      <c r="L3004" s="89" t="str">
        <f>G108</f>
        <v>C1b1a2b</v>
      </c>
      <c r="M3004" s="89" t="s">
        <v>4510</v>
      </c>
      <c r="N3004" s="89" t="s">
        <v>4512</v>
      </c>
      <c r="O3004" s="92">
        <v>1.6854044E7</v>
      </c>
      <c r="P3004" s="92">
        <v>1.4742164E7</v>
      </c>
      <c r="Q3004" s="89" t="s">
        <v>802</v>
      </c>
      <c r="AF3004" s="1"/>
      <c r="AG3004" s="1"/>
    </row>
    <row r="3005" ht="15.75" customHeight="1">
      <c r="A3005" s="1"/>
      <c r="B3005" s="1"/>
      <c r="C3005" s="1"/>
      <c r="D3005" s="1"/>
      <c r="E3005" s="1"/>
      <c r="F3005" s="1"/>
      <c r="G3005" s="1"/>
      <c r="H3005" s="1"/>
      <c r="I3005" s="1"/>
      <c r="J3005" s="1"/>
      <c r="K3005" s="89" t="s">
        <v>4513</v>
      </c>
      <c r="L3005" s="89" t="str">
        <f>G108</f>
        <v>C1b1a2b</v>
      </c>
      <c r="M3005" s="89" t="s">
        <v>4514</v>
      </c>
      <c r="N3005" s="89" t="s">
        <v>4515</v>
      </c>
      <c r="O3005" s="92">
        <v>1.6900861E7</v>
      </c>
      <c r="P3005" s="92">
        <v>1.4788981E7</v>
      </c>
      <c r="Q3005" s="89" t="s">
        <v>838</v>
      </c>
      <c r="AF3005" s="1"/>
      <c r="AG3005" s="1"/>
    </row>
    <row r="3006" ht="15.75" customHeight="1">
      <c r="A3006" s="1"/>
      <c r="B3006" s="1"/>
      <c r="C3006" s="1"/>
      <c r="D3006" s="1"/>
      <c r="E3006" s="1"/>
      <c r="F3006" s="1"/>
      <c r="G3006" s="1"/>
      <c r="H3006" s="1"/>
      <c r="I3006" s="1"/>
      <c r="J3006" s="1"/>
      <c r="K3006" s="89" t="s">
        <v>4514</v>
      </c>
      <c r="L3006" s="89" t="str">
        <f>G108</f>
        <v>C1b1a2b</v>
      </c>
      <c r="M3006" s="89" t="s">
        <v>4513</v>
      </c>
      <c r="N3006" s="89" t="s">
        <v>4515</v>
      </c>
      <c r="O3006" s="92">
        <v>1.6900861E7</v>
      </c>
      <c r="P3006" s="92">
        <v>1.4788981E7</v>
      </c>
      <c r="Q3006" s="89" t="s">
        <v>838</v>
      </c>
      <c r="AF3006" s="1"/>
      <c r="AG3006" s="1"/>
    </row>
    <row r="3007" ht="15.75" customHeight="1">
      <c r="A3007" s="1"/>
      <c r="B3007" s="1"/>
      <c r="C3007" s="1"/>
      <c r="D3007" s="1"/>
      <c r="E3007" s="1"/>
      <c r="F3007" s="1"/>
      <c r="G3007" s="1"/>
      <c r="H3007" s="1"/>
      <c r="I3007" s="1"/>
      <c r="J3007" s="1"/>
      <c r="K3007" s="89" t="s">
        <v>4516</v>
      </c>
      <c r="L3007" s="89" t="str">
        <f>G108</f>
        <v>C1b1a2b</v>
      </c>
      <c r="M3007" s="89" t="s">
        <v>4517</v>
      </c>
      <c r="N3007" s="89" t="s">
        <v>4518</v>
      </c>
      <c r="O3007" s="92">
        <v>1.6947886E7</v>
      </c>
      <c r="P3007" s="92">
        <v>1.4836006E7</v>
      </c>
      <c r="Q3007" s="89" t="s">
        <v>822</v>
      </c>
      <c r="AF3007" s="1"/>
      <c r="AG3007" s="1"/>
    </row>
    <row r="3008" ht="15.75" customHeight="1">
      <c r="A3008" s="1"/>
      <c r="B3008" s="1"/>
      <c r="C3008" s="1"/>
      <c r="D3008" s="1"/>
      <c r="E3008" s="1"/>
      <c r="F3008" s="1"/>
      <c r="G3008" s="1"/>
      <c r="H3008" s="1"/>
      <c r="I3008" s="1"/>
      <c r="J3008" s="1"/>
      <c r="K3008" s="89" t="s">
        <v>4517</v>
      </c>
      <c r="L3008" s="89" t="str">
        <f>G108</f>
        <v>C1b1a2b</v>
      </c>
      <c r="M3008" s="89" t="s">
        <v>4516</v>
      </c>
      <c r="N3008" s="89" t="s">
        <v>4518</v>
      </c>
      <c r="O3008" s="92">
        <v>1.6947886E7</v>
      </c>
      <c r="P3008" s="92">
        <v>1.4836006E7</v>
      </c>
      <c r="Q3008" s="89" t="s">
        <v>822</v>
      </c>
      <c r="AF3008" s="1"/>
      <c r="AG3008" s="1"/>
    </row>
    <row r="3009" ht="15.75" customHeight="1">
      <c r="A3009" s="1"/>
      <c r="B3009" s="1"/>
      <c r="C3009" s="1"/>
      <c r="D3009" s="1"/>
      <c r="E3009" s="1"/>
      <c r="F3009" s="1"/>
      <c r="G3009" s="1"/>
      <c r="H3009" s="1"/>
      <c r="I3009" s="1"/>
      <c r="J3009" s="1"/>
      <c r="K3009" s="89" t="s">
        <v>4519</v>
      </c>
      <c r="L3009" s="89" t="str">
        <f>G108</f>
        <v>C1b1a2b</v>
      </c>
      <c r="M3009" s="89" t="s">
        <v>4520</v>
      </c>
      <c r="N3009" s="89" t="s">
        <v>4521</v>
      </c>
      <c r="O3009" s="92">
        <v>1.6951198E7</v>
      </c>
      <c r="P3009" s="92">
        <v>1.4839318E7</v>
      </c>
      <c r="Q3009" s="89" t="s">
        <v>838</v>
      </c>
      <c r="AF3009" s="1"/>
      <c r="AG3009" s="1"/>
    </row>
    <row r="3010" ht="15.75" customHeight="1">
      <c r="A3010" s="1"/>
      <c r="B3010" s="1"/>
      <c r="C3010" s="1"/>
      <c r="D3010" s="1"/>
      <c r="E3010" s="1"/>
      <c r="F3010" s="1"/>
      <c r="G3010" s="1"/>
      <c r="H3010" s="1"/>
      <c r="I3010" s="1"/>
      <c r="J3010" s="1"/>
      <c r="K3010" s="89" t="s">
        <v>4520</v>
      </c>
      <c r="L3010" s="89" t="str">
        <f>G108</f>
        <v>C1b1a2b</v>
      </c>
      <c r="M3010" s="89" t="s">
        <v>4519</v>
      </c>
      <c r="N3010" s="89" t="s">
        <v>4521</v>
      </c>
      <c r="O3010" s="92">
        <v>1.6951198E7</v>
      </c>
      <c r="P3010" s="92">
        <v>1.4839318E7</v>
      </c>
      <c r="Q3010" s="89" t="s">
        <v>838</v>
      </c>
      <c r="AF3010" s="1"/>
      <c r="AG3010" s="1"/>
    </row>
    <row r="3011" ht="15.75" customHeight="1">
      <c r="A3011" s="1"/>
      <c r="B3011" s="1"/>
      <c r="C3011" s="1"/>
      <c r="D3011" s="1"/>
      <c r="E3011" s="1"/>
      <c r="F3011" s="1"/>
      <c r="G3011" s="1"/>
      <c r="H3011" s="1"/>
      <c r="I3011" s="1"/>
      <c r="J3011" s="1"/>
      <c r="K3011" s="89" t="s">
        <v>4522</v>
      </c>
      <c r="L3011" s="89" t="str">
        <f>G108</f>
        <v>C1b1a2b</v>
      </c>
      <c r="M3011" s="89" t="s">
        <v>4523</v>
      </c>
      <c r="N3011" s="89" t="s">
        <v>4524</v>
      </c>
      <c r="O3011" s="92">
        <v>1.6964032E7</v>
      </c>
      <c r="P3011" s="92">
        <v>1.4852152E7</v>
      </c>
      <c r="Q3011" s="89" t="s">
        <v>822</v>
      </c>
      <c r="AF3011" s="1"/>
      <c r="AG3011" s="1"/>
    </row>
    <row r="3012" ht="15.75" customHeight="1">
      <c r="A3012" s="1"/>
      <c r="B3012" s="1"/>
      <c r="C3012" s="1"/>
      <c r="D3012" s="1"/>
      <c r="E3012" s="1"/>
      <c r="F3012" s="1"/>
      <c r="G3012" s="1"/>
      <c r="H3012" s="1"/>
      <c r="I3012" s="1"/>
      <c r="J3012" s="1"/>
      <c r="K3012" s="89" t="s">
        <v>4523</v>
      </c>
      <c r="L3012" s="89" t="str">
        <f>G108</f>
        <v>C1b1a2b</v>
      </c>
      <c r="M3012" s="89" t="s">
        <v>4522</v>
      </c>
      <c r="N3012" s="89" t="s">
        <v>4524</v>
      </c>
      <c r="O3012" s="92">
        <v>1.6964032E7</v>
      </c>
      <c r="P3012" s="92">
        <v>1.4852152E7</v>
      </c>
      <c r="Q3012" s="89" t="s">
        <v>822</v>
      </c>
      <c r="AF3012" s="1"/>
      <c r="AG3012" s="1"/>
    </row>
    <row r="3013" ht="15.75" customHeight="1">
      <c r="A3013" s="1"/>
      <c r="B3013" s="1"/>
      <c r="C3013" s="1"/>
      <c r="D3013" s="1"/>
      <c r="E3013" s="1"/>
      <c r="F3013" s="1"/>
      <c r="G3013" s="1"/>
      <c r="H3013" s="1"/>
      <c r="I3013" s="1"/>
      <c r="J3013" s="1"/>
      <c r="K3013" s="89" t="s">
        <v>4525</v>
      </c>
      <c r="L3013" s="89" t="str">
        <f>G108</f>
        <v>C1b1a2b</v>
      </c>
      <c r="M3013" s="89" t="s">
        <v>4526</v>
      </c>
      <c r="N3013" s="89" t="s">
        <v>4527</v>
      </c>
      <c r="O3013" s="92">
        <v>1.7000264E7</v>
      </c>
      <c r="P3013" s="92">
        <v>1.4888384E7</v>
      </c>
      <c r="Q3013" s="89" t="s">
        <v>912</v>
      </c>
      <c r="AF3013" s="1"/>
      <c r="AG3013" s="1"/>
    </row>
    <row r="3014" ht="15.75" customHeight="1">
      <c r="A3014" s="1"/>
      <c r="B3014" s="1"/>
      <c r="C3014" s="1"/>
      <c r="D3014" s="1"/>
      <c r="E3014" s="1"/>
      <c r="F3014" s="1"/>
      <c r="G3014" s="1"/>
      <c r="H3014" s="1"/>
      <c r="I3014" s="1"/>
      <c r="J3014" s="1"/>
      <c r="K3014" s="89" t="s">
        <v>4526</v>
      </c>
      <c r="L3014" s="89" t="str">
        <f>G108</f>
        <v>C1b1a2b</v>
      </c>
      <c r="M3014" s="89" t="s">
        <v>4525</v>
      </c>
      <c r="N3014" s="89" t="s">
        <v>4527</v>
      </c>
      <c r="O3014" s="92">
        <v>1.7000264E7</v>
      </c>
      <c r="P3014" s="92">
        <v>1.4888384E7</v>
      </c>
      <c r="Q3014" s="89" t="s">
        <v>912</v>
      </c>
      <c r="AF3014" s="1"/>
      <c r="AG3014" s="1"/>
    </row>
    <row r="3015" ht="15.75" customHeight="1">
      <c r="A3015" s="1"/>
      <c r="B3015" s="1"/>
      <c r="C3015" s="1"/>
      <c r="D3015" s="1"/>
      <c r="E3015" s="1"/>
      <c r="F3015" s="1"/>
      <c r="G3015" s="1"/>
      <c r="H3015" s="1"/>
      <c r="I3015" s="1"/>
      <c r="J3015" s="1"/>
      <c r="K3015" s="89" t="s">
        <v>4528</v>
      </c>
      <c r="L3015" s="89" t="str">
        <f>G108</f>
        <v>C1b1a2b</v>
      </c>
      <c r="M3015" s="89" t="s">
        <v>4529</v>
      </c>
      <c r="N3015" s="89" t="s">
        <v>4530</v>
      </c>
      <c r="O3015" s="92">
        <v>1.7007452E7</v>
      </c>
      <c r="P3015" s="92">
        <v>1.4895572E7</v>
      </c>
      <c r="Q3015" s="89" t="s">
        <v>831</v>
      </c>
      <c r="AF3015" s="1"/>
      <c r="AG3015" s="1"/>
    </row>
    <row r="3016" ht="15.75" customHeight="1">
      <c r="A3016" s="1"/>
      <c r="B3016" s="1"/>
      <c r="C3016" s="1"/>
      <c r="D3016" s="1"/>
      <c r="E3016" s="1"/>
      <c r="F3016" s="1"/>
      <c r="G3016" s="1"/>
      <c r="H3016" s="1"/>
      <c r="I3016" s="1"/>
      <c r="J3016" s="1"/>
      <c r="K3016" s="89" t="s">
        <v>4529</v>
      </c>
      <c r="L3016" s="89" t="str">
        <f>G108</f>
        <v>C1b1a2b</v>
      </c>
      <c r="M3016" s="89" t="s">
        <v>4528</v>
      </c>
      <c r="N3016" s="89" t="s">
        <v>4530</v>
      </c>
      <c r="O3016" s="92">
        <v>1.7007452E7</v>
      </c>
      <c r="P3016" s="92">
        <v>1.4895572E7</v>
      </c>
      <c r="Q3016" s="89" t="s">
        <v>831</v>
      </c>
      <c r="AF3016" s="1"/>
      <c r="AG3016" s="1"/>
    </row>
    <row r="3017" ht="15.75" customHeight="1">
      <c r="A3017" s="1"/>
      <c r="B3017" s="1"/>
      <c r="C3017" s="1"/>
      <c r="D3017" s="1"/>
      <c r="E3017" s="1"/>
      <c r="F3017" s="1"/>
      <c r="G3017" s="1"/>
      <c r="H3017" s="1"/>
      <c r="I3017" s="1"/>
      <c r="J3017" s="1"/>
      <c r="K3017" s="89" t="s">
        <v>4531</v>
      </c>
      <c r="L3017" s="89" t="str">
        <f>G108</f>
        <v>C1b1a2b</v>
      </c>
      <c r="M3017" s="89" t="s">
        <v>4532</v>
      </c>
      <c r="N3017" s="89" t="s">
        <v>4533</v>
      </c>
      <c r="O3017" s="92">
        <v>1.7039327E7</v>
      </c>
      <c r="P3017" s="92">
        <v>1.4927447E7</v>
      </c>
      <c r="Q3017" s="89" t="s">
        <v>810</v>
      </c>
      <c r="AF3017" s="1"/>
      <c r="AG3017" s="1"/>
    </row>
    <row r="3018" ht="15.75" customHeight="1">
      <c r="A3018" s="1"/>
      <c r="B3018" s="1"/>
      <c r="C3018" s="1"/>
      <c r="D3018" s="1"/>
      <c r="E3018" s="1"/>
      <c r="F3018" s="1"/>
      <c r="G3018" s="1"/>
      <c r="H3018" s="1"/>
      <c r="I3018" s="1"/>
      <c r="J3018" s="1"/>
      <c r="K3018" s="89" t="s">
        <v>4532</v>
      </c>
      <c r="L3018" s="89" t="str">
        <f>G108</f>
        <v>C1b1a2b</v>
      </c>
      <c r="M3018" s="89" t="s">
        <v>4531</v>
      </c>
      <c r="N3018" s="89" t="s">
        <v>4533</v>
      </c>
      <c r="O3018" s="92">
        <v>1.7039327E7</v>
      </c>
      <c r="P3018" s="92">
        <v>1.4927447E7</v>
      </c>
      <c r="Q3018" s="89" t="s">
        <v>810</v>
      </c>
      <c r="AF3018" s="1"/>
      <c r="AG3018" s="1"/>
    </row>
    <row r="3019" ht="15.75" customHeight="1">
      <c r="A3019" s="1"/>
      <c r="B3019" s="1"/>
      <c r="C3019" s="1"/>
      <c r="D3019" s="1"/>
      <c r="E3019" s="1"/>
      <c r="F3019" s="1"/>
      <c r="G3019" s="1"/>
      <c r="H3019" s="1"/>
      <c r="I3019" s="1"/>
      <c r="J3019" s="1"/>
      <c r="K3019" s="89" t="s">
        <v>4534</v>
      </c>
      <c r="L3019" s="89" t="str">
        <f>G108</f>
        <v>C1b1a2b</v>
      </c>
      <c r="M3019" s="89" t="s">
        <v>4535</v>
      </c>
      <c r="N3019" s="89" t="s">
        <v>4536</v>
      </c>
      <c r="O3019" s="92">
        <v>1.7087457E7</v>
      </c>
      <c r="P3019" s="92">
        <v>1.4975577E7</v>
      </c>
      <c r="Q3019" s="89" t="s">
        <v>912</v>
      </c>
      <c r="AF3019" s="1"/>
      <c r="AG3019" s="1"/>
    </row>
    <row r="3020" ht="15.75" customHeight="1">
      <c r="A3020" s="1"/>
      <c r="B3020" s="1"/>
      <c r="C3020" s="1"/>
      <c r="D3020" s="1"/>
      <c r="E3020" s="1"/>
      <c r="F3020" s="1"/>
      <c r="G3020" s="1"/>
      <c r="H3020" s="1"/>
      <c r="I3020" s="1"/>
      <c r="J3020" s="1"/>
      <c r="K3020" s="89" t="s">
        <v>4535</v>
      </c>
      <c r="L3020" s="89" t="str">
        <f>G108</f>
        <v>C1b1a2b</v>
      </c>
      <c r="M3020" s="89" t="s">
        <v>4534</v>
      </c>
      <c r="N3020" s="89" t="s">
        <v>4536</v>
      </c>
      <c r="O3020" s="92">
        <v>1.7087457E7</v>
      </c>
      <c r="P3020" s="92">
        <v>1.4975577E7</v>
      </c>
      <c r="Q3020" s="89" t="s">
        <v>912</v>
      </c>
      <c r="AF3020" s="1"/>
      <c r="AG3020" s="1"/>
    </row>
    <row r="3021" ht="15.75" customHeight="1">
      <c r="A3021" s="1"/>
      <c r="B3021" s="1"/>
      <c r="C3021" s="1"/>
      <c r="D3021" s="1"/>
      <c r="E3021" s="1"/>
      <c r="F3021" s="1"/>
      <c r="G3021" s="1"/>
      <c r="H3021" s="1"/>
      <c r="I3021" s="1"/>
      <c r="J3021" s="1"/>
      <c r="K3021" s="89" t="s">
        <v>4537</v>
      </c>
      <c r="L3021" s="89" t="str">
        <f>G108</f>
        <v>C1b1a2b</v>
      </c>
      <c r="M3021" s="89" t="s">
        <v>4538</v>
      </c>
      <c r="N3021" s="89" t="s">
        <v>4539</v>
      </c>
      <c r="O3021" s="92">
        <v>1.7095479E7</v>
      </c>
      <c r="P3021" s="92">
        <v>1.4983599E7</v>
      </c>
      <c r="Q3021" s="89" t="s">
        <v>917</v>
      </c>
      <c r="AF3021" s="1"/>
      <c r="AG3021" s="1"/>
    </row>
    <row r="3022" ht="15.75" customHeight="1">
      <c r="A3022" s="1"/>
      <c r="B3022" s="1"/>
      <c r="C3022" s="1"/>
      <c r="D3022" s="1"/>
      <c r="E3022" s="1"/>
      <c r="F3022" s="1"/>
      <c r="G3022" s="1"/>
      <c r="H3022" s="1"/>
      <c r="I3022" s="1"/>
      <c r="J3022" s="1"/>
      <c r="K3022" s="89" t="s">
        <v>4538</v>
      </c>
      <c r="L3022" s="89" t="str">
        <f>G108</f>
        <v>C1b1a2b</v>
      </c>
      <c r="M3022" s="89" t="s">
        <v>4537</v>
      </c>
      <c r="N3022" s="89" t="s">
        <v>4539</v>
      </c>
      <c r="O3022" s="92">
        <v>1.7095479E7</v>
      </c>
      <c r="P3022" s="92">
        <v>1.4983599E7</v>
      </c>
      <c r="Q3022" s="89" t="s">
        <v>917</v>
      </c>
      <c r="AF3022" s="1"/>
      <c r="AG3022" s="1"/>
    </row>
    <row r="3023" ht="15.75" customHeight="1">
      <c r="A3023" s="1"/>
      <c r="B3023" s="1"/>
      <c r="C3023" s="1"/>
      <c r="D3023" s="1"/>
      <c r="E3023" s="1"/>
      <c r="F3023" s="1"/>
      <c r="G3023" s="1"/>
      <c r="H3023" s="1"/>
      <c r="I3023" s="1"/>
      <c r="J3023" s="1"/>
      <c r="K3023" s="89" t="s">
        <v>4540</v>
      </c>
      <c r="L3023" s="89" t="str">
        <f>G108</f>
        <v>C1b1a2b</v>
      </c>
      <c r="M3023" s="89" t="s">
        <v>4541</v>
      </c>
      <c r="N3023" s="89" t="s">
        <v>4542</v>
      </c>
      <c r="O3023" s="92">
        <v>1.7096029E7</v>
      </c>
      <c r="P3023" s="92">
        <v>1.4984149E7</v>
      </c>
      <c r="Q3023" s="89" t="s">
        <v>810</v>
      </c>
      <c r="AF3023" s="1"/>
      <c r="AG3023" s="1"/>
    </row>
    <row r="3024" ht="15.75" customHeight="1">
      <c r="A3024" s="1"/>
      <c r="B3024" s="1"/>
      <c r="C3024" s="1"/>
      <c r="D3024" s="1"/>
      <c r="E3024" s="1"/>
      <c r="F3024" s="1"/>
      <c r="G3024" s="1"/>
      <c r="H3024" s="1"/>
      <c r="I3024" s="1"/>
      <c r="J3024" s="1"/>
      <c r="K3024" s="89" t="s">
        <v>4541</v>
      </c>
      <c r="L3024" s="89" t="str">
        <f>G108</f>
        <v>C1b1a2b</v>
      </c>
      <c r="M3024" s="89" t="s">
        <v>4540</v>
      </c>
      <c r="N3024" s="89" t="s">
        <v>4542</v>
      </c>
      <c r="O3024" s="92">
        <v>1.7096029E7</v>
      </c>
      <c r="P3024" s="92">
        <v>1.4984149E7</v>
      </c>
      <c r="Q3024" s="89" t="s">
        <v>810</v>
      </c>
      <c r="AF3024" s="1"/>
      <c r="AG3024" s="1"/>
    </row>
    <row r="3025" ht="15.75" customHeight="1">
      <c r="A3025" s="1"/>
      <c r="B3025" s="1"/>
      <c r="C3025" s="1"/>
      <c r="D3025" s="1"/>
      <c r="E3025" s="1"/>
      <c r="F3025" s="1"/>
      <c r="G3025" s="1"/>
      <c r="H3025" s="1"/>
      <c r="I3025" s="1"/>
      <c r="J3025" s="1"/>
      <c r="K3025" s="89" t="s">
        <v>4543</v>
      </c>
      <c r="L3025" s="89" t="str">
        <f>G108</f>
        <v>C1b1a2b</v>
      </c>
      <c r="M3025" s="89" t="s">
        <v>4544</v>
      </c>
      <c r="N3025" s="89" t="s">
        <v>4545</v>
      </c>
      <c r="O3025" s="92">
        <v>1.7108575E7</v>
      </c>
      <c r="P3025" s="92">
        <v>1.4996695E7</v>
      </c>
      <c r="Q3025" s="89" t="s">
        <v>845</v>
      </c>
      <c r="AF3025" s="1"/>
      <c r="AG3025" s="1"/>
    </row>
    <row r="3026" ht="15.75" customHeight="1">
      <c r="A3026" s="1"/>
      <c r="B3026" s="1"/>
      <c r="C3026" s="1"/>
      <c r="D3026" s="1"/>
      <c r="E3026" s="1"/>
      <c r="F3026" s="1"/>
      <c r="G3026" s="1"/>
      <c r="H3026" s="1"/>
      <c r="I3026" s="1"/>
      <c r="J3026" s="1"/>
      <c r="K3026" s="89" t="s">
        <v>4544</v>
      </c>
      <c r="L3026" s="89" t="str">
        <f>G108</f>
        <v>C1b1a2b</v>
      </c>
      <c r="M3026" s="89" t="s">
        <v>4543</v>
      </c>
      <c r="N3026" s="89" t="s">
        <v>4545</v>
      </c>
      <c r="O3026" s="92">
        <v>1.7108575E7</v>
      </c>
      <c r="P3026" s="92">
        <v>1.4996695E7</v>
      </c>
      <c r="Q3026" s="89" t="s">
        <v>845</v>
      </c>
      <c r="AF3026" s="1"/>
      <c r="AG3026" s="1"/>
    </row>
    <row r="3027" ht="15.75" customHeight="1">
      <c r="A3027" s="1"/>
      <c r="B3027" s="1"/>
      <c r="C3027" s="1"/>
      <c r="D3027" s="1"/>
      <c r="E3027" s="1"/>
      <c r="F3027" s="1"/>
      <c r="G3027" s="1"/>
      <c r="H3027" s="1"/>
      <c r="I3027" s="1"/>
      <c r="J3027" s="1"/>
      <c r="K3027" s="89" t="s">
        <v>4546</v>
      </c>
      <c r="L3027" s="89" t="str">
        <f>G108</f>
        <v>C1b1a2b</v>
      </c>
      <c r="M3027" s="89" t="s">
        <v>4547</v>
      </c>
      <c r="N3027" s="89" t="s">
        <v>4548</v>
      </c>
      <c r="O3027" s="92">
        <v>1.7110259E7</v>
      </c>
      <c r="P3027" s="92">
        <v>1.4998379E7</v>
      </c>
      <c r="Q3027" s="89" t="s">
        <v>810</v>
      </c>
      <c r="AF3027" s="1"/>
      <c r="AG3027" s="1"/>
    </row>
    <row r="3028" ht="15.75" customHeight="1">
      <c r="A3028" s="1"/>
      <c r="B3028" s="1"/>
      <c r="C3028" s="1"/>
      <c r="D3028" s="1"/>
      <c r="E3028" s="1"/>
      <c r="F3028" s="1"/>
      <c r="G3028" s="1"/>
      <c r="H3028" s="1"/>
      <c r="I3028" s="1"/>
      <c r="J3028" s="1"/>
      <c r="K3028" s="89" t="s">
        <v>4547</v>
      </c>
      <c r="L3028" s="89" t="str">
        <f>G108</f>
        <v>C1b1a2b</v>
      </c>
      <c r="M3028" s="89" t="s">
        <v>4546</v>
      </c>
      <c r="N3028" s="89" t="s">
        <v>4548</v>
      </c>
      <c r="O3028" s="92">
        <v>1.7110259E7</v>
      </c>
      <c r="P3028" s="92">
        <v>1.4998379E7</v>
      </c>
      <c r="Q3028" s="89" t="s">
        <v>810</v>
      </c>
      <c r="AF3028" s="1"/>
      <c r="AG3028" s="1"/>
    </row>
    <row r="3029" ht="15.75" customHeight="1">
      <c r="A3029" s="1"/>
      <c r="B3029" s="1"/>
      <c r="C3029" s="1"/>
      <c r="D3029" s="1"/>
      <c r="E3029" s="1"/>
      <c r="F3029" s="1"/>
      <c r="G3029" s="1"/>
      <c r="H3029" s="1"/>
      <c r="I3029" s="1"/>
      <c r="J3029" s="1"/>
      <c r="K3029" s="89" t="s">
        <v>4549</v>
      </c>
      <c r="L3029" s="89" t="str">
        <f>G108</f>
        <v>C1b1a2b</v>
      </c>
      <c r="M3029" s="89" t="s">
        <v>4550</v>
      </c>
      <c r="N3029" s="89" t="s">
        <v>4551</v>
      </c>
      <c r="O3029" s="92">
        <v>1.7110718E7</v>
      </c>
      <c r="P3029" s="92">
        <v>1.4998838E7</v>
      </c>
      <c r="Q3029" s="93" t="s">
        <v>822</v>
      </c>
      <c r="AF3029" s="1"/>
      <c r="AG3029" s="1"/>
    </row>
    <row r="3030" ht="15.75" customHeight="1">
      <c r="A3030" s="1"/>
      <c r="B3030" s="1"/>
      <c r="C3030" s="1"/>
      <c r="D3030" s="1"/>
      <c r="E3030" s="1"/>
      <c r="F3030" s="1"/>
      <c r="G3030" s="1"/>
      <c r="H3030" s="1"/>
      <c r="I3030" s="1"/>
      <c r="J3030" s="1"/>
      <c r="K3030" s="89" t="s">
        <v>4550</v>
      </c>
      <c r="L3030" s="89" t="str">
        <f>G108</f>
        <v>C1b1a2b</v>
      </c>
      <c r="M3030" s="89" t="s">
        <v>4549</v>
      </c>
      <c r="N3030" s="89" t="s">
        <v>4551</v>
      </c>
      <c r="O3030" s="92">
        <v>1.7110718E7</v>
      </c>
      <c r="P3030" s="92">
        <v>1.4998838E7</v>
      </c>
      <c r="Q3030" s="93" t="s">
        <v>822</v>
      </c>
      <c r="AF3030" s="1"/>
      <c r="AG3030" s="1"/>
    </row>
    <row r="3031" ht="15.75" customHeight="1">
      <c r="A3031" s="1"/>
      <c r="B3031" s="1"/>
      <c r="C3031" s="1"/>
      <c r="D3031" s="1"/>
      <c r="E3031" s="1"/>
      <c r="F3031" s="1"/>
      <c r="G3031" s="1"/>
      <c r="H3031" s="1"/>
      <c r="I3031" s="1"/>
      <c r="J3031" s="1"/>
      <c r="K3031" s="89" t="s">
        <v>4552</v>
      </c>
      <c r="L3031" s="89" t="str">
        <f>G108</f>
        <v>C1b1a2b</v>
      </c>
      <c r="M3031" s="89" t="s">
        <v>4553</v>
      </c>
      <c r="N3031" s="89" t="s">
        <v>4554</v>
      </c>
      <c r="O3031" s="92">
        <v>1.7124936E7</v>
      </c>
      <c r="P3031" s="92">
        <v>1.5013056E7</v>
      </c>
      <c r="Q3031" s="89" t="s">
        <v>886</v>
      </c>
      <c r="AF3031" s="1"/>
      <c r="AG3031" s="1"/>
    </row>
    <row r="3032" ht="15.75" customHeight="1">
      <c r="A3032" s="1"/>
      <c r="B3032" s="1"/>
      <c r="C3032" s="1"/>
      <c r="D3032" s="1"/>
      <c r="E3032" s="1"/>
      <c r="F3032" s="1"/>
      <c r="G3032" s="1"/>
      <c r="H3032" s="1"/>
      <c r="I3032" s="1"/>
      <c r="J3032" s="1"/>
      <c r="K3032" s="89" t="s">
        <v>4553</v>
      </c>
      <c r="L3032" s="89" t="str">
        <f>G108</f>
        <v>C1b1a2b</v>
      </c>
      <c r="M3032" s="89" t="s">
        <v>4552</v>
      </c>
      <c r="N3032" s="89" t="s">
        <v>4554</v>
      </c>
      <c r="O3032" s="92">
        <v>1.7124936E7</v>
      </c>
      <c r="P3032" s="92">
        <v>1.5013056E7</v>
      </c>
      <c r="Q3032" s="89" t="s">
        <v>886</v>
      </c>
      <c r="AF3032" s="1"/>
      <c r="AG3032" s="1"/>
    </row>
    <row r="3033" ht="15.75" customHeight="1">
      <c r="A3033" s="1"/>
      <c r="B3033" s="1"/>
      <c r="C3033" s="1"/>
      <c r="D3033" s="1"/>
      <c r="E3033" s="1"/>
      <c r="F3033" s="1"/>
      <c r="G3033" s="1"/>
      <c r="H3033" s="1"/>
      <c r="I3033" s="1"/>
      <c r="J3033" s="1"/>
      <c r="K3033" s="89" t="s">
        <v>4555</v>
      </c>
      <c r="L3033" s="89" t="str">
        <f>G108</f>
        <v>C1b1a2b</v>
      </c>
      <c r="M3033" s="89" t="s">
        <v>4556</v>
      </c>
      <c r="N3033" s="89" t="s">
        <v>4557</v>
      </c>
      <c r="O3033" s="92">
        <v>1.716513E7</v>
      </c>
      <c r="P3033" s="92">
        <v>1.505325E7</v>
      </c>
      <c r="Q3033" s="89" t="s">
        <v>886</v>
      </c>
      <c r="AF3033" s="1"/>
      <c r="AG3033" s="1"/>
    </row>
    <row r="3034" ht="15.75" customHeight="1">
      <c r="A3034" s="1"/>
      <c r="B3034" s="1"/>
      <c r="C3034" s="1"/>
      <c r="D3034" s="1"/>
      <c r="E3034" s="1"/>
      <c r="F3034" s="1"/>
      <c r="G3034" s="1"/>
      <c r="H3034" s="1"/>
      <c r="I3034" s="1"/>
      <c r="J3034" s="1"/>
      <c r="K3034" s="89" t="s">
        <v>4556</v>
      </c>
      <c r="L3034" s="89" t="str">
        <f>G108</f>
        <v>C1b1a2b</v>
      </c>
      <c r="M3034" s="89" t="s">
        <v>4555</v>
      </c>
      <c r="N3034" s="89" t="s">
        <v>4557</v>
      </c>
      <c r="O3034" s="92">
        <v>1.716513E7</v>
      </c>
      <c r="P3034" s="92">
        <v>1.505325E7</v>
      </c>
      <c r="Q3034" s="89" t="s">
        <v>886</v>
      </c>
      <c r="AF3034" s="1"/>
      <c r="AG3034" s="1"/>
    </row>
    <row r="3035" ht="15.75" customHeight="1">
      <c r="A3035" s="1"/>
      <c r="B3035" s="1"/>
      <c r="C3035" s="1"/>
      <c r="D3035" s="1"/>
      <c r="E3035" s="1"/>
      <c r="F3035" s="1"/>
      <c r="G3035" s="1"/>
      <c r="H3035" s="1"/>
      <c r="I3035" s="1"/>
      <c r="J3035" s="1"/>
      <c r="K3035" s="89" t="s">
        <v>4558</v>
      </c>
      <c r="L3035" s="89" t="str">
        <f>G108</f>
        <v>C1b1a2b</v>
      </c>
      <c r="M3035" s="89" t="s">
        <v>4559</v>
      </c>
      <c r="N3035" s="89" t="s">
        <v>4560</v>
      </c>
      <c r="O3035" s="92">
        <v>1.7200537E7</v>
      </c>
      <c r="P3035" s="92">
        <v>1.5088657E7</v>
      </c>
      <c r="Q3035" s="89" t="s">
        <v>838</v>
      </c>
      <c r="AF3035" s="1"/>
      <c r="AG3035" s="1"/>
    </row>
    <row r="3036" ht="15.75" customHeight="1">
      <c r="A3036" s="1"/>
      <c r="B3036" s="1"/>
      <c r="C3036" s="1"/>
      <c r="D3036" s="1"/>
      <c r="E3036" s="1"/>
      <c r="F3036" s="1"/>
      <c r="G3036" s="1"/>
      <c r="H3036" s="1"/>
      <c r="I3036" s="1"/>
      <c r="J3036" s="1"/>
      <c r="K3036" s="89" t="s">
        <v>4559</v>
      </c>
      <c r="L3036" s="89" t="str">
        <f>G108</f>
        <v>C1b1a2b</v>
      </c>
      <c r="M3036" s="89" t="s">
        <v>4558</v>
      </c>
      <c r="N3036" s="89" t="s">
        <v>4560</v>
      </c>
      <c r="O3036" s="92">
        <v>1.7200537E7</v>
      </c>
      <c r="P3036" s="92">
        <v>1.5088657E7</v>
      </c>
      <c r="Q3036" s="89" t="s">
        <v>838</v>
      </c>
      <c r="AF3036" s="1"/>
      <c r="AG3036" s="1"/>
    </row>
    <row r="3037" ht="15.75" customHeight="1">
      <c r="A3037" s="1"/>
      <c r="B3037" s="1"/>
      <c r="C3037" s="1"/>
      <c r="D3037" s="1"/>
      <c r="E3037" s="1"/>
      <c r="F3037" s="1"/>
      <c r="G3037" s="1"/>
      <c r="H3037" s="1"/>
      <c r="I3037" s="1"/>
      <c r="J3037" s="1"/>
      <c r="K3037" s="89" t="s">
        <v>4561</v>
      </c>
      <c r="L3037" s="89" t="str">
        <f>G108</f>
        <v>C1b1a2b</v>
      </c>
      <c r="M3037" s="89" t="s">
        <v>4562</v>
      </c>
      <c r="N3037" s="89" t="s">
        <v>4563</v>
      </c>
      <c r="O3037" s="92">
        <v>1.722894E7</v>
      </c>
      <c r="P3037" s="92">
        <v>1.511706E7</v>
      </c>
      <c r="Q3037" s="89" t="s">
        <v>813</v>
      </c>
      <c r="AF3037" s="1"/>
      <c r="AG3037" s="1"/>
    </row>
    <row r="3038" ht="15.75" customHeight="1">
      <c r="A3038" s="1"/>
      <c r="B3038" s="1"/>
      <c r="C3038" s="1"/>
      <c r="D3038" s="1"/>
      <c r="E3038" s="1"/>
      <c r="F3038" s="1"/>
      <c r="G3038" s="1"/>
      <c r="H3038" s="1"/>
      <c r="I3038" s="1"/>
      <c r="J3038" s="1"/>
      <c r="K3038" s="89" t="s">
        <v>4562</v>
      </c>
      <c r="L3038" s="89" t="str">
        <f>G108</f>
        <v>C1b1a2b</v>
      </c>
      <c r="M3038" s="89" t="s">
        <v>4561</v>
      </c>
      <c r="N3038" s="89" t="s">
        <v>4563</v>
      </c>
      <c r="O3038" s="92">
        <v>1.722894E7</v>
      </c>
      <c r="P3038" s="92">
        <v>1.511706E7</v>
      </c>
      <c r="Q3038" s="89" t="s">
        <v>813</v>
      </c>
      <c r="AF3038" s="1"/>
      <c r="AG3038" s="1"/>
    </row>
    <row r="3039" ht="15.75" customHeight="1">
      <c r="A3039" s="1"/>
      <c r="B3039" s="1"/>
      <c r="C3039" s="1"/>
      <c r="D3039" s="1"/>
      <c r="E3039" s="1"/>
      <c r="F3039" s="1"/>
      <c r="G3039" s="1"/>
      <c r="H3039" s="1"/>
      <c r="I3039" s="1"/>
      <c r="J3039" s="1"/>
      <c r="K3039" s="89" t="s">
        <v>4564</v>
      </c>
      <c r="L3039" s="89" t="str">
        <f>G108</f>
        <v>C1b1a2b</v>
      </c>
      <c r="M3039" s="89" t="s">
        <v>4565</v>
      </c>
      <c r="N3039" s="89" t="s">
        <v>4566</v>
      </c>
      <c r="O3039" s="92">
        <v>1.7249574E7</v>
      </c>
      <c r="P3039" s="92">
        <v>1.5137694E7</v>
      </c>
      <c r="Q3039" s="89" t="s">
        <v>845</v>
      </c>
      <c r="AF3039" s="1"/>
      <c r="AG3039" s="1"/>
    </row>
    <row r="3040" ht="15.75" customHeight="1">
      <c r="A3040" s="1"/>
      <c r="B3040" s="1"/>
      <c r="C3040" s="1"/>
      <c r="D3040" s="1"/>
      <c r="E3040" s="1"/>
      <c r="F3040" s="1"/>
      <c r="G3040" s="1"/>
      <c r="H3040" s="1"/>
      <c r="I3040" s="1"/>
      <c r="J3040" s="1"/>
      <c r="K3040" s="89" t="s">
        <v>4565</v>
      </c>
      <c r="L3040" s="89" t="str">
        <f>G108</f>
        <v>C1b1a2b</v>
      </c>
      <c r="M3040" s="89" t="s">
        <v>4564</v>
      </c>
      <c r="N3040" s="89" t="s">
        <v>4566</v>
      </c>
      <c r="O3040" s="92">
        <v>1.7249574E7</v>
      </c>
      <c r="P3040" s="92">
        <v>1.5137694E7</v>
      </c>
      <c r="Q3040" s="89" t="s">
        <v>845</v>
      </c>
      <c r="AF3040" s="1"/>
      <c r="AG3040" s="1"/>
    </row>
    <row r="3041" ht="15.75" customHeight="1">
      <c r="A3041" s="1"/>
      <c r="B3041" s="1"/>
      <c r="C3041" s="1"/>
      <c r="D3041" s="1"/>
      <c r="E3041" s="1"/>
      <c r="F3041" s="1"/>
      <c r="G3041" s="1"/>
      <c r="H3041" s="1"/>
      <c r="I3041" s="1"/>
      <c r="J3041" s="1"/>
      <c r="K3041" s="89" t="s">
        <v>4567</v>
      </c>
      <c r="L3041" s="89" t="str">
        <f>G108</f>
        <v>C1b1a2b</v>
      </c>
      <c r="M3041" s="89" t="s">
        <v>4568</v>
      </c>
      <c r="N3041" s="89" t="s">
        <v>4569</v>
      </c>
      <c r="O3041" s="92">
        <v>1.7301077E7</v>
      </c>
      <c r="P3041" s="92">
        <v>1.5189197E7</v>
      </c>
      <c r="Q3041" s="89" t="s">
        <v>822</v>
      </c>
      <c r="AF3041" s="1"/>
      <c r="AG3041" s="1"/>
    </row>
    <row r="3042" ht="15.75" customHeight="1">
      <c r="A3042" s="1"/>
      <c r="B3042" s="1"/>
      <c r="C3042" s="1"/>
      <c r="D3042" s="1"/>
      <c r="E3042" s="1"/>
      <c r="F3042" s="1"/>
      <c r="G3042" s="1"/>
      <c r="H3042" s="1"/>
      <c r="I3042" s="1"/>
      <c r="J3042" s="1"/>
      <c r="K3042" s="89" t="s">
        <v>4568</v>
      </c>
      <c r="L3042" s="89" t="str">
        <f>G108</f>
        <v>C1b1a2b</v>
      </c>
      <c r="M3042" s="89" t="s">
        <v>4567</v>
      </c>
      <c r="N3042" s="89" t="s">
        <v>4569</v>
      </c>
      <c r="O3042" s="92">
        <v>1.7301077E7</v>
      </c>
      <c r="P3042" s="92">
        <v>1.5189197E7</v>
      </c>
      <c r="Q3042" s="89" t="s">
        <v>822</v>
      </c>
      <c r="AF3042" s="1"/>
      <c r="AG3042" s="1"/>
    </row>
    <row r="3043" ht="15.75" customHeight="1">
      <c r="A3043" s="1"/>
      <c r="B3043" s="1"/>
      <c r="C3043" s="1"/>
      <c r="D3043" s="1"/>
      <c r="E3043" s="1"/>
      <c r="F3043" s="1"/>
      <c r="G3043" s="1"/>
      <c r="H3043" s="1"/>
      <c r="I3043" s="1"/>
      <c r="J3043" s="1"/>
      <c r="K3043" s="89" t="s">
        <v>4570</v>
      </c>
      <c r="L3043" s="89" t="str">
        <f>G108</f>
        <v>C1b1a2b</v>
      </c>
      <c r="M3043" s="89" t="s">
        <v>4571</v>
      </c>
      <c r="N3043" s="89" t="s">
        <v>4572</v>
      </c>
      <c r="O3043" s="92">
        <v>1.7311606E7</v>
      </c>
      <c r="P3043" s="92">
        <v>1.5199726E7</v>
      </c>
      <c r="Q3043" s="89" t="s">
        <v>822</v>
      </c>
      <c r="AF3043" s="1"/>
      <c r="AG3043" s="1"/>
    </row>
    <row r="3044" ht="15.75" customHeight="1">
      <c r="A3044" s="1"/>
      <c r="B3044" s="1"/>
      <c r="C3044" s="1"/>
      <c r="D3044" s="1"/>
      <c r="E3044" s="1"/>
      <c r="F3044" s="1"/>
      <c r="G3044" s="1"/>
      <c r="H3044" s="1"/>
      <c r="I3044" s="1"/>
      <c r="J3044" s="1"/>
      <c r="K3044" s="89" t="s">
        <v>4571</v>
      </c>
      <c r="L3044" s="89" t="str">
        <f>G108</f>
        <v>C1b1a2b</v>
      </c>
      <c r="M3044" s="89" t="s">
        <v>4570</v>
      </c>
      <c r="N3044" s="89" t="s">
        <v>4572</v>
      </c>
      <c r="O3044" s="92">
        <v>1.7311606E7</v>
      </c>
      <c r="P3044" s="92">
        <v>1.5199726E7</v>
      </c>
      <c r="Q3044" s="89" t="s">
        <v>822</v>
      </c>
      <c r="AF3044" s="1"/>
      <c r="AG3044" s="1"/>
    </row>
    <row r="3045" ht="15.75" customHeight="1">
      <c r="A3045" s="1"/>
      <c r="B3045" s="1"/>
      <c r="C3045" s="1"/>
      <c r="D3045" s="1"/>
      <c r="E3045" s="1"/>
      <c r="F3045" s="1"/>
      <c r="G3045" s="1"/>
      <c r="H3045" s="1"/>
      <c r="I3045" s="1"/>
      <c r="J3045" s="1"/>
      <c r="K3045" s="89" t="s">
        <v>4573</v>
      </c>
      <c r="L3045" s="89" t="str">
        <f>G108</f>
        <v>C1b1a2b</v>
      </c>
      <c r="M3045" s="89" t="s">
        <v>4574</v>
      </c>
      <c r="N3045" s="89" t="s">
        <v>4575</v>
      </c>
      <c r="O3045" s="92">
        <v>1.7333041E7</v>
      </c>
      <c r="P3045" s="92">
        <v>1.5221161E7</v>
      </c>
      <c r="Q3045" s="89" t="s">
        <v>912</v>
      </c>
      <c r="AF3045" s="1"/>
      <c r="AG3045" s="1"/>
    </row>
    <row r="3046" ht="15.75" customHeight="1">
      <c r="A3046" s="1"/>
      <c r="B3046" s="1"/>
      <c r="C3046" s="1"/>
      <c r="D3046" s="1"/>
      <c r="E3046" s="1"/>
      <c r="F3046" s="1"/>
      <c r="G3046" s="1"/>
      <c r="H3046" s="1"/>
      <c r="I3046" s="1"/>
      <c r="J3046" s="1"/>
      <c r="K3046" s="89" t="s">
        <v>4574</v>
      </c>
      <c r="L3046" s="89" t="str">
        <f>G108</f>
        <v>C1b1a2b</v>
      </c>
      <c r="M3046" s="89" t="s">
        <v>4573</v>
      </c>
      <c r="N3046" s="89" t="s">
        <v>4575</v>
      </c>
      <c r="O3046" s="92">
        <v>1.7333041E7</v>
      </c>
      <c r="P3046" s="92">
        <v>1.5221161E7</v>
      </c>
      <c r="Q3046" s="89" t="s">
        <v>912</v>
      </c>
      <c r="AF3046" s="1"/>
      <c r="AG3046" s="1"/>
    </row>
    <row r="3047" ht="15.75" customHeight="1">
      <c r="A3047" s="1"/>
      <c r="B3047" s="1"/>
      <c r="C3047" s="1"/>
      <c r="D3047" s="1"/>
      <c r="E3047" s="1"/>
      <c r="F3047" s="1"/>
      <c r="G3047" s="1"/>
      <c r="H3047" s="1"/>
      <c r="I3047" s="1"/>
      <c r="J3047" s="1"/>
      <c r="K3047" s="89" t="s">
        <v>4576</v>
      </c>
      <c r="L3047" s="89" t="str">
        <f>G108</f>
        <v>C1b1a2b</v>
      </c>
      <c r="M3047" s="89" t="s">
        <v>4577</v>
      </c>
      <c r="N3047" s="89" t="s">
        <v>4578</v>
      </c>
      <c r="O3047" s="92">
        <v>1.737193E7</v>
      </c>
      <c r="P3047" s="92">
        <v>1.526005E7</v>
      </c>
      <c r="Q3047" s="89" t="s">
        <v>810</v>
      </c>
      <c r="AF3047" s="1"/>
      <c r="AG3047" s="1"/>
    </row>
    <row r="3048" ht="15.75" customHeight="1">
      <c r="A3048" s="1"/>
      <c r="B3048" s="1"/>
      <c r="C3048" s="1"/>
      <c r="D3048" s="1"/>
      <c r="E3048" s="1"/>
      <c r="F3048" s="1"/>
      <c r="G3048" s="1"/>
      <c r="H3048" s="1"/>
      <c r="I3048" s="1"/>
      <c r="J3048" s="1"/>
      <c r="K3048" s="89" t="s">
        <v>4577</v>
      </c>
      <c r="L3048" s="89" t="str">
        <f>G108</f>
        <v>C1b1a2b</v>
      </c>
      <c r="M3048" s="89" t="s">
        <v>4576</v>
      </c>
      <c r="N3048" s="89" t="s">
        <v>4578</v>
      </c>
      <c r="O3048" s="92">
        <v>1.737193E7</v>
      </c>
      <c r="P3048" s="92">
        <v>1.526005E7</v>
      </c>
      <c r="Q3048" s="89" t="s">
        <v>810</v>
      </c>
      <c r="AF3048" s="1"/>
      <c r="AG3048" s="1"/>
    </row>
    <row r="3049" ht="15.75" customHeight="1">
      <c r="A3049" s="1"/>
      <c r="B3049" s="1"/>
      <c r="C3049" s="1"/>
      <c r="D3049" s="1"/>
      <c r="E3049" s="1"/>
      <c r="F3049" s="1"/>
      <c r="G3049" s="1"/>
      <c r="H3049" s="1"/>
      <c r="I3049" s="1"/>
      <c r="J3049" s="1"/>
      <c r="K3049" s="89" t="s">
        <v>4579</v>
      </c>
      <c r="L3049" s="89" t="str">
        <f>G108</f>
        <v>C1b1a2b</v>
      </c>
      <c r="M3049" s="89" t="s">
        <v>4580</v>
      </c>
      <c r="N3049" s="89" t="s">
        <v>4581</v>
      </c>
      <c r="O3049" s="92">
        <v>1.7382221E7</v>
      </c>
      <c r="P3049" s="92">
        <v>1.5270341E7</v>
      </c>
      <c r="Q3049" s="89" t="s">
        <v>879</v>
      </c>
      <c r="AF3049" s="1"/>
      <c r="AG3049" s="1"/>
    </row>
    <row r="3050" ht="15.75" customHeight="1">
      <c r="A3050" s="1"/>
      <c r="B3050" s="1"/>
      <c r="C3050" s="1"/>
      <c r="D3050" s="1"/>
      <c r="E3050" s="1"/>
      <c r="F3050" s="1"/>
      <c r="G3050" s="1"/>
      <c r="H3050" s="1"/>
      <c r="I3050" s="1"/>
      <c r="J3050" s="1"/>
      <c r="K3050" s="89" t="s">
        <v>4580</v>
      </c>
      <c r="L3050" s="89" t="str">
        <f>G108</f>
        <v>C1b1a2b</v>
      </c>
      <c r="M3050" s="89" t="s">
        <v>4579</v>
      </c>
      <c r="N3050" s="89" t="s">
        <v>4581</v>
      </c>
      <c r="O3050" s="92">
        <v>1.7382221E7</v>
      </c>
      <c r="P3050" s="92">
        <v>1.5270341E7</v>
      </c>
      <c r="Q3050" s="89" t="s">
        <v>879</v>
      </c>
      <c r="AF3050" s="1"/>
      <c r="AG3050" s="1"/>
    </row>
    <row r="3051" ht="15.75" customHeight="1">
      <c r="A3051" s="1"/>
      <c r="B3051" s="1"/>
      <c r="C3051" s="1"/>
      <c r="D3051" s="1"/>
      <c r="E3051" s="1"/>
      <c r="F3051" s="1"/>
      <c r="G3051" s="1"/>
      <c r="H3051" s="1"/>
      <c r="I3051" s="1"/>
      <c r="J3051" s="1"/>
      <c r="K3051" s="89" t="s">
        <v>4582</v>
      </c>
      <c r="L3051" s="89" t="str">
        <f>G108</f>
        <v>C1b1a2b</v>
      </c>
      <c r="M3051" s="89" t="s">
        <v>4583</v>
      </c>
      <c r="N3051" s="89" t="s">
        <v>4584</v>
      </c>
      <c r="O3051" s="92">
        <v>1.7406469E7</v>
      </c>
      <c r="P3051" s="92">
        <v>1.5294589E7</v>
      </c>
      <c r="Q3051" s="89" t="s">
        <v>802</v>
      </c>
      <c r="AF3051" s="1"/>
      <c r="AG3051" s="1"/>
    </row>
    <row r="3052" ht="15.75" customHeight="1">
      <c r="A3052" s="1"/>
      <c r="B3052" s="1"/>
      <c r="C3052" s="1"/>
      <c r="D3052" s="1"/>
      <c r="E3052" s="1"/>
      <c r="F3052" s="1"/>
      <c r="G3052" s="1"/>
      <c r="H3052" s="1"/>
      <c r="I3052" s="1"/>
      <c r="J3052" s="1"/>
      <c r="K3052" s="89" t="s">
        <v>4583</v>
      </c>
      <c r="L3052" s="89" t="str">
        <f>G108</f>
        <v>C1b1a2b</v>
      </c>
      <c r="M3052" s="89" t="s">
        <v>4582</v>
      </c>
      <c r="N3052" s="89" t="s">
        <v>4584</v>
      </c>
      <c r="O3052" s="92">
        <v>1.7406469E7</v>
      </c>
      <c r="P3052" s="92">
        <v>1.5294589E7</v>
      </c>
      <c r="Q3052" s="89" t="s">
        <v>802</v>
      </c>
      <c r="AF3052" s="1"/>
      <c r="AG3052" s="1"/>
    </row>
    <row r="3053" ht="15.75" customHeight="1">
      <c r="A3053" s="1"/>
      <c r="B3053" s="1"/>
      <c r="C3053" s="1"/>
      <c r="D3053" s="1"/>
      <c r="E3053" s="1"/>
      <c r="F3053" s="1"/>
      <c r="G3053" s="1"/>
      <c r="H3053" s="1"/>
      <c r="I3053" s="1"/>
      <c r="J3053" s="1"/>
      <c r="K3053" s="89" t="s">
        <v>4585</v>
      </c>
      <c r="L3053" s="89" t="str">
        <f>G108</f>
        <v>C1b1a2b</v>
      </c>
      <c r="M3053" s="89" t="s">
        <v>4586</v>
      </c>
      <c r="N3053" s="89" t="s">
        <v>4587</v>
      </c>
      <c r="O3053" s="92">
        <v>1.7421589E7</v>
      </c>
      <c r="P3053" s="92">
        <v>1.5309709E7</v>
      </c>
      <c r="Q3053" s="89" t="s">
        <v>838</v>
      </c>
      <c r="AF3053" s="1"/>
      <c r="AG3053" s="1"/>
    </row>
    <row r="3054" ht="15.75" customHeight="1">
      <c r="A3054" s="1"/>
      <c r="B3054" s="1"/>
      <c r="C3054" s="1"/>
      <c r="D3054" s="1"/>
      <c r="E3054" s="1"/>
      <c r="F3054" s="1"/>
      <c r="G3054" s="1"/>
      <c r="H3054" s="1"/>
      <c r="I3054" s="1"/>
      <c r="J3054" s="1"/>
      <c r="K3054" s="89" t="s">
        <v>4586</v>
      </c>
      <c r="L3054" s="89" t="str">
        <f>G108</f>
        <v>C1b1a2b</v>
      </c>
      <c r="M3054" s="89" t="s">
        <v>4585</v>
      </c>
      <c r="N3054" s="89" t="s">
        <v>4587</v>
      </c>
      <c r="O3054" s="92">
        <v>1.7421589E7</v>
      </c>
      <c r="P3054" s="92">
        <v>1.5309709E7</v>
      </c>
      <c r="Q3054" s="89" t="s">
        <v>838</v>
      </c>
      <c r="AF3054" s="1"/>
      <c r="AG3054" s="1"/>
    </row>
    <row r="3055" ht="15.75" customHeight="1">
      <c r="A3055" s="1"/>
      <c r="B3055" s="1"/>
      <c r="C3055" s="1"/>
      <c r="D3055" s="1"/>
      <c r="E3055" s="1"/>
      <c r="F3055" s="1"/>
      <c r="G3055" s="1"/>
      <c r="H3055" s="1"/>
      <c r="I3055" s="1"/>
      <c r="J3055" s="1"/>
      <c r="K3055" s="89" t="s">
        <v>4588</v>
      </c>
      <c r="L3055" s="89" t="str">
        <f>G108</f>
        <v>C1b1a2b</v>
      </c>
      <c r="M3055" s="89" t="s">
        <v>4589</v>
      </c>
      <c r="N3055" s="89" t="s">
        <v>4590</v>
      </c>
      <c r="O3055" s="92">
        <v>1.7453495E7</v>
      </c>
      <c r="P3055" s="92">
        <v>1.5341615E7</v>
      </c>
      <c r="Q3055" s="89" t="s">
        <v>864</v>
      </c>
      <c r="AF3055" s="1"/>
      <c r="AG3055" s="1"/>
    </row>
    <row r="3056" ht="15.75" customHeight="1">
      <c r="A3056" s="1"/>
      <c r="B3056" s="1"/>
      <c r="C3056" s="1"/>
      <c r="D3056" s="1"/>
      <c r="E3056" s="1"/>
      <c r="F3056" s="1"/>
      <c r="G3056" s="1"/>
      <c r="H3056" s="1"/>
      <c r="I3056" s="1"/>
      <c r="J3056" s="1"/>
      <c r="K3056" s="89" t="s">
        <v>4589</v>
      </c>
      <c r="L3056" s="89" t="str">
        <f>G108</f>
        <v>C1b1a2b</v>
      </c>
      <c r="M3056" s="89" t="s">
        <v>4588</v>
      </c>
      <c r="N3056" s="89" t="s">
        <v>4590</v>
      </c>
      <c r="O3056" s="92">
        <v>1.7453495E7</v>
      </c>
      <c r="P3056" s="92">
        <v>1.5341615E7</v>
      </c>
      <c r="Q3056" s="89" t="s">
        <v>864</v>
      </c>
      <c r="AF3056" s="1"/>
      <c r="AG3056" s="1"/>
    </row>
    <row r="3057" ht="15.75" customHeight="1">
      <c r="A3057" s="1"/>
      <c r="B3057" s="1"/>
      <c r="C3057" s="1"/>
      <c r="D3057" s="1"/>
      <c r="E3057" s="1"/>
      <c r="F3057" s="1"/>
      <c r="G3057" s="1"/>
      <c r="H3057" s="1"/>
      <c r="I3057" s="1"/>
      <c r="J3057" s="1"/>
      <c r="K3057" s="89" t="s">
        <v>4591</v>
      </c>
      <c r="L3057" s="89" t="str">
        <f>G108</f>
        <v>C1b1a2b</v>
      </c>
      <c r="M3057" s="89" t="s">
        <v>4592</v>
      </c>
      <c r="N3057" s="89" t="s">
        <v>4593</v>
      </c>
      <c r="O3057" s="92">
        <v>1.7478356E7</v>
      </c>
      <c r="P3057" s="92">
        <v>1.5366476E7</v>
      </c>
      <c r="Q3057" s="89" t="s">
        <v>810</v>
      </c>
      <c r="AF3057" s="1"/>
      <c r="AG3057" s="1"/>
    </row>
    <row r="3058" ht="15.75" customHeight="1">
      <c r="A3058" s="1"/>
      <c r="B3058" s="1"/>
      <c r="C3058" s="1"/>
      <c r="D3058" s="1"/>
      <c r="E3058" s="1"/>
      <c r="F3058" s="1"/>
      <c r="G3058" s="1"/>
      <c r="H3058" s="1"/>
      <c r="I3058" s="1"/>
      <c r="J3058" s="1"/>
      <c r="K3058" s="89" t="s">
        <v>4592</v>
      </c>
      <c r="L3058" s="89" t="str">
        <f>G108</f>
        <v>C1b1a2b</v>
      </c>
      <c r="M3058" s="89" t="s">
        <v>4591</v>
      </c>
      <c r="N3058" s="89" t="s">
        <v>4593</v>
      </c>
      <c r="O3058" s="92">
        <v>1.7478356E7</v>
      </c>
      <c r="P3058" s="92">
        <v>1.5366476E7</v>
      </c>
      <c r="Q3058" s="89" t="s">
        <v>810</v>
      </c>
      <c r="AF3058" s="1"/>
      <c r="AG3058" s="1"/>
    </row>
    <row r="3059" ht="15.75" customHeight="1">
      <c r="A3059" s="1"/>
      <c r="B3059" s="1"/>
      <c r="C3059" s="1"/>
      <c r="D3059" s="1"/>
      <c r="E3059" s="1"/>
      <c r="F3059" s="1"/>
      <c r="G3059" s="1"/>
      <c r="H3059" s="1"/>
      <c r="I3059" s="1"/>
      <c r="J3059" s="1"/>
      <c r="K3059" s="89" t="s">
        <v>4594</v>
      </c>
      <c r="L3059" s="89" t="str">
        <f>G108</f>
        <v>C1b1a2b</v>
      </c>
      <c r="M3059" s="89" t="s">
        <v>4595</v>
      </c>
      <c r="N3059" s="89" t="s">
        <v>4596</v>
      </c>
      <c r="O3059" s="92">
        <v>1.7513002E7</v>
      </c>
      <c r="P3059" s="92">
        <v>1.5401122E7</v>
      </c>
      <c r="Q3059" s="89" t="s">
        <v>802</v>
      </c>
      <c r="AF3059" s="1"/>
      <c r="AG3059" s="1"/>
    </row>
    <row r="3060" ht="15.75" customHeight="1">
      <c r="A3060" s="1"/>
      <c r="B3060" s="1"/>
      <c r="C3060" s="1"/>
      <c r="D3060" s="1"/>
      <c r="E3060" s="1"/>
      <c r="F3060" s="1"/>
      <c r="G3060" s="1"/>
      <c r="H3060" s="1"/>
      <c r="I3060" s="1"/>
      <c r="J3060" s="1"/>
      <c r="K3060" s="89" t="s">
        <v>4595</v>
      </c>
      <c r="L3060" s="89" t="str">
        <f>G108</f>
        <v>C1b1a2b</v>
      </c>
      <c r="M3060" s="89" t="s">
        <v>4594</v>
      </c>
      <c r="N3060" s="89" t="s">
        <v>4596</v>
      </c>
      <c r="O3060" s="92">
        <v>1.7513002E7</v>
      </c>
      <c r="P3060" s="92">
        <v>1.5401122E7</v>
      </c>
      <c r="Q3060" s="89" t="s">
        <v>802</v>
      </c>
      <c r="AF3060" s="1"/>
      <c r="AG3060" s="1"/>
    </row>
    <row r="3061" ht="15.75" customHeight="1">
      <c r="A3061" s="1"/>
      <c r="B3061" s="1"/>
      <c r="C3061" s="1"/>
      <c r="D3061" s="1"/>
      <c r="E3061" s="1"/>
      <c r="F3061" s="1"/>
      <c r="G3061" s="1"/>
      <c r="H3061" s="1"/>
      <c r="I3061" s="1"/>
      <c r="J3061" s="1"/>
      <c r="K3061" s="89" t="s">
        <v>4597</v>
      </c>
      <c r="L3061" s="89" t="str">
        <f>G108</f>
        <v>C1b1a2b</v>
      </c>
      <c r="M3061" s="89" t="s">
        <v>4598</v>
      </c>
      <c r="N3061" s="89" t="s">
        <v>4599</v>
      </c>
      <c r="O3061" s="92">
        <v>1.7584935E7</v>
      </c>
      <c r="P3061" s="92">
        <v>1.5473055E7</v>
      </c>
      <c r="Q3061" s="89" t="s">
        <v>864</v>
      </c>
      <c r="AF3061" s="1"/>
      <c r="AG3061" s="1"/>
    </row>
    <row r="3062" ht="15.75" customHeight="1">
      <c r="A3062" s="1"/>
      <c r="B3062" s="1"/>
      <c r="C3062" s="1"/>
      <c r="D3062" s="1"/>
      <c r="E3062" s="1"/>
      <c r="F3062" s="1"/>
      <c r="G3062" s="1"/>
      <c r="H3062" s="1"/>
      <c r="I3062" s="1"/>
      <c r="J3062" s="1"/>
      <c r="K3062" s="89" t="s">
        <v>4598</v>
      </c>
      <c r="L3062" s="89" t="str">
        <f>G108</f>
        <v>C1b1a2b</v>
      </c>
      <c r="M3062" s="89" t="s">
        <v>4597</v>
      </c>
      <c r="N3062" s="89" t="s">
        <v>4599</v>
      </c>
      <c r="O3062" s="92">
        <v>1.7584935E7</v>
      </c>
      <c r="P3062" s="92">
        <v>1.5473055E7</v>
      </c>
      <c r="Q3062" s="89" t="s">
        <v>864</v>
      </c>
      <c r="AF3062" s="1"/>
      <c r="AG3062" s="1"/>
    </row>
    <row r="3063" ht="15.75" customHeight="1">
      <c r="A3063" s="1"/>
      <c r="B3063" s="1"/>
      <c r="C3063" s="1"/>
      <c r="D3063" s="1"/>
      <c r="E3063" s="1"/>
      <c r="F3063" s="1"/>
      <c r="G3063" s="1"/>
      <c r="H3063" s="1"/>
      <c r="I3063" s="1"/>
      <c r="J3063" s="1"/>
      <c r="K3063" s="89" t="s">
        <v>4600</v>
      </c>
      <c r="L3063" s="89" t="str">
        <f>G108</f>
        <v>C1b1a2b</v>
      </c>
      <c r="M3063" s="89" t="s">
        <v>4601</v>
      </c>
      <c r="N3063" s="89" t="s">
        <v>4602</v>
      </c>
      <c r="O3063" s="92">
        <v>1.7587184E7</v>
      </c>
      <c r="P3063" s="92">
        <v>1.5475304E7</v>
      </c>
      <c r="Q3063" s="89" t="s">
        <v>802</v>
      </c>
      <c r="AF3063" s="1"/>
      <c r="AG3063" s="1"/>
    </row>
    <row r="3064" ht="15.75" customHeight="1">
      <c r="A3064" s="1"/>
      <c r="B3064" s="1"/>
      <c r="C3064" s="1"/>
      <c r="D3064" s="1"/>
      <c r="E3064" s="1"/>
      <c r="F3064" s="1"/>
      <c r="G3064" s="1"/>
      <c r="H3064" s="1"/>
      <c r="I3064" s="1"/>
      <c r="J3064" s="1"/>
      <c r="K3064" s="89" t="s">
        <v>4601</v>
      </c>
      <c r="L3064" s="89" t="str">
        <f>G108</f>
        <v>C1b1a2b</v>
      </c>
      <c r="M3064" s="89" t="s">
        <v>4600</v>
      </c>
      <c r="N3064" s="89" t="s">
        <v>4602</v>
      </c>
      <c r="O3064" s="92">
        <v>1.7587184E7</v>
      </c>
      <c r="P3064" s="92">
        <v>1.5475304E7</v>
      </c>
      <c r="Q3064" s="89" t="s">
        <v>802</v>
      </c>
      <c r="AF3064" s="1"/>
      <c r="AG3064" s="1"/>
    </row>
    <row r="3065" ht="15.75" customHeight="1">
      <c r="A3065" s="1"/>
      <c r="B3065" s="1"/>
      <c r="C3065" s="1"/>
      <c r="D3065" s="1"/>
      <c r="E3065" s="1"/>
      <c r="F3065" s="1"/>
      <c r="G3065" s="1"/>
      <c r="H3065" s="1"/>
      <c r="I3065" s="1"/>
      <c r="J3065" s="1"/>
      <c r="K3065" s="89" t="s">
        <v>4603</v>
      </c>
      <c r="L3065" s="89" t="str">
        <f>G108</f>
        <v>C1b1a2b</v>
      </c>
      <c r="M3065" s="89" t="s">
        <v>4604</v>
      </c>
      <c r="N3065" s="89" t="s">
        <v>4605</v>
      </c>
      <c r="O3065" s="92">
        <v>1.7588114E7</v>
      </c>
      <c r="P3065" s="92">
        <v>1.5476234E7</v>
      </c>
      <c r="Q3065" s="89" t="s">
        <v>886</v>
      </c>
      <c r="AF3065" s="1"/>
      <c r="AG3065" s="1"/>
    </row>
    <row r="3066" ht="15.75" customHeight="1">
      <c r="A3066" s="1"/>
      <c r="B3066" s="1"/>
      <c r="C3066" s="1"/>
      <c r="D3066" s="1"/>
      <c r="E3066" s="1"/>
      <c r="F3066" s="1"/>
      <c r="G3066" s="1"/>
      <c r="H3066" s="1"/>
      <c r="I3066" s="1"/>
      <c r="J3066" s="1"/>
      <c r="K3066" s="89" t="s">
        <v>4604</v>
      </c>
      <c r="L3066" s="89" t="str">
        <f>G108</f>
        <v>C1b1a2b</v>
      </c>
      <c r="M3066" s="89" t="s">
        <v>4603</v>
      </c>
      <c r="N3066" s="89" t="s">
        <v>4605</v>
      </c>
      <c r="O3066" s="92">
        <v>1.7588114E7</v>
      </c>
      <c r="P3066" s="92">
        <v>1.5476234E7</v>
      </c>
      <c r="Q3066" s="89" t="s">
        <v>886</v>
      </c>
      <c r="AF3066" s="1"/>
      <c r="AG3066" s="1"/>
    </row>
    <row r="3067" ht="15.75" customHeight="1">
      <c r="A3067" s="1"/>
      <c r="B3067" s="1"/>
      <c r="C3067" s="1"/>
      <c r="D3067" s="1"/>
      <c r="E3067" s="1"/>
      <c r="F3067" s="1"/>
      <c r="G3067" s="1"/>
      <c r="H3067" s="1"/>
      <c r="I3067" s="1"/>
      <c r="J3067" s="1"/>
      <c r="K3067" s="89" t="s">
        <v>4606</v>
      </c>
      <c r="L3067" s="89" t="str">
        <f>G108</f>
        <v>C1b1a2b</v>
      </c>
      <c r="M3067" s="89" t="s">
        <v>4607</v>
      </c>
      <c r="N3067" s="89" t="s">
        <v>4608</v>
      </c>
      <c r="O3067" s="92">
        <v>1.7610169E7</v>
      </c>
      <c r="P3067" s="92">
        <v>1.5498289E7</v>
      </c>
      <c r="Q3067" s="89" t="s">
        <v>838</v>
      </c>
      <c r="AF3067" s="1"/>
      <c r="AG3067" s="1"/>
    </row>
    <row r="3068" ht="15.75" customHeight="1">
      <c r="A3068" s="1"/>
      <c r="B3068" s="1"/>
      <c r="C3068" s="1"/>
      <c r="D3068" s="1"/>
      <c r="E3068" s="1"/>
      <c r="F3068" s="1"/>
      <c r="G3068" s="1"/>
      <c r="H3068" s="1"/>
      <c r="I3068" s="1"/>
      <c r="J3068" s="1"/>
      <c r="K3068" s="89" t="s">
        <v>4607</v>
      </c>
      <c r="L3068" s="89" t="str">
        <f>G108</f>
        <v>C1b1a2b</v>
      </c>
      <c r="M3068" s="89" t="s">
        <v>4606</v>
      </c>
      <c r="N3068" s="89" t="s">
        <v>4608</v>
      </c>
      <c r="O3068" s="92">
        <v>1.7610169E7</v>
      </c>
      <c r="P3068" s="92">
        <v>1.5498289E7</v>
      </c>
      <c r="Q3068" s="89" t="s">
        <v>838</v>
      </c>
      <c r="AF3068" s="1"/>
      <c r="AG3068" s="1"/>
    </row>
    <row r="3069" ht="15.75" customHeight="1">
      <c r="A3069" s="1"/>
      <c r="B3069" s="1"/>
      <c r="C3069" s="1"/>
      <c r="D3069" s="1"/>
      <c r="E3069" s="1"/>
      <c r="F3069" s="1"/>
      <c r="G3069" s="1"/>
      <c r="H3069" s="1"/>
      <c r="I3069" s="1"/>
      <c r="J3069" s="1"/>
      <c r="K3069" s="89" t="s">
        <v>4609</v>
      </c>
      <c r="L3069" s="89" t="str">
        <f>G108</f>
        <v>C1b1a2b</v>
      </c>
      <c r="M3069" s="89" t="s">
        <v>4610</v>
      </c>
      <c r="N3069" s="89" t="s">
        <v>4611</v>
      </c>
      <c r="O3069" s="92">
        <v>1.7623037E7</v>
      </c>
      <c r="P3069" s="92">
        <v>1.5511157E7</v>
      </c>
      <c r="Q3069" s="89" t="s">
        <v>838</v>
      </c>
      <c r="AF3069" s="1"/>
      <c r="AG3069" s="1"/>
    </row>
    <row r="3070" ht="15.75" customHeight="1">
      <c r="A3070" s="1"/>
      <c r="B3070" s="1"/>
      <c r="C3070" s="1"/>
      <c r="D3070" s="1"/>
      <c r="E3070" s="1"/>
      <c r="F3070" s="1"/>
      <c r="G3070" s="1"/>
      <c r="H3070" s="1"/>
      <c r="I3070" s="1"/>
      <c r="J3070" s="1"/>
      <c r="K3070" s="89" t="s">
        <v>4610</v>
      </c>
      <c r="L3070" s="89" t="str">
        <f>G108</f>
        <v>C1b1a2b</v>
      </c>
      <c r="M3070" s="89" t="s">
        <v>4609</v>
      </c>
      <c r="N3070" s="89" t="s">
        <v>4611</v>
      </c>
      <c r="O3070" s="92">
        <v>1.7623037E7</v>
      </c>
      <c r="P3070" s="92">
        <v>1.5511157E7</v>
      </c>
      <c r="Q3070" s="89" t="s">
        <v>838</v>
      </c>
      <c r="AF3070" s="1"/>
      <c r="AG3070" s="1"/>
    </row>
    <row r="3071" ht="15.75" customHeight="1">
      <c r="A3071" s="1"/>
      <c r="B3071" s="1"/>
      <c r="C3071" s="1"/>
      <c r="D3071" s="1"/>
      <c r="E3071" s="1"/>
      <c r="F3071" s="1"/>
      <c r="G3071" s="1"/>
      <c r="H3071" s="1"/>
      <c r="I3071" s="1"/>
      <c r="J3071" s="1"/>
      <c r="K3071" s="89" t="s">
        <v>4612</v>
      </c>
      <c r="L3071" s="89" t="str">
        <f>G108</f>
        <v>C1b1a2b</v>
      </c>
      <c r="M3071" s="89" t="s">
        <v>4613</v>
      </c>
      <c r="N3071" s="89" t="s">
        <v>4614</v>
      </c>
      <c r="O3071" s="89">
        <v>1.7645021E7</v>
      </c>
      <c r="P3071" s="89">
        <v>1.5533141E7</v>
      </c>
      <c r="Q3071" s="89" t="s">
        <v>912</v>
      </c>
      <c r="AF3071" s="1"/>
      <c r="AG3071" s="1"/>
    </row>
    <row r="3072" ht="15.75" customHeight="1">
      <c r="A3072" s="1"/>
      <c r="B3072" s="1"/>
      <c r="C3072" s="1"/>
      <c r="D3072" s="1"/>
      <c r="E3072" s="1"/>
      <c r="F3072" s="1"/>
      <c r="G3072" s="1"/>
      <c r="H3072" s="1"/>
      <c r="I3072" s="1"/>
      <c r="J3072" s="1"/>
      <c r="K3072" s="89" t="s">
        <v>4613</v>
      </c>
      <c r="L3072" s="89" t="str">
        <f>G108</f>
        <v>C1b1a2b</v>
      </c>
      <c r="M3072" s="89" t="s">
        <v>4612</v>
      </c>
      <c r="N3072" s="89" t="s">
        <v>4614</v>
      </c>
      <c r="O3072" s="89">
        <v>1.7645021E7</v>
      </c>
      <c r="P3072" s="89">
        <v>1.5533141E7</v>
      </c>
      <c r="Q3072" s="89" t="s">
        <v>912</v>
      </c>
      <c r="AF3072" s="1"/>
      <c r="AG3072" s="1"/>
    </row>
    <row r="3073" ht="15.75" customHeight="1">
      <c r="A3073" s="1"/>
      <c r="B3073" s="1"/>
      <c r="C3073" s="1"/>
      <c r="D3073" s="1"/>
      <c r="E3073" s="1"/>
      <c r="F3073" s="1"/>
      <c r="G3073" s="1"/>
      <c r="H3073" s="1"/>
      <c r="I3073" s="1"/>
      <c r="J3073" s="1"/>
      <c r="K3073" s="89" t="s">
        <v>4615</v>
      </c>
      <c r="L3073" s="89" t="str">
        <f>G108</f>
        <v>C1b1a2b</v>
      </c>
      <c r="M3073" s="89" t="s">
        <v>4616</v>
      </c>
      <c r="N3073" s="89" t="s">
        <v>4617</v>
      </c>
      <c r="O3073" s="92">
        <v>1.7655987E7</v>
      </c>
      <c r="P3073" s="92">
        <v>1.5544107E7</v>
      </c>
      <c r="Q3073" s="89" t="s">
        <v>822</v>
      </c>
      <c r="AF3073" s="1"/>
      <c r="AG3073" s="1"/>
    </row>
    <row r="3074" ht="15.75" customHeight="1">
      <c r="A3074" s="1"/>
      <c r="B3074" s="1"/>
      <c r="C3074" s="1"/>
      <c r="D3074" s="1"/>
      <c r="E3074" s="1"/>
      <c r="F3074" s="1"/>
      <c r="G3074" s="1"/>
      <c r="H3074" s="1"/>
      <c r="I3074" s="1"/>
      <c r="J3074" s="1"/>
      <c r="K3074" s="89" t="s">
        <v>4616</v>
      </c>
      <c r="L3074" s="89" t="str">
        <f>G108</f>
        <v>C1b1a2b</v>
      </c>
      <c r="M3074" s="89" t="s">
        <v>4615</v>
      </c>
      <c r="N3074" s="89" t="s">
        <v>4617</v>
      </c>
      <c r="O3074" s="92">
        <v>1.7655987E7</v>
      </c>
      <c r="P3074" s="92">
        <v>1.5544107E7</v>
      </c>
      <c r="Q3074" s="89" t="s">
        <v>822</v>
      </c>
      <c r="AF3074" s="1"/>
      <c r="AG3074" s="1"/>
    </row>
    <row r="3075" ht="15.75" customHeight="1">
      <c r="A3075" s="1"/>
      <c r="B3075" s="1"/>
      <c r="C3075" s="1"/>
      <c r="D3075" s="1"/>
      <c r="E3075" s="1"/>
      <c r="F3075" s="1"/>
      <c r="G3075" s="1"/>
      <c r="H3075" s="1"/>
      <c r="I3075" s="1"/>
      <c r="J3075" s="1"/>
      <c r="K3075" s="89" t="s">
        <v>4618</v>
      </c>
      <c r="L3075" s="89" t="str">
        <f>G108</f>
        <v>C1b1a2b</v>
      </c>
      <c r="M3075" s="89" t="s">
        <v>4619</v>
      </c>
      <c r="N3075" s="89" t="s">
        <v>4620</v>
      </c>
      <c r="O3075" s="92">
        <v>1.7656418E7</v>
      </c>
      <c r="P3075" s="92">
        <v>1.5544538E7</v>
      </c>
      <c r="Q3075" s="89" t="s">
        <v>822</v>
      </c>
      <c r="AF3075" s="1"/>
      <c r="AG3075" s="1"/>
    </row>
    <row r="3076" ht="15.75" customHeight="1">
      <c r="A3076" s="1"/>
      <c r="B3076" s="1"/>
      <c r="C3076" s="1"/>
      <c r="D3076" s="1"/>
      <c r="E3076" s="1"/>
      <c r="F3076" s="1"/>
      <c r="G3076" s="1"/>
      <c r="H3076" s="1"/>
      <c r="I3076" s="1"/>
      <c r="J3076" s="1"/>
      <c r="K3076" s="89" t="s">
        <v>4619</v>
      </c>
      <c r="L3076" s="89" t="str">
        <f>G108</f>
        <v>C1b1a2b</v>
      </c>
      <c r="M3076" s="89" t="s">
        <v>4618</v>
      </c>
      <c r="N3076" s="89" t="s">
        <v>4620</v>
      </c>
      <c r="O3076" s="92">
        <v>1.7656418E7</v>
      </c>
      <c r="P3076" s="92">
        <v>1.5544538E7</v>
      </c>
      <c r="Q3076" s="89" t="s">
        <v>822</v>
      </c>
      <c r="AF3076" s="1"/>
      <c r="AG3076" s="1"/>
    </row>
    <row r="3077" ht="15.75" customHeight="1">
      <c r="A3077" s="1"/>
      <c r="B3077" s="1"/>
      <c r="C3077" s="1"/>
      <c r="D3077" s="1"/>
      <c r="E3077" s="1"/>
      <c r="F3077" s="1"/>
      <c r="G3077" s="1"/>
      <c r="H3077" s="1"/>
      <c r="I3077" s="1"/>
      <c r="J3077" s="1"/>
      <c r="K3077" s="89" t="s">
        <v>4621</v>
      </c>
      <c r="L3077" s="89" t="str">
        <f>G108</f>
        <v>C1b1a2b</v>
      </c>
      <c r="M3077" s="89" t="s">
        <v>4622</v>
      </c>
      <c r="N3077" s="89" t="s">
        <v>4623</v>
      </c>
      <c r="O3077" s="92">
        <v>1.7759714E7</v>
      </c>
      <c r="P3077" s="92">
        <v>1.5647834E7</v>
      </c>
      <c r="Q3077" s="89" t="s">
        <v>838</v>
      </c>
      <c r="AF3077" s="1"/>
      <c r="AG3077" s="1"/>
    </row>
    <row r="3078" ht="15.75" customHeight="1">
      <c r="A3078" s="1"/>
      <c r="B3078" s="1"/>
      <c r="C3078" s="1"/>
      <c r="D3078" s="1"/>
      <c r="E3078" s="1"/>
      <c r="F3078" s="1"/>
      <c r="G3078" s="1"/>
      <c r="H3078" s="1"/>
      <c r="I3078" s="1"/>
      <c r="J3078" s="1"/>
      <c r="K3078" s="89" t="s">
        <v>4622</v>
      </c>
      <c r="L3078" s="89" t="str">
        <f>G108</f>
        <v>C1b1a2b</v>
      </c>
      <c r="M3078" s="89" t="s">
        <v>4621</v>
      </c>
      <c r="N3078" s="89" t="s">
        <v>4623</v>
      </c>
      <c r="O3078" s="92">
        <v>1.7759714E7</v>
      </c>
      <c r="P3078" s="92">
        <v>1.5647834E7</v>
      </c>
      <c r="Q3078" s="89" t="s">
        <v>838</v>
      </c>
      <c r="AF3078" s="1"/>
      <c r="AG3078" s="1"/>
    </row>
    <row r="3079" ht="15.75" customHeight="1">
      <c r="A3079" s="1"/>
      <c r="B3079" s="1"/>
      <c r="C3079" s="1"/>
      <c r="D3079" s="1"/>
      <c r="E3079" s="1"/>
      <c r="F3079" s="1"/>
      <c r="G3079" s="1"/>
      <c r="H3079" s="1"/>
      <c r="I3079" s="1"/>
      <c r="J3079" s="1"/>
      <c r="K3079" s="89" t="s">
        <v>4624</v>
      </c>
      <c r="L3079" s="89" t="str">
        <f>G108</f>
        <v>C1b1a2b</v>
      </c>
      <c r="M3079" s="89" t="s">
        <v>4625</v>
      </c>
      <c r="N3079" s="89" t="s">
        <v>4626</v>
      </c>
      <c r="O3079" s="92">
        <v>1.7791826E7</v>
      </c>
      <c r="P3079" s="92">
        <v>1.5679946E7</v>
      </c>
      <c r="Q3079" s="89" t="s">
        <v>810</v>
      </c>
      <c r="AF3079" s="1"/>
      <c r="AG3079" s="1"/>
    </row>
    <row r="3080" ht="15.75" customHeight="1">
      <c r="A3080" s="1"/>
      <c r="B3080" s="1"/>
      <c r="C3080" s="1"/>
      <c r="D3080" s="1"/>
      <c r="E3080" s="1"/>
      <c r="F3080" s="1"/>
      <c r="G3080" s="1"/>
      <c r="H3080" s="1"/>
      <c r="I3080" s="1"/>
      <c r="J3080" s="1"/>
      <c r="K3080" s="89" t="s">
        <v>4625</v>
      </c>
      <c r="L3080" s="89" t="str">
        <f>G108</f>
        <v>C1b1a2b</v>
      </c>
      <c r="M3080" s="89" t="s">
        <v>4624</v>
      </c>
      <c r="N3080" s="89" t="s">
        <v>4626</v>
      </c>
      <c r="O3080" s="92">
        <v>1.7791826E7</v>
      </c>
      <c r="P3080" s="92">
        <v>1.5679946E7</v>
      </c>
      <c r="Q3080" s="89" t="s">
        <v>810</v>
      </c>
      <c r="AF3080" s="1"/>
      <c r="AG3080" s="1"/>
    </row>
    <row r="3081" ht="15.75" customHeight="1">
      <c r="A3081" s="1"/>
      <c r="B3081" s="1"/>
      <c r="C3081" s="1"/>
      <c r="D3081" s="1"/>
      <c r="E3081" s="1"/>
      <c r="F3081" s="1"/>
      <c r="G3081" s="1"/>
      <c r="H3081" s="1"/>
      <c r="I3081" s="1"/>
      <c r="J3081" s="1"/>
      <c r="K3081" s="89" t="s">
        <v>4627</v>
      </c>
      <c r="L3081" s="89" t="str">
        <f>G108</f>
        <v>C1b1a2b</v>
      </c>
      <c r="M3081" s="89" t="s">
        <v>4628</v>
      </c>
      <c r="N3081" s="89" t="s">
        <v>4629</v>
      </c>
      <c r="O3081" s="92">
        <v>1.7792249E7</v>
      </c>
      <c r="P3081" s="92">
        <v>1.5680369E7</v>
      </c>
      <c r="Q3081" s="89" t="s">
        <v>810</v>
      </c>
      <c r="AF3081" s="1"/>
      <c r="AG3081" s="1"/>
    </row>
    <row r="3082" ht="15.75" customHeight="1">
      <c r="A3082" s="1"/>
      <c r="B3082" s="1"/>
      <c r="C3082" s="1"/>
      <c r="D3082" s="1"/>
      <c r="E3082" s="1"/>
      <c r="F3082" s="1"/>
      <c r="G3082" s="1"/>
      <c r="H3082" s="1"/>
      <c r="I3082" s="1"/>
      <c r="J3082" s="1"/>
      <c r="K3082" s="89" t="s">
        <v>4628</v>
      </c>
      <c r="L3082" s="89" t="str">
        <f>G108</f>
        <v>C1b1a2b</v>
      </c>
      <c r="M3082" s="89" t="s">
        <v>4627</v>
      </c>
      <c r="N3082" s="89" t="s">
        <v>4629</v>
      </c>
      <c r="O3082" s="92">
        <v>1.7792249E7</v>
      </c>
      <c r="P3082" s="92">
        <v>1.5680369E7</v>
      </c>
      <c r="Q3082" s="89" t="s">
        <v>810</v>
      </c>
      <c r="AF3082" s="1"/>
      <c r="AG3082" s="1"/>
    </row>
    <row r="3083" ht="15.75" customHeight="1">
      <c r="A3083" s="1"/>
      <c r="B3083" s="1"/>
      <c r="C3083" s="1"/>
      <c r="D3083" s="1"/>
      <c r="E3083" s="1"/>
      <c r="F3083" s="1"/>
      <c r="G3083" s="1"/>
      <c r="H3083" s="1"/>
      <c r="I3083" s="1"/>
      <c r="J3083" s="1"/>
      <c r="K3083" s="89" t="s">
        <v>4630</v>
      </c>
      <c r="L3083" s="89" t="str">
        <f>G108</f>
        <v>C1b1a2b</v>
      </c>
      <c r="M3083" s="89" t="s">
        <v>4631</v>
      </c>
      <c r="N3083" s="89" t="s">
        <v>4632</v>
      </c>
      <c r="O3083" s="92">
        <v>1.7813484E7</v>
      </c>
      <c r="P3083" s="92">
        <v>1.5701604E7</v>
      </c>
      <c r="Q3083" s="89" t="s">
        <v>845</v>
      </c>
      <c r="AF3083" s="1"/>
      <c r="AG3083" s="1"/>
    </row>
    <row r="3084" ht="15.75" customHeight="1">
      <c r="A3084" s="1"/>
      <c r="B3084" s="1"/>
      <c r="C3084" s="1"/>
      <c r="D3084" s="1"/>
      <c r="E3084" s="1"/>
      <c r="F3084" s="1"/>
      <c r="G3084" s="1"/>
      <c r="H3084" s="1"/>
      <c r="I3084" s="1"/>
      <c r="J3084" s="1"/>
      <c r="K3084" s="89" t="s">
        <v>4631</v>
      </c>
      <c r="L3084" s="89" t="str">
        <f>G108</f>
        <v>C1b1a2b</v>
      </c>
      <c r="M3084" s="89" t="s">
        <v>4630</v>
      </c>
      <c r="N3084" s="89" t="s">
        <v>4632</v>
      </c>
      <c r="O3084" s="92">
        <v>1.7813484E7</v>
      </c>
      <c r="P3084" s="92">
        <v>1.5701604E7</v>
      </c>
      <c r="Q3084" s="89" t="s">
        <v>845</v>
      </c>
      <c r="AF3084" s="1"/>
      <c r="AG3084" s="1"/>
    </row>
    <row r="3085" ht="15.75" customHeight="1">
      <c r="A3085" s="1"/>
      <c r="B3085" s="1"/>
      <c r="C3085" s="1"/>
      <c r="D3085" s="1"/>
      <c r="E3085" s="1"/>
      <c r="F3085" s="1"/>
      <c r="G3085" s="1"/>
      <c r="H3085" s="1"/>
      <c r="I3085" s="1"/>
      <c r="J3085" s="1"/>
      <c r="K3085" s="89" t="s">
        <v>4633</v>
      </c>
      <c r="L3085" s="89" t="str">
        <f>G108</f>
        <v>C1b1a2b</v>
      </c>
      <c r="M3085" s="89" t="s">
        <v>4634</v>
      </c>
      <c r="N3085" s="89" t="s">
        <v>4635</v>
      </c>
      <c r="O3085" s="92">
        <v>1.7833928E7</v>
      </c>
      <c r="P3085" s="92">
        <v>1.5722048E7</v>
      </c>
      <c r="Q3085" s="89" t="s">
        <v>802</v>
      </c>
      <c r="AF3085" s="1"/>
      <c r="AG3085" s="1"/>
    </row>
    <row r="3086" ht="15.75" customHeight="1">
      <c r="A3086" s="1"/>
      <c r="B3086" s="1"/>
      <c r="C3086" s="1"/>
      <c r="D3086" s="1"/>
      <c r="E3086" s="1"/>
      <c r="F3086" s="1"/>
      <c r="G3086" s="1"/>
      <c r="H3086" s="1"/>
      <c r="I3086" s="1"/>
      <c r="J3086" s="1"/>
      <c r="K3086" s="89" t="s">
        <v>4634</v>
      </c>
      <c r="L3086" s="89" t="str">
        <f>G108</f>
        <v>C1b1a2b</v>
      </c>
      <c r="M3086" s="89" t="s">
        <v>4633</v>
      </c>
      <c r="N3086" s="89" t="s">
        <v>4635</v>
      </c>
      <c r="O3086" s="92">
        <v>1.7833928E7</v>
      </c>
      <c r="P3086" s="92">
        <v>1.5722048E7</v>
      </c>
      <c r="Q3086" s="89" t="s">
        <v>802</v>
      </c>
      <c r="AF3086" s="1"/>
      <c r="AG3086" s="1"/>
    </row>
    <row r="3087" ht="15.75" customHeight="1">
      <c r="A3087" s="1"/>
      <c r="B3087" s="1"/>
      <c r="C3087" s="1"/>
      <c r="D3087" s="1"/>
      <c r="E3087" s="1"/>
      <c r="F3087" s="1"/>
      <c r="G3087" s="1"/>
      <c r="H3087" s="1"/>
      <c r="I3087" s="1"/>
      <c r="J3087" s="1"/>
      <c r="K3087" s="89" t="s">
        <v>4636</v>
      </c>
      <c r="L3087" s="89" t="str">
        <f>G108</f>
        <v>C1b1a2b</v>
      </c>
      <c r="M3087" s="89" t="s">
        <v>4637</v>
      </c>
      <c r="N3087" s="89" t="s">
        <v>4638</v>
      </c>
      <c r="O3087" s="92">
        <v>1.7840955E7</v>
      </c>
      <c r="P3087" s="92">
        <v>1.5729075E7</v>
      </c>
      <c r="Q3087" s="89" t="s">
        <v>802</v>
      </c>
      <c r="AF3087" s="1"/>
      <c r="AG3087" s="1"/>
    </row>
    <row r="3088" ht="15.75" customHeight="1">
      <c r="A3088" s="1"/>
      <c r="B3088" s="1"/>
      <c r="C3088" s="1"/>
      <c r="D3088" s="1"/>
      <c r="E3088" s="1"/>
      <c r="F3088" s="1"/>
      <c r="G3088" s="1"/>
      <c r="H3088" s="1"/>
      <c r="I3088" s="1"/>
      <c r="J3088" s="1"/>
      <c r="K3088" s="89" t="s">
        <v>4637</v>
      </c>
      <c r="L3088" s="89" t="str">
        <f>G108</f>
        <v>C1b1a2b</v>
      </c>
      <c r="M3088" s="89" t="s">
        <v>4636</v>
      </c>
      <c r="N3088" s="89" t="s">
        <v>4638</v>
      </c>
      <c r="O3088" s="92">
        <v>1.7840955E7</v>
      </c>
      <c r="P3088" s="92">
        <v>1.5729075E7</v>
      </c>
      <c r="Q3088" s="89" t="s">
        <v>802</v>
      </c>
      <c r="AF3088" s="1"/>
      <c r="AG3088" s="1"/>
    </row>
    <row r="3089" ht="15.75" customHeight="1">
      <c r="A3089" s="1"/>
      <c r="B3089" s="1"/>
      <c r="C3089" s="1"/>
      <c r="D3089" s="1"/>
      <c r="E3089" s="1"/>
      <c r="F3089" s="1"/>
      <c r="G3089" s="1"/>
      <c r="H3089" s="1"/>
      <c r="I3089" s="1"/>
      <c r="J3089" s="1"/>
      <c r="K3089" s="89" t="s">
        <v>4639</v>
      </c>
      <c r="L3089" s="89" t="str">
        <f>G108</f>
        <v>C1b1a2b</v>
      </c>
      <c r="M3089" s="89" t="s">
        <v>4640</v>
      </c>
      <c r="N3089" s="89" t="s">
        <v>4641</v>
      </c>
      <c r="O3089" s="92">
        <v>1.7842604E7</v>
      </c>
      <c r="P3089" s="92">
        <v>1.5730724E7</v>
      </c>
      <c r="Q3089" s="89" t="s">
        <v>838</v>
      </c>
      <c r="AF3089" s="1"/>
      <c r="AG3089" s="1"/>
    </row>
    <row r="3090" ht="15.75" customHeight="1">
      <c r="A3090" s="1"/>
      <c r="B3090" s="1"/>
      <c r="C3090" s="1"/>
      <c r="D3090" s="1"/>
      <c r="E3090" s="1"/>
      <c r="F3090" s="1"/>
      <c r="G3090" s="1"/>
      <c r="H3090" s="1"/>
      <c r="I3090" s="1"/>
      <c r="J3090" s="1"/>
      <c r="K3090" s="89" t="s">
        <v>4640</v>
      </c>
      <c r="L3090" s="89" t="str">
        <f>G108</f>
        <v>C1b1a2b</v>
      </c>
      <c r="M3090" s="89" t="s">
        <v>4639</v>
      </c>
      <c r="N3090" s="89" t="s">
        <v>4641</v>
      </c>
      <c r="O3090" s="92">
        <v>1.7842604E7</v>
      </c>
      <c r="P3090" s="92">
        <v>1.5730724E7</v>
      </c>
      <c r="Q3090" s="89" t="s">
        <v>838</v>
      </c>
      <c r="AF3090" s="1"/>
      <c r="AG3090" s="1"/>
    </row>
    <row r="3091" ht="15.75" customHeight="1">
      <c r="A3091" s="1"/>
      <c r="B3091" s="1"/>
      <c r="C3091" s="1"/>
      <c r="D3091" s="1"/>
      <c r="E3091" s="1"/>
      <c r="F3091" s="1"/>
      <c r="G3091" s="1"/>
      <c r="H3091" s="1"/>
      <c r="I3091" s="1"/>
      <c r="J3091" s="1"/>
      <c r="K3091" s="89" t="s">
        <v>4642</v>
      </c>
      <c r="L3091" s="89" t="str">
        <f>G108</f>
        <v>C1b1a2b</v>
      </c>
      <c r="M3091" s="89" t="s">
        <v>4643</v>
      </c>
      <c r="N3091" s="89" t="s">
        <v>4644</v>
      </c>
      <c r="O3091" s="92">
        <v>1.7844682E7</v>
      </c>
      <c r="P3091" s="92">
        <v>1.5732802E7</v>
      </c>
      <c r="Q3091" s="89" t="s">
        <v>838</v>
      </c>
      <c r="AF3091" s="1"/>
      <c r="AG3091" s="1"/>
    </row>
    <row r="3092" ht="15.75" customHeight="1">
      <c r="A3092" s="1"/>
      <c r="B3092" s="1"/>
      <c r="C3092" s="1"/>
      <c r="D3092" s="1"/>
      <c r="E3092" s="1"/>
      <c r="F3092" s="1"/>
      <c r="G3092" s="1"/>
      <c r="H3092" s="1"/>
      <c r="I3092" s="1"/>
      <c r="J3092" s="1"/>
      <c r="K3092" s="89" t="s">
        <v>4643</v>
      </c>
      <c r="L3092" s="89" t="str">
        <f>G108</f>
        <v>C1b1a2b</v>
      </c>
      <c r="M3092" s="89" t="s">
        <v>4642</v>
      </c>
      <c r="N3092" s="89" t="s">
        <v>4644</v>
      </c>
      <c r="O3092" s="92">
        <v>1.7844682E7</v>
      </c>
      <c r="P3092" s="92">
        <v>1.5732802E7</v>
      </c>
      <c r="Q3092" s="89" t="s">
        <v>838</v>
      </c>
      <c r="AF3092" s="1"/>
      <c r="AG3092" s="1"/>
    </row>
    <row r="3093" ht="15.75" customHeight="1">
      <c r="A3093" s="1"/>
      <c r="B3093" s="1"/>
      <c r="C3093" s="1"/>
      <c r="D3093" s="1"/>
      <c r="E3093" s="1"/>
      <c r="F3093" s="1"/>
      <c r="G3093" s="1"/>
      <c r="H3093" s="1"/>
      <c r="I3093" s="1"/>
      <c r="J3093" s="1"/>
      <c r="K3093" s="89" t="s">
        <v>4645</v>
      </c>
      <c r="L3093" s="89" t="str">
        <f>G108</f>
        <v>C1b1a2b</v>
      </c>
      <c r="M3093" s="89" t="s">
        <v>4646</v>
      </c>
      <c r="N3093" s="89" t="s">
        <v>4647</v>
      </c>
      <c r="O3093" s="92">
        <v>1.7854385E7</v>
      </c>
      <c r="P3093" s="92">
        <v>1.5742505E7</v>
      </c>
      <c r="Q3093" s="89" t="s">
        <v>879</v>
      </c>
      <c r="AF3093" s="1"/>
      <c r="AG3093" s="1"/>
    </row>
    <row r="3094" ht="15.75" customHeight="1">
      <c r="A3094" s="1"/>
      <c r="B3094" s="1"/>
      <c r="C3094" s="1"/>
      <c r="D3094" s="1"/>
      <c r="E3094" s="1"/>
      <c r="F3094" s="1"/>
      <c r="G3094" s="1"/>
      <c r="H3094" s="1"/>
      <c r="I3094" s="1"/>
      <c r="J3094" s="1"/>
      <c r="K3094" s="89" t="s">
        <v>4646</v>
      </c>
      <c r="L3094" s="89" t="str">
        <f>G108</f>
        <v>C1b1a2b</v>
      </c>
      <c r="M3094" s="89" t="s">
        <v>4645</v>
      </c>
      <c r="N3094" s="89" t="s">
        <v>4647</v>
      </c>
      <c r="O3094" s="92">
        <v>1.7854385E7</v>
      </c>
      <c r="P3094" s="92">
        <v>1.5742505E7</v>
      </c>
      <c r="Q3094" s="89" t="s">
        <v>879</v>
      </c>
      <c r="AF3094" s="1"/>
      <c r="AG3094" s="1"/>
    </row>
    <row r="3095" ht="15.75" customHeight="1">
      <c r="A3095" s="1"/>
      <c r="B3095" s="1"/>
      <c r="C3095" s="1"/>
      <c r="D3095" s="1"/>
      <c r="E3095" s="1"/>
      <c r="F3095" s="1"/>
      <c r="G3095" s="1"/>
      <c r="H3095" s="1"/>
      <c r="I3095" s="1"/>
      <c r="J3095" s="1"/>
      <c r="K3095" s="89" t="s">
        <v>4648</v>
      </c>
      <c r="L3095" s="89" t="str">
        <f>G108</f>
        <v>C1b1a2b</v>
      </c>
      <c r="M3095" s="89" t="s">
        <v>4649</v>
      </c>
      <c r="N3095" s="89" t="s">
        <v>4650</v>
      </c>
      <c r="O3095" s="92">
        <v>1.7866975E7</v>
      </c>
      <c r="P3095" s="92">
        <v>1.5755095E7</v>
      </c>
      <c r="Q3095" s="89" t="s">
        <v>879</v>
      </c>
      <c r="AF3095" s="1"/>
      <c r="AG3095" s="1"/>
    </row>
    <row r="3096" ht="15.75" customHeight="1">
      <c r="A3096" s="1"/>
      <c r="B3096" s="1"/>
      <c r="C3096" s="1"/>
      <c r="D3096" s="1"/>
      <c r="E3096" s="1"/>
      <c r="F3096" s="1"/>
      <c r="G3096" s="1"/>
      <c r="H3096" s="1"/>
      <c r="I3096" s="1"/>
      <c r="J3096" s="1"/>
      <c r="K3096" s="89" t="s">
        <v>4649</v>
      </c>
      <c r="L3096" s="89" t="str">
        <f>G108</f>
        <v>C1b1a2b</v>
      </c>
      <c r="M3096" s="89" t="s">
        <v>4648</v>
      </c>
      <c r="N3096" s="89" t="s">
        <v>4650</v>
      </c>
      <c r="O3096" s="92">
        <v>1.7866975E7</v>
      </c>
      <c r="P3096" s="92">
        <v>1.5755095E7</v>
      </c>
      <c r="Q3096" s="89" t="s">
        <v>879</v>
      </c>
      <c r="AF3096" s="1"/>
      <c r="AG3096" s="1"/>
    </row>
    <row r="3097" ht="15.75" customHeight="1">
      <c r="A3097" s="1"/>
      <c r="B3097" s="1"/>
      <c r="C3097" s="1"/>
      <c r="D3097" s="1"/>
      <c r="E3097" s="1"/>
      <c r="F3097" s="1"/>
      <c r="G3097" s="1"/>
      <c r="H3097" s="1"/>
      <c r="I3097" s="1"/>
      <c r="J3097" s="1"/>
      <c r="K3097" s="89" t="s">
        <v>4651</v>
      </c>
      <c r="L3097" s="89" t="str">
        <f>G108</f>
        <v>C1b1a2b</v>
      </c>
      <c r="M3097" s="89" t="s">
        <v>4652</v>
      </c>
      <c r="N3097" s="89" t="s">
        <v>4653</v>
      </c>
      <c r="O3097" s="92">
        <v>1.7868566E7</v>
      </c>
      <c r="P3097" s="92">
        <v>1.5756686E7</v>
      </c>
      <c r="Q3097" s="89" t="s">
        <v>912</v>
      </c>
      <c r="AF3097" s="1"/>
      <c r="AG3097" s="1"/>
    </row>
    <row r="3098" ht="15.75" customHeight="1">
      <c r="A3098" s="1"/>
      <c r="B3098" s="1"/>
      <c r="C3098" s="1"/>
      <c r="D3098" s="1"/>
      <c r="E3098" s="1"/>
      <c r="F3098" s="1"/>
      <c r="G3098" s="1"/>
      <c r="H3098" s="1"/>
      <c r="I3098" s="1"/>
      <c r="J3098" s="1"/>
      <c r="K3098" s="89" t="s">
        <v>4652</v>
      </c>
      <c r="L3098" s="89" t="str">
        <f>G108</f>
        <v>C1b1a2b</v>
      </c>
      <c r="M3098" s="89" t="s">
        <v>4651</v>
      </c>
      <c r="N3098" s="89" t="s">
        <v>4653</v>
      </c>
      <c r="O3098" s="92">
        <v>1.7868566E7</v>
      </c>
      <c r="P3098" s="92">
        <v>1.5756686E7</v>
      </c>
      <c r="Q3098" s="89" t="s">
        <v>912</v>
      </c>
      <c r="AF3098" s="1"/>
      <c r="AG3098" s="1"/>
    </row>
    <row r="3099" ht="15.75" customHeight="1">
      <c r="A3099" s="1"/>
      <c r="B3099" s="1"/>
      <c r="C3099" s="1"/>
      <c r="D3099" s="1"/>
      <c r="E3099" s="1"/>
      <c r="F3099" s="1"/>
      <c r="G3099" s="1"/>
      <c r="H3099" s="1"/>
      <c r="I3099" s="1"/>
      <c r="J3099" s="1"/>
      <c r="K3099" s="89" t="s">
        <v>4654</v>
      </c>
      <c r="L3099" s="89" t="str">
        <f>G108</f>
        <v>C1b1a2b</v>
      </c>
      <c r="M3099" s="89" t="s">
        <v>4655</v>
      </c>
      <c r="N3099" s="89" t="s">
        <v>4656</v>
      </c>
      <c r="O3099" s="92">
        <v>1.7928515E7</v>
      </c>
      <c r="P3099" s="92">
        <v>1.5816635E7</v>
      </c>
      <c r="Q3099" s="89" t="s">
        <v>810</v>
      </c>
      <c r="AF3099" s="1"/>
      <c r="AG3099" s="1"/>
    </row>
    <row r="3100" ht="15.75" customHeight="1">
      <c r="A3100" s="1"/>
      <c r="B3100" s="1"/>
      <c r="C3100" s="1"/>
      <c r="D3100" s="1"/>
      <c r="E3100" s="1"/>
      <c r="F3100" s="1"/>
      <c r="G3100" s="1"/>
      <c r="H3100" s="1"/>
      <c r="I3100" s="1"/>
      <c r="J3100" s="1"/>
      <c r="K3100" s="89" t="s">
        <v>4655</v>
      </c>
      <c r="L3100" s="89" t="str">
        <f>G108</f>
        <v>C1b1a2b</v>
      </c>
      <c r="M3100" s="89" t="s">
        <v>4654</v>
      </c>
      <c r="N3100" s="89" t="s">
        <v>4656</v>
      </c>
      <c r="O3100" s="92">
        <v>1.7928515E7</v>
      </c>
      <c r="P3100" s="92">
        <v>1.5816635E7</v>
      </c>
      <c r="Q3100" s="89" t="s">
        <v>810</v>
      </c>
      <c r="AF3100" s="1"/>
      <c r="AG3100" s="1"/>
    </row>
    <row r="3101" ht="15.75" customHeight="1">
      <c r="A3101" s="1"/>
      <c r="B3101" s="1"/>
      <c r="C3101" s="1"/>
      <c r="D3101" s="1"/>
      <c r="E3101" s="1"/>
      <c r="F3101" s="1"/>
      <c r="G3101" s="1"/>
      <c r="H3101" s="1"/>
      <c r="I3101" s="1"/>
      <c r="J3101" s="1"/>
      <c r="K3101" s="89" t="s">
        <v>4657</v>
      </c>
      <c r="L3101" s="89" t="str">
        <f>G108</f>
        <v>C1b1a2b</v>
      </c>
      <c r="M3101" s="89" t="s">
        <v>4658</v>
      </c>
      <c r="N3101" s="89" t="s">
        <v>4659</v>
      </c>
      <c r="O3101" s="92">
        <v>1.7934375E7</v>
      </c>
      <c r="P3101" s="92">
        <v>1.5822495E7</v>
      </c>
      <c r="Q3101" s="89" t="s">
        <v>810</v>
      </c>
      <c r="AF3101" s="1"/>
      <c r="AG3101" s="1"/>
    </row>
    <row r="3102" ht="15.75" customHeight="1">
      <c r="A3102" s="1"/>
      <c r="B3102" s="1"/>
      <c r="C3102" s="1"/>
      <c r="D3102" s="1"/>
      <c r="E3102" s="1"/>
      <c r="F3102" s="1"/>
      <c r="G3102" s="1"/>
      <c r="H3102" s="1"/>
      <c r="I3102" s="1"/>
      <c r="J3102" s="1"/>
      <c r="K3102" s="89" t="s">
        <v>4658</v>
      </c>
      <c r="L3102" s="89" t="str">
        <f>G108</f>
        <v>C1b1a2b</v>
      </c>
      <c r="M3102" s="89" t="s">
        <v>4657</v>
      </c>
      <c r="N3102" s="89" t="s">
        <v>4659</v>
      </c>
      <c r="O3102" s="92">
        <v>1.7934375E7</v>
      </c>
      <c r="P3102" s="92">
        <v>1.5822495E7</v>
      </c>
      <c r="Q3102" s="89" t="s">
        <v>810</v>
      </c>
      <c r="AF3102" s="1"/>
      <c r="AG3102" s="1"/>
    </row>
    <row r="3103" ht="15.75" customHeight="1">
      <c r="A3103" s="1"/>
      <c r="B3103" s="1"/>
      <c r="C3103" s="1"/>
      <c r="D3103" s="1"/>
      <c r="E3103" s="1"/>
      <c r="F3103" s="1"/>
      <c r="G3103" s="1"/>
      <c r="H3103" s="1"/>
      <c r="I3103" s="1"/>
      <c r="J3103" s="1"/>
      <c r="K3103" s="89" t="s">
        <v>4660</v>
      </c>
      <c r="L3103" s="89" t="str">
        <f>G108</f>
        <v>C1b1a2b</v>
      </c>
      <c r="M3103" s="89" t="s">
        <v>4661</v>
      </c>
      <c r="N3103" s="89" t="s">
        <v>4662</v>
      </c>
      <c r="O3103" s="92">
        <v>1.8078657E7</v>
      </c>
      <c r="P3103" s="92">
        <v>1.5966777E7</v>
      </c>
      <c r="Q3103" s="89" t="s">
        <v>822</v>
      </c>
      <c r="AF3103" s="1"/>
      <c r="AG3103" s="1"/>
    </row>
    <row r="3104" ht="15.75" customHeight="1">
      <c r="A3104" s="1"/>
      <c r="B3104" s="1"/>
      <c r="C3104" s="1"/>
      <c r="D3104" s="1"/>
      <c r="E3104" s="1"/>
      <c r="F3104" s="1"/>
      <c r="G3104" s="1"/>
      <c r="H3104" s="1"/>
      <c r="I3104" s="1"/>
      <c r="J3104" s="1"/>
      <c r="K3104" s="89" t="s">
        <v>4661</v>
      </c>
      <c r="L3104" s="89" t="str">
        <f>G108</f>
        <v>C1b1a2b</v>
      </c>
      <c r="M3104" s="89" t="s">
        <v>4660</v>
      </c>
      <c r="N3104" s="89" t="s">
        <v>4662</v>
      </c>
      <c r="O3104" s="92">
        <v>1.8078657E7</v>
      </c>
      <c r="P3104" s="92">
        <v>1.5966777E7</v>
      </c>
      <c r="Q3104" s="89" t="s">
        <v>822</v>
      </c>
      <c r="AF3104" s="1"/>
      <c r="AG3104" s="1"/>
    </row>
    <row r="3105" ht="15.75" customHeight="1">
      <c r="A3105" s="1"/>
      <c r="B3105" s="1"/>
      <c r="C3105" s="1"/>
      <c r="D3105" s="1"/>
      <c r="E3105" s="1"/>
      <c r="F3105" s="1"/>
      <c r="G3105" s="1"/>
      <c r="H3105" s="1"/>
      <c r="I3105" s="1"/>
      <c r="J3105" s="1"/>
      <c r="K3105" s="89" t="s">
        <v>4663</v>
      </c>
      <c r="L3105" s="89" t="str">
        <f>G108</f>
        <v>C1b1a2b</v>
      </c>
      <c r="M3105" s="89" t="s">
        <v>4664</v>
      </c>
      <c r="N3105" s="89" t="s">
        <v>4665</v>
      </c>
      <c r="O3105" s="92">
        <v>1.8106401E7</v>
      </c>
      <c r="P3105" s="92">
        <v>1.5994521E7</v>
      </c>
      <c r="Q3105" s="89" t="s">
        <v>886</v>
      </c>
      <c r="AF3105" s="1"/>
      <c r="AG3105" s="1"/>
    </row>
    <row r="3106" ht="15.75" customHeight="1">
      <c r="A3106" s="1"/>
      <c r="B3106" s="1"/>
      <c r="C3106" s="1"/>
      <c r="D3106" s="1"/>
      <c r="E3106" s="1"/>
      <c r="F3106" s="1"/>
      <c r="G3106" s="1"/>
      <c r="H3106" s="1"/>
      <c r="I3106" s="1"/>
      <c r="J3106" s="1"/>
      <c r="K3106" s="89" t="s">
        <v>4664</v>
      </c>
      <c r="L3106" s="89" t="str">
        <f>G108</f>
        <v>C1b1a2b</v>
      </c>
      <c r="M3106" s="89" t="s">
        <v>4663</v>
      </c>
      <c r="N3106" s="89" t="s">
        <v>4665</v>
      </c>
      <c r="O3106" s="92">
        <v>1.8106401E7</v>
      </c>
      <c r="P3106" s="92">
        <v>1.5994521E7</v>
      </c>
      <c r="Q3106" s="89" t="s">
        <v>886</v>
      </c>
      <c r="AF3106" s="1"/>
      <c r="AG3106" s="1"/>
    </row>
    <row r="3107" ht="15.75" customHeight="1">
      <c r="A3107" s="1"/>
      <c r="B3107" s="1"/>
      <c r="C3107" s="1"/>
      <c r="D3107" s="1"/>
      <c r="E3107" s="1"/>
      <c r="F3107" s="1"/>
      <c r="G3107" s="1"/>
      <c r="H3107" s="1"/>
      <c r="I3107" s="1"/>
      <c r="J3107" s="1"/>
      <c r="K3107" s="89" t="s">
        <v>4666</v>
      </c>
      <c r="L3107" s="89" t="str">
        <f>G108</f>
        <v>C1b1a2b</v>
      </c>
      <c r="M3107" s="89" t="s">
        <v>4667</v>
      </c>
      <c r="N3107" s="89" t="s">
        <v>4668</v>
      </c>
      <c r="O3107" s="92">
        <v>1.8123077E7</v>
      </c>
      <c r="P3107" s="92">
        <v>1.6011197E7</v>
      </c>
      <c r="Q3107" s="89" t="s">
        <v>810</v>
      </c>
      <c r="AF3107" s="1"/>
      <c r="AG3107" s="1"/>
    </row>
    <row r="3108" ht="15.75" customHeight="1">
      <c r="A3108" s="1"/>
      <c r="B3108" s="1"/>
      <c r="C3108" s="1"/>
      <c r="D3108" s="1"/>
      <c r="E3108" s="1"/>
      <c r="F3108" s="1"/>
      <c r="G3108" s="1"/>
      <c r="H3108" s="1"/>
      <c r="I3108" s="1"/>
      <c r="J3108" s="1"/>
      <c r="K3108" s="89" t="s">
        <v>4667</v>
      </c>
      <c r="L3108" s="89" t="str">
        <f>G108</f>
        <v>C1b1a2b</v>
      </c>
      <c r="M3108" s="89" t="s">
        <v>4666</v>
      </c>
      <c r="N3108" s="89" t="s">
        <v>4668</v>
      </c>
      <c r="O3108" s="92">
        <v>1.8123077E7</v>
      </c>
      <c r="P3108" s="92">
        <v>1.6011197E7</v>
      </c>
      <c r="Q3108" s="89" t="s">
        <v>810</v>
      </c>
      <c r="AF3108" s="1"/>
      <c r="AG3108" s="1"/>
    </row>
    <row r="3109" ht="15.75" customHeight="1">
      <c r="A3109" s="1"/>
      <c r="B3109" s="1"/>
      <c r="C3109" s="1"/>
      <c r="D3109" s="1"/>
      <c r="E3109" s="1"/>
      <c r="F3109" s="1"/>
      <c r="G3109" s="1"/>
      <c r="H3109" s="1"/>
      <c r="I3109" s="1"/>
      <c r="J3109" s="1"/>
      <c r="K3109" s="89" t="s">
        <v>4669</v>
      </c>
      <c r="L3109" s="89" t="str">
        <f>G108</f>
        <v>C1b1a2b</v>
      </c>
      <c r="M3109" s="89" t="s">
        <v>4670</v>
      </c>
      <c r="N3109" s="89" t="s">
        <v>4671</v>
      </c>
      <c r="O3109" s="92">
        <v>1.8153885E7</v>
      </c>
      <c r="P3109" s="92">
        <v>1.6042005E7</v>
      </c>
      <c r="Q3109" s="89" t="s">
        <v>822</v>
      </c>
      <c r="AF3109" s="1"/>
      <c r="AG3109" s="1"/>
    </row>
    <row r="3110" ht="15.75" customHeight="1">
      <c r="A3110" s="1"/>
      <c r="B3110" s="1"/>
      <c r="C3110" s="1"/>
      <c r="D3110" s="1"/>
      <c r="E3110" s="1"/>
      <c r="F3110" s="1"/>
      <c r="G3110" s="1"/>
      <c r="H3110" s="1"/>
      <c r="I3110" s="1"/>
      <c r="J3110" s="1"/>
      <c r="K3110" s="89" t="s">
        <v>4670</v>
      </c>
      <c r="L3110" s="89" t="str">
        <f>G108</f>
        <v>C1b1a2b</v>
      </c>
      <c r="M3110" s="89" t="s">
        <v>4669</v>
      </c>
      <c r="N3110" s="89" t="s">
        <v>4671</v>
      </c>
      <c r="O3110" s="92">
        <v>1.8153885E7</v>
      </c>
      <c r="P3110" s="92">
        <v>1.6042005E7</v>
      </c>
      <c r="Q3110" s="89" t="s">
        <v>822</v>
      </c>
      <c r="AF3110" s="1"/>
      <c r="AG3110" s="1"/>
    </row>
    <row r="3111" ht="15.75" customHeight="1">
      <c r="A3111" s="1"/>
      <c r="B3111" s="1"/>
      <c r="C3111" s="1"/>
      <c r="D3111" s="1"/>
      <c r="E3111" s="1"/>
      <c r="F3111" s="1"/>
      <c r="G3111" s="1"/>
      <c r="H3111" s="1"/>
      <c r="I3111" s="1"/>
      <c r="J3111" s="1"/>
      <c r="K3111" s="89" t="s">
        <v>4672</v>
      </c>
      <c r="L3111" s="89" t="str">
        <f>G108</f>
        <v>C1b1a2b</v>
      </c>
      <c r="M3111" s="89" t="s">
        <v>4673</v>
      </c>
      <c r="N3111" s="89" t="s">
        <v>4674</v>
      </c>
      <c r="O3111" s="92">
        <v>1.8180948E7</v>
      </c>
      <c r="P3111" s="92">
        <v>1.6069068E7</v>
      </c>
      <c r="Q3111" s="89" t="s">
        <v>802</v>
      </c>
      <c r="AF3111" s="1"/>
      <c r="AG3111" s="1"/>
    </row>
    <row r="3112" ht="15.75" customHeight="1">
      <c r="A3112" s="1"/>
      <c r="B3112" s="1"/>
      <c r="C3112" s="1"/>
      <c r="D3112" s="1"/>
      <c r="E3112" s="1"/>
      <c r="F3112" s="1"/>
      <c r="G3112" s="1"/>
      <c r="H3112" s="1"/>
      <c r="I3112" s="1"/>
      <c r="J3112" s="1"/>
      <c r="K3112" s="89" t="s">
        <v>4673</v>
      </c>
      <c r="L3112" s="89" t="str">
        <f>G108</f>
        <v>C1b1a2b</v>
      </c>
      <c r="M3112" s="89" t="s">
        <v>4672</v>
      </c>
      <c r="N3112" s="89" t="s">
        <v>4674</v>
      </c>
      <c r="O3112" s="92">
        <v>1.8180948E7</v>
      </c>
      <c r="P3112" s="92">
        <v>1.6069068E7</v>
      </c>
      <c r="Q3112" s="89" t="s">
        <v>802</v>
      </c>
      <c r="AF3112" s="1"/>
      <c r="AG3112" s="1"/>
    </row>
    <row r="3113" ht="15.75" customHeight="1">
      <c r="A3113" s="1"/>
      <c r="B3113" s="1"/>
      <c r="C3113" s="1"/>
      <c r="D3113" s="1"/>
      <c r="E3113" s="1"/>
      <c r="F3113" s="1"/>
      <c r="G3113" s="1"/>
      <c r="H3113" s="1"/>
      <c r="I3113" s="1"/>
      <c r="J3113" s="1"/>
      <c r="K3113" s="89" t="s">
        <v>4675</v>
      </c>
      <c r="L3113" s="89" t="str">
        <f>G108</f>
        <v>C1b1a2b</v>
      </c>
      <c r="M3113" s="89" t="s">
        <v>4676</v>
      </c>
      <c r="N3113" s="89" t="s">
        <v>4677</v>
      </c>
      <c r="O3113" s="92">
        <v>1.8214876E7</v>
      </c>
      <c r="P3113" s="92">
        <v>1.6102996E7</v>
      </c>
      <c r="Q3113" s="89" t="s">
        <v>810</v>
      </c>
      <c r="AF3113" s="1"/>
      <c r="AG3113" s="1"/>
    </row>
    <row r="3114" ht="15.75" customHeight="1">
      <c r="A3114" s="1"/>
      <c r="B3114" s="1"/>
      <c r="C3114" s="1"/>
      <c r="D3114" s="1"/>
      <c r="E3114" s="1"/>
      <c r="F3114" s="1"/>
      <c r="G3114" s="1"/>
      <c r="H3114" s="1"/>
      <c r="I3114" s="1"/>
      <c r="J3114" s="1"/>
      <c r="K3114" s="89" t="s">
        <v>4676</v>
      </c>
      <c r="L3114" s="89" t="str">
        <f>G108</f>
        <v>C1b1a2b</v>
      </c>
      <c r="M3114" s="89" t="s">
        <v>4675</v>
      </c>
      <c r="N3114" s="89" t="s">
        <v>4677</v>
      </c>
      <c r="O3114" s="92">
        <v>1.8214876E7</v>
      </c>
      <c r="P3114" s="92">
        <v>1.6102996E7</v>
      </c>
      <c r="Q3114" s="89" t="s">
        <v>810</v>
      </c>
      <c r="AF3114" s="1"/>
      <c r="AG3114" s="1"/>
    </row>
    <row r="3115" ht="15.75" customHeight="1">
      <c r="A3115" s="1"/>
      <c r="B3115" s="1"/>
      <c r="C3115" s="1"/>
      <c r="D3115" s="1"/>
      <c r="E3115" s="1"/>
      <c r="F3115" s="1"/>
      <c r="G3115" s="1"/>
      <c r="H3115" s="1"/>
      <c r="I3115" s="1"/>
      <c r="J3115" s="1"/>
      <c r="K3115" s="89" t="s">
        <v>4678</v>
      </c>
      <c r="L3115" s="89" t="str">
        <f>G108</f>
        <v>C1b1a2b</v>
      </c>
      <c r="M3115" s="89" t="s">
        <v>4679</v>
      </c>
      <c r="N3115" s="89" t="s">
        <v>4680</v>
      </c>
      <c r="O3115" s="92">
        <v>1.8574233E7</v>
      </c>
      <c r="P3115" s="92">
        <v>1.6462353E7</v>
      </c>
      <c r="Q3115" s="89" t="s">
        <v>879</v>
      </c>
      <c r="AF3115" s="1"/>
      <c r="AG3115" s="1"/>
    </row>
    <row r="3116" ht="15.75" customHeight="1">
      <c r="A3116" s="1"/>
      <c r="B3116" s="1"/>
      <c r="C3116" s="1"/>
      <c r="D3116" s="1"/>
      <c r="E3116" s="1"/>
      <c r="F3116" s="1"/>
      <c r="G3116" s="1"/>
      <c r="H3116" s="1"/>
      <c r="I3116" s="1"/>
      <c r="J3116" s="1"/>
      <c r="K3116" s="89" t="s">
        <v>4679</v>
      </c>
      <c r="L3116" s="89" t="str">
        <f>G108</f>
        <v>C1b1a2b</v>
      </c>
      <c r="M3116" s="89" t="s">
        <v>4678</v>
      </c>
      <c r="N3116" s="89" t="s">
        <v>4680</v>
      </c>
      <c r="O3116" s="92">
        <v>1.8574233E7</v>
      </c>
      <c r="P3116" s="92">
        <v>1.6462353E7</v>
      </c>
      <c r="Q3116" s="89" t="s">
        <v>879</v>
      </c>
      <c r="AF3116" s="1"/>
      <c r="AG3116" s="1"/>
    </row>
    <row r="3117" ht="15.75" customHeight="1">
      <c r="A3117" s="1"/>
      <c r="B3117" s="1"/>
      <c r="C3117" s="1"/>
      <c r="D3117" s="1"/>
      <c r="E3117" s="1"/>
      <c r="F3117" s="1"/>
      <c r="G3117" s="1"/>
      <c r="H3117" s="1"/>
      <c r="I3117" s="1"/>
      <c r="J3117" s="1"/>
      <c r="K3117" s="89" t="s">
        <v>4681</v>
      </c>
      <c r="L3117" s="89" t="str">
        <f>G108</f>
        <v>C1b1a2b</v>
      </c>
      <c r="M3117" s="89" t="s">
        <v>4682</v>
      </c>
      <c r="N3117" s="89" t="s">
        <v>4683</v>
      </c>
      <c r="O3117" s="92">
        <v>1.8606426E7</v>
      </c>
      <c r="P3117" s="92">
        <v>1.6494546E7</v>
      </c>
      <c r="Q3117" s="89" t="s">
        <v>822</v>
      </c>
      <c r="AF3117" s="1"/>
      <c r="AG3117" s="1"/>
    </row>
    <row r="3118" ht="15.75" customHeight="1">
      <c r="A3118" s="1"/>
      <c r="B3118" s="1"/>
      <c r="C3118" s="1"/>
      <c r="D3118" s="1"/>
      <c r="E3118" s="1"/>
      <c r="F3118" s="1"/>
      <c r="G3118" s="1"/>
      <c r="H3118" s="1"/>
      <c r="I3118" s="1"/>
      <c r="J3118" s="1"/>
      <c r="K3118" s="89" t="s">
        <v>4682</v>
      </c>
      <c r="L3118" s="89" t="str">
        <f>G108</f>
        <v>C1b1a2b</v>
      </c>
      <c r="M3118" s="89" t="s">
        <v>4681</v>
      </c>
      <c r="N3118" s="89" t="s">
        <v>4683</v>
      </c>
      <c r="O3118" s="92">
        <v>1.8606426E7</v>
      </c>
      <c r="P3118" s="92">
        <v>1.6494546E7</v>
      </c>
      <c r="Q3118" s="89" t="s">
        <v>822</v>
      </c>
      <c r="AF3118" s="1"/>
      <c r="AG3118" s="1"/>
    </row>
    <row r="3119" ht="15.75" customHeight="1">
      <c r="A3119" s="1"/>
      <c r="B3119" s="1"/>
      <c r="C3119" s="1"/>
      <c r="D3119" s="1"/>
      <c r="E3119" s="1"/>
      <c r="F3119" s="1"/>
      <c r="G3119" s="1"/>
      <c r="H3119" s="1"/>
      <c r="I3119" s="1"/>
      <c r="J3119" s="1"/>
      <c r="K3119" s="89" t="s">
        <v>4684</v>
      </c>
      <c r="L3119" s="89" t="str">
        <f>G108</f>
        <v>C1b1a2b</v>
      </c>
      <c r="M3119" s="89" t="s">
        <v>4685</v>
      </c>
      <c r="N3119" s="89" t="s">
        <v>4686</v>
      </c>
      <c r="O3119" s="92">
        <v>1.8710779E7</v>
      </c>
      <c r="P3119" s="92">
        <v>1.6598899E7</v>
      </c>
      <c r="Q3119" s="89" t="s">
        <v>879</v>
      </c>
      <c r="AF3119" s="1"/>
      <c r="AG3119" s="1"/>
    </row>
    <row r="3120" ht="15.75" customHeight="1">
      <c r="A3120" s="1"/>
      <c r="B3120" s="1"/>
      <c r="C3120" s="1"/>
      <c r="D3120" s="1"/>
      <c r="E3120" s="1"/>
      <c r="F3120" s="1"/>
      <c r="G3120" s="1"/>
      <c r="H3120" s="1"/>
      <c r="I3120" s="1"/>
      <c r="J3120" s="1"/>
      <c r="K3120" s="89" t="s">
        <v>4685</v>
      </c>
      <c r="L3120" s="89" t="str">
        <f>G108</f>
        <v>C1b1a2b</v>
      </c>
      <c r="M3120" s="89" t="s">
        <v>4684</v>
      </c>
      <c r="N3120" s="89" t="s">
        <v>4686</v>
      </c>
      <c r="O3120" s="92">
        <v>1.8710779E7</v>
      </c>
      <c r="P3120" s="92">
        <v>1.6598899E7</v>
      </c>
      <c r="Q3120" s="89" t="s">
        <v>879</v>
      </c>
      <c r="AF3120" s="1"/>
      <c r="AG3120" s="1"/>
    </row>
    <row r="3121" ht="15.75" customHeight="1">
      <c r="A3121" s="1"/>
      <c r="B3121" s="1"/>
      <c r="C3121" s="1"/>
      <c r="D3121" s="1"/>
      <c r="E3121" s="1"/>
      <c r="F3121" s="1"/>
      <c r="G3121" s="1"/>
      <c r="H3121" s="1"/>
      <c r="I3121" s="1"/>
      <c r="J3121" s="1"/>
      <c r="K3121" s="89" t="s">
        <v>4687</v>
      </c>
      <c r="L3121" s="89" t="str">
        <f>G108</f>
        <v>C1b1a2b</v>
      </c>
      <c r="M3121" s="89" t="s">
        <v>4688</v>
      </c>
      <c r="N3121" s="89" t="s">
        <v>4689</v>
      </c>
      <c r="O3121" s="92">
        <v>1.8744132E7</v>
      </c>
      <c r="P3121" s="92">
        <v>1.6632252E7</v>
      </c>
      <c r="Q3121" s="89" t="s">
        <v>879</v>
      </c>
      <c r="AF3121" s="1"/>
      <c r="AG3121" s="1"/>
    </row>
    <row r="3122" ht="15.75" customHeight="1">
      <c r="A3122" s="1"/>
      <c r="B3122" s="1"/>
      <c r="C3122" s="1"/>
      <c r="D3122" s="1"/>
      <c r="E3122" s="1"/>
      <c r="F3122" s="1"/>
      <c r="G3122" s="1"/>
      <c r="H3122" s="1"/>
      <c r="I3122" s="1"/>
      <c r="J3122" s="1"/>
      <c r="K3122" s="89" t="s">
        <v>4688</v>
      </c>
      <c r="L3122" s="89" t="str">
        <f>G108</f>
        <v>C1b1a2b</v>
      </c>
      <c r="M3122" s="89" t="s">
        <v>4687</v>
      </c>
      <c r="N3122" s="89" t="s">
        <v>4689</v>
      </c>
      <c r="O3122" s="92">
        <v>1.8744132E7</v>
      </c>
      <c r="P3122" s="92">
        <v>1.6632252E7</v>
      </c>
      <c r="Q3122" s="89" t="s">
        <v>879</v>
      </c>
      <c r="AF3122" s="1"/>
      <c r="AG3122" s="1"/>
    </row>
    <row r="3123" ht="15.75" customHeight="1">
      <c r="A3123" s="1"/>
      <c r="B3123" s="1"/>
      <c r="C3123" s="1"/>
      <c r="D3123" s="1"/>
      <c r="E3123" s="1"/>
      <c r="F3123" s="1"/>
      <c r="G3123" s="1"/>
      <c r="H3123" s="1"/>
      <c r="I3123" s="1"/>
      <c r="J3123" s="1"/>
      <c r="K3123" s="89" t="s">
        <v>4690</v>
      </c>
      <c r="L3123" s="89" t="str">
        <f>G108</f>
        <v>C1b1a2b</v>
      </c>
      <c r="M3123" s="89" t="s">
        <v>4691</v>
      </c>
      <c r="N3123" s="89" t="s">
        <v>4692</v>
      </c>
      <c r="O3123" s="92">
        <v>1.8787373E7</v>
      </c>
      <c r="P3123" s="92">
        <v>1.6675493E7</v>
      </c>
      <c r="Q3123" s="89" t="s">
        <v>838</v>
      </c>
      <c r="AF3123" s="1"/>
      <c r="AG3123" s="1"/>
    </row>
    <row r="3124" ht="15.75" customHeight="1">
      <c r="A3124" s="1"/>
      <c r="B3124" s="1"/>
      <c r="C3124" s="1"/>
      <c r="D3124" s="1"/>
      <c r="E3124" s="1"/>
      <c r="F3124" s="1"/>
      <c r="G3124" s="1"/>
      <c r="H3124" s="1"/>
      <c r="I3124" s="1"/>
      <c r="J3124" s="1"/>
      <c r="K3124" s="89" t="s">
        <v>4691</v>
      </c>
      <c r="L3124" s="89" t="str">
        <f>G108</f>
        <v>C1b1a2b</v>
      </c>
      <c r="M3124" s="89" t="s">
        <v>4690</v>
      </c>
      <c r="N3124" s="89" t="s">
        <v>4692</v>
      </c>
      <c r="O3124" s="92">
        <v>1.8787373E7</v>
      </c>
      <c r="P3124" s="92">
        <v>1.6675493E7</v>
      </c>
      <c r="Q3124" s="89" t="s">
        <v>838</v>
      </c>
      <c r="AF3124" s="1"/>
      <c r="AG3124" s="1"/>
    </row>
    <row r="3125" ht="15.75" customHeight="1">
      <c r="A3125" s="1"/>
      <c r="B3125" s="1"/>
      <c r="C3125" s="1"/>
      <c r="D3125" s="1"/>
      <c r="E3125" s="1"/>
      <c r="F3125" s="1"/>
      <c r="G3125" s="1"/>
      <c r="H3125" s="1"/>
      <c r="I3125" s="1"/>
      <c r="J3125" s="1"/>
      <c r="K3125" s="89" t="s">
        <v>4693</v>
      </c>
      <c r="L3125" s="89" t="str">
        <f>G108</f>
        <v>C1b1a2b</v>
      </c>
      <c r="M3125" s="89" t="s">
        <v>4694</v>
      </c>
      <c r="N3125" s="89" t="s">
        <v>4695</v>
      </c>
      <c r="O3125" s="92">
        <v>1.8852625E7</v>
      </c>
      <c r="P3125" s="92">
        <v>1.6740745E7</v>
      </c>
      <c r="Q3125" s="89" t="s">
        <v>813</v>
      </c>
      <c r="AF3125" s="1"/>
      <c r="AG3125" s="1"/>
    </row>
    <row r="3126" ht="15.75" customHeight="1">
      <c r="A3126" s="1"/>
      <c r="B3126" s="1"/>
      <c r="C3126" s="1"/>
      <c r="D3126" s="1"/>
      <c r="E3126" s="1"/>
      <c r="F3126" s="1"/>
      <c r="G3126" s="1"/>
      <c r="H3126" s="1"/>
      <c r="I3126" s="1"/>
      <c r="J3126" s="1"/>
      <c r="K3126" s="89" t="s">
        <v>4694</v>
      </c>
      <c r="L3126" s="89" t="str">
        <f>G108</f>
        <v>C1b1a2b</v>
      </c>
      <c r="M3126" s="89" t="s">
        <v>4693</v>
      </c>
      <c r="N3126" s="89" t="s">
        <v>4695</v>
      </c>
      <c r="O3126" s="92">
        <v>1.8852625E7</v>
      </c>
      <c r="P3126" s="92">
        <v>1.6740745E7</v>
      </c>
      <c r="Q3126" s="89" t="s">
        <v>813</v>
      </c>
      <c r="AF3126" s="1"/>
      <c r="AG3126" s="1"/>
    </row>
    <row r="3127" ht="15.75" customHeight="1">
      <c r="A3127" s="1"/>
      <c r="B3127" s="1"/>
      <c r="C3127" s="1"/>
      <c r="D3127" s="1"/>
      <c r="E3127" s="1"/>
      <c r="F3127" s="1"/>
      <c r="G3127" s="1"/>
      <c r="H3127" s="1"/>
      <c r="I3127" s="1"/>
      <c r="J3127" s="1"/>
      <c r="K3127" s="89" t="s">
        <v>4696</v>
      </c>
      <c r="L3127" s="89" t="str">
        <f>G108</f>
        <v>C1b1a2b</v>
      </c>
      <c r="M3127" s="89" t="s">
        <v>4697</v>
      </c>
      <c r="N3127" s="89" t="s">
        <v>4698</v>
      </c>
      <c r="O3127" s="92">
        <v>1.8860762E7</v>
      </c>
      <c r="P3127" s="92">
        <v>1.6748882E7</v>
      </c>
      <c r="Q3127" s="89" t="s">
        <v>822</v>
      </c>
      <c r="AF3127" s="1"/>
      <c r="AG3127" s="1"/>
    </row>
    <row r="3128" ht="15.75" customHeight="1">
      <c r="A3128" s="1"/>
      <c r="B3128" s="1"/>
      <c r="C3128" s="1"/>
      <c r="D3128" s="1"/>
      <c r="E3128" s="1"/>
      <c r="F3128" s="1"/>
      <c r="G3128" s="1"/>
      <c r="H3128" s="1"/>
      <c r="I3128" s="1"/>
      <c r="J3128" s="1"/>
      <c r="K3128" s="89" t="s">
        <v>4697</v>
      </c>
      <c r="L3128" s="89" t="str">
        <f>G108</f>
        <v>C1b1a2b</v>
      </c>
      <c r="M3128" s="89" t="s">
        <v>4696</v>
      </c>
      <c r="N3128" s="89" t="s">
        <v>4698</v>
      </c>
      <c r="O3128" s="92">
        <v>1.8860762E7</v>
      </c>
      <c r="P3128" s="92">
        <v>1.6748882E7</v>
      </c>
      <c r="Q3128" s="89" t="s">
        <v>822</v>
      </c>
      <c r="AF3128" s="1"/>
      <c r="AG3128" s="1"/>
    </row>
    <row r="3129" ht="15.75" customHeight="1">
      <c r="A3129" s="1"/>
      <c r="B3129" s="1"/>
      <c r="C3129" s="1"/>
      <c r="D3129" s="1"/>
      <c r="E3129" s="1"/>
      <c r="F3129" s="1"/>
      <c r="G3129" s="1"/>
      <c r="H3129" s="1"/>
      <c r="I3129" s="1"/>
      <c r="J3129" s="1"/>
      <c r="K3129" s="89" t="s">
        <v>4699</v>
      </c>
      <c r="L3129" s="89" t="str">
        <f>G108</f>
        <v>C1b1a2b</v>
      </c>
      <c r="M3129" s="89" t="s">
        <v>4700</v>
      </c>
      <c r="N3129" s="89" t="s">
        <v>4701</v>
      </c>
      <c r="O3129" s="92">
        <v>1.8918921E7</v>
      </c>
      <c r="P3129" s="92">
        <v>1.6807041E7</v>
      </c>
      <c r="Q3129" s="89" t="s">
        <v>822</v>
      </c>
      <c r="AF3129" s="1"/>
      <c r="AG3129" s="1"/>
    </row>
    <row r="3130" ht="15.75" customHeight="1">
      <c r="A3130" s="1"/>
      <c r="B3130" s="1"/>
      <c r="C3130" s="1"/>
      <c r="D3130" s="1"/>
      <c r="E3130" s="1"/>
      <c r="F3130" s="1"/>
      <c r="G3130" s="1"/>
      <c r="H3130" s="1"/>
      <c r="I3130" s="1"/>
      <c r="J3130" s="1"/>
      <c r="K3130" s="89" t="s">
        <v>4700</v>
      </c>
      <c r="L3130" s="89" t="str">
        <f>G108</f>
        <v>C1b1a2b</v>
      </c>
      <c r="M3130" s="89" t="s">
        <v>4699</v>
      </c>
      <c r="N3130" s="89" t="s">
        <v>4701</v>
      </c>
      <c r="O3130" s="92">
        <v>1.8918921E7</v>
      </c>
      <c r="P3130" s="92">
        <v>1.6807041E7</v>
      </c>
      <c r="Q3130" s="89" t="s">
        <v>822</v>
      </c>
      <c r="AF3130" s="1"/>
      <c r="AG3130" s="1"/>
    </row>
    <row r="3131" ht="15.75" customHeight="1">
      <c r="A3131" s="1"/>
      <c r="B3131" s="1"/>
      <c r="C3131" s="1"/>
      <c r="D3131" s="1"/>
      <c r="E3131" s="1"/>
      <c r="F3131" s="1"/>
      <c r="G3131" s="1"/>
      <c r="H3131" s="1"/>
      <c r="I3131" s="1"/>
      <c r="J3131" s="1"/>
      <c r="K3131" s="89" t="s">
        <v>4702</v>
      </c>
      <c r="L3131" s="89" t="str">
        <f>G108</f>
        <v>C1b1a2b</v>
      </c>
      <c r="M3131" s="89" t="s">
        <v>4703</v>
      </c>
      <c r="N3131" s="89" t="s">
        <v>4704</v>
      </c>
      <c r="O3131" s="92">
        <v>1.8970142E7</v>
      </c>
      <c r="P3131" s="92">
        <v>1.6858262E7</v>
      </c>
      <c r="Q3131" s="89" t="s">
        <v>810</v>
      </c>
      <c r="AF3131" s="1"/>
      <c r="AG3131" s="1"/>
    </row>
    <row r="3132" ht="15.75" customHeight="1">
      <c r="A3132" s="1"/>
      <c r="B3132" s="1"/>
      <c r="C3132" s="1"/>
      <c r="D3132" s="1"/>
      <c r="E3132" s="1"/>
      <c r="F3132" s="1"/>
      <c r="G3132" s="1"/>
      <c r="H3132" s="1"/>
      <c r="I3132" s="1"/>
      <c r="J3132" s="1"/>
      <c r="K3132" s="89" t="s">
        <v>4703</v>
      </c>
      <c r="L3132" s="89" t="str">
        <f>G108</f>
        <v>C1b1a2b</v>
      </c>
      <c r="M3132" s="89" t="s">
        <v>4702</v>
      </c>
      <c r="N3132" s="89" t="s">
        <v>4704</v>
      </c>
      <c r="O3132" s="92">
        <v>1.8970142E7</v>
      </c>
      <c r="P3132" s="92">
        <v>1.6858262E7</v>
      </c>
      <c r="Q3132" s="89" t="s">
        <v>810</v>
      </c>
      <c r="AF3132" s="1"/>
      <c r="AG3132" s="1"/>
    </row>
    <row r="3133" ht="15.75" customHeight="1">
      <c r="A3133" s="1"/>
      <c r="B3133" s="1"/>
      <c r="C3133" s="1"/>
      <c r="D3133" s="1"/>
      <c r="E3133" s="1"/>
      <c r="F3133" s="1"/>
      <c r="G3133" s="1"/>
      <c r="H3133" s="1"/>
      <c r="I3133" s="1"/>
      <c r="J3133" s="1"/>
      <c r="K3133" s="89" t="s">
        <v>4705</v>
      </c>
      <c r="L3133" s="89" t="str">
        <f>G108</f>
        <v>C1b1a2b</v>
      </c>
      <c r="M3133" s="89" t="s">
        <v>4706</v>
      </c>
      <c r="N3133" s="89" t="s">
        <v>4707</v>
      </c>
      <c r="O3133" s="92">
        <v>1.8977481E7</v>
      </c>
      <c r="P3133" s="92">
        <v>1.6865601E7</v>
      </c>
      <c r="Q3133" s="89" t="s">
        <v>912</v>
      </c>
      <c r="AF3133" s="1"/>
      <c r="AG3133" s="1"/>
    </row>
    <row r="3134" ht="15.75" customHeight="1">
      <c r="A3134" s="1"/>
      <c r="B3134" s="1"/>
      <c r="C3134" s="1"/>
      <c r="D3134" s="1"/>
      <c r="E3134" s="1"/>
      <c r="F3134" s="1"/>
      <c r="G3134" s="1"/>
      <c r="H3134" s="1"/>
      <c r="I3134" s="1"/>
      <c r="J3134" s="1"/>
      <c r="K3134" s="89" t="s">
        <v>4706</v>
      </c>
      <c r="L3134" s="89" t="str">
        <f>G108</f>
        <v>C1b1a2b</v>
      </c>
      <c r="M3134" s="89" t="s">
        <v>4705</v>
      </c>
      <c r="N3134" s="89" t="s">
        <v>4707</v>
      </c>
      <c r="O3134" s="92">
        <v>1.8977481E7</v>
      </c>
      <c r="P3134" s="92">
        <v>1.6865601E7</v>
      </c>
      <c r="Q3134" s="89" t="s">
        <v>912</v>
      </c>
      <c r="AF3134" s="1"/>
      <c r="AG3134" s="1"/>
    </row>
    <row r="3135" ht="15.75" customHeight="1">
      <c r="A3135" s="1"/>
      <c r="B3135" s="1"/>
      <c r="C3135" s="1"/>
      <c r="D3135" s="1"/>
      <c r="E3135" s="1"/>
      <c r="F3135" s="1"/>
      <c r="G3135" s="1"/>
      <c r="H3135" s="1"/>
      <c r="I3135" s="1"/>
      <c r="J3135" s="1"/>
      <c r="K3135" s="89" t="s">
        <v>4708</v>
      </c>
      <c r="L3135" s="89" t="str">
        <f>G108</f>
        <v>C1b1a2b</v>
      </c>
      <c r="M3135" s="89" t="s">
        <v>4709</v>
      </c>
      <c r="N3135" s="89" t="s">
        <v>4710</v>
      </c>
      <c r="O3135" s="92">
        <v>1.8999411E7</v>
      </c>
      <c r="P3135" s="92">
        <v>1.6887531E7</v>
      </c>
      <c r="Q3135" s="89" t="s">
        <v>802</v>
      </c>
      <c r="AF3135" s="1"/>
      <c r="AG3135" s="1"/>
    </row>
    <row r="3136" ht="15.75" customHeight="1">
      <c r="A3136" s="1"/>
      <c r="B3136" s="1"/>
      <c r="C3136" s="1"/>
      <c r="D3136" s="1"/>
      <c r="E3136" s="1"/>
      <c r="F3136" s="1"/>
      <c r="G3136" s="1"/>
      <c r="H3136" s="1"/>
      <c r="I3136" s="1"/>
      <c r="J3136" s="1"/>
      <c r="K3136" s="89" t="s">
        <v>4709</v>
      </c>
      <c r="L3136" s="89" t="str">
        <f>G108</f>
        <v>C1b1a2b</v>
      </c>
      <c r="M3136" s="89" t="s">
        <v>4708</v>
      </c>
      <c r="N3136" s="89" t="s">
        <v>4710</v>
      </c>
      <c r="O3136" s="92">
        <v>1.8999411E7</v>
      </c>
      <c r="P3136" s="92">
        <v>1.6887531E7</v>
      </c>
      <c r="Q3136" s="89" t="s">
        <v>802</v>
      </c>
      <c r="AF3136" s="1"/>
      <c r="AG3136" s="1"/>
    </row>
    <row r="3137" ht="15.75" customHeight="1">
      <c r="A3137" s="1"/>
      <c r="B3137" s="1"/>
      <c r="C3137" s="1"/>
      <c r="D3137" s="1"/>
      <c r="E3137" s="1"/>
      <c r="F3137" s="1"/>
      <c r="G3137" s="1"/>
      <c r="H3137" s="1"/>
      <c r="I3137" s="1"/>
      <c r="J3137" s="1"/>
      <c r="K3137" s="89" t="s">
        <v>4711</v>
      </c>
      <c r="L3137" s="89" t="str">
        <f>G108</f>
        <v>C1b1a2b</v>
      </c>
      <c r="M3137" s="89" t="s">
        <v>4712</v>
      </c>
      <c r="N3137" s="89" t="s">
        <v>4713</v>
      </c>
      <c r="O3137" s="92">
        <v>1.9020295E7</v>
      </c>
      <c r="P3137" s="92">
        <v>1.6908415E7</v>
      </c>
      <c r="Q3137" s="89" t="s">
        <v>802</v>
      </c>
      <c r="AF3137" s="1"/>
      <c r="AG3137" s="1"/>
    </row>
    <row r="3138" ht="15.75" customHeight="1">
      <c r="A3138" s="1"/>
      <c r="B3138" s="1"/>
      <c r="C3138" s="1"/>
      <c r="D3138" s="1"/>
      <c r="E3138" s="1"/>
      <c r="F3138" s="1"/>
      <c r="G3138" s="1"/>
      <c r="H3138" s="1"/>
      <c r="I3138" s="1"/>
      <c r="J3138" s="1"/>
      <c r="K3138" s="89" t="s">
        <v>4712</v>
      </c>
      <c r="L3138" s="89" t="str">
        <f>G108</f>
        <v>C1b1a2b</v>
      </c>
      <c r="M3138" s="89" t="s">
        <v>4711</v>
      </c>
      <c r="N3138" s="89" t="s">
        <v>4713</v>
      </c>
      <c r="O3138" s="92">
        <v>1.9020295E7</v>
      </c>
      <c r="P3138" s="92">
        <v>1.6908415E7</v>
      </c>
      <c r="Q3138" s="89" t="s">
        <v>802</v>
      </c>
      <c r="AF3138" s="1"/>
      <c r="AG3138" s="1"/>
    </row>
    <row r="3139" ht="15.75" customHeight="1">
      <c r="A3139" s="1"/>
      <c r="B3139" s="1"/>
      <c r="C3139" s="1"/>
      <c r="D3139" s="1"/>
      <c r="E3139" s="1"/>
      <c r="F3139" s="1"/>
      <c r="G3139" s="1"/>
      <c r="H3139" s="1"/>
      <c r="I3139" s="1"/>
      <c r="J3139" s="1"/>
      <c r="K3139" s="89" t="s">
        <v>4714</v>
      </c>
      <c r="L3139" s="89" t="str">
        <f>G108</f>
        <v>C1b1a2b</v>
      </c>
      <c r="M3139" s="89" t="s">
        <v>4715</v>
      </c>
      <c r="N3139" s="89" t="s">
        <v>4716</v>
      </c>
      <c r="O3139" s="92">
        <v>1.9024772E7</v>
      </c>
      <c r="P3139" s="92">
        <v>1.6912892E7</v>
      </c>
      <c r="Q3139" s="89" t="s">
        <v>845</v>
      </c>
      <c r="AF3139" s="1"/>
      <c r="AG3139" s="1"/>
    </row>
    <row r="3140" ht="15.75" customHeight="1">
      <c r="A3140" s="1"/>
      <c r="B3140" s="1"/>
      <c r="C3140" s="1"/>
      <c r="D3140" s="1"/>
      <c r="E3140" s="1"/>
      <c r="F3140" s="1"/>
      <c r="G3140" s="1"/>
      <c r="H3140" s="1"/>
      <c r="I3140" s="1"/>
      <c r="J3140" s="1"/>
      <c r="K3140" s="89" t="s">
        <v>4715</v>
      </c>
      <c r="L3140" s="89" t="str">
        <f>G108</f>
        <v>C1b1a2b</v>
      </c>
      <c r="M3140" s="89" t="s">
        <v>4714</v>
      </c>
      <c r="N3140" s="89" t="s">
        <v>4716</v>
      </c>
      <c r="O3140" s="92">
        <v>1.9024772E7</v>
      </c>
      <c r="P3140" s="92">
        <v>1.6912892E7</v>
      </c>
      <c r="Q3140" s="89" t="s">
        <v>845</v>
      </c>
      <c r="AF3140" s="1"/>
      <c r="AG3140" s="1"/>
    </row>
    <row r="3141" ht="15.75" customHeight="1">
      <c r="A3141" s="1"/>
      <c r="B3141" s="1"/>
      <c r="C3141" s="1"/>
      <c r="D3141" s="1"/>
      <c r="E3141" s="1"/>
      <c r="F3141" s="1"/>
      <c r="G3141" s="1"/>
      <c r="H3141" s="1"/>
      <c r="I3141" s="1"/>
      <c r="J3141" s="1"/>
      <c r="K3141" s="89" t="s">
        <v>4717</v>
      </c>
      <c r="L3141" s="89" t="str">
        <f>G108</f>
        <v>C1b1a2b</v>
      </c>
      <c r="M3141" s="89" t="s">
        <v>4718</v>
      </c>
      <c r="N3141" s="89" t="s">
        <v>4719</v>
      </c>
      <c r="O3141" s="92">
        <v>1.9065261E7</v>
      </c>
      <c r="P3141" s="92">
        <v>1.6953381E7</v>
      </c>
      <c r="Q3141" s="89" t="s">
        <v>802</v>
      </c>
      <c r="AF3141" s="1"/>
      <c r="AG3141" s="1"/>
    </row>
    <row r="3142" ht="15.75" customHeight="1">
      <c r="A3142" s="1"/>
      <c r="B3142" s="1"/>
      <c r="C3142" s="1"/>
      <c r="D3142" s="1"/>
      <c r="E3142" s="1"/>
      <c r="F3142" s="1"/>
      <c r="G3142" s="1"/>
      <c r="H3142" s="1"/>
      <c r="I3142" s="1"/>
      <c r="J3142" s="1"/>
      <c r="K3142" s="89" t="s">
        <v>4718</v>
      </c>
      <c r="L3142" s="89" t="str">
        <f>G108</f>
        <v>C1b1a2b</v>
      </c>
      <c r="M3142" s="89" t="s">
        <v>4717</v>
      </c>
      <c r="N3142" s="89" t="s">
        <v>4719</v>
      </c>
      <c r="O3142" s="92">
        <v>1.9065261E7</v>
      </c>
      <c r="P3142" s="92">
        <v>1.6953381E7</v>
      </c>
      <c r="Q3142" s="89" t="s">
        <v>802</v>
      </c>
      <c r="AF3142" s="1"/>
      <c r="AG3142" s="1"/>
    </row>
    <row r="3143" ht="15.75" customHeight="1">
      <c r="A3143" s="1"/>
      <c r="B3143" s="1"/>
      <c r="C3143" s="1"/>
      <c r="D3143" s="1"/>
      <c r="E3143" s="1"/>
      <c r="F3143" s="1"/>
      <c r="G3143" s="1"/>
      <c r="H3143" s="1"/>
      <c r="I3143" s="1"/>
      <c r="J3143" s="1"/>
      <c r="K3143" s="89" t="s">
        <v>4720</v>
      </c>
      <c r="L3143" s="89" t="str">
        <f>G108</f>
        <v>C1b1a2b</v>
      </c>
      <c r="M3143" s="89" t="s">
        <v>4721</v>
      </c>
      <c r="N3143" s="89" t="s">
        <v>4722</v>
      </c>
      <c r="O3143" s="92">
        <v>1.9065776E7</v>
      </c>
      <c r="P3143" s="92">
        <v>1.6953896E7</v>
      </c>
      <c r="Q3143" s="89" t="s">
        <v>831</v>
      </c>
      <c r="AF3143" s="1"/>
      <c r="AG3143" s="1"/>
    </row>
    <row r="3144" ht="15.75" customHeight="1">
      <c r="A3144" s="1"/>
      <c r="B3144" s="1"/>
      <c r="C3144" s="1"/>
      <c r="D3144" s="1"/>
      <c r="E3144" s="1"/>
      <c r="F3144" s="1"/>
      <c r="G3144" s="1"/>
      <c r="H3144" s="1"/>
      <c r="I3144" s="1"/>
      <c r="J3144" s="1"/>
      <c r="K3144" s="89" t="s">
        <v>4721</v>
      </c>
      <c r="L3144" s="89" t="str">
        <f>G108</f>
        <v>C1b1a2b</v>
      </c>
      <c r="M3144" s="89" t="s">
        <v>4720</v>
      </c>
      <c r="N3144" s="89" t="s">
        <v>4722</v>
      </c>
      <c r="O3144" s="92">
        <v>1.9065776E7</v>
      </c>
      <c r="P3144" s="92">
        <v>1.6953896E7</v>
      </c>
      <c r="Q3144" s="89" t="s">
        <v>831</v>
      </c>
      <c r="AF3144" s="1"/>
      <c r="AG3144" s="1"/>
    </row>
    <row r="3145" ht="15.75" customHeight="1">
      <c r="A3145" s="1"/>
      <c r="B3145" s="1"/>
      <c r="C3145" s="1"/>
      <c r="D3145" s="1"/>
      <c r="E3145" s="1"/>
      <c r="F3145" s="1"/>
      <c r="G3145" s="1"/>
      <c r="H3145" s="1"/>
      <c r="I3145" s="1"/>
      <c r="J3145" s="1"/>
      <c r="K3145" s="93" t="s">
        <v>4723</v>
      </c>
      <c r="L3145" s="89" t="str">
        <f>G108</f>
        <v>C1b1a2b</v>
      </c>
      <c r="M3145" s="89" t="s">
        <v>4724</v>
      </c>
      <c r="N3145" s="89" t="s">
        <v>4725</v>
      </c>
      <c r="O3145" s="92">
        <v>1.9071559E7</v>
      </c>
      <c r="P3145" s="92">
        <v>1.6959679E7</v>
      </c>
      <c r="Q3145" s="89" t="s">
        <v>838</v>
      </c>
      <c r="AF3145" s="1"/>
      <c r="AG3145" s="1"/>
    </row>
    <row r="3146" ht="15.75" customHeight="1">
      <c r="A3146" s="1"/>
      <c r="B3146" s="1"/>
      <c r="C3146" s="1"/>
      <c r="D3146" s="1"/>
      <c r="E3146" s="1"/>
      <c r="F3146" s="1"/>
      <c r="G3146" s="1"/>
      <c r="H3146" s="1"/>
      <c r="I3146" s="1"/>
      <c r="J3146" s="1"/>
      <c r="K3146" s="89" t="s">
        <v>4724</v>
      </c>
      <c r="L3146" s="89" t="str">
        <f>G108</f>
        <v>C1b1a2b</v>
      </c>
      <c r="M3146" s="93" t="s">
        <v>4723</v>
      </c>
      <c r="N3146" s="89" t="s">
        <v>4725</v>
      </c>
      <c r="O3146" s="92">
        <v>1.9071559E7</v>
      </c>
      <c r="P3146" s="92">
        <v>1.6959679E7</v>
      </c>
      <c r="Q3146" s="89" t="s">
        <v>838</v>
      </c>
      <c r="AF3146" s="1"/>
      <c r="AG3146" s="1"/>
    </row>
    <row r="3147" ht="15.75" customHeight="1">
      <c r="A3147" s="1"/>
      <c r="B3147" s="1"/>
      <c r="C3147" s="1"/>
      <c r="D3147" s="1"/>
      <c r="E3147" s="1"/>
      <c r="F3147" s="1"/>
      <c r="G3147" s="1"/>
      <c r="H3147" s="1"/>
      <c r="I3147" s="1"/>
      <c r="J3147" s="1"/>
      <c r="K3147" s="89" t="s">
        <v>4726</v>
      </c>
      <c r="L3147" s="89" t="str">
        <f>G108</f>
        <v>C1b1a2b</v>
      </c>
      <c r="M3147" s="89" t="s">
        <v>4727</v>
      </c>
      <c r="N3147" s="89" t="s">
        <v>4728</v>
      </c>
      <c r="O3147" s="92">
        <v>1.9132499E7</v>
      </c>
      <c r="P3147" s="92">
        <v>1.7020619E7</v>
      </c>
      <c r="Q3147" s="89" t="s">
        <v>810</v>
      </c>
      <c r="AF3147" s="1"/>
      <c r="AG3147" s="1"/>
    </row>
    <row r="3148" ht="15.75" customHeight="1">
      <c r="A3148" s="1"/>
      <c r="B3148" s="1"/>
      <c r="C3148" s="1"/>
      <c r="D3148" s="1"/>
      <c r="E3148" s="1"/>
      <c r="F3148" s="1"/>
      <c r="G3148" s="1"/>
      <c r="H3148" s="1"/>
      <c r="I3148" s="1"/>
      <c r="J3148" s="1"/>
      <c r="K3148" s="89" t="s">
        <v>4727</v>
      </c>
      <c r="L3148" s="89" t="str">
        <f>G108</f>
        <v>C1b1a2b</v>
      </c>
      <c r="M3148" s="89" t="s">
        <v>4726</v>
      </c>
      <c r="N3148" s="89" t="s">
        <v>4728</v>
      </c>
      <c r="O3148" s="92">
        <v>1.9132499E7</v>
      </c>
      <c r="P3148" s="92">
        <v>1.7020619E7</v>
      </c>
      <c r="Q3148" s="89" t="s">
        <v>810</v>
      </c>
      <c r="AF3148" s="1"/>
      <c r="AG3148" s="1"/>
    </row>
    <row r="3149" ht="15.75" customHeight="1">
      <c r="A3149" s="1"/>
      <c r="B3149" s="1"/>
      <c r="C3149" s="1"/>
      <c r="D3149" s="1"/>
      <c r="E3149" s="1"/>
      <c r="F3149" s="1"/>
      <c r="G3149" s="1"/>
      <c r="H3149" s="1"/>
      <c r="I3149" s="1"/>
      <c r="J3149" s="1"/>
      <c r="K3149" s="89" t="s">
        <v>4729</v>
      </c>
      <c r="L3149" s="89" t="str">
        <f>G108</f>
        <v>C1b1a2b</v>
      </c>
      <c r="M3149" s="89" t="s">
        <v>4730</v>
      </c>
      <c r="N3149" s="89" t="s">
        <v>4731</v>
      </c>
      <c r="O3149" s="92">
        <v>1.91357E7</v>
      </c>
      <c r="P3149" s="92">
        <v>1.702382E7</v>
      </c>
      <c r="Q3149" s="89" t="s">
        <v>838</v>
      </c>
      <c r="AF3149" s="1"/>
      <c r="AG3149" s="1"/>
    </row>
    <row r="3150" ht="15.75" customHeight="1">
      <c r="A3150" s="1"/>
      <c r="B3150" s="1"/>
      <c r="C3150" s="1"/>
      <c r="D3150" s="1"/>
      <c r="E3150" s="1"/>
      <c r="F3150" s="1"/>
      <c r="G3150" s="1"/>
      <c r="H3150" s="1"/>
      <c r="I3150" s="1"/>
      <c r="J3150" s="1"/>
      <c r="K3150" s="89" t="s">
        <v>4730</v>
      </c>
      <c r="L3150" s="89" t="str">
        <f>G108</f>
        <v>C1b1a2b</v>
      </c>
      <c r="M3150" s="89" t="s">
        <v>4729</v>
      </c>
      <c r="N3150" s="89" t="s">
        <v>4731</v>
      </c>
      <c r="O3150" s="92">
        <v>1.91357E7</v>
      </c>
      <c r="P3150" s="92">
        <v>1.702382E7</v>
      </c>
      <c r="Q3150" s="89" t="s">
        <v>838</v>
      </c>
      <c r="AF3150" s="1"/>
      <c r="AG3150" s="1"/>
    </row>
    <row r="3151" ht="15.75" customHeight="1">
      <c r="A3151" s="1"/>
      <c r="B3151" s="1"/>
      <c r="C3151" s="1"/>
      <c r="D3151" s="1"/>
      <c r="E3151" s="1"/>
      <c r="F3151" s="1"/>
      <c r="G3151" s="1"/>
      <c r="H3151" s="1"/>
      <c r="I3151" s="1"/>
      <c r="J3151" s="1"/>
      <c r="K3151" s="89" t="s">
        <v>4732</v>
      </c>
      <c r="L3151" s="89" t="str">
        <f>G108</f>
        <v>C1b1a2b</v>
      </c>
      <c r="M3151" s="89" t="s">
        <v>4733</v>
      </c>
      <c r="N3151" s="89" t="s">
        <v>4734</v>
      </c>
      <c r="O3151" s="92">
        <v>1.9153702E7</v>
      </c>
      <c r="P3151" s="92">
        <v>1.7041822E7</v>
      </c>
      <c r="Q3151" s="89" t="s">
        <v>838</v>
      </c>
      <c r="AF3151" s="1"/>
      <c r="AG3151" s="1"/>
    </row>
    <row r="3152" ht="15.75" customHeight="1">
      <c r="A3152" s="1"/>
      <c r="B3152" s="1"/>
      <c r="C3152" s="1"/>
      <c r="D3152" s="1"/>
      <c r="E3152" s="1"/>
      <c r="F3152" s="1"/>
      <c r="G3152" s="1"/>
      <c r="H3152" s="1"/>
      <c r="I3152" s="1"/>
      <c r="J3152" s="1"/>
      <c r="K3152" s="89" t="s">
        <v>4733</v>
      </c>
      <c r="L3152" s="89" t="str">
        <f>G108</f>
        <v>C1b1a2b</v>
      </c>
      <c r="M3152" s="89" t="s">
        <v>4732</v>
      </c>
      <c r="N3152" s="89" t="s">
        <v>4734</v>
      </c>
      <c r="O3152" s="92">
        <v>1.9153702E7</v>
      </c>
      <c r="P3152" s="92">
        <v>1.7041822E7</v>
      </c>
      <c r="Q3152" s="89" t="s">
        <v>838</v>
      </c>
      <c r="AF3152" s="1"/>
      <c r="AG3152" s="1"/>
    </row>
    <row r="3153" ht="15.75" customHeight="1">
      <c r="A3153" s="1"/>
      <c r="B3153" s="1"/>
      <c r="C3153" s="1"/>
      <c r="D3153" s="1"/>
      <c r="E3153" s="1"/>
      <c r="F3153" s="1"/>
      <c r="G3153" s="1"/>
      <c r="H3153" s="1"/>
      <c r="I3153" s="1"/>
      <c r="J3153" s="1"/>
      <c r="K3153" s="89" t="s">
        <v>4735</v>
      </c>
      <c r="L3153" s="89" t="str">
        <f>G108</f>
        <v>C1b1a2b</v>
      </c>
      <c r="M3153" s="89" t="s">
        <v>4736</v>
      </c>
      <c r="N3153" s="89" t="s">
        <v>4737</v>
      </c>
      <c r="O3153" s="92">
        <v>1.9161668E7</v>
      </c>
      <c r="P3153" s="92">
        <v>1.7049788E7</v>
      </c>
      <c r="Q3153" s="89" t="s">
        <v>912</v>
      </c>
      <c r="AF3153" s="1"/>
      <c r="AG3153" s="1"/>
    </row>
    <row r="3154" ht="15.75" customHeight="1">
      <c r="A3154" s="1"/>
      <c r="B3154" s="1"/>
      <c r="C3154" s="1"/>
      <c r="D3154" s="1"/>
      <c r="E3154" s="1"/>
      <c r="F3154" s="1"/>
      <c r="G3154" s="1"/>
      <c r="H3154" s="1"/>
      <c r="I3154" s="1"/>
      <c r="J3154" s="1"/>
      <c r="K3154" s="89" t="s">
        <v>4736</v>
      </c>
      <c r="L3154" s="89" t="str">
        <f>G108</f>
        <v>C1b1a2b</v>
      </c>
      <c r="M3154" s="89" t="s">
        <v>4735</v>
      </c>
      <c r="N3154" s="89" t="s">
        <v>4737</v>
      </c>
      <c r="O3154" s="92">
        <v>1.9161668E7</v>
      </c>
      <c r="P3154" s="92">
        <v>1.7049788E7</v>
      </c>
      <c r="Q3154" s="89" t="s">
        <v>912</v>
      </c>
      <c r="AF3154" s="1"/>
      <c r="AG3154" s="1"/>
    </row>
    <row r="3155" ht="15.75" customHeight="1">
      <c r="A3155" s="1"/>
      <c r="B3155" s="1"/>
      <c r="C3155" s="1"/>
      <c r="D3155" s="1"/>
      <c r="E3155" s="1"/>
      <c r="F3155" s="1"/>
      <c r="G3155" s="1"/>
      <c r="H3155" s="1"/>
      <c r="I3155" s="1"/>
      <c r="J3155" s="1"/>
      <c r="K3155" s="89" t="s">
        <v>4738</v>
      </c>
      <c r="L3155" s="89" t="str">
        <f>G108</f>
        <v>C1b1a2b</v>
      </c>
      <c r="M3155" s="89" t="s">
        <v>4739</v>
      </c>
      <c r="N3155" s="89" t="s">
        <v>4740</v>
      </c>
      <c r="O3155" s="92">
        <v>1.9226417E7</v>
      </c>
      <c r="P3155" s="92">
        <v>1.7114537E7</v>
      </c>
      <c r="Q3155" s="89" t="s">
        <v>845</v>
      </c>
      <c r="AF3155" s="1"/>
      <c r="AG3155" s="1"/>
    </row>
    <row r="3156" ht="15.75" customHeight="1">
      <c r="A3156" s="1"/>
      <c r="B3156" s="1"/>
      <c r="C3156" s="1"/>
      <c r="D3156" s="1"/>
      <c r="E3156" s="1"/>
      <c r="F3156" s="1"/>
      <c r="G3156" s="1"/>
      <c r="H3156" s="1"/>
      <c r="I3156" s="1"/>
      <c r="J3156" s="1"/>
      <c r="K3156" s="89" t="s">
        <v>4739</v>
      </c>
      <c r="L3156" s="89" t="str">
        <f>G108</f>
        <v>C1b1a2b</v>
      </c>
      <c r="M3156" s="89" t="s">
        <v>4738</v>
      </c>
      <c r="N3156" s="89" t="s">
        <v>4740</v>
      </c>
      <c r="O3156" s="92">
        <v>1.9226417E7</v>
      </c>
      <c r="P3156" s="92">
        <v>1.7114537E7</v>
      </c>
      <c r="Q3156" s="89" t="s">
        <v>845</v>
      </c>
      <c r="AF3156" s="1"/>
      <c r="AG3156" s="1"/>
    </row>
    <row r="3157" ht="15.75" customHeight="1">
      <c r="A3157" s="1"/>
      <c r="B3157" s="1"/>
      <c r="C3157" s="1"/>
      <c r="D3157" s="1"/>
      <c r="E3157" s="1"/>
      <c r="F3157" s="1"/>
      <c r="G3157" s="1"/>
      <c r="H3157" s="1"/>
      <c r="I3157" s="1"/>
      <c r="J3157" s="1"/>
      <c r="K3157" s="89" t="s">
        <v>4741</v>
      </c>
      <c r="L3157" s="89" t="str">
        <f>G108</f>
        <v>C1b1a2b</v>
      </c>
      <c r="M3157" s="89" t="s">
        <v>4742</v>
      </c>
      <c r="N3157" s="89" t="s">
        <v>4743</v>
      </c>
      <c r="O3157" s="92">
        <v>1.9242052E7</v>
      </c>
      <c r="P3157" s="92">
        <v>1.7130172E7</v>
      </c>
      <c r="Q3157" s="89" t="s">
        <v>864</v>
      </c>
      <c r="AF3157" s="1"/>
      <c r="AG3157" s="1"/>
    </row>
    <row r="3158" ht="15.75" customHeight="1">
      <c r="A3158" s="1"/>
      <c r="B3158" s="1"/>
      <c r="C3158" s="1"/>
      <c r="D3158" s="1"/>
      <c r="E3158" s="1"/>
      <c r="F3158" s="1"/>
      <c r="G3158" s="1"/>
      <c r="H3158" s="1"/>
      <c r="I3158" s="1"/>
      <c r="J3158" s="1"/>
      <c r="K3158" s="89" t="s">
        <v>4742</v>
      </c>
      <c r="L3158" s="89" t="str">
        <f>G108</f>
        <v>C1b1a2b</v>
      </c>
      <c r="M3158" s="89" t="s">
        <v>4741</v>
      </c>
      <c r="N3158" s="89" t="s">
        <v>4743</v>
      </c>
      <c r="O3158" s="92">
        <v>1.9242052E7</v>
      </c>
      <c r="P3158" s="92">
        <v>1.7130172E7</v>
      </c>
      <c r="Q3158" s="89" t="s">
        <v>864</v>
      </c>
      <c r="AF3158" s="1"/>
      <c r="AG3158" s="1"/>
    </row>
    <row r="3159" ht="15.75" customHeight="1">
      <c r="A3159" s="1"/>
      <c r="B3159" s="1"/>
      <c r="C3159" s="1"/>
      <c r="D3159" s="1"/>
      <c r="E3159" s="1"/>
      <c r="F3159" s="1"/>
      <c r="G3159" s="1"/>
      <c r="H3159" s="1"/>
      <c r="I3159" s="1"/>
      <c r="J3159" s="1"/>
      <c r="K3159" s="89" t="s">
        <v>4744</v>
      </c>
      <c r="L3159" s="89" t="str">
        <f>G108</f>
        <v>C1b1a2b</v>
      </c>
      <c r="M3159" s="89" t="s">
        <v>4745</v>
      </c>
      <c r="N3159" s="89" t="s">
        <v>4746</v>
      </c>
      <c r="O3159" s="92">
        <v>1.9285282E7</v>
      </c>
      <c r="P3159" s="92">
        <v>1.7173402E7</v>
      </c>
      <c r="Q3159" s="89" t="s">
        <v>838</v>
      </c>
      <c r="AF3159" s="1"/>
      <c r="AG3159" s="1"/>
    </row>
    <row r="3160" ht="15.75" customHeight="1">
      <c r="A3160" s="1"/>
      <c r="B3160" s="1"/>
      <c r="C3160" s="1"/>
      <c r="D3160" s="1"/>
      <c r="E3160" s="1"/>
      <c r="F3160" s="1"/>
      <c r="G3160" s="1"/>
      <c r="H3160" s="1"/>
      <c r="I3160" s="1"/>
      <c r="J3160" s="1"/>
      <c r="K3160" s="89" t="s">
        <v>4745</v>
      </c>
      <c r="L3160" s="89" t="str">
        <f>G108</f>
        <v>C1b1a2b</v>
      </c>
      <c r="M3160" s="89" t="s">
        <v>4744</v>
      </c>
      <c r="N3160" s="89" t="s">
        <v>4746</v>
      </c>
      <c r="O3160" s="92">
        <v>1.9285282E7</v>
      </c>
      <c r="P3160" s="92">
        <v>1.7173402E7</v>
      </c>
      <c r="Q3160" s="89" t="s">
        <v>838</v>
      </c>
      <c r="AF3160" s="1"/>
      <c r="AG3160" s="1"/>
    </row>
    <row r="3161" ht="15.75" customHeight="1">
      <c r="A3161" s="1"/>
      <c r="B3161" s="1"/>
      <c r="C3161" s="1"/>
      <c r="D3161" s="1"/>
      <c r="E3161" s="1"/>
      <c r="F3161" s="1"/>
      <c r="G3161" s="1"/>
      <c r="H3161" s="1"/>
      <c r="I3161" s="1"/>
      <c r="J3161" s="1"/>
      <c r="K3161" s="89" t="s">
        <v>4747</v>
      </c>
      <c r="L3161" s="89" t="str">
        <f>G108</f>
        <v>C1b1a2b</v>
      </c>
      <c r="M3161" s="89" t="s">
        <v>4748</v>
      </c>
      <c r="N3161" s="89" t="s">
        <v>4749</v>
      </c>
      <c r="O3161" s="92">
        <v>1.9310865E7</v>
      </c>
      <c r="P3161" s="92">
        <v>1.7198985E7</v>
      </c>
      <c r="Q3161" s="89" t="s">
        <v>917</v>
      </c>
      <c r="AF3161" s="1"/>
      <c r="AG3161" s="1"/>
    </row>
    <row r="3162" ht="15.75" customHeight="1">
      <c r="A3162" s="1"/>
      <c r="B3162" s="1"/>
      <c r="C3162" s="1"/>
      <c r="D3162" s="1"/>
      <c r="E3162" s="1"/>
      <c r="F3162" s="1"/>
      <c r="G3162" s="1"/>
      <c r="H3162" s="1"/>
      <c r="I3162" s="1"/>
      <c r="J3162" s="1"/>
      <c r="K3162" s="89" t="s">
        <v>4748</v>
      </c>
      <c r="L3162" s="89" t="str">
        <f>G108</f>
        <v>C1b1a2b</v>
      </c>
      <c r="M3162" s="89" t="s">
        <v>4747</v>
      </c>
      <c r="N3162" s="89" t="s">
        <v>4749</v>
      </c>
      <c r="O3162" s="92">
        <v>1.9310865E7</v>
      </c>
      <c r="P3162" s="92">
        <v>1.7198985E7</v>
      </c>
      <c r="Q3162" s="89" t="s">
        <v>917</v>
      </c>
      <c r="AF3162" s="1"/>
      <c r="AG3162" s="1"/>
    </row>
    <row r="3163" ht="15.75" customHeight="1">
      <c r="A3163" s="1"/>
      <c r="B3163" s="1"/>
      <c r="C3163" s="1"/>
      <c r="D3163" s="1"/>
      <c r="E3163" s="1"/>
      <c r="F3163" s="1"/>
      <c r="G3163" s="1"/>
      <c r="H3163" s="1"/>
      <c r="I3163" s="1"/>
      <c r="J3163" s="1"/>
      <c r="K3163" s="89" t="s">
        <v>4750</v>
      </c>
      <c r="L3163" s="89" t="str">
        <f>G108</f>
        <v>C1b1a2b</v>
      </c>
      <c r="M3163" s="89" t="s">
        <v>4751</v>
      </c>
      <c r="N3163" s="89" t="s">
        <v>4752</v>
      </c>
      <c r="O3163" s="92">
        <v>1.9394992E7</v>
      </c>
      <c r="P3163" s="92">
        <v>1.7283112E7</v>
      </c>
      <c r="Q3163" s="89" t="s">
        <v>802</v>
      </c>
      <c r="AF3163" s="1"/>
      <c r="AG3163" s="1"/>
    </row>
    <row r="3164" ht="15.75" customHeight="1">
      <c r="A3164" s="1"/>
      <c r="B3164" s="1"/>
      <c r="C3164" s="1"/>
      <c r="D3164" s="1"/>
      <c r="E3164" s="1"/>
      <c r="F3164" s="1"/>
      <c r="G3164" s="1"/>
      <c r="H3164" s="1"/>
      <c r="I3164" s="1"/>
      <c r="J3164" s="1"/>
      <c r="K3164" s="89" t="s">
        <v>4751</v>
      </c>
      <c r="L3164" s="89" t="str">
        <f>G108</f>
        <v>C1b1a2b</v>
      </c>
      <c r="M3164" s="89" t="s">
        <v>4750</v>
      </c>
      <c r="N3164" s="89" t="s">
        <v>4752</v>
      </c>
      <c r="O3164" s="92">
        <v>1.9394992E7</v>
      </c>
      <c r="P3164" s="92">
        <v>1.7283112E7</v>
      </c>
      <c r="Q3164" s="89" t="s">
        <v>802</v>
      </c>
      <c r="AF3164" s="1"/>
      <c r="AG3164" s="1"/>
    </row>
    <row r="3165" ht="15.75" customHeight="1">
      <c r="A3165" s="1"/>
      <c r="B3165" s="1"/>
      <c r="C3165" s="1"/>
      <c r="D3165" s="1"/>
      <c r="E3165" s="1"/>
      <c r="F3165" s="1"/>
      <c r="G3165" s="1"/>
      <c r="H3165" s="1"/>
      <c r="I3165" s="1"/>
      <c r="J3165" s="1"/>
      <c r="K3165" s="89" t="s">
        <v>4753</v>
      </c>
      <c r="L3165" s="89" t="str">
        <f>G108</f>
        <v>C1b1a2b</v>
      </c>
      <c r="M3165" s="89" t="s">
        <v>4754</v>
      </c>
      <c r="N3165" s="89"/>
      <c r="O3165" s="92">
        <v>1.9423896E7</v>
      </c>
      <c r="P3165" s="92">
        <v>1.7312016E7</v>
      </c>
      <c r="Q3165" s="89" t="s">
        <v>879</v>
      </c>
      <c r="AF3165" s="1"/>
      <c r="AG3165" s="1"/>
    </row>
    <row r="3166" ht="15.75" customHeight="1">
      <c r="A3166" s="1"/>
      <c r="B3166" s="1"/>
      <c r="C3166" s="1"/>
      <c r="D3166" s="1"/>
      <c r="E3166" s="1"/>
      <c r="F3166" s="1"/>
      <c r="G3166" s="1"/>
      <c r="H3166" s="1"/>
      <c r="I3166" s="1"/>
      <c r="J3166" s="1"/>
      <c r="K3166" s="89" t="s">
        <v>4754</v>
      </c>
      <c r="L3166" s="89" t="str">
        <f>G108</f>
        <v>C1b1a2b</v>
      </c>
      <c r="M3166" s="89" t="s">
        <v>4753</v>
      </c>
      <c r="N3166" s="89"/>
      <c r="O3166" s="92">
        <v>1.9423896E7</v>
      </c>
      <c r="P3166" s="92">
        <v>1.7312016E7</v>
      </c>
      <c r="Q3166" s="89" t="s">
        <v>879</v>
      </c>
      <c r="AF3166" s="1"/>
      <c r="AG3166" s="1"/>
    </row>
    <row r="3167" ht="15.75" customHeight="1">
      <c r="A3167" s="1"/>
      <c r="B3167" s="1"/>
      <c r="C3167" s="1"/>
      <c r="D3167" s="1"/>
      <c r="E3167" s="1"/>
      <c r="F3167" s="1"/>
      <c r="G3167" s="1"/>
      <c r="H3167" s="1"/>
      <c r="I3167" s="1"/>
      <c r="J3167" s="1"/>
      <c r="K3167" s="89" t="s">
        <v>4755</v>
      </c>
      <c r="L3167" s="89" t="str">
        <f>G108</f>
        <v>C1b1a2b</v>
      </c>
      <c r="M3167" s="89" t="s">
        <v>4756</v>
      </c>
      <c r="N3167" s="89" t="s">
        <v>4757</v>
      </c>
      <c r="O3167" s="92">
        <v>1.9443567E7</v>
      </c>
      <c r="P3167" s="92">
        <v>1.7331687E7</v>
      </c>
      <c r="Q3167" s="89" t="s">
        <v>838</v>
      </c>
      <c r="AF3167" s="1"/>
      <c r="AG3167" s="1"/>
    </row>
    <row r="3168" ht="15.75" customHeight="1">
      <c r="A3168" s="1"/>
      <c r="B3168" s="1"/>
      <c r="C3168" s="1"/>
      <c r="D3168" s="1"/>
      <c r="E3168" s="1"/>
      <c r="F3168" s="1"/>
      <c r="G3168" s="1"/>
      <c r="H3168" s="1"/>
      <c r="I3168" s="1"/>
      <c r="J3168" s="1"/>
      <c r="K3168" s="89" t="s">
        <v>4756</v>
      </c>
      <c r="L3168" s="89" t="str">
        <f>G108</f>
        <v>C1b1a2b</v>
      </c>
      <c r="M3168" s="89" t="s">
        <v>4755</v>
      </c>
      <c r="N3168" s="89" t="s">
        <v>4757</v>
      </c>
      <c r="O3168" s="92">
        <v>1.9443567E7</v>
      </c>
      <c r="P3168" s="92">
        <v>1.7331687E7</v>
      </c>
      <c r="Q3168" s="89" t="s">
        <v>838</v>
      </c>
      <c r="AF3168" s="1"/>
      <c r="AG3168" s="1"/>
    </row>
    <row r="3169" ht="15.75" customHeight="1">
      <c r="A3169" s="1"/>
      <c r="B3169" s="1"/>
      <c r="C3169" s="1"/>
      <c r="D3169" s="1"/>
      <c r="E3169" s="1"/>
      <c r="F3169" s="1"/>
      <c r="G3169" s="1"/>
      <c r="H3169" s="1"/>
      <c r="I3169" s="1"/>
      <c r="J3169" s="1"/>
      <c r="K3169" s="89" t="s">
        <v>4758</v>
      </c>
      <c r="L3169" s="89" t="str">
        <f>G108</f>
        <v>C1b1a2b</v>
      </c>
      <c r="M3169" s="89" t="s">
        <v>4759</v>
      </c>
      <c r="N3169" s="89" t="s">
        <v>4760</v>
      </c>
      <c r="O3169" s="92">
        <v>2.1040649E7</v>
      </c>
      <c r="P3169" s="92">
        <v>1.8878763E7</v>
      </c>
      <c r="Q3169" s="89" t="s">
        <v>879</v>
      </c>
      <c r="AF3169" s="1"/>
      <c r="AG3169" s="1"/>
    </row>
    <row r="3170" ht="15.75" customHeight="1">
      <c r="A3170" s="1"/>
      <c r="B3170" s="1"/>
      <c r="C3170" s="1"/>
      <c r="D3170" s="1"/>
      <c r="E3170" s="1"/>
      <c r="F3170" s="1"/>
      <c r="G3170" s="1"/>
      <c r="H3170" s="1"/>
      <c r="I3170" s="1"/>
      <c r="J3170" s="1"/>
      <c r="K3170" s="89" t="s">
        <v>4759</v>
      </c>
      <c r="L3170" s="89" t="str">
        <f>G108</f>
        <v>C1b1a2b</v>
      </c>
      <c r="M3170" s="89" t="s">
        <v>4758</v>
      </c>
      <c r="N3170" s="89" t="s">
        <v>4760</v>
      </c>
      <c r="O3170" s="92">
        <v>2.1040649E7</v>
      </c>
      <c r="P3170" s="92">
        <v>1.8878763E7</v>
      </c>
      <c r="Q3170" s="89" t="s">
        <v>879</v>
      </c>
      <c r="AF3170" s="1"/>
      <c r="AG3170" s="1"/>
    </row>
    <row r="3171" ht="15.75" customHeight="1">
      <c r="A3171" s="1"/>
      <c r="B3171" s="1"/>
      <c r="C3171" s="1"/>
      <c r="D3171" s="1"/>
      <c r="E3171" s="1"/>
      <c r="F3171" s="1"/>
      <c r="G3171" s="1"/>
      <c r="H3171" s="1"/>
      <c r="I3171" s="1"/>
      <c r="J3171" s="1"/>
      <c r="K3171" s="89" t="s">
        <v>4761</v>
      </c>
      <c r="L3171" s="89" t="str">
        <f>G108</f>
        <v>C1b1a2b</v>
      </c>
      <c r="M3171" s="89" t="s">
        <v>4762</v>
      </c>
      <c r="N3171" s="89" t="s">
        <v>4763</v>
      </c>
      <c r="O3171" s="92">
        <v>2.1052319E7</v>
      </c>
      <c r="P3171" s="92">
        <v>1.8890433E7</v>
      </c>
      <c r="Q3171" s="89" t="s">
        <v>838</v>
      </c>
      <c r="AF3171" s="1"/>
      <c r="AG3171" s="1"/>
    </row>
    <row r="3172" ht="15.75" customHeight="1">
      <c r="A3172" s="1"/>
      <c r="B3172" s="1"/>
      <c r="C3172" s="1"/>
      <c r="D3172" s="1"/>
      <c r="E3172" s="1"/>
      <c r="F3172" s="1"/>
      <c r="G3172" s="1"/>
      <c r="H3172" s="1"/>
      <c r="I3172" s="1"/>
      <c r="J3172" s="1"/>
      <c r="K3172" s="89" t="s">
        <v>4762</v>
      </c>
      <c r="L3172" s="89" t="str">
        <f>G108</f>
        <v>C1b1a2b</v>
      </c>
      <c r="M3172" s="89" t="s">
        <v>4761</v>
      </c>
      <c r="N3172" s="89" t="s">
        <v>4763</v>
      </c>
      <c r="O3172" s="92">
        <v>2.1052319E7</v>
      </c>
      <c r="P3172" s="92">
        <v>1.8890433E7</v>
      </c>
      <c r="Q3172" s="89" t="s">
        <v>838</v>
      </c>
      <c r="AF3172" s="1"/>
      <c r="AG3172" s="1"/>
    </row>
    <row r="3173" ht="15.75" customHeight="1">
      <c r="A3173" s="1"/>
      <c r="B3173" s="1"/>
      <c r="C3173" s="1"/>
      <c r="D3173" s="1"/>
      <c r="E3173" s="1"/>
      <c r="F3173" s="1"/>
      <c r="G3173" s="1"/>
      <c r="H3173" s="1"/>
      <c r="I3173" s="1"/>
      <c r="J3173" s="1"/>
      <c r="K3173" s="89" t="s">
        <v>4764</v>
      </c>
      <c r="L3173" s="89" t="str">
        <f>G108</f>
        <v>C1b1a2b</v>
      </c>
      <c r="M3173" s="89" t="s">
        <v>4765</v>
      </c>
      <c r="N3173" s="89" t="s">
        <v>4766</v>
      </c>
      <c r="O3173" s="92">
        <v>2.1083886E7</v>
      </c>
      <c r="P3173" s="92">
        <v>1.8922E7</v>
      </c>
      <c r="Q3173" s="89" t="s">
        <v>912</v>
      </c>
      <c r="AF3173" s="1"/>
      <c r="AG3173" s="1"/>
    </row>
    <row r="3174" ht="15.75" customHeight="1">
      <c r="A3174" s="1"/>
      <c r="B3174" s="1"/>
      <c r="C3174" s="1"/>
      <c r="D3174" s="1"/>
      <c r="E3174" s="1"/>
      <c r="F3174" s="1"/>
      <c r="G3174" s="1"/>
      <c r="H3174" s="1"/>
      <c r="I3174" s="1"/>
      <c r="J3174" s="1"/>
      <c r="K3174" s="89" t="s">
        <v>4765</v>
      </c>
      <c r="L3174" s="89" t="str">
        <f>G108</f>
        <v>C1b1a2b</v>
      </c>
      <c r="M3174" s="89" t="s">
        <v>4764</v>
      </c>
      <c r="N3174" s="89" t="s">
        <v>4766</v>
      </c>
      <c r="O3174" s="92">
        <v>2.1083886E7</v>
      </c>
      <c r="P3174" s="92">
        <v>1.8922E7</v>
      </c>
      <c r="Q3174" s="89" t="s">
        <v>912</v>
      </c>
      <c r="AF3174" s="1"/>
      <c r="AG3174" s="1"/>
    </row>
    <row r="3175" ht="15.75" customHeight="1">
      <c r="A3175" s="1"/>
      <c r="B3175" s="1"/>
      <c r="C3175" s="1"/>
      <c r="D3175" s="1"/>
      <c r="E3175" s="1"/>
      <c r="F3175" s="1"/>
      <c r="G3175" s="1"/>
      <c r="H3175" s="1"/>
      <c r="I3175" s="1"/>
      <c r="J3175" s="1"/>
      <c r="K3175" s="89" t="s">
        <v>4767</v>
      </c>
      <c r="L3175" s="89" t="str">
        <f>G108</f>
        <v>C1b1a2b</v>
      </c>
      <c r="M3175" s="89" t="s">
        <v>4768</v>
      </c>
      <c r="N3175" s="89" t="s">
        <v>4769</v>
      </c>
      <c r="O3175" s="92">
        <v>2.1097978E7</v>
      </c>
      <c r="P3175" s="92">
        <v>1.8936092E7</v>
      </c>
      <c r="Q3175" s="89" t="s">
        <v>802</v>
      </c>
      <c r="AF3175" s="1"/>
      <c r="AG3175" s="1"/>
    </row>
    <row r="3176" ht="15.75" customHeight="1">
      <c r="A3176" s="1"/>
      <c r="B3176" s="1"/>
      <c r="C3176" s="1"/>
      <c r="D3176" s="1"/>
      <c r="E3176" s="1"/>
      <c r="F3176" s="1"/>
      <c r="G3176" s="1"/>
      <c r="H3176" s="1"/>
      <c r="I3176" s="1"/>
      <c r="J3176" s="1"/>
      <c r="K3176" s="89" t="s">
        <v>4768</v>
      </c>
      <c r="L3176" s="89" t="str">
        <f>G108</f>
        <v>C1b1a2b</v>
      </c>
      <c r="M3176" s="89" t="s">
        <v>4767</v>
      </c>
      <c r="N3176" s="89" t="s">
        <v>4769</v>
      </c>
      <c r="O3176" s="92">
        <v>2.1097978E7</v>
      </c>
      <c r="P3176" s="92">
        <v>1.8936092E7</v>
      </c>
      <c r="Q3176" s="89" t="s">
        <v>802</v>
      </c>
      <c r="AF3176" s="1"/>
      <c r="AG3176" s="1"/>
    </row>
    <row r="3177" ht="15.75" customHeight="1">
      <c r="A3177" s="1"/>
      <c r="B3177" s="1"/>
      <c r="C3177" s="1"/>
      <c r="D3177" s="1"/>
      <c r="E3177" s="1"/>
      <c r="F3177" s="1"/>
      <c r="G3177" s="1"/>
      <c r="H3177" s="1"/>
      <c r="I3177" s="1"/>
      <c r="J3177" s="1"/>
      <c r="K3177" s="89" t="s">
        <v>4770</v>
      </c>
      <c r="L3177" s="89" t="str">
        <f>G108</f>
        <v>C1b1a2b</v>
      </c>
      <c r="M3177" s="89" t="s">
        <v>4771</v>
      </c>
      <c r="N3177" s="89" t="s">
        <v>4772</v>
      </c>
      <c r="O3177" s="92">
        <v>2.1148137E7</v>
      </c>
      <c r="P3177" s="92">
        <v>1.8986251E7</v>
      </c>
      <c r="Q3177" s="89" t="s">
        <v>822</v>
      </c>
      <c r="AF3177" s="1"/>
      <c r="AG3177" s="1"/>
    </row>
    <row r="3178" ht="15.75" customHeight="1">
      <c r="A3178" s="1"/>
      <c r="B3178" s="1"/>
      <c r="C3178" s="1"/>
      <c r="D3178" s="1"/>
      <c r="E3178" s="1"/>
      <c r="F3178" s="1"/>
      <c r="G3178" s="1"/>
      <c r="H3178" s="1"/>
      <c r="I3178" s="1"/>
      <c r="J3178" s="1"/>
      <c r="K3178" s="89" t="s">
        <v>4771</v>
      </c>
      <c r="L3178" s="89" t="str">
        <f>G108</f>
        <v>C1b1a2b</v>
      </c>
      <c r="M3178" s="89" t="s">
        <v>4770</v>
      </c>
      <c r="N3178" s="89" t="s">
        <v>4772</v>
      </c>
      <c r="O3178" s="92">
        <v>2.1148137E7</v>
      </c>
      <c r="P3178" s="92">
        <v>1.8986251E7</v>
      </c>
      <c r="Q3178" s="89" t="s">
        <v>822</v>
      </c>
      <c r="AF3178" s="1"/>
      <c r="AG3178" s="1"/>
    </row>
    <row r="3179" ht="15.75" customHeight="1">
      <c r="A3179" s="1"/>
      <c r="B3179" s="1"/>
      <c r="C3179" s="1"/>
      <c r="D3179" s="1"/>
      <c r="E3179" s="1"/>
      <c r="F3179" s="1"/>
      <c r="G3179" s="1"/>
      <c r="H3179" s="1"/>
      <c r="I3179" s="1"/>
      <c r="J3179" s="1"/>
      <c r="K3179" s="89" t="s">
        <v>4773</v>
      </c>
      <c r="L3179" s="89" t="str">
        <f>G108</f>
        <v>C1b1a2b</v>
      </c>
      <c r="M3179" s="89" t="s">
        <v>4774</v>
      </c>
      <c r="N3179" s="89" t="s">
        <v>4775</v>
      </c>
      <c r="O3179" s="92">
        <v>2.1161196E7</v>
      </c>
      <c r="P3179" s="92">
        <v>1.899931E7</v>
      </c>
      <c r="Q3179" s="89" t="s">
        <v>838</v>
      </c>
      <c r="AF3179" s="1"/>
      <c r="AG3179" s="1"/>
    </row>
    <row r="3180" ht="15.75" customHeight="1">
      <c r="A3180" s="1"/>
      <c r="B3180" s="1"/>
      <c r="C3180" s="1"/>
      <c r="D3180" s="1"/>
      <c r="E3180" s="1"/>
      <c r="F3180" s="1"/>
      <c r="G3180" s="1"/>
      <c r="H3180" s="1"/>
      <c r="I3180" s="1"/>
      <c r="J3180" s="1"/>
      <c r="K3180" s="89" t="s">
        <v>4774</v>
      </c>
      <c r="L3180" s="89" t="str">
        <f>G108</f>
        <v>C1b1a2b</v>
      </c>
      <c r="M3180" s="89" t="s">
        <v>4773</v>
      </c>
      <c r="N3180" s="89" t="s">
        <v>4775</v>
      </c>
      <c r="O3180" s="92">
        <v>2.1161196E7</v>
      </c>
      <c r="P3180" s="92">
        <v>1.899931E7</v>
      </c>
      <c r="Q3180" s="89" t="s">
        <v>838</v>
      </c>
      <c r="AF3180" s="1"/>
      <c r="AG3180" s="1"/>
    </row>
    <row r="3181" ht="15.75" customHeight="1">
      <c r="A3181" s="1"/>
      <c r="B3181" s="1"/>
      <c r="C3181" s="1"/>
      <c r="D3181" s="1"/>
      <c r="E3181" s="1"/>
      <c r="F3181" s="1"/>
      <c r="G3181" s="1"/>
      <c r="H3181" s="1"/>
      <c r="I3181" s="1"/>
      <c r="J3181" s="1"/>
      <c r="K3181" s="93" t="s">
        <v>4776</v>
      </c>
      <c r="L3181" s="89" t="str">
        <f>G108</f>
        <v>C1b1a2b</v>
      </c>
      <c r="M3181" s="89" t="s">
        <v>4777</v>
      </c>
      <c r="N3181" s="89" t="s">
        <v>4778</v>
      </c>
      <c r="O3181" s="92">
        <v>2.1190813E7</v>
      </c>
      <c r="P3181" s="92">
        <v>1.9028927E7</v>
      </c>
      <c r="Q3181" s="89" t="s">
        <v>810</v>
      </c>
      <c r="AF3181" s="1"/>
      <c r="AG3181" s="1"/>
    </row>
    <row r="3182" ht="15.75" customHeight="1">
      <c r="A3182" s="1"/>
      <c r="B3182" s="1"/>
      <c r="C3182" s="1"/>
      <c r="D3182" s="1"/>
      <c r="E3182" s="1"/>
      <c r="F3182" s="1"/>
      <c r="G3182" s="1"/>
      <c r="H3182" s="1"/>
      <c r="I3182" s="1"/>
      <c r="J3182" s="1"/>
      <c r="K3182" s="89" t="s">
        <v>4777</v>
      </c>
      <c r="L3182" s="89" t="str">
        <f>G108</f>
        <v>C1b1a2b</v>
      </c>
      <c r="M3182" s="93" t="s">
        <v>4776</v>
      </c>
      <c r="N3182" s="89" t="s">
        <v>4778</v>
      </c>
      <c r="O3182" s="92">
        <v>2.1190813E7</v>
      </c>
      <c r="P3182" s="92">
        <v>1.9028927E7</v>
      </c>
      <c r="Q3182" s="89" t="s">
        <v>810</v>
      </c>
      <c r="AF3182" s="1"/>
      <c r="AG3182" s="1"/>
    </row>
    <row r="3183" ht="15.75" customHeight="1">
      <c r="A3183" s="1"/>
      <c r="B3183" s="1"/>
      <c r="C3183" s="1"/>
      <c r="D3183" s="1"/>
      <c r="E3183" s="1"/>
      <c r="F3183" s="1"/>
      <c r="G3183" s="1"/>
      <c r="H3183" s="1"/>
      <c r="I3183" s="1"/>
      <c r="J3183" s="1"/>
      <c r="K3183" s="89" t="s">
        <v>4779</v>
      </c>
      <c r="L3183" s="89" t="str">
        <f>G108</f>
        <v>C1b1a2b</v>
      </c>
      <c r="M3183" s="89" t="s">
        <v>4780</v>
      </c>
      <c r="N3183" s="89" t="s">
        <v>4781</v>
      </c>
      <c r="O3183" s="92">
        <v>2.1253707E7</v>
      </c>
      <c r="P3183" s="92">
        <v>1.9091821E7</v>
      </c>
      <c r="Q3183" s="89" t="s">
        <v>802</v>
      </c>
      <c r="AF3183" s="1"/>
      <c r="AG3183" s="1"/>
    </row>
    <row r="3184" ht="15.75" customHeight="1">
      <c r="A3184" s="1"/>
      <c r="B3184" s="1"/>
      <c r="C3184" s="1"/>
      <c r="D3184" s="1"/>
      <c r="E3184" s="1"/>
      <c r="F3184" s="1"/>
      <c r="G3184" s="1"/>
      <c r="H3184" s="1"/>
      <c r="I3184" s="1"/>
      <c r="J3184" s="1"/>
      <c r="K3184" s="89" t="s">
        <v>4780</v>
      </c>
      <c r="L3184" s="89" t="str">
        <f>G108</f>
        <v>C1b1a2b</v>
      </c>
      <c r="M3184" s="89" t="s">
        <v>4779</v>
      </c>
      <c r="N3184" s="89" t="s">
        <v>4781</v>
      </c>
      <c r="O3184" s="92">
        <v>2.1253707E7</v>
      </c>
      <c r="P3184" s="92">
        <v>1.9091821E7</v>
      </c>
      <c r="Q3184" s="89" t="s">
        <v>802</v>
      </c>
      <c r="AF3184" s="1"/>
      <c r="AG3184" s="1"/>
    </row>
    <row r="3185" ht="15.75" customHeight="1">
      <c r="A3185" s="1"/>
      <c r="B3185" s="1"/>
      <c r="C3185" s="1"/>
      <c r="D3185" s="1"/>
      <c r="E3185" s="1"/>
      <c r="F3185" s="1"/>
      <c r="G3185" s="1"/>
      <c r="H3185" s="1"/>
      <c r="I3185" s="1"/>
      <c r="J3185" s="1"/>
      <c r="K3185" s="89" t="s">
        <v>4782</v>
      </c>
      <c r="L3185" s="89" t="str">
        <f>G108</f>
        <v>C1b1a2b</v>
      </c>
      <c r="M3185" s="89" t="s">
        <v>4783</v>
      </c>
      <c r="N3185" s="89" t="s">
        <v>4784</v>
      </c>
      <c r="O3185" s="92">
        <v>2.1256592E7</v>
      </c>
      <c r="P3185" s="92">
        <v>1.9094706E7</v>
      </c>
      <c r="Q3185" s="89" t="s">
        <v>813</v>
      </c>
      <c r="AF3185" s="1"/>
      <c r="AG3185" s="1"/>
    </row>
    <row r="3186" ht="15.75" customHeight="1">
      <c r="A3186" s="1"/>
      <c r="B3186" s="1"/>
      <c r="C3186" s="1"/>
      <c r="D3186" s="1"/>
      <c r="E3186" s="1"/>
      <c r="F3186" s="1"/>
      <c r="G3186" s="1"/>
      <c r="H3186" s="1"/>
      <c r="I3186" s="1"/>
      <c r="J3186" s="1"/>
      <c r="K3186" s="89" t="s">
        <v>4783</v>
      </c>
      <c r="L3186" s="89" t="str">
        <f>G108</f>
        <v>C1b1a2b</v>
      </c>
      <c r="M3186" s="89" t="s">
        <v>4782</v>
      </c>
      <c r="N3186" s="89" t="s">
        <v>4784</v>
      </c>
      <c r="O3186" s="92">
        <v>2.1256592E7</v>
      </c>
      <c r="P3186" s="92">
        <v>1.9094706E7</v>
      </c>
      <c r="Q3186" s="89" t="s">
        <v>813</v>
      </c>
      <c r="AF3186" s="1"/>
      <c r="AG3186" s="1"/>
    </row>
    <row r="3187" ht="15.75" customHeight="1">
      <c r="A3187" s="1"/>
      <c r="B3187" s="1"/>
      <c r="C3187" s="1"/>
      <c r="D3187" s="1"/>
      <c r="E3187" s="1"/>
      <c r="F3187" s="1"/>
      <c r="G3187" s="1"/>
      <c r="H3187" s="1"/>
      <c r="I3187" s="1"/>
      <c r="J3187" s="1"/>
      <c r="K3187" s="89" t="s">
        <v>4785</v>
      </c>
      <c r="L3187" s="89" t="str">
        <f>G108</f>
        <v>C1b1a2b</v>
      </c>
      <c r="M3187" s="89" t="s">
        <v>4786</v>
      </c>
      <c r="N3187" s="89" t="s">
        <v>4787</v>
      </c>
      <c r="O3187" s="92">
        <v>2.1314718E7</v>
      </c>
      <c r="P3187" s="92">
        <v>1.9152832E7</v>
      </c>
      <c r="Q3187" s="89" t="s">
        <v>838</v>
      </c>
      <c r="AF3187" s="1"/>
      <c r="AG3187" s="1"/>
    </row>
    <row r="3188" ht="15.75" customHeight="1">
      <c r="A3188" s="1"/>
      <c r="B3188" s="1"/>
      <c r="C3188" s="1"/>
      <c r="D3188" s="1"/>
      <c r="E3188" s="1"/>
      <c r="F3188" s="1"/>
      <c r="G3188" s="1"/>
      <c r="H3188" s="1"/>
      <c r="I3188" s="1"/>
      <c r="J3188" s="1"/>
      <c r="K3188" s="89" t="s">
        <v>4786</v>
      </c>
      <c r="L3188" s="89" t="str">
        <f>G108</f>
        <v>C1b1a2b</v>
      </c>
      <c r="M3188" s="89" t="s">
        <v>4785</v>
      </c>
      <c r="N3188" s="89" t="s">
        <v>4787</v>
      </c>
      <c r="O3188" s="92">
        <v>2.1314718E7</v>
      </c>
      <c r="P3188" s="92">
        <v>1.9152832E7</v>
      </c>
      <c r="Q3188" s="89" t="s">
        <v>838</v>
      </c>
      <c r="AF3188" s="1"/>
      <c r="AG3188" s="1"/>
    </row>
    <row r="3189" ht="15.75" customHeight="1">
      <c r="A3189" s="1"/>
      <c r="B3189" s="1"/>
      <c r="C3189" s="1"/>
      <c r="D3189" s="1"/>
      <c r="E3189" s="1"/>
      <c r="F3189" s="1"/>
      <c r="G3189" s="1"/>
      <c r="H3189" s="1"/>
      <c r="I3189" s="1"/>
      <c r="J3189" s="1"/>
      <c r="K3189" s="89" t="s">
        <v>4788</v>
      </c>
      <c r="L3189" s="89" t="str">
        <f>G108</f>
        <v>C1b1a2b</v>
      </c>
      <c r="M3189" s="89" t="s">
        <v>4789</v>
      </c>
      <c r="N3189" s="89" t="s">
        <v>4790</v>
      </c>
      <c r="O3189" s="92">
        <v>2.1365967E7</v>
      </c>
      <c r="P3189" s="92">
        <v>1.9204081E7</v>
      </c>
      <c r="Q3189" s="89" t="s">
        <v>802</v>
      </c>
      <c r="AF3189" s="1"/>
      <c r="AG3189" s="1"/>
    </row>
    <row r="3190" ht="15.75" customHeight="1">
      <c r="A3190" s="1"/>
      <c r="B3190" s="1"/>
      <c r="C3190" s="1"/>
      <c r="D3190" s="1"/>
      <c r="E3190" s="1"/>
      <c r="F3190" s="1"/>
      <c r="G3190" s="1"/>
      <c r="H3190" s="1"/>
      <c r="I3190" s="1"/>
      <c r="J3190" s="1"/>
      <c r="K3190" s="89" t="s">
        <v>4789</v>
      </c>
      <c r="L3190" s="89" t="str">
        <f>G108</f>
        <v>C1b1a2b</v>
      </c>
      <c r="M3190" s="89" t="s">
        <v>4788</v>
      </c>
      <c r="N3190" s="89" t="s">
        <v>4790</v>
      </c>
      <c r="O3190" s="92">
        <v>2.1365967E7</v>
      </c>
      <c r="P3190" s="92">
        <v>1.9204081E7</v>
      </c>
      <c r="Q3190" s="89" t="s">
        <v>802</v>
      </c>
      <c r="AF3190" s="1"/>
      <c r="AG3190" s="1"/>
    </row>
    <row r="3191" ht="15.75" customHeight="1">
      <c r="A3191" s="1"/>
      <c r="B3191" s="1"/>
      <c r="C3191" s="1"/>
      <c r="D3191" s="1"/>
      <c r="E3191" s="1"/>
      <c r="F3191" s="1"/>
      <c r="G3191" s="1"/>
      <c r="H3191" s="1"/>
      <c r="I3191" s="1"/>
      <c r="J3191" s="1"/>
      <c r="K3191" s="89" t="s">
        <v>4791</v>
      </c>
      <c r="L3191" s="89" t="str">
        <f>G108</f>
        <v>C1b1a2b</v>
      </c>
      <c r="M3191" s="89" t="s">
        <v>4792</v>
      </c>
      <c r="N3191" s="89" t="s">
        <v>4793</v>
      </c>
      <c r="O3191" s="92">
        <v>2.1438189E7</v>
      </c>
      <c r="P3191" s="92">
        <v>1.9276303E7</v>
      </c>
      <c r="Q3191" s="89" t="s">
        <v>813</v>
      </c>
      <c r="AF3191" s="1"/>
      <c r="AG3191" s="1"/>
    </row>
    <row r="3192" ht="15.75" customHeight="1">
      <c r="A3192" s="1"/>
      <c r="B3192" s="1"/>
      <c r="C3192" s="1"/>
      <c r="D3192" s="1"/>
      <c r="E3192" s="1"/>
      <c r="F3192" s="1"/>
      <c r="G3192" s="1"/>
      <c r="H3192" s="1"/>
      <c r="I3192" s="1"/>
      <c r="J3192" s="1"/>
      <c r="K3192" s="89" t="s">
        <v>4792</v>
      </c>
      <c r="L3192" s="89" t="str">
        <f>G108</f>
        <v>C1b1a2b</v>
      </c>
      <c r="M3192" s="89" t="s">
        <v>4791</v>
      </c>
      <c r="N3192" s="89" t="s">
        <v>4793</v>
      </c>
      <c r="O3192" s="92">
        <v>2.1438189E7</v>
      </c>
      <c r="P3192" s="92">
        <v>1.9276303E7</v>
      </c>
      <c r="Q3192" s="89" t="s">
        <v>813</v>
      </c>
      <c r="AF3192" s="1"/>
      <c r="AG3192" s="1"/>
    </row>
    <row r="3193" ht="15.75" customHeight="1">
      <c r="A3193" s="1"/>
      <c r="B3193" s="1"/>
      <c r="C3193" s="1"/>
      <c r="D3193" s="1"/>
      <c r="E3193" s="1"/>
      <c r="F3193" s="1"/>
      <c r="G3193" s="1"/>
      <c r="H3193" s="1"/>
      <c r="I3193" s="1"/>
      <c r="J3193" s="1"/>
      <c r="K3193" s="89" t="s">
        <v>4794</v>
      </c>
      <c r="L3193" s="89" t="str">
        <f>G108</f>
        <v>C1b1a2b</v>
      </c>
      <c r="M3193" s="89" t="s">
        <v>4795</v>
      </c>
      <c r="N3193" s="89"/>
      <c r="O3193" s="92">
        <v>2.1460018E7</v>
      </c>
      <c r="P3193" s="92">
        <v>1.9298132E7</v>
      </c>
      <c r="Q3193" s="93" t="s">
        <v>802</v>
      </c>
      <c r="AF3193" s="1"/>
      <c r="AG3193" s="1"/>
    </row>
    <row r="3194" ht="15.75" customHeight="1">
      <c r="A3194" s="1"/>
      <c r="B3194" s="1"/>
      <c r="C3194" s="1"/>
      <c r="D3194" s="1"/>
      <c r="E3194" s="1"/>
      <c r="F3194" s="1"/>
      <c r="G3194" s="1"/>
      <c r="H3194" s="1"/>
      <c r="I3194" s="1"/>
      <c r="J3194" s="1"/>
      <c r="K3194" s="89" t="s">
        <v>4795</v>
      </c>
      <c r="L3194" s="89" t="str">
        <f>G108</f>
        <v>C1b1a2b</v>
      </c>
      <c r="M3194" s="89" t="s">
        <v>4794</v>
      </c>
      <c r="N3194" s="89"/>
      <c r="O3194" s="92">
        <v>2.1460018E7</v>
      </c>
      <c r="P3194" s="92">
        <v>1.9298132E7</v>
      </c>
      <c r="Q3194" s="93" t="s">
        <v>802</v>
      </c>
      <c r="AF3194" s="1"/>
      <c r="AG3194" s="1"/>
    </row>
    <row r="3195" ht="15.75" customHeight="1">
      <c r="A3195" s="1"/>
      <c r="B3195" s="1"/>
      <c r="C3195" s="1"/>
      <c r="D3195" s="1"/>
      <c r="E3195" s="1"/>
      <c r="F3195" s="1"/>
      <c r="G3195" s="1"/>
      <c r="H3195" s="1"/>
      <c r="I3195" s="1"/>
      <c r="J3195" s="1"/>
      <c r="K3195" s="89" t="s">
        <v>4796</v>
      </c>
      <c r="L3195" s="89" t="str">
        <f>G108</f>
        <v>C1b1a2b</v>
      </c>
      <c r="M3195" s="89" t="s">
        <v>4797</v>
      </c>
      <c r="N3195" s="89" t="s">
        <v>4798</v>
      </c>
      <c r="O3195" s="92">
        <v>2.1461127E7</v>
      </c>
      <c r="P3195" s="92">
        <v>1.9299241E7</v>
      </c>
      <c r="Q3195" s="89" t="s">
        <v>802</v>
      </c>
      <c r="AF3195" s="1"/>
      <c r="AG3195" s="1"/>
    </row>
    <row r="3196" ht="15.75" customHeight="1">
      <c r="A3196" s="1"/>
      <c r="B3196" s="1"/>
      <c r="C3196" s="1"/>
      <c r="D3196" s="1"/>
      <c r="E3196" s="1"/>
      <c r="F3196" s="1"/>
      <c r="G3196" s="1"/>
      <c r="H3196" s="1"/>
      <c r="I3196" s="1"/>
      <c r="J3196" s="1"/>
      <c r="K3196" s="89" t="s">
        <v>4797</v>
      </c>
      <c r="L3196" s="89" t="str">
        <f>G108</f>
        <v>C1b1a2b</v>
      </c>
      <c r="M3196" s="89" t="s">
        <v>4796</v>
      </c>
      <c r="N3196" s="89" t="s">
        <v>4798</v>
      </c>
      <c r="O3196" s="92">
        <v>2.1461127E7</v>
      </c>
      <c r="P3196" s="92">
        <v>1.9299241E7</v>
      </c>
      <c r="Q3196" s="89" t="s">
        <v>802</v>
      </c>
      <c r="AF3196" s="1"/>
      <c r="AG3196" s="1"/>
    </row>
    <row r="3197" ht="15.75" customHeight="1">
      <c r="A3197" s="1"/>
      <c r="B3197" s="1"/>
      <c r="C3197" s="1"/>
      <c r="D3197" s="1"/>
      <c r="E3197" s="1"/>
      <c r="F3197" s="1"/>
      <c r="G3197" s="1"/>
      <c r="H3197" s="1"/>
      <c r="I3197" s="1"/>
      <c r="J3197" s="1"/>
      <c r="K3197" s="89" t="s">
        <v>4799</v>
      </c>
      <c r="L3197" s="89" t="str">
        <f>G108</f>
        <v>C1b1a2b</v>
      </c>
      <c r="M3197" s="89" t="s">
        <v>4800</v>
      </c>
      <c r="N3197" s="89" t="s">
        <v>4801</v>
      </c>
      <c r="O3197" s="92">
        <v>2.1467846E7</v>
      </c>
      <c r="P3197" s="92">
        <v>1.930596E7</v>
      </c>
      <c r="Q3197" s="89" t="s">
        <v>810</v>
      </c>
      <c r="AF3197" s="1"/>
      <c r="AG3197" s="1"/>
    </row>
    <row r="3198" ht="15.75" customHeight="1">
      <c r="A3198" s="1"/>
      <c r="B3198" s="1"/>
      <c r="C3198" s="1"/>
      <c r="D3198" s="1"/>
      <c r="E3198" s="1"/>
      <c r="F3198" s="1"/>
      <c r="G3198" s="1"/>
      <c r="H3198" s="1"/>
      <c r="I3198" s="1"/>
      <c r="J3198" s="1"/>
      <c r="K3198" s="89" t="s">
        <v>4800</v>
      </c>
      <c r="L3198" s="89" t="str">
        <f>G108</f>
        <v>C1b1a2b</v>
      </c>
      <c r="M3198" s="89" t="s">
        <v>4799</v>
      </c>
      <c r="N3198" s="89" t="s">
        <v>4801</v>
      </c>
      <c r="O3198" s="92">
        <v>2.1467846E7</v>
      </c>
      <c r="P3198" s="92">
        <v>1.930596E7</v>
      </c>
      <c r="Q3198" s="89" t="s">
        <v>810</v>
      </c>
      <c r="AF3198" s="1"/>
      <c r="AG3198" s="1"/>
    </row>
    <row r="3199" ht="15.75" customHeight="1">
      <c r="A3199" s="1"/>
      <c r="B3199" s="1"/>
      <c r="C3199" s="1"/>
      <c r="D3199" s="1"/>
      <c r="E3199" s="1"/>
      <c r="F3199" s="1"/>
      <c r="G3199" s="1"/>
      <c r="H3199" s="1"/>
      <c r="I3199" s="1"/>
      <c r="J3199" s="1"/>
      <c r="K3199" s="89" t="s">
        <v>4802</v>
      </c>
      <c r="L3199" s="89" t="str">
        <f>G108</f>
        <v>C1b1a2b</v>
      </c>
      <c r="M3199" s="89" t="s">
        <v>4803</v>
      </c>
      <c r="N3199" s="89" t="s">
        <v>4804</v>
      </c>
      <c r="O3199" s="92">
        <v>2.1512076E7</v>
      </c>
      <c r="P3199" s="92">
        <v>1.935019E7</v>
      </c>
      <c r="Q3199" s="89" t="s">
        <v>822</v>
      </c>
      <c r="AF3199" s="1"/>
      <c r="AG3199" s="1"/>
    </row>
    <row r="3200" ht="15.75" customHeight="1">
      <c r="A3200" s="1"/>
      <c r="B3200" s="1"/>
      <c r="C3200" s="1"/>
      <c r="D3200" s="1"/>
      <c r="E3200" s="1"/>
      <c r="F3200" s="1"/>
      <c r="G3200" s="1"/>
      <c r="H3200" s="1"/>
      <c r="I3200" s="1"/>
      <c r="J3200" s="1"/>
      <c r="K3200" s="89" t="s">
        <v>4803</v>
      </c>
      <c r="L3200" s="89" t="str">
        <f>G108</f>
        <v>C1b1a2b</v>
      </c>
      <c r="M3200" s="89" t="s">
        <v>4802</v>
      </c>
      <c r="N3200" s="89" t="s">
        <v>4804</v>
      </c>
      <c r="O3200" s="92">
        <v>2.1512076E7</v>
      </c>
      <c r="P3200" s="92">
        <v>1.935019E7</v>
      </c>
      <c r="Q3200" s="89" t="s">
        <v>822</v>
      </c>
      <c r="AF3200" s="1"/>
      <c r="AG3200" s="1"/>
    </row>
    <row r="3201" ht="15.75" customHeight="1">
      <c r="A3201" s="1"/>
      <c r="B3201" s="1"/>
      <c r="C3201" s="1"/>
      <c r="D3201" s="1"/>
      <c r="E3201" s="1"/>
      <c r="F3201" s="1"/>
      <c r="G3201" s="1"/>
      <c r="H3201" s="1"/>
      <c r="I3201" s="1"/>
      <c r="J3201" s="1"/>
      <c r="K3201" s="89" t="s">
        <v>4805</v>
      </c>
      <c r="L3201" s="89" t="str">
        <f>G108</f>
        <v>C1b1a2b</v>
      </c>
      <c r="M3201" s="89" t="s">
        <v>4806</v>
      </c>
      <c r="N3201" s="89" t="s">
        <v>4807</v>
      </c>
      <c r="O3201" s="92">
        <v>2.1545211E7</v>
      </c>
      <c r="P3201" s="92">
        <v>1.9383325E7</v>
      </c>
      <c r="Q3201" s="89" t="s">
        <v>802</v>
      </c>
      <c r="AF3201" s="1"/>
      <c r="AG3201" s="1"/>
    </row>
    <row r="3202" ht="15.75" customHeight="1">
      <c r="A3202" s="1"/>
      <c r="B3202" s="1"/>
      <c r="C3202" s="1"/>
      <c r="D3202" s="1"/>
      <c r="E3202" s="1"/>
      <c r="F3202" s="1"/>
      <c r="G3202" s="1"/>
      <c r="H3202" s="1"/>
      <c r="I3202" s="1"/>
      <c r="J3202" s="1"/>
      <c r="K3202" s="89" t="s">
        <v>4806</v>
      </c>
      <c r="L3202" s="89" t="str">
        <f>G108</f>
        <v>C1b1a2b</v>
      </c>
      <c r="M3202" s="89" t="s">
        <v>4805</v>
      </c>
      <c r="N3202" s="89" t="s">
        <v>4807</v>
      </c>
      <c r="O3202" s="92">
        <v>2.1545211E7</v>
      </c>
      <c r="P3202" s="92">
        <v>1.9383325E7</v>
      </c>
      <c r="Q3202" s="89" t="s">
        <v>802</v>
      </c>
      <c r="AF3202" s="1"/>
      <c r="AG3202" s="1"/>
    </row>
    <row r="3203" ht="15.75" customHeight="1">
      <c r="A3203" s="1"/>
      <c r="B3203" s="1"/>
      <c r="C3203" s="1"/>
      <c r="D3203" s="1"/>
      <c r="E3203" s="1"/>
      <c r="F3203" s="1"/>
      <c r="G3203" s="1"/>
      <c r="H3203" s="1"/>
      <c r="I3203" s="1"/>
      <c r="J3203" s="1"/>
      <c r="K3203" s="89" t="s">
        <v>4808</v>
      </c>
      <c r="L3203" s="89" t="str">
        <f>G108</f>
        <v>C1b1a2b</v>
      </c>
      <c r="M3203" s="89" t="s">
        <v>4809</v>
      </c>
      <c r="N3203" s="89" t="s">
        <v>4810</v>
      </c>
      <c r="O3203" s="92">
        <v>2.1574984E7</v>
      </c>
      <c r="P3203" s="92">
        <v>1.9413098E7</v>
      </c>
      <c r="Q3203" s="89" t="s">
        <v>810</v>
      </c>
      <c r="AF3203" s="1"/>
      <c r="AG3203" s="1"/>
    </row>
    <row r="3204" ht="15.75" customHeight="1">
      <c r="A3204" s="1"/>
      <c r="B3204" s="1"/>
      <c r="C3204" s="1"/>
      <c r="D3204" s="1"/>
      <c r="E3204" s="1"/>
      <c r="F3204" s="1"/>
      <c r="G3204" s="1"/>
      <c r="H3204" s="1"/>
      <c r="I3204" s="1"/>
      <c r="J3204" s="1"/>
      <c r="K3204" s="89" t="s">
        <v>4809</v>
      </c>
      <c r="L3204" s="89" t="str">
        <f>G108</f>
        <v>C1b1a2b</v>
      </c>
      <c r="M3204" s="89" t="s">
        <v>4808</v>
      </c>
      <c r="N3204" s="89" t="s">
        <v>4810</v>
      </c>
      <c r="O3204" s="92">
        <v>2.1574984E7</v>
      </c>
      <c r="P3204" s="92">
        <v>1.9413098E7</v>
      </c>
      <c r="Q3204" s="89" t="s">
        <v>810</v>
      </c>
      <c r="AF3204" s="1"/>
      <c r="AG3204" s="1"/>
    </row>
    <row r="3205" ht="15.75" customHeight="1">
      <c r="A3205" s="1"/>
      <c r="B3205" s="1"/>
      <c r="C3205" s="1"/>
      <c r="D3205" s="1"/>
      <c r="E3205" s="1"/>
      <c r="F3205" s="1"/>
      <c r="G3205" s="1"/>
      <c r="H3205" s="1"/>
      <c r="I3205" s="1"/>
      <c r="J3205" s="1"/>
      <c r="K3205" s="89" t="s">
        <v>4811</v>
      </c>
      <c r="L3205" s="89" t="str">
        <f>G108</f>
        <v>C1b1a2b</v>
      </c>
      <c r="M3205" s="89" t="s">
        <v>4812</v>
      </c>
      <c r="N3205" s="89" t="s">
        <v>4813</v>
      </c>
      <c r="O3205" s="92">
        <v>2.1588999E7</v>
      </c>
      <c r="P3205" s="92">
        <v>1.9427113E7</v>
      </c>
      <c r="Q3205" s="89" t="s">
        <v>802</v>
      </c>
      <c r="AF3205" s="1"/>
      <c r="AG3205" s="1"/>
    </row>
    <row r="3206" ht="15.75" customHeight="1">
      <c r="A3206" s="1"/>
      <c r="B3206" s="1"/>
      <c r="C3206" s="1"/>
      <c r="D3206" s="1"/>
      <c r="E3206" s="1"/>
      <c r="F3206" s="1"/>
      <c r="G3206" s="1"/>
      <c r="H3206" s="1"/>
      <c r="I3206" s="1"/>
      <c r="J3206" s="1"/>
      <c r="K3206" s="89" t="s">
        <v>4812</v>
      </c>
      <c r="L3206" s="89" t="str">
        <f>G108</f>
        <v>C1b1a2b</v>
      </c>
      <c r="M3206" s="89" t="s">
        <v>4811</v>
      </c>
      <c r="N3206" s="89" t="s">
        <v>4813</v>
      </c>
      <c r="O3206" s="92">
        <v>2.1588999E7</v>
      </c>
      <c r="P3206" s="92">
        <v>1.9427113E7</v>
      </c>
      <c r="Q3206" s="89" t="s">
        <v>802</v>
      </c>
      <c r="AF3206" s="1"/>
      <c r="AG3206" s="1"/>
    </row>
    <row r="3207" ht="15.75" customHeight="1">
      <c r="A3207" s="1"/>
      <c r="B3207" s="1"/>
      <c r="C3207" s="1"/>
      <c r="D3207" s="1"/>
      <c r="E3207" s="1"/>
      <c r="F3207" s="1"/>
      <c r="G3207" s="1"/>
      <c r="H3207" s="1"/>
      <c r="I3207" s="1"/>
      <c r="J3207" s="1"/>
      <c r="K3207" s="89" t="s">
        <v>4814</v>
      </c>
      <c r="L3207" s="89" t="str">
        <f>G108</f>
        <v>C1b1a2b</v>
      </c>
      <c r="M3207" s="89" t="s">
        <v>4815</v>
      </c>
      <c r="N3207" s="89" t="s">
        <v>4816</v>
      </c>
      <c r="O3207" s="92">
        <v>2.1604503E7</v>
      </c>
      <c r="P3207" s="92">
        <v>1.9442617E7</v>
      </c>
      <c r="Q3207" s="89" t="s">
        <v>912</v>
      </c>
      <c r="AF3207" s="1"/>
      <c r="AG3207" s="1"/>
    </row>
    <row r="3208" ht="15.75" customHeight="1">
      <c r="A3208" s="1"/>
      <c r="B3208" s="1"/>
      <c r="C3208" s="1"/>
      <c r="D3208" s="1"/>
      <c r="E3208" s="1"/>
      <c r="F3208" s="1"/>
      <c r="G3208" s="1"/>
      <c r="H3208" s="1"/>
      <c r="I3208" s="1"/>
      <c r="J3208" s="1"/>
      <c r="K3208" s="89" t="s">
        <v>4815</v>
      </c>
      <c r="L3208" s="89" t="str">
        <f>G108</f>
        <v>C1b1a2b</v>
      </c>
      <c r="M3208" s="89" t="s">
        <v>4814</v>
      </c>
      <c r="N3208" s="89" t="s">
        <v>4816</v>
      </c>
      <c r="O3208" s="92">
        <v>2.1604503E7</v>
      </c>
      <c r="P3208" s="92">
        <v>1.9442617E7</v>
      </c>
      <c r="Q3208" s="89" t="s">
        <v>912</v>
      </c>
      <c r="AF3208" s="1"/>
      <c r="AG3208" s="1"/>
    </row>
    <row r="3209" ht="15.75" customHeight="1">
      <c r="A3209" s="1"/>
      <c r="B3209" s="1"/>
      <c r="C3209" s="1"/>
      <c r="D3209" s="1"/>
      <c r="E3209" s="1"/>
      <c r="F3209" s="1"/>
      <c r="G3209" s="1"/>
      <c r="H3209" s="1"/>
      <c r="I3209" s="1"/>
      <c r="J3209" s="1"/>
      <c r="K3209" s="89" t="s">
        <v>4817</v>
      </c>
      <c r="L3209" s="89" t="str">
        <f>G108</f>
        <v>C1b1a2b</v>
      </c>
      <c r="M3209" s="89" t="s">
        <v>4818</v>
      </c>
      <c r="N3209" s="89" t="s">
        <v>4819</v>
      </c>
      <c r="O3209" s="92">
        <v>2.1628445E7</v>
      </c>
      <c r="P3209" s="92">
        <v>1.9466559E7</v>
      </c>
      <c r="Q3209" s="89" t="s">
        <v>864</v>
      </c>
      <c r="AF3209" s="1"/>
      <c r="AG3209" s="1"/>
    </row>
    <row r="3210" ht="15.75" customHeight="1">
      <c r="A3210" s="1"/>
      <c r="B3210" s="1"/>
      <c r="C3210" s="1"/>
      <c r="D3210" s="1"/>
      <c r="E3210" s="1"/>
      <c r="F3210" s="1"/>
      <c r="G3210" s="1"/>
      <c r="H3210" s="1"/>
      <c r="I3210" s="1"/>
      <c r="J3210" s="1"/>
      <c r="K3210" s="89" t="s">
        <v>4818</v>
      </c>
      <c r="L3210" s="89" t="str">
        <f>G108</f>
        <v>C1b1a2b</v>
      </c>
      <c r="M3210" s="89" t="s">
        <v>4817</v>
      </c>
      <c r="N3210" s="89" t="s">
        <v>4819</v>
      </c>
      <c r="O3210" s="92">
        <v>2.1628445E7</v>
      </c>
      <c r="P3210" s="92">
        <v>1.9466559E7</v>
      </c>
      <c r="Q3210" s="89" t="s">
        <v>864</v>
      </c>
      <c r="AF3210" s="1"/>
      <c r="AG3210" s="1"/>
    </row>
    <row r="3211" ht="15.75" customHeight="1">
      <c r="A3211" s="1"/>
      <c r="B3211" s="1"/>
      <c r="C3211" s="1"/>
      <c r="D3211" s="1"/>
      <c r="E3211" s="1"/>
      <c r="F3211" s="1"/>
      <c r="G3211" s="1"/>
      <c r="H3211" s="1"/>
      <c r="I3211" s="1"/>
      <c r="J3211" s="1"/>
      <c r="K3211" s="89" t="s">
        <v>4820</v>
      </c>
      <c r="L3211" s="89" t="str">
        <f>G108</f>
        <v>C1b1a2b</v>
      </c>
      <c r="M3211" s="89" t="s">
        <v>4821</v>
      </c>
      <c r="N3211" s="89" t="s">
        <v>4822</v>
      </c>
      <c r="O3211" s="92">
        <v>2.1688843E7</v>
      </c>
      <c r="P3211" s="92">
        <v>1.9526957E7</v>
      </c>
      <c r="Q3211" s="89" t="s">
        <v>802</v>
      </c>
      <c r="AF3211" s="1"/>
      <c r="AG3211" s="1"/>
    </row>
    <row r="3212" ht="15.75" customHeight="1">
      <c r="A3212" s="1"/>
      <c r="B3212" s="1"/>
      <c r="C3212" s="1"/>
      <c r="D3212" s="1"/>
      <c r="E3212" s="1"/>
      <c r="F3212" s="1"/>
      <c r="G3212" s="1"/>
      <c r="H3212" s="1"/>
      <c r="I3212" s="1"/>
      <c r="J3212" s="1"/>
      <c r="K3212" s="89" t="s">
        <v>4821</v>
      </c>
      <c r="L3212" s="89" t="str">
        <f>G108</f>
        <v>C1b1a2b</v>
      </c>
      <c r="M3212" s="89" t="s">
        <v>4820</v>
      </c>
      <c r="N3212" s="89" t="s">
        <v>4822</v>
      </c>
      <c r="O3212" s="92">
        <v>2.1688843E7</v>
      </c>
      <c r="P3212" s="92">
        <v>1.9526957E7</v>
      </c>
      <c r="Q3212" s="89" t="s">
        <v>802</v>
      </c>
      <c r="AF3212" s="1"/>
      <c r="AG3212" s="1"/>
    </row>
    <row r="3213" ht="15.75" customHeight="1">
      <c r="A3213" s="1"/>
      <c r="B3213" s="1"/>
      <c r="C3213" s="1"/>
      <c r="D3213" s="1"/>
      <c r="E3213" s="1"/>
      <c r="F3213" s="1"/>
      <c r="G3213" s="1"/>
      <c r="H3213" s="1"/>
      <c r="I3213" s="1"/>
      <c r="J3213" s="1"/>
      <c r="K3213" s="89" t="s">
        <v>4823</v>
      </c>
      <c r="L3213" s="89" t="str">
        <f>G108</f>
        <v>C1b1a2b</v>
      </c>
      <c r="M3213" s="89" t="s">
        <v>4824</v>
      </c>
      <c r="N3213" s="89" t="s">
        <v>4825</v>
      </c>
      <c r="O3213" s="92">
        <v>2.1730167E7</v>
      </c>
      <c r="P3213" s="92">
        <v>1.9568281E7</v>
      </c>
      <c r="Q3213" s="89" t="s">
        <v>822</v>
      </c>
      <c r="AF3213" s="1"/>
      <c r="AG3213" s="1"/>
    </row>
    <row r="3214" ht="15.75" customHeight="1">
      <c r="A3214" s="1"/>
      <c r="B3214" s="1"/>
      <c r="C3214" s="1"/>
      <c r="D3214" s="1"/>
      <c r="E3214" s="1"/>
      <c r="F3214" s="1"/>
      <c r="G3214" s="1"/>
      <c r="H3214" s="1"/>
      <c r="I3214" s="1"/>
      <c r="J3214" s="1"/>
      <c r="K3214" s="89" t="s">
        <v>4824</v>
      </c>
      <c r="L3214" s="89" t="str">
        <f>G108</f>
        <v>C1b1a2b</v>
      </c>
      <c r="M3214" s="89" t="s">
        <v>4823</v>
      </c>
      <c r="N3214" s="89" t="s">
        <v>4825</v>
      </c>
      <c r="O3214" s="92">
        <v>2.1730167E7</v>
      </c>
      <c r="P3214" s="92">
        <v>1.9568281E7</v>
      </c>
      <c r="Q3214" s="89" t="s">
        <v>822</v>
      </c>
      <c r="AF3214" s="1"/>
      <c r="AG3214" s="1"/>
    </row>
    <row r="3215" ht="15.75" customHeight="1">
      <c r="A3215" s="1"/>
      <c r="B3215" s="1"/>
      <c r="C3215" s="1"/>
      <c r="D3215" s="1"/>
      <c r="E3215" s="1"/>
      <c r="F3215" s="1"/>
      <c r="G3215" s="1"/>
      <c r="H3215" s="1"/>
      <c r="I3215" s="1"/>
      <c r="J3215" s="1"/>
      <c r="K3215" s="89" t="s">
        <v>4826</v>
      </c>
      <c r="L3215" s="89" t="str">
        <f>G108</f>
        <v>C1b1a2b</v>
      </c>
      <c r="M3215" s="89" t="s">
        <v>4827</v>
      </c>
      <c r="N3215" s="89" t="s">
        <v>4828</v>
      </c>
      <c r="O3215" s="92">
        <v>2.1740864E7</v>
      </c>
      <c r="P3215" s="92">
        <v>1.9578978E7</v>
      </c>
      <c r="Q3215" s="89" t="s">
        <v>838</v>
      </c>
      <c r="AF3215" s="1"/>
      <c r="AG3215" s="1"/>
    </row>
    <row r="3216" ht="15.75" customHeight="1">
      <c r="A3216" s="1"/>
      <c r="B3216" s="1"/>
      <c r="C3216" s="1"/>
      <c r="D3216" s="1"/>
      <c r="E3216" s="1"/>
      <c r="F3216" s="1"/>
      <c r="G3216" s="1"/>
      <c r="H3216" s="1"/>
      <c r="I3216" s="1"/>
      <c r="J3216" s="1"/>
      <c r="K3216" s="89" t="s">
        <v>4827</v>
      </c>
      <c r="L3216" s="89" t="str">
        <f>G108</f>
        <v>C1b1a2b</v>
      </c>
      <c r="M3216" s="89" t="s">
        <v>4826</v>
      </c>
      <c r="N3216" s="89" t="s">
        <v>4828</v>
      </c>
      <c r="O3216" s="92">
        <v>2.1740864E7</v>
      </c>
      <c r="P3216" s="92">
        <v>1.9578978E7</v>
      </c>
      <c r="Q3216" s="89" t="s">
        <v>838</v>
      </c>
      <c r="AF3216" s="1"/>
      <c r="AG3216" s="1"/>
    </row>
    <row r="3217" ht="15.75" customHeight="1">
      <c r="A3217" s="1"/>
      <c r="B3217" s="1"/>
      <c r="C3217" s="1"/>
      <c r="D3217" s="1"/>
      <c r="E3217" s="1"/>
      <c r="F3217" s="1"/>
      <c r="G3217" s="1"/>
      <c r="H3217" s="1"/>
      <c r="I3217" s="1"/>
      <c r="J3217" s="1"/>
      <c r="K3217" s="89" t="s">
        <v>4829</v>
      </c>
      <c r="L3217" s="89" t="str">
        <f>G108</f>
        <v>C1b1a2b</v>
      </c>
      <c r="M3217" s="89" t="s">
        <v>4830</v>
      </c>
      <c r="N3217" s="89" t="s">
        <v>4831</v>
      </c>
      <c r="O3217" s="92">
        <v>2.1750231E7</v>
      </c>
      <c r="P3217" s="92">
        <v>1.9588345E7</v>
      </c>
      <c r="Q3217" s="89" t="s">
        <v>822</v>
      </c>
      <c r="AF3217" s="1"/>
      <c r="AG3217" s="1"/>
    </row>
    <row r="3218" ht="15.75" customHeight="1">
      <c r="A3218" s="1"/>
      <c r="B3218" s="1"/>
      <c r="C3218" s="1"/>
      <c r="D3218" s="1"/>
      <c r="E3218" s="1"/>
      <c r="F3218" s="1"/>
      <c r="G3218" s="1"/>
      <c r="H3218" s="1"/>
      <c r="I3218" s="1"/>
      <c r="J3218" s="1"/>
      <c r="K3218" s="89" t="s">
        <v>4830</v>
      </c>
      <c r="L3218" s="89" t="str">
        <f>G108</f>
        <v>C1b1a2b</v>
      </c>
      <c r="M3218" s="89" t="s">
        <v>4829</v>
      </c>
      <c r="N3218" s="89" t="s">
        <v>4831</v>
      </c>
      <c r="O3218" s="92">
        <v>2.1750231E7</v>
      </c>
      <c r="P3218" s="92">
        <v>1.9588345E7</v>
      </c>
      <c r="Q3218" s="89" t="s">
        <v>822</v>
      </c>
      <c r="AF3218" s="1"/>
      <c r="AG3218" s="1"/>
    </row>
    <row r="3219" ht="15.75" customHeight="1">
      <c r="A3219" s="1"/>
      <c r="B3219" s="1"/>
      <c r="C3219" s="1"/>
      <c r="D3219" s="1"/>
      <c r="E3219" s="1"/>
      <c r="F3219" s="1"/>
      <c r="G3219" s="1"/>
      <c r="H3219" s="1"/>
      <c r="I3219" s="1"/>
      <c r="J3219" s="1"/>
      <c r="K3219" s="89" t="s">
        <v>4832</v>
      </c>
      <c r="L3219" s="89" t="str">
        <f>G108</f>
        <v>C1b1a2b</v>
      </c>
      <c r="M3219" s="89" t="s">
        <v>4833</v>
      </c>
      <c r="N3219" s="89" t="s">
        <v>4834</v>
      </c>
      <c r="O3219" s="92">
        <v>2.1797954E7</v>
      </c>
      <c r="P3219" s="92">
        <v>1.9636068E7</v>
      </c>
      <c r="Q3219" s="89" t="s">
        <v>810</v>
      </c>
      <c r="AF3219" s="1"/>
      <c r="AG3219" s="1"/>
    </row>
    <row r="3220" ht="15.75" customHeight="1">
      <c r="A3220" s="1"/>
      <c r="B3220" s="1"/>
      <c r="C3220" s="1"/>
      <c r="D3220" s="1"/>
      <c r="E3220" s="1"/>
      <c r="F3220" s="1"/>
      <c r="G3220" s="1"/>
      <c r="H3220" s="1"/>
      <c r="I3220" s="1"/>
      <c r="J3220" s="1"/>
      <c r="K3220" s="89" t="s">
        <v>4833</v>
      </c>
      <c r="L3220" s="89" t="str">
        <f>G108</f>
        <v>C1b1a2b</v>
      </c>
      <c r="M3220" s="89" t="s">
        <v>4832</v>
      </c>
      <c r="N3220" s="89" t="s">
        <v>4834</v>
      </c>
      <c r="O3220" s="92">
        <v>2.1797954E7</v>
      </c>
      <c r="P3220" s="92">
        <v>1.9636068E7</v>
      </c>
      <c r="Q3220" s="89" t="s">
        <v>810</v>
      </c>
      <c r="AF3220" s="1"/>
      <c r="AG3220" s="1"/>
    </row>
    <row r="3221" ht="15.75" customHeight="1">
      <c r="A3221" s="1"/>
      <c r="B3221" s="1"/>
      <c r="C3221" s="1"/>
      <c r="D3221" s="1"/>
      <c r="E3221" s="1"/>
      <c r="F3221" s="1"/>
      <c r="G3221" s="1"/>
      <c r="H3221" s="1"/>
      <c r="I3221" s="1"/>
      <c r="J3221" s="1"/>
      <c r="K3221" s="89" t="s">
        <v>4835</v>
      </c>
      <c r="L3221" s="89" t="str">
        <f>G108</f>
        <v>C1b1a2b</v>
      </c>
      <c r="M3221" s="89" t="s">
        <v>4836</v>
      </c>
      <c r="N3221" s="89" t="s">
        <v>4837</v>
      </c>
      <c r="O3221" s="92">
        <v>2.1804451E7</v>
      </c>
      <c r="P3221" s="92">
        <v>1.9642565E7</v>
      </c>
      <c r="Q3221" s="89" t="s">
        <v>802</v>
      </c>
      <c r="AF3221" s="1"/>
      <c r="AG3221" s="1"/>
    </row>
    <row r="3222" ht="15.75" customHeight="1">
      <c r="A3222" s="1"/>
      <c r="B3222" s="1"/>
      <c r="C3222" s="1"/>
      <c r="D3222" s="1"/>
      <c r="E3222" s="1"/>
      <c r="F3222" s="1"/>
      <c r="G3222" s="1"/>
      <c r="H3222" s="1"/>
      <c r="I3222" s="1"/>
      <c r="J3222" s="1"/>
      <c r="K3222" s="89" t="s">
        <v>4836</v>
      </c>
      <c r="L3222" s="89" t="str">
        <f>G108</f>
        <v>C1b1a2b</v>
      </c>
      <c r="M3222" s="89" t="s">
        <v>4835</v>
      </c>
      <c r="N3222" s="89" t="s">
        <v>4837</v>
      </c>
      <c r="O3222" s="92">
        <v>2.1804451E7</v>
      </c>
      <c r="P3222" s="92">
        <v>1.9642565E7</v>
      </c>
      <c r="Q3222" s="89" t="s">
        <v>802</v>
      </c>
      <c r="AF3222" s="1"/>
      <c r="AG3222" s="1"/>
    </row>
    <row r="3223" ht="15.75" customHeight="1">
      <c r="A3223" s="1"/>
      <c r="B3223" s="1"/>
      <c r="C3223" s="1"/>
      <c r="D3223" s="1"/>
      <c r="E3223" s="1"/>
      <c r="F3223" s="1"/>
      <c r="G3223" s="1"/>
      <c r="H3223" s="1"/>
      <c r="I3223" s="1"/>
      <c r="J3223" s="1"/>
      <c r="K3223" s="89" t="s">
        <v>4838</v>
      </c>
      <c r="L3223" s="89" t="str">
        <f>G108</f>
        <v>C1b1a2b</v>
      </c>
      <c r="M3223" s="89" t="s">
        <v>4839</v>
      </c>
      <c r="N3223" s="89" t="s">
        <v>4840</v>
      </c>
      <c r="O3223" s="92">
        <v>2.1823552E7</v>
      </c>
      <c r="P3223" s="92">
        <v>1.9661666E7</v>
      </c>
      <c r="Q3223" s="89" t="s">
        <v>802</v>
      </c>
      <c r="AF3223" s="1"/>
      <c r="AG3223" s="1"/>
    </row>
    <row r="3224" ht="15.75" customHeight="1">
      <c r="A3224" s="1"/>
      <c r="B3224" s="1"/>
      <c r="C3224" s="1"/>
      <c r="D3224" s="1"/>
      <c r="E3224" s="1"/>
      <c r="F3224" s="1"/>
      <c r="G3224" s="1"/>
      <c r="H3224" s="1"/>
      <c r="I3224" s="1"/>
      <c r="J3224" s="1"/>
      <c r="K3224" s="89" t="s">
        <v>4839</v>
      </c>
      <c r="L3224" s="89" t="str">
        <f>G108</f>
        <v>C1b1a2b</v>
      </c>
      <c r="M3224" s="89" t="s">
        <v>4838</v>
      </c>
      <c r="N3224" s="89" t="s">
        <v>4840</v>
      </c>
      <c r="O3224" s="92">
        <v>2.1823552E7</v>
      </c>
      <c r="P3224" s="92">
        <v>1.9661666E7</v>
      </c>
      <c r="Q3224" s="89" t="s">
        <v>802</v>
      </c>
      <c r="AF3224" s="1"/>
      <c r="AG3224" s="1"/>
    </row>
    <row r="3225" ht="15.75" customHeight="1">
      <c r="A3225" s="1"/>
      <c r="B3225" s="1"/>
      <c r="C3225" s="1"/>
      <c r="D3225" s="1"/>
      <c r="E3225" s="1"/>
      <c r="F3225" s="1"/>
      <c r="G3225" s="1"/>
      <c r="H3225" s="1"/>
      <c r="I3225" s="1"/>
      <c r="J3225" s="1"/>
      <c r="K3225" s="89" t="s">
        <v>4841</v>
      </c>
      <c r="L3225" s="89" t="str">
        <f>G108</f>
        <v>C1b1a2b</v>
      </c>
      <c r="M3225" s="89" t="s">
        <v>4842</v>
      </c>
      <c r="N3225" s="89" t="s">
        <v>4843</v>
      </c>
      <c r="O3225" s="92">
        <v>2.1884863E7</v>
      </c>
      <c r="P3225" s="92">
        <v>1.9722977E7</v>
      </c>
      <c r="Q3225" s="89" t="s">
        <v>838</v>
      </c>
      <c r="AF3225" s="1"/>
      <c r="AG3225" s="1"/>
    </row>
    <row r="3226" ht="15.75" customHeight="1">
      <c r="A3226" s="1"/>
      <c r="B3226" s="1"/>
      <c r="C3226" s="1"/>
      <c r="D3226" s="1"/>
      <c r="E3226" s="1"/>
      <c r="F3226" s="1"/>
      <c r="G3226" s="1"/>
      <c r="H3226" s="1"/>
      <c r="I3226" s="1"/>
      <c r="J3226" s="1"/>
      <c r="K3226" s="89" t="s">
        <v>4842</v>
      </c>
      <c r="L3226" s="89" t="str">
        <f>G108</f>
        <v>C1b1a2b</v>
      </c>
      <c r="M3226" s="89" t="s">
        <v>4841</v>
      </c>
      <c r="N3226" s="89" t="s">
        <v>4843</v>
      </c>
      <c r="O3226" s="92">
        <v>2.1884863E7</v>
      </c>
      <c r="P3226" s="92">
        <v>1.9722977E7</v>
      </c>
      <c r="Q3226" s="89" t="s">
        <v>838</v>
      </c>
      <c r="AF3226" s="1"/>
      <c r="AG3226" s="1"/>
    </row>
    <row r="3227" ht="15.75" customHeight="1">
      <c r="A3227" s="1"/>
      <c r="B3227" s="1"/>
      <c r="C3227" s="1"/>
      <c r="D3227" s="1"/>
      <c r="E3227" s="1"/>
      <c r="F3227" s="1"/>
      <c r="G3227" s="1"/>
      <c r="H3227" s="1"/>
      <c r="I3227" s="1"/>
      <c r="J3227" s="1"/>
      <c r="K3227" s="89" t="s">
        <v>4844</v>
      </c>
      <c r="L3227" s="89" t="str">
        <f>G108</f>
        <v>C1b1a2b</v>
      </c>
      <c r="M3227" s="89" t="s">
        <v>4845</v>
      </c>
      <c r="N3227" s="89" t="s">
        <v>4846</v>
      </c>
      <c r="O3227" s="92">
        <v>2.2008343E7</v>
      </c>
      <c r="P3227" s="92">
        <v>1.9846457E7</v>
      </c>
      <c r="Q3227" s="89" t="s">
        <v>879</v>
      </c>
      <c r="AF3227" s="1"/>
      <c r="AG3227" s="1"/>
    </row>
    <row r="3228" ht="15.75" customHeight="1">
      <c r="A3228" s="1"/>
      <c r="B3228" s="1"/>
      <c r="C3228" s="1"/>
      <c r="D3228" s="1"/>
      <c r="E3228" s="1"/>
      <c r="F3228" s="1"/>
      <c r="G3228" s="1"/>
      <c r="H3228" s="1"/>
      <c r="I3228" s="1"/>
      <c r="J3228" s="1"/>
      <c r="K3228" s="89" t="s">
        <v>4845</v>
      </c>
      <c r="L3228" s="89" t="str">
        <f>G108</f>
        <v>C1b1a2b</v>
      </c>
      <c r="M3228" s="89" t="s">
        <v>4844</v>
      </c>
      <c r="N3228" s="89" t="s">
        <v>4846</v>
      </c>
      <c r="O3228" s="92">
        <v>2.2008343E7</v>
      </c>
      <c r="P3228" s="92">
        <v>1.9846457E7</v>
      </c>
      <c r="Q3228" s="89" t="s">
        <v>879</v>
      </c>
      <c r="AF3228" s="1"/>
      <c r="AG3228" s="1"/>
    </row>
    <row r="3229" ht="15.75" customHeight="1">
      <c r="A3229" s="1"/>
      <c r="B3229" s="1"/>
      <c r="C3229" s="1"/>
      <c r="D3229" s="1"/>
      <c r="E3229" s="1"/>
      <c r="F3229" s="1"/>
      <c r="G3229" s="1"/>
      <c r="H3229" s="1"/>
      <c r="I3229" s="1"/>
      <c r="J3229" s="1"/>
      <c r="K3229" s="89" t="s">
        <v>4847</v>
      </c>
      <c r="L3229" s="89" t="str">
        <f>G108</f>
        <v>C1b1a2b</v>
      </c>
      <c r="M3229" s="89" t="s">
        <v>4848</v>
      </c>
      <c r="N3229" s="89" t="s">
        <v>4849</v>
      </c>
      <c r="O3229" s="92">
        <v>2.2022083E7</v>
      </c>
      <c r="P3229" s="92">
        <v>1.9860197E7</v>
      </c>
      <c r="Q3229" s="89" t="s">
        <v>802</v>
      </c>
      <c r="AF3229" s="1"/>
      <c r="AG3229" s="1"/>
    </row>
    <row r="3230" ht="15.75" customHeight="1">
      <c r="A3230" s="1"/>
      <c r="B3230" s="1"/>
      <c r="C3230" s="1"/>
      <c r="D3230" s="1"/>
      <c r="E3230" s="1"/>
      <c r="F3230" s="1"/>
      <c r="G3230" s="1"/>
      <c r="H3230" s="1"/>
      <c r="I3230" s="1"/>
      <c r="J3230" s="1"/>
      <c r="K3230" s="89" t="s">
        <v>4848</v>
      </c>
      <c r="L3230" s="89" t="str">
        <f>G108</f>
        <v>C1b1a2b</v>
      </c>
      <c r="M3230" s="89" t="s">
        <v>4847</v>
      </c>
      <c r="N3230" s="89" t="s">
        <v>4849</v>
      </c>
      <c r="O3230" s="92">
        <v>2.2022083E7</v>
      </c>
      <c r="P3230" s="92">
        <v>1.9860197E7</v>
      </c>
      <c r="Q3230" s="89" t="s">
        <v>802</v>
      </c>
      <c r="AF3230" s="1"/>
      <c r="AG3230" s="1"/>
    </row>
    <row r="3231" ht="15.75" customHeight="1">
      <c r="A3231" s="1"/>
      <c r="B3231" s="1"/>
      <c r="C3231" s="1"/>
      <c r="D3231" s="1"/>
      <c r="E3231" s="1"/>
      <c r="F3231" s="1"/>
      <c r="G3231" s="1"/>
      <c r="H3231" s="1"/>
      <c r="I3231" s="1"/>
      <c r="J3231" s="1"/>
      <c r="K3231" s="89" t="s">
        <v>4850</v>
      </c>
      <c r="L3231" s="89" t="str">
        <f>G108</f>
        <v>C1b1a2b</v>
      </c>
      <c r="M3231" s="89" t="s">
        <v>4851</v>
      </c>
      <c r="N3231" s="89" t="s">
        <v>4852</v>
      </c>
      <c r="O3231" s="92">
        <v>2.2023106E7</v>
      </c>
      <c r="P3231" s="92">
        <v>1.986122E7</v>
      </c>
      <c r="Q3231" s="89" t="s">
        <v>802</v>
      </c>
      <c r="AF3231" s="1"/>
      <c r="AG3231" s="1"/>
    </row>
    <row r="3232" ht="15.75" customHeight="1">
      <c r="A3232" s="1"/>
      <c r="B3232" s="1"/>
      <c r="C3232" s="1"/>
      <c r="D3232" s="1"/>
      <c r="E3232" s="1"/>
      <c r="F3232" s="1"/>
      <c r="G3232" s="1"/>
      <c r="H3232" s="1"/>
      <c r="I3232" s="1"/>
      <c r="J3232" s="1"/>
      <c r="K3232" s="89" t="s">
        <v>4851</v>
      </c>
      <c r="L3232" s="89" t="str">
        <f>G108</f>
        <v>C1b1a2b</v>
      </c>
      <c r="M3232" s="89" t="s">
        <v>4850</v>
      </c>
      <c r="N3232" s="89" t="s">
        <v>4852</v>
      </c>
      <c r="O3232" s="92">
        <v>2.2023106E7</v>
      </c>
      <c r="P3232" s="92">
        <v>1.986122E7</v>
      </c>
      <c r="Q3232" s="89" t="s">
        <v>802</v>
      </c>
      <c r="AF3232" s="1"/>
      <c r="AG3232" s="1"/>
    </row>
    <row r="3233" ht="15.75" customHeight="1">
      <c r="A3233" s="1"/>
      <c r="B3233" s="1"/>
      <c r="C3233" s="1"/>
      <c r="D3233" s="1"/>
      <c r="E3233" s="1"/>
      <c r="F3233" s="1"/>
      <c r="G3233" s="1"/>
      <c r="H3233" s="1"/>
      <c r="I3233" s="1"/>
      <c r="J3233" s="1"/>
      <c r="K3233" s="89" t="s">
        <v>4853</v>
      </c>
      <c r="L3233" s="89" t="str">
        <f>G108</f>
        <v>C1b1a2b</v>
      </c>
      <c r="M3233" s="89" t="s">
        <v>4854</v>
      </c>
      <c r="N3233" s="89" t="s">
        <v>4855</v>
      </c>
      <c r="O3233" s="92">
        <v>2.2036979E7</v>
      </c>
      <c r="P3233" s="92">
        <v>1.9875093E7</v>
      </c>
      <c r="Q3233" s="89" t="s">
        <v>822</v>
      </c>
      <c r="AF3233" s="1"/>
      <c r="AG3233" s="1"/>
    </row>
    <row r="3234" ht="15.75" customHeight="1">
      <c r="A3234" s="1"/>
      <c r="B3234" s="1"/>
      <c r="C3234" s="1"/>
      <c r="D3234" s="1"/>
      <c r="E3234" s="1"/>
      <c r="F3234" s="1"/>
      <c r="G3234" s="1"/>
      <c r="H3234" s="1"/>
      <c r="I3234" s="1"/>
      <c r="J3234" s="1"/>
      <c r="K3234" s="89" t="s">
        <v>4854</v>
      </c>
      <c r="L3234" s="89" t="str">
        <f>G108</f>
        <v>C1b1a2b</v>
      </c>
      <c r="M3234" s="89" t="s">
        <v>4853</v>
      </c>
      <c r="N3234" s="89" t="s">
        <v>4855</v>
      </c>
      <c r="O3234" s="92">
        <v>2.2036979E7</v>
      </c>
      <c r="P3234" s="92">
        <v>1.9875093E7</v>
      </c>
      <c r="Q3234" s="89" t="s">
        <v>822</v>
      </c>
      <c r="AF3234" s="1"/>
      <c r="AG3234" s="1"/>
    </row>
    <row r="3235" ht="15.75" customHeight="1">
      <c r="A3235" s="1"/>
      <c r="B3235" s="1"/>
      <c r="C3235" s="1"/>
      <c r="D3235" s="1"/>
      <c r="E3235" s="1"/>
      <c r="F3235" s="1"/>
      <c r="G3235" s="1"/>
      <c r="H3235" s="1"/>
      <c r="I3235" s="1"/>
      <c r="J3235" s="1"/>
      <c r="K3235" s="89" t="s">
        <v>4856</v>
      </c>
      <c r="L3235" s="89" t="str">
        <f>G108</f>
        <v>C1b1a2b</v>
      </c>
      <c r="M3235" s="89" t="s">
        <v>4857</v>
      </c>
      <c r="N3235" s="89" t="s">
        <v>4858</v>
      </c>
      <c r="O3235" s="92">
        <v>2.2052482E7</v>
      </c>
      <c r="P3235" s="92">
        <v>1.9890596E7</v>
      </c>
      <c r="Q3235" s="89" t="s">
        <v>802</v>
      </c>
      <c r="AF3235" s="1"/>
      <c r="AG3235" s="1"/>
    </row>
    <row r="3236" ht="15.75" customHeight="1">
      <c r="A3236" s="1"/>
      <c r="B3236" s="1"/>
      <c r="C3236" s="1"/>
      <c r="D3236" s="1"/>
      <c r="E3236" s="1"/>
      <c r="F3236" s="1"/>
      <c r="G3236" s="1"/>
      <c r="H3236" s="1"/>
      <c r="I3236" s="1"/>
      <c r="J3236" s="1"/>
      <c r="K3236" s="89" t="s">
        <v>4857</v>
      </c>
      <c r="L3236" s="89" t="str">
        <f>G108</f>
        <v>C1b1a2b</v>
      </c>
      <c r="M3236" s="89" t="s">
        <v>4856</v>
      </c>
      <c r="N3236" s="89" t="s">
        <v>4858</v>
      </c>
      <c r="O3236" s="92">
        <v>2.2052482E7</v>
      </c>
      <c r="P3236" s="92">
        <v>1.9890596E7</v>
      </c>
      <c r="Q3236" s="89" t="s">
        <v>802</v>
      </c>
      <c r="AF3236" s="1"/>
      <c r="AG3236" s="1"/>
    </row>
    <row r="3237" ht="15.75" customHeight="1">
      <c r="A3237" s="1"/>
      <c r="B3237" s="1"/>
      <c r="C3237" s="1"/>
      <c r="D3237" s="1"/>
      <c r="E3237" s="1"/>
      <c r="F3237" s="1"/>
      <c r="G3237" s="1"/>
      <c r="H3237" s="1"/>
      <c r="I3237" s="1"/>
      <c r="J3237" s="1"/>
      <c r="K3237" s="89" t="s">
        <v>4859</v>
      </c>
      <c r="L3237" s="89" t="str">
        <f>G108</f>
        <v>C1b1a2b</v>
      </c>
      <c r="M3237" s="89" t="s">
        <v>4860</v>
      </c>
      <c r="N3237" s="89" t="s">
        <v>4861</v>
      </c>
      <c r="O3237" s="92">
        <v>2.2088623E7</v>
      </c>
      <c r="P3237" s="92">
        <v>1.9926737E7</v>
      </c>
      <c r="Q3237" s="89" t="s">
        <v>838</v>
      </c>
      <c r="AF3237" s="1"/>
      <c r="AG3237" s="1"/>
    </row>
    <row r="3238" ht="15.75" customHeight="1">
      <c r="A3238" s="1"/>
      <c r="B3238" s="1"/>
      <c r="C3238" s="1"/>
      <c r="D3238" s="1"/>
      <c r="E3238" s="1"/>
      <c r="F3238" s="1"/>
      <c r="G3238" s="1"/>
      <c r="H3238" s="1"/>
      <c r="I3238" s="1"/>
      <c r="J3238" s="1"/>
      <c r="K3238" s="89" t="s">
        <v>4860</v>
      </c>
      <c r="L3238" s="89" t="str">
        <f>G108</f>
        <v>C1b1a2b</v>
      </c>
      <c r="M3238" s="89" t="s">
        <v>4859</v>
      </c>
      <c r="N3238" s="89" t="s">
        <v>4861</v>
      </c>
      <c r="O3238" s="92">
        <v>2.2088623E7</v>
      </c>
      <c r="P3238" s="92">
        <v>1.9926737E7</v>
      </c>
      <c r="Q3238" s="89" t="s">
        <v>838</v>
      </c>
      <c r="AF3238" s="1"/>
      <c r="AG3238" s="1"/>
    </row>
    <row r="3239" ht="15.75" customHeight="1">
      <c r="A3239" s="1"/>
      <c r="B3239" s="1"/>
      <c r="C3239" s="1"/>
      <c r="D3239" s="1"/>
      <c r="E3239" s="1"/>
      <c r="F3239" s="1"/>
      <c r="G3239" s="1"/>
      <c r="H3239" s="1"/>
      <c r="I3239" s="1"/>
      <c r="J3239" s="1"/>
      <c r="K3239" s="89" t="s">
        <v>4862</v>
      </c>
      <c r="L3239" s="89" t="str">
        <f>G108</f>
        <v>C1b1a2b</v>
      </c>
      <c r="M3239" s="89" t="s">
        <v>4863</v>
      </c>
      <c r="N3239" s="89" t="s">
        <v>4864</v>
      </c>
      <c r="O3239" s="92">
        <v>2.2163721E7</v>
      </c>
      <c r="P3239" s="92">
        <v>2.0001835E7</v>
      </c>
      <c r="Q3239" s="89" t="s">
        <v>822</v>
      </c>
      <c r="AF3239" s="1"/>
      <c r="AG3239" s="1"/>
    </row>
    <row r="3240" ht="15.75" customHeight="1">
      <c r="A3240" s="1"/>
      <c r="B3240" s="1"/>
      <c r="C3240" s="1"/>
      <c r="D3240" s="1"/>
      <c r="E3240" s="1"/>
      <c r="F3240" s="1"/>
      <c r="G3240" s="1"/>
      <c r="H3240" s="1"/>
      <c r="I3240" s="1"/>
      <c r="J3240" s="1"/>
      <c r="K3240" s="89" t="s">
        <v>4863</v>
      </c>
      <c r="L3240" s="89" t="str">
        <f>G108</f>
        <v>C1b1a2b</v>
      </c>
      <c r="M3240" s="89" t="s">
        <v>4862</v>
      </c>
      <c r="N3240" s="89" t="s">
        <v>4864</v>
      </c>
      <c r="O3240" s="92">
        <v>2.2163721E7</v>
      </c>
      <c r="P3240" s="92">
        <v>2.0001835E7</v>
      </c>
      <c r="Q3240" s="89" t="s">
        <v>822</v>
      </c>
      <c r="AF3240" s="1"/>
      <c r="AG3240" s="1"/>
    </row>
    <row r="3241" ht="15.75" customHeight="1">
      <c r="A3241" s="1"/>
      <c r="B3241" s="1"/>
      <c r="C3241" s="1"/>
      <c r="D3241" s="1"/>
      <c r="E3241" s="1"/>
      <c r="F3241" s="1"/>
      <c r="G3241" s="1"/>
      <c r="H3241" s="1"/>
      <c r="I3241" s="1"/>
      <c r="J3241" s="1"/>
      <c r="K3241" s="89" t="s">
        <v>4865</v>
      </c>
      <c r="L3241" s="89" t="str">
        <f>G108</f>
        <v>C1b1a2b</v>
      </c>
      <c r="M3241" s="89" t="s">
        <v>4866</v>
      </c>
      <c r="N3241" s="89" t="s">
        <v>4867</v>
      </c>
      <c r="O3241" s="92">
        <v>2.2181198E7</v>
      </c>
      <c r="P3241" s="92">
        <v>2.0019312E7</v>
      </c>
      <c r="Q3241" s="89" t="s">
        <v>810</v>
      </c>
      <c r="AF3241" s="1"/>
      <c r="AG3241" s="1"/>
    </row>
    <row r="3242" ht="15.75" customHeight="1">
      <c r="A3242" s="1"/>
      <c r="B3242" s="1"/>
      <c r="C3242" s="1"/>
      <c r="D3242" s="1"/>
      <c r="E3242" s="1"/>
      <c r="F3242" s="1"/>
      <c r="G3242" s="1"/>
      <c r="H3242" s="1"/>
      <c r="I3242" s="1"/>
      <c r="J3242" s="1"/>
      <c r="K3242" s="89" t="s">
        <v>4866</v>
      </c>
      <c r="L3242" s="89" t="str">
        <f>G108</f>
        <v>C1b1a2b</v>
      </c>
      <c r="M3242" s="89" t="s">
        <v>4865</v>
      </c>
      <c r="N3242" s="89" t="s">
        <v>4867</v>
      </c>
      <c r="O3242" s="92">
        <v>2.2181198E7</v>
      </c>
      <c r="P3242" s="92">
        <v>2.0019312E7</v>
      </c>
      <c r="Q3242" s="89" t="s">
        <v>810</v>
      </c>
      <c r="AF3242" s="1"/>
      <c r="AG3242" s="1"/>
    </row>
    <row r="3243" ht="15.75" customHeight="1">
      <c r="A3243" s="1"/>
      <c r="B3243" s="1"/>
      <c r="C3243" s="1"/>
      <c r="D3243" s="1"/>
      <c r="E3243" s="1"/>
      <c r="F3243" s="1"/>
      <c r="G3243" s="1"/>
      <c r="H3243" s="1"/>
      <c r="I3243" s="1"/>
      <c r="J3243" s="1"/>
      <c r="K3243" s="89" t="s">
        <v>4868</v>
      </c>
      <c r="L3243" s="89" t="str">
        <f>G108</f>
        <v>C1b1a2b</v>
      </c>
      <c r="M3243" s="89" t="s">
        <v>4869</v>
      </c>
      <c r="N3243" s="89" t="s">
        <v>4870</v>
      </c>
      <c r="O3243" s="92">
        <v>2.2187024E7</v>
      </c>
      <c r="P3243" s="92">
        <v>2.0025138E7</v>
      </c>
      <c r="Q3243" s="89" t="s">
        <v>822</v>
      </c>
      <c r="AF3243" s="1"/>
      <c r="AG3243" s="1"/>
    </row>
    <row r="3244" ht="15.75" customHeight="1">
      <c r="A3244" s="1"/>
      <c r="B3244" s="1"/>
      <c r="C3244" s="1"/>
      <c r="D3244" s="1"/>
      <c r="E3244" s="1"/>
      <c r="F3244" s="1"/>
      <c r="G3244" s="1"/>
      <c r="H3244" s="1"/>
      <c r="I3244" s="1"/>
      <c r="J3244" s="1"/>
      <c r="K3244" s="89" t="s">
        <v>4869</v>
      </c>
      <c r="L3244" s="89" t="str">
        <f>G108</f>
        <v>C1b1a2b</v>
      </c>
      <c r="M3244" s="89" t="s">
        <v>4868</v>
      </c>
      <c r="N3244" s="89" t="s">
        <v>4870</v>
      </c>
      <c r="O3244" s="92">
        <v>2.2187024E7</v>
      </c>
      <c r="P3244" s="92">
        <v>2.0025138E7</v>
      </c>
      <c r="Q3244" s="89" t="s">
        <v>822</v>
      </c>
      <c r="AF3244" s="1"/>
      <c r="AG3244" s="1"/>
    </row>
    <row r="3245" ht="15.75" customHeight="1">
      <c r="A3245" s="1"/>
      <c r="B3245" s="1"/>
      <c r="C3245" s="1"/>
      <c r="D3245" s="1"/>
      <c r="E3245" s="1"/>
      <c r="F3245" s="1"/>
      <c r="G3245" s="1"/>
      <c r="H3245" s="1"/>
      <c r="I3245" s="1"/>
      <c r="J3245" s="1"/>
      <c r="K3245" s="89" t="s">
        <v>4871</v>
      </c>
      <c r="L3245" s="89" t="str">
        <f>G108</f>
        <v>C1b1a2b</v>
      </c>
      <c r="M3245" s="89" t="s">
        <v>4872</v>
      </c>
      <c r="N3245" s="89" t="s">
        <v>4873</v>
      </c>
      <c r="O3245" s="92">
        <v>2.2192982E7</v>
      </c>
      <c r="P3245" s="92">
        <v>2.0031096E7</v>
      </c>
      <c r="Q3245" s="89" t="s">
        <v>879</v>
      </c>
      <c r="AF3245" s="1"/>
      <c r="AG3245" s="1"/>
    </row>
    <row r="3246" ht="15.75" customHeight="1">
      <c r="A3246" s="1"/>
      <c r="B3246" s="1"/>
      <c r="C3246" s="1"/>
      <c r="D3246" s="1"/>
      <c r="E3246" s="1"/>
      <c r="F3246" s="1"/>
      <c r="G3246" s="1"/>
      <c r="H3246" s="1"/>
      <c r="I3246" s="1"/>
      <c r="J3246" s="1"/>
      <c r="K3246" s="89" t="s">
        <v>4872</v>
      </c>
      <c r="L3246" s="89" t="str">
        <f>G108</f>
        <v>C1b1a2b</v>
      </c>
      <c r="M3246" s="89" t="s">
        <v>4871</v>
      </c>
      <c r="N3246" s="89" t="s">
        <v>4873</v>
      </c>
      <c r="O3246" s="92">
        <v>2.2192982E7</v>
      </c>
      <c r="P3246" s="92">
        <v>2.0031096E7</v>
      </c>
      <c r="Q3246" s="89" t="s">
        <v>879</v>
      </c>
      <c r="AF3246" s="1"/>
      <c r="AG3246" s="1"/>
    </row>
    <row r="3247" ht="15.75" customHeight="1">
      <c r="A3247" s="1"/>
      <c r="B3247" s="1"/>
      <c r="C3247" s="1"/>
      <c r="D3247" s="1"/>
      <c r="E3247" s="1"/>
      <c r="F3247" s="1"/>
      <c r="G3247" s="1"/>
      <c r="H3247" s="1"/>
      <c r="I3247" s="1"/>
      <c r="J3247" s="1"/>
      <c r="K3247" s="89" t="s">
        <v>4874</v>
      </c>
      <c r="L3247" s="89" t="str">
        <f>G108</f>
        <v>C1b1a2b</v>
      </c>
      <c r="M3247" s="89" t="s">
        <v>4875</v>
      </c>
      <c r="N3247" s="89" t="s">
        <v>4876</v>
      </c>
      <c r="O3247" s="92">
        <v>2.2198952E7</v>
      </c>
      <c r="P3247" s="92">
        <v>2.0037066E7</v>
      </c>
      <c r="Q3247" s="89" t="s">
        <v>802</v>
      </c>
      <c r="AF3247" s="1"/>
      <c r="AG3247" s="1"/>
    </row>
    <row r="3248" ht="15.75" customHeight="1">
      <c r="A3248" s="1"/>
      <c r="B3248" s="1"/>
      <c r="C3248" s="1"/>
      <c r="D3248" s="1"/>
      <c r="E3248" s="1"/>
      <c r="F3248" s="1"/>
      <c r="G3248" s="1"/>
      <c r="H3248" s="1"/>
      <c r="I3248" s="1"/>
      <c r="J3248" s="1"/>
      <c r="K3248" s="89" t="s">
        <v>4875</v>
      </c>
      <c r="L3248" s="89" t="str">
        <f>G108</f>
        <v>C1b1a2b</v>
      </c>
      <c r="M3248" s="89" t="s">
        <v>4874</v>
      </c>
      <c r="N3248" s="89" t="s">
        <v>4876</v>
      </c>
      <c r="O3248" s="92">
        <v>2.2198952E7</v>
      </c>
      <c r="P3248" s="92">
        <v>2.0037066E7</v>
      </c>
      <c r="Q3248" s="89" t="s">
        <v>802</v>
      </c>
      <c r="AF3248" s="1"/>
      <c r="AG3248" s="1"/>
    </row>
    <row r="3249" ht="15.75" customHeight="1">
      <c r="A3249" s="1"/>
      <c r="B3249" s="1"/>
      <c r="C3249" s="1"/>
      <c r="D3249" s="1"/>
      <c r="E3249" s="1"/>
      <c r="F3249" s="1"/>
      <c r="G3249" s="1"/>
      <c r="H3249" s="1"/>
      <c r="I3249" s="1"/>
      <c r="J3249" s="1"/>
      <c r="K3249" s="89" t="s">
        <v>4877</v>
      </c>
      <c r="L3249" s="89" t="str">
        <f>G108</f>
        <v>C1b1a2b</v>
      </c>
      <c r="M3249" s="89" t="s">
        <v>4878</v>
      </c>
      <c r="N3249" s="89" t="s">
        <v>4879</v>
      </c>
      <c r="O3249" s="92">
        <v>2.2200707E7</v>
      </c>
      <c r="P3249" s="92">
        <v>2.0038821E7</v>
      </c>
      <c r="Q3249" s="89" t="s">
        <v>822</v>
      </c>
      <c r="AF3249" s="1"/>
      <c r="AG3249" s="1"/>
    </row>
    <row r="3250" ht="15.75" customHeight="1">
      <c r="A3250" s="1"/>
      <c r="B3250" s="1"/>
      <c r="C3250" s="1"/>
      <c r="D3250" s="1"/>
      <c r="E3250" s="1"/>
      <c r="F3250" s="1"/>
      <c r="G3250" s="1"/>
      <c r="H3250" s="1"/>
      <c r="I3250" s="1"/>
      <c r="J3250" s="1"/>
      <c r="K3250" s="89" t="s">
        <v>4878</v>
      </c>
      <c r="L3250" s="89" t="str">
        <f>G108</f>
        <v>C1b1a2b</v>
      </c>
      <c r="M3250" s="89" t="s">
        <v>4877</v>
      </c>
      <c r="N3250" s="89" t="s">
        <v>4879</v>
      </c>
      <c r="O3250" s="92">
        <v>2.2200707E7</v>
      </c>
      <c r="P3250" s="92">
        <v>2.0038821E7</v>
      </c>
      <c r="Q3250" s="89" t="s">
        <v>822</v>
      </c>
      <c r="AF3250" s="1"/>
      <c r="AG3250" s="1"/>
    </row>
    <row r="3251" ht="15.75" customHeight="1">
      <c r="A3251" s="1"/>
      <c r="B3251" s="1"/>
      <c r="C3251" s="1"/>
      <c r="D3251" s="1"/>
      <c r="E3251" s="1"/>
      <c r="F3251" s="1"/>
      <c r="G3251" s="1"/>
      <c r="H3251" s="1"/>
      <c r="I3251" s="1"/>
      <c r="J3251" s="1"/>
      <c r="K3251" s="89" t="s">
        <v>4880</v>
      </c>
      <c r="L3251" s="89" t="str">
        <f>G108</f>
        <v>C1b1a2b</v>
      </c>
      <c r="M3251" s="89" t="s">
        <v>4881</v>
      </c>
      <c r="N3251" s="89" t="s">
        <v>4882</v>
      </c>
      <c r="O3251" s="92">
        <v>2.2524939E7</v>
      </c>
      <c r="P3251" s="92">
        <v>2.0363053E7</v>
      </c>
      <c r="Q3251" s="89" t="s">
        <v>838</v>
      </c>
      <c r="AF3251" s="1"/>
      <c r="AG3251" s="1"/>
    </row>
    <row r="3252" ht="15.75" customHeight="1">
      <c r="A3252" s="1"/>
      <c r="B3252" s="1"/>
      <c r="C3252" s="1"/>
      <c r="D3252" s="1"/>
      <c r="E3252" s="1"/>
      <c r="F3252" s="1"/>
      <c r="G3252" s="1"/>
      <c r="H3252" s="1"/>
      <c r="I3252" s="1"/>
      <c r="J3252" s="1"/>
      <c r="K3252" s="89" t="s">
        <v>4881</v>
      </c>
      <c r="L3252" s="89" t="str">
        <f>G108</f>
        <v>C1b1a2b</v>
      </c>
      <c r="M3252" s="89" t="s">
        <v>4880</v>
      </c>
      <c r="N3252" s="89" t="s">
        <v>4882</v>
      </c>
      <c r="O3252" s="92">
        <v>2.2524939E7</v>
      </c>
      <c r="P3252" s="92">
        <v>2.0363053E7</v>
      </c>
      <c r="Q3252" s="89" t="s">
        <v>838</v>
      </c>
      <c r="AF3252" s="1"/>
      <c r="AG3252" s="1"/>
    </row>
    <row r="3253" ht="15.75" customHeight="1">
      <c r="A3253" s="1"/>
      <c r="B3253" s="1"/>
      <c r="C3253" s="1"/>
      <c r="D3253" s="1"/>
      <c r="E3253" s="1"/>
      <c r="F3253" s="1"/>
      <c r="G3253" s="1"/>
      <c r="H3253" s="1"/>
      <c r="I3253" s="1"/>
      <c r="J3253" s="1"/>
      <c r="K3253" s="89" t="s">
        <v>4883</v>
      </c>
      <c r="L3253" s="89" t="str">
        <f>G108</f>
        <v>C1b1a2b</v>
      </c>
      <c r="M3253" s="89" t="s">
        <v>4884</v>
      </c>
      <c r="N3253" s="89" t="s">
        <v>4885</v>
      </c>
      <c r="O3253" s="92">
        <v>2.2565499E7</v>
      </c>
      <c r="P3253" s="92">
        <v>2.0403613E7</v>
      </c>
      <c r="Q3253" s="89" t="s">
        <v>802</v>
      </c>
      <c r="AF3253" s="1"/>
      <c r="AG3253" s="1"/>
    </row>
    <row r="3254" ht="15.75" customHeight="1">
      <c r="A3254" s="1"/>
      <c r="B3254" s="1"/>
      <c r="C3254" s="1"/>
      <c r="D3254" s="1"/>
      <c r="E3254" s="1"/>
      <c r="F3254" s="1"/>
      <c r="G3254" s="1"/>
      <c r="H3254" s="1"/>
      <c r="I3254" s="1"/>
      <c r="J3254" s="1"/>
      <c r="K3254" s="89" t="s">
        <v>4884</v>
      </c>
      <c r="L3254" s="89" t="str">
        <f>G108</f>
        <v>C1b1a2b</v>
      </c>
      <c r="M3254" s="89" t="s">
        <v>4883</v>
      </c>
      <c r="N3254" s="89" t="s">
        <v>4885</v>
      </c>
      <c r="O3254" s="92">
        <v>2.2565499E7</v>
      </c>
      <c r="P3254" s="92">
        <v>2.0403613E7</v>
      </c>
      <c r="Q3254" s="89" t="s">
        <v>802</v>
      </c>
      <c r="AF3254" s="1"/>
      <c r="AG3254" s="1"/>
    </row>
    <row r="3255" ht="15.75" customHeight="1">
      <c r="A3255" s="1"/>
      <c r="B3255" s="1"/>
      <c r="C3255" s="1"/>
      <c r="D3255" s="1"/>
      <c r="E3255" s="1"/>
      <c r="F3255" s="1"/>
      <c r="G3255" s="1"/>
      <c r="H3255" s="1"/>
      <c r="I3255" s="1"/>
      <c r="J3255" s="1"/>
      <c r="K3255" s="89" t="s">
        <v>4886</v>
      </c>
      <c r="L3255" s="89" t="str">
        <f>G108</f>
        <v>C1b1a2b</v>
      </c>
      <c r="M3255" s="89" t="s">
        <v>4887</v>
      </c>
      <c r="N3255" s="89" t="s">
        <v>4888</v>
      </c>
      <c r="O3255" s="92">
        <v>2.2592915E7</v>
      </c>
      <c r="P3255" s="92">
        <v>2.0431029E7</v>
      </c>
      <c r="Q3255" s="89" t="s">
        <v>838</v>
      </c>
      <c r="AF3255" s="1"/>
      <c r="AG3255" s="1"/>
    </row>
    <row r="3256" ht="15.75" customHeight="1">
      <c r="A3256" s="1"/>
      <c r="B3256" s="1"/>
      <c r="C3256" s="1"/>
      <c r="D3256" s="1"/>
      <c r="E3256" s="1"/>
      <c r="F3256" s="1"/>
      <c r="G3256" s="1"/>
      <c r="H3256" s="1"/>
      <c r="I3256" s="1"/>
      <c r="J3256" s="1"/>
      <c r="K3256" s="89" t="s">
        <v>4887</v>
      </c>
      <c r="L3256" s="89" t="str">
        <f>G108</f>
        <v>C1b1a2b</v>
      </c>
      <c r="M3256" s="89" t="s">
        <v>4886</v>
      </c>
      <c r="N3256" s="89" t="s">
        <v>4888</v>
      </c>
      <c r="O3256" s="92">
        <v>2.2592915E7</v>
      </c>
      <c r="P3256" s="92">
        <v>2.0431029E7</v>
      </c>
      <c r="Q3256" s="89" t="s">
        <v>838</v>
      </c>
      <c r="AF3256" s="1"/>
      <c r="AG3256" s="1"/>
    </row>
    <row r="3257" ht="15.75" customHeight="1">
      <c r="A3257" s="1"/>
      <c r="B3257" s="1"/>
      <c r="C3257" s="1"/>
      <c r="D3257" s="1"/>
      <c r="E3257" s="1"/>
      <c r="F3257" s="1"/>
      <c r="G3257" s="1"/>
      <c r="H3257" s="1"/>
      <c r="I3257" s="1"/>
      <c r="J3257" s="1"/>
      <c r="K3257" s="89" t="s">
        <v>4889</v>
      </c>
      <c r="L3257" s="89" t="str">
        <f>G108</f>
        <v>C1b1a2b</v>
      </c>
      <c r="M3257" s="89" t="s">
        <v>4890</v>
      </c>
      <c r="N3257" s="89" t="s">
        <v>4891</v>
      </c>
      <c r="O3257" s="92">
        <v>2.2731883E7</v>
      </c>
      <c r="P3257" s="92">
        <v>2.0569997E7</v>
      </c>
      <c r="Q3257" s="89" t="s">
        <v>838</v>
      </c>
      <c r="AF3257" s="1"/>
      <c r="AG3257" s="1"/>
    </row>
    <row r="3258" ht="15.75" customHeight="1">
      <c r="A3258" s="1"/>
      <c r="B3258" s="1"/>
      <c r="C3258" s="1"/>
      <c r="D3258" s="1"/>
      <c r="E3258" s="1"/>
      <c r="F3258" s="1"/>
      <c r="G3258" s="1"/>
      <c r="H3258" s="1"/>
      <c r="I3258" s="1"/>
      <c r="J3258" s="1"/>
      <c r="K3258" s="89" t="s">
        <v>4890</v>
      </c>
      <c r="L3258" s="89" t="str">
        <f>G108</f>
        <v>C1b1a2b</v>
      </c>
      <c r="M3258" s="89" t="s">
        <v>4889</v>
      </c>
      <c r="N3258" s="89" t="s">
        <v>4891</v>
      </c>
      <c r="O3258" s="92">
        <v>2.2731883E7</v>
      </c>
      <c r="P3258" s="92">
        <v>2.0569997E7</v>
      </c>
      <c r="Q3258" s="89" t="s">
        <v>838</v>
      </c>
      <c r="AF3258" s="1"/>
      <c r="AG3258" s="1"/>
    </row>
    <row r="3259" ht="15.75" customHeight="1">
      <c r="A3259" s="1"/>
      <c r="B3259" s="1"/>
      <c r="C3259" s="1"/>
      <c r="D3259" s="1"/>
      <c r="E3259" s="1"/>
      <c r="F3259" s="1"/>
      <c r="G3259" s="1"/>
      <c r="H3259" s="1"/>
      <c r="I3259" s="1"/>
      <c r="J3259" s="1"/>
      <c r="K3259" s="89" t="s">
        <v>4892</v>
      </c>
      <c r="L3259" s="89" t="str">
        <f>G108</f>
        <v>C1b1a2b</v>
      </c>
      <c r="M3259" s="89" t="s">
        <v>4893</v>
      </c>
      <c r="N3259" s="89" t="s">
        <v>4894</v>
      </c>
      <c r="O3259" s="92">
        <v>2.2796334E7</v>
      </c>
      <c r="P3259" s="92">
        <v>2.0634448E7</v>
      </c>
      <c r="Q3259" s="89" t="s">
        <v>838</v>
      </c>
      <c r="AF3259" s="1"/>
      <c r="AG3259" s="1"/>
    </row>
    <row r="3260" ht="15.75" customHeight="1">
      <c r="A3260" s="1"/>
      <c r="B3260" s="1"/>
      <c r="C3260" s="1"/>
      <c r="D3260" s="1"/>
      <c r="E3260" s="1"/>
      <c r="F3260" s="1"/>
      <c r="G3260" s="1"/>
      <c r="H3260" s="1"/>
      <c r="I3260" s="1"/>
      <c r="J3260" s="1"/>
      <c r="K3260" s="89" t="s">
        <v>4893</v>
      </c>
      <c r="L3260" s="89" t="str">
        <f>G108</f>
        <v>C1b1a2b</v>
      </c>
      <c r="M3260" s="89" t="s">
        <v>4892</v>
      </c>
      <c r="N3260" s="89" t="s">
        <v>4894</v>
      </c>
      <c r="O3260" s="92">
        <v>2.2796334E7</v>
      </c>
      <c r="P3260" s="92">
        <v>2.0634448E7</v>
      </c>
      <c r="Q3260" s="89" t="s">
        <v>838</v>
      </c>
      <c r="AF3260" s="1"/>
      <c r="AG3260" s="1"/>
    </row>
    <row r="3261" ht="15.75" customHeight="1">
      <c r="A3261" s="1"/>
      <c r="B3261" s="1"/>
      <c r="C3261" s="1"/>
      <c r="D3261" s="1"/>
      <c r="E3261" s="1"/>
      <c r="F3261" s="1"/>
      <c r="G3261" s="1"/>
      <c r="H3261" s="1"/>
      <c r="I3261" s="1"/>
      <c r="J3261" s="1"/>
      <c r="K3261" s="89" t="s">
        <v>4895</v>
      </c>
      <c r="L3261" s="89" t="str">
        <f>G108</f>
        <v>C1b1a2b</v>
      </c>
      <c r="M3261" s="89" t="s">
        <v>4896</v>
      </c>
      <c r="N3261" s="89" t="s">
        <v>4897</v>
      </c>
      <c r="O3261" s="92">
        <v>2.2837308E7</v>
      </c>
      <c r="P3261" s="92">
        <v>2.0675422E7</v>
      </c>
      <c r="Q3261" s="89" t="s">
        <v>813</v>
      </c>
      <c r="AF3261" s="1"/>
      <c r="AG3261" s="1"/>
    </row>
    <row r="3262" ht="15.75" customHeight="1">
      <c r="A3262" s="1"/>
      <c r="B3262" s="1"/>
      <c r="C3262" s="1"/>
      <c r="D3262" s="1"/>
      <c r="E3262" s="1"/>
      <c r="F3262" s="1"/>
      <c r="G3262" s="1"/>
      <c r="H3262" s="1"/>
      <c r="I3262" s="1"/>
      <c r="J3262" s="1"/>
      <c r="K3262" s="89" t="s">
        <v>4896</v>
      </c>
      <c r="L3262" s="89" t="str">
        <f>G108</f>
        <v>C1b1a2b</v>
      </c>
      <c r="M3262" s="89" t="s">
        <v>4895</v>
      </c>
      <c r="N3262" s="89" t="s">
        <v>4897</v>
      </c>
      <c r="O3262" s="92">
        <v>2.2837308E7</v>
      </c>
      <c r="P3262" s="92">
        <v>2.0675422E7</v>
      </c>
      <c r="Q3262" s="89" t="s">
        <v>813</v>
      </c>
      <c r="AF3262" s="1"/>
      <c r="AG3262" s="1"/>
    </row>
    <row r="3263" ht="15.75" customHeight="1">
      <c r="A3263" s="1"/>
      <c r="B3263" s="1"/>
      <c r="C3263" s="1"/>
      <c r="D3263" s="1"/>
      <c r="E3263" s="1"/>
      <c r="F3263" s="1"/>
      <c r="G3263" s="1"/>
      <c r="H3263" s="1"/>
      <c r="I3263" s="1"/>
      <c r="J3263" s="1"/>
      <c r="K3263" s="89" t="s">
        <v>4898</v>
      </c>
      <c r="L3263" s="89" t="str">
        <f>G108</f>
        <v>C1b1a2b</v>
      </c>
      <c r="M3263" s="89" t="s">
        <v>4899</v>
      </c>
      <c r="N3263" s="89" t="s">
        <v>4900</v>
      </c>
      <c r="O3263" s="92">
        <v>2.2842315E7</v>
      </c>
      <c r="P3263" s="92">
        <v>2.0680429E7</v>
      </c>
      <c r="Q3263" s="89" t="s">
        <v>810</v>
      </c>
      <c r="AF3263" s="1"/>
      <c r="AG3263" s="1"/>
    </row>
    <row r="3264" ht="15.75" customHeight="1">
      <c r="A3264" s="1"/>
      <c r="B3264" s="1"/>
      <c r="C3264" s="1"/>
      <c r="D3264" s="1"/>
      <c r="E3264" s="1"/>
      <c r="F3264" s="1"/>
      <c r="G3264" s="1"/>
      <c r="H3264" s="1"/>
      <c r="I3264" s="1"/>
      <c r="J3264" s="1"/>
      <c r="K3264" s="89" t="s">
        <v>4899</v>
      </c>
      <c r="L3264" s="89" t="str">
        <f>G108</f>
        <v>C1b1a2b</v>
      </c>
      <c r="M3264" s="89" t="s">
        <v>4898</v>
      </c>
      <c r="N3264" s="89" t="s">
        <v>4900</v>
      </c>
      <c r="O3264" s="92">
        <v>2.2842315E7</v>
      </c>
      <c r="P3264" s="92">
        <v>2.0680429E7</v>
      </c>
      <c r="Q3264" s="89" t="s">
        <v>810</v>
      </c>
      <c r="AF3264" s="1"/>
      <c r="AG3264" s="1"/>
    </row>
    <row r="3265" ht="15.75" customHeight="1">
      <c r="A3265" s="1"/>
      <c r="B3265" s="1"/>
      <c r="C3265" s="1"/>
      <c r="D3265" s="1"/>
      <c r="E3265" s="1"/>
      <c r="F3265" s="1"/>
      <c r="G3265" s="1"/>
      <c r="H3265" s="1"/>
      <c r="I3265" s="1"/>
      <c r="J3265" s="1"/>
      <c r="K3265" s="89" t="s">
        <v>4901</v>
      </c>
      <c r="L3265" s="89" t="str">
        <f>G108</f>
        <v>C1b1a2b</v>
      </c>
      <c r="M3265" s="89" t="s">
        <v>4902</v>
      </c>
      <c r="N3265" s="89" t="s">
        <v>4903</v>
      </c>
      <c r="O3265" s="92">
        <v>2.2859749E7</v>
      </c>
      <c r="P3265" s="92">
        <v>2.0697863E7</v>
      </c>
      <c r="Q3265" s="89" t="s">
        <v>831</v>
      </c>
      <c r="AF3265" s="1"/>
      <c r="AG3265" s="1"/>
    </row>
    <row r="3266" ht="15.75" customHeight="1">
      <c r="A3266" s="1"/>
      <c r="B3266" s="1"/>
      <c r="C3266" s="1"/>
      <c r="D3266" s="1"/>
      <c r="E3266" s="1"/>
      <c r="F3266" s="1"/>
      <c r="G3266" s="1"/>
      <c r="H3266" s="1"/>
      <c r="I3266" s="1"/>
      <c r="J3266" s="1"/>
      <c r="K3266" s="89" t="s">
        <v>4902</v>
      </c>
      <c r="L3266" s="89" t="str">
        <f>G108</f>
        <v>C1b1a2b</v>
      </c>
      <c r="M3266" s="89" t="s">
        <v>4901</v>
      </c>
      <c r="N3266" s="89" t="s">
        <v>4903</v>
      </c>
      <c r="O3266" s="92">
        <v>2.2859749E7</v>
      </c>
      <c r="P3266" s="92">
        <v>2.0697863E7</v>
      </c>
      <c r="Q3266" s="89" t="s">
        <v>831</v>
      </c>
      <c r="AF3266" s="1"/>
      <c r="AG3266" s="1"/>
    </row>
    <row r="3267" ht="15.75" customHeight="1">
      <c r="A3267" s="1"/>
      <c r="B3267" s="1"/>
      <c r="C3267" s="1"/>
      <c r="D3267" s="1"/>
      <c r="E3267" s="1"/>
      <c r="F3267" s="1"/>
      <c r="G3267" s="1"/>
      <c r="H3267" s="1"/>
      <c r="I3267" s="1"/>
      <c r="J3267" s="1"/>
      <c r="K3267" s="89" t="s">
        <v>4904</v>
      </c>
      <c r="L3267" s="89" t="str">
        <f>G108</f>
        <v>C1b1a2b</v>
      </c>
      <c r="M3267" s="89" t="s">
        <v>4905</v>
      </c>
      <c r="N3267" s="89" t="s">
        <v>4906</v>
      </c>
      <c r="O3267" s="92">
        <v>2.2871993E7</v>
      </c>
      <c r="P3267" s="92">
        <v>2.0710107E7</v>
      </c>
      <c r="Q3267" s="89" t="s">
        <v>886</v>
      </c>
      <c r="AF3267" s="1"/>
      <c r="AG3267" s="1"/>
    </row>
    <row r="3268" ht="15.75" customHeight="1">
      <c r="A3268" s="1"/>
      <c r="B3268" s="1"/>
      <c r="C3268" s="1"/>
      <c r="D3268" s="1"/>
      <c r="E3268" s="1"/>
      <c r="F3268" s="1"/>
      <c r="G3268" s="1"/>
      <c r="H3268" s="1"/>
      <c r="I3268" s="1"/>
      <c r="J3268" s="1"/>
      <c r="K3268" s="89" t="s">
        <v>4905</v>
      </c>
      <c r="L3268" s="89" t="str">
        <f>G108</f>
        <v>C1b1a2b</v>
      </c>
      <c r="M3268" s="89" t="s">
        <v>4904</v>
      </c>
      <c r="N3268" s="89" t="s">
        <v>4906</v>
      </c>
      <c r="O3268" s="92">
        <v>2.2871993E7</v>
      </c>
      <c r="P3268" s="92">
        <v>2.0710107E7</v>
      </c>
      <c r="Q3268" s="89" t="s">
        <v>886</v>
      </c>
      <c r="AF3268" s="1"/>
      <c r="AG3268" s="1"/>
    </row>
    <row r="3269" ht="15.75" customHeight="1">
      <c r="A3269" s="1"/>
      <c r="B3269" s="1"/>
      <c r="C3269" s="1"/>
      <c r="D3269" s="1"/>
      <c r="E3269" s="1"/>
      <c r="F3269" s="1"/>
      <c r="G3269" s="1"/>
      <c r="H3269" s="1"/>
      <c r="I3269" s="1"/>
      <c r="J3269" s="1"/>
      <c r="K3269" s="89" t="s">
        <v>4907</v>
      </c>
      <c r="L3269" s="89" t="str">
        <f>G108</f>
        <v>C1b1a2b</v>
      </c>
      <c r="M3269" s="89" t="s">
        <v>4908</v>
      </c>
      <c r="N3269" s="89" t="s">
        <v>4909</v>
      </c>
      <c r="O3269" s="92">
        <v>2.2903229E7</v>
      </c>
      <c r="P3269" s="92">
        <v>2.0741343E7</v>
      </c>
      <c r="Q3269" s="89" t="s">
        <v>802</v>
      </c>
      <c r="AF3269" s="1"/>
      <c r="AG3269" s="1"/>
    </row>
    <row r="3270" ht="15.75" customHeight="1">
      <c r="A3270" s="1"/>
      <c r="B3270" s="1"/>
      <c r="C3270" s="1"/>
      <c r="D3270" s="1"/>
      <c r="E3270" s="1"/>
      <c r="F3270" s="1"/>
      <c r="G3270" s="1"/>
      <c r="H3270" s="1"/>
      <c r="I3270" s="1"/>
      <c r="J3270" s="1"/>
      <c r="K3270" s="89" t="s">
        <v>4908</v>
      </c>
      <c r="L3270" s="89" t="str">
        <f>G108</f>
        <v>C1b1a2b</v>
      </c>
      <c r="M3270" s="89" t="s">
        <v>4907</v>
      </c>
      <c r="N3270" s="89" t="s">
        <v>4909</v>
      </c>
      <c r="O3270" s="92">
        <v>2.2903229E7</v>
      </c>
      <c r="P3270" s="92">
        <v>2.0741343E7</v>
      </c>
      <c r="Q3270" s="89" t="s">
        <v>802</v>
      </c>
      <c r="AF3270" s="1"/>
      <c r="AG3270" s="1"/>
    </row>
    <row r="3271" ht="15.75" customHeight="1">
      <c r="A3271" s="1"/>
      <c r="B3271" s="1"/>
      <c r="C3271" s="1"/>
      <c r="D3271" s="1"/>
      <c r="E3271" s="1"/>
      <c r="F3271" s="1"/>
      <c r="G3271" s="1"/>
      <c r="H3271" s="1"/>
      <c r="I3271" s="1"/>
      <c r="J3271" s="1"/>
      <c r="K3271" s="89" t="s">
        <v>4910</v>
      </c>
      <c r="L3271" s="89" t="str">
        <f>G108</f>
        <v>C1b1a2b</v>
      </c>
      <c r="M3271" s="89" t="s">
        <v>4911</v>
      </c>
      <c r="N3271" s="89" t="s">
        <v>4912</v>
      </c>
      <c r="O3271" s="92">
        <v>2.2940275E7</v>
      </c>
      <c r="P3271" s="92">
        <v>2.0778389E7</v>
      </c>
      <c r="Q3271" s="89" t="s">
        <v>810</v>
      </c>
      <c r="AF3271" s="1"/>
      <c r="AG3271" s="1"/>
    </row>
    <row r="3272" ht="15.75" customHeight="1">
      <c r="A3272" s="1"/>
      <c r="B3272" s="1"/>
      <c r="C3272" s="1"/>
      <c r="D3272" s="1"/>
      <c r="E3272" s="1"/>
      <c r="F3272" s="1"/>
      <c r="G3272" s="1"/>
      <c r="H3272" s="1"/>
      <c r="I3272" s="1"/>
      <c r="J3272" s="1"/>
      <c r="K3272" s="89" t="s">
        <v>4911</v>
      </c>
      <c r="L3272" s="89" t="str">
        <f>G108</f>
        <v>C1b1a2b</v>
      </c>
      <c r="M3272" s="89" t="s">
        <v>4910</v>
      </c>
      <c r="N3272" s="89" t="s">
        <v>4912</v>
      </c>
      <c r="O3272" s="92">
        <v>2.2940275E7</v>
      </c>
      <c r="P3272" s="92">
        <v>2.0778389E7</v>
      </c>
      <c r="Q3272" s="89" t="s">
        <v>810</v>
      </c>
      <c r="AF3272" s="1"/>
      <c r="AG3272" s="1"/>
    </row>
    <row r="3273" ht="15.75" customHeight="1">
      <c r="A3273" s="1"/>
      <c r="B3273" s="1"/>
      <c r="C3273" s="1"/>
      <c r="D3273" s="1"/>
      <c r="E3273" s="1"/>
      <c r="F3273" s="1"/>
      <c r="G3273" s="1"/>
      <c r="H3273" s="1"/>
      <c r="I3273" s="1"/>
      <c r="J3273" s="1"/>
      <c r="K3273" s="89" t="s">
        <v>4913</v>
      </c>
      <c r="L3273" s="89" t="str">
        <f>G108</f>
        <v>C1b1a2b</v>
      </c>
      <c r="M3273" s="89" t="s">
        <v>4914</v>
      </c>
      <c r="N3273" s="89" t="s">
        <v>4915</v>
      </c>
      <c r="O3273" s="92">
        <v>2.294217E7</v>
      </c>
      <c r="P3273" s="92">
        <v>2.0780284E7</v>
      </c>
      <c r="Q3273" s="89" t="s">
        <v>879</v>
      </c>
      <c r="AF3273" s="1"/>
      <c r="AG3273" s="1"/>
    </row>
    <row r="3274" ht="15.75" customHeight="1">
      <c r="A3274" s="1"/>
      <c r="B3274" s="1"/>
      <c r="C3274" s="1"/>
      <c r="D3274" s="1"/>
      <c r="E3274" s="1"/>
      <c r="F3274" s="1"/>
      <c r="G3274" s="1"/>
      <c r="H3274" s="1"/>
      <c r="I3274" s="1"/>
      <c r="J3274" s="1"/>
      <c r="K3274" s="89" t="s">
        <v>4914</v>
      </c>
      <c r="L3274" s="89" t="str">
        <f>G108</f>
        <v>C1b1a2b</v>
      </c>
      <c r="M3274" s="89" t="s">
        <v>4913</v>
      </c>
      <c r="N3274" s="89" t="s">
        <v>4915</v>
      </c>
      <c r="O3274" s="92">
        <v>2.294217E7</v>
      </c>
      <c r="P3274" s="92">
        <v>2.0780284E7</v>
      </c>
      <c r="Q3274" s="89" t="s">
        <v>879</v>
      </c>
      <c r="AF3274" s="1"/>
      <c r="AG3274" s="1"/>
    </row>
    <row r="3275" ht="15.75" customHeight="1">
      <c r="A3275" s="1"/>
      <c r="B3275" s="1"/>
      <c r="C3275" s="1"/>
      <c r="D3275" s="1"/>
      <c r="E3275" s="1"/>
      <c r="F3275" s="1"/>
      <c r="G3275" s="1"/>
      <c r="H3275" s="1"/>
      <c r="I3275" s="1"/>
      <c r="J3275" s="1"/>
      <c r="K3275" s="89" t="s">
        <v>4916</v>
      </c>
      <c r="L3275" s="89" t="str">
        <f>G108</f>
        <v>C1b1a2b</v>
      </c>
      <c r="M3275" s="89" t="s">
        <v>4917</v>
      </c>
      <c r="N3275" s="89" t="s">
        <v>4918</v>
      </c>
      <c r="O3275" s="92">
        <v>2.2946162E7</v>
      </c>
      <c r="P3275" s="92">
        <v>2.0784276E7</v>
      </c>
      <c r="Q3275" s="89" t="s">
        <v>802</v>
      </c>
      <c r="AF3275" s="1"/>
      <c r="AG3275" s="1"/>
    </row>
    <row r="3276" ht="15.75" customHeight="1">
      <c r="A3276" s="1"/>
      <c r="B3276" s="1"/>
      <c r="C3276" s="1"/>
      <c r="D3276" s="1"/>
      <c r="E3276" s="1"/>
      <c r="F3276" s="1"/>
      <c r="G3276" s="1"/>
      <c r="H3276" s="1"/>
      <c r="I3276" s="1"/>
      <c r="J3276" s="1"/>
      <c r="K3276" s="89" t="s">
        <v>4917</v>
      </c>
      <c r="L3276" s="89" t="str">
        <f>G108</f>
        <v>C1b1a2b</v>
      </c>
      <c r="M3276" s="89" t="s">
        <v>4916</v>
      </c>
      <c r="N3276" s="89" t="s">
        <v>4918</v>
      </c>
      <c r="O3276" s="92">
        <v>2.2946162E7</v>
      </c>
      <c r="P3276" s="92">
        <v>2.0784276E7</v>
      </c>
      <c r="Q3276" s="89" t="s">
        <v>802</v>
      </c>
      <c r="AF3276" s="1"/>
      <c r="AG3276" s="1"/>
    </row>
    <row r="3277" ht="15.75" customHeight="1">
      <c r="A3277" s="1"/>
      <c r="B3277" s="1"/>
      <c r="C3277" s="1"/>
      <c r="D3277" s="1"/>
      <c r="E3277" s="1"/>
      <c r="F3277" s="1"/>
      <c r="G3277" s="1"/>
      <c r="H3277" s="1"/>
      <c r="I3277" s="1"/>
      <c r="J3277" s="1"/>
      <c r="K3277" s="89" t="s">
        <v>4919</v>
      </c>
      <c r="L3277" s="89" t="str">
        <f>G108</f>
        <v>C1b1a2b</v>
      </c>
      <c r="M3277" s="89" t="s">
        <v>4920</v>
      </c>
      <c r="N3277" s="89" t="s">
        <v>4921</v>
      </c>
      <c r="O3277" s="92">
        <v>2.3051602E7</v>
      </c>
      <c r="P3277" s="92">
        <v>2.0889716E7</v>
      </c>
      <c r="Q3277" s="89" t="s">
        <v>879</v>
      </c>
      <c r="AF3277" s="1"/>
      <c r="AG3277" s="1"/>
    </row>
    <row r="3278" ht="15.75" customHeight="1">
      <c r="A3278" s="1"/>
      <c r="B3278" s="1"/>
      <c r="C3278" s="1"/>
      <c r="D3278" s="1"/>
      <c r="E3278" s="1"/>
      <c r="F3278" s="1"/>
      <c r="G3278" s="1"/>
      <c r="H3278" s="1"/>
      <c r="I3278" s="1"/>
      <c r="J3278" s="1"/>
      <c r="K3278" s="89" t="s">
        <v>4920</v>
      </c>
      <c r="L3278" s="89" t="str">
        <f>G108</f>
        <v>C1b1a2b</v>
      </c>
      <c r="M3278" s="89" t="s">
        <v>4919</v>
      </c>
      <c r="N3278" s="89" t="s">
        <v>4921</v>
      </c>
      <c r="O3278" s="92">
        <v>2.3051602E7</v>
      </c>
      <c r="P3278" s="92">
        <v>2.0889716E7</v>
      </c>
      <c r="Q3278" s="89" t="s">
        <v>879</v>
      </c>
      <c r="AF3278" s="1"/>
      <c r="AG3278" s="1"/>
    </row>
    <row r="3279" ht="15.75" customHeight="1">
      <c r="A3279" s="1"/>
      <c r="B3279" s="1"/>
      <c r="C3279" s="1"/>
      <c r="D3279" s="1"/>
      <c r="E3279" s="1"/>
      <c r="F3279" s="1"/>
      <c r="G3279" s="1"/>
      <c r="H3279" s="1"/>
      <c r="I3279" s="1"/>
      <c r="J3279" s="1"/>
      <c r="K3279" s="89" t="s">
        <v>4922</v>
      </c>
      <c r="L3279" s="89" t="str">
        <f>G108</f>
        <v>C1b1a2b</v>
      </c>
      <c r="M3279" s="89" t="s">
        <v>4923</v>
      </c>
      <c r="N3279" s="89" t="s">
        <v>4924</v>
      </c>
      <c r="O3279" s="92">
        <v>2.3086385E7</v>
      </c>
      <c r="P3279" s="92">
        <v>2.0924499E7</v>
      </c>
      <c r="Q3279" s="89" t="s">
        <v>831</v>
      </c>
      <c r="AF3279" s="1"/>
      <c r="AG3279" s="1"/>
    </row>
    <row r="3280" ht="15.75" customHeight="1">
      <c r="A3280" s="1"/>
      <c r="B3280" s="1"/>
      <c r="C3280" s="1"/>
      <c r="D3280" s="1"/>
      <c r="E3280" s="1"/>
      <c r="F3280" s="1"/>
      <c r="G3280" s="1"/>
      <c r="H3280" s="1"/>
      <c r="I3280" s="1"/>
      <c r="J3280" s="1"/>
      <c r="K3280" s="89" t="s">
        <v>4923</v>
      </c>
      <c r="L3280" s="89" t="str">
        <f>G108</f>
        <v>C1b1a2b</v>
      </c>
      <c r="M3280" s="89" t="s">
        <v>4922</v>
      </c>
      <c r="N3280" s="89" t="s">
        <v>4924</v>
      </c>
      <c r="O3280" s="92">
        <v>2.3086385E7</v>
      </c>
      <c r="P3280" s="92">
        <v>2.0924499E7</v>
      </c>
      <c r="Q3280" s="89" t="s">
        <v>831</v>
      </c>
      <c r="AF3280" s="1"/>
      <c r="AG3280" s="1"/>
    </row>
    <row r="3281" ht="15.75" customHeight="1">
      <c r="A3281" s="1"/>
      <c r="B3281" s="1"/>
      <c r="C3281" s="1"/>
      <c r="D3281" s="1"/>
      <c r="E3281" s="1"/>
      <c r="F3281" s="1"/>
      <c r="G3281" s="1"/>
      <c r="H3281" s="1"/>
      <c r="I3281" s="1"/>
      <c r="J3281" s="1"/>
      <c r="K3281" s="89" t="s">
        <v>4925</v>
      </c>
      <c r="L3281" s="89" t="str">
        <f>G108</f>
        <v>C1b1a2b</v>
      </c>
      <c r="M3281" s="89" t="s">
        <v>4926</v>
      </c>
      <c r="N3281" s="89" t="s">
        <v>4927</v>
      </c>
      <c r="O3281" s="92">
        <v>2.3089035E7</v>
      </c>
      <c r="P3281" s="92">
        <v>2.0927149E7</v>
      </c>
      <c r="Q3281" s="89" t="s">
        <v>810</v>
      </c>
      <c r="AF3281" s="1"/>
      <c r="AG3281" s="1"/>
    </row>
    <row r="3282" ht="15.75" customHeight="1">
      <c r="A3282" s="1"/>
      <c r="B3282" s="1"/>
      <c r="C3282" s="1"/>
      <c r="D3282" s="1"/>
      <c r="E3282" s="1"/>
      <c r="F3282" s="1"/>
      <c r="G3282" s="1"/>
      <c r="H3282" s="1"/>
      <c r="I3282" s="1"/>
      <c r="J3282" s="1"/>
      <c r="K3282" s="89" t="s">
        <v>4926</v>
      </c>
      <c r="L3282" s="89" t="str">
        <f>G108</f>
        <v>C1b1a2b</v>
      </c>
      <c r="M3282" s="89" t="s">
        <v>4925</v>
      </c>
      <c r="N3282" s="89" t="s">
        <v>4927</v>
      </c>
      <c r="O3282" s="92">
        <v>2.3089035E7</v>
      </c>
      <c r="P3282" s="92">
        <v>2.0927149E7</v>
      </c>
      <c r="Q3282" s="89" t="s">
        <v>810</v>
      </c>
      <c r="AF3282" s="1"/>
      <c r="AG3282" s="1"/>
    </row>
    <row r="3283" ht="15.75" customHeight="1">
      <c r="A3283" s="1"/>
      <c r="B3283" s="1"/>
      <c r="C3283" s="1"/>
      <c r="D3283" s="1"/>
      <c r="E3283" s="1"/>
      <c r="F3283" s="1"/>
      <c r="G3283" s="1"/>
      <c r="H3283" s="1"/>
      <c r="I3283" s="1"/>
      <c r="J3283" s="1"/>
      <c r="K3283" s="89" t="s">
        <v>4928</v>
      </c>
      <c r="L3283" s="89" t="str">
        <f>G108</f>
        <v>C1b1a2b</v>
      </c>
      <c r="M3283" s="89" t="s">
        <v>4929</v>
      </c>
      <c r="N3283" s="89" t="s">
        <v>4930</v>
      </c>
      <c r="O3283" s="92">
        <v>2.3128106E7</v>
      </c>
      <c r="P3283" s="92">
        <v>2.096622E7</v>
      </c>
      <c r="Q3283" s="89" t="s">
        <v>917</v>
      </c>
      <c r="AF3283" s="1"/>
      <c r="AG3283" s="1"/>
    </row>
    <row r="3284" ht="15.75" customHeight="1">
      <c r="A3284" s="1"/>
      <c r="B3284" s="1"/>
      <c r="C3284" s="1"/>
      <c r="D3284" s="1"/>
      <c r="E3284" s="1"/>
      <c r="F3284" s="1"/>
      <c r="G3284" s="1"/>
      <c r="H3284" s="1"/>
      <c r="I3284" s="1"/>
      <c r="J3284" s="1"/>
      <c r="K3284" s="89" t="s">
        <v>4929</v>
      </c>
      <c r="L3284" s="89" t="str">
        <f>G108</f>
        <v>C1b1a2b</v>
      </c>
      <c r="M3284" s="89" t="s">
        <v>4928</v>
      </c>
      <c r="N3284" s="89" t="s">
        <v>4930</v>
      </c>
      <c r="O3284" s="92">
        <v>2.3128106E7</v>
      </c>
      <c r="P3284" s="92">
        <v>2.096622E7</v>
      </c>
      <c r="Q3284" s="89" t="s">
        <v>917</v>
      </c>
      <c r="AF3284" s="1"/>
      <c r="AG3284" s="1"/>
    </row>
    <row r="3285" ht="15.75" customHeight="1">
      <c r="A3285" s="1"/>
      <c r="B3285" s="1"/>
      <c r="C3285" s="1"/>
      <c r="D3285" s="1"/>
      <c r="E3285" s="1"/>
      <c r="F3285" s="1"/>
      <c r="G3285" s="1"/>
      <c r="H3285" s="1"/>
      <c r="I3285" s="1"/>
      <c r="J3285" s="1"/>
      <c r="K3285" s="89" t="s">
        <v>4931</v>
      </c>
      <c r="L3285" s="89" t="str">
        <f>G108</f>
        <v>C1b1a2b</v>
      </c>
      <c r="M3285" s="89" t="s">
        <v>4932</v>
      </c>
      <c r="N3285" s="89" t="s">
        <v>4933</v>
      </c>
      <c r="O3285" s="92">
        <v>2.3140347E7</v>
      </c>
      <c r="P3285" s="92">
        <v>2.0978461E7</v>
      </c>
      <c r="Q3285" s="89" t="s">
        <v>831</v>
      </c>
      <c r="AF3285" s="1"/>
      <c r="AG3285" s="1"/>
    </row>
    <row r="3286" ht="15.75" customHeight="1">
      <c r="A3286" s="1"/>
      <c r="B3286" s="1"/>
      <c r="C3286" s="1"/>
      <c r="D3286" s="1"/>
      <c r="E3286" s="1"/>
      <c r="F3286" s="1"/>
      <c r="G3286" s="1"/>
      <c r="H3286" s="1"/>
      <c r="I3286" s="1"/>
      <c r="J3286" s="1"/>
      <c r="K3286" s="89" t="s">
        <v>4932</v>
      </c>
      <c r="L3286" s="89" t="str">
        <f>G108</f>
        <v>C1b1a2b</v>
      </c>
      <c r="M3286" s="89" t="s">
        <v>4931</v>
      </c>
      <c r="N3286" s="89" t="s">
        <v>4933</v>
      </c>
      <c r="O3286" s="92">
        <v>2.3140347E7</v>
      </c>
      <c r="P3286" s="92">
        <v>2.0978461E7</v>
      </c>
      <c r="Q3286" s="89" t="s">
        <v>831</v>
      </c>
      <c r="AF3286" s="1"/>
      <c r="AG3286" s="1"/>
    </row>
    <row r="3287" ht="15.75" customHeight="1">
      <c r="A3287" s="1"/>
      <c r="B3287" s="1"/>
      <c r="C3287" s="1"/>
      <c r="D3287" s="1"/>
      <c r="E3287" s="1"/>
      <c r="F3287" s="1"/>
      <c r="G3287" s="1"/>
      <c r="H3287" s="1"/>
      <c r="I3287" s="1"/>
      <c r="J3287" s="1"/>
      <c r="K3287" s="89" t="s">
        <v>4934</v>
      </c>
      <c r="L3287" s="89" t="str">
        <f>G108</f>
        <v>C1b1a2b</v>
      </c>
      <c r="M3287" s="89" t="s">
        <v>4935</v>
      </c>
      <c r="N3287" s="89" t="s">
        <v>4936</v>
      </c>
      <c r="O3287" s="92">
        <v>2.3140374E7</v>
      </c>
      <c r="P3287" s="92">
        <v>2.0978488E7</v>
      </c>
      <c r="Q3287" s="89" t="s">
        <v>838</v>
      </c>
      <c r="AF3287" s="1"/>
      <c r="AG3287" s="1"/>
    </row>
    <row r="3288" ht="15.75" customHeight="1">
      <c r="A3288" s="1"/>
      <c r="B3288" s="1"/>
      <c r="C3288" s="1"/>
      <c r="D3288" s="1"/>
      <c r="E3288" s="1"/>
      <c r="F3288" s="1"/>
      <c r="G3288" s="1"/>
      <c r="H3288" s="1"/>
      <c r="I3288" s="1"/>
      <c r="J3288" s="1"/>
      <c r="K3288" s="89" t="s">
        <v>4935</v>
      </c>
      <c r="L3288" s="89" t="str">
        <f>G108</f>
        <v>C1b1a2b</v>
      </c>
      <c r="M3288" s="89" t="s">
        <v>4934</v>
      </c>
      <c r="N3288" s="89" t="s">
        <v>4936</v>
      </c>
      <c r="O3288" s="92">
        <v>2.3140374E7</v>
      </c>
      <c r="P3288" s="92">
        <v>2.0978488E7</v>
      </c>
      <c r="Q3288" s="89" t="s">
        <v>838</v>
      </c>
      <c r="AF3288" s="1"/>
      <c r="AG3288" s="1"/>
    </row>
    <row r="3289" ht="15.75" customHeight="1">
      <c r="A3289" s="1"/>
      <c r="B3289" s="1"/>
      <c r="C3289" s="1"/>
      <c r="D3289" s="1"/>
      <c r="E3289" s="1"/>
      <c r="F3289" s="1"/>
      <c r="G3289" s="1"/>
      <c r="H3289" s="1"/>
      <c r="I3289" s="1"/>
      <c r="J3289" s="1"/>
      <c r="K3289" s="89" t="s">
        <v>4937</v>
      </c>
      <c r="L3289" s="89" t="str">
        <f>G108</f>
        <v>C1b1a2b</v>
      </c>
      <c r="M3289" s="89" t="s">
        <v>4938</v>
      </c>
      <c r="N3289" s="89" t="s">
        <v>4939</v>
      </c>
      <c r="O3289" s="92">
        <v>2.3146034E7</v>
      </c>
      <c r="P3289" s="92">
        <v>2.0984148E7</v>
      </c>
      <c r="Q3289" s="89" t="s">
        <v>802</v>
      </c>
      <c r="AF3289" s="1"/>
      <c r="AG3289" s="1"/>
    </row>
    <row r="3290" ht="15.75" customHeight="1">
      <c r="A3290" s="1"/>
      <c r="B3290" s="1"/>
      <c r="C3290" s="1"/>
      <c r="D3290" s="1"/>
      <c r="E3290" s="1"/>
      <c r="F3290" s="1"/>
      <c r="G3290" s="1"/>
      <c r="H3290" s="1"/>
      <c r="I3290" s="1"/>
      <c r="J3290" s="1"/>
      <c r="K3290" s="89" t="s">
        <v>4938</v>
      </c>
      <c r="L3290" s="89" t="str">
        <f>G108</f>
        <v>C1b1a2b</v>
      </c>
      <c r="M3290" s="89" t="s">
        <v>4937</v>
      </c>
      <c r="N3290" s="89" t="s">
        <v>4939</v>
      </c>
      <c r="O3290" s="92">
        <v>2.3146034E7</v>
      </c>
      <c r="P3290" s="92">
        <v>2.0984148E7</v>
      </c>
      <c r="Q3290" s="89" t="s">
        <v>802</v>
      </c>
      <c r="AF3290" s="1"/>
      <c r="AG3290" s="1"/>
    </row>
    <row r="3291" ht="15.75" customHeight="1">
      <c r="A3291" s="1"/>
      <c r="B3291" s="1"/>
      <c r="C3291" s="1"/>
      <c r="D3291" s="1"/>
      <c r="E3291" s="1"/>
      <c r="F3291" s="1"/>
      <c r="G3291" s="1"/>
      <c r="H3291" s="1"/>
      <c r="I3291" s="1"/>
      <c r="J3291" s="1"/>
      <c r="K3291" s="89" t="s">
        <v>4940</v>
      </c>
      <c r="L3291" s="89" t="str">
        <f>G108</f>
        <v>C1b1a2b</v>
      </c>
      <c r="M3291" s="89" t="s">
        <v>4941</v>
      </c>
      <c r="N3291" s="89" t="s">
        <v>4942</v>
      </c>
      <c r="O3291" s="92">
        <v>2.3153468E7</v>
      </c>
      <c r="P3291" s="92">
        <v>2.0991582E7</v>
      </c>
      <c r="Q3291" s="89" t="s">
        <v>838</v>
      </c>
      <c r="AF3291" s="1"/>
      <c r="AG3291" s="1"/>
    </row>
    <row r="3292" ht="15.75" customHeight="1">
      <c r="A3292" s="1"/>
      <c r="B3292" s="1"/>
      <c r="C3292" s="1"/>
      <c r="D3292" s="1"/>
      <c r="E3292" s="1"/>
      <c r="F3292" s="1"/>
      <c r="G3292" s="1"/>
      <c r="H3292" s="1"/>
      <c r="I3292" s="1"/>
      <c r="J3292" s="1"/>
      <c r="K3292" s="89" t="s">
        <v>4941</v>
      </c>
      <c r="L3292" s="89" t="str">
        <f>G108</f>
        <v>C1b1a2b</v>
      </c>
      <c r="M3292" s="89" t="s">
        <v>4940</v>
      </c>
      <c r="N3292" s="89" t="s">
        <v>4942</v>
      </c>
      <c r="O3292" s="92">
        <v>2.3153468E7</v>
      </c>
      <c r="P3292" s="92">
        <v>2.0991582E7</v>
      </c>
      <c r="Q3292" s="89" t="s">
        <v>838</v>
      </c>
      <c r="AF3292" s="1"/>
      <c r="AG3292" s="1"/>
    </row>
    <row r="3293" ht="15.75" customHeight="1">
      <c r="A3293" s="1"/>
      <c r="B3293" s="1"/>
      <c r="C3293" s="1"/>
      <c r="D3293" s="1"/>
      <c r="E3293" s="1"/>
      <c r="F3293" s="1"/>
      <c r="G3293" s="1"/>
      <c r="H3293" s="1"/>
      <c r="I3293" s="1"/>
      <c r="J3293" s="1"/>
      <c r="K3293" s="89" t="s">
        <v>4943</v>
      </c>
      <c r="L3293" s="89" t="str">
        <f>G108</f>
        <v>C1b1a2b</v>
      </c>
      <c r="M3293" s="89" t="s">
        <v>4944</v>
      </c>
      <c r="N3293" s="89" t="s">
        <v>4945</v>
      </c>
      <c r="O3293" s="92">
        <v>2.3203226E7</v>
      </c>
      <c r="P3293" s="92">
        <v>2.104134E7</v>
      </c>
      <c r="Q3293" s="89" t="s">
        <v>810</v>
      </c>
      <c r="AF3293" s="1"/>
      <c r="AG3293" s="1"/>
    </row>
    <row r="3294" ht="15.75" customHeight="1">
      <c r="A3294" s="1"/>
      <c r="B3294" s="1"/>
      <c r="C3294" s="1"/>
      <c r="D3294" s="1"/>
      <c r="E3294" s="1"/>
      <c r="F3294" s="1"/>
      <c r="G3294" s="1"/>
      <c r="H3294" s="1"/>
      <c r="I3294" s="1"/>
      <c r="J3294" s="1"/>
      <c r="K3294" s="89" t="s">
        <v>4944</v>
      </c>
      <c r="L3294" s="89" t="str">
        <f>G108</f>
        <v>C1b1a2b</v>
      </c>
      <c r="M3294" s="89" t="s">
        <v>4943</v>
      </c>
      <c r="N3294" s="89" t="s">
        <v>4945</v>
      </c>
      <c r="O3294" s="92">
        <v>2.3203226E7</v>
      </c>
      <c r="P3294" s="92">
        <v>2.104134E7</v>
      </c>
      <c r="Q3294" s="89" t="s">
        <v>810</v>
      </c>
      <c r="AF3294" s="1"/>
      <c r="AG3294" s="1"/>
    </row>
    <row r="3295" ht="15.75" customHeight="1">
      <c r="A3295" s="1"/>
      <c r="B3295" s="1"/>
      <c r="C3295" s="1"/>
      <c r="D3295" s="1"/>
      <c r="E3295" s="1"/>
      <c r="F3295" s="1"/>
      <c r="G3295" s="1"/>
      <c r="H3295" s="1"/>
      <c r="I3295" s="1"/>
      <c r="J3295" s="1"/>
      <c r="K3295" s="89" t="s">
        <v>4946</v>
      </c>
      <c r="L3295" s="89" t="str">
        <f>G108</f>
        <v>C1b1a2b</v>
      </c>
      <c r="M3295" s="89" t="s">
        <v>4947</v>
      </c>
      <c r="N3295" s="89" t="s">
        <v>4948</v>
      </c>
      <c r="O3295" s="92">
        <v>2.3206485E7</v>
      </c>
      <c r="P3295" s="92">
        <v>2.1044599E7</v>
      </c>
      <c r="Q3295" s="89" t="s">
        <v>802</v>
      </c>
      <c r="AF3295" s="1"/>
      <c r="AG3295" s="1"/>
    </row>
    <row r="3296" ht="15.75" customHeight="1">
      <c r="A3296" s="1"/>
      <c r="B3296" s="1"/>
      <c r="C3296" s="1"/>
      <c r="D3296" s="1"/>
      <c r="E3296" s="1"/>
      <c r="F3296" s="1"/>
      <c r="G3296" s="1"/>
      <c r="H3296" s="1"/>
      <c r="I3296" s="1"/>
      <c r="J3296" s="1"/>
      <c r="K3296" s="89" t="s">
        <v>4947</v>
      </c>
      <c r="L3296" s="89" t="str">
        <f>G108</f>
        <v>C1b1a2b</v>
      </c>
      <c r="M3296" s="89" t="s">
        <v>4946</v>
      </c>
      <c r="N3296" s="89" t="s">
        <v>4948</v>
      </c>
      <c r="O3296" s="92">
        <v>2.3206485E7</v>
      </c>
      <c r="P3296" s="92">
        <v>2.1044599E7</v>
      </c>
      <c r="Q3296" s="89" t="s">
        <v>802</v>
      </c>
      <c r="AF3296" s="1"/>
      <c r="AG3296" s="1"/>
    </row>
    <row r="3297" ht="15.75" customHeight="1">
      <c r="A3297" s="1"/>
      <c r="B3297" s="1"/>
      <c r="C3297" s="1"/>
      <c r="D3297" s="1"/>
      <c r="E3297" s="1"/>
      <c r="F3297" s="1"/>
      <c r="G3297" s="1"/>
      <c r="H3297" s="1"/>
      <c r="I3297" s="1"/>
      <c r="J3297" s="1"/>
      <c r="K3297" s="89" t="s">
        <v>4949</v>
      </c>
      <c r="L3297" s="89" t="str">
        <f>G108</f>
        <v>C1b1a2b</v>
      </c>
      <c r="M3297" s="89" t="s">
        <v>4950</v>
      </c>
      <c r="N3297" s="89" t="s">
        <v>4951</v>
      </c>
      <c r="O3297" s="92">
        <v>2.3210173E7</v>
      </c>
      <c r="P3297" s="92">
        <v>2.1048287E7</v>
      </c>
      <c r="Q3297" s="89" t="s">
        <v>810</v>
      </c>
      <c r="AF3297" s="1"/>
      <c r="AG3297" s="1"/>
    </row>
    <row r="3298" ht="15.75" customHeight="1">
      <c r="A3298" s="1"/>
      <c r="B3298" s="1"/>
      <c r="C3298" s="1"/>
      <c r="D3298" s="1"/>
      <c r="E3298" s="1"/>
      <c r="F3298" s="1"/>
      <c r="G3298" s="1"/>
      <c r="H3298" s="1"/>
      <c r="I3298" s="1"/>
      <c r="J3298" s="1"/>
      <c r="K3298" s="89" t="s">
        <v>4950</v>
      </c>
      <c r="L3298" s="89" t="str">
        <f>G108</f>
        <v>C1b1a2b</v>
      </c>
      <c r="M3298" s="89" t="s">
        <v>4949</v>
      </c>
      <c r="N3298" s="89" t="s">
        <v>4951</v>
      </c>
      <c r="O3298" s="92">
        <v>2.3210173E7</v>
      </c>
      <c r="P3298" s="92">
        <v>2.1048287E7</v>
      </c>
      <c r="Q3298" s="89" t="s">
        <v>810</v>
      </c>
      <c r="AF3298" s="1"/>
      <c r="AG3298" s="1"/>
    </row>
    <row r="3299" ht="15.75" customHeight="1">
      <c r="A3299" s="1"/>
      <c r="B3299" s="1"/>
      <c r="C3299" s="1"/>
      <c r="D3299" s="1"/>
      <c r="E3299" s="1"/>
      <c r="F3299" s="1"/>
      <c r="G3299" s="1"/>
      <c r="H3299" s="1"/>
      <c r="I3299" s="1"/>
      <c r="J3299" s="1"/>
      <c r="K3299" s="89" t="s">
        <v>4952</v>
      </c>
      <c r="L3299" s="89" t="str">
        <f>G108</f>
        <v>C1b1a2b</v>
      </c>
      <c r="M3299" s="89" t="s">
        <v>4953</v>
      </c>
      <c r="N3299" s="89" t="s">
        <v>4954</v>
      </c>
      <c r="O3299" s="92">
        <v>2.3237125E7</v>
      </c>
      <c r="P3299" s="92">
        <v>2.1075239E7</v>
      </c>
      <c r="Q3299" s="89" t="s">
        <v>802</v>
      </c>
      <c r="AF3299" s="1"/>
      <c r="AG3299" s="1"/>
    </row>
    <row r="3300" ht="15.75" customHeight="1">
      <c r="A3300" s="1"/>
      <c r="B3300" s="1"/>
      <c r="C3300" s="1"/>
      <c r="D3300" s="1"/>
      <c r="E3300" s="1"/>
      <c r="F3300" s="1"/>
      <c r="G3300" s="1"/>
      <c r="H3300" s="1"/>
      <c r="I3300" s="1"/>
      <c r="J3300" s="1"/>
      <c r="K3300" s="89" t="s">
        <v>4953</v>
      </c>
      <c r="L3300" s="89" t="str">
        <f>G108</f>
        <v>C1b1a2b</v>
      </c>
      <c r="M3300" s="89" t="s">
        <v>4952</v>
      </c>
      <c r="N3300" s="89" t="s">
        <v>4954</v>
      </c>
      <c r="O3300" s="92">
        <v>2.3237125E7</v>
      </c>
      <c r="P3300" s="92">
        <v>2.1075239E7</v>
      </c>
      <c r="Q3300" s="89" t="s">
        <v>802</v>
      </c>
      <c r="AF3300" s="1"/>
      <c r="AG3300" s="1"/>
    </row>
    <row r="3301" ht="15.75" customHeight="1">
      <c r="A3301" s="1"/>
      <c r="B3301" s="1"/>
      <c r="C3301" s="1"/>
      <c r="D3301" s="1"/>
      <c r="E3301" s="1"/>
      <c r="F3301" s="1"/>
      <c r="G3301" s="1"/>
      <c r="H3301" s="1"/>
      <c r="I3301" s="1"/>
      <c r="J3301" s="1"/>
      <c r="K3301" s="89" t="s">
        <v>4955</v>
      </c>
      <c r="L3301" s="89" t="str">
        <f>G108</f>
        <v>C1b1a2b</v>
      </c>
      <c r="M3301" s="89" t="s">
        <v>4956</v>
      </c>
      <c r="N3301" s="89" t="s">
        <v>4957</v>
      </c>
      <c r="O3301" s="92">
        <v>2.3254256E7</v>
      </c>
      <c r="P3301" s="92">
        <v>2.109237E7</v>
      </c>
      <c r="Q3301" s="89" t="s">
        <v>810</v>
      </c>
      <c r="AF3301" s="1"/>
      <c r="AG3301" s="1"/>
    </row>
    <row r="3302" ht="15.75" customHeight="1">
      <c r="A3302" s="1"/>
      <c r="B3302" s="1"/>
      <c r="C3302" s="1"/>
      <c r="D3302" s="1"/>
      <c r="E3302" s="1"/>
      <c r="F3302" s="1"/>
      <c r="G3302" s="1"/>
      <c r="H3302" s="1"/>
      <c r="I3302" s="1"/>
      <c r="J3302" s="1"/>
      <c r="K3302" s="89" t="s">
        <v>4956</v>
      </c>
      <c r="L3302" s="89" t="str">
        <f>G108</f>
        <v>C1b1a2b</v>
      </c>
      <c r="M3302" s="89" t="s">
        <v>4955</v>
      </c>
      <c r="N3302" s="89" t="s">
        <v>4957</v>
      </c>
      <c r="O3302" s="92">
        <v>2.3254256E7</v>
      </c>
      <c r="P3302" s="92">
        <v>2.109237E7</v>
      </c>
      <c r="Q3302" s="89" t="s">
        <v>810</v>
      </c>
      <c r="AF3302" s="1"/>
      <c r="AG3302" s="1"/>
    </row>
    <row r="3303" ht="15.75" customHeight="1">
      <c r="A3303" s="1"/>
      <c r="B3303" s="1"/>
      <c r="C3303" s="1"/>
      <c r="D3303" s="1"/>
      <c r="E3303" s="1"/>
      <c r="F3303" s="1"/>
      <c r="G3303" s="1"/>
      <c r="H3303" s="1"/>
      <c r="I3303" s="1"/>
      <c r="J3303" s="1"/>
      <c r="K3303" s="89" t="s">
        <v>4958</v>
      </c>
      <c r="L3303" s="89" t="str">
        <f>G108</f>
        <v>C1b1a2b</v>
      </c>
      <c r="M3303" s="89" t="s">
        <v>4959</v>
      </c>
      <c r="N3303" s="89" t="s">
        <v>4960</v>
      </c>
      <c r="O3303" s="92">
        <v>2.3306887E7</v>
      </c>
      <c r="P3303" s="92">
        <v>2.1145001E7</v>
      </c>
      <c r="Q3303" s="89" t="s">
        <v>810</v>
      </c>
      <c r="AF3303" s="1"/>
      <c r="AG3303" s="1"/>
    </row>
    <row r="3304" ht="15.75" customHeight="1">
      <c r="A3304" s="1"/>
      <c r="B3304" s="1"/>
      <c r="C3304" s="1"/>
      <c r="D3304" s="1"/>
      <c r="E3304" s="1"/>
      <c r="F3304" s="1"/>
      <c r="G3304" s="1"/>
      <c r="H3304" s="1"/>
      <c r="I3304" s="1"/>
      <c r="J3304" s="1"/>
      <c r="K3304" s="89" t="s">
        <v>4961</v>
      </c>
      <c r="L3304" s="89" t="str">
        <f>G108</f>
        <v>C1b1a2b</v>
      </c>
      <c r="M3304" s="89" t="s">
        <v>4962</v>
      </c>
      <c r="N3304" s="89" t="s">
        <v>4960</v>
      </c>
      <c r="O3304" s="92">
        <v>2.3306887E7</v>
      </c>
      <c r="P3304" s="92">
        <v>2.1145001E7</v>
      </c>
      <c r="Q3304" s="89" t="s">
        <v>810</v>
      </c>
      <c r="AF3304" s="1"/>
      <c r="AG3304" s="1"/>
    </row>
    <row r="3305" ht="15.75" customHeight="1">
      <c r="A3305" s="1"/>
      <c r="B3305" s="1"/>
      <c r="C3305" s="1"/>
      <c r="D3305" s="1"/>
      <c r="E3305" s="1"/>
      <c r="F3305" s="1"/>
      <c r="G3305" s="1"/>
      <c r="H3305" s="1"/>
      <c r="I3305" s="1"/>
      <c r="J3305" s="1"/>
      <c r="K3305" s="89" t="s">
        <v>4963</v>
      </c>
      <c r="L3305" s="89" t="str">
        <f>G108</f>
        <v>C1b1a2b</v>
      </c>
      <c r="M3305" s="89" t="s">
        <v>4964</v>
      </c>
      <c r="N3305" s="89" t="s">
        <v>4960</v>
      </c>
      <c r="O3305" s="92">
        <v>2.3306887E7</v>
      </c>
      <c r="P3305" s="92">
        <v>2.1145001E7</v>
      </c>
      <c r="Q3305" s="89" t="s">
        <v>810</v>
      </c>
      <c r="AF3305" s="1"/>
      <c r="AG3305" s="1"/>
    </row>
    <row r="3306" ht="15.75" customHeight="1">
      <c r="A3306" s="1"/>
      <c r="B3306" s="1"/>
      <c r="C3306" s="1"/>
      <c r="D3306" s="1"/>
      <c r="E3306" s="1"/>
      <c r="F3306" s="1"/>
      <c r="G3306" s="1"/>
      <c r="H3306" s="1"/>
      <c r="I3306" s="1"/>
      <c r="J3306" s="1"/>
      <c r="K3306" s="89" t="s">
        <v>4965</v>
      </c>
      <c r="L3306" s="89" t="str">
        <f>G108</f>
        <v>C1b1a2b</v>
      </c>
      <c r="M3306" s="89" t="s">
        <v>4966</v>
      </c>
      <c r="N3306" s="89" t="s">
        <v>4967</v>
      </c>
      <c r="O3306" s="92">
        <v>2.3340735E7</v>
      </c>
      <c r="P3306" s="92">
        <v>2.1178849E7</v>
      </c>
      <c r="Q3306" s="89" t="s">
        <v>886</v>
      </c>
      <c r="AF3306" s="1"/>
      <c r="AG3306" s="1"/>
    </row>
    <row r="3307" ht="15.75" customHeight="1">
      <c r="A3307" s="1"/>
      <c r="B3307" s="1"/>
      <c r="C3307" s="1"/>
      <c r="D3307" s="1"/>
      <c r="E3307" s="1"/>
      <c r="F3307" s="1"/>
      <c r="G3307" s="1"/>
      <c r="H3307" s="1"/>
      <c r="I3307" s="1"/>
      <c r="J3307" s="1"/>
      <c r="K3307" s="89" t="s">
        <v>4968</v>
      </c>
      <c r="L3307" s="89" t="str">
        <f>G108</f>
        <v>C1b1a2b</v>
      </c>
      <c r="M3307" s="89" t="s">
        <v>4969</v>
      </c>
      <c r="N3307" s="89" t="s">
        <v>4967</v>
      </c>
      <c r="O3307" s="92">
        <v>2.3340735E7</v>
      </c>
      <c r="P3307" s="92">
        <v>2.1178849E7</v>
      </c>
      <c r="Q3307" s="89" t="s">
        <v>886</v>
      </c>
      <c r="AF3307" s="1"/>
      <c r="AG3307" s="1"/>
    </row>
    <row r="3308" ht="15.75" customHeight="1">
      <c r="A3308" s="1"/>
      <c r="B3308" s="1"/>
      <c r="C3308" s="1"/>
      <c r="D3308" s="1"/>
      <c r="E3308" s="1"/>
      <c r="F3308" s="1"/>
      <c r="G3308" s="1"/>
      <c r="H3308" s="1"/>
      <c r="I3308" s="1"/>
      <c r="J3308" s="1"/>
      <c r="K3308" s="89" t="s">
        <v>4970</v>
      </c>
      <c r="L3308" s="89" t="str">
        <f>G108</f>
        <v>C1b1a2b</v>
      </c>
      <c r="M3308" s="89" t="s">
        <v>4971</v>
      </c>
      <c r="N3308" s="89" t="s">
        <v>4967</v>
      </c>
      <c r="O3308" s="92">
        <v>2.3340735E7</v>
      </c>
      <c r="P3308" s="92">
        <v>2.1178849E7</v>
      </c>
      <c r="Q3308" s="89" t="s">
        <v>886</v>
      </c>
      <c r="AF3308" s="1"/>
      <c r="AG3308" s="1"/>
    </row>
    <row r="3309" ht="15.75" customHeight="1">
      <c r="A3309" s="1"/>
      <c r="B3309" s="1"/>
      <c r="C3309" s="1"/>
      <c r="D3309" s="1"/>
      <c r="E3309" s="1"/>
      <c r="F3309" s="1"/>
      <c r="G3309" s="1"/>
      <c r="H3309" s="1"/>
      <c r="I3309" s="1"/>
      <c r="J3309" s="1"/>
      <c r="K3309" s="89" t="s">
        <v>4972</v>
      </c>
      <c r="L3309" s="89" t="str">
        <f>G108</f>
        <v>C1b1a2b</v>
      </c>
      <c r="M3309" s="89" t="s">
        <v>4973</v>
      </c>
      <c r="N3309" s="89" t="s">
        <v>4974</v>
      </c>
      <c r="O3309" s="92">
        <v>2.3375669E7</v>
      </c>
      <c r="P3309" s="92">
        <v>2.1213783E7</v>
      </c>
      <c r="Q3309" s="89" t="s">
        <v>912</v>
      </c>
      <c r="AF3309" s="1"/>
      <c r="AG3309" s="1"/>
    </row>
    <row r="3310" ht="15.75" customHeight="1">
      <c r="A3310" s="1"/>
      <c r="B3310" s="1"/>
      <c r="C3310" s="1"/>
      <c r="D3310" s="1"/>
      <c r="E3310" s="1"/>
      <c r="F3310" s="1"/>
      <c r="G3310" s="1"/>
      <c r="H3310" s="1"/>
      <c r="I3310" s="1"/>
      <c r="J3310" s="1"/>
      <c r="K3310" s="89" t="s">
        <v>4975</v>
      </c>
      <c r="L3310" s="89" t="str">
        <f>G108</f>
        <v>C1b1a2b</v>
      </c>
      <c r="M3310" s="89" t="s">
        <v>4976</v>
      </c>
      <c r="N3310" s="89" t="s">
        <v>4974</v>
      </c>
      <c r="O3310" s="92">
        <v>2.3375669E7</v>
      </c>
      <c r="P3310" s="92">
        <v>2.1213783E7</v>
      </c>
      <c r="Q3310" s="89" t="s">
        <v>912</v>
      </c>
      <c r="AF3310" s="1"/>
      <c r="AG3310" s="1"/>
    </row>
    <row r="3311" ht="15.75" customHeight="1">
      <c r="A3311" s="1"/>
      <c r="B3311" s="1"/>
      <c r="C3311" s="1"/>
      <c r="D3311" s="1"/>
      <c r="E3311" s="1"/>
      <c r="F3311" s="1"/>
      <c r="G3311" s="1"/>
      <c r="H3311" s="1"/>
      <c r="I3311" s="1"/>
      <c r="J3311" s="1"/>
      <c r="K3311" s="89" t="s">
        <v>4977</v>
      </c>
      <c r="L3311" s="89" t="str">
        <f>G108</f>
        <v>C1b1a2b</v>
      </c>
      <c r="M3311" s="89" t="s">
        <v>4978</v>
      </c>
      <c r="N3311" s="89" t="s">
        <v>4974</v>
      </c>
      <c r="O3311" s="92">
        <v>2.3375669E7</v>
      </c>
      <c r="P3311" s="92">
        <v>2.1213783E7</v>
      </c>
      <c r="Q3311" s="89" t="s">
        <v>912</v>
      </c>
      <c r="AF3311" s="1"/>
      <c r="AG3311" s="1"/>
    </row>
    <row r="3312" ht="15.75" customHeight="1">
      <c r="A3312" s="1"/>
      <c r="B3312" s="1"/>
      <c r="C3312" s="1"/>
      <c r="D3312" s="1"/>
      <c r="E3312" s="1"/>
      <c r="F3312" s="1"/>
      <c r="G3312" s="1"/>
      <c r="H3312" s="1"/>
      <c r="I3312" s="1"/>
      <c r="J3312" s="1"/>
      <c r="K3312" s="89" t="s">
        <v>4979</v>
      </c>
      <c r="L3312" s="89" t="str">
        <f>G108</f>
        <v>C1b1a2b</v>
      </c>
      <c r="M3312" s="89" t="s">
        <v>4980</v>
      </c>
      <c r="N3312" s="89" t="s">
        <v>4981</v>
      </c>
      <c r="O3312" s="92">
        <v>2.3396322E7</v>
      </c>
      <c r="P3312" s="92">
        <v>2.1234436E7</v>
      </c>
      <c r="Q3312" s="89" t="s">
        <v>822</v>
      </c>
      <c r="AF3312" s="1"/>
      <c r="AG3312" s="1"/>
    </row>
    <row r="3313" ht="15.75" customHeight="1">
      <c r="A3313" s="1"/>
      <c r="B3313" s="1"/>
      <c r="C3313" s="1"/>
      <c r="D3313" s="1"/>
      <c r="E3313" s="1"/>
      <c r="F3313" s="1"/>
      <c r="G3313" s="1"/>
      <c r="H3313" s="1"/>
      <c r="I3313" s="1"/>
      <c r="J3313" s="1"/>
      <c r="K3313" s="89" t="s">
        <v>4982</v>
      </c>
      <c r="L3313" s="89" t="str">
        <f>G108</f>
        <v>C1b1a2b</v>
      </c>
      <c r="M3313" s="89" t="s">
        <v>4983</v>
      </c>
      <c r="N3313" s="89" t="s">
        <v>4981</v>
      </c>
      <c r="O3313" s="92">
        <v>2.3396322E7</v>
      </c>
      <c r="P3313" s="92">
        <v>2.1234436E7</v>
      </c>
      <c r="Q3313" s="89" t="s">
        <v>822</v>
      </c>
      <c r="AF3313" s="1"/>
      <c r="AG3313" s="1"/>
    </row>
    <row r="3314" ht="15.75" customHeight="1">
      <c r="A3314" s="1"/>
      <c r="B3314" s="1"/>
      <c r="C3314" s="1"/>
      <c r="D3314" s="1"/>
      <c r="E3314" s="1"/>
      <c r="F3314" s="1"/>
      <c r="G3314" s="1"/>
      <c r="H3314" s="1"/>
      <c r="I3314" s="1"/>
      <c r="J3314" s="1"/>
      <c r="K3314" s="89" t="s">
        <v>4984</v>
      </c>
      <c r="L3314" s="89" t="str">
        <f>G108</f>
        <v>C1b1a2b</v>
      </c>
      <c r="M3314" s="89" t="s">
        <v>4985</v>
      </c>
      <c r="N3314" s="89" t="s">
        <v>4981</v>
      </c>
      <c r="O3314" s="92">
        <v>2.3396322E7</v>
      </c>
      <c r="P3314" s="92">
        <v>2.1234436E7</v>
      </c>
      <c r="Q3314" s="89" t="s">
        <v>822</v>
      </c>
      <c r="AF3314" s="1"/>
      <c r="AG3314" s="1"/>
    </row>
    <row r="3315" ht="15.75" customHeight="1">
      <c r="A3315" s="1"/>
      <c r="B3315" s="1"/>
      <c r="C3315" s="1"/>
      <c r="D3315" s="1"/>
      <c r="E3315" s="1"/>
      <c r="F3315" s="1"/>
      <c r="G3315" s="1"/>
      <c r="H3315" s="1"/>
      <c r="I3315" s="1"/>
      <c r="J3315" s="1"/>
      <c r="K3315" s="89" t="s">
        <v>4986</v>
      </c>
      <c r="L3315" s="89" t="str">
        <f>G108</f>
        <v>C1b1a2b</v>
      </c>
      <c r="M3315" s="89" t="s">
        <v>4987</v>
      </c>
      <c r="N3315" s="89" t="s">
        <v>4988</v>
      </c>
      <c r="O3315" s="92">
        <v>2.3409088E7</v>
      </c>
      <c r="P3315" s="92">
        <v>2.1247202E7</v>
      </c>
      <c r="Q3315" s="89" t="s">
        <v>813</v>
      </c>
      <c r="AF3315" s="1"/>
      <c r="AG3315" s="1"/>
    </row>
    <row r="3316" ht="15.75" customHeight="1">
      <c r="A3316" s="1"/>
      <c r="B3316" s="1"/>
      <c r="C3316" s="1"/>
      <c r="D3316" s="1"/>
      <c r="E3316" s="1"/>
      <c r="F3316" s="1"/>
      <c r="G3316" s="1"/>
      <c r="H3316" s="1"/>
      <c r="I3316" s="1"/>
      <c r="J3316" s="1"/>
      <c r="K3316" s="89" t="s">
        <v>4989</v>
      </c>
      <c r="L3316" s="89" t="str">
        <f>G108</f>
        <v>C1b1a2b</v>
      </c>
      <c r="M3316" s="89" t="s">
        <v>4990</v>
      </c>
      <c r="N3316" s="89" t="s">
        <v>4988</v>
      </c>
      <c r="O3316" s="92">
        <v>2.3409088E7</v>
      </c>
      <c r="P3316" s="92">
        <v>2.1247202E7</v>
      </c>
      <c r="Q3316" s="89" t="s">
        <v>813</v>
      </c>
      <c r="AF3316" s="1"/>
      <c r="AG3316" s="1"/>
    </row>
    <row r="3317" ht="15.75" customHeight="1">
      <c r="A3317" s="1"/>
      <c r="B3317" s="1"/>
      <c r="C3317" s="1"/>
      <c r="D3317" s="1"/>
      <c r="E3317" s="1"/>
      <c r="F3317" s="1"/>
      <c r="G3317" s="1"/>
      <c r="H3317" s="1"/>
      <c r="I3317" s="1"/>
      <c r="J3317" s="1"/>
      <c r="K3317" s="89" t="s">
        <v>4991</v>
      </c>
      <c r="L3317" s="89" t="str">
        <f>G108</f>
        <v>C1b1a2b</v>
      </c>
      <c r="M3317" s="89" t="s">
        <v>4992</v>
      </c>
      <c r="N3317" s="89" t="s">
        <v>4988</v>
      </c>
      <c r="O3317" s="92">
        <v>2.3409088E7</v>
      </c>
      <c r="P3317" s="92">
        <v>2.1247202E7</v>
      </c>
      <c r="Q3317" s="89" t="s">
        <v>813</v>
      </c>
      <c r="AF3317" s="1"/>
      <c r="AG3317" s="1"/>
    </row>
    <row r="3318" ht="15.75" customHeight="1">
      <c r="A3318" s="1"/>
      <c r="B3318" s="1"/>
      <c r="C3318" s="1"/>
      <c r="D3318" s="1"/>
      <c r="E3318" s="1"/>
      <c r="F3318" s="1"/>
      <c r="G3318" s="1"/>
      <c r="H3318" s="1"/>
      <c r="I3318" s="1"/>
      <c r="J3318" s="1"/>
      <c r="K3318" s="89" t="s">
        <v>4993</v>
      </c>
      <c r="L3318" s="89" t="str">
        <f>G108</f>
        <v>C1b1a2b</v>
      </c>
      <c r="M3318" s="89" t="s">
        <v>4994</v>
      </c>
      <c r="N3318" s="89" t="s">
        <v>4995</v>
      </c>
      <c r="O3318" s="92">
        <v>2.3410849E7</v>
      </c>
      <c r="P3318" s="92">
        <v>2.1248963E7</v>
      </c>
      <c r="Q3318" s="89" t="s">
        <v>912</v>
      </c>
      <c r="AF3318" s="1"/>
      <c r="AG3318" s="1"/>
    </row>
    <row r="3319" ht="15.75" customHeight="1">
      <c r="A3319" s="1"/>
      <c r="B3319" s="1"/>
      <c r="C3319" s="1"/>
      <c r="D3319" s="1"/>
      <c r="E3319" s="1"/>
      <c r="F3319" s="1"/>
      <c r="G3319" s="1"/>
      <c r="H3319" s="1"/>
      <c r="I3319" s="1"/>
      <c r="J3319" s="1"/>
      <c r="K3319" s="89" t="s">
        <v>4996</v>
      </c>
      <c r="L3319" s="89" t="str">
        <f>G108</f>
        <v>C1b1a2b</v>
      </c>
      <c r="M3319" s="89" t="s">
        <v>4997</v>
      </c>
      <c r="N3319" s="89" t="s">
        <v>4995</v>
      </c>
      <c r="O3319" s="92">
        <v>2.3410849E7</v>
      </c>
      <c r="P3319" s="92">
        <v>2.1248963E7</v>
      </c>
      <c r="Q3319" s="89" t="s">
        <v>912</v>
      </c>
      <c r="AF3319" s="1"/>
      <c r="AG3319" s="1"/>
    </row>
    <row r="3320" ht="15.75" customHeight="1">
      <c r="A3320" s="1"/>
      <c r="B3320" s="1"/>
      <c r="C3320" s="1"/>
      <c r="D3320" s="1"/>
      <c r="E3320" s="1"/>
      <c r="F3320" s="1"/>
      <c r="G3320" s="1"/>
      <c r="H3320" s="1"/>
      <c r="I3320" s="1"/>
      <c r="J3320" s="1"/>
      <c r="K3320" s="89" t="s">
        <v>4998</v>
      </c>
      <c r="L3320" s="89" t="str">
        <f>G108</f>
        <v>C1b1a2b</v>
      </c>
      <c r="M3320" s="89" t="s">
        <v>4999</v>
      </c>
      <c r="N3320" s="89" t="s">
        <v>4995</v>
      </c>
      <c r="O3320" s="92">
        <v>2.3410849E7</v>
      </c>
      <c r="P3320" s="92">
        <v>2.1248963E7</v>
      </c>
      <c r="Q3320" s="89" t="s">
        <v>912</v>
      </c>
      <c r="AF3320" s="1"/>
      <c r="AG3320" s="1"/>
    </row>
    <row r="3321" ht="15.75" customHeight="1">
      <c r="A3321" s="1"/>
      <c r="B3321" s="1"/>
      <c r="C3321" s="1"/>
      <c r="D3321" s="1"/>
      <c r="E3321" s="1"/>
      <c r="F3321" s="1"/>
      <c r="G3321" s="1"/>
      <c r="H3321" s="1"/>
      <c r="I3321" s="1"/>
      <c r="J3321" s="1"/>
      <c r="K3321" s="89" t="s">
        <v>5000</v>
      </c>
      <c r="L3321" s="89" t="str">
        <f>G108</f>
        <v>C1b1a2b</v>
      </c>
      <c r="M3321" s="89" t="s">
        <v>5001</v>
      </c>
      <c r="N3321" s="89" t="s">
        <v>4280</v>
      </c>
      <c r="O3321" s="92">
        <v>2801829.0</v>
      </c>
      <c r="P3321" s="92">
        <v>2933788.0</v>
      </c>
      <c r="Q3321" s="89" t="s">
        <v>802</v>
      </c>
      <c r="AF3321" s="1"/>
      <c r="AG3321" s="1"/>
    </row>
    <row r="3322" ht="15.75" customHeight="1">
      <c r="A3322" s="1"/>
      <c r="B3322" s="1"/>
      <c r="C3322" s="1"/>
      <c r="D3322" s="1"/>
      <c r="E3322" s="1"/>
      <c r="F3322" s="1"/>
      <c r="G3322" s="1"/>
      <c r="H3322" s="1"/>
      <c r="I3322" s="1"/>
      <c r="J3322" s="1"/>
      <c r="K3322" s="89" t="s">
        <v>5002</v>
      </c>
      <c r="L3322" s="89" t="str">
        <f>G108</f>
        <v>C1b1a2b</v>
      </c>
      <c r="M3322" s="89" t="s">
        <v>5003</v>
      </c>
      <c r="N3322" s="89" t="s">
        <v>4280</v>
      </c>
      <c r="O3322" s="92">
        <v>2801829.0</v>
      </c>
      <c r="P3322" s="92">
        <v>2933788.0</v>
      </c>
      <c r="Q3322" s="89" t="s">
        <v>802</v>
      </c>
      <c r="AF3322" s="1"/>
      <c r="AG3322" s="1"/>
    </row>
    <row r="3323" ht="15.75" customHeight="1">
      <c r="A3323" s="1"/>
      <c r="B3323" s="1"/>
      <c r="C3323" s="1"/>
      <c r="D3323" s="1"/>
      <c r="E3323" s="1"/>
      <c r="F3323" s="1"/>
      <c r="G3323" s="1"/>
      <c r="H3323" s="1"/>
      <c r="I3323" s="1"/>
      <c r="J3323" s="1"/>
      <c r="K3323" s="89" t="s">
        <v>5004</v>
      </c>
      <c r="L3323" s="89" t="str">
        <f>G108</f>
        <v>C1b1a2b</v>
      </c>
      <c r="M3323" s="89" t="s">
        <v>5005</v>
      </c>
      <c r="N3323" s="89" t="s">
        <v>4280</v>
      </c>
      <c r="O3323" s="92">
        <v>2801829.0</v>
      </c>
      <c r="P3323" s="92">
        <v>2933788.0</v>
      </c>
      <c r="Q3323" s="89" t="s">
        <v>802</v>
      </c>
      <c r="AF3323" s="1"/>
      <c r="AG3323" s="1"/>
    </row>
    <row r="3324" ht="15.75" customHeight="1">
      <c r="A3324" s="1"/>
      <c r="B3324" s="1"/>
      <c r="C3324" s="1"/>
      <c r="D3324" s="1"/>
      <c r="E3324" s="1"/>
      <c r="F3324" s="1"/>
      <c r="G3324" s="1"/>
      <c r="H3324" s="1"/>
      <c r="I3324" s="1"/>
      <c r="J3324" s="1"/>
      <c r="K3324" s="89" t="s">
        <v>5006</v>
      </c>
      <c r="L3324" s="89" t="str">
        <f>G108</f>
        <v>C1b1a2b</v>
      </c>
      <c r="M3324" s="89" t="s">
        <v>5007</v>
      </c>
      <c r="N3324" s="89" t="s">
        <v>5008</v>
      </c>
      <c r="O3324" s="92">
        <v>2816523.0</v>
      </c>
      <c r="P3324" s="92">
        <v>2948482.0</v>
      </c>
      <c r="Q3324" s="89" t="s">
        <v>813</v>
      </c>
      <c r="AF3324" s="1"/>
      <c r="AG3324" s="1"/>
    </row>
    <row r="3325" ht="15.75" customHeight="1">
      <c r="A3325" s="1"/>
      <c r="B3325" s="1"/>
      <c r="C3325" s="1"/>
      <c r="D3325" s="1"/>
      <c r="E3325" s="1"/>
      <c r="F3325" s="1"/>
      <c r="G3325" s="1"/>
      <c r="H3325" s="1"/>
      <c r="I3325" s="1"/>
      <c r="J3325" s="1"/>
      <c r="K3325" s="89" t="s">
        <v>5009</v>
      </c>
      <c r="L3325" s="89" t="str">
        <f>G108</f>
        <v>C1b1a2b</v>
      </c>
      <c r="M3325" s="89" t="s">
        <v>5010</v>
      </c>
      <c r="N3325" s="89" t="s">
        <v>5008</v>
      </c>
      <c r="O3325" s="92">
        <v>2816523.0</v>
      </c>
      <c r="P3325" s="92">
        <v>2948482.0</v>
      </c>
      <c r="Q3325" s="89" t="s">
        <v>813</v>
      </c>
      <c r="AF3325" s="1"/>
      <c r="AG3325" s="1"/>
    </row>
    <row r="3326" ht="15.75" customHeight="1">
      <c r="A3326" s="1"/>
      <c r="B3326" s="1"/>
      <c r="C3326" s="1"/>
      <c r="D3326" s="1"/>
      <c r="E3326" s="1"/>
      <c r="F3326" s="1"/>
      <c r="G3326" s="1"/>
      <c r="H3326" s="1"/>
      <c r="I3326" s="1"/>
      <c r="J3326" s="1"/>
      <c r="K3326" s="89" t="s">
        <v>5011</v>
      </c>
      <c r="L3326" s="89" t="str">
        <f>G108</f>
        <v>C1b1a2b</v>
      </c>
      <c r="M3326" s="89" t="s">
        <v>5012</v>
      </c>
      <c r="N3326" s="89" t="s">
        <v>5008</v>
      </c>
      <c r="O3326" s="92">
        <v>2816523.0</v>
      </c>
      <c r="P3326" s="92">
        <v>2948482.0</v>
      </c>
      <c r="Q3326" s="89" t="s">
        <v>813</v>
      </c>
      <c r="AF3326" s="1"/>
      <c r="AG3326" s="1"/>
    </row>
    <row r="3327" ht="15.75" customHeight="1">
      <c r="A3327" s="1"/>
      <c r="B3327" s="1"/>
      <c r="C3327" s="1"/>
      <c r="D3327" s="1"/>
      <c r="E3327" s="1"/>
      <c r="F3327" s="1"/>
      <c r="G3327" s="1"/>
      <c r="H3327" s="1"/>
      <c r="I3327" s="1"/>
      <c r="J3327" s="1"/>
      <c r="K3327" s="89" t="s">
        <v>5013</v>
      </c>
      <c r="L3327" s="89" t="str">
        <f>G108</f>
        <v>C1b1a2b</v>
      </c>
      <c r="M3327" s="89" t="s">
        <v>5014</v>
      </c>
      <c r="N3327" s="89" t="s">
        <v>5015</v>
      </c>
      <c r="O3327" s="92">
        <v>2.8461993E7</v>
      </c>
      <c r="P3327" s="92">
        <v>2.6315846E7</v>
      </c>
      <c r="Q3327" s="89" t="s">
        <v>912</v>
      </c>
      <c r="AF3327" s="1"/>
      <c r="AG3327" s="1"/>
    </row>
    <row r="3328" ht="15.75" customHeight="1">
      <c r="A3328" s="1"/>
      <c r="B3328" s="1"/>
      <c r="C3328" s="1"/>
      <c r="D3328" s="1"/>
      <c r="E3328" s="1"/>
      <c r="F3328" s="1"/>
      <c r="G3328" s="1"/>
      <c r="H3328" s="1"/>
      <c r="I3328" s="1"/>
      <c r="J3328" s="1"/>
      <c r="K3328" s="89" t="s">
        <v>5016</v>
      </c>
      <c r="L3328" s="89" t="str">
        <f>G108</f>
        <v>C1b1a2b</v>
      </c>
      <c r="M3328" s="89" t="s">
        <v>5017</v>
      </c>
      <c r="N3328" s="89" t="s">
        <v>5015</v>
      </c>
      <c r="O3328" s="92">
        <v>2.8461993E7</v>
      </c>
      <c r="P3328" s="92">
        <v>2.6315846E7</v>
      </c>
      <c r="Q3328" s="89" t="s">
        <v>912</v>
      </c>
      <c r="AF3328" s="1"/>
      <c r="AG3328" s="1"/>
    </row>
    <row r="3329" ht="15.75" customHeight="1">
      <c r="A3329" s="1"/>
      <c r="B3329" s="1"/>
      <c r="C3329" s="1"/>
      <c r="D3329" s="1"/>
      <c r="E3329" s="1"/>
      <c r="F3329" s="1"/>
      <c r="G3329" s="1"/>
      <c r="H3329" s="1"/>
      <c r="I3329" s="1"/>
      <c r="J3329" s="1"/>
      <c r="K3329" s="89" t="s">
        <v>5018</v>
      </c>
      <c r="L3329" s="89" t="str">
        <f>G108</f>
        <v>C1b1a2b</v>
      </c>
      <c r="M3329" s="89" t="s">
        <v>5019</v>
      </c>
      <c r="N3329" s="89" t="s">
        <v>5015</v>
      </c>
      <c r="O3329" s="92">
        <v>2.8461993E7</v>
      </c>
      <c r="P3329" s="92">
        <v>2.6315846E7</v>
      </c>
      <c r="Q3329" s="89" t="s">
        <v>912</v>
      </c>
      <c r="AF3329" s="1"/>
      <c r="AG3329" s="1"/>
    </row>
    <row r="3330" ht="15.75" customHeight="1">
      <c r="A3330" s="1"/>
      <c r="B3330" s="1"/>
      <c r="C3330" s="1"/>
      <c r="D3330" s="1"/>
      <c r="E3330" s="1"/>
      <c r="F3330" s="1"/>
      <c r="G3330" s="1"/>
      <c r="H3330" s="1"/>
      <c r="I3330" s="1"/>
      <c r="J3330" s="1"/>
      <c r="K3330" s="89" t="s">
        <v>5020</v>
      </c>
      <c r="L3330" s="89" t="str">
        <f>G108</f>
        <v>C1b1a2b</v>
      </c>
      <c r="M3330" s="89" t="s">
        <v>5021</v>
      </c>
      <c r="N3330" s="89" t="s">
        <v>5022</v>
      </c>
      <c r="O3330" s="92">
        <v>2846553.0</v>
      </c>
      <c r="P3330" s="92">
        <v>2978512.0</v>
      </c>
      <c r="Q3330" s="89" t="s">
        <v>886</v>
      </c>
      <c r="AF3330" s="1"/>
      <c r="AG3330" s="1"/>
    </row>
    <row r="3331" ht="15.75" customHeight="1">
      <c r="A3331" s="1"/>
      <c r="B3331" s="1"/>
      <c r="C3331" s="1"/>
      <c r="D3331" s="1"/>
      <c r="E3331" s="1"/>
      <c r="F3331" s="1"/>
      <c r="G3331" s="1"/>
      <c r="H3331" s="1"/>
      <c r="I3331" s="1"/>
      <c r="J3331" s="1"/>
      <c r="K3331" s="89" t="s">
        <v>5021</v>
      </c>
      <c r="L3331" s="89" t="str">
        <f>G108</f>
        <v>C1b1a2b</v>
      </c>
      <c r="M3331" s="89" t="s">
        <v>5020</v>
      </c>
      <c r="N3331" s="89" t="s">
        <v>5022</v>
      </c>
      <c r="O3331" s="92">
        <v>2846553.0</v>
      </c>
      <c r="P3331" s="92">
        <v>2978512.0</v>
      </c>
      <c r="Q3331" s="89" t="s">
        <v>886</v>
      </c>
      <c r="AF3331" s="1"/>
      <c r="AG3331" s="1"/>
    </row>
    <row r="3332" ht="15.75" customHeight="1">
      <c r="A3332" s="1"/>
      <c r="B3332" s="1"/>
      <c r="C3332" s="1"/>
      <c r="D3332" s="1"/>
      <c r="E3332" s="1"/>
      <c r="F3332" s="1"/>
      <c r="G3332" s="1"/>
      <c r="H3332" s="1"/>
      <c r="I3332" s="1"/>
      <c r="J3332" s="1"/>
      <c r="K3332" s="89" t="s">
        <v>5023</v>
      </c>
      <c r="L3332" s="89" t="str">
        <f>G108</f>
        <v>C1b1a2b</v>
      </c>
      <c r="M3332" s="89" t="s">
        <v>5024</v>
      </c>
      <c r="N3332" s="89" t="s">
        <v>5025</v>
      </c>
      <c r="O3332" s="92">
        <v>2.8555699E7</v>
      </c>
      <c r="P3332" s="92">
        <v>2.6409552E7</v>
      </c>
      <c r="Q3332" s="89" t="s">
        <v>879</v>
      </c>
      <c r="AF3332" s="1"/>
      <c r="AG3332" s="1"/>
    </row>
    <row r="3333" ht="15.75" customHeight="1">
      <c r="A3333" s="1"/>
      <c r="B3333" s="1"/>
      <c r="C3333" s="1"/>
      <c r="D3333" s="1"/>
      <c r="E3333" s="1"/>
      <c r="F3333" s="1"/>
      <c r="G3333" s="1"/>
      <c r="H3333" s="1"/>
      <c r="I3333" s="1"/>
      <c r="J3333" s="1"/>
      <c r="K3333" s="89" t="s">
        <v>5026</v>
      </c>
      <c r="L3333" s="89" t="str">
        <f>G108</f>
        <v>C1b1a2b</v>
      </c>
      <c r="M3333" s="89" t="s">
        <v>5027</v>
      </c>
      <c r="N3333" s="89" t="s">
        <v>5025</v>
      </c>
      <c r="O3333" s="92">
        <v>2.8555699E7</v>
      </c>
      <c r="P3333" s="92">
        <v>2.6409552E7</v>
      </c>
      <c r="Q3333" s="89" t="s">
        <v>879</v>
      </c>
      <c r="AF3333" s="1"/>
      <c r="AG3333" s="1"/>
    </row>
    <row r="3334" ht="15.75" customHeight="1">
      <c r="A3334" s="1"/>
      <c r="B3334" s="1"/>
      <c r="C3334" s="1"/>
      <c r="D3334" s="1"/>
      <c r="E3334" s="1"/>
      <c r="F3334" s="1"/>
      <c r="G3334" s="1"/>
      <c r="H3334" s="1"/>
      <c r="I3334" s="1"/>
      <c r="J3334" s="1"/>
      <c r="K3334" s="89" t="s">
        <v>5028</v>
      </c>
      <c r="L3334" s="89" t="str">
        <f>G108</f>
        <v>C1b1a2b</v>
      </c>
      <c r="M3334" s="89" t="s">
        <v>5029</v>
      </c>
      <c r="N3334" s="89" t="s">
        <v>5025</v>
      </c>
      <c r="O3334" s="92">
        <v>2.8555699E7</v>
      </c>
      <c r="P3334" s="92">
        <v>2.6409552E7</v>
      </c>
      <c r="Q3334" s="89" t="s">
        <v>879</v>
      </c>
      <c r="AF3334" s="1"/>
      <c r="AG3334" s="1"/>
    </row>
    <row r="3335" ht="15.75" customHeight="1">
      <c r="A3335" s="1"/>
      <c r="B3335" s="1"/>
      <c r="C3335" s="1"/>
      <c r="D3335" s="1"/>
      <c r="E3335" s="1"/>
      <c r="F3335" s="1"/>
      <c r="G3335" s="1"/>
      <c r="H3335" s="1"/>
      <c r="I3335" s="1"/>
      <c r="J3335" s="1"/>
      <c r="K3335" s="89" t="s">
        <v>5030</v>
      </c>
      <c r="L3335" s="89" t="str">
        <f>G108</f>
        <v>C1b1a2b</v>
      </c>
      <c r="M3335" s="89" t="s">
        <v>5031</v>
      </c>
      <c r="N3335" s="89" t="s">
        <v>5032</v>
      </c>
      <c r="O3335" s="92">
        <v>2.8626166E7</v>
      </c>
      <c r="P3335" s="92">
        <v>2.6480019E7</v>
      </c>
      <c r="Q3335" s="89" t="s">
        <v>810</v>
      </c>
      <c r="AF3335" s="1"/>
      <c r="AG3335" s="1"/>
    </row>
    <row r="3336" ht="15.75" customHeight="1">
      <c r="A3336" s="1"/>
      <c r="B3336" s="1"/>
      <c r="C3336" s="1"/>
      <c r="D3336" s="1"/>
      <c r="E3336" s="1"/>
      <c r="F3336" s="1"/>
      <c r="G3336" s="1"/>
      <c r="H3336" s="1"/>
      <c r="I3336" s="1"/>
      <c r="J3336" s="1"/>
      <c r="K3336" s="89" t="s">
        <v>5033</v>
      </c>
      <c r="L3336" s="89" t="str">
        <f>G108</f>
        <v>C1b1a2b</v>
      </c>
      <c r="M3336" s="89" t="s">
        <v>5034</v>
      </c>
      <c r="N3336" s="89" t="s">
        <v>5032</v>
      </c>
      <c r="O3336" s="92">
        <v>2.8626166E7</v>
      </c>
      <c r="P3336" s="92">
        <v>2.6480019E7</v>
      </c>
      <c r="Q3336" s="89" t="s">
        <v>810</v>
      </c>
      <c r="AF3336" s="1"/>
      <c r="AG3336" s="1"/>
    </row>
    <row r="3337" ht="15.75" customHeight="1">
      <c r="A3337" s="1"/>
      <c r="B3337" s="1"/>
      <c r="C3337" s="1"/>
      <c r="D3337" s="1"/>
      <c r="E3337" s="1"/>
      <c r="F3337" s="1"/>
      <c r="G3337" s="1"/>
      <c r="H3337" s="1"/>
      <c r="I3337" s="1"/>
      <c r="J3337" s="1"/>
      <c r="K3337" s="89" t="s">
        <v>5035</v>
      </c>
      <c r="L3337" s="89" t="str">
        <f>G108</f>
        <v>C1b1a2b</v>
      </c>
      <c r="M3337" s="89" t="s">
        <v>5036</v>
      </c>
      <c r="N3337" s="89" t="s">
        <v>5032</v>
      </c>
      <c r="O3337" s="92">
        <v>2.8626166E7</v>
      </c>
      <c r="P3337" s="92">
        <v>2.6480019E7</v>
      </c>
      <c r="Q3337" s="89" t="s">
        <v>810</v>
      </c>
      <c r="AF3337" s="1"/>
      <c r="AG3337" s="1"/>
    </row>
    <row r="3338" ht="15.75" customHeight="1">
      <c r="A3338" s="1"/>
      <c r="B3338" s="1"/>
      <c r="C3338" s="1"/>
      <c r="D3338" s="1"/>
      <c r="E3338" s="1"/>
      <c r="F3338" s="1"/>
      <c r="G3338" s="1"/>
      <c r="H3338" s="1"/>
      <c r="I3338" s="1"/>
      <c r="J3338" s="1"/>
      <c r="K3338" s="89" t="s">
        <v>5037</v>
      </c>
      <c r="L3338" s="89" t="str">
        <f>G108</f>
        <v>C1b1a2b</v>
      </c>
      <c r="M3338" s="93" t="s">
        <v>5038</v>
      </c>
      <c r="N3338" s="89" t="s">
        <v>5039</v>
      </c>
      <c r="O3338" s="92">
        <v>2.8640718E7</v>
      </c>
      <c r="P3338" s="92">
        <v>2.6494571E7</v>
      </c>
      <c r="Q3338" s="89" t="s">
        <v>831</v>
      </c>
      <c r="AF3338" s="1"/>
      <c r="AG3338" s="1"/>
    </row>
    <row r="3339" ht="15.75" customHeight="1">
      <c r="A3339" s="1"/>
      <c r="B3339" s="1"/>
      <c r="C3339" s="1"/>
      <c r="D3339" s="1"/>
      <c r="E3339" s="1"/>
      <c r="F3339" s="1"/>
      <c r="G3339" s="1"/>
      <c r="H3339" s="1"/>
      <c r="I3339" s="1"/>
      <c r="J3339" s="1"/>
      <c r="K3339" s="93" t="s">
        <v>5040</v>
      </c>
      <c r="L3339" s="89" t="str">
        <f>G108</f>
        <v>C1b1a2b</v>
      </c>
      <c r="M3339" s="89" t="s">
        <v>5041</v>
      </c>
      <c r="N3339" s="89" t="s">
        <v>5039</v>
      </c>
      <c r="O3339" s="92">
        <v>2.8640718E7</v>
      </c>
      <c r="P3339" s="92">
        <v>2.6494571E7</v>
      </c>
      <c r="Q3339" s="89" t="s">
        <v>831</v>
      </c>
      <c r="AF3339" s="1"/>
      <c r="AG3339" s="1"/>
    </row>
    <row r="3340" ht="15.75" customHeight="1">
      <c r="A3340" s="1"/>
      <c r="B3340" s="1"/>
      <c r="C3340" s="1"/>
      <c r="D3340" s="1"/>
      <c r="E3340" s="1"/>
      <c r="F3340" s="1"/>
      <c r="G3340" s="1"/>
      <c r="H3340" s="1"/>
      <c r="I3340" s="1"/>
      <c r="J3340" s="1"/>
      <c r="K3340" s="89" t="s">
        <v>5042</v>
      </c>
      <c r="L3340" s="89" t="str">
        <f>G108</f>
        <v>C1b1a2b</v>
      </c>
      <c r="M3340" s="93" t="s">
        <v>5043</v>
      </c>
      <c r="N3340" s="89" t="s">
        <v>5039</v>
      </c>
      <c r="O3340" s="92">
        <v>2.8640718E7</v>
      </c>
      <c r="P3340" s="92">
        <v>2.6494571E7</v>
      </c>
      <c r="Q3340" s="89" t="s">
        <v>831</v>
      </c>
      <c r="AF3340" s="1"/>
      <c r="AG3340" s="1"/>
    </row>
    <row r="3341" ht="15.75" customHeight="1">
      <c r="A3341" s="1"/>
      <c r="B3341" s="1"/>
      <c r="C3341" s="1"/>
      <c r="D3341" s="1"/>
      <c r="E3341" s="1"/>
      <c r="F3341" s="1"/>
      <c r="G3341" s="1"/>
      <c r="H3341" s="1"/>
      <c r="I3341" s="1"/>
      <c r="J3341" s="1"/>
      <c r="K3341" s="89" t="s">
        <v>5044</v>
      </c>
      <c r="L3341" s="89" t="str">
        <f>G108</f>
        <v>C1b1a2b</v>
      </c>
      <c r="M3341" s="93" t="s">
        <v>5045</v>
      </c>
      <c r="N3341" s="89" t="s">
        <v>5046</v>
      </c>
      <c r="O3341" s="92">
        <v>2.8735719E7</v>
      </c>
      <c r="P3341" s="92">
        <v>2.6589572E7</v>
      </c>
      <c r="Q3341" s="89" t="s">
        <v>810</v>
      </c>
      <c r="AF3341" s="1"/>
      <c r="AG3341" s="1"/>
    </row>
    <row r="3342" ht="15.75" customHeight="1">
      <c r="A3342" s="1"/>
      <c r="B3342" s="1"/>
      <c r="C3342" s="1"/>
      <c r="D3342" s="1"/>
      <c r="E3342" s="1"/>
      <c r="F3342" s="1"/>
      <c r="G3342" s="1"/>
      <c r="H3342" s="1"/>
      <c r="I3342" s="1"/>
      <c r="J3342" s="1"/>
      <c r="K3342" s="93" t="s">
        <v>5047</v>
      </c>
      <c r="L3342" s="89" t="str">
        <f>G108</f>
        <v>C1b1a2b</v>
      </c>
      <c r="M3342" s="89" t="s">
        <v>5048</v>
      </c>
      <c r="N3342" s="89" t="s">
        <v>5046</v>
      </c>
      <c r="O3342" s="92">
        <v>2.8735719E7</v>
      </c>
      <c r="P3342" s="92">
        <v>2.6589572E7</v>
      </c>
      <c r="Q3342" s="89" t="s">
        <v>810</v>
      </c>
      <c r="AF3342" s="1"/>
      <c r="AG3342" s="1"/>
    </row>
    <row r="3343" ht="15.75" customHeight="1">
      <c r="A3343" s="1"/>
      <c r="B3343" s="1"/>
      <c r="C3343" s="1"/>
      <c r="D3343" s="1"/>
      <c r="E3343" s="1"/>
      <c r="F3343" s="1"/>
      <c r="G3343" s="1"/>
      <c r="H3343" s="1"/>
      <c r="I3343" s="1"/>
      <c r="J3343" s="1"/>
      <c r="K3343" s="89" t="s">
        <v>5049</v>
      </c>
      <c r="L3343" s="89" t="str">
        <f>G108</f>
        <v>C1b1a2b</v>
      </c>
      <c r="M3343" s="93" t="s">
        <v>5050</v>
      </c>
      <c r="N3343" s="89" t="s">
        <v>5046</v>
      </c>
      <c r="O3343" s="92">
        <v>2.8735719E7</v>
      </c>
      <c r="P3343" s="92">
        <v>2.6589572E7</v>
      </c>
      <c r="Q3343" s="89" t="s">
        <v>810</v>
      </c>
      <c r="AF3343" s="1"/>
      <c r="AG3343" s="1"/>
    </row>
    <row r="3344" ht="15.75" customHeight="1">
      <c r="A3344" s="1"/>
      <c r="B3344" s="1"/>
      <c r="C3344" s="1"/>
      <c r="D3344" s="1"/>
      <c r="E3344" s="1"/>
      <c r="F3344" s="1"/>
      <c r="G3344" s="1"/>
      <c r="H3344" s="1"/>
      <c r="I3344" s="1"/>
      <c r="J3344" s="1"/>
      <c r="K3344" s="89" t="s">
        <v>5051</v>
      </c>
      <c r="L3344" s="89" t="str">
        <f>G108</f>
        <v>C1b1a2b</v>
      </c>
      <c r="M3344" s="89" t="s">
        <v>5052</v>
      </c>
      <c r="N3344" s="89" t="s">
        <v>5053</v>
      </c>
      <c r="O3344" s="92">
        <v>2888842.0</v>
      </c>
      <c r="P3344" s="92">
        <v>3020801.0</v>
      </c>
      <c r="Q3344" s="89" t="s">
        <v>912</v>
      </c>
      <c r="AF3344" s="1"/>
      <c r="AG3344" s="1"/>
    </row>
    <row r="3345" ht="15.75" customHeight="1">
      <c r="A3345" s="1"/>
      <c r="B3345" s="1"/>
      <c r="C3345" s="1"/>
      <c r="D3345" s="1"/>
      <c r="E3345" s="1"/>
      <c r="F3345" s="1"/>
      <c r="G3345" s="1"/>
      <c r="H3345" s="1"/>
      <c r="I3345" s="1"/>
      <c r="J3345" s="1"/>
      <c r="K3345" s="89" t="s">
        <v>5054</v>
      </c>
      <c r="L3345" s="89" t="str">
        <f>G108</f>
        <v>C1b1a2b</v>
      </c>
      <c r="M3345" s="89" t="s">
        <v>5055</v>
      </c>
      <c r="N3345" s="89" t="s">
        <v>5053</v>
      </c>
      <c r="O3345" s="92">
        <v>2888842.0</v>
      </c>
      <c r="P3345" s="92">
        <v>3020801.0</v>
      </c>
      <c r="Q3345" s="89" t="s">
        <v>912</v>
      </c>
      <c r="AF3345" s="1"/>
      <c r="AG3345" s="1"/>
    </row>
    <row r="3346" ht="15.75" customHeight="1">
      <c r="A3346" s="1"/>
      <c r="B3346" s="1"/>
      <c r="C3346" s="1"/>
      <c r="D3346" s="1"/>
      <c r="E3346" s="1"/>
      <c r="F3346" s="1"/>
      <c r="G3346" s="1"/>
      <c r="H3346" s="1"/>
      <c r="I3346" s="1"/>
      <c r="J3346" s="1"/>
      <c r="K3346" s="89" t="s">
        <v>5056</v>
      </c>
      <c r="L3346" s="89" t="str">
        <f>G108</f>
        <v>C1b1a2b</v>
      </c>
      <c r="M3346" s="89" t="s">
        <v>5057</v>
      </c>
      <c r="N3346" s="89" t="s">
        <v>5053</v>
      </c>
      <c r="O3346" s="92">
        <v>2888842.0</v>
      </c>
      <c r="P3346" s="92">
        <v>3020801.0</v>
      </c>
      <c r="Q3346" s="89" t="s">
        <v>912</v>
      </c>
      <c r="AF3346" s="1"/>
      <c r="AG3346" s="1"/>
    </row>
    <row r="3347" ht="15.75" customHeight="1">
      <c r="A3347" s="1"/>
      <c r="B3347" s="1"/>
      <c r="C3347" s="1"/>
      <c r="D3347" s="1"/>
      <c r="E3347" s="1"/>
      <c r="F3347" s="1"/>
      <c r="G3347" s="1"/>
      <c r="H3347" s="1"/>
      <c r="I3347" s="1"/>
      <c r="J3347" s="1"/>
      <c r="K3347" s="89" t="s">
        <v>5058</v>
      </c>
      <c r="L3347" s="89" t="str">
        <f>G108</f>
        <v>C1b1a2b</v>
      </c>
      <c r="M3347" s="89" t="s">
        <v>5059</v>
      </c>
      <c r="N3347" s="89" t="s">
        <v>5060</v>
      </c>
      <c r="O3347" s="92">
        <v>2893032.0</v>
      </c>
      <c r="P3347" s="92">
        <v>3024991.0</v>
      </c>
      <c r="Q3347" s="89" t="s">
        <v>822</v>
      </c>
      <c r="AF3347" s="1"/>
      <c r="AG3347" s="1"/>
    </row>
    <row r="3348" ht="15.75" customHeight="1">
      <c r="A3348" s="1"/>
      <c r="B3348" s="1"/>
      <c r="C3348" s="1"/>
      <c r="D3348" s="1"/>
      <c r="E3348" s="1"/>
      <c r="F3348" s="1"/>
      <c r="G3348" s="1"/>
      <c r="H3348" s="1"/>
      <c r="I3348" s="1"/>
      <c r="J3348" s="1"/>
      <c r="K3348" s="89" t="s">
        <v>5061</v>
      </c>
      <c r="L3348" s="89" t="str">
        <f>G108</f>
        <v>C1b1a2b</v>
      </c>
      <c r="M3348" s="89" t="s">
        <v>5062</v>
      </c>
      <c r="N3348" s="89" t="s">
        <v>5060</v>
      </c>
      <c r="O3348" s="92">
        <v>2893032.0</v>
      </c>
      <c r="P3348" s="92">
        <v>3024991.0</v>
      </c>
      <c r="Q3348" s="89" t="s">
        <v>822</v>
      </c>
      <c r="AF3348" s="1"/>
      <c r="AG3348" s="1"/>
    </row>
    <row r="3349" ht="15.75" customHeight="1">
      <c r="A3349" s="1"/>
      <c r="B3349" s="1"/>
      <c r="C3349" s="1"/>
      <c r="D3349" s="1"/>
      <c r="E3349" s="1"/>
      <c r="F3349" s="1"/>
      <c r="G3349" s="1"/>
      <c r="H3349" s="1"/>
      <c r="I3349" s="1"/>
      <c r="J3349" s="1"/>
      <c r="K3349" s="89" t="s">
        <v>5063</v>
      </c>
      <c r="L3349" s="89" t="str">
        <f>G108</f>
        <v>C1b1a2b</v>
      </c>
      <c r="M3349" s="89" t="s">
        <v>5064</v>
      </c>
      <c r="N3349" s="89" t="s">
        <v>5060</v>
      </c>
      <c r="O3349" s="92">
        <v>2893032.0</v>
      </c>
      <c r="P3349" s="92">
        <v>3024991.0</v>
      </c>
      <c r="Q3349" s="89" t="s">
        <v>822</v>
      </c>
      <c r="AF3349" s="1"/>
      <c r="AG3349" s="1"/>
    </row>
    <row r="3350" ht="15.75" customHeight="1">
      <c r="A3350" s="1"/>
      <c r="B3350" s="1"/>
      <c r="C3350" s="1"/>
      <c r="D3350" s="1"/>
      <c r="E3350" s="1"/>
      <c r="F3350" s="1"/>
      <c r="G3350" s="1"/>
      <c r="H3350" s="1"/>
      <c r="I3350" s="1"/>
      <c r="J3350" s="1"/>
      <c r="K3350" s="89" t="s">
        <v>5065</v>
      </c>
      <c r="L3350" s="89" t="str">
        <f>G108</f>
        <v>C1b1a2b</v>
      </c>
      <c r="M3350" s="89" t="s">
        <v>5066</v>
      </c>
      <c r="N3350" s="89" t="s">
        <v>5067</v>
      </c>
      <c r="O3350" s="92">
        <v>2893762.0</v>
      </c>
      <c r="P3350" s="92">
        <v>3025721.0</v>
      </c>
      <c r="Q3350" s="89" t="s">
        <v>831</v>
      </c>
      <c r="AF3350" s="1"/>
      <c r="AG3350" s="1"/>
    </row>
    <row r="3351" ht="15.75" customHeight="1">
      <c r="A3351" s="1"/>
      <c r="B3351" s="1"/>
      <c r="C3351" s="1"/>
      <c r="D3351" s="1"/>
      <c r="E3351" s="1"/>
      <c r="F3351" s="1"/>
      <c r="G3351" s="1"/>
      <c r="H3351" s="1"/>
      <c r="I3351" s="1"/>
      <c r="J3351" s="1"/>
      <c r="K3351" s="89" t="s">
        <v>5068</v>
      </c>
      <c r="L3351" s="89" t="str">
        <f>G108</f>
        <v>C1b1a2b</v>
      </c>
      <c r="M3351" s="89" t="s">
        <v>5069</v>
      </c>
      <c r="N3351" s="89" t="s">
        <v>5067</v>
      </c>
      <c r="O3351" s="92">
        <v>2893762.0</v>
      </c>
      <c r="P3351" s="92">
        <v>3025721.0</v>
      </c>
      <c r="Q3351" s="89" t="s">
        <v>831</v>
      </c>
      <c r="AF3351" s="1"/>
      <c r="AG3351" s="1"/>
    </row>
    <row r="3352" ht="15.75" customHeight="1">
      <c r="A3352" s="1"/>
      <c r="B3352" s="1"/>
      <c r="C3352" s="1"/>
      <c r="D3352" s="1"/>
      <c r="E3352" s="1"/>
      <c r="F3352" s="1"/>
      <c r="G3352" s="1"/>
      <c r="H3352" s="1"/>
      <c r="I3352" s="1"/>
      <c r="J3352" s="1"/>
      <c r="K3352" s="89" t="s">
        <v>5070</v>
      </c>
      <c r="L3352" s="89" t="str">
        <f>G108</f>
        <v>C1b1a2b</v>
      </c>
      <c r="M3352" s="89" t="s">
        <v>5071</v>
      </c>
      <c r="N3352" s="89" t="s">
        <v>5067</v>
      </c>
      <c r="O3352" s="92">
        <v>2893762.0</v>
      </c>
      <c r="P3352" s="92">
        <v>3025721.0</v>
      </c>
      <c r="Q3352" s="89" t="s">
        <v>831</v>
      </c>
      <c r="AF3352" s="1"/>
      <c r="AG3352" s="1"/>
    </row>
    <row r="3353" ht="15.75" customHeight="1">
      <c r="A3353" s="1"/>
      <c r="B3353" s="1"/>
      <c r="C3353" s="1"/>
      <c r="D3353" s="1"/>
      <c r="E3353" s="1"/>
      <c r="F3353" s="1"/>
      <c r="G3353" s="1"/>
      <c r="H3353" s="1"/>
      <c r="I3353" s="1"/>
      <c r="J3353" s="1"/>
      <c r="K3353" s="89" t="s">
        <v>5072</v>
      </c>
      <c r="L3353" s="89" t="str">
        <f>G108</f>
        <v>C1b1a2b</v>
      </c>
      <c r="M3353" s="89" t="s">
        <v>5073</v>
      </c>
      <c r="N3353" s="89" t="s">
        <v>5074</v>
      </c>
      <c r="O3353" s="92">
        <v>6668360.0</v>
      </c>
      <c r="P3353" s="92">
        <v>6800319.0</v>
      </c>
      <c r="Q3353" s="89" t="s">
        <v>879</v>
      </c>
      <c r="AF3353" s="1"/>
      <c r="AG3353" s="1"/>
    </row>
    <row r="3354" ht="15.75" customHeight="1">
      <c r="A3354" s="1"/>
      <c r="B3354" s="1"/>
      <c r="C3354" s="1"/>
      <c r="D3354" s="1"/>
      <c r="E3354" s="1"/>
      <c r="F3354" s="1"/>
      <c r="G3354" s="1"/>
      <c r="H3354" s="1"/>
      <c r="I3354" s="1"/>
      <c r="J3354" s="1"/>
      <c r="K3354" s="89" t="s">
        <v>5075</v>
      </c>
      <c r="L3354" s="89" t="str">
        <f>G108</f>
        <v>C1b1a2b</v>
      </c>
      <c r="M3354" s="89" t="s">
        <v>5076</v>
      </c>
      <c r="N3354" s="89" t="s">
        <v>5074</v>
      </c>
      <c r="O3354" s="92">
        <v>6668360.0</v>
      </c>
      <c r="P3354" s="92">
        <v>6800319.0</v>
      </c>
      <c r="Q3354" s="89" t="s">
        <v>879</v>
      </c>
      <c r="AF3354" s="1"/>
      <c r="AG3354" s="1"/>
    </row>
    <row r="3355" ht="15.75" customHeight="1">
      <c r="A3355" s="1"/>
      <c r="B3355" s="1"/>
      <c r="C3355" s="1"/>
      <c r="D3355" s="1"/>
      <c r="E3355" s="1"/>
      <c r="F3355" s="1"/>
      <c r="G3355" s="1"/>
      <c r="H3355" s="1"/>
      <c r="I3355" s="1"/>
      <c r="J3355" s="1"/>
      <c r="K3355" s="89" t="s">
        <v>5077</v>
      </c>
      <c r="L3355" s="89" t="str">
        <f>G108</f>
        <v>C1b1a2b</v>
      </c>
      <c r="M3355" s="89" t="s">
        <v>5078</v>
      </c>
      <c r="N3355" s="89" t="s">
        <v>5074</v>
      </c>
      <c r="O3355" s="92">
        <v>6668360.0</v>
      </c>
      <c r="P3355" s="92">
        <v>6800319.0</v>
      </c>
      <c r="Q3355" s="89" t="s">
        <v>879</v>
      </c>
      <c r="AF3355" s="1"/>
      <c r="AG3355" s="1"/>
    </row>
    <row r="3356" ht="15.75" customHeight="1">
      <c r="A3356" s="1"/>
      <c r="B3356" s="1"/>
      <c r="C3356" s="1"/>
      <c r="D3356" s="1"/>
      <c r="E3356" s="1"/>
      <c r="F3356" s="1"/>
      <c r="G3356" s="1"/>
      <c r="H3356" s="1"/>
      <c r="I3356" s="1"/>
      <c r="J3356" s="1"/>
      <c r="K3356" s="89" t="s">
        <v>5079</v>
      </c>
      <c r="L3356" s="89" t="str">
        <f>G108</f>
        <v>C1b1a2b</v>
      </c>
      <c r="M3356" s="89" t="s">
        <v>5080</v>
      </c>
      <c r="N3356" s="89" t="s">
        <v>5081</v>
      </c>
      <c r="O3356" s="92">
        <v>6701660.0</v>
      </c>
      <c r="P3356" s="92">
        <v>6833619.0</v>
      </c>
      <c r="Q3356" s="89" t="s">
        <v>831</v>
      </c>
      <c r="AF3356" s="1"/>
      <c r="AG3356" s="1"/>
    </row>
    <row r="3357" ht="15.75" customHeight="1">
      <c r="A3357" s="1"/>
      <c r="B3357" s="1"/>
      <c r="C3357" s="1"/>
      <c r="D3357" s="1"/>
      <c r="E3357" s="1"/>
      <c r="F3357" s="1"/>
      <c r="G3357" s="1"/>
      <c r="H3357" s="1"/>
      <c r="I3357" s="1"/>
      <c r="J3357" s="1"/>
      <c r="K3357" s="89" t="s">
        <v>5082</v>
      </c>
      <c r="L3357" s="89" t="str">
        <f>G108</f>
        <v>C1b1a2b</v>
      </c>
      <c r="M3357" s="89" t="s">
        <v>5083</v>
      </c>
      <c r="N3357" s="89" t="s">
        <v>5084</v>
      </c>
      <c r="O3357" s="92">
        <v>6701660.0</v>
      </c>
      <c r="P3357" s="92">
        <v>6873639.0</v>
      </c>
      <c r="Q3357" s="89" t="s">
        <v>831</v>
      </c>
      <c r="AF3357" s="1"/>
      <c r="AG3357" s="1"/>
    </row>
    <row r="3358" ht="15.75" customHeight="1">
      <c r="A3358" s="1"/>
      <c r="B3358" s="1"/>
      <c r="C3358" s="1"/>
      <c r="D3358" s="1"/>
      <c r="E3358" s="1"/>
      <c r="F3358" s="1"/>
      <c r="G3358" s="1"/>
      <c r="H3358" s="1"/>
      <c r="I3358" s="1"/>
      <c r="J3358" s="1"/>
      <c r="K3358" s="89" t="s">
        <v>5085</v>
      </c>
      <c r="L3358" s="89" t="str">
        <f>G108</f>
        <v>C1b1a2b</v>
      </c>
      <c r="M3358" s="89" t="s">
        <v>5086</v>
      </c>
      <c r="N3358" s="89" t="s">
        <v>5081</v>
      </c>
      <c r="O3358" s="92">
        <v>6701660.0</v>
      </c>
      <c r="P3358" s="92">
        <v>6833619.0</v>
      </c>
      <c r="Q3358" s="89" t="s">
        <v>831</v>
      </c>
      <c r="AF3358" s="1"/>
      <c r="AG3358" s="1"/>
    </row>
    <row r="3359" ht="15.75" customHeight="1">
      <c r="A3359" s="1"/>
      <c r="B3359" s="1"/>
      <c r="C3359" s="1"/>
      <c r="D3359" s="1"/>
      <c r="E3359" s="1"/>
      <c r="F3359" s="1"/>
      <c r="G3359" s="1"/>
      <c r="H3359" s="1"/>
      <c r="I3359" s="1"/>
      <c r="J3359" s="1"/>
      <c r="K3359" s="89" t="s">
        <v>5087</v>
      </c>
      <c r="L3359" s="89" t="str">
        <f>G108</f>
        <v>C1b1a2b</v>
      </c>
      <c r="M3359" s="89" t="s">
        <v>5088</v>
      </c>
      <c r="N3359" s="89" t="s">
        <v>5084</v>
      </c>
      <c r="O3359" s="92">
        <v>6741680.0</v>
      </c>
      <c r="P3359" s="92">
        <v>6873639.0</v>
      </c>
      <c r="Q3359" s="89" t="s">
        <v>831</v>
      </c>
      <c r="AF3359" s="1"/>
      <c r="AG3359" s="1"/>
    </row>
    <row r="3360" ht="15.75" customHeight="1">
      <c r="A3360" s="1"/>
      <c r="B3360" s="1"/>
      <c r="C3360" s="1"/>
      <c r="D3360" s="1"/>
      <c r="E3360" s="1"/>
      <c r="F3360" s="1"/>
      <c r="G3360" s="1"/>
      <c r="H3360" s="1"/>
      <c r="I3360" s="1"/>
      <c r="J3360" s="1"/>
      <c r="K3360" s="89" t="s">
        <v>5089</v>
      </c>
      <c r="L3360" s="89" t="str">
        <f>G108</f>
        <v>C1b1a2b</v>
      </c>
      <c r="M3360" s="89" t="s">
        <v>5090</v>
      </c>
      <c r="N3360" s="89" t="s">
        <v>5084</v>
      </c>
      <c r="O3360" s="92">
        <v>6741680.0</v>
      </c>
      <c r="P3360" s="92">
        <v>6873639.0</v>
      </c>
      <c r="Q3360" s="89" t="s">
        <v>831</v>
      </c>
      <c r="AF3360" s="1"/>
      <c r="AG3360" s="1"/>
    </row>
    <row r="3361" ht="15.75" customHeight="1">
      <c r="A3361" s="1"/>
      <c r="B3361" s="1"/>
      <c r="C3361" s="1"/>
      <c r="D3361" s="1"/>
      <c r="E3361" s="1"/>
      <c r="F3361" s="1"/>
      <c r="G3361" s="1"/>
      <c r="H3361" s="1"/>
      <c r="I3361" s="1"/>
      <c r="J3361" s="1"/>
      <c r="K3361" s="89" t="s">
        <v>5091</v>
      </c>
      <c r="L3361" s="89" t="str">
        <f>G108</f>
        <v>C1b1a2b</v>
      </c>
      <c r="M3361" s="89" t="s">
        <v>5092</v>
      </c>
      <c r="N3361" s="89" t="s">
        <v>5084</v>
      </c>
      <c r="O3361" s="92">
        <v>6741680.0</v>
      </c>
      <c r="P3361" s="92">
        <v>6873639.0</v>
      </c>
      <c r="Q3361" s="89" t="s">
        <v>831</v>
      </c>
      <c r="AF3361" s="1"/>
      <c r="AG3361" s="1"/>
    </row>
    <row r="3362" ht="15.75" customHeight="1">
      <c r="A3362" s="1"/>
      <c r="B3362" s="1"/>
      <c r="C3362" s="1"/>
      <c r="D3362" s="1"/>
      <c r="E3362" s="1"/>
      <c r="F3362" s="1"/>
      <c r="G3362" s="1"/>
      <c r="H3362" s="1"/>
      <c r="I3362" s="1"/>
      <c r="J3362" s="1"/>
      <c r="K3362" s="89" t="s">
        <v>5093</v>
      </c>
      <c r="L3362" s="89" t="str">
        <f>G108</f>
        <v>C1b1a2b</v>
      </c>
      <c r="M3362" s="89" t="s">
        <v>5094</v>
      </c>
      <c r="N3362" s="89" t="s">
        <v>5095</v>
      </c>
      <c r="O3362" s="92">
        <v>6850313.0</v>
      </c>
      <c r="P3362" s="92">
        <v>6982272.0</v>
      </c>
      <c r="Q3362" s="89" t="s">
        <v>802</v>
      </c>
      <c r="AF3362" s="1"/>
      <c r="AG3362" s="1"/>
    </row>
    <row r="3363" ht="15.75" customHeight="1">
      <c r="A3363" s="1"/>
      <c r="B3363" s="1"/>
      <c r="C3363" s="1"/>
      <c r="D3363" s="1"/>
      <c r="E3363" s="1"/>
      <c r="F3363" s="1"/>
      <c r="G3363" s="1"/>
      <c r="H3363" s="1"/>
      <c r="I3363" s="1"/>
      <c r="J3363" s="1"/>
      <c r="K3363" s="89" t="s">
        <v>5096</v>
      </c>
      <c r="L3363" s="89" t="str">
        <f>G108</f>
        <v>C1b1a2b</v>
      </c>
      <c r="M3363" s="89" t="s">
        <v>5097</v>
      </c>
      <c r="N3363" s="89" t="s">
        <v>5095</v>
      </c>
      <c r="O3363" s="92">
        <v>6850313.0</v>
      </c>
      <c r="P3363" s="92">
        <v>6982272.0</v>
      </c>
      <c r="Q3363" s="89" t="s">
        <v>802</v>
      </c>
      <c r="AF3363" s="1"/>
      <c r="AG3363" s="1"/>
    </row>
    <row r="3364" ht="15.75" customHeight="1">
      <c r="A3364" s="1"/>
      <c r="B3364" s="1"/>
      <c r="C3364" s="1"/>
      <c r="D3364" s="1"/>
      <c r="E3364" s="1"/>
      <c r="F3364" s="1"/>
      <c r="G3364" s="1"/>
      <c r="H3364" s="1"/>
      <c r="I3364" s="1"/>
      <c r="J3364" s="1"/>
      <c r="K3364" s="89" t="s">
        <v>5098</v>
      </c>
      <c r="L3364" s="89" t="str">
        <f>G108</f>
        <v>C1b1a2b</v>
      </c>
      <c r="M3364" s="89" t="s">
        <v>5099</v>
      </c>
      <c r="N3364" s="89" t="s">
        <v>5095</v>
      </c>
      <c r="O3364" s="92">
        <v>6850313.0</v>
      </c>
      <c r="P3364" s="92">
        <v>6982272.0</v>
      </c>
      <c r="Q3364" s="89" t="s">
        <v>802</v>
      </c>
      <c r="AF3364" s="1"/>
      <c r="AG3364" s="1"/>
    </row>
    <row r="3365" ht="15.75" customHeight="1">
      <c r="A3365" s="1"/>
      <c r="B3365" s="1"/>
      <c r="C3365" s="1"/>
      <c r="D3365" s="1"/>
      <c r="E3365" s="1"/>
      <c r="F3365" s="1"/>
      <c r="G3365" s="1"/>
      <c r="H3365" s="1"/>
      <c r="I3365" s="1"/>
      <c r="J3365" s="1"/>
      <c r="K3365" s="89" t="s">
        <v>5100</v>
      </c>
      <c r="L3365" s="89" t="str">
        <f>G108</f>
        <v>C1b1a2b</v>
      </c>
      <c r="M3365" s="89" t="s">
        <v>5101</v>
      </c>
      <c r="N3365" s="89" t="s">
        <v>5102</v>
      </c>
      <c r="O3365" s="92">
        <v>6932146.0</v>
      </c>
      <c r="P3365" s="92">
        <v>7064105.0</v>
      </c>
      <c r="Q3365" s="89" t="s">
        <v>810</v>
      </c>
      <c r="AF3365" s="1"/>
      <c r="AG3365" s="1"/>
    </row>
    <row r="3366" ht="15.75" customHeight="1">
      <c r="A3366" s="1"/>
      <c r="B3366" s="1"/>
      <c r="C3366" s="1"/>
      <c r="D3366" s="1"/>
      <c r="E3366" s="1"/>
      <c r="F3366" s="1"/>
      <c r="G3366" s="1"/>
      <c r="H3366" s="1"/>
      <c r="I3366" s="1"/>
      <c r="J3366" s="1"/>
      <c r="K3366" s="89" t="s">
        <v>5103</v>
      </c>
      <c r="L3366" s="89" t="str">
        <f>G108</f>
        <v>C1b1a2b</v>
      </c>
      <c r="M3366" s="89" t="s">
        <v>5104</v>
      </c>
      <c r="N3366" s="89" t="s">
        <v>5105</v>
      </c>
      <c r="O3366" s="92">
        <v>6932146.0</v>
      </c>
      <c r="P3366" s="92">
        <v>7064836.0</v>
      </c>
      <c r="Q3366" s="89" t="s">
        <v>810</v>
      </c>
      <c r="AF3366" s="1"/>
      <c r="AG3366" s="1"/>
    </row>
    <row r="3367" ht="15.75" customHeight="1">
      <c r="A3367" s="1"/>
      <c r="B3367" s="1"/>
      <c r="C3367" s="1"/>
      <c r="D3367" s="1"/>
      <c r="E3367" s="1"/>
      <c r="F3367" s="1"/>
      <c r="G3367" s="1"/>
      <c r="H3367" s="1"/>
      <c r="I3367" s="1"/>
      <c r="J3367" s="1"/>
      <c r="K3367" s="89" t="s">
        <v>5106</v>
      </c>
      <c r="L3367" s="89" t="str">
        <f>G108</f>
        <v>C1b1a2b</v>
      </c>
      <c r="M3367" s="89" t="s">
        <v>5107</v>
      </c>
      <c r="N3367" s="89" t="s">
        <v>5102</v>
      </c>
      <c r="O3367" s="92">
        <v>6932146.0</v>
      </c>
      <c r="P3367" s="92">
        <v>7064105.0</v>
      </c>
      <c r="Q3367" s="89" t="s">
        <v>810</v>
      </c>
      <c r="AF3367" s="1"/>
      <c r="AG3367" s="1"/>
    </row>
    <row r="3368" ht="15.75" customHeight="1">
      <c r="A3368" s="1"/>
      <c r="B3368" s="1"/>
      <c r="C3368" s="1"/>
      <c r="D3368" s="1"/>
      <c r="E3368" s="1"/>
      <c r="F3368" s="1"/>
      <c r="G3368" s="1"/>
      <c r="H3368" s="1"/>
      <c r="I3368" s="1"/>
      <c r="J3368" s="1"/>
      <c r="K3368" s="89" t="s">
        <v>5108</v>
      </c>
      <c r="L3368" s="89" t="str">
        <f>G108</f>
        <v>C1b1a2b</v>
      </c>
      <c r="M3368" s="89" t="s">
        <v>5109</v>
      </c>
      <c r="N3368" s="89" t="s">
        <v>5105</v>
      </c>
      <c r="O3368" s="92">
        <v>6932877.0</v>
      </c>
      <c r="P3368" s="92">
        <v>7064836.0</v>
      </c>
      <c r="Q3368" s="89" t="s">
        <v>810</v>
      </c>
      <c r="AF3368" s="1"/>
      <c r="AG3368" s="1"/>
    </row>
    <row r="3369" ht="15.75" customHeight="1">
      <c r="A3369" s="1"/>
      <c r="B3369" s="1"/>
      <c r="C3369" s="1"/>
      <c r="D3369" s="1"/>
      <c r="E3369" s="1"/>
      <c r="F3369" s="1"/>
      <c r="G3369" s="1"/>
      <c r="H3369" s="1"/>
      <c r="I3369" s="1"/>
      <c r="J3369" s="1"/>
      <c r="K3369" s="89" t="s">
        <v>5110</v>
      </c>
      <c r="L3369" s="89" t="str">
        <f>G108</f>
        <v>C1b1a2b</v>
      </c>
      <c r="M3369" s="89" t="s">
        <v>5111</v>
      </c>
      <c r="N3369" s="89" t="s">
        <v>5105</v>
      </c>
      <c r="O3369" s="92">
        <v>6932877.0</v>
      </c>
      <c r="P3369" s="92">
        <v>7064836.0</v>
      </c>
      <c r="Q3369" s="89" t="s">
        <v>810</v>
      </c>
      <c r="AF3369" s="1"/>
      <c r="AG3369" s="1"/>
    </row>
    <row r="3370" ht="15.75" customHeight="1">
      <c r="A3370" s="1"/>
      <c r="B3370" s="1"/>
      <c r="C3370" s="1"/>
      <c r="D3370" s="1"/>
      <c r="E3370" s="1"/>
      <c r="F3370" s="1"/>
      <c r="G3370" s="1"/>
      <c r="H3370" s="1"/>
      <c r="I3370" s="1"/>
      <c r="J3370" s="1"/>
      <c r="K3370" s="89" t="s">
        <v>5112</v>
      </c>
      <c r="L3370" s="89" t="str">
        <f>G108</f>
        <v>C1b1a2b</v>
      </c>
      <c r="M3370" s="89" t="s">
        <v>5113</v>
      </c>
      <c r="N3370" s="89" t="s">
        <v>5105</v>
      </c>
      <c r="O3370" s="92">
        <v>6932877.0</v>
      </c>
      <c r="P3370" s="92">
        <v>7064836.0</v>
      </c>
      <c r="Q3370" s="89" t="s">
        <v>810</v>
      </c>
      <c r="AF3370" s="1"/>
      <c r="AG3370" s="1"/>
    </row>
    <row r="3371" ht="15.75" customHeight="1">
      <c r="A3371" s="1"/>
      <c r="B3371" s="1"/>
      <c r="C3371" s="1"/>
      <c r="D3371" s="1"/>
      <c r="E3371" s="1"/>
      <c r="F3371" s="1"/>
      <c r="G3371" s="1"/>
      <c r="H3371" s="1"/>
      <c r="I3371" s="1"/>
      <c r="J3371" s="1"/>
      <c r="K3371" s="89" t="s">
        <v>5114</v>
      </c>
      <c r="L3371" s="89" t="str">
        <f>G108</f>
        <v>C1b1a2b</v>
      </c>
      <c r="M3371" s="89" t="s">
        <v>5115</v>
      </c>
      <c r="N3371" s="89" t="s">
        <v>5116</v>
      </c>
      <c r="O3371" s="92">
        <v>6932987.0</v>
      </c>
      <c r="P3371" s="92">
        <v>7064946.0</v>
      </c>
      <c r="Q3371" s="89" t="s">
        <v>838</v>
      </c>
      <c r="AF3371" s="1"/>
      <c r="AG3371" s="1"/>
    </row>
    <row r="3372" ht="15.75" customHeight="1">
      <c r="A3372" s="1"/>
      <c r="B3372" s="1"/>
      <c r="C3372" s="1"/>
      <c r="D3372" s="1"/>
      <c r="E3372" s="1"/>
      <c r="F3372" s="1"/>
      <c r="G3372" s="1"/>
      <c r="H3372" s="1"/>
      <c r="I3372" s="1"/>
      <c r="J3372" s="1"/>
      <c r="K3372" s="89" t="s">
        <v>5117</v>
      </c>
      <c r="L3372" s="89" t="str">
        <f>G108</f>
        <v>C1b1a2b</v>
      </c>
      <c r="M3372" s="89" t="s">
        <v>5118</v>
      </c>
      <c r="N3372" s="89" t="s">
        <v>5116</v>
      </c>
      <c r="O3372" s="92">
        <v>6932987.0</v>
      </c>
      <c r="P3372" s="92">
        <v>7064946.0</v>
      </c>
      <c r="Q3372" s="89" t="s">
        <v>838</v>
      </c>
      <c r="AF3372" s="1"/>
      <c r="AG3372" s="1"/>
    </row>
    <row r="3373" ht="15.75" customHeight="1">
      <c r="A3373" s="1"/>
      <c r="B3373" s="1"/>
      <c r="C3373" s="1"/>
      <c r="D3373" s="1"/>
      <c r="E3373" s="1"/>
      <c r="F3373" s="1"/>
      <c r="G3373" s="1"/>
      <c r="H3373" s="1"/>
      <c r="I3373" s="1"/>
      <c r="J3373" s="1"/>
      <c r="K3373" s="89" t="s">
        <v>5119</v>
      </c>
      <c r="L3373" s="89" t="str">
        <f>G108</f>
        <v>C1b1a2b</v>
      </c>
      <c r="M3373" s="89" t="s">
        <v>5120</v>
      </c>
      <c r="N3373" s="89" t="s">
        <v>5116</v>
      </c>
      <c r="O3373" s="92">
        <v>6932987.0</v>
      </c>
      <c r="P3373" s="92">
        <v>7064946.0</v>
      </c>
      <c r="Q3373" s="89" t="s">
        <v>838</v>
      </c>
      <c r="AF3373" s="1"/>
      <c r="AG3373" s="1"/>
    </row>
    <row r="3374" ht="15.75" customHeight="1">
      <c r="A3374" s="1"/>
      <c r="B3374" s="1"/>
      <c r="C3374" s="1"/>
      <c r="D3374" s="1"/>
      <c r="E3374" s="1"/>
      <c r="F3374" s="1"/>
      <c r="G3374" s="1"/>
      <c r="H3374" s="1"/>
      <c r="I3374" s="1"/>
      <c r="J3374" s="1"/>
      <c r="K3374" s="89" t="s">
        <v>5121</v>
      </c>
      <c r="L3374" s="89" t="str">
        <f>G108</f>
        <v>C1b1a2b</v>
      </c>
      <c r="M3374" s="89" t="s">
        <v>5122</v>
      </c>
      <c r="N3374" s="89" t="s">
        <v>5123</v>
      </c>
      <c r="O3374" s="92">
        <v>6951737.0</v>
      </c>
      <c r="P3374" s="92">
        <v>7083696.0</v>
      </c>
      <c r="Q3374" s="89" t="s">
        <v>822</v>
      </c>
      <c r="AF3374" s="1"/>
      <c r="AG3374" s="1"/>
    </row>
    <row r="3375" ht="15.75" customHeight="1">
      <c r="A3375" s="1"/>
      <c r="B3375" s="1"/>
      <c r="C3375" s="1"/>
      <c r="D3375" s="1"/>
      <c r="E3375" s="1"/>
      <c r="F3375" s="1"/>
      <c r="G3375" s="1"/>
      <c r="H3375" s="1"/>
      <c r="I3375" s="1"/>
      <c r="J3375" s="1"/>
      <c r="K3375" s="89" t="s">
        <v>5124</v>
      </c>
      <c r="L3375" s="89" t="str">
        <f>G108</f>
        <v>C1b1a2b</v>
      </c>
      <c r="M3375" s="89" t="s">
        <v>5125</v>
      </c>
      <c r="N3375" s="89" t="s">
        <v>5123</v>
      </c>
      <c r="O3375" s="92">
        <v>6951737.0</v>
      </c>
      <c r="P3375" s="92">
        <v>7083696.0</v>
      </c>
      <c r="Q3375" s="89" t="s">
        <v>822</v>
      </c>
      <c r="AF3375" s="1"/>
      <c r="AG3375" s="1"/>
    </row>
    <row r="3376" ht="15.75" customHeight="1">
      <c r="A3376" s="1"/>
      <c r="B3376" s="1"/>
      <c r="C3376" s="1"/>
      <c r="D3376" s="1"/>
      <c r="E3376" s="1"/>
      <c r="F3376" s="1"/>
      <c r="G3376" s="1"/>
      <c r="H3376" s="1"/>
      <c r="I3376" s="1"/>
      <c r="J3376" s="1"/>
      <c r="K3376" s="89" t="s">
        <v>5126</v>
      </c>
      <c r="L3376" s="89" t="str">
        <f>G108</f>
        <v>C1b1a2b</v>
      </c>
      <c r="M3376" s="89" t="s">
        <v>5127</v>
      </c>
      <c r="N3376" s="89" t="s">
        <v>5123</v>
      </c>
      <c r="O3376" s="92">
        <v>6951737.0</v>
      </c>
      <c r="P3376" s="92">
        <v>7083696.0</v>
      </c>
      <c r="Q3376" s="89" t="s">
        <v>822</v>
      </c>
      <c r="AF3376" s="1"/>
      <c r="AG3376" s="1"/>
    </row>
    <row r="3377" ht="15.75" customHeight="1">
      <c r="A3377" s="1"/>
      <c r="B3377" s="1"/>
      <c r="C3377" s="1"/>
      <c r="D3377" s="1"/>
      <c r="E3377" s="1"/>
      <c r="F3377" s="1"/>
      <c r="G3377" s="1"/>
      <c r="H3377" s="1"/>
      <c r="I3377" s="1"/>
      <c r="J3377" s="1"/>
      <c r="K3377" s="89" t="s">
        <v>5128</v>
      </c>
      <c r="L3377" s="89" t="str">
        <f>G108</f>
        <v>C1b1a2b</v>
      </c>
      <c r="M3377" s="89" t="s">
        <v>5129</v>
      </c>
      <c r="N3377" s="89" t="s">
        <v>5130</v>
      </c>
      <c r="O3377" s="92">
        <v>6954304.0</v>
      </c>
      <c r="P3377" s="92">
        <v>7086263.0</v>
      </c>
      <c r="Q3377" s="89" t="s">
        <v>838</v>
      </c>
      <c r="AF3377" s="1"/>
      <c r="AG3377" s="1"/>
    </row>
    <row r="3378" ht="15.75" customHeight="1">
      <c r="A3378" s="1"/>
      <c r="B3378" s="1"/>
      <c r="C3378" s="1"/>
      <c r="D3378" s="1"/>
      <c r="E3378" s="1"/>
      <c r="F3378" s="1"/>
      <c r="G3378" s="1"/>
      <c r="H3378" s="1"/>
      <c r="I3378" s="1"/>
      <c r="J3378" s="1"/>
      <c r="K3378" s="89" t="s">
        <v>5131</v>
      </c>
      <c r="L3378" s="89" t="str">
        <f>G108</f>
        <v>C1b1a2b</v>
      </c>
      <c r="M3378" s="89" t="s">
        <v>5132</v>
      </c>
      <c r="N3378" s="89" t="s">
        <v>5130</v>
      </c>
      <c r="O3378" s="92">
        <v>6954304.0</v>
      </c>
      <c r="P3378" s="92">
        <v>7086263.0</v>
      </c>
      <c r="Q3378" s="89" t="s">
        <v>838</v>
      </c>
      <c r="AF3378" s="1"/>
      <c r="AG3378" s="1"/>
    </row>
    <row r="3379" ht="15.75" customHeight="1">
      <c r="A3379" s="1"/>
      <c r="B3379" s="1"/>
      <c r="C3379" s="1"/>
      <c r="D3379" s="1"/>
      <c r="E3379" s="1"/>
      <c r="F3379" s="1"/>
      <c r="G3379" s="1"/>
      <c r="H3379" s="1"/>
      <c r="I3379" s="1"/>
      <c r="J3379" s="1"/>
      <c r="K3379" s="89" t="s">
        <v>5133</v>
      </c>
      <c r="L3379" s="89" t="str">
        <f>G108</f>
        <v>C1b1a2b</v>
      </c>
      <c r="M3379" s="89" t="s">
        <v>5134</v>
      </c>
      <c r="N3379" s="89" t="s">
        <v>5130</v>
      </c>
      <c r="O3379" s="92">
        <v>6954304.0</v>
      </c>
      <c r="P3379" s="92">
        <v>7086263.0</v>
      </c>
      <c r="Q3379" s="89" t="s">
        <v>838</v>
      </c>
      <c r="AF3379" s="1"/>
      <c r="AG3379" s="1"/>
    </row>
    <row r="3380" ht="15.75" customHeight="1">
      <c r="A3380" s="1"/>
      <c r="B3380" s="1"/>
      <c r="C3380" s="1"/>
      <c r="D3380" s="1"/>
      <c r="E3380" s="1"/>
      <c r="F3380" s="1"/>
      <c r="G3380" s="1"/>
      <c r="H3380" s="1"/>
      <c r="I3380" s="1"/>
      <c r="J3380" s="1"/>
      <c r="K3380" s="89" t="s">
        <v>5135</v>
      </c>
      <c r="L3380" s="89" t="str">
        <f>G108</f>
        <v>C1b1a2b</v>
      </c>
      <c r="M3380" s="89" t="s">
        <v>5136</v>
      </c>
      <c r="N3380" s="89" t="s">
        <v>5137</v>
      </c>
      <c r="O3380" s="92">
        <v>6975254.0</v>
      </c>
      <c r="P3380" s="92">
        <v>7107213.0</v>
      </c>
      <c r="Q3380" s="89" t="s">
        <v>810</v>
      </c>
      <c r="AF3380" s="1"/>
      <c r="AG3380" s="1"/>
    </row>
    <row r="3381" ht="15.75" customHeight="1">
      <c r="A3381" s="1"/>
      <c r="B3381" s="1"/>
      <c r="C3381" s="1"/>
      <c r="D3381" s="1"/>
      <c r="E3381" s="1"/>
      <c r="F3381" s="1"/>
      <c r="G3381" s="1"/>
      <c r="H3381" s="1"/>
      <c r="I3381" s="1"/>
      <c r="J3381" s="1"/>
      <c r="K3381" s="89" t="s">
        <v>5138</v>
      </c>
      <c r="L3381" s="89" t="str">
        <f>G108</f>
        <v>C1b1a2b</v>
      </c>
      <c r="M3381" s="89" t="s">
        <v>5139</v>
      </c>
      <c r="N3381" s="89" t="s">
        <v>5137</v>
      </c>
      <c r="O3381" s="92">
        <v>6975254.0</v>
      </c>
      <c r="P3381" s="92">
        <v>7107213.0</v>
      </c>
      <c r="Q3381" s="89" t="s">
        <v>810</v>
      </c>
      <c r="AF3381" s="1"/>
      <c r="AG3381" s="1"/>
    </row>
    <row r="3382" ht="15.75" customHeight="1">
      <c r="A3382" s="1"/>
      <c r="B3382" s="1"/>
      <c r="C3382" s="1"/>
      <c r="D3382" s="1"/>
      <c r="E3382" s="1"/>
      <c r="F3382" s="1"/>
      <c r="G3382" s="1"/>
      <c r="H3382" s="1"/>
      <c r="I3382" s="1"/>
      <c r="J3382" s="1"/>
      <c r="K3382" s="89" t="s">
        <v>5140</v>
      </c>
      <c r="L3382" s="89" t="str">
        <f>G108</f>
        <v>C1b1a2b</v>
      </c>
      <c r="M3382" s="89" t="s">
        <v>5141</v>
      </c>
      <c r="N3382" s="89" t="s">
        <v>5137</v>
      </c>
      <c r="O3382" s="92">
        <v>6975254.0</v>
      </c>
      <c r="P3382" s="92">
        <v>7107213.0</v>
      </c>
      <c r="Q3382" s="89" t="s">
        <v>810</v>
      </c>
      <c r="AF3382" s="1"/>
      <c r="AG3382" s="1"/>
    </row>
    <row r="3383" ht="15.75" customHeight="1">
      <c r="A3383" s="1"/>
      <c r="B3383" s="1"/>
      <c r="C3383" s="1"/>
      <c r="D3383" s="1"/>
      <c r="E3383" s="1"/>
      <c r="F3383" s="1"/>
      <c r="G3383" s="1"/>
      <c r="H3383" s="1"/>
      <c r="I3383" s="1"/>
      <c r="J3383" s="1"/>
      <c r="K3383" s="89" t="s">
        <v>5142</v>
      </c>
      <c r="L3383" s="89" t="str">
        <f>G108</f>
        <v>C1b1a2b</v>
      </c>
      <c r="M3383" s="89" t="s">
        <v>5143</v>
      </c>
      <c r="N3383" s="89" t="s">
        <v>5144</v>
      </c>
      <c r="O3383" s="92">
        <v>7146890.0</v>
      </c>
      <c r="P3383" s="92">
        <v>7278849.0</v>
      </c>
      <c r="Q3383" s="89" t="s">
        <v>813</v>
      </c>
      <c r="AF3383" s="1"/>
      <c r="AG3383" s="1"/>
    </row>
    <row r="3384" ht="15.75" customHeight="1">
      <c r="A3384" s="1"/>
      <c r="B3384" s="1"/>
      <c r="C3384" s="1"/>
      <c r="D3384" s="1"/>
      <c r="E3384" s="1"/>
      <c r="F3384" s="1"/>
      <c r="G3384" s="1"/>
      <c r="H3384" s="1"/>
      <c r="I3384" s="1"/>
      <c r="J3384" s="1"/>
      <c r="K3384" s="89" t="s">
        <v>5145</v>
      </c>
      <c r="L3384" s="89" t="str">
        <f>G108</f>
        <v>C1b1a2b</v>
      </c>
      <c r="M3384" s="89" t="s">
        <v>5146</v>
      </c>
      <c r="N3384" s="89" t="s">
        <v>5144</v>
      </c>
      <c r="O3384" s="92">
        <v>7146890.0</v>
      </c>
      <c r="P3384" s="92">
        <v>7278849.0</v>
      </c>
      <c r="Q3384" s="89" t="s">
        <v>813</v>
      </c>
      <c r="AF3384" s="1"/>
      <c r="AG3384" s="1"/>
    </row>
    <row r="3385" ht="15.75" customHeight="1">
      <c r="A3385" s="1"/>
      <c r="B3385" s="1"/>
      <c r="C3385" s="1"/>
      <c r="D3385" s="1"/>
      <c r="E3385" s="1"/>
      <c r="F3385" s="1"/>
      <c r="G3385" s="1"/>
      <c r="H3385" s="1"/>
      <c r="I3385" s="1"/>
      <c r="J3385" s="1"/>
      <c r="K3385" s="89" t="s">
        <v>5147</v>
      </c>
      <c r="L3385" s="89" t="str">
        <f>G108</f>
        <v>C1b1a2b</v>
      </c>
      <c r="M3385" s="89" t="s">
        <v>5148</v>
      </c>
      <c r="N3385" s="89" t="s">
        <v>5144</v>
      </c>
      <c r="O3385" s="92">
        <v>7146890.0</v>
      </c>
      <c r="P3385" s="92">
        <v>7278849.0</v>
      </c>
      <c r="Q3385" s="89" t="s">
        <v>813</v>
      </c>
      <c r="AF3385" s="1"/>
      <c r="AG3385" s="1"/>
    </row>
    <row r="3386" ht="15.75" customHeight="1">
      <c r="A3386" s="1"/>
      <c r="B3386" s="1"/>
      <c r="C3386" s="1"/>
      <c r="D3386" s="1"/>
      <c r="E3386" s="1"/>
      <c r="F3386" s="1"/>
      <c r="G3386" s="1"/>
      <c r="H3386" s="1"/>
      <c r="I3386" s="1"/>
      <c r="J3386" s="1"/>
      <c r="K3386" s="89" t="s">
        <v>5149</v>
      </c>
      <c r="L3386" s="89" t="str">
        <f>G108</f>
        <v>C1b1a2b</v>
      </c>
      <c r="M3386" s="89" t="s">
        <v>5150</v>
      </c>
      <c r="N3386" s="89" t="s">
        <v>5151</v>
      </c>
      <c r="O3386" s="92">
        <v>7152879.0</v>
      </c>
      <c r="P3386" s="92">
        <v>7284838.0</v>
      </c>
      <c r="Q3386" s="89" t="s">
        <v>864</v>
      </c>
      <c r="AF3386" s="1"/>
      <c r="AG3386" s="1"/>
    </row>
    <row r="3387" ht="15.75" customHeight="1">
      <c r="A3387" s="1"/>
      <c r="B3387" s="1"/>
      <c r="C3387" s="1"/>
      <c r="D3387" s="1"/>
      <c r="E3387" s="1"/>
      <c r="F3387" s="1"/>
      <c r="G3387" s="1"/>
      <c r="H3387" s="1"/>
      <c r="I3387" s="1"/>
      <c r="J3387" s="1"/>
      <c r="K3387" s="89" t="s">
        <v>5152</v>
      </c>
      <c r="L3387" s="89" t="str">
        <f>G108</f>
        <v>C1b1a2b</v>
      </c>
      <c r="M3387" s="89" t="s">
        <v>5153</v>
      </c>
      <c r="N3387" s="89" t="s">
        <v>5151</v>
      </c>
      <c r="O3387" s="92">
        <v>7152879.0</v>
      </c>
      <c r="P3387" s="92">
        <v>7284838.0</v>
      </c>
      <c r="Q3387" s="89" t="s">
        <v>864</v>
      </c>
      <c r="AF3387" s="1"/>
      <c r="AG3387" s="1"/>
    </row>
    <row r="3388" ht="15.75" customHeight="1">
      <c r="A3388" s="1"/>
      <c r="B3388" s="1"/>
      <c r="C3388" s="1"/>
      <c r="D3388" s="1"/>
      <c r="E3388" s="1"/>
      <c r="F3388" s="1"/>
      <c r="G3388" s="1"/>
      <c r="H3388" s="1"/>
      <c r="I3388" s="1"/>
      <c r="J3388" s="1"/>
      <c r="K3388" s="89" t="s">
        <v>5154</v>
      </c>
      <c r="L3388" s="89" t="str">
        <f>G108</f>
        <v>C1b1a2b</v>
      </c>
      <c r="M3388" s="89" t="s">
        <v>5155</v>
      </c>
      <c r="N3388" s="89" t="s">
        <v>5151</v>
      </c>
      <c r="O3388" s="92">
        <v>7152879.0</v>
      </c>
      <c r="P3388" s="92">
        <v>7284838.0</v>
      </c>
      <c r="Q3388" s="89" t="s">
        <v>864</v>
      </c>
      <c r="AF3388" s="1"/>
      <c r="AG3388" s="1"/>
    </row>
    <row r="3389" ht="15.75" customHeight="1">
      <c r="A3389" s="1"/>
      <c r="B3389" s="1"/>
      <c r="C3389" s="1"/>
      <c r="D3389" s="1"/>
      <c r="E3389" s="1"/>
      <c r="F3389" s="1"/>
      <c r="G3389" s="1"/>
      <c r="H3389" s="1"/>
      <c r="I3389" s="1"/>
      <c r="J3389" s="1"/>
      <c r="K3389" s="89" t="s">
        <v>5156</v>
      </c>
      <c r="L3389" s="89" t="str">
        <f>G108</f>
        <v>C1b1a2b</v>
      </c>
      <c r="M3389" s="89" t="s">
        <v>5157</v>
      </c>
      <c r="N3389" s="89" t="s">
        <v>5158</v>
      </c>
      <c r="O3389" s="92">
        <v>7181296.0</v>
      </c>
      <c r="P3389" s="92">
        <v>7313255.0</v>
      </c>
      <c r="Q3389" s="89" t="s">
        <v>879</v>
      </c>
      <c r="AF3389" s="1"/>
      <c r="AG3389" s="1"/>
    </row>
    <row r="3390" ht="15.75" customHeight="1">
      <c r="A3390" s="1"/>
      <c r="B3390" s="1"/>
      <c r="C3390" s="1"/>
      <c r="D3390" s="1"/>
      <c r="E3390" s="1"/>
      <c r="F3390" s="1"/>
      <c r="G3390" s="1"/>
      <c r="H3390" s="1"/>
      <c r="I3390" s="1"/>
      <c r="J3390" s="1"/>
      <c r="K3390" s="89" t="s">
        <v>5159</v>
      </c>
      <c r="L3390" s="89" t="str">
        <f>G108</f>
        <v>C1b1a2b</v>
      </c>
      <c r="M3390" s="89" t="s">
        <v>5160</v>
      </c>
      <c r="N3390" s="89" t="s">
        <v>5158</v>
      </c>
      <c r="O3390" s="92">
        <v>7181296.0</v>
      </c>
      <c r="P3390" s="92">
        <v>7313255.0</v>
      </c>
      <c r="Q3390" s="89" t="s">
        <v>879</v>
      </c>
      <c r="AF3390" s="1"/>
      <c r="AG3390" s="1"/>
    </row>
    <row r="3391" ht="15.75" customHeight="1">
      <c r="A3391" s="1"/>
      <c r="B3391" s="1"/>
      <c r="C3391" s="1"/>
      <c r="D3391" s="1"/>
      <c r="E3391" s="1"/>
      <c r="F3391" s="1"/>
      <c r="G3391" s="1"/>
      <c r="H3391" s="1"/>
      <c r="I3391" s="1"/>
      <c r="J3391" s="1"/>
      <c r="K3391" s="89" t="s">
        <v>5161</v>
      </c>
      <c r="L3391" s="89" t="str">
        <f>G108</f>
        <v>C1b1a2b</v>
      </c>
      <c r="M3391" s="89" t="s">
        <v>5162</v>
      </c>
      <c r="N3391" s="89" t="s">
        <v>5158</v>
      </c>
      <c r="O3391" s="92">
        <v>7181296.0</v>
      </c>
      <c r="P3391" s="92">
        <v>7313255.0</v>
      </c>
      <c r="Q3391" s="89" t="s">
        <v>879</v>
      </c>
      <c r="AF3391" s="1"/>
      <c r="AG3391" s="1"/>
    </row>
    <row r="3392" ht="15.75" customHeight="1">
      <c r="A3392" s="1"/>
      <c r="B3392" s="1"/>
      <c r="C3392" s="1"/>
      <c r="D3392" s="1"/>
      <c r="E3392" s="1"/>
      <c r="F3392" s="1"/>
      <c r="G3392" s="1"/>
      <c r="H3392" s="1"/>
      <c r="I3392" s="1"/>
      <c r="J3392" s="1"/>
      <c r="K3392" s="89" t="s">
        <v>5163</v>
      </c>
      <c r="L3392" s="89" t="str">
        <f>G108</f>
        <v>C1b1a2b</v>
      </c>
      <c r="M3392" s="89" t="s">
        <v>5164</v>
      </c>
      <c r="N3392" s="89"/>
      <c r="O3392" s="92">
        <v>7251486.0</v>
      </c>
      <c r="P3392" s="92">
        <v>7383445.0</v>
      </c>
      <c r="Q3392" s="89" t="s">
        <v>810</v>
      </c>
      <c r="AF3392" s="1"/>
      <c r="AG3392" s="1"/>
    </row>
    <row r="3393" ht="15.75" customHeight="1">
      <c r="A3393" s="1"/>
      <c r="B3393" s="1"/>
      <c r="C3393" s="1"/>
      <c r="D3393" s="1"/>
      <c r="E3393" s="1"/>
      <c r="F3393" s="1"/>
      <c r="G3393" s="1"/>
      <c r="H3393" s="1"/>
      <c r="I3393" s="1"/>
      <c r="J3393" s="1"/>
      <c r="K3393" s="89" t="s">
        <v>5165</v>
      </c>
      <c r="L3393" s="89" t="str">
        <f>G108</f>
        <v>C1b1a2b</v>
      </c>
      <c r="M3393" s="89" t="s">
        <v>5166</v>
      </c>
      <c r="N3393" s="89"/>
      <c r="O3393" s="92">
        <v>7251486.0</v>
      </c>
      <c r="P3393" s="92">
        <v>7383445.0</v>
      </c>
      <c r="Q3393" s="89" t="s">
        <v>810</v>
      </c>
      <c r="AF3393" s="1"/>
      <c r="AG3393" s="1"/>
    </row>
    <row r="3394" ht="15.75" customHeight="1">
      <c r="A3394" s="1"/>
      <c r="B3394" s="1"/>
      <c r="C3394" s="1"/>
      <c r="D3394" s="1"/>
      <c r="E3394" s="1"/>
      <c r="F3394" s="1"/>
      <c r="G3394" s="1"/>
      <c r="H3394" s="1"/>
      <c r="I3394" s="1"/>
      <c r="J3394" s="1"/>
      <c r="K3394" s="89" t="s">
        <v>5167</v>
      </c>
      <c r="L3394" s="89" t="str">
        <f>G108</f>
        <v>C1b1a2b</v>
      </c>
      <c r="M3394" s="89" t="s">
        <v>5168</v>
      </c>
      <c r="N3394" s="89"/>
      <c r="O3394" s="92">
        <v>7251486.0</v>
      </c>
      <c r="P3394" s="92">
        <v>7383445.0</v>
      </c>
      <c r="Q3394" s="89" t="s">
        <v>810</v>
      </c>
      <c r="AF3394" s="1"/>
      <c r="AG3394" s="1"/>
    </row>
    <row r="3395" ht="15.75" customHeight="1">
      <c r="A3395" s="1"/>
      <c r="B3395" s="1"/>
      <c r="C3395" s="1"/>
      <c r="D3395" s="1"/>
      <c r="E3395" s="1"/>
      <c r="F3395" s="1"/>
      <c r="G3395" s="1"/>
      <c r="H3395" s="1"/>
      <c r="I3395" s="1"/>
      <c r="J3395" s="1"/>
      <c r="K3395" s="89" t="s">
        <v>5169</v>
      </c>
      <c r="L3395" s="89" t="str">
        <f>G108</f>
        <v>C1b1a2b</v>
      </c>
      <c r="M3395" s="89" t="s">
        <v>5170</v>
      </c>
      <c r="N3395" s="89" t="s">
        <v>5171</v>
      </c>
      <c r="O3395" s="92">
        <v>7446395.0</v>
      </c>
      <c r="P3395" s="92">
        <v>7578354.0</v>
      </c>
      <c r="Q3395" s="89" t="s">
        <v>822</v>
      </c>
      <c r="AF3395" s="1"/>
      <c r="AG3395" s="1"/>
    </row>
    <row r="3396" ht="15.75" customHeight="1">
      <c r="A3396" s="1"/>
      <c r="B3396" s="1"/>
      <c r="C3396" s="1"/>
      <c r="D3396" s="1"/>
      <c r="E3396" s="1"/>
      <c r="F3396" s="1"/>
      <c r="G3396" s="1"/>
      <c r="H3396" s="1"/>
      <c r="I3396" s="1"/>
      <c r="J3396" s="1"/>
      <c r="K3396" s="89" t="s">
        <v>5172</v>
      </c>
      <c r="L3396" s="89" t="str">
        <f>G108</f>
        <v>C1b1a2b</v>
      </c>
      <c r="M3396" s="89" t="s">
        <v>5173</v>
      </c>
      <c r="N3396" s="89"/>
      <c r="O3396" s="92">
        <v>7446395.0</v>
      </c>
      <c r="P3396" s="92">
        <v>7578354.0</v>
      </c>
      <c r="Q3396" s="89" t="s">
        <v>822</v>
      </c>
      <c r="AF3396" s="1"/>
      <c r="AG3396" s="1"/>
    </row>
    <row r="3397" ht="15.75" customHeight="1">
      <c r="A3397" s="1"/>
      <c r="B3397" s="1"/>
      <c r="C3397" s="1"/>
      <c r="D3397" s="1"/>
      <c r="E3397" s="1"/>
      <c r="F3397" s="1"/>
      <c r="G3397" s="1"/>
      <c r="H3397" s="1"/>
      <c r="I3397" s="1"/>
      <c r="J3397" s="1"/>
      <c r="K3397" s="89" t="s">
        <v>5174</v>
      </c>
      <c r="L3397" s="89" t="str">
        <f>G108</f>
        <v>C1b1a2b</v>
      </c>
      <c r="M3397" s="89" t="s">
        <v>5175</v>
      </c>
      <c r="N3397" s="89" t="s">
        <v>5171</v>
      </c>
      <c r="O3397" s="92">
        <v>7446395.0</v>
      </c>
      <c r="P3397" s="92">
        <v>7578354.0</v>
      </c>
      <c r="Q3397" s="89" t="s">
        <v>822</v>
      </c>
      <c r="AF3397" s="1"/>
      <c r="AG3397" s="1"/>
    </row>
    <row r="3398" ht="15.75" customHeight="1">
      <c r="A3398" s="1"/>
      <c r="B3398" s="1"/>
      <c r="C3398" s="1"/>
      <c r="D3398" s="1"/>
      <c r="E3398" s="1"/>
      <c r="F3398" s="1"/>
      <c r="G3398" s="1"/>
      <c r="H3398" s="1"/>
      <c r="I3398" s="1"/>
      <c r="J3398" s="1"/>
      <c r="K3398" s="89" t="s">
        <v>5176</v>
      </c>
      <c r="L3398" s="89" t="str">
        <f>G108</f>
        <v>C1b1a2b</v>
      </c>
      <c r="M3398" s="89"/>
      <c r="N3398" s="89" t="s">
        <v>5177</v>
      </c>
      <c r="O3398" s="92">
        <v>7510706.0</v>
      </c>
      <c r="P3398" s="92">
        <v>7642665.0</v>
      </c>
      <c r="Q3398" s="89" t="s">
        <v>810</v>
      </c>
      <c r="AF3398" s="1"/>
      <c r="AG3398" s="1"/>
    </row>
    <row r="3399" ht="15.75" customHeight="1">
      <c r="A3399" s="1"/>
      <c r="B3399" s="1"/>
      <c r="C3399" s="1"/>
      <c r="D3399" s="1"/>
      <c r="E3399" s="1"/>
      <c r="F3399" s="1"/>
      <c r="G3399" s="1"/>
      <c r="H3399" s="1"/>
      <c r="I3399" s="1"/>
      <c r="J3399" s="1"/>
      <c r="K3399" s="89" t="s">
        <v>5178</v>
      </c>
      <c r="L3399" s="89" t="str">
        <f>G108</f>
        <v>C1b1a2b</v>
      </c>
      <c r="M3399" s="89"/>
      <c r="N3399" s="89" t="s">
        <v>5179</v>
      </c>
      <c r="O3399" s="92">
        <v>7545688.0</v>
      </c>
      <c r="P3399" s="92">
        <v>7677647.0</v>
      </c>
      <c r="Q3399" s="89" t="s">
        <v>802</v>
      </c>
      <c r="AF3399" s="1"/>
      <c r="AG3399" s="1"/>
    </row>
    <row r="3400" ht="15.75" customHeight="1">
      <c r="A3400" s="1"/>
      <c r="B3400" s="1"/>
      <c r="C3400" s="1"/>
      <c r="D3400" s="1"/>
      <c r="E3400" s="1"/>
      <c r="F3400" s="1"/>
      <c r="G3400" s="1"/>
      <c r="H3400" s="1"/>
      <c r="I3400" s="1"/>
      <c r="J3400" s="1"/>
      <c r="K3400" s="89" t="s">
        <v>5180</v>
      </c>
      <c r="L3400" s="89" t="str">
        <f>G108</f>
        <v>C1b1a2b</v>
      </c>
      <c r="M3400" s="89"/>
      <c r="N3400" s="89" t="s">
        <v>5181</v>
      </c>
      <c r="O3400" s="92">
        <v>7643777.0</v>
      </c>
      <c r="P3400" s="92">
        <v>7775736.0</v>
      </c>
      <c r="Q3400" s="89" t="s">
        <v>802</v>
      </c>
      <c r="AF3400" s="1"/>
      <c r="AG3400" s="1"/>
    </row>
    <row r="3401" ht="15.75" customHeight="1">
      <c r="A3401" s="1"/>
      <c r="B3401" s="1"/>
      <c r="C3401" s="1"/>
      <c r="D3401" s="1"/>
      <c r="E3401" s="1"/>
      <c r="F3401" s="1"/>
      <c r="G3401" s="1"/>
      <c r="H3401" s="1"/>
      <c r="I3401" s="1"/>
      <c r="J3401" s="1"/>
      <c r="K3401" s="89" t="s">
        <v>5182</v>
      </c>
      <c r="L3401" s="89" t="str">
        <f>G108</f>
        <v>C1b1a2b</v>
      </c>
      <c r="M3401" s="89"/>
      <c r="N3401" s="89" t="s">
        <v>5183</v>
      </c>
      <c r="O3401" s="92">
        <v>8128296.0</v>
      </c>
      <c r="P3401" s="92">
        <v>8260255.0</v>
      </c>
      <c r="Q3401" s="89" t="s">
        <v>822</v>
      </c>
      <c r="AF3401" s="1"/>
      <c r="AG3401" s="1"/>
    </row>
    <row r="3402" ht="15.75" customHeight="1">
      <c r="A3402" s="1"/>
      <c r="B3402" s="1"/>
      <c r="C3402" s="1"/>
      <c r="D3402" s="1"/>
      <c r="E3402" s="1"/>
      <c r="F3402" s="1"/>
      <c r="G3402" s="1"/>
      <c r="H3402" s="1"/>
      <c r="I3402" s="1"/>
      <c r="J3402" s="1"/>
      <c r="K3402" s="89" t="s">
        <v>5184</v>
      </c>
      <c r="L3402" s="89" t="str">
        <f>G108</f>
        <v>C1b1a2b</v>
      </c>
      <c r="M3402" s="89"/>
      <c r="N3402" s="89" t="s">
        <v>5185</v>
      </c>
      <c r="O3402" s="92">
        <v>8460176.0</v>
      </c>
      <c r="P3402" s="92">
        <v>8592135.0</v>
      </c>
      <c r="Q3402" s="89" t="s">
        <v>802</v>
      </c>
      <c r="AF3402" s="1"/>
      <c r="AG3402" s="1"/>
    </row>
    <row r="3403" ht="15.75" customHeight="1">
      <c r="A3403" s="1"/>
      <c r="B3403" s="1"/>
      <c r="C3403" s="1"/>
      <c r="D3403" s="1"/>
      <c r="E3403" s="1"/>
      <c r="F3403" s="1"/>
      <c r="G3403" s="1"/>
      <c r="H3403" s="1"/>
      <c r="I3403" s="1"/>
      <c r="J3403" s="1"/>
      <c r="K3403" s="89" t="s">
        <v>5186</v>
      </c>
      <c r="L3403" s="89" t="str">
        <f>G108</f>
        <v>C1b1a2b</v>
      </c>
      <c r="M3403" s="89"/>
      <c r="N3403" s="89" t="s">
        <v>5187</v>
      </c>
      <c r="O3403" s="92">
        <v>8498515.0</v>
      </c>
      <c r="P3403" s="92">
        <v>8630474.0</v>
      </c>
      <c r="Q3403" s="89" t="s">
        <v>822</v>
      </c>
      <c r="AF3403" s="1"/>
      <c r="AG3403" s="1"/>
    </row>
    <row r="3404" ht="15.75" customHeight="1">
      <c r="A3404" s="1"/>
      <c r="B3404" s="1"/>
      <c r="C3404" s="1"/>
      <c r="D3404" s="1"/>
      <c r="E3404" s="1"/>
      <c r="F3404" s="1"/>
      <c r="G3404" s="1"/>
      <c r="H3404" s="1"/>
      <c r="I3404" s="1"/>
      <c r="J3404" s="1"/>
      <c r="K3404" s="89" t="s">
        <v>5188</v>
      </c>
      <c r="L3404" s="89" t="str">
        <f>G108</f>
        <v>C1b1a2b</v>
      </c>
      <c r="M3404" s="89"/>
      <c r="N3404" s="89" t="s">
        <v>5189</v>
      </c>
      <c r="O3404" s="92">
        <v>8589831.0</v>
      </c>
      <c r="P3404" s="92">
        <v>8721790.0</v>
      </c>
      <c r="Q3404" s="89" t="s">
        <v>810</v>
      </c>
      <c r="AF3404" s="1"/>
      <c r="AG3404" s="1"/>
    </row>
    <row r="3405" ht="15.75" customHeight="1">
      <c r="A3405" s="1"/>
      <c r="B3405" s="1"/>
      <c r="C3405" s="1"/>
      <c r="D3405" s="1"/>
      <c r="E3405" s="1"/>
      <c r="F3405" s="1"/>
      <c r="G3405" s="1"/>
      <c r="H3405" s="1"/>
      <c r="I3405" s="1"/>
      <c r="J3405" s="1"/>
      <c r="K3405" s="89" t="s">
        <v>5190</v>
      </c>
      <c r="L3405" s="89" t="str">
        <f>G108</f>
        <v>C1b1a2b</v>
      </c>
      <c r="M3405" s="89" t="s">
        <v>5191</v>
      </c>
      <c r="N3405" s="89" t="s">
        <v>5192</v>
      </c>
      <c r="O3405" s="92">
        <v>1.7936279E7</v>
      </c>
      <c r="P3405" s="92">
        <v>1.5824399E7</v>
      </c>
      <c r="Q3405" s="89" t="s">
        <v>810</v>
      </c>
      <c r="AF3405" s="1"/>
      <c r="AG3405" s="1"/>
    </row>
    <row r="3406" ht="15.75" customHeight="1">
      <c r="A3406" s="1"/>
      <c r="B3406" s="1"/>
      <c r="C3406" s="1"/>
      <c r="D3406" s="1"/>
      <c r="E3406" s="1"/>
      <c r="F3406" s="1"/>
      <c r="G3406" s="1"/>
      <c r="H3406" s="1"/>
      <c r="I3406" s="1"/>
      <c r="J3406" s="1"/>
      <c r="K3406" s="89" t="s">
        <v>5191</v>
      </c>
      <c r="L3406" s="89" t="str">
        <f>G108</f>
        <v>C1b1a2b</v>
      </c>
      <c r="M3406" s="89" t="s">
        <v>5190</v>
      </c>
      <c r="N3406" s="89" t="s">
        <v>5192</v>
      </c>
      <c r="O3406" s="92">
        <v>1.7936279E7</v>
      </c>
      <c r="P3406" s="92">
        <v>1.5824399E7</v>
      </c>
      <c r="Q3406" s="89" t="s">
        <v>810</v>
      </c>
      <c r="AF3406" s="1"/>
      <c r="AG3406" s="1"/>
    </row>
    <row r="3407" ht="15.75" customHeight="1">
      <c r="A3407" s="1"/>
      <c r="B3407" s="1"/>
      <c r="C3407" s="1"/>
      <c r="D3407" s="1"/>
      <c r="E3407" s="1"/>
      <c r="F3407" s="1"/>
      <c r="G3407" s="1"/>
      <c r="H3407" s="1"/>
      <c r="I3407" s="1"/>
      <c r="J3407" s="1"/>
      <c r="K3407" s="89" t="s">
        <v>5193</v>
      </c>
      <c r="L3407" s="89" t="str">
        <f>G108</f>
        <v>C1b1a2b</v>
      </c>
      <c r="M3407" s="89"/>
      <c r="N3407" s="89" t="s">
        <v>5194</v>
      </c>
      <c r="O3407" s="92">
        <v>7997470.0</v>
      </c>
      <c r="P3407" s="92">
        <v>8129429.0</v>
      </c>
      <c r="Q3407" s="89" t="s">
        <v>822</v>
      </c>
      <c r="AF3407" s="1"/>
      <c r="AG3407" s="1"/>
    </row>
    <row r="3408" ht="15.75" customHeight="1">
      <c r="A3408" s="1"/>
      <c r="B3408" s="1"/>
      <c r="C3408" s="1"/>
      <c r="D3408" s="1"/>
      <c r="E3408" s="1"/>
      <c r="F3408" s="1"/>
      <c r="G3408" s="1"/>
      <c r="H3408" s="1"/>
      <c r="I3408" s="1"/>
      <c r="J3408" s="1"/>
      <c r="K3408" s="89" t="s">
        <v>5195</v>
      </c>
      <c r="L3408" s="89" t="str">
        <f>G108</f>
        <v>C1b1a2b</v>
      </c>
      <c r="M3408" s="89"/>
      <c r="N3408" s="89" t="s">
        <v>5196</v>
      </c>
      <c r="O3408" s="92">
        <v>8117297.0</v>
      </c>
      <c r="P3408" s="92">
        <v>8249256.0</v>
      </c>
      <c r="Q3408" s="89" t="s">
        <v>822</v>
      </c>
      <c r="AF3408" s="1"/>
      <c r="AG3408" s="1"/>
    </row>
    <row r="3409" ht="15.75" customHeight="1">
      <c r="A3409" s="1"/>
      <c r="B3409" s="1"/>
      <c r="C3409" s="1"/>
      <c r="D3409" s="1"/>
      <c r="E3409" s="1"/>
      <c r="F3409" s="1"/>
      <c r="G3409" s="1"/>
      <c r="H3409" s="1"/>
      <c r="I3409" s="1"/>
      <c r="J3409" s="1"/>
      <c r="K3409" s="89" t="s">
        <v>5197</v>
      </c>
      <c r="L3409" s="89" t="str">
        <f>G108</f>
        <v>C1b1a2b</v>
      </c>
      <c r="M3409" s="89"/>
      <c r="N3409" s="89" t="s">
        <v>5198</v>
      </c>
      <c r="O3409" s="92">
        <v>8381922.0</v>
      </c>
      <c r="P3409" s="92">
        <v>8513881.0</v>
      </c>
      <c r="Q3409" s="89" t="s">
        <v>802</v>
      </c>
      <c r="AF3409" s="1"/>
      <c r="AG3409" s="1"/>
    </row>
    <row r="3410" ht="15.75" customHeight="1">
      <c r="A3410" s="1"/>
      <c r="B3410" s="1"/>
      <c r="C3410" s="1"/>
      <c r="D3410" s="1"/>
      <c r="E3410" s="1"/>
      <c r="F3410" s="1"/>
      <c r="G3410" s="1"/>
      <c r="H3410" s="1"/>
      <c r="I3410" s="1"/>
      <c r="J3410" s="1"/>
      <c r="K3410" s="89" t="s">
        <v>5199</v>
      </c>
      <c r="L3410" s="89" t="str">
        <f>G108</f>
        <v>C1b1a2b</v>
      </c>
      <c r="M3410" s="89"/>
      <c r="N3410" s="89" t="s">
        <v>5200</v>
      </c>
      <c r="O3410" s="92">
        <v>8862487.0</v>
      </c>
      <c r="P3410" s="92">
        <v>8994446.0</v>
      </c>
      <c r="Q3410" s="89" t="s">
        <v>802</v>
      </c>
      <c r="AF3410" s="1"/>
      <c r="AG3410" s="1"/>
    </row>
    <row r="3411" ht="15.75" customHeight="1">
      <c r="A3411" s="1"/>
      <c r="B3411" s="1"/>
      <c r="C3411" s="1"/>
      <c r="D3411" s="1"/>
      <c r="E3411" s="1"/>
      <c r="F3411" s="1"/>
      <c r="G3411" s="1"/>
      <c r="H3411" s="1"/>
      <c r="I3411" s="1"/>
      <c r="J3411" s="1"/>
      <c r="K3411" s="89" t="s">
        <v>5201</v>
      </c>
      <c r="L3411" s="89" t="str">
        <f>G108</f>
        <v>C1b1a2b</v>
      </c>
      <c r="M3411" s="89"/>
      <c r="N3411" s="89" t="s">
        <v>5202</v>
      </c>
      <c r="O3411" s="92">
        <v>8534137.0</v>
      </c>
      <c r="P3411" s="92">
        <v>8666096.0</v>
      </c>
      <c r="Q3411" s="89" t="s">
        <v>917</v>
      </c>
      <c r="AF3411" s="1"/>
      <c r="AG3411" s="1"/>
    </row>
    <row r="3412" ht="15.75" customHeight="1">
      <c r="A3412" s="1"/>
      <c r="B3412" s="1"/>
      <c r="C3412" s="1"/>
      <c r="D3412" s="1"/>
      <c r="E3412" s="1"/>
      <c r="F3412" s="1"/>
      <c r="G3412" s="1"/>
      <c r="H3412" s="1"/>
      <c r="I3412" s="1"/>
      <c r="J3412" s="1"/>
      <c r="K3412" s="89" t="s">
        <v>5203</v>
      </c>
      <c r="L3412" s="89" t="str">
        <f>G108</f>
        <v>C1b1a2b</v>
      </c>
      <c r="M3412" s="89"/>
      <c r="N3412" s="89" t="s">
        <v>5204</v>
      </c>
      <c r="O3412" s="92">
        <v>8613151.0</v>
      </c>
      <c r="P3412" s="92">
        <v>8745110.0</v>
      </c>
      <c r="Q3412" s="89" t="s">
        <v>912</v>
      </c>
      <c r="AF3412" s="1"/>
      <c r="AG3412" s="1"/>
    </row>
    <row r="3413" ht="15.75" customHeight="1">
      <c r="A3413" s="1"/>
      <c r="B3413" s="1"/>
      <c r="C3413" s="1"/>
      <c r="D3413" s="1"/>
      <c r="E3413" s="1"/>
      <c r="F3413" s="1"/>
      <c r="G3413" s="1"/>
      <c r="H3413" s="1"/>
      <c r="I3413" s="1"/>
      <c r="J3413" s="1"/>
      <c r="K3413" s="89" t="s">
        <v>5205</v>
      </c>
      <c r="L3413" s="89" t="str">
        <f>G108</f>
        <v>C1b1a2b</v>
      </c>
      <c r="M3413" s="89"/>
      <c r="N3413" s="89" t="s">
        <v>5206</v>
      </c>
      <c r="O3413" s="92">
        <v>7515697.0</v>
      </c>
      <c r="P3413" s="92">
        <v>7647656.0</v>
      </c>
      <c r="Q3413" s="89" t="s">
        <v>802</v>
      </c>
      <c r="AF3413" s="1"/>
      <c r="AG3413" s="1"/>
    </row>
    <row r="3414" ht="15.75" customHeight="1">
      <c r="A3414" s="1"/>
      <c r="B3414" s="1"/>
      <c r="C3414" s="1"/>
      <c r="D3414" s="1"/>
      <c r="E3414" s="1"/>
      <c r="F3414" s="1"/>
      <c r="G3414" s="1"/>
      <c r="H3414" s="1"/>
      <c r="I3414" s="1"/>
      <c r="J3414" s="1"/>
      <c r="K3414" s="89" t="s">
        <v>5207</v>
      </c>
      <c r="L3414" s="89" t="str">
        <f>G108</f>
        <v>C1b1a2b</v>
      </c>
      <c r="M3414" s="89"/>
      <c r="N3414" s="89" t="s">
        <v>5208</v>
      </c>
      <c r="O3414" s="92">
        <v>7547203.0</v>
      </c>
      <c r="P3414" s="92">
        <v>7679162.0</v>
      </c>
      <c r="Q3414" s="89" t="s">
        <v>810</v>
      </c>
      <c r="AF3414" s="1"/>
      <c r="AG3414" s="1"/>
    </row>
    <row r="3415" ht="15.75" customHeight="1">
      <c r="A3415" s="1"/>
      <c r="B3415" s="1"/>
      <c r="C3415" s="1"/>
      <c r="D3415" s="1"/>
      <c r="E3415" s="1"/>
      <c r="F3415" s="1"/>
      <c r="G3415" s="1"/>
      <c r="H3415" s="1"/>
      <c r="I3415" s="1"/>
      <c r="J3415" s="1"/>
      <c r="K3415" s="89" t="s">
        <v>5209</v>
      </c>
      <c r="L3415" s="89" t="str">
        <f>G108</f>
        <v>C1b1a2b</v>
      </c>
      <c r="M3415" s="89"/>
      <c r="N3415" s="89" t="s">
        <v>5210</v>
      </c>
      <c r="O3415" s="92">
        <v>7587621.0</v>
      </c>
      <c r="P3415" s="92">
        <v>7719580.0</v>
      </c>
      <c r="Q3415" s="89" t="s">
        <v>802</v>
      </c>
      <c r="AF3415" s="1"/>
      <c r="AG3415" s="1"/>
    </row>
    <row r="3416" ht="15.75" customHeight="1">
      <c r="A3416" s="1"/>
      <c r="B3416" s="1"/>
      <c r="C3416" s="1"/>
      <c r="D3416" s="1"/>
      <c r="E3416" s="1"/>
      <c r="F3416" s="1"/>
      <c r="G3416" s="1"/>
      <c r="H3416" s="1"/>
      <c r="I3416" s="1"/>
      <c r="J3416" s="1"/>
      <c r="K3416" s="89" t="s">
        <v>5211</v>
      </c>
      <c r="L3416" s="89" t="str">
        <f>G108</f>
        <v>C1b1a2b</v>
      </c>
      <c r="M3416" s="89"/>
      <c r="N3416" s="89" t="s">
        <v>5212</v>
      </c>
      <c r="O3416" s="92">
        <v>7602580.0</v>
      </c>
      <c r="P3416" s="92">
        <v>7734539.0</v>
      </c>
      <c r="Q3416" s="89" t="s">
        <v>879</v>
      </c>
      <c r="AF3416" s="1"/>
      <c r="AG3416" s="1"/>
    </row>
    <row r="3417" ht="15.75" customHeight="1">
      <c r="A3417" s="1"/>
      <c r="B3417" s="1"/>
      <c r="C3417" s="1"/>
      <c r="D3417" s="1"/>
      <c r="E3417" s="1"/>
      <c r="F3417" s="1"/>
      <c r="G3417" s="1"/>
      <c r="H3417" s="1"/>
      <c r="I3417" s="1"/>
      <c r="J3417" s="1"/>
      <c r="K3417" s="89" t="s">
        <v>5213</v>
      </c>
      <c r="L3417" s="89" t="str">
        <f>G108</f>
        <v>C1b1a2b</v>
      </c>
      <c r="M3417" s="89"/>
      <c r="N3417" s="89" t="s">
        <v>5214</v>
      </c>
      <c r="O3417" s="92">
        <v>7635201.0</v>
      </c>
      <c r="P3417" s="92">
        <v>7767160.0</v>
      </c>
      <c r="Q3417" s="89" t="s">
        <v>845</v>
      </c>
      <c r="AF3417" s="1"/>
      <c r="AG3417" s="1"/>
    </row>
    <row r="3418" ht="15.75" customHeight="1">
      <c r="A3418" s="1"/>
      <c r="B3418" s="1"/>
      <c r="C3418" s="1"/>
      <c r="D3418" s="1"/>
      <c r="E3418" s="1"/>
      <c r="F3418" s="1"/>
      <c r="G3418" s="1"/>
      <c r="H3418" s="1"/>
      <c r="I3418" s="1"/>
      <c r="J3418" s="1"/>
      <c r="K3418" s="89" t="s">
        <v>5215</v>
      </c>
      <c r="L3418" s="89" t="str">
        <f>G108</f>
        <v>C1b1a2b</v>
      </c>
      <c r="M3418" s="89"/>
      <c r="N3418" s="89" t="s">
        <v>5216</v>
      </c>
      <c r="O3418" s="92">
        <v>7721061.0</v>
      </c>
      <c r="P3418" s="92">
        <v>7853020.0</v>
      </c>
      <c r="Q3418" s="89" t="s">
        <v>822</v>
      </c>
      <c r="AF3418" s="1"/>
      <c r="AG3418" s="1"/>
    </row>
    <row r="3419" ht="15.75" customHeight="1">
      <c r="A3419" s="1"/>
      <c r="B3419" s="1"/>
      <c r="C3419" s="1"/>
      <c r="D3419" s="1"/>
      <c r="E3419" s="1"/>
      <c r="F3419" s="1"/>
      <c r="G3419" s="1"/>
      <c r="H3419" s="1"/>
      <c r="I3419" s="1"/>
      <c r="J3419" s="1"/>
      <c r="K3419" s="89" t="s">
        <v>5217</v>
      </c>
      <c r="L3419" s="89" t="str">
        <f>G108</f>
        <v>C1b1a2b</v>
      </c>
      <c r="M3419" s="89"/>
      <c r="N3419" s="89" t="s">
        <v>5218</v>
      </c>
      <c r="O3419" s="92">
        <v>7751180.0</v>
      </c>
      <c r="P3419" s="92">
        <v>7883139.0</v>
      </c>
      <c r="Q3419" s="89" t="s">
        <v>831</v>
      </c>
      <c r="AF3419" s="1"/>
      <c r="AG3419" s="1"/>
    </row>
    <row r="3420" ht="15.75" customHeight="1">
      <c r="A3420" s="1"/>
      <c r="B3420" s="1"/>
      <c r="C3420" s="1"/>
      <c r="D3420" s="1"/>
      <c r="E3420" s="1"/>
      <c r="F3420" s="1"/>
      <c r="G3420" s="1"/>
      <c r="H3420" s="1"/>
      <c r="I3420" s="1"/>
      <c r="J3420" s="1"/>
      <c r="K3420" s="89" t="s">
        <v>5219</v>
      </c>
      <c r="L3420" s="89" t="str">
        <f>G108</f>
        <v>C1b1a2b</v>
      </c>
      <c r="M3420" s="89"/>
      <c r="N3420" s="89" t="s">
        <v>5220</v>
      </c>
      <c r="O3420" s="92">
        <v>7759040.0</v>
      </c>
      <c r="P3420" s="92">
        <v>7890999.0</v>
      </c>
      <c r="Q3420" s="89" t="s">
        <v>845</v>
      </c>
      <c r="AF3420" s="1"/>
      <c r="AG3420" s="1"/>
    </row>
    <row r="3421" ht="15.75" customHeight="1">
      <c r="A3421" s="1"/>
      <c r="B3421" s="1"/>
      <c r="C3421" s="1"/>
      <c r="D3421" s="1"/>
      <c r="E3421" s="1"/>
      <c r="F3421" s="1"/>
      <c r="G3421" s="1"/>
      <c r="H3421" s="1"/>
      <c r="I3421" s="1"/>
      <c r="J3421" s="1"/>
      <c r="K3421" s="89" t="s">
        <v>5221</v>
      </c>
      <c r="L3421" s="89" t="str">
        <f>G108</f>
        <v>C1b1a2b</v>
      </c>
      <c r="M3421" s="89"/>
      <c r="N3421" s="89" t="s">
        <v>5222</v>
      </c>
      <c r="O3421" s="92">
        <v>7762505.0</v>
      </c>
      <c r="P3421" s="92">
        <v>7894464.0</v>
      </c>
      <c r="Q3421" s="89" t="s">
        <v>822</v>
      </c>
      <c r="AF3421" s="1"/>
      <c r="AG3421" s="1"/>
    </row>
    <row r="3422" ht="15.75" customHeight="1">
      <c r="A3422" s="1"/>
      <c r="B3422" s="1"/>
      <c r="C3422" s="1"/>
      <c r="D3422" s="1"/>
      <c r="E3422" s="1"/>
      <c r="F3422" s="1"/>
      <c r="G3422" s="1"/>
      <c r="H3422" s="1"/>
      <c r="I3422" s="1"/>
      <c r="J3422" s="1"/>
      <c r="K3422" s="89" t="s">
        <v>5223</v>
      </c>
      <c r="L3422" s="89" t="str">
        <f>G108</f>
        <v>C1b1a2b</v>
      </c>
      <c r="M3422" s="89"/>
      <c r="N3422" s="89" t="s">
        <v>5224</v>
      </c>
      <c r="O3422" s="92">
        <v>7768359.0</v>
      </c>
      <c r="P3422" s="92">
        <v>7900318.0</v>
      </c>
      <c r="Q3422" s="89" t="s">
        <v>879</v>
      </c>
      <c r="AF3422" s="1"/>
      <c r="AG3422" s="1"/>
    </row>
    <row r="3423" ht="15.75" customHeight="1">
      <c r="A3423" s="1"/>
      <c r="B3423" s="1"/>
      <c r="C3423" s="1"/>
      <c r="D3423" s="1"/>
      <c r="E3423" s="1"/>
      <c r="F3423" s="1"/>
      <c r="G3423" s="1"/>
      <c r="H3423" s="1"/>
      <c r="I3423" s="1"/>
      <c r="J3423" s="1"/>
      <c r="K3423" s="89" t="s">
        <v>5225</v>
      </c>
      <c r="L3423" s="89" t="str">
        <f>G108</f>
        <v>C1b1a2b</v>
      </c>
      <c r="M3423" s="89"/>
      <c r="N3423" s="89" t="s">
        <v>5226</v>
      </c>
      <c r="O3423" s="92">
        <v>7812192.0</v>
      </c>
      <c r="P3423" s="92">
        <v>7944151.0</v>
      </c>
      <c r="Q3423" s="89" t="s">
        <v>810</v>
      </c>
      <c r="AF3423" s="1"/>
      <c r="AG3423" s="1"/>
    </row>
    <row r="3424" ht="15.75" customHeight="1">
      <c r="A3424" s="1"/>
      <c r="B3424" s="1"/>
      <c r="C3424" s="1"/>
      <c r="D3424" s="1"/>
      <c r="E3424" s="1"/>
      <c r="F3424" s="1"/>
      <c r="G3424" s="1"/>
      <c r="H3424" s="1"/>
      <c r="I3424" s="1"/>
      <c r="J3424" s="1"/>
      <c r="K3424" s="89" t="s">
        <v>5227</v>
      </c>
      <c r="L3424" s="89" t="str">
        <f>G108</f>
        <v>C1b1a2b</v>
      </c>
      <c r="M3424" s="89"/>
      <c r="N3424" s="89" t="s">
        <v>5228</v>
      </c>
      <c r="O3424" s="92">
        <v>7845787.0</v>
      </c>
      <c r="P3424" s="92">
        <v>7977746.0</v>
      </c>
      <c r="Q3424" s="89" t="s">
        <v>822</v>
      </c>
      <c r="AF3424" s="1"/>
      <c r="AG3424" s="1"/>
    </row>
    <row r="3425" ht="15.75" customHeight="1">
      <c r="A3425" s="1"/>
      <c r="B3425" s="1"/>
      <c r="C3425" s="1"/>
      <c r="D3425" s="1"/>
      <c r="E3425" s="1"/>
      <c r="F3425" s="1"/>
      <c r="G3425" s="1"/>
      <c r="H3425" s="1"/>
      <c r="I3425" s="1"/>
      <c r="J3425" s="1"/>
      <c r="K3425" s="89" t="s">
        <v>5229</v>
      </c>
      <c r="L3425" s="89" t="str">
        <f>G108</f>
        <v>C1b1a2b</v>
      </c>
      <c r="M3425" s="89"/>
      <c r="N3425" s="89" t="s">
        <v>5230</v>
      </c>
      <c r="O3425" s="92">
        <v>7886867.0</v>
      </c>
      <c r="P3425" s="92">
        <v>8018826.0</v>
      </c>
      <c r="Q3425" s="89" t="s">
        <v>822</v>
      </c>
      <c r="AF3425" s="1"/>
      <c r="AG3425" s="1"/>
    </row>
    <row r="3426" ht="15.75" customHeight="1">
      <c r="A3426" s="1"/>
      <c r="B3426" s="1"/>
      <c r="C3426" s="1"/>
      <c r="D3426" s="1"/>
      <c r="E3426" s="1"/>
      <c r="F3426" s="1"/>
      <c r="G3426" s="1"/>
      <c r="H3426" s="1"/>
      <c r="I3426" s="1"/>
      <c r="J3426" s="1"/>
      <c r="K3426" s="89" t="s">
        <v>5231</v>
      </c>
      <c r="L3426" s="89" t="str">
        <f>G108</f>
        <v>C1b1a2b</v>
      </c>
      <c r="M3426" s="89"/>
      <c r="N3426" s="89" t="s">
        <v>5232</v>
      </c>
      <c r="O3426" s="92">
        <v>7889249.0</v>
      </c>
      <c r="P3426" s="92">
        <v>8021208.0</v>
      </c>
      <c r="Q3426" s="89" t="s">
        <v>802</v>
      </c>
      <c r="AF3426" s="1"/>
      <c r="AG3426" s="1"/>
    </row>
    <row r="3427" ht="15.75" customHeight="1">
      <c r="A3427" s="1"/>
      <c r="B3427" s="1"/>
      <c r="C3427" s="1"/>
      <c r="D3427" s="1"/>
      <c r="E3427" s="1"/>
      <c r="F3427" s="1"/>
      <c r="G3427" s="1"/>
      <c r="H3427" s="1"/>
      <c r="I3427" s="1"/>
      <c r="J3427" s="1"/>
      <c r="K3427" s="89" t="s">
        <v>5233</v>
      </c>
      <c r="L3427" s="89" t="str">
        <f>G108</f>
        <v>C1b1a2b</v>
      </c>
      <c r="M3427" s="89"/>
      <c r="N3427" s="89" t="s">
        <v>5234</v>
      </c>
      <c r="O3427" s="92">
        <v>7891320.0</v>
      </c>
      <c r="P3427" s="92">
        <v>8023279.0</v>
      </c>
      <c r="Q3427" s="89" t="s">
        <v>879</v>
      </c>
      <c r="AF3427" s="1"/>
      <c r="AG3427" s="1"/>
    </row>
    <row r="3428" ht="15.75" customHeight="1">
      <c r="A3428" s="1"/>
      <c r="B3428" s="1"/>
      <c r="C3428" s="1"/>
      <c r="D3428" s="1"/>
      <c r="E3428" s="1"/>
      <c r="F3428" s="1"/>
      <c r="G3428" s="1"/>
      <c r="H3428" s="1"/>
      <c r="I3428" s="1"/>
      <c r="J3428" s="1"/>
      <c r="K3428" s="89" t="s">
        <v>5235</v>
      </c>
      <c r="L3428" s="89" t="str">
        <f>G108</f>
        <v>C1b1a2b</v>
      </c>
      <c r="M3428" s="89"/>
      <c r="N3428" s="89" t="s">
        <v>5236</v>
      </c>
      <c r="O3428" s="92">
        <v>7921472.0</v>
      </c>
      <c r="P3428" s="92">
        <v>8053431.0</v>
      </c>
      <c r="Q3428" s="89" t="s">
        <v>810</v>
      </c>
      <c r="AF3428" s="1"/>
      <c r="AG3428" s="1"/>
    </row>
    <row r="3429" ht="15.75" customHeight="1">
      <c r="A3429" s="1"/>
      <c r="B3429" s="1"/>
      <c r="C3429" s="1"/>
      <c r="D3429" s="1"/>
      <c r="E3429" s="1"/>
      <c r="F3429" s="1"/>
      <c r="G3429" s="1"/>
      <c r="H3429" s="1"/>
      <c r="I3429" s="1"/>
      <c r="J3429" s="1"/>
      <c r="K3429" s="89" t="s">
        <v>5237</v>
      </c>
      <c r="L3429" s="89" t="str">
        <f>G108</f>
        <v>C1b1a2b</v>
      </c>
      <c r="M3429" s="89"/>
      <c r="N3429" s="89" t="s">
        <v>5238</v>
      </c>
      <c r="O3429" s="92">
        <v>8024499.0</v>
      </c>
      <c r="P3429" s="92">
        <v>8156458.0</v>
      </c>
      <c r="Q3429" s="89" t="s">
        <v>879</v>
      </c>
      <c r="AF3429" s="1"/>
      <c r="AG3429" s="1"/>
    </row>
    <row r="3430" ht="15.75" customHeight="1">
      <c r="A3430" s="1"/>
      <c r="B3430" s="1"/>
      <c r="C3430" s="1"/>
      <c r="D3430" s="1"/>
      <c r="E3430" s="1"/>
      <c r="F3430" s="1"/>
      <c r="G3430" s="1"/>
      <c r="H3430" s="1"/>
      <c r="I3430" s="1"/>
      <c r="J3430" s="1"/>
      <c r="K3430" s="89" t="s">
        <v>5239</v>
      </c>
      <c r="L3430" s="89" t="str">
        <f>G108</f>
        <v>C1b1a2b</v>
      </c>
      <c r="M3430" s="89"/>
      <c r="N3430" s="89" t="s">
        <v>5240</v>
      </c>
      <c r="O3430" s="92">
        <v>8069676.0</v>
      </c>
      <c r="P3430" s="92">
        <v>8201635.0</v>
      </c>
      <c r="Q3430" s="89" t="s">
        <v>831</v>
      </c>
      <c r="AF3430" s="1"/>
      <c r="AG3430" s="1"/>
    </row>
    <row r="3431" ht="15.75" customHeight="1">
      <c r="A3431" s="1"/>
      <c r="B3431" s="1"/>
      <c r="C3431" s="1"/>
      <c r="D3431" s="1"/>
      <c r="E3431" s="1"/>
      <c r="F3431" s="1"/>
      <c r="G3431" s="1"/>
      <c r="H3431" s="1"/>
      <c r="I3431" s="1"/>
      <c r="J3431" s="1"/>
      <c r="K3431" s="89" t="s">
        <v>5241</v>
      </c>
      <c r="L3431" s="89" t="str">
        <f>G108</f>
        <v>C1b1a2b</v>
      </c>
      <c r="M3431" s="89"/>
      <c r="N3431" s="89" t="s">
        <v>5242</v>
      </c>
      <c r="O3431" s="92">
        <v>8166241.0</v>
      </c>
      <c r="P3431" s="92">
        <v>8298200.0</v>
      </c>
      <c r="Q3431" s="89" t="s">
        <v>864</v>
      </c>
      <c r="AF3431" s="1"/>
      <c r="AG3431" s="1"/>
    </row>
    <row r="3432" ht="15.75" customHeight="1">
      <c r="A3432" s="1"/>
      <c r="B3432" s="1"/>
      <c r="C3432" s="1"/>
      <c r="D3432" s="1"/>
      <c r="E3432" s="1"/>
      <c r="F3432" s="1"/>
      <c r="G3432" s="1"/>
      <c r="H3432" s="1"/>
      <c r="I3432" s="1"/>
      <c r="J3432" s="1"/>
      <c r="K3432" s="89" t="s">
        <v>5243</v>
      </c>
      <c r="L3432" s="89" t="str">
        <f>G108</f>
        <v>C1b1a2b</v>
      </c>
      <c r="M3432" s="89"/>
      <c r="N3432" s="89" t="s">
        <v>5244</v>
      </c>
      <c r="O3432" s="92">
        <v>8183075.0</v>
      </c>
      <c r="P3432" s="92">
        <v>8315034.0</v>
      </c>
      <c r="Q3432" s="89" t="s">
        <v>810</v>
      </c>
      <c r="AF3432" s="1"/>
      <c r="AG3432" s="1"/>
    </row>
    <row r="3433" ht="15.75" customHeight="1">
      <c r="A3433" s="1"/>
      <c r="B3433" s="1"/>
      <c r="C3433" s="1"/>
      <c r="D3433" s="1"/>
      <c r="E3433" s="1"/>
      <c r="F3433" s="1"/>
      <c r="G3433" s="1"/>
      <c r="H3433" s="1"/>
      <c r="I3433" s="1"/>
      <c r="J3433" s="1"/>
      <c r="K3433" s="89" t="s">
        <v>5245</v>
      </c>
      <c r="L3433" s="89" t="str">
        <f>G108</f>
        <v>C1b1a2b</v>
      </c>
      <c r="M3433" s="89"/>
      <c r="N3433" s="89" t="s">
        <v>5246</v>
      </c>
      <c r="O3433" s="92">
        <v>8187716.0</v>
      </c>
      <c r="P3433" s="92">
        <v>8319675.0</v>
      </c>
      <c r="Q3433" s="89" t="s">
        <v>822</v>
      </c>
      <c r="AF3433" s="1"/>
      <c r="AG3433" s="1"/>
    </row>
    <row r="3434" ht="15.75" customHeight="1">
      <c r="A3434" s="1"/>
      <c r="B3434" s="1"/>
      <c r="C3434" s="1"/>
      <c r="D3434" s="1"/>
      <c r="E3434" s="1"/>
      <c r="F3434" s="1"/>
      <c r="G3434" s="1"/>
      <c r="H3434" s="1"/>
      <c r="I3434" s="1"/>
      <c r="J3434" s="1"/>
      <c r="K3434" s="89" t="s">
        <v>5247</v>
      </c>
      <c r="L3434" s="89" t="str">
        <f>G108</f>
        <v>C1b1a2b</v>
      </c>
      <c r="M3434" s="89"/>
      <c r="N3434" s="89" t="s">
        <v>5248</v>
      </c>
      <c r="O3434" s="92">
        <v>8216222.0</v>
      </c>
      <c r="P3434" s="92">
        <v>8348181.0</v>
      </c>
      <c r="Q3434" s="89" t="s">
        <v>864</v>
      </c>
      <c r="AF3434" s="1"/>
      <c r="AG3434" s="1"/>
    </row>
    <row r="3435" ht="15.75" customHeight="1">
      <c r="A3435" s="1"/>
      <c r="B3435" s="1"/>
      <c r="C3435" s="1"/>
      <c r="D3435" s="1"/>
      <c r="E3435" s="1"/>
      <c r="F3435" s="1"/>
      <c r="G3435" s="1"/>
      <c r="H3435" s="1"/>
      <c r="I3435" s="1"/>
      <c r="J3435" s="1"/>
      <c r="K3435" s="89" t="s">
        <v>5249</v>
      </c>
      <c r="L3435" s="89" t="str">
        <f>G108</f>
        <v>C1b1a2b</v>
      </c>
      <c r="M3435" s="89"/>
      <c r="N3435" s="89" t="s">
        <v>5250</v>
      </c>
      <c r="O3435" s="92">
        <v>8297216.0</v>
      </c>
      <c r="P3435" s="92">
        <v>8429175.0</v>
      </c>
      <c r="Q3435" s="89" t="s">
        <v>838</v>
      </c>
      <c r="AF3435" s="1"/>
      <c r="AG3435" s="1"/>
    </row>
    <row r="3436" ht="15.75" customHeight="1">
      <c r="A3436" s="1"/>
      <c r="B3436" s="1"/>
      <c r="C3436" s="1"/>
      <c r="D3436" s="1"/>
      <c r="E3436" s="1"/>
      <c r="F3436" s="1"/>
      <c r="G3436" s="1"/>
      <c r="H3436" s="1"/>
      <c r="I3436" s="1"/>
      <c r="J3436" s="1"/>
      <c r="K3436" s="89" t="s">
        <v>5251</v>
      </c>
      <c r="L3436" s="89" t="str">
        <f>G108</f>
        <v>C1b1a2b</v>
      </c>
      <c r="M3436" s="89"/>
      <c r="N3436" s="89" t="s">
        <v>5252</v>
      </c>
      <c r="O3436" s="92">
        <v>8308832.0</v>
      </c>
      <c r="P3436" s="92">
        <v>8440791.0</v>
      </c>
      <c r="Q3436" s="89" t="s">
        <v>912</v>
      </c>
      <c r="AF3436" s="1"/>
      <c r="AG3436" s="1"/>
    </row>
    <row r="3437" ht="15.75" customHeight="1">
      <c r="A3437" s="1"/>
      <c r="B3437" s="1"/>
      <c r="C3437" s="1"/>
      <c r="D3437" s="1"/>
      <c r="E3437" s="1"/>
      <c r="F3437" s="1"/>
      <c r="G3437" s="1"/>
      <c r="H3437" s="1"/>
      <c r="I3437" s="1"/>
      <c r="J3437" s="1"/>
      <c r="K3437" s="89" t="s">
        <v>5253</v>
      </c>
      <c r="L3437" s="89" t="str">
        <f>G108</f>
        <v>C1b1a2b</v>
      </c>
      <c r="M3437" s="89"/>
      <c r="N3437" s="89" t="s">
        <v>5254</v>
      </c>
      <c r="O3437" s="92">
        <v>8356152.0</v>
      </c>
      <c r="P3437" s="92">
        <v>8488111.0</v>
      </c>
      <c r="Q3437" s="89" t="s">
        <v>879</v>
      </c>
      <c r="AF3437" s="1"/>
      <c r="AG3437" s="1"/>
    </row>
    <row r="3438" ht="15.75" customHeight="1">
      <c r="A3438" s="1"/>
      <c r="B3438" s="1"/>
      <c r="C3438" s="1"/>
      <c r="D3438" s="1"/>
      <c r="E3438" s="1"/>
      <c r="F3438" s="1"/>
      <c r="G3438" s="1"/>
      <c r="H3438" s="1"/>
      <c r="I3438" s="1"/>
      <c r="J3438" s="1"/>
      <c r="K3438" s="89" t="s">
        <v>5255</v>
      </c>
      <c r="L3438" s="89" t="str">
        <f>G108</f>
        <v>C1b1a2b</v>
      </c>
      <c r="M3438" s="89"/>
      <c r="N3438" s="89" t="s">
        <v>5256</v>
      </c>
      <c r="O3438" s="92">
        <v>8358490.0</v>
      </c>
      <c r="P3438" s="92">
        <v>8490449.0</v>
      </c>
      <c r="Q3438" s="89" t="s">
        <v>838</v>
      </c>
      <c r="AF3438" s="1"/>
      <c r="AG3438" s="1"/>
    </row>
    <row r="3439" ht="15.75" customHeight="1">
      <c r="A3439" s="1"/>
      <c r="B3439" s="1"/>
      <c r="C3439" s="1"/>
      <c r="D3439" s="1"/>
      <c r="E3439" s="1"/>
      <c r="F3439" s="1"/>
      <c r="G3439" s="1"/>
      <c r="H3439" s="1"/>
      <c r="I3439" s="1"/>
      <c r="J3439" s="1"/>
      <c r="K3439" s="89" t="s">
        <v>5257</v>
      </c>
      <c r="L3439" s="89" t="str">
        <f>G108</f>
        <v>C1b1a2b</v>
      </c>
      <c r="M3439" s="89"/>
      <c r="N3439" s="89" t="s">
        <v>5258</v>
      </c>
      <c r="O3439" s="92">
        <v>8527077.0</v>
      </c>
      <c r="P3439" s="92">
        <v>8659036.0</v>
      </c>
      <c r="Q3439" s="89" t="s">
        <v>810</v>
      </c>
      <c r="AF3439" s="1"/>
      <c r="AG3439" s="1"/>
    </row>
    <row r="3440" ht="15.75" customHeight="1">
      <c r="A3440" s="1"/>
      <c r="B3440" s="1"/>
      <c r="C3440" s="1"/>
      <c r="D3440" s="1"/>
      <c r="E3440" s="1"/>
      <c r="F3440" s="1"/>
      <c r="G3440" s="1"/>
      <c r="H3440" s="1"/>
      <c r="I3440" s="1"/>
      <c r="J3440" s="1"/>
      <c r="K3440" s="89" t="s">
        <v>5259</v>
      </c>
      <c r="L3440" s="89" t="str">
        <f>G108</f>
        <v>C1b1a2b</v>
      </c>
      <c r="M3440" s="89"/>
      <c r="N3440" s="89" t="s">
        <v>5260</v>
      </c>
      <c r="O3440" s="92">
        <v>8598784.0</v>
      </c>
      <c r="P3440" s="92">
        <v>8730743.0</v>
      </c>
      <c r="Q3440" s="89" t="s">
        <v>822</v>
      </c>
      <c r="AF3440" s="1"/>
      <c r="AG3440" s="1"/>
    </row>
    <row r="3441" ht="15.75" customHeight="1">
      <c r="A3441" s="1"/>
      <c r="B3441" s="1"/>
      <c r="C3441" s="1"/>
      <c r="D3441" s="1"/>
      <c r="E3441" s="1"/>
      <c r="F3441" s="1"/>
      <c r="G3441" s="1"/>
      <c r="H3441" s="1"/>
      <c r="I3441" s="1"/>
      <c r="J3441" s="1"/>
      <c r="K3441" s="89" t="s">
        <v>5261</v>
      </c>
      <c r="L3441" s="89" t="str">
        <f>G108</f>
        <v>C1b1a2b</v>
      </c>
      <c r="M3441" s="89"/>
      <c r="N3441" s="89" t="s">
        <v>5262</v>
      </c>
      <c r="O3441" s="92">
        <v>8678252.0</v>
      </c>
      <c r="P3441" s="92">
        <v>8810211.0</v>
      </c>
      <c r="Q3441" s="89" t="s">
        <v>838</v>
      </c>
      <c r="AF3441" s="1"/>
      <c r="AG3441" s="1"/>
    </row>
    <row r="3442" ht="15.75" customHeight="1">
      <c r="A3442" s="1"/>
      <c r="B3442" s="1"/>
      <c r="C3442" s="1"/>
      <c r="D3442" s="1"/>
      <c r="E3442" s="1"/>
      <c r="F3442" s="1"/>
      <c r="G3442" s="1"/>
      <c r="H3442" s="1"/>
      <c r="I3442" s="1"/>
      <c r="J3442" s="1"/>
      <c r="K3442" s="89" t="s">
        <v>5263</v>
      </c>
      <c r="L3442" s="89" t="str">
        <f>G108</f>
        <v>C1b1a2b</v>
      </c>
      <c r="M3442" s="89"/>
      <c r="N3442" s="89"/>
      <c r="O3442" s="92">
        <v>8724653.0</v>
      </c>
      <c r="P3442" s="92">
        <v>8856612.0</v>
      </c>
      <c r="Q3442" s="89" t="s">
        <v>810</v>
      </c>
      <c r="AF3442" s="1"/>
      <c r="AG3442" s="1"/>
    </row>
    <row r="3443" ht="15.75" customHeight="1">
      <c r="A3443" s="1"/>
      <c r="B3443" s="1"/>
      <c r="C3443" s="1"/>
      <c r="D3443" s="1"/>
      <c r="E3443" s="1"/>
      <c r="F3443" s="1"/>
      <c r="G3443" s="1"/>
      <c r="H3443" s="1"/>
      <c r="I3443" s="1"/>
      <c r="J3443" s="1"/>
      <c r="K3443" s="89" t="s">
        <v>5264</v>
      </c>
      <c r="L3443" s="89" t="str">
        <f>G108</f>
        <v>C1b1a2b</v>
      </c>
      <c r="M3443" s="89"/>
      <c r="N3443" s="89" t="s">
        <v>5265</v>
      </c>
      <c r="O3443" s="92">
        <v>8731546.0</v>
      </c>
      <c r="P3443" s="92">
        <v>8863505.0</v>
      </c>
      <c r="Q3443" s="89" t="s">
        <v>813</v>
      </c>
      <c r="AF3443" s="1"/>
      <c r="AG3443" s="1"/>
    </row>
    <row r="3444" ht="15.75" customHeight="1">
      <c r="A3444" s="1"/>
      <c r="B3444" s="1"/>
      <c r="C3444" s="1"/>
      <c r="D3444" s="1"/>
      <c r="E3444" s="1"/>
      <c r="F3444" s="1"/>
      <c r="G3444" s="1"/>
      <c r="H3444" s="1"/>
      <c r="I3444" s="1"/>
      <c r="J3444" s="1"/>
      <c r="K3444" s="89" t="s">
        <v>5266</v>
      </c>
      <c r="L3444" s="89" t="str">
        <f>G108</f>
        <v>C1b1a2b</v>
      </c>
      <c r="M3444" s="89"/>
      <c r="N3444" s="89" t="s">
        <v>5267</v>
      </c>
      <c r="O3444" s="92">
        <v>8749323.0</v>
      </c>
      <c r="P3444" s="92">
        <v>8881282.0</v>
      </c>
      <c r="Q3444" s="89" t="s">
        <v>917</v>
      </c>
      <c r="AF3444" s="1"/>
      <c r="AG3444" s="1"/>
    </row>
    <row r="3445" ht="15.75" customHeight="1">
      <c r="A3445" s="1"/>
      <c r="B3445" s="1"/>
      <c r="C3445" s="1"/>
      <c r="D3445" s="1"/>
      <c r="E3445" s="1"/>
      <c r="F3445" s="1"/>
      <c r="G3445" s="1"/>
      <c r="H3445" s="1"/>
      <c r="I3445" s="1"/>
      <c r="J3445" s="1"/>
      <c r="K3445" s="89" t="s">
        <v>5268</v>
      </c>
      <c r="L3445" s="89" t="str">
        <f>G108</f>
        <v>C1b1a2b</v>
      </c>
      <c r="M3445" s="89"/>
      <c r="N3445" s="89" t="s">
        <v>5269</v>
      </c>
      <c r="O3445" s="92">
        <v>8799960.0</v>
      </c>
      <c r="P3445" s="92">
        <v>8931919.0</v>
      </c>
      <c r="Q3445" s="89" t="s">
        <v>813</v>
      </c>
      <c r="AF3445" s="1"/>
      <c r="AG3445" s="1"/>
    </row>
    <row r="3446" ht="15.75" customHeight="1">
      <c r="A3446" s="1"/>
      <c r="B3446" s="1"/>
      <c r="C3446" s="1"/>
      <c r="D3446" s="1"/>
      <c r="E3446" s="1"/>
      <c r="F3446" s="1"/>
      <c r="G3446" s="1"/>
      <c r="H3446" s="1"/>
      <c r="I3446" s="1"/>
      <c r="J3446" s="1"/>
      <c r="K3446" s="89" t="s">
        <v>5270</v>
      </c>
      <c r="L3446" s="89" t="str">
        <f>G108</f>
        <v>C1b1a2b</v>
      </c>
      <c r="M3446" s="89"/>
      <c r="N3446" s="89" t="s">
        <v>5271</v>
      </c>
      <c r="O3446" s="92">
        <v>8831394.0</v>
      </c>
      <c r="P3446" s="92">
        <v>8963353.0</v>
      </c>
      <c r="Q3446" s="89" t="s">
        <v>886</v>
      </c>
      <c r="AF3446" s="1"/>
      <c r="AG3446" s="1"/>
    </row>
    <row r="3447" ht="15.75" customHeight="1">
      <c r="A3447" s="1"/>
      <c r="B3447" s="1"/>
      <c r="C3447" s="1"/>
      <c r="D3447" s="1"/>
      <c r="E3447" s="1"/>
      <c r="F3447" s="1"/>
      <c r="G3447" s="1"/>
      <c r="H3447" s="1"/>
      <c r="I3447" s="1"/>
      <c r="J3447" s="1"/>
      <c r="K3447" s="89" t="s">
        <v>5272</v>
      </c>
      <c r="L3447" s="89" t="str">
        <f>G108</f>
        <v>C1b1a2b</v>
      </c>
      <c r="M3447" s="89"/>
      <c r="N3447" s="89" t="s">
        <v>5273</v>
      </c>
      <c r="O3447" s="92">
        <v>8851904.0</v>
      </c>
      <c r="P3447" s="92">
        <v>8983863.0</v>
      </c>
      <c r="Q3447" s="89" t="s">
        <v>912</v>
      </c>
      <c r="AF3447" s="1"/>
      <c r="AG3447" s="1"/>
    </row>
    <row r="3448" ht="15.75" customHeight="1">
      <c r="A3448" s="1"/>
      <c r="B3448" s="1"/>
      <c r="C3448" s="1"/>
      <c r="D3448" s="1"/>
      <c r="E3448" s="1"/>
      <c r="F3448" s="1"/>
      <c r="G3448" s="1"/>
      <c r="H3448" s="1"/>
      <c r="I3448" s="1"/>
      <c r="J3448" s="1"/>
      <c r="K3448" s="89" t="s">
        <v>5274</v>
      </c>
      <c r="L3448" s="89" t="str">
        <f>G108</f>
        <v>C1b1a2b</v>
      </c>
      <c r="M3448" s="89"/>
      <c r="N3448" s="89" t="s">
        <v>5275</v>
      </c>
      <c r="O3448" s="92">
        <v>8861047.0</v>
      </c>
      <c r="P3448" s="92">
        <v>8993006.0</v>
      </c>
      <c r="Q3448" s="89" t="s">
        <v>838</v>
      </c>
      <c r="AF3448" s="1"/>
      <c r="AG3448" s="1"/>
    </row>
    <row r="3449" ht="15.75" customHeight="1">
      <c r="A3449" s="1"/>
      <c r="B3449" s="1"/>
      <c r="C3449" s="1"/>
      <c r="D3449" s="1"/>
      <c r="E3449" s="1"/>
      <c r="F3449" s="1"/>
      <c r="G3449" s="1"/>
      <c r="H3449" s="1"/>
      <c r="I3449" s="1"/>
      <c r="J3449" s="1"/>
      <c r="K3449" s="89" t="s">
        <v>5276</v>
      </c>
      <c r="L3449" s="89" t="str">
        <f>G108</f>
        <v>C1b1a2b</v>
      </c>
      <c r="M3449" s="89"/>
      <c r="N3449" s="89" t="s">
        <v>5277</v>
      </c>
      <c r="O3449" s="92">
        <v>8908044.0</v>
      </c>
      <c r="P3449" s="92">
        <v>9040003.0</v>
      </c>
      <c r="Q3449" s="89" t="s">
        <v>917</v>
      </c>
      <c r="AF3449" s="1"/>
      <c r="AG3449" s="1"/>
    </row>
    <row r="3450" ht="15.75" customHeight="1">
      <c r="A3450" s="1"/>
      <c r="B3450" s="1"/>
      <c r="C3450" s="1"/>
      <c r="D3450" s="1"/>
      <c r="E3450" s="1"/>
      <c r="F3450" s="1"/>
      <c r="G3450" s="1"/>
      <c r="H3450" s="1"/>
      <c r="I3450" s="1"/>
      <c r="J3450" s="1"/>
      <c r="K3450" s="89" t="s">
        <v>5278</v>
      </c>
      <c r="L3450" s="89" t="str">
        <f>G108</f>
        <v>C1b1a2b</v>
      </c>
      <c r="M3450" s="89"/>
      <c r="N3450" s="89" t="s">
        <v>5279</v>
      </c>
      <c r="O3450" s="92">
        <v>9090402.0</v>
      </c>
      <c r="P3450" s="92">
        <v>9252793.0</v>
      </c>
      <c r="Q3450" s="89" t="s">
        <v>831</v>
      </c>
      <c r="AF3450" s="1"/>
      <c r="AG3450" s="1"/>
    </row>
    <row r="3451" ht="15.75" customHeight="1">
      <c r="A3451" s="1"/>
      <c r="B3451" s="1"/>
      <c r="C3451" s="1"/>
      <c r="D3451" s="1"/>
      <c r="E3451" s="1"/>
      <c r="F3451" s="1"/>
      <c r="G3451" s="1"/>
      <c r="H3451" s="1"/>
      <c r="I3451" s="1"/>
      <c r="J3451" s="1"/>
      <c r="K3451" s="89" t="s">
        <v>5280</v>
      </c>
      <c r="L3451" s="89" t="str">
        <f>G108</f>
        <v>C1b1a2b</v>
      </c>
      <c r="M3451" s="89"/>
      <c r="N3451" s="89" t="s">
        <v>5281</v>
      </c>
      <c r="O3451" s="92">
        <v>9093138.0</v>
      </c>
      <c r="P3451" s="92">
        <v>9255529.0</v>
      </c>
      <c r="Q3451" s="89" t="s">
        <v>879</v>
      </c>
      <c r="AF3451" s="1"/>
      <c r="AG3451" s="1"/>
    </row>
    <row r="3452" ht="15.75" customHeight="1">
      <c r="A3452" s="1"/>
      <c r="B3452" s="1"/>
      <c r="C3452" s="1"/>
      <c r="D3452" s="1"/>
      <c r="E3452" s="1"/>
      <c r="F3452" s="1"/>
      <c r="G3452" s="1"/>
      <c r="H3452" s="1"/>
      <c r="I3452" s="1"/>
      <c r="J3452" s="1"/>
      <c r="K3452" s="89" t="s">
        <v>5282</v>
      </c>
      <c r="L3452" s="89" t="str">
        <f>G108</f>
        <v>C1b1a2b</v>
      </c>
      <c r="M3452" s="89"/>
      <c r="N3452" s="89" t="s">
        <v>5283</v>
      </c>
      <c r="O3452" s="92">
        <v>9170620.0</v>
      </c>
      <c r="P3452" s="92">
        <v>9333011.0</v>
      </c>
      <c r="Q3452" s="89" t="s">
        <v>810</v>
      </c>
      <c r="AF3452" s="1"/>
      <c r="AG3452" s="1"/>
    </row>
    <row r="3453" ht="15.75" customHeight="1">
      <c r="A3453" s="1"/>
      <c r="B3453" s="1"/>
      <c r="C3453" s="1"/>
      <c r="D3453" s="1"/>
      <c r="E3453" s="1"/>
      <c r="F3453" s="1"/>
      <c r="G3453" s="1"/>
      <c r="H3453" s="1"/>
      <c r="I3453" s="1"/>
      <c r="J3453" s="1"/>
      <c r="K3453" s="89" t="s">
        <v>5284</v>
      </c>
      <c r="L3453" s="89" t="str">
        <f>G108</f>
        <v>C1b1a2b</v>
      </c>
      <c r="M3453" s="89"/>
      <c r="N3453" s="89" t="s">
        <v>5285</v>
      </c>
      <c r="O3453" s="92">
        <v>9818262.0</v>
      </c>
      <c r="P3453" s="92">
        <v>9980653.0</v>
      </c>
      <c r="Q3453" s="89" t="s">
        <v>813</v>
      </c>
      <c r="AF3453" s="1"/>
      <c r="AG3453" s="1"/>
    </row>
    <row r="3454" ht="15.75" customHeight="1">
      <c r="A3454" s="1"/>
      <c r="B3454" s="1"/>
      <c r="C3454" s="1"/>
      <c r="D3454" s="1"/>
      <c r="E3454" s="1"/>
      <c r="F3454" s="1"/>
      <c r="G3454" s="1"/>
      <c r="H3454" s="1"/>
      <c r="I3454" s="1"/>
      <c r="J3454" s="1"/>
      <c r="K3454" s="89" t="s">
        <v>5286</v>
      </c>
      <c r="L3454" s="89" t="str">
        <f>G108</f>
        <v>C1b1a2b</v>
      </c>
      <c r="M3454" s="89"/>
      <c r="N3454" s="89" t="s">
        <v>5287</v>
      </c>
      <c r="O3454" s="92">
        <v>9832053.0</v>
      </c>
      <c r="P3454" s="92">
        <v>9994444.0</v>
      </c>
      <c r="Q3454" s="89" t="s">
        <v>822</v>
      </c>
      <c r="AF3454" s="1"/>
      <c r="AG3454" s="1"/>
    </row>
    <row r="3455" ht="15.75" customHeight="1">
      <c r="A3455" s="1"/>
      <c r="B3455" s="1"/>
      <c r="C3455" s="1"/>
      <c r="D3455" s="1"/>
      <c r="E3455" s="1"/>
      <c r="F3455" s="1"/>
      <c r="G3455" s="1"/>
      <c r="H3455" s="1"/>
      <c r="I3455" s="1"/>
      <c r="J3455" s="1"/>
      <c r="K3455" s="89" t="s">
        <v>5288</v>
      </c>
      <c r="L3455" s="89" t="str">
        <f>G108</f>
        <v>C1b1a2b</v>
      </c>
      <c r="M3455" s="89"/>
      <c r="N3455" s="89" t="s">
        <v>5289</v>
      </c>
      <c r="O3455" s="92">
        <v>9838684.0</v>
      </c>
      <c r="P3455" s="92">
        <v>1.0001075E7</v>
      </c>
      <c r="Q3455" s="89" t="s">
        <v>838</v>
      </c>
      <c r="AF3455" s="1"/>
      <c r="AG3455" s="1"/>
    </row>
    <row r="3456" ht="15.75" customHeight="1">
      <c r="A3456" s="1"/>
      <c r="B3456" s="1"/>
      <c r="C3456" s="1"/>
      <c r="D3456" s="1"/>
      <c r="E3456" s="1"/>
      <c r="F3456" s="1"/>
      <c r="G3456" s="1"/>
      <c r="H3456" s="1"/>
      <c r="I3456" s="1"/>
      <c r="J3456" s="1"/>
      <c r="K3456" s="89" t="s">
        <v>5290</v>
      </c>
      <c r="L3456" s="89" t="str">
        <f>G108</f>
        <v>C1b1a2b</v>
      </c>
      <c r="M3456" s="89"/>
      <c r="N3456" s="89"/>
      <c r="O3456" s="92">
        <v>1.5848614E7</v>
      </c>
      <c r="P3456" s="92">
        <v>1.3736734E7</v>
      </c>
      <c r="Q3456" s="89" t="s">
        <v>810</v>
      </c>
      <c r="AF3456" s="1"/>
      <c r="AG3456" s="1"/>
    </row>
    <row r="3457" ht="15.75" customHeight="1">
      <c r="A3457" s="1"/>
      <c r="B3457" s="1"/>
      <c r="C3457" s="1"/>
      <c r="D3457" s="1"/>
      <c r="E3457" s="1"/>
      <c r="F3457" s="1"/>
      <c r="G3457" s="1"/>
      <c r="H3457" s="1"/>
      <c r="I3457" s="1"/>
      <c r="J3457" s="1"/>
      <c r="K3457" s="89" t="s">
        <v>5291</v>
      </c>
      <c r="L3457" s="89" t="str">
        <f>G108</f>
        <v>C1b1a2b</v>
      </c>
      <c r="M3457" s="89"/>
      <c r="N3457" s="89" t="s">
        <v>5292</v>
      </c>
      <c r="O3457" s="92">
        <v>1.5881839E7</v>
      </c>
      <c r="P3457" s="92">
        <v>1.3769959E7</v>
      </c>
      <c r="Q3457" s="89" t="s">
        <v>802</v>
      </c>
      <c r="AF3457" s="1"/>
      <c r="AG3457" s="1"/>
    </row>
    <row r="3458" ht="15.75" customHeight="1">
      <c r="A3458" s="1"/>
      <c r="B3458" s="1"/>
      <c r="C3458" s="1"/>
      <c r="D3458" s="1"/>
      <c r="E3458" s="1"/>
      <c r="F3458" s="1"/>
      <c r="G3458" s="1"/>
      <c r="H3458" s="1"/>
      <c r="I3458" s="1"/>
      <c r="J3458" s="1"/>
      <c r="K3458" s="89" t="s">
        <v>5293</v>
      </c>
      <c r="L3458" s="89" t="str">
        <f>G108</f>
        <v>C1b1a2b</v>
      </c>
      <c r="M3458" s="89"/>
      <c r="N3458" s="89" t="s">
        <v>5294</v>
      </c>
      <c r="O3458" s="92">
        <v>1.7006796E7</v>
      </c>
      <c r="P3458" s="92">
        <v>1.4894916E7</v>
      </c>
      <c r="Q3458" s="89" t="s">
        <v>802</v>
      </c>
      <c r="AF3458" s="1"/>
      <c r="AG3458" s="1"/>
    </row>
    <row r="3459" ht="15.75" customHeight="1">
      <c r="A3459" s="1"/>
      <c r="B3459" s="1"/>
      <c r="C3459" s="1"/>
      <c r="D3459" s="1"/>
      <c r="E3459" s="1"/>
      <c r="F3459" s="1"/>
      <c r="G3459" s="1"/>
      <c r="H3459" s="1"/>
      <c r="I3459" s="1"/>
      <c r="J3459" s="1"/>
      <c r="K3459" s="89" t="s">
        <v>5295</v>
      </c>
      <c r="L3459" s="89" t="str">
        <f>G108</f>
        <v>C1b1a2b</v>
      </c>
      <c r="M3459" s="89"/>
      <c r="N3459" s="89" t="s">
        <v>5296</v>
      </c>
      <c r="O3459" s="92">
        <v>1.942522E7</v>
      </c>
      <c r="P3459" s="92">
        <v>1.731334E7</v>
      </c>
      <c r="Q3459" s="89" t="s">
        <v>810</v>
      </c>
      <c r="AF3459" s="1"/>
      <c r="AG3459" s="1"/>
    </row>
    <row r="3460" ht="15.75" customHeight="1">
      <c r="A3460" s="1"/>
      <c r="B3460" s="1"/>
      <c r="C3460" s="1"/>
      <c r="D3460" s="1"/>
      <c r="E3460" s="1"/>
      <c r="F3460" s="1"/>
      <c r="G3460" s="1"/>
      <c r="H3460" s="1"/>
      <c r="I3460" s="1"/>
      <c r="J3460" s="1"/>
      <c r="K3460" s="89" t="s">
        <v>5297</v>
      </c>
      <c r="L3460" s="89" t="str">
        <f>G108</f>
        <v>C1b1a2b</v>
      </c>
      <c r="M3460" s="89"/>
      <c r="N3460" s="89"/>
      <c r="O3460" s="92">
        <v>2.8660594E7</v>
      </c>
      <c r="P3460" s="92">
        <v>2.6514447E7</v>
      </c>
      <c r="Q3460" s="89" t="s">
        <v>831</v>
      </c>
      <c r="AF3460" s="1"/>
      <c r="AG3460" s="1"/>
    </row>
    <row r="3461" ht="15.75" customHeight="1">
      <c r="A3461" s="1"/>
      <c r="B3461" s="1"/>
      <c r="C3461" s="1"/>
      <c r="D3461" s="1"/>
      <c r="E3461" s="1"/>
      <c r="F3461" s="1"/>
      <c r="G3461" s="1"/>
      <c r="H3461" s="1"/>
      <c r="I3461" s="1"/>
      <c r="J3461" s="1"/>
      <c r="K3461" s="89" t="s">
        <v>179</v>
      </c>
      <c r="L3461" s="89" t="str">
        <f>H109</f>
        <v>C1b1a2b1</v>
      </c>
      <c r="M3461" s="89"/>
      <c r="N3461" s="89" t="s">
        <v>5298</v>
      </c>
      <c r="O3461" s="92">
        <v>8418520.0</v>
      </c>
      <c r="P3461" s="92">
        <v>8550479.0</v>
      </c>
      <c r="Q3461" s="89" t="s">
        <v>838</v>
      </c>
      <c r="AF3461" s="1"/>
      <c r="AG3461" s="1"/>
    </row>
    <row r="3462" ht="15.75" customHeight="1">
      <c r="A3462" s="1"/>
      <c r="B3462" s="1"/>
      <c r="C3462" s="1"/>
      <c r="D3462" s="1"/>
      <c r="E3462" s="1"/>
      <c r="F3462" s="1"/>
      <c r="G3462" s="1"/>
      <c r="H3462" s="1"/>
      <c r="I3462" s="1"/>
      <c r="J3462" s="1"/>
      <c r="K3462" s="89" t="s">
        <v>5299</v>
      </c>
      <c r="L3462" s="89" t="str">
        <f>I110</f>
        <v>C1b1a2b1a~</v>
      </c>
      <c r="M3462" s="89"/>
      <c r="N3462" s="89"/>
      <c r="O3462" s="92">
        <v>2857539.0</v>
      </c>
      <c r="P3462" s="92">
        <v>2989498.0</v>
      </c>
      <c r="Q3462" s="89" t="s">
        <v>813</v>
      </c>
      <c r="AF3462" s="1"/>
      <c r="AG3462" s="1"/>
    </row>
    <row r="3463" ht="15.75" customHeight="1">
      <c r="A3463" s="1"/>
      <c r="B3463" s="1"/>
      <c r="C3463" s="1"/>
      <c r="D3463" s="1"/>
      <c r="E3463" s="1"/>
      <c r="F3463" s="1"/>
      <c r="G3463" s="1"/>
      <c r="H3463" s="1"/>
      <c r="I3463" s="1"/>
      <c r="J3463" s="1"/>
      <c r="K3463" s="89" t="s">
        <v>5300</v>
      </c>
      <c r="L3463" s="89" t="str">
        <f>I110</f>
        <v>C1b1a2b1a~</v>
      </c>
      <c r="M3463" s="89"/>
      <c r="N3463" s="89"/>
      <c r="O3463" s="92">
        <v>6631853.0</v>
      </c>
      <c r="P3463" s="92">
        <v>6763812.0</v>
      </c>
      <c r="Q3463" s="89" t="s">
        <v>912</v>
      </c>
      <c r="AF3463" s="1"/>
      <c r="AG3463" s="1"/>
    </row>
    <row r="3464" ht="15.75" customHeight="1">
      <c r="A3464" s="1"/>
      <c r="B3464" s="1"/>
      <c r="C3464" s="1"/>
      <c r="D3464" s="1"/>
      <c r="E3464" s="1"/>
      <c r="F3464" s="1"/>
      <c r="G3464" s="1"/>
      <c r="H3464" s="1"/>
      <c r="I3464" s="1"/>
      <c r="J3464" s="1"/>
      <c r="K3464" s="89" t="s">
        <v>5301</v>
      </c>
      <c r="L3464" s="89" t="str">
        <f>I110</f>
        <v>C1b1a2b1a~</v>
      </c>
      <c r="M3464" s="89"/>
      <c r="N3464" s="89"/>
      <c r="O3464" s="92">
        <v>7988295.0</v>
      </c>
      <c r="P3464" s="92">
        <v>8120254.0</v>
      </c>
      <c r="Q3464" s="89" t="s">
        <v>802</v>
      </c>
      <c r="AF3464" s="1"/>
      <c r="AG3464" s="1"/>
    </row>
    <row r="3465" ht="15.75" customHeight="1">
      <c r="A3465" s="1"/>
      <c r="B3465" s="1"/>
      <c r="C3465" s="1"/>
      <c r="D3465" s="1"/>
      <c r="E3465" s="1"/>
      <c r="F3465" s="1"/>
      <c r="G3465" s="1"/>
      <c r="H3465" s="1"/>
      <c r="I3465" s="1"/>
      <c r="J3465" s="1"/>
      <c r="K3465" s="89" t="s">
        <v>5302</v>
      </c>
      <c r="L3465" s="89" t="str">
        <f>I110</f>
        <v>C1b1a2b1a~</v>
      </c>
      <c r="M3465" s="89"/>
      <c r="N3465" s="89"/>
      <c r="O3465" s="92">
        <v>8257630.0</v>
      </c>
      <c r="P3465" s="92">
        <v>8389589.0</v>
      </c>
      <c r="Q3465" s="89" t="s">
        <v>802</v>
      </c>
      <c r="AF3465" s="1"/>
      <c r="AG3465" s="1"/>
    </row>
    <row r="3466" ht="15.75" customHeight="1">
      <c r="A3466" s="1"/>
      <c r="B3466" s="1"/>
      <c r="C3466" s="1"/>
      <c r="D3466" s="1"/>
      <c r="E3466" s="1"/>
      <c r="F3466" s="1"/>
      <c r="G3466" s="1"/>
      <c r="H3466" s="1"/>
      <c r="I3466" s="1"/>
      <c r="J3466" s="1"/>
      <c r="K3466" s="89" t="s">
        <v>5303</v>
      </c>
      <c r="L3466" s="89" t="str">
        <f>I110</f>
        <v>C1b1a2b1a~</v>
      </c>
      <c r="M3466" s="89"/>
      <c r="N3466" s="89"/>
      <c r="O3466" s="92">
        <v>1.4504451E7</v>
      </c>
      <c r="P3466" s="92">
        <v>1.2392656E7</v>
      </c>
      <c r="Q3466" s="89" t="s">
        <v>802</v>
      </c>
      <c r="AF3466" s="1"/>
      <c r="AG3466" s="1"/>
    </row>
    <row r="3467" ht="15.75" customHeight="1">
      <c r="A3467" s="1"/>
      <c r="B3467" s="1"/>
      <c r="C3467" s="1"/>
      <c r="D3467" s="1"/>
      <c r="E3467" s="1"/>
      <c r="F3467" s="1"/>
      <c r="G3467" s="1"/>
      <c r="H3467" s="1"/>
      <c r="I3467" s="1"/>
      <c r="J3467" s="1"/>
      <c r="K3467" s="89" t="s">
        <v>5304</v>
      </c>
      <c r="L3467" s="89" t="str">
        <f>I110</f>
        <v>C1b1a2b1a~</v>
      </c>
      <c r="M3467" s="89"/>
      <c r="N3467" s="89"/>
      <c r="O3467" s="92">
        <v>1.5744434E7</v>
      </c>
      <c r="P3467" s="92">
        <v>1.3632554E7</v>
      </c>
      <c r="Q3467" s="89" t="s">
        <v>912</v>
      </c>
      <c r="AF3467" s="1"/>
      <c r="AG3467" s="1"/>
    </row>
    <row r="3468" ht="15.75" customHeight="1">
      <c r="A3468" s="1"/>
      <c r="B3468" s="1"/>
      <c r="C3468" s="1"/>
      <c r="D3468" s="1"/>
      <c r="E3468" s="1"/>
      <c r="F3468" s="1"/>
      <c r="G3468" s="1"/>
      <c r="H3468" s="1"/>
      <c r="I3468" s="1"/>
      <c r="J3468" s="1"/>
      <c r="K3468" s="89" t="s">
        <v>5305</v>
      </c>
      <c r="L3468" s="89" t="str">
        <f>I110</f>
        <v>C1b1a2b1a~</v>
      </c>
      <c r="M3468" s="89"/>
      <c r="N3468" s="89"/>
      <c r="O3468" s="92">
        <v>1.6078366E7</v>
      </c>
      <c r="P3468" s="92">
        <v>1.3966486E7</v>
      </c>
      <c r="Q3468" s="89" t="s">
        <v>822</v>
      </c>
      <c r="AF3468" s="1"/>
      <c r="AG3468" s="1"/>
    </row>
    <row r="3469" ht="15.75" customHeight="1">
      <c r="A3469" s="1"/>
      <c r="B3469" s="1"/>
      <c r="C3469" s="1"/>
      <c r="D3469" s="1"/>
      <c r="E3469" s="1"/>
      <c r="F3469" s="1"/>
      <c r="G3469" s="1"/>
      <c r="H3469" s="1"/>
      <c r="I3469" s="1"/>
      <c r="J3469" s="1"/>
      <c r="K3469" s="89" t="s">
        <v>5306</v>
      </c>
      <c r="L3469" s="89" t="str">
        <f>I110</f>
        <v>C1b1a2b1a~</v>
      </c>
      <c r="M3469" s="89"/>
      <c r="N3469" s="89"/>
      <c r="O3469" s="92">
        <v>1.6260003E7</v>
      </c>
      <c r="P3469" s="92">
        <v>1.4148123E7</v>
      </c>
      <c r="Q3469" s="89" t="s">
        <v>802</v>
      </c>
      <c r="AF3469" s="1"/>
      <c r="AG3469" s="1"/>
    </row>
    <row r="3470" ht="15.75" customHeight="1">
      <c r="A3470" s="1"/>
      <c r="B3470" s="1"/>
      <c r="C3470" s="1"/>
      <c r="D3470" s="1"/>
      <c r="E3470" s="1"/>
      <c r="F3470" s="1"/>
      <c r="G3470" s="1"/>
      <c r="H3470" s="1"/>
      <c r="I3470" s="1"/>
      <c r="J3470" s="1"/>
      <c r="K3470" s="89" t="s">
        <v>5307</v>
      </c>
      <c r="L3470" s="89" t="str">
        <f>I110</f>
        <v>C1b1a2b1a~</v>
      </c>
      <c r="M3470" s="89"/>
      <c r="N3470" s="89"/>
      <c r="O3470" s="92">
        <v>1.6521353E7</v>
      </c>
      <c r="P3470" s="92">
        <v>1.4409473E7</v>
      </c>
      <c r="Q3470" s="89" t="s">
        <v>838</v>
      </c>
      <c r="AF3470" s="1"/>
      <c r="AG3470" s="1"/>
    </row>
    <row r="3471" ht="15.75" customHeight="1">
      <c r="A3471" s="1"/>
      <c r="B3471" s="1"/>
      <c r="C3471" s="1"/>
      <c r="D3471" s="1"/>
      <c r="E3471" s="1"/>
      <c r="F3471" s="1"/>
      <c r="G3471" s="1"/>
      <c r="H3471" s="1"/>
      <c r="I3471" s="1"/>
      <c r="J3471" s="1"/>
      <c r="K3471" s="89" t="s">
        <v>5308</v>
      </c>
      <c r="L3471" s="89" t="str">
        <f>I110</f>
        <v>C1b1a2b1a~</v>
      </c>
      <c r="M3471" s="89"/>
      <c r="N3471" s="89"/>
      <c r="O3471" s="92">
        <v>1.6574545E7</v>
      </c>
      <c r="P3471" s="92">
        <v>1.4462665E7</v>
      </c>
      <c r="Q3471" s="89" t="s">
        <v>822</v>
      </c>
      <c r="AF3471" s="1"/>
      <c r="AG3471" s="1"/>
    </row>
    <row r="3472" ht="15.75" customHeight="1">
      <c r="A3472" s="1"/>
      <c r="B3472" s="1"/>
      <c r="C3472" s="1"/>
      <c r="D3472" s="1"/>
      <c r="E3472" s="1"/>
      <c r="F3472" s="1"/>
      <c r="G3472" s="1"/>
      <c r="H3472" s="1"/>
      <c r="I3472" s="1"/>
      <c r="J3472" s="1"/>
      <c r="K3472" s="89" t="s">
        <v>5309</v>
      </c>
      <c r="L3472" s="89" t="str">
        <f>I110</f>
        <v>C1b1a2b1a~</v>
      </c>
      <c r="M3472" s="89"/>
      <c r="N3472" s="89"/>
      <c r="O3472" s="92">
        <v>1.7189014E7</v>
      </c>
      <c r="P3472" s="92">
        <v>1.5077134E7</v>
      </c>
      <c r="Q3472" s="89" t="s">
        <v>822</v>
      </c>
      <c r="AF3472" s="1"/>
      <c r="AG3472" s="1"/>
    </row>
    <row r="3473" ht="15.75" customHeight="1">
      <c r="A3473" s="1"/>
      <c r="B3473" s="1"/>
      <c r="C3473" s="1"/>
      <c r="D3473" s="1"/>
      <c r="E3473" s="1"/>
      <c r="F3473" s="1"/>
      <c r="G3473" s="1"/>
      <c r="H3473" s="1"/>
      <c r="I3473" s="1"/>
      <c r="J3473" s="1"/>
      <c r="K3473" s="89" t="s">
        <v>5310</v>
      </c>
      <c r="L3473" s="89" t="str">
        <f>I110</f>
        <v>C1b1a2b1a~</v>
      </c>
      <c r="M3473" s="89"/>
      <c r="N3473" s="89"/>
      <c r="O3473" s="92">
        <v>1.7373189E7</v>
      </c>
      <c r="P3473" s="92">
        <v>1.5261309E7</v>
      </c>
      <c r="Q3473" s="89" t="s">
        <v>831</v>
      </c>
      <c r="AF3473" s="1"/>
      <c r="AG3473" s="1"/>
    </row>
    <row r="3474" ht="15.75" customHeight="1">
      <c r="A3474" s="1"/>
      <c r="B3474" s="1"/>
      <c r="C3474" s="1"/>
      <c r="D3474" s="1"/>
      <c r="E3474" s="1"/>
      <c r="F3474" s="1"/>
      <c r="G3474" s="1"/>
      <c r="H3474" s="1"/>
      <c r="I3474" s="1"/>
      <c r="J3474" s="1"/>
      <c r="K3474" s="89" t="s">
        <v>5311</v>
      </c>
      <c r="L3474" s="89" t="str">
        <f>I110</f>
        <v>C1b1a2b1a~</v>
      </c>
      <c r="M3474" s="89"/>
      <c r="N3474" s="89"/>
      <c r="O3474" s="92">
        <v>1.7515125E7</v>
      </c>
      <c r="P3474" s="92">
        <v>1.5403245E7</v>
      </c>
      <c r="Q3474" s="89" t="s">
        <v>912</v>
      </c>
      <c r="AF3474" s="1"/>
      <c r="AG3474" s="1"/>
    </row>
    <row r="3475" ht="15.75" customHeight="1">
      <c r="A3475" s="1"/>
      <c r="B3475" s="1"/>
      <c r="C3475" s="1"/>
      <c r="D3475" s="1"/>
      <c r="E3475" s="1"/>
      <c r="F3475" s="1"/>
      <c r="G3475" s="1"/>
      <c r="H3475" s="1"/>
      <c r="I3475" s="1"/>
      <c r="J3475" s="1"/>
      <c r="K3475" s="89" t="s">
        <v>5312</v>
      </c>
      <c r="L3475" s="89" t="str">
        <f>I110</f>
        <v>C1b1a2b1a~</v>
      </c>
      <c r="M3475" s="89"/>
      <c r="N3475" s="89"/>
      <c r="O3475" s="92">
        <v>1.7517817E7</v>
      </c>
      <c r="P3475" s="92">
        <v>1.5405937E7</v>
      </c>
      <c r="Q3475" s="89" t="s">
        <v>822</v>
      </c>
      <c r="AF3475" s="1"/>
      <c r="AG3475" s="1"/>
    </row>
    <row r="3476" ht="15.75" customHeight="1">
      <c r="A3476" s="1"/>
      <c r="B3476" s="1"/>
      <c r="C3476" s="1"/>
      <c r="D3476" s="1"/>
      <c r="E3476" s="1"/>
      <c r="F3476" s="1"/>
      <c r="G3476" s="1"/>
      <c r="H3476" s="1"/>
      <c r="I3476" s="1"/>
      <c r="J3476" s="1"/>
      <c r="K3476" s="89" t="s">
        <v>5313</v>
      </c>
      <c r="L3476" s="89" t="str">
        <f>I110</f>
        <v>C1b1a2b1a~</v>
      </c>
      <c r="M3476" s="89"/>
      <c r="N3476" s="89"/>
      <c r="O3476" s="92">
        <v>1.762706E7</v>
      </c>
      <c r="P3476" s="92">
        <v>1.551518E7</v>
      </c>
      <c r="Q3476" s="89" t="s">
        <v>917</v>
      </c>
      <c r="AF3476" s="1"/>
      <c r="AG3476" s="1"/>
    </row>
    <row r="3477" ht="15.75" customHeight="1">
      <c r="A3477" s="1"/>
      <c r="B3477" s="1"/>
      <c r="C3477" s="1"/>
      <c r="D3477" s="1"/>
      <c r="E3477" s="1"/>
      <c r="F3477" s="1"/>
      <c r="G3477" s="1"/>
      <c r="H3477" s="1"/>
      <c r="I3477" s="1"/>
      <c r="J3477" s="1"/>
      <c r="K3477" s="89" t="s">
        <v>5314</v>
      </c>
      <c r="L3477" s="89" t="str">
        <f>I110</f>
        <v>C1b1a2b1a~</v>
      </c>
      <c r="M3477" s="89"/>
      <c r="N3477" s="89"/>
      <c r="O3477" s="92">
        <v>1.8677351E7</v>
      </c>
      <c r="P3477" s="92">
        <v>1.6565471E7</v>
      </c>
      <c r="Q3477" s="89" t="s">
        <v>838</v>
      </c>
      <c r="AF3477" s="1"/>
      <c r="AG3477" s="1"/>
    </row>
    <row r="3478" ht="15.75" customHeight="1">
      <c r="A3478" s="1"/>
      <c r="B3478" s="1"/>
      <c r="C3478" s="1"/>
      <c r="D3478" s="1"/>
      <c r="E3478" s="1"/>
      <c r="F3478" s="1"/>
      <c r="G3478" s="1"/>
      <c r="H3478" s="1"/>
      <c r="I3478" s="1"/>
      <c r="J3478" s="1"/>
      <c r="K3478" s="89" t="s">
        <v>5315</v>
      </c>
      <c r="L3478" s="89" t="str">
        <f>I110</f>
        <v>C1b1a2b1a~</v>
      </c>
      <c r="M3478" s="89"/>
      <c r="N3478" s="89"/>
      <c r="O3478" s="92">
        <v>1.8985095E7</v>
      </c>
      <c r="P3478" s="92">
        <v>1.6873215E7</v>
      </c>
      <c r="Q3478" s="89" t="s">
        <v>822</v>
      </c>
      <c r="AF3478" s="1"/>
      <c r="AG3478" s="1"/>
    </row>
    <row r="3479" ht="15.75" customHeight="1">
      <c r="A3479" s="1"/>
      <c r="B3479" s="1"/>
      <c r="C3479" s="1"/>
      <c r="D3479" s="1"/>
      <c r="E3479" s="1"/>
      <c r="F3479" s="1"/>
      <c r="G3479" s="1"/>
      <c r="H3479" s="1"/>
      <c r="I3479" s="1"/>
      <c r="J3479" s="1"/>
      <c r="K3479" s="89" t="s">
        <v>5316</v>
      </c>
      <c r="L3479" s="89" t="str">
        <f>I110</f>
        <v>C1b1a2b1a~</v>
      </c>
      <c r="M3479" s="89"/>
      <c r="N3479" s="89"/>
      <c r="O3479" s="92">
        <v>1.918805E7</v>
      </c>
      <c r="P3479" s="92">
        <v>1.707617E7</v>
      </c>
      <c r="Q3479" s="89" t="s">
        <v>810</v>
      </c>
      <c r="AF3479" s="1"/>
      <c r="AG3479" s="1"/>
    </row>
    <row r="3480" ht="15.75" customHeight="1">
      <c r="A3480" s="1"/>
      <c r="B3480" s="1"/>
      <c r="C3480" s="1"/>
      <c r="D3480" s="1"/>
      <c r="E3480" s="1"/>
      <c r="F3480" s="1"/>
      <c r="G3480" s="1"/>
      <c r="H3480" s="1"/>
      <c r="I3480" s="1"/>
      <c r="J3480" s="1"/>
      <c r="K3480" s="89" t="s">
        <v>5317</v>
      </c>
      <c r="L3480" s="89" t="str">
        <f>I110</f>
        <v>C1b1a2b1a~</v>
      </c>
      <c r="M3480" s="89"/>
      <c r="N3480" s="89"/>
      <c r="O3480" s="92">
        <v>2.12067E7</v>
      </c>
      <c r="P3480" s="92">
        <v>1.9044814E7</v>
      </c>
      <c r="Q3480" s="89" t="s">
        <v>810</v>
      </c>
      <c r="AF3480" s="1"/>
      <c r="AG3480" s="1"/>
    </row>
    <row r="3481" ht="15.75" customHeight="1">
      <c r="A3481" s="1"/>
      <c r="B3481" s="1"/>
      <c r="C3481" s="1"/>
      <c r="D3481" s="1"/>
      <c r="E3481" s="1"/>
      <c r="F3481" s="1"/>
      <c r="G3481" s="1"/>
      <c r="H3481" s="1"/>
      <c r="I3481" s="1"/>
      <c r="J3481" s="1"/>
      <c r="K3481" s="89" t="s">
        <v>5318</v>
      </c>
      <c r="L3481" s="89" t="str">
        <f>I110</f>
        <v>C1b1a2b1a~</v>
      </c>
      <c r="M3481" s="89"/>
      <c r="N3481" s="89"/>
      <c r="O3481" s="92">
        <v>2.1282183E7</v>
      </c>
      <c r="P3481" s="92">
        <v>1.9120297E7</v>
      </c>
      <c r="Q3481" s="89" t="s">
        <v>802</v>
      </c>
      <c r="AF3481" s="1"/>
      <c r="AG3481" s="1"/>
    </row>
    <row r="3482" ht="15.75" customHeight="1">
      <c r="A3482" s="1"/>
      <c r="B3482" s="1"/>
      <c r="C3482" s="1"/>
      <c r="D3482" s="1"/>
      <c r="E3482" s="1"/>
      <c r="F3482" s="1"/>
      <c r="G3482" s="1"/>
      <c r="H3482" s="1"/>
      <c r="I3482" s="1"/>
      <c r="J3482" s="1"/>
      <c r="K3482" s="89" t="s">
        <v>5319</v>
      </c>
      <c r="L3482" s="89" t="str">
        <f>I110</f>
        <v>C1b1a2b1a~</v>
      </c>
      <c r="M3482" s="89"/>
      <c r="N3482" s="89"/>
      <c r="O3482" s="92">
        <v>2.1817212E7</v>
      </c>
      <c r="P3482" s="92">
        <v>1.9655326E7</v>
      </c>
      <c r="Q3482" s="89" t="s">
        <v>886</v>
      </c>
      <c r="AF3482" s="1"/>
      <c r="AG3482" s="1"/>
    </row>
    <row r="3483" ht="15.75" customHeight="1">
      <c r="A3483" s="1"/>
      <c r="B3483" s="1"/>
      <c r="C3483" s="1"/>
      <c r="D3483" s="1"/>
      <c r="E3483" s="1"/>
      <c r="F3483" s="1"/>
      <c r="G3483" s="1"/>
      <c r="H3483" s="1"/>
      <c r="I3483" s="1"/>
      <c r="J3483" s="1"/>
      <c r="K3483" s="89" t="s">
        <v>5320</v>
      </c>
      <c r="L3483" s="89" t="str">
        <f>I110</f>
        <v>C1b1a2b1a~</v>
      </c>
      <c r="M3483" s="89"/>
      <c r="N3483" s="89"/>
      <c r="O3483" s="92">
        <v>2.2909621E7</v>
      </c>
      <c r="P3483" s="92">
        <v>2.0747735E7</v>
      </c>
      <c r="Q3483" s="89" t="s">
        <v>810</v>
      </c>
      <c r="AF3483" s="1"/>
      <c r="AG3483" s="1"/>
    </row>
    <row r="3484" ht="15.75" customHeight="1">
      <c r="A3484" s="1"/>
      <c r="B3484" s="1"/>
      <c r="C3484" s="1"/>
      <c r="D3484" s="1"/>
      <c r="E3484" s="1"/>
      <c r="F3484" s="1"/>
      <c r="G3484" s="1"/>
      <c r="H3484" s="1"/>
      <c r="I3484" s="1"/>
      <c r="J3484" s="1"/>
      <c r="K3484" s="89" t="s">
        <v>5321</v>
      </c>
      <c r="L3484" s="89" t="str">
        <f>I110</f>
        <v>C1b1a2b1a~</v>
      </c>
      <c r="M3484" s="89"/>
      <c r="N3484" s="89"/>
      <c r="O3484" s="92">
        <v>2.3311559E7</v>
      </c>
      <c r="P3484" s="92">
        <v>2.1149673E7</v>
      </c>
      <c r="Q3484" s="89" t="s">
        <v>802</v>
      </c>
      <c r="AF3484" s="1"/>
      <c r="AG3484" s="1"/>
    </row>
    <row r="3485" ht="15.75" customHeight="1">
      <c r="A3485" s="1"/>
      <c r="B3485" s="1"/>
      <c r="C3485" s="1"/>
      <c r="D3485" s="1"/>
      <c r="E3485" s="1"/>
      <c r="F3485" s="1"/>
      <c r="G3485" s="1"/>
      <c r="H3485" s="1"/>
      <c r="I3485" s="1"/>
      <c r="J3485" s="1"/>
      <c r="K3485" s="89" t="s">
        <v>5322</v>
      </c>
      <c r="L3485" s="89" t="str">
        <f>I110</f>
        <v>C1b1a2b1a~</v>
      </c>
      <c r="M3485" s="89"/>
      <c r="N3485" s="89"/>
      <c r="O3485" s="92">
        <v>2.3334578E7</v>
      </c>
      <c r="P3485" s="92">
        <v>2.1172692E7</v>
      </c>
      <c r="Q3485" s="89" t="s">
        <v>802</v>
      </c>
      <c r="AF3485" s="1"/>
      <c r="AG3485" s="1"/>
    </row>
    <row r="3486" ht="15.75" customHeight="1">
      <c r="A3486" s="1"/>
      <c r="B3486" s="1"/>
      <c r="C3486" s="1"/>
      <c r="D3486" s="1"/>
      <c r="E3486" s="1"/>
      <c r="F3486" s="1"/>
      <c r="G3486" s="1"/>
      <c r="H3486" s="1"/>
      <c r="I3486" s="1"/>
      <c r="J3486" s="1"/>
      <c r="K3486" s="89" t="s">
        <v>183</v>
      </c>
      <c r="L3486" s="89" t="str">
        <f>J111</f>
        <v>C1b1a2b1a1~</v>
      </c>
      <c r="M3486" s="89"/>
      <c r="N3486" s="89" t="s">
        <v>5323</v>
      </c>
      <c r="O3486" s="92">
        <v>2760018.0</v>
      </c>
      <c r="P3486" s="92">
        <v>2891977.0</v>
      </c>
      <c r="Q3486" s="89" t="s">
        <v>879</v>
      </c>
      <c r="AF3486" s="1"/>
      <c r="AG3486" s="1"/>
    </row>
    <row r="3487" ht="15.75" customHeight="1">
      <c r="A3487" s="1"/>
      <c r="B3487" s="1"/>
      <c r="C3487" s="1"/>
      <c r="D3487" s="1"/>
      <c r="E3487" s="1"/>
      <c r="F3487" s="1"/>
      <c r="G3487" s="1"/>
      <c r="H3487" s="1"/>
      <c r="I3487" s="1"/>
      <c r="J3487" s="1"/>
      <c r="K3487" s="89" t="s">
        <v>5324</v>
      </c>
      <c r="L3487" s="89" t="str">
        <f>I112</f>
        <v>C1b1a2b1b~</v>
      </c>
      <c r="M3487" s="89"/>
      <c r="N3487" s="89" t="s">
        <v>5325</v>
      </c>
      <c r="O3487" s="92">
        <v>7866289.0</v>
      </c>
      <c r="P3487" s="92">
        <v>7998248.0</v>
      </c>
      <c r="Q3487" s="89" t="s">
        <v>822</v>
      </c>
      <c r="AF3487" s="1"/>
      <c r="AG3487" s="1"/>
    </row>
    <row r="3488" ht="15.75" customHeight="1">
      <c r="A3488" s="1"/>
      <c r="B3488" s="1"/>
      <c r="C3488" s="1"/>
      <c r="D3488" s="1"/>
      <c r="E3488" s="1"/>
      <c r="F3488" s="1"/>
      <c r="G3488" s="1"/>
      <c r="H3488" s="1"/>
      <c r="I3488" s="1"/>
      <c r="J3488" s="1"/>
      <c r="K3488" s="89" t="s">
        <v>5326</v>
      </c>
      <c r="L3488" s="89" t="str">
        <f>I112</f>
        <v>C1b1a2b1b~</v>
      </c>
      <c r="M3488" s="89"/>
      <c r="N3488" s="89" t="s">
        <v>5327</v>
      </c>
      <c r="O3488" s="92">
        <v>1.4401322E7</v>
      </c>
      <c r="P3488" s="92">
        <v>1.2280619E7</v>
      </c>
      <c r="Q3488" s="89" t="s">
        <v>838</v>
      </c>
      <c r="AF3488" s="1"/>
      <c r="AG3488" s="1"/>
    </row>
    <row r="3489" ht="15.75" customHeight="1">
      <c r="A3489" s="1"/>
      <c r="B3489" s="1"/>
      <c r="C3489" s="1"/>
      <c r="D3489" s="1"/>
      <c r="E3489" s="1"/>
      <c r="F3489" s="1"/>
      <c r="G3489" s="1"/>
      <c r="H3489" s="1"/>
      <c r="I3489" s="1"/>
      <c r="J3489" s="1"/>
      <c r="K3489" s="89" t="s">
        <v>5328</v>
      </c>
      <c r="L3489" s="89" t="str">
        <f>I112</f>
        <v>C1b1a2b1b~</v>
      </c>
      <c r="M3489" s="89"/>
      <c r="N3489" s="89" t="s">
        <v>5329</v>
      </c>
      <c r="O3489" s="92">
        <v>1.5760669E7</v>
      </c>
      <c r="P3489" s="92">
        <v>1.3648789E7</v>
      </c>
      <c r="Q3489" s="89" t="s">
        <v>810</v>
      </c>
      <c r="AF3489" s="1"/>
      <c r="AG3489" s="1"/>
    </row>
    <row r="3490" ht="15.75" customHeight="1">
      <c r="A3490" s="1"/>
      <c r="B3490" s="1"/>
      <c r="C3490" s="1"/>
      <c r="D3490" s="1"/>
      <c r="E3490" s="1"/>
      <c r="F3490" s="1"/>
      <c r="G3490" s="1"/>
      <c r="H3490" s="1"/>
      <c r="I3490" s="1"/>
      <c r="J3490" s="1"/>
      <c r="K3490" s="89" t="s">
        <v>5330</v>
      </c>
      <c r="L3490" s="89" t="str">
        <f>I112</f>
        <v>C1b1a2b1b~</v>
      </c>
      <c r="M3490" s="89"/>
      <c r="N3490" s="89" t="s">
        <v>5331</v>
      </c>
      <c r="O3490" s="92">
        <v>1.6704973E7</v>
      </c>
      <c r="P3490" s="92">
        <v>1.4593093E7</v>
      </c>
      <c r="Q3490" s="89" t="s">
        <v>831</v>
      </c>
      <c r="AF3490" s="1"/>
      <c r="AG3490" s="1"/>
    </row>
    <row r="3491" ht="15.75" customHeight="1">
      <c r="A3491" s="1"/>
      <c r="B3491" s="1"/>
      <c r="C3491" s="1"/>
      <c r="D3491" s="1"/>
      <c r="E3491" s="1"/>
      <c r="F3491" s="1"/>
      <c r="G3491" s="1"/>
      <c r="H3491" s="1"/>
      <c r="I3491" s="1"/>
      <c r="J3491" s="1"/>
      <c r="K3491" s="89" t="s">
        <v>5332</v>
      </c>
      <c r="L3491" s="89" t="str">
        <f>I112</f>
        <v>C1b1a2b1b~</v>
      </c>
      <c r="M3491" s="89"/>
      <c r="N3491" s="89" t="s">
        <v>5333</v>
      </c>
      <c r="O3491" s="89">
        <v>7926151.0</v>
      </c>
      <c r="P3491" s="89">
        <v>8058110.0</v>
      </c>
      <c r="Q3491" s="89" t="s">
        <v>810</v>
      </c>
      <c r="AF3491" s="1"/>
      <c r="AG3491" s="1"/>
    </row>
    <row r="3492" ht="15.75" customHeight="1">
      <c r="A3492" s="1"/>
      <c r="B3492" s="1"/>
      <c r="C3492" s="1"/>
      <c r="D3492" s="1"/>
      <c r="E3492" s="1"/>
      <c r="F3492" s="1"/>
      <c r="G3492" s="1"/>
      <c r="H3492" s="1"/>
      <c r="I3492" s="1"/>
      <c r="J3492" s="1"/>
      <c r="K3492" s="89" t="s">
        <v>5334</v>
      </c>
      <c r="L3492" s="89" t="str">
        <f>J113</f>
        <v>C1b1a2b1b1~</v>
      </c>
      <c r="M3492" s="89"/>
      <c r="N3492" s="89"/>
      <c r="O3492" s="92">
        <v>2821156.0</v>
      </c>
      <c r="P3492" s="92">
        <v>2953115.0</v>
      </c>
      <c r="Q3492" s="89" t="s">
        <v>845</v>
      </c>
      <c r="AF3492" s="1"/>
      <c r="AG3492" s="1"/>
    </row>
    <row r="3493" ht="15.75" customHeight="1">
      <c r="A3493" s="1"/>
      <c r="B3493" s="1"/>
      <c r="C3493" s="1"/>
      <c r="D3493" s="1"/>
      <c r="E3493" s="1"/>
      <c r="F3493" s="1"/>
      <c r="G3493" s="1"/>
      <c r="H3493" s="1"/>
      <c r="I3493" s="1"/>
      <c r="J3493" s="1"/>
      <c r="K3493" s="89" t="s">
        <v>5335</v>
      </c>
      <c r="L3493" s="89" t="str">
        <f>J113</f>
        <v>C1b1a2b1b1~</v>
      </c>
      <c r="M3493" s="89"/>
      <c r="N3493" s="89"/>
      <c r="O3493" s="92">
        <v>8695541.0</v>
      </c>
      <c r="P3493" s="92">
        <v>8827500.0</v>
      </c>
      <c r="Q3493" s="89" t="s">
        <v>802</v>
      </c>
      <c r="AF3493" s="1"/>
      <c r="AG3493" s="1"/>
    </row>
    <row r="3494" ht="15.75" customHeight="1">
      <c r="A3494" s="1"/>
      <c r="B3494" s="1"/>
      <c r="C3494" s="1"/>
      <c r="D3494" s="1"/>
      <c r="E3494" s="1"/>
      <c r="F3494" s="1"/>
      <c r="G3494" s="1"/>
      <c r="H3494" s="1"/>
      <c r="I3494" s="1"/>
      <c r="J3494" s="1"/>
      <c r="K3494" s="89" t="s">
        <v>5336</v>
      </c>
      <c r="L3494" s="89" t="str">
        <f>J113</f>
        <v>C1b1a2b1b1~</v>
      </c>
      <c r="M3494" s="89"/>
      <c r="N3494" s="89"/>
      <c r="O3494" s="92">
        <v>1.4488542E7</v>
      </c>
      <c r="P3494" s="92">
        <v>1.2367811E7</v>
      </c>
      <c r="Q3494" s="89" t="s">
        <v>802</v>
      </c>
      <c r="AF3494" s="1"/>
      <c r="AG3494" s="1"/>
    </row>
    <row r="3495" ht="15.75" customHeight="1">
      <c r="A3495" s="1"/>
      <c r="B3495" s="1"/>
      <c r="C3495" s="1"/>
      <c r="D3495" s="1"/>
      <c r="E3495" s="1"/>
      <c r="F3495" s="1"/>
      <c r="G3495" s="1"/>
      <c r="H3495" s="1"/>
      <c r="I3495" s="1"/>
      <c r="J3495" s="1"/>
      <c r="K3495" s="89" t="s">
        <v>5337</v>
      </c>
      <c r="L3495" s="89" t="str">
        <f>J113</f>
        <v>C1b1a2b1b1~</v>
      </c>
      <c r="M3495" s="89"/>
      <c r="N3495" s="89"/>
      <c r="O3495" s="92">
        <v>1.5579522E7</v>
      </c>
      <c r="P3495" s="92">
        <v>1.3467642E7</v>
      </c>
      <c r="Q3495" s="89" t="s">
        <v>810</v>
      </c>
      <c r="AF3495" s="1"/>
      <c r="AG3495" s="1"/>
    </row>
    <row r="3496" ht="15.75" customHeight="1">
      <c r="A3496" s="1"/>
      <c r="B3496" s="1"/>
      <c r="C3496" s="1"/>
      <c r="D3496" s="1"/>
      <c r="E3496" s="1"/>
      <c r="F3496" s="1"/>
      <c r="G3496" s="1"/>
      <c r="H3496" s="1"/>
      <c r="I3496" s="1"/>
      <c r="J3496" s="1"/>
      <c r="K3496" s="89" t="s">
        <v>5338</v>
      </c>
      <c r="L3496" s="89" t="str">
        <f>H114</f>
        <v>C1b1a2b2~</v>
      </c>
      <c r="M3496" s="89"/>
      <c r="N3496" s="89"/>
      <c r="O3496" s="92">
        <v>2835401.0</v>
      </c>
      <c r="P3496" s="92">
        <v>2967360.0</v>
      </c>
      <c r="Q3496" s="89" t="s">
        <v>912</v>
      </c>
      <c r="AF3496" s="1"/>
      <c r="AG3496" s="1"/>
    </row>
    <row r="3497" ht="15.75" customHeight="1">
      <c r="A3497" s="1"/>
      <c r="B3497" s="1"/>
      <c r="C3497" s="1"/>
      <c r="D3497" s="1"/>
      <c r="E3497" s="1"/>
      <c r="F3497" s="1"/>
      <c r="G3497" s="1"/>
      <c r="H3497" s="1"/>
      <c r="I3497" s="1"/>
      <c r="J3497" s="1"/>
      <c r="K3497" s="89" t="s">
        <v>5339</v>
      </c>
      <c r="L3497" s="89" t="str">
        <f>H114</f>
        <v>C1b1a2b2~</v>
      </c>
      <c r="M3497" s="89"/>
      <c r="N3497" s="89"/>
      <c r="O3497" s="92">
        <v>2905433.0</v>
      </c>
      <c r="P3497" s="92">
        <v>3037392.0</v>
      </c>
      <c r="Q3497" s="89" t="s">
        <v>822</v>
      </c>
      <c r="AF3497" s="1"/>
      <c r="AG3497" s="1"/>
    </row>
    <row r="3498" ht="15.75" customHeight="1">
      <c r="A3498" s="1"/>
      <c r="B3498" s="1"/>
      <c r="C3498" s="1"/>
      <c r="D3498" s="1"/>
      <c r="E3498" s="1"/>
      <c r="F3498" s="1"/>
      <c r="G3498" s="1"/>
      <c r="H3498" s="1"/>
      <c r="I3498" s="1"/>
      <c r="J3498" s="1"/>
      <c r="K3498" s="89" t="s">
        <v>5340</v>
      </c>
      <c r="L3498" s="89" t="str">
        <f>H114</f>
        <v>C1b1a2b2~</v>
      </c>
      <c r="M3498" s="89"/>
      <c r="N3498" s="89"/>
      <c r="O3498" s="92">
        <v>6681545.0</v>
      </c>
      <c r="P3498" s="92">
        <v>6813504.0</v>
      </c>
      <c r="Q3498" s="89" t="s">
        <v>822</v>
      </c>
      <c r="AF3498" s="1"/>
      <c r="AG3498" s="1"/>
    </row>
    <row r="3499" ht="15.75" customHeight="1">
      <c r="A3499" s="1"/>
      <c r="B3499" s="1"/>
      <c r="C3499" s="1"/>
      <c r="D3499" s="1"/>
      <c r="E3499" s="1"/>
      <c r="F3499" s="1"/>
      <c r="G3499" s="1"/>
      <c r="H3499" s="1"/>
      <c r="I3499" s="1"/>
      <c r="J3499" s="1"/>
      <c r="K3499" s="89" t="s">
        <v>5341</v>
      </c>
      <c r="L3499" s="89" t="str">
        <f>H114</f>
        <v>C1b1a2b2~</v>
      </c>
      <c r="M3499" s="89"/>
      <c r="N3499" s="89"/>
      <c r="O3499" s="92">
        <v>6835334.0</v>
      </c>
      <c r="P3499" s="92">
        <v>6967293.0</v>
      </c>
      <c r="Q3499" s="89" t="s">
        <v>822</v>
      </c>
      <c r="AF3499" s="1"/>
      <c r="AG3499" s="1"/>
    </row>
    <row r="3500" ht="15.75" customHeight="1">
      <c r="A3500" s="1"/>
      <c r="B3500" s="1"/>
      <c r="C3500" s="1"/>
      <c r="D3500" s="1"/>
      <c r="E3500" s="1"/>
      <c r="F3500" s="1"/>
      <c r="G3500" s="1"/>
      <c r="H3500" s="1"/>
      <c r="I3500" s="1"/>
      <c r="J3500" s="1"/>
      <c r="K3500" s="89" t="s">
        <v>5342</v>
      </c>
      <c r="L3500" s="89" t="str">
        <f>H114</f>
        <v>C1b1a2b2~</v>
      </c>
      <c r="M3500" s="89"/>
      <c r="N3500" s="89"/>
      <c r="O3500" s="92">
        <v>7739541.0</v>
      </c>
      <c r="P3500" s="92">
        <v>7871500.0</v>
      </c>
      <c r="Q3500" s="89" t="s">
        <v>838</v>
      </c>
      <c r="AF3500" s="1"/>
      <c r="AG3500" s="1"/>
    </row>
    <row r="3501" ht="15.75" customHeight="1">
      <c r="A3501" s="1"/>
      <c r="B3501" s="1"/>
      <c r="C3501" s="1"/>
      <c r="D3501" s="1"/>
      <c r="E3501" s="1"/>
      <c r="F3501" s="1"/>
      <c r="G3501" s="1"/>
      <c r="H3501" s="1"/>
      <c r="I3501" s="1"/>
      <c r="J3501" s="1"/>
      <c r="K3501" s="89" t="s">
        <v>5343</v>
      </c>
      <c r="L3501" s="89" t="str">
        <f>D116</f>
        <v>C1b2</v>
      </c>
      <c r="M3501" s="89"/>
      <c r="N3501" s="89"/>
      <c r="O3501" s="92">
        <v>2692963.0</v>
      </c>
      <c r="P3501" s="92">
        <v>2824922.0</v>
      </c>
      <c r="Q3501" s="89" t="s">
        <v>802</v>
      </c>
      <c r="AF3501" s="1"/>
      <c r="AG3501" s="1"/>
    </row>
    <row r="3502" ht="15.75" customHeight="1">
      <c r="A3502" s="1"/>
      <c r="B3502" s="1"/>
      <c r="C3502" s="1"/>
      <c r="D3502" s="1"/>
      <c r="E3502" s="1"/>
      <c r="F3502" s="1"/>
      <c r="G3502" s="1"/>
      <c r="H3502" s="1"/>
      <c r="I3502" s="1"/>
      <c r="J3502" s="1"/>
      <c r="K3502" s="89" t="s">
        <v>5344</v>
      </c>
      <c r="L3502" s="89" t="str">
        <f>D116</f>
        <v>C1b2</v>
      </c>
      <c r="M3502" s="89"/>
      <c r="N3502" s="89"/>
      <c r="O3502" s="92">
        <v>2774379.0</v>
      </c>
      <c r="P3502" s="92">
        <v>2906338.0</v>
      </c>
      <c r="Q3502" s="89" t="s">
        <v>822</v>
      </c>
      <c r="AF3502" s="1"/>
      <c r="AG3502" s="1"/>
    </row>
    <row r="3503" ht="15.75" customHeight="1">
      <c r="A3503" s="1"/>
      <c r="B3503" s="1"/>
      <c r="C3503" s="1"/>
      <c r="D3503" s="1"/>
      <c r="E3503" s="1"/>
      <c r="F3503" s="1"/>
      <c r="G3503" s="1"/>
      <c r="H3503" s="1"/>
      <c r="I3503" s="1"/>
      <c r="J3503" s="1"/>
      <c r="K3503" s="89" t="s">
        <v>5345</v>
      </c>
      <c r="L3503" s="89" t="str">
        <f>D116</f>
        <v>C1b2</v>
      </c>
      <c r="M3503" s="89"/>
      <c r="N3503" s="89"/>
      <c r="O3503" s="92">
        <v>2816249.0</v>
      </c>
      <c r="P3503" s="92">
        <v>2948208.0</v>
      </c>
      <c r="Q3503" s="89" t="s">
        <v>822</v>
      </c>
      <c r="AF3503" s="1"/>
      <c r="AG3503" s="1"/>
    </row>
    <row r="3504" ht="15.75" customHeight="1">
      <c r="A3504" s="1"/>
      <c r="B3504" s="1"/>
      <c r="C3504" s="1"/>
      <c r="D3504" s="1"/>
      <c r="E3504" s="1"/>
      <c r="F3504" s="1"/>
      <c r="G3504" s="1"/>
      <c r="H3504" s="1"/>
      <c r="I3504" s="1"/>
      <c r="J3504" s="1"/>
      <c r="K3504" s="89" t="s">
        <v>5346</v>
      </c>
      <c r="L3504" s="89" t="str">
        <f>D116</f>
        <v>C1b2</v>
      </c>
      <c r="M3504" s="89"/>
      <c r="N3504" s="89"/>
      <c r="O3504" s="92">
        <v>2890509.0</v>
      </c>
      <c r="P3504" s="92">
        <v>3022468.0</v>
      </c>
      <c r="Q3504" s="89" t="s">
        <v>838</v>
      </c>
      <c r="AF3504" s="1"/>
      <c r="AG3504" s="1"/>
    </row>
    <row r="3505" ht="15.75" customHeight="1">
      <c r="A3505" s="1"/>
      <c r="B3505" s="1"/>
      <c r="C3505" s="1"/>
      <c r="D3505" s="1"/>
      <c r="E3505" s="1"/>
      <c r="F3505" s="1"/>
      <c r="G3505" s="1"/>
      <c r="H3505" s="1"/>
      <c r="I3505" s="1"/>
      <c r="J3505" s="1"/>
      <c r="K3505" s="89" t="s">
        <v>5347</v>
      </c>
      <c r="L3505" s="89" t="str">
        <f>D116</f>
        <v>C1b2</v>
      </c>
      <c r="M3505" s="89"/>
      <c r="N3505" s="89" t="s">
        <v>5348</v>
      </c>
      <c r="O3505" s="92">
        <v>6836015.0</v>
      </c>
      <c r="P3505" s="92">
        <v>6967974.0</v>
      </c>
      <c r="Q3505" s="89" t="s">
        <v>802</v>
      </c>
      <c r="AF3505" s="1"/>
      <c r="AG3505" s="1"/>
    </row>
    <row r="3506" ht="15.75" customHeight="1">
      <c r="A3506" s="1"/>
      <c r="B3506" s="1"/>
      <c r="C3506" s="1"/>
      <c r="D3506" s="1"/>
      <c r="E3506" s="1"/>
      <c r="F3506" s="1"/>
      <c r="G3506" s="1"/>
      <c r="H3506" s="1"/>
      <c r="I3506" s="1"/>
      <c r="J3506" s="1"/>
      <c r="K3506" s="89" t="s">
        <v>5349</v>
      </c>
      <c r="L3506" s="89" t="str">
        <f>D116</f>
        <v>C1b2</v>
      </c>
      <c r="M3506" s="89"/>
      <c r="N3506" s="89"/>
      <c r="O3506" s="92">
        <v>6931865.0</v>
      </c>
      <c r="P3506" s="92">
        <v>7063824.0</v>
      </c>
      <c r="Q3506" s="89" t="s">
        <v>802</v>
      </c>
      <c r="AF3506" s="1"/>
      <c r="AG3506" s="1"/>
    </row>
    <row r="3507" ht="15.75" customHeight="1">
      <c r="A3507" s="1"/>
      <c r="B3507" s="1"/>
      <c r="C3507" s="1"/>
      <c r="D3507" s="1"/>
      <c r="E3507" s="1"/>
      <c r="F3507" s="1"/>
      <c r="G3507" s="1"/>
      <c r="H3507" s="1"/>
      <c r="I3507" s="1"/>
      <c r="J3507" s="1"/>
      <c r="K3507" s="89" t="s">
        <v>5350</v>
      </c>
      <c r="L3507" s="89" t="str">
        <f>D116</f>
        <v>C1b2</v>
      </c>
      <c r="M3507" s="89"/>
      <c r="N3507" s="89"/>
      <c r="O3507" s="92">
        <v>6970916.0</v>
      </c>
      <c r="P3507" s="92">
        <v>7102875.0</v>
      </c>
      <c r="Q3507" s="89" t="s">
        <v>813</v>
      </c>
      <c r="AF3507" s="1"/>
      <c r="AG3507" s="1"/>
    </row>
    <row r="3508" ht="15.75" customHeight="1">
      <c r="A3508" s="1"/>
      <c r="B3508" s="1"/>
      <c r="C3508" s="1"/>
      <c r="D3508" s="1"/>
      <c r="E3508" s="1"/>
      <c r="F3508" s="1"/>
      <c r="G3508" s="1"/>
      <c r="H3508" s="1"/>
      <c r="I3508" s="1"/>
      <c r="J3508" s="1"/>
      <c r="K3508" s="89" t="s">
        <v>5351</v>
      </c>
      <c r="L3508" s="89" t="str">
        <f>D116</f>
        <v>C1b2</v>
      </c>
      <c r="M3508" s="89"/>
      <c r="N3508" s="89"/>
      <c r="O3508" s="92">
        <v>7036562.0</v>
      </c>
      <c r="P3508" s="92">
        <v>7168521.0</v>
      </c>
      <c r="Q3508" s="89" t="s">
        <v>822</v>
      </c>
      <c r="AF3508" s="1"/>
      <c r="AG3508" s="1"/>
    </row>
    <row r="3509" ht="15.75" customHeight="1">
      <c r="A3509" s="1"/>
      <c r="B3509" s="1"/>
      <c r="C3509" s="1"/>
      <c r="D3509" s="1"/>
      <c r="E3509" s="1"/>
      <c r="F3509" s="1"/>
      <c r="G3509" s="1"/>
      <c r="H3509" s="1"/>
      <c r="I3509" s="1"/>
      <c r="J3509" s="1"/>
      <c r="K3509" s="89" t="s">
        <v>5352</v>
      </c>
      <c r="L3509" s="89" t="str">
        <f>D116</f>
        <v>C1b2</v>
      </c>
      <c r="M3509" s="89"/>
      <c r="N3509" s="89"/>
      <c r="O3509" s="92">
        <v>7069909.0</v>
      </c>
      <c r="P3509" s="92">
        <v>7201868.0</v>
      </c>
      <c r="Q3509" s="89" t="s">
        <v>886</v>
      </c>
      <c r="AF3509" s="1"/>
      <c r="AG3509" s="1"/>
    </row>
    <row r="3510" ht="15.75" customHeight="1">
      <c r="A3510" s="1"/>
      <c r="B3510" s="1"/>
      <c r="C3510" s="1"/>
      <c r="D3510" s="1"/>
      <c r="E3510" s="1"/>
      <c r="F3510" s="1"/>
      <c r="G3510" s="1"/>
      <c r="H3510" s="1"/>
      <c r="I3510" s="1"/>
      <c r="J3510" s="1"/>
      <c r="K3510" s="89" t="s">
        <v>5353</v>
      </c>
      <c r="L3510" s="89" t="str">
        <f>D116</f>
        <v>C1b2</v>
      </c>
      <c r="M3510" s="89"/>
      <c r="N3510" s="89"/>
      <c r="O3510" s="92">
        <v>7074317.0</v>
      </c>
      <c r="P3510" s="92">
        <v>7206276.0</v>
      </c>
      <c r="Q3510" s="89" t="s">
        <v>879</v>
      </c>
      <c r="AF3510" s="1"/>
      <c r="AG3510" s="1"/>
    </row>
    <row r="3511" ht="15.75" customHeight="1">
      <c r="A3511" s="1"/>
      <c r="B3511" s="1"/>
      <c r="C3511" s="1"/>
      <c r="D3511" s="1"/>
      <c r="E3511" s="1"/>
      <c r="F3511" s="1"/>
      <c r="G3511" s="1"/>
      <c r="H3511" s="1"/>
      <c r="I3511" s="1"/>
      <c r="J3511" s="1"/>
      <c r="K3511" s="89" t="s">
        <v>5354</v>
      </c>
      <c r="L3511" s="89" t="str">
        <f>D116</f>
        <v>C1b2</v>
      </c>
      <c r="M3511" s="89"/>
      <c r="N3511" s="89"/>
      <c r="O3511" s="92">
        <v>7550478.0</v>
      </c>
      <c r="P3511" s="92">
        <v>7682437.0</v>
      </c>
      <c r="Q3511" s="89" t="s">
        <v>838</v>
      </c>
      <c r="AF3511" s="1"/>
      <c r="AG3511" s="1"/>
    </row>
    <row r="3512" ht="15.75" customHeight="1">
      <c r="A3512" s="1"/>
      <c r="B3512" s="1"/>
      <c r="C3512" s="1"/>
      <c r="D3512" s="1"/>
      <c r="E3512" s="1"/>
      <c r="F3512" s="1"/>
      <c r="G3512" s="1"/>
      <c r="H3512" s="1"/>
      <c r="I3512" s="1"/>
      <c r="J3512" s="1"/>
      <c r="K3512" s="89" t="s">
        <v>5355</v>
      </c>
      <c r="L3512" s="89" t="str">
        <f>D116</f>
        <v>C1b2</v>
      </c>
      <c r="M3512" s="89"/>
      <c r="N3512" s="89"/>
      <c r="O3512" s="92">
        <v>7766549.0</v>
      </c>
      <c r="P3512" s="92">
        <v>7898508.0</v>
      </c>
      <c r="Q3512" s="89" t="s">
        <v>810</v>
      </c>
      <c r="AF3512" s="1"/>
      <c r="AG3512" s="1"/>
    </row>
    <row r="3513" ht="15.75" customHeight="1">
      <c r="A3513" s="1"/>
      <c r="B3513" s="1"/>
      <c r="C3513" s="1"/>
      <c r="D3513" s="1"/>
      <c r="E3513" s="1"/>
      <c r="F3513" s="1"/>
      <c r="G3513" s="1"/>
      <c r="H3513" s="1"/>
      <c r="I3513" s="1"/>
      <c r="J3513" s="1"/>
      <c r="K3513" s="89" t="s">
        <v>5356</v>
      </c>
      <c r="L3513" s="89" t="str">
        <f>D116</f>
        <v>C1b2</v>
      </c>
      <c r="M3513" s="89"/>
      <c r="N3513" s="89"/>
      <c r="O3513" s="92">
        <v>7944896.0</v>
      </c>
      <c r="P3513" s="92">
        <v>8076855.0</v>
      </c>
      <c r="Q3513" s="89" t="s">
        <v>831</v>
      </c>
      <c r="AF3513" s="1"/>
      <c r="AG3513" s="1"/>
    </row>
    <row r="3514" ht="15.75" customHeight="1">
      <c r="A3514" s="1"/>
      <c r="B3514" s="1"/>
      <c r="C3514" s="1"/>
      <c r="D3514" s="1"/>
      <c r="E3514" s="1"/>
      <c r="F3514" s="1"/>
      <c r="G3514" s="1"/>
      <c r="H3514" s="1"/>
      <c r="I3514" s="1"/>
      <c r="J3514" s="1"/>
      <c r="K3514" s="89" t="s">
        <v>5357</v>
      </c>
      <c r="L3514" s="89" t="str">
        <f>D116</f>
        <v>C1b2</v>
      </c>
      <c r="M3514" s="89"/>
      <c r="N3514" s="89"/>
      <c r="O3514" s="92">
        <v>8108351.0</v>
      </c>
      <c r="P3514" s="92">
        <v>8240310.0</v>
      </c>
      <c r="Q3514" s="89" t="s">
        <v>838</v>
      </c>
      <c r="AF3514" s="1"/>
      <c r="AG3514" s="1"/>
    </row>
    <row r="3515" ht="15.75" customHeight="1">
      <c r="A3515" s="1"/>
      <c r="B3515" s="1"/>
      <c r="C3515" s="1"/>
      <c r="D3515" s="1"/>
      <c r="E3515" s="1"/>
      <c r="F3515" s="1"/>
      <c r="G3515" s="1"/>
      <c r="H3515" s="1"/>
      <c r="I3515" s="1"/>
      <c r="J3515" s="1"/>
      <c r="K3515" s="89" t="s">
        <v>5358</v>
      </c>
      <c r="L3515" s="89" t="str">
        <f>D116</f>
        <v>C1b2</v>
      </c>
      <c r="M3515" s="89"/>
      <c r="N3515" s="89"/>
      <c r="O3515" s="92">
        <v>8348346.0</v>
      </c>
      <c r="P3515" s="92">
        <v>8480305.0</v>
      </c>
      <c r="Q3515" s="89" t="s">
        <v>886</v>
      </c>
      <c r="AF3515" s="1"/>
      <c r="AG3515" s="1"/>
    </row>
    <row r="3516" ht="15.75" customHeight="1">
      <c r="A3516" s="1"/>
      <c r="B3516" s="1"/>
      <c r="C3516" s="1"/>
      <c r="D3516" s="1"/>
      <c r="E3516" s="1"/>
      <c r="F3516" s="1"/>
      <c r="G3516" s="1"/>
      <c r="H3516" s="1"/>
      <c r="I3516" s="1"/>
      <c r="J3516" s="1"/>
      <c r="K3516" s="89" t="s">
        <v>5359</v>
      </c>
      <c r="L3516" s="89" t="str">
        <f>D116</f>
        <v>C1b2</v>
      </c>
      <c r="M3516" s="89"/>
      <c r="N3516" s="89"/>
      <c r="O3516" s="92">
        <v>8565317.0</v>
      </c>
      <c r="P3516" s="92">
        <v>8697276.0</v>
      </c>
      <c r="Q3516" s="89" t="s">
        <v>838</v>
      </c>
      <c r="AF3516" s="1"/>
      <c r="AG3516" s="1"/>
    </row>
    <row r="3517" ht="15.75" customHeight="1">
      <c r="A3517" s="1"/>
      <c r="B3517" s="1"/>
      <c r="C3517" s="1"/>
      <c r="D3517" s="1"/>
      <c r="E3517" s="1"/>
      <c r="F3517" s="1"/>
      <c r="G3517" s="1"/>
      <c r="H3517" s="1"/>
      <c r="I3517" s="1"/>
      <c r="J3517" s="1"/>
      <c r="K3517" s="89" t="s">
        <v>5360</v>
      </c>
      <c r="L3517" s="89" t="str">
        <f>D116</f>
        <v>C1b2</v>
      </c>
      <c r="M3517" s="89"/>
      <c r="N3517" s="89"/>
      <c r="O3517" s="92">
        <v>8570731.0</v>
      </c>
      <c r="P3517" s="92">
        <v>8702690.0</v>
      </c>
      <c r="Q3517" s="89" t="s">
        <v>822</v>
      </c>
      <c r="AF3517" s="1"/>
      <c r="AG3517" s="1"/>
    </row>
    <row r="3518" ht="15.75" customHeight="1">
      <c r="A3518" s="1"/>
      <c r="B3518" s="1"/>
      <c r="C3518" s="1"/>
      <c r="D3518" s="1"/>
      <c r="E3518" s="1"/>
      <c r="F3518" s="1"/>
      <c r="G3518" s="1"/>
      <c r="H3518" s="1"/>
      <c r="I3518" s="1"/>
      <c r="J3518" s="1"/>
      <c r="K3518" s="89" t="s">
        <v>5361</v>
      </c>
      <c r="L3518" s="89" t="str">
        <f>D116</f>
        <v>C1b2</v>
      </c>
      <c r="M3518" s="89"/>
      <c r="N3518" s="89"/>
      <c r="O3518" s="92">
        <v>8582104.0</v>
      </c>
      <c r="P3518" s="92">
        <v>8714063.0</v>
      </c>
      <c r="Q3518" s="89" t="s">
        <v>845</v>
      </c>
      <c r="AF3518" s="1"/>
      <c r="AG3518" s="1"/>
    </row>
    <row r="3519" ht="15.75" customHeight="1">
      <c r="A3519" s="1"/>
      <c r="B3519" s="1"/>
      <c r="C3519" s="1"/>
      <c r="D3519" s="1"/>
      <c r="E3519" s="1"/>
      <c r="F3519" s="1"/>
      <c r="G3519" s="1"/>
      <c r="H3519" s="1"/>
      <c r="I3519" s="1"/>
      <c r="J3519" s="1"/>
      <c r="K3519" s="89" t="s">
        <v>5362</v>
      </c>
      <c r="L3519" s="89" t="str">
        <f>D116</f>
        <v>C1b2</v>
      </c>
      <c r="M3519" s="89"/>
      <c r="N3519" s="89"/>
      <c r="O3519" s="92">
        <v>8686011.0</v>
      </c>
      <c r="P3519" s="92">
        <v>8817970.0</v>
      </c>
      <c r="Q3519" s="89" t="s">
        <v>912</v>
      </c>
      <c r="AF3519" s="1"/>
      <c r="AG3519" s="1"/>
    </row>
    <row r="3520" ht="15.75" customHeight="1">
      <c r="A3520" s="1"/>
      <c r="B3520" s="1"/>
      <c r="C3520" s="1"/>
      <c r="D3520" s="1"/>
      <c r="E3520" s="1"/>
      <c r="F3520" s="1"/>
      <c r="G3520" s="1"/>
      <c r="H3520" s="1"/>
      <c r="I3520" s="1"/>
      <c r="J3520" s="1"/>
      <c r="K3520" s="89" t="s">
        <v>5363</v>
      </c>
      <c r="L3520" s="89" t="str">
        <f>D116</f>
        <v>C1b2</v>
      </c>
      <c r="M3520" s="89"/>
      <c r="N3520" s="89"/>
      <c r="O3520" s="92">
        <v>8876442.0</v>
      </c>
      <c r="P3520" s="92">
        <v>9008401.0</v>
      </c>
      <c r="Q3520" s="89" t="s">
        <v>912</v>
      </c>
      <c r="AF3520" s="1"/>
      <c r="AG3520" s="1"/>
    </row>
    <row r="3521" ht="15.75" customHeight="1">
      <c r="A3521" s="1"/>
      <c r="B3521" s="1"/>
      <c r="C3521" s="1"/>
      <c r="D3521" s="1"/>
      <c r="E3521" s="1"/>
      <c r="F3521" s="1"/>
      <c r="G3521" s="1"/>
      <c r="H3521" s="1"/>
      <c r="I3521" s="1"/>
      <c r="J3521" s="1"/>
      <c r="K3521" s="89" t="s">
        <v>5364</v>
      </c>
      <c r="L3521" s="89" t="str">
        <f>D116</f>
        <v>C1b2</v>
      </c>
      <c r="M3521" s="89"/>
      <c r="N3521" s="89"/>
      <c r="O3521" s="92">
        <v>9379956.0</v>
      </c>
      <c r="P3521" s="92">
        <v>9542347.0</v>
      </c>
      <c r="Q3521" s="89" t="s">
        <v>886</v>
      </c>
      <c r="AF3521" s="1"/>
      <c r="AG3521" s="1"/>
    </row>
    <row r="3522" ht="15.75" customHeight="1">
      <c r="A3522" s="1"/>
      <c r="B3522" s="1"/>
      <c r="C3522" s="1"/>
      <c r="D3522" s="1"/>
      <c r="E3522" s="1"/>
      <c r="F3522" s="1"/>
      <c r="G3522" s="1"/>
      <c r="H3522" s="1"/>
      <c r="I3522" s="1"/>
      <c r="J3522" s="1"/>
      <c r="K3522" s="89" t="s">
        <v>5365</v>
      </c>
      <c r="L3522" s="89" t="str">
        <f>D116</f>
        <v>C1b2</v>
      </c>
      <c r="M3522" s="89"/>
      <c r="N3522" s="89"/>
      <c r="O3522" s="92">
        <v>9393019.0</v>
      </c>
      <c r="P3522" s="92">
        <v>9555410.0</v>
      </c>
      <c r="Q3522" s="89" t="s">
        <v>831</v>
      </c>
      <c r="AF3522" s="1"/>
      <c r="AG3522" s="1"/>
    </row>
    <row r="3523" ht="15.75" customHeight="1">
      <c r="A3523" s="1"/>
      <c r="B3523" s="1"/>
      <c r="C3523" s="1"/>
      <c r="D3523" s="1"/>
      <c r="E3523" s="1"/>
      <c r="F3523" s="1"/>
      <c r="G3523" s="1"/>
      <c r="H3523" s="1"/>
      <c r="I3523" s="1"/>
      <c r="J3523" s="1"/>
      <c r="K3523" s="89" t="s">
        <v>5366</v>
      </c>
      <c r="L3523" s="89" t="str">
        <f>D116</f>
        <v>C1b2</v>
      </c>
      <c r="M3523" s="89"/>
      <c r="N3523" s="89"/>
      <c r="O3523" s="92">
        <v>9460752.0</v>
      </c>
      <c r="P3523" s="92">
        <v>9623143.0</v>
      </c>
      <c r="Q3523" s="89" t="s">
        <v>802</v>
      </c>
      <c r="AF3523" s="1"/>
      <c r="AG3523" s="1"/>
    </row>
    <row r="3524" ht="15.75" customHeight="1">
      <c r="A3524" s="1"/>
      <c r="B3524" s="1"/>
      <c r="C3524" s="1"/>
      <c r="D3524" s="1"/>
      <c r="E3524" s="1"/>
      <c r="F3524" s="1"/>
      <c r="G3524" s="1"/>
      <c r="H3524" s="1"/>
      <c r="I3524" s="1"/>
      <c r="J3524" s="1"/>
      <c r="K3524" s="89" t="s">
        <v>5367</v>
      </c>
      <c r="L3524" s="89" t="str">
        <f>D116</f>
        <v>C1b2</v>
      </c>
      <c r="M3524" s="89"/>
      <c r="N3524" s="89"/>
      <c r="O3524" s="92">
        <v>9826999.0</v>
      </c>
      <c r="P3524" s="92">
        <v>9989390.0</v>
      </c>
      <c r="Q3524" s="89" t="s">
        <v>831</v>
      </c>
      <c r="AF3524" s="1"/>
      <c r="AG3524" s="1"/>
    </row>
    <row r="3525" ht="15.75" customHeight="1">
      <c r="A3525" s="1"/>
      <c r="B3525" s="1"/>
      <c r="C3525" s="1"/>
      <c r="D3525" s="1"/>
      <c r="E3525" s="1"/>
      <c r="F3525" s="1"/>
      <c r="G3525" s="1"/>
      <c r="H3525" s="1"/>
      <c r="I3525" s="1"/>
      <c r="J3525" s="1"/>
      <c r="K3525" s="89" t="s">
        <v>5368</v>
      </c>
      <c r="L3525" s="89" t="str">
        <f>D116</f>
        <v>C1b2</v>
      </c>
      <c r="M3525" s="89"/>
      <c r="N3525" s="89" t="s">
        <v>5369</v>
      </c>
      <c r="O3525" s="92">
        <v>1.345539E7</v>
      </c>
      <c r="P3525" s="92">
        <v>1.1299714E7</v>
      </c>
      <c r="Q3525" s="89" t="s">
        <v>810</v>
      </c>
      <c r="AF3525" s="1"/>
      <c r="AG3525" s="1"/>
    </row>
    <row r="3526" ht="15.75" customHeight="1">
      <c r="A3526" s="1"/>
      <c r="B3526" s="1"/>
      <c r="C3526" s="1"/>
      <c r="D3526" s="1"/>
      <c r="E3526" s="1"/>
      <c r="F3526" s="1"/>
      <c r="G3526" s="1"/>
      <c r="H3526" s="1"/>
      <c r="I3526" s="1"/>
      <c r="J3526" s="1"/>
      <c r="K3526" s="89" t="s">
        <v>5370</v>
      </c>
      <c r="L3526" s="89" t="str">
        <f>D116</f>
        <v>C1b2</v>
      </c>
      <c r="M3526" s="89"/>
      <c r="N3526" s="89"/>
      <c r="O3526" s="92">
        <v>1.3652666E7</v>
      </c>
      <c r="P3526" s="92">
        <v>1.149699E7</v>
      </c>
      <c r="Q3526" s="89" t="s">
        <v>838</v>
      </c>
      <c r="AF3526" s="1"/>
      <c r="AG3526" s="1"/>
    </row>
    <row r="3527" ht="15.75" customHeight="1">
      <c r="A3527" s="1"/>
      <c r="B3527" s="1"/>
      <c r="C3527" s="1"/>
      <c r="D3527" s="1"/>
      <c r="E3527" s="1"/>
      <c r="F3527" s="1"/>
      <c r="G3527" s="1"/>
      <c r="H3527" s="1"/>
      <c r="I3527" s="1"/>
      <c r="J3527" s="1"/>
      <c r="K3527" s="89" t="s">
        <v>5371</v>
      </c>
      <c r="L3527" s="89" t="str">
        <f>D116</f>
        <v>C1b2</v>
      </c>
      <c r="M3527" s="89"/>
      <c r="N3527" s="89"/>
      <c r="O3527" s="92">
        <v>1.3655699E7</v>
      </c>
      <c r="P3527" s="92">
        <v>1.1500023E7</v>
      </c>
      <c r="Q3527" s="89" t="s">
        <v>886</v>
      </c>
      <c r="AF3527" s="1"/>
      <c r="AG3527" s="1"/>
    </row>
    <row r="3528" ht="15.75" customHeight="1">
      <c r="A3528" s="1"/>
      <c r="B3528" s="1"/>
      <c r="C3528" s="1"/>
      <c r="D3528" s="1"/>
      <c r="E3528" s="1"/>
      <c r="F3528" s="1"/>
      <c r="G3528" s="1"/>
      <c r="H3528" s="1"/>
      <c r="I3528" s="1"/>
      <c r="J3528" s="1"/>
      <c r="K3528" s="89" t="s">
        <v>5372</v>
      </c>
      <c r="L3528" s="89" t="str">
        <f>D116</f>
        <v>C1b2</v>
      </c>
      <c r="M3528" s="89"/>
      <c r="N3528" s="89"/>
      <c r="O3528" s="92">
        <v>1.3676457E7</v>
      </c>
      <c r="P3528" s="92">
        <v>1.1520781E7</v>
      </c>
      <c r="Q3528" s="89" t="s">
        <v>912</v>
      </c>
      <c r="AF3528" s="1"/>
      <c r="AG3528" s="1"/>
    </row>
    <row r="3529" ht="15.75" customHeight="1">
      <c r="A3529" s="1"/>
      <c r="B3529" s="1"/>
      <c r="C3529" s="1"/>
      <c r="D3529" s="1"/>
      <c r="E3529" s="1"/>
      <c r="F3529" s="1"/>
      <c r="G3529" s="1"/>
      <c r="H3529" s="1"/>
      <c r="I3529" s="1"/>
      <c r="J3529" s="1"/>
      <c r="K3529" s="89" t="s">
        <v>5373</v>
      </c>
      <c r="L3529" s="89" t="str">
        <f>D116</f>
        <v>C1b2</v>
      </c>
      <c r="M3529" s="89"/>
      <c r="N3529" s="89"/>
      <c r="O3529" s="92">
        <v>1.3806976E7</v>
      </c>
      <c r="P3529" s="92">
        <v>1.168627E7</v>
      </c>
      <c r="Q3529" s="89" t="s">
        <v>831</v>
      </c>
      <c r="AF3529" s="1"/>
      <c r="AG3529" s="1"/>
    </row>
    <row r="3530" ht="15.75" customHeight="1">
      <c r="A3530" s="1"/>
      <c r="B3530" s="1"/>
      <c r="C3530" s="1"/>
      <c r="D3530" s="1"/>
      <c r="E3530" s="1"/>
      <c r="F3530" s="1"/>
      <c r="G3530" s="1"/>
      <c r="H3530" s="1"/>
      <c r="I3530" s="1"/>
      <c r="J3530" s="1"/>
      <c r="K3530" s="89" t="s">
        <v>5374</v>
      </c>
      <c r="L3530" s="89" t="str">
        <f>D116</f>
        <v>C1b2</v>
      </c>
      <c r="M3530" s="89"/>
      <c r="N3530" s="89"/>
      <c r="O3530" s="92">
        <v>1.385092E7</v>
      </c>
      <c r="P3530" s="92">
        <v>1.1730214E7</v>
      </c>
      <c r="Q3530" s="89" t="s">
        <v>838</v>
      </c>
      <c r="AF3530" s="1"/>
      <c r="AG3530" s="1"/>
    </row>
    <row r="3531" ht="15.75" customHeight="1">
      <c r="A3531" s="1"/>
      <c r="B3531" s="1"/>
      <c r="C3531" s="1"/>
      <c r="D3531" s="1"/>
      <c r="E3531" s="1"/>
      <c r="F3531" s="1"/>
      <c r="G3531" s="1"/>
      <c r="H3531" s="1"/>
      <c r="I3531" s="1"/>
      <c r="J3531" s="1"/>
      <c r="K3531" s="89" t="s">
        <v>5375</v>
      </c>
      <c r="L3531" s="89" t="str">
        <f>D116</f>
        <v>C1b2</v>
      </c>
      <c r="M3531" s="89"/>
      <c r="N3531" s="89"/>
      <c r="O3531" s="92">
        <v>1.4090557E7</v>
      </c>
      <c r="P3531" s="92">
        <v>1.1969851E7</v>
      </c>
      <c r="Q3531" s="89" t="s">
        <v>813</v>
      </c>
      <c r="AF3531" s="1"/>
      <c r="AG3531" s="1"/>
    </row>
    <row r="3532" ht="15.75" customHeight="1">
      <c r="A3532" s="1"/>
      <c r="B3532" s="1"/>
      <c r="C3532" s="1"/>
      <c r="D3532" s="1"/>
      <c r="E3532" s="1"/>
      <c r="F3532" s="1"/>
      <c r="G3532" s="1"/>
      <c r="H3532" s="1"/>
      <c r="I3532" s="1"/>
      <c r="J3532" s="1"/>
      <c r="K3532" s="89" t="s">
        <v>5376</v>
      </c>
      <c r="L3532" s="89" t="str">
        <f>D116</f>
        <v>C1b2</v>
      </c>
      <c r="M3532" s="89"/>
      <c r="N3532" s="89"/>
      <c r="O3532" s="92">
        <v>1.4095152E7</v>
      </c>
      <c r="P3532" s="92">
        <v>1.1974446E7</v>
      </c>
      <c r="Q3532" s="89" t="s">
        <v>810</v>
      </c>
      <c r="AF3532" s="1"/>
      <c r="AG3532" s="1"/>
    </row>
    <row r="3533" ht="15.75" customHeight="1">
      <c r="A3533" s="1"/>
      <c r="B3533" s="1"/>
      <c r="C3533" s="1"/>
      <c r="D3533" s="1"/>
      <c r="E3533" s="1"/>
      <c r="F3533" s="1"/>
      <c r="G3533" s="1"/>
      <c r="H3533" s="1"/>
      <c r="I3533" s="1"/>
      <c r="J3533" s="1"/>
      <c r="K3533" s="89" t="s">
        <v>5377</v>
      </c>
      <c r="L3533" s="89" t="str">
        <f>D116</f>
        <v>C1b2</v>
      </c>
      <c r="M3533" s="89"/>
      <c r="N3533" s="89"/>
      <c r="O3533" s="92">
        <v>1.4458657E7</v>
      </c>
      <c r="P3533" s="92">
        <v>1.233793E7</v>
      </c>
      <c r="Q3533" s="89" t="s">
        <v>810</v>
      </c>
      <c r="AF3533" s="1"/>
      <c r="AG3533" s="1"/>
    </row>
    <row r="3534" ht="15.75" customHeight="1">
      <c r="A3534" s="1"/>
      <c r="B3534" s="1"/>
      <c r="C3534" s="1"/>
      <c r="D3534" s="1"/>
      <c r="E3534" s="1"/>
      <c r="F3534" s="1"/>
      <c r="G3534" s="1"/>
      <c r="H3534" s="1"/>
      <c r="I3534" s="1"/>
      <c r="J3534" s="1"/>
      <c r="K3534" s="89" t="s">
        <v>5378</v>
      </c>
      <c r="L3534" s="89" t="str">
        <f>D116</f>
        <v>C1b2</v>
      </c>
      <c r="M3534" s="89"/>
      <c r="N3534" s="89"/>
      <c r="O3534" s="92">
        <v>1.4492003E7</v>
      </c>
      <c r="P3534" s="92">
        <v>1.23802E7</v>
      </c>
      <c r="Q3534" s="89" t="s">
        <v>831</v>
      </c>
      <c r="AF3534" s="1"/>
      <c r="AG3534" s="1"/>
    </row>
    <row r="3535" ht="15.75" customHeight="1">
      <c r="A3535" s="1"/>
      <c r="B3535" s="1"/>
      <c r="C3535" s="1"/>
      <c r="D3535" s="1"/>
      <c r="E3535" s="1"/>
      <c r="F3535" s="1"/>
      <c r="G3535" s="1"/>
      <c r="H3535" s="1"/>
      <c r="I3535" s="1"/>
      <c r="J3535" s="1"/>
      <c r="K3535" s="89" t="s">
        <v>5379</v>
      </c>
      <c r="L3535" s="89" t="str">
        <f>D116</f>
        <v>C1b2</v>
      </c>
      <c r="M3535" s="89"/>
      <c r="N3535" s="89"/>
      <c r="O3535" s="92">
        <v>1.518215E7</v>
      </c>
      <c r="P3535" s="92">
        <v>1.3070236E7</v>
      </c>
      <c r="Q3535" s="89" t="s">
        <v>917</v>
      </c>
      <c r="AF3535" s="1"/>
      <c r="AG3535" s="1"/>
    </row>
    <row r="3536" ht="15.75" customHeight="1">
      <c r="A3536" s="1"/>
      <c r="B3536" s="1"/>
      <c r="C3536" s="1"/>
      <c r="D3536" s="1"/>
      <c r="E3536" s="1"/>
      <c r="F3536" s="1"/>
      <c r="G3536" s="1"/>
      <c r="H3536" s="1"/>
      <c r="I3536" s="1"/>
      <c r="J3536" s="1"/>
      <c r="K3536" s="89" t="s">
        <v>5380</v>
      </c>
      <c r="L3536" s="89" t="str">
        <f>D116</f>
        <v>C1b2</v>
      </c>
      <c r="M3536" s="89"/>
      <c r="N3536" s="89"/>
      <c r="O3536" s="92">
        <v>1.5253491E7</v>
      </c>
      <c r="P3536" s="92">
        <v>1.3141577E7</v>
      </c>
      <c r="Q3536" s="89" t="s">
        <v>886</v>
      </c>
      <c r="AF3536" s="1"/>
      <c r="AG3536" s="1"/>
    </row>
    <row r="3537" ht="15.75" customHeight="1">
      <c r="A3537" s="1"/>
      <c r="B3537" s="1"/>
      <c r="C3537" s="1"/>
      <c r="D3537" s="1"/>
      <c r="E3537" s="1"/>
      <c r="F3537" s="1"/>
      <c r="G3537" s="1"/>
      <c r="H3537" s="1"/>
      <c r="I3537" s="1"/>
      <c r="J3537" s="1"/>
      <c r="K3537" s="89" t="s">
        <v>5381</v>
      </c>
      <c r="L3537" s="89" t="str">
        <f>D116</f>
        <v>C1b2</v>
      </c>
      <c r="M3537" s="89"/>
      <c r="N3537" s="89"/>
      <c r="O3537" s="92">
        <v>1.5332653E7</v>
      </c>
      <c r="P3537" s="92">
        <v>1.3220771E7</v>
      </c>
      <c r="Q3537" s="89" t="s">
        <v>831</v>
      </c>
      <c r="AF3537" s="1"/>
      <c r="AG3537" s="1"/>
    </row>
    <row r="3538" ht="15.75" customHeight="1">
      <c r="A3538" s="1"/>
      <c r="B3538" s="1"/>
      <c r="C3538" s="1"/>
      <c r="D3538" s="1"/>
      <c r="E3538" s="1"/>
      <c r="F3538" s="1"/>
      <c r="G3538" s="1"/>
      <c r="H3538" s="1"/>
      <c r="I3538" s="1"/>
      <c r="J3538" s="1"/>
      <c r="K3538" s="89" t="s">
        <v>5382</v>
      </c>
      <c r="L3538" s="89" t="str">
        <f>D116</f>
        <v>C1b2</v>
      </c>
      <c r="M3538" s="89"/>
      <c r="N3538" s="89"/>
      <c r="O3538" s="92">
        <v>1.5436063E7</v>
      </c>
      <c r="P3538" s="92">
        <v>1.3324183E7</v>
      </c>
      <c r="Q3538" s="89" t="s">
        <v>810</v>
      </c>
      <c r="AF3538" s="1"/>
      <c r="AG3538" s="1"/>
    </row>
    <row r="3539" ht="15.75" customHeight="1">
      <c r="A3539" s="1"/>
      <c r="B3539" s="1"/>
      <c r="C3539" s="1"/>
      <c r="D3539" s="1"/>
      <c r="E3539" s="1"/>
      <c r="F3539" s="1"/>
      <c r="G3539" s="1"/>
      <c r="H3539" s="1"/>
      <c r="I3539" s="1"/>
      <c r="J3539" s="1"/>
      <c r="K3539" s="89" t="s">
        <v>5383</v>
      </c>
      <c r="L3539" s="89" t="str">
        <f>D116</f>
        <v>C1b2</v>
      </c>
      <c r="M3539" s="89"/>
      <c r="N3539" s="89"/>
      <c r="O3539" s="92">
        <v>1.5562426E7</v>
      </c>
      <c r="P3539" s="92">
        <v>1.3450546E7</v>
      </c>
      <c r="Q3539" s="89" t="s">
        <v>813</v>
      </c>
      <c r="AF3539" s="1"/>
      <c r="AG3539" s="1"/>
    </row>
    <row r="3540" ht="15.75" customHeight="1">
      <c r="A3540" s="1"/>
      <c r="B3540" s="1"/>
      <c r="C3540" s="1"/>
      <c r="D3540" s="1"/>
      <c r="E3540" s="1"/>
      <c r="F3540" s="1"/>
      <c r="G3540" s="1"/>
      <c r="H3540" s="1"/>
      <c r="I3540" s="1"/>
      <c r="J3540" s="1"/>
      <c r="K3540" s="89" t="s">
        <v>5384</v>
      </c>
      <c r="L3540" s="89" t="str">
        <f>D116</f>
        <v>C1b2</v>
      </c>
      <c r="M3540" s="89"/>
      <c r="N3540" s="89"/>
      <c r="O3540" s="92">
        <v>1.5584376E7</v>
      </c>
      <c r="P3540" s="92">
        <v>1.3472496E7</v>
      </c>
      <c r="Q3540" s="89" t="s">
        <v>838</v>
      </c>
      <c r="AF3540" s="1"/>
      <c r="AG3540" s="1"/>
    </row>
    <row r="3541" ht="15.75" customHeight="1">
      <c r="A3541" s="1"/>
      <c r="B3541" s="1"/>
      <c r="C3541" s="1"/>
      <c r="D3541" s="1"/>
      <c r="E3541" s="1"/>
      <c r="F3541" s="1"/>
      <c r="G3541" s="1"/>
      <c r="H3541" s="1"/>
      <c r="I3541" s="1"/>
      <c r="J3541" s="1"/>
      <c r="K3541" s="89" t="s">
        <v>5385</v>
      </c>
      <c r="L3541" s="89" t="str">
        <f>D116</f>
        <v>C1b2</v>
      </c>
      <c r="M3541" s="89"/>
      <c r="N3541" s="89"/>
      <c r="O3541" s="92">
        <v>1.5601569E7</v>
      </c>
      <c r="P3541" s="92">
        <v>1.3489689E7</v>
      </c>
      <c r="Q3541" s="89" t="s">
        <v>886</v>
      </c>
      <c r="AF3541" s="1"/>
      <c r="AG3541" s="1"/>
    </row>
    <row r="3542" ht="15.75" customHeight="1">
      <c r="A3542" s="1"/>
      <c r="B3542" s="1"/>
      <c r="C3542" s="1"/>
      <c r="D3542" s="1"/>
      <c r="E3542" s="1"/>
      <c r="F3542" s="1"/>
      <c r="G3542" s="1"/>
      <c r="H3542" s="1"/>
      <c r="I3542" s="1"/>
      <c r="J3542" s="1"/>
      <c r="K3542" s="89" t="s">
        <v>5386</v>
      </c>
      <c r="L3542" s="89" t="str">
        <f>D116</f>
        <v>C1b2</v>
      </c>
      <c r="M3542" s="89"/>
      <c r="N3542" s="89"/>
      <c r="O3542" s="92">
        <v>1.5827718E7</v>
      </c>
      <c r="P3542" s="92">
        <v>1.3715838E7</v>
      </c>
      <c r="Q3542" s="89" t="s">
        <v>822</v>
      </c>
      <c r="AF3542" s="1"/>
      <c r="AG3542" s="1"/>
    </row>
    <row r="3543" ht="15.75" customHeight="1">
      <c r="A3543" s="1"/>
      <c r="B3543" s="1"/>
      <c r="C3543" s="1"/>
      <c r="D3543" s="1"/>
      <c r="E3543" s="1"/>
      <c r="F3543" s="1"/>
      <c r="G3543" s="1"/>
      <c r="H3543" s="1"/>
      <c r="I3543" s="1"/>
      <c r="J3543" s="1"/>
      <c r="K3543" s="89" t="s">
        <v>5387</v>
      </c>
      <c r="L3543" s="89" t="str">
        <f>D116</f>
        <v>C1b2</v>
      </c>
      <c r="M3543" s="89"/>
      <c r="N3543" s="89"/>
      <c r="O3543" s="92">
        <v>1.5972304E7</v>
      </c>
      <c r="P3543" s="92">
        <v>1.3860424E7</v>
      </c>
      <c r="Q3543" s="89" t="s">
        <v>822</v>
      </c>
      <c r="AF3543" s="1"/>
      <c r="AG3543" s="1"/>
    </row>
    <row r="3544" ht="15.75" customHeight="1">
      <c r="A3544" s="1"/>
      <c r="B3544" s="1"/>
      <c r="C3544" s="1"/>
      <c r="D3544" s="1"/>
      <c r="E3544" s="1"/>
      <c r="F3544" s="1"/>
      <c r="G3544" s="1"/>
      <c r="H3544" s="1"/>
      <c r="I3544" s="1"/>
      <c r="J3544" s="1"/>
      <c r="K3544" s="89" t="s">
        <v>5388</v>
      </c>
      <c r="L3544" s="89" t="str">
        <f>D116</f>
        <v>C1b2</v>
      </c>
      <c r="M3544" s="89"/>
      <c r="N3544" s="89"/>
      <c r="O3544" s="92">
        <v>1.597357E7</v>
      </c>
      <c r="P3544" s="92">
        <v>1.386169E7</v>
      </c>
      <c r="Q3544" s="89" t="s">
        <v>912</v>
      </c>
      <c r="AF3544" s="1"/>
      <c r="AG3544" s="1"/>
    </row>
    <row r="3545" ht="15.75" customHeight="1">
      <c r="A3545" s="1"/>
      <c r="B3545" s="1"/>
      <c r="C3545" s="1"/>
      <c r="D3545" s="1"/>
      <c r="E3545" s="1"/>
      <c r="F3545" s="1"/>
      <c r="G3545" s="1"/>
      <c r="H3545" s="1"/>
      <c r="I3545" s="1"/>
      <c r="J3545" s="1"/>
      <c r="K3545" s="89" t="s">
        <v>5389</v>
      </c>
      <c r="L3545" s="89" t="str">
        <f>D116</f>
        <v>C1b2</v>
      </c>
      <c r="M3545" s="89"/>
      <c r="N3545" s="89"/>
      <c r="O3545" s="92">
        <v>1.6371897E7</v>
      </c>
      <c r="P3545" s="92">
        <v>1.4260017E7</v>
      </c>
      <c r="Q3545" s="89" t="s">
        <v>831</v>
      </c>
      <c r="AF3545" s="1"/>
      <c r="AG3545" s="1"/>
    </row>
    <row r="3546" ht="15.75" customHeight="1">
      <c r="A3546" s="1"/>
      <c r="B3546" s="1"/>
      <c r="C3546" s="1"/>
      <c r="D3546" s="1"/>
      <c r="E3546" s="1"/>
      <c r="F3546" s="1"/>
      <c r="G3546" s="1"/>
      <c r="H3546" s="1"/>
      <c r="I3546" s="1"/>
      <c r="J3546" s="1"/>
      <c r="K3546" s="89" t="s">
        <v>5390</v>
      </c>
      <c r="L3546" s="89" t="str">
        <f>D116</f>
        <v>C1b2</v>
      </c>
      <c r="M3546" s="89"/>
      <c r="N3546" s="89"/>
      <c r="O3546" s="92">
        <v>1.6852946E7</v>
      </c>
      <c r="P3546" s="92">
        <v>1.4741066E7</v>
      </c>
      <c r="Q3546" s="89" t="s">
        <v>802</v>
      </c>
      <c r="AF3546" s="1"/>
      <c r="AG3546" s="1"/>
    </row>
    <row r="3547" ht="15.75" customHeight="1">
      <c r="A3547" s="1"/>
      <c r="B3547" s="1"/>
      <c r="C3547" s="1"/>
      <c r="D3547" s="1"/>
      <c r="E3547" s="1"/>
      <c r="F3547" s="1"/>
      <c r="G3547" s="1"/>
      <c r="H3547" s="1"/>
      <c r="I3547" s="1"/>
      <c r="J3547" s="1"/>
      <c r="K3547" s="89" t="s">
        <v>5391</v>
      </c>
      <c r="L3547" s="89" t="str">
        <f>D116</f>
        <v>C1b2</v>
      </c>
      <c r="M3547" s="89"/>
      <c r="N3547" s="89"/>
      <c r="O3547" s="92">
        <v>1.7365724E7</v>
      </c>
      <c r="P3547" s="92">
        <v>1.5253844E7</v>
      </c>
      <c r="Q3547" s="89" t="s">
        <v>879</v>
      </c>
      <c r="AF3547" s="1"/>
      <c r="AG3547" s="1"/>
    </row>
    <row r="3548" ht="15.75" customHeight="1">
      <c r="A3548" s="1"/>
      <c r="B3548" s="1"/>
      <c r="C3548" s="1"/>
      <c r="D3548" s="1"/>
      <c r="E3548" s="1"/>
      <c r="F3548" s="1"/>
      <c r="G3548" s="1"/>
      <c r="H3548" s="1"/>
      <c r="I3548" s="1"/>
      <c r="J3548" s="1"/>
      <c r="K3548" s="89" t="s">
        <v>5392</v>
      </c>
      <c r="L3548" s="89" t="str">
        <f>D116</f>
        <v>C1b2</v>
      </c>
      <c r="M3548" s="89"/>
      <c r="N3548" s="89"/>
      <c r="O3548" s="92">
        <v>1.8078335E7</v>
      </c>
      <c r="P3548" s="92">
        <v>1.5966455E7</v>
      </c>
      <c r="Q3548" s="89" t="s">
        <v>879</v>
      </c>
      <c r="AF3548" s="1"/>
      <c r="AG3548" s="1"/>
    </row>
    <row r="3549" ht="15.75" customHeight="1">
      <c r="A3549" s="1"/>
      <c r="B3549" s="1"/>
      <c r="C3549" s="1"/>
      <c r="D3549" s="1"/>
      <c r="E3549" s="1"/>
      <c r="F3549" s="1"/>
      <c r="G3549" s="1"/>
      <c r="H3549" s="1"/>
      <c r="I3549" s="1"/>
      <c r="J3549" s="1"/>
      <c r="K3549" s="89" t="s">
        <v>5393</v>
      </c>
      <c r="L3549" s="89" t="str">
        <f>D116</f>
        <v>C1b2</v>
      </c>
      <c r="M3549" s="89"/>
      <c r="N3549" s="89"/>
      <c r="O3549" s="92">
        <v>1.8899417E7</v>
      </c>
      <c r="P3549" s="92">
        <v>1.6787537E7</v>
      </c>
      <c r="Q3549" s="89" t="s">
        <v>845</v>
      </c>
      <c r="AF3549" s="1"/>
      <c r="AG3549" s="1"/>
    </row>
    <row r="3550" ht="15.75" customHeight="1">
      <c r="A3550" s="1"/>
      <c r="B3550" s="1"/>
      <c r="C3550" s="1"/>
      <c r="D3550" s="1"/>
      <c r="E3550" s="1"/>
      <c r="F3550" s="1"/>
      <c r="G3550" s="1"/>
      <c r="H3550" s="1"/>
      <c r="I3550" s="1"/>
      <c r="J3550" s="1"/>
      <c r="K3550" s="89" t="s">
        <v>5394</v>
      </c>
      <c r="L3550" s="89" t="str">
        <f>D116</f>
        <v>C1b2</v>
      </c>
      <c r="M3550" s="89"/>
      <c r="N3550" s="89"/>
      <c r="O3550" s="92">
        <v>1.8984527E7</v>
      </c>
      <c r="P3550" s="92">
        <v>1.6872647E7</v>
      </c>
      <c r="Q3550" s="89" t="s">
        <v>810</v>
      </c>
      <c r="AF3550" s="1"/>
      <c r="AG3550" s="1"/>
    </row>
    <row r="3551" ht="15.75" customHeight="1">
      <c r="A3551" s="1"/>
      <c r="B3551" s="1"/>
      <c r="C3551" s="1"/>
      <c r="D3551" s="1"/>
      <c r="E3551" s="1"/>
      <c r="F3551" s="1"/>
      <c r="G3551" s="1"/>
      <c r="H3551" s="1"/>
      <c r="I3551" s="1"/>
      <c r="J3551" s="1"/>
      <c r="K3551" s="89" t="s">
        <v>5395</v>
      </c>
      <c r="L3551" s="89" t="str">
        <f>D116</f>
        <v>C1b2</v>
      </c>
      <c r="M3551" s="89"/>
      <c r="N3551" s="89" t="s">
        <v>5396</v>
      </c>
      <c r="O3551" s="92">
        <v>1.9068168E7</v>
      </c>
      <c r="P3551" s="92">
        <v>1.6956288E7</v>
      </c>
      <c r="Q3551" s="89" t="s">
        <v>802</v>
      </c>
      <c r="AF3551" s="1"/>
      <c r="AG3551" s="1"/>
    </row>
    <row r="3552" ht="15.75" customHeight="1">
      <c r="A3552" s="1"/>
      <c r="B3552" s="1"/>
      <c r="C3552" s="1"/>
      <c r="D3552" s="1"/>
      <c r="E3552" s="1"/>
      <c r="F3552" s="1"/>
      <c r="G3552" s="1"/>
      <c r="H3552" s="1"/>
      <c r="I3552" s="1"/>
      <c r="J3552" s="1"/>
      <c r="K3552" s="89" t="s">
        <v>5397</v>
      </c>
      <c r="L3552" s="89" t="str">
        <f>D116</f>
        <v>C1b2</v>
      </c>
      <c r="M3552" s="89"/>
      <c r="N3552" s="89"/>
      <c r="O3552" s="92">
        <v>1.9530012E7</v>
      </c>
      <c r="P3552" s="92">
        <v>1.7418132E7</v>
      </c>
      <c r="Q3552" s="89" t="s">
        <v>864</v>
      </c>
      <c r="AF3552" s="1"/>
      <c r="AG3552" s="1"/>
    </row>
    <row r="3553" ht="15.75" customHeight="1">
      <c r="A3553" s="1"/>
      <c r="B3553" s="1"/>
      <c r="C3553" s="1"/>
      <c r="D3553" s="1"/>
      <c r="E3553" s="1"/>
      <c r="F3553" s="1"/>
      <c r="G3553" s="1"/>
      <c r="H3553" s="1"/>
      <c r="I3553" s="1"/>
      <c r="J3553" s="1"/>
      <c r="K3553" s="89" t="s">
        <v>5398</v>
      </c>
      <c r="L3553" s="89" t="str">
        <f>D116</f>
        <v>C1b2</v>
      </c>
      <c r="M3553" s="89"/>
      <c r="N3553" s="89"/>
      <c r="O3553" s="92">
        <v>2.1100123E7</v>
      </c>
      <c r="P3553" s="92">
        <v>1.8938237E7</v>
      </c>
      <c r="Q3553" s="89" t="s">
        <v>802</v>
      </c>
      <c r="AF3553" s="1"/>
      <c r="AG3553" s="1"/>
    </row>
    <row r="3554" ht="15.75" customHeight="1">
      <c r="A3554" s="1"/>
      <c r="B3554" s="1"/>
      <c r="C3554" s="1"/>
      <c r="D3554" s="1"/>
      <c r="E3554" s="1"/>
      <c r="F3554" s="1"/>
      <c r="G3554" s="1"/>
      <c r="H3554" s="1"/>
      <c r="I3554" s="1"/>
      <c r="J3554" s="1"/>
      <c r="K3554" s="89" t="s">
        <v>5399</v>
      </c>
      <c r="L3554" s="89" t="str">
        <f>D116</f>
        <v>C1b2</v>
      </c>
      <c r="M3554" s="89"/>
      <c r="N3554" s="89"/>
      <c r="O3554" s="92">
        <v>2.1129589E7</v>
      </c>
      <c r="P3554" s="92">
        <v>1.8967703E7</v>
      </c>
      <c r="Q3554" s="89" t="s">
        <v>879</v>
      </c>
      <c r="AF3554" s="1"/>
      <c r="AG3554" s="1"/>
    </row>
    <row r="3555" ht="15.75" customHeight="1">
      <c r="A3555" s="1"/>
      <c r="B3555" s="1"/>
      <c r="C3555" s="1"/>
      <c r="D3555" s="1"/>
      <c r="E3555" s="1"/>
      <c r="F3555" s="1"/>
      <c r="G3555" s="1"/>
      <c r="H3555" s="1"/>
      <c r="I3555" s="1"/>
      <c r="J3555" s="1"/>
      <c r="K3555" s="89" t="s">
        <v>5400</v>
      </c>
      <c r="L3555" s="89" t="str">
        <f>D116</f>
        <v>C1b2</v>
      </c>
      <c r="M3555" s="89"/>
      <c r="N3555" s="89"/>
      <c r="O3555" s="92">
        <v>2.1257183E7</v>
      </c>
      <c r="P3555" s="92">
        <v>1.9095297E7</v>
      </c>
      <c r="Q3555" s="89" t="s">
        <v>886</v>
      </c>
      <c r="AF3555" s="1"/>
      <c r="AG3555" s="1"/>
    </row>
    <row r="3556" ht="15.75" customHeight="1">
      <c r="A3556" s="1"/>
      <c r="B3556" s="1"/>
      <c r="C3556" s="1"/>
      <c r="D3556" s="1"/>
      <c r="E3556" s="1"/>
      <c r="F3556" s="1"/>
      <c r="G3556" s="1"/>
      <c r="H3556" s="1"/>
      <c r="I3556" s="1"/>
      <c r="J3556" s="1"/>
      <c r="K3556" s="89" t="s">
        <v>5401</v>
      </c>
      <c r="L3556" s="89" t="str">
        <f>D116</f>
        <v>C1b2</v>
      </c>
      <c r="M3556" s="89"/>
      <c r="N3556" s="89"/>
      <c r="O3556" s="92">
        <v>2.1310398E7</v>
      </c>
      <c r="P3556" s="92">
        <v>1.9148512E7</v>
      </c>
      <c r="Q3556" s="89" t="s">
        <v>822</v>
      </c>
      <c r="AF3556" s="1"/>
      <c r="AG3556" s="1"/>
    </row>
    <row r="3557" ht="15.75" customHeight="1">
      <c r="A3557" s="1"/>
      <c r="B3557" s="1"/>
      <c r="C3557" s="1"/>
      <c r="D3557" s="1"/>
      <c r="E3557" s="1"/>
      <c r="F3557" s="1"/>
      <c r="G3557" s="1"/>
      <c r="H3557" s="1"/>
      <c r="I3557" s="1"/>
      <c r="J3557" s="1"/>
      <c r="K3557" s="89" t="s">
        <v>5402</v>
      </c>
      <c r="L3557" s="89" t="str">
        <f>D116</f>
        <v>C1b2</v>
      </c>
      <c r="M3557" s="89"/>
      <c r="N3557" s="89"/>
      <c r="O3557" s="92">
        <v>2.1688143E7</v>
      </c>
      <c r="P3557" s="92">
        <v>1.9526257E7</v>
      </c>
      <c r="Q3557" s="89" t="s">
        <v>802</v>
      </c>
      <c r="AF3557" s="1"/>
      <c r="AG3557" s="1"/>
    </row>
    <row r="3558" ht="15.75" customHeight="1">
      <c r="A3558" s="1"/>
      <c r="B3558" s="1"/>
      <c r="C3558" s="1"/>
      <c r="D3558" s="1"/>
      <c r="E3558" s="1"/>
      <c r="F3558" s="1"/>
      <c r="G3558" s="1"/>
      <c r="H3558" s="1"/>
      <c r="I3558" s="1"/>
      <c r="J3558" s="1"/>
      <c r="K3558" s="89" t="s">
        <v>5403</v>
      </c>
      <c r="L3558" s="89" t="str">
        <f>D116</f>
        <v>C1b2</v>
      </c>
      <c r="M3558" s="89"/>
      <c r="N3558" s="89"/>
      <c r="O3558" s="92">
        <v>2.1737287E7</v>
      </c>
      <c r="P3558" s="92">
        <v>1.9575401E7</v>
      </c>
      <c r="Q3558" s="89" t="s">
        <v>802</v>
      </c>
      <c r="AF3558" s="1"/>
      <c r="AG3558" s="1"/>
    </row>
    <row r="3559" ht="15.75" customHeight="1">
      <c r="A3559" s="1"/>
      <c r="B3559" s="1"/>
      <c r="C3559" s="1"/>
      <c r="D3559" s="1"/>
      <c r="E3559" s="1"/>
      <c r="F3559" s="1"/>
      <c r="G3559" s="1"/>
      <c r="H3559" s="1"/>
      <c r="I3559" s="1"/>
      <c r="J3559" s="1"/>
      <c r="K3559" s="89" t="s">
        <v>5404</v>
      </c>
      <c r="L3559" s="89" t="str">
        <f>D116</f>
        <v>C1b2</v>
      </c>
      <c r="M3559" s="89"/>
      <c r="N3559" s="89"/>
      <c r="O3559" s="92">
        <v>2.2792308E7</v>
      </c>
      <c r="P3559" s="92">
        <v>2.0630422E7</v>
      </c>
      <c r="Q3559" s="89" t="s">
        <v>831</v>
      </c>
      <c r="AF3559" s="1"/>
      <c r="AG3559" s="1"/>
    </row>
    <row r="3560" ht="15.75" customHeight="1">
      <c r="A3560" s="1"/>
      <c r="B3560" s="1"/>
      <c r="C3560" s="1"/>
      <c r="D3560" s="1"/>
      <c r="E3560" s="1"/>
      <c r="F3560" s="1"/>
      <c r="G3560" s="1"/>
      <c r="H3560" s="1"/>
      <c r="I3560" s="1"/>
      <c r="J3560" s="1"/>
      <c r="K3560" s="89" t="s">
        <v>5405</v>
      </c>
      <c r="L3560" s="89" t="str">
        <f>D116</f>
        <v>C1b2</v>
      </c>
      <c r="M3560" s="89"/>
      <c r="N3560" s="89"/>
      <c r="O3560" s="92">
        <v>2.295761E7</v>
      </c>
      <c r="P3560" s="92">
        <v>2.0795724E7</v>
      </c>
      <c r="Q3560" s="89" t="s">
        <v>810</v>
      </c>
      <c r="AF3560" s="1"/>
      <c r="AG3560" s="1"/>
    </row>
    <row r="3561" ht="15.75" customHeight="1">
      <c r="A3561" s="1"/>
      <c r="B3561" s="1"/>
      <c r="C3561" s="1"/>
      <c r="D3561" s="1"/>
      <c r="E3561" s="1"/>
      <c r="F3561" s="1"/>
      <c r="G3561" s="1"/>
      <c r="H3561" s="1"/>
      <c r="I3561" s="1"/>
      <c r="J3561" s="1"/>
      <c r="K3561" s="89" t="s">
        <v>5406</v>
      </c>
      <c r="L3561" s="89" t="str">
        <f>D116</f>
        <v>C1b2</v>
      </c>
      <c r="M3561" s="89"/>
      <c r="N3561" s="89"/>
      <c r="O3561" s="92">
        <v>2.2962384E7</v>
      </c>
      <c r="P3561" s="92">
        <v>2.0800498E7</v>
      </c>
      <c r="Q3561" s="89" t="s">
        <v>802</v>
      </c>
      <c r="AF3561" s="1"/>
      <c r="AG3561" s="1"/>
    </row>
    <row r="3562" ht="15.75" customHeight="1">
      <c r="A3562" s="1"/>
      <c r="B3562" s="1"/>
      <c r="C3562" s="1"/>
      <c r="D3562" s="1"/>
      <c r="E3562" s="1"/>
      <c r="F3562" s="1"/>
      <c r="G3562" s="1"/>
      <c r="H3562" s="1"/>
      <c r="I3562" s="1"/>
      <c r="J3562" s="1"/>
      <c r="K3562" s="89" t="s">
        <v>5407</v>
      </c>
      <c r="L3562" s="89" t="str">
        <f>D116</f>
        <v>C1b2</v>
      </c>
      <c r="M3562" s="89"/>
      <c r="N3562" s="89"/>
      <c r="O3562" s="92">
        <v>2.3024833E7</v>
      </c>
      <c r="P3562" s="92">
        <v>2.0862947E7</v>
      </c>
      <c r="Q3562" s="89" t="s">
        <v>810</v>
      </c>
      <c r="AF3562" s="1"/>
      <c r="AG3562" s="1"/>
    </row>
    <row r="3563" ht="15.75" customHeight="1">
      <c r="A3563" s="1"/>
      <c r="B3563" s="1"/>
      <c r="C3563" s="1"/>
      <c r="D3563" s="1"/>
      <c r="E3563" s="1"/>
      <c r="F3563" s="1"/>
      <c r="G3563" s="1"/>
      <c r="H3563" s="1"/>
      <c r="I3563" s="1"/>
      <c r="J3563" s="1"/>
      <c r="K3563" s="89" t="s">
        <v>5408</v>
      </c>
      <c r="L3563" s="89" t="str">
        <f>D116</f>
        <v>C1b2</v>
      </c>
      <c r="M3563" s="89"/>
      <c r="N3563" s="89"/>
      <c r="O3563" s="92">
        <v>2.3090444E7</v>
      </c>
      <c r="P3563" s="92">
        <v>2.0928558E7</v>
      </c>
      <c r="Q3563" s="89" t="s">
        <v>802</v>
      </c>
      <c r="AF3563" s="1"/>
      <c r="AG3563" s="1"/>
    </row>
    <row r="3564" ht="15.75" customHeight="1">
      <c r="A3564" s="1"/>
      <c r="B3564" s="1"/>
      <c r="C3564" s="1"/>
      <c r="D3564" s="1"/>
      <c r="E3564" s="1"/>
      <c r="F3564" s="1"/>
      <c r="G3564" s="1"/>
      <c r="H3564" s="1"/>
      <c r="I3564" s="1"/>
      <c r="J3564" s="1"/>
      <c r="K3564" s="89" t="s">
        <v>5409</v>
      </c>
      <c r="L3564" s="89" t="str">
        <f>D116</f>
        <v>C1b2</v>
      </c>
      <c r="M3564" s="89"/>
      <c r="N3564" s="89"/>
      <c r="O3564" s="92">
        <v>2.3271771E7</v>
      </c>
      <c r="P3564" s="92">
        <v>2.1109885E7</v>
      </c>
      <c r="Q3564" s="89" t="s">
        <v>822</v>
      </c>
      <c r="AF3564" s="1"/>
      <c r="AG3564" s="1"/>
    </row>
    <row r="3565" ht="15.75" customHeight="1">
      <c r="A3565" s="1"/>
      <c r="B3565" s="1"/>
      <c r="C3565" s="1"/>
      <c r="D3565" s="1"/>
      <c r="E3565" s="1"/>
      <c r="F3565" s="1"/>
      <c r="G3565" s="1"/>
      <c r="H3565" s="1"/>
      <c r="I3565" s="1"/>
      <c r="J3565" s="1"/>
      <c r="K3565" s="89" t="s">
        <v>5410</v>
      </c>
      <c r="L3565" s="89" t="str">
        <f>D116</f>
        <v>C1b2</v>
      </c>
      <c r="M3565" s="89"/>
      <c r="N3565" s="89"/>
      <c r="O3565" s="92">
        <v>2.3301424E7</v>
      </c>
      <c r="P3565" s="92">
        <v>2.1139538E7</v>
      </c>
      <c r="Q3565" s="89" t="s">
        <v>879</v>
      </c>
      <c r="AF3565" s="1"/>
      <c r="AG3565" s="1"/>
    </row>
    <row r="3566" ht="15.75" customHeight="1">
      <c r="A3566" s="1"/>
      <c r="B3566" s="1"/>
      <c r="C3566" s="1"/>
      <c r="D3566" s="1"/>
      <c r="E3566" s="1"/>
      <c r="F3566" s="1"/>
      <c r="G3566" s="1"/>
      <c r="H3566" s="1"/>
      <c r="I3566" s="1"/>
      <c r="J3566" s="1"/>
      <c r="K3566" s="89" t="s">
        <v>5411</v>
      </c>
      <c r="L3566" s="89" t="str">
        <f>E117</f>
        <v>C1b2a~</v>
      </c>
      <c r="M3566" s="89"/>
      <c r="N3566" s="89"/>
      <c r="O3566" s="92">
        <v>6813590.0</v>
      </c>
      <c r="P3566" s="92">
        <v>6945549.0</v>
      </c>
      <c r="Q3566" s="89" t="s">
        <v>802</v>
      </c>
      <c r="AF3566" s="1"/>
      <c r="AG3566" s="1"/>
    </row>
    <row r="3567" ht="15.75" customHeight="1">
      <c r="A3567" s="1"/>
      <c r="B3567" s="1"/>
      <c r="C3567" s="1"/>
      <c r="D3567" s="1"/>
      <c r="E3567" s="1"/>
      <c r="F3567" s="1"/>
      <c r="G3567" s="1"/>
      <c r="H3567" s="1"/>
      <c r="I3567" s="1"/>
      <c r="J3567" s="1"/>
      <c r="K3567" s="89" t="s">
        <v>5412</v>
      </c>
      <c r="L3567" s="89" t="str">
        <f>E117</f>
        <v>C1b2a~</v>
      </c>
      <c r="M3567" s="89"/>
      <c r="N3567" s="89"/>
      <c r="O3567" s="92">
        <v>6891523.0</v>
      </c>
      <c r="P3567" s="92">
        <v>7023482.0</v>
      </c>
      <c r="Q3567" s="89" t="s">
        <v>838</v>
      </c>
      <c r="AF3567" s="1"/>
      <c r="AG3567" s="1"/>
    </row>
    <row r="3568" ht="15.75" customHeight="1">
      <c r="A3568" s="1"/>
      <c r="B3568" s="1"/>
      <c r="C3568" s="1"/>
      <c r="D3568" s="1"/>
      <c r="E3568" s="1"/>
      <c r="F3568" s="1"/>
      <c r="G3568" s="1"/>
      <c r="H3568" s="1"/>
      <c r="I3568" s="1"/>
      <c r="J3568" s="1"/>
      <c r="K3568" s="89" t="s">
        <v>5413</v>
      </c>
      <c r="L3568" s="89" t="str">
        <f>E117</f>
        <v>C1b2a~</v>
      </c>
      <c r="M3568" s="89"/>
      <c r="N3568" s="89"/>
      <c r="O3568" s="92">
        <v>6937845.0</v>
      </c>
      <c r="P3568" s="92">
        <v>7069804.0</v>
      </c>
      <c r="Q3568" s="89" t="s">
        <v>813</v>
      </c>
      <c r="AF3568" s="1"/>
      <c r="AG3568" s="1"/>
    </row>
    <row r="3569" ht="15.75" customHeight="1">
      <c r="A3569" s="1"/>
      <c r="B3569" s="1"/>
      <c r="C3569" s="1"/>
      <c r="D3569" s="1"/>
      <c r="E3569" s="1"/>
      <c r="F3569" s="1"/>
      <c r="G3569" s="1"/>
      <c r="H3569" s="1"/>
      <c r="I3569" s="1"/>
      <c r="J3569" s="1"/>
      <c r="K3569" s="89" t="s">
        <v>5414</v>
      </c>
      <c r="L3569" s="89" t="str">
        <f>E117</f>
        <v>C1b2a~</v>
      </c>
      <c r="M3569" s="89"/>
      <c r="N3569" s="89"/>
      <c r="O3569" s="92">
        <v>7051484.0</v>
      </c>
      <c r="P3569" s="92">
        <v>7183443.0</v>
      </c>
      <c r="Q3569" s="89" t="s">
        <v>802</v>
      </c>
      <c r="AF3569" s="1"/>
      <c r="AG3569" s="1"/>
    </row>
    <row r="3570" ht="15.75" customHeight="1">
      <c r="A3570" s="1"/>
      <c r="B3570" s="1"/>
      <c r="C3570" s="1"/>
      <c r="D3570" s="1"/>
      <c r="E3570" s="1"/>
      <c r="F3570" s="1"/>
      <c r="G3570" s="1"/>
      <c r="H3570" s="1"/>
      <c r="I3570" s="1"/>
      <c r="J3570" s="1"/>
      <c r="K3570" s="89" t="s">
        <v>5415</v>
      </c>
      <c r="L3570" s="89" t="str">
        <f t="shared" ref="L3570:L3571" si="21">E117</f>
        <v>C1b2a~</v>
      </c>
      <c r="M3570" s="89"/>
      <c r="N3570" s="89"/>
      <c r="O3570" s="92">
        <v>7091962.0</v>
      </c>
      <c r="P3570" s="92">
        <v>7223921.0</v>
      </c>
      <c r="Q3570" s="89" t="s">
        <v>879</v>
      </c>
      <c r="AF3570" s="1"/>
      <c r="AG3570" s="1"/>
    </row>
    <row r="3571" ht="15.75" customHeight="1">
      <c r="A3571" s="1"/>
      <c r="B3571" s="1"/>
      <c r="C3571" s="1"/>
      <c r="D3571" s="1"/>
      <c r="E3571" s="1"/>
      <c r="F3571" s="1"/>
      <c r="G3571" s="1"/>
      <c r="H3571" s="1"/>
      <c r="I3571" s="1"/>
      <c r="J3571" s="1"/>
      <c r="K3571" s="89" t="s">
        <v>5416</v>
      </c>
      <c r="L3571" s="89" t="str">
        <f t="shared" si="21"/>
        <v>C1b2b~</v>
      </c>
      <c r="M3571" s="89"/>
      <c r="N3571" s="89"/>
      <c r="O3571" s="92">
        <v>2826142.0</v>
      </c>
      <c r="P3571" s="92">
        <v>2958101.0</v>
      </c>
      <c r="Q3571" s="89" t="s">
        <v>822</v>
      </c>
      <c r="AF3571" s="1"/>
      <c r="AG3571" s="1"/>
    </row>
    <row r="3572" ht="15.75" customHeight="1">
      <c r="A3572" s="1"/>
      <c r="B3572" s="1"/>
      <c r="C3572" s="1"/>
      <c r="D3572" s="1"/>
      <c r="E3572" s="1"/>
      <c r="F3572" s="1"/>
      <c r="G3572" s="1"/>
      <c r="H3572" s="1"/>
      <c r="I3572" s="1"/>
      <c r="J3572" s="1"/>
      <c r="K3572" s="89" t="s">
        <v>5417</v>
      </c>
      <c r="L3572" s="89" t="str">
        <f>E118</f>
        <v>C1b2b~</v>
      </c>
      <c r="M3572" s="89"/>
      <c r="N3572" s="89"/>
      <c r="O3572" s="92">
        <v>2903638.0</v>
      </c>
      <c r="P3572" s="92">
        <v>3035597.0</v>
      </c>
      <c r="Q3572" s="89" t="s">
        <v>838</v>
      </c>
      <c r="AF3572" s="1"/>
      <c r="AG3572" s="1"/>
    </row>
    <row r="3573" ht="15.75" customHeight="1">
      <c r="A3573" s="1"/>
      <c r="B3573" s="1"/>
      <c r="C3573" s="1"/>
      <c r="D3573" s="1"/>
      <c r="E3573" s="1"/>
      <c r="F3573" s="1"/>
      <c r="G3573" s="1"/>
      <c r="H3573" s="1"/>
      <c r="I3573" s="1"/>
      <c r="J3573" s="1"/>
      <c r="K3573" s="89" t="s">
        <v>5418</v>
      </c>
      <c r="L3573" s="89" t="str">
        <f>E118</f>
        <v>C1b2b~</v>
      </c>
      <c r="M3573" s="89"/>
      <c r="N3573" s="89"/>
      <c r="O3573" s="92">
        <v>6763569.0</v>
      </c>
      <c r="P3573" s="92">
        <v>6895528.0</v>
      </c>
      <c r="Q3573" s="89" t="s">
        <v>912</v>
      </c>
      <c r="AF3573" s="1"/>
      <c r="AG3573" s="1"/>
    </row>
    <row r="3574" ht="15.75" customHeight="1">
      <c r="A3574" s="1"/>
      <c r="B3574" s="1"/>
      <c r="C3574" s="1"/>
      <c r="D3574" s="1"/>
      <c r="E3574" s="1"/>
      <c r="F3574" s="1"/>
      <c r="G3574" s="1"/>
      <c r="H3574" s="1"/>
      <c r="I3574" s="1"/>
      <c r="J3574" s="1"/>
      <c r="K3574" s="89" t="s">
        <v>5419</v>
      </c>
      <c r="L3574" s="89" t="str">
        <f>E118</f>
        <v>C1b2b~</v>
      </c>
      <c r="M3574" s="89"/>
      <c r="N3574" s="89"/>
      <c r="O3574" s="92">
        <v>6904113.0</v>
      </c>
      <c r="P3574" s="92">
        <v>7036072.0</v>
      </c>
      <c r="Q3574" s="89" t="s">
        <v>838</v>
      </c>
      <c r="AF3574" s="1"/>
      <c r="AG3574" s="1"/>
    </row>
    <row r="3575" ht="15.75" customHeight="1">
      <c r="A3575" s="1"/>
      <c r="B3575" s="1"/>
      <c r="C3575" s="1"/>
      <c r="D3575" s="1"/>
      <c r="E3575" s="1"/>
      <c r="F3575" s="1"/>
      <c r="G3575" s="1"/>
      <c r="H3575" s="1"/>
      <c r="I3575" s="1"/>
      <c r="J3575" s="1"/>
      <c r="K3575" s="89" t="s">
        <v>5420</v>
      </c>
      <c r="L3575" s="89" t="str">
        <f>E118</f>
        <v>C1b2b~</v>
      </c>
      <c r="M3575" s="89"/>
      <c r="N3575" s="89"/>
      <c r="O3575" s="92">
        <v>6912399.0</v>
      </c>
      <c r="P3575" s="92">
        <v>7044358.0</v>
      </c>
      <c r="Q3575" s="89" t="s">
        <v>822</v>
      </c>
      <c r="AF3575" s="1"/>
      <c r="AG3575" s="1"/>
    </row>
    <row r="3576" ht="15.75" customHeight="1">
      <c r="A3576" s="1"/>
      <c r="B3576" s="1"/>
      <c r="C3576" s="1"/>
      <c r="D3576" s="1"/>
      <c r="E3576" s="1"/>
      <c r="F3576" s="1"/>
      <c r="G3576" s="1"/>
      <c r="H3576" s="1"/>
      <c r="I3576" s="1"/>
      <c r="J3576" s="1"/>
      <c r="K3576" s="89" t="s">
        <v>5421</v>
      </c>
      <c r="L3576" s="89" t="str">
        <f>E115</f>
        <v>C1b1b~</v>
      </c>
      <c r="M3576" s="89"/>
      <c r="N3576" s="89"/>
      <c r="O3576" s="92">
        <v>2725191.0</v>
      </c>
      <c r="P3576" s="92">
        <v>2857150.0</v>
      </c>
      <c r="Q3576" s="89" t="s">
        <v>810</v>
      </c>
      <c r="AF3576" s="1"/>
      <c r="AG3576" s="1"/>
    </row>
    <row r="3577" ht="15.75" customHeight="1">
      <c r="A3577" s="1"/>
      <c r="B3577" s="1"/>
      <c r="C3577" s="1"/>
      <c r="D3577" s="1"/>
      <c r="E3577" s="1"/>
      <c r="F3577" s="1"/>
      <c r="G3577" s="1"/>
      <c r="H3577" s="1"/>
      <c r="I3577" s="1"/>
      <c r="J3577" s="1"/>
      <c r="K3577" s="89" t="s">
        <v>5422</v>
      </c>
      <c r="L3577" s="89" t="str">
        <f>E115</f>
        <v>C1b1b~</v>
      </c>
      <c r="M3577" s="89"/>
      <c r="N3577" s="89"/>
      <c r="O3577" s="92">
        <v>2671245.0</v>
      </c>
      <c r="P3577" s="92">
        <v>2803204.0</v>
      </c>
      <c r="Q3577" s="89" t="s">
        <v>838</v>
      </c>
      <c r="AF3577" s="1"/>
      <c r="AG3577" s="1"/>
    </row>
    <row r="3578" ht="15.75" customHeight="1">
      <c r="A3578" s="1"/>
      <c r="B3578" s="1"/>
      <c r="C3578" s="1"/>
      <c r="D3578" s="1"/>
      <c r="E3578" s="1"/>
      <c r="F3578" s="1"/>
      <c r="G3578" s="1"/>
      <c r="H3578" s="1"/>
      <c r="I3578" s="1"/>
      <c r="J3578" s="1"/>
      <c r="K3578" s="89" t="s">
        <v>5423</v>
      </c>
      <c r="L3578" s="89" t="str">
        <f>E115</f>
        <v>C1b1b~</v>
      </c>
      <c r="M3578" s="89"/>
      <c r="N3578" s="89"/>
      <c r="O3578" s="92">
        <v>2740713.0</v>
      </c>
      <c r="P3578" s="92">
        <v>2872672.0</v>
      </c>
      <c r="Q3578" s="89" t="s">
        <v>802</v>
      </c>
      <c r="AF3578" s="1"/>
      <c r="AG3578" s="1"/>
    </row>
    <row r="3579" ht="15.75" customHeight="1">
      <c r="A3579" s="1"/>
      <c r="B3579" s="1"/>
      <c r="C3579" s="1"/>
      <c r="D3579" s="1"/>
      <c r="E3579" s="1"/>
      <c r="F3579" s="1"/>
      <c r="G3579" s="1"/>
      <c r="H3579" s="1"/>
      <c r="I3579" s="1"/>
      <c r="J3579" s="1"/>
      <c r="K3579" s="89" t="s">
        <v>5424</v>
      </c>
      <c r="L3579" s="89" t="str">
        <f>E115</f>
        <v>C1b1b~</v>
      </c>
      <c r="M3579" s="89"/>
      <c r="N3579" s="89"/>
      <c r="O3579" s="92">
        <v>2745968.0</v>
      </c>
      <c r="P3579" s="92">
        <v>2877927.0</v>
      </c>
      <c r="Q3579" s="89" t="s">
        <v>802</v>
      </c>
      <c r="AF3579" s="1"/>
      <c r="AG3579" s="1"/>
    </row>
    <row r="3580" ht="15.75" customHeight="1">
      <c r="A3580" s="1"/>
      <c r="B3580" s="1"/>
      <c r="C3580" s="1"/>
      <c r="D3580" s="1"/>
      <c r="E3580" s="1"/>
      <c r="F3580" s="1"/>
      <c r="G3580" s="1"/>
      <c r="H3580" s="1"/>
      <c r="I3580" s="1"/>
      <c r="J3580" s="1"/>
      <c r="K3580" s="89" t="s">
        <v>5425</v>
      </c>
      <c r="L3580" s="89" t="str">
        <f>E115</f>
        <v>C1b1b~</v>
      </c>
      <c r="M3580" s="89"/>
      <c r="N3580" s="89"/>
      <c r="O3580" s="92">
        <v>2746061.0</v>
      </c>
      <c r="P3580" s="92">
        <v>2878020.0</v>
      </c>
      <c r="Q3580" s="89" t="s">
        <v>822</v>
      </c>
      <c r="AF3580" s="1"/>
      <c r="AG3580" s="1"/>
    </row>
    <row r="3581" ht="15.75" customHeight="1">
      <c r="A3581" s="1"/>
      <c r="B3581" s="1"/>
      <c r="C3581" s="1"/>
      <c r="D3581" s="1"/>
      <c r="E3581" s="1"/>
      <c r="F3581" s="1"/>
      <c r="G3581" s="1"/>
      <c r="H3581" s="1"/>
      <c r="I3581" s="1"/>
      <c r="J3581" s="1"/>
      <c r="K3581" s="89" t="s">
        <v>5426</v>
      </c>
      <c r="L3581" s="89" t="str">
        <f>D119</f>
        <v>C1b3</v>
      </c>
      <c r="M3581" s="89" t="s">
        <v>5427</v>
      </c>
      <c r="N3581" s="89" t="s">
        <v>5428</v>
      </c>
      <c r="O3581" s="92">
        <v>6822655.0</v>
      </c>
      <c r="P3581" s="92">
        <v>6954614.0</v>
      </c>
      <c r="Q3581" s="89" t="s">
        <v>810</v>
      </c>
      <c r="AF3581" s="1"/>
      <c r="AG3581" s="1"/>
    </row>
    <row r="3582" ht="15.75" customHeight="1">
      <c r="A3582" s="1"/>
      <c r="B3582" s="1"/>
      <c r="C3582" s="1"/>
      <c r="D3582" s="1"/>
      <c r="E3582" s="1"/>
      <c r="F3582" s="1"/>
      <c r="G3582" s="1"/>
      <c r="H3582" s="1"/>
      <c r="I3582" s="1"/>
      <c r="J3582" s="1"/>
      <c r="K3582" s="89" t="s">
        <v>5427</v>
      </c>
      <c r="L3582" s="89" t="str">
        <f>D119</f>
        <v>C1b3</v>
      </c>
      <c r="M3582" s="89" t="s">
        <v>5426</v>
      </c>
      <c r="N3582" s="89" t="s">
        <v>5428</v>
      </c>
      <c r="O3582" s="92">
        <v>6822655.0</v>
      </c>
      <c r="P3582" s="92">
        <v>6954614.0</v>
      </c>
      <c r="Q3582" s="89" t="s">
        <v>810</v>
      </c>
      <c r="AF3582" s="1"/>
      <c r="AG3582" s="1"/>
    </row>
    <row r="3583" ht="15.75" customHeight="1">
      <c r="A3583" s="1"/>
      <c r="B3583" s="1"/>
      <c r="C3583" s="1"/>
      <c r="D3583" s="1"/>
      <c r="E3583" s="1"/>
      <c r="F3583" s="1"/>
      <c r="G3583" s="1"/>
      <c r="H3583" s="1"/>
      <c r="I3583" s="1"/>
      <c r="J3583" s="1"/>
      <c r="K3583" s="89" t="s">
        <v>5429</v>
      </c>
      <c r="L3583" s="89" t="str">
        <f>D119</f>
        <v>C1b3</v>
      </c>
      <c r="M3583" s="89"/>
      <c r="N3583" s="89" t="s">
        <v>5430</v>
      </c>
      <c r="O3583" s="92">
        <v>7275121.0</v>
      </c>
      <c r="P3583" s="92">
        <v>7407080.0</v>
      </c>
      <c r="Q3583" s="89" t="s">
        <v>810</v>
      </c>
      <c r="AF3583" s="1"/>
      <c r="AG3583" s="1"/>
    </row>
    <row r="3584" ht="15.75" customHeight="1">
      <c r="A3584" s="1"/>
      <c r="B3584" s="1"/>
      <c r="C3584" s="1"/>
      <c r="D3584" s="1"/>
      <c r="E3584" s="1"/>
      <c r="F3584" s="1"/>
      <c r="G3584" s="1"/>
      <c r="H3584" s="1"/>
      <c r="I3584" s="1"/>
      <c r="J3584" s="1"/>
      <c r="K3584" s="89" t="s">
        <v>5431</v>
      </c>
      <c r="L3584" s="89" t="str">
        <f>D119</f>
        <v>C1b3</v>
      </c>
      <c r="M3584" s="89"/>
      <c r="N3584" s="89" t="s">
        <v>5432</v>
      </c>
      <c r="O3584" s="92">
        <v>6864203.0</v>
      </c>
      <c r="P3584" s="92">
        <v>6996162.0</v>
      </c>
      <c r="Q3584" s="89" t="s">
        <v>813</v>
      </c>
      <c r="AF3584" s="1"/>
      <c r="AG3584" s="1"/>
    </row>
    <row r="3585" ht="15.75" customHeight="1">
      <c r="A3585" s="1"/>
      <c r="B3585" s="1"/>
      <c r="C3585" s="1"/>
      <c r="D3585" s="1"/>
      <c r="E3585" s="1"/>
      <c r="F3585" s="1"/>
      <c r="G3585" s="1"/>
      <c r="H3585" s="1"/>
      <c r="I3585" s="1"/>
      <c r="J3585" s="1"/>
      <c r="K3585" s="89" t="s">
        <v>5433</v>
      </c>
      <c r="L3585" s="89" t="str">
        <f>D119</f>
        <v>C1b3</v>
      </c>
      <c r="M3585" s="89"/>
      <c r="N3585" s="89" t="s">
        <v>5434</v>
      </c>
      <c r="O3585" s="92">
        <v>1.4546318E7</v>
      </c>
      <c r="P3585" s="92">
        <v>1.2434519E7</v>
      </c>
      <c r="Q3585" s="89" t="s">
        <v>845</v>
      </c>
      <c r="AF3585" s="1"/>
      <c r="AG3585" s="1"/>
    </row>
    <row r="3586" ht="15.75" customHeight="1">
      <c r="A3586" s="1"/>
      <c r="B3586" s="1"/>
      <c r="C3586" s="1"/>
      <c r="D3586" s="1"/>
      <c r="E3586" s="1"/>
      <c r="F3586" s="1"/>
      <c r="G3586" s="1"/>
      <c r="H3586" s="1"/>
      <c r="I3586" s="1"/>
      <c r="J3586" s="1"/>
      <c r="K3586" s="89" t="s">
        <v>5435</v>
      </c>
      <c r="L3586" s="89" t="str">
        <f>D119</f>
        <v>C1b3</v>
      </c>
      <c r="M3586" s="89"/>
      <c r="N3586" s="89" t="s">
        <v>5436</v>
      </c>
      <c r="O3586" s="92">
        <v>1.4659512E7</v>
      </c>
      <c r="P3586" s="92">
        <v>1.2547577E7</v>
      </c>
      <c r="Q3586" s="89" t="s">
        <v>810</v>
      </c>
      <c r="AF3586" s="1"/>
      <c r="AG3586" s="1"/>
    </row>
    <row r="3587" ht="15.75" customHeight="1">
      <c r="A3587" s="1"/>
      <c r="B3587" s="1"/>
      <c r="C3587" s="1"/>
      <c r="D3587" s="1"/>
      <c r="E3587" s="1"/>
      <c r="F3587" s="1"/>
      <c r="G3587" s="1"/>
      <c r="H3587" s="1"/>
      <c r="I3587" s="1"/>
      <c r="J3587" s="1"/>
      <c r="K3587" s="89" t="s">
        <v>5437</v>
      </c>
      <c r="L3587" s="89" t="str">
        <f>D119</f>
        <v>C1b3</v>
      </c>
      <c r="M3587" s="89"/>
      <c r="N3587" s="89" t="s">
        <v>5438</v>
      </c>
      <c r="O3587" s="92">
        <v>1.7466445E7</v>
      </c>
      <c r="P3587" s="92">
        <v>1.5354565E7</v>
      </c>
      <c r="Q3587" s="89" t="s">
        <v>810</v>
      </c>
      <c r="AF3587" s="1"/>
      <c r="AG3587" s="1"/>
    </row>
    <row r="3588" ht="15.75" customHeight="1">
      <c r="A3588" s="1"/>
      <c r="B3588" s="1"/>
      <c r="C3588" s="1"/>
      <c r="D3588" s="1"/>
      <c r="E3588" s="1"/>
      <c r="F3588" s="1"/>
      <c r="G3588" s="1"/>
      <c r="H3588" s="1"/>
      <c r="I3588" s="1"/>
      <c r="J3588" s="1"/>
      <c r="K3588" s="89" t="s">
        <v>5439</v>
      </c>
      <c r="L3588" s="89" t="str">
        <f>D119</f>
        <v>C1b3</v>
      </c>
      <c r="M3588" s="89"/>
      <c r="N3588" s="89" t="s">
        <v>5440</v>
      </c>
      <c r="O3588" s="89">
        <v>1.7653223E7</v>
      </c>
      <c r="P3588" s="89">
        <v>1.5541343E7</v>
      </c>
      <c r="Q3588" s="89" t="s">
        <v>838</v>
      </c>
      <c r="AF3588" s="1"/>
      <c r="AG3588" s="1"/>
    </row>
    <row r="3589" ht="15.75" customHeight="1">
      <c r="A3589" s="1"/>
      <c r="B3589" s="1"/>
      <c r="C3589" s="1"/>
      <c r="D3589" s="1"/>
      <c r="E3589" s="1"/>
      <c r="F3589" s="1"/>
      <c r="G3589" s="1"/>
      <c r="H3589" s="1"/>
      <c r="I3589" s="1"/>
      <c r="J3589" s="1"/>
      <c r="K3589" s="89" t="s">
        <v>5441</v>
      </c>
      <c r="L3589" s="89" t="str">
        <f>D119</f>
        <v>C1b3</v>
      </c>
      <c r="M3589" s="89"/>
      <c r="N3589" s="89" t="s">
        <v>5442</v>
      </c>
      <c r="O3589" s="92">
        <v>1.7816488E7</v>
      </c>
      <c r="P3589" s="92">
        <v>1.5704608E7</v>
      </c>
      <c r="Q3589" s="89" t="s">
        <v>917</v>
      </c>
      <c r="AF3589" s="1"/>
      <c r="AG3589" s="1"/>
    </row>
    <row r="3590" ht="15.75" customHeight="1">
      <c r="A3590" s="1"/>
      <c r="B3590" s="1"/>
      <c r="C3590" s="1"/>
      <c r="D3590" s="1"/>
      <c r="E3590" s="1"/>
      <c r="F3590" s="1"/>
      <c r="G3590" s="1"/>
      <c r="H3590" s="1"/>
      <c r="I3590" s="1"/>
      <c r="J3590" s="1"/>
      <c r="K3590" s="89" t="s">
        <v>5443</v>
      </c>
      <c r="L3590" s="89" t="str">
        <f>D119</f>
        <v>C1b3</v>
      </c>
      <c r="M3590" s="89"/>
      <c r="N3590" s="89" t="s">
        <v>5444</v>
      </c>
      <c r="O3590" s="92">
        <v>1.8913123E7</v>
      </c>
      <c r="P3590" s="92">
        <v>1.6801243E7</v>
      </c>
      <c r="Q3590" s="89" t="s">
        <v>802</v>
      </c>
      <c r="AF3590" s="1"/>
      <c r="AG3590" s="1"/>
    </row>
    <row r="3591" ht="15.75" customHeight="1">
      <c r="A3591" s="1"/>
      <c r="B3591" s="1"/>
      <c r="C3591" s="1"/>
      <c r="D3591" s="1"/>
      <c r="E3591" s="1"/>
      <c r="F3591" s="1"/>
      <c r="G3591" s="1"/>
      <c r="H3591" s="1"/>
      <c r="I3591" s="1"/>
      <c r="J3591" s="1"/>
      <c r="K3591" s="89" t="s">
        <v>5445</v>
      </c>
      <c r="L3591" s="89" t="str">
        <f>D119</f>
        <v>C1b3</v>
      </c>
      <c r="M3591" s="89"/>
      <c r="N3591" s="89" t="s">
        <v>5446</v>
      </c>
      <c r="O3591" s="92">
        <v>1.9215759E7</v>
      </c>
      <c r="P3591" s="92">
        <v>1.7103879E7</v>
      </c>
      <c r="Q3591" s="89" t="s">
        <v>879</v>
      </c>
      <c r="AF3591" s="1"/>
      <c r="AG3591" s="1"/>
    </row>
    <row r="3592" ht="15.75" customHeight="1">
      <c r="A3592" s="1"/>
      <c r="B3592" s="1"/>
      <c r="C3592" s="1"/>
      <c r="D3592" s="1"/>
      <c r="E3592" s="1"/>
      <c r="F3592" s="1"/>
      <c r="G3592" s="1"/>
      <c r="H3592" s="1"/>
      <c r="I3592" s="1"/>
      <c r="J3592" s="1"/>
      <c r="K3592" s="89" t="s">
        <v>5447</v>
      </c>
      <c r="L3592" s="89" t="str">
        <f>D119</f>
        <v>C1b3</v>
      </c>
      <c r="M3592" s="89"/>
      <c r="N3592" s="89" t="s">
        <v>5448</v>
      </c>
      <c r="O3592" s="92">
        <v>2.3081529E7</v>
      </c>
      <c r="P3592" s="92">
        <v>2.0919643E7</v>
      </c>
      <c r="Q3592" s="89" t="s">
        <v>802</v>
      </c>
      <c r="AF3592" s="1"/>
      <c r="AG3592" s="1"/>
    </row>
    <row r="3593" ht="15.75" customHeight="1">
      <c r="A3593" s="1"/>
      <c r="B3593" s="1"/>
      <c r="C3593" s="1"/>
      <c r="D3593" s="1"/>
      <c r="E3593" s="1"/>
      <c r="F3593" s="1"/>
      <c r="G3593" s="1"/>
      <c r="H3593" s="1"/>
      <c r="I3593" s="1"/>
      <c r="J3593" s="1"/>
      <c r="K3593" s="89" t="s">
        <v>5449</v>
      </c>
      <c r="L3593" s="89" t="str">
        <f>D119</f>
        <v>C1b3</v>
      </c>
      <c r="M3593" s="89" t="s">
        <v>5450</v>
      </c>
      <c r="N3593" s="89" t="s">
        <v>5451</v>
      </c>
      <c r="O3593" s="92">
        <v>2.3328508E7</v>
      </c>
      <c r="P3593" s="92">
        <v>2.1166622E7</v>
      </c>
      <c r="Q3593" s="89" t="s">
        <v>810</v>
      </c>
      <c r="AF3593" s="1"/>
      <c r="AG3593" s="1"/>
    </row>
    <row r="3594" ht="15.75" customHeight="1">
      <c r="A3594" s="1"/>
      <c r="B3594" s="1"/>
      <c r="C3594" s="1"/>
      <c r="D3594" s="1"/>
      <c r="E3594" s="1"/>
      <c r="F3594" s="1"/>
      <c r="G3594" s="1"/>
      <c r="H3594" s="1"/>
      <c r="I3594" s="1"/>
      <c r="J3594" s="1"/>
      <c r="K3594" s="89" t="s">
        <v>5450</v>
      </c>
      <c r="L3594" s="89" t="str">
        <f>D119</f>
        <v>C1b3</v>
      </c>
      <c r="M3594" s="89" t="s">
        <v>5449</v>
      </c>
      <c r="N3594" s="89" t="s">
        <v>5451</v>
      </c>
      <c r="O3594" s="92">
        <v>2.3328508E7</v>
      </c>
      <c r="P3594" s="92">
        <v>2.1166622E7</v>
      </c>
      <c r="Q3594" s="89" t="s">
        <v>810</v>
      </c>
      <c r="AF3594" s="1"/>
      <c r="AG3594" s="1"/>
    </row>
    <row r="3595" ht="15.75" customHeight="1">
      <c r="A3595" s="1"/>
      <c r="B3595" s="1"/>
      <c r="C3595" s="1"/>
      <c r="D3595" s="1"/>
      <c r="E3595" s="1"/>
      <c r="F3595" s="1"/>
      <c r="G3595" s="1"/>
      <c r="H3595" s="1"/>
      <c r="I3595" s="1"/>
      <c r="J3595" s="1"/>
      <c r="K3595" s="89" t="s">
        <v>5452</v>
      </c>
      <c r="L3595" s="89" t="str">
        <f>D119</f>
        <v>C1b3</v>
      </c>
      <c r="M3595" s="89"/>
      <c r="N3595" s="89" t="s">
        <v>5453</v>
      </c>
      <c r="O3595" s="92">
        <v>6933080.0</v>
      </c>
      <c r="P3595" s="92">
        <v>7065039.0</v>
      </c>
      <c r="Q3595" s="89" t="s">
        <v>822</v>
      </c>
      <c r="AF3595" s="1"/>
      <c r="AG3595" s="1"/>
    </row>
    <row r="3596" ht="15.75" customHeight="1">
      <c r="A3596" s="1"/>
      <c r="B3596" s="1"/>
      <c r="C3596" s="1"/>
      <c r="D3596" s="1"/>
      <c r="E3596" s="1"/>
      <c r="F3596" s="1"/>
      <c r="G3596" s="1"/>
      <c r="H3596" s="1"/>
      <c r="I3596" s="1"/>
      <c r="J3596" s="1"/>
      <c r="K3596" s="89" t="s">
        <v>5454</v>
      </c>
      <c r="L3596" s="89" t="str">
        <f>D119</f>
        <v>C1b3</v>
      </c>
      <c r="M3596" s="89"/>
      <c r="N3596" s="89" t="s">
        <v>5455</v>
      </c>
      <c r="O3596" s="92">
        <v>1.4655853E7</v>
      </c>
      <c r="P3596" s="92">
        <v>1.2543918E7</v>
      </c>
      <c r="Q3596" s="89" t="s">
        <v>838</v>
      </c>
      <c r="AF3596" s="1"/>
      <c r="AG3596" s="1"/>
    </row>
    <row r="3597" ht="15.75" customHeight="1">
      <c r="A3597" s="1"/>
      <c r="B3597" s="1"/>
      <c r="C3597" s="1"/>
      <c r="D3597" s="1"/>
      <c r="E3597" s="1"/>
      <c r="F3597" s="1"/>
      <c r="G3597" s="1"/>
      <c r="H3597" s="1"/>
      <c r="I3597" s="1"/>
      <c r="J3597" s="1"/>
      <c r="K3597" s="89" t="s">
        <v>5456</v>
      </c>
      <c r="L3597" s="89" t="str">
        <f>D119</f>
        <v>C1b3</v>
      </c>
      <c r="M3597" s="89"/>
      <c r="N3597" s="89" t="s">
        <v>5457</v>
      </c>
      <c r="O3597" s="92">
        <v>1.6398619E7</v>
      </c>
      <c r="P3597" s="92">
        <v>1.4286739E7</v>
      </c>
      <c r="Q3597" s="89" t="s">
        <v>802</v>
      </c>
      <c r="AF3597" s="1"/>
      <c r="AG3597" s="1"/>
    </row>
    <row r="3598" ht="15.75" customHeight="1">
      <c r="A3598" s="1"/>
      <c r="B3598" s="1"/>
      <c r="C3598" s="1"/>
      <c r="D3598" s="1"/>
      <c r="E3598" s="1"/>
      <c r="F3598" s="1"/>
      <c r="G3598" s="1"/>
      <c r="H3598" s="1"/>
      <c r="I3598" s="1"/>
      <c r="J3598" s="1"/>
      <c r="K3598" s="89" t="s">
        <v>5458</v>
      </c>
      <c r="L3598" s="89" t="str">
        <f>D119</f>
        <v>C1b3</v>
      </c>
      <c r="M3598" s="89"/>
      <c r="N3598" s="89" t="s">
        <v>5459</v>
      </c>
      <c r="O3598" s="92">
        <v>1.6330869E7</v>
      </c>
      <c r="P3598" s="92">
        <v>1.4218989E7</v>
      </c>
      <c r="Q3598" s="89" t="s">
        <v>838</v>
      </c>
      <c r="AF3598" s="1"/>
      <c r="AG3598" s="1"/>
    </row>
    <row r="3599" ht="15.75" customHeight="1">
      <c r="A3599" s="1"/>
      <c r="B3599" s="1"/>
      <c r="C3599" s="1"/>
      <c r="D3599" s="1"/>
      <c r="E3599" s="1"/>
      <c r="F3599" s="1"/>
      <c r="G3599" s="1"/>
      <c r="H3599" s="1"/>
      <c r="I3599" s="1"/>
      <c r="J3599" s="1"/>
      <c r="K3599" s="89" t="s">
        <v>5460</v>
      </c>
      <c r="L3599" s="89" t="str">
        <f>D119</f>
        <v>C1b3</v>
      </c>
      <c r="M3599" s="89"/>
      <c r="N3599" s="89" t="s">
        <v>5461</v>
      </c>
      <c r="O3599" s="92">
        <v>1.871545E7</v>
      </c>
      <c r="P3599" s="92">
        <v>1.660357E7</v>
      </c>
      <c r="Q3599" s="89" t="s">
        <v>912</v>
      </c>
      <c r="AF3599" s="1"/>
      <c r="AG3599" s="1"/>
    </row>
    <row r="3600" ht="15.75" customHeight="1">
      <c r="A3600" s="1"/>
      <c r="B3600" s="1"/>
      <c r="C3600" s="1"/>
      <c r="D3600" s="1"/>
      <c r="E3600" s="1"/>
      <c r="F3600" s="1"/>
      <c r="G3600" s="1"/>
      <c r="H3600" s="1"/>
      <c r="I3600" s="1"/>
      <c r="J3600" s="1"/>
      <c r="K3600" s="89" t="s">
        <v>5462</v>
      </c>
      <c r="L3600" s="89" t="str">
        <f>D119</f>
        <v>C1b3</v>
      </c>
      <c r="M3600" s="89"/>
      <c r="N3600" s="89" t="s">
        <v>5463</v>
      </c>
      <c r="O3600" s="92">
        <v>2.2984091E7</v>
      </c>
      <c r="P3600" s="92">
        <v>2.0822205E7</v>
      </c>
      <c r="Q3600" s="89" t="s">
        <v>810</v>
      </c>
      <c r="AF3600" s="1"/>
      <c r="AG3600" s="1"/>
    </row>
    <row r="3601" ht="15.75" customHeight="1">
      <c r="A3601" s="1"/>
      <c r="B3601" s="1"/>
      <c r="C3601" s="1"/>
      <c r="D3601" s="1"/>
      <c r="E3601" s="1"/>
      <c r="F3601" s="1"/>
      <c r="G3601" s="1"/>
      <c r="H3601" s="1"/>
      <c r="I3601" s="1"/>
      <c r="J3601" s="1"/>
      <c r="K3601" s="89" t="s">
        <v>5464</v>
      </c>
      <c r="L3601" s="89" t="str">
        <f>D119</f>
        <v>C1b3</v>
      </c>
      <c r="M3601" s="89"/>
      <c r="N3601" s="89" t="s">
        <v>5465</v>
      </c>
      <c r="O3601" s="92">
        <v>2.2995305E7</v>
      </c>
      <c r="P3601" s="92">
        <v>2.0833419E7</v>
      </c>
      <c r="Q3601" s="89" t="s">
        <v>838</v>
      </c>
      <c r="AF3601" s="1"/>
      <c r="AG3601" s="1"/>
    </row>
    <row r="3602" ht="15.75" customHeight="1">
      <c r="A3602" s="1"/>
      <c r="B3602" s="1"/>
      <c r="C3602" s="1"/>
      <c r="D3602" s="1"/>
      <c r="E3602" s="1"/>
      <c r="F3602" s="1"/>
      <c r="G3602" s="1"/>
      <c r="H3602" s="1"/>
      <c r="I3602" s="1"/>
      <c r="J3602" s="1"/>
      <c r="K3602" s="89" t="s">
        <v>5466</v>
      </c>
      <c r="L3602" s="89" t="str">
        <f>D119</f>
        <v>C1b3</v>
      </c>
      <c r="M3602" s="89"/>
      <c r="N3602" s="89" t="s">
        <v>5467</v>
      </c>
      <c r="O3602" s="92">
        <v>2.3142575E7</v>
      </c>
      <c r="P3602" s="92">
        <v>2.0980689E7</v>
      </c>
      <c r="Q3602" s="89" t="s">
        <v>838</v>
      </c>
      <c r="AF3602" s="1"/>
      <c r="AG3602" s="1"/>
    </row>
    <row r="3603" ht="15.75" customHeight="1">
      <c r="A3603" s="1"/>
      <c r="B3603" s="1"/>
      <c r="C3603" s="1"/>
      <c r="D3603" s="1"/>
      <c r="E3603" s="1"/>
      <c r="F3603" s="1"/>
      <c r="G3603" s="1"/>
      <c r="H3603" s="1"/>
      <c r="I3603" s="1"/>
      <c r="J3603" s="1"/>
      <c r="K3603" s="89" t="s">
        <v>5468</v>
      </c>
      <c r="L3603" s="89" t="str">
        <f>D119</f>
        <v>C1b3</v>
      </c>
      <c r="M3603" s="89"/>
      <c r="N3603" s="89" t="s">
        <v>5469</v>
      </c>
      <c r="O3603" s="92">
        <v>2.8767538E7</v>
      </c>
      <c r="P3603" s="92">
        <v>2.6621391E7</v>
      </c>
      <c r="Q3603" s="89" t="s">
        <v>810</v>
      </c>
      <c r="AF3603" s="1"/>
      <c r="AG3603" s="1"/>
    </row>
    <row r="3604" ht="15.75" customHeight="1">
      <c r="A3604" s="1"/>
      <c r="B3604" s="1"/>
      <c r="C3604" s="1"/>
      <c r="D3604" s="1"/>
      <c r="E3604" s="1"/>
      <c r="F3604" s="1"/>
      <c r="G3604" s="1"/>
      <c r="H3604" s="1"/>
      <c r="I3604" s="1"/>
      <c r="J3604" s="1"/>
      <c r="K3604" s="89" t="s">
        <v>5470</v>
      </c>
      <c r="L3604" s="89" t="str">
        <f>D119</f>
        <v>C1b3</v>
      </c>
      <c r="M3604" s="89"/>
      <c r="N3604" s="89" t="s">
        <v>5471</v>
      </c>
      <c r="O3604" s="92">
        <v>8541673.0</v>
      </c>
      <c r="P3604" s="92">
        <v>8673632.0</v>
      </c>
      <c r="Q3604" s="89" t="s">
        <v>810</v>
      </c>
      <c r="AF3604" s="1"/>
      <c r="AG3604" s="1"/>
    </row>
    <row r="3605" ht="15.75" customHeight="1">
      <c r="A3605" s="1"/>
      <c r="B3605" s="1"/>
      <c r="C3605" s="1"/>
      <c r="D3605" s="1"/>
      <c r="E3605" s="1"/>
      <c r="F3605" s="1"/>
      <c r="G3605" s="1"/>
      <c r="H3605" s="1"/>
      <c r="I3605" s="1"/>
      <c r="J3605" s="1"/>
      <c r="K3605" s="89" t="s">
        <v>5472</v>
      </c>
      <c r="L3605" s="89" t="str">
        <f>D119</f>
        <v>C1b3</v>
      </c>
      <c r="M3605" s="89"/>
      <c r="N3605" s="89" t="s">
        <v>5473</v>
      </c>
      <c r="O3605" s="92">
        <v>1.413419E7</v>
      </c>
      <c r="P3605" s="92">
        <v>1.2013484E7</v>
      </c>
      <c r="Q3605" s="89" t="s">
        <v>838</v>
      </c>
      <c r="AF3605" s="1"/>
      <c r="AG3605" s="1"/>
    </row>
    <row r="3606" ht="15.75" customHeight="1">
      <c r="A3606" s="1"/>
      <c r="B3606" s="1"/>
      <c r="C3606" s="1"/>
      <c r="D3606" s="1"/>
      <c r="E3606" s="1"/>
      <c r="F3606" s="1"/>
      <c r="G3606" s="1"/>
      <c r="H3606" s="1"/>
      <c r="I3606" s="1"/>
      <c r="J3606" s="1"/>
      <c r="K3606" s="89" t="s">
        <v>5474</v>
      </c>
      <c r="L3606" s="89" t="str">
        <f>D119</f>
        <v>C1b3</v>
      </c>
      <c r="M3606" s="89"/>
      <c r="N3606" s="89" t="s">
        <v>5475</v>
      </c>
      <c r="O3606" s="92">
        <v>1.4251081E7</v>
      </c>
      <c r="P3606" s="92">
        <v>1.2130375E7</v>
      </c>
      <c r="Q3606" s="89" t="s">
        <v>802</v>
      </c>
      <c r="AF3606" s="1"/>
      <c r="AG3606" s="1"/>
    </row>
    <row r="3607" ht="15.75" customHeight="1">
      <c r="A3607" s="1"/>
      <c r="B3607" s="1"/>
      <c r="C3607" s="1"/>
      <c r="D3607" s="1"/>
      <c r="E3607" s="1"/>
      <c r="F3607" s="1"/>
      <c r="G3607" s="1"/>
      <c r="H3607" s="1"/>
      <c r="I3607" s="1"/>
      <c r="J3607" s="1"/>
      <c r="K3607" s="89" t="s">
        <v>5476</v>
      </c>
      <c r="L3607" s="89" t="str">
        <f>D119</f>
        <v>C1b3</v>
      </c>
      <c r="M3607" s="89"/>
      <c r="N3607" s="89" t="s">
        <v>5477</v>
      </c>
      <c r="O3607" s="92">
        <v>1.5406678E7</v>
      </c>
      <c r="P3607" s="92">
        <v>1.3294798E7</v>
      </c>
      <c r="Q3607" s="89" t="s">
        <v>802</v>
      </c>
      <c r="AF3607" s="1"/>
      <c r="AG3607" s="1"/>
    </row>
    <row r="3608" ht="15.75" customHeight="1">
      <c r="A3608" s="1"/>
      <c r="B3608" s="1"/>
      <c r="C3608" s="1"/>
      <c r="D3608" s="1"/>
      <c r="E3608" s="1"/>
      <c r="F3608" s="1"/>
      <c r="G3608" s="1"/>
      <c r="H3608" s="1"/>
      <c r="I3608" s="1"/>
      <c r="J3608" s="1"/>
      <c r="K3608" s="89" t="s">
        <v>5478</v>
      </c>
      <c r="L3608" s="89" t="str">
        <f>D119</f>
        <v>C1b3</v>
      </c>
      <c r="M3608" s="89"/>
      <c r="N3608" s="89" t="s">
        <v>5479</v>
      </c>
      <c r="O3608" s="92">
        <v>2668809.0</v>
      </c>
      <c r="P3608" s="92">
        <v>2800768.0</v>
      </c>
      <c r="Q3608" s="89" t="s">
        <v>810</v>
      </c>
      <c r="AF3608" s="1"/>
      <c r="AG3608" s="1"/>
    </row>
    <row r="3609" ht="15.75" customHeight="1">
      <c r="A3609" s="1"/>
      <c r="B3609" s="1"/>
      <c r="C3609" s="1"/>
      <c r="D3609" s="1"/>
      <c r="E3609" s="1"/>
      <c r="F3609" s="1"/>
      <c r="G3609" s="1"/>
      <c r="H3609" s="1"/>
      <c r="I3609" s="1"/>
      <c r="J3609" s="1"/>
      <c r="K3609" s="89" t="s">
        <v>5480</v>
      </c>
      <c r="L3609" s="89" t="str">
        <f>E120</f>
        <v>C1b3a</v>
      </c>
      <c r="M3609" s="89"/>
      <c r="N3609" s="89" t="s">
        <v>5481</v>
      </c>
      <c r="O3609" s="92">
        <v>2.1742158E7</v>
      </c>
      <c r="P3609" s="92">
        <v>1.9580272E7</v>
      </c>
      <c r="Q3609" s="89" t="s">
        <v>864</v>
      </c>
      <c r="AF3609" s="1"/>
      <c r="AG3609" s="1"/>
    </row>
    <row r="3610" ht="15.75" customHeight="1">
      <c r="A3610" s="1"/>
      <c r="B3610" s="1"/>
      <c r="C3610" s="1"/>
      <c r="D3610" s="1"/>
      <c r="E3610" s="1"/>
      <c r="F3610" s="1"/>
      <c r="G3610" s="1"/>
      <c r="H3610" s="1"/>
      <c r="I3610" s="1"/>
      <c r="J3610" s="1"/>
      <c r="K3610" s="89" t="s">
        <v>5482</v>
      </c>
      <c r="L3610" s="89" t="str">
        <f>E120</f>
        <v>C1b3a</v>
      </c>
      <c r="M3610" s="89"/>
      <c r="N3610" s="89" t="s">
        <v>5483</v>
      </c>
      <c r="O3610" s="92">
        <v>2.1354986E7</v>
      </c>
      <c r="P3610" s="92">
        <v>1.91931E7</v>
      </c>
      <c r="Q3610" s="89" t="s">
        <v>810</v>
      </c>
      <c r="AF3610" s="1"/>
      <c r="AG3610" s="1"/>
    </row>
    <row r="3611" ht="15.75" customHeight="1">
      <c r="A3611" s="1"/>
      <c r="B3611" s="1"/>
      <c r="C3611" s="1"/>
      <c r="D3611" s="1"/>
      <c r="E3611" s="1"/>
      <c r="F3611" s="1"/>
      <c r="G3611" s="1"/>
      <c r="H3611" s="1"/>
      <c r="I3611" s="1"/>
      <c r="J3611" s="1"/>
      <c r="K3611" s="89" t="s">
        <v>5484</v>
      </c>
      <c r="L3611" s="89" t="str">
        <f>E120</f>
        <v>C1b3a</v>
      </c>
      <c r="M3611" s="89"/>
      <c r="N3611" s="89" t="s">
        <v>5485</v>
      </c>
      <c r="O3611" s="92">
        <v>8685674.0</v>
      </c>
      <c r="P3611" s="92">
        <v>8817633.0</v>
      </c>
      <c r="Q3611" s="89" t="s">
        <v>802</v>
      </c>
      <c r="AF3611" s="1"/>
      <c r="AG3611" s="1"/>
    </row>
    <row r="3612" ht="15.75" customHeight="1">
      <c r="A3612" s="1"/>
      <c r="B3612" s="1"/>
      <c r="C3612" s="1"/>
      <c r="D3612" s="1"/>
      <c r="E3612" s="1"/>
      <c r="F3612" s="1"/>
      <c r="G3612" s="1"/>
      <c r="H3612" s="1"/>
      <c r="I3612" s="1"/>
      <c r="J3612" s="1"/>
      <c r="K3612" s="89" t="s">
        <v>5486</v>
      </c>
      <c r="L3612" s="89" t="str">
        <f>E120</f>
        <v>C1b3a</v>
      </c>
      <c r="M3612" s="89"/>
      <c r="N3612" s="89" t="s">
        <v>5487</v>
      </c>
      <c r="O3612" s="92">
        <v>8484790.0</v>
      </c>
      <c r="P3612" s="92">
        <v>8616749.0</v>
      </c>
      <c r="Q3612" s="89" t="s">
        <v>802</v>
      </c>
      <c r="AF3612" s="1"/>
      <c r="AG3612" s="1"/>
    </row>
    <row r="3613" ht="15.75" customHeight="1">
      <c r="A3613" s="1"/>
      <c r="B3613" s="1"/>
      <c r="C3613" s="1"/>
      <c r="D3613" s="1"/>
      <c r="E3613" s="1"/>
      <c r="F3613" s="1"/>
      <c r="G3613" s="1"/>
      <c r="H3613" s="1"/>
      <c r="I3613" s="1"/>
      <c r="J3613" s="1"/>
      <c r="K3613" s="89" t="s">
        <v>5488</v>
      </c>
      <c r="L3613" s="89" t="str">
        <f>E120</f>
        <v>C1b3a</v>
      </c>
      <c r="M3613" s="89"/>
      <c r="N3613" s="89" t="s">
        <v>5489</v>
      </c>
      <c r="O3613" s="92">
        <v>2.2906668E7</v>
      </c>
      <c r="P3613" s="92">
        <v>2.0744782E7</v>
      </c>
      <c r="Q3613" s="89" t="s">
        <v>886</v>
      </c>
      <c r="AF3613" s="1"/>
      <c r="AG3613" s="1"/>
    </row>
    <row r="3614" ht="15.75" customHeight="1">
      <c r="A3614" s="1"/>
      <c r="B3614" s="1"/>
      <c r="C3614" s="1"/>
      <c r="D3614" s="1"/>
      <c r="E3614" s="1"/>
      <c r="F3614" s="1"/>
      <c r="G3614" s="1"/>
      <c r="H3614" s="1"/>
      <c r="I3614" s="1"/>
      <c r="J3614" s="1"/>
      <c r="K3614" s="89" t="s">
        <v>5490</v>
      </c>
      <c r="L3614" s="89" t="str">
        <f>E120</f>
        <v>C1b3a</v>
      </c>
      <c r="M3614" s="89"/>
      <c r="N3614" s="89" t="s">
        <v>5491</v>
      </c>
      <c r="O3614" s="92">
        <v>8546838.0</v>
      </c>
      <c r="P3614" s="92">
        <v>8678797.0</v>
      </c>
      <c r="Q3614" s="89" t="s">
        <v>831</v>
      </c>
      <c r="AF3614" s="1"/>
      <c r="AG3614" s="1"/>
    </row>
    <row r="3615" ht="15.75" customHeight="1">
      <c r="A3615" s="1"/>
      <c r="B3615" s="1"/>
      <c r="C3615" s="1"/>
      <c r="D3615" s="1"/>
      <c r="E3615" s="1"/>
      <c r="F3615" s="1"/>
      <c r="G3615" s="1"/>
      <c r="H3615" s="1"/>
      <c r="I3615" s="1"/>
      <c r="J3615" s="1"/>
      <c r="K3615" s="89" t="s">
        <v>5492</v>
      </c>
      <c r="L3615" s="89" t="str">
        <f>E120</f>
        <v>C1b3a</v>
      </c>
      <c r="M3615" s="89"/>
      <c r="N3615" s="89" t="s">
        <v>5493</v>
      </c>
      <c r="O3615" s="92">
        <v>1.7550474E7</v>
      </c>
      <c r="P3615" s="92">
        <v>1.5438594E7</v>
      </c>
      <c r="Q3615" s="89" t="s">
        <v>802</v>
      </c>
      <c r="AF3615" s="1"/>
      <c r="AG3615" s="1"/>
    </row>
    <row r="3616" ht="15.75" customHeight="1">
      <c r="A3616" s="1"/>
      <c r="B3616" s="1"/>
      <c r="C3616" s="1"/>
      <c r="D3616" s="1"/>
      <c r="E3616" s="1"/>
      <c r="F3616" s="1"/>
      <c r="G3616" s="1"/>
      <c r="H3616" s="1"/>
      <c r="I3616" s="1"/>
      <c r="J3616" s="1"/>
      <c r="K3616" s="89" t="s">
        <v>5494</v>
      </c>
      <c r="L3616" s="89" t="str">
        <f>E120</f>
        <v>C1b3a</v>
      </c>
      <c r="M3616" s="89"/>
      <c r="N3616" s="89" t="s">
        <v>5495</v>
      </c>
      <c r="O3616" s="92">
        <v>1.9287602E7</v>
      </c>
      <c r="P3616" s="92">
        <v>1.7175722E7</v>
      </c>
      <c r="Q3616" s="89" t="s">
        <v>810</v>
      </c>
      <c r="AF3616" s="1"/>
      <c r="AG3616" s="1"/>
    </row>
    <row r="3617" ht="15.75" customHeight="1">
      <c r="A3617" s="1"/>
      <c r="B3617" s="1"/>
      <c r="C3617" s="1"/>
      <c r="D3617" s="1"/>
      <c r="E3617" s="1"/>
      <c r="F3617" s="1"/>
      <c r="G3617" s="1"/>
      <c r="H3617" s="1"/>
      <c r="I3617" s="1"/>
      <c r="J3617" s="1"/>
      <c r="K3617" s="89" t="s">
        <v>5496</v>
      </c>
      <c r="L3617" s="89" t="str">
        <f>E120</f>
        <v>C1b3a</v>
      </c>
      <c r="M3617" s="89"/>
      <c r="N3617" s="89" t="s">
        <v>5497</v>
      </c>
      <c r="O3617" s="92">
        <v>1.4638674E7</v>
      </c>
      <c r="P3617" s="92">
        <v>1.2526743E7</v>
      </c>
      <c r="Q3617" s="89" t="s">
        <v>813</v>
      </c>
      <c r="AF3617" s="1"/>
      <c r="AG3617" s="1"/>
    </row>
    <row r="3618" ht="15.75" customHeight="1">
      <c r="A3618" s="1"/>
      <c r="B3618" s="1"/>
      <c r="C3618" s="1"/>
      <c r="D3618" s="1"/>
      <c r="E3618" s="1"/>
      <c r="F3618" s="1"/>
      <c r="G3618" s="1"/>
      <c r="H3618" s="1"/>
      <c r="I3618" s="1"/>
      <c r="J3618" s="1"/>
      <c r="K3618" s="89" t="s">
        <v>5498</v>
      </c>
      <c r="L3618" s="89" t="str">
        <f>E120</f>
        <v>C1b3a</v>
      </c>
      <c r="M3618" s="89"/>
      <c r="N3618" s="89" t="s">
        <v>5499</v>
      </c>
      <c r="O3618" s="92">
        <v>1.4914607E7</v>
      </c>
      <c r="P3618" s="92">
        <v>1.2802674E7</v>
      </c>
      <c r="Q3618" s="89" t="s">
        <v>802</v>
      </c>
      <c r="AF3618" s="1"/>
      <c r="AG3618" s="1"/>
    </row>
    <row r="3619" ht="15.75" customHeight="1">
      <c r="A3619" s="1"/>
      <c r="B3619" s="1"/>
      <c r="C3619" s="1"/>
      <c r="D3619" s="1"/>
      <c r="E3619" s="1"/>
      <c r="F3619" s="1"/>
      <c r="G3619" s="1"/>
      <c r="H3619" s="1"/>
      <c r="I3619" s="1"/>
      <c r="J3619" s="1"/>
      <c r="K3619" s="89" t="s">
        <v>5500</v>
      </c>
      <c r="L3619" s="89" t="str">
        <f>E120</f>
        <v>C1b3a</v>
      </c>
      <c r="M3619" s="89"/>
      <c r="N3619" s="89" t="s">
        <v>5501</v>
      </c>
      <c r="O3619" s="92">
        <v>1.8029333E7</v>
      </c>
      <c r="P3619" s="92">
        <v>1.5917453E7</v>
      </c>
      <c r="Q3619" s="89" t="s">
        <v>810</v>
      </c>
      <c r="AF3619" s="1"/>
      <c r="AG3619" s="1"/>
    </row>
    <row r="3620" ht="15.75" customHeight="1">
      <c r="A3620" s="1"/>
      <c r="B3620" s="1"/>
      <c r="C3620" s="1"/>
      <c r="D3620" s="1"/>
      <c r="E3620" s="1"/>
      <c r="F3620" s="1"/>
      <c r="G3620" s="1"/>
      <c r="H3620" s="1"/>
      <c r="I3620" s="1"/>
      <c r="J3620" s="1"/>
      <c r="K3620" s="89" t="s">
        <v>5502</v>
      </c>
      <c r="L3620" s="89" t="str">
        <f>E120</f>
        <v>C1b3a</v>
      </c>
      <c r="M3620" s="89"/>
      <c r="N3620" s="89" t="s">
        <v>5503</v>
      </c>
      <c r="O3620" s="92">
        <v>6678304.0</v>
      </c>
      <c r="P3620" s="92">
        <v>6810263.0</v>
      </c>
      <c r="Q3620" s="89" t="s">
        <v>838</v>
      </c>
      <c r="AF3620" s="1"/>
      <c r="AG3620" s="1"/>
    </row>
    <row r="3621" ht="15.75" customHeight="1">
      <c r="A3621" s="1"/>
      <c r="B3621" s="1"/>
      <c r="C3621" s="1"/>
      <c r="D3621" s="1"/>
      <c r="E3621" s="1"/>
      <c r="F3621" s="1"/>
      <c r="G3621" s="1"/>
      <c r="H3621" s="1"/>
      <c r="I3621" s="1"/>
      <c r="J3621" s="1"/>
      <c r="K3621" s="89" t="s">
        <v>5504</v>
      </c>
      <c r="L3621" s="89" t="str">
        <f>E120</f>
        <v>C1b3a</v>
      </c>
      <c r="M3621" s="89"/>
      <c r="N3621" s="89" t="s">
        <v>5505</v>
      </c>
      <c r="O3621" s="92">
        <v>1.9400954E7</v>
      </c>
      <c r="P3621" s="92">
        <v>1.7289074E7</v>
      </c>
      <c r="Q3621" s="89" t="s">
        <v>822</v>
      </c>
      <c r="AF3621" s="1"/>
      <c r="AG3621" s="1"/>
    </row>
    <row r="3622" ht="15.75" customHeight="1">
      <c r="A3622" s="1"/>
      <c r="B3622" s="1"/>
      <c r="C3622" s="1"/>
      <c r="D3622" s="1"/>
      <c r="E3622" s="1"/>
      <c r="F3622" s="1"/>
      <c r="G3622" s="1"/>
      <c r="H3622" s="1"/>
      <c r="I3622" s="1"/>
      <c r="J3622" s="1"/>
      <c r="K3622" s="89" t="s">
        <v>5506</v>
      </c>
      <c r="L3622" s="89" t="str">
        <f>E120</f>
        <v>C1b3a</v>
      </c>
      <c r="M3622" s="89"/>
      <c r="N3622" s="89" t="s">
        <v>5507</v>
      </c>
      <c r="O3622" s="92">
        <v>1.7762467E7</v>
      </c>
      <c r="P3622" s="92">
        <v>1.5650587E7</v>
      </c>
      <c r="Q3622" s="89" t="s">
        <v>810</v>
      </c>
      <c r="AF3622" s="1"/>
      <c r="AG3622" s="1"/>
    </row>
    <row r="3623" ht="15.75" customHeight="1">
      <c r="A3623" s="1"/>
      <c r="B3623" s="1"/>
      <c r="C3623" s="1"/>
      <c r="D3623" s="1"/>
      <c r="E3623" s="1"/>
      <c r="F3623" s="1"/>
      <c r="G3623" s="1"/>
      <c r="H3623" s="1"/>
      <c r="I3623" s="1"/>
      <c r="J3623" s="1"/>
      <c r="K3623" s="89" t="s">
        <v>5508</v>
      </c>
      <c r="L3623" s="89" t="str">
        <f>E120</f>
        <v>C1b3a</v>
      </c>
      <c r="M3623" s="89"/>
      <c r="N3623" s="89" t="s">
        <v>5509</v>
      </c>
      <c r="O3623" s="92">
        <v>2756631.0</v>
      </c>
      <c r="P3623" s="92">
        <v>2888590.0</v>
      </c>
      <c r="Q3623" s="89" t="s">
        <v>802</v>
      </c>
      <c r="AF3623" s="1"/>
      <c r="AG3623" s="1"/>
    </row>
    <row r="3624" ht="15.75" customHeight="1">
      <c r="A3624" s="1"/>
      <c r="B3624" s="1"/>
      <c r="C3624" s="1"/>
      <c r="D3624" s="1"/>
      <c r="E3624" s="1"/>
      <c r="F3624" s="1"/>
      <c r="G3624" s="1"/>
      <c r="H3624" s="1"/>
      <c r="I3624" s="1"/>
      <c r="J3624" s="1"/>
      <c r="K3624" s="89" t="s">
        <v>5510</v>
      </c>
      <c r="L3624" s="89" t="str">
        <f>E120</f>
        <v>C1b3a</v>
      </c>
      <c r="M3624" s="89"/>
      <c r="N3624" s="89" t="s">
        <v>5511</v>
      </c>
      <c r="O3624" s="92">
        <v>2817801.0</v>
      </c>
      <c r="P3624" s="92">
        <v>2949760.0</v>
      </c>
      <c r="Q3624" s="89" t="s">
        <v>831</v>
      </c>
      <c r="AF3624" s="1"/>
      <c r="AG3624" s="1"/>
    </row>
    <row r="3625" ht="15.75" customHeight="1">
      <c r="A3625" s="1"/>
      <c r="B3625" s="1"/>
      <c r="C3625" s="1"/>
      <c r="D3625" s="1"/>
      <c r="E3625" s="1"/>
      <c r="F3625" s="1"/>
      <c r="G3625" s="1"/>
      <c r="H3625" s="1"/>
      <c r="I3625" s="1"/>
      <c r="J3625" s="1"/>
      <c r="K3625" s="89" t="s">
        <v>5512</v>
      </c>
      <c r="L3625" s="89" t="str">
        <f>E120</f>
        <v>C1b3a</v>
      </c>
      <c r="M3625" s="89"/>
      <c r="N3625" s="89" t="s">
        <v>5513</v>
      </c>
      <c r="O3625" s="92">
        <v>2857919.0</v>
      </c>
      <c r="P3625" s="92">
        <v>2989878.0</v>
      </c>
      <c r="Q3625" s="89" t="s">
        <v>879</v>
      </c>
      <c r="AF3625" s="1"/>
      <c r="AG3625" s="1"/>
    </row>
    <row r="3626" ht="15.75" customHeight="1">
      <c r="A3626" s="1"/>
      <c r="B3626" s="1"/>
      <c r="C3626" s="1"/>
      <c r="D3626" s="1"/>
      <c r="E3626" s="1"/>
      <c r="F3626" s="1"/>
      <c r="G3626" s="1"/>
      <c r="H3626" s="1"/>
      <c r="I3626" s="1"/>
      <c r="J3626" s="1"/>
      <c r="K3626" s="89" t="s">
        <v>5514</v>
      </c>
      <c r="L3626" s="89" t="str">
        <f>E120</f>
        <v>C1b3a</v>
      </c>
      <c r="M3626" s="89"/>
      <c r="N3626" s="89" t="s">
        <v>5515</v>
      </c>
      <c r="O3626" s="92">
        <v>2863293.0</v>
      </c>
      <c r="P3626" s="92">
        <v>2995252.0</v>
      </c>
      <c r="Q3626" s="89" t="s">
        <v>838</v>
      </c>
      <c r="AF3626" s="1"/>
      <c r="AG3626" s="1"/>
    </row>
    <row r="3627" ht="15.75" customHeight="1">
      <c r="A3627" s="1"/>
      <c r="B3627" s="1"/>
      <c r="C3627" s="1"/>
      <c r="D3627" s="1"/>
      <c r="E3627" s="1"/>
      <c r="F3627" s="1"/>
      <c r="G3627" s="1"/>
      <c r="H3627" s="1"/>
      <c r="I3627" s="1"/>
      <c r="J3627" s="1"/>
      <c r="K3627" s="89" t="s">
        <v>5516</v>
      </c>
      <c r="L3627" s="89" t="str">
        <f>E120</f>
        <v>C1b3a</v>
      </c>
      <c r="M3627" s="89"/>
      <c r="N3627" s="89" t="s">
        <v>5517</v>
      </c>
      <c r="O3627" s="92">
        <v>2881136.0</v>
      </c>
      <c r="P3627" s="92">
        <v>3013095.0</v>
      </c>
      <c r="Q3627" s="89" t="s">
        <v>838</v>
      </c>
      <c r="AF3627" s="1"/>
      <c r="AG3627" s="1"/>
    </row>
    <row r="3628" ht="15.75" customHeight="1">
      <c r="A3628" s="1"/>
      <c r="B3628" s="1"/>
      <c r="C3628" s="1"/>
      <c r="D3628" s="1"/>
      <c r="E3628" s="1"/>
      <c r="F3628" s="1"/>
      <c r="G3628" s="1"/>
      <c r="H3628" s="1"/>
      <c r="I3628" s="1"/>
      <c r="J3628" s="1"/>
      <c r="K3628" s="89" t="s">
        <v>5518</v>
      </c>
      <c r="L3628" s="89" t="str">
        <f>E120</f>
        <v>C1b3a</v>
      </c>
      <c r="M3628" s="89"/>
      <c r="N3628" s="89" t="s">
        <v>5519</v>
      </c>
      <c r="O3628" s="92">
        <v>6621322.0</v>
      </c>
      <c r="P3628" s="92">
        <v>6753281.0</v>
      </c>
      <c r="Q3628" s="89" t="s">
        <v>802</v>
      </c>
      <c r="AF3628" s="1"/>
      <c r="AG3628" s="1"/>
    </row>
    <row r="3629" ht="15.75" customHeight="1">
      <c r="A3629" s="1"/>
      <c r="B3629" s="1"/>
      <c r="C3629" s="1"/>
      <c r="D3629" s="1"/>
      <c r="E3629" s="1"/>
      <c r="F3629" s="1"/>
      <c r="G3629" s="1"/>
      <c r="H3629" s="1"/>
      <c r="I3629" s="1"/>
      <c r="J3629" s="1"/>
      <c r="K3629" s="89" t="s">
        <v>5520</v>
      </c>
      <c r="L3629" s="89" t="str">
        <f>E120</f>
        <v>C1b3a</v>
      </c>
      <c r="M3629" s="89"/>
      <c r="N3629" s="89" t="s">
        <v>5521</v>
      </c>
      <c r="O3629" s="92">
        <v>6621358.0</v>
      </c>
      <c r="P3629" s="92">
        <v>6753317.0</v>
      </c>
      <c r="Q3629" s="89" t="s">
        <v>810</v>
      </c>
      <c r="AF3629" s="1"/>
      <c r="AG3629" s="1"/>
    </row>
    <row r="3630" ht="15.75" customHeight="1">
      <c r="A3630" s="1"/>
      <c r="B3630" s="1"/>
      <c r="C3630" s="1"/>
      <c r="D3630" s="1"/>
      <c r="E3630" s="1"/>
      <c r="F3630" s="1"/>
      <c r="G3630" s="1"/>
      <c r="H3630" s="1"/>
      <c r="I3630" s="1"/>
      <c r="J3630" s="1"/>
      <c r="K3630" s="89" t="s">
        <v>5522</v>
      </c>
      <c r="L3630" s="89" t="str">
        <f>E120</f>
        <v>C1b3a</v>
      </c>
      <c r="M3630" s="89"/>
      <c r="N3630" s="89" t="s">
        <v>5523</v>
      </c>
      <c r="O3630" s="92">
        <v>6639099.0</v>
      </c>
      <c r="P3630" s="92">
        <v>6771058.0</v>
      </c>
      <c r="Q3630" s="89" t="s">
        <v>864</v>
      </c>
      <c r="AF3630" s="1"/>
      <c r="AG3630" s="1"/>
    </row>
    <row r="3631" ht="15.75" customHeight="1">
      <c r="A3631" s="1"/>
      <c r="B3631" s="1"/>
      <c r="C3631" s="1"/>
      <c r="D3631" s="1"/>
      <c r="E3631" s="1"/>
      <c r="F3631" s="1"/>
      <c r="G3631" s="1"/>
      <c r="H3631" s="1"/>
      <c r="I3631" s="1"/>
      <c r="J3631" s="1"/>
      <c r="K3631" s="89" t="s">
        <v>5524</v>
      </c>
      <c r="L3631" s="89" t="str">
        <f>E120</f>
        <v>C1b3a</v>
      </c>
      <c r="M3631" s="89"/>
      <c r="N3631" s="89" t="s">
        <v>5525</v>
      </c>
      <c r="O3631" s="92">
        <v>6651885.0</v>
      </c>
      <c r="P3631" s="92">
        <v>6783844.0</v>
      </c>
      <c r="Q3631" s="93" t="s">
        <v>845</v>
      </c>
      <c r="AF3631" s="1"/>
      <c r="AG3631" s="1"/>
    </row>
    <row r="3632" ht="15.75" customHeight="1">
      <c r="A3632" s="1"/>
      <c r="B3632" s="1"/>
      <c r="C3632" s="1"/>
      <c r="D3632" s="1"/>
      <c r="E3632" s="1"/>
      <c r="F3632" s="1"/>
      <c r="G3632" s="1"/>
      <c r="H3632" s="1"/>
      <c r="I3632" s="1"/>
      <c r="J3632" s="1"/>
      <c r="K3632" s="89" t="s">
        <v>5526</v>
      </c>
      <c r="L3632" s="89" t="str">
        <f>E120</f>
        <v>C1b3a</v>
      </c>
      <c r="M3632" s="89"/>
      <c r="N3632" s="89" t="s">
        <v>5527</v>
      </c>
      <c r="O3632" s="92">
        <v>6656616.0</v>
      </c>
      <c r="P3632" s="92">
        <v>6788575.0</v>
      </c>
      <c r="Q3632" s="89" t="s">
        <v>822</v>
      </c>
      <c r="AF3632" s="1"/>
      <c r="AG3632" s="1"/>
    </row>
    <row r="3633" ht="15.75" customHeight="1">
      <c r="A3633" s="1"/>
      <c r="B3633" s="1"/>
      <c r="C3633" s="1"/>
      <c r="D3633" s="1"/>
      <c r="E3633" s="1"/>
      <c r="F3633" s="1"/>
      <c r="G3633" s="1"/>
      <c r="H3633" s="1"/>
      <c r="I3633" s="1"/>
      <c r="J3633" s="1"/>
      <c r="K3633" s="89" t="s">
        <v>5528</v>
      </c>
      <c r="L3633" s="89" t="str">
        <f>E120</f>
        <v>C1b3a</v>
      </c>
      <c r="M3633" s="89"/>
      <c r="N3633" s="89" t="s">
        <v>5529</v>
      </c>
      <c r="O3633" s="92">
        <v>6696014.0</v>
      </c>
      <c r="P3633" s="92">
        <v>6827973.0</v>
      </c>
      <c r="Q3633" s="89" t="s">
        <v>838</v>
      </c>
      <c r="AF3633" s="1"/>
      <c r="AG3633" s="1"/>
    </row>
    <row r="3634" ht="15.75" customHeight="1">
      <c r="A3634" s="1"/>
      <c r="B3634" s="1"/>
      <c r="C3634" s="1"/>
      <c r="D3634" s="1"/>
      <c r="E3634" s="1"/>
      <c r="F3634" s="1"/>
      <c r="G3634" s="1"/>
      <c r="H3634" s="1"/>
      <c r="I3634" s="1"/>
      <c r="J3634" s="1"/>
      <c r="K3634" s="89" t="s">
        <v>5530</v>
      </c>
      <c r="L3634" s="89" t="str">
        <f>E120</f>
        <v>C1b3a</v>
      </c>
      <c r="M3634" s="89"/>
      <c r="N3634" s="89" t="s">
        <v>5531</v>
      </c>
      <c r="O3634" s="92">
        <v>6870164.0</v>
      </c>
      <c r="P3634" s="92">
        <v>7002123.0</v>
      </c>
      <c r="Q3634" s="89" t="s">
        <v>822</v>
      </c>
      <c r="AF3634" s="1"/>
      <c r="AG3634" s="1"/>
    </row>
    <row r="3635" ht="15.75" customHeight="1">
      <c r="A3635" s="1"/>
      <c r="B3635" s="1"/>
      <c r="C3635" s="1"/>
      <c r="D3635" s="1"/>
      <c r="E3635" s="1"/>
      <c r="F3635" s="1"/>
      <c r="G3635" s="1"/>
      <c r="H3635" s="1"/>
      <c r="I3635" s="1"/>
      <c r="J3635" s="1"/>
      <c r="K3635" s="89" t="s">
        <v>5532</v>
      </c>
      <c r="L3635" s="89" t="str">
        <f>E120</f>
        <v>C1b3a</v>
      </c>
      <c r="M3635" s="89"/>
      <c r="N3635" s="89" t="s">
        <v>5533</v>
      </c>
      <c r="O3635" s="92">
        <v>6983788.0</v>
      </c>
      <c r="P3635" s="92">
        <v>7115747.0</v>
      </c>
      <c r="Q3635" s="89" t="s">
        <v>838</v>
      </c>
      <c r="AF3635" s="1"/>
      <c r="AG3635" s="1"/>
    </row>
    <row r="3636" ht="15.75" customHeight="1">
      <c r="A3636" s="1"/>
      <c r="B3636" s="1"/>
      <c r="C3636" s="1"/>
      <c r="D3636" s="1"/>
      <c r="E3636" s="1"/>
      <c r="F3636" s="1"/>
      <c r="G3636" s="1"/>
      <c r="H3636" s="1"/>
      <c r="I3636" s="1"/>
      <c r="J3636" s="1"/>
      <c r="K3636" s="89" t="s">
        <v>5534</v>
      </c>
      <c r="L3636" s="89" t="str">
        <f>E120</f>
        <v>C1b3a</v>
      </c>
      <c r="M3636" s="89"/>
      <c r="N3636" s="89" t="s">
        <v>5535</v>
      </c>
      <c r="O3636" s="92">
        <v>7040301.0</v>
      </c>
      <c r="P3636" s="92">
        <v>7172260.0</v>
      </c>
      <c r="Q3636" s="89" t="s">
        <v>810</v>
      </c>
      <c r="AF3636" s="1"/>
      <c r="AG3636" s="1"/>
    </row>
    <row r="3637" ht="15.75" customHeight="1">
      <c r="A3637" s="1"/>
      <c r="B3637" s="1"/>
      <c r="C3637" s="1"/>
      <c r="D3637" s="1"/>
      <c r="E3637" s="1"/>
      <c r="F3637" s="1"/>
      <c r="G3637" s="1"/>
      <c r="H3637" s="1"/>
      <c r="I3637" s="1"/>
      <c r="J3637" s="1"/>
      <c r="K3637" s="89" t="s">
        <v>5536</v>
      </c>
      <c r="L3637" s="89" t="str">
        <f>E120</f>
        <v>C1b3a</v>
      </c>
      <c r="M3637" s="89"/>
      <c r="N3637" s="89" t="s">
        <v>5537</v>
      </c>
      <c r="O3637" s="92">
        <v>7190608.0</v>
      </c>
      <c r="P3637" s="92">
        <v>7322567.0</v>
      </c>
      <c r="Q3637" s="89" t="s">
        <v>831</v>
      </c>
      <c r="AF3637" s="1"/>
      <c r="AG3637" s="1"/>
    </row>
    <row r="3638" ht="15.75" customHeight="1">
      <c r="A3638" s="1"/>
      <c r="B3638" s="1"/>
      <c r="C3638" s="1"/>
      <c r="D3638" s="1"/>
      <c r="E3638" s="1"/>
      <c r="F3638" s="1"/>
      <c r="G3638" s="1"/>
      <c r="H3638" s="1"/>
      <c r="I3638" s="1"/>
      <c r="J3638" s="1"/>
      <c r="K3638" s="89" t="s">
        <v>5538</v>
      </c>
      <c r="L3638" s="89" t="str">
        <f>E120</f>
        <v>C1b3a</v>
      </c>
      <c r="M3638" s="89"/>
      <c r="N3638" s="89" t="s">
        <v>5539</v>
      </c>
      <c r="O3638" s="92">
        <v>7294667.0</v>
      </c>
      <c r="P3638" s="92">
        <v>7426626.0</v>
      </c>
      <c r="Q3638" s="89" t="s">
        <v>838</v>
      </c>
      <c r="AF3638" s="1"/>
      <c r="AG3638" s="1"/>
    </row>
    <row r="3639" ht="15.75" customHeight="1">
      <c r="A3639" s="1"/>
      <c r="B3639" s="1"/>
      <c r="C3639" s="1"/>
      <c r="D3639" s="1"/>
      <c r="E3639" s="1"/>
      <c r="F3639" s="1"/>
      <c r="G3639" s="1"/>
      <c r="H3639" s="1"/>
      <c r="I3639" s="1"/>
      <c r="J3639" s="1"/>
      <c r="K3639" s="89" t="s">
        <v>5540</v>
      </c>
      <c r="L3639" s="89" t="str">
        <f>E120</f>
        <v>C1b3a</v>
      </c>
      <c r="M3639" s="89"/>
      <c r="N3639" s="89" t="s">
        <v>5541</v>
      </c>
      <c r="O3639" s="92">
        <v>7329417.0</v>
      </c>
      <c r="P3639" s="92">
        <v>7461376.0</v>
      </c>
      <c r="Q3639" s="89" t="s">
        <v>838</v>
      </c>
      <c r="AF3639" s="1"/>
      <c r="AG3639" s="1"/>
    </row>
    <row r="3640" ht="15.75" customHeight="1">
      <c r="A3640" s="1"/>
      <c r="B3640" s="1"/>
      <c r="C3640" s="1"/>
      <c r="D3640" s="1"/>
      <c r="E3640" s="1"/>
      <c r="F3640" s="1"/>
      <c r="G3640" s="1"/>
      <c r="H3640" s="1"/>
      <c r="I3640" s="1"/>
      <c r="J3640" s="1"/>
      <c r="K3640" s="89" t="s">
        <v>5542</v>
      </c>
      <c r="L3640" s="89" t="str">
        <f>E120</f>
        <v>C1b3a</v>
      </c>
      <c r="M3640" s="89"/>
      <c r="N3640" s="89" t="s">
        <v>5543</v>
      </c>
      <c r="O3640" s="92">
        <v>7422205.0</v>
      </c>
      <c r="P3640" s="92">
        <v>7554164.0</v>
      </c>
      <c r="Q3640" s="89" t="s">
        <v>917</v>
      </c>
      <c r="AF3640" s="1"/>
      <c r="AG3640" s="1"/>
    </row>
    <row r="3641" ht="15.75" customHeight="1">
      <c r="A3641" s="1"/>
      <c r="B3641" s="1"/>
      <c r="C3641" s="1"/>
      <c r="D3641" s="1"/>
      <c r="E3641" s="1"/>
      <c r="F3641" s="1"/>
      <c r="G3641" s="1"/>
      <c r="H3641" s="1"/>
      <c r="I3641" s="1"/>
      <c r="J3641" s="1"/>
      <c r="K3641" s="89" t="s">
        <v>5544</v>
      </c>
      <c r="L3641" s="89" t="str">
        <f>E120</f>
        <v>C1b3a</v>
      </c>
      <c r="M3641" s="89"/>
      <c r="N3641" s="89" t="s">
        <v>5545</v>
      </c>
      <c r="O3641" s="92">
        <v>7546306.0</v>
      </c>
      <c r="P3641" s="92">
        <v>7678265.0</v>
      </c>
      <c r="Q3641" s="89" t="s">
        <v>802</v>
      </c>
      <c r="AF3641" s="1"/>
      <c r="AG3641" s="1"/>
    </row>
    <row r="3642" ht="15.75" customHeight="1">
      <c r="A3642" s="1"/>
      <c r="B3642" s="1"/>
      <c r="C3642" s="1"/>
      <c r="D3642" s="1"/>
      <c r="E3642" s="1"/>
      <c r="F3642" s="1"/>
      <c r="G3642" s="1"/>
      <c r="H3642" s="1"/>
      <c r="I3642" s="1"/>
      <c r="J3642" s="1"/>
      <c r="K3642" s="89" t="s">
        <v>5546</v>
      </c>
      <c r="L3642" s="89" t="str">
        <f>E120</f>
        <v>C1b3a</v>
      </c>
      <c r="M3642" s="89"/>
      <c r="N3642" s="89" t="s">
        <v>5547</v>
      </c>
      <c r="O3642" s="92">
        <v>7831928.0</v>
      </c>
      <c r="P3642" s="92">
        <v>7963887.0</v>
      </c>
      <c r="Q3642" s="89" t="s">
        <v>912</v>
      </c>
      <c r="AF3642" s="1"/>
      <c r="AG3642" s="1"/>
    </row>
    <row r="3643" ht="15.75" customHeight="1">
      <c r="A3643" s="1"/>
      <c r="B3643" s="1"/>
      <c r="C3643" s="1"/>
      <c r="D3643" s="1"/>
      <c r="E3643" s="1"/>
      <c r="F3643" s="1"/>
      <c r="G3643" s="1"/>
      <c r="H3643" s="1"/>
      <c r="I3643" s="1"/>
      <c r="J3643" s="1"/>
      <c r="K3643" s="89" t="s">
        <v>5548</v>
      </c>
      <c r="L3643" s="89" t="str">
        <f>E120</f>
        <v>C1b3a</v>
      </c>
      <c r="M3643" s="89"/>
      <c r="N3643" s="89" t="s">
        <v>5549</v>
      </c>
      <c r="O3643" s="92">
        <v>7892353.0</v>
      </c>
      <c r="P3643" s="92">
        <v>8024312.0</v>
      </c>
      <c r="Q3643" s="89" t="s">
        <v>838</v>
      </c>
      <c r="AF3643" s="1"/>
      <c r="AG3643" s="1"/>
    </row>
    <row r="3644" ht="15.75" customHeight="1">
      <c r="A3644" s="1"/>
      <c r="B3644" s="1"/>
      <c r="C3644" s="1"/>
      <c r="D3644" s="1"/>
      <c r="E3644" s="1"/>
      <c r="F3644" s="1"/>
      <c r="G3644" s="1"/>
      <c r="H3644" s="1"/>
      <c r="I3644" s="1"/>
      <c r="J3644" s="1"/>
      <c r="K3644" s="89" t="s">
        <v>5550</v>
      </c>
      <c r="L3644" s="89" t="str">
        <f>E120</f>
        <v>C1b3a</v>
      </c>
      <c r="M3644" s="89"/>
      <c r="N3644" s="89" t="s">
        <v>5551</v>
      </c>
      <c r="O3644" s="92">
        <v>7959974.0</v>
      </c>
      <c r="P3644" s="92">
        <v>8091933.0</v>
      </c>
      <c r="Q3644" s="89" t="s">
        <v>813</v>
      </c>
      <c r="AF3644" s="1"/>
      <c r="AG3644" s="1"/>
    </row>
    <row r="3645" ht="15.75" customHeight="1">
      <c r="A3645" s="1"/>
      <c r="B3645" s="1"/>
      <c r="C3645" s="1"/>
      <c r="D3645" s="1"/>
      <c r="E3645" s="1"/>
      <c r="F3645" s="1"/>
      <c r="G3645" s="1"/>
      <c r="H3645" s="1"/>
      <c r="I3645" s="1"/>
      <c r="J3645" s="1"/>
      <c r="K3645" s="89" t="s">
        <v>5552</v>
      </c>
      <c r="L3645" s="89" t="str">
        <f>E120</f>
        <v>C1b3a</v>
      </c>
      <c r="M3645" s="89"/>
      <c r="N3645" s="89"/>
      <c r="O3645" s="92">
        <v>7965695.0</v>
      </c>
      <c r="P3645" s="92">
        <v>8097654.0</v>
      </c>
      <c r="Q3645" s="89" t="s">
        <v>810</v>
      </c>
      <c r="AF3645" s="1"/>
      <c r="AG3645" s="1"/>
    </row>
    <row r="3646" ht="15.75" customHeight="1">
      <c r="A3646" s="1"/>
      <c r="B3646" s="1"/>
      <c r="C3646" s="1"/>
      <c r="D3646" s="1"/>
      <c r="E3646" s="1"/>
      <c r="F3646" s="1"/>
      <c r="G3646" s="1"/>
      <c r="H3646" s="1"/>
      <c r="I3646" s="1"/>
      <c r="J3646" s="1"/>
      <c r="K3646" s="89" t="s">
        <v>5553</v>
      </c>
      <c r="L3646" s="89" t="str">
        <f>E120</f>
        <v>C1b3a</v>
      </c>
      <c r="M3646" s="89"/>
      <c r="N3646" s="89" t="s">
        <v>5554</v>
      </c>
      <c r="O3646" s="92">
        <v>8000457.0</v>
      </c>
      <c r="P3646" s="92">
        <v>8132416.0</v>
      </c>
      <c r="Q3646" s="89" t="s">
        <v>879</v>
      </c>
      <c r="AF3646" s="1"/>
      <c r="AG3646" s="1"/>
    </row>
    <row r="3647" ht="15.75" customHeight="1">
      <c r="A3647" s="1"/>
      <c r="B3647" s="1"/>
      <c r="C3647" s="1"/>
      <c r="D3647" s="1"/>
      <c r="E3647" s="1"/>
      <c r="F3647" s="1"/>
      <c r="G3647" s="1"/>
      <c r="H3647" s="1"/>
      <c r="I3647" s="1"/>
      <c r="J3647" s="1"/>
      <c r="K3647" s="89" t="s">
        <v>5555</v>
      </c>
      <c r="L3647" s="89" t="str">
        <f>E120</f>
        <v>C1b3a</v>
      </c>
      <c r="M3647" s="89"/>
      <c r="N3647" s="89" t="s">
        <v>5556</v>
      </c>
      <c r="O3647" s="92">
        <v>8156057.0</v>
      </c>
      <c r="P3647" s="92">
        <v>8288016.0</v>
      </c>
      <c r="Q3647" s="89" t="s">
        <v>838</v>
      </c>
      <c r="AF3647" s="1"/>
      <c r="AG3647" s="1"/>
    </row>
    <row r="3648" ht="15.75" customHeight="1">
      <c r="A3648" s="1"/>
      <c r="B3648" s="1"/>
      <c r="C3648" s="1"/>
      <c r="D3648" s="1"/>
      <c r="E3648" s="1"/>
      <c r="F3648" s="1"/>
      <c r="G3648" s="1"/>
      <c r="H3648" s="1"/>
      <c r="I3648" s="1"/>
      <c r="J3648" s="1"/>
      <c r="K3648" s="89" t="s">
        <v>5557</v>
      </c>
      <c r="L3648" s="89" t="str">
        <f>E120</f>
        <v>C1b3a</v>
      </c>
      <c r="M3648" s="89"/>
      <c r="N3648" s="89" t="s">
        <v>5558</v>
      </c>
      <c r="O3648" s="92">
        <v>8199953.0</v>
      </c>
      <c r="P3648" s="92">
        <v>8331912.0</v>
      </c>
      <c r="Q3648" s="89" t="s">
        <v>838</v>
      </c>
      <c r="AF3648" s="1"/>
      <c r="AG3648" s="1"/>
    </row>
    <row r="3649" ht="15.75" customHeight="1">
      <c r="A3649" s="1"/>
      <c r="B3649" s="1"/>
      <c r="C3649" s="1"/>
      <c r="D3649" s="1"/>
      <c r="E3649" s="1"/>
      <c r="F3649" s="1"/>
      <c r="G3649" s="1"/>
      <c r="H3649" s="1"/>
      <c r="I3649" s="1"/>
      <c r="J3649" s="1"/>
      <c r="K3649" s="89" t="s">
        <v>5559</v>
      </c>
      <c r="L3649" s="89" t="str">
        <f>E120</f>
        <v>C1b3a</v>
      </c>
      <c r="M3649" s="89"/>
      <c r="N3649" s="89" t="s">
        <v>5560</v>
      </c>
      <c r="O3649" s="92">
        <v>8311218.0</v>
      </c>
      <c r="P3649" s="92">
        <v>8443177.0</v>
      </c>
      <c r="Q3649" s="89" t="s">
        <v>838</v>
      </c>
      <c r="AF3649" s="1"/>
      <c r="AG3649" s="1"/>
    </row>
    <row r="3650" ht="15.75" customHeight="1">
      <c r="A3650" s="1"/>
      <c r="B3650" s="1"/>
      <c r="C3650" s="1"/>
      <c r="D3650" s="1"/>
      <c r="E3650" s="1"/>
      <c r="F3650" s="1"/>
      <c r="G3650" s="1"/>
      <c r="H3650" s="1"/>
      <c r="I3650" s="1"/>
      <c r="J3650" s="1"/>
      <c r="K3650" s="89" t="s">
        <v>5561</v>
      </c>
      <c r="L3650" s="89" t="str">
        <f>E120</f>
        <v>C1b3a</v>
      </c>
      <c r="M3650" s="89"/>
      <c r="N3650" s="89" t="s">
        <v>5562</v>
      </c>
      <c r="O3650" s="92">
        <v>8313955.0</v>
      </c>
      <c r="P3650" s="92">
        <v>8445914.0</v>
      </c>
      <c r="Q3650" s="89" t="s">
        <v>802</v>
      </c>
      <c r="AF3650" s="1"/>
      <c r="AG3650" s="1"/>
    </row>
    <row r="3651" ht="15.75" customHeight="1">
      <c r="A3651" s="1"/>
      <c r="B3651" s="1"/>
      <c r="C3651" s="1"/>
      <c r="D3651" s="1"/>
      <c r="E3651" s="1"/>
      <c r="F3651" s="1"/>
      <c r="G3651" s="1"/>
      <c r="H3651" s="1"/>
      <c r="I3651" s="1"/>
      <c r="J3651" s="1"/>
      <c r="K3651" s="89" t="s">
        <v>5563</v>
      </c>
      <c r="L3651" s="89" t="str">
        <f>E120</f>
        <v>C1b3a</v>
      </c>
      <c r="M3651" s="89"/>
      <c r="N3651" s="89" t="s">
        <v>5564</v>
      </c>
      <c r="O3651" s="92">
        <v>8415832.0</v>
      </c>
      <c r="P3651" s="92">
        <v>8547791.0</v>
      </c>
      <c r="Q3651" s="89" t="s">
        <v>802</v>
      </c>
      <c r="AF3651" s="1"/>
      <c r="AG3651" s="1"/>
    </row>
    <row r="3652" ht="15.75" customHeight="1">
      <c r="A3652" s="1"/>
      <c r="B3652" s="1"/>
      <c r="C3652" s="1"/>
      <c r="D3652" s="1"/>
      <c r="E3652" s="1"/>
      <c r="F3652" s="1"/>
      <c r="G3652" s="1"/>
      <c r="H3652" s="1"/>
      <c r="I3652" s="1"/>
      <c r="J3652" s="1"/>
      <c r="K3652" s="89" t="s">
        <v>5565</v>
      </c>
      <c r="L3652" s="89" t="str">
        <f>E120</f>
        <v>C1b3a</v>
      </c>
      <c r="M3652" s="89"/>
      <c r="N3652" s="89" t="s">
        <v>5566</v>
      </c>
      <c r="O3652" s="92">
        <v>8447956.0</v>
      </c>
      <c r="P3652" s="92">
        <v>8579915.0</v>
      </c>
      <c r="Q3652" s="89" t="s">
        <v>917</v>
      </c>
      <c r="AF3652" s="1"/>
      <c r="AG3652" s="1"/>
    </row>
    <row r="3653" ht="15.75" customHeight="1">
      <c r="A3653" s="1"/>
      <c r="B3653" s="1"/>
      <c r="C3653" s="1"/>
      <c r="D3653" s="1"/>
      <c r="E3653" s="1"/>
      <c r="F3653" s="1"/>
      <c r="G3653" s="1"/>
      <c r="H3653" s="1"/>
      <c r="I3653" s="1"/>
      <c r="J3653" s="1"/>
      <c r="K3653" s="89" t="s">
        <v>5567</v>
      </c>
      <c r="L3653" s="89" t="str">
        <f>E120</f>
        <v>C1b3a</v>
      </c>
      <c r="M3653" s="89"/>
      <c r="N3653" s="89" t="s">
        <v>5568</v>
      </c>
      <c r="O3653" s="92">
        <v>8562786.0</v>
      </c>
      <c r="P3653" s="92">
        <v>8694745.0</v>
      </c>
      <c r="Q3653" s="89" t="s">
        <v>822</v>
      </c>
      <c r="AF3653" s="1"/>
      <c r="AG3653" s="1"/>
    </row>
    <row r="3654" ht="15.75" customHeight="1">
      <c r="A3654" s="1"/>
      <c r="B3654" s="1"/>
      <c r="C3654" s="1"/>
      <c r="D3654" s="1"/>
      <c r="E3654" s="1"/>
      <c r="F3654" s="1"/>
      <c r="G3654" s="1"/>
      <c r="H3654" s="1"/>
      <c r="I3654" s="1"/>
      <c r="J3654" s="1"/>
      <c r="K3654" s="89" t="s">
        <v>5569</v>
      </c>
      <c r="L3654" s="89" t="str">
        <f>E120</f>
        <v>C1b3a</v>
      </c>
      <c r="M3654" s="89"/>
      <c r="N3654" s="89" t="s">
        <v>5570</v>
      </c>
      <c r="O3654" s="92">
        <v>8577288.0</v>
      </c>
      <c r="P3654" s="92">
        <v>8709247.0</v>
      </c>
      <c r="Q3654" s="89" t="s">
        <v>838</v>
      </c>
      <c r="AF3654" s="1"/>
      <c r="AG3654" s="1"/>
    </row>
    <row r="3655" ht="15.75" customHeight="1">
      <c r="A3655" s="1"/>
      <c r="B3655" s="1"/>
      <c r="C3655" s="1"/>
      <c r="D3655" s="1"/>
      <c r="E3655" s="1"/>
      <c r="F3655" s="1"/>
      <c r="G3655" s="1"/>
      <c r="H3655" s="1"/>
      <c r="I3655" s="1"/>
      <c r="J3655" s="1"/>
      <c r="K3655" s="89" t="s">
        <v>5571</v>
      </c>
      <c r="L3655" s="89" t="str">
        <f>E120</f>
        <v>C1b3a</v>
      </c>
      <c r="M3655" s="89"/>
      <c r="N3655" s="89" t="s">
        <v>5572</v>
      </c>
      <c r="O3655" s="92">
        <v>8626972.0</v>
      </c>
      <c r="P3655" s="92">
        <v>8758931.0</v>
      </c>
      <c r="Q3655" s="89" t="s">
        <v>810</v>
      </c>
      <c r="AF3655" s="1"/>
      <c r="AG3655" s="1"/>
    </row>
    <row r="3656" ht="15.75" customHeight="1">
      <c r="A3656" s="1"/>
      <c r="B3656" s="1"/>
      <c r="C3656" s="1"/>
      <c r="D3656" s="1"/>
      <c r="E3656" s="1"/>
      <c r="F3656" s="1"/>
      <c r="G3656" s="1"/>
      <c r="H3656" s="1"/>
      <c r="I3656" s="1"/>
      <c r="J3656" s="1"/>
      <c r="K3656" s="89" t="s">
        <v>5573</v>
      </c>
      <c r="L3656" s="89" t="str">
        <f>E120</f>
        <v>C1b3a</v>
      </c>
      <c r="M3656" s="89"/>
      <c r="N3656" s="89" t="s">
        <v>5574</v>
      </c>
      <c r="O3656" s="92">
        <v>8767983.0</v>
      </c>
      <c r="P3656" s="92">
        <v>8899942.0</v>
      </c>
      <c r="Q3656" s="89" t="s">
        <v>864</v>
      </c>
      <c r="AF3656" s="1"/>
      <c r="AG3656" s="1"/>
    </row>
    <row r="3657" ht="15.75" customHeight="1">
      <c r="A3657" s="1"/>
      <c r="B3657" s="1"/>
      <c r="C3657" s="1"/>
      <c r="D3657" s="1"/>
      <c r="E3657" s="1"/>
      <c r="F3657" s="1"/>
      <c r="G3657" s="1"/>
      <c r="H3657" s="1"/>
      <c r="I3657" s="1"/>
      <c r="J3657" s="1"/>
      <c r="K3657" s="89" t="s">
        <v>5575</v>
      </c>
      <c r="L3657" s="89" t="str">
        <f>E120</f>
        <v>C1b3a</v>
      </c>
      <c r="M3657" s="89"/>
      <c r="N3657" s="89" t="s">
        <v>5576</v>
      </c>
      <c r="O3657" s="92">
        <v>8806901.0</v>
      </c>
      <c r="P3657" s="92">
        <v>8938860.0</v>
      </c>
      <c r="Q3657" s="89" t="s">
        <v>864</v>
      </c>
      <c r="AF3657" s="1"/>
      <c r="AG3657" s="1"/>
    </row>
    <row r="3658" ht="15.75" customHeight="1">
      <c r="A3658" s="1"/>
      <c r="B3658" s="1"/>
      <c r="C3658" s="1"/>
      <c r="D3658" s="1"/>
      <c r="E3658" s="1"/>
      <c r="F3658" s="1"/>
      <c r="G3658" s="1"/>
      <c r="H3658" s="1"/>
      <c r="I3658" s="1"/>
      <c r="J3658" s="1"/>
      <c r="K3658" s="89" t="s">
        <v>5577</v>
      </c>
      <c r="L3658" s="89" t="str">
        <f>E120</f>
        <v>C1b3a</v>
      </c>
      <c r="M3658" s="89"/>
      <c r="N3658" s="89" t="s">
        <v>5578</v>
      </c>
      <c r="O3658" s="92">
        <v>8870141.0</v>
      </c>
      <c r="P3658" s="92">
        <v>9002100.0</v>
      </c>
      <c r="Q3658" s="89" t="s">
        <v>810</v>
      </c>
      <c r="AF3658" s="1"/>
      <c r="AG3658" s="1"/>
    </row>
    <row r="3659" ht="15.75" customHeight="1">
      <c r="A3659" s="1"/>
      <c r="B3659" s="1"/>
      <c r="C3659" s="1"/>
      <c r="D3659" s="1"/>
      <c r="E3659" s="1"/>
      <c r="F3659" s="1"/>
      <c r="G3659" s="1"/>
      <c r="H3659" s="1"/>
      <c r="I3659" s="1"/>
      <c r="J3659" s="1"/>
      <c r="K3659" s="89" t="s">
        <v>5579</v>
      </c>
      <c r="L3659" s="89" t="str">
        <f>E120</f>
        <v>C1b3a</v>
      </c>
      <c r="M3659" s="89"/>
      <c r="N3659" s="89" t="s">
        <v>5580</v>
      </c>
      <c r="O3659" s="92">
        <v>9850439.0</v>
      </c>
      <c r="P3659" s="92">
        <v>1.001283E7</v>
      </c>
      <c r="Q3659" s="89" t="s">
        <v>802</v>
      </c>
      <c r="AF3659" s="1"/>
      <c r="AG3659" s="1"/>
    </row>
    <row r="3660" ht="15.75" customHeight="1">
      <c r="A3660" s="1"/>
      <c r="B3660" s="1"/>
      <c r="C3660" s="1"/>
      <c r="D3660" s="1"/>
      <c r="E3660" s="1"/>
      <c r="F3660" s="1"/>
      <c r="G3660" s="1"/>
      <c r="H3660" s="1"/>
      <c r="I3660" s="1"/>
      <c r="J3660" s="1"/>
      <c r="K3660" s="89" t="s">
        <v>5581</v>
      </c>
      <c r="L3660" s="89" t="str">
        <f>E120</f>
        <v>C1b3a</v>
      </c>
      <c r="M3660" s="89"/>
      <c r="N3660" s="89" t="s">
        <v>5582</v>
      </c>
      <c r="O3660" s="92">
        <v>1.3875546E7</v>
      </c>
      <c r="P3660" s="92">
        <v>1.175484E7</v>
      </c>
      <c r="Q3660" s="89" t="s">
        <v>912</v>
      </c>
      <c r="AF3660" s="1"/>
      <c r="AG3660" s="1"/>
    </row>
    <row r="3661" ht="15.75" customHeight="1">
      <c r="A3661" s="1"/>
      <c r="B3661" s="1"/>
      <c r="C3661" s="1"/>
      <c r="D3661" s="1"/>
      <c r="E3661" s="1"/>
      <c r="F3661" s="1"/>
      <c r="G3661" s="1"/>
      <c r="H3661" s="1"/>
      <c r="I3661" s="1"/>
      <c r="J3661" s="1"/>
      <c r="K3661" s="89" t="s">
        <v>5583</v>
      </c>
      <c r="L3661" s="89" t="str">
        <f>E120</f>
        <v>C1b3a</v>
      </c>
      <c r="M3661" s="89"/>
      <c r="N3661" s="89" t="s">
        <v>5584</v>
      </c>
      <c r="O3661" s="92">
        <v>1.3931954E7</v>
      </c>
      <c r="P3661" s="92">
        <v>1.1811248E7</v>
      </c>
      <c r="Q3661" s="89" t="s">
        <v>802</v>
      </c>
      <c r="AF3661" s="1"/>
      <c r="AG3661" s="1"/>
    </row>
    <row r="3662" ht="15.75" customHeight="1">
      <c r="A3662" s="1"/>
      <c r="B3662" s="1"/>
      <c r="C3662" s="1"/>
      <c r="D3662" s="1"/>
      <c r="E3662" s="1"/>
      <c r="F3662" s="1"/>
      <c r="G3662" s="1"/>
      <c r="H3662" s="1"/>
      <c r="I3662" s="1"/>
      <c r="J3662" s="1"/>
      <c r="K3662" s="89" t="s">
        <v>5585</v>
      </c>
      <c r="L3662" s="89" t="str">
        <f>E120</f>
        <v>C1b3a</v>
      </c>
      <c r="M3662" s="89"/>
      <c r="N3662" s="89" t="s">
        <v>5586</v>
      </c>
      <c r="O3662" s="92">
        <v>1.4142432E7</v>
      </c>
      <c r="P3662" s="92">
        <v>1.2021726E7</v>
      </c>
      <c r="Q3662" s="89" t="s">
        <v>813</v>
      </c>
      <c r="AF3662" s="1"/>
      <c r="AG3662" s="1"/>
    </row>
    <row r="3663" ht="15.75" customHeight="1">
      <c r="A3663" s="1"/>
      <c r="B3663" s="1"/>
      <c r="C3663" s="1"/>
      <c r="D3663" s="1"/>
      <c r="E3663" s="1"/>
      <c r="F3663" s="1"/>
      <c r="G3663" s="1"/>
      <c r="H3663" s="1"/>
      <c r="I3663" s="1"/>
      <c r="J3663" s="1"/>
      <c r="K3663" s="89" t="s">
        <v>5587</v>
      </c>
      <c r="L3663" s="89" t="str">
        <f>E120</f>
        <v>C1b3a</v>
      </c>
      <c r="M3663" s="89"/>
      <c r="N3663" s="89" t="s">
        <v>5588</v>
      </c>
      <c r="O3663" s="92">
        <v>1.4236981E7</v>
      </c>
      <c r="P3663" s="92">
        <v>1.2116275E7</v>
      </c>
      <c r="Q3663" s="89" t="s">
        <v>802</v>
      </c>
      <c r="AF3663" s="1"/>
      <c r="AG3663" s="1"/>
    </row>
    <row r="3664" ht="15.75" customHeight="1">
      <c r="A3664" s="1"/>
      <c r="B3664" s="1"/>
      <c r="C3664" s="1"/>
      <c r="D3664" s="1"/>
      <c r="E3664" s="1"/>
      <c r="F3664" s="1"/>
      <c r="G3664" s="1"/>
      <c r="H3664" s="1"/>
      <c r="I3664" s="1"/>
      <c r="J3664" s="1"/>
      <c r="K3664" s="89" t="s">
        <v>5589</v>
      </c>
      <c r="L3664" s="89" t="str">
        <f>E120</f>
        <v>C1b3a</v>
      </c>
      <c r="M3664" s="89"/>
      <c r="N3664" s="89" t="s">
        <v>5590</v>
      </c>
      <c r="O3664" s="92">
        <v>1.4269614E7</v>
      </c>
      <c r="P3664" s="92">
        <v>1.2148908E7</v>
      </c>
      <c r="Q3664" s="89" t="s">
        <v>810</v>
      </c>
      <c r="AF3664" s="1"/>
      <c r="AG3664" s="1"/>
    </row>
    <row r="3665" ht="15.75" customHeight="1">
      <c r="A3665" s="1"/>
      <c r="B3665" s="1"/>
      <c r="C3665" s="1"/>
      <c r="D3665" s="1"/>
      <c r="E3665" s="1"/>
      <c r="F3665" s="1"/>
      <c r="G3665" s="1"/>
      <c r="H3665" s="1"/>
      <c r="I3665" s="1"/>
      <c r="J3665" s="1"/>
      <c r="K3665" s="89" t="s">
        <v>5591</v>
      </c>
      <c r="L3665" s="89" t="str">
        <f>E120</f>
        <v>C1b3a</v>
      </c>
      <c r="M3665" s="89"/>
      <c r="N3665" s="89" t="s">
        <v>5592</v>
      </c>
      <c r="O3665" s="92">
        <v>1.4282467E7</v>
      </c>
      <c r="P3665" s="92">
        <v>1.2161761E7</v>
      </c>
      <c r="Q3665" s="89" t="s">
        <v>822</v>
      </c>
      <c r="AF3665" s="1"/>
      <c r="AG3665" s="1"/>
    </row>
    <row r="3666" ht="15.75" customHeight="1">
      <c r="A3666" s="1"/>
      <c r="B3666" s="1"/>
      <c r="C3666" s="1"/>
      <c r="D3666" s="1"/>
      <c r="E3666" s="1"/>
      <c r="F3666" s="1"/>
      <c r="G3666" s="1"/>
      <c r="H3666" s="1"/>
      <c r="I3666" s="1"/>
      <c r="J3666" s="1"/>
      <c r="K3666" s="89" t="s">
        <v>5593</v>
      </c>
      <c r="L3666" s="89" t="str">
        <f>E120</f>
        <v>C1b3a</v>
      </c>
      <c r="M3666" s="89"/>
      <c r="N3666" s="89" t="s">
        <v>5594</v>
      </c>
      <c r="O3666" s="92">
        <v>1.4308108E7</v>
      </c>
      <c r="P3666" s="92">
        <v>1.2187402E7</v>
      </c>
      <c r="Q3666" s="89" t="s">
        <v>886</v>
      </c>
      <c r="AF3666" s="1"/>
      <c r="AG3666" s="1"/>
    </row>
    <row r="3667" ht="15.75" customHeight="1">
      <c r="A3667" s="1"/>
      <c r="B3667" s="1"/>
      <c r="C3667" s="1"/>
      <c r="D3667" s="1"/>
      <c r="E3667" s="1"/>
      <c r="F3667" s="1"/>
      <c r="G3667" s="1"/>
      <c r="H3667" s="1"/>
      <c r="I3667" s="1"/>
      <c r="J3667" s="1"/>
      <c r="K3667" s="89" t="s">
        <v>5595</v>
      </c>
      <c r="L3667" s="89" t="str">
        <f>E120</f>
        <v>C1b3a</v>
      </c>
      <c r="M3667" s="89"/>
      <c r="N3667" s="89" t="s">
        <v>5596</v>
      </c>
      <c r="O3667" s="92">
        <v>1.433356E7</v>
      </c>
      <c r="P3667" s="92">
        <v>1.2212854E7</v>
      </c>
      <c r="Q3667" s="89" t="s">
        <v>831</v>
      </c>
      <c r="AF3667" s="1"/>
      <c r="AG3667" s="1"/>
    </row>
    <row r="3668" ht="15.75" customHeight="1">
      <c r="A3668" s="1"/>
      <c r="B3668" s="1"/>
      <c r="C3668" s="1"/>
      <c r="D3668" s="1"/>
      <c r="E3668" s="1"/>
      <c r="F3668" s="1"/>
      <c r="G3668" s="1"/>
      <c r="H3668" s="1"/>
      <c r="I3668" s="1"/>
      <c r="J3668" s="1"/>
      <c r="K3668" s="89" t="s">
        <v>5597</v>
      </c>
      <c r="L3668" s="89" t="str">
        <f>E120</f>
        <v>C1b3a</v>
      </c>
      <c r="M3668" s="89"/>
      <c r="N3668" s="89" t="s">
        <v>5598</v>
      </c>
      <c r="O3668" s="92">
        <v>1.4421433E7</v>
      </c>
      <c r="P3668" s="92">
        <v>1.2300708E7</v>
      </c>
      <c r="Q3668" s="89" t="s">
        <v>802</v>
      </c>
      <c r="AF3668" s="1"/>
      <c r="AG3668" s="1"/>
    </row>
    <row r="3669" ht="15.75" customHeight="1">
      <c r="A3669" s="1"/>
      <c r="B3669" s="1"/>
      <c r="C3669" s="1"/>
      <c r="D3669" s="1"/>
      <c r="E3669" s="1"/>
      <c r="F3669" s="1"/>
      <c r="G3669" s="1"/>
      <c r="H3669" s="1"/>
      <c r="I3669" s="1"/>
      <c r="J3669" s="1"/>
      <c r="K3669" s="89" t="s">
        <v>5599</v>
      </c>
      <c r="L3669" s="89" t="str">
        <f>E120</f>
        <v>C1b3a</v>
      </c>
      <c r="M3669" s="89"/>
      <c r="N3669" s="89" t="s">
        <v>5600</v>
      </c>
      <c r="O3669" s="92">
        <v>1.4573368E7</v>
      </c>
      <c r="P3669" s="92">
        <v>1.2461568E7</v>
      </c>
      <c r="Q3669" s="89" t="s">
        <v>864</v>
      </c>
      <c r="AF3669" s="1"/>
      <c r="AG3669" s="1"/>
    </row>
    <row r="3670" ht="15.75" customHeight="1">
      <c r="A3670" s="1"/>
      <c r="B3670" s="1"/>
      <c r="C3670" s="1"/>
      <c r="D3670" s="1"/>
      <c r="E3670" s="1"/>
      <c r="F3670" s="1"/>
      <c r="G3670" s="1"/>
      <c r="H3670" s="1"/>
      <c r="I3670" s="1"/>
      <c r="J3670" s="1"/>
      <c r="K3670" s="89" t="s">
        <v>5601</v>
      </c>
      <c r="L3670" s="89" t="str">
        <f>E120</f>
        <v>C1b3a</v>
      </c>
      <c r="M3670" s="89"/>
      <c r="N3670" s="89" t="s">
        <v>5602</v>
      </c>
      <c r="O3670" s="92">
        <v>1.4595876E7</v>
      </c>
      <c r="P3670" s="92">
        <v>1.2484076E7</v>
      </c>
      <c r="Q3670" s="89" t="s">
        <v>886</v>
      </c>
      <c r="AF3670" s="1"/>
      <c r="AG3670" s="1"/>
    </row>
    <row r="3671" ht="15.75" customHeight="1">
      <c r="A3671" s="1"/>
      <c r="B3671" s="1"/>
      <c r="C3671" s="1"/>
      <c r="D3671" s="1"/>
      <c r="E3671" s="1"/>
      <c r="F3671" s="1"/>
      <c r="G3671" s="1"/>
      <c r="H3671" s="1"/>
      <c r="I3671" s="1"/>
      <c r="J3671" s="1"/>
      <c r="K3671" s="89" t="s">
        <v>5603</v>
      </c>
      <c r="L3671" s="89" t="str">
        <f>E120</f>
        <v>C1b3a</v>
      </c>
      <c r="M3671" s="89"/>
      <c r="N3671" s="89" t="s">
        <v>5604</v>
      </c>
      <c r="O3671" s="92">
        <v>1.4636227E7</v>
      </c>
      <c r="P3671" s="92">
        <v>1.2524296E7</v>
      </c>
      <c r="Q3671" s="89" t="s">
        <v>802</v>
      </c>
      <c r="AF3671" s="1"/>
      <c r="AG3671" s="1"/>
    </row>
    <row r="3672" ht="15.75" customHeight="1">
      <c r="A3672" s="1"/>
      <c r="B3672" s="1"/>
      <c r="C3672" s="1"/>
      <c r="D3672" s="1"/>
      <c r="E3672" s="1"/>
      <c r="F3672" s="1"/>
      <c r="G3672" s="1"/>
      <c r="H3672" s="1"/>
      <c r="I3672" s="1"/>
      <c r="J3672" s="1"/>
      <c r="K3672" s="89" t="s">
        <v>5605</v>
      </c>
      <c r="L3672" s="89" t="str">
        <f>E120</f>
        <v>C1b3a</v>
      </c>
      <c r="M3672" s="89"/>
      <c r="N3672" s="89" t="s">
        <v>5606</v>
      </c>
      <c r="O3672" s="92">
        <v>1.4649372E7</v>
      </c>
      <c r="P3672" s="92">
        <v>1.2537437E7</v>
      </c>
      <c r="Q3672" s="89" t="s">
        <v>802</v>
      </c>
      <c r="AF3672" s="1"/>
      <c r="AG3672" s="1"/>
    </row>
    <row r="3673" ht="15.75" customHeight="1">
      <c r="A3673" s="1"/>
      <c r="B3673" s="1"/>
      <c r="C3673" s="1"/>
      <c r="D3673" s="1"/>
      <c r="E3673" s="1"/>
      <c r="F3673" s="1"/>
      <c r="G3673" s="1"/>
      <c r="H3673" s="1"/>
      <c r="I3673" s="1"/>
      <c r="J3673" s="1"/>
      <c r="K3673" s="89" t="s">
        <v>5607</v>
      </c>
      <c r="L3673" s="89" t="str">
        <f>E120</f>
        <v>C1b3a</v>
      </c>
      <c r="M3673" s="89"/>
      <c r="N3673" s="89" t="s">
        <v>5608</v>
      </c>
      <c r="O3673" s="92">
        <v>1.4675469E7</v>
      </c>
      <c r="P3673" s="92">
        <v>1.2563535E7</v>
      </c>
      <c r="Q3673" s="89" t="s">
        <v>810</v>
      </c>
      <c r="AF3673" s="1"/>
      <c r="AG3673" s="1"/>
    </row>
    <row r="3674" ht="15.75" customHeight="1">
      <c r="A3674" s="1"/>
      <c r="B3674" s="1"/>
      <c r="C3674" s="1"/>
      <c r="D3674" s="1"/>
      <c r="E3674" s="1"/>
      <c r="F3674" s="1"/>
      <c r="G3674" s="1"/>
      <c r="H3674" s="1"/>
      <c r="I3674" s="1"/>
      <c r="J3674" s="1"/>
      <c r="K3674" s="89" t="s">
        <v>5609</v>
      </c>
      <c r="L3674" s="89" t="str">
        <f>E120</f>
        <v>C1b3a</v>
      </c>
      <c r="M3674" s="89"/>
      <c r="N3674" s="89" t="s">
        <v>5610</v>
      </c>
      <c r="O3674" s="92">
        <v>1.4730345E7</v>
      </c>
      <c r="P3674" s="92">
        <v>1.2618413E7</v>
      </c>
      <c r="Q3674" s="89" t="s">
        <v>802</v>
      </c>
      <c r="AF3674" s="1"/>
      <c r="AG3674" s="1"/>
    </row>
    <row r="3675" ht="15.75" customHeight="1">
      <c r="A3675" s="1"/>
      <c r="B3675" s="1"/>
      <c r="C3675" s="1"/>
      <c r="D3675" s="1"/>
      <c r="E3675" s="1"/>
      <c r="F3675" s="1"/>
      <c r="G3675" s="1"/>
      <c r="H3675" s="1"/>
      <c r="I3675" s="1"/>
      <c r="J3675" s="1"/>
      <c r="K3675" s="89" t="s">
        <v>5611</v>
      </c>
      <c r="L3675" s="89" t="str">
        <f>E120</f>
        <v>C1b3a</v>
      </c>
      <c r="M3675" s="89"/>
      <c r="N3675" s="89" t="s">
        <v>5612</v>
      </c>
      <c r="O3675" s="92">
        <v>1.4838408E7</v>
      </c>
      <c r="P3675" s="92">
        <v>1.2726475E7</v>
      </c>
      <c r="Q3675" s="89" t="s">
        <v>810</v>
      </c>
      <c r="AF3675" s="1"/>
      <c r="AG3675" s="1"/>
    </row>
    <row r="3676" ht="15.75" customHeight="1">
      <c r="A3676" s="1"/>
      <c r="B3676" s="1"/>
      <c r="C3676" s="1"/>
      <c r="D3676" s="1"/>
      <c r="E3676" s="1"/>
      <c r="F3676" s="1"/>
      <c r="G3676" s="1"/>
      <c r="H3676" s="1"/>
      <c r="I3676" s="1"/>
      <c r="J3676" s="1"/>
      <c r="K3676" s="89" t="s">
        <v>5613</v>
      </c>
      <c r="L3676" s="89" t="str">
        <f>E120</f>
        <v>C1b3a</v>
      </c>
      <c r="M3676" s="89"/>
      <c r="N3676" s="89" t="s">
        <v>5614</v>
      </c>
      <c r="O3676" s="92">
        <v>1.4879693E7</v>
      </c>
      <c r="P3676" s="92">
        <v>1.2767763E7</v>
      </c>
      <c r="Q3676" s="89" t="s">
        <v>838</v>
      </c>
      <c r="AF3676" s="1"/>
      <c r="AG3676" s="1"/>
    </row>
    <row r="3677" ht="15.75" customHeight="1">
      <c r="A3677" s="1"/>
      <c r="B3677" s="1"/>
      <c r="C3677" s="1"/>
      <c r="D3677" s="1"/>
      <c r="E3677" s="1"/>
      <c r="F3677" s="1"/>
      <c r="G3677" s="1"/>
      <c r="H3677" s="1"/>
      <c r="I3677" s="1"/>
      <c r="J3677" s="1"/>
      <c r="K3677" s="89" t="s">
        <v>5615</v>
      </c>
      <c r="L3677" s="89" t="str">
        <f>E120</f>
        <v>C1b3a</v>
      </c>
      <c r="M3677" s="89"/>
      <c r="N3677" s="89" t="s">
        <v>5616</v>
      </c>
      <c r="O3677" s="92">
        <v>1.4965197E7</v>
      </c>
      <c r="P3677" s="92">
        <v>1.2853272E7</v>
      </c>
      <c r="Q3677" s="89" t="s">
        <v>813</v>
      </c>
      <c r="AF3677" s="1"/>
      <c r="AG3677" s="1"/>
    </row>
    <row r="3678" ht="15.75" customHeight="1">
      <c r="A3678" s="1"/>
      <c r="B3678" s="1"/>
      <c r="C3678" s="1"/>
      <c r="D3678" s="1"/>
      <c r="E3678" s="1"/>
      <c r="F3678" s="1"/>
      <c r="G3678" s="1"/>
      <c r="H3678" s="1"/>
      <c r="I3678" s="1"/>
      <c r="J3678" s="1"/>
      <c r="K3678" s="89" t="s">
        <v>5617</v>
      </c>
      <c r="L3678" s="89" t="str">
        <f>E120</f>
        <v>C1b3a</v>
      </c>
      <c r="M3678" s="89"/>
      <c r="N3678" s="89" t="s">
        <v>5618</v>
      </c>
      <c r="O3678" s="92">
        <v>1.531919E7</v>
      </c>
      <c r="P3678" s="92">
        <v>1.3207296E7</v>
      </c>
      <c r="Q3678" s="89" t="s">
        <v>802</v>
      </c>
      <c r="AF3678" s="1"/>
      <c r="AG3678" s="1"/>
    </row>
    <row r="3679" ht="15.75" customHeight="1">
      <c r="A3679" s="1"/>
      <c r="B3679" s="1"/>
      <c r="C3679" s="1"/>
      <c r="D3679" s="1"/>
      <c r="E3679" s="1"/>
      <c r="F3679" s="1"/>
      <c r="G3679" s="1"/>
      <c r="H3679" s="1"/>
      <c r="I3679" s="1"/>
      <c r="J3679" s="1"/>
      <c r="K3679" s="89" t="s">
        <v>5619</v>
      </c>
      <c r="L3679" s="89" t="str">
        <f>E120</f>
        <v>C1b3a</v>
      </c>
      <c r="M3679" s="89"/>
      <c r="N3679" s="89" t="s">
        <v>5620</v>
      </c>
      <c r="O3679" s="92">
        <v>1.5545898E7</v>
      </c>
      <c r="P3679" s="92">
        <v>1.3434018E7</v>
      </c>
      <c r="Q3679" s="89" t="s">
        <v>838</v>
      </c>
      <c r="AF3679" s="1"/>
      <c r="AG3679" s="1"/>
    </row>
    <row r="3680" ht="15.75" customHeight="1">
      <c r="A3680" s="1"/>
      <c r="B3680" s="1"/>
      <c r="C3680" s="1"/>
      <c r="D3680" s="1"/>
      <c r="E3680" s="1"/>
      <c r="F3680" s="1"/>
      <c r="G3680" s="1"/>
      <c r="H3680" s="1"/>
      <c r="I3680" s="1"/>
      <c r="J3680" s="1"/>
      <c r="K3680" s="89" t="s">
        <v>5621</v>
      </c>
      <c r="L3680" s="89" t="str">
        <f>E120</f>
        <v>C1b3a</v>
      </c>
      <c r="M3680" s="89"/>
      <c r="N3680" s="89" t="s">
        <v>5622</v>
      </c>
      <c r="O3680" s="92">
        <v>1.5572101E7</v>
      </c>
      <c r="P3680" s="92">
        <v>1.3460221E7</v>
      </c>
      <c r="Q3680" s="89" t="s">
        <v>838</v>
      </c>
      <c r="AF3680" s="1"/>
      <c r="AG3680" s="1"/>
    </row>
    <row r="3681" ht="15.75" customHeight="1">
      <c r="A3681" s="1"/>
      <c r="B3681" s="1"/>
      <c r="C3681" s="1"/>
      <c r="D3681" s="1"/>
      <c r="E3681" s="1"/>
      <c r="F3681" s="1"/>
      <c r="G3681" s="1"/>
      <c r="H3681" s="1"/>
      <c r="I3681" s="1"/>
      <c r="J3681" s="1"/>
      <c r="K3681" s="89" t="s">
        <v>5623</v>
      </c>
      <c r="L3681" s="89" t="str">
        <f>E120</f>
        <v>C1b3a</v>
      </c>
      <c r="M3681" s="89"/>
      <c r="N3681" s="89" t="s">
        <v>5624</v>
      </c>
      <c r="O3681" s="92">
        <v>1.5620196E7</v>
      </c>
      <c r="P3681" s="92">
        <v>1.3508316E7</v>
      </c>
      <c r="Q3681" s="89" t="s">
        <v>822</v>
      </c>
      <c r="AF3681" s="1"/>
      <c r="AG3681" s="1"/>
    </row>
    <row r="3682" ht="15.75" customHeight="1">
      <c r="A3682" s="1"/>
      <c r="B3682" s="1"/>
      <c r="C3682" s="1"/>
      <c r="D3682" s="1"/>
      <c r="E3682" s="1"/>
      <c r="F3682" s="1"/>
      <c r="G3682" s="1"/>
      <c r="H3682" s="1"/>
      <c r="I3682" s="1"/>
      <c r="J3682" s="1"/>
      <c r="K3682" s="89" t="s">
        <v>5625</v>
      </c>
      <c r="L3682" s="89" t="str">
        <f>E120</f>
        <v>C1b3a</v>
      </c>
      <c r="M3682" s="89"/>
      <c r="N3682" s="89" t="s">
        <v>5626</v>
      </c>
      <c r="O3682" s="92">
        <v>1.5714349E7</v>
      </c>
      <c r="P3682" s="92">
        <v>1.3602469E7</v>
      </c>
      <c r="Q3682" s="89" t="s">
        <v>810</v>
      </c>
      <c r="AF3682" s="1"/>
      <c r="AG3682" s="1"/>
    </row>
    <row r="3683" ht="15.75" customHeight="1">
      <c r="A3683" s="1"/>
      <c r="B3683" s="1"/>
      <c r="C3683" s="1"/>
      <c r="D3683" s="1"/>
      <c r="E3683" s="1"/>
      <c r="F3683" s="1"/>
      <c r="G3683" s="1"/>
      <c r="H3683" s="1"/>
      <c r="I3683" s="1"/>
      <c r="J3683" s="1"/>
      <c r="K3683" s="89" t="s">
        <v>5627</v>
      </c>
      <c r="L3683" s="89" t="str">
        <f>E120</f>
        <v>C1b3a</v>
      </c>
      <c r="M3683" s="89"/>
      <c r="N3683" s="89" t="s">
        <v>5628</v>
      </c>
      <c r="O3683" s="92">
        <v>1.5742161E7</v>
      </c>
      <c r="P3683" s="92">
        <v>1.3630281E7</v>
      </c>
      <c r="Q3683" s="89" t="s">
        <v>912</v>
      </c>
      <c r="AF3683" s="1"/>
      <c r="AG3683" s="1"/>
    </row>
    <row r="3684" ht="15.75" customHeight="1">
      <c r="A3684" s="1"/>
      <c r="B3684" s="1"/>
      <c r="C3684" s="1"/>
      <c r="D3684" s="1"/>
      <c r="E3684" s="1"/>
      <c r="F3684" s="1"/>
      <c r="G3684" s="1"/>
      <c r="H3684" s="1"/>
      <c r="I3684" s="1"/>
      <c r="J3684" s="1"/>
      <c r="K3684" s="89" t="s">
        <v>5629</v>
      </c>
      <c r="L3684" s="89" t="str">
        <f>E120</f>
        <v>C1b3a</v>
      </c>
      <c r="M3684" s="89"/>
      <c r="N3684" s="89" t="s">
        <v>5630</v>
      </c>
      <c r="O3684" s="92">
        <v>1.5743389E7</v>
      </c>
      <c r="P3684" s="92">
        <v>1.3631509E7</v>
      </c>
      <c r="Q3684" s="89" t="s">
        <v>912</v>
      </c>
      <c r="AF3684" s="1"/>
      <c r="AG3684" s="1"/>
    </row>
    <row r="3685" ht="15.75" customHeight="1">
      <c r="A3685" s="1"/>
      <c r="B3685" s="1"/>
      <c r="C3685" s="1"/>
      <c r="D3685" s="1"/>
      <c r="E3685" s="1"/>
      <c r="F3685" s="1"/>
      <c r="G3685" s="1"/>
      <c r="H3685" s="1"/>
      <c r="I3685" s="1"/>
      <c r="J3685" s="1"/>
      <c r="K3685" s="89" t="s">
        <v>5631</v>
      </c>
      <c r="L3685" s="89" t="str">
        <f>E120</f>
        <v>C1b3a</v>
      </c>
      <c r="M3685" s="89"/>
      <c r="N3685" s="89" t="s">
        <v>5632</v>
      </c>
      <c r="O3685" s="92">
        <v>1.5790021E7</v>
      </c>
      <c r="P3685" s="92">
        <v>1.3678141E7</v>
      </c>
      <c r="Q3685" s="89" t="s">
        <v>845</v>
      </c>
      <c r="AF3685" s="1"/>
      <c r="AG3685" s="1"/>
    </row>
    <row r="3686" ht="15.75" customHeight="1">
      <c r="A3686" s="1"/>
      <c r="B3686" s="1"/>
      <c r="C3686" s="1"/>
      <c r="D3686" s="1"/>
      <c r="E3686" s="1"/>
      <c r="F3686" s="1"/>
      <c r="G3686" s="1"/>
      <c r="H3686" s="1"/>
      <c r="I3686" s="1"/>
      <c r="J3686" s="1"/>
      <c r="K3686" s="89" t="s">
        <v>5633</v>
      </c>
      <c r="L3686" s="89" t="str">
        <f>E120</f>
        <v>C1b3a</v>
      </c>
      <c r="M3686" s="89"/>
      <c r="N3686" s="89" t="s">
        <v>5634</v>
      </c>
      <c r="O3686" s="92">
        <v>1.5924294E7</v>
      </c>
      <c r="P3686" s="92">
        <v>1.3812414E7</v>
      </c>
      <c r="Q3686" s="89" t="s">
        <v>831</v>
      </c>
      <c r="AF3686" s="1"/>
      <c r="AG3686" s="1"/>
    </row>
    <row r="3687" ht="15.75" customHeight="1">
      <c r="A3687" s="1"/>
      <c r="B3687" s="1"/>
      <c r="C3687" s="1"/>
      <c r="D3687" s="1"/>
      <c r="E3687" s="1"/>
      <c r="F3687" s="1"/>
      <c r="G3687" s="1"/>
      <c r="H3687" s="1"/>
      <c r="I3687" s="1"/>
      <c r="J3687" s="1"/>
      <c r="K3687" s="89" t="s">
        <v>5635</v>
      </c>
      <c r="L3687" s="89" t="str">
        <f>E120</f>
        <v>C1b3a</v>
      </c>
      <c r="M3687" s="89"/>
      <c r="N3687" s="89" t="s">
        <v>5636</v>
      </c>
      <c r="O3687" s="92">
        <v>1.6087531E7</v>
      </c>
      <c r="P3687" s="92">
        <v>1.3975651E7</v>
      </c>
      <c r="Q3687" s="89" t="s">
        <v>845</v>
      </c>
      <c r="AF3687" s="1"/>
      <c r="AG3687" s="1"/>
    </row>
    <row r="3688" ht="15.75" customHeight="1">
      <c r="A3688" s="1"/>
      <c r="B3688" s="1"/>
      <c r="C3688" s="1"/>
      <c r="D3688" s="1"/>
      <c r="E3688" s="1"/>
      <c r="F3688" s="1"/>
      <c r="G3688" s="1"/>
      <c r="H3688" s="1"/>
      <c r="I3688" s="1"/>
      <c r="J3688" s="1"/>
      <c r="K3688" s="89" t="s">
        <v>5637</v>
      </c>
      <c r="L3688" s="89" t="str">
        <f>E120</f>
        <v>C1b3a</v>
      </c>
      <c r="M3688" s="89"/>
      <c r="N3688" s="89" t="s">
        <v>5638</v>
      </c>
      <c r="O3688" s="92">
        <v>1.6200182E7</v>
      </c>
      <c r="P3688" s="92">
        <v>1.4088302E7</v>
      </c>
      <c r="Q3688" s="89" t="s">
        <v>802</v>
      </c>
      <c r="AF3688" s="1"/>
      <c r="AG3688" s="1"/>
    </row>
    <row r="3689" ht="15.75" customHeight="1">
      <c r="A3689" s="1"/>
      <c r="B3689" s="1"/>
      <c r="C3689" s="1"/>
      <c r="D3689" s="1"/>
      <c r="E3689" s="1"/>
      <c r="F3689" s="1"/>
      <c r="G3689" s="1"/>
      <c r="H3689" s="1"/>
      <c r="I3689" s="1"/>
      <c r="J3689" s="1"/>
      <c r="K3689" s="89" t="s">
        <v>5639</v>
      </c>
      <c r="L3689" s="89" t="str">
        <f>E120</f>
        <v>C1b3a</v>
      </c>
      <c r="M3689" s="89"/>
      <c r="N3689" s="89" t="s">
        <v>5640</v>
      </c>
      <c r="O3689" s="92">
        <v>1.6246442E7</v>
      </c>
      <c r="P3689" s="92">
        <v>1.4134562E7</v>
      </c>
      <c r="Q3689" s="89" t="s">
        <v>822</v>
      </c>
      <c r="AF3689" s="1"/>
      <c r="AG3689" s="1"/>
    </row>
    <row r="3690" ht="15.75" customHeight="1">
      <c r="A3690" s="1"/>
      <c r="B3690" s="1"/>
      <c r="C3690" s="1"/>
      <c r="D3690" s="1"/>
      <c r="E3690" s="1"/>
      <c r="F3690" s="1"/>
      <c r="G3690" s="1"/>
      <c r="H3690" s="1"/>
      <c r="I3690" s="1"/>
      <c r="J3690" s="1"/>
      <c r="K3690" s="89" t="s">
        <v>5641</v>
      </c>
      <c r="L3690" s="89" t="str">
        <f>E120</f>
        <v>C1b3a</v>
      </c>
      <c r="M3690" s="89"/>
      <c r="N3690" s="89" t="s">
        <v>5642</v>
      </c>
      <c r="O3690" s="92">
        <v>1.6459087E7</v>
      </c>
      <c r="P3690" s="92">
        <v>1.4347207E7</v>
      </c>
      <c r="Q3690" s="89" t="s">
        <v>802</v>
      </c>
      <c r="AF3690" s="1"/>
      <c r="AG3690" s="1"/>
    </row>
    <row r="3691" ht="15.75" customHeight="1">
      <c r="A3691" s="1"/>
      <c r="B3691" s="1"/>
      <c r="C3691" s="1"/>
      <c r="D3691" s="1"/>
      <c r="E3691" s="1"/>
      <c r="F3691" s="1"/>
      <c r="G3691" s="1"/>
      <c r="H3691" s="1"/>
      <c r="I3691" s="1"/>
      <c r="J3691" s="1"/>
      <c r="K3691" s="89" t="s">
        <v>5643</v>
      </c>
      <c r="L3691" s="89" t="str">
        <f>E120</f>
        <v>C1b3a</v>
      </c>
      <c r="M3691" s="89"/>
      <c r="N3691" s="89" t="s">
        <v>5644</v>
      </c>
      <c r="O3691" s="92">
        <v>1.6460238E7</v>
      </c>
      <c r="P3691" s="92">
        <v>1.4348358E7</v>
      </c>
      <c r="Q3691" s="89" t="s">
        <v>822</v>
      </c>
      <c r="AF3691" s="1"/>
      <c r="AG3691" s="1"/>
    </row>
    <row r="3692" ht="15.75" customHeight="1">
      <c r="A3692" s="1"/>
      <c r="B3692" s="1"/>
      <c r="C3692" s="1"/>
      <c r="D3692" s="1"/>
      <c r="E3692" s="1"/>
      <c r="F3692" s="1"/>
      <c r="G3692" s="1"/>
      <c r="H3692" s="1"/>
      <c r="I3692" s="1"/>
      <c r="J3692" s="1"/>
      <c r="K3692" s="89" t="s">
        <v>5645</v>
      </c>
      <c r="L3692" s="89" t="str">
        <f>E120</f>
        <v>C1b3a</v>
      </c>
      <c r="M3692" s="89"/>
      <c r="N3692" s="89" t="s">
        <v>5646</v>
      </c>
      <c r="O3692" s="92">
        <v>1.6462854E7</v>
      </c>
      <c r="P3692" s="92">
        <v>1.4350974E7</v>
      </c>
      <c r="Q3692" s="89" t="s">
        <v>838</v>
      </c>
      <c r="AF3692" s="1"/>
      <c r="AG3692" s="1"/>
    </row>
    <row r="3693" ht="15.75" customHeight="1">
      <c r="A3693" s="1"/>
      <c r="B3693" s="1"/>
      <c r="C3693" s="1"/>
      <c r="D3693" s="1"/>
      <c r="E3693" s="1"/>
      <c r="F3693" s="1"/>
      <c r="G3693" s="1"/>
      <c r="H3693" s="1"/>
      <c r="I3693" s="1"/>
      <c r="J3693" s="1"/>
      <c r="K3693" s="89" t="s">
        <v>5647</v>
      </c>
      <c r="L3693" s="89" t="str">
        <f>E120</f>
        <v>C1b3a</v>
      </c>
      <c r="M3693" s="89"/>
      <c r="N3693" s="89" t="s">
        <v>5648</v>
      </c>
      <c r="O3693" s="92">
        <v>1.6525273E7</v>
      </c>
      <c r="P3693" s="92">
        <v>1.4413393E7</v>
      </c>
      <c r="Q3693" s="89" t="s">
        <v>864</v>
      </c>
      <c r="AF3693" s="1"/>
      <c r="AG3693" s="1"/>
    </row>
    <row r="3694" ht="15.75" customHeight="1">
      <c r="A3694" s="1"/>
      <c r="B3694" s="1"/>
      <c r="C3694" s="1"/>
      <c r="D3694" s="1"/>
      <c r="E3694" s="1"/>
      <c r="F3694" s="1"/>
      <c r="G3694" s="1"/>
      <c r="H3694" s="1"/>
      <c r="I3694" s="1"/>
      <c r="J3694" s="1"/>
      <c r="K3694" s="89" t="s">
        <v>5649</v>
      </c>
      <c r="L3694" s="89" t="str">
        <f>E120</f>
        <v>C1b3a</v>
      </c>
      <c r="M3694" s="89"/>
      <c r="N3694" s="89" t="s">
        <v>5650</v>
      </c>
      <c r="O3694" s="92">
        <v>1.6661556E7</v>
      </c>
      <c r="P3694" s="92">
        <v>1.4549676E7</v>
      </c>
      <c r="Q3694" s="89" t="s">
        <v>838</v>
      </c>
      <c r="AF3694" s="1"/>
      <c r="AG3694" s="1"/>
    </row>
    <row r="3695" ht="15.75" customHeight="1">
      <c r="A3695" s="1"/>
      <c r="B3695" s="1"/>
      <c r="C3695" s="1"/>
      <c r="D3695" s="1"/>
      <c r="E3695" s="1"/>
      <c r="F3695" s="1"/>
      <c r="G3695" s="1"/>
      <c r="H3695" s="1"/>
      <c r="I3695" s="1"/>
      <c r="J3695" s="1"/>
      <c r="K3695" s="89" t="s">
        <v>5651</v>
      </c>
      <c r="L3695" s="89" t="str">
        <f>E120</f>
        <v>C1b3a</v>
      </c>
      <c r="M3695" s="89"/>
      <c r="N3695" s="89" t="s">
        <v>5652</v>
      </c>
      <c r="O3695" s="92">
        <v>1.6726538E7</v>
      </c>
      <c r="P3695" s="92">
        <v>1.4614658E7</v>
      </c>
      <c r="Q3695" s="89" t="s">
        <v>810</v>
      </c>
      <c r="AF3695" s="1"/>
      <c r="AG3695" s="1"/>
    </row>
    <row r="3696" ht="15.75" customHeight="1">
      <c r="A3696" s="1"/>
      <c r="B3696" s="1"/>
      <c r="C3696" s="1"/>
      <c r="D3696" s="1"/>
      <c r="E3696" s="1"/>
      <c r="F3696" s="1"/>
      <c r="G3696" s="1"/>
      <c r="H3696" s="1"/>
      <c r="I3696" s="1"/>
      <c r="J3696" s="1"/>
      <c r="K3696" s="89" t="s">
        <v>5653</v>
      </c>
      <c r="L3696" s="89" t="str">
        <f>E120</f>
        <v>C1b3a</v>
      </c>
      <c r="M3696" s="89"/>
      <c r="N3696" s="89" t="s">
        <v>5654</v>
      </c>
      <c r="O3696" s="92">
        <v>1.6786356E7</v>
      </c>
      <c r="P3696" s="92">
        <v>1.4674476E7</v>
      </c>
      <c r="Q3696" s="89" t="s">
        <v>810</v>
      </c>
      <c r="AF3696" s="1"/>
      <c r="AG3696" s="1"/>
    </row>
    <row r="3697" ht="15.75" customHeight="1">
      <c r="A3697" s="1"/>
      <c r="B3697" s="1"/>
      <c r="C3697" s="1"/>
      <c r="D3697" s="1"/>
      <c r="E3697" s="1"/>
      <c r="F3697" s="1"/>
      <c r="G3697" s="1"/>
      <c r="H3697" s="1"/>
      <c r="I3697" s="1"/>
      <c r="J3697" s="1"/>
      <c r="K3697" s="89" t="s">
        <v>5655</v>
      </c>
      <c r="L3697" s="89" t="str">
        <f>E120</f>
        <v>C1b3a</v>
      </c>
      <c r="M3697" s="89"/>
      <c r="N3697" s="89" t="s">
        <v>5656</v>
      </c>
      <c r="O3697" s="92">
        <v>1.6843818E7</v>
      </c>
      <c r="P3697" s="92">
        <v>1.4731938E7</v>
      </c>
      <c r="Q3697" s="89" t="s">
        <v>822</v>
      </c>
      <c r="AF3697" s="1"/>
      <c r="AG3697" s="1"/>
    </row>
    <row r="3698" ht="15.75" customHeight="1">
      <c r="A3698" s="1"/>
      <c r="B3698" s="1"/>
      <c r="C3698" s="1"/>
      <c r="D3698" s="1"/>
      <c r="E3698" s="1"/>
      <c r="F3698" s="1"/>
      <c r="G3698" s="1"/>
      <c r="H3698" s="1"/>
      <c r="I3698" s="1"/>
      <c r="J3698" s="1"/>
      <c r="K3698" s="89" t="s">
        <v>5657</v>
      </c>
      <c r="L3698" s="89" t="str">
        <f>E120</f>
        <v>C1b3a</v>
      </c>
      <c r="M3698" s="89"/>
      <c r="N3698" s="89" t="s">
        <v>5658</v>
      </c>
      <c r="O3698" s="92">
        <v>1.6878367E7</v>
      </c>
      <c r="P3698" s="92">
        <v>1.4766487E7</v>
      </c>
      <c r="Q3698" s="89" t="s">
        <v>912</v>
      </c>
      <c r="AF3698" s="1"/>
      <c r="AG3698" s="1"/>
    </row>
    <row r="3699" ht="15.75" customHeight="1">
      <c r="A3699" s="1"/>
      <c r="B3699" s="1"/>
      <c r="C3699" s="1"/>
      <c r="D3699" s="1"/>
      <c r="E3699" s="1"/>
      <c r="F3699" s="1"/>
      <c r="G3699" s="1"/>
      <c r="H3699" s="1"/>
      <c r="I3699" s="1"/>
      <c r="J3699" s="1"/>
      <c r="K3699" s="89" t="s">
        <v>5659</v>
      </c>
      <c r="L3699" s="89" t="str">
        <f>E120</f>
        <v>C1b3a</v>
      </c>
      <c r="M3699" s="89"/>
      <c r="N3699" s="89" t="s">
        <v>5660</v>
      </c>
      <c r="O3699" s="92">
        <v>1.689698E7</v>
      </c>
      <c r="P3699" s="92">
        <v>1.47851E7</v>
      </c>
      <c r="Q3699" s="89" t="s">
        <v>822</v>
      </c>
      <c r="AF3699" s="1"/>
      <c r="AG3699" s="1"/>
    </row>
    <row r="3700" ht="15.75" customHeight="1">
      <c r="A3700" s="1"/>
      <c r="B3700" s="1"/>
      <c r="C3700" s="1"/>
      <c r="D3700" s="1"/>
      <c r="E3700" s="1"/>
      <c r="F3700" s="1"/>
      <c r="G3700" s="1"/>
      <c r="H3700" s="1"/>
      <c r="I3700" s="1"/>
      <c r="J3700" s="1"/>
      <c r="K3700" s="89" t="s">
        <v>5661</v>
      </c>
      <c r="L3700" s="89" t="str">
        <f>E120</f>
        <v>C1b3a</v>
      </c>
      <c r="M3700" s="89"/>
      <c r="N3700" s="89" t="s">
        <v>5662</v>
      </c>
      <c r="O3700" s="92">
        <v>1.6899673E7</v>
      </c>
      <c r="P3700" s="92">
        <v>1.4787793E7</v>
      </c>
      <c r="Q3700" s="89" t="s">
        <v>813</v>
      </c>
      <c r="AF3700" s="1"/>
      <c r="AG3700" s="1"/>
    </row>
    <row r="3701" ht="15.75" customHeight="1">
      <c r="A3701" s="1"/>
      <c r="B3701" s="1"/>
      <c r="C3701" s="1"/>
      <c r="D3701" s="1"/>
      <c r="E3701" s="1"/>
      <c r="F3701" s="1"/>
      <c r="G3701" s="1"/>
      <c r="H3701" s="1"/>
      <c r="I3701" s="1"/>
      <c r="J3701" s="1"/>
      <c r="K3701" s="89" t="s">
        <v>5663</v>
      </c>
      <c r="L3701" s="89" t="str">
        <f>E120</f>
        <v>C1b3a</v>
      </c>
      <c r="M3701" s="89"/>
      <c r="N3701" s="89" t="s">
        <v>5664</v>
      </c>
      <c r="O3701" s="92">
        <v>1.6921398E7</v>
      </c>
      <c r="P3701" s="92">
        <v>1.4809518E7</v>
      </c>
      <c r="Q3701" s="89" t="s">
        <v>838</v>
      </c>
      <c r="AF3701" s="1"/>
      <c r="AG3701" s="1"/>
    </row>
    <row r="3702" ht="15.75" customHeight="1">
      <c r="A3702" s="1"/>
      <c r="B3702" s="1"/>
      <c r="C3702" s="1"/>
      <c r="D3702" s="1"/>
      <c r="E3702" s="1"/>
      <c r="F3702" s="1"/>
      <c r="G3702" s="1"/>
      <c r="H3702" s="1"/>
      <c r="I3702" s="1"/>
      <c r="J3702" s="1"/>
      <c r="K3702" s="89" t="s">
        <v>5665</v>
      </c>
      <c r="L3702" s="89" t="str">
        <f>E120</f>
        <v>C1b3a</v>
      </c>
      <c r="M3702" s="89"/>
      <c r="N3702" s="89" t="s">
        <v>5666</v>
      </c>
      <c r="O3702" s="92">
        <v>1.6923369E7</v>
      </c>
      <c r="P3702" s="92">
        <v>1.4811489E7</v>
      </c>
      <c r="Q3702" s="89" t="s">
        <v>802</v>
      </c>
      <c r="AF3702" s="1"/>
      <c r="AG3702" s="1"/>
    </row>
    <row r="3703" ht="15.75" customHeight="1">
      <c r="A3703" s="1"/>
      <c r="B3703" s="1"/>
      <c r="C3703" s="1"/>
      <c r="D3703" s="1"/>
      <c r="E3703" s="1"/>
      <c r="F3703" s="1"/>
      <c r="G3703" s="1"/>
      <c r="H3703" s="1"/>
      <c r="I3703" s="1"/>
      <c r="J3703" s="1"/>
      <c r="K3703" s="89" t="s">
        <v>5667</v>
      </c>
      <c r="L3703" s="89" t="str">
        <f>E120</f>
        <v>C1b3a</v>
      </c>
      <c r="M3703" s="89"/>
      <c r="N3703" s="89" t="s">
        <v>5668</v>
      </c>
      <c r="O3703" s="92">
        <v>1.6961787E7</v>
      </c>
      <c r="P3703" s="92">
        <v>1.4849907E7</v>
      </c>
      <c r="Q3703" s="89" t="s">
        <v>802</v>
      </c>
      <c r="AF3703" s="1"/>
      <c r="AG3703" s="1"/>
    </row>
    <row r="3704" ht="15.75" customHeight="1">
      <c r="A3704" s="1"/>
      <c r="B3704" s="1"/>
      <c r="C3704" s="1"/>
      <c r="D3704" s="1"/>
      <c r="E3704" s="1"/>
      <c r="F3704" s="1"/>
      <c r="G3704" s="1"/>
      <c r="H3704" s="1"/>
      <c r="I3704" s="1"/>
      <c r="J3704" s="1"/>
      <c r="K3704" s="89" t="s">
        <v>5669</v>
      </c>
      <c r="L3704" s="89" t="str">
        <f>E120</f>
        <v>C1b3a</v>
      </c>
      <c r="M3704" s="89"/>
      <c r="N3704" s="89" t="s">
        <v>5670</v>
      </c>
      <c r="O3704" s="92">
        <v>1.7030238E7</v>
      </c>
      <c r="P3704" s="92">
        <v>1.4918358E7</v>
      </c>
      <c r="Q3704" s="89" t="s">
        <v>802</v>
      </c>
      <c r="AF3704" s="1"/>
      <c r="AG3704" s="1"/>
    </row>
    <row r="3705" ht="15.75" customHeight="1">
      <c r="A3705" s="1"/>
      <c r="B3705" s="1"/>
      <c r="C3705" s="1"/>
      <c r="D3705" s="1"/>
      <c r="E3705" s="1"/>
      <c r="F3705" s="1"/>
      <c r="G3705" s="1"/>
      <c r="H3705" s="1"/>
      <c r="I3705" s="1"/>
      <c r="J3705" s="1"/>
      <c r="K3705" s="89" t="s">
        <v>5671</v>
      </c>
      <c r="L3705" s="89" t="str">
        <f>E120</f>
        <v>C1b3a</v>
      </c>
      <c r="M3705" s="89"/>
      <c r="N3705" s="89" t="s">
        <v>5672</v>
      </c>
      <c r="O3705" s="92">
        <v>1.7102516E7</v>
      </c>
      <c r="P3705" s="92">
        <v>1.4990636E7</v>
      </c>
      <c r="Q3705" s="89" t="s">
        <v>864</v>
      </c>
      <c r="AF3705" s="1"/>
      <c r="AG3705" s="1"/>
    </row>
    <row r="3706" ht="15.75" customHeight="1">
      <c r="A3706" s="1"/>
      <c r="B3706" s="1"/>
      <c r="C3706" s="1"/>
      <c r="D3706" s="1"/>
      <c r="E3706" s="1"/>
      <c r="F3706" s="1"/>
      <c r="G3706" s="1"/>
      <c r="H3706" s="1"/>
      <c r="I3706" s="1"/>
      <c r="J3706" s="1"/>
      <c r="K3706" s="89" t="s">
        <v>5673</v>
      </c>
      <c r="L3706" s="89" t="str">
        <f>E120</f>
        <v>C1b3a</v>
      </c>
      <c r="M3706" s="89"/>
      <c r="N3706" s="89" t="s">
        <v>5674</v>
      </c>
      <c r="O3706" s="92">
        <v>1.7115531E7</v>
      </c>
      <c r="P3706" s="92">
        <v>1.5003651E7</v>
      </c>
      <c r="Q3706" s="89" t="s">
        <v>831</v>
      </c>
      <c r="AF3706" s="1"/>
      <c r="AG3706" s="1"/>
    </row>
    <row r="3707" ht="15.75" customHeight="1">
      <c r="A3707" s="1"/>
      <c r="B3707" s="1"/>
      <c r="C3707" s="1"/>
      <c r="D3707" s="1"/>
      <c r="E3707" s="1"/>
      <c r="F3707" s="1"/>
      <c r="G3707" s="1"/>
      <c r="H3707" s="1"/>
      <c r="I3707" s="1"/>
      <c r="J3707" s="1"/>
      <c r="K3707" s="89" t="s">
        <v>5675</v>
      </c>
      <c r="L3707" s="89" t="str">
        <f>E120</f>
        <v>C1b3a</v>
      </c>
      <c r="M3707" s="89"/>
      <c r="N3707" s="89" t="s">
        <v>5676</v>
      </c>
      <c r="O3707" s="89">
        <v>1.7124877E7</v>
      </c>
      <c r="P3707" s="89">
        <v>1.5012997E7</v>
      </c>
      <c r="Q3707" s="89" t="s">
        <v>810</v>
      </c>
      <c r="AF3707" s="1"/>
      <c r="AG3707" s="1"/>
    </row>
    <row r="3708" ht="15.75" customHeight="1">
      <c r="A3708" s="1"/>
      <c r="B3708" s="1"/>
      <c r="C3708" s="1"/>
      <c r="D3708" s="1"/>
      <c r="E3708" s="1"/>
      <c r="F3708" s="1"/>
      <c r="G3708" s="1"/>
      <c r="H3708" s="1"/>
      <c r="I3708" s="1"/>
      <c r="J3708" s="1"/>
      <c r="K3708" s="89" t="s">
        <v>5677</v>
      </c>
      <c r="L3708" s="89" t="str">
        <f>E120</f>
        <v>C1b3a</v>
      </c>
      <c r="M3708" s="89"/>
      <c r="N3708" s="89" t="s">
        <v>5678</v>
      </c>
      <c r="O3708" s="92">
        <v>1.7313092E7</v>
      </c>
      <c r="P3708" s="92">
        <v>1.5201212E7</v>
      </c>
      <c r="Q3708" s="89" t="s">
        <v>810</v>
      </c>
      <c r="AF3708" s="1"/>
      <c r="AG3708" s="1"/>
    </row>
    <row r="3709" ht="15.75" customHeight="1">
      <c r="A3709" s="1"/>
      <c r="B3709" s="1"/>
      <c r="C3709" s="1"/>
      <c r="D3709" s="1"/>
      <c r="E3709" s="1"/>
      <c r="F3709" s="1"/>
      <c r="G3709" s="1"/>
      <c r="H3709" s="1"/>
      <c r="I3709" s="1"/>
      <c r="J3709" s="1"/>
      <c r="K3709" s="89" t="s">
        <v>5679</v>
      </c>
      <c r="L3709" s="89" t="str">
        <f>E120</f>
        <v>C1b3a</v>
      </c>
      <c r="M3709" s="89"/>
      <c r="N3709" s="89" t="s">
        <v>5680</v>
      </c>
      <c r="O3709" s="92">
        <v>1.7362779E7</v>
      </c>
      <c r="P3709" s="92">
        <v>1.5250899E7</v>
      </c>
      <c r="Q3709" s="89" t="s">
        <v>831</v>
      </c>
      <c r="AF3709" s="1"/>
      <c r="AG3709" s="1"/>
    </row>
    <row r="3710" ht="15.75" customHeight="1">
      <c r="A3710" s="1"/>
      <c r="B3710" s="1"/>
      <c r="C3710" s="1"/>
      <c r="D3710" s="1"/>
      <c r="E3710" s="1"/>
      <c r="F3710" s="1"/>
      <c r="G3710" s="1"/>
      <c r="H3710" s="1"/>
      <c r="I3710" s="1"/>
      <c r="J3710" s="1"/>
      <c r="K3710" s="89" t="s">
        <v>5681</v>
      </c>
      <c r="L3710" s="89" t="str">
        <f>E120</f>
        <v>C1b3a</v>
      </c>
      <c r="M3710" s="89"/>
      <c r="N3710" s="89" t="s">
        <v>5682</v>
      </c>
      <c r="O3710" s="92">
        <v>1.751638E7</v>
      </c>
      <c r="P3710" s="92">
        <v>1.54045E7</v>
      </c>
      <c r="Q3710" s="89" t="s">
        <v>879</v>
      </c>
      <c r="AF3710" s="1"/>
      <c r="AG3710" s="1"/>
    </row>
    <row r="3711" ht="15.75" customHeight="1">
      <c r="A3711" s="1"/>
      <c r="B3711" s="1"/>
      <c r="C3711" s="1"/>
      <c r="D3711" s="1"/>
      <c r="E3711" s="1"/>
      <c r="F3711" s="1"/>
      <c r="G3711" s="1"/>
      <c r="H3711" s="1"/>
      <c r="I3711" s="1"/>
      <c r="J3711" s="1"/>
      <c r="K3711" s="89" t="s">
        <v>5683</v>
      </c>
      <c r="L3711" s="89" t="str">
        <f>E120</f>
        <v>C1b3a</v>
      </c>
      <c r="M3711" s="89"/>
      <c r="N3711" s="89" t="s">
        <v>5684</v>
      </c>
      <c r="O3711" s="92">
        <v>1.7727365E7</v>
      </c>
      <c r="P3711" s="92">
        <v>1.5615485E7</v>
      </c>
      <c r="Q3711" s="89" t="s">
        <v>912</v>
      </c>
      <c r="AF3711" s="1"/>
      <c r="AG3711" s="1"/>
    </row>
    <row r="3712" ht="15.75" customHeight="1">
      <c r="A3712" s="1"/>
      <c r="B3712" s="1"/>
      <c r="C3712" s="1"/>
      <c r="D3712" s="1"/>
      <c r="E3712" s="1"/>
      <c r="F3712" s="1"/>
      <c r="G3712" s="1"/>
      <c r="H3712" s="1"/>
      <c r="I3712" s="1"/>
      <c r="J3712" s="1"/>
      <c r="K3712" s="89" t="s">
        <v>5685</v>
      </c>
      <c r="L3712" s="89" t="str">
        <f>E120</f>
        <v>C1b3a</v>
      </c>
      <c r="M3712" s="89"/>
      <c r="N3712" s="89" t="s">
        <v>5686</v>
      </c>
      <c r="O3712" s="92">
        <v>1.7888201E7</v>
      </c>
      <c r="P3712" s="92">
        <v>1.5776321E7</v>
      </c>
      <c r="Q3712" s="89" t="s">
        <v>912</v>
      </c>
      <c r="AF3712" s="1"/>
      <c r="AG3712" s="1"/>
    </row>
    <row r="3713" ht="15.75" customHeight="1">
      <c r="A3713" s="1"/>
      <c r="B3713" s="1"/>
      <c r="C3713" s="1"/>
      <c r="D3713" s="1"/>
      <c r="E3713" s="1"/>
      <c r="F3713" s="1"/>
      <c r="G3713" s="1"/>
      <c r="H3713" s="1"/>
      <c r="I3713" s="1"/>
      <c r="J3713" s="1"/>
      <c r="K3713" s="89" t="s">
        <v>5687</v>
      </c>
      <c r="L3713" s="89" t="str">
        <f>E120</f>
        <v>C1b3a</v>
      </c>
      <c r="M3713" s="89"/>
      <c r="N3713" s="89" t="s">
        <v>5688</v>
      </c>
      <c r="O3713" s="92">
        <v>1.7976565E7</v>
      </c>
      <c r="P3713" s="92">
        <v>1.5864685E7</v>
      </c>
      <c r="Q3713" s="89" t="s">
        <v>802</v>
      </c>
      <c r="AF3713" s="1"/>
      <c r="AG3713" s="1"/>
    </row>
    <row r="3714" ht="15.75" customHeight="1">
      <c r="A3714" s="1"/>
      <c r="B3714" s="1"/>
      <c r="C3714" s="1"/>
      <c r="D3714" s="1"/>
      <c r="E3714" s="1"/>
      <c r="F3714" s="1"/>
      <c r="G3714" s="1"/>
      <c r="H3714" s="1"/>
      <c r="I3714" s="1"/>
      <c r="J3714" s="1"/>
      <c r="K3714" s="89" t="s">
        <v>5689</v>
      </c>
      <c r="L3714" s="89" t="str">
        <f>E120</f>
        <v>C1b3a</v>
      </c>
      <c r="M3714" s="89"/>
      <c r="N3714" s="89" t="s">
        <v>5690</v>
      </c>
      <c r="O3714" s="92">
        <v>1.8088059E7</v>
      </c>
      <c r="P3714" s="92">
        <v>1.5976179E7</v>
      </c>
      <c r="Q3714" s="89" t="s">
        <v>912</v>
      </c>
      <c r="AF3714" s="1"/>
      <c r="AG3714" s="1"/>
    </row>
    <row r="3715" ht="15.75" customHeight="1">
      <c r="A3715" s="1"/>
      <c r="B3715" s="1"/>
      <c r="C3715" s="1"/>
      <c r="D3715" s="1"/>
      <c r="E3715" s="1"/>
      <c r="F3715" s="1"/>
      <c r="G3715" s="1"/>
      <c r="H3715" s="1"/>
      <c r="I3715" s="1"/>
      <c r="J3715" s="1"/>
      <c r="K3715" s="89" t="s">
        <v>5691</v>
      </c>
      <c r="L3715" s="89" t="str">
        <f>E120</f>
        <v>C1b3a</v>
      </c>
      <c r="M3715" s="89"/>
      <c r="N3715" s="89" t="s">
        <v>5692</v>
      </c>
      <c r="O3715" s="92">
        <v>1.8150688E7</v>
      </c>
      <c r="P3715" s="92">
        <v>1.6038808E7</v>
      </c>
      <c r="Q3715" s="89" t="s">
        <v>802</v>
      </c>
      <c r="AF3715" s="1"/>
      <c r="AG3715" s="1"/>
    </row>
    <row r="3716" ht="15.75" customHeight="1">
      <c r="A3716" s="1"/>
      <c r="B3716" s="1"/>
      <c r="C3716" s="1"/>
      <c r="D3716" s="1"/>
      <c r="E3716" s="1"/>
      <c r="F3716" s="1"/>
      <c r="G3716" s="1"/>
      <c r="H3716" s="1"/>
      <c r="I3716" s="1"/>
      <c r="J3716" s="1"/>
      <c r="K3716" s="89" t="s">
        <v>5693</v>
      </c>
      <c r="L3716" s="89" t="str">
        <f>E120</f>
        <v>C1b3a</v>
      </c>
      <c r="M3716" s="89"/>
      <c r="N3716" s="89" t="s">
        <v>5694</v>
      </c>
      <c r="O3716" s="92">
        <v>1.818099E7</v>
      </c>
      <c r="P3716" s="92">
        <v>1.606911E7</v>
      </c>
      <c r="Q3716" s="89" t="s">
        <v>802</v>
      </c>
      <c r="AF3716" s="1"/>
      <c r="AG3716" s="1"/>
    </row>
    <row r="3717" ht="15.75" customHeight="1">
      <c r="A3717" s="1"/>
      <c r="B3717" s="1"/>
      <c r="C3717" s="1"/>
      <c r="D3717" s="1"/>
      <c r="E3717" s="1"/>
      <c r="F3717" s="1"/>
      <c r="G3717" s="1"/>
      <c r="H3717" s="1"/>
      <c r="I3717" s="1"/>
      <c r="J3717" s="1"/>
      <c r="K3717" s="89" t="s">
        <v>5695</v>
      </c>
      <c r="L3717" s="89" t="str">
        <f>E120</f>
        <v>C1b3a</v>
      </c>
      <c r="M3717" s="89"/>
      <c r="N3717" s="89" t="s">
        <v>5696</v>
      </c>
      <c r="O3717" s="92">
        <v>1.8197513E7</v>
      </c>
      <c r="P3717" s="92">
        <v>1.6085633E7</v>
      </c>
      <c r="Q3717" s="89" t="s">
        <v>810</v>
      </c>
      <c r="AF3717" s="1"/>
      <c r="AG3717" s="1"/>
    </row>
    <row r="3718" ht="15.75" customHeight="1">
      <c r="A3718" s="1"/>
      <c r="B3718" s="1"/>
      <c r="C3718" s="1"/>
      <c r="D3718" s="1"/>
      <c r="E3718" s="1"/>
      <c r="F3718" s="1"/>
      <c r="G3718" s="1"/>
      <c r="H3718" s="1"/>
      <c r="I3718" s="1"/>
      <c r="J3718" s="1"/>
      <c r="K3718" s="89" t="s">
        <v>5697</v>
      </c>
      <c r="L3718" s="89" t="str">
        <f>E120</f>
        <v>C1b3a</v>
      </c>
      <c r="M3718" s="89"/>
      <c r="N3718" s="89" t="s">
        <v>5698</v>
      </c>
      <c r="O3718" s="92">
        <v>1.8258333E7</v>
      </c>
      <c r="P3718" s="92">
        <v>1.6146453E7</v>
      </c>
      <c r="Q3718" s="89" t="s">
        <v>845</v>
      </c>
      <c r="AF3718" s="1"/>
      <c r="AG3718" s="1"/>
    </row>
    <row r="3719" ht="15.75" customHeight="1">
      <c r="A3719" s="1"/>
      <c r="B3719" s="1"/>
      <c r="C3719" s="1"/>
      <c r="D3719" s="1"/>
      <c r="E3719" s="1"/>
      <c r="F3719" s="1"/>
      <c r="G3719" s="1"/>
      <c r="H3719" s="1"/>
      <c r="I3719" s="1"/>
      <c r="J3719" s="1"/>
      <c r="K3719" s="89" t="s">
        <v>5699</v>
      </c>
      <c r="L3719" s="89" t="str">
        <f>E120</f>
        <v>C1b3a</v>
      </c>
      <c r="M3719" s="89"/>
      <c r="N3719" s="89" t="s">
        <v>5700</v>
      </c>
      <c r="O3719" s="92">
        <v>1.8793343E7</v>
      </c>
      <c r="P3719" s="92">
        <v>1.6681463E7</v>
      </c>
      <c r="Q3719" s="89" t="s">
        <v>822</v>
      </c>
      <c r="AF3719" s="1"/>
      <c r="AG3719" s="1"/>
    </row>
    <row r="3720" ht="15.75" customHeight="1">
      <c r="A3720" s="1"/>
      <c r="B3720" s="1"/>
      <c r="C3720" s="1"/>
      <c r="D3720" s="1"/>
      <c r="E3720" s="1"/>
      <c r="F3720" s="1"/>
      <c r="G3720" s="1"/>
      <c r="H3720" s="1"/>
      <c r="I3720" s="1"/>
      <c r="J3720" s="1"/>
      <c r="K3720" s="89" t="s">
        <v>5701</v>
      </c>
      <c r="L3720" s="89" t="str">
        <f>E120</f>
        <v>C1b3a</v>
      </c>
      <c r="M3720" s="89"/>
      <c r="N3720" s="89" t="s">
        <v>5702</v>
      </c>
      <c r="O3720" s="92">
        <v>1.880142E7</v>
      </c>
      <c r="P3720" s="92">
        <v>1.668954E7</v>
      </c>
      <c r="Q3720" s="89" t="s">
        <v>838</v>
      </c>
      <c r="AF3720" s="1"/>
      <c r="AG3720" s="1"/>
    </row>
    <row r="3721" ht="15.75" customHeight="1">
      <c r="A3721" s="1"/>
      <c r="B3721" s="1"/>
      <c r="C3721" s="1"/>
      <c r="D3721" s="1"/>
      <c r="E3721" s="1"/>
      <c r="F3721" s="1"/>
      <c r="G3721" s="1"/>
      <c r="H3721" s="1"/>
      <c r="I3721" s="1"/>
      <c r="J3721" s="1"/>
      <c r="K3721" s="89" t="s">
        <v>5703</v>
      </c>
      <c r="L3721" s="89" t="str">
        <f>E120</f>
        <v>C1b3a</v>
      </c>
      <c r="M3721" s="89"/>
      <c r="N3721" s="89" t="s">
        <v>5704</v>
      </c>
      <c r="O3721" s="92">
        <v>1.8867064E7</v>
      </c>
      <c r="P3721" s="92">
        <v>1.6755184E7</v>
      </c>
      <c r="Q3721" s="89" t="s">
        <v>802</v>
      </c>
      <c r="AF3721" s="1"/>
      <c r="AG3721" s="1"/>
    </row>
    <row r="3722" ht="15.75" customHeight="1">
      <c r="A3722" s="1"/>
      <c r="B3722" s="1"/>
      <c r="C3722" s="1"/>
      <c r="D3722" s="1"/>
      <c r="E3722" s="1"/>
      <c r="F3722" s="1"/>
      <c r="G3722" s="1"/>
      <c r="H3722" s="1"/>
      <c r="I3722" s="1"/>
      <c r="J3722" s="1"/>
      <c r="K3722" s="89" t="s">
        <v>5705</v>
      </c>
      <c r="L3722" s="89" t="str">
        <f>E120</f>
        <v>C1b3a</v>
      </c>
      <c r="M3722" s="89"/>
      <c r="N3722" s="89" t="s">
        <v>5706</v>
      </c>
      <c r="O3722" s="92">
        <v>1.8877605E7</v>
      </c>
      <c r="P3722" s="92">
        <v>1.6765725E7</v>
      </c>
      <c r="Q3722" s="89" t="s">
        <v>810</v>
      </c>
      <c r="AF3722" s="1"/>
      <c r="AG3722" s="1"/>
    </row>
    <row r="3723" ht="15.75" customHeight="1">
      <c r="A3723" s="1"/>
      <c r="B3723" s="1"/>
      <c r="C3723" s="1"/>
      <c r="D3723" s="1"/>
      <c r="E3723" s="1"/>
      <c r="F3723" s="1"/>
      <c r="G3723" s="1"/>
      <c r="H3723" s="1"/>
      <c r="I3723" s="1"/>
      <c r="J3723" s="1"/>
      <c r="K3723" s="89" t="s">
        <v>5707</v>
      </c>
      <c r="L3723" s="89" t="str">
        <f>E120</f>
        <v>C1b3a</v>
      </c>
      <c r="M3723" s="89"/>
      <c r="N3723" s="89" t="s">
        <v>5708</v>
      </c>
      <c r="O3723" s="92">
        <v>1.8990571E7</v>
      </c>
      <c r="P3723" s="92">
        <v>1.6878691E7</v>
      </c>
      <c r="Q3723" s="89" t="s">
        <v>813</v>
      </c>
      <c r="AF3723" s="1"/>
      <c r="AG3723" s="1"/>
    </row>
    <row r="3724" ht="15.75" customHeight="1">
      <c r="A3724" s="1"/>
      <c r="B3724" s="1"/>
      <c r="C3724" s="1"/>
      <c r="D3724" s="1"/>
      <c r="E3724" s="1"/>
      <c r="F3724" s="1"/>
      <c r="G3724" s="1"/>
      <c r="H3724" s="1"/>
      <c r="I3724" s="1"/>
      <c r="J3724" s="1"/>
      <c r="K3724" s="89" t="s">
        <v>5709</v>
      </c>
      <c r="L3724" s="89" t="str">
        <f>E120</f>
        <v>C1b3a</v>
      </c>
      <c r="M3724" s="89"/>
      <c r="N3724" s="89" t="s">
        <v>5710</v>
      </c>
      <c r="O3724" s="92">
        <v>1.9040815E7</v>
      </c>
      <c r="P3724" s="92">
        <v>1.6928935E7</v>
      </c>
      <c r="Q3724" s="89" t="s">
        <v>886</v>
      </c>
      <c r="AF3724" s="1"/>
      <c r="AG3724" s="1"/>
    </row>
    <row r="3725" ht="15.75" customHeight="1">
      <c r="A3725" s="1"/>
      <c r="B3725" s="1"/>
      <c r="C3725" s="1"/>
      <c r="D3725" s="1"/>
      <c r="E3725" s="1"/>
      <c r="F3725" s="1"/>
      <c r="G3725" s="1"/>
      <c r="H3725" s="1"/>
      <c r="I3725" s="1"/>
      <c r="J3725" s="1"/>
      <c r="K3725" s="89" t="s">
        <v>5711</v>
      </c>
      <c r="L3725" s="89" t="str">
        <f>E120</f>
        <v>C1b3a</v>
      </c>
      <c r="M3725" s="89"/>
      <c r="N3725" s="89" t="s">
        <v>5712</v>
      </c>
      <c r="O3725" s="92">
        <v>1.9108933E7</v>
      </c>
      <c r="P3725" s="92">
        <v>1.6997053E7</v>
      </c>
      <c r="Q3725" s="89" t="s">
        <v>810</v>
      </c>
      <c r="AF3725" s="1"/>
      <c r="AG3725" s="1"/>
    </row>
    <row r="3726" ht="15.75" customHeight="1">
      <c r="A3726" s="1"/>
      <c r="B3726" s="1"/>
      <c r="C3726" s="1"/>
      <c r="D3726" s="1"/>
      <c r="E3726" s="1"/>
      <c r="F3726" s="1"/>
      <c r="G3726" s="1"/>
      <c r="H3726" s="1"/>
      <c r="I3726" s="1"/>
      <c r="J3726" s="1"/>
      <c r="K3726" s="89" t="s">
        <v>5713</v>
      </c>
      <c r="L3726" s="89" t="str">
        <f>E120</f>
        <v>C1b3a</v>
      </c>
      <c r="M3726" s="89"/>
      <c r="N3726" s="89" t="s">
        <v>5714</v>
      </c>
      <c r="O3726" s="92">
        <v>1.9113413E7</v>
      </c>
      <c r="P3726" s="92">
        <v>1.7001533E7</v>
      </c>
      <c r="Q3726" s="89" t="s">
        <v>879</v>
      </c>
      <c r="AF3726" s="1"/>
      <c r="AG3726" s="1"/>
    </row>
    <row r="3727" ht="15.75" customHeight="1">
      <c r="A3727" s="1"/>
      <c r="B3727" s="1"/>
      <c r="C3727" s="1"/>
      <c r="D3727" s="1"/>
      <c r="E3727" s="1"/>
      <c r="F3727" s="1"/>
      <c r="G3727" s="1"/>
      <c r="H3727" s="1"/>
      <c r="I3727" s="1"/>
      <c r="J3727" s="1"/>
      <c r="K3727" s="89" t="s">
        <v>5715</v>
      </c>
      <c r="L3727" s="89" t="str">
        <f>E120</f>
        <v>C1b3a</v>
      </c>
      <c r="M3727" s="89"/>
      <c r="N3727" s="89" t="s">
        <v>5716</v>
      </c>
      <c r="O3727" s="92">
        <v>1.912183E7</v>
      </c>
      <c r="P3727" s="92">
        <v>1.700995E7</v>
      </c>
      <c r="Q3727" s="89" t="s">
        <v>802</v>
      </c>
      <c r="AF3727" s="1"/>
      <c r="AG3727" s="1"/>
    </row>
    <row r="3728" ht="15.75" customHeight="1">
      <c r="A3728" s="1"/>
      <c r="B3728" s="1"/>
      <c r="C3728" s="1"/>
      <c r="D3728" s="1"/>
      <c r="E3728" s="1"/>
      <c r="F3728" s="1"/>
      <c r="G3728" s="1"/>
      <c r="H3728" s="1"/>
      <c r="I3728" s="1"/>
      <c r="J3728" s="1"/>
      <c r="K3728" s="89" t="s">
        <v>5717</v>
      </c>
      <c r="L3728" s="89" t="str">
        <f>E120</f>
        <v>C1b3a</v>
      </c>
      <c r="M3728" s="89"/>
      <c r="N3728" s="89" t="s">
        <v>5718</v>
      </c>
      <c r="O3728" s="92">
        <v>1.9154746E7</v>
      </c>
      <c r="P3728" s="92">
        <v>1.7042866E7</v>
      </c>
      <c r="Q3728" s="89" t="s">
        <v>831</v>
      </c>
      <c r="AF3728" s="1"/>
      <c r="AG3728" s="1"/>
    </row>
    <row r="3729" ht="15.75" customHeight="1">
      <c r="A3729" s="1"/>
      <c r="B3729" s="1"/>
      <c r="C3729" s="1"/>
      <c r="D3729" s="1"/>
      <c r="E3729" s="1"/>
      <c r="F3729" s="1"/>
      <c r="G3729" s="1"/>
      <c r="H3729" s="1"/>
      <c r="I3729" s="1"/>
      <c r="J3729" s="1"/>
      <c r="K3729" s="89" t="s">
        <v>5719</v>
      </c>
      <c r="L3729" s="89" t="str">
        <f>E120</f>
        <v>C1b3a</v>
      </c>
      <c r="M3729" s="89"/>
      <c r="N3729" s="89" t="s">
        <v>5720</v>
      </c>
      <c r="O3729" s="92">
        <v>1.9473241E7</v>
      </c>
      <c r="P3729" s="92">
        <v>1.7361361E7</v>
      </c>
      <c r="Q3729" s="89" t="s">
        <v>838</v>
      </c>
      <c r="AF3729" s="1"/>
      <c r="AG3729" s="1"/>
    </row>
    <row r="3730" ht="15.75" customHeight="1">
      <c r="A3730" s="1"/>
      <c r="B3730" s="1"/>
      <c r="C3730" s="1"/>
      <c r="D3730" s="1"/>
      <c r="E3730" s="1"/>
      <c r="F3730" s="1"/>
      <c r="G3730" s="1"/>
      <c r="H3730" s="1"/>
      <c r="I3730" s="1"/>
      <c r="J3730" s="1"/>
      <c r="K3730" s="89" t="s">
        <v>5721</v>
      </c>
      <c r="L3730" s="89" t="str">
        <f>E120</f>
        <v>C1b3a</v>
      </c>
      <c r="M3730" s="89"/>
      <c r="N3730" s="89" t="s">
        <v>5722</v>
      </c>
      <c r="O3730" s="92">
        <v>1.9480866E7</v>
      </c>
      <c r="P3730" s="92">
        <v>1.7368986E7</v>
      </c>
      <c r="Q3730" s="89" t="s">
        <v>838</v>
      </c>
      <c r="AF3730" s="1"/>
      <c r="AG3730" s="1"/>
    </row>
    <row r="3731" ht="15.75" customHeight="1">
      <c r="A3731" s="1"/>
      <c r="B3731" s="1"/>
      <c r="C3731" s="1"/>
      <c r="D3731" s="1"/>
      <c r="E3731" s="1"/>
      <c r="F3731" s="1"/>
      <c r="G3731" s="1"/>
      <c r="H3731" s="1"/>
      <c r="I3731" s="1"/>
      <c r="J3731" s="1"/>
      <c r="K3731" s="89" t="s">
        <v>5723</v>
      </c>
      <c r="L3731" s="89" t="str">
        <f>E120</f>
        <v>C1b3a</v>
      </c>
      <c r="M3731" s="89"/>
      <c r="N3731" s="89" t="s">
        <v>5724</v>
      </c>
      <c r="O3731" s="92">
        <v>1.9503059E7</v>
      </c>
      <c r="P3731" s="92">
        <v>1.7391179E7</v>
      </c>
      <c r="Q3731" s="89" t="s">
        <v>802</v>
      </c>
      <c r="AF3731" s="1"/>
      <c r="AG3731" s="1"/>
    </row>
    <row r="3732" ht="15.75" customHeight="1">
      <c r="A3732" s="1"/>
      <c r="B3732" s="1"/>
      <c r="C3732" s="1"/>
      <c r="D3732" s="1"/>
      <c r="E3732" s="1"/>
      <c r="F3732" s="1"/>
      <c r="G3732" s="1"/>
      <c r="H3732" s="1"/>
      <c r="I3732" s="1"/>
      <c r="J3732" s="1"/>
      <c r="K3732" s="89" t="s">
        <v>5725</v>
      </c>
      <c r="L3732" s="89" t="str">
        <f>E120</f>
        <v>C1b3a</v>
      </c>
      <c r="M3732" s="89"/>
      <c r="N3732" s="89" t="s">
        <v>5726</v>
      </c>
      <c r="O3732" s="92">
        <v>1.955493E7</v>
      </c>
      <c r="P3732" s="92">
        <v>1.744305E7</v>
      </c>
      <c r="Q3732" s="89" t="s">
        <v>831</v>
      </c>
      <c r="AF3732" s="1"/>
      <c r="AG3732" s="1"/>
    </row>
    <row r="3733" ht="15.75" customHeight="1">
      <c r="A3733" s="1"/>
      <c r="B3733" s="1"/>
      <c r="C3733" s="1"/>
      <c r="D3733" s="1"/>
      <c r="E3733" s="1"/>
      <c r="F3733" s="1"/>
      <c r="G3733" s="1"/>
      <c r="H3733" s="1"/>
      <c r="I3733" s="1"/>
      <c r="J3733" s="1"/>
      <c r="K3733" s="89" t="s">
        <v>5727</v>
      </c>
      <c r="L3733" s="89" t="str">
        <f>E120</f>
        <v>C1b3a</v>
      </c>
      <c r="M3733" s="89"/>
      <c r="N3733" s="89" t="s">
        <v>5728</v>
      </c>
      <c r="O3733" s="92">
        <v>2.1087204E7</v>
      </c>
      <c r="P3733" s="92">
        <v>1.8925318E7</v>
      </c>
      <c r="Q3733" s="89" t="s">
        <v>822</v>
      </c>
      <c r="AF3733" s="1"/>
      <c r="AG3733" s="1"/>
    </row>
    <row r="3734" ht="15.75" customHeight="1">
      <c r="A3734" s="1"/>
      <c r="B3734" s="1"/>
      <c r="C3734" s="1"/>
      <c r="D3734" s="1"/>
      <c r="E3734" s="1"/>
      <c r="F3734" s="1"/>
      <c r="G3734" s="1"/>
      <c r="H3734" s="1"/>
      <c r="I3734" s="1"/>
      <c r="J3734" s="1"/>
      <c r="K3734" s="89" t="s">
        <v>5729</v>
      </c>
      <c r="L3734" s="89" t="str">
        <f>E120</f>
        <v>C1b3a</v>
      </c>
      <c r="M3734" s="89"/>
      <c r="N3734" s="89" t="s">
        <v>5730</v>
      </c>
      <c r="O3734" s="92">
        <v>2.1090113E7</v>
      </c>
      <c r="P3734" s="92">
        <v>1.8928227E7</v>
      </c>
      <c r="Q3734" s="89" t="s">
        <v>802</v>
      </c>
      <c r="AF3734" s="1"/>
      <c r="AG3734" s="1"/>
    </row>
    <row r="3735" ht="15.75" customHeight="1">
      <c r="A3735" s="1"/>
      <c r="B3735" s="1"/>
      <c r="C3735" s="1"/>
      <c r="D3735" s="1"/>
      <c r="E3735" s="1"/>
      <c r="F3735" s="1"/>
      <c r="G3735" s="1"/>
      <c r="H3735" s="1"/>
      <c r="I3735" s="1"/>
      <c r="J3735" s="1"/>
      <c r="K3735" s="89" t="s">
        <v>5731</v>
      </c>
      <c r="L3735" s="89" t="str">
        <f>E120</f>
        <v>C1b3a</v>
      </c>
      <c r="M3735" s="89"/>
      <c r="N3735" s="89" t="s">
        <v>5732</v>
      </c>
      <c r="O3735" s="92">
        <v>2.1255479E7</v>
      </c>
      <c r="P3735" s="92">
        <v>1.9093593E7</v>
      </c>
      <c r="Q3735" s="89" t="s">
        <v>879</v>
      </c>
      <c r="AF3735" s="1"/>
      <c r="AG3735" s="1"/>
    </row>
    <row r="3736" ht="15.75" customHeight="1">
      <c r="A3736" s="1"/>
      <c r="B3736" s="1"/>
      <c r="C3736" s="1"/>
      <c r="D3736" s="1"/>
      <c r="E3736" s="1"/>
      <c r="F3736" s="1"/>
      <c r="G3736" s="1"/>
      <c r="H3736" s="1"/>
      <c r="I3736" s="1"/>
      <c r="J3736" s="1"/>
      <c r="K3736" s="89" t="s">
        <v>5733</v>
      </c>
      <c r="L3736" s="89" t="str">
        <f>E120</f>
        <v>C1b3a</v>
      </c>
      <c r="M3736" s="89"/>
      <c r="N3736" s="89" t="s">
        <v>5734</v>
      </c>
      <c r="O3736" s="92">
        <v>2.1363067E7</v>
      </c>
      <c r="P3736" s="92">
        <v>1.9201181E7</v>
      </c>
      <c r="Q3736" s="89" t="s">
        <v>912</v>
      </c>
      <c r="AF3736" s="1"/>
      <c r="AG3736" s="1"/>
    </row>
    <row r="3737" ht="15.75" customHeight="1">
      <c r="A3737" s="1"/>
      <c r="B3737" s="1"/>
      <c r="C3737" s="1"/>
      <c r="D3737" s="1"/>
      <c r="E3737" s="1"/>
      <c r="F3737" s="1"/>
      <c r="G3737" s="1"/>
      <c r="H3737" s="1"/>
      <c r="I3737" s="1"/>
      <c r="J3737" s="1"/>
      <c r="K3737" s="89" t="s">
        <v>5735</v>
      </c>
      <c r="L3737" s="89" t="str">
        <f>E120</f>
        <v>C1b3a</v>
      </c>
      <c r="M3737" s="89"/>
      <c r="N3737" s="89" t="s">
        <v>5736</v>
      </c>
      <c r="O3737" s="92">
        <v>2.141373E7</v>
      </c>
      <c r="P3737" s="92">
        <v>1.9251844E7</v>
      </c>
      <c r="Q3737" s="89" t="s">
        <v>886</v>
      </c>
      <c r="AF3737" s="1"/>
      <c r="AG3737" s="1"/>
    </row>
    <row r="3738" ht="15.75" customHeight="1">
      <c r="A3738" s="1"/>
      <c r="B3738" s="1"/>
      <c r="C3738" s="1"/>
      <c r="D3738" s="1"/>
      <c r="E3738" s="1"/>
      <c r="F3738" s="1"/>
      <c r="G3738" s="1"/>
      <c r="H3738" s="1"/>
      <c r="I3738" s="1"/>
      <c r="J3738" s="1"/>
      <c r="K3738" s="89" t="s">
        <v>5737</v>
      </c>
      <c r="L3738" s="89" t="str">
        <f>E120</f>
        <v>C1b3a</v>
      </c>
      <c r="M3738" s="89"/>
      <c r="N3738" s="89" t="s">
        <v>5738</v>
      </c>
      <c r="O3738" s="92">
        <v>2.1415975E7</v>
      </c>
      <c r="P3738" s="92">
        <v>1.9254089E7</v>
      </c>
      <c r="Q3738" s="89" t="s">
        <v>879</v>
      </c>
      <c r="AF3738" s="1"/>
      <c r="AG3738" s="1"/>
    </row>
    <row r="3739" ht="15.75" customHeight="1">
      <c r="A3739" s="1"/>
      <c r="B3739" s="1"/>
      <c r="C3739" s="1"/>
      <c r="D3739" s="1"/>
      <c r="E3739" s="1"/>
      <c r="F3739" s="1"/>
      <c r="G3739" s="1"/>
      <c r="H3739" s="1"/>
      <c r="I3739" s="1"/>
      <c r="J3739" s="1"/>
      <c r="K3739" s="89" t="s">
        <v>5739</v>
      </c>
      <c r="L3739" s="89" t="str">
        <f>E120</f>
        <v>C1b3a</v>
      </c>
      <c r="M3739" s="89"/>
      <c r="N3739" s="89" t="s">
        <v>5740</v>
      </c>
      <c r="O3739" s="92">
        <v>2.1508276E7</v>
      </c>
      <c r="P3739" s="92">
        <v>1.934639E7</v>
      </c>
      <c r="Q3739" s="89" t="s">
        <v>917</v>
      </c>
      <c r="AF3739" s="1"/>
      <c r="AG3739" s="1"/>
    </row>
    <row r="3740" ht="15.75" customHeight="1">
      <c r="A3740" s="1"/>
      <c r="B3740" s="1"/>
      <c r="C3740" s="1"/>
      <c r="D3740" s="1"/>
      <c r="E3740" s="1"/>
      <c r="F3740" s="1"/>
      <c r="G3740" s="1"/>
      <c r="H3740" s="1"/>
      <c r="I3740" s="1"/>
      <c r="J3740" s="1"/>
      <c r="K3740" s="89" t="s">
        <v>5741</v>
      </c>
      <c r="L3740" s="89" t="str">
        <f>E120</f>
        <v>C1b3a</v>
      </c>
      <c r="M3740" s="89"/>
      <c r="N3740" s="89" t="s">
        <v>5742</v>
      </c>
      <c r="O3740" s="92">
        <v>2.1546389E7</v>
      </c>
      <c r="P3740" s="92">
        <v>1.9384503E7</v>
      </c>
      <c r="Q3740" s="89" t="s">
        <v>879</v>
      </c>
      <c r="AF3740" s="1"/>
      <c r="AG3740" s="1"/>
    </row>
    <row r="3741" ht="15.75" customHeight="1">
      <c r="A3741" s="1"/>
      <c r="B3741" s="1"/>
      <c r="C3741" s="1"/>
      <c r="D3741" s="1"/>
      <c r="E3741" s="1"/>
      <c r="F3741" s="1"/>
      <c r="G3741" s="1"/>
      <c r="H3741" s="1"/>
      <c r="I3741" s="1"/>
      <c r="J3741" s="1"/>
      <c r="K3741" s="89" t="s">
        <v>5743</v>
      </c>
      <c r="L3741" s="89" t="str">
        <f>E120</f>
        <v>C1b3a</v>
      </c>
      <c r="M3741" s="89"/>
      <c r="N3741" s="89" t="s">
        <v>5744</v>
      </c>
      <c r="O3741" s="92">
        <v>2.1552737E7</v>
      </c>
      <c r="P3741" s="92">
        <v>1.9390851E7</v>
      </c>
      <c r="Q3741" s="89" t="s">
        <v>831</v>
      </c>
      <c r="AF3741" s="1"/>
      <c r="AG3741" s="1"/>
    </row>
    <row r="3742" ht="15.75" customHeight="1">
      <c r="A3742" s="1"/>
      <c r="B3742" s="1"/>
      <c r="C3742" s="1"/>
      <c r="D3742" s="1"/>
      <c r="E3742" s="1"/>
      <c r="F3742" s="1"/>
      <c r="G3742" s="1"/>
      <c r="H3742" s="1"/>
      <c r="I3742" s="1"/>
      <c r="J3742" s="1"/>
      <c r="K3742" s="89" t="s">
        <v>5745</v>
      </c>
      <c r="L3742" s="89" t="str">
        <f>E120</f>
        <v>C1b3a</v>
      </c>
      <c r="M3742" s="89"/>
      <c r="N3742" s="89" t="s">
        <v>5746</v>
      </c>
      <c r="O3742" s="92">
        <v>2.1560609E7</v>
      </c>
      <c r="P3742" s="92">
        <v>1.9398723E7</v>
      </c>
      <c r="Q3742" s="89" t="s">
        <v>810</v>
      </c>
      <c r="AF3742" s="1"/>
      <c r="AG3742" s="1"/>
    </row>
    <row r="3743" ht="15.75" customHeight="1">
      <c r="A3743" s="1"/>
      <c r="B3743" s="1"/>
      <c r="C3743" s="1"/>
      <c r="D3743" s="1"/>
      <c r="E3743" s="1"/>
      <c r="F3743" s="1"/>
      <c r="G3743" s="1"/>
      <c r="H3743" s="1"/>
      <c r="I3743" s="1"/>
      <c r="J3743" s="1"/>
      <c r="K3743" s="89" t="s">
        <v>5747</v>
      </c>
      <c r="L3743" s="89" t="str">
        <f>E120</f>
        <v>C1b3a</v>
      </c>
      <c r="M3743" s="89"/>
      <c r="N3743" s="89" t="s">
        <v>5748</v>
      </c>
      <c r="O3743" s="92">
        <v>2.1644149E7</v>
      </c>
      <c r="P3743" s="92">
        <v>1.9482263E7</v>
      </c>
      <c r="Q3743" s="89" t="s">
        <v>822</v>
      </c>
      <c r="AF3743" s="1"/>
      <c r="AG3743" s="1"/>
    </row>
    <row r="3744" ht="15.75" customHeight="1">
      <c r="A3744" s="1"/>
      <c r="B3744" s="1"/>
      <c r="C3744" s="1"/>
      <c r="D3744" s="1"/>
      <c r="E3744" s="1"/>
      <c r="F3744" s="1"/>
      <c r="G3744" s="1"/>
      <c r="H3744" s="1"/>
      <c r="I3744" s="1"/>
      <c r="J3744" s="1"/>
      <c r="K3744" s="89" t="s">
        <v>5749</v>
      </c>
      <c r="L3744" s="89" t="str">
        <f>E120</f>
        <v>C1b3a</v>
      </c>
      <c r="M3744" s="89"/>
      <c r="N3744" s="89" t="s">
        <v>5750</v>
      </c>
      <c r="O3744" s="92">
        <v>2.1665811E7</v>
      </c>
      <c r="P3744" s="92">
        <v>1.9503925E7</v>
      </c>
      <c r="Q3744" s="89" t="s">
        <v>810</v>
      </c>
      <c r="AF3744" s="1"/>
      <c r="AG3744" s="1"/>
    </row>
    <row r="3745" ht="15.75" customHeight="1">
      <c r="A3745" s="1"/>
      <c r="B3745" s="1"/>
      <c r="C3745" s="1"/>
      <c r="D3745" s="1"/>
      <c r="E3745" s="1"/>
      <c r="F3745" s="1"/>
      <c r="G3745" s="1"/>
      <c r="H3745" s="1"/>
      <c r="I3745" s="1"/>
      <c r="J3745" s="1"/>
      <c r="K3745" s="89" t="s">
        <v>5751</v>
      </c>
      <c r="L3745" s="89" t="str">
        <f>E120</f>
        <v>C1b3a</v>
      </c>
      <c r="M3745" s="89"/>
      <c r="N3745" s="89" t="s">
        <v>5752</v>
      </c>
      <c r="O3745" s="92">
        <v>2.1738355E7</v>
      </c>
      <c r="P3745" s="92">
        <v>1.9576469E7</v>
      </c>
      <c r="Q3745" s="89" t="s">
        <v>845</v>
      </c>
      <c r="AF3745" s="1"/>
      <c r="AG3745" s="1"/>
    </row>
    <row r="3746" ht="15.75" customHeight="1">
      <c r="A3746" s="1"/>
      <c r="B3746" s="1"/>
      <c r="C3746" s="1"/>
      <c r="D3746" s="1"/>
      <c r="E3746" s="1"/>
      <c r="F3746" s="1"/>
      <c r="G3746" s="1"/>
      <c r="H3746" s="1"/>
      <c r="I3746" s="1"/>
      <c r="J3746" s="1"/>
      <c r="K3746" s="89" t="s">
        <v>5753</v>
      </c>
      <c r="L3746" s="89" t="str">
        <f>E120</f>
        <v>C1b3a</v>
      </c>
      <c r="M3746" s="89"/>
      <c r="N3746" s="89" t="s">
        <v>5754</v>
      </c>
      <c r="O3746" s="92">
        <v>2.1926871E7</v>
      </c>
      <c r="P3746" s="92">
        <v>1.9764985E7</v>
      </c>
      <c r="Q3746" s="89" t="s">
        <v>810</v>
      </c>
      <c r="AF3746" s="1"/>
      <c r="AG3746" s="1"/>
    </row>
    <row r="3747" ht="15.75" customHeight="1">
      <c r="A3747" s="1"/>
      <c r="B3747" s="1"/>
      <c r="C3747" s="1"/>
      <c r="D3747" s="1"/>
      <c r="E3747" s="1"/>
      <c r="F3747" s="1"/>
      <c r="G3747" s="1"/>
      <c r="H3747" s="1"/>
      <c r="I3747" s="1"/>
      <c r="J3747" s="1"/>
      <c r="K3747" s="89" t="s">
        <v>5755</v>
      </c>
      <c r="L3747" s="89" t="str">
        <f>E120</f>
        <v>C1b3a</v>
      </c>
      <c r="M3747" s="89"/>
      <c r="N3747" s="89" t="s">
        <v>5756</v>
      </c>
      <c r="O3747" s="92">
        <v>2.1947077E7</v>
      </c>
      <c r="P3747" s="92">
        <v>1.9785191E7</v>
      </c>
      <c r="Q3747" s="89" t="s">
        <v>813</v>
      </c>
      <c r="AF3747" s="1"/>
      <c r="AG3747" s="1"/>
    </row>
    <row r="3748" ht="15.75" customHeight="1">
      <c r="A3748" s="1"/>
      <c r="B3748" s="1"/>
      <c r="C3748" s="1"/>
      <c r="D3748" s="1"/>
      <c r="E3748" s="1"/>
      <c r="F3748" s="1"/>
      <c r="G3748" s="1"/>
      <c r="H3748" s="1"/>
      <c r="I3748" s="1"/>
      <c r="J3748" s="1"/>
      <c r="K3748" s="89" t="s">
        <v>5757</v>
      </c>
      <c r="L3748" s="89" t="str">
        <f>E120</f>
        <v>C1b3a</v>
      </c>
      <c r="M3748" s="89"/>
      <c r="N3748" s="89" t="s">
        <v>5758</v>
      </c>
      <c r="O3748" s="92">
        <v>2.1964999E7</v>
      </c>
      <c r="P3748" s="92">
        <v>1.9803113E7</v>
      </c>
      <c r="Q3748" s="89" t="s">
        <v>802</v>
      </c>
      <c r="AF3748" s="1"/>
      <c r="AG3748" s="1"/>
    </row>
    <row r="3749" ht="15.75" customHeight="1">
      <c r="A3749" s="1"/>
      <c r="B3749" s="1"/>
      <c r="C3749" s="1"/>
      <c r="D3749" s="1"/>
      <c r="E3749" s="1"/>
      <c r="F3749" s="1"/>
      <c r="G3749" s="1"/>
      <c r="H3749" s="1"/>
      <c r="I3749" s="1"/>
      <c r="J3749" s="1"/>
      <c r="K3749" s="89" t="s">
        <v>5759</v>
      </c>
      <c r="L3749" s="89" t="str">
        <f>E120</f>
        <v>C1b3a</v>
      </c>
      <c r="M3749" s="89"/>
      <c r="N3749" s="89" t="s">
        <v>5760</v>
      </c>
      <c r="O3749" s="92">
        <v>2.2576352E7</v>
      </c>
      <c r="P3749" s="92">
        <v>2.0414466E7</v>
      </c>
      <c r="Q3749" s="89" t="s">
        <v>886</v>
      </c>
      <c r="AF3749" s="1"/>
      <c r="AG3749" s="1"/>
    </row>
    <row r="3750" ht="15.75" customHeight="1">
      <c r="A3750" s="1"/>
      <c r="B3750" s="1"/>
      <c r="C3750" s="1"/>
      <c r="D3750" s="1"/>
      <c r="E3750" s="1"/>
      <c r="F3750" s="1"/>
      <c r="G3750" s="1"/>
      <c r="H3750" s="1"/>
      <c r="I3750" s="1"/>
      <c r="J3750" s="1"/>
      <c r="K3750" s="89" t="s">
        <v>5761</v>
      </c>
      <c r="L3750" s="89" t="str">
        <f>E120</f>
        <v>C1b3a</v>
      </c>
      <c r="M3750" s="89"/>
      <c r="N3750" s="89" t="s">
        <v>5762</v>
      </c>
      <c r="O3750" s="92">
        <v>2.2640258E7</v>
      </c>
      <c r="P3750" s="92">
        <v>2.0478372E7</v>
      </c>
      <c r="Q3750" s="89" t="s">
        <v>917</v>
      </c>
      <c r="AF3750" s="1"/>
      <c r="AG3750" s="1"/>
    </row>
    <row r="3751" ht="15.75" customHeight="1">
      <c r="A3751" s="1"/>
      <c r="B3751" s="1"/>
      <c r="C3751" s="1"/>
      <c r="D3751" s="1"/>
      <c r="E3751" s="1"/>
      <c r="F3751" s="1"/>
      <c r="G3751" s="1"/>
      <c r="H3751" s="1"/>
      <c r="I3751" s="1"/>
      <c r="J3751" s="1"/>
      <c r="K3751" s="89" t="s">
        <v>5763</v>
      </c>
      <c r="L3751" s="89" t="str">
        <f>E120</f>
        <v>C1b3a</v>
      </c>
      <c r="M3751" s="89"/>
      <c r="N3751" s="89" t="s">
        <v>5764</v>
      </c>
      <c r="O3751" s="92">
        <v>2.2770497E7</v>
      </c>
      <c r="P3751" s="92">
        <v>2.0608611E7</v>
      </c>
      <c r="Q3751" s="89" t="s">
        <v>822</v>
      </c>
      <c r="AF3751" s="1"/>
      <c r="AG3751" s="1"/>
    </row>
    <row r="3752" ht="15.75" customHeight="1">
      <c r="A3752" s="1"/>
      <c r="B3752" s="1"/>
      <c r="C3752" s="1"/>
      <c r="D3752" s="1"/>
      <c r="E3752" s="1"/>
      <c r="F3752" s="1"/>
      <c r="G3752" s="1"/>
      <c r="H3752" s="1"/>
      <c r="I3752" s="1"/>
      <c r="J3752" s="1"/>
      <c r="K3752" s="89" t="s">
        <v>5765</v>
      </c>
      <c r="L3752" s="89" t="str">
        <f>E120</f>
        <v>C1b3a</v>
      </c>
      <c r="M3752" s="89"/>
      <c r="N3752" s="89" t="s">
        <v>5766</v>
      </c>
      <c r="O3752" s="92">
        <v>2.2989943E7</v>
      </c>
      <c r="P3752" s="92">
        <v>2.0828057E7</v>
      </c>
      <c r="Q3752" s="89" t="s">
        <v>917</v>
      </c>
      <c r="AF3752" s="1"/>
      <c r="AG3752" s="1"/>
    </row>
    <row r="3753" ht="15.75" customHeight="1">
      <c r="A3753" s="1"/>
      <c r="B3753" s="1"/>
      <c r="C3753" s="1"/>
      <c r="D3753" s="1"/>
      <c r="E3753" s="1"/>
      <c r="F3753" s="1"/>
      <c r="G3753" s="1"/>
      <c r="H3753" s="1"/>
      <c r="I3753" s="1"/>
      <c r="J3753" s="1"/>
      <c r="K3753" s="89" t="s">
        <v>5767</v>
      </c>
      <c r="L3753" s="89" t="str">
        <f>E120</f>
        <v>C1b3a</v>
      </c>
      <c r="M3753" s="89"/>
      <c r="N3753" s="89" t="s">
        <v>5768</v>
      </c>
      <c r="O3753" s="92">
        <v>2.302939E7</v>
      </c>
      <c r="P3753" s="92">
        <v>2.0867504E7</v>
      </c>
      <c r="Q3753" s="89" t="s">
        <v>810</v>
      </c>
      <c r="AF3753" s="1"/>
      <c r="AG3753" s="1"/>
    </row>
    <row r="3754" ht="15.75" customHeight="1">
      <c r="A3754" s="1"/>
      <c r="B3754" s="1"/>
      <c r="C3754" s="1"/>
      <c r="D3754" s="1"/>
      <c r="E3754" s="1"/>
      <c r="F3754" s="1"/>
      <c r="G3754" s="1"/>
      <c r="H3754" s="1"/>
      <c r="I3754" s="1"/>
      <c r="J3754" s="1"/>
      <c r="K3754" s="89" t="s">
        <v>5769</v>
      </c>
      <c r="L3754" s="89" t="str">
        <f>E120</f>
        <v>C1b3a</v>
      </c>
      <c r="M3754" s="89"/>
      <c r="N3754" s="89" t="s">
        <v>5770</v>
      </c>
      <c r="O3754" s="92">
        <v>2.3034354E7</v>
      </c>
      <c r="P3754" s="92">
        <v>2.0872468E7</v>
      </c>
      <c r="Q3754" s="89" t="s">
        <v>810</v>
      </c>
      <c r="AF3754" s="1"/>
      <c r="AG3754" s="1"/>
    </row>
    <row r="3755" ht="15.75" customHeight="1">
      <c r="A3755" s="1"/>
      <c r="B3755" s="1"/>
      <c r="C3755" s="1"/>
      <c r="D3755" s="1"/>
      <c r="E3755" s="1"/>
      <c r="F3755" s="1"/>
      <c r="G3755" s="1"/>
      <c r="H3755" s="1"/>
      <c r="I3755" s="1"/>
      <c r="J3755" s="1"/>
      <c r="K3755" s="89" t="s">
        <v>5771</v>
      </c>
      <c r="L3755" s="89" t="str">
        <f>E120</f>
        <v>C1b3a</v>
      </c>
      <c r="M3755" s="89"/>
      <c r="N3755" s="89" t="s">
        <v>5772</v>
      </c>
      <c r="O3755" s="92">
        <v>2.3081472E7</v>
      </c>
      <c r="P3755" s="92">
        <v>2.0919586E7</v>
      </c>
      <c r="Q3755" s="89" t="s">
        <v>802</v>
      </c>
      <c r="AF3755" s="1"/>
      <c r="AG3755" s="1"/>
    </row>
    <row r="3756" ht="15.75" customHeight="1">
      <c r="A3756" s="1"/>
      <c r="B3756" s="1"/>
      <c r="C3756" s="1"/>
      <c r="D3756" s="1"/>
      <c r="E3756" s="1"/>
      <c r="F3756" s="1"/>
      <c r="G3756" s="1"/>
      <c r="H3756" s="1"/>
      <c r="I3756" s="1"/>
      <c r="J3756" s="1"/>
      <c r="K3756" s="89" t="s">
        <v>5773</v>
      </c>
      <c r="L3756" s="89" t="str">
        <f>E120</f>
        <v>C1b3a</v>
      </c>
      <c r="M3756" s="89"/>
      <c r="N3756" s="89" t="s">
        <v>5774</v>
      </c>
      <c r="O3756" s="92">
        <v>2.3084074E7</v>
      </c>
      <c r="P3756" s="92">
        <v>2.0922188E7</v>
      </c>
      <c r="Q3756" s="89" t="s">
        <v>810</v>
      </c>
      <c r="AF3756" s="1"/>
      <c r="AG3756" s="1"/>
    </row>
    <row r="3757" ht="15.75" customHeight="1">
      <c r="A3757" s="1"/>
      <c r="B3757" s="1"/>
      <c r="C3757" s="1"/>
      <c r="D3757" s="1"/>
      <c r="E3757" s="1"/>
      <c r="F3757" s="1"/>
      <c r="G3757" s="1"/>
      <c r="H3757" s="1"/>
      <c r="I3757" s="1"/>
      <c r="J3757" s="1"/>
      <c r="K3757" s="89" t="s">
        <v>5775</v>
      </c>
      <c r="L3757" s="89" t="str">
        <f>E120</f>
        <v>C1b3a</v>
      </c>
      <c r="M3757" s="89"/>
      <c r="N3757" s="89" t="s">
        <v>5776</v>
      </c>
      <c r="O3757" s="92">
        <v>2.3101894E7</v>
      </c>
      <c r="P3757" s="92">
        <v>2.0940008E7</v>
      </c>
      <c r="Q3757" s="89" t="s">
        <v>831</v>
      </c>
      <c r="AF3757" s="1"/>
      <c r="AG3757" s="1"/>
    </row>
    <row r="3758" ht="15.75" customHeight="1">
      <c r="A3758" s="1"/>
      <c r="B3758" s="1"/>
      <c r="C3758" s="1"/>
      <c r="D3758" s="1"/>
      <c r="E3758" s="1"/>
      <c r="F3758" s="1"/>
      <c r="G3758" s="1"/>
      <c r="H3758" s="1"/>
      <c r="I3758" s="1"/>
      <c r="J3758" s="1"/>
      <c r="K3758" s="89" t="s">
        <v>5777</v>
      </c>
      <c r="L3758" s="89" t="str">
        <f>E120</f>
        <v>C1b3a</v>
      </c>
      <c r="M3758" s="89"/>
      <c r="N3758" s="89" t="s">
        <v>5778</v>
      </c>
      <c r="O3758" s="92">
        <v>2.3251666E7</v>
      </c>
      <c r="P3758" s="92">
        <v>2.108978E7</v>
      </c>
      <c r="Q3758" s="89" t="s">
        <v>802</v>
      </c>
      <c r="AF3758" s="1"/>
      <c r="AG3758" s="1"/>
    </row>
    <row r="3759" ht="15.75" customHeight="1">
      <c r="A3759" s="1"/>
      <c r="B3759" s="1"/>
      <c r="C3759" s="1"/>
      <c r="D3759" s="1"/>
      <c r="E3759" s="1"/>
      <c r="F3759" s="1"/>
      <c r="G3759" s="1"/>
      <c r="H3759" s="1"/>
      <c r="I3759" s="1"/>
      <c r="J3759" s="1"/>
      <c r="K3759" s="89" t="s">
        <v>5779</v>
      </c>
      <c r="L3759" s="89" t="str">
        <f>E120</f>
        <v>C1b3a</v>
      </c>
      <c r="M3759" s="89"/>
      <c r="N3759" s="89" t="s">
        <v>5780</v>
      </c>
      <c r="O3759" s="92">
        <v>2.8589881E7</v>
      </c>
      <c r="P3759" s="92">
        <v>2.6443734E7</v>
      </c>
      <c r="Q3759" s="89" t="s">
        <v>912</v>
      </c>
      <c r="AF3759" s="1"/>
      <c r="AG3759" s="1"/>
    </row>
    <row r="3760" ht="15.75" customHeight="1">
      <c r="A3760" s="1"/>
      <c r="B3760" s="1"/>
      <c r="C3760" s="1"/>
      <c r="D3760" s="1"/>
      <c r="E3760" s="1"/>
      <c r="F3760" s="1"/>
      <c r="G3760" s="1"/>
      <c r="H3760" s="1"/>
      <c r="I3760" s="1"/>
      <c r="J3760" s="1"/>
      <c r="K3760" s="89" t="s">
        <v>5781</v>
      </c>
      <c r="L3760" s="89" t="str">
        <f t="shared" ref="L3760:L3761" si="22">E120</f>
        <v>C1b3a</v>
      </c>
      <c r="M3760" s="89"/>
      <c r="N3760" s="89" t="s">
        <v>5782</v>
      </c>
      <c r="O3760" s="92">
        <v>2.8751864E7</v>
      </c>
      <c r="P3760" s="92">
        <v>2.6605717E7</v>
      </c>
      <c r="Q3760" s="89" t="s">
        <v>813</v>
      </c>
      <c r="AF3760" s="1"/>
      <c r="AG3760" s="1"/>
    </row>
    <row r="3761" ht="15.75" customHeight="1">
      <c r="A3761" s="1"/>
      <c r="B3761" s="1"/>
      <c r="C3761" s="1"/>
      <c r="D3761" s="1"/>
      <c r="E3761" s="1"/>
      <c r="F3761" s="1"/>
      <c r="G3761" s="1"/>
      <c r="H3761" s="1"/>
      <c r="I3761" s="1"/>
      <c r="J3761" s="1"/>
      <c r="K3761" s="89" t="s">
        <v>203</v>
      </c>
      <c r="L3761" s="89" t="str">
        <f t="shared" si="22"/>
        <v>C1b3a~</v>
      </c>
      <c r="M3761" s="89"/>
      <c r="N3761" s="89" t="s">
        <v>5783</v>
      </c>
      <c r="O3761" s="92">
        <v>7589991.0</v>
      </c>
      <c r="P3761" s="92">
        <v>7721950.0</v>
      </c>
      <c r="Q3761" s="89" t="s">
        <v>802</v>
      </c>
      <c r="AF3761" s="1"/>
      <c r="AG3761" s="1"/>
    </row>
    <row r="3762" ht="15.75" customHeight="1">
      <c r="A3762" s="1"/>
      <c r="B3762" s="1"/>
      <c r="C3762" s="1"/>
      <c r="D3762" s="1"/>
      <c r="E3762" s="1"/>
      <c r="F3762" s="1"/>
      <c r="G3762" s="1"/>
      <c r="H3762" s="1"/>
      <c r="I3762" s="1"/>
      <c r="J3762" s="1"/>
      <c r="K3762" s="89" t="s">
        <v>205</v>
      </c>
      <c r="L3762" s="89" t="str">
        <f>F122</f>
        <v>C1b3a1</v>
      </c>
      <c r="M3762" s="89"/>
      <c r="N3762" s="89" t="s">
        <v>5784</v>
      </c>
      <c r="O3762" s="92">
        <v>1.5576203E7</v>
      </c>
      <c r="P3762" s="92">
        <v>1.3464323E7</v>
      </c>
      <c r="Q3762" s="89" t="s">
        <v>802</v>
      </c>
      <c r="AF3762" s="1"/>
      <c r="AG3762" s="1"/>
    </row>
    <row r="3763" ht="15.75" customHeight="1">
      <c r="A3763" s="1"/>
      <c r="B3763" s="1"/>
      <c r="C3763" s="1"/>
      <c r="D3763" s="1"/>
      <c r="E3763" s="1"/>
      <c r="F3763" s="1"/>
      <c r="G3763" s="1"/>
      <c r="H3763" s="1"/>
      <c r="I3763" s="1"/>
      <c r="J3763" s="1"/>
      <c r="K3763" s="89" t="s">
        <v>5785</v>
      </c>
      <c r="L3763" s="89" t="str">
        <f>G123</f>
        <v>C1b3a1a~</v>
      </c>
      <c r="M3763" s="89"/>
      <c r="N3763" s="89"/>
      <c r="O3763" s="92">
        <v>2.4987987E7</v>
      </c>
      <c r="P3763" s="92">
        <v>2.284184E7</v>
      </c>
      <c r="Q3763" s="89" t="s">
        <v>838</v>
      </c>
      <c r="AF3763" s="1"/>
      <c r="AG3763" s="1"/>
    </row>
    <row r="3764" ht="15.75" customHeight="1">
      <c r="A3764" s="1"/>
      <c r="B3764" s="1"/>
      <c r="C3764" s="1"/>
      <c r="D3764" s="1"/>
      <c r="E3764" s="1"/>
      <c r="F3764" s="1"/>
      <c r="G3764" s="1"/>
      <c r="H3764" s="1"/>
      <c r="I3764" s="1"/>
      <c r="J3764" s="1"/>
      <c r="K3764" s="89" t="s">
        <v>5786</v>
      </c>
      <c r="L3764" s="89" t="str">
        <f>G123</f>
        <v>C1b3a1a~</v>
      </c>
      <c r="M3764" s="89"/>
      <c r="N3764" s="89"/>
      <c r="O3764" s="92">
        <v>2.6621735E7</v>
      </c>
      <c r="P3764" s="92">
        <v>2.4475588E7</v>
      </c>
      <c r="Q3764" s="89" t="s">
        <v>838</v>
      </c>
      <c r="AF3764" s="1"/>
      <c r="AG3764" s="1"/>
    </row>
    <row r="3765" ht="15.75" customHeight="1">
      <c r="A3765" s="1"/>
      <c r="B3765" s="1"/>
      <c r="C3765" s="1"/>
      <c r="D3765" s="1"/>
      <c r="E3765" s="1"/>
      <c r="F3765" s="1"/>
      <c r="G3765" s="1"/>
      <c r="H3765" s="1"/>
      <c r="I3765" s="1"/>
      <c r="J3765" s="1"/>
      <c r="K3765" s="89" t="s">
        <v>5787</v>
      </c>
      <c r="L3765" s="89" t="str">
        <f t="shared" ref="L3765:L3766" si="23">G123</f>
        <v>C1b3a1a~</v>
      </c>
      <c r="M3765" s="89"/>
      <c r="N3765" s="89"/>
      <c r="O3765" s="92">
        <v>2.7340668E7</v>
      </c>
      <c r="P3765" s="92">
        <v>2.5194521E7</v>
      </c>
      <c r="Q3765" s="89" t="s">
        <v>822</v>
      </c>
      <c r="AF3765" s="1"/>
      <c r="AG3765" s="1"/>
    </row>
    <row r="3766" ht="15.75" customHeight="1">
      <c r="A3766" s="1"/>
      <c r="B3766" s="1"/>
      <c r="C3766" s="1"/>
      <c r="D3766" s="1"/>
      <c r="E3766" s="1"/>
      <c r="F3766" s="1"/>
      <c r="G3766" s="1"/>
      <c r="H3766" s="1"/>
      <c r="I3766" s="1"/>
      <c r="J3766" s="1"/>
      <c r="K3766" s="89" t="s">
        <v>209</v>
      </c>
      <c r="L3766" s="89" t="str">
        <f t="shared" si="23"/>
        <v>C1b3a1b~</v>
      </c>
      <c r="M3766" s="89"/>
      <c r="N3766" s="89"/>
      <c r="O3766" s="92">
        <v>2.2513937E7</v>
      </c>
      <c r="P3766" s="92">
        <v>2.0352051E7</v>
      </c>
      <c r="Q3766" s="89" t="s">
        <v>864</v>
      </c>
      <c r="AF3766" s="1"/>
      <c r="AG3766" s="1"/>
    </row>
    <row r="3767" ht="15.75" customHeight="1">
      <c r="A3767" s="1"/>
      <c r="B3767" s="1"/>
      <c r="C3767" s="1"/>
      <c r="D3767" s="1"/>
      <c r="E3767" s="1"/>
      <c r="F3767" s="1"/>
      <c r="G3767" s="1"/>
      <c r="H3767" s="1"/>
      <c r="I3767" s="1"/>
      <c r="J3767" s="1"/>
      <c r="K3767" s="89" t="s">
        <v>211</v>
      </c>
      <c r="L3767" s="89" t="str">
        <f>H125</f>
        <v>C1b3a1b1</v>
      </c>
      <c r="M3767" s="89"/>
      <c r="N3767" s="89"/>
      <c r="O3767" s="92">
        <v>1.4491659E7</v>
      </c>
      <c r="P3767" s="92">
        <v>1.2379856E7</v>
      </c>
      <c r="Q3767" s="89" t="s">
        <v>822</v>
      </c>
      <c r="AF3767" s="1"/>
      <c r="AG3767" s="1"/>
    </row>
    <row r="3768" ht="15.75" customHeight="1">
      <c r="A3768" s="1"/>
      <c r="B3768" s="1"/>
      <c r="C3768" s="1"/>
      <c r="D3768" s="1"/>
      <c r="E3768" s="1"/>
      <c r="F3768" s="1"/>
      <c r="G3768" s="1"/>
      <c r="H3768" s="1"/>
      <c r="I3768" s="1"/>
      <c r="J3768" s="1"/>
      <c r="K3768" s="89" t="s">
        <v>5788</v>
      </c>
      <c r="L3768" s="89" t="str">
        <f>G126</f>
        <v>C1b3a1c</v>
      </c>
      <c r="M3768" s="89"/>
      <c r="N3768" s="89"/>
      <c r="O3768" s="92">
        <v>2720284.0</v>
      </c>
      <c r="P3768" s="92">
        <v>2852243.0</v>
      </c>
      <c r="Q3768" s="89" t="s">
        <v>802</v>
      </c>
      <c r="AF3768" s="1"/>
      <c r="AG3768" s="1"/>
    </row>
    <row r="3769" ht="15.75" customHeight="1">
      <c r="A3769" s="1"/>
      <c r="B3769" s="1"/>
      <c r="C3769" s="1"/>
      <c r="D3769" s="1"/>
      <c r="E3769" s="1"/>
      <c r="F3769" s="1"/>
      <c r="G3769" s="1"/>
      <c r="H3769" s="1"/>
      <c r="I3769" s="1"/>
      <c r="J3769" s="1"/>
      <c r="K3769" s="89" t="s">
        <v>5789</v>
      </c>
      <c r="L3769" s="89" t="str">
        <f>G126</f>
        <v>C1b3a1c</v>
      </c>
      <c r="M3769" s="89"/>
      <c r="N3769" s="89"/>
      <c r="O3769" s="89">
        <v>7310964.0</v>
      </c>
      <c r="P3769" s="89">
        <v>7442923.0</v>
      </c>
      <c r="Q3769" s="89" t="s">
        <v>810</v>
      </c>
      <c r="AF3769" s="1"/>
      <c r="AG3769" s="1"/>
    </row>
    <row r="3770" ht="15.75" customHeight="1">
      <c r="A3770" s="1"/>
      <c r="B3770" s="1"/>
      <c r="C3770" s="1"/>
      <c r="D3770" s="1"/>
      <c r="E3770" s="1"/>
      <c r="F3770" s="1"/>
      <c r="G3770" s="1"/>
      <c r="H3770" s="1"/>
      <c r="I3770" s="1"/>
      <c r="J3770" s="1"/>
      <c r="K3770" s="89" t="s">
        <v>5790</v>
      </c>
      <c r="L3770" s="89" t="str">
        <f>G126</f>
        <v>C1b3a1c</v>
      </c>
      <c r="M3770" s="89"/>
      <c r="N3770" s="89" t="s">
        <v>5791</v>
      </c>
      <c r="O3770" s="89">
        <v>6957660.0</v>
      </c>
      <c r="P3770" s="89">
        <v>7089619.0</v>
      </c>
      <c r="Q3770" s="89" t="s">
        <v>802</v>
      </c>
      <c r="AF3770" s="1"/>
      <c r="AG3770" s="1"/>
    </row>
    <row r="3771" ht="15.75" customHeight="1">
      <c r="A3771" s="1"/>
      <c r="B3771" s="1"/>
      <c r="C3771" s="1"/>
      <c r="D3771" s="1"/>
      <c r="E3771" s="1"/>
      <c r="F3771" s="1"/>
      <c r="G3771" s="1"/>
      <c r="H3771" s="1"/>
      <c r="I3771" s="1"/>
      <c r="J3771" s="1"/>
      <c r="K3771" s="89" t="s">
        <v>5792</v>
      </c>
      <c r="L3771" s="89" t="str">
        <f>G126</f>
        <v>C1b3a1c</v>
      </c>
      <c r="M3771" s="89"/>
      <c r="N3771" s="89"/>
      <c r="O3771" s="92">
        <v>7957655.0</v>
      </c>
      <c r="P3771" s="92">
        <v>8089614.0</v>
      </c>
      <c r="Q3771" s="89" t="s">
        <v>912</v>
      </c>
      <c r="AF3771" s="1"/>
      <c r="AG3771" s="1"/>
    </row>
    <row r="3772" ht="15.75" customHeight="1">
      <c r="A3772" s="1"/>
      <c r="B3772" s="1"/>
      <c r="C3772" s="1"/>
      <c r="D3772" s="1"/>
      <c r="E3772" s="1"/>
      <c r="F3772" s="1"/>
      <c r="G3772" s="1"/>
      <c r="H3772" s="1"/>
      <c r="I3772" s="1"/>
      <c r="J3772" s="1"/>
      <c r="K3772" s="89" t="s">
        <v>5793</v>
      </c>
      <c r="L3772" s="89" t="str">
        <f>G126</f>
        <v>C1b3a1c</v>
      </c>
      <c r="M3772" s="89"/>
      <c r="N3772" s="89"/>
      <c r="O3772" s="92">
        <v>8070127.0</v>
      </c>
      <c r="P3772" s="92">
        <v>8202086.0</v>
      </c>
      <c r="Q3772" s="89" t="s">
        <v>838</v>
      </c>
      <c r="AF3772" s="1"/>
      <c r="AG3772" s="1"/>
    </row>
    <row r="3773" ht="15.75" customHeight="1">
      <c r="A3773" s="1"/>
      <c r="B3773" s="1"/>
      <c r="C3773" s="1"/>
      <c r="D3773" s="1"/>
      <c r="E3773" s="1"/>
      <c r="F3773" s="1"/>
      <c r="G3773" s="1"/>
      <c r="H3773" s="1"/>
      <c r="I3773" s="1"/>
      <c r="J3773" s="1"/>
      <c r="K3773" s="89" t="s">
        <v>5794</v>
      </c>
      <c r="L3773" s="89" t="str">
        <f>G126</f>
        <v>C1b3a1c</v>
      </c>
      <c r="M3773" s="89"/>
      <c r="N3773" s="89"/>
      <c r="O3773" s="92">
        <v>8226143.0</v>
      </c>
      <c r="P3773" s="92">
        <v>8358102.0</v>
      </c>
      <c r="Q3773" s="89" t="s">
        <v>917</v>
      </c>
      <c r="AF3773" s="1"/>
      <c r="AG3773" s="1"/>
    </row>
    <row r="3774" ht="15.75" customHeight="1">
      <c r="A3774" s="1"/>
      <c r="B3774" s="1"/>
      <c r="C3774" s="1"/>
      <c r="D3774" s="1"/>
      <c r="E3774" s="1"/>
      <c r="F3774" s="1"/>
      <c r="G3774" s="1"/>
      <c r="H3774" s="1"/>
      <c r="I3774" s="1"/>
      <c r="J3774" s="1"/>
      <c r="K3774" s="89" t="s">
        <v>5795</v>
      </c>
      <c r="L3774" s="89" t="str">
        <f>G126</f>
        <v>C1b3a1c</v>
      </c>
      <c r="M3774" s="89"/>
      <c r="N3774" s="89"/>
      <c r="O3774" s="92">
        <v>8415632.0</v>
      </c>
      <c r="P3774" s="92">
        <v>8547591.0</v>
      </c>
      <c r="Q3774" s="89" t="s">
        <v>912</v>
      </c>
      <c r="AF3774" s="1"/>
      <c r="AG3774" s="1"/>
    </row>
    <row r="3775" ht="15.75" customHeight="1">
      <c r="A3775" s="1"/>
      <c r="B3775" s="1"/>
      <c r="C3775" s="1"/>
      <c r="D3775" s="1"/>
      <c r="E3775" s="1"/>
      <c r="F3775" s="1"/>
      <c r="G3775" s="1"/>
      <c r="H3775" s="1"/>
      <c r="I3775" s="1"/>
      <c r="J3775" s="1"/>
      <c r="K3775" s="89" t="s">
        <v>5796</v>
      </c>
      <c r="L3775" s="89" t="str">
        <f>G126</f>
        <v>C1b3a1c</v>
      </c>
      <c r="M3775" s="89"/>
      <c r="N3775" s="89"/>
      <c r="O3775" s="92">
        <v>8442533.0</v>
      </c>
      <c r="P3775" s="92">
        <v>8574492.0</v>
      </c>
      <c r="Q3775" s="89" t="s">
        <v>810</v>
      </c>
      <c r="AF3775" s="1"/>
      <c r="AG3775" s="1"/>
    </row>
    <row r="3776" ht="15.75" customHeight="1">
      <c r="A3776" s="1"/>
      <c r="B3776" s="1"/>
      <c r="C3776" s="1"/>
      <c r="D3776" s="1"/>
      <c r="E3776" s="1"/>
      <c r="F3776" s="1"/>
      <c r="G3776" s="1"/>
      <c r="H3776" s="1"/>
      <c r="I3776" s="1"/>
      <c r="J3776" s="1"/>
      <c r="K3776" s="89" t="s">
        <v>5797</v>
      </c>
      <c r="L3776" s="89" t="str">
        <f>G126</f>
        <v>C1b3a1c</v>
      </c>
      <c r="M3776" s="89"/>
      <c r="N3776" s="89"/>
      <c r="O3776" s="92">
        <v>8537616.0</v>
      </c>
      <c r="P3776" s="92">
        <v>8669575.0</v>
      </c>
      <c r="Q3776" s="89" t="s">
        <v>813</v>
      </c>
      <c r="AF3776" s="1"/>
      <c r="AG3776" s="1"/>
    </row>
    <row r="3777" ht="15.75" customHeight="1">
      <c r="A3777" s="1"/>
      <c r="B3777" s="1"/>
      <c r="C3777" s="1"/>
      <c r="D3777" s="1"/>
      <c r="E3777" s="1"/>
      <c r="F3777" s="1"/>
      <c r="G3777" s="1"/>
      <c r="H3777" s="1"/>
      <c r="I3777" s="1"/>
      <c r="J3777" s="1"/>
      <c r="K3777" s="89" t="s">
        <v>5798</v>
      </c>
      <c r="L3777" s="89" t="str">
        <f>G126</f>
        <v>C1b3a1c</v>
      </c>
      <c r="M3777" s="89"/>
      <c r="N3777" s="89" t="s">
        <v>5799</v>
      </c>
      <c r="O3777" s="92">
        <v>8644323.0</v>
      </c>
      <c r="P3777" s="92">
        <v>8776282.0</v>
      </c>
      <c r="Q3777" s="89" t="s">
        <v>810</v>
      </c>
      <c r="AF3777" s="1"/>
      <c r="AG3777" s="1"/>
    </row>
    <row r="3778" ht="15.75" customHeight="1">
      <c r="A3778" s="1"/>
      <c r="B3778" s="1"/>
      <c r="C3778" s="1"/>
      <c r="D3778" s="1"/>
      <c r="E3778" s="1"/>
      <c r="F3778" s="1"/>
      <c r="G3778" s="1"/>
      <c r="H3778" s="1"/>
      <c r="I3778" s="1"/>
      <c r="J3778" s="1"/>
      <c r="K3778" s="89" t="s">
        <v>5800</v>
      </c>
      <c r="L3778" s="89" t="str">
        <f>G126</f>
        <v>C1b3a1c</v>
      </c>
      <c r="M3778" s="89"/>
      <c r="N3778" s="89" t="s">
        <v>5801</v>
      </c>
      <c r="O3778" s="92">
        <v>8832809.0</v>
      </c>
      <c r="P3778" s="92">
        <v>8964768.0</v>
      </c>
      <c r="Q3778" s="89" t="s">
        <v>810</v>
      </c>
      <c r="AF3778" s="1"/>
      <c r="AG3778" s="1"/>
    </row>
    <row r="3779" ht="15.75" customHeight="1">
      <c r="A3779" s="1"/>
      <c r="B3779" s="1"/>
      <c r="C3779" s="1"/>
      <c r="D3779" s="1"/>
      <c r="E3779" s="1"/>
      <c r="F3779" s="1"/>
      <c r="G3779" s="1"/>
      <c r="H3779" s="1"/>
      <c r="I3779" s="1"/>
      <c r="J3779" s="1"/>
      <c r="K3779" s="89" t="s">
        <v>5802</v>
      </c>
      <c r="L3779" s="89" t="str">
        <f>G126</f>
        <v>C1b3a1c</v>
      </c>
      <c r="M3779" s="89"/>
      <c r="N3779" s="89"/>
      <c r="O3779" s="92">
        <v>1.4407977E7</v>
      </c>
      <c r="P3779" s="92">
        <v>1.2287275E7</v>
      </c>
      <c r="Q3779" s="89" t="s">
        <v>831</v>
      </c>
      <c r="AF3779" s="1"/>
      <c r="AG3779" s="1"/>
    </row>
    <row r="3780" ht="15.75" customHeight="1">
      <c r="A3780" s="1"/>
      <c r="B3780" s="1"/>
      <c r="C3780" s="1"/>
      <c r="D3780" s="1"/>
      <c r="E3780" s="1"/>
      <c r="F3780" s="1"/>
      <c r="G3780" s="1"/>
      <c r="H3780" s="1"/>
      <c r="I3780" s="1"/>
      <c r="J3780" s="1"/>
      <c r="K3780" s="89" t="s">
        <v>5803</v>
      </c>
      <c r="L3780" s="89" t="str">
        <f>G126</f>
        <v>C1b3a1c</v>
      </c>
      <c r="M3780" s="89"/>
      <c r="N3780" s="89"/>
      <c r="O3780" s="92">
        <v>1.4724639E7</v>
      </c>
      <c r="P3780" s="92">
        <v>1.2612707E7</v>
      </c>
      <c r="Q3780" s="89" t="s">
        <v>831</v>
      </c>
      <c r="AF3780" s="1"/>
      <c r="AG3780" s="1"/>
    </row>
    <row r="3781" ht="15.75" customHeight="1">
      <c r="A3781" s="1"/>
      <c r="B3781" s="1"/>
      <c r="C3781" s="1"/>
      <c r="D3781" s="1"/>
      <c r="E3781" s="1"/>
      <c r="F3781" s="1"/>
      <c r="G3781" s="1"/>
      <c r="H3781" s="1"/>
      <c r="I3781" s="1"/>
      <c r="J3781" s="1"/>
      <c r="K3781" s="89" t="s">
        <v>5804</v>
      </c>
      <c r="L3781" s="89" t="str">
        <f>G126</f>
        <v>C1b3a1c</v>
      </c>
      <c r="M3781" s="89"/>
      <c r="N3781" s="89"/>
      <c r="O3781" s="92">
        <v>1.4738059E7</v>
      </c>
      <c r="P3781" s="92">
        <v>1.2626127E7</v>
      </c>
      <c r="Q3781" s="89" t="s">
        <v>879</v>
      </c>
      <c r="AF3781" s="1"/>
      <c r="AG3781" s="1"/>
    </row>
    <row r="3782" ht="15.75" customHeight="1">
      <c r="A3782" s="1"/>
      <c r="B3782" s="1"/>
      <c r="C3782" s="1"/>
      <c r="D3782" s="1"/>
      <c r="E3782" s="1"/>
      <c r="F3782" s="1"/>
      <c r="G3782" s="1"/>
      <c r="H3782" s="1"/>
      <c r="I3782" s="1"/>
      <c r="J3782" s="1"/>
      <c r="K3782" s="89" t="s">
        <v>5805</v>
      </c>
      <c r="L3782" s="89" t="str">
        <f>G126</f>
        <v>C1b3a1c</v>
      </c>
      <c r="M3782" s="89"/>
      <c r="N3782" s="89"/>
      <c r="O3782" s="92">
        <v>1.4750903E7</v>
      </c>
      <c r="P3782" s="92">
        <v>1.2638972E7</v>
      </c>
      <c r="Q3782" s="89" t="s">
        <v>864</v>
      </c>
      <c r="AF3782" s="1"/>
      <c r="AG3782" s="1"/>
    </row>
    <row r="3783" ht="15.75" customHeight="1">
      <c r="A3783" s="1"/>
      <c r="B3783" s="1"/>
      <c r="C3783" s="1"/>
      <c r="D3783" s="1"/>
      <c r="E3783" s="1"/>
      <c r="F3783" s="1"/>
      <c r="G3783" s="1"/>
      <c r="H3783" s="1"/>
      <c r="I3783" s="1"/>
      <c r="J3783" s="1"/>
      <c r="K3783" s="89" t="s">
        <v>5806</v>
      </c>
      <c r="L3783" s="89" t="str">
        <f>G126</f>
        <v>C1b3a1c</v>
      </c>
      <c r="M3783" s="89"/>
      <c r="N3783" s="89"/>
      <c r="O3783" s="92">
        <v>1.4868201E7</v>
      </c>
      <c r="P3783" s="92">
        <v>1.2756271E7</v>
      </c>
      <c r="Q3783" s="89" t="s">
        <v>822</v>
      </c>
      <c r="AF3783" s="1"/>
      <c r="AG3783" s="1"/>
    </row>
    <row r="3784" ht="15.75" customHeight="1">
      <c r="A3784" s="1"/>
      <c r="B3784" s="1"/>
      <c r="C3784" s="1"/>
      <c r="D3784" s="1"/>
      <c r="E3784" s="1"/>
      <c r="F3784" s="1"/>
      <c r="G3784" s="1"/>
      <c r="H3784" s="1"/>
      <c r="I3784" s="1"/>
      <c r="J3784" s="1"/>
      <c r="K3784" s="89" t="s">
        <v>5807</v>
      </c>
      <c r="L3784" s="89" t="str">
        <f>G126</f>
        <v>C1b3a1c</v>
      </c>
      <c r="M3784" s="89"/>
      <c r="N3784" s="89"/>
      <c r="O3784" s="92">
        <v>1.5207772E7</v>
      </c>
      <c r="P3784" s="92">
        <v>1.3095858E7</v>
      </c>
      <c r="Q3784" s="89" t="s">
        <v>813</v>
      </c>
      <c r="AF3784" s="1"/>
      <c r="AG3784" s="1"/>
    </row>
    <row r="3785" ht="15.75" customHeight="1">
      <c r="A3785" s="1"/>
      <c r="B3785" s="1"/>
      <c r="C3785" s="1"/>
      <c r="D3785" s="1"/>
      <c r="E3785" s="1"/>
      <c r="F3785" s="1"/>
      <c r="G3785" s="1"/>
      <c r="H3785" s="1"/>
      <c r="I3785" s="1"/>
      <c r="J3785" s="1"/>
      <c r="K3785" s="89" t="s">
        <v>5808</v>
      </c>
      <c r="L3785" s="89" t="str">
        <f>G126</f>
        <v>C1b3a1c</v>
      </c>
      <c r="M3785" s="89"/>
      <c r="N3785" s="89"/>
      <c r="O3785" s="92">
        <v>1.528064E7</v>
      </c>
      <c r="P3785" s="92">
        <v>1.3168739E7</v>
      </c>
      <c r="Q3785" s="89" t="s">
        <v>810</v>
      </c>
      <c r="AF3785" s="1"/>
      <c r="AG3785" s="1"/>
    </row>
    <row r="3786" ht="15.75" customHeight="1">
      <c r="A3786" s="1"/>
      <c r="B3786" s="1"/>
      <c r="C3786" s="1"/>
      <c r="D3786" s="1"/>
      <c r="E3786" s="1"/>
      <c r="F3786" s="1"/>
      <c r="G3786" s="1"/>
      <c r="H3786" s="1"/>
      <c r="I3786" s="1"/>
      <c r="J3786" s="1"/>
      <c r="K3786" s="89" t="s">
        <v>5809</v>
      </c>
      <c r="L3786" s="89" t="str">
        <f>G126</f>
        <v>C1b3a1c</v>
      </c>
      <c r="M3786" s="89"/>
      <c r="N3786" s="89"/>
      <c r="O3786" s="92">
        <v>1.5563907E7</v>
      </c>
      <c r="P3786" s="92">
        <v>1.3452027E7</v>
      </c>
      <c r="Q3786" s="89" t="s">
        <v>802</v>
      </c>
      <c r="AF3786" s="1"/>
      <c r="AG3786" s="1"/>
    </row>
    <row r="3787" ht="15.75" customHeight="1">
      <c r="A3787" s="1"/>
      <c r="B3787" s="1"/>
      <c r="C3787" s="1"/>
      <c r="D3787" s="1"/>
      <c r="E3787" s="1"/>
      <c r="F3787" s="1"/>
      <c r="G3787" s="1"/>
      <c r="H3787" s="1"/>
      <c r="I3787" s="1"/>
      <c r="J3787" s="1"/>
      <c r="K3787" s="89" t="s">
        <v>5810</v>
      </c>
      <c r="L3787" s="89" t="str">
        <f>G126</f>
        <v>C1b3a1c</v>
      </c>
      <c r="M3787" s="89"/>
      <c r="N3787" s="89"/>
      <c r="O3787" s="92">
        <v>1.5565142E7</v>
      </c>
      <c r="P3787" s="92">
        <v>1.3453262E7</v>
      </c>
      <c r="Q3787" s="89" t="s">
        <v>886</v>
      </c>
      <c r="AF3787" s="1"/>
      <c r="AG3787" s="1"/>
    </row>
    <row r="3788" ht="15.75" customHeight="1">
      <c r="A3788" s="1"/>
      <c r="B3788" s="1"/>
      <c r="C3788" s="1"/>
      <c r="D3788" s="1"/>
      <c r="E3788" s="1"/>
      <c r="F3788" s="1"/>
      <c r="G3788" s="1"/>
      <c r="H3788" s="1"/>
      <c r="I3788" s="1"/>
      <c r="J3788" s="1"/>
      <c r="K3788" s="89" t="s">
        <v>5811</v>
      </c>
      <c r="L3788" s="89" t="str">
        <f>G126</f>
        <v>C1b3a1c</v>
      </c>
      <c r="M3788" s="89"/>
      <c r="N3788" s="89"/>
      <c r="O3788" s="92">
        <v>1.5715122E7</v>
      </c>
      <c r="P3788" s="92">
        <v>1.3603242E7</v>
      </c>
      <c r="Q3788" s="89" t="s">
        <v>810</v>
      </c>
      <c r="AF3788" s="1"/>
      <c r="AG3788" s="1"/>
    </row>
    <row r="3789" ht="15.75" customHeight="1">
      <c r="A3789" s="1"/>
      <c r="B3789" s="1"/>
      <c r="C3789" s="1"/>
      <c r="D3789" s="1"/>
      <c r="E3789" s="1"/>
      <c r="F3789" s="1"/>
      <c r="G3789" s="1"/>
      <c r="H3789" s="1"/>
      <c r="I3789" s="1"/>
      <c r="J3789" s="1"/>
      <c r="K3789" s="89" t="s">
        <v>5812</v>
      </c>
      <c r="L3789" s="89" t="str">
        <f>G126</f>
        <v>C1b3a1c</v>
      </c>
      <c r="M3789" s="89"/>
      <c r="N3789" s="89"/>
      <c r="O3789" s="92">
        <v>1.573679E7</v>
      </c>
      <c r="P3789" s="92">
        <v>1.362491E7</v>
      </c>
      <c r="Q3789" s="89" t="s">
        <v>813</v>
      </c>
      <c r="AF3789" s="1"/>
      <c r="AG3789" s="1"/>
    </row>
    <row r="3790" ht="15.75" customHeight="1">
      <c r="A3790" s="1"/>
      <c r="B3790" s="1"/>
      <c r="C3790" s="1"/>
      <c r="D3790" s="1"/>
      <c r="E3790" s="1"/>
      <c r="F3790" s="1"/>
      <c r="G3790" s="1"/>
      <c r="H3790" s="1"/>
      <c r="I3790" s="1"/>
      <c r="J3790" s="1"/>
      <c r="K3790" s="89" t="s">
        <v>5813</v>
      </c>
      <c r="L3790" s="89" t="str">
        <f>G126</f>
        <v>C1b3a1c</v>
      </c>
      <c r="M3790" s="89"/>
      <c r="N3790" s="89"/>
      <c r="O3790" s="92">
        <v>1.5751022E7</v>
      </c>
      <c r="P3790" s="92">
        <v>1.3639142E7</v>
      </c>
      <c r="Q3790" s="89" t="s">
        <v>822</v>
      </c>
      <c r="AF3790" s="1"/>
      <c r="AG3790" s="1"/>
    </row>
    <row r="3791" ht="15.75" customHeight="1">
      <c r="A3791" s="1"/>
      <c r="B3791" s="1"/>
      <c r="C3791" s="1"/>
      <c r="D3791" s="1"/>
      <c r="E3791" s="1"/>
      <c r="F3791" s="1"/>
      <c r="G3791" s="1"/>
      <c r="H3791" s="1"/>
      <c r="I3791" s="1"/>
      <c r="J3791" s="1"/>
      <c r="K3791" s="89" t="s">
        <v>5814</v>
      </c>
      <c r="L3791" s="89" t="str">
        <f>G126</f>
        <v>C1b3a1c</v>
      </c>
      <c r="M3791" s="89"/>
      <c r="N3791" s="89"/>
      <c r="O3791" s="92">
        <v>1.5801625E7</v>
      </c>
      <c r="P3791" s="92">
        <v>1.3689745E7</v>
      </c>
      <c r="Q3791" s="89" t="s">
        <v>810</v>
      </c>
      <c r="AF3791" s="1"/>
      <c r="AG3791" s="1"/>
    </row>
    <row r="3792" ht="15.75" customHeight="1">
      <c r="A3792" s="1"/>
      <c r="B3792" s="1"/>
      <c r="C3792" s="1"/>
      <c r="D3792" s="1"/>
      <c r="E3792" s="1"/>
      <c r="F3792" s="1"/>
      <c r="G3792" s="1"/>
      <c r="H3792" s="1"/>
      <c r="I3792" s="1"/>
      <c r="J3792" s="1"/>
      <c r="K3792" s="89" t="s">
        <v>5815</v>
      </c>
      <c r="L3792" s="89" t="str">
        <f>G126</f>
        <v>C1b3a1c</v>
      </c>
      <c r="M3792" s="89"/>
      <c r="N3792" s="89"/>
      <c r="O3792" s="92">
        <v>1.5878574E7</v>
      </c>
      <c r="P3792" s="92">
        <v>1.3766694E7</v>
      </c>
      <c r="Q3792" s="89" t="s">
        <v>810</v>
      </c>
      <c r="AF3792" s="1"/>
      <c r="AG3792" s="1"/>
    </row>
    <row r="3793" ht="15.75" customHeight="1">
      <c r="A3793" s="1"/>
      <c r="B3793" s="1"/>
      <c r="C3793" s="1"/>
      <c r="D3793" s="1"/>
      <c r="E3793" s="1"/>
      <c r="F3793" s="1"/>
      <c r="G3793" s="1"/>
      <c r="H3793" s="1"/>
      <c r="I3793" s="1"/>
      <c r="J3793" s="1"/>
      <c r="K3793" s="89" t="s">
        <v>5816</v>
      </c>
      <c r="L3793" s="89" t="str">
        <f>G126</f>
        <v>C1b3a1c</v>
      </c>
      <c r="M3793" s="89"/>
      <c r="N3793" s="89"/>
      <c r="O3793" s="92">
        <v>1.5948212E7</v>
      </c>
      <c r="P3793" s="92">
        <v>1.3836332E7</v>
      </c>
      <c r="Q3793" s="89" t="s">
        <v>802</v>
      </c>
      <c r="AF3793" s="1"/>
      <c r="AG3793" s="1"/>
    </row>
    <row r="3794" ht="15.75" customHeight="1">
      <c r="A3794" s="1"/>
      <c r="B3794" s="1"/>
      <c r="C3794" s="1"/>
      <c r="D3794" s="1"/>
      <c r="E3794" s="1"/>
      <c r="F3794" s="1"/>
      <c r="G3794" s="1"/>
      <c r="H3794" s="1"/>
      <c r="I3794" s="1"/>
      <c r="J3794" s="1"/>
      <c r="K3794" s="89" t="s">
        <v>5817</v>
      </c>
      <c r="L3794" s="89" t="str">
        <f>G126</f>
        <v>C1b3a1c</v>
      </c>
      <c r="M3794" s="89"/>
      <c r="N3794" s="89"/>
      <c r="O3794" s="92">
        <v>1.5950621E7</v>
      </c>
      <c r="P3794" s="92">
        <v>1.3838741E7</v>
      </c>
      <c r="Q3794" s="89" t="s">
        <v>912</v>
      </c>
      <c r="AF3794" s="1"/>
      <c r="AG3794" s="1"/>
    </row>
    <row r="3795" ht="15.75" customHeight="1">
      <c r="A3795" s="1"/>
      <c r="B3795" s="1"/>
      <c r="C3795" s="1"/>
      <c r="D3795" s="1"/>
      <c r="E3795" s="1"/>
      <c r="F3795" s="1"/>
      <c r="G3795" s="1"/>
      <c r="H3795" s="1"/>
      <c r="I3795" s="1"/>
      <c r="J3795" s="1"/>
      <c r="K3795" s="89" t="s">
        <v>5818</v>
      </c>
      <c r="L3795" s="89" t="str">
        <f>G126</f>
        <v>C1b3a1c</v>
      </c>
      <c r="M3795" s="89"/>
      <c r="N3795" s="89"/>
      <c r="O3795" s="92">
        <v>1.6055163E7</v>
      </c>
      <c r="P3795" s="92">
        <v>1.3943283E7</v>
      </c>
      <c r="Q3795" s="89" t="s">
        <v>879</v>
      </c>
      <c r="AF3795" s="1"/>
      <c r="AG3795" s="1"/>
    </row>
    <row r="3796" ht="15.75" customHeight="1">
      <c r="A3796" s="1"/>
      <c r="B3796" s="1"/>
      <c r="C3796" s="1"/>
      <c r="D3796" s="1"/>
      <c r="E3796" s="1"/>
      <c r="F3796" s="1"/>
      <c r="G3796" s="1"/>
      <c r="H3796" s="1"/>
      <c r="I3796" s="1"/>
      <c r="J3796" s="1"/>
      <c r="K3796" s="89" t="s">
        <v>5819</v>
      </c>
      <c r="L3796" s="89" t="str">
        <f>G126</f>
        <v>C1b3a1c</v>
      </c>
      <c r="M3796" s="89"/>
      <c r="N3796" s="89"/>
      <c r="O3796" s="92">
        <v>1.620123E7</v>
      </c>
      <c r="P3796" s="92">
        <v>1.408935E7</v>
      </c>
      <c r="Q3796" s="89" t="s">
        <v>822</v>
      </c>
      <c r="AF3796" s="1"/>
      <c r="AG3796" s="1"/>
    </row>
    <row r="3797" ht="15.75" customHeight="1">
      <c r="A3797" s="1"/>
      <c r="B3797" s="1"/>
      <c r="C3797" s="1"/>
      <c r="D3797" s="1"/>
      <c r="E3797" s="1"/>
      <c r="F3797" s="1"/>
      <c r="G3797" s="1"/>
      <c r="H3797" s="1"/>
      <c r="I3797" s="1"/>
      <c r="J3797" s="1"/>
      <c r="K3797" s="89" t="s">
        <v>5820</v>
      </c>
      <c r="L3797" s="89" t="str">
        <f>G126</f>
        <v>C1b3a1c</v>
      </c>
      <c r="M3797" s="89"/>
      <c r="N3797" s="89"/>
      <c r="O3797" s="92">
        <v>1.6420047E7</v>
      </c>
      <c r="P3797" s="92">
        <v>1.4308167E7</v>
      </c>
      <c r="Q3797" s="89" t="s">
        <v>912</v>
      </c>
      <c r="AF3797" s="1"/>
      <c r="AG3797" s="1"/>
    </row>
    <row r="3798" ht="15.75" customHeight="1">
      <c r="A3798" s="1"/>
      <c r="B3798" s="1"/>
      <c r="C3798" s="1"/>
      <c r="D3798" s="1"/>
      <c r="E3798" s="1"/>
      <c r="F3798" s="1"/>
      <c r="G3798" s="1"/>
      <c r="H3798" s="1"/>
      <c r="I3798" s="1"/>
      <c r="J3798" s="1"/>
      <c r="K3798" s="89" t="s">
        <v>5821</v>
      </c>
      <c r="L3798" s="89" t="str">
        <f>G126</f>
        <v>C1b3a1c</v>
      </c>
      <c r="M3798" s="89"/>
      <c r="N3798" s="89"/>
      <c r="O3798" s="92">
        <v>1.7116314E7</v>
      </c>
      <c r="P3798" s="92">
        <v>1.5004434E7</v>
      </c>
      <c r="Q3798" s="89" t="s">
        <v>802</v>
      </c>
      <c r="AF3798" s="1"/>
      <c r="AG3798" s="1"/>
    </row>
    <row r="3799" ht="15.75" customHeight="1">
      <c r="A3799" s="1"/>
      <c r="B3799" s="1"/>
      <c r="C3799" s="1"/>
      <c r="D3799" s="1"/>
      <c r="E3799" s="1"/>
      <c r="F3799" s="1"/>
      <c r="G3799" s="1"/>
      <c r="H3799" s="1"/>
      <c r="I3799" s="1"/>
      <c r="J3799" s="1"/>
      <c r="K3799" s="89" t="s">
        <v>5822</v>
      </c>
      <c r="L3799" s="89" t="str">
        <f>G126</f>
        <v>C1b3a1c</v>
      </c>
      <c r="M3799" s="89"/>
      <c r="N3799" s="89"/>
      <c r="O3799" s="92">
        <v>1.7150437E7</v>
      </c>
      <c r="P3799" s="92">
        <v>1.5038557E7</v>
      </c>
      <c r="Q3799" s="89" t="s">
        <v>838</v>
      </c>
      <c r="AF3799" s="1"/>
      <c r="AG3799" s="1"/>
    </row>
    <row r="3800" ht="15.75" customHeight="1">
      <c r="A3800" s="1"/>
      <c r="B3800" s="1"/>
      <c r="C3800" s="1"/>
      <c r="D3800" s="1"/>
      <c r="E3800" s="1"/>
      <c r="F3800" s="1"/>
      <c r="G3800" s="1"/>
      <c r="H3800" s="1"/>
      <c r="I3800" s="1"/>
      <c r="J3800" s="1"/>
      <c r="K3800" s="89" t="s">
        <v>5823</v>
      </c>
      <c r="L3800" s="89" t="str">
        <f>G126</f>
        <v>C1b3a1c</v>
      </c>
      <c r="M3800" s="89"/>
      <c r="N3800" s="89"/>
      <c r="O3800" s="92">
        <v>1.7596142E7</v>
      </c>
      <c r="P3800" s="92">
        <v>1.5484262E7</v>
      </c>
      <c r="Q3800" s="89" t="s">
        <v>864</v>
      </c>
      <c r="AF3800" s="1"/>
      <c r="AG3800" s="1"/>
    </row>
    <row r="3801" ht="15.75" customHeight="1">
      <c r="A3801" s="1"/>
      <c r="B3801" s="1"/>
      <c r="C3801" s="1"/>
      <c r="D3801" s="1"/>
      <c r="E3801" s="1"/>
      <c r="F3801" s="1"/>
      <c r="G3801" s="1"/>
      <c r="H3801" s="1"/>
      <c r="I3801" s="1"/>
      <c r="J3801" s="1"/>
      <c r="K3801" s="89" t="s">
        <v>5824</v>
      </c>
      <c r="L3801" s="89" t="str">
        <f>G126</f>
        <v>C1b3a1c</v>
      </c>
      <c r="M3801" s="89"/>
      <c r="N3801" s="89"/>
      <c r="O3801" s="92">
        <v>1.7886266E7</v>
      </c>
      <c r="P3801" s="92">
        <v>1.5774386E7</v>
      </c>
      <c r="Q3801" s="89" t="s">
        <v>822</v>
      </c>
      <c r="AF3801" s="1"/>
      <c r="AG3801" s="1"/>
    </row>
    <row r="3802" ht="15.75" customHeight="1">
      <c r="A3802" s="1"/>
      <c r="B3802" s="1"/>
      <c r="C3802" s="1"/>
      <c r="D3802" s="1"/>
      <c r="E3802" s="1"/>
      <c r="F3802" s="1"/>
      <c r="G3802" s="1"/>
      <c r="H3802" s="1"/>
      <c r="I3802" s="1"/>
      <c r="J3802" s="1"/>
      <c r="K3802" s="89" t="s">
        <v>5825</v>
      </c>
      <c r="L3802" s="89" t="str">
        <f>G126</f>
        <v>C1b3a1c</v>
      </c>
      <c r="M3802" s="89"/>
      <c r="N3802" s="89"/>
      <c r="O3802" s="92">
        <v>1.7886425E7</v>
      </c>
      <c r="P3802" s="92">
        <v>1.5774545E7</v>
      </c>
      <c r="Q3802" s="89" t="s">
        <v>879</v>
      </c>
      <c r="AF3802" s="1"/>
      <c r="AG3802" s="1"/>
    </row>
    <row r="3803" ht="15.75" customHeight="1">
      <c r="A3803" s="1"/>
      <c r="B3803" s="1"/>
      <c r="C3803" s="1"/>
      <c r="D3803" s="1"/>
      <c r="E3803" s="1"/>
      <c r="F3803" s="1"/>
      <c r="G3803" s="1"/>
      <c r="H3803" s="1"/>
      <c r="I3803" s="1"/>
      <c r="J3803" s="1"/>
      <c r="K3803" s="89" t="s">
        <v>5826</v>
      </c>
      <c r="L3803" s="89" t="str">
        <f>G126</f>
        <v>C1b3a1c</v>
      </c>
      <c r="M3803" s="89"/>
      <c r="N3803" s="89"/>
      <c r="O3803" s="92">
        <v>1.7890437E7</v>
      </c>
      <c r="P3803" s="92">
        <v>1.5778557E7</v>
      </c>
      <c r="Q3803" s="89" t="s">
        <v>912</v>
      </c>
      <c r="AF3803" s="1"/>
      <c r="AG3803" s="1"/>
    </row>
    <row r="3804" ht="15.75" customHeight="1">
      <c r="A3804" s="1"/>
      <c r="B3804" s="1"/>
      <c r="C3804" s="1"/>
      <c r="D3804" s="1"/>
      <c r="E3804" s="1"/>
      <c r="F3804" s="1"/>
      <c r="G3804" s="1"/>
      <c r="H3804" s="1"/>
      <c r="I3804" s="1"/>
      <c r="J3804" s="1"/>
      <c r="K3804" s="89" t="s">
        <v>5827</v>
      </c>
      <c r="L3804" s="89" t="str">
        <f>G126</f>
        <v>C1b3a1c</v>
      </c>
      <c r="M3804" s="89"/>
      <c r="N3804" s="89"/>
      <c r="O3804" s="92">
        <v>1.7915251E7</v>
      </c>
      <c r="P3804" s="92">
        <v>1.5803371E7</v>
      </c>
      <c r="Q3804" s="89" t="s">
        <v>802</v>
      </c>
      <c r="AF3804" s="1"/>
      <c r="AG3804" s="1"/>
    </row>
    <row r="3805" ht="15.75" customHeight="1">
      <c r="A3805" s="1"/>
      <c r="B3805" s="1"/>
      <c r="C3805" s="1"/>
      <c r="D3805" s="1"/>
      <c r="E3805" s="1"/>
      <c r="F3805" s="1"/>
      <c r="G3805" s="1"/>
      <c r="H3805" s="1"/>
      <c r="I3805" s="1"/>
      <c r="J3805" s="1"/>
      <c r="K3805" s="89" t="s">
        <v>5828</v>
      </c>
      <c r="L3805" s="89" t="str">
        <f>G126</f>
        <v>C1b3a1c</v>
      </c>
      <c r="M3805" s="89"/>
      <c r="N3805" s="89"/>
      <c r="O3805" s="92">
        <v>1.8118082E7</v>
      </c>
      <c r="P3805" s="92">
        <v>1.6006202E7</v>
      </c>
      <c r="Q3805" s="89" t="s">
        <v>822</v>
      </c>
      <c r="AF3805" s="1"/>
      <c r="AG3805" s="1"/>
    </row>
    <row r="3806" ht="15.75" customHeight="1">
      <c r="A3806" s="1"/>
      <c r="B3806" s="1"/>
      <c r="C3806" s="1"/>
      <c r="D3806" s="1"/>
      <c r="E3806" s="1"/>
      <c r="F3806" s="1"/>
      <c r="G3806" s="1"/>
      <c r="H3806" s="1"/>
      <c r="I3806" s="1"/>
      <c r="J3806" s="1"/>
      <c r="K3806" s="89" t="s">
        <v>5829</v>
      </c>
      <c r="L3806" s="89" t="str">
        <f>G126</f>
        <v>C1b3a1c</v>
      </c>
      <c r="M3806" s="89"/>
      <c r="N3806" s="89"/>
      <c r="O3806" s="92">
        <v>1.8158068E7</v>
      </c>
      <c r="P3806" s="92">
        <v>1.6046188E7</v>
      </c>
      <c r="Q3806" s="89" t="s">
        <v>917</v>
      </c>
      <c r="AF3806" s="1"/>
      <c r="AG3806" s="1"/>
    </row>
    <row r="3807" ht="15.75" customHeight="1">
      <c r="A3807" s="1"/>
      <c r="B3807" s="1"/>
      <c r="C3807" s="1"/>
      <c r="D3807" s="1"/>
      <c r="E3807" s="1"/>
      <c r="F3807" s="1"/>
      <c r="G3807" s="1"/>
      <c r="H3807" s="1"/>
      <c r="I3807" s="1"/>
      <c r="J3807" s="1"/>
      <c r="K3807" s="89" t="s">
        <v>5830</v>
      </c>
      <c r="L3807" s="89" t="str">
        <f>G126</f>
        <v>C1b3a1c</v>
      </c>
      <c r="M3807" s="89"/>
      <c r="N3807" s="89"/>
      <c r="O3807" s="92">
        <v>1.8756069E7</v>
      </c>
      <c r="P3807" s="92">
        <v>1.6644189E7</v>
      </c>
      <c r="Q3807" s="89" t="s">
        <v>802</v>
      </c>
      <c r="AF3807" s="1"/>
      <c r="AG3807" s="1"/>
    </row>
    <row r="3808" ht="15.75" customHeight="1">
      <c r="A3808" s="1"/>
      <c r="B3808" s="1"/>
      <c r="C3808" s="1"/>
      <c r="D3808" s="1"/>
      <c r="E3808" s="1"/>
      <c r="F3808" s="1"/>
      <c r="G3808" s="1"/>
      <c r="H3808" s="1"/>
      <c r="I3808" s="1"/>
      <c r="J3808" s="1"/>
      <c r="K3808" s="89" t="s">
        <v>5831</v>
      </c>
      <c r="L3808" s="89" t="str">
        <f>G126</f>
        <v>C1b3a1c</v>
      </c>
      <c r="M3808" s="89"/>
      <c r="N3808" s="89"/>
      <c r="O3808" s="92">
        <v>1.9130653E7</v>
      </c>
      <c r="P3808" s="92">
        <v>1.7018773E7</v>
      </c>
      <c r="Q3808" s="89" t="s">
        <v>802</v>
      </c>
      <c r="AF3808" s="1"/>
      <c r="AG3808" s="1"/>
    </row>
    <row r="3809" ht="15.75" customHeight="1">
      <c r="A3809" s="1"/>
      <c r="B3809" s="1"/>
      <c r="C3809" s="1"/>
      <c r="D3809" s="1"/>
      <c r="E3809" s="1"/>
      <c r="F3809" s="1"/>
      <c r="G3809" s="1"/>
      <c r="H3809" s="1"/>
      <c r="I3809" s="1"/>
      <c r="J3809" s="1"/>
      <c r="K3809" s="89" t="s">
        <v>5832</v>
      </c>
      <c r="L3809" s="89" t="str">
        <f>G126</f>
        <v>C1b3a1c</v>
      </c>
      <c r="M3809" s="89"/>
      <c r="N3809" s="89"/>
      <c r="O3809" s="92">
        <v>1.9166478E7</v>
      </c>
      <c r="P3809" s="92">
        <v>1.7054598E7</v>
      </c>
      <c r="Q3809" s="89" t="s">
        <v>912</v>
      </c>
      <c r="AF3809" s="1"/>
      <c r="AG3809" s="1"/>
    </row>
    <row r="3810" ht="15.75" customHeight="1">
      <c r="A3810" s="1"/>
      <c r="B3810" s="1"/>
      <c r="C3810" s="1"/>
      <c r="D3810" s="1"/>
      <c r="E3810" s="1"/>
      <c r="F3810" s="1"/>
      <c r="G3810" s="1"/>
      <c r="H3810" s="1"/>
      <c r="I3810" s="1"/>
      <c r="J3810" s="1"/>
      <c r="K3810" s="89" t="s">
        <v>5833</v>
      </c>
      <c r="L3810" s="89" t="str">
        <f>G126</f>
        <v>C1b3a1c</v>
      </c>
      <c r="M3810" s="89"/>
      <c r="N3810" s="89"/>
      <c r="O3810" s="92">
        <v>1.9190382E7</v>
      </c>
      <c r="P3810" s="92">
        <v>1.7078502E7</v>
      </c>
      <c r="Q3810" s="89" t="s">
        <v>802</v>
      </c>
      <c r="AF3810" s="1"/>
      <c r="AG3810" s="1"/>
    </row>
    <row r="3811" ht="15.75" customHeight="1">
      <c r="A3811" s="1"/>
      <c r="B3811" s="1"/>
      <c r="C3811" s="1"/>
      <c r="D3811" s="1"/>
      <c r="E3811" s="1"/>
      <c r="F3811" s="1"/>
      <c r="G3811" s="1"/>
      <c r="H3811" s="1"/>
      <c r="I3811" s="1"/>
      <c r="J3811" s="1"/>
      <c r="K3811" s="89" t="s">
        <v>5834</v>
      </c>
      <c r="L3811" s="89" t="str">
        <f>G126</f>
        <v>C1b3a1c</v>
      </c>
      <c r="M3811" s="89"/>
      <c r="N3811" s="89"/>
      <c r="O3811" s="92">
        <v>1.9332336E7</v>
      </c>
      <c r="P3811" s="92">
        <v>1.7220456E7</v>
      </c>
      <c r="Q3811" s="89" t="s">
        <v>822</v>
      </c>
      <c r="AF3811" s="1"/>
      <c r="AG3811" s="1"/>
    </row>
    <row r="3812" ht="15.75" customHeight="1">
      <c r="A3812" s="1"/>
      <c r="B3812" s="1"/>
      <c r="C3812" s="1"/>
      <c r="D3812" s="1"/>
      <c r="E3812" s="1"/>
      <c r="F3812" s="1"/>
      <c r="G3812" s="1"/>
      <c r="H3812" s="1"/>
      <c r="I3812" s="1"/>
      <c r="J3812" s="1"/>
      <c r="K3812" s="89" t="s">
        <v>5835</v>
      </c>
      <c r="L3812" s="89" t="str">
        <f>G126</f>
        <v>C1b3a1c</v>
      </c>
      <c r="M3812" s="89"/>
      <c r="N3812" s="89"/>
      <c r="O3812" s="92">
        <v>1.9367699E7</v>
      </c>
      <c r="P3812" s="92">
        <v>1.7255819E7</v>
      </c>
      <c r="Q3812" s="89" t="s">
        <v>838</v>
      </c>
      <c r="AF3812" s="1"/>
      <c r="AG3812" s="1"/>
    </row>
    <row r="3813" ht="15.75" customHeight="1">
      <c r="A3813" s="1"/>
      <c r="B3813" s="1"/>
      <c r="C3813" s="1"/>
      <c r="D3813" s="1"/>
      <c r="E3813" s="1"/>
      <c r="F3813" s="1"/>
      <c r="G3813" s="1"/>
      <c r="H3813" s="1"/>
      <c r="I3813" s="1"/>
      <c r="J3813" s="1"/>
      <c r="K3813" s="89" t="s">
        <v>5836</v>
      </c>
      <c r="L3813" s="89" t="str">
        <f>G126</f>
        <v>C1b3a1c</v>
      </c>
      <c r="M3813" s="89"/>
      <c r="N3813" s="89"/>
      <c r="O3813" s="92">
        <v>2.1074247E7</v>
      </c>
      <c r="P3813" s="92">
        <v>1.8912361E7</v>
      </c>
      <c r="Q3813" s="89" t="s">
        <v>802</v>
      </c>
      <c r="AF3813" s="1"/>
      <c r="AG3813" s="1"/>
    </row>
    <row r="3814" ht="15.75" customHeight="1">
      <c r="A3814" s="1"/>
      <c r="B3814" s="1"/>
      <c r="C3814" s="1"/>
      <c r="D3814" s="1"/>
      <c r="E3814" s="1"/>
      <c r="F3814" s="1"/>
      <c r="G3814" s="1"/>
      <c r="H3814" s="1"/>
      <c r="I3814" s="1"/>
      <c r="J3814" s="1"/>
      <c r="K3814" s="89" t="s">
        <v>5837</v>
      </c>
      <c r="L3814" s="89" t="str">
        <f>G126</f>
        <v>C1b3a1c</v>
      </c>
      <c r="M3814" s="89"/>
      <c r="N3814" s="89"/>
      <c r="O3814" s="92">
        <v>2.1344476E7</v>
      </c>
      <c r="P3814" s="92">
        <v>1.918259E7</v>
      </c>
      <c r="Q3814" s="89" t="s">
        <v>917</v>
      </c>
      <c r="AF3814" s="1"/>
      <c r="AG3814" s="1"/>
    </row>
    <row r="3815" ht="15.75" customHeight="1">
      <c r="A3815" s="1"/>
      <c r="B3815" s="1"/>
      <c r="C3815" s="1"/>
      <c r="D3815" s="1"/>
      <c r="E3815" s="1"/>
      <c r="F3815" s="1"/>
      <c r="G3815" s="1"/>
      <c r="H3815" s="1"/>
      <c r="I3815" s="1"/>
      <c r="J3815" s="1"/>
      <c r="K3815" s="89" t="s">
        <v>5838</v>
      </c>
      <c r="L3815" s="89" t="str">
        <f>G126</f>
        <v>C1b3a1c</v>
      </c>
      <c r="M3815" s="89"/>
      <c r="N3815" s="89"/>
      <c r="O3815" s="92">
        <v>2.1407721E7</v>
      </c>
      <c r="P3815" s="92">
        <v>1.9245835E7</v>
      </c>
      <c r="Q3815" s="89" t="s">
        <v>813</v>
      </c>
      <c r="AF3815" s="1"/>
      <c r="AG3815" s="1"/>
    </row>
    <row r="3816" ht="15.75" customHeight="1">
      <c r="A3816" s="1"/>
      <c r="B3816" s="1"/>
      <c r="C3816" s="1"/>
      <c r="D3816" s="1"/>
      <c r="E3816" s="1"/>
      <c r="F3816" s="1"/>
      <c r="G3816" s="1"/>
      <c r="H3816" s="1"/>
      <c r="I3816" s="1"/>
      <c r="J3816" s="1"/>
      <c r="K3816" s="89" t="s">
        <v>5839</v>
      </c>
      <c r="L3816" s="89" t="str">
        <f>G126</f>
        <v>C1b3a1c</v>
      </c>
      <c r="M3816" s="89"/>
      <c r="N3816" s="89"/>
      <c r="O3816" s="92">
        <v>2.1457565E7</v>
      </c>
      <c r="P3816" s="92">
        <v>1.9295679E7</v>
      </c>
      <c r="Q3816" s="89" t="s">
        <v>813</v>
      </c>
      <c r="AF3816" s="1"/>
      <c r="AG3816" s="1"/>
    </row>
    <row r="3817" ht="15.75" customHeight="1">
      <c r="A3817" s="1"/>
      <c r="B3817" s="1"/>
      <c r="C3817" s="1"/>
      <c r="D3817" s="1"/>
      <c r="E3817" s="1"/>
      <c r="F3817" s="1"/>
      <c r="G3817" s="1"/>
      <c r="H3817" s="1"/>
      <c r="I3817" s="1"/>
      <c r="J3817" s="1"/>
      <c r="K3817" s="89" t="s">
        <v>5840</v>
      </c>
      <c r="L3817" s="89" t="str">
        <f>G126</f>
        <v>C1b3a1c</v>
      </c>
      <c r="M3817" s="89"/>
      <c r="N3817" s="89"/>
      <c r="O3817" s="92">
        <v>2.1797959E7</v>
      </c>
      <c r="P3817" s="92">
        <v>1.9636073E7</v>
      </c>
      <c r="Q3817" s="89" t="s">
        <v>838</v>
      </c>
      <c r="AF3817" s="1"/>
      <c r="AG3817" s="1"/>
    </row>
    <row r="3818" ht="15.75" customHeight="1">
      <c r="A3818" s="1"/>
      <c r="B3818" s="1"/>
      <c r="C3818" s="1"/>
      <c r="D3818" s="1"/>
      <c r="E3818" s="1"/>
      <c r="F3818" s="1"/>
      <c r="G3818" s="1"/>
      <c r="H3818" s="1"/>
      <c r="I3818" s="1"/>
      <c r="J3818" s="1"/>
      <c r="K3818" s="89" t="s">
        <v>5841</v>
      </c>
      <c r="L3818" s="89" t="str">
        <f>G126</f>
        <v>C1b3a1c</v>
      </c>
      <c r="M3818" s="89"/>
      <c r="N3818" s="89"/>
      <c r="O3818" s="92">
        <v>2.1837786E7</v>
      </c>
      <c r="P3818" s="92">
        <v>1.96759E7</v>
      </c>
      <c r="Q3818" s="89" t="s">
        <v>802</v>
      </c>
      <c r="AF3818" s="1"/>
      <c r="AG3818" s="1"/>
    </row>
    <row r="3819" ht="15.75" customHeight="1">
      <c r="A3819" s="1"/>
      <c r="B3819" s="1"/>
      <c r="C3819" s="1"/>
      <c r="D3819" s="1"/>
      <c r="E3819" s="1"/>
      <c r="F3819" s="1"/>
      <c r="G3819" s="1"/>
      <c r="H3819" s="1"/>
      <c r="I3819" s="1"/>
      <c r="J3819" s="1"/>
      <c r="K3819" s="89" t="s">
        <v>5842</v>
      </c>
      <c r="L3819" s="89" t="str">
        <f>G126</f>
        <v>C1b3a1c</v>
      </c>
      <c r="M3819" s="89"/>
      <c r="N3819" s="89"/>
      <c r="O3819" s="92">
        <v>2.1906756E7</v>
      </c>
      <c r="P3819" s="92">
        <v>1.974487E7</v>
      </c>
      <c r="Q3819" s="89" t="s">
        <v>822</v>
      </c>
      <c r="AF3819" s="1"/>
      <c r="AG3819" s="1"/>
    </row>
    <row r="3820" ht="15.75" customHeight="1">
      <c r="A3820" s="1"/>
      <c r="B3820" s="1"/>
      <c r="C3820" s="1"/>
      <c r="D3820" s="1"/>
      <c r="E3820" s="1"/>
      <c r="F3820" s="1"/>
      <c r="G3820" s="1"/>
      <c r="H3820" s="1"/>
      <c r="I3820" s="1"/>
      <c r="J3820" s="1"/>
      <c r="K3820" s="89" t="s">
        <v>5843</v>
      </c>
      <c r="L3820" s="89" t="str">
        <f>G126</f>
        <v>C1b3a1c</v>
      </c>
      <c r="M3820" s="89"/>
      <c r="N3820" s="89"/>
      <c r="O3820" s="92">
        <v>2.1997677E7</v>
      </c>
      <c r="P3820" s="92">
        <v>1.9835791E7</v>
      </c>
      <c r="Q3820" s="89" t="s">
        <v>810</v>
      </c>
      <c r="AF3820" s="1"/>
      <c r="AG3820" s="1"/>
    </row>
    <row r="3821" ht="15.75" customHeight="1">
      <c r="A3821" s="1"/>
      <c r="B3821" s="1"/>
      <c r="C3821" s="1"/>
      <c r="D3821" s="1"/>
      <c r="E3821" s="1"/>
      <c r="F3821" s="1"/>
      <c r="G3821" s="1"/>
      <c r="H3821" s="1"/>
      <c r="I3821" s="1"/>
      <c r="J3821" s="1"/>
      <c r="K3821" s="89" t="s">
        <v>5844</v>
      </c>
      <c r="L3821" s="89" t="str">
        <f>G126</f>
        <v>C1b3a1c</v>
      </c>
      <c r="M3821" s="89"/>
      <c r="N3821" s="89"/>
      <c r="O3821" s="92">
        <v>2.2081003E7</v>
      </c>
      <c r="P3821" s="92">
        <v>1.9919117E7</v>
      </c>
      <c r="Q3821" s="89" t="s">
        <v>802</v>
      </c>
      <c r="AF3821" s="1"/>
      <c r="AG3821" s="1"/>
    </row>
    <row r="3822" ht="15.75" customHeight="1">
      <c r="A3822" s="1"/>
      <c r="B3822" s="1"/>
      <c r="C3822" s="1"/>
      <c r="D3822" s="1"/>
      <c r="E3822" s="1"/>
      <c r="F3822" s="1"/>
      <c r="G3822" s="1"/>
      <c r="H3822" s="1"/>
      <c r="I3822" s="1"/>
      <c r="J3822" s="1"/>
      <c r="K3822" s="89" t="s">
        <v>5845</v>
      </c>
      <c r="L3822" s="89" t="str">
        <f>G126</f>
        <v>C1b3a1c</v>
      </c>
      <c r="M3822" s="89"/>
      <c r="N3822" s="89"/>
      <c r="O3822" s="92">
        <v>2.2163451E7</v>
      </c>
      <c r="P3822" s="92">
        <v>2.0001565E7</v>
      </c>
      <c r="Q3822" s="89" t="s">
        <v>822</v>
      </c>
      <c r="AF3822" s="1"/>
      <c r="AG3822" s="1"/>
    </row>
    <row r="3823" ht="15.75" customHeight="1">
      <c r="A3823" s="1"/>
      <c r="B3823" s="1"/>
      <c r="C3823" s="1"/>
      <c r="D3823" s="1"/>
      <c r="E3823" s="1"/>
      <c r="F3823" s="1"/>
      <c r="G3823" s="1"/>
      <c r="H3823" s="1"/>
      <c r="I3823" s="1"/>
      <c r="J3823" s="1"/>
      <c r="K3823" s="89" t="s">
        <v>5846</v>
      </c>
      <c r="L3823" s="89" t="str">
        <f>G126</f>
        <v>C1b3a1c</v>
      </c>
      <c r="M3823" s="89"/>
      <c r="N3823" s="89"/>
      <c r="O3823" s="92">
        <v>2.2602371E7</v>
      </c>
      <c r="P3823" s="92">
        <v>2.0440485E7</v>
      </c>
      <c r="Q3823" s="89" t="s">
        <v>845</v>
      </c>
      <c r="AF3823" s="1"/>
      <c r="AG3823" s="1"/>
    </row>
    <row r="3824" ht="15.75" customHeight="1">
      <c r="A3824" s="1"/>
      <c r="B3824" s="1"/>
      <c r="C3824" s="1"/>
      <c r="D3824" s="1"/>
      <c r="E3824" s="1"/>
      <c r="F3824" s="1"/>
      <c r="G3824" s="1"/>
      <c r="H3824" s="1"/>
      <c r="I3824" s="1"/>
      <c r="J3824" s="1"/>
      <c r="K3824" s="89" t="s">
        <v>5847</v>
      </c>
      <c r="L3824" s="89" t="str">
        <f>G126</f>
        <v>C1b3a1c</v>
      </c>
      <c r="M3824" s="89"/>
      <c r="N3824" s="89"/>
      <c r="O3824" s="92">
        <v>2.2638298E7</v>
      </c>
      <c r="P3824" s="92">
        <v>2.0476412E7</v>
      </c>
      <c r="Q3824" s="89" t="s">
        <v>802</v>
      </c>
      <c r="AF3824" s="1"/>
      <c r="AG3824" s="1"/>
    </row>
    <row r="3825" ht="15.75" customHeight="1">
      <c r="A3825" s="1"/>
      <c r="B3825" s="1"/>
      <c r="C3825" s="1"/>
      <c r="D3825" s="1"/>
      <c r="E3825" s="1"/>
      <c r="F3825" s="1"/>
      <c r="G3825" s="1"/>
      <c r="H3825" s="1"/>
      <c r="I3825" s="1"/>
      <c r="J3825" s="1"/>
      <c r="K3825" s="89" t="s">
        <v>5848</v>
      </c>
      <c r="L3825" s="89" t="str">
        <f>G126</f>
        <v>C1b3a1c</v>
      </c>
      <c r="M3825" s="89"/>
      <c r="N3825" s="89"/>
      <c r="O3825" s="92">
        <v>2.2740884E7</v>
      </c>
      <c r="P3825" s="92">
        <v>2.0578998E7</v>
      </c>
      <c r="Q3825" s="89" t="s">
        <v>802</v>
      </c>
      <c r="AF3825" s="1"/>
      <c r="AG3825" s="1"/>
    </row>
    <row r="3826" ht="15.75" customHeight="1">
      <c r="A3826" s="1"/>
      <c r="B3826" s="1"/>
      <c r="C3826" s="1"/>
      <c r="D3826" s="1"/>
      <c r="E3826" s="1"/>
      <c r="F3826" s="1"/>
      <c r="G3826" s="1"/>
      <c r="H3826" s="1"/>
      <c r="I3826" s="1"/>
      <c r="J3826" s="1"/>
      <c r="K3826" s="89" t="s">
        <v>5849</v>
      </c>
      <c r="L3826" s="89" t="str">
        <f>G126</f>
        <v>C1b3a1c</v>
      </c>
      <c r="M3826" s="89"/>
      <c r="N3826" s="89"/>
      <c r="O3826" s="92">
        <v>2.2858763E7</v>
      </c>
      <c r="P3826" s="92">
        <v>2.0696877E7</v>
      </c>
      <c r="Q3826" s="89" t="s">
        <v>831</v>
      </c>
      <c r="AF3826" s="1"/>
      <c r="AG3826" s="1"/>
    </row>
    <row r="3827" ht="15.75" customHeight="1">
      <c r="A3827" s="1"/>
      <c r="B3827" s="1"/>
      <c r="C3827" s="1"/>
      <c r="D3827" s="1"/>
      <c r="E3827" s="1"/>
      <c r="F3827" s="1"/>
      <c r="G3827" s="1"/>
      <c r="H3827" s="1"/>
      <c r="I3827" s="1"/>
      <c r="J3827" s="1"/>
      <c r="K3827" s="89" t="s">
        <v>5850</v>
      </c>
      <c r="L3827" s="89" t="str">
        <f>G126</f>
        <v>C1b3a1c</v>
      </c>
      <c r="M3827" s="89"/>
      <c r="N3827" s="89"/>
      <c r="O3827" s="92">
        <v>2.2912693E7</v>
      </c>
      <c r="P3827" s="92">
        <v>2.0750807E7</v>
      </c>
      <c r="Q3827" s="89" t="s">
        <v>810</v>
      </c>
      <c r="AF3827" s="1"/>
      <c r="AG3827" s="1"/>
    </row>
    <row r="3828" ht="15.75" customHeight="1">
      <c r="A3828" s="1"/>
      <c r="B3828" s="1"/>
      <c r="C3828" s="1"/>
      <c r="D3828" s="1"/>
      <c r="E3828" s="1"/>
      <c r="F3828" s="1"/>
      <c r="G3828" s="1"/>
      <c r="H3828" s="1"/>
      <c r="I3828" s="1"/>
      <c r="J3828" s="1"/>
      <c r="K3828" s="89" t="s">
        <v>5851</v>
      </c>
      <c r="L3828" s="89" t="str">
        <f>G126</f>
        <v>C1b3a1c</v>
      </c>
      <c r="M3828" s="89"/>
      <c r="N3828" s="89"/>
      <c r="O3828" s="92">
        <v>2.2974038E7</v>
      </c>
      <c r="P3828" s="92">
        <v>2.0812152E7</v>
      </c>
      <c r="Q3828" s="89" t="s">
        <v>838</v>
      </c>
      <c r="AF3828" s="1"/>
      <c r="AG3828" s="1"/>
    </row>
    <row r="3829" ht="15.75" customHeight="1">
      <c r="A3829" s="1"/>
      <c r="B3829" s="1"/>
      <c r="C3829" s="1"/>
      <c r="D3829" s="1"/>
      <c r="E3829" s="1"/>
      <c r="F3829" s="1"/>
      <c r="G3829" s="1"/>
      <c r="H3829" s="1"/>
      <c r="I3829" s="1"/>
      <c r="J3829" s="1"/>
      <c r="K3829" s="89" t="s">
        <v>5852</v>
      </c>
      <c r="L3829" s="89" t="str">
        <f>G126</f>
        <v>C1b3a1c</v>
      </c>
      <c r="M3829" s="89"/>
      <c r="N3829" s="89"/>
      <c r="O3829" s="92">
        <v>2.30688E7</v>
      </c>
      <c r="P3829" s="92">
        <v>2.0906914E7</v>
      </c>
      <c r="Q3829" s="89" t="s">
        <v>879</v>
      </c>
      <c r="AF3829" s="1"/>
      <c r="AG3829" s="1"/>
    </row>
    <row r="3830" ht="15.75" customHeight="1">
      <c r="A3830" s="1"/>
      <c r="B3830" s="1"/>
      <c r="C3830" s="1"/>
      <c r="D3830" s="1"/>
      <c r="E3830" s="1"/>
      <c r="F3830" s="1"/>
      <c r="G3830" s="1"/>
      <c r="H3830" s="1"/>
      <c r="I3830" s="1"/>
      <c r="J3830" s="1"/>
      <c r="K3830" s="89" t="s">
        <v>5853</v>
      </c>
      <c r="L3830" s="89" t="str">
        <f>G126</f>
        <v>C1b3a1c</v>
      </c>
      <c r="M3830" s="89"/>
      <c r="N3830" s="89"/>
      <c r="O3830" s="92">
        <v>2.3149874E7</v>
      </c>
      <c r="P3830" s="92">
        <v>2.0987988E7</v>
      </c>
      <c r="Q3830" s="89" t="s">
        <v>810</v>
      </c>
      <c r="AF3830" s="1"/>
      <c r="AG3830" s="1"/>
    </row>
    <row r="3831" ht="15.75" customHeight="1">
      <c r="A3831" s="1"/>
      <c r="B3831" s="1"/>
      <c r="C3831" s="1"/>
      <c r="D3831" s="1"/>
      <c r="E3831" s="1"/>
      <c r="F3831" s="1"/>
      <c r="G3831" s="1"/>
      <c r="H3831" s="1"/>
      <c r="I3831" s="1"/>
      <c r="J3831" s="1"/>
      <c r="K3831" s="89" t="s">
        <v>5854</v>
      </c>
      <c r="L3831" s="89" t="str">
        <f>G126</f>
        <v>C1b3a1c</v>
      </c>
      <c r="M3831" s="89"/>
      <c r="N3831" s="89"/>
      <c r="O3831" s="92">
        <v>2.3399847E7</v>
      </c>
      <c r="P3831" s="92">
        <v>2.1237961E7</v>
      </c>
      <c r="Q3831" s="89" t="s">
        <v>917</v>
      </c>
      <c r="AF3831" s="1"/>
      <c r="AG3831" s="1"/>
    </row>
    <row r="3832" ht="15.75" customHeight="1">
      <c r="A3832" s="1"/>
      <c r="B3832" s="1"/>
      <c r="C3832" s="1"/>
      <c r="D3832" s="1"/>
      <c r="E3832" s="1"/>
      <c r="F3832" s="1"/>
      <c r="G3832" s="1"/>
      <c r="H3832" s="1"/>
      <c r="I3832" s="1"/>
      <c r="J3832" s="1"/>
      <c r="K3832" s="89" t="s">
        <v>5855</v>
      </c>
      <c r="L3832" s="89" t="str">
        <f>G126</f>
        <v>C1b3a1c</v>
      </c>
      <c r="M3832" s="89"/>
      <c r="N3832" s="89"/>
      <c r="O3832" s="92">
        <v>2.8756449E7</v>
      </c>
      <c r="P3832" s="92">
        <v>2.6610302E7</v>
      </c>
      <c r="Q3832" s="89" t="s">
        <v>810</v>
      </c>
      <c r="AF3832" s="1"/>
      <c r="AG3832" s="1"/>
    </row>
    <row r="3833" ht="15.75" customHeight="1">
      <c r="A3833" s="1"/>
      <c r="B3833" s="1"/>
      <c r="C3833" s="1"/>
      <c r="D3833" s="1"/>
      <c r="E3833" s="1"/>
      <c r="F3833" s="1"/>
      <c r="G3833" s="1"/>
      <c r="H3833" s="1"/>
      <c r="I3833" s="1"/>
      <c r="J3833" s="1"/>
      <c r="K3833" s="89" t="s">
        <v>5856</v>
      </c>
      <c r="L3833" s="89" t="str">
        <f>G126</f>
        <v>C1b3a1c</v>
      </c>
      <c r="M3833" s="89"/>
      <c r="N3833" s="89"/>
      <c r="O3833" s="92">
        <v>2796008.0</v>
      </c>
      <c r="P3833" s="92">
        <v>2927967.0</v>
      </c>
      <c r="Q3833" s="89" t="s">
        <v>831</v>
      </c>
      <c r="AF3833" s="1"/>
      <c r="AG3833" s="1"/>
    </row>
    <row r="3834" ht="15.75" customHeight="1">
      <c r="A3834" s="1"/>
      <c r="B3834" s="1"/>
      <c r="C3834" s="1"/>
      <c r="D3834" s="1"/>
      <c r="E3834" s="1"/>
      <c r="F3834" s="1"/>
      <c r="G3834" s="1"/>
      <c r="H3834" s="1"/>
      <c r="I3834" s="1"/>
      <c r="J3834" s="1"/>
      <c r="K3834" s="89" t="s">
        <v>5857</v>
      </c>
      <c r="L3834" s="89" t="str">
        <f>G126</f>
        <v>C1b3a1c</v>
      </c>
      <c r="M3834" s="89"/>
      <c r="N3834" s="89"/>
      <c r="O3834" s="92">
        <v>6752993.0</v>
      </c>
      <c r="P3834" s="92">
        <v>6884952.0</v>
      </c>
      <c r="Q3834" s="89" t="s">
        <v>838</v>
      </c>
      <c r="AF3834" s="1"/>
      <c r="AG3834" s="1"/>
    </row>
    <row r="3835" ht="15.75" customHeight="1">
      <c r="A3835" s="1"/>
      <c r="B3835" s="1"/>
      <c r="C3835" s="1"/>
      <c r="D3835" s="1"/>
      <c r="E3835" s="1"/>
      <c r="F3835" s="1"/>
      <c r="G3835" s="1"/>
      <c r="H3835" s="1"/>
      <c r="I3835" s="1"/>
      <c r="J3835" s="1"/>
      <c r="K3835" s="89" t="s">
        <v>5858</v>
      </c>
      <c r="L3835" s="89" t="str">
        <f>G126</f>
        <v>C1b3a1c</v>
      </c>
      <c r="M3835" s="89"/>
      <c r="N3835" s="89"/>
      <c r="O3835" s="92">
        <v>6812068.0</v>
      </c>
      <c r="P3835" s="92">
        <v>6944027.0</v>
      </c>
      <c r="Q3835" s="89" t="s">
        <v>912</v>
      </c>
      <c r="AF3835" s="1"/>
      <c r="AG3835" s="1"/>
    </row>
    <row r="3836" ht="15.75" customHeight="1">
      <c r="A3836" s="1"/>
      <c r="B3836" s="1"/>
      <c r="C3836" s="1"/>
      <c r="D3836" s="1"/>
      <c r="E3836" s="1"/>
      <c r="F3836" s="1"/>
      <c r="G3836" s="1"/>
      <c r="H3836" s="1"/>
      <c r="I3836" s="1"/>
      <c r="J3836" s="1"/>
      <c r="K3836" s="89" t="s">
        <v>5859</v>
      </c>
      <c r="L3836" s="89" t="str">
        <f>G126</f>
        <v>C1b3a1c</v>
      </c>
      <c r="M3836" s="89"/>
      <c r="N3836" s="89"/>
      <c r="O3836" s="92">
        <v>6842406.0</v>
      </c>
      <c r="P3836" s="92">
        <v>6974365.0</v>
      </c>
      <c r="Q3836" s="89" t="s">
        <v>879</v>
      </c>
      <c r="AF3836" s="1"/>
      <c r="AG3836" s="1"/>
    </row>
    <row r="3837" ht="15.75" customHeight="1">
      <c r="A3837" s="1"/>
      <c r="B3837" s="1"/>
      <c r="C3837" s="1"/>
      <c r="D3837" s="1"/>
      <c r="E3837" s="1"/>
      <c r="F3837" s="1"/>
      <c r="G3837" s="1"/>
      <c r="H3837" s="1"/>
      <c r="I3837" s="1"/>
      <c r="J3837" s="1"/>
      <c r="K3837" s="89" t="s">
        <v>5860</v>
      </c>
      <c r="L3837" s="89" t="str">
        <f>G126</f>
        <v>C1b3a1c</v>
      </c>
      <c r="M3837" s="89"/>
      <c r="N3837" s="89"/>
      <c r="O3837" s="92">
        <v>6857966.0</v>
      </c>
      <c r="P3837" s="92">
        <v>6989925.0</v>
      </c>
      <c r="Q3837" s="89" t="s">
        <v>845</v>
      </c>
      <c r="AF3837" s="1"/>
      <c r="AG3837" s="1"/>
    </row>
    <row r="3838" ht="15.75" customHeight="1">
      <c r="A3838" s="1"/>
      <c r="B3838" s="1"/>
      <c r="C3838" s="1"/>
      <c r="D3838" s="1"/>
      <c r="E3838" s="1"/>
      <c r="F3838" s="1"/>
      <c r="G3838" s="1"/>
      <c r="H3838" s="1"/>
      <c r="I3838" s="1"/>
      <c r="J3838" s="1"/>
      <c r="K3838" s="89" t="s">
        <v>5861</v>
      </c>
      <c r="L3838" s="89" t="str">
        <f>G126</f>
        <v>C1b3a1c</v>
      </c>
      <c r="M3838" s="89"/>
      <c r="N3838" s="89"/>
      <c r="O3838" s="92">
        <v>6884105.0</v>
      </c>
      <c r="P3838" s="92">
        <v>7016064.0</v>
      </c>
      <c r="Q3838" s="89" t="s">
        <v>838</v>
      </c>
      <c r="AF3838" s="1"/>
      <c r="AG3838" s="1"/>
    </row>
    <row r="3839" ht="15.75" customHeight="1">
      <c r="A3839" s="1"/>
      <c r="B3839" s="1"/>
      <c r="C3839" s="1"/>
      <c r="D3839" s="1"/>
      <c r="E3839" s="1"/>
      <c r="F3839" s="1"/>
      <c r="G3839" s="1"/>
      <c r="H3839" s="1"/>
      <c r="I3839" s="1"/>
      <c r="J3839" s="1"/>
      <c r="K3839" s="89" t="s">
        <v>5862</v>
      </c>
      <c r="L3839" s="89" t="str">
        <f>G126</f>
        <v>C1b3a1c</v>
      </c>
      <c r="M3839" s="89"/>
      <c r="N3839" s="89"/>
      <c r="O3839" s="92">
        <v>6930497.0</v>
      </c>
      <c r="P3839" s="92">
        <v>7062456.0</v>
      </c>
      <c r="Q3839" s="89" t="s">
        <v>831</v>
      </c>
      <c r="AF3839" s="1"/>
      <c r="AG3839" s="1"/>
    </row>
    <row r="3840" ht="15.75" customHeight="1">
      <c r="A3840" s="1"/>
      <c r="B3840" s="1"/>
      <c r="C3840" s="1"/>
      <c r="D3840" s="1"/>
      <c r="E3840" s="1"/>
      <c r="F3840" s="1"/>
      <c r="G3840" s="1"/>
      <c r="H3840" s="1"/>
      <c r="I3840" s="1"/>
      <c r="J3840" s="1"/>
      <c r="K3840" s="89" t="s">
        <v>5863</v>
      </c>
      <c r="L3840" s="89" t="str">
        <f>G126</f>
        <v>C1b3a1c</v>
      </c>
      <c r="M3840" s="89"/>
      <c r="N3840" s="89"/>
      <c r="O3840" s="92">
        <v>6967816.0</v>
      </c>
      <c r="P3840" s="92">
        <v>7099775.0</v>
      </c>
      <c r="Q3840" s="89" t="s">
        <v>838</v>
      </c>
      <c r="AF3840" s="1"/>
      <c r="AG3840" s="1"/>
    </row>
    <row r="3841" ht="15.75" customHeight="1">
      <c r="A3841" s="1"/>
      <c r="B3841" s="1"/>
      <c r="C3841" s="1"/>
      <c r="D3841" s="1"/>
      <c r="E3841" s="1"/>
      <c r="F3841" s="1"/>
      <c r="G3841" s="1"/>
      <c r="H3841" s="1"/>
      <c r="I3841" s="1"/>
      <c r="J3841" s="1"/>
      <c r="K3841" s="89" t="s">
        <v>5864</v>
      </c>
      <c r="L3841" s="89" t="str">
        <f>G126</f>
        <v>C1b3a1c</v>
      </c>
      <c r="M3841" s="89"/>
      <c r="N3841" s="89"/>
      <c r="O3841" s="92">
        <v>7196077.0</v>
      </c>
      <c r="P3841" s="92">
        <v>7328036.0</v>
      </c>
      <c r="Q3841" s="89" t="s">
        <v>802</v>
      </c>
      <c r="AF3841" s="1"/>
      <c r="AG3841" s="1"/>
    </row>
    <row r="3842" ht="15.75" customHeight="1">
      <c r="A3842" s="1"/>
      <c r="B3842" s="1"/>
      <c r="C3842" s="1"/>
      <c r="D3842" s="1"/>
      <c r="E3842" s="1"/>
      <c r="F3842" s="1"/>
      <c r="G3842" s="1"/>
      <c r="H3842" s="1"/>
      <c r="I3842" s="1"/>
      <c r="J3842" s="1"/>
      <c r="K3842" s="89" t="s">
        <v>5865</v>
      </c>
      <c r="L3842" s="89" t="str">
        <f>G126</f>
        <v>C1b3a1c</v>
      </c>
      <c r="M3842" s="89"/>
      <c r="N3842" s="89"/>
      <c r="O3842" s="92">
        <v>7427311.0</v>
      </c>
      <c r="P3842" s="92">
        <v>7559270.0</v>
      </c>
      <c r="Q3842" s="89" t="s">
        <v>810</v>
      </c>
      <c r="AF3842" s="1"/>
      <c r="AG3842" s="1"/>
    </row>
    <row r="3843" ht="15.75" customHeight="1">
      <c r="A3843" s="1"/>
      <c r="B3843" s="1"/>
      <c r="C3843" s="1"/>
      <c r="D3843" s="1"/>
      <c r="E3843" s="1"/>
      <c r="F3843" s="1"/>
      <c r="G3843" s="1"/>
      <c r="H3843" s="1"/>
      <c r="I3843" s="1"/>
      <c r="J3843" s="1"/>
      <c r="K3843" s="89" t="s">
        <v>5866</v>
      </c>
      <c r="L3843" s="89" t="str">
        <f>G126</f>
        <v>C1b3a1c</v>
      </c>
      <c r="M3843" s="89"/>
      <c r="N3843" s="89"/>
      <c r="O3843" s="92">
        <v>7893877.0</v>
      </c>
      <c r="P3843" s="92">
        <v>8025836.0</v>
      </c>
      <c r="Q3843" s="89" t="s">
        <v>810</v>
      </c>
      <c r="AF3843" s="1"/>
      <c r="AG3843" s="1"/>
    </row>
    <row r="3844" ht="15.75" customHeight="1">
      <c r="A3844" s="1"/>
      <c r="B3844" s="1"/>
      <c r="C3844" s="1"/>
      <c r="D3844" s="1"/>
      <c r="E3844" s="1"/>
      <c r="F3844" s="1"/>
      <c r="G3844" s="1"/>
      <c r="H3844" s="1"/>
      <c r="I3844" s="1"/>
      <c r="J3844" s="1"/>
      <c r="K3844" s="89" t="s">
        <v>5867</v>
      </c>
      <c r="L3844" s="89" t="str">
        <f>H127</f>
        <v>C1b3a1c1~</v>
      </c>
      <c r="M3844" s="89"/>
      <c r="N3844" s="89"/>
      <c r="O3844" s="92">
        <v>1.7225759E7</v>
      </c>
      <c r="P3844" s="92">
        <v>1.5113879E7</v>
      </c>
      <c r="Q3844" s="89" t="s">
        <v>810</v>
      </c>
      <c r="AF3844" s="1"/>
      <c r="AG3844" s="1"/>
    </row>
    <row r="3845" ht="15.75" customHeight="1">
      <c r="A3845" s="1"/>
      <c r="B3845" s="1"/>
      <c r="C3845" s="1"/>
      <c r="D3845" s="1"/>
      <c r="E3845" s="1"/>
      <c r="F3845" s="1"/>
      <c r="G3845" s="1"/>
      <c r="H3845" s="1"/>
      <c r="I3845" s="1"/>
      <c r="J3845" s="1"/>
      <c r="K3845" s="89" t="s">
        <v>5868</v>
      </c>
      <c r="L3845" s="89" t="str">
        <f>H127</f>
        <v>C1b3a1c1~</v>
      </c>
      <c r="M3845" s="89"/>
      <c r="N3845" s="89"/>
      <c r="O3845" s="92">
        <v>2.2888083E7</v>
      </c>
      <c r="P3845" s="92">
        <v>2.0726197E7</v>
      </c>
      <c r="Q3845" s="89" t="s">
        <v>802</v>
      </c>
      <c r="AF3845" s="1"/>
      <c r="AG3845" s="1"/>
    </row>
    <row r="3846" ht="15.75" customHeight="1">
      <c r="A3846" s="1"/>
      <c r="B3846" s="1"/>
      <c r="C3846" s="1"/>
      <c r="D3846" s="1"/>
      <c r="E3846" s="1"/>
      <c r="F3846" s="1"/>
      <c r="G3846" s="1"/>
      <c r="H3846" s="1"/>
      <c r="I3846" s="1"/>
      <c r="J3846" s="1"/>
      <c r="K3846" s="89" t="s">
        <v>5869</v>
      </c>
      <c r="L3846" s="89" t="str">
        <f t="shared" ref="L3846:L3847" si="24">H127</f>
        <v>C1b3a1c1~</v>
      </c>
      <c r="M3846" s="89"/>
      <c r="N3846" s="89"/>
      <c r="O3846" s="92">
        <v>2.8686303E7</v>
      </c>
      <c r="P3846" s="92">
        <v>2.6540156E7</v>
      </c>
      <c r="Q3846" s="89" t="s">
        <v>822</v>
      </c>
      <c r="AF3846" s="1"/>
      <c r="AG3846" s="1"/>
    </row>
    <row r="3847" ht="15.75" customHeight="1">
      <c r="A3847" s="1"/>
      <c r="B3847" s="1"/>
      <c r="C3847" s="1"/>
      <c r="D3847" s="1"/>
      <c r="E3847" s="1"/>
      <c r="F3847" s="1"/>
      <c r="G3847" s="1"/>
      <c r="H3847" s="1"/>
      <c r="I3847" s="1"/>
      <c r="J3847" s="1"/>
      <c r="K3847" s="89" t="s">
        <v>5870</v>
      </c>
      <c r="L3847" s="89" t="str">
        <f t="shared" si="24"/>
        <v>C1b3a1c2</v>
      </c>
      <c r="M3847" s="89"/>
      <c r="N3847" s="89"/>
      <c r="O3847" s="92">
        <v>1.5275052E7</v>
      </c>
      <c r="P3847" s="92">
        <v>1.3163141E7</v>
      </c>
      <c r="Q3847" s="89" t="s">
        <v>845</v>
      </c>
      <c r="AF3847" s="1"/>
      <c r="AG3847" s="1"/>
    </row>
    <row r="3848" ht="15.75" customHeight="1">
      <c r="A3848" s="1"/>
      <c r="B3848" s="1"/>
      <c r="C3848" s="1"/>
      <c r="D3848" s="1"/>
      <c r="E3848" s="1"/>
      <c r="F3848" s="1"/>
      <c r="G3848" s="1"/>
      <c r="H3848" s="1"/>
      <c r="I3848" s="1"/>
      <c r="J3848" s="1"/>
      <c r="K3848" s="89" t="s">
        <v>5871</v>
      </c>
      <c r="L3848" s="89" t="str">
        <f>H128</f>
        <v>C1b3a1c2</v>
      </c>
      <c r="M3848" s="89"/>
      <c r="N3848" s="89"/>
      <c r="O3848" s="92">
        <v>1.687877E7</v>
      </c>
      <c r="P3848" s="92">
        <v>1.476689E7</v>
      </c>
      <c r="Q3848" s="89" t="s">
        <v>864</v>
      </c>
      <c r="AF3848" s="1"/>
      <c r="AG3848" s="1"/>
    </row>
    <row r="3849" ht="15.75" customHeight="1">
      <c r="A3849" s="1"/>
      <c r="B3849" s="1"/>
      <c r="C3849" s="1"/>
      <c r="D3849" s="1"/>
      <c r="E3849" s="1"/>
      <c r="F3849" s="1"/>
      <c r="G3849" s="1"/>
      <c r="H3849" s="1"/>
      <c r="I3849" s="1"/>
      <c r="J3849" s="1"/>
      <c r="K3849" s="89" t="s">
        <v>5872</v>
      </c>
      <c r="L3849" s="89" t="str">
        <f>H128</f>
        <v>C1b3a1c2</v>
      </c>
      <c r="M3849" s="89"/>
      <c r="N3849" s="89"/>
      <c r="O3849" s="92">
        <v>1.7234717E7</v>
      </c>
      <c r="P3849" s="92">
        <v>1.5122837E7</v>
      </c>
      <c r="Q3849" s="89" t="s">
        <v>886</v>
      </c>
      <c r="AF3849" s="1"/>
      <c r="AG3849" s="1"/>
    </row>
    <row r="3850" ht="15.75" customHeight="1">
      <c r="A3850" s="1"/>
      <c r="B3850" s="1"/>
      <c r="C3850" s="1"/>
      <c r="D3850" s="1"/>
      <c r="E3850" s="1"/>
      <c r="F3850" s="1"/>
      <c r="G3850" s="1"/>
      <c r="H3850" s="1"/>
      <c r="I3850" s="1"/>
      <c r="J3850" s="1"/>
      <c r="K3850" s="89" t="s">
        <v>219</v>
      </c>
      <c r="L3850" s="89" t="str">
        <f t="shared" ref="L3850:L3851" si="25">I129</f>
        <v>C1b3a1c2a~</v>
      </c>
      <c r="M3850" s="89"/>
      <c r="N3850" s="89"/>
      <c r="O3850" s="92">
        <v>2801432.0</v>
      </c>
      <c r="P3850" s="92">
        <v>2933391.0</v>
      </c>
      <c r="Q3850" s="89" t="s">
        <v>810</v>
      </c>
      <c r="AF3850" s="1"/>
      <c r="AG3850" s="1"/>
    </row>
    <row r="3851" ht="15.75" customHeight="1">
      <c r="A3851" s="1"/>
      <c r="B3851" s="1"/>
      <c r="C3851" s="1"/>
      <c r="D3851" s="1"/>
      <c r="E3851" s="1"/>
      <c r="F3851" s="1"/>
      <c r="G3851" s="1"/>
      <c r="H3851" s="1"/>
      <c r="I3851" s="1"/>
      <c r="J3851" s="1"/>
      <c r="K3851" s="89" t="s">
        <v>5873</v>
      </c>
      <c r="L3851" s="89" t="str">
        <f t="shared" si="25"/>
        <v>C1b3a1C2a~</v>
      </c>
      <c r="M3851" s="89"/>
      <c r="N3851" s="89"/>
      <c r="O3851" s="92">
        <v>7744093.0</v>
      </c>
      <c r="P3851" s="92">
        <v>7876052.0</v>
      </c>
      <c r="Q3851" s="89" t="s">
        <v>912</v>
      </c>
      <c r="AF3851" s="1"/>
      <c r="AG3851" s="1"/>
    </row>
    <row r="3852" ht="15.75" customHeight="1">
      <c r="A3852" s="1"/>
      <c r="B3852" s="1"/>
      <c r="C3852" s="1"/>
      <c r="D3852" s="1"/>
      <c r="E3852" s="1"/>
      <c r="F3852" s="1"/>
      <c r="G3852" s="1"/>
      <c r="H3852" s="1"/>
      <c r="I3852" s="1"/>
      <c r="J3852" s="1"/>
      <c r="K3852" s="89" t="s">
        <v>5874</v>
      </c>
      <c r="L3852" s="89" t="str">
        <f>I130</f>
        <v>C1b3a1C2a~</v>
      </c>
      <c r="M3852" s="89"/>
      <c r="N3852" s="89"/>
      <c r="O3852" s="92">
        <v>1.7977874E7</v>
      </c>
      <c r="P3852" s="92">
        <v>1.5865994E7</v>
      </c>
      <c r="Q3852" s="89" t="s">
        <v>813</v>
      </c>
      <c r="AF3852" s="1"/>
      <c r="AG3852" s="1"/>
    </row>
    <row r="3853" ht="15.75" customHeight="1">
      <c r="A3853" s="1"/>
      <c r="B3853" s="1"/>
      <c r="C3853" s="1"/>
      <c r="D3853" s="1"/>
      <c r="E3853" s="1"/>
      <c r="F3853" s="1"/>
      <c r="G3853" s="1"/>
      <c r="H3853" s="1"/>
      <c r="I3853" s="1"/>
      <c r="J3853" s="1"/>
      <c r="K3853" s="89" t="s">
        <v>5875</v>
      </c>
      <c r="L3853" s="89" t="str">
        <f>I130</f>
        <v>C1b3a1C2a~</v>
      </c>
      <c r="M3853" s="89"/>
      <c r="N3853" s="89"/>
      <c r="O3853" s="92">
        <v>1.7978823E7</v>
      </c>
      <c r="P3853" s="92">
        <v>1.5866943E7</v>
      </c>
      <c r="Q3853" s="89" t="s">
        <v>831</v>
      </c>
      <c r="AF3853" s="1"/>
      <c r="AG3853" s="1"/>
    </row>
    <row r="3854" ht="15.75" customHeight="1">
      <c r="A3854" s="1"/>
      <c r="B3854" s="1"/>
      <c r="C3854" s="1"/>
      <c r="D3854" s="1"/>
      <c r="E3854" s="1"/>
      <c r="F3854" s="1"/>
      <c r="G3854" s="1"/>
      <c r="H3854" s="1"/>
      <c r="I3854" s="1"/>
      <c r="J3854" s="1"/>
      <c r="K3854" s="89" t="s">
        <v>5876</v>
      </c>
      <c r="L3854" s="89" t="str">
        <f>I130</f>
        <v>C1b3a1C2a~</v>
      </c>
      <c r="M3854" s="89"/>
      <c r="N3854" s="89"/>
      <c r="O3854" s="92">
        <v>2.1977433E7</v>
      </c>
      <c r="P3854" s="92">
        <v>1.9815547E7</v>
      </c>
      <c r="Q3854" s="89" t="s">
        <v>912</v>
      </c>
      <c r="AF3854" s="1"/>
      <c r="AG3854" s="1"/>
    </row>
    <row r="3855" ht="15.75" customHeight="1">
      <c r="A3855" s="1"/>
      <c r="B3855" s="1"/>
      <c r="C3855" s="1"/>
      <c r="D3855" s="1"/>
      <c r="E3855" s="1"/>
      <c r="F3855" s="1"/>
      <c r="G3855" s="1"/>
      <c r="H3855" s="1"/>
      <c r="I3855" s="1"/>
      <c r="J3855" s="1"/>
      <c r="K3855" s="89" t="s">
        <v>223</v>
      </c>
      <c r="L3855" s="89" t="str">
        <f>G131</f>
        <v>C1b3a1d~</v>
      </c>
      <c r="M3855" s="89"/>
      <c r="N3855" s="89" t="s">
        <v>5877</v>
      </c>
      <c r="O3855" s="92">
        <v>6810056.0</v>
      </c>
      <c r="P3855" s="92">
        <v>6942015.0</v>
      </c>
      <c r="Q3855" s="89" t="s">
        <v>802</v>
      </c>
      <c r="AF3855" s="1"/>
      <c r="AG3855" s="1"/>
    </row>
    <row r="3856" ht="15.75" customHeight="1">
      <c r="A3856" s="1"/>
      <c r="B3856" s="1"/>
      <c r="C3856" s="1"/>
      <c r="D3856" s="1"/>
      <c r="E3856" s="1"/>
      <c r="F3856" s="1"/>
      <c r="G3856" s="1"/>
      <c r="H3856" s="1"/>
      <c r="I3856" s="1"/>
      <c r="J3856" s="1"/>
      <c r="K3856" s="89" t="s">
        <v>5878</v>
      </c>
      <c r="L3856" s="89" t="str">
        <f>H132</f>
        <v>C1b3a1d1</v>
      </c>
      <c r="M3856" s="89"/>
      <c r="N3856" s="89" t="s">
        <v>5879</v>
      </c>
      <c r="O3856" s="92">
        <v>2719408.0</v>
      </c>
      <c r="P3856" s="92">
        <v>2851367.0</v>
      </c>
      <c r="Q3856" s="89" t="s">
        <v>886</v>
      </c>
      <c r="AF3856" s="1"/>
      <c r="AG3856" s="1"/>
    </row>
    <row r="3857" ht="15.75" customHeight="1">
      <c r="A3857" s="1"/>
      <c r="B3857" s="1"/>
      <c r="C3857" s="1"/>
      <c r="D3857" s="1"/>
      <c r="E3857" s="1"/>
      <c r="F3857" s="1"/>
      <c r="G3857" s="1"/>
      <c r="H3857" s="1"/>
      <c r="I3857" s="1"/>
      <c r="J3857" s="1"/>
      <c r="K3857" s="89" t="s">
        <v>5880</v>
      </c>
      <c r="L3857" s="89" t="str">
        <f>H132</f>
        <v>C1b3a1d1</v>
      </c>
      <c r="M3857" s="89" t="s">
        <v>5881</v>
      </c>
      <c r="N3857" s="89" t="s">
        <v>5882</v>
      </c>
      <c r="O3857" s="92">
        <v>1.69738E7</v>
      </c>
      <c r="P3857" s="92">
        <v>1.486192E7</v>
      </c>
      <c r="Q3857" s="89" t="s">
        <v>802</v>
      </c>
      <c r="AF3857" s="1"/>
      <c r="AG3857" s="1"/>
    </row>
    <row r="3858" ht="15.75" customHeight="1">
      <c r="A3858" s="1"/>
      <c r="B3858" s="1"/>
      <c r="C3858" s="1"/>
      <c r="D3858" s="1"/>
      <c r="E3858" s="1"/>
      <c r="F3858" s="1"/>
      <c r="G3858" s="1"/>
      <c r="H3858" s="1"/>
      <c r="I3858" s="1"/>
      <c r="J3858" s="1"/>
      <c r="K3858" s="89" t="s">
        <v>5881</v>
      </c>
      <c r="L3858" s="89" t="str">
        <f>H132</f>
        <v>C1b3a1d1</v>
      </c>
      <c r="M3858" s="89" t="s">
        <v>5880</v>
      </c>
      <c r="N3858" s="89" t="s">
        <v>5882</v>
      </c>
      <c r="O3858" s="92">
        <v>1.69738E7</v>
      </c>
      <c r="P3858" s="92">
        <v>1.486192E7</v>
      </c>
      <c r="Q3858" s="89" t="s">
        <v>802</v>
      </c>
      <c r="AF3858" s="1"/>
      <c r="AG3858" s="1"/>
    </row>
    <row r="3859" ht="15.75" customHeight="1">
      <c r="A3859" s="1"/>
      <c r="B3859" s="1"/>
      <c r="C3859" s="1"/>
      <c r="D3859" s="1"/>
      <c r="E3859" s="1"/>
      <c r="F3859" s="1"/>
      <c r="G3859" s="1"/>
      <c r="H3859" s="1"/>
      <c r="I3859" s="1"/>
      <c r="J3859" s="1"/>
      <c r="K3859" s="89" t="s">
        <v>5883</v>
      </c>
      <c r="L3859" s="89" t="str">
        <f>H132</f>
        <v>C1b3a1d1</v>
      </c>
      <c r="M3859" s="89"/>
      <c r="N3859" s="89" t="s">
        <v>5884</v>
      </c>
      <c r="O3859" s="92">
        <v>7995152.0</v>
      </c>
      <c r="P3859" s="92">
        <v>8127111.0</v>
      </c>
      <c r="Q3859" s="89" t="s">
        <v>838</v>
      </c>
      <c r="AF3859" s="1"/>
      <c r="AG3859" s="1"/>
    </row>
    <row r="3860" ht="15.75" customHeight="1">
      <c r="A3860" s="1"/>
      <c r="B3860" s="1"/>
      <c r="C3860" s="1"/>
      <c r="D3860" s="1"/>
      <c r="E3860" s="1"/>
      <c r="F3860" s="1"/>
      <c r="G3860" s="1"/>
      <c r="H3860" s="1"/>
      <c r="I3860" s="1"/>
      <c r="J3860" s="1"/>
      <c r="K3860" s="89" t="s">
        <v>5885</v>
      </c>
      <c r="L3860" s="89" t="str">
        <f>H132</f>
        <v>C1b3a1d1</v>
      </c>
      <c r="M3860" s="89"/>
      <c r="N3860" s="89" t="s">
        <v>5886</v>
      </c>
      <c r="O3860" s="92">
        <v>8252663.0</v>
      </c>
      <c r="P3860" s="92">
        <v>8384622.0</v>
      </c>
      <c r="Q3860" s="89" t="s">
        <v>912</v>
      </c>
      <c r="AF3860" s="1"/>
      <c r="AG3860" s="1"/>
    </row>
    <row r="3861" ht="15.75" customHeight="1">
      <c r="A3861" s="1"/>
      <c r="B3861" s="1"/>
      <c r="C3861" s="1"/>
      <c r="D3861" s="1"/>
      <c r="E3861" s="1"/>
      <c r="F3861" s="1"/>
      <c r="G3861" s="1"/>
      <c r="H3861" s="1"/>
      <c r="I3861" s="1"/>
      <c r="J3861" s="1"/>
      <c r="K3861" s="89" t="s">
        <v>5887</v>
      </c>
      <c r="L3861" s="89" t="str">
        <f>H132</f>
        <v>C1b3a1d1</v>
      </c>
      <c r="M3861" s="89"/>
      <c r="N3861" s="89" t="s">
        <v>5888</v>
      </c>
      <c r="O3861" s="92">
        <v>8277890.0</v>
      </c>
      <c r="P3861" s="92">
        <v>8409849.0</v>
      </c>
      <c r="Q3861" s="89" t="s">
        <v>802</v>
      </c>
      <c r="AF3861" s="1"/>
      <c r="AG3861" s="1"/>
    </row>
    <row r="3862" ht="15.75" customHeight="1">
      <c r="A3862" s="1"/>
      <c r="B3862" s="1"/>
      <c r="C3862" s="1"/>
      <c r="D3862" s="1"/>
      <c r="E3862" s="1"/>
      <c r="F3862" s="1"/>
      <c r="G3862" s="1"/>
      <c r="H3862" s="1"/>
      <c r="I3862" s="1"/>
      <c r="J3862" s="1"/>
      <c r="K3862" s="89" t="s">
        <v>5889</v>
      </c>
      <c r="L3862" s="89" t="str">
        <f>H132</f>
        <v>C1b3a1d1</v>
      </c>
      <c r="M3862" s="89"/>
      <c r="N3862" s="89" t="s">
        <v>5890</v>
      </c>
      <c r="O3862" s="92">
        <v>8308830.0</v>
      </c>
      <c r="P3862" s="92">
        <v>8440789.0</v>
      </c>
      <c r="Q3862" s="89" t="s">
        <v>810</v>
      </c>
      <c r="AF3862" s="1"/>
      <c r="AG3862" s="1"/>
    </row>
    <row r="3863" ht="15.75" customHeight="1">
      <c r="A3863" s="1"/>
      <c r="B3863" s="1"/>
      <c r="C3863" s="1"/>
      <c r="D3863" s="1"/>
      <c r="E3863" s="1"/>
      <c r="F3863" s="1"/>
      <c r="G3863" s="1"/>
      <c r="H3863" s="1"/>
      <c r="I3863" s="1"/>
      <c r="J3863" s="1"/>
      <c r="K3863" s="89" t="s">
        <v>5891</v>
      </c>
      <c r="L3863" s="89" t="str">
        <f>H132</f>
        <v>C1b3a1d1</v>
      </c>
      <c r="M3863" s="89"/>
      <c r="N3863" s="89" t="s">
        <v>5892</v>
      </c>
      <c r="O3863" s="92">
        <v>8512130.0</v>
      </c>
      <c r="P3863" s="92">
        <v>8644089.0</v>
      </c>
      <c r="Q3863" s="89" t="s">
        <v>810</v>
      </c>
      <c r="AF3863" s="1"/>
      <c r="AG3863" s="1"/>
    </row>
    <row r="3864" ht="15.75" customHeight="1">
      <c r="A3864" s="1"/>
      <c r="B3864" s="1"/>
      <c r="C3864" s="1"/>
      <c r="D3864" s="1"/>
      <c r="E3864" s="1"/>
      <c r="F3864" s="1"/>
      <c r="G3864" s="1"/>
      <c r="H3864" s="1"/>
      <c r="I3864" s="1"/>
      <c r="J3864" s="1"/>
      <c r="K3864" s="89" t="s">
        <v>5893</v>
      </c>
      <c r="L3864" s="89" t="str">
        <f>H132</f>
        <v>C1b3a1d1</v>
      </c>
      <c r="M3864" s="89"/>
      <c r="N3864" s="89" t="s">
        <v>5894</v>
      </c>
      <c r="O3864" s="92">
        <v>9099665.0</v>
      </c>
      <c r="P3864" s="92">
        <v>9262056.0</v>
      </c>
      <c r="Q3864" s="89" t="s">
        <v>810</v>
      </c>
      <c r="AF3864" s="1"/>
      <c r="AG3864" s="1"/>
    </row>
    <row r="3865" ht="15.75" customHeight="1">
      <c r="A3865" s="1"/>
      <c r="B3865" s="1"/>
      <c r="C3865" s="1"/>
      <c r="D3865" s="1"/>
      <c r="E3865" s="1"/>
      <c r="F3865" s="1"/>
      <c r="G3865" s="1"/>
      <c r="H3865" s="1"/>
      <c r="I3865" s="1"/>
      <c r="J3865" s="1"/>
      <c r="K3865" s="89" t="s">
        <v>5895</v>
      </c>
      <c r="L3865" s="89" t="str">
        <f>H132</f>
        <v>C1b3a1d1</v>
      </c>
      <c r="M3865" s="89"/>
      <c r="N3865" s="89" t="s">
        <v>5896</v>
      </c>
      <c r="O3865" s="92">
        <v>1.4024832E7</v>
      </c>
      <c r="P3865" s="92">
        <v>1.1904126E7</v>
      </c>
      <c r="Q3865" s="89" t="s">
        <v>810</v>
      </c>
      <c r="AF3865" s="1"/>
      <c r="AG3865" s="1"/>
    </row>
    <row r="3866" ht="15.75" customHeight="1">
      <c r="A3866" s="1"/>
      <c r="B3866" s="1"/>
      <c r="C3866" s="1"/>
      <c r="D3866" s="1"/>
      <c r="E3866" s="1"/>
      <c r="F3866" s="1"/>
      <c r="G3866" s="1"/>
      <c r="H3866" s="1"/>
      <c r="I3866" s="1"/>
      <c r="J3866" s="1"/>
      <c r="K3866" s="89" t="s">
        <v>5897</v>
      </c>
      <c r="L3866" s="89" t="str">
        <f>H132</f>
        <v>C1b3a1d1</v>
      </c>
      <c r="M3866" s="89"/>
      <c r="N3866" s="89" t="s">
        <v>5898</v>
      </c>
      <c r="O3866" s="92">
        <v>1.4350308E7</v>
      </c>
      <c r="P3866" s="92">
        <v>1.2229603E7</v>
      </c>
      <c r="Q3866" s="89" t="s">
        <v>864</v>
      </c>
      <c r="AF3866" s="1"/>
      <c r="AG3866" s="1"/>
    </row>
    <row r="3867" ht="15.75" customHeight="1">
      <c r="A3867" s="1"/>
      <c r="B3867" s="1"/>
      <c r="C3867" s="1"/>
      <c r="D3867" s="1"/>
      <c r="E3867" s="1"/>
      <c r="F3867" s="1"/>
      <c r="G3867" s="1"/>
      <c r="H3867" s="1"/>
      <c r="I3867" s="1"/>
      <c r="J3867" s="1"/>
      <c r="K3867" s="89" t="s">
        <v>5899</v>
      </c>
      <c r="L3867" s="89" t="str">
        <f>H132</f>
        <v>C1b3a1d1</v>
      </c>
      <c r="M3867" s="89"/>
      <c r="N3867" s="89" t="s">
        <v>5900</v>
      </c>
      <c r="O3867" s="92">
        <v>1.4413979E7</v>
      </c>
      <c r="P3867" s="92">
        <v>1.2293276E7</v>
      </c>
      <c r="Q3867" s="89" t="s">
        <v>810</v>
      </c>
      <c r="AF3867" s="1"/>
      <c r="AG3867" s="1"/>
    </row>
    <row r="3868" ht="15.75" customHeight="1">
      <c r="A3868" s="1"/>
      <c r="B3868" s="1"/>
      <c r="C3868" s="1"/>
      <c r="D3868" s="1"/>
      <c r="E3868" s="1"/>
      <c r="F3868" s="1"/>
      <c r="G3868" s="1"/>
      <c r="H3868" s="1"/>
      <c r="I3868" s="1"/>
      <c r="J3868" s="1"/>
      <c r="K3868" s="89" t="s">
        <v>5901</v>
      </c>
      <c r="L3868" s="89" t="str">
        <f>H132</f>
        <v>C1b3a1d1</v>
      </c>
      <c r="M3868" s="89"/>
      <c r="N3868" s="89" t="s">
        <v>5902</v>
      </c>
      <c r="O3868" s="92">
        <v>1.4489319E7</v>
      </c>
      <c r="P3868" s="92">
        <v>1.2368588E7</v>
      </c>
      <c r="Q3868" s="89" t="s">
        <v>822</v>
      </c>
      <c r="AF3868" s="1"/>
      <c r="AG3868" s="1"/>
    </row>
    <row r="3869" ht="15.75" customHeight="1">
      <c r="A3869" s="1"/>
      <c r="B3869" s="1"/>
      <c r="C3869" s="1"/>
      <c r="D3869" s="1"/>
      <c r="E3869" s="1"/>
      <c r="F3869" s="1"/>
      <c r="G3869" s="1"/>
      <c r="H3869" s="1"/>
      <c r="I3869" s="1"/>
      <c r="J3869" s="1"/>
      <c r="K3869" s="89" t="s">
        <v>5903</v>
      </c>
      <c r="L3869" s="89" t="str">
        <f>H132</f>
        <v>C1b3a1d1</v>
      </c>
      <c r="M3869" s="89"/>
      <c r="N3869" s="89" t="s">
        <v>5904</v>
      </c>
      <c r="O3869" s="92">
        <v>1.4493194E7</v>
      </c>
      <c r="P3869" s="92">
        <v>1.2381391E7</v>
      </c>
      <c r="Q3869" s="89" t="s">
        <v>810</v>
      </c>
      <c r="AF3869" s="1"/>
      <c r="AG3869" s="1"/>
    </row>
    <row r="3870" ht="15.75" customHeight="1">
      <c r="A3870" s="1"/>
      <c r="B3870" s="1"/>
      <c r="C3870" s="1"/>
      <c r="D3870" s="1"/>
      <c r="E3870" s="1"/>
      <c r="F3870" s="1"/>
      <c r="G3870" s="1"/>
      <c r="H3870" s="1"/>
      <c r="I3870" s="1"/>
      <c r="J3870" s="1"/>
      <c r="K3870" s="89" t="s">
        <v>5905</v>
      </c>
      <c r="L3870" s="89" t="str">
        <f>H132</f>
        <v>C1b3a1d1</v>
      </c>
      <c r="M3870" s="89"/>
      <c r="N3870" s="89" t="s">
        <v>5906</v>
      </c>
      <c r="O3870" s="92">
        <v>1.4530764E7</v>
      </c>
      <c r="P3870" s="92">
        <v>1.2418965E7</v>
      </c>
      <c r="Q3870" s="89" t="s">
        <v>802</v>
      </c>
      <c r="AF3870" s="1"/>
      <c r="AG3870" s="1"/>
    </row>
    <row r="3871" ht="15.75" customHeight="1">
      <c r="A3871" s="1"/>
      <c r="B3871" s="1"/>
      <c r="C3871" s="1"/>
      <c r="D3871" s="1"/>
      <c r="E3871" s="1"/>
      <c r="F3871" s="1"/>
      <c r="G3871" s="1"/>
      <c r="H3871" s="1"/>
      <c r="I3871" s="1"/>
      <c r="J3871" s="1"/>
      <c r="K3871" s="89" t="s">
        <v>5907</v>
      </c>
      <c r="L3871" s="89" t="str">
        <f>H132</f>
        <v>C1b3a1d1</v>
      </c>
      <c r="M3871" s="89"/>
      <c r="N3871" s="89" t="s">
        <v>5908</v>
      </c>
      <c r="O3871" s="92">
        <v>1.47062E7</v>
      </c>
      <c r="P3871" s="92">
        <v>1.2594266E7</v>
      </c>
      <c r="Q3871" s="89" t="s">
        <v>822</v>
      </c>
      <c r="AF3871" s="1"/>
      <c r="AG3871" s="1"/>
    </row>
    <row r="3872" ht="15.75" customHeight="1">
      <c r="A3872" s="1"/>
      <c r="B3872" s="1"/>
      <c r="C3872" s="1"/>
      <c r="D3872" s="1"/>
      <c r="E3872" s="1"/>
      <c r="F3872" s="1"/>
      <c r="G3872" s="1"/>
      <c r="H3872" s="1"/>
      <c r="I3872" s="1"/>
      <c r="J3872" s="1"/>
      <c r="K3872" s="89" t="s">
        <v>5909</v>
      </c>
      <c r="L3872" s="89" t="str">
        <f>H132</f>
        <v>C1b3a1d1</v>
      </c>
      <c r="M3872" s="89"/>
      <c r="N3872" s="89" t="s">
        <v>5910</v>
      </c>
      <c r="O3872" s="92">
        <v>1.484228E7</v>
      </c>
      <c r="P3872" s="92">
        <v>1.2730347E7</v>
      </c>
      <c r="Q3872" s="89" t="s">
        <v>822</v>
      </c>
      <c r="AF3872" s="1"/>
      <c r="AG3872" s="1"/>
    </row>
    <row r="3873" ht="15.75" customHeight="1">
      <c r="A3873" s="1"/>
      <c r="B3873" s="1"/>
      <c r="C3873" s="1"/>
      <c r="D3873" s="1"/>
      <c r="E3873" s="1"/>
      <c r="F3873" s="1"/>
      <c r="G3873" s="1"/>
      <c r="H3873" s="1"/>
      <c r="I3873" s="1"/>
      <c r="J3873" s="1"/>
      <c r="K3873" s="89" t="s">
        <v>5911</v>
      </c>
      <c r="L3873" s="89" t="str">
        <f>H132</f>
        <v>C1b3a1d1</v>
      </c>
      <c r="M3873" s="89"/>
      <c r="N3873" s="89" t="s">
        <v>5912</v>
      </c>
      <c r="O3873" s="92">
        <v>1.4842443E7</v>
      </c>
      <c r="P3873" s="92">
        <v>1.2730509E7</v>
      </c>
      <c r="Q3873" s="89" t="s">
        <v>802</v>
      </c>
      <c r="AF3873" s="1"/>
      <c r="AG3873" s="1"/>
    </row>
    <row r="3874" ht="15.75" customHeight="1">
      <c r="A3874" s="1"/>
      <c r="B3874" s="1"/>
      <c r="C3874" s="1"/>
      <c r="D3874" s="1"/>
      <c r="E3874" s="1"/>
      <c r="F3874" s="1"/>
      <c r="G3874" s="1"/>
      <c r="H3874" s="1"/>
      <c r="I3874" s="1"/>
      <c r="J3874" s="1"/>
      <c r="K3874" s="89" t="s">
        <v>5913</v>
      </c>
      <c r="L3874" s="89" t="str">
        <f>H132</f>
        <v>C1b3a1d1</v>
      </c>
      <c r="M3874" s="89"/>
      <c r="N3874" s="89" t="s">
        <v>5914</v>
      </c>
      <c r="O3874" s="92">
        <v>1.4915985E7</v>
      </c>
      <c r="P3874" s="92">
        <v>1.2804052E7</v>
      </c>
      <c r="Q3874" s="89" t="s">
        <v>831</v>
      </c>
      <c r="AF3874" s="1"/>
      <c r="AG3874" s="1"/>
    </row>
    <row r="3875" ht="15.75" customHeight="1">
      <c r="A3875" s="1"/>
      <c r="B3875" s="1"/>
      <c r="C3875" s="1"/>
      <c r="D3875" s="1"/>
      <c r="E3875" s="1"/>
      <c r="F3875" s="1"/>
      <c r="G3875" s="1"/>
      <c r="H3875" s="1"/>
      <c r="I3875" s="1"/>
      <c r="J3875" s="1"/>
      <c r="K3875" s="89" t="s">
        <v>5915</v>
      </c>
      <c r="L3875" s="89" t="str">
        <f>H132</f>
        <v>C1b3a1d1</v>
      </c>
      <c r="M3875" s="89"/>
      <c r="N3875" s="89" t="s">
        <v>5916</v>
      </c>
      <c r="O3875" s="92">
        <v>1.5078003E7</v>
      </c>
      <c r="P3875" s="92">
        <v>1.2966093E7</v>
      </c>
      <c r="Q3875" s="89" t="s">
        <v>822</v>
      </c>
      <c r="AF3875" s="1"/>
      <c r="AG3875" s="1"/>
    </row>
    <row r="3876" ht="15.75" customHeight="1">
      <c r="A3876" s="1"/>
      <c r="B3876" s="1"/>
      <c r="C3876" s="1"/>
      <c r="D3876" s="1"/>
      <c r="E3876" s="1"/>
      <c r="F3876" s="1"/>
      <c r="G3876" s="1"/>
      <c r="H3876" s="1"/>
      <c r="I3876" s="1"/>
      <c r="J3876" s="1"/>
      <c r="K3876" s="89" t="s">
        <v>5917</v>
      </c>
      <c r="L3876" s="89" t="str">
        <f>H132</f>
        <v>C1b3a1d1</v>
      </c>
      <c r="M3876" s="89"/>
      <c r="N3876" s="89" t="s">
        <v>5918</v>
      </c>
      <c r="O3876" s="92">
        <v>1.5079192E7</v>
      </c>
      <c r="P3876" s="92">
        <v>1.2967282E7</v>
      </c>
      <c r="Q3876" s="89" t="s">
        <v>822</v>
      </c>
      <c r="AF3876" s="1"/>
      <c r="AG3876" s="1"/>
    </row>
    <row r="3877" ht="15.75" customHeight="1">
      <c r="A3877" s="1"/>
      <c r="B3877" s="1"/>
      <c r="C3877" s="1"/>
      <c r="D3877" s="1"/>
      <c r="E3877" s="1"/>
      <c r="F3877" s="1"/>
      <c r="G3877" s="1"/>
      <c r="H3877" s="1"/>
      <c r="I3877" s="1"/>
      <c r="J3877" s="1"/>
      <c r="K3877" s="89" t="s">
        <v>5919</v>
      </c>
      <c r="L3877" s="89" t="str">
        <f>H132</f>
        <v>C1b3a1d1</v>
      </c>
      <c r="M3877" s="89"/>
      <c r="N3877" s="89" t="s">
        <v>5920</v>
      </c>
      <c r="O3877" s="92">
        <v>1.5350261E7</v>
      </c>
      <c r="P3877" s="92">
        <v>1.323838E7</v>
      </c>
      <c r="Q3877" s="89" t="s">
        <v>831</v>
      </c>
      <c r="AF3877" s="1"/>
      <c r="AG3877" s="1"/>
    </row>
    <row r="3878" ht="15.75" customHeight="1">
      <c r="A3878" s="1"/>
      <c r="B3878" s="1"/>
      <c r="C3878" s="1"/>
      <c r="D3878" s="1"/>
      <c r="E3878" s="1"/>
      <c r="F3878" s="1"/>
      <c r="G3878" s="1"/>
      <c r="H3878" s="1"/>
      <c r="I3878" s="1"/>
      <c r="J3878" s="1"/>
      <c r="K3878" s="89" t="s">
        <v>5921</v>
      </c>
      <c r="L3878" s="89" t="str">
        <f>H132</f>
        <v>C1b3a1d1</v>
      </c>
      <c r="M3878" s="89"/>
      <c r="N3878" s="89" t="s">
        <v>5922</v>
      </c>
      <c r="O3878" s="92">
        <v>1.547585E7</v>
      </c>
      <c r="P3878" s="92">
        <v>1.336397E7</v>
      </c>
      <c r="Q3878" s="89" t="s">
        <v>802</v>
      </c>
      <c r="AF3878" s="1"/>
      <c r="AG3878" s="1"/>
    </row>
    <row r="3879" ht="15.75" customHeight="1">
      <c r="A3879" s="1"/>
      <c r="B3879" s="1"/>
      <c r="C3879" s="1"/>
      <c r="D3879" s="1"/>
      <c r="E3879" s="1"/>
      <c r="F3879" s="1"/>
      <c r="G3879" s="1"/>
      <c r="H3879" s="1"/>
      <c r="I3879" s="1"/>
      <c r="J3879" s="1"/>
      <c r="K3879" s="89" t="s">
        <v>5923</v>
      </c>
      <c r="L3879" s="89" t="str">
        <f>H132</f>
        <v>C1b3a1d1</v>
      </c>
      <c r="M3879" s="89"/>
      <c r="N3879" s="89" t="s">
        <v>5924</v>
      </c>
      <c r="O3879" s="92">
        <v>1.5491623E7</v>
      </c>
      <c r="P3879" s="92">
        <v>1.3379743E7</v>
      </c>
      <c r="Q3879" s="89" t="s">
        <v>802</v>
      </c>
      <c r="AF3879" s="1"/>
      <c r="AG3879" s="1"/>
    </row>
    <row r="3880" ht="15.75" customHeight="1">
      <c r="A3880" s="1"/>
      <c r="B3880" s="1"/>
      <c r="C3880" s="1"/>
      <c r="D3880" s="1"/>
      <c r="E3880" s="1"/>
      <c r="F3880" s="1"/>
      <c r="G3880" s="1"/>
      <c r="H3880" s="1"/>
      <c r="I3880" s="1"/>
      <c r="J3880" s="1"/>
      <c r="K3880" s="89" t="s">
        <v>5925</v>
      </c>
      <c r="L3880" s="89" t="str">
        <f>H132</f>
        <v>C1b3a1d1</v>
      </c>
      <c r="M3880" s="89"/>
      <c r="N3880" s="89" t="s">
        <v>5926</v>
      </c>
      <c r="O3880" s="92">
        <v>1.5719448E7</v>
      </c>
      <c r="P3880" s="92">
        <v>1.3607568E7</v>
      </c>
      <c r="Q3880" s="89" t="s">
        <v>802</v>
      </c>
      <c r="AF3880" s="1"/>
      <c r="AG3880" s="1"/>
    </row>
    <row r="3881" ht="15.75" customHeight="1">
      <c r="A3881" s="1"/>
      <c r="B3881" s="1"/>
      <c r="C3881" s="1"/>
      <c r="D3881" s="1"/>
      <c r="E3881" s="1"/>
      <c r="F3881" s="1"/>
      <c r="G3881" s="1"/>
      <c r="H3881" s="1"/>
      <c r="I3881" s="1"/>
      <c r="J3881" s="1"/>
      <c r="K3881" s="89" t="s">
        <v>5927</v>
      </c>
      <c r="L3881" s="89" t="str">
        <f>H132</f>
        <v>C1b3a1d1</v>
      </c>
      <c r="M3881" s="89"/>
      <c r="N3881" s="89"/>
      <c r="O3881" s="92">
        <v>1.5816346E7</v>
      </c>
      <c r="P3881" s="92">
        <v>1.3704466E7</v>
      </c>
      <c r="Q3881" s="89" t="s">
        <v>845</v>
      </c>
      <c r="AF3881" s="1"/>
      <c r="AG3881" s="1"/>
    </row>
    <row r="3882" ht="15.75" customHeight="1">
      <c r="A3882" s="1"/>
      <c r="B3882" s="1"/>
      <c r="C3882" s="1"/>
      <c r="D3882" s="1"/>
      <c r="E3882" s="1"/>
      <c r="F3882" s="1"/>
      <c r="G3882" s="1"/>
      <c r="H3882" s="1"/>
      <c r="I3882" s="1"/>
      <c r="J3882" s="1"/>
      <c r="K3882" s="89" t="s">
        <v>5928</v>
      </c>
      <c r="L3882" s="89" t="str">
        <f>H132</f>
        <v>C1b3a1d1</v>
      </c>
      <c r="M3882" s="89"/>
      <c r="N3882" s="89" t="s">
        <v>5929</v>
      </c>
      <c r="O3882" s="92">
        <v>1.6444823E7</v>
      </c>
      <c r="P3882" s="92">
        <v>1.4332943E7</v>
      </c>
      <c r="Q3882" s="89" t="s">
        <v>879</v>
      </c>
      <c r="AF3882" s="1"/>
      <c r="AG3882" s="1"/>
    </row>
    <row r="3883" ht="15.75" customHeight="1">
      <c r="A3883" s="1"/>
      <c r="B3883" s="1"/>
      <c r="C3883" s="1"/>
      <c r="D3883" s="1"/>
      <c r="E3883" s="1"/>
      <c r="F3883" s="1"/>
      <c r="G3883" s="1"/>
      <c r="H3883" s="1"/>
      <c r="I3883" s="1"/>
      <c r="J3883" s="1"/>
      <c r="K3883" s="89" t="s">
        <v>5930</v>
      </c>
      <c r="L3883" s="89" t="str">
        <f>H132</f>
        <v>C1b3a1d1</v>
      </c>
      <c r="M3883" s="89"/>
      <c r="N3883" s="89" t="s">
        <v>5931</v>
      </c>
      <c r="O3883" s="92">
        <v>1.652049E7</v>
      </c>
      <c r="P3883" s="92">
        <v>1.440861E7</v>
      </c>
      <c r="Q3883" s="89" t="s">
        <v>822</v>
      </c>
      <c r="AF3883" s="1"/>
      <c r="AG3883" s="1"/>
    </row>
    <row r="3884" ht="15.75" customHeight="1">
      <c r="A3884" s="1"/>
      <c r="B3884" s="1"/>
      <c r="C3884" s="1"/>
      <c r="D3884" s="1"/>
      <c r="E3884" s="1"/>
      <c r="F3884" s="1"/>
      <c r="G3884" s="1"/>
      <c r="H3884" s="1"/>
      <c r="I3884" s="1"/>
      <c r="J3884" s="1"/>
      <c r="K3884" s="89" t="s">
        <v>5932</v>
      </c>
      <c r="L3884" s="89" t="str">
        <f>H132</f>
        <v>C1b3a1d1</v>
      </c>
      <c r="M3884" s="89"/>
      <c r="N3884" s="89" t="s">
        <v>5933</v>
      </c>
      <c r="O3884" s="92">
        <v>1.6896618E7</v>
      </c>
      <c r="P3884" s="92">
        <v>1.4784738E7</v>
      </c>
      <c r="Q3884" s="89" t="s">
        <v>822</v>
      </c>
      <c r="AF3884" s="1"/>
      <c r="AG3884" s="1"/>
    </row>
    <row r="3885" ht="15.75" customHeight="1">
      <c r="A3885" s="1"/>
      <c r="B3885" s="1"/>
      <c r="C3885" s="1"/>
      <c r="D3885" s="1"/>
      <c r="E3885" s="1"/>
      <c r="F3885" s="1"/>
      <c r="G3885" s="1"/>
      <c r="H3885" s="1"/>
      <c r="I3885" s="1"/>
      <c r="J3885" s="1"/>
      <c r="K3885" s="89" t="s">
        <v>5934</v>
      </c>
      <c r="L3885" s="89" t="str">
        <f>H132</f>
        <v>C1b3a1d1</v>
      </c>
      <c r="M3885" s="89"/>
      <c r="N3885" s="89" t="s">
        <v>5935</v>
      </c>
      <c r="O3885" s="92">
        <v>1.702321E7</v>
      </c>
      <c r="P3885" s="92">
        <v>1.491133E7</v>
      </c>
      <c r="Q3885" s="89" t="s">
        <v>864</v>
      </c>
      <c r="AF3885" s="1"/>
      <c r="AG3885" s="1"/>
    </row>
    <row r="3886" ht="15.75" customHeight="1">
      <c r="A3886" s="1"/>
      <c r="B3886" s="1"/>
      <c r="C3886" s="1"/>
      <c r="D3886" s="1"/>
      <c r="E3886" s="1"/>
      <c r="F3886" s="1"/>
      <c r="G3886" s="1"/>
      <c r="H3886" s="1"/>
      <c r="I3886" s="1"/>
      <c r="J3886" s="1"/>
      <c r="K3886" s="89" t="s">
        <v>5936</v>
      </c>
      <c r="L3886" s="89" t="str">
        <f>H132</f>
        <v>C1b3a1d1</v>
      </c>
      <c r="M3886" s="89"/>
      <c r="N3886" s="89" t="s">
        <v>5937</v>
      </c>
      <c r="O3886" s="92">
        <v>1.7341387E7</v>
      </c>
      <c r="P3886" s="92">
        <v>1.5229507E7</v>
      </c>
      <c r="Q3886" s="89" t="s">
        <v>810</v>
      </c>
      <c r="AF3886" s="1"/>
      <c r="AG3886" s="1"/>
    </row>
    <row r="3887" ht="15.75" customHeight="1">
      <c r="A3887" s="1"/>
      <c r="B3887" s="1"/>
      <c r="C3887" s="1"/>
      <c r="D3887" s="1"/>
      <c r="E3887" s="1"/>
      <c r="F3887" s="1"/>
      <c r="G3887" s="1"/>
      <c r="H3887" s="1"/>
      <c r="I3887" s="1"/>
      <c r="J3887" s="1"/>
      <c r="K3887" s="89" t="s">
        <v>5938</v>
      </c>
      <c r="L3887" s="89" t="str">
        <f>H132</f>
        <v>C1b3a1d1</v>
      </c>
      <c r="M3887" s="89"/>
      <c r="N3887" s="89" t="s">
        <v>5939</v>
      </c>
      <c r="O3887" s="92">
        <v>1.7351443E7</v>
      </c>
      <c r="P3887" s="92">
        <v>1.5239563E7</v>
      </c>
      <c r="Q3887" s="89" t="s">
        <v>879</v>
      </c>
      <c r="AF3887" s="1"/>
      <c r="AG3887" s="1"/>
    </row>
    <row r="3888" ht="15.75" customHeight="1">
      <c r="A3888" s="1"/>
      <c r="B3888" s="1"/>
      <c r="C3888" s="1"/>
      <c r="D3888" s="1"/>
      <c r="E3888" s="1"/>
      <c r="F3888" s="1"/>
      <c r="G3888" s="1"/>
      <c r="H3888" s="1"/>
      <c r="I3888" s="1"/>
      <c r="J3888" s="1"/>
      <c r="K3888" s="89" t="s">
        <v>5940</v>
      </c>
      <c r="L3888" s="89" t="str">
        <f>H132</f>
        <v>C1b3a1d1</v>
      </c>
      <c r="M3888" s="89"/>
      <c r="N3888" s="89" t="s">
        <v>5941</v>
      </c>
      <c r="O3888" s="92">
        <v>1.7519286E7</v>
      </c>
      <c r="P3888" s="92">
        <v>1.5407406E7</v>
      </c>
      <c r="Q3888" s="89" t="s">
        <v>917</v>
      </c>
      <c r="AF3888" s="1"/>
      <c r="AG3888" s="1"/>
    </row>
    <row r="3889" ht="15.75" customHeight="1">
      <c r="A3889" s="1"/>
      <c r="B3889" s="1"/>
      <c r="C3889" s="1"/>
      <c r="D3889" s="1"/>
      <c r="E3889" s="1"/>
      <c r="F3889" s="1"/>
      <c r="G3889" s="1"/>
      <c r="H3889" s="1"/>
      <c r="I3889" s="1"/>
      <c r="J3889" s="1"/>
      <c r="K3889" s="89" t="s">
        <v>5942</v>
      </c>
      <c r="L3889" s="89" t="str">
        <f>H132</f>
        <v>C1b3a1d1</v>
      </c>
      <c r="M3889" s="89"/>
      <c r="N3889" s="89" t="s">
        <v>5943</v>
      </c>
      <c r="O3889" s="92">
        <v>1.7524635E7</v>
      </c>
      <c r="P3889" s="92">
        <v>1.5412755E7</v>
      </c>
      <c r="Q3889" s="89" t="s">
        <v>810</v>
      </c>
      <c r="AF3889" s="1"/>
      <c r="AG3889" s="1"/>
    </row>
    <row r="3890" ht="15.75" customHeight="1">
      <c r="A3890" s="1"/>
      <c r="B3890" s="1"/>
      <c r="C3890" s="1"/>
      <c r="D3890" s="1"/>
      <c r="E3890" s="1"/>
      <c r="F3890" s="1"/>
      <c r="G3890" s="1"/>
      <c r="H3890" s="1"/>
      <c r="I3890" s="1"/>
      <c r="J3890" s="1"/>
      <c r="K3890" s="89" t="s">
        <v>5944</v>
      </c>
      <c r="L3890" s="89" t="str">
        <f>H132</f>
        <v>C1b3a1d1</v>
      </c>
      <c r="M3890" s="89"/>
      <c r="N3890" s="89" t="s">
        <v>5945</v>
      </c>
      <c r="O3890" s="92">
        <v>1.7574486E7</v>
      </c>
      <c r="P3890" s="92">
        <v>1.5462606E7</v>
      </c>
      <c r="Q3890" s="89" t="s">
        <v>810</v>
      </c>
      <c r="AF3890" s="1"/>
      <c r="AG3890" s="1"/>
    </row>
    <row r="3891" ht="15.75" customHeight="1">
      <c r="A3891" s="1"/>
      <c r="B3891" s="1"/>
      <c r="C3891" s="1"/>
      <c r="D3891" s="1"/>
      <c r="E3891" s="1"/>
      <c r="F3891" s="1"/>
      <c r="G3891" s="1"/>
      <c r="H3891" s="1"/>
      <c r="I3891" s="1"/>
      <c r="J3891" s="1"/>
      <c r="K3891" s="89" t="s">
        <v>5946</v>
      </c>
      <c r="L3891" s="89" t="str">
        <f>H132</f>
        <v>C1b3a1d1</v>
      </c>
      <c r="M3891" s="89"/>
      <c r="N3891" s="89" t="s">
        <v>5947</v>
      </c>
      <c r="O3891" s="92">
        <v>1.7608034E7</v>
      </c>
      <c r="P3891" s="92">
        <v>1.5496154E7</v>
      </c>
      <c r="Q3891" s="89" t="s">
        <v>912</v>
      </c>
      <c r="AF3891" s="1"/>
      <c r="AG3891" s="1"/>
    </row>
    <row r="3892" ht="15.75" customHeight="1">
      <c r="A3892" s="1"/>
      <c r="B3892" s="1"/>
      <c r="C3892" s="1"/>
      <c r="D3892" s="1"/>
      <c r="E3892" s="1"/>
      <c r="F3892" s="1"/>
      <c r="G3892" s="1"/>
      <c r="H3892" s="1"/>
      <c r="I3892" s="1"/>
      <c r="J3892" s="1"/>
      <c r="K3892" s="89" t="s">
        <v>5948</v>
      </c>
      <c r="L3892" s="89" t="str">
        <f>H132</f>
        <v>C1b3a1d1</v>
      </c>
      <c r="M3892" s="89"/>
      <c r="N3892" s="89" t="s">
        <v>5949</v>
      </c>
      <c r="O3892" s="92">
        <v>1.7817934E7</v>
      </c>
      <c r="P3892" s="92">
        <v>1.5706054E7</v>
      </c>
      <c r="Q3892" s="89" t="s">
        <v>822</v>
      </c>
      <c r="AF3892" s="1"/>
      <c r="AG3892" s="1"/>
    </row>
    <row r="3893" ht="15.75" customHeight="1">
      <c r="A3893" s="1"/>
      <c r="B3893" s="1"/>
      <c r="C3893" s="1"/>
      <c r="D3893" s="1"/>
      <c r="E3893" s="1"/>
      <c r="F3893" s="1"/>
      <c r="G3893" s="1"/>
      <c r="H3893" s="1"/>
      <c r="I3893" s="1"/>
      <c r="J3893" s="1"/>
      <c r="K3893" s="89" t="s">
        <v>5950</v>
      </c>
      <c r="L3893" s="89" t="str">
        <f>H132</f>
        <v>C1b3a1d1</v>
      </c>
      <c r="M3893" s="89"/>
      <c r="N3893" s="89" t="s">
        <v>5951</v>
      </c>
      <c r="O3893" s="92">
        <v>1.792008E7</v>
      </c>
      <c r="P3893" s="92">
        <v>1.58082E7</v>
      </c>
      <c r="Q3893" s="89" t="s">
        <v>822</v>
      </c>
      <c r="AF3893" s="1"/>
      <c r="AG3893" s="1"/>
    </row>
    <row r="3894" ht="15.75" customHeight="1">
      <c r="A3894" s="1"/>
      <c r="B3894" s="1"/>
      <c r="C3894" s="1"/>
      <c r="D3894" s="1"/>
      <c r="E3894" s="1"/>
      <c r="F3894" s="1"/>
      <c r="G3894" s="1"/>
      <c r="H3894" s="1"/>
      <c r="I3894" s="1"/>
      <c r="J3894" s="1"/>
      <c r="K3894" s="89" t="s">
        <v>5952</v>
      </c>
      <c r="L3894" s="89" t="str">
        <f>H132</f>
        <v>C1b3a1d1</v>
      </c>
      <c r="M3894" s="89"/>
      <c r="N3894" s="89" t="s">
        <v>5953</v>
      </c>
      <c r="O3894" s="92">
        <v>1.8032298E7</v>
      </c>
      <c r="P3894" s="92">
        <v>1.5920418E7</v>
      </c>
      <c r="Q3894" s="89" t="s">
        <v>810</v>
      </c>
      <c r="AF3894" s="1"/>
      <c r="AG3894" s="1"/>
    </row>
    <row r="3895" ht="15.75" customHeight="1">
      <c r="A3895" s="1"/>
      <c r="B3895" s="1"/>
      <c r="C3895" s="1"/>
      <c r="D3895" s="1"/>
      <c r="E3895" s="1"/>
      <c r="F3895" s="1"/>
      <c r="G3895" s="1"/>
      <c r="H3895" s="1"/>
      <c r="I3895" s="1"/>
      <c r="J3895" s="1"/>
      <c r="K3895" s="89" t="s">
        <v>5954</v>
      </c>
      <c r="L3895" s="89" t="str">
        <f>H132</f>
        <v>C1b3a1d1</v>
      </c>
      <c r="M3895" s="89"/>
      <c r="N3895" s="89" t="s">
        <v>5955</v>
      </c>
      <c r="O3895" s="92">
        <v>1.8046819E7</v>
      </c>
      <c r="P3895" s="92">
        <v>1.5934939E7</v>
      </c>
      <c r="Q3895" s="89" t="s">
        <v>810</v>
      </c>
      <c r="AF3895" s="1"/>
      <c r="AG3895" s="1"/>
    </row>
    <row r="3896" ht="15.75" customHeight="1">
      <c r="A3896" s="1"/>
      <c r="B3896" s="1"/>
      <c r="C3896" s="1"/>
      <c r="D3896" s="1"/>
      <c r="E3896" s="1"/>
      <c r="F3896" s="1"/>
      <c r="G3896" s="1"/>
      <c r="H3896" s="1"/>
      <c r="I3896" s="1"/>
      <c r="J3896" s="1"/>
      <c r="K3896" s="89" t="s">
        <v>5956</v>
      </c>
      <c r="L3896" s="89" t="str">
        <f>H132</f>
        <v>C1b3a1d1</v>
      </c>
      <c r="M3896" s="89"/>
      <c r="N3896" s="89" t="s">
        <v>5957</v>
      </c>
      <c r="O3896" s="92">
        <v>1.8051635E7</v>
      </c>
      <c r="P3896" s="92">
        <v>1.5939755E7</v>
      </c>
      <c r="Q3896" s="89" t="s">
        <v>838</v>
      </c>
      <c r="AF3896" s="1"/>
      <c r="AG3896" s="1"/>
    </row>
    <row r="3897" ht="15.75" customHeight="1">
      <c r="A3897" s="1"/>
      <c r="B3897" s="1"/>
      <c r="C3897" s="1"/>
      <c r="D3897" s="1"/>
      <c r="E3897" s="1"/>
      <c r="F3897" s="1"/>
      <c r="G3897" s="1"/>
      <c r="H3897" s="1"/>
      <c r="I3897" s="1"/>
      <c r="J3897" s="1"/>
      <c r="K3897" s="89" t="s">
        <v>5958</v>
      </c>
      <c r="L3897" s="89" t="str">
        <f>H132</f>
        <v>C1b3a1d1</v>
      </c>
      <c r="M3897" s="89"/>
      <c r="N3897" s="89" t="s">
        <v>5959</v>
      </c>
      <c r="O3897" s="92">
        <v>1.8100277E7</v>
      </c>
      <c r="P3897" s="92">
        <v>1.5988397E7</v>
      </c>
      <c r="Q3897" s="89" t="s">
        <v>802</v>
      </c>
      <c r="AF3897" s="1"/>
      <c r="AG3897" s="1"/>
    </row>
    <row r="3898" ht="15.75" customHeight="1">
      <c r="A3898" s="1"/>
      <c r="B3898" s="1"/>
      <c r="C3898" s="1"/>
      <c r="D3898" s="1"/>
      <c r="E3898" s="1"/>
      <c r="F3898" s="1"/>
      <c r="G3898" s="1"/>
      <c r="H3898" s="1"/>
      <c r="I3898" s="1"/>
      <c r="J3898" s="1"/>
      <c r="K3898" s="89" t="s">
        <v>5960</v>
      </c>
      <c r="L3898" s="89" t="str">
        <f>H132</f>
        <v>C1b3a1d1</v>
      </c>
      <c r="M3898" s="89"/>
      <c r="N3898" s="89" t="s">
        <v>5961</v>
      </c>
      <c r="O3898" s="92">
        <v>1.8132406E7</v>
      </c>
      <c r="P3898" s="92">
        <v>1.6020526E7</v>
      </c>
      <c r="Q3898" s="89" t="s">
        <v>813</v>
      </c>
      <c r="AF3898" s="1"/>
      <c r="AG3898" s="1"/>
    </row>
    <row r="3899" ht="15.75" customHeight="1">
      <c r="A3899" s="1"/>
      <c r="B3899" s="1"/>
      <c r="C3899" s="1"/>
      <c r="D3899" s="1"/>
      <c r="E3899" s="1"/>
      <c r="F3899" s="1"/>
      <c r="G3899" s="1"/>
      <c r="H3899" s="1"/>
      <c r="I3899" s="1"/>
      <c r="J3899" s="1"/>
      <c r="K3899" s="89" t="s">
        <v>5962</v>
      </c>
      <c r="L3899" s="89" t="str">
        <f>H132</f>
        <v>C1b3a1d1</v>
      </c>
      <c r="M3899" s="89"/>
      <c r="N3899" s="89" t="s">
        <v>5963</v>
      </c>
      <c r="O3899" s="92">
        <v>1.8539595E7</v>
      </c>
      <c r="P3899" s="92">
        <v>1.6427715E7</v>
      </c>
      <c r="Q3899" s="89" t="s">
        <v>802</v>
      </c>
      <c r="AF3899" s="1"/>
      <c r="AG3899" s="1"/>
    </row>
    <row r="3900" ht="15.75" customHeight="1">
      <c r="A3900" s="1"/>
      <c r="B3900" s="1"/>
      <c r="C3900" s="1"/>
      <c r="D3900" s="1"/>
      <c r="E3900" s="1"/>
      <c r="F3900" s="1"/>
      <c r="G3900" s="1"/>
      <c r="H3900" s="1"/>
      <c r="I3900" s="1"/>
      <c r="J3900" s="1"/>
      <c r="K3900" s="89" t="s">
        <v>5964</v>
      </c>
      <c r="L3900" s="89" t="str">
        <f>H132</f>
        <v>C1b3a1d1</v>
      </c>
      <c r="M3900" s="89"/>
      <c r="N3900" s="89" t="s">
        <v>5965</v>
      </c>
      <c r="O3900" s="92">
        <v>1.8562752E7</v>
      </c>
      <c r="P3900" s="92">
        <v>1.6450872E7</v>
      </c>
      <c r="Q3900" s="89" t="s">
        <v>838</v>
      </c>
      <c r="AF3900" s="1"/>
      <c r="AG3900" s="1"/>
    </row>
    <row r="3901" ht="15.75" customHeight="1">
      <c r="A3901" s="1"/>
      <c r="B3901" s="1"/>
      <c r="C3901" s="1"/>
      <c r="D3901" s="1"/>
      <c r="E3901" s="1"/>
      <c r="F3901" s="1"/>
      <c r="G3901" s="1"/>
      <c r="H3901" s="1"/>
      <c r="I3901" s="1"/>
      <c r="J3901" s="1"/>
      <c r="K3901" s="89" t="s">
        <v>5966</v>
      </c>
      <c r="L3901" s="89" t="str">
        <f>H132</f>
        <v>C1b3a1d1</v>
      </c>
      <c r="M3901" s="89"/>
      <c r="N3901" s="89" t="s">
        <v>5967</v>
      </c>
      <c r="O3901" s="92">
        <v>1.8664181E7</v>
      </c>
      <c r="P3901" s="92">
        <v>1.6552301E7</v>
      </c>
      <c r="Q3901" s="89" t="s">
        <v>917</v>
      </c>
      <c r="AF3901" s="1"/>
      <c r="AG3901" s="1"/>
    </row>
    <row r="3902" ht="15.75" customHeight="1">
      <c r="A3902" s="1"/>
      <c r="B3902" s="1"/>
      <c r="C3902" s="1"/>
      <c r="D3902" s="1"/>
      <c r="E3902" s="1"/>
      <c r="F3902" s="1"/>
      <c r="G3902" s="1"/>
      <c r="H3902" s="1"/>
      <c r="I3902" s="1"/>
      <c r="J3902" s="1"/>
      <c r="K3902" s="89" t="s">
        <v>5968</v>
      </c>
      <c r="L3902" s="89" t="str">
        <f>H132</f>
        <v>C1b3a1d1</v>
      </c>
      <c r="M3902" s="89"/>
      <c r="N3902" s="89" t="s">
        <v>5969</v>
      </c>
      <c r="O3902" s="92">
        <v>1.8733333E7</v>
      </c>
      <c r="P3902" s="92">
        <v>1.6621453E7</v>
      </c>
      <c r="Q3902" s="89" t="s">
        <v>822</v>
      </c>
      <c r="AF3902" s="1"/>
      <c r="AG3902" s="1"/>
    </row>
    <row r="3903" ht="15.75" customHeight="1">
      <c r="A3903" s="1"/>
      <c r="B3903" s="1"/>
      <c r="C3903" s="1"/>
      <c r="D3903" s="1"/>
      <c r="E3903" s="1"/>
      <c r="F3903" s="1"/>
      <c r="G3903" s="1"/>
      <c r="H3903" s="1"/>
      <c r="I3903" s="1"/>
      <c r="J3903" s="1"/>
      <c r="K3903" s="89" t="s">
        <v>5970</v>
      </c>
      <c r="L3903" s="89" t="str">
        <f>H132</f>
        <v>C1b3a1d1</v>
      </c>
      <c r="M3903" s="89"/>
      <c r="N3903" s="89" t="s">
        <v>5971</v>
      </c>
      <c r="O3903" s="92">
        <v>1.9410063E7</v>
      </c>
      <c r="P3903" s="92">
        <v>1.7298183E7</v>
      </c>
      <c r="Q3903" s="89" t="s">
        <v>813</v>
      </c>
      <c r="AF3903" s="1"/>
      <c r="AG3903" s="1"/>
    </row>
    <row r="3904" ht="15.75" customHeight="1">
      <c r="A3904" s="1"/>
      <c r="B3904" s="1"/>
      <c r="C3904" s="1"/>
      <c r="D3904" s="1"/>
      <c r="E3904" s="1"/>
      <c r="F3904" s="1"/>
      <c r="G3904" s="1"/>
      <c r="H3904" s="1"/>
      <c r="I3904" s="1"/>
      <c r="J3904" s="1"/>
      <c r="K3904" s="89" t="s">
        <v>5972</v>
      </c>
      <c r="L3904" s="89" t="str">
        <f>H132</f>
        <v>C1b3a1d1</v>
      </c>
      <c r="M3904" s="89"/>
      <c r="N3904" s="89" t="s">
        <v>5973</v>
      </c>
      <c r="O3904" s="92">
        <v>1.9453717E7</v>
      </c>
      <c r="P3904" s="92">
        <v>1.7341837E7</v>
      </c>
      <c r="Q3904" s="89" t="s">
        <v>917</v>
      </c>
      <c r="AF3904" s="1"/>
      <c r="AG3904" s="1"/>
    </row>
    <row r="3905" ht="15.75" customHeight="1">
      <c r="A3905" s="1"/>
      <c r="B3905" s="1"/>
      <c r="C3905" s="1"/>
      <c r="D3905" s="1"/>
      <c r="E3905" s="1"/>
      <c r="F3905" s="1"/>
      <c r="G3905" s="1"/>
      <c r="H3905" s="1"/>
      <c r="I3905" s="1"/>
      <c r="J3905" s="1"/>
      <c r="K3905" s="89" t="s">
        <v>5974</v>
      </c>
      <c r="L3905" s="89" t="str">
        <f>H132</f>
        <v>C1b3a1d1</v>
      </c>
      <c r="M3905" s="89"/>
      <c r="N3905" s="89" t="s">
        <v>5975</v>
      </c>
      <c r="O3905" s="92">
        <v>1.9552022E7</v>
      </c>
      <c r="P3905" s="92">
        <v>1.7440142E7</v>
      </c>
      <c r="Q3905" s="89" t="s">
        <v>810</v>
      </c>
      <c r="AF3905" s="1"/>
      <c r="AG3905" s="1"/>
    </row>
    <row r="3906" ht="15.75" customHeight="1">
      <c r="A3906" s="1"/>
      <c r="B3906" s="1"/>
      <c r="C3906" s="1"/>
      <c r="D3906" s="1"/>
      <c r="E3906" s="1"/>
      <c r="F3906" s="1"/>
      <c r="G3906" s="1"/>
      <c r="H3906" s="1"/>
      <c r="I3906" s="1"/>
      <c r="J3906" s="1"/>
      <c r="K3906" s="89" t="s">
        <v>5976</v>
      </c>
      <c r="L3906" s="89" t="str">
        <f>H132</f>
        <v>C1b3a1d1</v>
      </c>
      <c r="M3906" s="89"/>
      <c r="N3906" s="89" t="s">
        <v>5977</v>
      </c>
      <c r="O3906" s="92">
        <v>2.1101863E7</v>
      </c>
      <c r="P3906" s="92">
        <v>1.8939977E7</v>
      </c>
      <c r="Q3906" s="89" t="s">
        <v>912</v>
      </c>
      <c r="AF3906" s="1"/>
      <c r="AG3906" s="1"/>
    </row>
    <row r="3907" ht="15.75" customHeight="1">
      <c r="A3907" s="1"/>
      <c r="B3907" s="1"/>
      <c r="C3907" s="1"/>
      <c r="D3907" s="1"/>
      <c r="E3907" s="1"/>
      <c r="F3907" s="1"/>
      <c r="G3907" s="1"/>
      <c r="H3907" s="1"/>
      <c r="I3907" s="1"/>
      <c r="J3907" s="1"/>
      <c r="K3907" s="89" t="s">
        <v>5978</v>
      </c>
      <c r="L3907" s="89" t="str">
        <f>H132</f>
        <v>C1b3a1d1</v>
      </c>
      <c r="M3907" s="89"/>
      <c r="N3907" s="89" t="s">
        <v>5979</v>
      </c>
      <c r="O3907" s="92">
        <v>2.1156088E7</v>
      </c>
      <c r="P3907" s="92">
        <v>1.8994202E7</v>
      </c>
      <c r="Q3907" s="89" t="s">
        <v>864</v>
      </c>
      <c r="AF3907" s="1"/>
      <c r="AG3907" s="1"/>
    </row>
    <row r="3908" ht="15.75" customHeight="1">
      <c r="A3908" s="1"/>
      <c r="B3908" s="1"/>
      <c r="C3908" s="1"/>
      <c r="D3908" s="1"/>
      <c r="E3908" s="1"/>
      <c r="F3908" s="1"/>
      <c r="G3908" s="1"/>
      <c r="H3908" s="1"/>
      <c r="I3908" s="1"/>
      <c r="J3908" s="1"/>
      <c r="K3908" s="89" t="s">
        <v>5980</v>
      </c>
      <c r="L3908" s="89" t="str">
        <f>H132</f>
        <v>C1b3a1d1</v>
      </c>
      <c r="M3908" s="89"/>
      <c r="N3908" s="89" t="s">
        <v>5981</v>
      </c>
      <c r="O3908" s="92">
        <v>2.1163814E7</v>
      </c>
      <c r="P3908" s="92">
        <v>1.9001928E7</v>
      </c>
      <c r="Q3908" s="89" t="s">
        <v>822</v>
      </c>
      <c r="AF3908" s="1"/>
      <c r="AG3908" s="1"/>
    </row>
    <row r="3909" ht="15.75" customHeight="1">
      <c r="A3909" s="1"/>
      <c r="B3909" s="1"/>
      <c r="C3909" s="1"/>
      <c r="D3909" s="1"/>
      <c r="E3909" s="1"/>
      <c r="F3909" s="1"/>
      <c r="G3909" s="1"/>
      <c r="H3909" s="1"/>
      <c r="I3909" s="1"/>
      <c r="J3909" s="1"/>
      <c r="K3909" s="89" t="s">
        <v>5982</v>
      </c>
      <c r="L3909" s="89" t="str">
        <f>H132</f>
        <v>C1b3a1d1</v>
      </c>
      <c r="M3909" s="89"/>
      <c r="N3909" s="89" t="s">
        <v>5983</v>
      </c>
      <c r="O3909" s="92">
        <v>2.1195151E7</v>
      </c>
      <c r="P3909" s="92">
        <v>1.9033265E7</v>
      </c>
      <c r="Q3909" s="89" t="s">
        <v>831</v>
      </c>
      <c r="AF3909" s="1"/>
      <c r="AG3909" s="1"/>
    </row>
    <row r="3910" ht="15.75" customHeight="1">
      <c r="A3910" s="1"/>
      <c r="B3910" s="1"/>
      <c r="C3910" s="1"/>
      <c r="D3910" s="1"/>
      <c r="E3910" s="1"/>
      <c r="F3910" s="1"/>
      <c r="G3910" s="1"/>
      <c r="H3910" s="1"/>
      <c r="I3910" s="1"/>
      <c r="J3910" s="1"/>
      <c r="K3910" s="89" t="s">
        <v>5984</v>
      </c>
      <c r="L3910" s="89" t="str">
        <f>H132</f>
        <v>C1b3a1d1</v>
      </c>
      <c r="M3910" s="89"/>
      <c r="N3910" s="89" t="s">
        <v>5985</v>
      </c>
      <c r="O3910" s="92">
        <v>2.1259921E7</v>
      </c>
      <c r="P3910" s="92">
        <v>1.9098035E7</v>
      </c>
      <c r="Q3910" s="89" t="s">
        <v>845</v>
      </c>
      <c r="AF3910" s="1"/>
      <c r="AG3910" s="1"/>
    </row>
    <row r="3911" ht="15.75" customHeight="1">
      <c r="A3911" s="1"/>
      <c r="B3911" s="1"/>
      <c r="C3911" s="1"/>
      <c r="D3911" s="1"/>
      <c r="E3911" s="1"/>
      <c r="F3911" s="1"/>
      <c r="G3911" s="1"/>
      <c r="H3911" s="1"/>
      <c r="I3911" s="1"/>
      <c r="J3911" s="1"/>
      <c r="K3911" s="89" t="s">
        <v>5986</v>
      </c>
      <c r="L3911" s="89" t="str">
        <f>H132</f>
        <v>C1b3a1d1</v>
      </c>
      <c r="M3911" s="89"/>
      <c r="N3911" s="89" t="s">
        <v>5987</v>
      </c>
      <c r="O3911" s="92">
        <v>2.1392808E7</v>
      </c>
      <c r="P3911" s="92">
        <v>1.9230922E7</v>
      </c>
      <c r="Q3911" s="89" t="s">
        <v>810</v>
      </c>
      <c r="AF3911" s="1"/>
      <c r="AG3911" s="1"/>
    </row>
    <row r="3912" ht="15.75" customHeight="1">
      <c r="A3912" s="1"/>
      <c r="B3912" s="1"/>
      <c r="C3912" s="1"/>
      <c r="D3912" s="1"/>
      <c r="E3912" s="1"/>
      <c r="F3912" s="1"/>
      <c r="G3912" s="1"/>
      <c r="H3912" s="1"/>
      <c r="I3912" s="1"/>
      <c r="J3912" s="1"/>
      <c r="K3912" s="89" t="s">
        <v>5988</v>
      </c>
      <c r="L3912" s="89" t="str">
        <f>H132</f>
        <v>C1b3a1d1</v>
      </c>
      <c r="M3912" s="89"/>
      <c r="N3912" s="89" t="s">
        <v>5989</v>
      </c>
      <c r="O3912" s="92">
        <v>2.1473418E7</v>
      </c>
      <c r="P3912" s="92">
        <v>1.9311532E7</v>
      </c>
      <c r="Q3912" s="89" t="s">
        <v>886</v>
      </c>
      <c r="AF3912" s="1"/>
      <c r="AG3912" s="1"/>
    </row>
    <row r="3913" ht="15.75" customHeight="1">
      <c r="A3913" s="1"/>
      <c r="B3913" s="1"/>
      <c r="C3913" s="1"/>
      <c r="D3913" s="1"/>
      <c r="E3913" s="1"/>
      <c r="F3913" s="1"/>
      <c r="G3913" s="1"/>
      <c r="H3913" s="1"/>
      <c r="I3913" s="1"/>
      <c r="J3913" s="1"/>
      <c r="K3913" s="89" t="s">
        <v>5990</v>
      </c>
      <c r="L3913" s="89" t="str">
        <f>H132</f>
        <v>C1b3a1d1</v>
      </c>
      <c r="M3913" s="89"/>
      <c r="N3913" s="89" t="s">
        <v>5991</v>
      </c>
      <c r="O3913" s="92">
        <v>2.1565839E7</v>
      </c>
      <c r="P3913" s="92">
        <v>1.9403953E7</v>
      </c>
      <c r="Q3913" s="89" t="s">
        <v>838</v>
      </c>
      <c r="AF3913" s="1"/>
      <c r="AG3913" s="1"/>
    </row>
    <row r="3914" ht="15.75" customHeight="1">
      <c r="A3914" s="1"/>
      <c r="B3914" s="1"/>
      <c r="C3914" s="1"/>
      <c r="D3914" s="1"/>
      <c r="E3914" s="1"/>
      <c r="F3914" s="1"/>
      <c r="G3914" s="1"/>
      <c r="H3914" s="1"/>
      <c r="I3914" s="1"/>
      <c r="J3914" s="1"/>
      <c r="K3914" s="89" t="s">
        <v>5992</v>
      </c>
      <c r="L3914" s="89" t="str">
        <f>H132</f>
        <v>C1b3a1d1</v>
      </c>
      <c r="M3914" s="89"/>
      <c r="N3914" s="89" t="s">
        <v>5993</v>
      </c>
      <c r="O3914" s="92">
        <v>2.1572435E7</v>
      </c>
      <c r="P3914" s="92">
        <v>1.9410549E7</v>
      </c>
      <c r="Q3914" s="89" t="s">
        <v>802</v>
      </c>
      <c r="AF3914" s="1"/>
      <c r="AG3914" s="1"/>
    </row>
    <row r="3915" ht="15.75" customHeight="1">
      <c r="A3915" s="1"/>
      <c r="B3915" s="1"/>
      <c r="C3915" s="1"/>
      <c r="D3915" s="1"/>
      <c r="E3915" s="1"/>
      <c r="F3915" s="1"/>
      <c r="G3915" s="1"/>
      <c r="H3915" s="1"/>
      <c r="I3915" s="1"/>
      <c r="J3915" s="1"/>
      <c r="K3915" s="89" t="s">
        <v>5994</v>
      </c>
      <c r="L3915" s="89" t="str">
        <f>H132</f>
        <v>C1b3a1d1</v>
      </c>
      <c r="M3915" s="89"/>
      <c r="N3915" s="89" t="s">
        <v>5995</v>
      </c>
      <c r="O3915" s="92">
        <v>2.1757853E7</v>
      </c>
      <c r="P3915" s="92">
        <v>1.9595967E7</v>
      </c>
      <c r="Q3915" s="89" t="s">
        <v>810</v>
      </c>
      <c r="AF3915" s="1"/>
      <c r="AG3915" s="1"/>
    </row>
    <row r="3916" ht="15.75" customHeight="1">
      <c r="A3916" s="1"/>
      <c r="B3916" s="1"/>
      <c r="C3916" s="1"/>
      <c r="D3916" s="1"/>
      <c r="E3916" s="1"/>
      <c r="F3916" s="1"/>
      <c r="G3916" s="1"/>
      <c r="H3916" s="1"/>
      <c r="I3916" s="1"/>
      <c r="J3916" s="1"/>
      <c r="K3916" s="89" t="s">
        <v>5996</v>
      </c>
      <c r="L3916" s="89" t="str">
        <f>H132</f>
        <v>C1b3a1d1</v>
      </c>
      <c r="M3916" s="89"/>
      <c r="N3916" s="89" t="s">
        <v>5997</v>
      </c>
      <c r="O3916" s="92">
        <v>2.1818635E7</v>
      </c>
      <c r="P3916" s="92">
        <v>1.9656749E7</v>
      </c>
      <c r="Q3916" s="89" t="s">
        <v>802</v>
      </c>
      <c r="AF3916" s="1"/>
      <c r="AG3916" s="1"/>
    </row>
    <row r="3917" ht="15.75" customHeight="1">
      <c r="A3917" s="1"/>
      <c r="B3917" s="1"/>
      <c r="C3917" s="1"/>
      <c r="D3917" s="1"/>
      <c r="E3917" s="1"/>
      <c r="F3917" s="1"/>
      <c r="G3917" s="1"/>
      <c r="H3917" s="1"/>
      <c r="I3917" s="1"/>
      <c r="J3917" s="1"/>
      <c r="K3917" s="89" t="s">
        <v>5998</v>
      </c>
      <c r="L3917" s="89" t="str">
        <f>H132</f>
        <v>C1b3a1d1</v>
      </c>
      <c r="M3917" s="89"/>
      <c r="N3917" s="89" t="s">
        <v>5999</v>
      </c>
      <c r="O3917" s="92">
        <v>2.1988391E7</v>
      </c>
      <c r="P3917" s="92">
        <v>1.9826505E7</v>
      </c>
      <c r="Q3917" s="89" t="s">
        <v>845</v>
      </c>
      <c r="AF3917" s="1"/>
      <c r="AG3917" s="1"/>
    </row>
    <row r="3918" ht="15.75" customHeight="1">
      <c r="A3918" s="1"/>
      <c r="B3918" s="1"/>
      <c r="C3918" s="1"/>
      <c r="D3918" s="1"/>
      <c r="E3918" s="1"/>
      <c r="F3918" s="1"/>
      <c r="G3918" s="1"/>
      <c r="H3918" s="1"/>
      <c r="I3918" s="1"/>
      <c r="J3918" s="1"/>
      <c r="K3918" s="89" t="s">
        <v>6000</v>
      </c>
      <c r="L3918" s="89" t="str">
        <f>H132</f>
        <v>C1b3a1d1</v>
      </c>
      <c r="M3918" s="89"/>
      <c r="N3918" s="89" t="s">
        <v>6001</v>
      </c>
      <c r="O3918" s="92">
        <v>2.2048561E7</v>
      </c>
      <c r="P3918" s="92">
        <v>1.9886675E7</v>
      </c>
      <c r="Q3918" s="89" t="s">
        <v>810</v>
      </c>
      <c r="AF3918" s="1"/>
      <c r="AG3918" s="1"/>
    </row>
    <row r="3919" ht="15.75" customHeight="1">
      <c r="A3919" s="1"/>
      <c r="B3919" s="1"/>
      <c r="C3919" s="1"/>
      <c r="D3919" s="1"/>
      <c r="E3919" s="1"/>
      <c r="F3919" s="1"/>
      <c r="G3919" s="1"/>
      <c r="H3919" s="1"/>
      <c r="I3919" s="1"/>
      <c r="J3919" s="1"/>
      <c r="K3919" s="89" t="s">
        <v>6002</v>
      </c>
      <c r="L3919" s="89" t="str">
        <f>H132</f>
        <v>C1b3a1d1</v>
      </c>
      <c r="M3919" s="89"/>
      <c r="N3919" s="89" t="s">
        <v>6003</v>
      </c>
      <c r="O3919" s="92">
        <v>2.2555911E7</v>
      </c>
      <c r="P3919" s="92">
        <v>2.0394025E7</v>
      </c>
      <c r="Q3919" s="89" t="s">
        <v>831</v>
      </c>
      <c r="AF3919" s="1"/>
      <c r="AG3919" s="1"/>
    </row>
    <row r="3920" ht="15.75" customHeight="1">
      <c r="A3920" s="1"/>
      <c r="B3920" s="1"/>
      <c r="C3920" s="1"/>
      <c r="D3920" s="1"/>
      <c r="E3920" s="1"/>
      <c r="F3920" s="1"/>
      <c r="G3920" s="1"/>
      <c r="H3920" s="1"/>
      <c r="I3920" s="1"/>
      <c r="J3920" s="1"/>
      <c r="K3920" s="89" t="s">
        <v>6004</v>
      </c>
      <c r="L3920" s="89" t="str">
        <f>H132</f>
        <v>C1b3a1d1</v>
      </c>
      <c r="M3920" s="89"/>
      <c r="N3920" s="89" t="s">
        <v>6005</v>
      </c>
      <c r="O3920" s="92">
        <v>2.2612332E7</v>
      </c>
      <c r="P3920" s="92">
        <v>2.0450446E7</v>
      </c>
      <c r="Q3920" s="89" t="s">
        <v>802</v>
      </c>
      <c r="AF3920" s="1"/>
      <c r="AG3920" s="1"/>
    </row>
    <row r="3921" ht="15.75" customHeight="1">
      <c r="A3921" s="1"/>
      <c r="B3921" s="1"/>
      <c r="C3921" s="1"/>
      <c r="D3921" s="1"/>
      <c r="E3921" s="1"/>
      <c r="F3921" s="1"/>
      <c r="G3921" s="1"/>
      <c r="H3921" s="1"/>
      <c r="I3921" s="1"/>
      <c r="J3921" s="1"/>
      <c r="K3921" s="89" t="s">
        <v>6006</v>
      </c>
      <c r="L3921" s="89" t="str">
        <f>H132</f>
        <v>C1b3a1d1</v>
      </c>
      <c r="M3921" s="89"/>
      <c r="N3921" s="89" t="s">
        <v>6007</v>
      </c>
      <c r="O3921" s="92">
        <v>2.280198E7</v>
      </c>
      <c r="P3921" s="92">
        <v>2.0640094E7</v>
      </c>
      <c r="Q3921" s="89" t="s">
        <v>810</v>
      </c>
      <c r="AF3921" s="1"/>
      <c r="AG3921" s="1"/>
    </row>
    <row r="3922" ht="15.75" customHeight="1">
      <c r="A3922" s="1"/>
      <c r="B3922" s="1"/>
      <c r="C3922" s="1"/>
      <c r="D3922" s="1"/>
      <c r="E3922" s="1"/>
      <c r="F3922" s="1"/>
      <c r="G3922" s="1"/>
      <c r="H3922" s="1"/>
      <c r="I3922" s="1"/>
      <c r="J3922" s="1"/>
      <c r="K3922" s="89" t="s">
        <v>6008</v>
      </c>
      <c r="L3922" s="89" t="str">
        <f>H132</f>
        <v>C1b3a1d1</v>
      </c>
      <c r="M3922" s="89"/>
      <c r="N3922" s="89" t="s">
        <v>6009</v>
      </c>
      <c r="O3922" s="92">
        <v>2.307155E7</v>
      </c>
      <c r="P3922" s="92">
        <v>2.0909664E7</v>
      </c>
      <c r="Q3922" s="89" t="s">
        <v>838</v>
      </c>
      <c r="AF3922" s="1"/>
      <c r="AG3922" s="1"/>
    </row>
    <row r="3923" ht="15.75" customHeight="1">
      <c r="A3923" s="1"/>
      <c r="B3923" s="1"/>
      <c r="C3923" s="1"/>
      <c r="D3923" s="1"/>
      <c r="E3923" s="1"/>
      <c r="F3923" s="1"/>
      <c r="G3923" s="1"/>
      <c r="H3923" s="1"/>
      <c r="I3923" s="1"/>
      <c r="J3923" s="1"/>
      <c r="K3923" s="89" t="s">
        <v>6010</v>
      </c>
      <c r="L3923" s="89" t="str">
        <f>H132</f>
        <v>C1b3a1d1</v>
      </c>
      <c r="M3923" s="89"/>
      <c r="N3923" s="89" t="s">
        <v>6011</v>
      </c>
      <c r="O3923" s="92">
        <v>2.3166453E7</v>
      </c>
      <c r="P3923" s="92">
        <v>2.1004567E7</v>
      </c>
      <c r="Q3923" s="89" t="s">
        <v>822</v>
      </c>
      <c r="AF3923" s="1"/>
      <c r="AG3923" s="1"/>
    </row>
    <row r="3924" ht="15.75" customHeight="1">
      <c r="A3924" s="1"/>
      <c r="B3924" s="1"/>
      <c r="C3924" s="1"/>
      <c r="D3924" s="1"/>
      <c r="E3924" s="1"/>
      <c r="F3924" s="1"/>
      <c r="G3924" s="1"/>
      <c r="H3924" s="1"/>
      <c r="I3924" s="1"/>
      <c r="J3924" s="1"/>
      <c r="K3924" s="89" t="s">
        <v>6012</v>
      </c>
      <c r="L3924" s="89" t="str">
        <f>H132</f>
        <v>C1b3a1d1</v>
      </c>
      <c r="M3924" s="89"/>
      <c r="N3924" s="89" t="s">
        <v>6013</v>
      </c>
      <c r="O3924" s="92">
        <v>2.8753977E7</v>
      </c>
      <c r="P3924" s="92">
        <v>2.660783E7</v>
      </c>
      <c r="Q3924" s="89" t="s">
        <v>810</v>
      </c>
      <c r="AF3924" s="1"/>
      <c r="AG3924" s="1"/>
    </row>
    <row r="3925" ht="15.75" customHeight="1">
      <c r="A3925" s="1"/>
      <c r="B3925" s="1"/>
      <c r="C3925" s="1"/>
      <c r="D3925" s="1"/>
      <c r="E3925" s="1"/>
      <c r="F3925" s="1"/>
      <c r="G3925" s="1"/>
      <c r="H3925" s="1"/>
      <c r="I3925" s="1"/>
      <c r="J3925" s="1"/>
      <c r="K3925" s="89" t="s">
        <v>6014</v>
      </c>
      <c r="L3925" s="89" t="str">
        <f>H132</f>
        <v>C1b3a1d1</v>
      </c>
      <c r="M3925" s="89"/>
      <c r="N3925" s="89" t="s">
        <v>6015</v>
      </c>
      <c r="O3925" s="92">
        <v>6618767.0</v>
      </c>
      <c r="P3925" s="92">
        <v>6750726.0</v>
      </c>
      <c r="Q3925" s="89" t="s">
        <v>822</v>
      </c>
      <c r="AF3925" s="1"/>
      <c r="AG3925" s="1"/>
    </row>
    <row r="3926" ht="15.75" customHeight="1">
      <c r="A3926" s="1"/>
      <c r="B3926" s="1"/>
      <c r="C3926" s="1"/>
      <c r="D3926" s="1"/>
      <c r="E3926" s="1"/>
      <c r="F3926" s="1"/>
      <c r="G3926" s="1"/>
      <c r="H3926" s="1"/>
      <c r="I3926" s="1"/>
      <c r="J3926" s="1"/>
      <c r="K3926" s="89" t="s">
        <v>6016</v>
      </c>
      <c r="L3926" s="89" t="str">
        <f>H132</f>
        <v>C1b3a1d1</v>
      </c>
      <c r="M3926" s="89"/>
      <c r="N3926" s="89" t="s">
        <v>6017</v>
      </c>
      <c r="O3926" s="92">
        <v>6652318.0</v>
      </c>
      <c r="P3926" s="92">
        <v>6784277.0</v>
      </c>
      <c r="Q3926" s="89" t="s">
        <v>845</v>
      </c>
      <c r="AF3926" s="1"/>
      <c r="AG3926" s="1"/>
    </row>
    <row r="3927" ht="15.75" customHeight="1">
      <c r="A3927" s="1"/>
      <c r="B3927" s="1"/>
      <c r="C3927" s="1"/>
      <c r="D3927" s="1"/>
      <c r="E3927" s="1"/>
      <c r="F3927" s="1"/>
      <c r="G3927" s="1"/>
      <c r="H3927" s="1"/>
      <c r="I3927" s="1"/>
      <c r="J3927" s="1"/>
      <c r="K3927" s="89" t="s">
        <v>6018</v>
      </c>
      <c r="L3927" s="89" t="str">
        <f>H132</f>
        <v>C1b3a1d1</v>
      </c>
      <c r="M3927" s="89"/>
      <c r="N3927" s="89" t="s">
        <v>6019</v>
      </c>
      <c r="O3927" s="92">
        <v>6715972.0</v>
      </c>
      <c r="P3927" s="92">
        <v>6847931.0</v>
      </c>
      <c r="Q3927" s="89" t="s">
        <v>810</v>
      </c>
      <c r="AF3927" s="1"/>
      <c r="AG3927" s="1"/>
    </row>
    <row r="3928" ht="15.75" customHeight="1">
      <c r="A3928" s="1"/>
      <c r="B3928" s="1"/>
      <c r="C3928" s="1"/>
      <c r="D3928" s="1"/>
      <c r="E3928" s="1"/>
      <c r="F3928" s="1"/>
      <c r="G3928" s="1"/>
      <c r="H3928" s="1"/>
      <c r="I3928" s="1"/>
      <c r="J3928" s="1"/>
      <c r="K3928" s="89" t="s">
        <v>6020</v>
      </c>
      <c r="L3928" s="89" t="str">
        <f>H132</f>
        <v>C1b3a1d1</v>
      </c>
      <c r="M3928" s="89"/>
      <c r="N3928" s="89" t="s">
        <v>6021</v>
      </c>
      <c r="O3928" s="92">
        <v>7115684.0</v>
      </c>
      <c r="P3928" s="92">
        <v>7247643.0</v>
      </c>
      <c r="Q3928" s="89" t="s">
        <v>810</v>
      </c>
      <c r="AF3928" s="1"/>
      <c r="AG3928" s="1"/>
    </row>
    <row r="3929" ht="15.75" customHeight="1">
      <c r="A3929" s="1"/>
      <c r="B3929" s="1"/>
      <c r="C3929" s="1"/>
      <c r="D3929" s="1"/>
      <c r="E3929" s="1"/>
      <c r="F3929" s="1"/>
      <c r="G3929" s="1"/>
      <c r="H3929" s="1"/>
      <c r="I3929" s="1"/>
      <c r="J3929" s="1"/>
      <c r="K3929" s="89" t="s">
        <v>6022</v>
      </c>
      <c r="L3929" s="89" t="str">
        <f>H132</f>
        <v>C1b3a1d1</v>
      </c>
      <c r="M3929" s="89"/>
      <c r="N3929" s="89" t="s">
        <v>6023</v>
      </c>
      <c r="O3929" s="92">
        <v>7300823.0</v>
      </c>
      <c r="P3929" s="92">
        <v>7432782.0</v>
      </c>
      <c r="Q3929" s="89" t="s">
        <v>845</v>
      </c>
      <c r="AF3929" s="1"/>
      <c r="AG3929" s="1"/>
    </row>
    <row r="3930" ht="15.75" customHeight="1">
      <c r="A3930" s="1"/>
      <c r="B3930" s="1"/>
      <c r="C3930" s="1"/>
      <c r="D3930" s="1"/>
      <c r="E3930" s="1"/>
      <c r="F3930" s="1"/>
      <c r="G3930" s="1"/>
      <c r="H3930" s="1"/>
      <c r="I3930" s="1"/>
      <c r="J3930" s="1"/>
      <c r="K3930" s="89" t="s">
        <v>6024</v>
      </c>
      <c r="L3930" s="89" t="str">
        <f>H132</f>
        <v>C1b3a1d1</v>
      </c>
      <c r="M3930" s="89"/>
      <c r="N3930" s="89" t="s">
        <v>6025</v>
      </c>
      <c r="O3930" s="92">
        <v>7326305.0</v>
      </c>
      <c r="P3930" s="92">
        <v>7458264.0</v>
      </c>
      <c r="Q3930" s="89" t="s">
        <v>822</v>
      </c>
      <c r="AF3930" s="1"/>
      <c r="AG3930" s="1"/>
    </row>
    <row r="3931" ht="15.75" customHeight="1">
      <c r="A3931" s="1"/>
      <c r="B3931" s="1"/>
      <c r="C3931" s="1"/>
      <c r="D3931" s="1"/>
      <c r="E3931" s="1"/>
      <c r="F3931" s="1"/>
      <c r="G3931" s="1"/>
      <c r="H3931" s="1"/>
      <c r="I3931" s="1"/>
      <c r="J3931" s="1"/>
      <c r="K3931" s="89" t="s">
        <v>6026</v>
      </c>
      <c r="L3931" s="89" t="str">
        <f>H132</f>
        <v>C1b3a1d1</v>
      </c>
      <c r="M3931" s="89"/>
      <c r="N3931" s="89" t="s">
        <v>6027</v>
      </c>
      <c r="O3931" s="92">
        <v>7374055.0</v>
      </c>
      <c r="P3931" s="92">
        <v>7506014.0</v>
      </c>
      <c r="Q3931" s="89" t="s">
        <v>864</v>
      </c>
      <c r="AF3931" s="1"/>
      <c r="AG3931" s="1"/>
    </row>
    <row r="3932" ht="15.75" customHeight="1">
      <c r="A3932" s="1"/>
      <c r="B3932" s="1"/>
      <c r="C3932" s="1"/>
      <c r="D3932" s="1"/>
      <c r="E3932" s="1"/>
      <c r="F3932" s="1"/>
      <c r="G3932" s="1"/>
      <c r="H3932" s="1"/>
      <c r="I3932" s="1"/>
      <c r="J3932" s="1"/>
      <c r="K3932" s="89" t="s">
        <v>6028</v>
      </c>
      <c r="L3932" s="89" t="str">
        <f>H132</f>
        <v>C1b3a1d1</v>
      </c>
      <c r="M3932" s="89"/>
      <c r="N3932" s="89" t="s">
        <v>6029</v>
      </c>
      <c r="O3932" s="92">
        <v>7568309.0</v>
      </c>
      <c r="P3932" s="92">
        <v>7700268.0</v>
      </c>
      <c r="Q3932" s="89" t="s">
        <v>810</v>
      </c>
      <c r="AF3932" s="1"/>
      <c r="AG3932" s="1"/>
    </row>
    <row r="3933" ht="15.75" customHeight="1">
      <c r="A3933" s="1"/>
      <c r="B3933" s="1"/>
      <c r="C3933" s="1"/>
      <c r="D3933" s="1"/>
      <c r="E3933" s="1"/>
      <c r="F3933" s="1"/>
      <c r="G3933" s="1"/>
      <c r="H3933" s="1"/>
      <c r="I3933" s="1"/>
      <c r="J3933" s="1"/>
      <c r="K3933" s="89" t="s">
        <v>6030</v>
      </c>
      <c r="L3933" s="89" t="str">
        <f>H132</f>
        <v>C1b3a1d1</v>
      </c>
      <c r="M3933" s="89"/>
      <c r="N3933" s="89" t="s">
        <v>6031</v>
      </c>
      <c r="O3933" s="92">
        <v>7700688.0</v>
      </c>
      <c r="P3933" s="92">
        <v>7832647.0</v>
      </c>
      <c r="Q3933" s="89" t="s">
        <v>810</v>
      </c>
      <c r="AF3933" s="1"/>
      <c r="AG3933" s="1"/>
    </row>
    <row r="3934" ht="15.75" customHeight="1">
      <c r="A3934" s="1"/>
      <c r="B3934" s="1"/>
      <c r="C3934" s="1"/>
      <c r="D3934" s="1"/>
      <c r="E3934" s="1"/>
      <c r="F3934" s="1"/>
      <c r="G3934" s="1"/>
      <c r="H3934" s="1"/>
      <c r="I3934" s="1"/>
      <c r="J3934" s="1"/>
      <c r="K3934" s="89" t="s">
        <v>6032</v>
      </c>
      <c r="L3934" s="89" t="str">
        <f>H132</f>
        <v>C1b3a1d1</v>
      </c>
      <c r="M3934" s="89"/>
      <c r="N3934" s="89" t="s">
        <v>6033</v>
      </c>
      <c r="O3934" s="92">
        <v>7702508.0</v>
      </c>
      <c r="P3934" s="92">
        <v>7834467.0</v>
      </c>
      <c r="Q3934" s="89" t="s">
        <v>810</v>
      </c>
      <c r="AF3934" s="1"/>
      <c r="AG3934" s="1"/>
    </row>
    <row r="3935" ht="15.75" customHeight="1">
      <c r="A3935" s="1"/>
      <c r="B3935" s="1"/>
      <c r="C3935" s="1"/>
      <c r="D3935" s="1"/>
      <c r="E3935" s="1"/>
      <c r="F3935" s="1"/>
      <c r="G3935" s="1"/>
      <c r="H3935" s="1"/>
      <c r="I3935" s="1"/>
      <c r="J3935" s="1"/>
      <c r="K3935" s="89" t="s">
        <v>6034</v>
      </c>
      <c r="L3935" s="89" t="str">
        <f>H132</f>
        <v>C1b3a1d1</v>
      </c>
      <c r="M3935" s="89"/>
      <c r="N3935" s="89" t="s">
        <v>6035</v>
      </c>
      <c r="O3935" s="92">
        <v>7808808.0</v>
      </c>
      <c r="P3935" s="92">
        <v>7940767.0</v>
      </c>
      <c r="Q3935" s="89" t="s">
        <v>838</v>
      </c>
      <c r="AF3935" s="1"/>
      <c r="AG3935" s="1"/>
    </row>
    <row r="3936" ht="15.75" customHeight="1">
      <c r="A3936" s="1"/>
      <c r="B3936" s="1"/>
      <c r="C3936" s="1"/>
      <c r="D3936" s="1"/>
      <c r="E3936" s="1"/>
      <c r="F3936" s="1"/>
      <c r="G3936" s="1"/>
      <c r="H3936" s="1"/>
      <c r="I3936" s="1"/>
      <c r="J3936" s="1"/>
      <c r="K3936" s="89" t="s">
        <v>6036</v>
      </c>
      <c r="L3936" s="89" t="str">
        <f>H132</f>
        <v>C1b3a1d1</v>
      </c>
      <c r="M3936" s="89"/>
      <c r="N3936" s="89" t="s">
        <v>6037</v>
      </c>
      <c r="O3936" s="92">
        <v>7838091.0</v>
      </c>
      <c r="P3936" s="92">
        <v>7970050.0</v>
      </c>
      <c r="Q3936" s="89" t="s">
        <v>912</v>
      </c>
      <c r="AF3936" s="1"/>
      <c r="AG3936" s="1"/>
    </row>
    <row r="3937" ht="15.75" customHeight="1">
      <c r="A3937" s="1"/>
      <c r="B3937" s="1"/>
      <c r="C3937" s="1"/>
      <c r="D3937" s="1"/>
      <c r="E3937" s="1"/>
      <c r="F3937" s="1"/>
      <c r="G3937" s="1"/>
      <c r="H3937" s="1"/>
      <c r="I3937" s="1"/>
      <c r="J3937" s="1"/>
      <c r="K3937" s="89" t="s">
        <v>6038</v>
      </c>
      <c r="L3937" s="89" t="str">
        <f>H132</f>
        <v>C1b3a1d1</v>
      </c>
      <c r="M3937" s="89"/>
      <c r="N3937" s="89" t="s">
        <v>6039</v>
      </c>
      <c r="O3937" s="92">
        <v>7846321.0</v>
      </c>
      <c r="P3937" s="92">
        <v>7978280.0</v>
      </c>
      <c r="Q3937" s="89" t="s">
        <v>810</v>
      </c>
      <c r="AF3937" s="1"/>
      <c r="AG3937" s="1"/>
    </row>
    <row r="3938" ht="15.75" customHeight="1">
      <c r="A3938" s="1"/>
      <c r="B3938" s="1"/>
      <c r="C3938" s="1"/>
      <c r="D3938" s="1"/>
      <c r="E3938" s="1"/>
      <c r="F3938" s="1"/>
      <c r="G3938" s="1"/>
      <c r="H3938" s="1"/>
      <c r="I3938" s="1"/>
      <c r="J3938" s="1"/>
      <c r="K3938" s="89" t="s">
        <v>6040</v>
      </c>
      <c r="L3938" s="89" t="str">
        <f>H132</f>
        <v>C1b3a1d1</v>
      </c>
      <c r="M3938" s="89"/>
      <c r="N3938" s="89" t="s">
        <v>6041</v>
      </c>
      <c r="O3938" s="92">
        <v>7909755.0</v>
      </c>
      <c r="P3938" s="92">
        <v>8041714.0</v>
      </c>
      <c r="Q3938" s="89" t="s">
        <v>912</v>
      </c>
      <c r="AF3938" s="1"/>
      <c r="AG3938" s="1"/>
    </row>
    <row r="3939" ht="15.75" customHeight="1">
      <c r="A3939" s="1"/>
      <c r="B3939" s="1"/>
      <c r="C3939" s="1"/>
      <c r="D3939" s="1"/>
      <c r="E3939" s="1"/>
      <c r="F3939" s="1"/>
      <c r="G3939" s="1"/>
      <c r="H3939" s="1"/>
      <c r="I3939" s="1"/>
      <c r="J3939" s="1"/>
      <c r="K3939" s="89" t="s">
        <v>6042</v>
      </c>
      <c r="L3939" s="89" t="str">
        <f>I133</f>
        <v>C1b3a1d1a~</v>
      </c>
      <c r="M3939" s="89"/>
      <c r="N3939" s="89"/>
      <c r="O3939" s="92">
        <v>7044973.0</v>
      </c>
      <c r="P3939" s="92">
        <v>7176932.0</v>
      </c>
      <c r="Q3939" s="89" t="s">
        <v>802</v>
      </c>
      <c r="AF3939" s="1"/>
      <c r="AG3939" s="1"/>
    </row>
    <row r="3940" ht="15.75" customHeight="1">
      <c r="A3940" s="1"/>
      <c r="B3940" s="1"/>
      <c r="C3940" s="1"/>
      <c r="D3940" s="1"/>
      <c r="E3940" s="1"/>
      <c r="F3940" s="1"/>
      <c r="G3940" s="1"/>
      <c r="H3940" s="1"/>
      <c r="I3940" s="1"/>
      <c r="J3940" s="1"/>
      <c r="K3940" s="89" t="s">
        <v>6043</v>
      </c>
      <c r="L3940" s="89" t="str">
        <f>I133</f>
        <v>C1b3a1d1a~</v>
      </c>
      <c r="M3940" s="89"/>
      <c r="N3940" s="89"/>
      <c r="O3940" s="92">
        <v>7878428.0</v>
      </c>
      <c r="P3940" s="92">
        <v>8010387.0</v>
      </c>
      <c r="Q3940" s="89" t="s">
        <v>838</v>
      </c>
      <c r="AF3940" s="1"/>
      <c r="AG3940" s="1"/>
    </row>
    <row r="3941" ht="15.75" customHeight="1">
      <c r="A3941" s="1"/>
      <c r="B3941" s="1"/>
      <c r="C3941" s="1"/>
      <c r="D3941" s="1"/>
      <c r="E3941" s="1"/>
      <c r="F3941" s="1"/>
      <c r="G3941" s="1"/>
      <c r="H3941" s="1"/>
      <c r="I3941" s="1"/>
      <c r="J3941" s="1"/>
      <c r="K3941" s="89" t="s">
        <v>6044</v>
      </c>
      <c r="L3941" s="89" t="str">
        <f>I133</f>
        <v>C1b3a1d1a~</v>
      </c>
      <c r="M3941" s="89"/>
      <c r="N3941" s="89"/>
      <c r="O3941" s="92">
        <v>8259701.0</v>
      </c>
      <c r="P3941" s="92">
        <v>8391660.0</v>
      </c>
      <c r="Q3941" s="89" t="s">
        <v>810</v>
      </c>
      <c r="AF3941" s="1"/>
      <c r="AG3941" s="1"/>
    </row>
    <row r="3942" ht="15.75" customHeight="1">
      <c r="A3942" s="1"/>
      <c r="B3942" s="1"/>
      <c r="C3942" s="1"/>
      <c r="D3942" s="1"/>
      <c r="E3942" s="1"/>
      <c r="F3942" s="1"/>
      <c r="G3942" s="1"/>
      <c r="H3942" s="1"/>
      <c r="I3942" s="1"/>
      <c r="J3942" s="1"/>
      <c r="K3942" s="89" t="s">
        <v>6045</v>
      </c>
      <c r="L3942" s="89" t="str">
        <f>I133</f>
        <v>C1b3a1d1a~</v>
      </c>
      <c r="M3942" s="89"/>
      <c r="N3942" s="89"/>
      <c r="O3942" s="92">
        <v>8582426.0</v>
      </c>
      <c r="P3942" s="92">
        <v>8714385.0</v>
      </c>
      <c r="Q3942" s="89" t="s">
        <v>879</v>
      </c>
      <c r="AF3942" s="1"/>
      <c r="AG3942" s="1"/>
    </row>
    <row r="3943" ht="15.75" customHeight="1">
      <c r="A3943" s="1"/>
      <c r="B3943" s="1"/>
      <c r="C3943" s="1"/>
      <c r="D3943" s="1"/>
      <c r="E3943" s="1"/>
      <c r="F3943" s="1"/>
      <c r="G3943" s="1"/>
      <c r="H3943" s="1"/>
      <c r="I3943" s="1"/>
      <c r="J3943" s="1"/>
      <c r="K3943" s="89" t="s">
        <v>6046</v>
      </c>
      <c r="L3943" s="89" t="str">
        <f>I133</f>
        <v>C1b3a1d1a~</v>
      </c>
      <c r="M3943" s="89"/>
      <c r="N3943" s="89"/>
      <c r="O3943" s="92">
        <v>1.4086107E7</v>
      </c>
      <c r="P3943" s="92">
        <v>1.1965401E7</v>
      </c>
      <c r="Q3943" s="89" t="s">
        <v>912</v>
      </c>
      <c r="AF3943" s="1"/>
      <c r="AG3943" s="1"/>
    </row>
    <row r="3944" ht="15.75" customHeight="1">
      <c r="A3944" s="1"/>
      <c r="B3944" s="1"/>
      <c r="C3944" s="1"/>
      <c r="D3944" s="1"/>
      <c r="E3944" s="1"/>
      <c r="F3944" s="1"/>
      <c r="G3944" s="1"/>
      <c r="H3944" s="1"/>
      <c r="I3944" s="1"/>
      <c r="J3944" s="1"/>
      <c r="K3944" s="89" t="s">
        <v>6047</v>
      </c>
      <c r="L3944" s="89" t="str">
        <f>F134</f>
        <v>C1b3a2~</v>
      </c>
      <c r="M3944" s="89" t="s">
        <v>6048</v>
      </c>
      <c r="N3944" s="89" t="s">
        <v>5192</v>
      </c>
      <c r="O3944" s="89">
        <v>1.7936279E7</v>
      </c>
      <c r="P3944" s="89">
        <v>1.5824399E7</v>
      </c>
      <c r="Q3944" s="89" t="s">
        <v>810</v>
      </c>
      <c r="AF3944" s="1"/>
      <c r="AG3944" s="1"/>
    </row>
    <row r="3945" ht="15.75" customHeight="1">
      <c r="A3945" s="1"/>
      <c r="B3945" s="1"/>
      <c r="C3945" s="1"/>
      <c r="D3945" s="1"/>
      <c r="E3945" s="1"/>
      <c r="F3945" s="1"/>
      <c r="G3945" s="1"/>
      <c r="H3945" s="1"/>
      <c r="I3945" s="1"/>
      <c r="J3945" s="1"/>
      <c r="K3945" s="89" t="s">
        <v>6048</v>
      </c>
      <c r="L3945" s="89" t="str">
        <f t="shared" ref="L3945:L3946" si="26">F134</f>
        <v>C1b3a2~</v>
      </c>
      <c r="M3945" s="89" t="s">
        <v>6047</v>
      </c>
      <c r="N3945" s="89" t="s">
        <v>5192</v>
      </c>
      <c r="O3945" s="89">
        <v>1.7936279E7</v>
      </c>
      <c r="P3945" s="89">
        <v>1.5824399E7</v>
      </c>
      <c r="Q3945" s="89" t="s">
        <v>810</v>
      </c>
      <c r="AF3945" s="1"/>
      <c r="AG3945" s="1"/>
    </row>
    <row r="3946" ht="15.75" customHeight="1">
      <c r="A3946" s="1"/>
      <c r="B3946" s="1"/>
      <c r="C3946" s="1"/>
      <c r="D3946" s="1"/>
      <c r="E3946" s="1"/>
      <c r="F3946" s="1"/>
      <c r="G3946" s="1"/>
      <c r="H3946" s="1"/>
      <c r="I3946" s="1"/>
      <c r="J3946" s="1"/>
      <c r="K3946" s="89" t="s">
        <v>6049</v>
      </c>
      <c r="L3946" s="89" t="str">
        <f t="shared" si="26"/>
        <v>C1b3a3~</v>
      </c>
      <c r="M3946" s="89"/>
      <c r="N3946" s="89"/>
      <c r="O3946" s="92">
        <v>2689615.0</v>
      </c>
      <c r="P3946" s="92">
        <v>2821574.0</v>
      </c>
      <c r="Q3946" s="89" t="s">
        <v>802</v>
      </c>
      <c r="AF3946" s="1"/>
      <c r="AG3946" s="1"/>
    </row>
    <row r="3947" ht="15.75" customHeight="1">
      <c r="A3947" s="1"/>
      <c r="B3947" s="1"/>
      <c r="C3947" s="1"/>
      <c r="D3947" s="1"/>
      <c r="E3947" s="1"/>
      <c r="F3947" s="1"/>
      <c r="G3947" s="1"/>
      <c r="H3947" s="1"/>
      <c r="I3947" s="1"/>
      <c r="J3947" s="1"/>
      <c r="K3947" s="89" t="s">
        <v>6050</v>
      </c>
      <c r="L3947" s="89" t="str">
        <f>F135</f>
        <v>C1b3a3~</v>
      </c>
      <c r="M3947" s="89"/>
      <c r="N3947" s="89"/>
      <c r="O3947" s="92">
        <v>2736021.0</v>
      </c>
      <c r="P3947" s="92">
        <v>2867980.0</v>
      </c>
      <c r="Q3947" s="89" t="s">
        <v>838</v>
      </c>
      <c r="AF3947" s="1"/>
      <c r="AG3947" s="1"/>
    </row>
    <row r="3948" ht="15.75" customHeight="1">
      <c r="A3948" s="1"/>
      <c r="B3948" s="1"/>
      <c r="C3948" s="1"/>
      <c r="D3948" s="1"/>
      <c r="E3948" s="1"/>
      <c r="F3948" s="1"/>
      <c r="G3948" s="1"/>
      <c r="H3948" s="1"/>
      <c r="I3948" s="1"/>
      <c r="J3948" s="1"/>
      <c r="K3948" s="89" t="s">
        <v>6051</v>
      </c>
      <c r="L3948" s="89" t="str">
        <f>F135</f>
        <v>C1b3a3~</v>
      </c>
      <c r="M3948" s="89"/>
      <c r="N3948" s="89"/>
      <c r="O3948" s="92">
        <v>2737708.0</v>
      </c>
      <c r="P3948" s="92">
        <v>2869667.0</v>
      </c>
      <c r="Q3948" s="89" t="s">
        <v>886</v>
      </c>
      <c r="AF3948" s="1"/>
      <c r="AG3948" s="1"/>
    </row>
    <row r="3949" ht="15.75" customHeight="1">
      <c r="A3949" s="1"/>
      <c r="B3949" s="1"/>
      <c r="C3949" s="1"/>
      <c r="D3949" s="1"/>
      <c r="E3949" s="1"/>
      <c r="F3949" s="1"/>
      <c r="G3949" s="1"/>
      <c r="H3949" s="1"/>
      <c r="I3949" s="1"/>
      <c r="J3949" s="1"/>
      <c r="K3949" s="89" t="s">
        <v>6052</v>
      </c>
      <c r="L3949" s="89" t="str">
        <f>F135</f>
        <v>C1b3a3~</v>
      </c>
      <c r="M3949" s="89"/>
      <c r="N3949" s="89"/>
      <c r="O3949" s="92">
        <v>6634782.0</v>
      </c>
      <c r="P3949" s="92">
        <v>6766741.0</v>
      </c>
      <c r="Q3949" s="89" t="s">
        <v>879</v>
      </c>
      <c r="AF3949" s="1"/>
      <c r="AG3949" s="1"/>
    </row>
    <row r="3950" ht="15.75" customHeight="1">
      <c r="A3950" s="1"/>
      <c r="B3950" s="1"/>
      <c r="C3950" s="1"/>
      <c r="D3950" s="1"/>
      <c r="E3950" s="1"/>
      <c r="F3950" s="1"/>
      <c r="G3950" s="1"/>
      <c r="H3950" s="1"/>
      <c r="I3950" s="1"/>
      <c r="J3950" s="1"/>
      <c r="K3950" s="89" t="s">
        <v>6053</v>
      </c>
      <c r="L3950" s="89" t="str">
        <f>F135</f>
        <v>C1b3a3~</v>
      </c>
      <c r="M3950" s="89"/>
      <c r="N3950" s="89"/>
      <c r="O3950" s="92">
        <v>6796852.0</v>
      </c>
      <c r="P3950" s="92">
        <v>6928811.0</v>
      </c>
      <c r="Q3950" s="89" t="s">
        <v>810</v>
      </c>
      <c r="AF3950" s="1"/>
      <c r="AG3950" s="1"/>
    </row>
    <row r="3951" ht="15.75" customHeight="1">
      <c r="A3951" s="1"/>
      <c r="B3951" s="1"/>
      <c r="C3951" s="1"/>
      <c r="D3951" s="1"/>
      <c r="E3951" s="1"/>
      <c r="F3951" s="1"/>
      <c r="G3951" s="1"/>
      <c r="H3951" s="1"/>
      <c r="I3951" s="1"/>
      <c r="J3951" s="1"/>
      <c r="K3951" s="89" t="s">
        <v>6054</v>
      </c>
      <c r="L3951" s="89" t="str">
        <f>E136</f>
        <v>C1b3b</v>
      </c>
      <c r="M3951" s="89"/>
      <c r="N3951" s="89" t="s">
        <v>6055</v>
      </c>
      <c r="O3951" s="92">
        <v>2877479.0</v>
      </c>
      <c r="P3951" s="92">
        <v>3009438.0</v>
      </c>
      <c r="Q3951" s="89" t="s">
        <v>822</v>
      </c>
      <c r="AF3951" s="1"/>
      <c r="AG3951" s="1"/>
    </row>
    <row r="3952" ht="15.75" customHeight="1">
      <c r="A3952" s="1"/>
      <c r="B3952" s="1"/>
      <c r="C3952" s="1"/>
      <c r="D3952" s="1"/>
      <c r="E3952" s="1"/>
      <c r="F3952" s="1"/>
      <c r="G3952" s="1"/>
      <c r="H3952" s="1"/>
      <c r="I3952" s="1"/>
      <c r="J3952" s="1"/>
      <c r="K3952" s="89" t="s">
        <v>6056</v>
      </c>
      <c r="L3952" s="89" t="str">
        <f>E136</f>
        <v>C1b3b</v>
      </c>
      <c r="M3952" s="89"/>
      <c r="N3952" s="89"/>
      <c r="O3952" s="92" t="s">
        <v>6057</v>
      </c>
      <c r="P3952" s="92" t="s">
        <v>6058</v>
      </c>
      <c r="Q3952" s="89" t="s">
        <v>6059</v>
      </c>
      <c r="AF3952" s="1"/>
      <c r="AG3952" s="1"/>
    </row>
    <row r="3953" ht="15.75" customHeight="1">
      <c r="A3953" s="1"/>
      <c r="B3953" s="1"/>
      <c r="C3953" s="1"/>
      <c r="D3953" s="1"/>
      <c r="E3953" s="1"/>
      <c r="F3953" s="1"/>
      <c r="G3953" s="1"/>
      <c r="H3953" s="1"/>
      <c r="I3953" s="1"/>
      <c r="J3953" s="1"/>
      <c r="K3953" s="89" t="s">
        <v>6060</v>
      </c>
      <c r="L3953" s="89" t="str">
        <f>E136</f>
        <v>C1b3b</v>
      </c>
      <c r="M3953" s="89" t="s">
        <v>6061</v>
      </c>
      <c r="N3953" s="89"/>
      <c r="O3953" s="92">
        <v>2911246.0</v>
      </c>
      <c r="P3953" s="92">
        <v>3043205.0</v>
      </c>
      <c r="Q3953" s="89" t="s">
        <v>802</v>
      </c>
      <c r="AF3953" s="1"/>
      <c r="AG3953" s="1"/>
    </row>
    <row r="3954" ht="15.75" customHeight="1">
      <c r="A3954" s="1"/>
      <c r="B3954" s="1"/>
      <c r="C3954" s="1"/>
      <c r="D3954" s="1"/>
      <c r="E3954" s="1"/>
      <c r="F3954" s="1"/>
      <c r="G3954" s="1"/>
      <c r="H3954" s="1"/>
      <c r="I3954" s="1"/>
      <c r="J3954" s="1"/>
      <c r="K3954" s="89" t="s">
        <v>6061</v>
      </c>
      <c r="L3954" s="89" t="str">
        <f>E136</f>
        <v>C1b3b</v>
      </c>
      <c r="M3954" s="89" t="s">
        <v>6060</v>
      </c>
      <c r="N3954" s="89"/>
      <c r="O3954" s="92">
        <v>2911246.0</v>
      </c>
      <c r="P3954" s="92">
        <v>3043205.0</v>
      </c>
      <c r="Q3954" s="89" t="s">
        <v>802</v>
      </c>
      <c r="AF3954" s="1"/>
      <c r="AG3954" s="1"/>
    </row>
    <row r="3955" ht="15.75" customHeight="1">
      <c r="A3955" s="1"/>
      <c r="B3955" s="1"/>
      <c r="C3955" s="1"/>
      <c r="D3955" s="1"/>
      <c r="E3955" s="1"/>
      <c r="F3955" s="1"/>
      <c r="G3955" s="1"/>
      <c r="H3955" s="1"/>
      <c r="I3955" s="1"/>
      <c r="J3955" s="1"/>
      <c r="K3955" s="89" t="s">
        <v>6062</v>
      </c>
      <c r="L3955" s="89" t="str">
        <f>E136</f>
        <v>C1b3b</v>
      </c>
      <c r="M3955" s="89"/>
      <c r="N3955" s="89" t="s">
        <v>6063</v>
      </c>
      <c r="O3955" s="92">
        <v>6862653.0</v>
      </c>
      <c r="P3955" s="92">
        <v>6994612.0</v>
      </c>
      <c r="Q3955" s="89" t="s">
        <v>822</v>
      </c>
      <c r="AF3955" s="1"/>
      <c r="AG3955" s="1"/>
    </row>
    <row r="3956" ht="15.75" customHeight="1">
      <c r="A3956" s="1"/>
      <c r="B3956" s="1"/>
      <c r="C3956" s="1"/>
      <c r="D3956" s="1"/>
      <c r="E3956" s="1"/>
      <c r="F3956" s="1"/>
      <c r="G3956" s="1"/>
      <c r="H3956" s="1"/>
      <c r="I3956" s="1"/>
      <c r="J3956" s="1"/>
      <c r="K3956" s="89" t="s">
        <v>6064</v>
      </c>
      <c r="L3956" s="89" t="str">
        <f>E136</f>
        <v>C1b3b</v>
      </c>
      <c r="M3956" s="89"/>
      <c r="N3956" s="89" t="s">
        <v>6065</v>
      </c>
      <c r="O3956" s="92">
        <v>1.4925547E7</v>
      </c>
      <c r="P3956" s="92">
        <v>1.2813612E7</v>
      </c>
      <c r="Q3956" s="89" t="s">
        <v>822</v>
      </c>
      <c r="AF3956" s="1"/>
      <c r="AG3956" s="1"/>
    </row>
    <row r="3957" ht="15.75" customHeight="1">
      <c r="A3957" s="1"/>
      <c r="B3957" s="1"/>
      <c r="C3957" s="1"/>
      <c r="D3957" s="1"/>
      <c r="E3957" s="1"/>
      <c r="F3957" s="1"/>
      <c r="G3957" s="1"/>
      <c r="H3957" s="1"/>
      <c r="I3957" s="1"/>
      <c r="J3957" s="1"/>
      <c r="K3957" s="89" t="s">
        <v>6066</v>
      </c>
      <c r="L3957" s="89" t="str">
        <f>E136</f>
        <v>C1b3b</v>
      </c>
      <c r="M3957" s="89"/>
      <c r="N3957" s="89" t="s">
        <v>6067</v>
      </c>
      <c r="O3957" s="92">
        <v>1.6605041E7</v>
      </c>
      <c r="P3957" s="92">
        <v>1.4493161E7</v>
      </c>
      <c r="Q3957" s="89" t="s">
        <v>810</v>
      </c>
      <c r="AF3957" s="1"/>
      <c r="AG3957" s="1"/>
    </row>
    <row r="3958" ht="15.75" customHeight="1">
      <c r="A3958" s="1"/>
      <c r="B3958" s="1"/>
      <c r="C3958" s="1"/>
      <c r="D3958" s="1"/>
      <c r="E3958" s="1"/>
      <c r="F3958" s="1"/>
      <c r="G3958" s="1"/>
      <c r="H3958" s="1"/>
      <c r="I3958" s="1"/>
      <c r="J3958" s="1"/>
      <c r="K3958" s="89" t="s">
        <v>6068</v>
      </c>
      <c r="L3958" s="89" t="str">
        <f>E136</f>
        <v>C1b3b</v>
      </c>
      <c r="M3958" s="89"/>
      <c r="N3958" s="89" t="s">
        <v>6069</v>
      </c>
      <c r="O3958" s="92">
        <v>1.9481997E7</v>
      </c>
      <c r="P3958" s="92">
        <v>1.7370117E7</v>
      </c>
      <c r="Q3958" s="89" t="s">
        <v>813</v>
      </c>
      <c r="AF3958" s="1"/>
      <c r="AG3958" s="1"/>
    </row>
    <row r="3959" ht="15.75" customHeight="1">
      <c r="A3959" s="1"/>
      <c r="B3959" s="1"/>
      <c r="C3959" s="1"/>
      <c r="D3959" s="1"/>
      <c r="E3959" s="1"/>
      <c r="F3959" s="1"/>
      <c r="G3959" s="1"/>
      <c r="H3959" s="1"/>
      <c r="I3959" s="1"/>
      <c r="J3959" s="1"/>
      <c r="K3959" s="89" t="s">
        <v>6070</v>
      </c>
      <c r="L3959" s="89" t="str">
        <f>E136</f>
        <v>C1b3b</v>
      </c>
      <c r="M3959" s="89"/>
      <c r="N3959" s="89" t="s">
        <v>6071</v>
      </c>
      <c r="O3959" s="92">
        <v>2.1138002E7</v>
      </c>
      <c r="P3959" s="92">
        <v>1.8976116E7</v>
      </c>
      <c r="Q3959" s="89" t="s">
        <v>802</v>
      </c>
      <c r="AF3959" s="1"/>
      <c r="AG3959" s="1"/>
    </row>
    <row r="3960" ht="15.75" customHeight="1">
      <c r="A3960" s="1"/>
      <c r="B3960" s="1"/>
      <c r="C3960" s="1"/>
      <c r="D3960" s="1"/>
      <c r="E3960" s="1"/>
      <c r="F3960" s="1"/>
      <c r="G3960" s="1"/>
      <c r="H3960" s="1"/>
      <c r="I3960" s="1"/>
      <c r="J3960" s="1"/>
      <c r="K3960" s="89" t="s">
        <v>6072</v>
      </c>
      <c r="L3960" s="89" t="str">
        <f>E136</f>
        <v>C1b3b</v>
      </c>
      <c r="M3960" s="89"/>
      <c r="N3960" s="89" t="s">
        <v>6073</v>
      </c>
      <c r="O3960" s="92">
        <v>2.2827752E7</v>
      </c>
      <c r="P3960" s="92">
        <v>2.0665866E7</v>
      </c>
      <c r="Q3960" s="89" t="s">
        <v>879</v>
      </c>
      <c r="AF3960" s="1"/>
      <c r="AG3960" s="1"/>
    </row>
    <row r="3961" ht="15.75" customHeight="1">
      <c r="A3961" s="1"/>
      <c r="B3961" s="1"/>
      <c r="C3961" s="1"/>
      <c r="D3961" s="1"/>
      <c r="E3961" s="1"/>
      <c r="F3961" s="1"/>
      <c r="G3961" s="1"/>
      <c r="H3961" s="1"/>
      <c r="I3961" s="1"/>
      <c r="J3961" s="1"/>
      <c r="K3961" s="89" t="s">
        <v>6074</v>
      </c>
      <c r="L3961" s="89" t="str">
        <f>E136</f>
        <v>C1b3b</v>
      </c>
      <c r="M3961" s="89"/>
      <c r="N3961" s="89"/>
      <c r="O3961" s="92">
        <v>6863094.0</v>
      </c>
      <c r="P3961" s="92">
        <v>6995053.0</v>
      </c>
      <c r="Q3961" s="89" t="s">
        <v>810</v>
      </c>
      <c r="AF3961" s="1"/>
      <c r="AG3961" s="1"/>
    </row>
    <row r="3962" ht="15.75" customHeight="1">
      <c r="A3962" s="1"/>
      <c r="B3962" s="1"/>
      <c r="C3962" s="1"/>
      <c r="D3962" s="1"/>
      <c r="E3962" s="1"/>
      <c r="F3962" s="1"/>
      <c r="G3962" s="1"/>
      <c r="H3962" s="1"/>
      <c r="I3962" s="1"/>
      <c r="J3962" s="1"/>
      <c r="K3962" s="89" t="s">
        <v>6075</v>
      </c>
      <c r="L3962" s="89" t="str">
        <f>E136</f>
        <v>C1b3b</v>
      </c>
      <c r="M3962" s="89"/>
      <c r="N3962" s="89"/>
      <c r="O3962" s="92">
        <v>7269348.0</v>
      </c>
      <c r="P3962" s="92">
        <v>7401307.0</v>
      </c>
      <c r="Q3962" s="89" t="s">
        <v>912</v>
      </c>
      <c r="AF3962" s="1"/>
      <c r="AG3962" s="1"/>
    </row>
    <row r="3963" ht="15.75" customHeight="1">
      <c r="A3963" s="1"/>
      <c r="B3963" s="1"/>
      <c r="C3963" s="1"/>
      <c r="D3963" s="1"/>
      <c r="E3963" s="1"/>
      <c r="F3963" s="1"/>
      <c r="G3963" s="1"/>
      <c r="H3963" s="1"/>
      <c r="I3963" s="1"/>
      <c r="J3963" s="1"/>
      <c r="K3963" s="89" t="s">
        <v>6076</v>
      </c>
      <c r="L3963" s="89" t="str">
        <f>E136</f>
        <v>C1b3b</v>
      </c>
      <c r="M3963" s="89"/>
      <c r="N3963" s="89"/>
      <c r="O3963" s="92">
        <v>8550241.0</v>
      </c>
      <c r="P3963" s="92">
        <v>8682200.0</v>
      </c>
      <c r="Q3963" s="89" t="s">
        <v>831</v>
      </c>
      <c r="AF3963" s="1"/>
      <c r="AG3963" s="1"/>
    </row>
    <row r="3964" ht="15.75" customHeight="1">
      <c r="A3964" s="1"/>
      <c r="B3964" s="1"/>
      <c r="C3964" s="1"/>
      <c r="D3964" s="1"/>
      <c r="E3964" s="1"/>
      <c r="F3964" s="1"/>
      <c r="G3964" s="1"/>
      <c r="H3964" s="1"/>
      <c r="I3964" s="1"/>
      <c r="J3964" s="1"/>
      <c r="K3964" s="89" t="s">
        <v>6077</v>
      </c>
      <c r="L3964" s="89" t="str">
        <f>E136</f>
        <v>C1b3b</v>
      </c>
      <c r="M3964" s="89"/>
      <c r="N3964" s="89"/>
      <c r="O3964" s="92">
        <v>8562468.0</v>
      </c>
      <c r="P3964" s="92">
        <v>8694427.0</v>
      </c>
      <c r="Q3964" s="89" t="s">
        <v>912</v>
      </c>
      <c r="AF3964" s="1"/>
      <c r="AG3964" s="1"/>
    </row>
    <row r="3965" ht="15.75" customHeight="1">
      <c r="A3965" s="1"/>
      <c r="B3965" s="1"/>
      <c r="C3965" s="1"/>
      <c r="D3965" s="1"/>
      <c r="E3965" s="1"/>
      <c r="F3965" s="1"/>
      <c r="G3965" s="1"/>
      <c r="H3965" s="1"/>
      <c r="I3965" s="1"/>
      <c r="J3965" s="1"/>
      <c r="K3965" s="89" t="s">
        <v>6078</v>
      </c>
      <c r="L3965" s="89" t="str">
        <f>E136</f>
        <v>C1b3b</v>
      </c>
      <c r="M3965" s="89"/>
      <c r="N3965" s="89"/>
      <c r="O3965" s="92">
        <v>8698560.0</v>
      </c>
      <c r="P3965" s="92">
        <v>8830519.0</v>
      </c>
      <c r="Q3965" s="89" t="s">
        <v>810</v>
      </c>
      <c r="AF3965" s="1"/>
      <c r="AG3965" s="1"/>
    </row>
    <row r="3966" ht="15.75" customHeight="1">
      <c r="A3966" s="1"/>
      <c r="B3966" s="1"/>
      <c r="C3966" s="1"/>
      <c r="D3966" s="1"/>
      <c r="E3966" s="1"/>
      <c r="F3966" s="1"/>
      <c r="G3966" s="1"/>
      <c r="H3966" s="1"/>
      <c r="I3966" s="1"/>
      <c r="J3966" s="1"/>
      <c r="K3966" s="89" t="s">
        <v>6079</v>
      </c>
      <c r="L3966" s="89" t="str">
        <f>E136</f>
        <v>C1b3b</v>
      </c>
      <c r="M3966" s="89"/>
      <c r="N3966" s="89"/>
      <c r="O3966" s="92">
        <v>8873514.0</v>
      </c>
      <c r="P3966" s="92">
        <v>9005473.0</v>
      </c>
      <c r="Q3966" s="89" t="s">
        <v>822</v>
      </c>
      <c r="AF3966" s="1"/>
      <c r="AG3966" s="1"/>
    </row>
    <row r="3967" ht="15.75" customHeight="1">
      <c r="A3967" s="1"/>
      <c r="B3967" s="1"/>
      <c r="C3967" s="1"/>
      <c r="D3967" s="1"/>
      <c r="E3967" s="1"/>
      <c r="F3967" s="1"/>
      <c r="G3967" s="1"/>
      <c r="H3967" s="1"/>
      <c r="I3967" s="1"/>
      <c r="J3967" s="1"/>
      <c r="K3967" s="89" t="s">
        <v>6080</v>
      </c>
      <c r="L3967" s="89" t="str">
        <f>E136</f>
        <v>C1b3b</v>
      </c>
      <c r="M3967" s="89"/>
      <c r="N3967" s="89"/>
      <c r="O3967" s="92">
        <v>9862458.0</v>
      </c>
      <c r="P3967" s="92">
        <v>1.0024849E7</v>
      </c>
      <c r="Q3967" s="89" t="s">
        <v>822</v>
      </c>
      <c r="AF3967" s="1"/>
      <c r="AG3967" s="1"/>
    </row>
    <row r="3968" ht="15.75" customHeight="1">
      <c r="A3968" s="1"/>
      <c r="B3968" s="1"/>
      <c r="C3968" s="1"/>
      <c r="D3968" s="1"/>
      <c r="E3968" s="1"/>
      <c r="F3968" s="1"/>
      <c r="G3968" s="1"/>
      <c r="H3968" s="1"/>
      <c r="I3968" s="1"/>
      <c r="J3968" s="1"/>
      <c r="K3968" s="89" t="s">
        <v>6081</v>
      </c>
      <c r="L3968" s="89" t="str">
        <f>E136</f>
        <v>C1b3b</v>
      </c>
      <c r="M3968" s="89"/>
      <c r="N3968" s="89" t="s">
        <v>6082</v>
      </c>
      <c r="O3968" s="92">
        <v>1.4849284E7</v>
      </c>
      <c r="P3968" s="92">
        <v>1.273735E7</v>
      </c>
      <c r="Q3968" s="89" t="s">
        <v>822</v>
      </c>
      <c r="AF3968" s="1"/>
      <c r="AG3968" s="1"/>
    </row>
    <row r="3969" ht="15.75" customHeight="1">
      <c r="A3969" s="1"/>
      <c r="B3969" s="1"/>
      <c r="C3969" s="1"/>
      <c r="D3969" s="1"/>
      <c r="E3969" s="1"/>
      <c r="F3969" s="1"/>
      <c r="G3969" s="1"/>
      <c r="H3969" s="1"/>
      <c r="I3969" s="1"/>
      <c r="J3969" s="1"/>
      <c r="K3969" s="89" t="s">
        <v>6083</v>
      </c>
      <c r="L3969" s="89" t="str">
        <f>E136</f>
        <v>C1b3b</v>
      </c>
      <c r="M3969" s="89"/>
      <c r="N3969" s="89" t="s">
        <v>6084</v>
      </c>
      <c r="O3969" s="92">
        <v>1.4887648E7</v>
      </c>
      <c r="P3969" s="92">
        <v>1.2775714E7</v>
      </c>
      <c r="Q3969" s="89" t="s">
        <v>802</v>
      </c>
      <c r="AF3969" s="1"/>
      <c r="AG3969" s="1"/>
    </row>
    <row r="3970" ht="15.75" customHeight="1">
      <c r="A3970" s="1"/>
      <c r="B3970" s="1"/>
      <c r="C3970" s="1"/>
      <c r="D3970" s="1"/>
      <c r="E3970" s="1"/>
      <c r="F3970" s="1"/>
      <c r="G3970" s="1"/>
      <c r="H3970" s="1"/>
      <c r="I3970" s="1"/>
      <c r="J3970" s="1"/>
      <c r="K3970" s="89" t="s">
        <v>6085</v>
      </c>
      <c r="L3970" s="89" t="str">
        <f>E136</f>
        <v>C1b3b</v>
      </c>
      <c r="M3970" s="89"/>
      <c r="N3970" s="89"/>
      <c r="O3970" s="92">
        <v>1.5490975E7</v>
      </c>
      <c r="P3970" s="92">
        <v>1.3379095E7</v>
      </c>
      <c r="Q3970" s="89" t="s">
        <v>810</v>
      </c>
      <c r="AF3970" s="1"/>
      <c r="AG3970" s="1"/>
    </row>
    <row r="3971" ht="15.75" customHeight="1">
      <c r="A3971" s="1"/>
      <c r="B3971" s="1"/>
      <c r="C3971" s="1"/>
      <c r="D3971" s="1"/>
      <c r="E3971" s="1"/>
      <c r="F3971" s="1"/>
      <c r="G3971" s="1"/>
      <c r="H3971" s="1"/>
      <c r="I3971" s="1"/>
      <c r="J3971" s="1"/>
      <c r="K3971" s="89" t="s">
        <v>6086</v>
      </c>
      <c r="L3971" s="89" t="str">
        <f>E136</f>
        <v>C1b3b</v>
      </c>
      <c r="M3971" s="89"/>
      <c r="N3971" s="89" t="s">
        <v>6087</v>
      </c>
      <c r="O3971" s="92">
        <v>1.7291051E7</v>
      </c>
      <c r="P3971" s="92">
        <v>1.5179171E7</v>
      </c>
      <c r="Q3971" s="89" t="s">
        <v>802</v>
      </c>
      <c r="AF3971" s="1"/>
      <c r="AG3971" s="1"/>
    </row>
    <row r="3972" ht="15.75" customHeight="1">
      <c r="A3972" s="1"/>
      <c r="B3972" s="1"/>
      <c r="C3972" s="1"/>
      <c r="D3972" s="1"/>
      <c r="E3972" s="1"/>
      <c r="F3972" s="1"/>
      <c r="G3972" s="1"/>
      <c r="H3972" s="1"/>
      <c r="I3972" s="1"/>
      <c r="J3972" s="1"/>
      <c r="K3972" s="89" t="s">
        <v>6088</v>
      </c>
      <c r="L3972" s="89" t="str">
        <f>E136</f>
        <v>C1b3b</v>
      </c>
      <c r="M3972" s="89"/>
      <c r="N3972" s="89"/>
      <c r="O3972" s="92">
        <v>1.7313398E7</v>
      </c>
      <c r="P3972" s="92">
        <v>1.5201518E7</v>
      </c>
      <c r="Q3972" s="89" t="s">
        <v>912</v>
      </c>
      <c r="AF3972" s="1"/>
      <c r="AG3972" s="1"/>
    </row>
    <row r="3973" ht="15.75" customHeight="1">
      <c r="A3973" s="1"/>
      <c r="B3973" s="1"/>
      <c r="C3973" s="1"/>
      <c r="D3973" s="1"/>
      <c r="E3973" s="1"/>
      <c r="F3973" s="1"/>
      <c r="G3973" s="1"/>
      <c r="H3973" s="1"/>
      <c r="I3973" s="1"/>
      <c r="J3973" s="1"/>
      <c r="K3973" s="89" t="s">
        <v>6089</v>
      </c>
      <c r="L3973" s="89" t="str">
        <f>E136</f>
        <v>C1b3b</v>
      </c>
      <c r="M3973" s="89"/>
      <c r="N3973" s="89"/>
      <c r="O3973" s="92">
        <v>1.7618988E7</v>
      </c>
      <c r="P3973" s="92">
        <v>1.5507108E7</v>
      </c>
      <c r="Q3973" s="89" t="s">
        <v>838</v>
      </c>
      <c r="AF3973" s="1"/>
      <c r="AG3973" s="1"/>
    </row>
    <row r="3974" ht="15.75" customHeight="1">
      <c r="A3974" s="1"/>
      <c r="B3974" s="1"/>
      <c r="C3974" s="1"/>
      <c r="D3974" s="1"/>
      <c r="E3974" s="1"/>
      <c r="F3974" s="1"/>
      <c r="G3974" s="1"/>
      <c r="H3974" s="1"/>
      <c r="I3974" s="1"/>
      <c r="J3974" s="1"/>
      <c r="K3974" s="89" t="s">
        <v>6090</v>
      </c>
      <c r="L3974" s="89" t="str">
        <f>E136</f>
        <v>C1b3b</v>
      </c>
      <c r="M3974" s="89"/>
      <c r="N3974" s="89" t="s">
        <v>6091</v>
      </c>
      <c r="O3974" s="92">
        <v>1.7847502E7</v>
      </c>
      <c r="P3974" s="92">
        <v>1.5735622E7</v>
      </c>
      <c r="Q3974" s="89" t="s">
        <v>802</v>
      </c>
      <c r="AF3974" s="1"/>
      <c r="AG3974" s="1"/>
    </row>
    <row r="3975" ht="15.75" customHeight="1">
      <c r="A3975" s="1"/>
      <c r="B3975" s="1"/>
      <c r="C3975" s="1"/>
      <c r="D3975" s="1"/>
      <c r="E3975" s="1"/>
      <c r="F3975" s="1"/>
      <c r="G3975" s="1"/>
      <c r="H3975" s="1"/>
      <c r="I3975" s="1"/>
      <c r="J3975" s="1"/>
      <c r="K3975" s="89" t="s">
        <v>6092</v>
      </c>
      <c r="L3975" s="89" t="str">
        <f>E136</f>
        <v>C1b3b</v>
      </c>
      <c r="M3975" s="89"/>
      <c r="N3975" s="89"/>
      <c r="O3975" s="92">
        <v>1.8138126E7</v>
      </c>
      <c r="P3975" s="92">
        <v>1.6026246E7</v>
      </c>
      <c r="Q3975" s="89" t="s">
        <v>879</v>
      </c>
      <c r="AF3975" s="1"/>
      <c r="AG3975" s="1"/>
    </row>
    <row r="3976" ht="15.75" customHeight="1">
      <c r="A3976" s="1"/>
      <c r="B3976" s="1"/>
      <c r="C3976" s="1"/>
      <c r="D3976" s="1"/>
      <c r="E3976" s="1"/>
      <c r="F3976" s="1"/>
      <c r="G3976" s="1"/>
      <c r="H3976" s="1"/>
      <c r="I3976" s="1"/>
      <c r="J3976" s="1"/>
      <c r="K3976" s="89" t="s">
        <v>6093</v>
      </c>
      <c r="L3976" s="89" t="str">
        <f>E136</f>
        <v>C1b3b</v>
      </c>
      <c r="M3976" s="89"/>
      <c r="N3976" s="89"/>
      <c r="O3976" s="92">
        <v>1.8753788E7</v>
      </c>
      <c r="P3976" s="92">
        <v>1.6641908E7</v>
      </c>
      <c r="Q3976" s="89" t="s">
        <v>810</v>
      </c>
      <c r="AF3976" s="1"/>
      <c r="AG3976" s="1"/>
    </row>
    <row r="3977" ht="15.75" customHeight="1">
      <c r="A3977" s="1"/>
      <c r="B3977" s="1"/>
      <c r="C3977" s="1"/>
      <c r="D3977" s="1"/>
      <c r="E3977" s="1"/>
      <c r="F3977" s="1"/>
      <c r="G3977" s="1"/>
      <c r="H3977" s="1"/>
      <c r="I3977" s="1"/>
      <c r="J3977" s="1"/>
      <c r="K3977" s="89" t="s">
        <v>6094</v>
      </c>
      <c r="L3977" s="89" t="str">
        <f>E136</f>
        <v>C1b3b</v>
      </c>
      <c r="M3977" s="89"/>
      <c r="N3977" s="89"/>
      <c r="O3977" s="92">
        <v>1.8815897E7</v>
      </c>
      <c r="P3977" s="92">
        <v>1.6704017E7</v>
      </c>
      <c r="Q3977" s="89" t="s">
        <v>879</v>
      </c>
      <c r="AF3977" s="1"/>
      <c r="AG3977" s="1"/>
    </row>
    <row r="3978" ht="15.75" customHeight="1">
      <c r="A3978" s="1"/>
      <c r="B3978" s="1"/>
      <c r="C3978" s="1"/>
      <c r="D3978" s="1"/>
      <c r="E3978" s="1"/>
      <c r="F3978" s="1"/>
      <c r="G3978" s="1"/>
      <c r="H3978" s="1"/>
      <c r="I3978" s="1"/>
      <c r="J3978" s="1"/>
      <c r="K3978" s="89" t="s">
        <v>6095</v>
      </c>
      <c r="L3978" s="89" t="str">
        <f>E136</f>
        <v>C1b3b</v>
      </c>
      <c r="M3978" s="89"/>
      <c r="N3978" s="89"/>
      <c r="O3978" s="92">
        <v>1.8955883E7</v>
      </c>
      <c r="P3978" s="92">
        <v>1.6844003E7</v>
      </c>
      <c r="Q3978" s="89" t="s">
        <v>838</v>
      </c>
      <c r="AF3978" s="1"/>
      <c r="AG3978" s="1"/>
    </row>
    <row r="3979" ht="15.75" customHeight="1">
      <c r="A3979" s="1"/>
      <c r="B3979" s="1"/>
      <c r="C3979" s="1"/>
      <c r="D3979" s="1"/>
      <c r="E3979" s="1"/>
      <c r="F3979" s="1"/>
      <c r="G3979" s="1"/>
      <c r="H3979" s="1"/>
      <c r="I3979" s="1"/>
      <c r="J3979" s="1"/>
      <c r="K3979" s="89" t="s">
        <v>6096</v>
      </c>
      <c r="L3979" s="89" t="str">
        <f>E136</f>
        <v>C1b3b</v>
      </c>
      <c r="M3979" s="89"/>
      <c r="N3979" s="89"/>
      <c r="O3979" s="92">
        <v>2.181118E7</v>
      </c>
      <c r="P3979" s="92">
        <v>1.9649294E7</v>
      </c>
      <c r="Q3979" s="89" t="s">
        <v>802</v>
      </c>
      <c r="AF3979" s="1"/>
      <c r="AG3979" s="1"/>
    </row>
    <row r="3980" ht="15.75" customHeight="1">
      <c r="A3980" s="1"/>
      <c r="B3980" s="1"/>
      <c r="C3980" s="1"/>
      <c r="D3980" s="1"/>
      <c r="E3980" s="1"/>
      <c r="F3980" s="1"/>
      <c r="G3980" s="1"/>
      <c r="H3980" s="1"/>
      <c r="I3980" s="1"/>
      <c r="J3980" s="1"/>
      <c r="K3980" s="89" t="s">
        <v>6097</v>
      </c>
      <c r="L3980" s="89" t="str">
        <f>E136</f>
        <v>C1b3b</v>
      </c>
      <c r="M3980" s="89"/>
      <c r="N3980" s="89"/>
      <c r="O3980" s="92">
        <v>2.1961422E7</v>
      </c>
      <c r="P3980" s="92">
        <v>1.9799536E7</v>
      </c>
      <c r="Q3980" s="89" t="s">
        <v>822</v>
      </c>
      <c r="AF3980" s="1"/>
      <c r="AG3980" s="1"/>
    </row>
    <row r="3981" ht="15.75" customHeight="1">
      <c r="A3981" s="1"/>
      <c r="B3981" s="1"/>
      <c r="C3981" s="1"/>
      <c r="D3981" s="1"/>
      <c r="E3981" s="1"/>
      <c r="F3981" s="1"/>
      <c r="G3981" s="1"/>
      <c r="H3981" s="1"/>
      <c r="I3981" s="1"/>
      <c r="J3981" s="1"/>
      <c r="K3981" s="89" t="s">
        <v>6098</v>
      </c>
      <c r="L3981" s="89" t="str">
        <f>E136</f>
        <v>C1b3b</v>
      </c>
      <c r="M3981" s="89"/>
      <c r="N3981" s="89"/>
      <c r="O3981" s="92">
        <v>2.2029605E7</v>
      </c>
      <c r="P3981" s="92">
        <v>1.9867719E7</v>
      </c>
      <c r="Q3981" s="89" t="s">
        <v>886</v>
      </c>
      <c r="AF3981" s="1"/>
      <c r="AG3981" s="1"/>
    </row>
    <row r="3982" ht="15.75" customHeight="1">
      <c r="A3982" s="1"/>
      <c r="B3982" s="1"/>
      <c r="C3982" s="1"/>
      <c r="D3982" s="1"/>
      <c r="E3982" s="1"/>
      <c r="F3982" s="1"/>
      <c r="G3982" s="1"/>
      <c r="H3982" s="1"/>
      <c r="I3982" s="1"/>
      <c r="J3982" s="1"/>
      <c r="K3982" s="89" t="s">
        <v>6099</v>
      </c>
      <c r="L3982" s="89" t="str">
        <f>E136</f>
        <v>C1b3b</v>
      </c>
      <c r="M3982" s="89"/>
      <c r="N3982" s="89" t="s">
        <v>6100</v>
      </c>
      <c r="O3982" s="92">
        <v>2.2850173E7</v>
      </c>
      <c r="P3982" s="92">
        <v>2.0688287E7</v>
      </c>
      <c r="Q3982" s="89" t="s">
        <v>912</v>
      </c>
      <c r="AF3982" s="1"/>
      <c r="AG3982" s="1"/>
    </row>
    <row r="3983" ht="15.75" customHeight="1">
      <c r="A3983" s="1"/>
      <c r="B3983" s="1"/>
      <c r="C3983" s="1"/>
      <c r="D3983" s="1"/>
      <c r="E3983" s="1"/>
      <c r="F3983" s="1"/>
      <c r="G3983" s="1"/>
      <c r="H3983" s="1"/>
      <c r="I3983" s="1"/>
      <c r="J3983" s="1"/>
      <c r="K3983" s="89" t="s">
        <v>6101</v>
      </c>
      <c r="L3983" s="89" t="str">
        <f>E136</f>
        <v>C1b3b</v>
      </c>
      <c r="M3983" s="89"/>
      <c r="N3983" s="89"/>
      <c r="O3983" s="92">
        <v>2.3046713E7</v>
      </c>
      <c r="P3983" s="92">
        <v>2.0884827E7</v>
      </c>
      <c r="Q3983" s="89" t="s">
        <v>838</v>
      </c>
      <c r="AF3983" s="1"/>
      <c r="AG3983" s="1"/>
    </row>
    <row r="3984" ht="15.75" customHeight="1">
      <c r="A3984" s="1"/>
      <c r="B3984" s="1"/>
      <c r="C3984" s="1"/>
      <c r="D3984" s="1"/>
      <c r="E3984" s="1"/>
      <c r="F3984" s="1"/>
      <c r="G3984" s="1"/>
      <c r="H3984" s="1"/>
      <c r="I3984" s="1"/>
      <c r="J3984" s="1"/>
      <c r="K3984" s="89" t="s">
        <v>235</v>
      </c>
      <c r="L3984" s="89" t="str">
        <f t="shared" ref="L3984:L3985" si="27">F137</f>
        <v>C1b3b1</v>
      </c>
      <c r="M3984" s="89"/>
      <c r="N3984" s="89" t="s">
        <v>6102</v>
      </c>
      <c r="O3984" s="92">
        <v>1.557578E7</v>
      </c>
      <c r="P3984" s="92">
        <v>1.34639E7</v>
      </c>
      <c r="Q3984" s="89" t="s">
        <v>886</v>
      </c>
      <c r="AF3984" s="1"/>
      <c r="AG3984" s="1"/>
    </row>
    <row r="3985" ht="15.75" customHeight="1">
      <c r="A3985" s="1"/>
      <c r="B3985" s="1"/>
      <c r="C3985" s="1"/>
      <c r="D3985" s="1"/>
      <c r="E3985" s="1"/>
      <c r="F3985" s="1"/>
      <c r="G3985" s="1"/>
      <c r="H3985" s="1"/>
      <c r="I3985" s="1"/>
      <c r="J3985" s="1"/>
      <c r="K3985" s="89" t="s">
        <v>6103</v>
      </c>
      <c r="L3985" s="89" t="str">
        <f t="shared" si="27"/>
        <v>C1b3b1~</v>
      </c>
      <c r="M3985" s="89"/>
      <c r="N3985" s="89"/>
      <c r="O3985" s="92">
        <v>7049166.0</v>
      </c>
      <c r="P3985" s="92">
        <v>7181125.0</v>
      </c>
      <c r="Q3985" s="89" t="s">
        <v>810</v>
      </c>
      <c r="AF3985" s="1"/>
      <c r="AG3985" s="1"/>
    </row>
    <row r="3986" ht="15.75" customHeight="1">
      <c r="A3986" s="1"/>
      <c r="B3986" s="1"/>
      <c r="C3986" s="1"/>
      <c r="D3986" s="1"/>
      <c r="E3986" s="1"/>
      <c r="F3986" s="1"/>
      <c r="G3986" s="1"/>
      <c r="H3986" s="1"/>
      <c r="I3986" s="1"/>
      <c r="J3986" s="1"/>
      <c r="K3986" s="89" t="s">
        <v>6104</v>
      </c>
      <c r="L3986" s="89" t="str">
        <f>F138</f>
        <v>C1b3b1~</v>
      </c>
      <c r="M3986" s="89"/>
      <c r="N3986" s="89"/>
      <c r="O3986" s="92">
        <v>2838743.0</v>
      </c>
      <c r="P3986" s="92">
        <v>2970702.0</v>
      </c>
      <c r="Q3986" s="89" t="s">
        <v>802</v>
      </c>
      <c r="AF3986" s="1"/>
      <c r="AG3986" s="1"/>
    </row>
    <row r="3987" ht="15.75" customHeight="1">
      <c r="A3987" s="1"/>
      <c r="B3987" s="1"/>
      <c r="C3987" s="1"/>
      <c r="D3987" s="1"/>
      <c r="E3987" s="1"/>
      <c r="F3987" s="1"/>
      <c r="G3987" s="1"/>
      <c r="H3987" s="1"/>
      <c r="I3987" s="1"/>
      <c r="J3987" s="1"/>
      <c r="K3987" s="89" t="s">
        <v>6105</v>
      </c>
      <c r="L3987" s="89" t="str">
        <f>F138</f>
        <v>C1b3b1~</v>
      </c>
      <c r="M3987" s="89"/>
      <c r="N3987" s="89"/>
      <c r="O3987" s="92">
        <v>2877678.0</v>
      </c>
      <c r="P3987" s="92">
        <v>3009637.0</v>
      </c>
      <c r="Q3987" s="89" t="s">
        <v>802</v>
      </c>
      <c r="AF3987" s="1"/>
      <c r="AG3987" s="1"/>
    </row>
    <row r="3988" ht="15.75" customHeight="1">
      <c r="A3988" s="1"/>
      <c r="B3988" s="1"/>
      <c r="C3988" s="1"/>
      <c r="D3988" s="1"/>
      <c r="E3988" s="1"/>
      <c r="F3988" s="1"/>
      <c r="G3988" s="1"/>
      <c r="H3988" s="1"/>
      <c r="I3988" s="1"/>
      <c r="J3988" s="1"/>
      <c r="K3988" s="89" t="s">
        <v>6106</v>
      </c>
      <c r="L3988" s="89" t="str">
        <f>F138</f>
        <v>C1b3b1~</v>
      </c>
      <c r="M3988" s="89"/>
      <c r="N3988" s="89"/>
      <c r="O3988" s="92">
        <v>6754371.0</v>
      </c>
      <c r="P3988" s="92">
        <v>6886330.0</v>
      </c>
      <c r="Q3988" s="89" t="s">
        <v>802</v>
      </c>
      <c r="AF3988" s="1"/>
      <c r="AG3988" s="1"/>
    </row>
    <row r="3989" ht="15.75" customHeight="1">
      <c r="A3989" s="1"/>
      <c r="B3989" s="1"/>
      <c r="C3989" s="1"/>
      <c r="D3989" s="1"/>
      <c r="E3989" s="1"/>
      <c r="F3989" s="1"/>
      <c r="G3989" s="1"/>
      <c r="H3989" s="1"/>
      <c r="I3989" s="1"/>
      <c r="J3989" s="1"/>
      <c r="K3989" s="89" t="s">
        <v>6107</v>
      </c>
      <c r="L3989" s="89" t="str">
        <f t="shared" ref="L3989:L3990" si="28">F138</f>
        <v>C1b3b1~</v>
      </c>
      <c r="M3989" s="89"/>
      <c r="N3989" s="89"/>
      <c r="O3989" s="92">
        <v>7135446.0</v>
      </c>
      <c r="P3989" s="92">
        <v>7267405.0</v>
      </c>
      <c r="Q3989" s="89" t="s">
        <v>810</v>
      </c>
      <c r="AF3989" s="1"/>
      <c r="AG3989" s="1"/>
    </row>
    <row r="3990" ht="15.75" customHeight="1">
      <c r="A3990" s="1"/>
      <c r="B3990" s="1"/>
      <c r="C3990" s="1"/>
      <c r="D3990" s="1"/>
      <c r="E3990" s="1"/>
      <c r="F3990" s="1"/>
      <c r="G3990" s="1"/>
      <c r="H3990" s="1"/>
      <c r="I3990" s="1"/>
      <c r="J3990" s="1"/>
      <c r="K3990" s="89" t="s">
        <v>6108</v>
      </c>
      <c r="L3990" s="89" t="str">
        <f t="shared" si="28"/>
        <v>C1b3b2~</v>
      </c>
      <c r="M3990" s="89"/>
      <c r="N3990" s="89"/>
      <c r="O3990" s="92">
        <v>2776573.0</v>
      </c>
      <c r="P3990" s="92">
        <v>2908532.0</v>
      </c>
      <c r="Q3990" s="89" t="s">
        <v>802</v>
      </c>
      <c r="AF3990" s="1"/>
      <c r="AG3990" s="1"/>
    </row>
    <row r="3991" ht="15.75" customHeight="1">
      <c r="A3991" s="1"/>
      <c r="B3991" s="1"/>
      <c r="C3991" s="1"/>
      <c r="D3991" s="1"/>
      <c r="E3991" s="1"/>
      <c r="F3991" s="1"/>
      <c r="G3991" s="1"/>
      <c r="H3991" s="1"/>
      <c r="I3991" s="1"/>
      <c r="J3991" s="1"/>
      <c r="K3991" s="89" t="s">
        <v>6109</v>
      </c>
      <c r="L3991" s="89" t="str">
        <f>F139</f>
        <v>C1b3b2~</v>
      </c>
      <c r="M3991" s="89"/>
      <c r="N3991" s="89"/>
      <c r="O3991" s="92">
        <v>6905122.0</v>
      </c>
      <c r="P3991" s="92">
        <v>7037081.0</v>
      </c>
      <c r="Q3991" s="89" t="s">
        <v>810</v>
      </c>
      <c r="AF3991" s="1"/>
      <c r="AG3991" s="1"/>
    </row>
    <row r="3992" ht="15.75" customHeight="1">
      <c r="A3992" s="1"/>
      <c r="B3992" s="1"/>
      <c r="C3992" s="1"/>
      <c r="D3992" s="1"/>
      <c r="E3992" s="1"/>
      <c r="F3992" s="1"/>
      <c r="G3992" s="1"/>
      <c r="H3992" s="1"/>
      <c r="I3992" s="1"/>
      <c r="J3992" s="1"/>
      <c r="K3992" s="89" t="s">
        <v>6110</v>
      </c>
      <c r="L3992" s="89" t="str">
        <f>F139</f>
        <v>C1b3b2~</v>
      </c>
      <c r="M3992" s="89"/>
      <c r="N3992" s="89"/>
      <c r="O3992" s="92">
        <v>7046949.0</v>
      </c>
      <c r="P3992" s="92">
        <v>7178908.0</v>
      </c>
      <c r="Q3992" s="89" t="s">
        <v>802</v>
      </c>
      <c r="AF3992" s="1"/>
      <c r="AG3992" s="1"/>
    </row>
    <row r="3993" ht="15.75" customHeight="1">
      <c r="A3993" s="1"/>
      <c r="B3993" s="1"/>
      <c r="C3993" s="1"/>
      <c r="D3993" s="1"/>
      <c r="E3993" s="1"/>
      <c r="F3993" s="1"/>
      <c r="G3993" s="1"/>
      <c r="H3993" s="1"/>
      <c r="I3993" s="1"/>
      <c r="J3993" s="1"/>
      <c r="K3993" s="89" t="s">
        <v>6111</v>
      </c>
      <c r="L3993" s="89" t="str">
        <f>F139</f>
        <v>C1b3b2~</v>
      </c>
      <c r="M3993" s="89"/>
      <c r="N3993" s="89"/>
      <c r="O3993" s="92">
        <v>7094541.0</v>
      </c>
      <c r="P3993" s="92">
        <v>7226500.0</v>
      </c>
      <c r="Q3993" s="89" t="s">
        <v>802</v>
      </c>
      <c r="AF3993" s="1"/>
      <c r="AG3993" s="1"/>
    </row>
    <row r="3994" ht="15.75" customHeight="1">
      <c r="A3994" s="1"/>
      <c r="B3994" s="1"/>
      <c r="C3994" s="1"/>
      <c r="D3994" s="1"/>
      <c r="E3994" s="1"/>
      <c r="F3994" s="1"/>
      <c r="G3994" s="1"/>
      <c r="H3994" s="1"/>
      <c r="I3994" s="1"/>
      <c r="J3994" s="1"/>
      <c r="K3994" s="89" t="s">
        <v>6112</v>
      </c>
      <c r="L3994" s="89" t="str">
        <f t="shared" ref="L3994:L3995" si="29">F139</f>
        <v>C1b3b2~</v>
      </c>
      <c r="M3994" s="89"/>
      <c r="N3994" s="89"/>
      <c r="O3994" s="92">
        <v>7332178.0</v>
      </c>
      <c r="P3994" s="92">
        <v>7464137.0</v>
      </c>
      <c r="Q3994" s="89" t="s">
        <v>886</v>
      </c>
      <c r="AF3994" s="1"/>
      <c r="AG3994" s="1"/>
    </row>
    <row r="3995" ht="15.75" customHeight="1">
      <c r="A3995" s="1"/>
      <c r="B3995" s="1"/>
      <c r="C3995" s="1"/>
      <c r="D3995" s="1"/>
      <c r="E3995" s="1"/>
      <c r="F3995" s="1"/>
      <c r="G3995" s="1"/>
      <c r="H3995" s="1"/>
      <c r="I3995" s="1"/>
      <c r="J3995" s="1"/>
      <c r="K3995" s="89" t="s">
        <v>6113</v>
      </c>
      <c r="L3995" s="89" t="str">
        <f t="shared" si="29"/>
        <v>C1b3b3~</v>
      </c>
      <c r="M3995" s="89"/>
      <c r="N3995" s="89"/>
      <c r="O3995" s="92">
        <v>7684947.0</v>
      </c>
      <c r="P3995" s="92">
        <v>7816906.0</v>
      </c>
      <c r="Q3995" s="89" t="s">
        <v>810</v>
      </c>
      <c r="AF3995" s="1"/>
      <c r="AG3995" s="1"/>
    </row>
    <row r="3996" ht="15.75" customHeight="1">
      <c r="A3996" s="1"/>
      <c r="B3996" s="1"/>
      <c r="C3996" s="1"/>
      <c r="D3996" s="1"/>
      <c r="E3996" s="1"/>
      <c r="F3996" s="1"/>
      <c r="G3996" s="1"/>
      <c r="H3996" s="1"/>
      <c r="I3996" s="1"/>
      <c r="J3996" s="1"/>
      <c r="K3996" s="89" t="s">
        <v>6114</v>
      </c>
      <c r="L3996" s="89" t="str">
        <f>F140</f>
        <v>C1b3b3~</v>
      </c>
      <c r="M3996" s="89"/>
      <c r="N3996" s="89"/>
      <c r="O3996" s="92">
        <v>9454864.0</v>
      </c>
      <c r="P3996" s="92">
        <v>9617255.0</v>
      </c>
      <c r="Q3996" s="89" t="s">
        <v>912</v>
      </c>
      <c r="AF3996" s="1"/>
      <c r="AG3996" s="1"/>
    </row>
    <row r="3997" ht="15.75" customHeight="1">
      <c r="A3997" s="1"/>
      <c r="B3997" s="1"/>
      <c r="C3997" s="1"/>
      <c r="D3997" s="1"/>
      <c r="E3997" s="1"/>
      <c r="F3997" s="1"/>
      <c r="G3997" s="1"/>
      <c r="H3997" s="1"/>
      <c r="I3997" s="1"/>
      <c r="J3997" s="1"/>
      <c r="K3997" s="89" t="s">
        <v>6115</v>
      </c>
      <c r="L3997" s="89" t="str">
        <f>F140</f>
        <v>C1b3b3~</v>
      </c>
      <c r="M3997" s="89"/>
      <c r="N3997" s="89"/>
      <c r="O3997" s="92">
        <v>9878205.0</v>
      </c>
      <c r="P3997" s="92">
        <v>1.0040596E7</v>
      </c>
      <c r="Q3997" s="89" t="s">
        <v>822</v>
      </c>
      <c r="AF3997" s="1"/>
      <c r="AG3997" s="1"/>
    </row>
    <row r="3998" ht="15.75" customHeight="1">
      <c r="A3998" s="1"/>
      <c r="B3998" s="1"/>
      <c r="C3998" s="1"/>
      <c r="D3998" s="1"/>
      <c r="E3998" s="1"/>
      <c r="F3998" s="1"/>
      <c r="G3998" s="1"/>
      <c r="H3998" s="1"/>
      <c r="I3998" s="1"/>
      <c r="J3998" s="1"/>
      <c r="K3998" s="89" t="s">
        <v>6116</v>
      </c>
      <c r="L3998" s="89" t="str">
        <f>F140</f>
        <v>C1b3b3~</v>
      </c>
      <c r="M3998" s="89"/>
      <c r="N3998" s="89"/>
      <c r="O3998" s="92">
        <v>1.4105677E7</v>
      </c>
      <c r="P3998" s="92">
        <v>1.1984971E7</v>
      </c>
      <c r="Q3998" s="89" t="s">
        <v>912</v>
      </c>
      <c r="AF3998" s="1"/>
      <c r="AG3998" s="1"/>
    </row>
    <row r="3999" ht="15.75" customHeight="1">
      <c r="A3999" s="1"/>
      <c r="B3999" s="1"/>
      <c r="C3999" s="1"/>
      <c r="D3999" s="1"/>
      <c r="E3999" s="1"/>
      <c r="F3999" s="1"/>
      <c r="G3999" s="1"/>
      <c r="H3999" s="1"/>
      <c r="I3999" s="1"/>
      <c r="J3999" s="1"/>
      <c r="K3999" s="89" t="s">
        <v>6117</v>
      </c>
      <c r="L3999" s="89" t="str">
        <f t="shared" ref="L3999:L4000" si="30">F140</f>
        <v>C1b3b3~</v>
      </c>
      <c r="M3999" s="89"/>
      <c r="N3999" s="89"/>
      <c r="O3999" s="92">
        <v>1.4243857E7</v>
      </c>
      <c r="P3999" s="92">
        <v>1.2123151E7</v>
      </c>
      <c r="Q3999" s="89" t="s">
        <v>886</v>
      </c>
      <c r="AF3999" s="1"/>
      <c r="AG3999" s="1"/>
    </row>
    <row r="4000" ht="15.75" customHeight="1">
      <c r="A4000" s="1"/>
      <c r="B4000" s="1"/>
      <c r="C4000" s="1"/>
      <c r="D4000" s="1"/>
      <c r="E4000" s="1"/>
      <c r="F4000" s="1"/>
      <c r="G4000" s="1"/>
      <c r="H4000" s="1"/>
      <c r="I4000" s="1"/>
      <c r="J4000" s="1"/>
      <c r="K4000" s="89" t="s">
        <v>6118</v>
      </c>
      <c r="L4000" s="89" t="str">
        <f t="shared" si="30"/>
        <v>C1b3b4~</v>
      </c>
      <c r="M4000" s="89"/>
      <c r="N4000" s="89"/>
      <c r="O4000" s="92">
        <v>2767239.0</v>
      </c>
      <c r="P4000" s="92">
        <v>2899198.0</v>
      </c>
      <c r="Q4000" s="89" t="s">
        <v>822</v>
      </c>
      <c r="AF4000" s="1"/>
      <c r="AG4000" s="1"/>
    </row>
    <row r="4001" ht="15.75" customHeight="1">
      <c r="A4001" s="1"/>
      <c r="B4001" s="1"/>
      <c r="C4001" s="1"/>
      <c r="D4001" s="1"/>
      <c r="E4001" s="1"/>
      <c r="F4001" s="1"/>
      <c r="G4001" s="1"/>
      <c r="H4001" s="1"/>
      <c r="I4001" s="1"/>
      <c r="J4001" s="1"/>
      <c r="K4001" s="89" t="s">
        <v>6119</v>
      </c>
      <c r="L4001" s="89" t="str">
        <f>F141</f>
        <v>C1b3b4~</v>
      </c>
      <c r="M4001" s="89"/>
      <c r="N4001" s="89"/>
      <c r="O4001" s="92">
        <v>7192418.0</v>
      </c>
      <c r="P4001" s="92">
        <v>7324377.0</v>
      </c>
      <c r="Q4001" s="89" t="s">
        <v>912</v>
      </c>
      <c r="AF4001" s="1"/>
      <c r="AG4001" s="1"/>
    </row>
    <row r="4002" ht="15.75" customHeight="1">
      <c r="A4002" s="1"/>
      <c r="B4002" s="1"/>
      <c r="C4002" s="1"/>
      <c r="D4002" s="1"/>
      <c r="E4002" s="1"/>
      <c r="F4002" s="1"/>
      <c r="G4002" s="1"/>
      <c r="H4002" s="1"/>
      <c r="I4002" s="1"/>
      <c r="J4002" s="1"/>
      <c r="K4002" s="89" t="s">
        <v>6120</v>
      </c>
      <c r="L4002" s="89" t="str">
        <f>F141</f>
        <v>C1b3b4~</v>
      </c>
      <c r="M4002" s="89"/>
      <c r="N4002" s="89"/>
      <c r="O4002" s="92">
        <v>7397355.0</v>
      </c>
      <c r="P4002" s="92">
        <v>7529314.0</v>
      </c>
      <c r="Q4002" s="89" t="s">
        <v>822</v>
      </c>
      <c r="AF4002" s="1"/>
      <c r="AG4002" s="1"/>
    </row>
    <row r="4003" ht="15.75" customHeight="1">
      <c r="A4003" s="1"/>
      <c r="B4003" s="1"/>
      <c r="C4003" s="1"/>
      <c r="D4003" s="1"/>
      <c r="E4003" s="1"/>
      <c r="F4003" s="1"/>
      <c r="G4003" s="1"/>
      <c r="H4003" s="1"/>
      <c r="I4003" s="1"/>
      <c r="J4003" s="1"/>
      <c r="K4003" s="89" t="s">
        <v>6121</v>
      </c>
      <c r="L4003" s="89" t="str">
        <f>F141</f>
        <v>C1b3b4~</v>
      </c>
      <c r="M4003" s="89"/>
      <c r="N4003" s="89"/>
      <c r="O4003" s="92">
        <v>8047483.0</v>
      </c>
      <c r="P4003" s="92">
        <v>8179442.0</v>
      </c>
      <c r="Q4003" s="89" t="s">
        <v>879</v>
      </c>
      <c r="AF4003" s="1"/>
      <c r="AG4003" s="1"/>
    </row>
    <row r="4004" ht="15.75" customHeight="1">
      <c r="A4004" s="1"/>
      <c r="B4004" s="1"/>
      <c r="C4004" s="1"/>
      <c r="D4004" s="1"/>
      <c r="E4004" s="1"/>
      <c r="F4004" s="1"/>
      <c r="G4004" s="1"/>
      <c r="H4004" s="1"/>
      <c r="I4004" s="1"/>
      <c r="J4004" s="1"/>
      <c r="K4004" s="89" t="s">
        <v>6122</v>
      </c>
      <c r="L4004" s="89" t="str">
        <f>F141</f>
        <v>C1b3b4~</v>
      </c>
      <c r="M4004" s="89"/>
      <c r="N4004" s="89"/>
      <c r="O4004" s="92">
        <v>1.4178077E7</v>
      </c>
      <c r="P4004" s="92">
        <v>1.2057371E7</v>
      </c>
      <c r="Q4004" s="89" t="s">
        <v>879</v>
      </c>
      <c r="AF4004" s="1"/>
      <c r="AG4004" s="1"/>
    </row>
    <row r="4005" ht="15.75" customHeight="1">
      <c r="A4005" s="1"/>
      <c r="B4005" s="1"/>
      <c r="C4005" s="1"/>
      <c r="D4005" s="1"/>
      <c r="E4005" s="1"/>
      <c r="F4005" s="1"/>
      <c r="G4005" s="1"/>
      <c r="H4005" s="1"/>
      <c r="I4005" s="1"/>
      <c r="J4005" s="1"/>
      <c r="K4005" s="89" t="s">
        <v>6123</v>
      </c>
      <c r="L4005" s="89" t="str">
        <f>E142</f>
        <v>C1b3c~</v>
      </c>
      <c r="M4005" s="89"/>
      <c r="N4005" s="89"/>
      <c r="O4005" s="92">
        <v>2834535.0</v>
      </c>
      <c r="P4005" s="92">
        <v>2966494.0</v>
      </c>
      <c r="Q4005" s="89" t="s">
        <v>822</v>
      </c>
      <c r="AF4005" s="1"/>
      <c r="AG4005" s="1"/>
    </row>
    <row r="4006" ht="15.75" customHeight="1">
      <c r="A4006" s="1"/>
      <c r="B4006" s="1"/>
      <c r="C4006" s="1"/>
      <c r="D4006" s="1"/>
      <c r="E4006" s="1"/>
      <c r="F4006" s="1"/>
      <c r="G4006" s="1"/>
      <c r="H4006" s="1"/>
      <c r="I4006" s="1"/>
      <c r="J4006" s="1"/>
      <c r="K4006" s="89" t="s">
        <v>6124</v>
      </c>
      <c r="L4006" s="89" t="str">
        <f>E142</f>
        <v>C1b3c~</v>
      </c>
      <c r="M4006" s="89"/>
      <c r="N4006" s="89"/>
      <c r="O4006" s="92">
        <v>6762669.0</v>
      </c>
      <c r="P4006" s="92">
        <v>6894628.0</v>
      </c>
      <c r="Q4006" s="89" t="s">
        <v>802</v>
      </c>
      <c r="AF4006" s="1"/>
      <c r="AG4006" s="1"/>
    </row>
    <row r="4007" ht="15.75" customHeight="1">
      <c r="A4007" s="1"/>
      <c r="B4007" s="1"/>
      <c r="C4007" s="1"/>
      <c r="D4007" s="1"/>
      <c r="E4007" s="1"/>
      <c r="F4007" s="1"/>
      <c r="G4007" s="1"/>
      <c r="H4007" s="1"/>
      <c r="I4007" s="1"/>
      <c r="J4007" s="1"/>
      <c r="K4007" s="89" t="s">
        <v>6125</v>
      </c>
      <c r="L4007" s="89" t="str">
        <f>E142</f>
        <v>C1b3c~</v>
      </c>
      <c r="M4007" s="89"/>
      <c r="N4007" s="89"/>
      <c r="O4007" s="92">
        <v>6784228.0</v>
      </c>
      <c r="P4007" s="92">
        <v>6916187.0</v>
      </c>
      <c r="Q4007" s="89" t="s">
        <v>879</v>
      </c>
      <c r="AF4007" s="1"/>
      <c r="AG4007" s="1"/>
    </row>
    <row r="4008" ht="15.75" customHeight="1">
      <c r="A4008" s="1"/>
      <c r="B4008" s="1"/>
      <c r="C4008" s="1"/>
      <c r="D4008" s="1"/>
      <c r="E4008" s="1"/>
      <c r="F4008" s="1"/>
      <c r="G4008" s="1"/>
      <c r="H4008" s="1"/>
      <c r="I4008" s="1"/>
      <c r="J4008" s="1"/>
      <c r="K4008" s="89" t="s">
        <v>6126</v>
      </c>
      <c r="L4008" s="89" t="str">
        <f>E142</f>
        <v>C1b3c~</v>
      </c>
      <c r="M4008" s="89"/>
      <c r="N4008" s="89"/>
      <c r="O4008" s="92">
        <v>6843460.0</v>
      </c>
      <c r="P4008" s="92">
        <v>6975419.0</v>
      </c>
      <c r="Q4008" s="89" t="s">
        <v>810</v>
      </c>
      <c r="AF4008" s="1"/>
      <c r="AG4008" s="1"/>
    </row>
    <row r="4009" ht="15.75" customHeight="1">
      <c r="A4009" s="1"/>
      <c r="B4009" s="1"/>
      <c r="C4009" s="1"/>
      <c r="D4009" s="1"/>
      <c r="E4009" s="1"/>
      <c r="F4009" s="1"/>
      <c r="G4009" s="1"/>
      <c r="H4009" s="1"/>
      <c r="I4009" s="1"/>
      <c r="J4009" s="1"/>
      <c r="K4009" s="89" t="s">
        <v>6127</v>
      </c>
      <c r="L4009" s="89" t="str">
        <f>E142</f>
        <v>C1b3c~</v>
      </c>
      <c r="M4009" s="89"/>
      <c r="N4009" s="89"/>
      <c r="O4009" s="92">
        <v>7008622.0</v>
      </c>
      <c r="P4009" s="92">
        <v>7140581.0</v>
      </c>
      <c r="Q4009" s="89" t="s">
        <v>810</v>
      </c>
      <c r="AF4009" s="1"/>
      <c r="AG4009" s="1"/>
    </row>
    <row r="4010" ht="15.75" customHeight="1">
      <c r="A4010" s="1"/>
      <c r="B4010" s="1"/>
      <c r="C4010" s="1"/>
      <c r="D4010" s="1"/>
      <c r="E4010" s="1"/>
      <c r="F4010" s="1"/>
      <c r="G4010" s="1"/>
      <c r="H4010" s="1"/>
      <c r="I4010" s="1"/>
      <c r="J4010" s="1"/>
      <c r="K4010" s="89" t="s">
        <v>247</v>
      </c>
      <c r="L4010" s="89" t="str">
        <f>D143</f>
        <v>C1b4~</v>
      </c>
      <c r="M4010" s="89"/>
      <c r="N4010" s="89" t="s">
        <v>6128</v>
      </c>
      <c r="O4010" s="92">
        <v>1.4488952E7</v>
      </c>
      <c r="P4010" s="92">
        <v>1.2368221E7</v>
      </c>
      <c r="Q4010" s="89" t="s">
        <v>879</v>
      </c>
      <c r="AF4010" s="1"/>
      <c r="AG4010" s="1"/>
    </row>
    <row r="4011" ht="15.75" customHeight="1">
      <c r="A4011" s="1"/>
      <c r="B4011" s="1"/>
      <c r="C4011" s="1"/>
      <c r="D4011" s="1"/>
      <c r="E4011" s="1"/>
      <c r="F4011" s="1"/>
      <c r="G4011" s="1"/>
      <c r="H4011" s="1"/>
      <c r="I4011" s="1"/>
      <c r="J4011" s="1"/>
      <c r="K4011" s="89" t="s">
        <v>6129</v>
      </c>
      <c r="L4011" s="89" t="str">
        <f>B144</f>
        <v>C2</v>
      </c>
      <c r="M4011" s="89"/>
      <c r="N4011" s="89" t="s">
        <v>6130</v>
      </c>
      <c r="O4011" s="92">
        <v>1.5437333E7</v>
      </c>
      <c r="P4011" s="92">
        <v>1.3325453E7</v>
      </c>
      <c r="Q4011" s="89" t="s">
        <v>845</v>
      </c>
      <c r="AF4011" s="1"/>
      <c r="AG4011" s="1"/>
    </row>
    <row r="4012" ht="15.75" customHeight="1">
      <c r="A4012" s="1"/>
      <c r="B4012" s="1"/>
      <c r="C4012" s="1"/>
      <c r="D4012" s="1"/>
      <c r="E4012" s="1"/>
      <c r="F4012" s="1"/>
      <c r="G4012" s="1"/>
      <c r="H4012" s="1"/>
      <c r="I4012" s="1"/>
      <c r="J4012" s="1"/>
      <c r="K4012" s="89" t="s">
        <v>6131</v>
      </c>
      <c r="L4012" s="89" t="str">
        <f>B144</f>
        <v>C2</v>
      </c>
      <c r="M4012" s="89"/>
      <c r="N4012" s="89" t="s">
        <v>6132</v>
      </c>
      <c r="O4012" s="92">
        <v>2726256.0</v>
      </c>
      <c r="P4012" s="92">
        <v>2858215.0</v>
      </c>
      <c r="Q4012" s="89" t="s">
        <v>802</v>
      </c>
      <c r="AF4012" s="1"/>
      <c r="AG4012" s="1"/>
    </row>
    <row r="4013" ht="15.75" customHeight="1">
      <c r="A4013" s="1"/>
      <c r="B4013" s="1"/>
      <c r="C4013" s="1"/>
      <c r="D4013" s="1"/>
      <c r="E4013" s="1"/>
      <c r="F4013" s="1"/>
      <c r="G4013" s="1"/>
      <c r="H4013" s="1"/>
      <c r="I4013" s="1"/>
      <c r="J4013" s="1"/>
      <c r="K4013" s="89" t="s">
        <v>6133</v>
      </c>
      <c r="L4013" s="89" t="str">
        <f>B144</f>
        <v>C2</v>
      </c>
      <c r="M4013" s="89"/>
      <c r="N4013" s="89" t="s">
        <v>6134</v>
      </c>
      <c r="O4013" s="92">
        <v>2837595.0</v>
      </c>
      <c r="P4013" s="92">
        <v>2969554.0</v>
      </c>
      <c r="Q4013" s="89" t="s">
        <v>810</v>
      </c>
      <c r="AF4013" s="1"/>
      <c r="AG4013" s="1"/>
    </row>
    <row r="4014" ht="15.75" customHeight="1">
      <c r="A4014" s="1"/>
      <c r="B4014" s="1"/>
      <c r="C4014" s="1"/>
      <c r="D4014" s="1"/>
      <c r="E4014" s="1"/>
      <c r="F4014" s="1"/>
      <c r="G4014" s="1"/>
      <c r="H4014" s="1"/>
      <c r="I4014" s="1"/>
      <c r="J4014" s="1"/>
      <c r="K4014" s="89" t="s">
        <v>6135</v>
      </c>
      <c r="L4014" s="89" t="str">
        <f>B144</f>
        <v>C2</v>
      </c>
      <c r="M4014" s="89" t="s">
        <v>6136</v>
      </c>
      <c r="N4014" s="89" t="s">
        <v>6137</v>
      </c>
      <c r="O4014" s="92">
        <v>2873519.0</v>
      </c>
      <c r="P4014" s="92">
        <v>3005478.0</v>
      </c>
      <c r="Q4014" s="89" t="s">
        <v>810</v>
      </c>
      <c r="AF4014" s="1"/>
      <c r="AG4014" s="1"/>
    </row>
    <row r="4015" ht="15.75" customHeight="1">
      <c r="A4015" s="1"/>
      <c r="B4015" s="1"/>
      <c r="C4015" s="1"/>
      <c r="D4015" s="1"/>
      <c r="E4015" s="1"/>
      <c r="F4015" s="1"/>
      <c r="G4015" s="1"/>
      <c r="H4015" s="1"/>
      <c r="I4015" s="1"/>
      <c r="J4015" s="1"/>
      <c r="K4015" s="89" t="s">
        <v>6136</v>
      </c>
      <c r="L4015" s="89" t="str">
        <f>B144</f>
        <v>C2</v>
      </c>
      <c r="M4015" s="89" t="s">
        <v>6135</v>
      </c>
      <c r="N4015" s="89" t="s">
        <v>6137</v>
      </c>
      <c r="O4015" s="92">
        <v>2873519.0</v>
      </c>
      <c r="P4015" s="92">
        <v>3005478.0</v>
      </c>
      <c r="Q4015" s="89" t="s">
        <v>810</v>
      </c>
      <c r="AF4015" s="1"/>
      <c r="AG4015" s="1"/>
    </row>
    <row r="4016" ht="15.75" customHeight="1">
      <c r="A4016" s="1"/>
      <c r="B4016" s="1"/>
      <c r="C4016" s="1"/>
      <c r="D4016" s="1"/>
      <c r="E4016" s="1"/>
      <c r="F4016" s="1"/>
      <c r="G4016" s="1"/>
      <c r="H4016" s="1"/>
      <c r="I4016" s="1"/>
      <c r="J4016" s="1"/>
      <c r="K4016" s="89" t="s">
        <v>6138</v>
      </c>
      <c r="L4016" s="89" t="str">
        <f>B144</f>
        <v>C2</v>
      </c>
      <c r="M4016" s="89"/>
      <c r="N4016" s="89" t="s">
        <v>6139</v>
      </c>
      <c r="O4016" s="89">
        <v>6832631.0</v>
      </c>
      <c r="P4016" s="89">
        <v>6964590.0</v>
      </c>
      <c r="Q4016" s="89" t="s">
        <v>822</v>
      </c>
      <c r="AF4016" s="1"/>
      <c r="AG4016" s="1"/>
    </row>
    <row r="4017" ht="15.75" customHeight="1">
      <c r="A4017" s="1"/>
      <c r="B4017" s="1"/>
      <c r="C4017" s="1"/>
      <c r="D4017" s="1"/>
      <c r="E4017" s="1"/>
      <c r="F4017" s="1"/>
      <c r="G4017" s="1"/>
      <c r="H4017" s="1"/>
      <c r="I4017" s="1"/>
      <c r="J4017" s="1"/>
      <c r="K4017" s="89" t="s">
        <v>6140</v>
      </c>
      <c r="L4017" s="89" t="str">
        <f>B144</f>
        <v>C2</v>
      </c>
      <c r="M4017" s="89"/>
      <c r="N4017" s="89" t="s">
        <v>6141</v>
      </c>
      <c r="O4017" s="92">
        <v>6973364.0</v>
      </c>
      <c r="P4017" s="92">
        <v>7105323.0</v>
      </c>
      <c r="Q4017" s="89" t="s">
        <v>917</v>
      </c>
      <c r="AF4017" s="1"/>
      <c r="AG4017" s="1"/>
    </row>
    <row r="4018" ht="15.75" customHeight="1">
      <c r="A4018" s="1"/>
      <c r="B4018" s="1"/>
      <c r="C4018" s="1"/>
      <c r="D4018" s="1"/>
      <c r="E4018" s="1"/>
      <c r="F4018" s="1"/>
      <c r="G4018" s="1"/>
      <c r="H4018" s="1"/>
      <c r="I4018" s="1"/>
      <c r="J4018" s="1"/>
      <c r="K4018" s="89" t="s">
        <v>6142</v>
      </c>
      <c r="L4018" s="89" t="str">
        <f>B144</f>
        <v>C2</v>
      </c>
      <c r="M4018" s="89"/>
      <c r="N4018" s="89" t="s">
        <v>6143</v>
      </c>
      <c r="O4018" s="92">
        <v>7083553.0</v>
      </c>
      <c r="P4018" s="92">
        <v>7215512.0</v>
      </c>
      <c r="Q4018" s="89" t="s">
        <v>822</v>
      </c>
      <c r="AF4018" s="1"/>
      <c r="AG4018" s="1"/>
    </row>
    <row r="4019" ht="15.75" customHeight="1">
      <c r="A4019" s="1"/>
      <c r="B4019" s="1"/>
      <c r="C4019" s="1"/>
      <c r="D4019" s="1"/>
      <c r="E4019" s="1"/>
      <c r="F4019" s="1"/>
      <c r="G4019" s="1"/>
      <c r="H4019" s="1"/>
      <c r="I4019" s="1"/>
      <c r="J4019" s="1"/>
      <c r="K4019" s="89" t="s">
        <v>6144</v>
      </c>
      <c r="L4019" s="89" t="str">
        <f>B144</f>
        <v>C2</v>
      </c>
      <c r="M4019" s="89" t="s">
        <v>6145</v>
      </c>
      <c r="N4019" s="89" t="s">
        <v>6146</v>
      </c>
      <c r="O4019" s="92">
        <v>1.4013101E7</v>
      </c>
      <c r="P4019" s="92">
        <v>1.1892395E7</v>
      </c>
      <c r="Q4019" s="89" t="s">
        <v>810</v>
      </c>
      <c r="AF4019" s="1"/>
      <c r="AG4019" s="1"/>
    </row>
    <row r="4020" ht="15.75" customHeight="1">
      <c r="A4020" s="1"/>
      <c r="B4020" s="1"/>
      <c r="C4020" s="1"/>
      <c r="D4020" s="1"/>
      <c r="E4020" s="1"/>
      <c r="F4020" s="1"/>
      <c r="G4020" s="1"/>
      <c r="H4020" s="1"/>
      <c r="I4020" s="1"/>
      <c r="J4020" s="1"/>
      <c r="K4020" s="89" t="s">
        <v>6145</v>
      </c>
      <c r="L4020" s="89" t="str">
        <f>B144</f>
        <v>C2</v>
      </c>
      <c r="M4020" s="89" t="s">
        <v>6144</v>
      </c>
      <c r="N4020" s="89" t="s">
        <v>6146</v>
      </c>
      <c r="O4020" s="92">
        <v>1.4013101E7</v>
      </c>
      <c r="P4020" s="92">
        <v>1.1892395E7</v>
      </c>
      <c r="Q4020" s="89" t="s">
        <v>810</v>
      </c>
      <c r="AF4020" s="1"/>
      <c r="AG4020" s="1"/>
    </row>
    <row r="4021" ht="15.75" customHeight="1">
      <c r="A4021" s="1"/>
      <c r="B4021" s="1"/>
      <c r="C4021" s="1"/>
      <c r="D4021" s="1"/>
      <c r="E4021" s="1"/>
      <c r="F4021" s="1"/>
      <c r="G4021" s="1"/>
      <c r="H4021" s="1"/>
      <c r="I4021" s="1"/>
      <c r="J4021" s="1"/>
      <c r="K4021" s="89" t="s">
        <v>6147</v>
      </c>
      <c r="L4021" s="89" t="str">
        <f>B144</f>
        <v>C2</v>
      </c>
      <c r="M4021" s="89"/>
      <c r="N4021" s="89" t="s">
        <v>6148</v>
      </c>
      <c r="O4021" s="92">
        <v>1.4129852E7</v>
      </c>
      <c r="P4021" s="92">
        <v>1.2009146E7</v>
      </c>
      <c r="Q4021" s="89" t="s">
        <v>810</v>
      </c>
      <c r="AF4021" s="1"/>
      <c r="AG4021" s="1"/>
    </row>
    <row r="4022" ht="15.75" customHeight="1">
      <c r="A4022" s="1"/>
      <c r="B4022" s="1"/>
      <c r="C4022" s="1"/>
      <c r="D4022" s="1"/>
      <c r="E4022" s="1"/>
      <c r="F4022" s="1"/>
      <c r="G4022" s="1"/>
      <c r="H4022" s="1"/>
      <c r="I4022" s="1"/>
      <c r="J4022" s="1"/>
      <c r="K4022" s="89" t="s">
        <v>6149</v>
      </c>
      <c r="L4022" s="89" t="str">
        <f>B144</f>
        <v>C2</v>
      </c>
      <c r="M4022" s="89"/>
      <c r="N4022" s="89" t="s">
        <v>6150</v>
      </c>
      <c r="O4022" s="92">
        <v>1.4161969E7</v>
      </c>
      <c r="P4022" s="92">
        <v>1.2041263E7</v>
      </c>
      <c r="Q4022" s="89" t="s">
        <v>813</v>
      </c>
      <c r="AF4022" s="1"/>
      <c r="AG4022" s="1"/>
    </row>
    <row r="4023" ht="15.75" customHeight="1">
      <c r="A4023" s="1"/>
      <c r="B4023" s="1"/>
      <c r="C4023" s="1"/>
      <c r="D4023" s="1"/>
      <c r="E4023" s="1"/>
      <c r="F4023" s="1"/>
      <c r="G4023" s="1"/>
      <c r="H4023" s="1"/>
      <c r="I4023" s="1"/>
      <c r="J4023" s="1"/>
      <c r="K4023" s="89" t="s">
        <v>6151</v>
      </c>
      <c r="L4023" s="89" t="str">
        <f>B144</f>
        <v>C2</v>
      </c>
      <c r="M4023" s="89"/>
      <c r="N4023" s="89" t="s">
        <v>6152</v>
      </c>
      <c r="O4023" s="92">
        <v>1.417997E7</v>
      </c>
      <c r="P4023" s="92">
        <v>1.2059264E7</v>
      </c>
      <c r="Q4023" s="89" t="s">
        <v>802</v>
      </c>
      <c r="AF4023" s="1"/>
      <c r="AG4023" s="1"/>
    </row>
    <row r="4024" ht="15.75" customHeight="1">
      <c r="A4024" s="1"/>
      <c r="B4024" s="1"/>
      <c r="C4024" s="1"/>
      <c r="D4024" s="1"/>
      <c r="E4024" s="1"/>
      <c r="F4024" s="1"/>
      <c r="G4024" s="1"/>
      <c r="H4024" s="1"/>
      <c r="I4024" s="1"/>
      <c r="J4024" s="1"/>
      <c r="K4024" s="89" t="s">
        <v>6153</v>
      </c>
      <c r="L4024" s="89" t="str">
        <f>B144</f>
        <v>C2</v>
      </c>
      <c r="M4024" s="89"/>
      <c r="N4024" s="89" t="s">
        <v>6154</v>
      </c>
      <c r="O4024" s="92">
        <v>1.418439E7</v>
      </c>
      <c r="P4024" s="92">
        <v>1.2063684E7</v>
      </c>
      <c r="Q4024" s="89" t="s">
        <v>879</v>
      </c>
      <c r="AF4024" s="1"/>
      <c r="AG4024" s="1"/>
    </row>
    <row r="4025" ht="15.75" customHeight="1">
      <c r="A4025" s="1"/>
      <c r="B4025" s="1"/>
      <c r="C4025" s="1"/>
      <c r="D4025" s="1"/>
      <c r="E4025" s="1"/>
      <c r="F4025" s="1"/>
      <c r="G4025" s="1"/>
      <c r="H4025" s="1"/>
      <c r="I4025" s="1"/>
      <c r="J4025" s="1"/>
      <c r="K4025" s="89" t="s">
        <v>6155</v>
      </c>
      <c r="L4025" s="89" t="str">
        <f>B144</f>
        <v>C2</v>
      </c>
      <c r="M4025" s="89" t="s">
        <v>6156</v>
      </c>
      <c r="N4025" s="89" t="s">
        <v>6157</v>
      </c>
      <c r="O4025" s="92">
        <v>1.4439238E7</v>
      </c>
      <c r="P4025" s="92">
        <v>1.2318511E7</v>
      </c>
      <c r="Q4025" s="89" t="s">
        <v>802</v>
      </c>
      <c r="AF4025" s="1"/>
      <c r="AG4025" s="1"/>
    </row>
    <row r="4026" ht="15.75" customHeight="1">
      <c r="A4026" s="1"/>
      <c r="B4026" s="1"/>
      <c r="C4026" s="1"/>
      <c r="D4026" s="1"/>
      <c r="E4026" s="1"/>
      <c r="F4026" s="1"/>
      <c r="G4026" s="1"/>
      <c r="H4026" s="1"/>
      <c r="I4026" s="1"/>
      <c r="J4026" s="1"/>
      <c r="K4026" s="89" t="s">
        <v>6156</v>
      </c>
      <c r="L4026" s="89" t="str">
        <f>B144</f>
        <v>C2</v>
      </c>
      <c r="M4026" s="89" t="s">
        <v>6155</v>
      </c>
      <c r="N4026" s="89" t="s">
        <v>6157</v>
      </c>
      <c r="O4026" s="92">
        <v>1.4439238E7</v>
      </c>
      <c r="P4026" s="92">
        <v>1.2318511E7</v>
      </c>
      <c r="Q4026" s="89" t="s">
        <v>802</v>
      </c>
      <c r="AF4026" s="1"/>
      <c r="AG4026" s="1"/>
    </row>
    <row r="4027" ht="15.75" customHeight="1">
      <c r="A4027" s="1"/>
      <c r="B4027" s="1"/>
      <c r="C4027" s="1"/>
      <c r="D4027" s="1"/>
      <c r="E4027" s="1"/>
      <c r="F4027" s="1"/>
      <c r="G4027" s="1"/>
      <c r="H4027" s="1"/>
      <c r="I4027" s="1"/>
      <c r="J4027" s="1"/>
      <c r="K4027" s="89" t="s">
        <v>6158</v>
      </c>
      <c r="L4027" s="89" t="str">
        <f>B144</f>
        <v>C2</v>
      </c>
      <c r="M4027" s="89"/>
      <c r="N4027" s="89" t="s">
        <v>6159</v>
      </c>
      <c r="O4027" s="92">
        <v>1.4675492E7</v>
      </c>
      <c r="P4027" s="92">
        <v>1.2563558E7</v>
      </c>
      <c r="Q4027" s="89" t="s">
        <v>802</v>
      </c>
      <c r="AF4027" s="1"/>
      <c r="AG4027" s="1"/>
    </row>
    <row r="4028" ht="15.75" customHeight="1">
      <c r="A4028" s="1"/>
      <c r="B4028" s="1"/>
      <c r="C4028" s="1"/>
      <c r="D4028" s="1"/>
      <c r="E4028" s="1"/>
      <c r="F4028" s="1"/>
      <c r="G4028" s="1"/>
      <c r="H4028" s="1"/>
      <c r="I4028" s="1"/>
      <c r="J4028" s="1"/>
      <c r="K4028" s="89" t="s">
        <v>6160</v>
      </c>
      <c r="L4028" s="89" t="str">
        <f>B144</f>
        <v>C2</v>
      </c>
      <c r="M4028" s="89"/>
      <c r="N4028" s="89" t="s">
        <v>6161</v>
      </c>
      <c r="O4028" s="92">
        <v>1.4917284E7</v>
      </c>
      <c r="P4028" s="92">
        <v>1.2805351E7</v>
      </c>
      <c r="Q4028" s="89" t="s">
        <v>879</v>
      </c>
      <c r="AF4028" s="1"/>
      <c r="AG4028" s="1"/>
    </row>
    <row r="4029" ht="15.75" customHeight="1">
      <c r="A4029" s="1"/>
      <c r="B4029" s="1"/>
      <c r="C4029" s="1"/>
      <c r="D4029" s="1"/>
      <c r="E4029" s="1"/>
      <c r="F4029" s="1"/>
      <c r="G4029" s="1"/>
      <c r="H4029" s="1"/>
      <c r="I4029" s="1"/>
      <c r="J4029" s="1"/>
      <c r="K4029" s="89" t="s">
        <v>6162</v>
      </c>
      <c r="L4029" s="89" t="str">
        <f>B144</f>
        <v>C2</v>
      </c>
      <c r="M4029" s="89"/>
      <c r="N4029" s="89" t="s">
        <v>6163</v>
      </c>
      <c r="O4029" s="92">
        <v>1.5285288E7</v>
      </c>
      <c r="P4029" s="92">
        <v>1.3173387E7</v>
      </c>
      <c r="Q4029" s="89" t="s">
        <v>810</v>
      </c>
      <c r="AF4029" s="1"/>
      <c r="AG4029" s="1"/>
    </row>
    <row r="4030" ht="15.75" customHeight="1">
      <c r="A4030" s="1"/>
      <c r="B4030" s="1"/>
      <c r="C4030" s="1"/>
      <c r="D4030" s="1"/>
      <c r="E4030" s="1"/>
      <c r="F4030" s="1"/>
      <c r="G4030" s="1"/>
      <c r="H4030" s="1"/>
      <c r="I4030" s="1"/>
      <c r="J4030" s="1"/>
      <c r="K4030" s="89" t="s">
        <v>6164</v>
      </c>
      <c r="L4030" s="89" t="str">
        <f>B144</f>
        <v>C2</v>
      </c>
      <c r="M4030" s="89"/>
      <c r="N4030" s="89" t="s">
        <v>6165</v>
      </c>
      <c r="O4030" s="89">
        <v>1.5595096E7</v>
      </c>
      <c r="P4030" s="89">
        <v>1.3483216E7</v>
      </c>
      <c r="Q4030" s="89" t="s">
        <v>802</v>
      </c>
      <c r="AF4030" s="1"/>
      <c r="AG4030" s="1"/>
    </row>
    <row r="4031" ht="15.75" customHeight="1">
      <c r="A4031" s="1"/>
      <c r="B4031" s="1"/>
      <c r="C4031" s="1"/>
      <c r="D4031" s="1"/>
      <c r="E4031" s="1"/>
      <c r="F4031" s="1"/>
      <c r="G4031" s="1"/>
      <c r="H4031" s="1"/>
      <c r="I4031" s="1"/>
      <c r="J4031" s="1"/>
      <c r="K4031" s="89" t="s">
        <v>6166</v>
      </c>
      <c r="L4031" s="89" t="str">
        <f>B144</f>
        <v>C2</v>
      </c>
      <c r="M4031" s="89"/>
      <c r="N4031" s="89" t="s">
        <v>6167</v>
      </c>
      <c r="O4031" s="92">
        <v>1.6208785E7</v>
      </c>
      <c r="P4031" s="92">
        <v>1.4096905E7</v>
      </c>
      <c r="Q4031" s="89" t="s">
        <v>802</v>
      </c>
      <c r="AF4031" s="1"/>
      <c r="AG4031" s="1"/>
    </row>
    <row r="4032" ht="15.75" customHeight="1">
      <c r="A4032" s="1"/>
      <c r="B4032" s="1"/>
      <c r="C4032" s="1"/>
      <c r="D4032" s="1"/>
      <c r="E4032" s="1"/>
      <c r="F4032" s="1"/>
      <c r="G4032" s="1"/>
      <c r="H4032" s="1"/>
      <c r="I4032" s="1"/>
      <c r="J4032" s="1"/>
      <c r="K4032" s="89" t="s">
        <v>6168</v>
      </c>
      <c r="L4032" s="89" t="str">
        <f>B144</f>
        <v>C2</v>
      </c>
      <c r="M4032" s="89"/>
      <c r="N4032" s="89" t="s">
        <v>6169</v>
      </c>
      <c r="O4032" s="92">
        <v>1.6258469E7</v>
      </c>
      <c r="P4032" s="92">
        <v>1.4146589E7</v>
      </c>
      <c r="Q4032" s="89" t="s">
        <v>912</v>
      </c>
      <c r="AF4032" s="1"/>
      <c r="AG4032" s="1"/>
    </row>
    <row r="4033" ht="15.75" customHeight="1">
      <c r="A4033" s="1"/>
      <c r="B4033" s="1"/>
      <c r="C4033" s="1"/>
      <c r="D4033" s="1"/>
      <c r="E4033" s="1"/>
      <c r="F4033" s="1"/>
      <c r="G4033" s="1"/>
      <c r="H4033" s="1"/>
      <c r="I4033" s="1"/>
      <c r="J4033" s="1"/>
      <c r="K4033" s="89" t="s">
        <v>6170</v>
      </c>
      <c r="L4033" s="89" t="str">
        <f>B144</f>
        <v>C2</v>
      </c>
      <c r="M4033" s="89"/>
      <c r="N4033" s="89" t="s">
        <v>6171</v>
      </c>
      <c r="O4033" s="92">
        <v>1.6341091E7</v>
      </c>
      <c r="P4033" s="92">
        <v>1.4229211E7</v>
      </c>
      <c r="Q4033" s="89" t="s">
        <v>912</v>
      </c>
      <c r="AF4033" s="1"/>
      <c r="AG4033" s="1"/>
    </row>
    <row r="4034" ht="15.75" customHeight="1">
      <c r="A4034" s="1"/>
      <c r="B4034" s="1"/>
      <c r="C4034" s="1"/>
      <c r="D4034" s="1"/>
      <c r="E4034" s="1"/>
      <c r="F4034" s="1"/>
      <c r="G4034" s="1"/>
      <c r="H4034" s="1"/>
      <c r="I4034" s="1"/>
      <c r="J4034" s="1"/>
      <c r="K4034" s="89" t="s">
        <v>6172</v>
      </c>
      <c r="L4034" s="89" t="str">
        <f>B144</f>
        <v>C2</v>
      </c>
      <c r="M4034" s="89"/>
      <c r="N4034" s="89" t="s">
        <v>6173</v>
      </c>
      <c r="O4034" s="92">
        <v>1.65026E7</v>
      </c>
      <c r="P4034" s="92">
        <v>1.439072E7</v>
      </c>
      <c r="Q4034" s="89" t="s">
        <v>912</v>
      </c>
      <c r="AF4034" s="1"/>
      <c r="AG4034" s="1"/>
    </row>
    <row r="4035" ht="15.75" customHeight="1">
      <c r="A4035" s="1"/>
      <c r="B4035" s="1"/>
      <c r="C4035" s="1"/>
      <c r="D4035" s="1"/>
      <c r="E4035" s="1"/>
      <c r="F4035" s="1"/>
      <c r="G4035" s="1"/>
      <c r="H4035" s="1"/>
      <c r="I4035" s="1"/>
      <c r="J4035" s="1"/>
      <c r="K4035" s="89" t="s">
        <v>6174</v>
      </c>
      <c r="L4035" s="89" t="str">
        <f>B144</f>
        <v>C2</v>
      </c>
      <c r="M4035" s="89"/>
      <c r="N4035" s="89" t="s">
        <v>6175</v>
      </c>
      <c r="O4035" s="89">
        <v>1.6525245E7</v>
      </c>
      <c r="P4035" s="89">
        <v>1.4413365E7</v>
      </c>
      <c r="Q4035" s="89" t="s">
        <v>810</v>
      </c>
      <c r="AF4035" s="1"/>
      <c r="AG4035" s="1"/>
    </row>
    <row r="4036" ht="15.75" customHeight="1">
      <c r="A4036" s="1"/>
      <c r="B4036" s="1"/>
      <c r="C4036" s="1"/>
      <c r="D4036" s="1"/>
      <c r="E4036" s="1"/>
      <c r="F4036" s="1"/>
      <c r="G4036" s="1"/>
      <c r="H4036" s="1"/>
      <c r="I4036" s="1"/>
      <c r="J4036" s="1"/>
      <c r="K4036" s="89" t="s">
        <v>6176</v>
      </c>
      <c r="L4036" s="89" t="str">
        <f>B144</f>
        <v>C2</v>
      </c>
      <c r="M4036" s="89"/>
      <c r="N4036" s="89" t="s">
        <v>6177</v>
      </c>
      <c r="O4036" s="92">
        <v>1.6685164E7</v>
      </c>
      <c r="P4036" s="92">
        <v>1.4573284E7</v>
      </c>
      <c r="Q4036" s="89" t="s">
        <v>831</v>
      </c>
      <c r="AF4036" s="1"/>
      <c r="AG4036" s="1"/>
    </row>
    <row r="4037" ht="15.75" customHeight="1">
      <c r="A4037" s="1"/>
      <c r="B4037" s="1"/>
      <c r="C4037" s="1"/>
      <c r="D4037" s="1"/>
      <c r="E4037" s="1"/>
      <c r="F4037" s="1"/>
      <c r="G4037" s="1"/>
      <c r="H4037" s="1"/>
      <c r="I4037" s="1"/>
      <c r="J4037" s="1"/>
      <c r="K4037" s="89" t="s">
        <v>6178</v>
      </c>
      <c r="L4037" s="89" t="str">
        <f>B144</f>
        <v>C2</v>
      </c>
      <c r="M4037" s="89" t="s">
        <v>6179</v>
      </c>
      <c r="N4037" s="89" t="s">
        <v>6180</v>
      </c>
      <c r="O4037" s="92">
        <v>1.6796375E7</v>
      </c>
      <c r="P4037" s="92">
        <v>1.4684495E7</v>
      </c>
      <c r="Q4037" s="89" t="s">
        <v>813</v>
      </c>
      <c r="AF4037" s="1"/>
      <c r="AG4037" s="1"/>
    </row>
    <row r="4038" ht="15.75" customHeight="1">
      <c r="A4038" s="1"/>
      <c r="B4038" s="1"/>
      <c r="C4038" s="1"/>
      <c r="D4038" s="1"/>
      <c r="E4038" s="1"/>
      <c r="F4038" s="1"/>
      <c r="G4038" s="1"/>
      <c r="H4038" s="1"/>
      <c r="I4038" s="1"/>
      <c r="J4038" s="1"/>
      <c r="K4038" s="89" t="s">
        <v>6179</v>
      </c>
      <c r="L4038" s="89" t="str">
        <f>B144</f>
        <v>C2</v>
      </c>
      <c r="M4038" s="89" t="s">
        <v>6178</v>
      </c>
      <c r="N4038" s="89" t="s">
        <v>6180</v>
      </c>
      <c r="O4038" s="92">
        <v>1.6796375E7</v>
      </c>
      <c r="P4038" s="92">
        <v>1.4684495E7</v>
      </c>
      <c r="Q4038" s="89" t="s">
        <v>813</v>
      </c>
      <c r="AF4038" s="1"/>
      <c r="AG4038" s="1"/>
    </row>
    <row r="4039" ht="15.75" customHeight="1">
      <c r="A4039" s="1"/>
      <c r="B4039" s="1"/>
      <c r="C4039" s="1"/>
      <c r="D4039" s="1"/>
      <c r="E4039" s="1"/>
      <c r="F4039" s="1"/>
      <c r="G4039" s="1"/>
      <c r="H4039" s="1"/>
      <c r="I4039" s="1"/>
      <c r="J4039" s="1"/>
      <c r="K4039" s="89" t="s">
        <v>6181</v>
      </c>
      <c r="L4039" s="89" t="str">
        <f>B144</f>
        <v>C2</v>
      </c>
      <c r="M4039" s="89"/>
      <c r="N4039" s="89" t="s">
        <v>6182</v>
      </c>
      <c r="O4039" s="92">
        <v>1.69768E7</v>
      </c>
      <c r="P4039" s="92">
        <v>1.486492E7</v>
      </c>
      <c r="Q4039" s="89" t="s">
        <v>879</v>
      </c>
      <c r="AF4039" s="1"/>
      <c r="AG4039" s="1"/>
    </row>
    <row r="4040" ht="15.75" customHeight="1">
      <c r="A4040" s="1"/>
      <c r="B4040" s="1"/>
      <c r="C4040" s="1"/>
      <c r="D4040" s="1"/>
      <c r="E4040" s="1"/>
      <c r="F4040" s="1"/>
      <c r="G4040" s="1"/>
      <c r="H4040" s="1"/>
      <c r="I4040" s="1"/>
      <c r="J4040" s="1"/>
      <c r="K4040" s="89" t="s">
        <v>6183</v>
      </c>
      <c r="L4040" s="89" t="str">
        <f>B144</f>
        <v>C2</v>
      </c>
      <c r="M4040" s="89"/>
      <c r="N4040" s="89" t="s">
        <v>6184</v>
      </c>
      <c r="O4040" s="92">
        <v>1.7071974E7</v>
      </c>
      <c r="P4040" s="92">
        <v>1.4960094E7</v>
      </c>
      <c r="Q4040" s="89" t="s">
        <v>802</v>
      </c>
      <c r="AF4040" s="1"/>
      <c r="AG4040" s="1"/>
    </row>
    <row r="4041" ht="15.75" customHeight="1">
      <c r="A4041" s="1"/>
      <c r="B4041" s="1"/>
      <c r="C4041" s="1"/>
      <c r="D4041" s="1"/>
      <c r="E4041" s="1"/>
      <c r="F4041" s="1"/>
      <c r="G4041" s="1"/>
      <c r="H4041" s="1"/>
      <c r="I4041" s="1"/>
      <c r="J4041" s="1"/>
      <c r="K4041" s="89" t="s">
        <v>6185</v>
      </c>
      <c r="L4041" s="89" t="str">
        <f>B144</f>
        <v>C2</v>
      </c>
      <c r="M4041" s="89"/>
      <c r="N4041" s="89" t="s">
        <v>6186</v>
      </c>
      <c r="O4041" s="92">
        <v>1.7157093E7</v>
      </c>
      <c r="P4041" s="92">
        <v>1.5045213E7</v>
      </c>
      <c r="Q4041" s="89" t="s">
        <v>802</v>
      </c>
      <c r="AF4041" s="1"/>
      <c r="AG4041" s="1"/>
    </row>
    <row r="4042" ht="15.75" customHeight="1">
      <c r="A4042" s="1"/>
      <c r="B4042" s="1"/>
      <c r="C4042" s="1"/>
      <c r="D4042" s="1"/>
      <c r="E4042" s="1"/>
      <c r="F4042" s="1"/>
      <c r="G4042" s="1"/>
      <c r="H4042" s="1"/>
      <c r="I4042" s="1"/>
      <c r="J4042" s="1"/>
      <c r="K4042" s="89" t="s">
        <v>6187</v>
      </c>
      <c r="L4042" s="89" t="str">
        <f>B144</f>
        <v>C2</v>
      </c>
      <c r="M4042" s="89"/>
      <c r="N4042" s="89" t="s">
        <v>6188</v>
      </c>
      <c r="O4042" s="92">
        <v>1.7299199E7</v>
      </c>
      <c r="P4042" s="92">
        <v>1.5187319E7</v>
      </c>
      <c r="Q4042" s="89" t="s">
        <v>845</v>
      </c>
      <c r="AF4042" s="1"/>
      <c r="AG4042" s="1"/>
    </row>
    <row r="4043" ht="15.75" customHeight="1">
      <c r="A4043" s="1"/>
      <c r="B4043" s="1"/>
      <c r="C4043" s="1"/>
      <c r="D4043" s="1"/>
      <c r="E4043" s="1"/>
      <c r="F4043" s="1"/>
      <c r="G4043" s="1"/>
      <c r="H4043" s="1"/>
      <c r="I4043" s="1"/>
      <c r="J4043" s="1"/>
      <c r="K4043" s="89" t="s">
        <v>6189</v>
      </c>
      <c r="L4043" s="89" t="str">
        <f>B144</f>
        <v>C2</v>
      </c>
      <c r="M4043" s="89"/>
      <c r="N4043" s="89" t="s">
        <v>6190</v>
      </c>
      <c r="O4043" s="92">
        <v>1.7431748E7</v>
      </c>
      <c r="P4043" s="92">
        <v>1.5319868E7</v>
      </c>
      <c r="Q4043" s="89" t="s">
        <v>917</v>
      </c>
      <c r="AF4043" s="1"/>
      <c r="AG4043" s="1"/>
    </row>
    <row r="4044" ht="15.75" customHeight="1">
      <c r="A4044" s="1"/>
      <c r="B4044" s="1"/>
      <c r="C4044" s="1"/>
      <c r="D4044" s="1"/>
      <c r="E4044" s="1"/>
      <c r="F4044" s="1"/>
      <c r="G4044" s="1"/>
      <c r="H4044" s="1"/>
      <c r="I4044" s="1"/>
      <c r="J4044" s="1"/>
      <c r="K4044" s="89" t="s">
        <v>6191</v>
      </c>
      <c r="L4044" s="89" t="str">
        <f>B144</f>
        <v>C2</v>
      </c>
      <c r="M4044" s="89"/>
      <c r="N4044" s="89" t="s">
        <v>6192</v>
      </c>
      <c r="O4044" s="92">
        <v>1.7436057E7</v>
      </c>
      <c r="P4044" s="92">
        <v>1.5324177E7</v>
      </c>
      <c r="Q4044" s="89" t="s">
        <v>822</v>
      </c>
      <c r="AF4044" s="1"/>
      <c r="AG4044" s="1"/>
    </row>
    <row r="4045" ht="15.75" customHeight="1">
      <c r="A4045" s="1"/>
      <c r="B4045" s="1"/>
      <c r="C4045" s="1"/>
      <c r="D4045" s="1"/>
      <c r="E4045" s="1"/>
      <c r="F4045" s="1"/>
      <c r="G4045" s="1"/>
      <c r="H4045" s="1"/>
      <c r="I4045" s="1"/>
      <c r="J4045" s="1"/>
      <c r="K4045" s="89" t="s">
        <v>6193</v>
      </c>
      <c r="L4045" s="89" t="str">
        <f>B144</f>
        <v>C2</v>
      </c>
      <c r="M4045" s="89" t="s">
        <v>6194</v>
      </c>
      <c r="N4045" s="89" t="s">
        <v>6195</v>
      </c>
      <c r="O4045" s="89">
        <v>1.7840163E7</v>
      </c>
      <c r="P4045" s="89">
        <v>1.5728283E7</v>
      </c>
      <c r="Q4045" s="89" t="s">
        <v>802</v>
      </c>
      <c r="AF4045" s="1"/>
      <c r="AG4045" s="1"/>
    </row>
    <row r="4046" ht="15.75" customHeight="1">
      <c r="A4046" s="1"/>
      <c r="B4046" s="1"/>
      <c r="C4046" s="1"/>
      <c r="D4046" s="1"/>
      <c r="E4046" s="1"/>
      <c r="F4046" s="1"/>
      <c r="G4046" s="1"/>
      <c r="H4046" s="1"/>
      <c r="I4046" s="1"/>
      <c r="J4046" s="1"/>
      <c r="K4046" s="89" t="s">
        <v>6194</v>
      </c>
      <c r="L4046" s="89" t="str">
        <f>B144</f>
        <v>C2</v>
      </c>
      <c r="M4046" s="89" t="s">
        <v>6193</v>
      </c>
      <c r="N4046" s="89" t="s">
        <v>6195</v>
      </c>
      <c r="O4046" s="89">
        <v>1.7840163E7</v>
      </c>
      <c r="P4046" s="89">
        <v>1.5728283E7</v>
      </c>
      <c r="Q4046" s="89" t="s">
        <v>802</v>
      </c>
      <c r="AF4046" s="1"/>
      <c r="AG4046" s="1"/>
    </row>
    <row r="4047" ht="15.75" customHeight="1">
      <c r="A4047" s="1"/>
      <c r="B4047" s="1"/>
      <c r="C4047" s="1"/>
      <c r="D4047" s="1"/>
      <c r="E4047" s="1"/>
      <c r="F4047" s="1"/>
      <c r="G4047" s="1"/>
      <c r="H4047" s="1"/>
      <c r="I4047" s="1"/>
      <c r="J4047" s="1"/>
      <c r="K4047" s="89" t="s">
        <v>6196</v>
      </c>
      <c r="L4047" s="89" t="str">
        <f>B144</f>
        <v>C2</v>
      </c>
      <c r="M4047" s="89"/>
      <c r="N4047" s="89" t="s">
        <v>6197</v>
      </c>
      <c r="O4047" s="92">
        <v>1.7883221E7</v>
      </c>
      <c r="P4047" s="92">
        <v>1.5771341E7</v>
      </c>
      <c r="Q4047" s="89" t="s">
        <v>810</v>
      </c>
      <c r="AF4047" s="1"/>
      <c r="AG4047" s="1"/>
    </row>
    <row r="4048" ht="15.75" customHeight="1">
      <c r="A4048" s="1"/>
      <c r="B4048" s="1"/>
      <c r="C4048" s="1"/>
      <c r="D4048" s="1"/>
      <c r="E4048" s="1"/>
      <c r="F4048" s="1"/>
      <c r="G4048" s="1"/>
      <c r="H4048" s="1"/>
      <c r="I4048" s="1"/>
      <c r="J4048" s="1"/>
      <c r="K4048" s="89" t="s">
        <v>6198</v>
      </c>
      <c r="L4048" s="89" t="str">
        <f>B144</f>
        <v>C2</v>
      </c>
      <c r="M4048" s="89" t="s">
        <v>6199</v>
      </c>
      <c r="N4048" s="89" t="s">
        <v>6200</v>
      </c>
      <c r="O4048" s="92">
        <v>1.7924762E7</v>
      </c>
      <c r="P4048" s="92">
        <v>1.5812882E7</v>
      </c>
      <c r="Q4048" s="89" t="s">
        <v>917</v>
      </c>
      <c r="AF4048" s="1"/>
      <c r="AG4048" s="1"/>
    </row>
    <row r="4049" ht="15.75" customHeight="1">
      <c r="A4049" s="1"/>
      <c r="B4049" s="1"/>
      <c r="C4049" s="1"/>
      <c r="D4049" s="1"/>
      <c r="E4049" s="1"/>
      <c r="F4049" s="1"/>
      <c r="G4049" s="1"/>
      <c r="H4049" s="1"/>
      <c r="I4049" s="1"/>
      <c r="J4049" s="1"/>
      <c r="K4049" s="89" t="s">
        <v>6199</v>
      </c>
      <c r="L4049" s="89" t="str">
        <f>B144</f>
        <v>C2</v>
      </c>
      <c r="M4049" s="89" t="s">
        <v>6198</v>
      </c>
      <c r="N4049" s="89" t="s">
        <v>6200</v>
      </c>
      <c r="O4049" s="92">
        <v>1.7924762E7</v>
      </c>
      <c r="P4049" s="92">
        <v>1.5812882E7</v>
      </c>
      <c r="Q4049" s="89" t="s">
        <v>917</v>
      </c>
      <c r="AF4049" s="1"/>
      <c r="AG4049" s="1"/>
    </row>
    <row r="4050" ht="15.75" customHeight="1">
      <c r="A4050" s="1"/>
      <c r="B4050" s="1"/>
      <c r="C4050" s="1"/>
      <c r="D4050" s="1"/>
      <c r="E4050" s="1"/>
      <c r="F4050" s="1"/>
      <c r="G4050" s="1"/>
      <c r="H4050" s="1"/>
      <c r="I4050" s="1"/>
      <c r="J4050" s="1"/>
      <c r="K4050" s="89" t="s">
        <v>6201</v>
      </c>
      <c r="L4050" s="89" t="str">
        <f>B144</f>
        <v>C2</v>
      </c>
      <c r="M4050" s="89" t="s">
        <v>6202</v>
      </c>
      <c r="N4050" s="89" t="s">
        <v>6203</v>
      </c>
      <c r="O4050" s="92">
        <v>1.7934124E7</v>
      </c>
      <c r="P4050" s="92">
        <v>1.5822244E7</v>
      </c>
      <c r="Q4050" s="89" t="s">
        <v>810</v>
      </c>
      <c r="AF4050" s="1"/>
      <c r="AG4050" s="1"/>
    </row>
    <row r="4051" ht="15.75" customHeight="1">
      <c r="A4051" s="1"/>
      <c r="B4051" s="1"/>
      <c r="C4051" s="1"/>
      <c r="D4051" s="1"/>
      <c r="E4051" s="1"/>
      <c r="F4051" s="1"/>
      <c r="G4051" s="1"/>
      <c r="H4051" s="1"/>
      <c r="I4051" s="1"/>
      <c r="J4051" s="1"/>
      <c r="K4051" s="89" t="s">
        <v>6202</v>
      </c>
      <c r="L4051" s="89" t="str">
        <f>B144</f>
        <v>C2</v>
      </c>
      <c r="M4051" s="89" t="s">
        <v>6201</v>
      </c>
      <c r="N4051" s="89" t="s">
        <v>6203</v>
      </c>
      <c r="O4051" s="92">
        <v>1.7934124E7</v>
      </c>
      <c r="P4051" s="92">
        <v>1.5822244E7</v>
      </c>
      <c r="Q4051" s="89" t="s">
        <v>810</v>
      </c>
      <c r="AF4051" s="1"/>
      <c r="AG4051" s="1"/>
    </row>
    <row r="4052" ht="15.75" customHeight="1">
      <c r="A4052" s="1"/>
      <c r="B4052" s="1"/>
      <c r="C4052" s="1"/>
      <c r="D4052" s="1"/>
      <c r="E4052" s="1"/>
      <c r="F4052" s="1"/>
      <c r="G4052" s="1"/>
      <c r="H4052" s="1"/>
      <c r="I4052" s="1"/>
      <c r="J4052" s="1"/>
      <c r="K4052" s="89" t="s">
        <v>6204</v>
      </c>
      <c r="L4052" s="89" t="str">
        <f>B144</f>
        <v>C2</v>
      </c>
      <c r="M4052" s="89"/>
      <c r="N4052" s="89" t="s">
        <v>6205</v>
      </c>
      <c r="O4052" s="92">
        <v>1.8125617E7</v>
      </c>
      <c r="P4052" s="92">
        <v>1.6013737E7</v>
      </c>
      <c r="Q4052" s="89" t="s">
        <v>879</v>
      </c>
      <c r="AF4052" s="1"/>
      <c r="AG4052" s="1"/>
    </row>
    <row r="4053" ht="15.75" customHeight="1">
      <c r="A4053" s="1"/>
      <c r="B4053" s="1"/>
      <c r="C4053" s="1"/>
      <c r="D4053" s="1"/>
      <c r="E4053" s="1"/>
      <c r="F4053" s="1"/>
      <c r="G4053" s="1"/>
      <c r="H4053" s="1"/>
      <c r="I4053" s="1"/>
      <c r="J4053" s="1"/>
      <c r="K4053" s="89" t="s">
        <v>6206</v>
      </c>
      <c r="L4053" s="89" t="str">
        <f>B144</f>
        <v>C2</v>
      </c>
      <c r="M4053" s="89" t="s">
        <v>6207</v>
      </c>
      <c r="N4053" s="89" t="s">
        <v>6208</v>
      </c>
      <c r="O4053" s="92">
        <v>1.8159948E7</v>
      </c>
      <c r="P4053" s="92">
        <v>1.6048068E7</v>
      </c>
      <c r="Q4053" s="89" t="s">
        <v>912</v>
      </c>
      <c r="AF4053" s="1"/>
      <c r="AG4053" s="1"/>
    </row>
    <row r="4054" ht="15.75" customHeight="1">
      <c r="A4054" s="1"/>
      <c r="B4054" s="1"/>
      <c r="C4054" s="1"/>
      <c r="D4054" s="1"/>
      <c r="E4054" s="1"/>
      <c r="F4054" s="1"/>
      <c r="G4054" s="1"/>
      <c r="H4054" s="1"/>
      <c r="I4054" s="1"/>
      <c r="J4054" s="1"/>
      <c r="K4054" s="89" t="s">
        <v>6207</v>
      </c>
      <c r="L4054" s="89" t="str">
        <f>B144</f>
        <v>C2</v>
      </c>
      <c r="M4054" s="89" t="s">
        <v>6206</v>
      </c>
      <c r="N4054" s="89" t="s">
        <v>6208</v>
      </c>
      <c r="O4054" s="92">
        <v>1.8159948E7</v>
      </c>
      <c r="P4054" s="92">
        <v>1.6048068E7</v>
      </c>
      <c r="Q4054" s="89" t="s">
        <v>912</v>
      </c>
      <c r="AF4054" s="1"/>
      <c r="AG4054" s="1"/>
    </row>
    <row r="4055" ht="15.75" customHeight="1">
      <c r="A4055" s="1"/>
      <c r="B4055" s="1"/>
      <c r="C4055" s="1"/>
      <c r="D4055" s="1"/>
      <c r="E4055" s="1"/>
      <c r="F4055" s="1"/>
      <c r="G4055" s="1"/>
      <c r="H4055" s="1"/>
      <c r="I4055" s="1"/>
      <c r="J4055" s="1"/>
      <c r="K4055" s="89" t="s">
        <v>6209</v>
      </c>
      <c r="L4055" s="89" t="str">
        <f>B144</f>
        <v>C2</v>
      </c>
      <c r="M4055" s="89"/>
      <c r="N4055" s="89" t="s">
        <v>6210</v>
      </c>
      <c r="O4055" s="92">
        <v>1.8263316E7</v>
      </c>
      <c r="P4055" s="92">
        <v>1.6151436E7</v>
      </c>
      <c r="Q4055" s="89" t="s">
        <v>810</v>
      </c>
      <c r="AF4055" s="1"/>
      <c r="AG4055" s="1"/>
    </row>
    <row r="4056" ht="15.75" customHeight="1">
      <c r="A4056" s="1"/>
      <c r="B4056" s="1"/>
      <c r="C4056" s="1"/>
      <c r="D4056" s="1"/>
      <c r="E4056" s="1"/>
      <c r="F4056" s="1"/>
      <c r="G4056" s="1"/>
      <c r="H4056" s="1"/>
      <c r="I4056" s="1"/>
      <c r="J4056" s="1"/>
      <c r="K4056" s="89" t="s">
        <v>6211</v>
      </c>
      <c r="L4056" s="89" t="str">
        <f>B144</f>
        <v>C2</v>
      </c>
      <c r="M4056" s="89" t="s">
        <v>6212</v>
      </c>
      <c r="N4056" s="89" t="s">
        <v>6213</v>
      </c>
      <c r="O4056" s="92">
        <v>1.9020366E7</v>
      </c>
      <c r="P4056" s="92">
        <v>1.6908486E7</v>
      </c>
      <c r="Q4056" s="89" t="s">
        <v>822</v>
      </c>
      <c r="AF4056" s="1"/>
      <c r="AG4056" s="1"/>
    </row>
    <row r="4057" ht="15.75" customHeight="1">
      <c r="A4057" s="1"/>
      <c r="B4057" s="1"/>
      <c r="C4057" s="1"/>
      <c r="D4057" s="1"/>
      <c r="E4057" s="1"/>
      <c r="F4057" s="1"/>
      <c r="G4057" s="1"/>
      <c r="H4057" s="1"/>
      <c r="I4057" s="1"/>
      <c r="J4057" s="1"/>
      <c r="K4057" s="89" t="s">
        <v>6212</v>
      </c>
      <c r="L4057" s="89" t="str">
        <f>B144</f>
        <v>C2</v>
      </c>
      <c r="M4057" s="89" t="s">
        <v>6211</v>
      </c>
      <c r="N4057" s="89" t="s">
        <v>6213</v>
      </c>
      <c r="O4057" s="92">
        <v>1.9020366E7</v>
      </c>
      <c r="P4057" s="92">
        <v>1.6908486E7</v>
      </c>
      <c r="Q4057" s="89" t="s">
        <v>822</v>
      </c>
      <c r="AF4057" s="1"/>
      <c r="AG4057" s="1"/>
    </row>
    <row r="4058" ht="15.75" customHeight="1">
      <c r="A4058" s="1"/>
      <c r="B4058" s="1"/>
      <c r="C4058" s="1"/>
      <c r="D4058" s="1"/>
      <c r="E4058" s="1"/>
      <c r="F4058" s="1"/>
      <c r="G4058" s="1"/>
      <c r="H4058" s="1"/>
      <c r="I4058" s="1"/>
      <c r="J4058" s="1"/>
      <c r="K4058" s="89" t="s">
        <v>6214</v>
      </c>
      <c r="L4058" s="89" t="str">
        <f>B144</f>
        <v>C2</v>
      </c>
      <c r="M4058" s="89"/>
      <c r="N4058" s="89" t="s">
        <v>6215</v>
      </c>
      <c r="O4058" s="89">
        <v>1.9058744E7</v>
      </c>
      <c r="P4058" s="89">
        <v>1.6946864E7</v>
      </c>
      <c r="Q4058" s="89" t="s">
        <v>879</v>
      </c>
      <c r="AF4058" s="1"/>
      <c r="AG4058" s="1"/>
    </row>
    <row r="4059" ht="15.75" customHeight="1">
      <c r="A4059" s="1"/>
      <c r="B4059" s="1"/>
      <c r="C4059" s="1"/>
      <c r="D4059" s="1"/>
      <c r="E4059" s="1"/>
      <c r="F4059" s="1"/>
      <c r="G4059" s="1"/>
      <c r="H4059" s="1"/>
      <c r="I4059" s="1"/>
      <c r="J4059" s="1"/>
      <c r="K4059" s="89" t="s">
        <v>6216</v>
      </c>
      <c r="L4059" s="89" t="str">
        <f>B144</f>
        <v>C2</v>
      </c>
      <c r="M4059" s="89"/>
      <c r="N4059" s="89" t="s">
        <v>6217</v>
      </c>
      <c r="O4059" s="92">
        <v>1.9286146E7</v>
      </c>
      <c r="P4059" s="92">
        <v>1.7174266E7</v>
      </c>
      <c r="Q4059" s="89" t="s">
        <v>845</v>
      </c>
      <c r="AF4059" s="1"/>
      <c r="AG4059" s="1"/>
    </row>
    <row r="4060" ht="15.75" customHeight="1">
      <c r="A4060" s="1"/>
      <c r="B4060" s="1"/>
      <c r="C4060" s="1"/>
      <c r="D4060" s="1"/>
      <c r="E4060" s="1"/>
      <c r="F4060" s="1"/>
      <c r="G4060" s="1"/>
      <c r="H4060" s="1"/>
      <c r="I4060" s="1"/>
      <c r="J4060" s="1"/>
      <c r="K4060" s="89" t="s">
        <v>6218</v>
      </c>
      <c r="L4060" s="89" t="str">
        <f>B144</f>
        <v>C2</v>
      </c>
      <c r="M4060" s="89"/>
      <c r="N4060" s="89" t="s">
        <v>6219</v>
      </c>
      <c r="O4060" s="92">
        <v>1.9560462E7</v>
      </c>
      <c r="P4060" s="92">
        <v>1.7448582E7</v>
      </c>
      <c r="Q4060" s="89" t="s">
        <v>822</v>
      </c>
      <c r="AF4060" s="1"/>
      <c r="AG4060" s="1"/>
    </row>
    <row r="4061" ht="15.75" customHeight="1">
      <c r="A4061" s="1"/>
      <c r="B4061" s="1"/>
      <c r="C4061" s="1"/>
      <c r="D4061" s="1"/>
      <c r="E4061" s="1"/>
      <c r="F4061" s="1"/>
      <c r="G4061" s="1"/>
      <c r="H4061" s="1"/>
      <c r="I4061" s="1"/>
      <c r="J4061" s="1"/>
      <c r="K4061" s="89" t="s">
        <v>6220</v>
      </c>
      <c r="L4061" s="89" t="str">
        <f>B144</f>
        <v>C2</v>
      </c>
      <c r="M4061" s="89"/>
      <c r="N4061" s="89" t="s">
        <v>6221</v>
      </c>
      <c r="O4061" s="92">
        <v>2.2665224E7</v>
      </c>
      <c r="P4061" s="92">
        <v>2.0503338E7</v>
      </c>
      <c r="Q4061" s="89" t="s">
        <v>831</v>
      </c>
      <c r="AF4061" s="1"/>
      <c r="AG4061" s="1"/>
    </row>
    <row r="4062" ht="15.75" customHeight="1">
      <c r="A4062" s="1"/>
      <c r="B4062" s="1"/>
      <c r="C4062" s="1"/>
      <c r="D4062" s="1"/>
      <c r="E4062" s="1"/>
      <c r="F4062" s="1"/>
      <c r="G4062" s="1"/>
      <c r="H4062" s="1"/>
      <c r="I4062" s="1"/>
      <c r="J4062" s="1"/>
      <c r="K4062" s="89" t="s">
        <v>6222</v>
      </c>
      <c r="L4062" s="89" t="str">
        <f>B144</f>
        <v>C2</v>
      </c>
      <c r="M4062" s="89"/>
      <c r="N4062" s="89" t="s">
        <v>6223</v>
      </c>
      <c r="O4062" s="92">
        <v>2.3080679E7</v>
      </c>
      <c r="P4062" s="92">
        <v>2.0918793E7</v>
      </c>
      <c r="Q4062" s="89" t="s">
        <v>802</v>
      </c>
      <c r="AF4062" s="1"/>
      <c r="AG4062" s="1"/>
    </row>
    <row r="4063" ht="15.75" customHeight="1">
      <c r="A4063" s="1"/>
      <c r="B4063" s="1"/>
      <c r="C4063" s="1"/>
      <c r="D4063" s="1"/>
      <c r="E4063" s="1"/>
      <c r="F4063" s="1"/>
      <c r="G4063" s="1"/>
      <c r="H4063" s="1"/>
      <c r="I4063" s="1"/>
      <c r="J4063" s="1"/>
      <c r="K4063" s="89" t="s">
        <v>6224</v>
      </c>
      <c r="L4063" s="89" t="str">
        <f>B144</f>
        <v>C2</v>
      </c>
      <c r="M4063" s="89"/>
      <c r="N4063" s="89" t="s">
        <v>6225</v>
      </c>
      <c r="O4063" s="92">
        <v>2.3445426E7</v>
      </c>
      <c r="P4063" s="92">
        <v>2.128354E7</v>
      </c>
      <c r="Q4063" s="89" t="s">
        <v>802</v>
      </c>
      <c r="AF4063" s="1"/>
      <c r="AG4063" s="1"/>
    </row>
    <row r="4064" ht="15.75" customHeight="1">
      <c r="A4064" s="1"/>
      <c r="B4064" s="1"/>
      <c r="C4064" s="1"/>
      <c r="D4064" s="1"/>
      <c r="E4064" s="1"/>
      <c r="F4064" s="1"/>
      <c r="G4064" s="1"/>
      <c r="H4064" s="1"/>
      <c r="I4064" s="1"/>
      <c r="J4064" s="1"/>
      <c r="K4064" s="89" t="s">
        <v>6226</v>
      </c>
      <c r="L4064" s="89" t="str">
        <f>B144</f>
        <v>C2</v>
      </c>
      <c r="M4064" s="89"/>
      <c r="N4064" s="89" t="s">
        <v>6227</v>
      </c>
      <c r="O4064" s="89">
        <v>2.8739098E7</v>
      </c>
      <c r="P4064" s="89">
        <v>2.6592951E7</v>
      </c>
      <c r="Q4064" s="89" t="s">
        <v>822</v>
      </c>
      <c r="AF4064" s="1"/>
      <c r="AG4064" s="1"/>
    </row>
    <row r="4065" ht="15.75" customHeight="1">
      <c r="A4065" s="1"/>
      <c r="B4065" s="1"/>
      <c r="C4065" s="1"/>
      <c r="D4065" s="1"/>
      <c r="E4065" s="1"/>
      <c r="F4065" s="1"/>
      <c r="G4065" s="1"/>
      <c r="H4065" s="1"/>
      <c r="I4065" s="1"/>
      <c r="J4065" s="1"/>
      <c r="K4065" s="89" t="s">
        <v>6228</v>
      </c>
      <c r="L4065" s="89" t="str">
        <f>B144</f>
        <v>C2</v>
      </c>
      <c r="M4065" s="89" t="s">
        <v>6229</v>
      </c>
      <c r="N4065" s="89" t="s">
        <v>6230</v>
      </c>
      <c r="O4065" s="92">
        <v>2811034.0</v>
      </c>
      <c r="P4065" s="92">
        <v>2942993.0</v>
      </c>
      <c r="Q4065" s="89" t="s">
        <v>831</v>
      </c>
      <c r="AF4065" s="1"/>
      <c r="AG4065" s="1"/>
    </row>
    <row r="4066" ht="15.75" customHeight="1">
      <c r="A4066" s="1"/>
      <c r="B4066" s="1"/>
      <c r="C4066" s="1"/>
      <c r="D4066" s="1"/>
      <c r="E4066" s="1"/>
      <c r="F4066" s="1"/>
      <c r="G4066" s="1"/>
      <c r="H4066" s="1"/>
      <c r="I4066" s="1"/>
      <c r="J4066" s="1"/>
      <c r="K4066" s="89" t="s">
        <v>6229</v>
      </c>
      <c r="L4066" s="89" t="str">
        <f>B144</f>
        <v>C2</v>
      </c>
      <c r="M4066" s="89" t="s">
        <v>6228</v>
      </c>
      <c r="N4066" s="89" t="s">
        <v>6230</v>
      </c>
      <c r="O4066" s="92">
        <v>2811034.0</v>
      </c>
      <c r="P4066" s="92">
        <v>2942993.0</v>
      </c>
      <c r="Q4066" s="89" t="s">
        <v>831</v>
      </c>
      <c r="AF4066" s="1"/>
      <c r="AG4066" s="1"/>
    </row>
    <row r="4067" ht="15.75" customHeight="1">
      <c r="A4067" s="1"/>
      <c r="B4067" s="1"/>
      <c r="C4067" s="1"/>
      <c r="D4067" s="1"/>
      <c r="E4067" s="1"/>
      <c r="F4067" s="1"/>
      <c r="G4067" s="1"/>
      <c r="H4067" s="1"/>
      <c r="I4067" s="1"/>
      <c r="J4067" s="1"/>
      <c r="K4067" s="89" t="s">
        <v>6231</v>
      </c>
      <c r="L4067" s="89" t="str">
        <f>B144</f>
        <v>C2</v>
      </c>
      <c r="M4067" s="89"/>
      <c r="N4067" s="89" t="s">
        <v>6232</v>
      </c>
      <c r="O4067" s="92">
        <v>6629930.0</v>
      </c>
      <c r="P4067" s="92">
        <v>6761889.0</v>
      </c>
      <c r="Q4067" s="89" t="s">
        <v>886</v>
      </c>
      <c r="AF4067" s="1"/>
      <c r="AG4067" s="1"/>
    </row>
    <row r="4068" ht="15.75" customHeight="1">
      <c r="A4068" s="1"/>
      <c r="B4068" s="1"/>
      <c r="C4068" s="1"/>
      <c r="D4068" s="1"/>
      <c r="E4068" s="1"/>
      <c r="F4068" s="1"/>
      <c r="G4068" s="1"/>
      <c r="H4068" s="1"/>
      <c r="I4068" s="1"/>
      <c r="J4068" s="1"/>
      <c r="K4068" s="89" t="s">
        <v>6233</v>
      </c>
      <c r="L4068" s="89" t="str">
        <f>B144</f>
        <v>C2</v>
      </c>
      <c r="M4068" s="89"/>
      <c r="N4068" s="89" t="s">
        <v>6234</v>
      </c>
      <c r="O4068" s="92">
        <v>6947173.0</v>
      </c>
      <c r="P4068" s="92">
        <v>7079132.0</v>
      </c>
      <c r="Q4068" s="89" t="s">
        <v>822</v>
      </c>
      <c r="AF4068" s="1"/>
      <c r="AG4068" s="1"/>
    </row>
    <row r="4069" ht="15.75" customHeight="1">
      <c r="A4069" s="1"/>
      <c r="B4069" s="1"/>
      <c r="C4069" s="1"/>
      <c r="D4069" s="1"/>
      <c r="E4069" s="1"/>
      <c r="F4069" s="1"/>
      <c r="G4069" s="1"/>
      <c r="H4069" s="1"/>
      <c r="I4069" s="1"/>
      <c r="J4069" s="1"/>
      <c r="K4069" s="89" t="s">
        <v>6235</v>
      </c>
      <c r="L4069" s="89" t="str">
        <f>B144</f>
        <v>C2</v>
      </c>
      <c r="M4069" s="89"/>
      <c r="N4069" s="89" t="s">
        <v>6236</v>
      </c>
      <c r="O4069" s="92">
        <v>6978940.0</v>
      </c>
      <c r="P4069" s="92">
        <v>7110899.0</v>
      </c>
      <c r="Q4069" s="89" t="s">
        <v>810</v>
      </c>
      <c r="AF4069" s="1"/>
      <c r="AG4069" s="1"/>
    </row>
    <row r="4070" ht="15.75" customHeight="1">
      <c r="A4070" s="1"/>
      <c r="B4070" s="1"/>
      <c r="C4070" s="1"/>
      <c r="D4070" s="1"/>
      <c r="E4070" s="1"/>
      <c r="F4070" s="1"/>
      <c r="G4070" s="1"/>
      <c r="H4070" s="1"/>
      <c r="I4070" s="1"/>
      <c r="J4070" s="1"/>
      <c r="K4070" s="89" t="s">
        <v>6237</v>
      </c>
      <c r="L4070" s="89" t="str">
        <f>B144</f>
        <v>C2</v>
      </c>
      <c r="M4070" s="89"/>
      <c r="N4070" s="89" t="s">
        <v>6238</v>
      </c>
      <c r="O4070" s="92">
        <v>7247717.0</v>
      </c>
      <c r="P4070" s="92">
        <v>7379676.0</v>
      </c>
      <c r="Q4070" s="89" t="s">
        <v>802</v>
      </c>
      <c r="AF4070" s="1"/>
      <c r="AG4070" s="1"/>
    </row>
    <row r="4071" ht="15.75" customHeight="1">
      <c r="A4071" s="1"/>
      <c r="B4071" s="1"/>
      <c r="C4071" s="1"/>
      <c r="D4071" s="1"/>
      <c r="E4071" s="1"/>
      <c r="F4071" s="1"/>
      <c r="G4071" s="1"/>
      <c r="H4071" s="1"/>
      <c r="I4071" s="1"/>
      <c r="J4071" s="1"/>
      <c r="K4071" s="89" t="s">
        <v>6239</v>
      </c>
      <c r="L4071" s="89" t="str">
        <f>B144</f>
        <v>C2</v>
      </c>
      <c r="M4071" s="89"/>
      <c r="N4071" s="89" t="s">
        <v>6240</v>
      </c>
      <c r="O4071" s="92">
        <v>8060848.0</v>
      </c>
      <c r="P4071" s="92">
        <v>8192807.0</v>
      </c>
      <c r="Q4071" s="89" t="s">
        <v>822</v>
      </c>
      <c r="AF4071" s="1"/>
      <c r="AG4071" s="1"/>
    </row>
    <row r="4072" ht="15.75" customHeight="1">
      <c r="A4072" s="1"/>
      <c r="B4072" s="1"/>
      <c r="C4072" s="1"/>
      <c r="D4072" s="1"/>
      <c r="E4072" s="1"/>
      <c r="F4072" s="1"/>
      <c r="G4072" s="1"/>
      <c r="H4072" s="1"/>
      <c r="I4072" s="1"/>
      <c r="J4072" s="1"/>
      <c r="K4072" s="89" t="s">
        <v>6241</v>
      </c>
      <c r="L4072" s="89" t="str">
        <f>B144</f>
        <v>C2</v>
      </c>
      <c r="M4072" s="89"/>
      <c r="N4072" s="89" t="s">
        <v>6242</v>
      </c>
      <c r="O4072" s="92">
        <v>8283411.0</v>
      </c>
      <c r="P4072" s="92">
        <v>8415370.0</v>
      </c>
      <c r="Q4072" s="89" t="s">
        <v>864</v>
      </c>
      <c r="AF4072" s="1"/>
      <c r="AG4072" s="1"/>
    </row>
    <row r="4073" ht="15.75" customHeight="1">
      <c r="A4073" s="1"/>
      <c r="B4073" s="1"/>
      <c r="C4073" s="1"/>
      <c r="D4073" s="1"/>
      <c r="E4073" s="1"/>
      <c r="F4073" s="1"/>
      <c r="G4073" s="1"/>
      <c r="H4073" s="1"/>
      <c r="I4073" s="1"/>
      <c r="J4073" s="1"/>
      <c r="K4073" s="89" t="s">
        <v>6243</v>
      </c>
      <c r="L4073" s="89" t="str">
        <f>B144</f>
        <v>C2</v>
      </c>
      <c r="M4073" s="89"/>
      <c r="N4073" s="89" t="s">
        <v>6244</v>
      </c>
      <c r="O4073" s="92">
        <v>8428370.0</v>
      </c>
      <c r="P4073" s="92">
        <v>8560329.0</v>
      </c>
      <c r="Q4073" s="89" t="s">
        <v>810</v>
      </c>
      <c r="AF4073" s="1"/>
      <c r="AG4073" s="1"/>
    </row>
    <row r="4074" ht="15.75" customHeight="1">
      <c r="A4074" s="1"/>
      <c r="B4074" s="1"/>
      <c r="C4074" s="1"/>
      <c r="D4074" s="1"/>
      <c r="E4074" s="1"/>
      <c r="F4074" s="1"/>
      <c r="G4074" s="1"/>
      <c r="H4074" s="1"/>
      <c r="I4074" s="1"/>
      <c r="J4074" s="1"/>
      <c r="K4074" s="89" t="s">
        <v>6245</v>
      </c>
      <c r="L4074" s="89" t="str">
        <f>B144</f>
        <v>C2</v>
      </c>
      <c r="M4074" s="89" t="s">
        <v>6246</v>
      </c>
      <c r="N4074" s="89" t="s">
        <v>6247</v>
      </c>
      <c r="O4074" s="92">
        <v>8457950.0</v>
      </c>
      <c r="P4074" s="92">
        <v>8589909.0</v>
      </c>
      <c r="Q4074" s="89" t="s">
        <v>810</v>
      </c>
      <c r="AF4074" s="1"/>
      <c r="AG4074" s="1"/>
    </row>
    <row r="4075" ht="15.75" customHeight="1">
      <c r="A4075" s="1"/>
      <c r="B4075" s="1"/>
      <c r="C4075" s="1"/>
      <c r="D4075" s="1"/>
      <c r="E4075" s="1"/>
      <c r="F4075" s="1"/>
      <c r="G4075" s="1"/>
      <c r="H4075" s="1"/>
      <c r="I4075" s="1"/>
      <c r="J4075" s="1"/>
      <c r="K4075" s="89" t="s">
        <v>6246</v>
      </c>
      <c r="L4075" s="89" t="str">
        <f>B144</f>
        <v>C2</v>
      </c>
      <c r="M4075" s="89" t="s">
        <v>6245</v>
      </c>
      <c r="N4075" s="89" t="s">
        <v>6247</v>
      </c>
      <c r="O4075" s="92">
        <v>8457950.0</v>
      </c>
      <c r="P4075" s="92">
        <v>8589909.0</v>
      </c>
      <c r="Q4075" s="89" t="s">
        <v>810</v>
      </c>
      <c r="AF4075" s="1"/>
      <c r="AG4075" s="1"/>
    </row>
    <row r="4076" ht="15.75" customHeight="1">
      <c r="A4076" s="1"/>
      <c r="B4076" s="1"/>
      <c r="C4076" s="1"/>
      <c r="D4076" s="1"/>
      <c r="E4076" s="1"/>
      <c r="F4076" s="1"/>
      <c r="G4076" s="1"/>
      <c r="H4076" s="1"/>
      <c r="I4076" s="1"/>
      <c r="J4076" s="1"/>
      <c r="K4076" s="89" t="s">
        <v>6248</v>
      </c>
      <c r="L4076" s="89" t="str">
        <f>B144</f>
        <v>C2</v>
      </c>
      <c r="M4076" s="89"/>
      <c r="N4076" s="89" t="s">
        <v>6249</v>
      </c>
      <c r="O4076" s="92">
        <v>8484112.0</v>
      </c>
      <c r="P4076" s="92">
        <v>8616071.0</v>
      </c>
      <c r="Q4076" s="89" t="s">
        <v>912</v>
      </c>
      <c r="AF4076" s="1"/>
      <c r="AG4076" s="1"/>
    </row>
    <row r="4077" ht="15.75" customHeight="1">
      <c r="A4077" s="1"/>
      <c r="B4077" s="1"/>
      <c r="C4077" s="1"/>
      <c r="D4077" s="1"/>
      <c r="E4077" s="1"/>
      <c r="F4077" s="1"/>
      <c r="G4077" s="1"/>
      <c r="H4077" s="1"/>
      <c r="I4077" s="1"/>
      <c r="J4077" s="1"/>
      <c r="K4077" s="89" t="s">
        <v>6250</v>
      </c>
      <c r="L4077" s="89" t="str">
        <f>B144</f>
        <v>C2</v>
      </c>
      <c r="M4077" s="89"/>
      <c r="N4077" s="89" t="s">
        <v>6251</v>
      </c>
      <c r="O4077" s="92">
        <v>8792176.0</v>
      </c>
      <c r="P4077" s="92">
        <v>8924135.0</v>
      </c>
      <c r="Q4077" s="89" t="s">
        <v>845</v>
      </c>
      <c r="AF4077" s="1"/>
      <c r="AG4077" s="1"/>
    </row>
    <row r="4078" ht="15.75" customHeight="1">
      <c r="A4078" s="1"/>
      <c r="B4078" s="1"/>
      <c r="C4078" s="1"/>
      <c r="D4078" s="1"/>
      <c r="E4078" s="1"/>
      <c r="F4078" s="1"/>
      <c r="G4078" s="1"/>
      <c r="H4078" s="1"/>
      <c r="I4078" s="1"/>
      <c r="J4078" s="1"/>
      <c r="K4078" s="89" t="s">
        <v>6252</v>
      </c>
      <c r="L4078" s="89" t="str">
        <f>B144</f>
        <v>C2</v>
      </c>
      <c r="M4078" s="89"/>
      <c r="N4078" s="89" t="s">
        <v>6253</v>
      </c>
      <c r="O4078" s="92">
        <v>9758934.0</v>
      </c>
      <c r="P4078" s="92">
        <v>9921325.0</v>
      </c>
      <c r="Q4078" s="89" t="s">
        <v>822</v>
      </c>
      <c r="AF4078" s="1"/>
      <c r="AG4078" s="1"/>
    </row>
    <row r="4079" ht="15.75" customHeight="1">
      <c r="A4079" s="1"/>
      <c r="B4079" s="1"/>
      <c r="C4079" s="1"/>
      <c r="D4079" s="1"/>
      <c r="E4079" s="1"/>
      <c r="F4079" s="1"/>
      <c r="G4079" s="1"/>
      <c r="H4079" s="1"/>
      <c r="I4079" s="1"/>
      <c r="J4079" s="1"/>
      <c r="K4079" s="89" t="s">
        <v>6254</v>
      </c>
      <c r="L4079" s="89" t="str">
        <f>B144</f>
        <v>C2</v>
      </c>
      <c r="M4079" s="89"/>
      <c r="N4079" s="89" t="s">
        <v>6255</v>
      </c>
      <c r="O4079" s="92">
        <v>9854445.0</v>
      </c>
      <c r="P4079" s="92">
        <v>1.0016836E7</v>
      </c>
      <c r="Q4079" s="89" t="s">
        <v>838</v>
      </c>
      <c r="AF4079" s="1"/>
      <c r="AG4079" s="1"/>
    </row>
    <row r="4080" ht="15.75" customHeight="1">
      <c r="A4080" s="1"/>
      <c r="B4080" s="1"/>
      <c r="C4080" s="1"/>
      <c r="D4080" s="1"/>
      <c r="E4080" s="1"/>
      <c r="F4080" s="1"/>
      <c r="G4080" s="1"/>
      <c r="H4080" s="1"/>
      <c r="I4080" s="1"/>
      <c r="J4080" s="1"/>
      <c r="K4080" s="89" t="s">
        <v>6256</v>
      </c>
      <c r="L4080" s="89" t="str">
        <f>B144</f>
        <v>C2</v>
      </c>
      <c r="M4080" s="89"/>
      <c r="N4080" s="89" t="s">
        <v>6257</v>
      </c>
      <c r="O4080" s="92">
        <v>9905889.0</v>
      </c>
      <c r="P4080" s="92">
        <v>1.006828E7</v>
      </c>
      <c r="Q4080" s="89" t="s">
        <v>917</v>
      </c>
      <c r="AF4080" s="1"/>
      <c r="AG4080" s="1"/>
    </row>
    <row r="4081" ht="15.75" customHeight="1">
      <c r="A4081" s="1"/>
      <c r="B4081" s="1"/>
      <c r="C4081" s="1"/>
      <c r="D4081" s="1"/>
      <c r="E4081" s="1"/>
      <c r="F4081" s="1"/>
      <c r="G4081" s="1"/>
      <c r="H4081" s="1"/>
      <c r="I4081" s="1"/>
      <c r="J4081" s="1"/>
      <c r="K4081" s="89" t="s">
        <v>6258</v>
      </c>
      <c r="L4081" s="89" t="str">
        <f>B144</f>
        <v>C2</v>
      </c>
      <c r="M4081" s="89" t="s">
        <v>6259</v>
      </c>
      <c r="N4081" s="89" t="s">
        <v>6260</v>
      </c>
      <c r="O4081" s="92">
        <v>1.4036412E7</v>
      </c>
      <c r="P4081" s="92">
        <v>1.1915706E7</v>
      </c>
      <c r="Q4081" s="89" t="s">
        <v>879</v>
      </c>
      <c r="AF4081" s="1"/>
      <c r="AG4081" s="1"/>
    </row>
    <row r="4082" ht="15.75" customHeight="1">
      <c r="A4082" s="1"/>
      <c r="B4082" s="1"/>
      <c r="C4082" s="1"/>
      <c r="D4082" s="1"/>
      <c r="E4082" s="1"/>
      <c r="F4082" s="1"/>
      <c r="G4082" s="1"/>
      <c r="H4082" s="1"/>
      <c r="I4082" s="1"/>
      <c r="J4082" s="1"/>
      <c r="K4082" s="89" t="s">
        <v>6259</v>
      </c>
      <c r="L4082" s="89" t="str">
        <f>B144</f>
        <v>C2</v>
      </c>
      <c r="M4082" s="89" t="s">
        <v>6258</v>
      </c>
      <c r="N4082" s="89" t="s">
        <v>6260</v>
      </c>
      <c r="O4082" s="92">
        <v>1.4036412E7</v>
      </c>
      <c r="P4082" s="92">
        <v>1.1915706E7</v>
      </c>
      <c r="Q4082" s="89" t="s">
        <v>879</v>
      </c>
      <c r="AF4082" s="1"/>
      <c r="AG4082" s="1"/>
    </row>
    <row r="4083" ht="15.75" customHeight="1">
      <c r="A4083" s="1"/>
      <c r="B4083" s="1"/>
      <c r="C4083" s="1"/>
      <c r="D4083" s="1"/>
      <c r="E4083" s="1"/>
      <c r="F4083" s="1"/>
      <c r="G4083" s="1"/>
      <c r="H4083" s="1"/>
      <c r="I4083" s="1"/>
      <c r="J4083" s="1"/>
      <c r="K4083" s="89" t="s">
        <v>6261</v>
      </c>
      <c r="L4083" s="89" t="str">
        <f>B144</f>
        <v>C2</v>
      </c>
      <c r="M4083" s="89" t="s">
        <v>6262</v>
      </c>
      <c r="N4083" s="89" t="s">
        <v>6263</v>
      </c>
      <c r="O4083" s="92">
        <v>1.4036486E7</v>
      </c>
      <c r="P4083" s="92">
        <v>1.191578E7</v>
      </c>
      <c r="Q4083" s="89" t="s">
        <v>810</v>
      </c>
      <c r="AF4083" s="1"/>
      <c r="AG4083" s="1"/>
    </row>
    <row r="4084" ht="15.75" customHeight="1">
      <c r="A4084" s="1"/>
      <c r="B4084" s="1"/>
      <c r="C4084" s="1"/>
      <c r="D4084" s="1"/>
      <c r="E4084" s="1"/>
      <c r="F4084" s="1"/>
      <c r="G4084" s="1"/>
      <c r="H4084" s="1"/>
      <c r="I4084" s="1"/>
      <c r="J4084" s="1"/>
      <c r="K4084" s="89" t="s">
        <v>6262</v>
      </c>
      <c r="L4084" s="89" t="str">
        <f>B144</f>
        <v>C2</v>
      </c>
      <c r="M4084" s="89" t="s">
        <v>6261</v>
      </c>
      <c r="N4084" s="89" t="s">
        <v>6263</v>
      </c>
      <c r="O4084" s="92">
        <v>1.4036486E7</v>
      </c>
      <c r="P4084" s="92">
        <v>1.191578E7</v>
      </c>
      <c r="Q4084" s="89" t="s">
        <v>810</v>
      </c>
      <c r="AF4084" s="1"/>
      <c r="AG4084" s="1"/>
    </row>
    <row r="4085" ht="15.75" customHeight="1">
      <c r="A4085" s="1"/>
      <c r="B4085" s="1"/>
      <c r="C4085" s="1"/>
      <c r="D4085" s="1"/>
      <c r="E4085" s="1"/>
      <c r="F4085" s="1"/>
      <c r="G4085" s="1"/>
      <c r="H4085" s="1"/>
      <c r="I4085" s="1"/>
      <c r="J4085" s="1"/>
      <c r="K4085" s="89" t="s">
        <v>6264</v>
      </c>
      <c r="L4085" s="89" t="str">
        <f>B144</f>
        <v>C2</v>
      </c>
      <c r="M4085" s="89"/>
      <c r="N4085" s="89" t="s">
        <v>6265</v>
      </c>
      <c r="O4085" s="92">
        <v>1.4071209E7</v>
      </c>
      <c r="P4085" s="92">
        <v>1.1950503E7</v>
      </c>
      <c r="Q4085" s="89" t="s">
        <v>917</v>
      </c>
      <c r="AF4085" s="1"/>
      <c r="AG4085" s="1"/>
    </row>
    <row r="4086" ht="15.75" customHeight="1">
      <c r="A4086" s="1"/>
      <c r="B4086" s="1"/>
      <c r="C4086" s="1"/>
      <c r="D4086" s="1"/>
      <c r="E4086" s="1"/>
      <c r="F4086" s="1"/>
      <c r="G4086" s="1"/>
      <c r="H4086" s="1"/>
      <c r="I4086" s="1"/>
      <c r="J4086" s="1"/>
      <c r="K4086" s="89" t="s">
        <v>6266</v>
      </c>
      <c r="L4086" s="89" t="str">
        <f>B144</f>
        <v>C2</v>
      </c>
      <c r="M4086" s="89" t="s">
        <v>6267</v>
      </c>
      <c r="N4086" s="89" t="s">
        <v>6268</v>
      </c>
      <c r="O4086" s="92">
        <v>1.4174454E7</v>
      </c>
      <c r="P4086" s="92">
        <v>1.2053748E7</v>
      </c>
      <c r="Q4086" s="89" t="s">
        <v>810</v>
      </c>
      <c r="AF4086" s="1"/>
      <c r="AG4086" s="1"/>
    </row>
    <row r="4087" ht="15.75" customHeight="1">
      <c r="A4087" s="1"/>
      <c r="B4087" s="1"/>
      <c r="C4087" s="1"/>
      <c r="D4087" s="1"/>
      <c r="E4087" s="1"/>
      <c r="F4087" s="1"/>
      <c r="G4087" s="1"/>
      <c r="H4087" s="1"/>
      <c r="I4087" s="1"/>
      <c r="J4087" s="1"/>
      <c r="K4087" s="89" t="s">
        <v>6267</v>
      </c>
      <c r="L4087" s="89" t="str">
        <f>B144</f>
        <v>C2</v>
      </c>
      <c r="M4087" s="89" t="s">
        <v>6266</v>
      </c>
      <c r="N4087" s="89" t="s">
        <v>6268</v>
      </c>
      <c r="O4087" s="92">
        <v>1.4174454E7</v>
      </c>
      <c r="P4087" s="92">
        <v>1.2053748E7</v>
      </c>
      <c r="Q4087" s="89" t="s">
        <v>810</v>
      </c>
      <c r="AF4087" s="1"/>
      <c r="AG4087" s="1"/>
    </row>
    <row r="4088" ht="15.75" customHeight="1">
      <c r="A4088" s="1"/>
      <c r="B4088" s="1"/>
      <c r="C4088" s="1"/>
      <c r="D4088" s="1"/>
      <c r="E4088" s="1"/>
      <c r="F4088" s="1"/>
      <c r="G4088" s="1"/>
      <c r="H4088" s="1"/>
      <c r="I4088" s="1"/>
      <c r="J4088" s="1"/>
      <c r="K4088" s="89" t="s">
        <v>6269</v>
      </c>
      <c r="L4088" s="89" t="str">
        <f>B144</f>
        <v>C2</v>
      </c>
      <c r="M4088" s="89"/>
      <c r="N4088" s="89" t="s">
        <v>6270</v>
      </c>
      <c r="O4088" s="92">
        <v>1.5510285E7</v>
      </c>
      <c r="P4088" s="92">
        <v>1.3398405E7</v>
      </c>
      <c r="Q4088" s="89" t="s">
        <v>838</v>
      </c>
      <c r="AF4088" s="1"/>
      <c r="AG4088" s="1"/>
    </row>
    <row r="4089" ht="15.75" customHeight="1">
      <c r="A4089" s="1"/>
      <c r="B4089" s="1"/>
      <c r="C4089" s="1"/>
      <c r="D4089" s="1"/>
      <c r="E4089" s="1"/>
      <c r="F4089" s="1"/>
      <c r="G4089" s="1"/>
      <c r="H4089" s="1"/>
      <c r="I4089" s="1"/>
      <c r="J4089" s="1"/>
      <c r="K4089" s="89" t="s">
        <v>6271</v>
      </c>
      <c r="L4089" s="89" t="str">
        <f>B144</f>
        <v>C2</v>
      </c>
      <c r="M4089" s="89"/>
      <c r="N4089" s="89" t="s">
        <v>6272</v>
      </c>
      <c r="O4089" s="92">
        <v>1.5813129E7</v>
      </c>
      <c r="P4089" s="92">
        <v>1.3701249E7</v>
      </c>
      <c r="Q4089" s="89" t="s">
        <v>813</v>
      </c>
      <c r="AF4089" s="1"/>
      <c r="AG4089" s="1"/>
    </row>
    <row r="4090" ht="15.75" customHeight="1">
      <c r="A4090" s="1"/>
      <c r="B4090" s="1"/>
      <c r="C4090" s="1"/>
      <c r="D4090" s="1"/>
      <c r="E4090" s="1"/>
      <c r="F4090" s="1"/>
      <c r="G4090" s="1"/>
      <c r="H4090" s="1"/>
      <c r="I4090" s="1"/>
      <c r="J4090" s="1"/>
      <c r="K4090" s="89" t="s">
        <v>6273</v>
      </c>
      <c r="L4090" s="89" t="str">
        <f>B144</f>
        <v>C2</v>
      </c>
      <c r="M4090" s="89" t="s">
        <v>6274</v>
      </c>
      <c r="N4090" s="89" t="s">
        <v>6275</v>
      </c>
      <c r="O4090" s="92">
        <v>1.6255953E7</v>
      </c>
      <c r="P4090" s="92">
        <v>1.4144073E7</v>
      </c>
      <c r="Q4090" s="89" t="s">
        <v>802</v>
      </c>
      <c r="AF4090" s="1"/>
      <c r="AG4090" s="1"/>
    </row>
    <row r="4091" ht="15.75" customHeight="1">
      <c r="A4091" s="1"/>
      <c r="B4091" s="1"/>
      <c r="C4091" s="1"/>
      <c r="D4091" s="1"/>
      <c r="E4091" s="1"/>
      <c r="F4091" s="1"/>
      <c r="G4091" s="1"/>
      <c r="H4091" s="1"/>
      <c r="I4091" s="1"/>
      <c r="J4091" s="1"/>
      <c r="K4091" s="89" t="s">
        <v>6274</v>
      </c>
      <c r="L4091" s="89" t="str">
        <f>B144</f>
        <v>C2</v>
      </c>
      <c r="M4091" s="89" t="s">
        <v>6273</v>
      </c>
      <c r="N4091" s="89" t="s">
        <v>6275</v>
      </c>
      <c r="O4091" s="92">
        <v>1.6255953E7</v>
      </c>
      <c r="P4091" s="92">
        <v>1.4144073E7</v>
      </c>
      <c r="Q4091" s="89" t="s">
        <v>802</v>
      </c>
      <c r="AF4091" s="1"/>
      <c r="AG4091" s="1"/>
    </row>
    <row r="4092" ht="15.75" customHeight="1">
      <c r="A4092" s="1"/>
      <c r="B4092" s="1"/>
      <c r="C4092" s="1"/>
      <c r="D4092" s="1"/>
      <c r="E4092" s="1"/>
      <c r="F4092" s="1"/>
      <c r="G4092" s="1"/>
      <c r="H4092" s="1"/>
      <c r="I4092" s="1"/>
      <c r="J4092" s="1"/>
      <c r="K4092" s="89" t="s">
        <v>6276</v>
      </c>
      <c r="L4092" s="89" t="str">
        <f>B144</f>
        <v>C2</v>
      </c>
      <c r="M4092" s="89" t="s">
        <v>6277</v>
      </c>
      <c r="N4092" s="89" t="s">
        <v>6278</v>
      </c>
      <c r="O4092" s="92">
        <v>1.6369982E7</v>
      </c>
      <c r="P4092" s="92">
        <v>1.4258102E7</v>
      </c>
      <c r="Q4092" s="89" t="s">
        <v>886</v>
      </c>
      <c r="AF4092" s="1"/>
      <c r="AG4092" s="1"/>
    </row>
    <row r="4093" ht="15.75" customHeight="1">
      <c r="A4093" s="1"/>
      <c r="B4093" s="1"/>
      <c r="C4093" s="1"/>
      <c r="D4093" s="1"/>
      <c r="E4093" s="1"/>
      <c r="F4093" s="1"/>
      <c r="G4093" s="1"/>
      <c r="H4093" s="1"/>
      <c r="I4093" s="1"/>
      <c r="J4093" s="1"/>
      <c r="K4093" s="89" t="s">
        <v>6277</v>
      </c>
      <c r="L4093" s="89" t="str">
        <f>B144</f>
        <v>C2</v>
      </c>
      <c r="M4093" s="89" t="s">
        <v>6276</v>
      </c>
      <c r="N4093" s="89" t="s">
        <v>6278</v>
      </c>
      <c r="O4093" s="92">
        <v>1.6369982E7</v>
      </c>
      <c r="P4093" s="92">
        <v>1.4258102E7</v>
      </c>
      <c r="Q4093" s="89" t="s">
        <v>886</v>
      </c>
      <c r="AF4093" s="1"/>
      <c r="AG4093" s="1"/>
    </row>
    <row r="4094" ht="15.75" customHeight="1">
      <c r="A4094" s="1"/>
      <c r="B4094" s="1"/>
      <c r="C4094" s="1"/>
      <c r="D4094" s="1"/>
      <c r="E4094" s="1"/>
      <c r="F4094" s="1"/>
      <c r="G4094" s="1"/>
      <c r="H4094" s="1"/>
      <c r="I4094" s="1"/>
      <c r="J4094" s="1"/>
      <c r="K4094" s="89" t="s">
        <v>6279</v>
      </c>
      <c r="L4094" s="89" t="str">
        <f>B144</f>
        <v>C2</v>
      </c>
      <c r="M4094" s="89"/>
      <c r="N4094" s="89" t="s">
        <v>6280</v>
      </c>
      <c r="O4094" s="92">
        <v>1.6438514E7</v>
      </c>
      <c r="P4094" s="92">
        <v>1.4326634E7</v>
      </c>
      <c r="Q4094" s="89" t="s">
        <v>822</v>
      </c>
      <c r="AF4094" s="1"/>
      <c r="AG4094" s="1"/>
    </row>
    <row r="4095" ht="15.75" customHeight="1">
      <c r="A4095" s="1"/>
      <c r="B4095" s="1"/>
      <c r="C4095" s="1"/>
      <c r="D4095" s="1"/>
      <c r="E4095" s="1"/>
      <c r="F4095" s="1"/>
      <c r="G4095" s="1"/>
      <c r="H4095" s="1"/>
      <c r="I4095" s="1"/>
      <c r="J4095" s="1"/>
      <c r="K4095" s="89" t="s">
        <v>6281</v>
      </c>
      <c r="L4095" s="89" t="str">
        <f>B144</f>
        <v>C2</v>
      </c>
      <c r="M4095" s="89"/>
      <c r="N4095" s="89" t="s">
        <v>6282</v>
      </c>
      <c r="O4095" s="92">
        <v>1.6823201E7</v>
      </c>
      <c r="P4095" s="92">
        <v>1.4711321E7</v>
      </c>
      <c r="Q4095" s="89" t="s">
        <v>838</v>
      </c>
      <c r="AF4095" s="1"/>
      <c r="AG4095" s="1"/>
    </row>
    <row r="4096" ht="15.75" customHeight="1">
      <c r="A4096" s="1"/>
      <c r="B4096" s="1"/>
      <c r="C4096" s="1"/>
      <c r="D4096" s="1"/>
      <c r="E4096" s="1"/>
      <c r="F4096" s="1"/>
      <c r="G4096" s="1"/>
      <c r="H4096" s="1"/>
      <c r="I4096" s="1"/>
      <c r="J4096" s="1"/>
      <c r="K4096" s="89" t="s">
        <v>6283</v>
      </c>
      <c r="L4096" s="89" t="str">
        <f>B144</f>
        <v>C2</v>
      </c>
      <c r="M4096" s="89" t="s">
        <v>6284</v>
      </c>
      <c r="N4096" s="89" t="s">
        <v>6285</v>
      </c>
      <c r="O4096" s="92">
        <v>1.6925709E7</v>
      </c>
      <c r="P4096" s="92">
        <v>1.4813829E7</v>
      </c>
      <c r="Q4096" s="89" t="s">
        <v>838</v>
      </c>
      <c r="AF4096" s="1"/>
      <c r="AG4096" s="1"/>
    </row>
    <row r="4097" ht="15.75" customHeight="1">
      <c r="A4097" s="1"/>
      <c r="B4097" s="1"/>
      <c r="C4097" s="1"/>
      <c r="D4097" s="1"/>
      <c r="E4097" s="1"/>
      <c r="F4097" s="1"/>
      <c r="G4097" s="1"/>
      <c r="H4097" s="1"/>
      <c r="I4097" s="1"/>
      <c r="J4097" s="1"/>
      <c r="K4097" s="89" t="s">
        <v>6284</v>
      </c>
      <c r="L4097" s="89" t="str">
        <f>B144</f>
        <v>C2</v>
      </c>
      <c r="M4097" s="89" t="s">
        <v>6283</v>
      </c>
      <c r="N4097" s="89" t="s">
        <v>6285</v>
      </c>
      <c r="O4097" s="92">
        <v>1.6925709E7</v>
      </c>
      <c r="P4097" s="92">
        <v>1.4813829E7</v>
      </c>
      <c r="Q4097" s="89" t="s">
        <v>838</v>
      </c>
      <c r="AF4097" s="1"/>
      <c r="AG4097" s="1"/>
    </row>
    <row r="4098" ht="15.75" customHeight="1">
      <c r="A4098" s="1"/>
      <c r="B4098" s="1"/>
      <c r="C4098" s="1"/>
      <c r="D4098" s="1"/>
      <c r="E4098" s="1"/>
      <c r="F4098" s="1"/>
      <c r="G4098" s="1"/>
      <c r="H4098" s="1"/>
      <c r="I4098" s="1"/>
      <c r="J4098" s="1"/>
      <c r="K4098" s="89" t="s">
        <v>6286</v>
      </c>
      <c r="L4098" s="89" t="str">
        <f>B144</f>
        <v>C2</v>
      </c>
      <c r="M4098" s="89"/>
      <c r="N4098" s="89" t="s">
        <v>6287</v>
      </c>
      <c r="O4098" s="92">
        <v>1.710684E7</v>
      </c>
      <c r="P4098" s="92">
        <v>1.499496E7</v>
      </c>
      <c r="Q4098" s="89" t="s">
        <v>802</v>
      </c>
      <c r="AF4098" s="1"/>
      <c r="AG4098" s="1"/>
    </row>
    <row r="4099" ht="15.75" customHeight="1">
      <c r="A4099" s="1"/>
      <c r="B4099" s="1"/>
      <c r="C4099" s="1"/>
      <c r="D4099" s="1"/>
      <c r="E4099" s="1"/>
      <c r="F4099" s="1"/>
      <c r="G4099" s="1"/>
      <c r="H4099" s="1"/>
      <c r="I4099" s="1"/>
      <c r="J4099" s="1"/>
      <c r="K4099" s="89" t="s">
        <v>6288</v>
      </c>
      <c r="L4099" s="89" t="str">
        <f>B144</f>
        <v>C2</v>
      </c>
      <c r="M4099" s="89" t="s">
        <v>6289</v>
      </c>
      <c r="N4099" s="89" t="s">
        <v>6290</v>
      </c>
      <c r="O4099" s="92">
        <v>1.7526503E7</v>
      </c>
      <c r="P4099" s="92">
        <v>1.5414623E7</v>
      </c>
      <c r="Q4099" s="89" t="s">
        <v>810</v>
      </c>
      <c r="AF4099" s="1"/>
      <c r="AG4099" s="1"/>
    </row>
    <row r="4100" ht="15.75" customHeight="1">
      <c r="A4100" s="1"/>
      <c r="B4100" s="1"/>
      <c r="C4100" s="1"/>
      <c r="D4100" s="1"/>
      <c r="E4100" s="1"/>
      <c r="F4100" s="1"/>
      <c r="G4100" s="1"/>
      <c r="H4100" s="1"/>
      <c r="I4100" s="1"/>
      <c r="J4100" s="1"/>
      <c r="K4100" s="89" t="s">
        <v>6289</v>
      </c>
      <c r="L4100" s="89" t="str">
        <f>B144</f>
        <v>C2</v>
      </c>
      <c r="M4100" s="89" t="s">
        <v>6288</v>
      </c>
      <c r="N4100" s="89" t="s">
        <v>6290</v>
      </c>
      <c r="O4100" s="92">
        <v>1.7526503E7</v>
      </c>
      <c r="P4100" s="92">
        <v>1.5414623E7</v>
      </c>
      <c r="Q4100" s="89" t="s">
        <v>810</v>
      </c>
      <c r="AF4100" s="1"/>
      <c r="AG4100" s="1"/>
    </row>
    <row r="4101" ht="15.75" customHeight="1">
      <c r="A4101" s="1"/>
      <c r="B4101" s="1"/>
      <c r="C4101" s="1"/>
      <c r="D4101" s="1"/>
      <c r="E4101" s="1"/>
      <c r="F4101" s="1"/>
      <c r="G4101" s="1"/>
      <c r="H4101" s="1"/>
      <c r="I4101" s="1"/>
      <c r="J4101" s="1"/>
      <c r="K4101" s="89" t="s">
        <v>6291</v>
      </c>
      <c r="L4101" s="89" t="str">
        <f>B144</f>
        <v>C2</v>
      </c>
      <c r="M4101" s="89"/>
      <c r="N4101" s="89" t="s">
        <v>6292</v>
      </c>
      <c r="O4101" s="92">
        <v>1.7877485E7</v>
      </c>
      <c r="P4101" s="92">
        <v>1.5765605E7</v>
      </c>
      <c r="Q4101" s="89" t="s">
        <v>838</v>
      </c>
      <c r="AF4101" s="1"/>
      <c r="AG4101" s="1"/>
    </row>
    <row r="4102" ht="15.75" customHeight="1">
      <c r="A4102" s="1"/>
      <c r="B4102" s="1"/>
      <c r="C4102" s="1"/>
      <c r="D4102" s="1"/>
      <c r="E4102" s="1"/>
      <c r="F4102" s="1"/>
      <c r="G4102" s="1"/>
      <c r="H4102" s="1"/>
      <c r="I4102" s="1"/>
      <c r="J4102" s="1"/>
      <c r="K4102" s="89" t="s">
        <v>6293</v>
      </c>
      <c r="L4102" s="89" t="str">
        <f>B144</f>
        <v>C2</v>
      </c>
      <c r="M4102" s="89"/>
      <c r="N4102" s="89" t="s">
        <v>6294</v>
      </c>
      <c r="O4102" s="92">
        <v>1.7907368E7</v>
      </c>
      <c r="P4102" s="92">
        <v>1.5795488E7</v>
      </c>
      <c r="Q4102" s="89" t="s">
        <v>838</v>
      </c>
      <c r="AF4102" s="1"/>
      <c r="AG4102" s="1"/>
    </row>
    <row r="4103" ht="15.75" customHeight="1">
      <c r="A4103" s="1"/>
      <c r="B4103" s="1"/>
      <c r="C4103" s="1"/>
      <c r="D4103" s="1"/>
      <c r="E4103" s="1"/>
      <c r="F4103" s="1"/>
      <c r="G4103" s="1"/>
      <c r="H4103" s="1"/>
      <c r="I4103" s="1"/>
      <c r="J4103" s="1"/>
      <c r="K4103" s="89" t="s">
        <v>6295</v>
      </c>
      <c r="L4103" s="89" t="str">
        <f>B144</f>
        <v>C2</v>
      </c>
      <c r="M4103" s="89"/>
      <c r="N4103" s="89" t="s">
        <v>6296</v>
      </c>
      <c r="O4103" s="92">
        <v>1.7947454E7</v>
      </c>
      <c r="P4103" s="92">
        <v>1.5835574E7</v>
      </c>
      <c r="Q4103" s="89" t="s">
        <v>886</v>
      </c>
      <c r="AF4103" s="1"/>
      <c r="AG4103" s="1"/>
    </row>
    <row r="4104" ht="15.75" customHeight="1">
      <c r="A4104" s="1"/>
      <c r="B4104" s="1"/>
      <c r="C4104" s="1"/>
      <c r="D4104" s="1"/>
      <c r="E4104" s="1"/>
      <c r="F4104" s="1"/>
      <c r="G4104" s="1"/>
      <c r="H4104" s="1"/>
      <c r="I4104" s="1"/>
      <c r="J4104" s="1"/>
      <c r="K4104" s="89" t="s">
        <v>6297</v>
      </c>
      <c r="L4104" s="89" t="str">
        <f>B144</f>
        <v>C2</v>
      </c>
      <c r="M4104" s="89"/>
      <c r="N4104" s="89" t="s">
        <v>6298</v>
      </c>
      <c r="O4104" s="92">
        <v>1.7984143E7</v>
      </c>
      <c r="P4104" s="92">
        <v>1.5872263E7</v>
      </c>
      <c r="Q4104" s="89" t="s">
        <v>838</v>
      </c>
      <c r="AF4104" s="1"/>
      <c r="AG4104" s="1"/>
    </row>
    <row r="4105" ht="15.75" customHeight="1">
      <c r="A4105" s="1"/>
      <c r="B4105" s="1"/>
      <c r="C4105" s="1"/>
      <c r="D4105" s="1"/>
      <c r="E4105" s="1"/>
      <c r="F4105" s="1"/>
      <c r="G4105" s="1"/>
      <c r="H4105" s="1"/>
      <c r="I4105" s="1"/>
      <c r="J4105" s="1"/>
      <c r="K4105" s="89" t="s">
        <v>6299</v>
      </c>
      <c r="L4105" s="89" t="str">
        <f>B144</f>
        <v>C2</v>
      </c>
      <c r="M4105" s="89" t="s">
        <v>6300</v>
      </c>
      <c r="N4105" s="89" t="s">
        <v>6301</v>
      </c>
      <c r="O4105" s="92">
        <v>1.8016828E7</v>
      </c>
      <c r="P4105" s="92">
        <v>1.5904948E7</v>
      </c>
      <c r="Q4105" s="89" t="s">
        <v>838</v>
      </c>
      <c r="AF4105" s="1"/>
      <c r="AG4105" s="1"/>
    </row>
    <row r="4106" ht="15.75" customHeight="1">
      <c r="A4106" s="1"/>
      <c r="B4106" s="1"/>
      <c r="C4106" s="1"/>
      <c r="D4106" s="1"/>
      <c r="E4106" s="1"/>
      <c r="F4106" s="1"/>
      <c r="G4106" s="1"/>
      <c r="H4106" s="1"/>
      <c r="I4106" s="1"/>
      <c r="J4106" s="1"/>
      <c r="K4106" s="89" t="s">
        <v>6300</v>
      </c>
      <c r="L4106" s="89" t="str">
        <f>B144</f>
        <v>C2</v>
      </c>
      <c r="M4106" s="89" t="s">
        <v>6299</v>
      </c>
      <c r="N4106" s="89" t="s">
        <v>6301</v>
      </c>
      <c r="O4106" s="92">
        <v>1.8016828E7</v>
      </c>
      <c r="P4106" s="92">
        <v>1.5904948E7</v>
      </c>
      <c r="Q4106" s="89" t="s">
        <v>838</v>
      </c>
      <c r="AF4106" s="1"/>
      <c r="AG4106" s="1"/>
    </row>
    <row r="4107" ht="15.75" customHeight="1">
      <c r="A4107" s="1"/>
      <c r="B4107" s="1"/>
      <c r="C4107" s="1"/>
      <c r="D4107" s="1"/>
      <c r="E4107" s="1"/>
      <c r="F4107" s="1"/>
      <c r="G4107" s="1"/>
      <c r="H4107" s="1"/>
      <c r="I4107" s="1"/>
      <c r="J4107" s="1"/>
      <c r="K4107" s="89" t="s">
        <v>6302</v>
      </c>
      <c r="L4107" s="89" t="str">
        <f>B144</f>
        <v>C2</v>
      </c>
      <c r="M4107" s="89"/>
      <c r="N4107" s="89" t="s">
        <v>6303</v>
      </c>
      <c r="O4107" s="92">
        <v>1.8023284E7</v>
      </c>
      <c r="P4107" s="92">
        <v>1.5911404E7</v>
      </c>
      <c r="Q4107" s="89" t="s">
        <v>912</v>
      </c>
      <c r="AF4107" s="1"/>
      <c r="AG4107" s="1"/>
    </row>
    <row r="4108" ht="15.75" customHeight="1">
      <c r="A4108" s="1"/>
      <c r="B4108" s="1"/>
      <c r="C4108" s="1"/>
      <c r="D4108" s="1"/>
      <c r="E4108" s="1"/>
      <c r="F4108" s="1"/>
      <c r="G4108" s="1"/>
      <c r="H4108" s="1"/>
      <c r="I4108" s="1"/>
      <c r="J4108" s="1"/>
      <c r="K4108" s="89" t="s">
        <v>6304</v>
      </c>
      <c r="L4108" s="89" t="str">
        <f>B144</f>
        <v>C2</v>
      </c>
      <c r="M4108" s="89"/>
      <c r="N4108" s="89" t="s">
        <v>6305</v>
      </c>
      <c r="O4108" s="92">
        <v>1.8066327E7</v>
      </c>
      <c r="P4108" s="92">
        <v>1.5954447E7</v>
      </c>
      <c r="Q4108" s="89" t="s">
        <v>886</v>
      </c>
      <c r="AF4108" s="1"/>
      <c r="AG4108" s="1"/>
    </row>
    <row r="4109" ht="15.75" customHeight="1">
      <c r="A4109" s="1"/>
      <c r="B4109" s="1"/>
      <c r="C4109" s="1"/>
      <c r="D4109" s="1"/>
      <c r="E4109" s="1"/>
      <c r="F4109" s="1"/>
      <c r="G4109" s="1"/>
      <c r="H4109" s="1"/>
      <c r="I4109" s="1"/>
      <c r="J4109" s="1"/>
      <c r="K4109" s="89" t="s">
        <v>6306</v>
      </c>
      <c r="L4109" s="89" t="str">
        <f>B144</f>
        <v>C2</v>
      </c>
      <c r="M4109" s="89"/>
      <c r="N4109" s="89" t="s">
        <v>6307</v>
      </c>
      <c r="O4109" s="92">
        <v>1.8117165E7</v>
      </c>
      <c r="P4109" s="92">
        <v>1.6005285E7</v>
      </c>
      <c r="Q4109" s="89" t="s">
        <v>838</v>
      </c>
      <c r="AF4109" s="1"/>
      <c r="AG4109" s="1"/>
    </row>
    <row r="4110" ht="15.75" customHeight="1">
      <c r="A4110" s="1"/>
      <c r="B4110" s="1"/>
      <c r="C4110" s="1"/>
      <c r="D4110" s="1"/>
      <c r="E4110" s="1"/>
      <c r="F4110" s="1"/>
      <c r="G4110" s="1"/>
      <c r="H4110" s="1"/>
      <c r="I4110" s="1"/>
      <c r="J4110" s="1"/>
      <c r="K4110" s="89" t="s">
        <v>6308</v>
      </c>
      <c r="L4110" s="89" t="str">
        <f>B144</f>
        <v>C2</v>
      </c>
      <c r="M4110" s="89"/>
      <c r="N4110" s="89" t="s">
        <v>6309</v>
      </c>
      <c r="O4110" s="92">
        <v>1.8674851E7</v>
      </c>
      <c r="P4110" s="92">
        <v>1.6562971E7</v>
      </c>
      <c r="Q4110" s="89" t="s">
        <v>879</v>
      </c>
      <c r="AF4110" s="1"/>
      <c r="AG4110" s="1"/>
    </row>
    <row r="4111" ht="15.75" customHeight="1">
      <c r="A4111" s="1"/>
      <c r="B4111" s="1"/>
      <c r="C4111" s="1"/>
      <c r="D4111" s="1"/>
      <c r="E4111" s="1"/>
      <c r="F4111" s="1"/>
      <c r="G4111" s="1"/>
      <c r="H4111" s="1"/>
      <c r="I4111" s="1"/>
      <c r="J4111" s="1"/>
      <c r="K4111" s="89" t="s">
        <v>6310</v>
      </c>
      <c r="L4111" s="89" t="str">
        <f>B144</f>
        <v>C2</v>
      </c>
      <c r="M4111" s="89"/>
      <c r="N4111" s="89" t="s">
        <v>6311</v>
      </c>
      <c r="O4111" s="92">
        <v>1.9148465E7</v>
      </c>
      <c r="P4111" s="92">
        <v>1.7036585E7</v>
      </c>
      <c r="Q4111" s="89" t="s">
        <v>838</v>
      </c>
      <c r="AF4111" s="1"/>
      <c r="AG4111" s="1"/>
    </row>
    <row r="4112" ht="15.75" customHeight="1">
      <c r="A4112" s="1"/>
      <c r="B4112" s="1"/>
      <c r="C4112" s="1"/>
      <c r="D4112" s="1"/>
      <c r="E4112" s="1"/>
      <c r="F4112" s="1"/>
      <c r="G4112" s="1"/>
      <c r="H4112" s="1"/>
      <c r="I4112" s="1"/>
      <c r="J4112" s="1"/>
      <c r="K4112" s="89" t="s">
        <v>6312</v>
      </c>
      <c r="L4112" s="89" t="str">
        <f>B144</f>
        <v>C2</v>
      </c>
      <c r="M4112" s="89"/>
      <c r="N4112" s="89" t="s">
        <v>6313</v>
      </c>
      <c r="O4112" s="92">
        <v>1.9236136E7</v>
      </c>
      <c r="P4112" s="92">
        <v>1.7124256E7</v>
      </c>
      <c r="Q4112" s="89" t="s">
        <v>810</v>
      </c>
      <c r="AF4112" s="1"/>
      <c r="AG4112" s="1"/>
    </row>
    <row r="4113" ht="15.75" customHeight="1">
      <c r="A4113" s="1"/>
      <c r="B4113" s="1"/>
      <c r="C4113" s="1"/>
      <c r="D4113" s="1"/>
      <c r="E4113" s="1"/>
      <c r="F4113" s="1"/>
      <c r="G4113" s="1"/>
      <c r="H4113" s="1"/>
      <c r="I4113" s="1"/>
      <c r="J4113" s="1"/>
      <c r="K4113" s="89" t="s">
        <v>6314</v>
      </c>
      <c r="L4113" s="89" t="str">
        <f>B144</f>
        <v>C2</v>
      </c>
      <c r="M4113" s="89"/>
      <c r="N4113" s="89" t="s">
        <v>6315</v>
      </c>
      <c r="O4113" s="92">
        <v>1.9490437E7</v>
      </c>
      <c r="P4113" s="92">
        <v>1.7378557E7</v>
      </c>
      <c r="Q4113" s="89" t="s">
        <v>822</v>
      </c>
      <c r="AF4113" s="1"/>
      <c r="AG4113" s="1"/>
    </row>
    <row r="4114" ht="15.75" customHeight="1">
      <c r="A4114" s="1"/>
      <c r="B4114" s="1"/>
      <c r="C4114" s="1"/>
      <c r="D4114" s="1"/>
      <c r="E4114" s="1"/>
      <c r="F4114" s="1"/>
      <c r="G4114" s="1"/>
      <c r="H4114" s="1"/>
      <c r="I4114" s="1"/>
      <c r="J4114" s="1"/>
      <c r="K4114" s="89" t="s">
        <v>6316</v>
      </c>
      <c r="L4114" s="89" t="str">
        <f>B144</f>
        <v>C2</v>
      </c>
      <c r="M4114" s="89"/>
      <c r="N4114" s="89" t="s">
        <v>6317</v>
      </c>
      <c r="O4114" s="92">
        <v>2.1114597E7</v>
      </c>
      <c r="P4114" s="92">
        <v>1.8952711E7</v>
      </c>
      <c r="Q4114" s="89" t="s">
        <v>813</v>
      </c>
      <c r="AF4114" s="1"/>
      <c r="AG4114" s="1"/>
    </row>
    <row r="4115" ht="15.75" customHeight="1">
      <c r="A4115" s="1"/>
      <c r="B4115" s="1"/>
      <c r="C4115" s="1"/>
      <c r="D4115" s="1"/>
      <c r="E4115" s="1"/>
      <c r="F4115" s="1"/>
      <c r="G4115" s="1"/>
      <c r="H4115" s="1"/>
      <c r="I4115" s="1"/>
      <c r="J4115" s="1"/>
      <c r="K4115" s="89" t="s">
        <v>6318</v>
      </c>
      <c r="L4115" s="89" t="str">
        <f>B144</f>
        <v>C2</v>
      </c>
      <c r="M4115" s="89"/>
      <c r="N4115" s="89" t="s">
        <v>6319</v>
      </c>
      <c r="O4115" s="92">
        <v>2.1326878E7</v>
      </c>
      <c r="P4115" s="92">
        <v>1.9164992E7</v>
      </c>
      <c r="Q4115" s="89" t="s">
        <v>810</v>
      </c>
      <c r="AF4115" s="1"/>
      <c r="AG4115" s="1"/>
    </row>
    <row r="4116" ht="15.75" customHeight="1">
      <c r="A4116" s="1"/>
      <c r="B4116" s="1"/>
      <c r="C4116" s="1"/>
      <c r="D4116" s="1"/>
      <c r="E4116" s="1"/>
      <c r="F4116" s="1"/>
      <c r="G4116" s="1"/>
      <c r="H4116" s="1"/>
      <c r="I4116" s="1"/>
      <c r="J4116" s="1"/>
      <c r="K4116" s="89" t="s">
        <v>6320</v>
      </c>
      <c r="L4116" s="89" t="str">
        <f>B144</f>
        <v>C2</v>
      </c>
      <c r="M4116" s="89"/>
      <c r="N4116" s="89" t="s">
        <v>6321</v>
      </c>
      <c r="O4116" s="89">
        <v>2.2607404E7</v>
      </c>
      <c r="P4116" s="89">
        <v>2.0445518E7</v>
      </c>
      <c r="Q4116" s="89" t="s">
        <v>810</v>
      </c>
      <c r="AF4116" s="1"/>
      <c r="AG4116" s="1"/>
    </row>
    <row r="4117" ht="15.75" customHeight="1">
      <c r="A4117" s="1"/>
      <c r="B4117" s="1"/>
      <c r="C4117" s="1"/>
      <c r="D4117" s="1"/>
      <c r="E4117" s="1"/>
      <c r="F4117" s="1"/>
      <c r="G4117" s="1"/>
      <c r="H4117" s="1"/>
      <c r="I4117" s="1"/>
      <c r="J4117" s="1"/>
      <c r="K4117" s="89" t="s">
        <v>6322</v>
      </c>
      <c r="L4117" s="89" t="str">
        <f>B144</f>
        <v>C2</v>
      </c>
      <c r="M4117" s="89"/>
      <c r="N4117" s="89" t="s">
        <v>6323</v>
      </c>
      <c r="O4117" s="92">
        <v>2.2669502E7</v>
      </c>
      <c r="P4117" s="92">
        <v>2.0507616E7</v>
      </c>
      <c r="Q4117" s="89" t="s">
        <v>838</v>
      </c>
      <c r="AF4117" s="1"/>
      <c r="AG4117" s="1"/>
    </row>
    <row r="4118" ht="15.75" customHeight="1">
      <c r="A4118" s="1"/>
      <c r="B4118" s="1"/>
      <c r="C4118" s="1"/>
      <c r="D4118" s="1"/>
      <c r="E4118" s="1"/>
      <c r="F4118" s="1"/>
      <c r="G4118" s="1"/>
      <c r="H4118" s="1"/>
      <c r="I4118" s="1"/>
      <c r="J4118" s="1"/>
      <c r="K4118" s="89" t="s">
        <v>6324</v>
      </c>
      <c r="L4118" s="89" t="str">
        <f>B144</f>
        <v>C2</v>
      </c>
      <c r="M4118" s="89"/>
      <c r="N4118" s="89" t="s">
        <v>6325</v>
      </c>
      <c r="O4118" s="92">
        <v>2.3033704E7</v>
      </c>
      <c r="P4118" s="92">
        <v>2.0871818E7</v>
      </c>
      <c r="Q4118" s="89" t="s">
        <v>802</v>
      </c>
      <c r="AF4118" s="1"/>
      <c r="AG4118" s="1"/>
    </row>
    <row r="4119" ht="15.75" customHeight="1">
      <c r="A4119" s="1"/>
      <c r="B4119" s="1"/>
      <c r="C4119" s="1"/>
      <c r="D4119" s="1"/>
      <c r="E4119" s="1"/>
      <c r="F4119" s="1"/>
      <c r="G4119" s="1"/>
      <c r="H4119" s="1"/>
      <c r="I4119" s="1"/>
      <c r="J4119" s="1"/>
      <c r="K4119" s="89" t="s">
        <v>6326</v>
      </c>
      <c r="L4119" s="89" t="str">
        <f>B144</f>
        <v>C2</v>
      </c>
      <c r="M4119" s="89"/>
      <c r="N4119" s="89" t="s">
        <v>6327</v>
      </c>
      <c r="O4119" s="92">
        <v>2.3124396E7</v>
      </c>
      <c r="P4119" s="92">
        <v>2.096251E7</v>
      </c>
      <c r="Q4119" s="89" t="s">
        <v>822</v>
      </c>
      <c r="AF4119" s="1"/>
      <c r="AG4119" s="1"/>
    </row>
    <row r="4120" ht="15.75" customHeight="1">
      <c r="A4120" s="1"/>
      <c r="B4120" s="1"/>
      <c r="C4120" s="1"/>
      <c r="D4120" s="1"/>
      <c r="E4120" s="1"/>
      <c r="F4120" s="1"/>
      <c r="G4120" s="1"/>
      <c r="H4120" s="1"/>
      <c r="I4120" s="1"/>
      <c r="J4120" s="1"/>
      <c r="K4120" s="89" t="s">
        <v>6328</v>
      </c>
      <c r="L4120" s="89" t="str">
        <f>B144</f>
        <v>C2</v>
      </c>
      <c r="M4120" s="89" t="s">
        <v>6329</v>
      </c>
      <c r="N4120" s="89" t="s">
        <v>6330</v>
      </c>
      <c r="O4120" s="92">
        <v>2.3150167E7</v>
      </c>
      <c r="P4120" s="92">
        <v>2.0988281E7</v>
      </c>
      <c r="Q4120" s="89" t="s">
        <v>822</v>
      </c>
      <c r="AF4120" s="1"/>
      <c r="AG4120" s="1"/>
    </row>
    <row r="4121" ht="15.75" customHeight="1">
      <c r="A4121" s="1"/>
      <c r="B4121" s="1"/>
      <c r="C4121" s="1"/>
      <c r="D4121" s="1"/>
      <c r="E4121" s="1"/>
      <c r="F4121" s="1"/>
      <c r="G4121" s="1"/>
      <c r="H4121" s="1"/>
      <c r="I4121" s="1"/>
      <c r="J4121" s="1"/>
      <c r="K4121" s="89" t="s">
        <v>6329</v>
      </c>
      <c r="L4121" s="89" t="str">
        <f>B144</f>
        <v>C2</v>
      </c>
      <c r="M4121" s="89" t="s">
        <v>6328</v>
      </c>
      <c r="N4121" s="89" t="s">
        <v>6330</v>
      </c>
      <c r="O4121" s="92">
        <v>2.3150167E7</v>
      </c>
      <c r="P4121" s="92">
        <v>2.0988281E7</v>
      </c>
      <c r="Q4121" s="89" t="s">
        <v>822</v>
      </c>
      <c r="AF4121" s="1"/>
      <c r="AG4121" s="1"/>
    </row>
    <row r="4122" ht="15.75" customHeight="1">
      <c r="A4122" s="1"/>
      <c r="B4122" s="1"/>
      <c r="C4122" s="1"/>
      <c r="D4122" s="1"/>
      <c r="E4122" s="1"/>
      <c r="F4122" s="1"/>
      <c r="G4122" s="1"/>
      <c r="H4122" s="1"/>
      <c r="I4122" s="1"/>
      <c r="J4122" s="1"/>
      <c r="K4122" s="89" t="s">
        <v>6331</v>
      </c>
      <c r="L4122" s="89" t="str">
        <f>B144</f>
        <v>C2</v>
      </c>
      <c r="M4122" s="89" t="s">
        <v>6332</v>
      </c>
      <c r="N4122" s="89" t="s">
        <v>6333</v>
      </c>
      <c r="O4122" s="92">
        <v>2.3800808E7</v>
      </c>
      <c r="P4122" s="92">
        <v>2.1638922E7</v>
      </c>
      <c r="Q4122" s="89" t="s">
        <v>822</v>
      </c>
      <c r="AF4122" s="1"/>
      <c r="AG4122" s="1"/>
    </row>
    <row r="4123" ht="15.75" customHeight="1">
      <c r="A4123" s="1"/>
      <c r="B4123" s="1"/>
      <c r="C4123" s="1"/>
      <c r="D4123" s="1"/>
      <c r="E4123" s="1"/>
      <c r="F4123" s="1"/>
      <c r="G4123" s="1"/>
      <c r="H4123" s="1"/>
      <c r="I4123" s="1"/>
      <c r="J4123" s="1"/>
      <c r="K4123" s="89" t="s">
        <v>6332</v>
      </c>
      <c r="L4123" s="89" t="str">
        <f>B144</f>
        <v>C2</v>
      </c>
      <c r="M4123" s="89" t="s">
        <v>6331</v>
      </c>
      <c r="N4123" s="89" t="s">
        <v>6333</v>
      </c>
      <c r="O4123" s="92">
        <v>2.3800808E7</v>
      </c>
      <c r="P4123" s="92">
        <v>2.1638922E7</v>
      </c>
      <c r="Q4123" s="89" t="s">
        <v>822</v>
      </c>
      <c r="AF4123" s="1"/>
      <c r="AG4123" s="1"/>
    </row>
    <row r="4124" ht="15.75" customHeight="1">
      <c r="A4124" s="1"/>
      <c r="B4124" s="1"/>
      <c r="C4124" s="1"/>
      <c r="D4124" s="1"/>
      <c r="E4124" s="1"/>
      <c r="F4124" s="1"/>
      <c r="G4124" s="1"/>
      <c r="H4124" s="1"/>
      <c r="I4124" s="1"/>
      <c r="J4124" s="1"/>
      <c r="K4124" s="89" t="s">
        <v>6334</v>
      </c>
      <c r="L4124" s="89" t="str">
        <f>B144</f>
        <v>C2</v>
      </c>
      <c r="M4124" s="89"/>
      <c r="N4124" s="89" t="s">
        <v>6335</v>
      </c>
      <c r="O4124" s="92">
        <v>2.3971687E7</v>
      </c>
      <c r="P4124" s="92">
        <v>2.182554E7</v>
      </c>
      <c r="Q4124" s="89" t="s">
        <v>845</v>
      </c>
      <c r="AF4124" s="1"/>
      <c r="AG4124" s="1"/>
    </row>
    <row r="4125" ht="15.75" customHeight="1">
      <c r="A4125" s="1"/>
      <c r="B4125" s="1"/>
      <c r="C4125" s="1"/>
      <c r="D4125" s="1"/>
      <c r="E4125" s="1"/>
      <c r="F4125" s="1"/>
      <c r="G4125" s="1"/>
      <c r="H4125" s="1"/>
      <c r="I4125" s="1"/>
      <c r="J4125" s="1"/>
      <c r="K4125" s="89" t="s">
        <v>6336</v>
      </c>
      <c r="L4125" s="89" t="str">
        <f>B144</f>
        <v>C2</v>
      </c>
      <c r="M4125" s="89"/>
      <c r="N4125" s="89" t="s">
        <v>6337</v>
      </c>
      <c r="O4125" s="92">
        <v>2.4453507E7</v>
      </c>
      <c r="P4125" s="92">
        <v>2.230736E7</v>
      </c>
      <c r="Q4125" s="89" t="s">
        <v>802</v>
      </c>
      <c r="AF4125" s="1"/>
      <c r="AG4125" s="1"/>
    </row>
    <row r="4126" ht="15.75" customHeight="1">
      <c r="A4126" s="1"/>
      <c r="B4126" s="1"/>
      <c r="C4126" s="1"/>
      <c r="D4126" s="1"/>
      <c r="E4126" s="1"/>
      <c r="F4126" s="1"/>
      <c r="G4126" s="1"/>
      <c r="H4126" s="1"/>
      <c r="I4126" s="1"/>
      <c r="J4126" s="1"/>
      <c r="K4126" s="89" t="s">
        <v>6338</v>
      </c>
      <c r="L4126" s="89" t="str">
        <f>B144</f>
        <v>C2</v>
      </c>
      <c r="M4126" s="89"/>
      <c r="N4126" s="89" t="s">
        <v>6339</v>
      </c>
      <c r="O4126" s="92">
        <v>1.6302927E7</v>
      </c>
      <c r="P4126" s="92">
        <v>1.4191047E7</v>
      </c>
      <c r="Q4126" s="89" t="s">
        <v>886</v>
      </c>
      <c r="AF4126" s="1"/>
      <c r="AG4126" s="1"/>
    </row>
    <row r="4127" ht="15.75" customHeight="1">
      <c r="A4127" s="1"/>
      <c r="B4127" s="1"/>
      <c r="C4127" s="1"/>
      <c r="D4127" s="1"/>
      <c r="E4127" s="1"/>
      <c r="F4127" s="1"/>
      <c r="G4127" s="1"/>
      <c r="H4127" s="1"/>
      <c r="I4127" s="1"/>
      <c r="J4127" s="1"/>
      <c r="K4127" s="89" t="s">
        <v>6340</v>
      </c>
      <c r="L4127" s="89" t="str">
        <f>B144</f>
        <v>C2</v>
      </c>
      <c r="M4127" s="89" t="s">
        <v>6341</v>
      </c>
      <c r="N4127" s="89" t="s">
        <v>6342</v>
      </c>
      <c r="O4127" s="92">
        <v>2.2923622E7</v>
      </c>
      <c r="P4127" s="92">
        <v>2.0761736E7</v>
      </c>
      <c r="Q4127" s="89" t="s">
        <v>810</v>
      </c>
      <c r="AF4127" s="1"/>
      <c r="AG4127" s="1"/>
    </row>
    <row r="4128" ht="15.75" customHeight="1">
      <c r="A4128" s="1"/>
      <c r="B4128" s="1"/>
      <c r="C4128" s="1"/>
      <c r="D4128" s="1"/>
      <c r="E4128" s="1"/>
      <c r="F4128" s="1"/>
      <c r="G4128" s="1"/>
      <c r="H4128" s="1"/>
      <c r="I4128" s="1"/>
      <c r="J4128" s="1"/>
      <c r="K4128" s="89" t="s">
        <v>6341</v>
      </c>
      <c r="L4128" s="89" t="str">
        <f>B144</f>
        <v>C2</v>
      </c>
      <c r="M4128" s="89" t="s">
        <v>6340</v>
      </c>
      <c r="N4128" s="89" t="s">
        <v>6342</v>
      </c>
      <c r="O4128" s="92">
        <v>2.2923622E7</v>
      </c>
      <c r="P4128" s="92">
        <v>2.0761736E7</v>
      </c>
      <c r="Q4128" s="89" t="s">
        <v>810</v>
      </c>
      <c r="AF4128" s="1"/>
      <c r="AG4128" s="1"/>
    </row>
    <row r="4129" ht="15.75" customHeight="1">
      <c r="A4129" s="1"/>
      <c r="B4129" s="1"/>
      <c r="C4129" s="1"/>
      <c r="D4129" s="1"/>
      <c r="E4129" s="1"/>
      <c r="F4129" s="1"/>
      <c r="G4129" s="1"/>
      <c r="H4129" s="1"/>
      <c r="I4129" s="1"/>
      <c r="J4129" s="1"/>
      <c r="K4129" s="89" t="s">
        <v>6343</v>
      </c>
      <c r="L4129" s="89" t="str">
        <f>B144</f>
        <v>C2</v>
      </c>
      <c r="M4129" s="89" t="s">
        <v>6344</v>
      </c>
      <c r="N4129" s="89" t="s">
        <v>6345</v>
      </c>
      <c r="O4129" s="92">
        <v>8280242.0</v>
      </c>
      <c r="P4129" s="92">
        <v>8412201.0</v>
      </c>
      <c r="Q4129" s="89" t="s">
        <v>810</v>
      </c>
      <c r="AF4129" s="1"/>
      <c r="AG4129" s="1"/>
    </row>
    <row r="4130" ht="15.75" customHeight="1">
      <c r="A4130" s="1"/>
      <c r="B4130" s="1"/>
      <c r="C4130" s="1"/>
      <c r="D4130" s="1"/>
      <c r="E4130" s="1"/>
      <c r="F4130" s="1"/>
      <c r="G4130" s="1"/>
      <c r="H4130" s="1"/>
      <c r="I4130" s="1"/>
      <c r="J4130" s="1"/>
      <c r="K4130" s="89" t="s">
        <v>6344</v>
      </c>
      <c r="L4130" s="89" t="str">
        <f>B144</f>
        <v>C2</v>
      </c>
      <c r="M4130" s="89" t="s">
        <v>6343</v>
      </c>
      <c r="N4130" s="89" t="s">
        <v>6345</v>
      </c>
      <c r="O4130" s="92">
        <v>8280242.0</v>
      </c>
      <c r="P4130" s="92">
        <v>8412201.0</v>
      </c>
      <c r="Q4130" s="89" t="s">
        <v>810</v>
      </c>
      <c r="AF4130" s="1"/>
      <c r="AG4130" s="1"/>
    </row>
    <row r="4131" ht="15.75" customHeight="1">
      <c r="A4131" s="1"/>
      <c r="B4131" s="1"/>
      <c r="C4131" s="1"/>
      <c r="D4131" s="1"/>
      <c r="E4131" s="1"/>
      <c r="F4131" s="1"/>
      <c r="G4131" s="1"/>
      <c r="H4131" s="1"/>
      <c r="I4131" s="1"/>
      <c r="J4131" s="1"/>
      <c r="K4131" s="89" t="s">
        <v>6346</v>
      </c>
      <c r="L4131" s="89" t="str">
        <f>B144</f>
        <v>C2</v>
      </c>
      <c r="M4131" s="89" t="s">
        <v>6347</v>
      </c>
      <c r="N4131" s="89" t="s">
        <v>6348</v>
      </c>
      <c r="O4131" s="92">
        <v>1.3673679E7</v>
      </c>
      <c r="P4131" s="92">
        <v>1.1518003E7</v>
      </c>
      <c r="Q4131" s="89" t="s">
        <v>813</v>
      </c>
      <c r="AF4131" s="1"/>
      <c r="AG4131" s="1"/>
    </row>
    <row r="4132" ht="15.75" customHeight="1">
      <c r="A4132" s="1"/>
      <c r="B4132" s="1"/>
      <c r="C4132" s="1"/>
      <c r="D4132" s="1"/>
      <c r="E4132" s="1"/>
      <c r="F4132" s="1"/>
      <c r="G4132" s="1"/>
      <c r="H4132" s="1"/>
      <c r="I4132" s="1"/>
      <c r="J4132" s="1"/>
      <c r="K4132" s="89" t="s">
        <v>6347</v>
      </c>
      <c r="L4132" s="89" t="str">
        <f>B144</f>
        <v>C2</v>
      </c>
      <c r="M4132" s="89" t="s">
        <v>6346</v>
      </c>
      <c r="N4132" s="89" t="s">
        <v>6348</v>
      </c>
      <c r="O4132" s="92">
        <v>1.3673679E7</v>
      </c>
      <c r="P4132" s="92">
        <v>1.1518003E7</v>
      </c>
      <c r="Q4132" s="89" t="s">
        <v>813</v>
      </c>
      <c r="AF4132" s="1"/>
      <c r="AG4132" s="1"/>
    </row>
    <row r="4133" ht="15.75" customHeight="1">
      <c r="A4133" s="1"/>
      <c r="B4133" s="1"/>
      <c r="C4133" s="1"/>
      <c r="D4133" s="1"/>
      <c r="E4133" s="1"/>
      <c r="F4133" s="1"/>
      <c r="G4133" s="1"/>
      <c r="H4133" s="1"/>
      <c r="I4133" s="1"/>
      <c r="J4133" s="1"/>
      <c r="K4133" s="89" t="s">
        <v>6349</v>
      </c>
      <c r="L4133" s="89" t="str">
        <f>B144</f>
        <v>C2</v>
      </c>
      <c r="M4133" s="89" t="s">
        <v>6350</v>
      </c>
      <c r="N4133" s="89" t="s">
        <v>6351</v>
      </c>
      <c r="O4133" s="92">
        <v>7962668.0</v>
      </c>
      <c r="P4133" s="92">
        <v>8094627.0</v>
      </c>
      <c r="Q4133" s="89" t="s">
        <v>879</v>
      </c>
      <c r="AF4133" s="1"/>
      <c r="AG4133" s="1"/>
    </row>
    <row r="4134" ht="15.75" customHeight="1">
      <c r="A4134" s="1"/>
      <c r="B4134" s="1"/>
      <c r="C4134" s="1"/>
      <c r="D4134" s="1"/>
      <c r="E4134" s="1"/>
      <c r="F4134" s="1"/>
      <c r="G4134" s="1"/>
      <c r="H4134" s="1"/>
      <c r="I4134" s="1"/>
      <c r="J4134" s="1"/>
      <c r="K4134" s="89" t="s">
        <v>6350</v>
      </c>
      <c r="L4134" s="89" t="str">
        <f>B144</f>
        <v>C2</v>
      </c>
      <c r="M4134" s="89" t="s">
        <v>6349</v>
      </c>
      <c r="N4134" s="89" t="s">
        <v>6351</v>
      </c>
      <c r="O4134" s="92">
        <v>7962668.0</v>
      </c>
      <c r="P4134" s="92">
        <v>8094627.0</v>
      </c>
      <c r="Q4134" s="89" t="s">
        <v>879</v>
      </c>
      <c r="AF4134" s="1"/>
      <c r="AG4134" s="1"/>
    </row>
    <row r="4135" ht="15.75" customHeight="1">
      <c r="A4135" s="1"/>
      <c r="B4135" s="1"/>
      <c r="C4135" s="1"/>
      <c r="D4135" s="1"/>
      <c r="E4135" s="1"/>
      <c r="F4135" s="1"/>
      <c r="G4135" s="1"/>
      <c r="H4135" s="1"/>
      <c r="I4135" s="1"/>
      <c r="J4135" s="1"/>
      <c r="K4135" s="89" t="s">
        <v>6352</v>
      </c>
      <c r="L4135" s="89" t="str">
        <f>B144</f>
        <v>C2</v>
      </c>
      <c r="M4135" s="89"/>
      <c r="N4135" s="89" t="s">
        <v>6353</v>
      </c>
      <c r="O4135" s="92">
        <v>7758127.0</v>
      </c>
      <c r="P4135" s="92">
        <v>7890086.0</v>
      </c>
      <c r="Q4135" s="89" t="s">
        <v>802</v>
      </c>
      <c r="AF4135" s="1"/>
      <c r="AG4135" s="1"/>
    </row>
    <row r="4136" ht="15.75" customHeight="1">
      <c r="A4136" s="1"/>
      <c r="B4136" s="1"/>
      <c r="C4136" s="1"/>
      <c r="D4136" s="1"/>
      <c r="E4136" s="1"/>
      <c r="F4136" s="1"/>
      <c r="G4136" s="1"/>
      <c r="H4136" s="1"/>
      <c r="I4136" s="1"/>
      <c r="J4136" s="1"/>
      <c r="K4136" s="89" t="s">
        <v>6354</v>
      </c>
      <c r="L4136" s="89" t="str">
        <f>B144</f>
        <v>C2</v>
      </c>
      <c r="M4136" s="89" t="s">
        <v>6355</v>
      </c>
      <c r="N4136" s="89" t="s">
        <v>6356</v>
      </c>
      <c r="O4136" s="92">
        <v>8173271.0</v>
      </c>
      <c r="P4136" s="92">
        <v>8305230.0</v>
      </c>
      <c r="Q4136" s="89" t="s">
        <v>838</v>
      </c>
      <c r="AF4136" s="1"/>
      <c r="AG4136" s="1"/>
    </row>
    <row r="4137" ht="15.75" customHeight="1">
      <c r="A4137" s="1"/>
      <c r="B4137" s="1"/>
      <c r="C4137" s="1"/>
      <c r="D4137" s="1"/>
      <c r="E4137" s="1"/>
      <c r="F4137" s="1"/>
      <c r="G4137" s="1"/>
      <c r="H4137" s="1"/>
      <c r="I4137" s="1"/>
      <c r="J4137" s="1"/>
      <c r="K4137" s="89" t="s">
        <v>6357</v>
      </c>
      <c r="L4137" s="89" t="str">
        <f>B144</f>
        <v>C2</v>
      </c>
      <c r="M4137" s="89" t="s">
        <v>6358</v>
      </c>
      <c r="N4137" s="89" t="s">
        <v>6356</v>
      </c>
      <c r="O4137" s="92">
        <v>8173271.0</v>
      </c>
      <c r="P4137" s="92">
        <v>8305230.0</v>
      </c>
      <c r="Q4137" s="89" t="s">
        <v>838</v>
      </c>
      <c r="AF4137" s="1"/>
      <c r="AG4137" s="1"/>
    </row>
    <row r="4138" ht="15.75" customHeight="1">
      <c r="A4138" s="1"/>
      <c r="B4138" s="1"/>
      <c r="C4138" s="1"/>
      <c r="D4138" s="1"/>
      <c r="E4138" s="1"/>
      <c r="F4138" s="1"/>
      <c r="G4138" s="1"/>
      <c r="H4138" s="1"/>
      <c r="I4138" s="1"/>
      <c r="J4138" s="1"/>
      <c r="K4138" s="89" t="s">
        <v>6359</v>
      </c>
      <c r="L4138" s="89" t="str">
        <f>B144</f>
        <v>C2</v>
      </c>
      <c r="M4138" s="89" t="s">
        <v>6360</v>
      </c>
      <c r="N4138" s="89" t="s">
        <v>6356</v>
      </c>
      <c r="O4138" s="92">
        <v>8173271.0</v>
      </c>
      <c r="P4138" s="92">
        <v>8305230.0</v>
      </c>
      <c r="Q4138" s="89" t="s">
        <v>838</v>
      </c>
      <c r="AF4138" s="1"/>
      <c r="AG4138" s="1"/>
    </row>
    <row r="4139" ht="15.75" customHeight="1">
      <c r="A4139" s="1"/>
      <c r="B4139" s="1"/>
      <c r="C4139" s="1"/>
      <c r="D4139" s="1"/>
      <c r="E4139" s="1"/>
      <c r="F4139" s="1"/>
      <c r="G4139" s="1"/>
      <c r="H4139" s="1"/>
      <c r="I4139" s="1"/>
      <c r="J4139" s="1"/>
      <c r="K4139" s="89" t="s">
        <v>6361</v>
      </c>
      <c r="L4139" s="89" t="str">
        <f>B144</f>
        <v>C2</v>
      </c>
      <c r="M4139" s="89"/>
      <c r="N4139" s="89" t="s">
        <v>6362</v>
      </c>
      <c r="O4139" s="92">
        <v>1.4495251E7</v>
      </c>
      <c r="P4139" s="92">
        <v>1.2383448E7</v>
      </c>
      <c r="Q4139" s="89" t="s">
        <v>810</v>
      </c>
      <c r="AF4139" s="1"/>
      <c r="AG4139" s="1"/>
    </row>
    <row r="4140" ht="15.75" customHeight="1">
      <c r="A4140" s="1"/>
      <c r="B4140" s="1"/>
      <c r="C4140" s="1"/>
      <c r="D4140" s="1"/>
      <c r="E4140" s="1"/>
      <c r="F4140" s="1"/>
      <c r="G4140" s="1"/>
      <c r="H4140" s="1"/>
      <c r="I4140" s="1"/>
      <c r="J4140" s="1"/>
      <c r="K4140" s="89" t="s">
        <v>6363</v>
      </c>
      <c r="L4140" s="89" t="str">
        <f>B144</f>
        <v>C2</v>
      </c>
      <c r="M4140" s="89"/>
      <c r="N4140" s="89" t="s">
        <v>6296</v>
      </c>
      <c r="O4140" s="92">
        <v>1.7947454E7</v>
      </c>
      <c r="P4140" s="92">
        <v>1.5835574E7</v>
      </c>
      <c r="Q4140" s="89" t="s">
        <v>886</v>
      </c>
      <c r="AF4140" s="1"/>
      <c r="AG4140" s="1"/>
    </row>
    <row r="4141" ht="15.75" customHeight="1">
      <c r="A4141" s="1"/>
      <c r="B4141" s="1"/>
      <c r="C4141" s="1"/>
      <c r="D4141" s="1"/>
      <c r="E4141" s="1"/>
      <c r="F4141" s="1"/>
      <c r="G4141" s="1"/>
      <c r="H4141" s="1"/>
      <c r="I4141" s="1"/>
      <c r="J4141" s="1"/>
      <c r="K4141" s="89" t="s">
        <v>6364</v>
      </c>
      <c r="L4141" s="89" t="str">
        <f>B144</f>
        <v>C2</v>
      </c>
      <c r="M4141" s="89" t="s">
        <v>6365</v>
      </c>
      <c r="N4141" s="89" t="s">
        <v>6366</v>
      </c>
      <c r="O4141" s="92">
        <v>7198973.0</v>
      </c>
      <c r="P4141" s="92">
        <v>7330932.0</v>
      </c>
      <c r="Q4141" s="89" t="s">
        <v>917</v>
      </c>
      <c r="AF4141" s="1"/>
      <c r="AG4141" s="1"/>
    </row>
    <row r="4142" ht="15.75" customHeight="1">
      <c r="A4142" s="1"/>
      <c r="B4142" s="1"/>
      <c r="C4142" s="1"/>
      <c r="D4142" s="1"/>
      <c r="E4142" s="1"/>
      <c r="F4142" s="1"/>
      <c r="G4142" s="1"/>
      <c r="H4142" s="1"/>
      <c r="I4142" s="1"/>
      <c r="J4142" s="1"/>
      <c r="K4142" s="89" t="s">
        <v>6365</v>
      </c>
      <c r="L4142" s="89" t="str">
        <f>B144</f>
        <v>C2</v>
      </c>
      <c r="M4142" s="89" t="s">
        <v>6364</v>
      </c>
      <c r="N4142" s="89" t="s">
        <v>6366</v>
      </c>
      <c r="O4142" s="92">
        <v>7198973.0</v>
      </c>
      <c r="P4142" s="92">
        <v>7330932.0</v>
      </c>
      <c r="Q4142" s="89" t="s">
        <v>917</v>
      </c>
      <c r="AF4142" s="1"/>
      <c r="AG4142" s="1"/>
    </row>
    <row r="4143" ht="15.75" customHeight="1">
      <c r="A4143" s="1"/>
      <c r="B4143" s="1"/>
      <c r="C4143" s="1"/>
      <c r="D4143" s="1"/>
      <c r="E4143" s="1"/>
      <c r="F4143" s="1"/>
      <c r="G4143" s="1"/>
      <c r="H4143" s="1"/>
      <c r="I4143" s="1"/>
      <c r="J4143" s="1"/>
      <c r="K4143" s="89" t="s">
        <v>6367</v>
      </c>
      <c r="L4143" s="89" t="str">
        <f>B144</f>
        <v>C2</v>
      </c>
      <c r="M4143" s="89" t="s">
        <v>6368</v>
      </c>
      <c r="N4143" s="89" t="s">
        <v>6369</v>
      </c>
      <c r="O4143" s="92">
        <v>7797386.0</v>
      </c>
      <c r="P4143" s="92">
        <v>7929345.0</v>
      </c>
      <c r="Q4143" s="89" t="s">
        <v>864</v>
      </c>
      <c r="AF4143" s="1"/>
      <c r="AG4143" s="1"/>
    </row>
    <row r="4144" ht="15.75" customHeight="1">
      <c r="A4144" s="1"/>
      <c r="B4144" s="1"/>
      <c r="C4144" s="1"/>
      <c r="D4144" s="1"/>
      <c r="E4144" s="1"/>
      <c r="F4144" s="1"/>
      <c r="G4144" s="1"/>
      <c r="H4144" s="1"/>
      <c r="I4144" s="1"/>
      <c r="J4144" s="1"/>
      <c r="K4144" s="89" t="s">
        <v>6368</v>
      </c>
      <c r="L4144" s="89" t="str">
        <f>B144</f>
        <v>C2</v>
      </c>
      <c r="M4144" s="89" t="s">
        <v>6367</v>
      </c>
      <c r="N4144" s="89" t="s">
        <v>6369</v>
      </c>
      <c r="O4144" s="92">
        <v>7797386.0</v>
      </c>
      <c r="P4144" s="92">
        <v>7929345.0</v>
      </c>
      <c r="Q4144" s="89" t="s">
        <v>864</v>
      </c>
      <c r="AF4144" s="1"/>
      <c r="AG4144" s="1"/>
    </row>
    <row r="4145" ht="15.75" customHeight="1">
      <c r="A4145" s="1"/>
      <c r="B4145" s="1"/>
      <c r="C4145" s="1"/>
      <c r="D4145" s="1"/>
      <c r="E4145" s="1"/>
      <c r="F4145" s="1"/>
      <c r="G4145" s="1"/>
      <c r="H4145" s="1"/>
      <c r="I4145" s="1"/>
      <c r="J4145" s="1"/>
      <c r="K4145" s="89" t="s">
        <v>6370</v>
      </c>
      <c r="L4145" s="89" t="str">
        <f>B144</f>
        <v>C2</v>
      </c>
      <c r="M4145" s="89" t="s">
        <v>6371</v>
      </c>
      <c r="N4145" s="89" t="s">
        <v>6372</v>
      </c>
      <c r="O4145" s="92">
        <v>8113354.0</v>
      </c>
      <c r="P4145" s="92">
        <v>8245313.0</v>
      </c>
      <c r="Q4145" s="89" t="s">
        <v>802</v>
      </c>
      <c r="AF4145" s="1"/>
      <c r="AG4145" s="1"/>
    </row>
    <row r="4146" ht="15.75" customHeight="1">
      <c r="A4146" s="1"/>
      <c r="B4146" s="1"/>
      <c r="C4146" s="1"/>
      <c r="D4146" s="1"/>
      <c r="E4146" s="1"/>
      <c r="F4146" s="1"/>
      <c r="G4146" s="1"/>
      <c r="H4146" s="1"/>
      <c r="I4146" s="1"/>
      <c r="J4146" s="1"/>
      <c r="K4146" s="89" t="s">
        <v>6371</v>
      </c>
      <c r="L4146" s="89" t="str">
        <f>B144</f>
        <v>C2</v>
      </c>
      <c r="M4146" s="89" t="s">
        <v>6370</v>
      </c>
      <c r="N4146" s="89" t="s">
        <v>6372</v>
      </c>
      <c r="O4146" s="92">
        <v>8113354.0</v>
      </c>
      <c r="P4146" s="92">
        <v>8245313.0</v>
      </c>
      <c r="Q4146" s="89" t="s">
        <v>802</v>
      </c>
      <c r="AF4146" s="1"/>
      <c r="AG4146" s="1"/>
    </row>
    <row r="4147" ht="15.75" customHeight="1">
      <c r="A4147" s="1"/>
      <c r="B4147" s="1"/>
      <c r="C4147" s="1"/>
      <c r="D4147" s="1"/>
      <c r="E4147" s="1"/>
      <c r="F4147" s="1"/>
      <c r="G4147" s="1"/>
      <c r="H4147" s="1"/>
      <c r="I4147" s="1"/>
      <c r="J4147" s="1"/>
      <c r="K4147" s="89" t="s">
        <v>6373</v>
      </c>
      <c r="L4147" s="89" t="str">
        <f>B144</f>
        <v>C2</v>
      </c>
      <c r="M4147" s="89" t="s">
        <v>6374</v>
      </c>
      <c r="N4147" s="89" t="s">
        <v>6375</v>
      </c>
      <c r="O4147" s="89">
        <v>8825233.0</v>
      </c>
      <c r="P4147" s="89">
        <v>8957192.0</v>
      </c>
      <c r="Q4147" s="89" t="s">
        <v>864</v>
      </c>
      <c r="AF4147" s="1"/>
      <c r="AG4147" s="1"/>
    </row>
    <row r="4148" ht="15.75" customHeight="1">
      <c r="A4148" s="1"/>
      <c r="B4148" s="1"/>
      <c r="C4148" s="1"/>
      <c r="D4148" s="1"/>
      <c r="E4148" s="1"/>
      <c r="F4148" s="1"/>
      <c r="G4148" s="1"/>
      <c r="H4148" s="1"/>
      <c r="I4148" s="1"/>
      <c r="J4148" s="1"/>
      <c r="K4148" s="89" t="s">
        <v>6374</v>
      </c>
      <c r="L4148" s="89" t="str">
        <f>B144</f>
        <v>C2</v>
      </c>
      <c r="M4148" s="89" t="s">
        <v>6373</v>
      </c>
      <c r="N4148" s="89" t="s">
        <v>6375</v>
      </c>
      <c r="O4148" s="89">
        <v>8825233.0</v>
      </c>
      <c r="P4148" s="89">
        <v>8957192.0</v>
      </c>
      <c r="Q4148" s="89" t="s">
        <v>864</v>
      </c>
      <c r="AF4148" s="1"/>
      <c r="AG4148" s="1"/>
    </row>
    <row r="4149" ht="15.75" customHeight="1">
      <c r="A4149" s="1"/>
      <c r="B4149" s="1"/>
      <c r="C4149" s="1"/>
      <c r="D4149" s="1"/>
      <c r="E4149" s="1"/>
      <c r="F4149" s="1"/>
      <c r="G4149" s="1"/>
      <c r="H4149" s="1"/>
      <c r="I4149" s="1"/>
      <c r="J4149" s="1"/>
      <c r="K4149" s="89" t="s">
        <v>6376</v>
      </c>
      <c r="L4149" s="89" t="str">
        <f>B144</f>
        <v>C2</v>
      </c>
      <c r="M4149" s="89" t="s">
        <v>6377</v>
      </c>
      <c r="N4149" s="89" t="s">
        <v>6378</v>
      </c>
      <c r="O4149" s="92">
        <v>1.0082355E7</v>
      </c>
      <c r="P4149" s="92">
        <v>1.0244746E7</v>
      </c>
      <c r="Q4149" s="89" t="s">
        <v>822</v>
      </c>
      <c r="AF4149" s="1"/>
      <c r="AG4149" s="1"/>
    </row>
    <row r="4150" ht="15.75" customHeight="1">
      <c r="A4150" s="1"/>
      <c r="B4150" s="1"/>
      <c r="C4150" s="1"/>
      <c r="D4150" s="1"/>
      <c r="E4150" s="1"/>
      <c r="F4150" s="1"/>
      <c r="G4150" s="1"/>
      <c r="H4150" s="1"/>
      <c r="I4150" s="1"/>
      <c r="J4150" s="1"/>
      <c r="K4150" s="89" t="s">
        <v>6377</v>
      </c>
      <c r="L4150" s="89" t="str">
        <f>B144</f>
        <v>C2</v>
      </c>
      <c r="M4150" s="89" t="s">
        <v>6376</v>
      </c>
      <c r="N4150" s="89" t="s">
        <v>6378</v>
      </c>
      <c r="O4150" s="92">
        <v>1.0082355E7</v>
      </c>
      <c r="P4150" s="92">
        <v>1.0244746E7</v>
      </c>
      <c r="Q4150" s="89" t="s">
        <v>822</v>
      </c>
      <c r="AF4150" s="1"/>
      <c r="AG4150" s="1"/>
    </row>
    <row r="4151" ht="15.75" customHeight="1">
      <c r="A4151" s="1"/>
      <c r="B4151" s="1"/>
      <c r="C4151" s="1"/>
      <c r="D4151" s="1"/>
      <c r="E4151" s="1"/>
      <c r="F4151" s="1"/>
      <c r="G4151" s="1"/>
      <c r="H4151" s="1"/>
      <c r="I4151" s="1"/>
      <c r="J4151" s="1"/>
      <c r="K4151" s="89" t="s">
        <v>6379</v>
      </c>
      <c r="L4151" s="89" t="str">
        <f>B144</f>
        <v>C2</v>
      </c>
      <c r="M4151" s="89" t="s">
        <v>6380</v>
      </c>
      <c r="N4151" s="89" t="s">
        <v>6381</v>
      </c>
      <c r="O4151" s="92">
        <v>1.3807527E7</v>
      </c>
      <c r="P4151" s="92">
        <v>1.1686821E7</v>
      </c>
      <c r="Q4151" s="89" t="s">
        <v>838</v>
      </c>
      <c r="AF4151" s="1"/>
      <c r="AG4151" s="1"/>
    </row>
    <row r="4152" ht="15.75" customHeight="1">
      <c r="A4152" s="1"/>
      <c r="B4152" s="1"/>
      <c r="C4152" s="1"/>
      <c r="D4152" s="1"/>
      <c r="E4152" s="1"/>
      <c r="F4152" s="1"/>
      <c r="G4152" s="1"/>
      <c r="H4152" s="1"/>
      <c r="I4152" s="1"/>
      <c r="J4152" s="1"/>
      <c r="K4152" s="89" t="s">
        <v>6380</v>
      </c>
      <c r="L4152" s="89" t="str">
        <f>B144</f>
        <v>C2</v>
      </c>
      <c r="M4152" s="89" t="s">
        <v>6379</v>
      </c>
      <c r="N4152" s="89" t="s">
        <v>6381</v>
      </c>
      <c r="O4152" s="92">
        <v>1.3807527E7</v>
      </c>
      <c r="P4152" s="92">
        <v>1.1686821E7</v>
      </c>
      <c r="Q4152" s="89" t="s">
        <v>838</v>
      </c>
      <c r="AF4152" s="1"/>
      <c r="AG4152" s="1"/>
    </row>
    <row r="4153" ht="15.75" customHeight="1">
      <c r="A4153" s="1"/>
      <c r="B4153" s="1"/>
      <c r="C4153" s="1"/>
      <c r="D4153" s="1"/>
      <c r="E4153" s="1"/>
      <c r="F4153" s="1"/>
      <c r="G4153" s="1"/>
      <c r="H4153" s="1"/>
      <c r="I4153" s="1"/>
      <c r="J4153" s="1"/>
      <c r="K4153" s="89" t="s">
        <v>6382</v>
      </c>
      <c r="L4153" s="89" t="str">
        <f>B144</f>
        <v>C2</v>
      </c>
      <c r="M4153" s="89" t="s">
        <v>6383</v>
      </c>
      <c r="N4153" s="89" t="s">
        <v>6384</v>
      </c>
      <c r="O4153" s="92">
        <v>2.1046E7</v>
      </c>
      <c r="P4153" s="92">
        <v>1.8884114E7</v>
      </c>
      <c r="Q4153" s="89" t="s">
        <v>838</v>
      </c>
      <c r="AF4153" s="1"/>
      <c r="AG4153" s="1"/>
    </row>
    <row r="4154" ht="15.75" customHeight="1">
      <c r="A4154" s="1"/>
      <c r="B4154" s="1"/>
      <c r="C4154" s="1"/>
      <c r="D4154" s="1"/>
      <c r="E4154" s="1"/>
      <c r="F4154" s="1"/>
      <c r="G4154" s="1"/>
      <c r="H4154" s="1"/>
      <c r="I4154" s="1"/>
      <c r="J4154" s="1"/>
      <c r="K4154" s="89" t="s">
        <v>6383</v>
      </c>
      <c r="L4154" s="89" t="str">
        <f>B144</f>
        <v>C2</v>
      </c>
      <c r="M4154" s="89" t="s">
        <v>6382</v>
      </c>
      <c r="N4154" s="89" t="s">
        <v>6384</v>
      </c>
      <c r="O4154" s="92">
        <v>2.1046E7</v>
      </c>
      <c r="P4154" s="92">
        <v>1.8884114E7</v>
      </c>
      <c r="Q4154" s="89" t="s">
        <v>838</v>
      </c>
      <c r="AF4154" s="1"/>
      <c r="AG4154" s="1"/>
    </row>
    <row r="4155" ht="15.75" customHeight="1">
      <c r="A4155" s="1"/>
      <c r="B4155" s="1"/>
      <c r="C4155" s="1"/>
      <c r="D4155" s="1"/>
      <c r="E4155" s="1"/>
      <c r="F4155" s="1"/>
      <c r="G4155" s="1"/>
      <c r="H4155" s="1"/>
      <c r="I4155" s="1"/>
      <c r="J4155" s="1"/>
      <c r="K4155" s="89" t="s">
        <v>6385</v>
      </c>
      <c r="L4155" s="89" t="str">
        <f>B144</f>
        <v>C2</v>
      </c>
      <c r="M4155" s="89" t="s">
        <v>6386</v>
      </c>
      <c r="N4155" s="89" t="s">
        <v>6387</v>
      </c>
      <c r="O4155" s="89">
        <v>2.1823745E7</v>
      </c>
      <c r="P4155" s="89">
        <v>1.9661859E7</v>
      </c>
      <c r="Q4155" s="89" t="s">
        <v>912</v>
      </c>
      <c r="AF4155" s="1"/>
      <c r="AG4155" s="1"/>
    </row>
    <row r="4156" ht="15.75" customHeight="1">
      <c r="A4156" s="1"/>
      <c r="B4156" s="1"/>
      <c r="C4156" s="1"/>
      <c r="D4156" s="1"/>
      <c r="E4156" s="1"/>
      <c r="F4156" s="1"/>
      <c r="G4156" s="1"/>
      <c r="H4156" s="1"/>
      <c r="I4156" s="1"/>
      <c r="J4156" s="1"/>
      <c r="K4156" s="89" t="s">
        <v>6386</v>
      </c>
      <c r="L4156" s="89" t="str">
        <f>B144</f>
        <v>C2</v>
      </c>
      <c r="M4156" s="89" t="s">
        <v>6385</v>
      </c>
      <c r="N4156" s="89" t="s">
        <v>6387</v>
      </c>
      <c r="O4156" s="89">
        <v>2.1823745E7</v>
      </c>
      <c r="P4156" s="89">
        <v>1.9661859E7</v>
      </c>
      <c r="Q4156" s="89" t="s">
        <v>912</v>
      </c>
      <c r="AF4156" s="1"/>
      <c r="AG4156" s="1"/>
    </row>
    <row r="4157" ht="15.75" customHeight="1">
      <c r="A4157" s="1"/>
      <c r="B4157" s="1"/>
      <c r="C4157" s="1"/>
      <c r="D4157" s="1"/>
      <c r="E4157" s="1"/>
      <c r="F4157" s="1"/>
      <c r="G4157" s="1"/>
      <c r="H4157" s="1"/>
      <c r="I4157" s="1"/>
      <c r="J4157" s="1"/>
      <c r="K4157" s="89" t="s">
        <v>6388</v>
      </c>
      <c r="L4157" s="89" t="str">
        <f>B144</f>
        <v>C2</v>
      </c>
      <c r="M4157" s="89" t="s">
        <v>6389</v>
      </c>
      <c r="N4157" s="89" t="s">
        <v>6390</v>
      </c>
      <c r="O4157" s="92">
        <v>2.257765E7</v>
      </c>
      <c r="P4157" s="92">
        <v>2.0415764E7</v>
      </c>
      <c r="Q4157" s="89" t="s">
        <v>912</v>
      </c>
      <c r="AF4157" s="1"/>
      <c r="AG4157" s="1"/>
    </row>
    <row r="4158" ht="15.75" customHeight="1">
      <c r="A4158" s="1"/>
      <c r="B4158" s="1"/>
      <c r="C4158" s="1"/>
      <c r="D4158" s="1"/>
      <c r="E4158" s="1"/>
      <c r="F4158" s="1"/>
      <c r="G4158" s="1"/>
      <c r="H4158" s="1"/>
      <c r="I4158" s="1"/>
      <c r="J4158" s="1"/>
      <c r="K4158" s="89" t="s">
        <v>6389</v>
      </c>
      <c r="L4158" s="89" t="str">
        <f>B144</f>
        <v>C2</v>
      </c>
      <c r="M4158" s="89" t="s">
        <v>6388</v>
      </c>
      <c r="N4158" s="89" t="s">
        <v>6390</v>
      </c>
      <c r="O4158" s="92">
        <v>2.257765E7</v>
      </c>
      <c r="P4158" s="92">
        <v>2.0415764E7</v>
      </c>
      <c r="Q4158" s="89" t="s">
        <v>912</v>
      </c>
      <c r="AF4158" s="1"/>
      <c r="AG4158" s="1"/>
    </row>
    <row r="4159" ht="15.75" customHeight="1">
      <c r="A4159" s="1"/>
      <c r="B4159" s="1"/>
      <c r="C4159" s="1"/>
      <c r="D4159" s="1"/>
      <c r="E4159" s="1"/>
      <c r="F4159" s="1"/>
      <c r="G4159" s="1"/>
      <c r="H4159" s="1"/>
      <c r="I4159" s="1"/>
      <c r="J4159" s="1"/>
      <c r="K4159" s="89" t="s">
        <v>6391</v>
      </c>
      <c r="L4159" s="89" t="str">
        <f>B144</f>
        <v>C2</v>
      </c>
      <c r="M4159" s="89" t="s">
        <v>6392</v>
      </c>
      <c r="N4159" s="89" t="s">
        <v>6393</v>
      </c>
      <c r="O4159" s="89">
        <v>2.351253E7</v>
      </c>
      <c r="P4159" s="89">
        <v>2.1350644E7</v>
      </c>
      <c r="Q4159" s="89" t="s">
        <v>802</v>
      </c>
      <c r="AF4159" s="1"/>
      <c r="AG4159" s="1"/>
    </row>
    <row r="4160" ht="15.75" customHeight="1">
      <c r="A4160" s="1"/>
      <c r="B4160" s="1"/>
      <c r="C4160" s="1"/>
      <c r="D4160" s="1"/>
      <c r="E4160" s="1"/>
      <c r="F4160" s="1"/>
      <c r="G4160" s="1"/>
      <c r="H4160" s="1"/>
      <c r="I4160" s="1"/>
      <c r="J4160" s="1"/>
      <c r="K4160" s="89" t="s">
        <v>6392</v>
      </c>
      <c r="L4160" s="89" t="str">
        <f>B144</f>
        <v>C2</v>
      </c>
      <c r="M4160" s="89" t="s">
        <v>6391</v>
      </c>
      <c r="N4160" s="89" t="s">
        <v>6393</v>
      </c>
      <c r="O4160" s="89">
        <v>2.351253E7</v>
      </c>
      <c r="P4160" s="89">
        <v>2.1350644E7</v>
      </c>
      <c r="Q4160" s="89" t="s">
        <v>802</v>
      </c>
      <c r="AF4160" s="1"/>
      <c r="AG4160" s="1"/>
    </row>
    <row r="4161" ht="15.75" customHeight="1">
      <c r="A4161" s="1"/>
      <c r="B4161" s="1"/>
      <c r="C4161" s="1"/>
      <c r="D4161" s="1"/>
      <c r="E4161" s="1"/>
      <c r="F4161" s="1"/>
      <c r="G4161" s="1"/>
      <c r="H4161" s="1"/>
      <c r="I4161" s="1"/>
      <c r="J4161" s="1"/>
      <c r="K4161" s="89" t="s">
        <v>6394</v>
      </c>
      <c r="L4161" s="89" t="str">
        <f>B144</f>
        <v>C2</v>
      </c>
      <c r="M4161" s="89" t="s">
        <v>6395</v>
      </c>
      <c r="N4161" s="89"/>
      <c r="O4161" s="92">
        <v>8214698.0</v>
      </c>
      <c r="P4161" s="92">
        <v>8346657.0</v>
      </c>
      <c r="Q4161" s="89" t="s">
        <v>879</v>
      </c>
      <c r="AF4161" s="1"/>
      <c r="AG4161" s="1"/>
    </row>
    <row r="4162" ht="15.75" customHeight="1">
      <c r="A4162" s="1"/>
      <c r="B4162" s="1"/>
      <c r="C4162" s="1"/>
      <c r="D4162" s="1"/>
      <c r="E4162" s="1"/>
      <c r="F4162" s="1"/>
      <c r="G4162" s="1"/>
      <c r="H4162" s="1"/>
      <c r="I4162" s="1"/>
      <c r="J4162" s="1"/>
      <c r="K4162" s="89" t="s">
        <v>6395</v>
      </c>
      <c r="L4162" s="89" t="str">
        <f>B144</f>
        <v>C2</v>
      </c>
      <c r="M4162" s="89" t="s">
        <v>6394</v>
      </c>
      <c r="N4162" s="89"/>
      <c r="O4162" s="92">
        <v>8214698.0</v>
      </c>
      <c r="P4162" s="92">
        <v>8346657.0</v>
      </c>
      <c r="Q4162" s="89" t="s">
        <v>879</v>
      </c>
      <c r="AF4162" s="1"/>
      <c r="AG4162" s="1"/>
    </row>
    <row r="4163" ht="15.75" customHeight="1">
      <c r="A4163" s="1"/>
      <c r="B4163" s="1"/>
      <c r="C4163" s="1"/>
      <c r="D4163" s="1"/>
      <c r="E4163" s="1"/>
      <c r="F4163" s="1"/>
      <c r="G4163" s="1"/>
      <c r="H4163" s="1"/>
      <c r="I4163" s="1"/>
      <c r="J4163" s="1"/>
      <c r="K4163" s="89" t="s">
        <v>6396</v>
      </c>
      <c r="L4163" s="89" t="str">
        <f>B144</f>
        <v>C2</v>
      </c>
      <c r="M4163" s="89" t="s">
        <v>6397</v>
      </c>
      <c r="N4163" s="89" t="s">
        <v>6398</v>
      </c>
      <c r="O4163" s="92">
        <v>8773674.0</v>
      </c>
      <c r="P4163" s="92">
        <v>8905633.0</v>
      </c>
      <c r="Q4163" s="89" t="s">
        <v>802</v>
      </c>
      <c r="AF4163" s="1"/>
      <c r="AG4163" s="1"/>
    </row>
    <row r="4164" ht="15.75" customHeight="1">
      <c r="A4164" s="1"/>
      <c r="B4164" s="1"/>
      <c r="C4164" s="1"/>
      <c r="D4164" s="1"/>
      <c r="E4164" s="1"/>
      <c r="F4164" s="1"/>
      <c r="G4164" s="1"/>
      <c r="H4164" s="1"/>
      <c r="I4164" s="1"/>
      <c r="J4164" s="1"/>
      <c r="K4164" s="89" t="s">
        <v>6397</v>
      </c>
      <c r="L4164" s="89" t="str">
        <f>B144</f>
        <v>C2</v>
      </c>
      <c r="M4164" s="89" t="s">
        <v>6396</v>
      </c>
      <c r="N4164" s="89" t="s">
        <v>6398</v>
      </c>
      <c r="O4164" s="92">
        <v>8773674.0</v>
      </c>
      <c r="P4164" s="92">
        <v>8905633.0</v>
      </c>
      <c r="Q4164" s="89" t="s">
        <v>802</v>
      </c>
      <c r="AF4164" s="1"/>
      <c r="AG4164" s="1"/>
    </row>
    <row r="4165" ht="15.75" customHeight="1">
      <c r="A4165" s="1"/>
      <c r="B4165" s="1"/>
      <c r="C4165" s="1"/>
      <c r="D4165" s="1"/>
      <c r="E4165" s="1"/>
      <c r="F4165" s="1"/>
      <c r="G4165" s="1"/>
      <c r="H4165" s="1"/>
      <c r="I4165" s="1"/>
      <c r="J4165" s="1"/>
      <c r="K4165" s="89" t="s">
        <v>6399</v>
      </c>
      <c r="L4165" s="89" t="str">
        <f>B144</f>
        <v>C2</v>
      </c>
      <c r="M4165" s="89" t="s">
        <v>6400</v>
      </c>
      <c r="N4165" s="89" t="s">
        <v>6401</v>
      </c>
      <c r="O4165" s="92">
        <v>7650752.0</v>
      </c>
      <c r="P4165" s="92">
        <v>7782711.0</v>
      </c>
      <c r="Q4165" s="89" t="s">
        <v>802</v>
      </c>
      <c r="AF4165" s="1"/>
      <c r="AG4165" s="1"/>
    </row>
    <row r="4166" ht="15.75" customHeight="1">
      <c r="A4166" s="1"/>
      <c r="B4166" s="1"/>
      <c r="C4166" s="1"/>
      <c r="D4166" s="1"/>
      <c r="E4166" s="1"/>
      <c r="F4166" s="1"/>
      <c r="G4166" s="1"/>
      <c r="H4166" s="1"/>
      <c r="I4166" s="1"/>
      <c r="J4166" s="1"/>
      <c r="K4166" s="89" t="s">
        <v>6400</v>
      </c>
      <c r="L4166" s="89" t="str">
        <f>B144</f>
        <v>C2</v>
      </c>
      <c r="M4166" s="89" t="s">
        <v>6399</v>
      </c>
      <c r="N4166" s="89" t="s">
        <v>6401</v>
      </c>
      <c r="O4166" s="92">
        <v>7650752.0</v>
      </c>
      <c r="P4166" s="92">
        <v>7782711.0</v>
      </c>
      <c r="Q4166" s="89" t="s">
        <v>802</v>
      </c>
      <c r="AF4166" s="1"/>
      <c r="AG4166" s="1"/>
    </row>
    <row r="4167" ht="15.75" customHeight="1">
      <c r="A4167" s="1"/>
      <c r="B4167" s="1"/>
      <c r="C4167" s="1"/>
      <c r="D4167" s="1"/>
      <c r="E4167" s="1"/>
      <c r="F4167" s="1"/>
      <c r="G4167" s="1"/>
      <c r="H4167" s="1"/>
      <c r="I4167" s="1"/>
      <c r="J4167" s="1"/>
      <c r="K4167" s="89" t="s">
        <v>6402</v>
      </c>
      <c r="L4167" s="89" t="str">
        <f>B144</f>
        <v>C2</v>
      </c>
      <c r="M4167" s="89" t="s">
        <v>6403</v>
      </c>
      <c r="N4167" s="89" t="s">
        <v>6404</v>
      </c>
      <c r="O4167" s="92">
        <v>1.3841615E7</v>
      </c>
      <c r="P4167" s="92">
        <v>1.1720909E7</v>
      </c>
      <c r="Q4167" s="89" t="s">
        <v>912</v>
      </c>
      <c r="AF4167" s="1"/>
      <c r="AG4167" s="1"/>
    </row>
    <row r="4168" ht="15.75" customHeight="1">
      <c r="A4168" s="1"/>
      <c r="B4168" s="1"/>
      <c r="C4168" s="1"/>
      <c r="D4168" s="1"/>
      <c r="E4168" s="1"/>
      <c r="F4168" s="1"/>
      <c r="G4168" s="1"/>
      <c r="H4168" s="1"/>
      <c r="I4168" s="1"/>
      <c r="J4168" s="1"/>
      <c r="K4168" s="89" t="s">
        <v>6403</v>
      </c>
      <c r="L4168" s="89" t="str">
        <f>B144</f>
        <v>C2</v>
      </c>
      <c r="M4168" s="89" t="s">
        <v>6402</v>
      </c>
      <c r="N4168" s="89" t="s">
        <v>6404</v>
      </c>
      <c r="O4168" s="92">
        <v>1.3841615E7</v>
      </c>
      <c r="P4168" s="92">
        <v>1.1720909E7</v>
      </c>
      <c r="Q4168" s="89" t="s">
        <v>912</v>
      </c>
      <c r="AF4168" s="1"/>
      <c r="AG4168" s="1"/>
    </row>
    <row r="4169" ht="15.75" customHeight="1">
      <c r="A4169" s="1"/>
      <c r="B4169" s="1"/>
      <c r="C4169" s="1"/>
      <c r="D4169" s="1"/>
      <c r="E4169" s="1"/>
      <c r="F4169" s="1"/>
      <c r="G4169" s="1"/>
      <c r="H4169" s="1"/>
      <c r="I4169" s="1"/>
      <c r="J4169" s="1"/>
      <c r="K4169" s="89" t="s">
        <v>6405</v>
      </c>
      <c r="L4169" s="89" t="str">
        <f>B144</f>
        <v>C2</v>
      </c>
      <c r="M4169" s="89" t="s">
        <v>6406</v>
      </c>
      <c r="N4169" s="89" t="s">
        <v>6407</v>
      </c>
      <c r="O4169" s="92">
        <v>2.3462665E7</v>
      </c>
      <c r="P4169" s="92">
        <v>2.1300779E7</v>
      </c>
      <c r="Q4169" s="89" t="s">
        <v>838</v>
      </c>
      <c r="AF4169" s="1"/>
      <c r="AG4169" s="1"/>
    </row>
    <row r="4170" ht="15.75" customHeight="1">
      <c r="A4170" s="1"/>
      <c r="B4170" s="1"/>
      <c r="C4170" s="1"/>
      <c r="D4170" s="1"/>
      <c r="E4170" s="1"/>
      <c r="F4170" s="1"/>
      <c r="G4170" s="1"/>
      <c r="H4170" s="1"/>
      <c r="I4170" s="1"/>
      <c r="J4170" s="1"/>
      <c r="K4170" s="89" t="s">
        <v>6406</v>
      </c>
      <c r="L4170" s="89" t="str">
        <f>B144</f>
        <v>C2</v>
      </c>
      <c r="M4170" s="89" t="s">
        <v>6405</v>
      </c>
      <c r="N4170" s="89" t="s">
        <v>6407</v>
      </c>
      <c r="O4170" s="92">
        <v>2.3462665E7</v>
      </c>
      <c r="P4170" s="92">
        <v>2.1300779E7</v>
      </c>
      <c r="Q4170" s="89" t="s">
        <v>838</v>
      </c>
      <c r="AF4170" s="1"/>
      <c r="AG4170" s="1"/>
    </row>
    <row r="4171" ht="15.75" customHeight="1">
      <c r="A4171" s="1"/>
      <c r="B4171" s="1"/>
      <c r="C4171" s="1"/>
      <c r="D4171" s="1"/>
      <c r="E4171" s="1"/>
      <c r="F4171" s="1"/>
      <c r="G4171" s="1"/>
      <c r="H4171" s="1"/>
      <c r="I4171" s="1"/>
      <c r="J4171" s="1"/>
      <c r="K4171" s="89" t="s">
        <v>6408</v>
      </c>
      <c r="L4171" s="89" t="str">
        <f>B144</f>
        <v>C2</v>
      </c>
      <c r="M4171" s="89" t="s">
        <v>6409</v>
      </c>
      <c r="N4171" s="89" t="s">
        <v>6410</v>
      </c>
      <c r="O4171" s="92">
        <v>2866931.0</v>
      </c>
      <c r="P4171" s="92">
        <v>2998890.0</v>
      </c>
      <c r="Q4171" s="89" t="s">
        <v>838</v>
      </c>
      <c r="AF4171" s="1"/>
      <c r="AG4171" s="1"/>
    </row>
    <row r="4172" ht="15.75" customHeight="1">
      <c r="A4172" s="1"/>
      <c r="B4172" s="1"/>
      <c r="C4172" s="1"/>
      <c r="D4172" s="1"/>
      <c r="E4172" s="1"/>
      <c r="F4172" s="1"/>
      <c r="G4172" s="1"/>
      <c r="H4172" s="1"/>
      <c r="I4172" s="1"/>
      <c r="J4172" s="1"/>
      <c r="K4172" s="89" t="s">
        <v>6409</v>
      </c>
      <c r="L4172" s="89" t="str">
        <f>B144</f>
        <v>C2</v>
      </c>
      <c r="M4172" s="89" t="s">
        <v>6408</v>
      </c>
      <c r="N4172" s="89" t="s">
        <v>6410</v>
      </c>
      <c r="O4172" s="92">
        <v>2866931.0</v>
      </c>
      <c r="P4172" s="92">
        <v>2998890.0</v>
      </c>
      <c r="Q4172" s="89" t="s">
        <v>838</v>
      </c>
      <c r="AF4172" s="1"/>
      <c r="AG4172" s="1"/>
    </row>
    <row r="4173" ht="15.75" customHeight="1">
      <c r="A4173" s="1"/>
      <c r="B4173" s="1"/>
      <c r="C4173" s="1"/>
      <c r="D4173" s="1"/>
      <c r="E4173" s="1"/>
      <c r="F4173" s="1"/>
      <c r="G4173" s="1"/>
      <c r="H4173" s="1"/>
      <c r="I4173" s="1"/>
      <c r="J4173" s="1"/>
      <c r="K4173" s="89" t="s">
        <v>6411</v>
      </c>
      <c r="L4173" s="89" t="str">
        <f>B144</f>
        <v>C2</v>
      </c>
      <c r="M4173" s="89" t="s">
        <v>6412</v>
      </c>
      <c r="N4173" s="89" t="s">
        <v>6413</v>
      </c>
      <c r="O4173" s="89">
        <v>2.2767591E7</v>
      </c>
      <c r="P4173" s="89">
        <v>2.0605705E7</v>
      </c>
      <c r="Q4173" s="89" t="s">
        <v>822</v>
      </c>
      <c r="AF4173" s="1"/>
      <c r="AG4173" s="1"/>
    </row>
    <row r="4174" ht="15.75" customHeight="1">
      <c r="A4174" s="1"/>
      <c r="B4174" s="1"/>
      <c r="C4174" s="1"/>
      <c r="D4174" s="1"/>
      <c r="E4174" s="1"/>
      <c r="F4174" s="1"/>
      <c r="G4174" s="1"/>
      <c r="H4174" s="1"/>
      <c r="I4174" s="1"/>
      <c r="J4174" s="1"/>
      <c r="K4174" s="89" t="s">
        <v>6412</v>
      </c>
      <c r="L4174" s="89" t="str">
        <f>B144</f>
        <v>C2</v>
      </c>
      <c r="M4174" s="89" t="s">
        <v>6411</v>
      </c>
      <c r="N4174" s="89" t="s">
        <v>6413</v>
      </c>
      <c r="O4174" s="89">
        <v>2.2767591E7</v>
      </c>
      <c r="P4174" s="89">
        <v>2.0605705E7</v>
      </c>
      <c r="Q4174" s="89" t="s">
        <v>822</v>
      </c>
      <c r="AF4174" s="1"/>
      <c r="AG4174" s="1"/>
    </row>
    <row r="4175" ht="15.75" customHeight="1">
      <c r="A4175" s="1"/>
      <c r="B4175" s="1"/>
      <c r="C4175" s="1"/>
      <c r="D4175" s="1"/>
      <c r="E4175" s="1"/>
      <c r="F4175" s="1"/>
      <c r="G4175" s="1"/>
      <c r="H4175" s="1"/>
      <c r="I4175" s="1"/>
      <c r="J4175" s="1"/>
      <c r="K4175" s="89" t="s">
        <v>6414</v>
      </c>
      <c r="L4175" s="89" t="str">
        <f>B144</f>
        <v>C2</v>
      </c>
      <c r="M4175" s="89" t="s">
        <v>6415</v>
      </c>
      <c r="N4175" s="89" t="s">
        <v>6416</v>
      </c>
      <c r="O4175" s="89">
        <v>1.7084514E7</v>
      </c>
      <c r="P4175" s="89">
        <v>1.4972634E7</v>
      </c>
      <c r="Q4175" s="89" t="s">
        <v>838</v>
      </c>
      <c r="AF4175" s="1"/>
      <c r="AG4175" s="1"/>
    </row>
    <row r="4176" ht="15.75" customHeight="1">
      <c r="A4176" s="1"/>
      <c r="B4176" s="1"/>
      <c r="C4176" s="1"/>
      <c r="D4176" s="1"/>
      <c r="E4176" s="1"/>
      <c r="F4176" s="1"/>
      <c r="G4176" s="1"/>
      <c r="H4176" s="1"/>
      <c r="I4176" s="1"/>
      <c r="J4176" s="1"/>
      <c r="K4176" s="89" t="s">
        <v>6415</v>
      </c>
      <c r="L4176" s="89" t="str">
        <f>B144</f>
        <v>C2</v>
      </c>
      <c r="M4176" s="89" t="s">
        <v>6414</v>
      </c>
      <c r="N4176" s="89" t="s">
        <v>6416</v>
      </c>
      <c r="O4176" s="89">
        <v>1.7084514E7</v>
      </c>
      <c r="P4176" s="89">
        <v>1.4972634E7</v>
      </c>
      <c r="Q4176" s="89" t="s">
        <v>838</v>
      </c>
      <c r="AF4176" s="1"/>
      <c r="AG4176" s="1"/>
    </row>
    <row r="4177" ht="15.75" customHeight="1">
      <c r="A4177" s="1"/>
      <c r="B4177" s="1"/>
      <c r="C4177" s="1"/>
      <c r="D4177" s="1"/>
      <c r="E4177" s="1"/>
      <c r="F4177" s="1"/>
      <c r="G4177" s="1"/>
      <c r="H4177" s="1"/>
      <c r="I4177" s="1"/>
      <c r="J4177" s="1"/>
      <c r="K4177" s="89" t="s">
        <v>6417</v>
      </c>
      <c r="L4177" s="89" t="str">
        <f>B144</f>
        <v>C2</v>
      </c>
      <c r="M4177" s="89" t="s">
        <v>6418</v>
      </c>
      <c r="N4177" s="89" t="s">
        <v>6419</v>
      </c>
      <c r="O4177" s="92">
        <v>2.2714533E7</v>
      </c>
      <c r="P4177" s="92">
        <v>2.0552647E7</v>
      </c>
      <c r="Q4177" s="89" t="s">
        <v>810</v>
      </c>
      <c r="AF4177" s="1"/>
      <c r="AG4177" s="1"/>
    </row>
    <row r="4178" ht="15.75" customHeight="1">
      <c r="A4178" s="1"/>
      <c r="B4178" s="1"/>
      <c r="C4178" s="1"/>
      <c r="D4178" s="1"/>
      <c r="E4178" s="1"/>
      <c r="F4178" s="1"/>
      <c r="G4178" s="1"/>
      <c r="H4178" s="1"/>
      <c r="I4178" s="1"/>
      <c r="J4178" s="1"/>
      <c r="K4178" s="89" t="s">
        <v>6418</v>
      </c>
      <c r="L4178" s="89" t="str">
        <f>B144</f>
        <v>C2</v>
      </c>
      <c r="M4178" s="89" t="s">
        <v>6417</v>
      </c>
      <c r="N4178" s="89" t="s">
        <v>6419</v>
      </c>
      <c r="O4178" s="92">
        <v>2.2714533E7</v>
      </c>
      <c r="P4178" s="92">
        <v>2.0552647E7</v>
      </c>
      <c r="Q4178" s="89" t="s">
        <v>810</v>
      </c>
      <c r="AF4178" s="1"/>
      <c r="AG4178" s="1"/>
    </row>
    <row r="4179" ht="15.75" customHeight="1">
      <c r="A4179" s="1"/>
      <c r="B4179" s="1"/>
      <c r="C4179" s="1"/>
      <c r="D4179" s="1"/>
      <c r="E4179" s="1"/>
      <c r="F4179" s="1"/>
      <c r="G4179" s="1"/>
      <c r="H4179" s="1"/>
      <c r="I4179" s="1"/>
      <c r="J4179" s="1"/>
      <c r="K4179" s="89" t="s">
        <v>6420</v>
      </c>
      <c r="L4179" s="89" t="str">
        <f>B144</f>
        <v>C2</v>
      </c>
      <c r="M4179" s="89"/>
      <c r="N4179" s="89" t="s">
        <v>6421</v>
      </c>
      <c r="O4179" s="92">
        <v>2.1339665E7</v>
      </c>
      <c r="P4179" s="92">
        <v>1.9177779E7</v>
      </c>
      <c r="Q4179" s="89" t="s">
        <v>845</v>
      </c>
      <c r="AF4179" s="1"/>
      <c r="AG4179" s="1"/>
    </row>
    <row r="4180" ht="15.75" customHeight="1">
      <c r="A4180" s="1"/>
      <c r="B4180" s="1"/>
      <c r="C4180" s="1"/>
      <c r="D4180" s="1"/>
      <c r="E4180" s="1"/>
      <c r="F4180" s="1"/>
      <c r="G4180" s="1"/>
      <c r="H4180" s="1"/>
      <c r="I4180" s="1"/>
      <c r="J4180" s="1"/>
      <c r="K4180" s="89" t="s">
        <v>6422</v>
      </c>
      <c r="L4180" s="89" t="str">
        <f>B144</f>
        <v>C2</v>
      </c>
      <c r="M4180" s="89"/>
      <c r="N4180" s="89" t="s">
        <v>6423</v>
      </c>
      <c r="O4180" s="92">
        <v>2.1482611E7</v>
      </c>
      <c r="P4180" s="92">
        <v>1.9320725E7</v>
      </c>
      <c r="Q4180" s="89" t="s">
        <v>810</v>
      </c>
      <c r="AF4180" s="1"/>
      <c r="AG4180" s="1"/>
    </row>
    <row r="4181" ht="15.75" customHeight="1">
      <c r="A4181" s="1"/>
      <c r="B4181" s="1"/>
      <c r="C4181" s="1"/>
      <c r="D4181" s="1"/>
      <c r="E4181" s="1"/>
      <c r="F4181" s="1"/>
      <c r="G4181" s="1"/>
      <c r="H4181" s="1"/>
      <c r="I4181" s="1"/>
      <c r="J4181" s="1"/>
      <c r="K4181" s="89" t="s">
        <v>6424</v>
      </c>
      <c r="L4181" s="89" t="str">
        <f>B144</f>
        <v>C2</v>
      </c>
      <c r="M4181" s="89"/>
      <c r="N4181" s="89" t="s">
        <v>6425</v>
      </c>
      <c r="O4181" s="92">
        <v>2.2512947E7</v>
      </c>
      <c r="P4181" s="92">
        <v>2.0351061E7</v>
      </c>
      <c r="Q4181" s="89" t="s">
        <v>886</v>
      </c>
      <c r="AF4181" s="1"/>
      <c r="AG4181" s="1"/>
    </row>
    <row r="4182" ht="15.75" customHeight="1">
      <c r="A4182" s="1"/>
      <c r="B4182" s="1"/>
      <c r="C4182" s="1"/>
      <c r="D4182" s="1"/>
      <c r="E4182" s="1"/>
      <c r="F4182" s="1"/>
      <c r="G4182" s="1"/>
      <c r="H4182" s="1"/>
      <c r="I4182" s="1"/>
      <c r="J4182" s="1"/>
      <c r="K4182" s="89" t="s">
        <v>6426</v>
      </c>
      <c r="L4182" s="89" t="str">
        <f>B144</f>
        <v>C2</v>
      </c>
      <c r="M4182" s="89"/>
      <c r="N4182" s="89" t="s">
        <v>6427</v>
      </c>
      <c r="O4182" s="92">
        <v>2.363675E7</v>
      </c>
      <c r="P4182" s="92">
        <v>2.1474864E7</v>
      </c>
      <c r="Q4182" s="89" t="s">
        <v>802</v>
      </c>
      <c r="AF4182" s="1"/>
      <c r="AG4182" s="1"/>
    </row>
    <row r="4183" ht="15.75" customHeight="1">
      <c r="A4183" s="1"/>
      <c r="B4183" s="1"/>
      <c r="C4183" s="1"/>
      <c r="D4183" s="1"/>
      <c r="E4183" s="1"/>
      <c r="F4183" s="1"/>
      <c r="G4183" s="1"/>
      <c r="H4183" s="1"/>
      <c r="I4183" s="1"/>
      <c r="J4183" s="1"/>
      <c r="K4183" s="89" t="s">
        <v>6428</v>
      </c>
      <c r="L4183" s="89" t="str">
        <f>B144</f>
        <v>C2</v>
      </c>
      <c r="M4183" s="89"/>
      <c r="N4183" s="89" t="s">
        <v>6429</v>
      </c>
      <c r="O4183" s="92">
        <v>1.0045655E7</v>
      </c>
      <c r="P4183" s="92">
        <v>1.0208046E7</v>
      </c>
      <c r="Q4183" s="89" t="s">
        <v>879</v>
      </c>
      <c r="AF4183" s="1"/>
      <c r="AG4183" s="1"/>
    </row>
    <row r="4184" ht="15.75" customHeight="1">
      <c r="A4184" s="1"/>
      <c r="B4184" s="1"/>
      <c r="C4184" s="1"/>
      <c r="D4184" s="1"/>
      <c r="E4184" s="1"/>
      <c r="F4184" s="1"/>
      <c r="G4184" s="1"/>
      <c r="H4184" s="1"/>
      <c r="I4184" s="1"/>
      <c r="J4184" s="1"/>
      <c r="K4184" s="89" t="s">
        <v>6430</v>
      </c>
      <c r="L4184" s="89" t="str">
        <f>B144</f>
        <v>C2</v>
      </c>
      <c r="M4184" s="89"/>
      <c r="N4184" s="89" t="s">
        <v>6431</v>
      </c>
      <c r="O4184" s="89">
        <v>1.4730292E7</v>
      </c>
      <c r="P4184" s="89">
        <v>1.261836E7</v>
      </c>
      <c r="Q4184" s="89" t="s">
        <v>810</v>
      </c>
      <c r="AF4184" s="1"/>
      <c r="AG4184" s="1"/>
    </row>
    <row r="4185" ht="15.75" customHeight="1">
      <c r="A4185" s="1"/>
      <c r="B4185" s="1"/>
      <c r="C4185" s="1"/>
      <c r="D4185" s="1"/>
      <c r="E4185" s="1"/>
      <c r="F4185" s="1"/>
      <c r="G4185" s="1"/>
      <c r="H4185" s="1"/>
      <c r="I4185" s="1"/>
      <c r="J4185" s="1"/>
      <c r="K4185" s="89" t="s">
        <v>6432</v>
      </c>
      <c r="L4185" s="89" t="str">
        <f>B144</f>
        <v>C2</v>
      </c>
      <c r="M4185" s="89"/>
      <c r="N4185" s="89" t="s">
        <v>6433</v>
      </c>
      <c r="O4185" s="92">
        <v>2.1699194E7</v>
      </c>
      <c r="P4185" s="92">
        <v>1.9537308E7</v>
      </c>
      <c r="Q4185" s="89" t="s">
        <v>810</v>
      </c>
      <c r="AF4185" s="1"/>
      <c r="AG4185" s="1"/>
    </row>
    <row r="4186" ht="15.75" customHeight="1">
      <c r="A4186" s="1"/>
      <c r="B4186" s="1"/>
      <c r="C4186" s="1"/>
      <c r="D4186" s="1"/>
      <c r="E4186" s="1"/>
      <c r="F4186" s="1"/>
      <c r="G4186" s="1"/>
      <c r="H4186" s="1"/>
      <c r="I4186" s="1"/>
      <c r="J4186" s="1"/>
      <c r="K4186" s="89" t="s">
        <v>6434</v>
      </c>
      <c r="L4186" s="89" t="str">
        <f>B144</f>
        <v>C2</v>
      </c>
      <c r="M4186" s="89"/>
      <c r="N4186" s="89" t="s">
        <v>6435</v>
      </c>
      <c r="O4186" s="89">
        <v>2.18323E7</v>
      </c>
      <c r="P4186" s="89">
        <v>1.9670414E7</v>
      </c>
      <c r="Q4186" s="89" t="s">
        <v>810</v>
      </c>
      <c r="AF4186" s="1"/>
      <c r="AG4186" s="1"/>
    </row>
    <row r="4187" ht="15.75" customHeight="1">
      <c r="A4187" s="1"/>
      <c r="B4187" s="1"/>
      <c r="C4187" s="1"/>
      <c r="D4187" s="1"/>
      <c r="E4187" s="1"/>
      <c r="F4187" s="1"/>
      <c r="G4187" s="1"/>
      <c r="H4187" s="1"/>
      <c r="I4187" s="1"/>
      <c r="J4187" s="1"/>
      <c r="K4187" s="89" t="s">
        <v>6436</v>
      </c>
      <c r="L4187" s="89" t="str">
        <f>B144</f>
        <v>C2</v>
      </c>
      <c r="M4187" s="89"/>
      <c r="N4187" s="89" t="s">
        <v>6437</v>
      </c>
      <c r="O4187" s="92">
        <v>2.2022234E7</v>
      </c>
      <c r="P4187" s="92">
        <v>1.9860348E7</v>
      </c>
      <c r="Q4187" s="89" t="s">
        <v>831</v>
      </c>
      <c r="AF4187" s="1"/>
      <c r="AG4187" s="1"/>
    </row>
    <row r="4188" ht="15.75" customHeight="1">
      <c r="A4188" s="1"/>
      <c r="B4188" s="1"/>
      <c r="C4188" s="1"/>
      <c r="D4188" s="1"/>
      <c r="E4188" s="1"/>
      <c r="F4188" s="1"/>
      <c r="G4188" s="1"/>
      <c r="H4188" s="1"/>
      <c r="I4188" s="1"/>
      <c r="J4188" s="1"/>
      <c r="K4188" s="89" t="s">
        <v>6438</v>
      </c>
      <c r="L4188" s="89" t="str">
        <f>B144</f>
        <v>C2</v>
      </c>
      <c r="M4188" s="89"/>
      <c r="N4188" s="89" t="s">
        <v>6439</v>
      </c>
      <c r="O4188" s="92">
        <v>2.4396667E7</v>
      </c>
      <c r="P4188" s="92">
        <v>2.225052E7</v>
      </c>
      <c r="Q4188" s="89" t="s">
        <v>838</v>
      </c>
      <c r="AF4188" s="1"/>
      <c r="AG4188" s="1"/>
    </row>
    <row r="4189" ht="15.75" customHeight="1">
      <c r="A4189" s="1"/>
      <c r="B4189" s="1"/>
      <c r="C4189" s="1"/>
      <c r="D4189" s="1"/>
      <c r="E4189" s="1"/>
      <c r="F4189" s="1"/>
      <c r="G4189" s="1"/>
      <c r="H4189" s="1"/>
      <c r="I4189" s="1"/>
      <c r="J4189" s="1"/>
      <c r="K4189" s="89" t="s">
        <v>6440</v>
      </c>
      <c r="L4189" s="89" t="str">
        <f>B144</f>
        <v>C2</v>
      </c>
      <c r="M4189" s="89"/>
      <c r="N4189" s="89" t="s">
        <v>6441</v>
      </c>
      <c r="O4189" s="89">
        <v>7578040.0</v>
      </c>
      <c r="P4189" s="89">
        <v>7709999.0</v>
      </c>
      <c r="Q4189" s="89" t="s">
        <v>845</v>
      </c>
      <c r="AF4189" s="1"/>
      <c r="AG4189" s="1"/>
    </row>
    <row r="4190" ht="15.75" customHeight="1">
      <c r="A4190" s="1"/>
      <c r="B4190" s="1"/>
      <c r="C4190" s="1"/>
      <c r="D4190" s="1"/>
      <c r="E4190" s="1"/>
      <c r="F4190" s="1"/>
      <c r="G4190" s="1"/>
      <c r="H4190" s="1"/>
      <c r="I4190" s="1"/>
      <c r="J4190" s="1"/>
      <c r="K4190" s="89" t="s">
        <v>6442</v>
      </c>
      <c r="L4190" s="89" t="str">
        <f>B144</f>
        <v>C2</v>
      </c>
      <c r="M4190" s="89"/>
      <c r="N4190" s="89" t="s">
        <v>6443</v>
      </c>
      <c r="O4190" s="92">
        <v>1.3867088E7</v>
      </c>
      <c r="P4190" s="92">
        <v>1.1746382E7</v>
      </c>
      <c r="Q4190" s="89" t="s">
        <v>886</v>
      </c>
      <c r="AF4190" s="1"/>
      <c r="AG4190" s="1"/>
    </row>
    <row r="4191" ht="15.75" customHeight="1">
      <c r="A4191" s="1"/>
      <c r="B4191" s="1"/>
      <c r="C4191" s="1"/>
      <c r="D4191" s="1"/>
      <c r="E4191" s="1"/>
      <c r="F4191" s="1"/>
      <c r="G4191" s="1"/>
      <c r="H4191" s="1"/>
      <c r="I4191" s="1"/>
      <c r="J4191" s="1"/>
      <c r="K4191" s="89" t="s">
        <v>6444</v>
      </c>
      <c r="L4191" s="89" t="str">
        <f>B144</f>
        <v>C2</v>
      </c>
      <c r="M4191" s="89"/>
      <c r="N4191" s="89" t="s">
        <v>6445</v>
      </c>
      <c r="O4191" s="92">
        <v>1.4918099E7</v>
      </c>
      <c r="P4191" s="92">
        <v>1.2806166E7</v>
      </c>
      <c r="Q4191" s="89" t="s">
        <v>917</v>
      </c>
      <c r="AF4191" s="1"/>
      <c r="AG4191" s="1"/>
    </row>
    <row r="4192" ht="15.75" customHeight="1">
      <c r="A4192" s="1"/>
      <c r="B4192" s="1"/>
      <c r="C4192" s="1"/>
      <c r="D4192" s="1"/>
      <c r="E4192" s="1"/>
      <c r="F4192" s="1"/>
      <c r="G4192" s="1"/>
      <c r="H4192" s="1"/>
      <c r="I4192" s="1"/>
      <c r="J4192" s="1"/>
      <c r="K4192" s="89" t="s">
        <v>6446</v>
      </c>
      <c r="L4192" s="89" t="str">
        <f t="shared" ref="L4192:L4193" si="31">B144</f>
        <v>C2</v>
      </c>
      <c r="M4192" s="89"/>
      <c r="N4192" s="89" t="s">
        <v>6447</v>
      </c>
      <c r="O4192" s="92">
        <v>1.5769387E7</v>
      </c>
      <c r="P4192" s="92">
        <v>1.3657507E7</v>
      </c>
      <c r="Q4192" s="89" t="s">
        <v>838</v>
      </c>
      <c r="AF4192" s="1"/>
      <c r="AG4192" s="1"/>
    </row>
    <row r="4193" ht="15.75" customHeight="1">
      <c r="A4193" s="1"/>
      <c r="B4193" s="1"/>
      <c r="C4193" s="1"/>
      <c r="D4193" s="1"/>
      <c r="E4193" s="1"/>
      <c r="F4193" s="1"/>
      <c r="G4193" s="1"/>
      <c r="H4193" s="1"/>
      <c r="I4193" s="1"/>
      <c r="J4193" s="1"/>
      <c r="K4193" s="89" t="s">
        <v>251</v>
      </c>
      <c r="L4193" s="89" t="str">
        <f t="shared" si="31"/>
        <v>C2~</v>
      </c>
      <c r="M4193" s="89"/>
      <c r="N4193" s="89"/>
      <c r="O4193" s="92">
        <v>2.8485097E7</v>
      </c>
      <c r="P4193" s="92">
        <v>2.633895E7</v>
      </c>
      <c r="Q4193" s="89" t="s">
        <v>886</v>
      </c>
      <c r="AF4193" s="1"/>
      <c r="AG4193" s="1"/>
    </row>
    <row r="4194" ht="15.75" customHeight="1">
      <c r="A4194" s="1"/>
      <c r="B4194" s="1"/>
      <c r="C4194" s="1"/>
      <c r="D4194" s="1"/>
      <c r="E4194" s="1"/>
      <c r="F4194" s="1"/>
      <c r="G4194" s="1"/>
      <c r="H4194" s="1"/>
      <c r="I4194" s="1"/>
      <c r="J4194" s="1"/>
      <c r="K4194" s="89" t="s">
        <v>6448</v>
      </c>
      <c r="L4194" s="89" t="str">
        <f>C146</f>
        <v>C2a</v>
      </c>
      <c r="M4194" s="89"/>
      <c r="N4194" s="89" t="s">
        <v>6449</v>
      </c>
      <c r="O4194" s="92">
        <v>2.2711592E7</v>
      </c>
      <c r="P4194" s="92">
        <v>2.0549706E7</v>
      </c>
      <c r="Q4194" s="89" t="s">
        <v>822</v>
      </c>
      <c r="AF4194" s="1"/>
      <c r="AG4194" s="1"/>
    </row>
    <row r="4195" ht="15.75" customHeight="1">
      <c r="A4195" s="1"/>
      <c r="B4195" s="1"/>
      <c r="C4195" s="1"/>
      <c r="D4195" s="1"/>
      <c r="E4195" s="1"/>
      <c r="F4195" s="1"/>
      <c r="G4195" s="1"/>
      <c r="H4195" s="1"/>
      <c r="I4195" s="1"/>
      <c r="J4195" s="1"/>
      <c r="K4195" s="89" t="s">
        <v>6450</v>
      </c>
      <c r="L4195" s="89" t="str">
        <f>C146</f>
        <v>C2a</v>
      </c>
      <c r="M4195" s="89"/>
      <c r="N4195" s="89" t="s">
        <v>6451</v>
      </c>
      <c r="O4195" s="92">
        <v>8746611.0</v>
      </c>
      <c r="P4195" s="92">
        <v>8878570.0</v>
      </c>
      <c r="Q4195" s="89" t="s">
        <v>802</v>
      </c>
      <c r="AF4195" s="1"/>
      <c r="AG4195" s="1"/>
    </row>
    <row r="4196" ht="15.75" customHeight="1">
      <c r="A4196" s="1"/>
      <c r="B4196" s="1"/>
      <c r="C4196" s="1"/>
      <c r="D4196" s="1"/>
      <c r="E4196" s="1"/>
      <c r="F4196" s="1"/>
      <c r="G4196" s="1"/>
      <c r="H4196" s="1"/>
      <c r="I4196" s="1"/>
      <c r="J4196" s="1"/>
      <c r="K4196" s="89" t="s">
        <v>6452</v>
      </c>
      <c r="L4196" s="89" t="str">
        <f>C146</f>
        <v>C2a</v>
      </c>
      <c r="M4196" s="89"/>
      <c r="N4196" s="89" t="s">
        <v>6453</v>
      </c>
      <c r="O4196" s="92">
        <v>1.5062639E7</v>
      </c>
      <c r="P4196" s="92">
        <v>1.2950731E7</v>
      </c>
      <c r="Q4196" s="89" t="s">
        <v>802</v>
      </c>
      <c r="AF4196" s="1"/>
      <c r="AG4196" s="1"/>
    </row>
    <row r="4197" ht="15.75" customHeight="1">
      <c r="A4197" s="1"/>
      <c r="B4197" s="1"/>
      <c r="C4197" s="1"/>
      <c r="D4197" s="1"/>
      <c r="E4197" s="1"/>
      <c r="F4197" s="1"/>
      <c r="G4197" s="1"/>
      <c r="H4197" s="1"/>
      <c r="I4197" s="1"/>
      <c r="J4197" s="1"/>
      <c r="K4197" s="89" t="s">
        <v>6454</v>
      </c>
      <c r="L4197" s="89" t="str">
        <f>C146</f>
        <v>C2a</v>
      </c>
      <c r="M4197" s="89"/>
      <c r="N4197" s="89" t="s">
        <v>6455</v>
      </c>
      <c r="O4197" s="92">
        <v>1.7117608E7</v>
      </c>
      <c r="P4197" s="92">
        <v>1.5005728E7</v>
      </c>
      <c r="Q4197" s="89" t="s">
        <v>802</v>
      </c>
      <c r="AF4197" s="1"/>
      <c r="AG4197" s="1"/>
    </row>
    <row r="4198" ht="15.75" customHeight="1">
      <c r="A4198" s="1"/>
      <c r="B4198" s="1"/>
      <c r="C4198" s="1"/>
      <c r="D4198" s="1"/>
      <c r="E4198" s="1"/>
      <c r="F4198" s="1"/>
      <c r="G4198" s="1"/>
      <c r="H4198" s="1"/>
      <c r="I4198" s="1"/>
      <c r="J4198" s="1"/>
      <c r="K4198" s="89" t="s">
        <v>6456</v>
      </c>
      <c r="L4198" s="89" t="str">
        <f>C146</f>
        <v>C2a</v>
      </c>
      <c r="M4198" s="89"/>
      <c r="N4198" s="89" t="s">
        <v>6457</v>
      </c>
      <c r="O4198" s="92">
        <v>1.7980274E7</v>
      </c>
      <c r="P4198" s="92">
        <v>1.5868394E7</v>
      </c>
      <c r="Q4198" s="89" t="s">
        <v>822</v>
      </c>
      <c r="AF4198" s="1"/>
      <c r="AG4198" s="1"/>
    </row>
    <row r="4199" ht="15.75" customHeight="1">
      <c r="A4199" s="1"/>
      <c r="B4199" s="1"/>
      <c r="C4199" s="1"/>
      <c r="D4199" s="1"/>
      <c r="E4199" s="1"/>
      <c r="F4199" s="1"/>
      <c r="G4199" s="1"/>
      <c r="H4199" s="1"/>
      <c r="I4199" s="1"/>
      <c r="J4199" s="1"/>
      <c r="K4199" s="89" t="s">
        <v>6458</v>
      </c>
      <c r="L4199" s="89" t="str">
        <f>C146</f>
        <v>C2a</v>
      </c>
      <c r="M4199" s="89"/>
      <c r="N4199" s="89" t="s">
        <v>6459</v>
      </c>
      <c r="O4199" s="92">
        <v>2.2724508E7</v>
      </c>
      <c r="P4199" s="92">
        <v>2.0562622E7</v>
      </c>
      <c r="Q4199" s="89" t="s">
        <v>802</v>
      </c>
      <c r="AF4199" s="1"/>
      <c r="AG4199" s="1"/>
    </row>
    <row r="4200" ht="15.75" customHeight="1">
      <c r="A4200" s="1"/>
      <c r="B4200" s="1"/>
      <c r="C4200" s="1"/>
      <c r="D4200" s="1"/>
      <c r="E4200" s="1"/>
      <c r="F4200" s="1"/>
      <c r="G4200" s="1"/>
      <c r="H4200" s="1"/>
      <c r="I4200" s="1"/>
      <c r="J4200" s="1"/>
      <c r="K4200" s="89" t="s">
        <v>6460</v>
      </c>
      <c r="L4200" s="89" t="str">
        <f>C146</f>
        <v>C2a</v>
      </c>
      <c r="M4200" s="89"/>
      <c r="N4200" s="89" t="s">
        <v>6461</v>
      </c>
      <c r="O4200" s="92">
        <v>6676374.0</v>
      </c>
      <c r="P4200" s="92">
        <v>6808333.0</v>
      </c>
      <c r="Q4200" s="89" t="s">
        <v>879</v>
      </c>
      <c r="AF4200" s="1"/>
      <c r="AG4200" s="1"/>
    </row>
    <row r="4201" ht="15.75" customHeight="1">
      <c r="A4201" s="1"/>
      <c r="B4201" s="1"/>
      <c r="C4201" s="1"/>
      <c r="D4201" s="1"/>
      <c r="E4201" s="1"/>
      <c r="F4201" s="1"/>
      <c r="G4201" s="1"/>
      <c r="H4201" s="1"/>
      <c r="I4201" s="1"/>
      <c r="J4201" s="1"/>
      <c r="K4201" s="89" t="s">
        <v>6462</v>
      </c>
      <c r="L4201" s="89" t="str">
        <f>C146</f>
        <v>C2a</v>
      </c>
      <c r="M4201" s="89"/>
      <c r="N4201" s="89" t="s">
        <v>6463</v>
      </c>
      <c r="O4201" s="92">
        <v>8799540.0</v>
      </c>
      <c r="P4201" s="92">
        <v>8931499.0</v>
      </c>
      <c r="Q4201" s="89" t="s">
        <v>810</v>
      </c>
      <c r="AF4201" s="1"/>
      <c r="AG4201" s="1"/>
    </row>
    <row r="4202" ht="15.75" customHeight="1">
      <c r="A4202" s="1"/>
      <c r="B4202" s="1"/>
      <c r="C4202" s="1"/>
      <c r="D4202" s="1"/>
      <c r="E4202" s="1"/>
      <c r="F4202" s="1"/>
      <c r="G4202" s="1"/>
      <c r="H4202" s="1"/>
      <c r="I4202" s="1"/>
      <c r="J4202" s="1"/>
      <c r="K4202" s="89" t="s">
        <v>6464</v>
      </c>
      <c r="L4202" s="89" t="str">
        <f>C146</f>
        <v>C2a</v>
      </c>
      <c r="M4202" s="89"/>
      <c r="N4202" s="89" t="s">
        <v>6465</v>
      </c>
      <c r="O4202" s="92">
        <v>1.4903225E7</v>
      </c>
      <c r="P4202" s="92">
        <v>1.2791292E7</v>
      </c>
      <c r="Q4202" s="89" t="s">
        <v>810</v>
      </c>
      <c r="AF4202" s="1"/>
      <c r="AG4202" s="1"/>
    </row>
    <row r="4203" ht="15.75" customHeight="1">
      <c r="A4203" s="1"/>
      <c r="B4203" s="1"/>
      <c r="C4203" s="1"/>
      <c r="D4203" s="1"/>
      <c r="E4203" s="1"/>
      <c r="F4203" s="1"/>
      <c r="G4203" s="1"/>
      <c r="H4203" s="1"/>
      <c r="I4203" s="1"/>
      <c r="J4203" s="1"/>
      <c r="K4203" s="89" t="s">
        <v>6466</v>
      </c>
      <c r="L4203" s="89" t="str">
        <f>C146</f>
        <v>C2a</v>
      </c>
      <c r="M4203" s="89"/>
      <c r="N4203" s="89" t="s">
        <v>6467</v>
      </c>
      <c r="O4203" s="92">
        <v>1.613163E7</v>
      </c>
      <c r="P4203" s="92">
        <v>1.401975E7</v>
      </c>
      <c r="Q4203" s="89" t="s">
        <v>912</v>
      </c>
      <c r="AF4203" s="1"/>
      <c r="AG4203" s="1"/>
    </row>
    <row r="4204" ht="15.75" customHeight="1">
      <c r="A4204" s="1"/>
      <c r="B4204" s="1"/>
      <c r="C4204" s="1"/>
      <c r="D4204" s="1"/>
      <c r="E4204" s="1"/>
      <c r="F4204" s="1"/>
      <c r="G4204" s="1"/>
      <c r="H4204" s="1"/>
      <c r="I4204" s="1"/>
      <c r="J4204" s="1"/>
      <c r="K4204" s="89" t="s">
        <v>6468</v>
      </c>
      <c r="L4204" s="89" t="str">
        <f>C146</f>
        <v>C2a</v>
      </c>
      <c r="M4204" s="89"/>
      <c r="N4204" s="89" t="s">
        <v>6469</v>
      </c>
      <c r="O4204" s="92">
        <v>1.6962349E7</v>
      </c>
      <c r="P4204" s="92">
        <v>1.4850469E7</v>
      </c>
      <c r="Q4204" s="89" t="s">
        <v>810</v>
      </c>
      <c r="AF4204" s="1"/>
      <c r="AG4204" s="1"/>
    </row>
    <row r="4205" ht="15.75" customHeight="1">
      <c r="A4205" s="1"/>
      <c r="B4205" s="1"/>
      <c r="C4205" s="1"/>
      <c r="D4205" s="1"/>
      <c r="E4205" s="1"/>
      <c r="F4205" s="1"/>
      <c r="G4205" s="1"/>
      <c r="H4205" s="1"/>
      <c r="I4205" s="1"/>
      <c r="J4205" s="1"/>
      <c r="K4205" s="89" t="s">
        <v>6470</v>
      </c>
      <c r="L4205" s="89" t="str">
        <f>C146</f>
        <v>C2a</v>
      </c>
      <c r="M4205" s="89"/>
      <c r="N4205" s="89" t="s">
        <v>6471</v>
      </c>
      <c r="O4205" s="92">
        <v>1.7663864E7</v>
      </c>
      <c r="P4205" s="92">
        <v>1.5551984E7</v>
      </c>
      <c r="Q4205" s="89" t="s">
        <v>879</v>
      </c>
      <c r="AF4205" s="1"/>
      <c r="AG4205" s="1"/>
    </row>
    <row r="4206" ht="15.75" customHeight="1">
      <c r="A4206" s="1"/>
      <c r="B4206" s="1"/>
      <c r="C4206" s="1"/>
      <c r="D4206" s="1"/>
      <c r="E4206" s="1"/>
      <c r="F4206" s="1"/>
      <c r="G4206" s="1"/>
      <c r="H4206" s="1"/>
      <c r="I4206" s="1"/>
      <c r="J4206" s="1"/>
      <c r="K4206" s="89" t="s">
        <v>6472</v>
      </c>
      <c r="L4206" s="89" t="str">
        <f>C146</f>
        <v>C2a</v>
      </c>
      <c r="M4206" s="89"/>
      <c r="N4206" s="89" t="s">
        <v>6473</v>
      </c>
      <c r="O4206" s="92">
        <v>2.1230995E7</v>
      </c>
      <c r="P4206" s="92">
        <v>1.9069109E7</v>
      </c>
      <c r="Q4206" s="89" t="s">
        <v>802</v>
      </c>
      <c r="AF4206" s="1"/>
      <c r="AG4206" s="1"/>
    </row>
    <row r="4207" ht="15.75" customHeight="1">
      <c r="A4207" s="1"/>
      <c r="B4207" s="1"/>
      <c r="C4207" s="1"/>
      <c r="D4207" s="1"/>
      <c r="E4207" s="1"/>
      <c r="F4207" s="1"/>
      <c r="G4207" s="1"/>
      <c r="H4207" s="1"/>
      <c r="I4207" s="1"/>
      <c r="J4207" s="1"/>
      <c r="K4207" s="89" t="s">
        <v>6474</v>
      </c>
      <c r="L4207" s="89" t="str">
        <f>C146</f>
        <v>C2a</v>
      </c>
      <c r="M4207" s="89"/>
      <c r="N4207" s="89" t="s">
        <v>6475</v>
      </c>
      <c r="O4207" s="92">
        <v>2849874.0</v>
      </c>
      <c r="P4207" s="92">
        <v>2981833.0</v>
      </c>
      <c r="Q4207" s="89" t="s">
        <v>802</v>
      </c>
      <c r="AF4207" s="1"/>
      <c r="AG4207" s="1"/>
    </row>
    <row r="4208" ht="15.75" customHeight="1">
      <c r="A4208" s="1"/>
      <c r="B4208" s="1"/>
      <c r="C4208" s="1"/>
      <c r="D4208" s="1"/>
      <c r="E4208" s="1"/>
      <c r="F4208" s="1"/>
      <c r="G4208" s="1"/>
      <c r="H4208" s="1"/>
      <c r="I4208" s="1"/>
      <c r="J4208" s="1"/>
      <c r="K4208" s="89" t="s">
        <v>6476</v>
      </c>
      <c r="L4208" s="89" t="str">
        <f>C146</f>
        <v>C2a</v>
      </c>
      <c r="M4208" s="89"/>
      <c r="N4208" s="89" t="s">
        <v>6477</v>
      </c>
      <c r="O4208" s="92">
        <v>7241249.0</v>
      </c>
      <c r="P4208" s="92">
        <v>7373208.0</v>
      </c>
      <c r="Q4208" s="89" t="s">
        <v>810</v>
      </c>
      <c r="AF4208" s="1"/>
      <c r="AG4208" s="1"/>
    </row>
    <row r="4209" ht="15.75" customHeight="1">
      <c r="A4209" s="1"/>
      <c r="B4209" s="1"/>
      <c r="C4209" s="1"/>
      <c r="D4209" s="1"/>
      <c r="E4209" s="1"/>
      <c r="F4209" s="1"/>
      <c r="G4209" s="1"/>
      <c r="H4209" s="1"/>
      <c r="I4209" s="1"/>
      <c r="J4209" s="1"/>
      <c r="K4209" s="89" t="s">
        <v>6478</v>
      </c>
      <c r="L4209" s="89" t="str">
        <f>C146</f>
        <v>C2a</v>
      </c>
      <c r="M4209" s="89"/>
      <c r="N4209" s="89" t="s">
        <v>6479</v>
      </c>
      <c r="O4209" s="92">
        <v>7431177.0</v>
      </c>
      <c r="P4209" s="92">
        <v>7563136.0</v>
      </c>
      <c r="Q4209" s="89" t="s">
        <v>831</v>
      </c>
      <c r="AF4209" s="1"/>
      <c r="AG4209" s="1"/>
    </row>
    <row r="4210" ht="15.75" customHeight="1">
      <c r="A4210" s="1"/>
      <c r="B4210" s="1"/>
      <c r="C4210" s="1"/>
      <c r="D4210" s="1"/>
      <c r="E4210" s="1"/>
      <c r="F4210" s="1"/>
      <c r="G4210" s="1"/>
      <c r="H4210" s="1"/>
      <c r="I4210" s="1"/>
      <c r="J4210" s="1"/>
      <c r="K4210" s="89" t="s">
        <v>6480</v>
      </c>
      <c r="L4210" s="89" t="str">
        <f>C146</f>
        <v>C2a</v>
      </c>
      <c r="M4210" s="89"/>
      <c r="N4210" s="89" t="s">
        <v>6481</v>
      </c>
      <c r="O4210" s="92">
        <v>1.4774854E7</v>
      </c>
      <c r="P4210" s="92">
        <v>1.2662923E7</v>
      </c>
      <c r="Q4210" s="89" t="s">
        <v>838</v>
      </c>
      <c r="AF4210" s="1"/>
      <c r="AG4210" s="1"/>
    </row>
    <row r="4211" ht="15.75" customHeight="1">
      <c r="A4211" s="1"/>
      <c r="B4211" s="1"/>
      <c r="C4211" s="1"/>
      <c r="D4211" s="1"/>
      <c r="E4211" s="1"/>
      <c r="F4211" s="1"/>
      <c r="G4211" s="1"/>
      <c r="H4211" s="1"/>
      <c r="I4211" s="1"/>
      <c r="J4211" s="1"/>
      <c r="K4211" s="89" t="s">
        <v>6482</v>
      </c>
      <c r="L4211" s="89" t="str">
        <f>C146</f>
        <v>C2a</v>
      </c>
      <c r="M4211" s="89"/>
      <c r="N4211" s="89" t="s">
        <v>6483</v>
      </c>
      <c r="O4211" s="92">
        <v>1.5812579E7</v>
      </c>
      <c r="P4211" s="92">
        <v>1.3700699E7</v>
      </c>
      <c r="Q4211" s="89" t="s">
        <v>879</v>
      </c>
      <c r="AF4211" s="1"/>
      <c r="AG4211" s="1"/>
    </row>
    <row r="4212" ht="15.75" customHeight="1">
      <c r="A4212" s="1"/>
      <c r="B4212" s="1"/>
      <c r="C4212" s="1"/>
      <c r="D4212" s="1"/>
      <c r="E4212" s="1"/>
      <c r="F4212" s="1"/>
      <c r="G4212" s="1"/>
      <c r="H4212" s="1"/>
      <c r="I4212" s="1"/>
      <c r="J4212" s="1"/>
      <c r="K4212" s="89" t="s">
        <v>6484</v>
      </c>
      <c r="L4212" s="89" t="str">
        <f>C146</f>
        <v>C2a</v>
      </c>
      <c r="M4212" s="89"/>
      <c r="N4212" s="89" t="s">
        <v>6485</v>
      </c>
      <c r="O4212" s="92">
        <v>1.705617E7</v>
      </c>
      <c r="P4212" s="92">
        <v>1.494429E7</v>
      </c>
      <c r="Q4212" s="89" t="s">
        <v>886</v>
      </c>
      <c r="AF4212" s="1"/>
      <c r="AG4212" s="1"/>
    </row>
    <row r="4213" ht="15.75" customHeight="1">
      <c r="A4213" s="1"/>
      <c r="B4213" s="1"/>
      <c r="C4213" s="1"/>
      <c r="D4213" s="1"/>
      <c r="E4213" s="1"/>
      <c r="F4213" s="1"/>
      <c r="G4213" s="1"/>
      <c r="H4213" s="1"/>
      <c r="I4213" s="1"/>
      <c r="J4213" s="1"/>
      <c r="K4213" s="89" t="s">
        <v>6486</v>
      </c>
      <c r="L4213" s="89" t="str">
        <f>C146</f>
        <v>C2a</v>
      </c>
      <c r="M4213" s="89"/>
      <c r="N4213" s="89" t="s">
        <v>6487</v>
      </c>
      <c r="O4213" s="92">
        <v>1.7800918E7</v>
      </c>
      <c r="P4213" s="92">
        <v>1.5689038E7</v>
      </c>
      <c r="Q4213" s="89" t="s">
        <v>810</v>
      </c>
      <c r="AF4213" s="1"/>
      <c r="AG4213" s="1"/>
    </row>
    <row r="4214" ht="15.75" customHeight="1">
      <c r="A4214" s="1"/>
      <c r="B4214" s="1"/>
      <c r="C4214" s="1"/>
      <c r="D4214" s="1"/>
      <c r="E4214" s="1"/>
      <c r="F4214" s="1"/>
      <c r="G4214" s="1"/>
      <c r="H4214" s="1"/>
      <c r="I4214" s="1"/>
      <c r="J4214" s="1"/>
      <c r="K4214" s="89" t="s">
        <v>6488</v>
      </c>
      <c r="L4214" s="89" t="str">
        <f>C146</f>
        <v>C2a</v>
      </c>
      <c r="M4214" s="89"/>
      <c r="N4214" s="89" t="s">
        <v>6489</v>
      </c>
      <c r="O4214" s="92">
        <v>1.8075043E7</v>
      </c>
      <c r="P4214" s="92">
        <v>1.5963163E7</v>
      </c>
      <c r="Q4214" s="89" t="s">
        <v>838</v>
      </c>
      <c r="AF4214" s="1"/>
      <c r="AG4214" s="1"/>
    </row>
    <row r="4215" ht="15.75" customHeight="1">
      <c r="A4215" s="1"/>
      <c r="B4215" s="1"/>
      <c r="C4215" s="1"/>
      <c r="D4215" s="1"/>
      <c r="E4215" s="1"/>
      <c r="F4215" s="1"/>
      <c r="G4215" s="1"/>
      <c r="H4215" s="1"/>
      <c r="I4215" s="1"/>
      <c r="J4215" s="1"/>
      <c r="K4215" s="89" t="s">
        <v>6490</v>
      </c>
      <c r="L4215" s="89" t="str">
        <f>C146</f>
        <v>C2a</v>
      </c>
      <c r="M4215" s="89"/>
      <c r="N4215" s="89" t="s">
        <v>6491</v>
      </c>
      <c r="O4215" s="92">
        <v>1.8413033E7</v>
      </c>
      <c r="P4215" s="92">
        <v>1.6301153E7</v>
      </c>
      <c r="Q4215" s="89" t="s">
        <v>845</v>
      </c>
      <c r="AF4215" s="1"/>
      <c r="AG4215" s="1"/>
    </row>
    <row r="4216" ht="15.75" customHeight="1">
      <c r="A4216" s="1"/>
      <c r="B4216" s="1"/>
      <c r="C4216" s="1"/>
      <c r="D4216" s="1"/>
      <c r="E4216" s="1"/>
      <c r="F4216" s="1"/>
      <c r="G4216" s="1"/>
      <c r="H4216" s="1"/>
      <c r="I4216" s="1"/>
      <c r="J4216" s="1"/>
      <c r="K4216" s="89" t="s">
        <v>6492</v>
      </c>
      <c r="L4216" s="89" t="str">
        <f>C146</f>
        <v>C2a</v>
      </c>
      <c r="M4216" s="89"/>
      <c r="N4216" s="89" t="s">
        <v>6493</v>
      </c>
      <c r="O4216" s="92">
        <v>1.8594398E7</v>
      </c>
      <c r="P4216" s="92">
        <v>1.6482518E7</v>
      </c>
      <c r="Q4216" s="89" t="s">
        <v>822</v>
      </c>
      <c r="AF4216" s="1"/>
      <c r="AG4216" s="1"/>
    </row>
    <row r="4217" ht="15.75" customHeight="1">
      <c r="A4217" s="1"/>
      <c r="B4217" s="1"/>
      <c r="C4217" s="1"/>
      <c r="D4217" s="1"/>
      <c r="E4217" s="1"/>
      <c r="F4217" s="1"/>
      <c r="G4217" s="1"/>
      <c r="H4217" s="1"/>
      <c r="I4217" s="1"/>
      <c r="J4217" s="1"/>
      <c r="K4217" s="89" t="s">
        <v>6494</v>
      </c>
      <c r="L4217" s="89" t="str">
        <f>C146</f>
        <v>C2a</v>
      </c>
      <c r="M4217" s="89"/>
      <c r="N4217" s="89" t="s">
        <v>6495</v>
      </c>
      <c r="O4217" s="92">
        <v>1.8671871E7</v>
      </c>
      <c r="P4217" s="92">
        <v>1.6559991E7</v>
      </c>
      <c r="Q4217" s="89" t="s">
        <v>810</v>
      </c>
      <c r="AF4217" s="1"/>
      <c r="AG4217" s="1"/>
    </row>
    <row r="4218" ht="15.75" customHeight="1">
      <c r="A4218" s="1"/>
      <c r="B4218" s="1"/>
      <c r="C4218" s="1"/>
      <c r="D4218" s="1"/>
      <c r="E4218" s="1"/>
      <c r="F4218" s="1"/>
      <c r="G4218" s="1"/>
      <c r="H4218" s="1"/>
      <c r="I4218" s="1"/>
      <c r="J4218" s="1"/>
      <c r="K4218" s="89" t="s">
        <v>6496</v>
      </c>
      <c r="L4218" s="89" t="str">
        <f>C146</f>
        <v>C2a</v>
      </c>
      <c r="M4218" s="89"/>
      <c r="N4218" s="89" t="s">
        <v>6497</v>
      </c>
      <c r="O4218" s="92">
        <v>1.8776516E7</v>
      </c>
      <c r="P4218" s="92">
        <v>1.6664636E7</v>
      </c>
      <c r="Q4218" s="89" t="s">
        <v>917</v>
      </c>
      <c r="AF4218" s="1"/>
      <c r="AG4218" s="1"/>
    </row>
    <row r="4219" ht="15.75" customHeight="1">
      <c r="A4219" s="1"/>
      <c r="B4219" s="1"/>
      <c r="C4219" s="1"/>
      <c r="D4219" s="1"/>
      <c r="E4219" s="1"/>
      <c r="F4219" s="1"/>
      <c r="G4219" s="1"/>
      <c r="H4219" s="1"/>
      <c r="I4219" s="1"/>
      <c r="J4219" s="1"/>
      <c r="K4219" s="89" t="s">
        <v>6498</v>
      </c>
      <c r="L4219" s="89" t="str">
        <f>C146</f>
        <v>C2a</v>
      </c>
      <c r="M4219" s="89"/>
      <c r="N4219" s="89" t="s">
        <v>6499</v>
      </c>
      <c r="O4219" s="92">
        <v>2.1641985E7</v>
      </c>
      <c r="P4219" s="92">
        <v>1.9480099E7</v>
      </c>
      <c r="Q4219" s="89" t="s">
        <v>831</v>
      </c>
      <c r="AF4219" s="1"/>
      <c r="AG4219" s="1"/>
    </row>
    <row r="4220" ht="15.75" customHeight="1">
      <c r="A4220" s="1"/>
      <c r="B4220" s="1"/>
      <c r="C4220" s="1"/>
      <c r="D4220" s="1"/>
      <c r="E4220" s="1"/>
      <c r="F4220" s="1"/>
      <c r="G4220" s="1"/>
      <c r="H4220" s="1"/>
      <c r="I4220" s="1"/>
      <c r="J4220" s="1"/>
      <c r="K4220" s="89" t="s">
        <v>6500</v>
      </c>
      <c r="L4220" s="89" t="str">
        <f>C146</f>
        <v>C2a</v>
      </c>
      <c r="M4220" s="89" t="s">
        <v>6501</v>
      </c>
      <c r="N4220" s="89" t="s">
        <v>6502</v>
      </c>
      <c r="O4220" s="92">
        <v>7767509.0</v>
      </c>
      <c r="P4220" s="92">
        <v>7899468.0</v>
      </c>
      <c r="Q4220" s="89" t="s">
        <v>831</v>
      </c>
      <c r="AF4220" s="1"/>
      <c r="AG4220" s="1"/>
    </row>
    <row r="4221" ht="15.75" customHeight="1">
      <c r="A4221" s="1"/>
      <c r="B4221" s="1"/>
      <c r="C4221" s="1"/>
      <c r="D4221" s="1"/>
      <c r="E4221" s="1"/>
      <c r="F4221" s="1"/>
      <c r="G4221" s="1"/>
      <c r="H4221" s="1"/>
      <c r="I4221" s="1"/>
      <c r="J4221" s="1"/>
      <c r="K4221" s="89" t="s">
        <v>6503</v>
      </c>
      <c r="L4221" s="89" t="str">
        <f>C146</f>
        <v>C2a</v>
      </c>
      <c r="M4221" s="89" t="s">
        <v>6504</v>
      </c>
      <c r="N4221" s="89" t="s">
        <v>6502</v>
      </c>
      <c r="O4221" s="92">
        <v>7767509.0</v>
      </c>
      <c r="P4221" s="92">
        <v>7899468.0</v>
      </c>
      <c r="Q4221" s="89" t="s">
        <v>831</v>
      </c>
      <c r="AF4221" s="1"/>
      <c r="AG4221" s="1"/>
    </row>
    <row r="4222" ht="15.75" customHeight="1">
      <c r="A4222" s="1"/>
      <c r="B4222" s="1"/>
      <c r="C4222" s="1"/>
      <c r="D4222" s="1"/>
      <c r="E4222" s="1"/>
      <c r="F4222" s="1"/>
      <c r="G4222" s="1"/>
      <c r="H4222" s="1"/>
      <c r="I4222" s="1"/>
      <c r="J4222" s="1"/>
      <c r="K4222" s="89" t="s">
        <v>6505</v>
      </c>
      <c r="L4222" s="89" t="str">
        <f>C146</f>
        <v>C2a</v>
      </c>
      <c r="M4222" s="89" t="s">
        <v>6506</v>
      </c>
      <c r="N4222" s="89" t="s">
        <v>6502</v>
      </c>
      <c r="O4222" s="92">
        <v>7767509.0</v>
      </c>
      <c r="P4222" s="92">
        <v>7899468.0</v>
      </c>
      <c r="Q4222" s="89" t="s">
        <v>831</v>
      </c>
      <c r="AF4222" s="1"/>
      <c r="AG4222" s="1"/>
    </row>
    <row r="4223" ht="15.75" customHeight="1">
      <c r="A4223" s="1"/>
      <c r="B4223" s="1"/>
      <c r="C4223" s="1"/>
      <c r="D4223" s="1"/>
      <c r="E4223" s="1"/>
      <c r="F4223" s="1"/>
      <c r="G4223" s="1"/>
      <c r="H4223" s="1"/>
      <c r="I4223" s="1"/>
      <c r="J4223" s="1"/>
      <c r="K4223" s="89" t="s">
        <v>6507</v>
      </c>
      <c r="L4223" s="89" t="str">
        <f>C146</f>
        <v>C2a</v>
      </c>
      <c r="M4223" s="89" t="s">
        <v>6508</v>
      </c>
      <c r="N4223" s="89" t="s">
        <v>6502</v>
      </c>
      <c r="O4223" s="92">
        <v>7767509.0</v>
      </c>
      <c r="P4223" s="92">
        <v>7899468.0</v>
      </c>
      <c r="Q4223" s="89" t="s">
        <v>831</v>
      </c>
      <c r="AF4223" s="1"/>
      <c r="AG4223" s="1"/>
    </row>
    <row r="4224" ht="15.75" customHeight="1">
      <c r="A4224" s="1"/>
      <c r="B4224" s="1"/>
      <c r="C4224" s="1"/>
      <c r="D4224" s="1"/>
      <c r="E4224" s="1"/>
      <c r="F4224" s="1"/>
      <c r="G4224" s="1"/>
      <c r="H4224" s="1"/>
      <c r="I4224" s="1"/>
      <c r="J4224" s="1"/>
      <c r="K4224" s="89" t="s">
        <v>6509</v>
      </c>
      <c r="L4224" s="89" t="str">
        <f>C146</f>
        <v>C2a</v>
      </c>
      <c r="M4224" s="89" t="s">
        <v>6510</v>
      </c>
      <c r="N4224" s="89"/>
      <c r="O4224" s="92">
        <v>7939131.0</v>
      </c>
      <c r="P4224" s="92">
        <v>8071090.0</v>
      </c>
      <c r="Q4224" s="89" t="s">
        <v>831</v>
      </c>
      <c r="AF4224" s="1"/>
      <c r="AG4224" s="1"/>
    </row>
    <row r="4225" ht="15.75" customHeight="1">
      <c r="A4225" s="1"/>
      <c r="B4225" s="1"/>
      <c r="C4225" s="1"/>
      <c r="D4225" s="1"/>
      <c r="E4225" s="1"/>
      <c r="F4225" s="1"/>
      <c r="G4225" s="1"/>
      <c r="H4225" s="1"/>
      <c r="I4225" s="1"/>
      <c r="J4225" s="1"/>
      <c r="K4225" s="89" t="s">
        <v>6511</v>
      </c>
      <c r="L4225" s="89" t="str">
        <f>C146</f>
        <v>C2a</v>
      </c>
      <c r="M4225" s="89" t="s">
        <v>6512</v>
      </c>
      <c r="N4225" s="89"/>
      <c r="O4225" s="92">
        <v>7939131.0</v>
      </c>
      <c r="P4225" s="92">
        <v>8071090.0</v>
      </c>
      <c r="Q4225" s="89" t="s">
        <v>831</v>
      </c>
      <c r="AF4225" s="1"/>
      <c r="AG4225" s="1"/>
    </row>
    <row r="4226" ht="15.75" customHeight="1">
      <c r="A4226" s="1"/>
      <c r="B4226" s="1"/>
      <c r="C4226" s="1"/>
      <c r="D4226" s="1"/>
      <c r="E4226" s="1"/>
      <c r="F4226" s="1"/>
      <c r="G4226" s="1"/>
      <c r="H4226" s="1"/>
      <c r="I4226" s="1"/>
      <c r="J4226" s="1"/>
      <c r="K4226" s="89" t="s">
        <v>6513</v>
      </c>
      <c r="L4226" s="89" t="str">
        <f>C146</f>
        <v>C2a</v>
      </c>
      <c r="M4226" s="89" t="s">
        <v>6514</v>
      </c>
      <c r="N4226" s="89"/>
      <c r="O4226" s="92">
        <v>7939131.0</v>
      </c>
      <c r="P4226" s="92">
        <v>8071090.0</v>
      </c>
      <c r="Q4226" s="89" t="s">
        <v>831</v>
      </c>
      <c r="AF4226" s="1"/>
      <c r="AG4226" s="1"/>
    </row>
    <row r="4227" ht="15.75" customHeight="1">
      <c r="A4227" s="1"/>
      <c r="B4227" s="1"/>
      <c r="C4227" s="1"/>
      <c r="D4227" s="1"/>
      <c r="E4227" s="1"/>
      <c r="F4227" s="1"/>
      <c r="G4227" s="1"/>
      <c r="H4227" s="1"/>
      <c r="I4227" s="1"/>
      <c r="J4227" s="1"/>
      <c r="K4227" s="89" t="s">
        <v>6515</v>
      </c>
      <c r="L4227" s="89" t="str">
        <f>C146</f>
        <v>C2a</v>
      </c>
      <c r="M4227" s="89" t="s">
        <v>6516</v>
      </c>
      <c r="N4227" s="89"/>
      <c r="O4227" s="92">
        <v>7939131.0</v>
      </c>
      <c r="P4227" s="92">
        <v>8071090.0</v>
      </c>
      <c r="Q4227" s="89" t="s">
        <v>831</v>
      </c>
      <c r="AF4227" s="1"/>
      <c r="AG4227" s="1"/>
    </row>
    <row r="4228" ht="15.75" customHeight="1">
      <c r="A4228" s="1"/>
      <c r="B4228" s="1"/>
      <c r="C4228" s="1"/>
      <c r="D4228" s="1"/>
      <c r="E4228" s="1"/>
      <c r="F4228" s="1"/>
      <c r="G4228" s="1"/>
      <c r="H4228" s="1"/>
      <c r="I4228" s="1"/>
      <c r="J4228" s="1"/>
      <c r="K4228" s="89" t="s">
        <v>6517</v>
      </c>
      <c r="L4228" s="89" t="str">
        <f>C146</f>
        <v>C2a</v>
      </c>
      <c r="M4228" s="89" t="s">
        <v>6518</v>
      </c>
      <c r="N4228" s="89" t="s">
        <v>6519</v>
      </c>
      <c r="O4228" s="92">
        <v>9065289.0</v>
      </c>
      <c r="P4228" s="92">
        <v>9227680.0</v>
      </c>
      <c r="Q4228" s="89" t="s">
        <v>886</v>
      </c>
      <c r="AF4228" s="1"/>
      <c r="AG4228" s="1"/>
    </row>
    <row r="4229" ht="15.75" customHeight="1">
      <c r="A4229" s="1"/>
      <c r="B4229" s="1"/>
      <c r="C4229" s="1"/>
      <c r="D4229" s="1"/>
      <c r="E4229" s="1"/>
      <c r="F4229" s="1"/>
      <c r="G4229" s="1"/>
      <c r="H4229" s="1"/>
      <c r="I4229" s="1"/>
      <c r="J4229" s="1"/>
      <c r="K4229" s="89" t="s">
        <v>6520</v>
      </c>
      <c r="L4229" s="89" t="str">
        <f>C146</f>
        <v>C2a</v>
      </c>
      <c r="M4229" s="89" t="s">
        <v>6521</v>
      </c>
      <c r="N4229" s="89" t="s">
        <v>6519</v>
      </c>
      <c r="O4229" s="92">
        <v>9065289.0</v>
      </c>
      <c r="P4229" s="92">
        <v>9227680.0</v>
      </c>
      <c r="Q4229" s="89" t="s">
        <v>886</v>
      </c>
      <c r="AF4229" s="1"/>
      <c r="AG4229" s="1"/>
    </row>
    <row r="4230" ht="15.75" customHeight="1">
      <c r="A4230" s="1"/>
      <c r="B4230" s="1"/>
      <c r="C4230" s="1"/>
      <c r="D4230" s="1"/>
      <c r="E4230" s="1"/>
      <c r="F4230" s="1"/>
      <c r="G4230" s="1"/>
      <c r="H4230" s="1"/>
      <c r="I4230" s="1"/>
      <c r="J4230" s="1"/>
      <c r="K4230" s="89" t="s">
        <v>6522</v>
      </c>
      <c r="L4230" s="89" t="str">
        <f>C146</f>
        <v>C2a</v>
      </c>
      <c r="M4230" s="89" t="s">
        <v>6523</v>
      </c>
      <c r="N4230" s="89" t="s">
        <v>6519</v>
      </c>
      <c r="O4230" s="92">
        <v>9065289.0</v>
      </c>
      <c r="P4230" s="92">
        <v>9227680.0</v>
      </c>
      <c r="Q4230" s="89" t="s">
        <v>886</v>
      </c>
      <c r="AF4230" s="1"/>
      <c r="AG4230" s="1"/>
    </row>
    <row r="4231" ht="15.75" customHeight="1">
      <c r="A4231" s="1"/>
      <c r="B4231" s="1"/>
      <c r="C4231" s="1"/>
      <c r="D4231" s="1"/>
      <c r="E4231" s="1"/>
      <c r="F4231" s="1"/>
      <c r="G4231" s="1"/>
      <c r="H4231" s="1"/>
      <c r="I4231" s="1"/>
      <c r="J4231" s="1"/>
      <c r="K4231" s="89" t="s">
        <v>6524</v>
      </c>
      <c r="L4231" s="89" t="str">
        <f>C146</f>
        <v>C2a</v>
      </c>
      <c r="M4231" s="89" t="s">
        <v>6525</v>
      </c>
      <c r="N4231" s="89" t="s">
        <v>6519</v>
      </c>
      <c r="O4231" s="92">
        <v>9065289.0</v>
      </c>
      <c r="P4231" s="92">
        <v>9227680.0</v>
      </c>
      <c r="Q4231" s="89" t="s">
        <v>886</v>
      </c>
      <c r="AF4231" s="1"/>
      <c r="AG4231" s="1"/>
    </row>
    <row r="4232" ht="15.75" customHeight="1">
      <c r="A4232" s="1"/>
      <c r="B4232" s="1"/>
      <c r="C4232" s="1"/>
      <c r="D4232" s="1"/>
      <c r="E4232" s="1"/>
      <c r="F4232" s="1"/>
      <c r="G4232" s="1"/>
      <c r="H4232" s="1"/>
      <c r="I4232" s="1"/>
      <c r="J4232" s="1"/>
      <c r="K4232" s="89" t="s">
        <v>6526</v>
      </c>
      <c r="L4232" s="89" t="str">
        <f>C146</f>
        <v>C2a</v>
      </c>
      <c r="M4232" s="89" t="s">
        <v>6527</v>
      </c>
      <c r="N4232" s="89"/>
      <c r="O4232" s="92">
        <v>9075738.0</v>
      </c>
      <c r="P4232" s="92">
        <v>9238129.0</v>
      </c>
      <c r="Q4232" s="89" t="s">
        <v>810</v>
      </c>
      <c r="AF4232" s="1"/>
      <c r="AG4232" s="1"/>
    </row>
    <row r="4233" ht="15.75" customHeight="1">
      <c r="A4233" s="1"/>
      <c r="B4233" s="1"/>
      <c r="C4233" s="1"/>
      <c r="D4233" s="1"/>
      <c r="E4233" s="1"/>
      <c r="F4233" s="1"/>
      <c r="G4233" s="1"/>
      <c r="H4233" s="1"/>
      <c r="I4233" s="1"/>
      <c r="J4233" s="1"/>
      <c r="K4233" s="89" t="s">
        <v>6528</v>
      </c>
      <c r="L4233" s="89" t="str">
        <f>C146</f>
        <v>C2a</v>
      </c>
      <c r="M4233" s="89" t="s">
        <v>6529</v>
      </c>
      <c r="N4233" s="89"/>
      <c r="O4233" s="92">
        <v>9075738.0</v>
      </c>
      <c r="P4233" s="92">
        <v>9238129.0</v>
      </c>
      <c r="Q4233" s="89" t="s">
        <v>810</v>
      </c>
      <c r="AF4233" s="1"/>
      <c r="AG4233" s="1"/>
    </row>
    <row r="4234" ht="15.75" customHeight="1">
      <c r="A4234" s="1"/>
      <c r="B4234" s="1"/>
      <c r="C4234" s="1"/>
      <c r="D4234" s="1"/>
      <c r="E4234" s="1"/>
      <c r="F4234" s="1"/>
      <c r="G4234" s="1"/>
      <c r="H4234" s="1"/>
      <c r="I4234" s="1"/>
      <c r="J4234" s="1"/>
      <c r="K4234" s="89" t="s">
        <v>6530</v>
      </c>
      <c r="L4234" s="89" t="str">
        <f>C146</f>
        <v>C2a</v>
      </c>
      <c r="M4234" s="89" t="s">
        <v>6531</v>
      </c>
      <c r="N4234" s="89"/>
      <c r="O4234" s="92">
        <v>9075738.0</v>
      </c>
      <c r="P4234" s="92">
        <v>9238129.0</v>
      </c>
      <c r="Q4234" s="89" t="s">
        <v>810</v>
      </c>
      <c r="AF4234" s="1"/>
      <c r="AG4234" s="1"/>
    </row>
    <row r="4235" ht="15.75" customHeight="1">
      <c r="A4235" s="1"/>
      <c r="B4235" s="1"/>
      <c r="C4235" s="1"/>
      <c r="D4235" s="1"/>
      <c r="E4235" s="1"/>
      <c r="F4235" s="1"/>
      <c r="G4235" s="1"/>
      <c r="H4235" s="1"/>
      <c r="I4235" s="1"/>
      <c r="J4235" s="1"/>
      <c r="K4235" s="89" t="s">
        <v>6532</v>
      </c>
      <c r="L4235" s="89" t="str">
        <f>C146</f>
        <v>C2a</v>
      </c>
      <c r="M4235" s="89" t="s">
        <v>6533</v>
      </c>
      <c r="N4235" s="89"/>
      <c r="O4235" s="92">
        <v>9075738.0</v>
      </c>
      <c r="P4235" s="92">
        <v>9238129.0</v>
      </c>
      <c r="Q4235" s="89" t="s">
        <v>810</v>
      </c>
      <c r="AF4235" s="1"/>
      <c r="AG4235" s="1"/>
    </row>
    <row r="4236" ht="15.75" customHeight="1">
      <c r="A4236" s="1"/>
      <c r="B4236" s="1"/>
      <c r="C4236" s="1"/>
      <c r="D4236" s="1"/>
      <c r="E4236" s="1"/>
      <c r="F4236" s="1"/>
      <c r="G4236" s="1"/>
      <c r="H4236" s="1"/>
      <c r="I4236" s="1"/>
      <c r="J4236" s="1"/>
      <c r="K4236" s="93" t="s">
        <v>6534</v>
      </c>
      <c r="L4236" s="89" t="str">
        <f>C146</f>
        <v>C2a</v>
      </c>
      <c r="M4236" s="89" t="s">
        <v>6535</v>
      </c>
      <c r="N4236" s="89" t="s">
        <v>6536</v>
      </c>
      <c r="O4236" s="92">
        <v>9074523.0</v>
      </c>
      <c r="P4236" s="92">
        <v>9236914.0</v>
      </c>
      <c r="Q4236" s="89" t="s">
        <v>802</v>
      </c>
      <c r="AF4236" s="1"/>
      <c r="AG4236" s="1"/>
    </row>
    <row r="4237" ht="15.75" customHeight="1">
      <c r="A4237" s="1"/>
      <c r="B4237" s="1"/>
      <c r="C4237" s="1"/>
      <c r="D4237" s="1"/>
      <c r="E4237" s="1"/>
      <c r="F4237" s="1"/>
      <c r="G4237" s="1"/>
      <c r="H4237" s="1"/>
      <c r="I4237" s="1"/>
      <c r="J4237" s="1"/>
      <c r="K4237" s="89" t="s">
        <v>6537</v>
      </c>
      <c r="L4237" s="89" t="str">
        <f>C146</f>
        <v>C2a</v>
      </c>
      <c r="M4237" s="93" t="s">
        <v>6538</v>
      </c>
      <c r="N4237" s="89" t="s">
        <v>6536</v>
      </c>
      <c r="O4237" s="92">
        <v>9074523.0</v>
      </c>
      <c r="P4237" s="92">
        <v>9236914.0</v>
      </c>
      <c r="Q4237" s="89" t="s">
        <v>802</v>
      </c>
      <c r="AF4237" s="1"/>
      <c r="AG4237" s="1"/>
    </row>
    <row r="4238" ht="15.75" customHeight="1">
      <c r="A4238" s="1"/>
      <c r="B4238" s="1"/>
      <c r="C4238" s="1"/>
      <c r="D4238" s="1"/>
      <c r="E4238" s="1"/>
      <c r="F4238" s="1"/>
      <c r="G4238" s="1"/>
      <c r="H4238" s="1"/>
      <c r="I4238" s="1"/>
      <c r="J4238" s="1"/>
      <c r="K4238" s="89" t="s">
        <v>6539</v>
      </c>
      <c r="L4238" s="89" t="str">
        <f>C146</f>
        <v>C2a</v>
      </c>
      <c r="M4238" s="93" t="s">
        <v>6540</v>
      </c>
      <c r="N4238" s="89" t="s">
        <v>6536</v>
      </c>
      <c r="O4238" s="92">
        <v>9074523.0</v>
      </c>
      <c r="P4238" s="92">
        <v>9236914.0</v>
      </c>
      <c r="Q4238" s="89" t="s">
        <v>802</v>
      </c>
      <c r="AF4238" s="1"/>
      <c r="AG4238" s="1"/>
    </row>
    <row r="4239" ht="15.75" customHeight="1">
      <c r="A4239" s="1"/>
      <c r="B4239" s="1"/>
      <c r="C4239" s="1"/>
      <c r="D4239" s="1"/>
      <c r="E4239" s="1"/>
      <c r="F4239" s="1"/>
      <c r="G4239" s="1"/>
      <c r="H4239" s="1"/>
      <c r="I4239" s="1"/>
      <c r="J4239" s="1"/>
      <c r="K4239" s="89" t="s">
        <v>6541</v>
      </c>
      <c r="L4239" s="89" t="str">
        <f>C146</f>
        <v>C2a</v>
      </c>
      <c r="M4239" s="93" t="s">
        <v>6542</v>
      </c>
      <c r="N4239" s="89" t="s">
        <v>6536</v>
      </c>
      <c r="O4239" s="92">
        <v>9074523.0</v>
      </c>
      <c r="P4239" s="92">
        <v>9236914.0</v>
      </c>
      <c r="Q4239" s="89" t="s">
        <v>802</v>
      </c>
      <c r="AF4239" s="1"/>
      <c r="AG4239" s="1"/>
    </row>
    <row r="4240" ht="15.75" customHeight="1">
      <c r="A4240" s="1"/>
      <c r="B4240" s="1"/>
      <c r="C4240" s="1"/>
      <c r="D4240" s="1"/>
      <c r="E4240" s="1"/>
      <c r="F4240" s="1"/>
      <c r="G4240" s="1"/>
      <c r="H4240" s="1"/>
      <c r="I4240" s="1"/>
      <c r="J4240" s="1"/>
      <c r="K4240" s="89" t="s">
        <v>6543</v>
      </c>
      <c r="L4240" s="89" t="str">
        <f>C146</f>
        <v>C2a</v>
      </c>
      <c r="M4240" s="89" t="s">
        <v>6544</v>
      </c>
      <c r="N4240" s="89" t="s">
        <v>6545</v>
      </c>
      <c r="O4240" s="92">
        <v>1.3799225E7</v>
      </c>
      <c r="P4240" s="92">
        <v>1.1678519E7</v>
      </c>
      <c r="Q4240" s="89" t="s">
        <v>912</v>
      </c>
      <c r="AF4240" s="1"/>
      <c r="AG4240" s="1"/>
    </row>
    <row r="4241" ht="15.75" customHeight="1">
      <c r="A4241" s="1"/>
      <c r="B4241" s="1"/>
      <c r="C4241" s="1"/>
      <c r="D4241" s="1"/>
      <c r="E4241" s="1"/>
      <c r="F4241" s="1"/>
      <c r="G4241" s="1"/>
      <c r="H4241" s="1"/>
      <c r="I4241" s="1"/>
      <c r="J4241" s="1"/>
      <c r="K4241" s="89" t="s">
        <v>6546</v>
      </c>
      <c r="L4241" s="89" t="str">
        <f>C146</f>
        <v>C2a</v>
      </c>
      <c r="M4241" s="89" t="s">
        <v>6547</v>
      </c>
      <c r="N4241" s="89" t="s">
        <v>6545</v>
      </c>
      <c r="O4241" s="92">
        <v>1.3799225E7</v>
      </c>
      <c r="P4241" s="92">
        <v>1.1678519E7</v>
      </c>
      <c r="Q4241" s="89" t="s">
        <v>912</v>
      </c>
      <c r="AF4241" s="1"/>
      <c r="AG4241" s="1"/>
    </row>
    <row r="4242" ht="15.75" customHeight="1">
      <c r="A4242" s="1"/>
      <c r="B4242" s="1"/>
      <c r="C4242" s="1"/>
      <c r="D4242" s="1"/>
      <c r="E4242" s="1"/>
      <c r="F4242" s="1"/>
      <c r="G4242" s="1"/>
      <c r="H4242" s="1"/>
      <c r="I4242" s="1"/>
      <c r="J4242" s="1"/>
      <c r="K4242" s="89" t="s">
        <v>6548</v>
      </c>
      <c r="L4242" s="89" t="str">
        <f>C146</f>
        <v>C2a</v>
      </c>
      <c r="M4242" s="89" t="s">
        <v>6549</v>
      </c>
      <c r="N4242" s="89" t="s">
        <v>6545</v>
      </c>
      <c r="O4242" s="92">
        <v>1.3799225E7</v>
      </c>
      <c r="P4242" s="92">
        <v>1.1678519E7</v>
      </c>
      <c r="Q4242" s="89" t="s">
        <v>912</v>
      </c>
      <c r="AF4242" s="1"/>
      <c r="AG4242" s="1"/>
    </row>
    <row r="4243" ht="15.75" customHeight="1">
      <c r="A4243" s="1"/>
      <c r="B4243" s="1"/>
      <c r="C4243" s="1"/>
      <c r="D4243" s="1"/>
      <c r="E4243" s="1"/>
      <c r="F4243" s="1"/>
      <c r="G4243" s="1"/>
      <c r="H4243" s="1"/>
      <c r="I4243" s="1"/>
      <c r="J4243" s="1"/>
      <c r="K4243" s="89" t="s">
        <v>6550</v>
      </c>
      <c r="L4243" s="89" t="str">
        <f>C146</f>
        <v>C2a</v>
      </c>
      <c r="M4243" s="89" t="s">
        <v>6551</v>
      </c>
      <c r="N4243" s="89" t="s">
        <v>6552</v>
      </c>
      <c r="O4243" s="92">
        <v>1.4172005E7</v>
      </c>
      <c r="P4243" s="92">
        <v>1.2051299E7</v>
      </c>
      <c r="Q4243" s="89" t="s">
        <v>838</v>
      </c>
      <c r="AF4243" s="1"/>
      <c r="AG4243" s="1"/>
    </row>
    <row r="4244" ht="15.75" customHeight="1">
      <c r="A4244" s="1"/>
      <c r="B4244" s="1"/>
      <c r="C4244" s="1"/>
      <c r="D4244" s="1"/>
      <c r="E4244" s="1"/>
      <c r="F4244" s="1"/>
      <c r="G4244" s="1"/>
      <c r="H4244" s="1"/>
      <c r="I4244" s="1"/>
      <c r="J4244" s="1"/>
      <c r="K4244" s="89" t="s">
        <v>6553</v>
      </c>
      <c r="L4244" s="89" t="str">
        <f>C146</f>
        <v>C2a</v>
      </c>
      <c r="M4244" s="89" t="s">
        <v>6554</v>
      </c>
      <c r="N4244" s="89" t="s">
        <v>6552</v>
      </c>
      <c r="O4244" s="92">
        <v>1.4172005E7</v>
      </c>
      <c r="P4244" s="92">
        <v>1.2051299E7</v>
      </c>
      <c r="Q4244" s="89" t="s">
        <v>838</v>
      </c>
      <c r="AF4244" s="1"/>
      <c r="AG4244" s="1"/>
    </row>
    <row r="4245" ht="15.75" customHeight="1">
      <c r="A4245" s="1"/>
      <c r="B4245" s="1"/>
      <c r="C4245" s="1"/>
      <c r="D4245" s="1"/>
      <c r="E4245" s="1"/>
      <c r="F4245" s="1"/>
      <c r="G4245" s="1"/>
      <c r="H4245" s="1"/>
      <c r="I4245" s="1"/>
      <c r="J4245" s="1"/>
      <c r="K4245" s="89" t="s">
        <v>6555</v>
      </c>
      <c r="L4245" s="89" t="str">
        <f>C146</f>
        <v>C2a</v>
      </c>
      <c r="M4245" s="89" t="s">
        <v>6556</v>
      </c>
      <c r="N4245" s="89" t="s">
        <v>6552</v>
      </c>
      <c r="O4245" s="92">
        <v>1.4172005E7</v>
      </c>
      <c r="P4245" s="92">
        <v>1.2051299E7</v>
      </c>
      <c r="Q4245" s="89" t="s">
        <v>838</v>
      </c>
      <c r="AF4245" s="1"/>
      <c r="AG4245" s="1"/>
    </row>
    <row r="4246" ht="15.75" customHeight="1">
      <c r="A4246" s="1"/>
      <c r="B4246" s="1"/>
      <c r="C4246" s="1"/>
      <c r="D4246" s="1"/>
      <c r="E4246" s="1"/>
      <c r="F4246" s="1"/>
      <c r="G4246" s="1"/>
      <c r="H4246" s="1"/>
      <c r="I4246" s="1"/>
      <c r="J4246" s="1"/>
      <c r="K4246" s="89" t="s">
        <v>6557</v>
      </c>
      <c r="L4246" s="89" t="str">
        <f>C146</f>
        <v>C2a</v>
      </c>
      <c r="M4246" s="89" t="s">
        <v>6558</v>
      </c>
      <c r="N4246" s="89" t="s">
        <v>6552</v>
      </c>
      <c r="O4246" s="92">
        <v>1.4172005E7</v>
      </c>
      <c r="P4246" s="92">
        <v>1.2051299E7</v>
      </c>
      <c r="Q4246" s="89" t="s">
        <v>838</v>
      </c>
      <c r="AF4246" s="1"/>
      <c r="AG4246" s="1"/>
    </row>
    <row r="4247" ht="15.75" customHeight="1">
      <c r="A4247" s="1"/>
      <c r="B4247" s="1"/>
      <c r="C4247" s="1"/>
      <c r="D4247" s="1"/>
      <c r="E4247" s="1"/>
      <c r="F4247" s="1"/>
      <c r="G4247" s="1"/>
      <c r="H4247" s="1"/>
      <c r="I4247" s="1"/>
      <c r="J4247" s="1"/>
      <c r="K4247" s="89" t="s">
        <v>6559</v>
      </c>
      <c r="L4247" s="89" t="str">
        <f>C146</f>
        <v>C2a</v>
      </c>
      <c r="M4247" s="89" t="s">
        <v>6560</v>
      </c>
      <c r="N4247" s="89" t="s">
        <v>6561</v>
      </c>
      <c r="O4247" s="92">
        <v>1.4841692E7</v>
      </c>
      <c r="P4247" s="92">
        <v>1.2729759E7</v>
      </c>
      <c r="Q4247" s="89" t="s">
        <v>845</v>
      </c>
      <c r="AF4247" s="1"/>
      <c r="AG4247" s="1"/>
    </row>
    <row r="4248" ht="15.75" customHeight="1">
      <c r="A4248" s="1"/>
      <c r="B4248" s="1"/>
      <c r="C4248" s="1"/>
      <c r="D4248" s="1"/>
      <c r="E4248" s="1"/>
      <c r="F4248" s="1"/>
      <c r="G4248" s="1"/>
      <c r="H4248" s="1"/>
      <c r="I4248" s="1"/>
      <c r="J4248" s="1"/>
      <c r="K4248" s="89" t="s">
        <v>6562</v>
      </c>
      <c r="L4248" s="89" t="str">
        <f>C146</f>
        <v>C2a</v>
      </c>
      <c r="M4248" s="89" t="s">
        <v>6563</v>
      </c>
      <c r="N4248" s="89" t="s">
        <v>6561</v>
      </c>
      <c r="O4248" s="92">
        <v>1.4841692E7</v>
      </c>
      <c r="P4248" s="92">
        <v>1.2729759E7</v>
      </c>
      <c r="Q4248" s="89" t="s">
        <v>845</v>
      </c>
      <c r="AF4248" s="1"/>
      <c r="AG4248" s="1"/>
    </row>
    <row r="4249" ht="15.75" customHeight="1">
      <c r="A4249" s="1"/>
      <c r="B4249" s="1"/>
      <c r="C4249" s="1"/>
      <c r="D4249" s="1"/>
      <c r="E4249" s="1"/>
      <c r="F4249" s="1"/>
      <c r="G4249" s="1"/>
      <c r="H4249" s="1"/>
      <c r="I4249" s="1"/>
      <c r="J4249" s="1"/>
      <c r="K4249" s="89" t="s">
        <v>6564</v>
      </c>
      <c r="L4249" s="89" t="str">
        <f>C146</f>
        <v>C2a</v>
      </c>
      <c r="M4249" s="89" t="s">
        <v>6565</v>
      </c>
      <c r="N4249" s="89" t="s">
        <v>6561</v>
      </c>
      <c r="O4249" s="92">
        <v>1.4841692E7</v>
      </c>
      <c r="P4249" s="92">
        <v>1.2729759E7</v>
      </c>
      <c r="Q4249" s="89" t="s">
        <v>845</v>
      </c>
      <c r="AF4249" s="1"/>
      <c r="AG4249" s="1"/>
    </row>
    <row r="4250" ht="15.75" customHeight="1">
      <c r="A4250" s="1"/>
      <c r="B4250" s="1"/>
      <c r="C4250" s="1"/>
      <c r="D4250" s="1"/>
      <c r="E4250" s="1"/>
      <c r="F4250" s="1"/>
      <c r="G4250" s="1"/>
      <c r="H4250" s="1"/>
      <c r="I4250" s="1"/>
      <c r="J4250" s="1"/>
      <c r="K4250" s="89" t="s">
        <v>6566</v>
      </c>
      <c r="L4250" s="89" t="str">
        <f>C146</f>
        <v>C2a</v>
      </c>
      <c r="M4250" s="89" t="s">
        <v>6567</v>
      </c>
      <c r="N4250" s="89" t="s">
        <v>6561</v>
      </c>
      <c r="O4250" s="92">
        <v>1.4841692E7</v>
      </c>
      <c r="P4250" s="92">
        <v>1.2729759E7</v>
      </c>
      <c r="Q4250" s="89" t="s">
        <v>845</v>
      </c>
      <c r="AF4250" s="1"/>
      <c r="AG4250" s="1"/>
    </row>
    <row r="4251" ht="15.75" customHeight="1">
      <c r="A4251" s="1"/>
      <c r="B4251" s="1"/>
      <c r="C4251" s="1"/>
      <c r="D4251" s="1"/>
      <c r="E4251" s="1"/>
      <c r="F4251" s="1"/>
      <c r="G4251" s="1"/>
      <c r="H4251" s="1"/>
      <c r="I4251" s="1"/>
      <c r="J4251" s="1"/>
      <c r="K4251" s="89" t="s">
        <v>6568</v>
      </c>
      <c r="L4251" s="89" t="str">
        <f>C146</f>
        <v>C2a</v>
      </c>
      <c r="M4251" s="89" t="s">
        <v>6569</v>
      </c>
      <c r="N4251" s="89" t="s">
        <v>6570</v>
      </c>
      <c r="O4251" s="92">
        <v>1.4857294E7</v>
      </c>
      <c r="P4251" s="92">
        <v>1.274536E7</v>
      </c>
      <c r="Q4251" s="89" t="s">
        <v>810</v>
      </c>
      <c r="AF4251" s="1"/>
      <c r="AG4251" s="1"/>
    </row>
    <row r="4252" ht="15.75" customHeight="1">
      <c r="A4252" s="1"/>
      <c r="B4252" s="1"/>
      <c r="C4252" s="1"/>
      <c r="D4252" s="1"/>
      <c r="E4252" s="1"/>
      <c r="F4252" s="1"/>
      <c r="G4252" s="1"/>
      <c r="H4252" s="1"/>
      <c r="I4252" s="1"/>
      <c r="J4252" s="1"/>
      <c r="K4252" s="89" t="s">
        <v>6571</v>
      </c>
      <c r="L4252" s="89" t="str">
        <f>C146</f>
        <v>C2a</v>
      </c>
      <c r="M4252" s="89" t="s">
        <v>6572</v>
      </c>
      <c r="N4252" s="89" t="s">
        <v>6570</v>
      </c>
      <c r="O4252" s="92">
        <v>1.4857294E7</v>
      </c>
      <c r="P4252" s="92">
        <v>1.274536E7</v>
      </c>
      <c r="Q4252" s="89" t="s">
        <v>810</v>
      </c>
      <c r="AF4252" s="1"/>
      <c r="AG4252" s="1"/>
    </row>
    <row r="4253" ht="15.75" customHeight="1">
      <c r="A4253" s="1"/>
      <c r="B4253" s="1"/>
      <c r="C4253" s="1"/>
      <c r="D4253" s="1"/>
      <c r="E4253" s="1"/>
      <c r="F4253" s="1"/>
      <c r="G4253" s="1"/>
      <c r="H4253" s="1"/>
      <c r="I4253" s="1"/>
      <c r="J4253" s="1"/>
      <c r="K4253" s="89" t="s">
        <v>6573</v>
      </c>
      <c r="L4253" s="89" t="str">
        <f>C146</f>
        <v>C2a</v>
      </c>
      <c r="M4253" s="89" t="s">
        <v>6574</v>
      </c>
      <c r="N4253" s="89" t="s">
        <v>6570</v>
      </c>
      <c r="O4253" s="92">
        <v>1.4857294E7</v>
      </c>
      <c r="P4253" s="92">
        <v>1.274536E7</v>
      </c>
      <c r="Q4253" s="89" t="s">
        <v>810</v>
      </c>
      <c r="AF4253" s="1"/>
      <c r="AG4253" s="1"/>
    </row>
    <row r="4254" ht="15.75" customHeight="1">
      <c r="A4254" s="1"/>
      <c r="B4254" s="1"/>
      <c r="C4254" s="1"/>
      <c r="D4254" s="1"/>
      <c r="E4254" s="1"/>
      <c r="F4254" s="1"/>
      <c r="G4254" s="1"/>
      <c r="H4254" s="1"/>
      <c r="I4254" s="1"/>
      <c r="J4254" s="1"/>
      <c r="K4254" s="89" t="s">
        <v>6575</v>
      </c>
      <c r="L4254" s="89" t="str">
        <f>C146</f>
        <v>C2a</v>
      </c>
      <c r="M4254" s="89" t="s">
        <v>6576</v>
      </c>
      <c r="N4254" s="89" t="s">
        <v>6570</v>
      </c>
      <c r="O4254" s="92">
        <v>1.4857294E7</v>
      </c>
      <c r="P4254" s="92">
        <v>1.274536E7</v>
      </c>
      <c r="Q4254" s="89" t="s">
        <v>810</v>
      </c>
      <c r="AF4254" s="1"/>
      <c r="AG4254" s="1"/>
    </row>
    <row r="4255" ht="15.75" customHeight="1">
      <c r="A4255" s="1"/>
      <c r="B4255" s="1"/>
      <c r="C4255" s="1"/>
      <c r="D4255" s="1"/>
      <c r="E4255" s="1"/>
      <c r="F4255" s="1"/>
      <c r="G4255" s="1"/>
      <c r="H4255" s="1"/>
      <c r="I4255" s="1"/>
      <c r="J4255" s="1"/>
      <c r="K4255" s="89" t="s">
        <v>6577</v>
      </c>
      <c r="L4255" s="89" t="str">
        <f>C146</f>
        <v>C2a</v>
      </c>
      <c r="M4255" s="89" t="s">
        <v>6578</v>
      </c>
      <c r="N4255" s="89" t="s">
        <v>6579</v>
      </c>
      <c r="O4255" s="92">
        <v>1.5074196E7</v>
      </c>
      <c r="P4255" s="92">
        <v>1.2962286E7</v>
      </c>
      <c r="Q4255" s="89" t="s">
        <v>822</v>
      </c>
      <c r="AF4255" s="1"/>
      <c r="AG4255" s="1"/>
    </row>
    <row r="4256" ht="15.75" customHeight="1">
      <c r="A4256" s="1"/>
      <c r="B4256" s="1"/>
      <c r="C4256" s="1"/>
      <c r="D4256" s="1"/>
      <c r="E4256" s="1"/>
      <c r="F4256" s="1"/>
      <c r="G4256" s="1"/>
      <c r="H4256" s="1"/>
      <c r="I4256" s="1"/>
      <c r="J4256" s="1"/>
      <c r="K4256" s="89" t="s">
        <v>6580</v>
      </c>
      <c r="L4256" s="89" t="str">
        <f>C146</f>
        <v>C2a</v>
      </c>
      <c r="M4256" s="89" t="s">
        <v>6581</v>
      </c>
      <c r="N4256" s="89" t="s">
        <v>6579</v>
      </c>
      <c r="O4256" s="92">
        <v>1.5074196E7</v>
      </c>
      <c r="P4256" s="92">
        <v>1.2962286E7</v>
      </c>
      <c r="Q4256" s="89" t="s">
        <v>822</v>
      </c>
      <c r="AF4256" s="1"/>
      <c r="AG4256" s="1"/>
    </row>
    <row r="4257" ht="15.75" customHeight="1">
      <c r="A4257" s="1"/>
      <c r="B4257" s="1"/>
      <c r="C4257" s="1"/>
      <c r="D4257" s="1"/>
      <c r="E4257" s="1"/>
      <c r="F4257" s="1"/>
      <c r="G4257" s="1"/>
      <c r="H4257" s="1"/>
      <c r="I4257" s="1"/>
      <c r="J4257" s="1"/>
      <c r="K4257" s="89" t="s">
        <v>6582</v>
      </c>
      <c r="L4257" s="89" t="str">
        <f>C146</f>
        <v>C2a</v>
      </c>
      <c r="M4257" s="89" t="s">
        <v>6583</v>
      </c>
      <c r="N4257" s="89" t="s">
        <v>6579</v>
      </c>
      <c r="O4257" s="92">
        <v>1.5074196E7</v>
      </c>
      <c r="P4257" s="92">
        <v>1.2962286E7</v>
      </c>
      <c r="Q4257" s="89" t="s">
        <v>822</v>
      </c>
      <c r="AF4257" s="1"/>
      <c r="AG4257" s="1"/>
    </row>
    <row r="4258" ht="15.75" customHeight="1">
      <c r="A4258" s="1"/>
      <c r="B4258" s="1"/>
      <c r="C4258" s="1"/>
      <c r="D4258" s="1"/>
      <c r="E4258" s="1"/>
      <c r="F4258" s="1"/>
      <c r="G4258" s="1"/>
      <c r="H4258" s="1"/>
      <c r="I4258" s="1"/>
      <c r="J4258" s="1"/>
      <c r="K4258" s="89" t="s">
        <v>6584</v>
      </c>
      <c r="L4258" s="89" t="str">
        <f>C146</f>
        <v>C2a</v>
      </c>
      <c r="M4258" s="89" t="s">
        <v>6585</v>
      </c>
      <c r="N4258" s="89" t="s">
        <v>6579</v>
      </c>
      <c r="O4258" s="92">
        <v>1.5074196E7</v>
      </c>
      <c r="P4258" s="92">
        <v>1.2962286E7</v>
      </c>
      <c r="Q4258" s="89" t="s">
        <v>822</v>
      </c>
      <c r="AF4258" s="1"/>
      <c r="AG4258" s="1"/>
    </row>
    <row r="4259" ht="15.75" customHeight="1">
      <c r="A4259" s="1"/>
      <c r="B4259" s="1"/>
      <c r="C4259" s="1"/>
      <c r="D4259" s="1"/>
      <c r="E4259" s="1"/>
      <c r="F4259" s="1"/>
      <c r="G4259" s="1"/>
      <c r="H4259" s="1"/>
      <c r="I4259" s="1"/>
      <c r="J4259" s="1"/>
      <c r="K4259" s="89" t="s">
        <v>6586</v>
      </c>
      <c r="L4259" s="89" t="str">
        <f>C146</f>
        <v>C2a</v>
      </c>
      <c r="M4259" s="89" t="s">
        <v>6587</v>
      </c>
      <c r="N4259" s="89" t="s">
        <v>6588</v>
      </c>
      <c r="O4259" s="92">
        <v>1.7864392E7</v>
      </c>
      <c r="P4259" s="92">
        <v>1.5752512E7</v>
      </c>
      <c r="Q4259" s="89" t="s">
        <v>886</v>
      </c>
      <c r="AF4259" s="1"/>
      <c r="AG4259" s="1"/>
    </row>
    <row r="4260" ht="15.75" customHeight="1">
      <c r="A4260" s="1"/>
      <c r="B4260" s="1"/>
      <c r="C4260" s="1"/>
      <c r="D4260" s="1"/>
      <c r="E4260" s="1"/>
      <c r="F4260" s="1"/>
      <c r="G4260" s="1"/>
      <c r="H4260" s="1"/>
      <c r="I4260" s="1"/>
      <c r="J4260" s="1"/>
      <c r="K4260" s="89" t="s">
        <v>6589</v>
      </c>
      <c r="L4260" s="89" t="str">
        <f>C146</f>
        <v>C2a</v>
      </c>
      <c r="M4260" s="89" t="s">
        <v>6590</v>
      </c>
      <c r="N4260" s="89" t="s">
        <v>6588</v>
      </c>
      <c r="O4260" s="92">
        <v>1.7864392E7</v>
      </c>
      <c r="P4260" s="92">
        <v>1.5752512E7</v>
      </c>
      <c r="Q4260" s="89" t="s">
        <v>886</v>
      </c>
      <c r="AF4260" s="1"/>
      <c r="AG4260" s="1"/>
    </row>
    <row r="4261" ht="15.75" customHeight="1">
      <c r="A4261" s="1"/>
      <c r="B4261" s="1"/>
      <c r="C4261" s="1"/>
      <c r="D4261" s="1"/>
      <c r="E4261" s="1"/>
      <c r="F4261" s="1"/>
      <c r="G4261" s="1"/>
      <c r="H4261" s="1"/>
      <c r="I4261" s="1"/>
      <c r="J4261" s="1"/>
      <c r="K4261" s="89" t="s">
        <v>6591</v>
      </c>
      <c r="L4261" s="89" t="str">
        <f>C146</f>
        <v>C2a</v>
      </c>
      <c r="M4261" s="89" t="s">
        <v>6592</v>
      </c>
      <c r="N4261" s="89" t="s">
        <v>6588</v>
      </c>
      <c r="O4261" s="92">
        <v>1.7864392E7</v>
      </c>
      <c r="P4261" s="92">
        <v>1.5752512E7</v>
      </c>
      <c r="Q4261" s="89" t="s">
        <v>886</v>
      </c>
      <c r="AF4261" s="1"/>
      <c r="AG4261" s="1"/>
    </row>
    <row r="4262" ht="15.75" customHeight="1">
      <c r="A4262" s="1"/>
      <c r="B4262" s="1"/>
      <c r="C4262" s="1"/>
      <c r="D4262" s="1"/>
      <c r="E4262" s="1"/>
      <c r="F4262" s="1"/>
      <c r="G4262" s="1"/>
      <c r="H4262" s="1"/>
      <c r="I4262" s="1"/>
      <c r="J4262" s="1"/>
      <c r="K4262" s="89" t="s">
        <v>6593</v>
      </c>
      <c r="L4262" s="89" t="str">
        <f>C146</f>
        <v>C2a</v>
      </c>
      <c r="M4262" s="89" t="s">
        <v>6594</v>
      </c>
      <c r="N4262" s="89" t="s">
        <v>6588</v>
      </c>
      <c r="O4262" s="92">
        <v>1.7864392E7</v>
      </c>
      <c r="P4262" s="92">
        <v>1.5752512E7</v>
      </c>
      <c r="Q4262" s="89" t="s">
        <v>886</v>
      </c>
      <c r="AF4262" s="1"/>
      <c r="AG4262" s="1"/>
    </row>
    <row r="4263" ht="15.75" customHeight="1">
      <c r="A4263" s="1"/>
      <c r="B4263" s="1"/>
      <c r="C4263" s="1"/>
      <c r="D4263" s="1"/>
      <c r="E4263" s="1"/>
      <c r="F4263" s="1"/>
      <c r="G4263" s="1"/>
      <c r="H4263" s="1"/>
      <c r="I4263" s="1"/>
      <c r="J4263" s="1"/>
      <c r="K4263" s="89" t="s">
        <v>6595</v>
      </c>
      <c r="L4263" s="89" t="str">
        <f>C146</f>
        <v>C2a</v>
      </c>
      <c r="M4263" s="89" t="s">
        <v>6596</v>
      </c>
      <c r="N4263" s="89" t="s">
        <v>6597</v>
      </c>
      <c r="O4263" s="92">
        <v>1.8182374E7</v>
      </c>
      <c r="P4263" s="92">
        <v>1.6070494E7</v>
      </c>
      <c r="Q4263" s="89" t="s">
        <v>810</v>
      </c>
      <c r="AF4263" s="1"/>
      <c r="AG4263" s="1"/>
    </row>
    <row r="4264" ht="15.75" customHeight="1">
      <c r="A4264" s="1"/>
      <c r="B4264" s="1"/>
      <c r="C4264" s="1"/>
      <c r="D4264" s="1"/>
      <c r="E4264" s="1"/>
      <c r="F4264" s="1"/>
      <c r="G4264" s="1"/>
      <c r="H4264" s="1"/>
      <c r="I4264" s="1"/>
      <c r="J4264" s="1"/>
      <c r="K4264" s="89" t="s">
        <v>6598</v>
      </c>
      <c r="L4264" s="89" t="str">
        <f>C146</f>
        <v>C2a</v>
      </c>
      <c r="M4264" s="89" t="s">
        <v>6599</v>
      </c>
      <c r="N4264" s="89" t="s">
        <v>6597</v>
      </c>
      <c r="O4264" s="92">
        <v>1.8182374E7</v>
      </c>
      <c r="P4264" s="92">
        <v>1.6070494E7</v>
      </c>
      <c r="Q4264" s="89" t="s">
        <v>810</v>
      </c>
      <c r="AF4264" s="1"/>
      <c r="AG4264" s="1"/>
    </row>
    <row r="4265" ht="15.75" customHeight="1">
      <c r="A4265" s="1"/>
      <c r="B4265" s="1"/>
      <c r="C4265" s="1"/>
      <c r="D4265" s="1"/>
      <c r="E4265" s="1"/>
      <c r="F4265" s="1"/>
      <c r="G4265" s="1"/>
      <c r="H4265" s="1"/>
      <c r="I4265" s="1"/>
      <c r="J4265" s="1"/>
      <c r="K4265" s="89" t="s">
        <v>6600</v>
      </c>
      <c r="L4265" s="89" t="str">
        <f>C146</f>
        <v>C2a</v>
      </c>
      <c r="M4265" s="89" t="s">
        <v>6601</v>
      </c>
      <c r="N4265" s="89" t="s">
        <v>6597</v>
      </c>
      <c r="O4265" s="92">
        <v>1.8182374E7</v>
      </c>
      <c r="P4265" s="92">
        <v>1.6070494E7</v>
      </c>
      <c r="Q4265" s="89" t="s">
        <v>810</v>
      </c>
      <c r="AF4265" s="1"/>
      <c r="AG4265" s="1"/>
    </row>
    <row r="4266" ht="15.75" customHeight="1">
      <c r="A4266" s="1"/>
      <c r="B4266" s="1"/>
      <c r="C4266" s="1"/>
      <c r="D4266" s="1"/>
      <c r="E4266" s="1"/>
      <c r="F4266" s="1"/>
      <c r="G4266" s="1"/>
      <c r="H4266" s="1"/>
      <c r="I4266" s="1"/>
      <c r="J4266" s="1"/>
      <c r="K4266" s="89" t="s">
        <v>6602</v>
      </c>
      <c r="L4266" s="89" t="str">
        <f>C146</f>
        <v>C2a</v>
      </c>
      <c r="M4266" s="89" t="s">
        <v>6603</v>
      </c>
      <c r="N4266" s="89" t="s">
        <v>6597</v>
      </c>
      <c r="O4266" s="92">
        <v>1.8182374E7</v>
      </c>
      <c r="P4266" s="92">
        <v>1.6070494E7</v>
      </c>
      <c r="Q4266" s="89" t="s">
        <v>810</v>
      </c>
      <c r="AF4266" s="1"/>
      <c r="AG4266" s="1"/>
    </row>
    <row r="4267" ht="15.75" customHeight="1">
      <c r="A4267" s="1"/>
      <c r="B4267" s="1"/>
      <c r="C4267" s="1"/>
      <c r="D4267" s="1"/>
      <c r="E4267" s="1"/>
      <c r="F4267" s="1"/>
      <c r="G4267" s="1"/>
      <c r="H4267" s="1"/>
      <c r="I4267" s="1"/>
      <c r="J4267" s="1"/>
      <c r="K4267" s="89" t="s">
        <v>6604</v>
      </c>
      <c r="L4267" s="89" t="str">
        <f>C146</f>
        <v>C2a</v>
      </c>
      <c r="M4267" s="89" t="s">
        <v>6605</v>
      </c>
      <c r="N4267" s="89" t="s">
        <v>6606</v>
      </c>
      <c r="O4267" s="92">
        <v>2.1263902E7</v>
      </c>
      <c r="P4267" s="92">
        <v>1.9102016E7</v>
      </c>
      <c r="Q4267" s="89" t="s">
        <v>822</v>
      </c>
      <c r="AF4267" s="1"/>
      <c r="AG4267" s="1"/>
    </row>
    <row r="4268" ht="15.75" customHeight="1">
      <c r="A4268" s="1"/>
      <c r="B4268" s="1"/>
      <c r="C4268" s="1"/>
      <c r="D4268" s="1"/>
      <c r="E4268" s="1"/>
      <c r="F4268" s="1"/>
      <c r="G4268" s="1"/>
      <c r="H4268" s="1"/>
      <c r="I4268" s="1"/>
      <c r="J4268" s="1"/>
      <c r="K4268" s="89" t="s">
        <v>6607</v>
      </c>
      <c r="L4268" s="89" t="str">
        <f>C146</f>
        <v>C2a</v>
      </c>
      <c r="M4268" s="89" t="s">
        <v>6608</v>
      </c>
      <c r="N4268" s="89" t="s">
        <v>6606</v>
      </c>
      <c r="O4268" s="92">
        <v>2.1263902E7</v>
      </c>
      <c r="P4268" s="92">
        <v>1.9102016E7</v>
      </c>
      <c r="Q4268" s="89" t="s">
        <v>822</v>
      </c>
      <c r="AF4268" s="1"/>
      <c r="AG4268" s="1"/>
    </row>
    <row r="4269" ht="15.75" customHeight="1">
      <c r="A4269" s="1"/>
      <c r="B4269" s="1"/>
      <c r="C4269" s="1"/>
      <c r="D4269" s="1"/>
      <c r="E4269" s="1"/>
      <c r="F4269" s="1"/>
      <c r="G4269" s="1"/>
      <c r="H4269" s="1"/>
      <c r="I4269" s="1"/>
      <c r="J4269" s="1"/>
      <c r="K4269" s="89" t="s">
        <v>6609</v>
      </c>
      <c r="L4269" s="89" t="str">
        <f>C146</f>
        <v>C2a</v>
      </c>
      <c r="M4269" s="89" t="s">
        <v>6610</v>
      </c>
      <c r="N4269" s="89" t="s">
        <v>6606</v>
      </c>
      <c r="O4269" s="92">
        <v>2.1263902E7</v>
      </c>
      <c r="P4269" s="92">
        <v>1.9102016E7</v>
      </c>
      <c r="Q4269" s="89" t="s">
        <v>822</v>
      </c>
      <c r="AF4269" s="1"/>
      <c r="AG4269" s="1"/>
    </row>
    <row r="4270" ht="15.75" customHeight="1">
      <c r="A4270" s="1"/>
      <c r="B4270" s="1"/>
      <c r="C4270" s="1"/>
      <c r="D4270" s="1"/>
      <c r="E4270" s="1"/>
      <c r="F4270" s="1"/>
      <c r="G4270" s="1"/>
      <c r="H4270" s="1"/>
      <c r="I4270" s="1"/>
      <c r="J4270" s="1"/>
      <c r="K4270" s="89" t="s">
        <v>6611</v>
      </c>
      <c r="L4270" s="89" t="str">
        <f>C146</f>
        <v>C2a</v>
      </c>
      <c r="M4270" s="89" t="s">
        <v>6612</v>
      </c>
      <c r="N4270" s="89" t="s">
        <v>6606</v>
      </c>
      <c r="O4270" s="92">
        <v>2.1263902E7</v>
      </c>
      <c r="P4270" s="92">
        <v>1.9102016E7</v>
      </c>
      <c r="Q4270" s="89" t="s">
        <v>822</v>
      </c>
      <c r="AF4270" s="1"/>
      <c r="AG4270" s="1"/>
    </row>
    <row r="4271" ht="15.75" customHeight="1">
      <c r="A4271" s="1"/>
      <c r="B4271" s="1"/>
      <c r="C4271" s="1"/>
      <c r="D4271" s="1"/>
      <c r="E4271" s="1"/>
      <c r="F4271" s="1"/>
      <c r="G4271" s="1"/>
      <c r="H4271" s="1"/>
      <c r="I4271" s="1"/>
      <c r="J4271" s="1"/>
      <c r="K4271" s="89" t="s">
        <v>6613</v>
      </c>
      <c r="L4271" s="89" t="str">
        <f>C146</f>
        <v>C2a</v>
      </c>
      <c r="M4271" s="89" t="s">
        <v>6614</v>
      </c>
      <c r="N4271" s="89" t="s">
        <v>6615</v>
      </c>
      <c r="O4271" s="92">
        <v>2.1284447E7</v>
      </c>
      <c r="P4271" s="92">
        <v>1.9122561E7</v>
      </c>
      <c r="Q4271" s="89" t="s">
        <v>912</v>
      </c>
      <c r="AF4271" s="1"/>
      <c r="AG4271" s="1"/>
    </row>
    <row r="4272" ht="15.75" customHeight="1">
      <c r="A4272" s="1"/>
      <c r="B4272" s="1"/>
      <c r="C4272" s="1"/>
      <c r="D4272" s="1"/>
      <c r="E4272" s="1"/>
      <c r="F4272" s="1"/>
      <c r="G4272" s="1"/>
      <c r="H4272" s="1"/>
      <c r="I4272" s="1"/>
      <c r="J4272" s="1"/>
      <c r="K4272" s="89" t="s">
        <v>6616</v>
      </c>
      <c r="L4272" s="89" t="str">
        <f>C146</f>
        <v>C2a</v>
      </c>
      <c r="M4272" s="89" t="s">
        <v>6617</v>
      </c>
      <c r="N4272" s="89" t="s">
        <v>6615</v>
      </c>
      <c r="O4272" s="92">
        <v>2.1284447E7</v>
      </c>
      <c r="P4272" s="92">
        <v>1.9122561E7</v>
      </c>
      <c r="Q4272" s="89" t="s">
        <v>912</v>
      </c>
      <c r="AF4272" s="1"/>
      <c r="AG4272" s="1"/>
    </row>
    <row r="4273" ht="15.75" customHeight="1">
      <c r="A4273" s="1"/>
      <c r="B4273" s="1"/>
      <c r="C4273" s="1"/>
      <c r="D4273" s="1"/>
      <c r="E4273" s="1"/>
      <c r="F4273" s="1"/>
      <c r="G4273" s="1"/>
      <c r="H4273" s="1"/>
      <c r="I4273" s="1"/>
      <c r="J4273" s="1"/>
      <c r="K4273" s="89" t="s">
        <v>6618</v>
      </c>
      <c r="L4273" s="89" t="str">
        <f>C146</f>
        <v>C2a</v>
      </c>
      <c r="M4273" s="89" t="s">
        <v>6619</v>
      </c>
      <c r="N4273" s="89" t="s">
        <v>6615</v>
      </c>
      <c r="O4273" s="92">
        <v>2.1284447E7</v>
      </c>
      <c r="P4273" s="92">
        <v>1.9122561E7</v>
      </c>
      <c r="Q4273" s="89" t="s">
        <v>912</v>
      </c>
      <c r="AF4273" s="1"/>
      <c r="AG4273" s="1"/>
    </row>
    <row r="4274" ht="15.75" customHeight="1">
      <c r="A4274" s="1"/>
      <c r="B4274" s="1"/>
      <c r="C4274" s="1"/>
      <c r="D4274" s="1"/>
      <c r="E4274" s="1"/>
      <c r="F4274" s="1"/>
      <c r="G4274" s="1"/>
      <c r="H4274" s="1"/>
      <c r="I4274" s="1"/>
      <c r="J4274" s="1"/>
      <c r="K4274" s="89" t="s">
        <v>6620</v>
      </c>
      <c r="L4274" s="89" t="str">
        <f>C146</f>
        <v>C2a</v>
      </c>
      <c r="M4274" s="89" t="s">
        <v>6621</v>
      </c>
      <c r="N4274" s="89" t="s">
        <v>6615</v>
      </c>
      <c r="O4274" s="92">
        <v>2.1284447E7</v>
      </c>
      <c r="P4274" s="92">
        <v>1.9122561E7</v>
      </c>
      <c r="Q4274" s="89" t="s">
        <v>912</v>
      </c>
      <c r="AF4274" s="1"/>
      <c r="AG4274" s="1"/>
    </row>
    <row r="4275" ht="15.75" customHeight="1">
      <c r="A4275" s="1"/>
      <c r="B4275" s="1"/>
      <c r="C4275" s="1"/>
      <c r="D4275" s="1"/>
      <c r="E4275" s="1"/>
      <c r="F4275" s="1"/>
      <c r="G4275" s="1"/>
      <c r="H4275" s="1"/>
      <c r="I4275" s="1"/>
      <c r="J4275" s="1"/>
      <c r="K4275" s="89" t="s">
        <v>6622</v>
      </c>
      <c r="L4275" s="89" t="str">
        <f>C146</f>
        <v>C2a</v>
      </c>
      <c r="M4275" s="89" t="s">
        <v>6623</v>
      </c>
      <c r="N4275" s="89" t="s">
        <v>6624</v>
      </c>
      <c r="O4275" s="92">
        <v>2.1533418E7</v>
      </c>
      <c r="P4275" s="92">
        <v>1.9371532E7</v>
      </c>
      <c r="Q4275" s="89" t="s">
        <v>810</v>
      </c>
      <c r="AF4275" s="1"/>
      <c r="AG4275" s="1"/>
    </row>
    <row r="4276" ht="15.75" customHeight="1">
      <c r="A4276" s="1"/>
      <c r="B4276" s="1"/>
      <c r="C4276" s="1"/>
      <c r="D4276" s="1"/>
      <c r="E4276" s="1"/>
      <c r="F4276" s="1"/>
      <c r="G4276" s="1"/>
      <c r="H4276" s="1"/>
      <c r="I4276" s="1"/>
      <c r="J4276" s="1"/>
      <c r="K4276" s="89" t="s">
        <v>6625</v>
      </c>
      <c r="L4276" s="89" t="str">
        <f>C146</f>
        <v>C2a</v>
      </c>
      <c r="M4276" s="89" t="s">
        <v>6626</v>
      </c>
      <c r="N4276" s="89" t="s">
        <v>6624</v>
      </c>
      <c r="O4276" s="92">
        <v>2.1533418E7</v>
      </c>
      <c r="P4276" s="92">
        <v>1.9371532E7</v>
      </c>
      <c r="Q4276" s="89" t="s">
        <v>810</v>
      </c>
      <c r="AF4276" s="1"/>
      <c r="AG4276" s="1"/>
    </row>
    <row r="4277" ht="15.75" customHeight="1">
      <c r="A4277" s="1"/>
      <c r="B4277" s="1"/>
      <c r="C4277" s="1"/>
      <c r="D4277" s="1"/>
      <c r="E4277" s="1"/>
      <c r="F4277" s="1"/>
      <c r="G4277" s="1"/>
      <c r="H4277" s="1"/>
      <c r="I4277" s="1"/>
      <c r="J4277" s="1"/>
      <c r="K4277" s="89" t="s">
        <v>6627</v>
      </c>
      <c r="L4277" s="89" t="str">
        <f>C146</f>
        <v>C2a</v>
      </c>
      <c r="M4277" s="89" t="s">
        <v>6628</v>
      </c>
      <c r="N4277" s="89" t="s">
        <v>6624</v>
      </c>
      <c r="O4277" s="92">
        <v>2.1533418E7</v>
      </c>
      <c r="P4277" s="92">
        <v>1.9371532E7</v>
      </c>
      <c r="Q4277" s="89" t="s">
        <v>810</v>
      </c>
      <c r="AF4277" s="1"/>
      <c r="AG4277" s="1"/>
    </row>
    <row r="4278" ht="15.75" customHeight="1">
      <c r="A4278" s="1"/>
      <c r="B4278" s="1"/>
      <c r="C4278" s="1"/>
      <c r="D4278" s="1"/>
      <c r="E4278" s="1"/>
      <c r="F4278" s="1"/>
      <c r="G4278" s="1"/>
      <c r="H4278" s="1"/>
      <c r="I4278" s="1"/>
      <c r="J4278" s="1"/>
      <c r="K4278" s="89" t="s">
        <v>6629</v>
      </c>
      <c r="L4278" s="89" t="str">
        <f>C146</f>
        <v>C2a</v>
      </c>
      <c r="M4278" s="89" t="s">
        <v>6630</v>
      </c>
      <c r="N4278" s="89" t="s">
        <v>6624</v>
      </c>
      <c r="O4278" s="92">
        <v>2.1533418E7</v>
      </c>
      <c r="P4278" s="92">
        <v>1.9371532E7</v>
      </c>
      <c r="Q4278" s="89" t="s">
        <v>810</v>
      </c>
      <c r="AF4278" s="1"/>
      <c r="AG4278" s="1"/>
    </row>
    <row r="4279" ht="15.75" customHeight="1">
      <c r="A4279" s="1"/>
      <c r="B4279" s="1"/>
      <c r="C4279" s="1"/>
      <c r="D4279" s="1"/>
      <c r="E4279" s="1"/>
      <c r="F4279" s="1"/>
      <c r="G4279" s="1"/>
      <c r="H4279" s="1"/>
      <c r="I4279" s="1"/>
      <c r="J4279" s="1"/>
      <c r="K4279" s="89" t="s">
        <v>6631</v>
      </c>
      <c r="L4279" s="89" t="str">
        <f>C146</f>
        <v>C2a</v>
      </c>
      <c r="M4279" s="89" t="s">
        <v>6632</v>
      </c>
      <c r="N4279" s="89" t="s">
        <v>6633</v>
      </c>
      <c r="O4279" s="92">
        <v>2.1655748E7</v>
      </c>
      <c r="P4279" s="92">
        <v>1.9493862E7</v>
      </c>
      <c r="Q4279" s="89" t="s">
        <v>822</v>
      </c>
      <c r="AF4279" s="1"/>
      <c r="AG4279" s="1"/>
    </row>
    <row r="4280" ht="15.75" customHeight="1">
      <c r="A4280" s="1"/>
      <c r="B4280" s="1"/>
      <c r="C4280" s="1"/>
      <c r="D4280" s="1"/>
      <c r="E4280" s="1"/>
      <c r="F4280" s="1"/>
      <c r="G4280" s="1"/>
      <c r="H4280" s="1"/>
      <c r="I4280" s="1"/>
      <c r="J4280" s="1"/>
      <c r="K4280" s="89" t="s">
        <v>6634</v>
      </c>
      <c r="L4280" s="89" t="str">
        <f>C146</f>
        <v>C2a</v>
      </c>
      <c r="M4280" s="89" t="s">
        <v>6635</v>
      </c>
      <c r="N4280" s="89" t="s">
        <v>6633</v>
      </c>
      <c r="O4280" s="92">
        <v>2.1655748E7</v>
      </c>
      <c r="P4280" s="92">
        <v>1.9493862E7</v>
      </c>
      <c r="Q4280" s="89" t="s">
        <v>822</v>
      </c>
      <c r="AF4280" s="1"/>
      <c r="AG4280" s="1"/>
    </row>
    <row r="4281" ht="15.75" customHeight="1">
      <c r="A4281" s="1"/>
      <c r="B4281" s="1"/>
      <c r="C4281" s="1"/>
      <c r="D4281" s="1"/>
      <c r="E4281" s="1"/>
      <c r="F4281" s="1"/>
      <c r="G4281" s="1"/>
      <c r="H4281" s="1"/>
      <c r="I4281" s="1"/>
      <c r="J4281" s="1"/>
      <c r="K4281" s="89" t="s">
        <v>6636</v>
      </c>
      <c r="L4281" s="89" t="str">
        <f>C146</f>
        <v>C2a</v>
      </c>
      <c r="M4281" s="89" t="s">
        <v>6637</v>
      </c>
      <c r="N4281" s="89" t="s">
        <v>6633</v>
      </c>
      <c r="O4281" s="92">
        <v>2.1655748E7</v>
      </c>
      <c r="P4281" s="92">
        <v>1.9493862E7</v>
      </c>
      <c r="Q4281" s="89" t="s">
        <v>822</v>
      </c>
      <c r="AF4281" s="1"/>
      <c r="AG4281" s="1"/>
    </row>
    <row r="4282" ht="15.75" customHeight="1">
      <c r="A4282" s="1"/>
      <c r="B4282" s="1"/>
      <c r="C4282" s="1"/>
      <c r="D4282" s="1"/>
      <c r="E4282" s="1"/>
      <c r="F4282" s="1"/>
      <c r="G4282" s="1"/>
      <c r="H4282" s="1"/>
      <c r="I4282" s="1"/>
      <c r="J4282" s="1"/>
      <c r="K4282" s="89" t="s">
        <v>6638</v>
      </c>
      <c r="L4282" s="89" t="str">
        <f>C146</f>
        <v>C2a</v>
      </c>
      <c r="M4282" s="89" t="s">
        <v>6639</v>
      </c>
      <c r="N4282" s="89" t="s">
        <v>6633</v>
      </c>
      <c r="O4282" s="92">
        <v>2.1655748E7</v>
      </c>
      <c r="P4282" s="92">
        <v>1.9493862E7</v>
      </c>
      <c r="Q4282" s="89" t="s">
        <v>822</v>
      </c>
      <c r="AF4282" s="1"/>
      <c r="AG4282" s="1"/>
    </row>
    <row r="4283" ht="15.75" customHeight="1">
      <c r="A4283" s="1"/>
      <c r="B4283" s="1"/>
      <c r="C4283" s="1"/>
      <c r="D4283" s="1"/>
      <c r="E4283" s="1"/>
      <c r="F4283" s="1"/>
      <c r="G4283" s="1"/>
      <c r="H4283" s="1"/>
      <c r="I4283" s="1"/>
      <c r="J4283" s="1"/>
      <c r="K4283" s="89" t="s">
        <v>6640</v>
      </c>
      <c r="L4283" s="89" t="str">
        <f>C146</f>
        <v>C2a</v>
      </c>
      <c r="M4283" s="89" t="s">
        <v>6641</v>
      </c>
      <c r="N4283" s="89" t="s">
        <v>6642</v>
      </c>
      <c r="O4283" s="92">
        <v>2.1810698E7</v>
      </c>
      <c r="P4283" s="92">
        <v>1.9648812E7</v>
      </c>
      <c r="Q4283" s="89" t="s">
        <v>802</v>
      </c>
      <c r="AF4283" s="1"/>
      <c r="AG4283" s="1"/>
    </row>
    <row r="4284" ht="15.75" customHeight="1">
      <c r="A4284" s="1"/>
      <c r="B4284" s="1"/>
      <c r="C4284" s="1"/>
      <c r="D4284" s="1"/>
      <c r="E4284" s="1"/>
      <c r="F4284" s="1"/>
      <c r="G4284" s="1"/>
      <c r="H4284" s="1"/>
      <c r="I4284" s="1"/>
      <c r="J4284" s="1"/>
      <c r="K4284" s="89" t="s">
        <v>6643</v>
      </c>
      <c r="L4284" s="89" t="str">
        <f>C146</f>
        <v>C2a</v>
      </c>
      <c r="M4284" s="89" t="s">
        <v>6644</v>
      </c>
      <c r="N4284" s="89" t="s">
        <v>6642</v>
      </c>
      <c r="O4284" s="92">
        <v>2.1810698E7</v>
      </c>
      <c r="P4284" s="92">
        <v>1.9648812E7</v>
      </c>
      <c r="Q4284" s="89" t="s">
        <v>802</v>
      </c>
      <c r="AF4284" s="1"/>
      <c r="AG4284" s="1"/>
    </row>
    <row r="4285" ht="15.75" customHeight="1">
      <c r="A4285" s="1"/>
      <c r="B4285" s="1"/>
      <c r="C4285" s="1"/>
      <c r="D4285" s="1"/>
      <c r="E4285" s="1"/>
      <c r="F4285" s="1"/>
      <c r="G4285" s="1"/>
      <c r="H4285" s="1"/>
      <c r="I4285" s="1"/>
      <c r="J4285" s="1"/>
      <c r="K4285" s="89" t="s">
        <v>6645</v>
      </c>
      <c r="L4285" s="89" t="str">
        <f>C146</f>
        <v>C2a</v>
      </c>
      <c r="M4285" s="89" t="s">
        <v>6646</v>
      </c>
      <c r="N4285" s="89" t="s">
        <v>6642</v>
      </c>
      <c r="O4285" s="92">
        <v>2.1810698E7</v>
      </c>
      <c r="P4285" s="92">
        <v>1.9648812E7</v>
      </c>
      <c r="Q4285" s="89" t="s">
        <v>802</v>
      </c>
      <c r="AF4285" s="1"/>
      <c r="AG4285" s="1"/>
    </row>
    <row r="4286" ht="15.75" customHeight="1">
      <c r="A4286" s="1"/>
      <c r="B4286" s="1"/>
      <c r="C4286" s="1"/>
      <c r="D4286" s="1"/>
      <c r="E4286" s="1"/>
      <c r="F4286" s="1"/>
      <c r="G4286" s="1"/>
      <c r="H4286" s="1"/>
      <c r="I4286" s="1"/>
      <c r="J4286" s="1"/>
      <c r="K4286" s="89" t="s">
        <v>6647</v>
      </c>
      <c r="L4286" s="89" t="str">
        <f>C146</f>
        <v>C2a</v>
      </c>
      <c r="M4286" s="89" t="s">
        <v>6648</v>
      </c>
      <c r="N4286" s="89" t="s">
        <v>6642</v>
      </c>
      <c r="O4286" s="92">
        <v>2.1810698E7</v>
      </c>
      <c r="P4286" s="92">
        <v>1.9648812E7</v>
      </c>
      <c r="Q4286" s="89" t="s">
        <v>802</v>
      </c>
      <c r="AF4286" s="1"/>
      <c r="AG4286" s="1"/>
    </row>
    <row r="4287" ht="15.75" customHeight="1">
      <c r="A4287" s="1"/>
      <c r="B4287" s="1"/>
      <c r="C4287" s="1"/>
      <c r="D4287" s="1"/>
      <c r="E4287" s="1"/>
      <c r="F4287" s="1"/>
      <c r="G4287" s="1"/>
      <c r="H4287" s="1"/>
      <c r="I4287" s="1"/>
      <c r="J4287" s="1"/>
      <c r="K4287" s="89" t="s">
        <v>6649</v>
      </c>
      <c r="L4287" s="89" t="str">
        <f>C146</f>
        <v>C2a</v>
      </c>
      <c r="M4287" s="89" t="s">
        <v>6650</v>
      </c>
      <c r="N4287" s="89" t="s">
        <v>6651</v>
      </c>
      <c r="O4287" s="92">
        <v>2.2062471E7</v>
      </c>
      <c r="P4287" s="92">
        <v>1.9900585E7</v>
      </c>
      <c r="Q4287" s="89" t="s">
        <v>810</v>
      </c>
      <c r="AF4287" s="1"/>
      <c r="AG4287" s="1"/>
    </row>
    <row r="4288" ht="15.75" customHeight="1">
      <c r="A4288" s="1"/>
      <c r="B4288" s="1"/>
      <c r="C4288" s="1"/>
      <c r="D4288" s="1"/>
      <c r="E4288" s="1"/>
      <c r="F4288" s="1"/>
      <c r="G4288" s="1"/>
      <c r="H4288" s="1"/>
      <c r="I4288" s="1"/>
      <c r="J4288" s="1"/>
      <c r="K4288" s="89" t="s">
        <v>6652</v>
      </c>
      <c r="L4288" s="89" t="str">
        <f>C146</f>
        <v>C2a</v>
      </c>
      <c r="M4288" s="89" t="s">
        <v>6653</v>
      </c>
      <c r="N4288" s="89" t="s">
        <v>6651</v>
      </c>
      <c r="O4288" s="92">
        <v>2.2062471E7</v>
      </c>
      <c r="P4288" s="92">
        <v>1.9900585E7</v>
      </c>
      <c r="Q4288" s="89" t="s">
        <v>810</v>
      </c>
      <c r="AF4288" s="1"/>
      <c r="AG4288" s="1"/>
    </row>
    <row r="4289" ht="15.75" customHeight="1">
      <c r="A4289" s="1"/>
      <c r="B4289" s="1"/>
      <c r="C4289" s="1"/>
      <c r="D4289" s="1"/>
      <c r="E4289" s="1"/>
      <c r="F4289" s="1"/>
      <c r="G4289" s="1"/>
      <c r="H4289" s="1"/>
      <c r="I4289" s="1"/>
      <c r="J4289" s="1"/>
      <c r="K4289" s="89" t="s">
        <v>6654</v>
      </c>
      <c r="L4289" s="89" t="str">
        <f>C146</f>
        <v>C2a</v>
      </c>
      <c r="M4289" s="89" t="s">
        <v>6655</v>
      </c>
      <c r="N4289" s="89" t="s">
        <v>6651</v>
      </c>
      <c r="O4289" s="92">
        <v>2.2062471E7</v>
      </c>
      <c r="P4289" s="92">
        <v>1.9900585E7</v>
      </c>
      <c r="Q4289" s="89" t="s">
        <v>810</v>
      </c>
      <c r="AF4289" s="1"/>
      <c r="AG4289" s="1"/>
    </row>
    <row r="4290" ht="15.75" customHeight="1">
      <c r="A4290" s="1"/>
      <c r="B4290" s="1"/>
      <c r="C4290" s="1"/>
      <c r="D4290" s="1"/>
      <c r="E4290" s="1"/>
      <c r="F4290" s="1"/>
      <c r="G4290" s="1"/>
      <c r="H4290" s="1"/>
      <c r="I4290" s="1"/>
      <c r="J4290" s="1"/>
      <c r="K4290" s="89" t="s">
        <v>6656</v>
      </c>
      <c r="L4290" s="89" t="str">
        <f>C146</f>
        <v>C2a</v>
      </c>
      <c r="M4290" s="89" t="s">
        <v>6657</v>
      </c>
      <c r="N4290" s="89" t="s">
        <v>6651</v>
      </c>
      <c r="O4290" s="92">
        <v>2.2062471E7</v>
      </c>
      <c r="P4290" s="92">
        <v>1.9900585E7</v>
      </c>
      <c r="Q4290" s="89" t="s">
        <v>810</v>
      </c>
      <c r="AF4290" s="1"/>
      <c r="AG4290" s="1"/>
    </row>
    <row r="4291" ht="15.75" customHeight="1">
      <c r="A4291" s="1"/>
      <c r="B4291" s="1"/>
      <c r="C4291" s="1"/>
      <c r="D4291" s="1"/>
      <c r="E4291" s="1"/>
      <c r="F4291" s="1"/>
      <c r="G4291" s="1"/>
      <c r="H4291" s="1"/>
      <c r="I4291" s="1"/>
      <c r="J4291" s="1"/>
      <c r="K4291" s="89" t="s">
        <v>6658</v>
      </c>
      <c r="L4291" s="89" t="str">
        <f>C146</f>
        <v>C2a</v>
      </c>
      <c r="M4291" s="89" t="s">
        <v>6659</v>
      </c>
      <c r="N4291" s="89" t="s">
        <v>6660</v>
      </c>
      <c r="O4291" s="92">
        <v>2.2159889E7</v>
      </c>
      <c r="P4291" s="92">
        <v>1.9998003E7</v>
      </c>
      <c r="Q4291" s="89" t="s">
        <v>810</v>
      </c>
      <c r="AF4291" s="1"/>
      <c r="AG4291" s="1"/>
    </row>
    <row r="4292" ht="15.75" customHeight="1">
      <c r="A4292" s="1"/>
      <c r="B4292" s="1"/>
      <c r="C4292" s="1"/>
      <c r="D4292" s="1"/>
      <c r="E4292" s="1"/>
      <c r="F4292" s="1"/>
      <c r="G4292" s="1"/>
      <c r="H4292" s="1"/>
      <c r="I4292" s="1"/>
      <c r="J4292" s="1"/>
      <c r="K4292" s="89" t="s">
        <v>6661</v>
      </c>
      <c r="L4292" s="89" t="str">
        <f>C146</f>
        <v>C2a</v>
      </c>
      <c r="M4292" s="89" t="s">
        <v>6662</v>
      </c>
      <c r="N4292" s="89" t="s">
        <v>6660</v>
      </c>
      <c r="O4292" s="92">
        <v>2.2159889E7</v>
      </c>
      <c r="P4292" s="92">
        <v>1.9998003E7</v>
      </c>
      <c r="Q4292" s="89" t="s">
        <v>810</v>
      </c>
      <c r="AF4292" s="1"/>
      <c r="AG4292" s="1"/>
    </row>
    <row r="4293" ht="15.75" customHeight="1">
      <c r="A4293" s="1"/>
      <c r="B4293" s="1"/>
      <c r="C4293" s="1"/>
      <c r="D4293" s="1"/>
      <c r="E4293" s="1"/>
      <c r="F4293" s="1"/>
      <c r="G4293" s="1"/>
      <c r="H4293" s="1"/>
      <c r="I4293" s="1"/>
      <c r="J4293" s="1"/>
      <c r="K4293" s="89" t="s">
        <v>6663</v>
      </c>
      <c r="L4293" s="89" t="str">
        <f>C146</f>
        <v>C2a</v>
      </c>
      <c r="M4293" s="89" t="s">
        <v>6664</v>
      </c>
      <c r="N4293" s="89" t="s">
        <v>6660</v>
      </c>
      <c r="O4293" s="92">
        <v>2.2159889E7</v>
      </c>
      <c r="P4293" s="92">
        <v>1.9998003E7</v>
      </c>
      <c r="Q4293" s="89" t="s">
        <v>810</v>
      </c>
      <c r="AF4293" s="1"/>
      <c r="AG4293" s="1"/>
    </row>
    <row r="4294" ht="15.75" customHeight="1">
      <c r="A4294" s="1"/>
      <c r="B4294" s="1"/>
      <c r="C4294" s="1"/>
      <c r="D4294" s="1"/>
      <c r="E4294" s="1"/>
      <c r="F4294" s="1"/>
      <c r="G4294" s="1"/>
      <c r="H4294" s="1"/>
      <c r="I4294" s="1"/>
      <c r="J4294" s="1"/>
      <c r="K4294" s="89" t="s">
        <v>6665</v>
      </c>
      <c r="L4294" s="89" t="str">
        <f>C146</f>
        <v>C2a</v>
      </c>
      <c r="M4294" s="89" t="s">
        <v>6666</v>
      </c>
      <c r="N4294" s="89" t="s">
        <v>6660</v>
      </c>
      <c r="O4294" s="92">
        <v>2.2159889E7</v>
      </c>
      <c r="P4294" s="92">
        <v>1.9998003E7</v>
      </c>
      <c r="Q4294" s="89" t="s">
        <v>810</v>
      </c>
      <c r="AF4294" s="1"/>
      <c r="AG4294" s="1"/>
    </row>
    <row r="4295" ht="15.75" customHeight="1">
      <c r="A4295" s="1"/>
      <c r="B4295" s="1"/>
      <c r="C4295" s="1"/>
      <c r="D4295" s="1"/>
      <c r="E4295" s="1"/>
      <c r="F4295" s="1"/>
      <c r="G4295" s="1"/>
      <c r="H4295" s="1"/>
      <c r="I4295" s="1"/>
      <c r="J4295" s="1"/>
      <c r="K4295" s="89" t="s">
        <v>6667</v>
      </c>
      <c r="L4295" s="89" t="str">
        <f>C146</f>
        <v>C2a</v>
      </c>
      <c r="M4295" s="89" t="s">
        <v>6668</v>
      </c>
      <c r="N4295" s="89" t="s">
        <v>6669</v>
      </c>
      <c r="O4295" s="92">
        <v>2.3144558E7</v>
      </c>
      <c r="P4295" s="92">
        <v>2.0982672E7</v>
      </c>
      <c r="Q4295" s="89" t="s">
        <v>917</v>
      </c>
      <c r="AF4295" s="1"/>
      <c r="AG4295" s="1"/>
    </row>
    <row r="4296" ht="15.75" customHeight="1">
      <c r="A4296" s="1"/>
      <c r="B4296" s="1"/>
      <c r="C4296" s="1"/>
      <c r="D4296" s="1"/>
      <c r="E4296" s="1"/>
      <c r="F4296" s="1"/>
      <c r="G4296" s="1"/>
      <c r="H4296" s="1"/>
      <c r="I4296" s="1"/>
      <c r="J4296" s="1"/>
      <c r="K4296" s="89" t="s">
        <v>6670</v>
      </c>
      <c r="L4296" s="89" t="str">
        <f>C146</f>
        <v>C2a</v>
      </c>
      <c r="M4296" s="89" t="s">
        <v>6671</v>
      </c>
      <c r="N4296" s="89" t="s">
        <v>6669</v>
      </c>
      <c r="O4296" s="92">
        <v>2.3144558E7</v>
      </c>
      <c r="P4296" s="92">
        <v>2.0982672E7</v>
      </c>
      <c r="Q4296" s="89" t="s">
        <v>917</v>
      </c>
      <c r="AF4296" s="1"/>
      <c r="AG4296" s="1"/>
    </row>
    <row r="4297" ht="15.75" customHeight="1">
      <c r="A4297" s="1"/>
      <c r="B4297" s="1"/>
      <c r="C4297" s="1"/>
      <c r="D4297" s="1"/>
      <c r="E4297" s="1"/>
      <c r="F4297" s="1"/>
      <c r="G4297" s="1"/>
      <c r="H4297" s="1"/>
      <c r="I4297" s="1"/>
      <c r="J4297" s="1"/>
      <c r="K4297" s="89" t="s">
        <v>6672</v>
      </c>
      <c r="L4297" s="89" t="str">
        <f>C146</f>
        <v>C2a</v>
      </c>
      <c r="M4297" s="89" t="s">
        <v>6673</v>
      </c>
      <c r="N4297" s="89" t="s">
        <v>6669</v>
      </c>
      <c r="O4297" s="92">
        <v>2.3144558E7</v>
      </c>
      <c r="P4297" s="92">
        <v>2.0982672E7</v>
      </c>
      <c r="Q4297" s="89" t="s">
        <v>917</v>
      </c>
      <c r="AF4297" s="1"/>
      <c r="AG4297" s="1"/>
    </row>
    <row r="4298" ht="15.75" customHeight="1">
      <c r="A4298" s="1"/>
      <c r="B4298" s="1"/>
      <c r="C4298" s="1"/>
      <c r="D4298" s="1"/>
      <c r="E4298" s="1"/>
      <c r="F4298" s="1"/>
      <c r="G4298" s="1"/>
      <c r="H4298" s="1"/>
      <c r="I4298" s="1"/>
      <c r="J4298" s="1"/>
      <c r="K4298" s="89" t="s">
        <v>6674</v>
      </c>
      <c r="L4298" s="89" t="str">
        <f>C146</f>
        <v>C2a</v>
      </c>
      <c r="M4298" s="89" t="s">
        <v>6675</v>
      </c>
      <c r="N4298" s="89" t="s">
        <v>6669</v>
      </c>
      <c r="O4298" s="92">
        <v>2.3144558E7</v>
      </c>
      <c r="P4298" s="92">
        <v>2.0982672E7</v>
      </c>
      <c r="Q4298" s="89" t="s">
        <v>917</v>
      </c>
      <c r="AF4298" s="1"/>
      <c r="AG4298" s="1"/>
    </row>
    <row r="4299" ht="15.75" customHeight="1">
      <c r="A4299" s="1"/>
      <c r="B4299" s="1"/>
      <c r="C4299" s="1"/>
      <c r="D4299" s="1"/>
      <c r="E4299" s="1"/>
      <c r="F4299" s="1"/>
      <c r="G4299" s="1"/>
      <c r="H4299" s="1"/>
      <c r="I4299" s="1"/>
      <c r="J4299" s="1"/>
      <c r="K4299" s="89" t="s">
        <v>6676</v>
      </c>
      <c r="L4299" s="89" t="str">
        <f>C146</f>
        <v>C2a</v>
      </c>
      <c r="M4299" s="89" t="s">
        <v>6677</v>
      </c>
      <c r="N4299" s="89" t="s">
        <v>6678</v>
      </c>
      <c r="O4299" s="92">
        <v>2.3148259E7</v>
      </c>
      <c r="P4299" s="92">
        <v>2.0986373E7</v>
      </c>
      <c r="Q4299" s="89" t="s">
        <v>912</v>
      </c>
      <c r="AF4299" s="1"/>
      <c r="AG4299" s="1"/>
    </row>
    <row r="4300" ht="15.75" customHeight="1">
      <c r="A4300" s="1"/>
      <c r="B4300" s="1"/>
      <c r="C4300" s="1"/>
      <c r="D4300" s="1"/>
      <c r="E4300" s="1"/>
      <c r="F4300" s="1"/>
      <c r="G4300" s="1"/>
      <c r="H4300" s="1"/>
      <c r="I4300" s="1"/>
      <c r="J4300" s="1"/>
      <c r="K4300" s="89" t="s">
        <v>6679</v>
      </c>
      <c r="L4300" s="89" t="str">
        <f>C146</f>
        <v>C2a</v>
      </c>
      <c r="M4300" s="89" t="s">
        <v>6680</v>
      </c>
      <c r="N4300" s="89" t="s">
        <v>6678</v>
      </c>
      <c r="O4300" s="92">
        <v>2.3148259E7</v>
      </c>
      <c r="P4300" s="92">
        <v>2.0986373E7</v>
      </c>
      <c r="Q4300" s="89" t="s">
        <v>912</v>
      </c>
      <c r="AF4300" s="1"/>
      <c r="AG4300" s="1"/>
    </row>
    <row r="4301" ht="15.75" customHeight="1">
      <c r="A4301" s="1"/>
      <c r="B4301" s="1"/>
      <c r="C4301" s="1"/>
      <c r="D4301" s="1"/>
      <c r="E4301" s="1"/>
      <c r="F4301" s="1"/>
      <c r="G4301" s="1"/>
      <c r="H4301" s="1"/>
      <c r="I4301" s="1"/>
      <c r="J4301" s="1"/>
      <c r="K4301" s="89" t="s">
        <v>6681</v>
      </c>
      <c r="L4301" s="89" t="str">
        <f>C146</f>
        <v>C2a</v>
      </c>
      <c r="M4301" s="89" t="s">
        <v>6682</v>
      </c>
      <c r="N4301" s="89" t="s">
        <v>6678</v>
      </c>
      <c r="O4301" s="92">
        <v>2.3148259E7</v>
      </c>
      <c r="P4301" s="92">
        <v>2.0986373E7</v>
      </c>
      <c r="Q4301" s="89" t="s">
        <v>912</v>
      </c>
      <c r="AF4301" s="1"/>
      <c r="AG4301" s="1"/>
    </row>
    <row r="4302" ht="15.75" customHeight="1">
      <c r="A4302" s="1"/>
      <c r="B4302" s="1"/>
      <c r="C4302" s="1"/>
      <c r="D4302" s="1"/>
      <c r="E4302" s="1"/>
      <c r="F4302" s="1"/>
      <c r="G4302" s="1"/>
      <c r="H4302" s="1"/>
      <c r="I4302" s="1"/>
      <c r="J4302" s="1"/>
      <c r="K4302" s="89" t="s">
        <v>6683</v>
      </c>
      <c r="L4302" s="89" t="str">
        <f>C146</f>
        <v>C2a</v>
      </c>
      <c r="M4302" s="89" t="s">
        <v>6684</v>
      </c>
      <c r="N4302" s="89" t="s">
        <v>6678</v>
      </c>
      <c r="O4302" s="92">
        <v>2.3148259E7</v>
      </c>
      <c r="P4302" s="92">
        <v>2.0986373E7</v>
      </c>
      <c r="Q4302" s="89" t="s">
        <v>912</v>
      </c>
      <c r="AF4302" s="1"/>
      <c r="AG4302" s="1"/>
    </row>
    <row r="4303" ht="15.75" customHeight="1">
      <c r="A4303" s="1"/>
      <c r="B4303" s="1"/>
      <c r="C4303" s="1"/>
      <c r="D4303" s="1"/>
      <c r="E4303" s="1"/>
      <c r="F4303" s="1"/>
      <c r="G4303" s="1"/>
      <c r="H4303" s="1"/>
      <c r="I4303" s="1"/>
      <c r="J4303" s="1"/>
      <c r="K4303" s="93" t="s">
        <v>6685</v>
      </c>
      <c r="L4303" s="89" t="str">
        <f>C146</f>
        <v>C2a</v>
      </c>
      <c r="M4303" s="89" t="s">
        <v>6686</v>
      </c>
      <c r="N4303" s="89" t="s">
        <v>6687</v>
      </c>
      <c r="O4303" s="92">
        <v>8690860.0</v>
      </c>
      <c r="P4303" s="92">
        <v>8822819.0</v>
      </c>
      <c r="Q4303" s="89" t="s">
        <v>886</v>
      </c>
      <c r="AF4303" s="1"/>
      <c r="AG4303" s="1"/>
    </row>
    <row r="4304" ht="15.75" customHeight="1">
      <c r="A4304" s="1"/>
      <c r="B4304" s="1"/>
      <c r="C4304" s="1"/>
      <c r="D4304" s="1"/>
      <c r="E4304" s="1"/>
      <c r="F4304" s="1"/>
      <c r="G4304" s="1"/>
      <c r="H4304" s="1"/>
      <c r="I4304" s="1"/>
      <c r="J4304" s="1"/>
      <c r="K4304" s="89" t="s">
        <v>6688</v>
      </c>
      <c r="L4304" s="89" t="str">
        <f>C146</f>
        <v>C2a</v>
      </c>
      <c r="M4304" s="93" t="s">
        <v>6689</v>
      </c>
      <c r="N4304" s="89" t="s">
        <v>6687</v>
      </c>
      <c r="O4304" s="92">
        <v>8690860.0</v>
      </c>
      <c r="P4304" s="92">
        <v>8822819.0</v>
      </c>
      <c r="Q4304" s="89" t="s">
        <v>886</v>
      </c>
      <c r="AF4304" s="1"/>
      <c r="AG4304" s="1"/>
    </row>
    <row r="4305" ht="15.75" customHeight="1">
      <c r="A4305" s="1"/>
      <c r="B4305" s="1"/>
      <c r="C4305" s="1"/>
      <c r="D4305" s="1"/>
      <c r="E4305" s="1"/>
      <c r="F4305" s="1"/>
      <c r="G4305" s="1"/>
      <c r="H4305" s="1"/>
      <c r="I4305" s="1"/>
      <c r="J4305" s="1"/>
      <c r="K4305" s="89" t="s">
        <v>6690</v>
      </c>
      <c r="L4305" s="89" t="str">
        <f>C146</f>
        <v>C2a</v>
      </c>
      <c r="M4305" s="93" t="s">
        <v>6691</v>
      </c>
      <c r="N4305" s="89" t="s">
        <v>6687</v>
      </c>
      <c r="O4305" s="92">
        <v>8690860.0</v>
      </c>
      <c r="P4305" s="92">
        <v>8822819.0</v>
      </c>
      <c r="Q4305" s="89" t="s">
        <v>886</v>
      </c>
      <c r="AF4305" s="1"/>
      <c r="AG4305" s="1"/>
    </row>
    <row r="4306" ht="15.75" customHeight="1">
      <c r="A4306" s="1"/>
      <c r="B4306" s="1"/>
      <c r="C4306" s="1"/>
      <c r="D4306" s="1"/>
      <c r="E4306" s="1"/>
      <c r="F4306" s="1"/>
      <c r="G4306" s="1"/>
      <c r="H4306" s="1"/>
      <c r="I4306" s="1"/>
      <c r="J4306" s="1"/>
      <c r="K4306" s="89" t="s">
        <v>6692</v>
      </c>
      <c r="L4306" s="89" t="str">
        <f>C146</f>
        <v>C2a</v>
      </c>
      <c r="M4306" s="89" t="s">
        <v>6693</v>
      </c>
      <c r="N4306" s="89" t="s">
        <v>6694</v>
      </c>
      <c r="O4306" s="92">
        <v>1.4104939E7</v>
      </c>
      <c r="P4306" s="92">
        <v>1.1984233E7</v>
      </c>
      <c r="Q4306" s="89" t="s">
        <v>879</v>
      </c>
      <c r="AF4306" s="1"/>
      <c r="AG4306" s="1"/>
    </row>
    <row r="4307" ht="15.75" customHeight="1">
      <c r="A4307" s="1"/>
      <c r="B4307" s="1"/>
      <c r="C4307" s="1"/>
      <c r="D4307" s="1"/>
      <c r="E4307" s="1"/>
      <c r="F4307" s="1"/>
      <c r="G4307" s="1"/>
      <c r="H4307" s="1"/>
      <c r="I4307" s="1"/>
      <c r="J4307" s="1"/>
      <c r="K4307" s="89" t="s">
        <v>6695</v>
      </c>
      <c r="L4307" s="89" t="str">
        <f>C146</f>
        <v>C2a</v>
      </c>
      <c r="M4307" s="89" t="s">
        <v>6696</v>
      </c>
      <c r="N4307" s="89" t="s">
        <v>6694</v>
      </c>
      <c r="O4307" s="92">
        <v>1.4104939E7</v>
      </c>
      <c r="P4307" s="92">
        <v>1.1984233E7</v>
      </c>
      <c r="Q4307" s="89" t="s">
        <v>879</v>
      </c>
      <c r="AF4307" s="1"/>
      <c r="AG4307" s="1"/>
    </row>
    <row r="4308" ht="15.75" customHeight="1">
      <c r="A4308" s="1"/>
      <c r="B4308" s="1"/>
      <c r="C4308" s="1"/>
      <c r="D4308" s="1"/>
      <c r="E4308" s="1"/>
      <c r="F4308" s="1"/>
      <c r="G4308" s="1"/>
      <c r="H4308" s="1"/>
      <c r="I4308" s="1"/>
      <c r="J4308" s="1"/>
      <c r="K4308" s="89" t="s">
        <v>6697</v>
      </c>
      <c r="L4308" s="89" t="str">
        <f>C146</f>
        <v>C2a</v>
      </c>
      <c r="M4308" s="89" t="s">
        <v>6698</v>
      </c>
      <c r="N4308" s="89" t="s">
        <v>6694</v>
      </c>
      <c r="O4308" s="92">
        <v>1.4104939E7</v>
      </c>
      <c r="P4308" s="92">
        <v>1.1984233E7</v>
      </c>
      <c r="Q4308" s="89" t="s">
        <v>879</v>
      </c>
      <c r="AF4308" s="1"/>
      <c r="AG4308" s="1"/>
    </row>
    <row r="4309" ht="15.75" customHeight="1">
      <c r="A4309" s="1"/>
      <c r="B4309" s="1"/>
      <c r="C4309" s="1"/>
      <c r="D4309" s="1"/>
      <c r="E4309" s="1"/>
      <c r="F4309" s="1"/>
      <c r="G4309" s="1"/>
      <c r="H4309" s="1"/>
      <c r="I4309" s="1"/>
      <c r="J4309" s="1"/>
      <c r="K4309" s="89" t="s">
        <v>6699</v>
      </c>
      <c r="L4309" s="89" t="str">
        <f>C146</f>
        <v>C2a</v>
      </c>
      <c r="M4309" s="89" t="s">
        <v>6700</v>
      </c>
      <c r="N4309" s="89" t="s">
        <v>6694</v>
      </c>
      <c r="O4309" s="92">
        <v>1.4104939E7</v>
      </c>
      <c r="P4309" s="92">
        <v>1.1984233E7</v>
      </c>
      <c r="Q4309" s="89" t="s">
        <v>879</v>
      </c>
      <c r="AF4309" s="1"/>
      <c r="AG4309" s="1"/>
    </row>
    <row r="4310" ht="15.75" customHeight="1">
      <c r="A4310" s="1"/>
      <c r="B4310" s="1"/>
      <c r="C4310" s="1"/>
      <c r="D4310" s="1"/>
      <c r="E4310" s="1"/>
      <c r="F4310" s="1"/>
      <c r="G4310" s="1"/>
      <c r="H4310" s="1"/>
      <c r="I4310" s="1"/>
      <c r="J4310" s="1"/>
      <c r="K4310" s="89" t="s">
        <v>6701</v>
      </c>
      <c r="L4310" s="89" t="str">
        <f>C146</f>
        <v>C2a</v>
      </c>
      <c r="M4310" s="89" t="s">
        <v>6702</v>
      </c>
      <c r="N4310" s="89" t="s">
        <v>6703</v>
      </c>
      <c r="O4310" s="92">
        <v>1.5251706E7</v>
      </c>
      <c r="P4310" s="92">
        <v>1.3139792E7</v>
      </c>
      <c r="Q4310" s="89" t="s">
        <v>886</v>
      </c>
      <c r="AF4310" s="1"/>
      <c r="AG4310" s="1"/>
    </row>
    <row r="4311" ht="15.75" customHeight="1">
      <c r="A4311" s="1"/>
      <c r="B4311" s="1"/>
      <c r="C4311" s="1"/>
      <c r="D4311" s="1"/>
      <c r="E4311" s="1"/>
      <c r="F4311" s="1"/>
      <c r="G4311" s="1"/>
      <c r="H4311" s="1"/>
      <c r="I4311" s="1"/>
      <c r="J4311" s="1"/>
      <c r="K4311" s="89" t="s">
        <v>6704</v>
      </c>
      <c r="L4311" s="89" t="str">
        <f>C146</f>
        <v>C2a</v>
      </c>
      <c r="M4311" s="89" t="s">
        <v>6705</v>
      </c>
      <c r="N4311" s="89" t="s">
        <v>6703</v>
      </c>
      <c r="O4311" s="92">
        <v>1.5251706E7</v>
      </c>
      <c r="P4311" s="92">
        <v>1.3139792E7</v>
      </c>
      <c r="Q4311" s="89" t="s">
        <v>886</v>
      </c>
      <c r="AF4311" s="1"/>
      <c r="AG4311" s="1"/>
    </row>
    <row r="4312" ht="15.75" customHeight="1">
      <c r="A4312" s="1"/>
      <c r="B4312" s="1"/>
      <c r="C4312" s="1"/>
      <c r="D4312" s="1"/>
      <c r="E4312" s="1"/>
      <c r="F4312" s="1"/>
      <c r="G4312" s="1"/>
      <c r="H4312" s="1"/>
      <c r="I4312" s="1"/>
      <c r="J4312" s="1"/>
      <c r="K4312" s="89" t="s">
        <v>6706</v>
      </c>
      <c r="L4312" s="89" t="str">
        <f>C146</f>
        <v>C2a</v>
      </c>
      <c r="M4312" s="89" t="s">
        <v>6707</v>
      </c>
      <c r="N4312" s="89" t="s">
        <v>6703</v>
      </c>
      <c r="O4312" s="92">
        <v>1.5251706E7</v>
      </c>
      <c r="P4312" s="92">
        <v>1.3139792E7</v>
      </c>
      <c r="Q4312" s="89" t="s">
        <v>886</v>
      </c>
      <c r="AF4312" s="1"/>
      <c r="AG4312" s="1"/>
    </row>
    <row r="4313" ht="15.75" customHeight="1">
      <c r="A4313" s="1"/>
      <c r="B4313" s="1"/>
      <c r="C4313" s="1"/>
      <c r="D4313" s="1"/>
      <c r="E4313" s="1"/>
      <c r="F4313" s="1"/>
      <c r="G4313" s="1"/>
      <c r="H4313" s="1"/>
      <c r="I4313" s="1"/>
      <c r="J4313" s="1"/>
      <c r="K4313" s="89" t="s">
        <v>6708</v>
      </c>
      <c r="L4313" s="89" t="str">
        <f>C146</f>
        <v>C2a</v>
      </c>
      <c r="M4313" s="89" t="s">
        <v>6709</v>
      </c>
      <c r="N4313" s="89" t="s">
        <v>6703</v>
      </c>
      <c r="O4313" s="92">
        <v>1.5251706E7</v>
      </c>
      <c r="P4313" s="92">
        <v>1.3139792E7</v>
      </c>
      <c r="Q4313" s="89" t="s">
        <v>886</v>
      </c>
      <c r="AF4313" s="1"/>
      <c r="AG4313" s="1"/>
    </row>
    <row r="4314" ht="15.75" customHeight="1">
      <c r="A4314" s="1"/>
      <c r="B4314" s="1"/>
      <c r="C4314" s="1"/>
      <c r="D4314" s="1"/>
      <c r="E4314" s="1"/>
      <c r="F4314" s="1"/>
      <c r="G4314" s="1"/>
      <c r="H4314" s="1"/>
      <c r="I4314" s="1"/>
      <c r="J4314" s="1"/>
      <c r="K4314" s="89" t="s">
        <v>6710</v>
      </c>
      <c r="L4314" s="89" t="str">
        <f>C146</f>
        <v>C2a</v>
      </c>
      <c r="M4314" s="89" t="s">
        <v>6711</v>
      </c>
      <c r="N4314" s="89" t="s">
        <v>6712</v>
      </c>
      <c r="O4314" s="92">
        <v>1.6297724E7</v>
      </c>
      <c r="P4314" s="92">
        <v>1.4185844E7</v>
      </c>
      <c r="Q4314" s="89" t="s">
        <v>831</v>
      </c>
      <c r="AF4314" s="1"/>
      <c r="AG4314" s="1"/>
    </row>
    <row r="4315" ht="15.75" customHeight="1">
      <c r="A4315" s="1"/>
      <c r="B4315" s="1"/>
      <c r="C4315" s="1"/>
      <c r="D4315" s="1"/>
      <c r="E4315" s="1"/>
      <c r="F4315" s="1"/>
      <c r="G4315" s="1"/>
      <c r="H4315" s="1"/>
      <c r="I4315" s="1"/>
      <c r="J4315" s="1"/>
      <c r="K4315" s="89" t="s">
        <v>6713</v>
      </c>
      <c r="L4315" s="89" t="str">
        <f>C146</f>
        <v>C2a</v>
      </c>
      <c r="M4315" s="89" t="s">
        <v>6714</v>
      </c>
      <c r="N4315" s="89" t="s">
        <v>6712</v>
      </c>
      <c r="O4315" s="92">
        <v>1.6297724E7</v>
      </c>
      <c r="P4315" s="92">
        <v>1.4185844E7</v>
      </c>
      <c r="Q4315" s="89" t="s">
        <v>831</v>
      </c>
      <c r="AF4315" s="1"/>
      <c r="AG4315" s="1"/>
    </row>
    <row r="4316" ht="15.75" customHeight="1">
      <c r="A4316" s="1"/>
      <c r="B4316" s="1"/>
      <c r="C4316" s="1"/>
      <c r="D4316" s="1"/>
      <c r="E4316" s="1"/>
      <c r="F4316" s="1"/>
      <c r="G4316" s="1"/>
      <c r="H4316" s="1"/>
      <c r="I4316" s="1"/>
      <c r="J4316" s="1"/>
      <c r="K4316" s="89" t="s">
        <v>6715</v>
      </c>
      <c r="L4316" s="89" t="str">
        <f>C146</f>
        <v>C2a</v>
      </c>
      <c r="M4316" s="89" t="s">
        <v>6716</v>
      </c>
      <c r="N4316" s="89" t="s">
        <v>6712</v>
      </c>
      <c r="O4316" s="92">
        <v>1.6297724E7</v>
      </c>
      <c r="P4316" s="92">
        <v>1.4185844E7</v>
      </c>
      <c r="Q4316" s="89" t="s">
        <v>831</v>
      </c>
      <c r="AF4316" s="1"/>
      <c r="AG4316" s="1"/>
    </row>
    <row r="4317" ht="15.75" customHeight="1">
      <c r="A4317" s="1"/>
      <c r="B4317" s="1"/>
      <c r="C4317" s="1"/>
      <c r="D4317" s="1"/>
      <c r="E4317" s="1"/>
      <c r="F4317" s="1"/>
      <c r="G4317" s="1"/>
      <c r="H4317" s="1"/>
      <c r="I4317" s="1"/>
      <c r="J4317" s="1"/>
      <c r="K4317" s="89" t="s">
        <v>6717</v>
      </c>
      <c r="L4317" s="89" t="str">
        <f>C146</f>
        <v>C2a</v>
      </c>
      <c r="M4317" s="89" t="s">
        <v>6718</v>
      </c>
      <c r="N4317" s="89" t="s">
        <v>6712</v>
      </c>
      <c r="O4317" s="92">
        <v>1.6297724E7</v>
      </c>
      <c r="P4317" s="92">
        <v>1.4185844E7</v>
      </c>
      <c r="Q4317" s="89" t="s">
        <v>831</v>
      </c>
      <c r="AF4317" s="1"/>
      <c r="AG4317" s="1"/>
    </row>
    <row r="4318" ht="15.75" customHeight="1">
      <c r="A4318" s="1"/>
      <c r="B4318" s="1"/>
      <c r="C4318" s="1"/>
      <c r="D4318" s="1"/>
      <c r="E4318" s="1"/>
      <c r="F4318" s="1"/>
      <c r="G4318" s="1"/>
      <c r="H4318" s="1"/>
      <c r="I4318" s="1"/>
      <c r="J4318" s="1"/>
      <c r="K4318" s="89" t="s">
        <v>6719</v>
      </c>
      <c r="L4318" s="89" t="str">
        <f>C146</f>
        <v>C2a</v>
      </c>
      <c r="M4318" s="89" t="s">
        <v>6720</v>
      </c>
      <c r="N4318" s="89" t="s">
        <v>6721</v>
      </c>
      <c r="O4318" s="92">
        <v>1.8243338E7</v>
      </c>
      <c r="P4318" s="92">
        <v>1.6131458E7</v>
      </c>
      <c r="Q4318" s="89" t="s">
        <v>917</v>
      </c>
      <c r="AF4318" s="1"/>
      <c r="AG4318" s="1"/>
    </row>
    <row r="4319" ht="15.75" customHeight="1">
      <c r="A4319" s="1"/>
      <c r="B4319" s="1"/>
      <c r="C4319" s="1"/>
      <c r="D4319" s="1"/>
      <c r="E4319" s="1"/>
      <c r="F4319" s="1"/>
      <c r="G4319" s="1"/>
      <c r="H4319" s="1"/>
      <c r="I4319" s="1"/>
      <c r="J4319" s="1"/>
      <c r="K4319" s="89" t="s">
        <v>6722</v>
      </c>
      <c r="L4319" s="89" t="str">
        <f>C146</f>
        <v>C2a</v>
      </c>
      <c r="M4319" s="89" t="s">
        <v>6723</v>
      </c>
      <c r="N4319" s="89" t="s">
        <v>6721</v>
      </c>
      <c r="O4319" s="92">
        <v>1.8243338E7</v>
      </c>
      <c r="P4319" s="92">
        <v>1.6131458E7</v>
      </c>
      <c r="Q4319" s="89" t="s">
        <v>917</v>
      </c>
      <c r="AF4319" s="1"/>
      <c r="AG4319" s="1"/>
    </row>
    <row r="4320" ht="15.75" customHeight="1">
      <c r="A4320" s="1"/>
      <c r="B4320" s="1"/>
      <c r="C4320" s="1"/>
      <c r="D4320" s="1"/>
      <c r="E4320" s="1"/>
      <c r="F4320" s="1"/>
      <c r="G4320" s="1"/>
      <c r="H4320" s="1"/>
      <c r="I4320" s="1"/>
      <c r="J4320" s="1"/>
      <c r="K4320" s="89" t="s">
        <v>6724</v>
      </c>
      <c r="L4320" s="89" t="str">
        <f>C146</f>
        <v>C2a</v>
      </c>
      <c r="M4320" s="89" t="s">
        <v>6725</v>
      </c>
      <c r="N4320" s="89" t="s">
        <v>6721</v>
      </c>
      <c r="O4320" s="92">
        <v>1.8243338E7</v>
      </c>
      <c r="P4320" s="92">
        <v>1.6131458E7</v>
      </c>
      <c r="Q4320" s="89" t="s">
        <v>917</v>
      </c>
      <c r="AF4320" s="1"/>
      <c r="AG4320" s="1"/>
    </row>
    <row r="4321" ht="15.75" customHeight="1">
      <c r="A4321" s="1"/>
      <c r="B4321" s="1"/>
      <c r="C4321" s="1"/>
      <c r="D4321" s="1"/>
      <c r="E4321" s="1"/>
      <c r="F4321" s="1"/>
      <c r="G4321" s="1"/>
      <c r="H4321" s="1"/>
      <c r="I4321" s="1"/>
      <c r="J4321" s="1"/>
      <c r="K4321" s="89" t="s">
        <v>6726</v>
      </c>
      <c r="L4321" s="89" t="str">
        <f>C146</f>
        <v>C2a</v>
      </c>
      <c r="M4321" s="89" t="s">
        <v>6727</v>
      </c>
      <c r="N4321" s="89" t="s">
        <v>6721</v>
      </c>
      <c r="O4321" s="92">
        <v>1.8243338E7</v>
      </c>
      <c r="P4321" s="92">
        <v>1.6131458E7</v>
      </c>
      <c r="Q4321" s="89" t="s">
        <v>917</v>
      </c>
      <c r="AF4321" s="1"/>
      <c r="AG4321" s="1"/>
    </row>
    <row r="4322" ht="15.75" customHeight="1">
      <c r="A4322" s="1"/>
      <c r="B4322" s="1"/>
      <c r="C4322" s="1"/>
      <c r="D4322" s="1"/>
      <c r="E4322" s="1"/>
      <c r="F4322" s="1"/>
      <c r="G4322" s="1"/>
      <c r="H4322" s="1"/>
      <c r="I4322" s="1"/>
      <c r="J4322" s="1"/>
      <c r="K4322" s="89" t="s">
        <v>6728</v>
      </c>
      <c r="L4322" s="89" t="str">
        <f>C146</f>
        <v>C2a</v>
      </c>
      <c r="M4322" s="89" t="s">
        <v>6729</v>
      </c>
      <c r="N4322" s="89" t="s">
        <v>6730</v>
      </c>
      <c r="O4322" s="92">
        <v>2.1648377E7</v>
      </c>
      <c r="P4322" s="92">
        <v>1.9486491E7</v>
      </c>
      <c r="Q4322" s="89" t="s">
        <v>822</v>
      </c>
      <c r="AF4322" s="1"/>
      <c r="AG4322" s="1"/>
    </row>
    <row r="4323" ht="15.75" customHeight="1">
      <c r="A4323" s="1"/>
      <c r="B4323" s="1"/>
      <c r="C4323" s="1"/>
      <c r="D4323" s="1"/>
      <c r="E4323" s="1"/>
      <c r="F4323" s="1"/>
      <c r="G4323" s="1"/>
      <c r="H4323" s="1"/>
      <c r="I4323" s="1"/>
      <c r="J4323" s="1"/>
      <c r="K4323" s="89" t="s">
        <v>6731</v>
      </c>
      <c r="L4323" s="89" t="str">
        <f>C146</f>
        <v>C2a</v>
      </c>
      <c r="M4323" s="89" t="s">
        <v>6732</v>
      </c>
      <c r="N4323" s="89" t="s">
        <v>6730</v>
      </c>
      <c r="O4323" s="92">
        <v>2.1648377E7</v>
      </c>
      <c r="P4323" s="92">
        <v>1.9486491E7</v>
      </c>
      <c r="Q4323" s="89" t="s">
        <v>822</v>
      </c>
      <c r="AF4323" s="1"/>
      <c r="AG4323" s="1"/>
    </row>
    <row r="4324" ht="15.75" customHeight="1">
      <c r="A4324" s="1"/>
      <c r="B4324" s="1"/>
      <c r="C4324" s="1"/>
      <c r="D4324" s="1"/>
      <c r="E4324" s="1"/>
      <c r="F4324" s="1"/>
      <c r="G4324" s="1"/>
      <c r="H4324" s="1"/>
      <c r="I4324" s="1"/>
      <c r="J4324" s="1"/>
      <c r="K4324" s="89" t="s">
        <v>6733</v>
      </c>
      <c r="L4324" s="89" t="str">
        <f>C146</f>
        <v>C2a</v>
      </c>
      <c r="M4324" s="89" t="s">
        <v>6734</v>
      </c>
      <c r="N4324" s="89" t="s">
        <v>6730</v>
      </c>
      <c r="O4324" s="92">
        <v>2.1648377E7</v>
      </c>
      <c r="P4324" s="92">
        <v>1.9486491E7</v>
      </c>
      <c r="Q4324" s="89" t="s">
        <v>822</v>
      </c>
      <c r="AF4324" s="1"/>
      <c r="AG4324" s="1"/>
    </row>
    <row r="4325" ht="15.75" customHeight="1">
      <c r="A4325" s="1"/>
      <c r="B4325" s="1"/>
      <c r="C4325" s="1"/>
      <c r="D4325" s="1"/>
      <c r="E4325" s="1"/>
      <c r="F4325" s="1"/>
      <c r="G4325" s="1"/>
      <c r="H4325" s="1"/>
      <c r="I4325" s="1"/>
      <c r="J4325" s="1"/>
      <c r="K4325" s="89" t="s">
        <v>6735</v>
      </c>
      <c r="L4325" s="89" t="str">
        <f>C146</f>
        <v>C2a</v>
      </c>
      <c r="M4325" s="89" t="s">
        <v>6736</v>
      </c>
      <c r="N4325" s="89" t="s">
        <v>6730</v>
      </c>
      <c r="O4325" s="92">
        <v>2.1648377E7</v>
      </c>
      <c r="P4325" s="92">
        <v>1.9486491E7</v>
      </c>
      <c r="Q4325" s="89" t="s">
        <v>822</v>
      </c>
      <c r="AF4325" s="1"/>
      <c r="AG4325" s="1"/>
    </row>
    <row r="4326" ht="15.75" customHeight="1">
      <c r="A4326" s="1"/>
      <c r="B4326" s="1"/>
      <c r="C4326" s="1"/>
      <c r="D4326" s="1"/>
      <c r="E4326" s="1"/>
      <c r="F4326" s="1"/>
      <c r="G4326" s="1"/>
      <c r="H4326" s="1"/>
      <c r="I4326" s="1"/>
      <c r="J4326" s="1"/>
      <c r="K4326" s="89" t="s">
        <v>6737</v>
      </c>
      <c r="L4326" s="89" t="str">
        <f>C146</f>
        <v>C2a</v>
      </c>
      <c r="M4326" s="89" t="s">
        <v>6738</v>
      </c>
      <c r="N4326" s="89" t="s">
        <v>6739</v>
      </c>
      <c r="O4326" s="92">
        <v>2.1798371E7</v>
      </c>
      <c r="P4326" s="92">
        <v>1.9636485E7</v>
      </c>
      <c r="Q4326" s="89" t="s">
        <v>831</v>
      </c>
      <c r="AF4326" s="1"/>
      <c r="AG4326" s="1"/>
    </row>
    <row r="4327" ht="15.75" customHeight="1">
      <c r="A4327" s="1"/>
      <c r="B4327" s="1"/>
      <c r="C4327" s="1"/>
      <c r="D4327" s="1"/>
      <c r="E4327" s="1"/>
      <c r="F4327" s="1"/>
      <c r="G4327" s="1"/>
      <c r="H4327" s="1"/>
      <c r="I4327" s="1"/>
      <c r="J4327" s="1"/>
      <c r="K4327" s="89" t="s">
        <v>6740</v>
      </c>
      <c r="L4327" s="89" t="str">
        <f>C146</f>
        <v>C2a</v>
      </c>
      <c r="M4327" s="89" t="s">
        <v>6741</v>
      </c>
      <c r="N4327" s="89" t="s">
        <v>6739</v>
      </c>
      <c r="O4327" s="92">
        <v>2.1798371E7</v>
      </c>
      <c r="P4327" s="92">
        <v>1.9636485E7</v>
      </c>
      <c r="Q4327" s="89" t="s">
        <v>831</v>
      </c>
      <c r="AF4327" s="1"/>
      <c r="AG4327" s="1"/>
    </row>
    <row r="4328" ht="15.75" customHeight="1">
      <c r="A4328" s="1"/>
      <c r="B4328" s="1"/>
      <c r="C4328" s="1"/>
      <c r="D4328" s="1"/>
      <c r="E4328" s="1"/>
      <c r="F4328" s="1"/>
      <c r="G4328" s="1"/>
      <c r="H4328" s="1"/>
      <c r="I4328" s="1"/>
      <c r="J4328" s="1"/>
      <c r="K4328" s="89" t="s">
        <v>6742</v>
      </c>
      <c r="L4328" s="89" t="str">
        <f>C146</f>
        <v>C2a</v>
      </c>
      <c r="M4328" s="89" t="s">
        <v>6743</v>
      </c>
      <c r="N4328" s="89" t="s">
        <v>6739</v>
      </c>
      <c r="O4328" s="92">
        <v>2.1798371E7</v>
      </c>
      <c r="P4328" s="92">
        <v>1.9636485E7</v>
      </c>
      <c r="Q4328" s="89" t="s">
        <v>831</v>
      </c>
      <c r="AF4328" s="1"/>
      <c r="AG4328" s="1"/>
    </row>
    <row r="4329" ht="15.75" customHeight="1">
      <c r="A4329" s="1"/>
      <c r="B4329" s="1"/>
      <c r="C4329" s="1"/>
      <c r="D4329" s="1"/>
      <c r="E4329" s="1"/>
      <c r="F4329" s="1"/>
      <c r="G4329" s="1"/>
      <c r="H4329" s="1"/>
      <c r="I4329" s="1"/>
      <c r="J4329" s="1"/>
      <c r="K4329" s="89" t="s">
        <v>6744</v>
      </c>
      <c r="L4329" s="89" t="str">
        <f>C146</f>
        <v>C2a</v>
      </c>
      <c r="M4329" s="89" t="s">
        <v>6745</v>
      </c>
      <c r="N4329" s="89" t="s">
        <v>6739</v>
      </c>
      <c r="O4329" s="92">
        <v>2.1798371E7</v>
      </c>
      <c r="P4329" s="92">
        <v>1.9636485E7</v>
      </c>
      <c r="Q4329" s="89" t="s">
        <v>831</v>
      </c>
      <c r="AF4329" s="1"/>
      <c r="AG4329" s="1"/>
    </row>
    <row r="4330" ht="15.75" customHeight="1">
      <c r="A4330" s="1"/>
      <c r="B4330" s="1"/>
      <c r="C4330" s="1"/>
      <c r="D4330" s="1"/>
      <c r="E4330" s="1"/>
      <c r="F4330" s="1"/>
      <c r="G4330" s="1"/>
      <c r="H4330" s="1"/>
      <c r="I4330" s="1"/>
      <c r="J4330" s="1"/>
      <c r="K4330" s="89" t="s">
        <v>6746</v>
      </c>
      <c r="L4330" s="89" t="str">
        <f>C146</f>
        <v>C2a</v>
      </c>
      <c r="M4330" s="89" t="s">
        <v>6747</v>
      </c>
      <c r="N4330" s="89" t="s">
        <v>6748</v>
      </c>
      <c r="O4330" s="92">
        <v>2864957.0</v>
      </c>
      <c r="P4330" s="92">
        <v>2996916.0</v>
      </c>
      <c r="Q4330" s="89" t="s">
        <v>810</v>
      </c>
      <c r="AF4330" s="1"/>
      <c r="AG4330" s="1"/>
    </row>
    <row r="4331" ht="15.75" customHeight="1">
      <c r="A4331" s="1"/>
      <c r="B4331" s="1"/>
      <c r="C4331" s="1"/>
      <c r="D4331" s="1"/>
      <c r="E4331" s="1"/>
      <c r="F4331" s="1"/>
      <c r="G4331" s="1"/>
      <c r="H4331" s="1"/>
      <c r="I4331" s="1"/>
      <c r="J4331" s="1"/>
      <c r="K4331" s="89" t="s">
        <v>6749</v>
      </c>
      <c r="L4331" s="89" t="str">
        <f>C146</f>
        <v>C2a</v>
      </c>
      <c r="M4331" s="89" t="s">
        <v>6750</v>
      </c>
      <c r="N4331" s="89" t="s">
        <v>6748</v>
      </c>
      <c r="O4331" s="92">
        <v>2864957.0</v>
      </c>
      <c r="P4331" s="92">
        <v>2996916.0</v>
      </c>
      <c r="Q4331" s="89" t="s">
        <v>810</v>
      </c>
      <c r="AF4331" s="1"/>
      <c r="AG4331" s="1"/>
    </row>
    <row r="4332" ht="15.75" customHeight="1">
      <c r="A4332" s="1"/>
      <c r="B4332" s="1"/>
      <c r="C4332" s="1"/>
      <c r="D4332" s="1"/>
      <c r="E4332" s="1"/>
      <c r="F4332" s="1"/>
      <c r="G4332" s="1"/>
      <c r="H4332" s="1"/>
      <c r="I4332" s="1"/>
      <c r="J4332" s="1"/>
      <c r="K4332" s="89" t="s">
        <v>6751</v>
      </c>
      <c r="L4332" s="89" t="str">
        <f>C146</f>
        <v>C2a</v>
      </c>
      <c r="M4332" s="89" t="s">
        <v>6752</v>
      </c>
      <c r="N4332" s="89" t="s">
        <v>6748</v>
      </c>
      <c r="O4332" s="92">
        <v>2864957.0</v>
      </c>
      <c r="P4332" s="92">
        <v>2996916.0</v>
      </c>
      <c r="Q4332" s="89" t="s">
        <v>810</v>
      </c>
      <c r="AF4332" s="1"/>
      <c r="AG4332" s="1"/>
    </row>
    <row r="4333" ht="15.75" customHeight="1">
      <c r="A4333" s="1"/>
      <c r="B4333" s="1"/>
      <c r="C4333" s="1"/>
      <c r="D4333" s="1"/>
      <c r="E4333" s="1"/>
      <c r="F4333" s="1"/>
      <c r="G4333" s="1"/>
      <c r="H4333" s="1"/>
      <c r="I4333" s="1"/>
      <c r="J4333" s="1"/>
      <c r="K4333" s="89" t="s">
        <v>6753</v>
      </c>
      <c r="L4333" s="89" t="str">
        <f>C146</f>
        <v>C2a</v>
      </c>
      <c r="M4333" s="89" t="s">
        <v>6754</v>
      </c>
      <c r="N4333" s="89" t="s">
        <v>6755</v>
      </c>
      <c r="O4333" s="92">
        <v>7280398.0</v>
      </c>
      <c r="P4333" s="92">
        <v>7412357.0</v>
      </c>
      <c r="Q4333" s="89" t="s">
        <v>822</v>
      </c>
      <c r="AF4333" s="1"/>
      <c r="AG4333" s="1"/>
    </row>
    <row r="4334" ht="15.75" customHeight="1">
      <c r="A4334" s="1"/>
      <c r="B4334" s="1"/>
      <c r="C4334" s="1"/>
      <c r="D4334" s="1"/>
      <c r="E4334" s="1"/>
      <c r="F4334" s="1"/>
      <c r="G4334" s="1"/>
      <c r="H4334" s="1"/>
      <c r="I4334" s="1"/>
      <c r="J4334" s="1"/>
      <c r="K4334" s="89" t="s">
        <v>6756</v>
      </c>
      <c r="L4334" s="89" t="str">
        <f>C146</f>
        <v>C2a</v>
      </c>
      <c r="M4334" s="89" t="s">
        <v>6757</v>
      </c>
      <c r="N4334" s="89" t="s">
        <v>6755</v>
      </c>
      <c r="O4334" s="92">
        <v>7280398.0</v>
      </c>
      <c r="P4334" s="92">
        <v>7412357.0</v>
      </c>
      <c r="Q4334" s="89" t="s">
        <v>822</v>
      </c>
      <c r="AF4334" s="1"/>
      <c r="AG4334" s="1"/>
    </row>
    <row r="4335" ht="15.75" customHeight="1">
      <c r="A4335" s="1"/>
      <c r="B4335" s="1"/>
      <c r="C4335" s="1"/>
      <c r="D4335" s="1"/>
      <c r="E4335" s="1"/>
      <c r="F4335" s="1"/>
      <c r="G4335" s="1"/>
      <c r="H4335" s="1"/>
      <c r="I4335" s="1"/>
      <c r="J4335" s="1"/>
      <c r="K4335" s="89" t="s">
        <v>6758</v>
      </c>
      <c r="L4335" s="89" t="str">
        <f>C146</f>
        <v>C2a</v>
      </c>
      <c r="M4335" s="89" t="s">
        <v>6759</v>
      </c>
      <c r="N4335" s="89" t="s">
        <v>6755</v>
      </c>
      <c r="O4335" s="92">
        <v>7280398.0</v>
      </c>
      <c r="P4335" s="92">
        <v>7412357.0</v>
      </c>
      <c r="Q4335" s="89" t="s">
        <v>822</v>
      </c>
      <c r="AF4335" s="1"/>
      <c r="AG4335" s="1"/>
    </row>
    <row r="4336" ht="15.75" customHeight="1">
      <c r="A4336" s="1"/>
      <c r="B4336" s="1"/>
      <c r="C4336" s="1"/>
      <c r="D4336" s="1"/>
      <c r="E4336" s="1"/>
      <c r="F4336" s="1"/>
      <c r="G4336" s="1"/>
      <c r="H4336" s="1"/>
      <c r="I4336" s="1"/>
      <c r="J4336" s="1"/>
      <c r="K4336" s="89" t="s">
        <v>6760</v>
      </c>
      <c r="L4336" s="89" t="str">
        <f>C146</f>
        <v>C2a</v>
      </c>
      <c r="M4336" s="89" t="s">
        <v>6761</v>
      </c>
      <c r="N4336" s="89" t="s">
        <v>6762</v>
      </c>
      <c r="O4336" s="92">
        <v>7727088.0</v>
      </c>
      <c r="P4336" s="92">
        <v>7859047.0</v>
      </c>
      <c r="Q4336" s="89" t="s">
        <v>810</v>
      </c>
      <c r="AF4336" s="1"/>
      <c r="AG4336" s="1"/>
    </row>
    <row r="4337" ht="15.75" customHeight="1">
      <c r="A4337" s="1"/>
      <c r="B4337" s="1"/>
      <c r="C4337" s="1"/>
      <c r="D4337" s="1"/>
      <c r="E4337" s="1"/>
      <c r="F4337" s="1"/>
      <c r="G4337" s="1"/>
      <c r="H4337" s="1"/>
      <c r="I4337" s="1"/>
      <c r="J4337" s="1"/>
      <c r="K4337" s="89" t="s">
        <v>6763</v>
      </c>
      <c r="L4337" s="89" t="str">
        <f>C146</f>
        <v>C2a</v>
      </c>
      <c r="M4337" s="89" t="s">
        <v>6764</v>
      </c>
      <c r="N4337" s="89" t="s">
        <v>6762</v>
      </c>
      <c r="O4337" s="92">
        <v>7727088.0</v>
      </c>
      <c r="P4337" s="92">
        <v>7859047.0</v>
      </c>
      <c r="Q4337" s="89" t="s">
        <v>810</v>
      </c>
      <c r="AF4337" s="1"/>
      <c r="AG4337" s="1"/>
    </row>
    <row r="4338" ht="15.75" customHeight="1">
      <c r="A4338" s="1"/>
      <c r="B4338" s="1"/>
      <c r="C4338" s="1"/>
      <c r="D4338" s="1"/>
      <c r="E4338" s="1"/>
      <c r="F4338" s="1"/>
      <c r="G4338" s="1"/>
      <c r="H4338" s="1"/>
      <c r="I4338" s="1"/>
      <c r="J4338" s="1"/>
      <c r="K4338" s="89" t="s">
        <v>6765</v>
      </c>
      <c r="L4338" s="89" t="str">
        <f>C146</f>
        <v>C2a</v>
      </c>
      <c r="M4338" s="89" t="s">
        <v>6766</v>
      </c>
      <c r="N4338" s="89" t="s">
        <v>6762</v>
      </c>
      <c r="O4338" s="92">
        <v>7727088.0</v>
      </c>
      <c r="P4338" s="92">
        <v>7859047.0</v>
      </c>
      <c r="Q4338" s="89" t="s">
        <v>810</v>
      </c>
      <c r="AF4338" s="1"/>
      <c r="AG4338" s="1"/>
    </row>
    <row r="4339" ht="15.75" customHeight="1">
      <c r="A4339" s="1"/>
      <c r="B4339" s="1"/>
      <c r="C4339" s="1"/>
      <c r="D4339" s="1"/>
      <c r="E4339" s="1"/>
      <c r="F4339" s="1"/>
      <c r="G4339" s="1"/>
      <c r="H4339" s="1"/>
      <c r="I4339" s="1"/>
      <c r="J4339" s="1"/>
      <c r="K4339" s="89" t="s">
        <v>6767</v>
      </c>
      <c r="L4339" s="89" t="str">
        <f>C146</f>
        <v>C2a</v>
      </c>
      <c r="M4339" s="89" t="s">
        <v>6768</v>
      </c>
      <c r="N4339" s="89" t="s">
        <v>6769</v>
      </c>
      <c r="O4339" s="92">
        <v>7853310.0</v>
      </c>
      <c r="P4339" s="92">
        <v>7985269.0</v>
      </c>
      <c r="Q4339" s="89" t="s">
        <v>838</v>
      </c>
      <c r="AF4339" s="1"/>
      <c r="AG4339" s="1"/>
    </row>
    <row r="4340" ht="15.75" customHeight="1">
      <c r="A4340" s="1"/>
      <c r="B4340" s="1"/>
      <c r="C4340" s="1"/>
      <c r="D4340" s="1"/>
      <c r="E4340" s="1"/>
      <c r="F4340" s="1"/>
      <c r="G4340" s="1"/>
      <c r="H4340" s="1"/>
      <c r="I4340" s="1"/>
      <c r="J4340" s="1"/>
      <c r="K4340" s="89" t="s">
        <v>6770</v>
      </c>
      <c r="L4340" s="89" t="str">
        <f>C146</f>
        <v>C2a</v>
      </c>
      <c r="M4340" s="89" t="s">
        <v>6771</v>
      </c>
      <c r="N4340" s="89" t="s">
        <v>6769</v>
      </c>
      <c r="O4340" s="92">
        <v>7853310.0</v>
      </c>
      <c r="P4340" s="92">
        <v>7985269.0</v>
      </c>
      <c r="Q4340" s="89" t="s">
        <v>838</v>
      </c>
      <c r="AF4340" s="1"/>
      <c r="AG4340" s="1"/>
    </row>
    <row r="4341" ht="15.75" customHeight="1">
      <c r="A4341" s="1"/>
      <c r="B4341" s="1"/>
      <c r="C4341" s="1"/>
      <c r="D4341" s="1"/>
      <c r="E4341" s="1"/>
      <c r="F4341" s="1"/>
      <c r="G4341" s="1"/>
      <c r="H4341" s="1"/>
      <c r="I4341" s="1"/>
      <c r="J4341" s="1"/>
      <c r="K4341" s="89" t="s">
        <v>6772</v>
      </c>
      <c r="L4341" s="89" t="str">
        <f>C146</f>
        <v>C2a</v>
      </c>
      <c r="M4341" s="89" t="s">
        <v>6773</v>
      </c>
      <c r="N4341" s="89" t="s">
        <v>6769</v>
      </c>
      <c r="O4341" s="92">
        <v>7853310.0</v>
      </c>
      <c r="P4341" s="92">
        <v>7985269.0</v>
      </c>
      <c r="Q4341" s="89" t="s">
        <v>838</v>
      </c>
      <c r="AF4341" s="1"/>
      <c r="AG4341" s="1"/>
    </row>
    <row r="4342" ht="15.75" customHeight="1">
      <c r="A4342" s="1"/>
      <c r="B4342" s="1"/>
      <c r="C4342" s="1"/>
      <c r="D4342" s="1"/>
      <c r="E4342" s="1"/>
      <c r="F4342" s="1"/>
      <c r="G4342" s="1"/>
      <c r="H4342" s="1"/>
      <c r="I4342" s="1"/>
      <c r="J4342" s="1"/>
      <c r="K4342" s="89" t="s">
        <v>6774</v>
      </c>
      <c r="L4342" s="89" t="str">
        <f>C146</f>
        <v>C2a</v>
      </c>
      <c r="M4342" s="89" t="s">
        <v>6775</v>
      </c>
      <c r="N4342" s="89" t="s">
        <v>6776</v>
      </c>
      <c r="O4342" s="92">
        <v>8188380.0</v>
      </c>
      <c r="P4342" s="92">
        <v>8320339.0</v>
      </c>
      <c r="Q4342" s="89" t="s">
        <v>831</v>
      </c>
      <c r="AF4342" s="1"/>
      <c r="AG4342" s="1"/>
    </row>
    <row r="4343" ht="15.75" customHeight="1">
      <c r="A4343" s="1"/>
      <c r="B4343" s="1"/>
      <c r="C4343" s="1"/>
      <c r="D4343" s="1"/>
      <c r="E4343" s="1"/>
      <c r="F4343" s="1"/>
      <c r="G4343" s="1"/>
      <c r="H4343" s="1"/>
      <c r="I4343" s="1"/>
      <c r="J4343" s="1"/>
      <c r="K4343" s="89" t="s">
        <v>6777</v>
      </c>
      <c r="L4343" s="89" t="str">
        <f>C146</f>
        <v>C2a</v>
      </c>
      <c r="M4343" s="89" t="s">
        <v>6778</v>
      </c>
      <c r="N4343" s="89" t="s">
        <v>6776</v>
      </c>
      <c r="O4343" s="92">
        <v>8188380.0</v>
      </c>
      <c r="P4343" s="92">
        <v>8320339.0</v>
      </c>
      <c r="Q4343" s="89" t="s">
        <v>831</v>
      </c>
      <c r="AF4343" s="1"/>
      <c r="AG4343" s="1"/>
    </row>
    <row r="4344" ht="15.75" customHeight="1">
      <c r="A4344" s="1"/>
      <c r="B4344" s="1"/>
      <c r="C4344" s="1"/>
      <c r="D4344" s="1"/>
      <c r="E4344" s="1"/>
      <c r="F4344" s="1"/>
      <c r="G4344" s="1"/>
      <c r="H4344" s="1"/>
      <c r="I4344" s="1"/>
      <c r="J4344" s="1"/>
      <c r="K4344" s="89" t="s">
        <v>6779</v>
      </c>
      <c r="L4344" s="89" t="str">
        <f>C146</f>
        <v>C2a</v>
      </c>
      <c r="M4344" s="89" t="s">
        <v>6780</v>
      </c>
      <c r="N4344" s="89" t="s">
        <v>6776</v>
      </c>
      <c r="O4344" s="92">
        <v>8188380.0</v>
      </c>
      <c r="P4344" s="92">
        <v>8320339.0</v>
      </c>
      <c r="Q4344" s="89" t="s">
        <v>831</v>
      </c>
      <c r="AF4344" s="1"/>
      <c r="AG4344" s="1"/>
    </row>
    <row r="4345" ht="15.75" customHeight="1">
      <c r="A4345" s="1"/>
      <c r="B4345" s="1"/>
      <c r="C4345" s="1"/>
      <c r="D4345" s="1"/>
      <c r="E4345" s="1"/>
      <c r="F4345" s="1"/>
      <c r="G4345" s="1"/>
      <c r="H4345" s="1"/>
      <c r="I4345" s="1"/>
      <c r="J4345" s="1"/>
      <c r="K4345" s="89" t="s">
        <v>6781</v>
      </c>
      <c r="L4345" s="89" t="str">
        <f>C146</f>
        <v>C2a</v>
      </c>
      <c r="M4345" s="89" t="s">
        <v>6782</v>
      </c>
      <c r="N4345" s="89" t="s">
        <v>6783</v>
      </c>
      <c r="O4345" s="92">
        <v>8818442.0</v>
      </c>
      <c r="P4345" s="92">
        <v>8950401.0</v>
      </c>
      <c r="Q4345" s="89" t="s">
        <v>822</v>
      </c>
      <c r="AF4345" s="1"/>
      <c r="AG4345" s="1"/>
    </row>
    <row r="4346" ht="15.75" customHeight="1">
      <c r="A4346" s="1"/>
      <c r="B4346" s="1"/>
      <c r="C4346" s="1"/>
      <c r="D4346" s="1"/>
      <c r="E4346" s="1"/>
      <c r="F4346" s="1"/>
      <c r="G4346" s="1"/>
      <c r="H4346" s="1"/>
      <c r="I4346" s="1"/>
      <c r="J4346" s="1"/>
      <c r="K4346" s="89" t="s">
        <v>6784</v>
      </c>
      <c r="L4346" s="89" t="str">
        <f>C146</f>
        <v>C2a</v>
      </c>
      <c r="M4346" s="89" t="s">
        <v>6785</v>
      </c>
      <c r="N4346" s="89" t="s">
        <v>6783</v>
      </c>
      <c r="O4346" s="92">
        <v>8818442.0</v>
      </c>
      <c r="P4346" s="92">
        <v>8950401.0</v>
      </c>
      <c r="Q4346" s="89" t="s">
        <v>822</v>
      </c>
      <c r="AF4346" s="1"/>
      <c r="AG4346" s="1"/>
    </row>
    <row r="4347" ht="15.75" customHeight="1">
      <c r="A4347" s="1"/>
      <c r="B4347" s="1"/>
      <c r="C4347" s="1"/>
      <c r="D4347" s="1"/>
      <c r="E4347" s="1"/>
      <c r="F4347" s="1"/>
      <c r="G4347" s="1"/>
      <c r="H4347" s="1"/>
      <c r="I4347" s="1"/>
      <c r="J4347" s="1"/>
      <c r="K4347" s="89" t="s">
        <v>6786</v>
      </c>
      <c r="L4347" s="89" t="str">
        <f>C146</f>
        <v>C2a</v>
      </c>
      <c r="M4347" s="89" t="s">
        <v>6787</v>
      </c>
      <c r="N4347" s="89" t="s">
        <v>6783</v>
      </c>
      <c r="O4347" s="92">
        <v>8818442.0</v>
      </c>
      <c r="P4347" s="92">
        <v>8950401.0</v>
      </c>
      <c r="Q4347" s="89" t="s">
        <v>822</v>
      </c>
      <c r="AF4347" s="1"/>
      <c r="AG4347" s="1"/>
    </row>
    <row r="4348" ht="15.75" customHeight="1">
      <c r="A4348" s="1"/>
      <c r="B4348" s="1"/>
      <c r="C4348" s="1"/>
      <c r="D4348" s="1"/>
      <c r="E4348" s="1"/>
      <c r="F4348" s="1"/>
      <c r="G4348" s="1"/>
      <c r="H4348" s="1"/>
      <c r="I4348" s="1"/>
      <c r="J4348" s="1"/>
      <c r="K4348" s="89" t="s">
        <v>6788</v>
      </c>
      <c r="L4348" s="89" t="str">
        <f>C146</f>
        <v>C2a</v>
      </c>
      <c r="M4348" s="89" t="s">
        <v>6789</v>
      </c>
      <c r="N4348" s="89" t="s">
        <v>6790</v>
      </c>
      <c r="O4348" s="92">
        <v>9392582.0</v>
      </c>
      <c r="P4348" s="92">
        <v>9554973.0</v>
      </c>
      <c r="Q4348" s="89" t="s">
        <v>864</v>
      </c>
      <c r="AF4348" s="1"/>
      <c r="AG4348" s="1"/>
    </row>
    <row r="4349" ht="15.75" customHeight="1">
      <c r="A4349" s="1"/>
      <c r="B4349" s="1"/>
      <c r="C4349" s="1"/>
      <c r="D4349" s="1"/>
      <c r="E4349" s="1"/>
      <c r="F4349" s="1"/>
      <c r="G4349" s="1"/>
      <c r="H4349" s="1"/>
      <c r="I4349" s="1"/>
      <c r="J4349" s="1"/>
      <c r="K4349" s="89" t="s">
        <v>6791</v>
      </c>
      <c r="L4349" s="89" t="str">
        <f>C146</f>
        <v>C2a</v>
      </c>
      <c r="M4349" s="89" t="s">
        <v>6792</v>
      </c>
      <c r="N4349" s="89" t="s">
        <v>6790</v>
      </c>
      <c r="O4349" s="92">
        <v>9392582.0</v>
      </c>
      <c r="P4349" s="92">
        <v>9554973.0</v>
      </c>
      <c r="Q4349" s="89" t="s">
        <v>864</v>
      </c>
      <c r="AF4349" s="1"/>
      <c r="AG4349" s="1"/>
    </row>
    <row r="4350" ht="15.75" customHeight="1">
      <c r="A4350" s="1"/>
      <c r="B4350" s="1"/>
      <c r="C4350" s="1"/>
      <c r="D4350" s="1"/>
      <c r="E4350" s="1"/>
      <c r="F4350" s="1"/>
      <c r="G4350" s="1"/>
      <c r="H4350" s="1"/>
      <c r="I4350" s="1"/>
      <c r="J4350" s="1"/>
      <c r="K4350" s="89" t="s">
        <v>6793</v>
      </c>
      <c r="L4350" s="89" t="str">
        <f>C146</f>
        <v>C2a</v>
      </c>
      <c r="M4350" s="89" t="s">
        <v>6794</v>
      </c>
      <c r="N4350" s="89" t="s">
        <v>6790</v>
      </c>
      <c r="O4350" s="92">
        <v>9392582.0</v>
      </c>
      <c r="P4350" s="92">
        <v>9554973.0</v>
      </c>
      <c r="Q4350" s="89" t="s">
        <v>864</v>
      </c>
      <c r="AF4350" s="1"/>
      <c r="AG4350" s="1"/>
    </row>
    <row r="4351" ht="15.75" customHeight="1">
      <c r="A4351" s="1"/>
      <c r="B4351" s="1"/>
      <c r="C4351" s="1"/>
      <c r="D4351" s="1"/>
      <c r="E4351" s="1"/>
      <c r="F4351" s="1"/>
      <c r="G4351" s="1"/>
      <c r="H4351" s="1"/>
      <c r="I4351" s="1"/>
      <c r="J4351" s="1"/>
      <c r="K4351" s="89" t="s">
        <v>6795</v>
      </c>
      <c r="L4351" s="89" t="str">
        <f>C146</f>
        <v>C2a</v>
      </c>
      <c r="M4351" s="89" t="s">
        <v>6796</v>
      </c>
      <c r="N4351" s="89" t="s">
        <v>6797</v>
      </c>
      <c r="O4351" s="92">
        <v>1.3834067E7</v>
      </c>
      <c r="P4351" s="92">
        <v>1.1713361E7</v>
      </c>
      <c r="Q4351" s="89" t="s">
        <v>822</v>
      </c>
      <c r="AF4351" s="1"/>
      <c r="AG4351" s="1"/>
    </row>
    <row r="4352" ht="15.75" customHeight="1">
      <c r="A4352" s="1"/>
      <c r="B4352" s="1"/>
      <c r="C4352" s="1"/>
      <c r="D4352" s="1"/>
      <c r="E4352" s="1"/>
      <c r="F4352" s="1"/>
      <c r="G4352" s="1"/>
      <c r="H4352" s="1"/>
      <c r="I4352" s="1"/>
      <c r="J4352" s="1"/>
      <c r="K4352" s="89" t="s">
        <v>6798</v>
      </c>
      <c r="L4352" s="89" t="str">
        <f>C146</f>
        <v>C2a</v>
      </c>
      <c r="M4352" s="89" t="s">
        <v>6799</v>
      </c>
      <c r="N4352" s="89" t="s">
        <v>6797</v>
      </c>
      <c r="O4352" s="92">
        <v>1.3834067E7</v>
      </c>
      <c r="P4352" s="92">
        <v>1.1713361E7</v>
      </c>
      <c r="Q4352" s="89" t="s">
        <v>822</v>
      </c>
      <c r="AF4352" s="1"/>
      <c r="AG4352" s="1"/>
    </row>
    <row r="4353" ht="15.75" customHeight="1">
      <c r="A4353" s="1"/>
      <c r="B4353" s="1"/>
      <c r="C4353" s="1"/>
      <c r="D4353" s="1"/>
      <c r="E4353" s="1"/>
      <c r="F4353" s="1"/>
      <c r="G4353" s="1"/>
      <c r="H4353" s="1"/>
      <c r="I4353" s="1"/>
      <c r="J4353" s="1"/>
      <c r="K4353" s="89" t="s">
        <v>6800</v>
      </c>
      <c r="L4353" s="89" t="str">
        <f>C146</f>
        <v>C2a</v>
      </c>
      <c r="M4353" s="89" t="s">
        <v>6801</v>
      </c>
      <c r="N4353" s="89" t="s">
        <v>6797</v>
      </c>
      <c r="O4353" s="92">
        <v>1.3834067E7</v>
      </c>
      <c r="P4353" s="92">
        <v>1.1713361E7</v>
      </c>
      <c r="Q4353" s="89" t="s">
        <v>822</v>
      </c>
      <c r="AF4353" s="1"/>
      <c r="AG4353" s="1"/>
    </row>
    <row r="4354" ht="15.75" customHeight="1">
      <c r="A4354" s="1"/>
      <c r="B4354" s="1"/>
      <c r="C4354" s="1"/>
      <c r="D4354" s="1"/>
      <c r="E4354" s="1"/>
      <c r="F4354" s="1"/>
      <c r="G4354" s="1"/>
      <c r="H4354" s="1"/>
      <c r="I4354" s="1"/>
      <c r="J4354" s="1"/>
      <c r="K4354" s="93" t="s">
        <v>6802</v>
      </c>
      <c r="L4354" s="89" t="str">
        <f>C146</f>
        <v>C2a</v>
      </c>
      <c r="M4354" s="93" t="s">
        <v>6803</v>
      </c>
      <c r="N4354" s="89" t="s">
        <v>6804</v>
      </c>
      <c r="O4354" s="89">
        <v>1.4405675E7</v>
      </c>
      <c r="P4354" s="89">
        <v>1.2284972E7</v>
      </c>
      <c r="Q4354" s="89" t="s">
        <v>810</v>
      </c>
      <c r="AF4354" s="1"/>
      <c r="AG4354" s="1"/>
    </row>
    <row r="4355" ht="15.75" customHeight="1">
      <c r="A4355" s="1"/>
      <c r="B4355" s="1"/>
      <c r="C4355" s="1"/>
      <c r="D4355" s="1"/>
      <c r="E4355" s="1"/>
      <c r="F4355" s="1"/>
      <c r="G4355" s="1"/>
      <c r="H4355" s="1"/>
      <c r="I4355" s="1"/>
      <c r="J4355" s="1"/>
      <c r="K4355" s="89" t="s">
        <v>6803</v>
      </c>
      <c r="L4355" s="89" t="str">
        <f>C146</f>
        <v>C2a</v>
      </c>
      <c r="M4355" s="93" t="s">
        <v>6805</v>
      </c>
      <c r="N4355" s="89" t="s">
        <v>6804</v>
      </c>
      <c r="O4355" s="89">
        <v>1.4405675E7</v>
      </c>
      <c r="P4355" s="89">
        <v>1.2284972E7</v>
      </c>
      <c r="Q4355" s="89" t="s">
        <v>810</v>
      </c>
      <c r="AF4355" s="1"/>
      <c r="AG4355" s="1"/>
    </row>
    <row r="4356" ht="15.75" customHeight="1">
      <c r="A4356" s="1"/>
      <c r="B4356" s="1"/>
      <c r="C4356" s="1"/>
      <c r="D4356" s="1"/>
      <c r="E4356" s="1"/>
      <c r="F4356" s="1"/>
      <c r="G4356" s="1"/>
      <c r="H4356" s="1"/>
      <c r="I4356" s="1"/>
      <c r="J4356" s="1"/>
      <c r="K4356" s="89" t="s">
        <v>6806</v>
      </c>
      <c r="L4356" s="89" t="str">
        <f>C146</f>
        <v>C2a</v>
      </c>
      <c r="M4356" s="89" t="s">
        <v>6807</v>
      </c>
      <c r="N4356" s="89" t="s">
        <v>6808</v>
      </c>
      <c r="O4356" s="92">
        <v>1.4487982E7</v>
      </c>
      <c r="P4356" s="92">
        <v>1.2367251E7</v>
      </c>
      <c r="Q4356" s="89" t="s">
        <v>831</v>
      </c>
      <c r="AF4356" s="1"/>
      <c r="AG4356" s="1"/>
    </row>
    <row r="4357" ht="15.75" customHeight="1">
      <c r="A4357" s="1"/>
      <c r="B4357" s="1"/>
      <c r="C4357" s="1"/>
      <c r="D4357" s="1"/>
      <c r="E4357" s="1"/>
      <c r="F4357" s="1"/>
      <c r="G4357" s="1"/>
      <c r="H4357" s="1"/>
      <c r="I4357" s="1"/>
      <c r="J4357" s="1"/>
      <c r="K4357" s="89" t="s">
        <v>6809</v>
      </c>
      <c r="L4357" s="89" t="str">
        <f>C146</f>
        <v>C2a</v>
      </c>
      <c r="M4357" s="89" t="s">
        <v>6810</v>
      </c>
      <c r="N4357" s="89" t="s">
        <v>6808</v>
      </c>
      <c r="O4357" s="92">
        <v>1.4487982E7</v>
      </c>
      <c r="P4357" s="92">
        <v>1.2367251E7</v>
      </c>
      <c r="Q4357" s="89" t="s">
        <v>831</v>
      </c>
      <c r="AF4357" s="1"/>
      <c r="AG4357" s="1"/>
    </row>
    <row r="4358" ht="15.75" customHeight="1">
      <c r="A4358" s="1"/>
      <c r="B4358" s="1"/>
      <c r="C4358" s="1"/>
      <c r="D4358" s="1"/>
      <c r="E4358" s="1"/>
      <c r="F4358" s="1"/>
      <c r="G4358" s="1"/>
      <c r="H4358" s="1"/>
      <c r="I4358" s="1"/>
      <c r="J4358" s="1"/>
      <c r="K4358" s="89" t="s">
        <v>6811</v>
      </c>
      <c r="L4358" s="89" t="str">
        <f>C146</f>
        <v>C2a</v>
      </c>
      <c r="M4358" s="89" t="s">
        <v>6812</v>
      </c>
      <c r="N4358" s="89" t="s">
        <v>6808</v>
      </c>
      <c r="O4358" s="92">
        <v>1.4487982E7</v>
      </c>
      <c r="P4358" s="92">
        <v>1.2367251E7</v>
      </c>
      <c r="Q4358" s="89" t="s">
        <v>831</v>
      </c>
      <c r="AF4358" s="1"/>
      <c r="AG4358" s="1"/>
    </row>
    <row r="4359" ht="15.75" customHeight="1">
      <c r="A4359" s="1"/>
      <c r="B4359" s="1"/>
      <c r="C4359" s="1"/>
      <c r="D4359" s="1"/>
      <c r="E4359" s="1"/>
      <c r="F4359" s="1"/>
      <c r="G4359" s="1"/>
      <c r="H4359" s="1"/>
      <c r="I4359" s="1"/>
      <c r="J4359" s="1"/>
      <c r="K4359" s="89" t="s">
        <v>6813</v>
      </c>
      <c r="L4359" s="89" t="str">
        <f>C146</f>
        <v>C2a</v>
      </c>
      <c r="M4359" s="89" t="s">
        <v>6814</v>
      </c>
      <c r="N4359" s="89" t="s">
        <v>6815</v>
      </c>
      <c r="O4359" s="92">
        <v>1.5136357E7</v>
      </c>
      <c r="P4359" s="92">
        <v>1.3024444E7</v>
      </c>
      <c r="Q4359" s="89" t="s">
        <v>802</v>
      </c>
      <c r="AF4359" s="1"/>
      <c r="AG4359" s="1"/>
    </row>
    <row r="4360" ht="15.75" customHeight="1">
      <c r="A4360" s="1"/>
      <c r="B4360" s="1"/>
      <c r="C4360" s="1"/>
      <c r="D4360" s="1"/>
      <c r="E4360" s="1"/>
      <c r="F4360" s="1"/>
      <c r="G4360" s="1"/>
      <c r="H4360" s="1"/>
      <c r="I4360" s="1"/>
      <c r="J4360" s="1"/>
      <c r="K4360" s="89" t="s">
        <v>6816</v>
      </c>
      <c r="L4360" s="89" t="str">
        <f>C146</f>
        <v>C2a</v>
      </c>
      <c r="M4360" s="89" t="s">
        <v>6817</v>
      </c>
      <c r="N4360" s="89" t="s">
        <v>6815</v>
      </c>
      <c r="O4360" s="92">
        <v>1.5136357E7</v>
      </c>
      <c r="P4360" s="92">
        <v>1.3024444E7</v>
      </c>
      <c r="Q4360" s="89" t="s">
        <v>802</v>
      </c>
      <c r="AF4360" s="1"/>
      <c r="AG4360" s="1"/>
    </row>
    <row r="4361" ht="15.75" customHeight="1">
      <c r="A4361" s="1"/>
      <c r="B4361" s="1"/>
      <c r="C4361" s="1"/>
      <c r="D4361" s="1"/>
      <c r="E4361" s="1"/>
      <c r="F4361" s="1"/>
      <c r="G4361" s="1"/>
      <c r="H4361" s="1"/>
      <c r="I4361" s="1"/>
      <c r="J4361" s="1"/>
      <c r="K4361" s="89" t="s">
        <v>6818</v>
      </c>
      <c r="L4361" s="89" t="str">
        <f>C146</f>
        <v>C2a</v>
      </c>
      <c r="M4361" s="89" t="s">
        <v>6819</v>
      </c>
      <c r="N4361" s="89" t="s">
        <v>6815</v>
      </c>
      <c r="O4361" s="92">
        <v>1.5136357E7</v>
      </c>
      <c r="P4361" s="92">
        <v>1.3024444E7</v>
      </c>
      <c r="Q4361" s="89" t="s">
        <v>802</v>
      </c>
      <c r="AF4361" s="1"/>
      <c r="AG4361" s="1"/>
    </row>
    <row r="4362" ht="15.75" customHeight="1">
      <c r="A4362" s="1"/>
      <c r="B4362" s="1"/>
      <c r="C4362" s="1"/>
      <c r="D4362" s="1"/>
      <c r="E4362" s="1"/>
      <c r="F4362" s="1"/>
      <c r="G4362" s="1"/>
      <c r="H4362" s="1"/>
      <c r="I4362" s="1"/>
      <c r="J4362" s="1"/>
      <c r="K4362" s="89" t="s">
        <v>6820</v>
      </c>
      <c r="L4362" s="89" t="str">
        <f>C146</f>
        <v>C2a</v>
      </c>
      <c r="M4362" s="89" t="s">
        <v>6821</v>
      </c>
      <c r="N4362" s="89" t="s">
        <v>6822</v>
      </c>
      <c r="O4362" s="92">
        <v>1.5772751E7</v>
      </c>
      <c r="P4362" s="92">
        <v>1.3660871E7</v>
      </c>
      <c r="Q4362" s="89" t="s">
        <v>810</v>
      </c>
      <c r="AF4362" s="1"/>
      <c r="AG4362" s="1"/>
    </row>
    <row r="4363" ht="15.75" customHeight="1">
      <c r="A4363" s="1"/>
      <c r="B4363" s="1"/>
      <c r="C4363" s="1"/>
      <c r="D4363" s="1"/>
      <c r="E4363" s="1"/>
      <c r="F4363" s="1"/>
      <c r="G4363" s="1"/>
      <c r="H4363" s="1"/>
      <c r="I4363" s="1"/>
      <c r="J4363" s="1"/>
      <c r="K4363" s="89" t="s">
        <v>6823</v>
      </c>
      <c r="L4363" s="89" t="str">
        <f>C146</f>
        <v>C2a</v>
      </c>
      <c r="M4363" s="89" t="s">
        <v>6824</v>
      </c>
      <c r="N4363" s="89" t="s">
        <v>6822</v>
      </c>
      <c r="O4363" s="92">
        <v>1.5772751E7</v>
      </c>
      <c r="P4363" s="92">
        <v>1.3660871E7</v>
      </c>
      <c r="Q4363" s="89" t="s">
        <v>810</v>
      </c>
      <c r="AF4363" s="1"/>
      <c r="AG4363" s="1"/>
    </row>
    <row r="4364" ht="15.75" customHeight="1">
      <c r="A4364" s="1"/>
      <c r="B4364" s="1"/>
      <c r="C4364" s="1"/>
      <c r="D4364" s="1"/>
      <c r="E4364" s="1"/>
      <c r="F4364" s="1"/>
      <c r="G4364" s="1"/>
      <c r="H4364" s="1"/>
      <c r="I4364" s="1"/>
      <c r="J4364" s="1"/>
      <c r="K4364" s="89" t="s">
        <v>6825</v>
      </c>
      <c r="L4364" s="89" t="str">
        <f>C146</f>
        <v>C2a</v>
      </c>
      <c r="M4364" s="89" t="s">
        <v>6826</v>
      </c>
      <c r="N4364" s="89" t="s">
        <v>6822</v>
      </c>
      <c r="O4364" s="92">
        <v>1.5772751E7</v>
      </c>
      <c r="P4364" s="92">
        <v>1.3660871E7</v>
      </c>
      <c r="Q4364" s="89" t="s">
        <v>810</v>
      </c>
      <c r="AF4364" s="1"/>
      <c r="AG4364" s="1"/>
    </row>
    <row r="4365" ht="15.75" customHeight="1">
      <c r="A4365" s="1"/>
      <c r="B4365" s="1"/>
      <c r="C4365" s="1"/>
      <c r="D4365" s="1"/>
      <c r="E4365" s="1"/>
      <c r="F4365" s="1"/>
      <c r="G4365" s="1"/>
      <c r="H4365" s="1"/>
      <c r="I4365" s="1"/>
      <c r="J4365" s="1"/>
      <c r="K4365" s="89" t="s">
        <v>6827</v>
      </c>
      <c r="L4365" s="89" t="str">
        <f>C146</f>
        <v>C2a</v>
      </c>
      <c r="M4365" s="89" t="s">
        <v>6828</v>
      </c>
      <c r="N4365" s="89" t="s">
        <v>6829</v>
      </c>
      <c r="O4365" s="92">
        <v>1.5842187E7</v>
      </c>
      <c r="P4365" s="92">
        <v>1.3730307E7</v>
      </c>
      <c r="Q4365" s="89" t="s">
        <v>917</v>
      </c>
      <c r="AF4365" s="1"/>
      <c r="AG4365" s="1"/>
    </row>
    <row r="4366" ht="15.75" customHeight="1">
      <c r="A4366" s="1"/>
      <c r="B4366" s="1"/>
      <c r="C4366" s="1"/>
      <c r="D4366" s="1"/>
      <c r="E4366" s="1"/>
      <c r="F4366" s="1"/>
      <c r="G4366" s="1"/>
      <c r="H4366" s="1"/>
      <c r="I4366" s="1"/>
      <c r="J4366" s="1"/>
      <c r="K4366" s="89" t="s">
        <v>6830</v>
      </c>
      <c r="L4366" s="89" t="str">
        <f>C146</f>
        <v>C2a</v>
      </c>
      <c r="M4366" s="89" t="s">
        <v>6831</v>
      </c>
      <c r="N4366" s="89" t="s">
        <v>6829</v>
      </c>
      <c r="O4366" s="92">
        <v>1.5842187E7</v>
      </c>
      <c r="P4366" s="92">
        <v>1.3730307E7</v>
      </c>
      <c r="Q4366" s="89" t="s">
        <v>917</v>
      </c>
      <c r="AF4366" s="1"/>
      <c r="AG4366" s="1"/>
    </row>
    <row r="4367" ht="15.75" customHeight="1">
      <c r="A4367" s="1"/>
      <c r="B4367" s="1"/>
      <c r="C4367" s="1"/>
      <c r="D4367" s="1"/>
      <c r="E4367" s="1"/>
      <c r="F4367" s="1"/>
      <c r="G4367" s="1"/>
      <c r="H4367" s="1"/>
      <c r="I4367" s="1"/>
      <c r="J4367" s="1"/>
      <c r="K4367" s="89" t="s">
        <v>6832</v>
      </c>
      <c r="L4367" s="89" t="str">
        <f>C146</f>
        <v>C2a</v>
      </c>
      <c r="M4367" s="89" t="s">
        <v>6833</v>
      </c>
      <c r="N4367" s="89" t="s">
        <v>6829</v>
      </c>
      <c r="O4367" s="92">
        <v>1.5842187E7</v>
      </c>
      <c r="P4367" s="92">
        <v>1.3730307E7</v>
      </c>
      <c r="Q4367" s="89" t="s">
        <v>917</v>
      </c>
      <c r="AF4367" s="1"/>
      <c r="AG4367" s="1"/>
    </row>
    <row r="4368" ht="15.75" customHeight="1">
      <c r="A4368" s="1"/>
      <c r="B4368" s="1"/>
      <c r="C4368" s="1"/>
      <c r="D4368" s="1"/>
      <c r="E4368" s="1"/>
      <c r="F4368" s="1"/>
      <c r="G4368" s="1"/>
      <c r="H4368" s="1"/>
      <c r="I4368" s="1"/>
      <c r="J4368" s="1"/>
      <c r="K4368" s="89" t="s">
        <v>6834</v>
      </c>
      <c r="L4368" s="89" t="str">
        <f>C146</f>
        <v>C2a</v>
      </c>
      <c r="M4368" s="89" t="s">
        <v>6835</v>
      </c>
      <c r="N4368" s="89" t="s">
        <v>6836</v>
      </c>
      <c r="O4368" s="92">
        <v>1.6696676E7</v>
      </c>
      <c r="P4368" s="92">
        <v>1.4584796E7</v>
      </c>
      <c r="Q4368" s="89" t="s">
        <v>810</v>
      </c>
      <c r="AF4368" s="1"/>
      <c r="AG4368" s="1"/>
    </row>
    <row r="4369" ht="15.75" customHeight="1">
      <c r="A4369" s="1"/>
      <c r="B4369" s="1"/>
      <c r="C4369" s="1"/>
      <c r="D4369" s="1"/>
      <c r="E4369" s="1"/>
      <c r="F4369" s="1"/>
      <c r="G4369" s="1"/>
      <c r="H4369" s="1"/>
      <c r="I4369" s="1"/>
      <c r="J4369" s="1"/>
      <c r="K4369" s="89" t="s">
        <v>6837</v>
      </c>
      <c r="L4369" s="89" t="str">
        <f>C146</f>
        <v>C2a</v>
      </c>
      <c r="M4369" s="89" t="s">
        <v>6838</v>
      </c>
      <c r="N4369" s="89" t="s">
        <v>6836</v>
      </c>
      <c r="O4369" s="92">
        <v>1.6696676E7</v>
      </c>
      <c r="P4369" s="92">
        <v>1.4584796E7</v>
      </c>
      <c r="Q4369" s="89" t="s">
        <v>810</v>
      </c>
      <c r="AF4369" s="1"/>
      <c r="AG4369" s="1"/>
    </row>
    <row r="4370" ht="15.75" customHeight="1">
      <c r="A4370" s="1"/>
      <c r="B4370" s="1"/>
      <c r="C4370" s="1"/>
      <c r="D4370" s="1"/>
      <c r="E4370" s="1"/>
      <c r="F4370" s="1"/>
      <c r="G4370" s="1"/>
      <c r="H4370" s="1"/>
      <c r="I4370" s="1"/>
      <c r="J4370" s="1"/>
      <c r="K4370" s="89" t="s">
        <v>6839</v>
      </c>
      <c r="L4370" s="89" t="str">
        <f>C146</f>
        <v>C2a</v>
      </c>
      <c r="M4370" s="89" t="s">
        <v>6840</v>
      </c>
      <c r="N4370" s="89" t="s">
        <v>6836</v>
      </c>
      <c r="O4370" s="92">
        <v>1.6696676E7</v>
      </c>
      <c r="P4370" s="92">
        <v>1.4584796E7</v>
      </c>
      <c r="Q4370" s="89" t="s">
        <v>810</v>
      </c>
      <c r="AF4370" s="1"/>
      <c r="AG4370" s="1"/>
    </row>
    <row r="4371" ht="15.75" customHeight="1">
      <c r="A4371" s="1"/>
      <c r="B4371" s="1"/>
      <c r="C4371" s="1"/>
      <c r="D4371" s="1"/>
      <c r="E4371" s="1"/>
      <c r="F4371" s="1"/>
      <c r="G4371" s="1"/>
      <c r="H4371" s="1"/>
      <c r="I4371" s="1"/>
      <c r="J4371" s="1"/>
      <c r="K4371" s="89" t="s">
        <v>6841</v>
      </c>
      <c r="L4371" s="89" t="str">
        <f>C146</f>
        <v>C2a</v>
      </c>
      <c r="M4371" s="89" t="s">
        <v>6842</v>
      </c>
      <c r="N4371" s="89" t="s">
        <v>6843</v>
      </c>
      <c r="O4371" s="92">
        <v>1.7382723E7</v>
      </c>
      <c r="P4371" s="92">
        <v>1.5270843E7</v>
      </c>
      <c r="Q4371" s="89" t="s">
        <v>802</v>
      </c>
      <c r="AF4371" s="1"/>
      <c r="AG4371" s="1"/>
    </row>
    <row r="4372" ht="15.75" customHeight="1">
      <c r="A4372" s="1"/>
      <c r="B4372" s="1"/>
      <c r="C4372" s="1"/>
      <c r="D4372" s="1"/>
      <c r="E4372" s="1"/>
      <c r="F4372" s="1"/>
      <c r="G4372" s="1"/>
      <c r="H4372" s="1"/>
      <c r="I4372" s="1"/>
      <c r="J4372" s="1"/>
      <c r="K4372" s="89" t="s">
        <v>6844</v>
      </c>
      <c r="L4372" s="89" t="str">
        <f>C146</f>
        <v>C2a</v>
      </c>
      <c r="M4372" s="89" t="s">
        <v>6845</v>
      </c>
      <c r="N4372" s="89" t="s">
        <v>6843</v>
      </c>
      <c r="O4372" s="92">
        <v>1.7382723E7</v>
      </c>
      <c r="P4372" s="92">
        <v>1.5270843E7</v>
      </c>
      <c r="Q4372" s="89" t="s">
        <v>802</v>
      </c>
      <c r="AF4372" s="1"/>
      <c r="AG4372" s="1"/>
    </row>
    <row r="4373" ht="15.75" customHeight="1">
      <c r="A4373" s="1"/>
      <c r="B4373" s="1"/>
      <c r="C4373" s="1"/>
      <c r="D4373" s="1"/>
      <c r="E4373" s="1"/>
      <c r="F4373" s="1"/>
      <c r="G4373" s="1"/>
      <c r="H4373" s="1"/>
      <c r="I4373" s="1"/>
      <c r="J4373" s="1"/>
      <c r="K4373" s="89" t="s">
        <v>6846</v>
      </c>
      <c r="L4373" s="89" t="str">
        <f>C146</f>
        <v>C2a</v>
      </c>
      <c r="M4373" s="89" t="s">
        <v>6847</v>
      </c>
      <c r="N4373" s="89" t="s">
        <v>6843</v>
      </c>
      <c r="O4373" s="92">
        <v>1.7382723E7</v>
      </c>
      <c r="P4373" s="92">
        <v>1.5270843E7</v>
      </c>
      <c r="Q4373" s="89" t="s">
        <v>802</v>
      </c>
      <c r="AF4373" s="1"/>
      <c r="AG4373" s="1"/>
    </row>
    <row r="4374" ht="15.75" customHeight="1">
      <c r="A4374" s="1"/>
      <c r="B4374" s="1"/>
      <c r="C4374" s="1"/>
      <c r="D4374" s="1"/>
      <c r="E4374" s="1"/>
      <c r="F4374" s="1"/>
      <c r="G4374" s="1"/>
      <c r="H4374" s="1"/>
      <c r="I4374" s="1"/>
      <c r="J4374" s="1"/>
      <c r="K4374" s="89" t="s">
        <v>6848</v>
      </c>
      <c r="L4374" s="89" t="str">
        <f>C146</f>
        <v>C2a</v>
      </c>
      <c r="M4374" s="89" t="s">
        <v>6849</v>
      </c>
      <c r="N4374" s="89" t="s">
        <v>6850</v>
      </c>
      <c r="O4374" s="92">
        <v>1.7685931E7</v>
      </c>
      <c r="P4374" s="92">
        <v>1.5574051E7</v>
      </c>
      <c r="Q4374" s="89" t="s">
        <v>838</v>
      </c>
      <c r="AF4374" s="1"/>
      <c r="AG4374" s="1"/>
    </row>
    <row r="4375" ht="15.75" customHeight="1">
      <c r="A4375" s="1"/>
      <c r="B4375" s="1"/>
      <c r="C4375" s="1"/>
      <c r="D4375" s="1"/>
      <c r="E4375" s="1"/>
      <c r="F4375" s="1"/>
      <c r="G4375" s="1"/>
      <c r="H4375" s="1"/>
      <c r="I4375" s="1"/>
      <c r="J4375" s="1"/>
      <c r="K4375" s="89" t="s">
        <v>6849</v>
      </c>
      <c r="L4375" s="89" t="str">
        <f>C146</f>
        <v>C2a</v>
      </c>
      <c r="M4375" s="89" t="s">
        <v>6848</v>
      </c>
      <c r="N4375" s="89" t="s">
        <v>6850</v>
      </c>
      <c r="O4375" s="92">
        <v>1.7685931E7</v>
      </c>
      <c r="P4375" s="92">
        <v>1.5574051E7</v>
      </c>
      <c r="Q4375" s="89" t="s">
        <v>838</v>
      </c>
      <c r="AF4375" s="1"/>
      <c r="AG4375" s="1"/>
    </row>
    <row r="4376" ht="15.75" customHeight="1">
      <c r="A4376" s="1"/>
      <c r="B4376" s="1"/>
      <c r="C4376" s="1"/>
      <c r="D4376" s="1"/>
      <c r="E4376" s="1"/>
      <c r="F4376" s="1"/>
      <c r="G4376" s="1"/>
      <c r="H4376" s="1"/>
      <c r="I4376" s="1"/>
      <c r="J4376" s="1"/>
      <c r="K4376" s="89" t="s">
        <v>6851</v>
      </c>
      <c r="L4376" s="89" t="str">
        <f>C146</f>
        <v>C2a</v>
      </c>
      <c r="M4376" s="89" t="s">
        <v>6852</v>
      </c>
      <c r="N4376" s="89" t="s">
        <v>6853</v>
      </c>
      <c r="O4376" s="92">
        <v>1.922643E7</v>
      </c>
      <c r="P4376" s="92">
        <v>1.711455E7</v>
      </c>
      <c r="Q4376" s="89" t="s">
        <v>879</v>
      </c>
      <c r="AF4376" s="1"/>
      <c r="AG4376" s="1"/>
    </row>
    <row r="4377" ht="15.75" customHeight="1">
      <c r="A4377" s="1"/>
      <c r="B4377" s="1"/>
      <c r="C4377" s="1"/>
      <c r="D4377" s="1"/>
      <c r="E4377" s="1"/>
      <c r="F4377" s="1"/>
      <c r="G4377" s="1"/>
      <c r="H4377" s="1"/>
      <c r="I4377" s="1"/>
      <c r="J4377" s="1"/>
      <c r="K4377" s="89" t="s">
        <v>6854</v>
      </c>
      <c r="L4377" s="89" t="str">
        <f>C146</f>
        <v>C2a</v>
      </c>
      <c r="M4377" s="89" t="s">
        <v>6855</v>
      </c>
      <c r="N4377" s="89" t="s">
        <v>6853</v>
      </c>
      <c r="O4377" s="92">
        <v>1.922643E7</v>
      </c>
      <c r="P4377" s="92">
        <v>1.711455E7</v>
      </c>
      <c r="Q4377" s="89" t="s">
        <v>879</v>
      </c>
      <c r="AF4377" s="1"/>
      <c r="AG4377" s="1"/>
    </row>
    <row r="4378" ht="15.75" customHeight="1">
      <c r="A4378" s="1"/>
      <c r="B4378" s="1"/>
      <c r="C4378" s="1"/>
      <c r="D4378" s="1"/>
      <c r="E4378" s="1"/>
      <c r="F4378" s="1"/>
      <c r="G4378" s="1"/>
      <c r="H4378" s="1"/>
      <c r="I4378" s="1"/>
      <c r="J4378" s="1"/>
      <c r="K4378" s="89" t="s">
        <v>6856</v>
      </c>
      <c r="L4378" s="89" t="str">
        <f>C146</f>
        <v>C2a</v>
      </c>
      <c r="M4378" s="89" t="s">
        <v>6857</v>
      </c>
      <c r="N4378" s="89" t="s">
        <v>6853</v>
      </c>
      <c r="O4378" s="92">
        <v>1.922643E7</v>
      </c>
      <c r="P4378" s="92">
        <v>1.711455E7</v>
      </c>
      <c r="Q4378" s="89" t="s">
        <v>879</v>
      </c>
      <c r="AF4378" s="1"/>
      <c r="AG4378" s="1"/>
    </row>
    <row r="4379" ht="15.75" customHeight="1">
      <c r="A4379" s="1"/>
      <c r="B4379" s="1"/>
      <c r="C4379" s="1"/>
      <c r="D4379" s="1"/>
      <c r="E4379" s="1"/>
      <c r="F4379" s="1"/>
      <c r="G4379" s="1"/>
      <c r="H4379" s="1"/>
      <c r="I4379" s="1"/>
      <c r="J4379" s="1"/>
      <c r="K4379" s="89" t="s">
        <v>6625</v>
      </c>
      <c r="L4379" s="89" t="str">
        <f>C146</f>
        <v>C2a</v>
      </c>
      <c r="M4379" s="89" t="s">
        <v>6858</v>
      </c>
      <c r="N4379" s="89" t="s">
        <v>6624</v>
      </c>
      <c r="O4379" s="92">
        <v>2.1533418E7</v>
      </c>
      <c r="P4379" s="92">
        <v>1.9371532E7</v>
      </c>
      <c r="Q4379" s="89" t="s">
        <v>810</v>
      </c>
      <c r="AF4379" s="1"/>
      <c r="AG4379" s="1"/>
    </row>
    <row r="4380" ht="15.75" customHeight="1">
      <c r="A4380" s="1"/>
      <c r="B4380" s="1"/>
      <c r="C4380" s="1"/>
      <c r="D4380" s="1"/>
      <c r="E4380" s="1"/>
      <c r="F4380" s="1"/>
      <c r="G4380" s="1"/>
      <c r="H4380" s="1"/>
      <c r="I4380" s="1"/>
      <c r="J4380" s="1"/>
      <c r="K4380" s="89" t="s">
        <v>6627</v>
      </c>
      <c r="L4380" s="89" t="str">
        <f>C146</f>
        <v>C2a</v>
      </c>
      <c r="M4380" s="89" t="s">
        <v>6859</v>
      </c>
      <c r="N4380" s="89" t="s">
        <v>6624</v>
      </c>
      <c r="O4380" s="92">
        <v>2.1533418E7</v>
      </c>
      <c r="P4380" s="92">
        <v>1.9371532E7</v>
      </c>
      <c r="Q4380" s="89" t="s">
        <v>810</v>
      </c>
      <c r="AF4380" s="1"/>
      <c r="AG4380" s="1"/>
    </row>
    <row r="4381" ht="15.75" customHeight="1">
      <c r="A4381" s="1"/>
      <c r="B4381" s="1"/>
      <c r="C4381" s="1"/>
      <c r="D4381" s="1"/>
      <c r="E4381" s="1"/>
      <c r="F4381" s="1"/>
      <c r="G4381" s="1"/>
      <c r="H4381" s="1"/>
      <c r="I4381" s="1"/>
      <c r="J4381" s="1"/>
      <c r="K4381" s="89" t="s">
        <v>6629</v>
      </c>
      <c r="L4381" s="89" t="str">
        <f>C146</f>
        <v>C2a</v>
      </c>
      <c r="M4381" s="89" t="s">
        <v>6860</v>
      </c>
      <c r="N4381" s="89" t="s">
        <v>6624</v>
      </c>
      <c r="O4381" s="92">
        <v>2.1533418E7</v>
      </c>
      <c r="P4381" s="92">
        <v>1.9371532E7</v>
      </c>
      <c r="Q4381" s="89" t="s">
        <v>810</v>
      </c>
      <c r="AF4381" s="1"/>
      <c r="AG4381" s="1"/>
    </row>
    <row r="4382" ht="15.75" customHeight="1">
      <c r="A4382" s="1"/>
      <c r="B4382" s="1"/>
      <c r="C4382" s="1"/>
      <c r="D4382" s="1"/>
      <c r="E4382" s="1"/>
      <c r="F4382" s="1"/>
      <c r="G4382" s="1"/>
      <c r="H4382" s="1"/>
      <c r="I4382" s="1"/>
      <c r="J4382" s="1"/>
      <c r="K4382" s="89" t="s">
        <v>6861</v>
      </c>
      <c r="L4382" s="89" t="str">
        <f>C146</f>
        <v>C2a</v>
      </c>
      <c r="M4382" s="89" t="s">
        <v>6862</v>
      </c>
      <c r="N4382" s="89" t="s">
        <v>6863</v>
      </c>
      <c r="O4382" s="92">
        <v>2.2586243E7</v>
      </c>
      <c r="P4382" s="92">
        <v>2.0424357E7</v>
      </c>
      <c r="Q4382" s="89" t="s">
        <v>886</v>
      </c>
      <c r="AF4382" s="1"/>
      <c r="AG4382" s="1"/>
    </row>
    <row r="4383" ht="15.75" customHeight="1">
      <c r="A4383" s="1"/>
      <c r="B4383" s="1"/>
      <c r="C4383" s="1"/>
      <c r="D4383" s="1"/>
      <c r="E4383" s="1"/>
      <c r="F4383" s="1"/>
      <c r="G4383" s="1"/>
      <c r="H4383" s="1"/>
      <c r="I4383" s="1"/>
      <c r="J4383" s="1"/>
      <c r="K4383" s="89" t="s">
        <v>6864</v>
      </c>
      <c r="L4383" s="89" t="str">
        <f>C146</f>
        <v>C2a</v>
      </c>
      <c r="M4383" s="89" t="s">
        <v>6865</v>
      </c>
      <c r="N4383" s="89" t="s">
        <v>6863</v>
      </c>
      <c r="O4383" s="92">
        <v>2.2586243E7</v>
      </c>
      <c r="P4383" s="92">
        <v>2.0424357E7</v>
      </c>
      <c r="Q4383" s="89" t="s">
        <v>886</v>
      </c>
      <c r="AF4383" s="1"/>
      <c r="AG4383" s="1"/>
    </row>
    <row r="4384" ht="15.75" customHeight="1">
      <c r="A4384" s="1"/>
      <c r="B4384" s="1"/>
      <c r="C4384" s="1"/>
      <c r="D4384" s="1"/>
      <c r="E4384" s="1"/>
      <c r="F4384" s="1"/>
      <c r="G4384" s="1"/>
      <c r="H4384" s="1"/>
      <c r="I4384" s="1"/>
      <c r="J4384" s="1"/>
      <c r="K4384" s="89" t="s">
        <v>6866</v>
      </c>
      <c r="L4384" s="89" t="str">
        <f>C146</f>
        <v>C2a</v>
      </c>
      <c r="M4384" s="89" t="s">
        <v>6867</v>
      </c>
      <c r="N4384" s="89" t="s">
        <v>6863</v>
      </c>
      <c r="O4384" s="92">
        <v>2.2586243E7</v>
      </c>
      <c r="P4384" s="92">
        <v>2.0424357E7</v>
      </c>
      <c r="Q4384" s="89" t="s">
        <v>886</v>
      </c>
      <c r="AF4384" s="1"/>
      <c r="AG4384" s="1"/>
    </row>
    <row r="4385" ht="15.75" customHeight="1">
      <c r="A4385" s="1"/>
      <c r="B4385" s="1"/>
      <c r="C4385" s="1"/>
      <c r="D4385" s="1"/>
      <c r="E4385" s="1"/>
      <c r="F4385" s="1"/>
      <c r="G4385" s="1"/>
      <c r="H4385" s="1"/>
      <c r="I4385" s="1"/>
      <c r="J4385" s="1"/>
      <c r="K4385" s="89" t="s">
        <v>6868</v>
      </c>
      <c r="L4385" s="89" t="str">
        <f>C146</f>
        <v>C2a</v>
      </c>
      <c r="M4385" s="89" t="s">
        <v>6869</v>
      </c>
      <c r="N4385" s="89" t="s">
        <v>6870</v>
      </c>
      <c r="O4385" s="92">
        <v>2.2847061E7</v>
      </c>
      <c r="P4385" s="92">
        <v>2.0685175E7</v>
      </c>
      <c r="Q4385" s="89" t="s">
        <v>810</v>
      </c>
      <c r="AF4385" s="1"/>
      <c r="AG4385" s="1"/>
    </row>
    <row r="4386" ht="15.75" customHeight="1">
      <c r="A4386" s="1"/>
      <c r="B4386" s="1"/>
      <c r="C4386" s="1"/>
      <c r="D4386" s="1"/>
      <c r="E4386" s="1"/>
      <c r="F4386" s="1"/>
      <c r="G4386" s="1"/>
      <c r="H4386" s="1"/>
      <c r="I4386" s="1"/>
      <c r="J4386" s="1"/>
      <c r="K4386" s="89" t="s">
        <v>6871</v>
      </c>
      <c r="L4386" s="89" t="str">
        <f>C146</f>
        <v>C2a</v>
      </c>
      <c r="M4386" s="89" t="s">
        <v>6872</v>
      </c>
      <c r="N4386" s="89" t="s">
        <v>6870</v>
      </c>
      <c r="O4386" s="92">
        <v>2.2847061E7</v>
      </c>
      <c r="P4386" s="92">
        <v>2.0685175E7</v>
      </c>
      <c r="Q4386" s="89" t="s">
        <v>810</v>
      </c>
      <c r="AF4386" s="1"/>
      <c r="AG4386" s="1"/>
    </row>
    <row r="4387" ht="15.75" customHeight="1">
      <c r="A4387" s="1"/>
      <c r="B4387" s="1"/>
      <c r="C4387" s="1"/>
      <c r="D4387" s="1"/>
      <c r="E4387" s="1"/>
      <c r="F4387" s="1"/>
      <c r="G4387" s="1"/>
      <c r="H4387" s="1"/>
      <c r="I4387" s="1"/>
      <c r="J4387" s="1"/>
      <c r="K4387" s="89" t="s">
        <v>6873</v>
      </c>
      <c r="L4387" s="89" t="str">
        <f>C146</f>
        <v>C2a</v>
      </c>
      <c r="M4387" s="89" t="s">
        <v>6874</v>
      </c>
      <c r="N4387" s="89" t="s">
        <v>6870</v>
      </c>
      <c r="O4387" s="92">
        <v>2.2847061E7</v>
      </c>
      <c r="P4387" s="92">
        <v>2.0685175E7</v>
      </c>
      <c r="Q4387" s="89" t="s">
        <v>810</v>
      </c>
      <c r="AF4387" s="1"/>
      <c r="AG4387" s="1"/>
    </row>
    <row r="4388" ht="15.75" customHeight="1">
      <c r="A4388" s="1"/>
      <c r="B4388" s="1"/>
      <c r="C4388" s="1"/>
      <c r="D4388" s="1"/>
      <c r="E4388" s="1"/>
      <c r="F4388" s="1"/>
      <c r="G4388" s="1"/>
      <c r="H4388" s="1"/>
      <c r="I4388" s="1"/>
      <c r="J4388" s="1"/>
      <c r="K4388" s="89" t="s">
        <v>6875</v>
      </c>
      <c r="L4388" s="89" t="str">
        <f>C146</f>
        <v>C2a</v>
      </c>
      <c r="M4388" s="89" t="s">
        <v>6876</v>
      </c>
      <c r="N4388" s="89" t="s">
        <v>6877</v>
      </c>
      <c r="O4388" s="92">
        <v>2.3637491E7</v>
      </c>
      <c r="P4388" s="92">
        <v>2.1475605E7</v>
      </c>
      <c r="Q4388" s="89" t="s">
        <v>810</v>
      </c>
      <c r="AF4388" s="1"/>
      <c r="AG4388" s="1"/>
    </row>
    <row r="4389" ht="15.75" customHeight="1">
      <c r="A4389" s="1"/>
      <c r="B4389" s="1"/>
      <c r="C4389" s="1"/>
      <c r="D4389" s="1"/>
      <c r="E4389" s="1"/>
      <c r="F4389" s="1"/>
      <c r="G4389" s="1"/>
      <c r="H4389" s="1"/>
      <c r="I4389" s="1"/>
      <c r="J4389" s="1"/>
      <c r="K4389" s="89" t="s">
        <v>6878</v>
      </c>
      <c r="L4389" s="89" t="str">
        <f>C146</f>
        <v>C2a</v>
      </c>
      <c r="M4389" s="89" t="s">
        <v>6879</v>
      </c>
      <c r="N4389" s="89" t="s">
        <v>6877</v>
      </c>
      <c r="O4389" s="92">
        <v>2.3637491E7</v>
      </c>
      <c r="P4389" s="92">
        <v>2.1475605E7</v>
      </c>
      <c r="Q4389" s="89" t="s">
        <v>810</v>
      </c>
      <c r="AF4389" s="1"/>
      <c r="AG4389" s="1"/>
    </row>
    <row r="4390" ht="15.75" customHeight="1">
      <c r="A4390" s="1"/>
      <c r="B4390" s="1"/>
      <c r="C4390" s="1"/>
      <c r="D4390" s="1"/>
      <c r="E4390" s="1"/>
      <c r="F4390" s="1"/>
      <c r="G4390" s="1"/>
      <c r="H4390" s="1"/>
      <c r="I4390" s="1"/>
      <c r="J4390" s="1"/>
      <c r="K4390" s="89" t="s">
        <v>6880</v>
      </c>
      <c r="L4390" s="89" t="str">
        <f>C146</f>
        <v>C2a</v>
      </c>
      <c r="M4390" s="89" t="s">
        <v>6881</v>
      </c>
      <c r="N4390" s="89" t="s">
        <v>6877</v>
      </c>
      <c r="O4390" s="92">
        <v>2.3637491E7</v>
      </c>
      <c r="P4390" s="92">
        <v>2.1475605E7</v>
      </c>
      <c r="Q4390" s="89" t="s">
        <v>810</v>
      </c>
      <c r="AF4390" s="1"/>
      <c r="AG4390" s="1"/>
    </row>
    <row r="4391" ht="15.75" customHeight="1">
      <c r="A4391" s="1"/>
      <c r="B4391" s="1"/>
      <c r="C4391" s="1"/>
      <c r="D4391" s="1"/>
      <c r="E4391" s="1"/>
      <c r="F4391" s="1"/>
      <c r="G4391" s="1"/>
      <c r="H4391" s="1"/>
      <c r="I4391" s="1"/>
      <c r="J4391" s="1"/>
      <c r="K4391" s="89" t="s">
        <v>6882</v>
      </c>
      <c r="L4391" s="89" t="str">
        <f>C146</f>
        <v>C2a</v>
      </c>
      <c r="M4391" s="89" t="s">
        <v>6883</v>
      </c>
      <c r="N4391" s="89" t="s">
        <v>6884</v>
      </c>
      <c r="O4391" s="92">
        <v>2.387256E7</v>
      </c>
      <c r="P4391" s="92">
        <v>2.1710674E7</v>
      </c>
      <c r="Q4391" s="89" t="s">
        <v>822</v>
      </c>
      <c r="AF4391" s="1"/>
      <c r="AG4391" s="1"/>
    </row>
    <row r="4392" ht="15.75" customHeight="1">
      <c r="A4392" s="1"/>
      <c r="B4392" s="1"/>
      <c r="C4392" s="1"/>
      <c r="D4392" s="1"/>
      <c r="E4392" s="1"/>
      <c r="F4392" s="1"/>
      <c r="G4392" s="1"/>
      <c r="H4392" s="1"/>
      <c r="I4392" s="1"/>
      <c r="J4392" s="1"/>
      <c r="K4392" s="89" t="s">
        <v>6885</v>
      </c>
      <c r="L4392" s="89" t="str">
        <f>C146</f>
        <v>C2a</v>
      </c>
      <c r="M4392" s="89" t="s">
        <v>6886</v>
      </c>
      <c r="N4392" s="89" t="s">
        <v>6884</v>
      </c>
      <c r="O4392" s="92">
        <v>2.387256E7</v>
      </c>
      <c r="P4392" s="92">
        <v>2.1710674E7</v>
      </c>
      <c r="Q4392" s="89" t="s">
        <v>822</v>
      </c>
      <c r="AF4392" s="1"/>
      <c r="AG4392" s="1"/>
    </row>
    <row r="4393" ht="15.75" customHeight="1">
      <c r="A4393" s="1"/>
      <c r="B4393" s="1"/>
      <c r="C4393" s="1"/>
      <c r="D4393" s="1"/>
      <c r="E4393" s="1"/>
      <c r="F4393" s="1"/>
      <c r="G4393" s="1"/>
      <c r="H4393" s="1"/>
      <c r="I4393" s="1"/>
      <c r="J4393" s="1"/>
      <c r="K4393" s="89" t="s">
        <v>6887</v>
      </c>
      <c r="L4393" s="89" t="str">
        <f>C146</f>
        <v>C2a</v>
      </c>
      <c r="M4393" s="89" t="s">
        <v>6888</v>
      </c>
      <c r="N4393" s="89" t="s">
        <v>6884</v>
      </c>
      <c r="O4393" s="92">
        <v>2.387256E7</v>
      </c>
      <c r="P4393" s="92">
        <v>2.1710674E7</v>
      </c>
      <c r="Q4393" s="89" t="s">
        <v>822</v>
      </c>
      <c r="AF4393" s="1"/>
      <c r="AG4393" s="1"/>
    </row>
    <row r="4394" ht="15.75" customHeight="1">
      <c r="A4394" s="1"/>
      <c r="B4394" s="1"/>
      <c r="C4394" s="1"/>
      <c r="D4394" s="1"/>
      <c r="E4394" s="1"/>
      <c r="F4394" s="1"/>
      <c r="G4394" s="1"/>
      <c r="H4394" s="1"/>
      <c r="I4394" s="1"/>
      <c r="J4394" s="1"/>
      <c r="K4394" s="89" t="s">
        <v>6889</v>
      </c>
      <c r="L4394" s="89" t="str">
        <f>D147</f>
        <v>C2a1</v>
      </c>
      <c r="M4394" s="89"/>
      <c r="N4394" s="89" t="s">
        <v>6890</v>
      </c>
      <c r="O4394" s="92">
        <v>2.3515071E7</v>
      </c>
      <c r="P4394" s="92">
        <v>2.1353185E7</v>
      </c>
      <c r="Q4394" s="89" t="s">
        <v>822</v>
      </c>
      <c r="AF4394" s="1"/>
      <c r="AG4394" s="1"/>
    </row>
    <row r="4395" ht="15.75" customHeight="1">
      <c r="A4395" s="1"/>
      <c r="B4395" s="1"/>
      <c r="C4395" s="1"/>
      <c r="D4395" s="1"/>
      <c r="E4395" s="1"/>
      <c r="F4395" s="1"/>
      <c r="G4395" s="1"/>
      <c r="H4395" s="1"/>
      <c r="I4395" s="1"/>
      <c r="J4395" s="1"/>
      <c r="K4395" s="89" t="s">
        <v>6891</v>
      </c>
      <c r="L4395" s="89" t="str">
        <f>D147</f>
        <v>C2a1</v>
      </c>
      <c r="M4395" s="89"/>
      <c r="N4395" s="89" t="s">
        <v>6892</v>
      </c>
      <c r="O4395" s="92">
        <v>1.4243251E7</v>
      </c>
      <c r="P4395" s="92">
        <v>1.2122545E7</v>
      </c>
      <c r="Q4395" s="89" t="s">
        <v>879</v>
      </c>
      <c r="AF4395" s="1"/>
      <c r="AG4395" s="1"/>
    </row>
    <row r="4396" ht="15.75" customHeight="1">
      <c r="A4396" s="1"/>
      <c r="B4396" s="1"/>
      <c r="C4396" s="1"/>
      <c r="D4396" s="1"/>
      <c r="E4396" s="1"/>
      <c r="F4396" s="1"/>
      <c r="G4396" s="1"/>
      <c r="H4396" s="1"/>
      <c r="I4396" s="1"/>
      <c r="J4396" s="1"/>
      <c r="K4396" s="89" t="s">
        <v>6893</v>
      </c>
      <c r="L4396" s="89" t="str">
        <f>E148</f>
        <v>C2a1a</v>
      </c>
      <c r="M4396" s="89"/>
      <c r="N4396" s="89"/>
      <c r="O4396" s="92">
        <v>2.3830627E7</v>
      </c>
      <c r="P4396" s="92">
        <v>2.1668741E7</v>
      </c>
      <c r="Q4396" s="89" t="s">
        <v>912</v>
      </c>
      <c r="AF4396" s="1"/>
      <c r="AG4396" s="1"/>
    </row>
    <row r="4397" ht="15.75" customHeight="1">
      <c r="A4397" s="1"/>
      <c r="B4397" s="1"/>
      <c r="C4397" s="1"/>
      <c r="D4397" s="1"/>
      <c r="E4397" s="1"/>
      <c r="F4397" s="1"/>
      <c r="G4397" s="1"/>
      <c r="H4397" s="1"/>
      <c r="I4397" s="1"/>
      <c r="J4397" s="1"/>
      <c r="K4397" s="89" t="s">
        <v>6894</v>
      </c>
      <c r="L4397" s="89" t="str">
        <f>E148</f>
        <v>C2a1a</v>
      </c>
      <c r="M4397" s="89" t="s">
        <v>6895</v>
      </c>
      <c r="N4397" s="89" t="s">
        <v>6896</v>
      </c>
      <c r="O4397" s="92">
        <v>1.3671195E7</v>
      </c>
      <c r="P4397" s="92">
        <v>1.1515519E7</v>
      </c>
      <c r="Q4397" s="89" t="s">
        <v>838</v>
      </c>
      <c r="AF4397" s="1"/>
      <c r="AG4397" s="1"/>
    </row>
    <row r="4398" ht="15.75" customHeight="1">
      <c r="A4398" s="1"/>
      <c r="B4398" s="1"/>
      <c r="C4398" s="1"/>
      <c r="D4398" s="1"/>
      <c r="E4398" s="1"/>
      <c r="F4398" s="1"/>
      <c r="G4398" s="1"/>
      <c r="H4398" s="1"/>
      <c r="I4398" s="1"/>
      <c r="J4398" s="1"/>
      <c r="K4398" s="89" t="s">
        <v>6895</v>
      </c>
      <c r="L4398" s="89" t="str">
        <f>E148</f>
        <v>C2a1a</v>
      </c>
      <c r="M4398" s="89" t="s">
        <v>6894</v>
      </c>
      <c r="N4398" s="89" t="s">
        <v>6896</v>
      </c>
      <c r="O4398" s="92">
        <v>1.3671195E7</v>
      </c>
      <c r="P4398" s="92">
        <v>1.1515519E7</v>
      </c>
      <c r="Q4398" s="89" t="s">
        <v>838</v>
      </c>
      <c r="AF4398" s="1"/>
      <c r="AG4398" s="1"/>
    </row>
    <row r="4399" ht="15.75" customHeight="1">
      <c r="A4399" s="1"/>
      <c r="B4399" s="1"/>
      <c r="C4399" s="1"/>
      <c r="D4399" s="1"/>
      <c r="E4399" s="1"/>
      <c r="F4399" s="1"/>
      <c r="G4399" s="1"/>
      <c r="H4399" s="1"/>
      <c r="I4399" s="1"/>
      <c r="J4399" s="1"/>
      <c r="K4399" s="89" t="s">
        <v>6897</v>
      </c>
      <c r="L4399" s="89" t="str">
        <f>F149</f>
        <v>C2a1a1</v>
      </c>
      <c r="M4399" s="89"/>
      <c r="N4399" s="89" t="s">
        <v>6898</v>
      </c>
      <c r="O4399" s="92">
        <v>1.413703E7</v>
      </c>
      <c r="P4399" s="92">
        <v>1.2016324E7</v>
      </c>
      <c r="Q4399" s="89" t="s">
        <v>802</v>
      </c>
      <c r="AF4399" s="1"/>
      <c r="AG4399" s="1"/>
    </row>
    <row r="4400" ht="15.75" customHeight="1">
      <c r="A4400" s="1"/>
      <c r="B4400" s="1"/>
      <c r="C4400" s="1"/>
      <c r="D4400" s="1"/>
      <c r="E4400" s="1"/>
      <c r="F4400" s="1"/>
      <c r="G4400" s="1"/>
      <c r="H4400" s="1"/>
      <c r="I4400" s="1"/>
      <c r="J4400" s="1"/>
      <c r="K4400" s="89" t="s">
        <v>6899</v>
      </c>
      <c r="L4400" s="89" t="str">
        <f>F149</f>
        <v>C2a1a1</v>
      </c>
      <c r="M4400" s="89"/>
      <c r="N4400" s="89" t="s">
        <v>6900</v>
      </c>
      <c r="O4400" s="92">
        <v>1.4489203E7</v>
      </c>
      <c r="P4400" s="92">
        <v>1.2368472E7</v>
      </c>
      <c r="Q4400" s="89" t="s">
        <v>802</v>
      </c>
      <c r="AF4400" s="1"/>
      <c r="AG4400" s="1"/>
    </row>
    <row r="4401" ht="15.75" customHeight="1">
      <c r="A4401" s="1"/>
      <c r="B4401" s="1"/>
      <c r="C4401" s="1"/>
      <c r="D4401" s="1"/>
      <c r="E4401" s="1"/>
      <c r="F4401" s="1"/>
      <c r="G4401" s="1"/>
      <c r="H4401" s="1"/>
      <c r="I4401" s="1"/>
      <c r="J4401" s="1"/>
      <c r="K4401" s="89" t="s">
        <v>6901</v>
      </c>
      <c r="L4401" s="89" t="str">
        <f>F149</f>
        <v>C2a1a1</v>
      </c>
      <c r="M4401" s="89"/>
      <c r="N4401" s="89" t="s">
        <v>6902</v>
      </c>
      <c r="O4401" s="92">
        <v>1.5268404E7</v>
      </c>
      <c r="P4401" s="92">
        <v>1.3156493E7</v>
      </c>
      <c r="Q4401" s="89" t="s">
        <v>802</v>
      </c>
      <c r="AF4401" s="1"/>
      <c r="AG4401" s="1"/>
    </row>
    <row r="4402" ht="15.75" customHeight="1">
      <c r="A4402" s="1"/>
      <c r="B4402" s="1"/>
      <c r="C4402" s="1"/>
      <c r="D4402" s="1"/>
      <c r="E4402" s="1"/>
      <c r="F4402" s="1"/>
      <c r="G4402" s="1"/>
      <c r="H4402" s="1"/>
      <c r="I4402" s="1"/>
      <c r="J4402" s="1"/>
      <c r="K4402" s="89" t="s">
        <v>6903</v>
      </c>
      <c r="L4402" s="89" t="str">
        <f>F149</f>
        <v>C2a1a1</v>
      </c>
      <c r="M4402" s="89" t="s">
        <v>6904</v>
      </c>
      <c r="N4402" s="89" t="s">
        <v>6905</v>
      </c>
      <c r="O4402" s="92">
        <v>7918677.0</v>
      </c>
      <c r="P4402" s="92">
        <v>8050636.0</v>
      </c>
      <c r="Q4402" s="89" t="s">
        <v>813</v>
      </c>
      <c r="AF4402" s="1"/>
      <c r="AG4402" s="1"/>
    </row>
    <row r="4403" ht="15.75" customHeight="1">
      <c r="A4403" s="1"/>
      <c r="B4403" s="1"/>
      <c r="C4403" s="1"/>
      <c r="D4403" s="1"/>
      <c r="E4403" s="1"/>
      <c r="F4403" s="1"/>
      <c r="G4403" s="1"/>
      <c r="H4403" s="1"/>
      <c r="I4403" s="1"/>
      <c r="J4403" s="1"/>
      <c r="K4403" s="89" t="s">
        <v>6904</v>
      </c>
      <c r="L4403" s="89" t="str">
        <f>F149</f>
        <v>C2a1a1</v>
      </c>
      <c r="M4403" s="89" t="s">
        <v>6903</v>
      </c>
      <c r="N4403" s="89" t="s">
        <v>6905</v>
      </c>
      <c r="O4403" s="92">
        <v>7918677.0</v>
      </c>
      <c r="P4403" s="92">
        <v>8050636.0</v>
      </c>
      <c r="Q4403" s="89" t="s">
        <v>813</v>
      </c>
      <c r="AF4403" s="1"/>
      <c r="AG4403" s="1"/>
    </row>
    <row r="4404" ht="15.75" customHeight="1">
      <c r="A4404" s="1"/>
      <c r="B4404" s="1"/>
      <c r="C4404" s="1"/>
      <c r="D4404" s="1"/>
      <c r="E4404" s="1"/>
      <c r="F4404" s="1"/>
      <c r="G4404" s="1"/>
      <c r="H4404" s="1"/>
      <c r="I4404" s="1"/>
      <c r="J4404" s="1"/>
      <c r="K4404" s="89" t="s">
        <v>6906</v>
      </c>
      <c r="L4404" s="89" t="str">
        <f>F149</f>
        <v>C2a1a1</v>
      </c>
      <c r="M4404" s="89" t="s">
        <v>6907</v>
      </c>
      <c r="N4404" s="89" t="s">
        <v>6908</v>
      </c>
      <c r="O4404" s="92">
        <v>1.6376421E7</v>
      </c>
      <c r="P4404" s="92">
        <v>1.4264541E7</v>
      </c>
      <c r="Q4404" s="89" t="s">
        <v>813</v>
      </c>
      <c r="AF4404" s="1"/>
      <c r="AG4404" s="1"/>
    </row>
    <row r="4405" ht="15.75" customHeight="1">
      <c r="A4405" s="1"/>
      <c r="B4405" s="1"/>
      <c r="C4405" s="1"/>
      <c r="D4405" s="1"/>
      <c r="E4405" s="1"/>
      <c r="F4405" s="1"/>
      <c r="G4405" s="1"/>
      <c r="H4405" s="1"/>
      <c r="I4405" s="1"/>
      <c r="J4405" s="1"/>
      <c r="K4405" s="89" t="s">
        <v>6907</v>
      </c>
      <c r="L4405" s="89" t="str">
        <f>F149</f>
        <v>C2a1a1</v>
      </c>
      <c r="M4405" s="89" t="s">
        <v>6906</v>
      </c>
      <c r="N4405" s="89" t="s">
        <v>6908</v>
      </c>
      <c r="O4405" s="92">
        <v>1.6376421E7</v>
      </c>
      <c r="P4405" s="92">
        <v>1.4264541E7</v>
      </c>
      <c r="Q4405" s="89" t="s">
        <v>813</v>
      </c>
      <c r="AF4405" s="1"/>
      <c r="AG4405" s="1"/>
    </row>
    <row r="4406" ht="15.75" customHeight="1">
      <c r="A4406" s="1"/>
      <c r="B4406" s="1"/>
      <c r="C4406" s="1"/>
      <c r="D4406" s="1"/>
      <c r="E4406" s="1"/>
      <c r="F4406" s="1"/>
      <c r="G4406" s="1"/>
      <c r="H4406" s="1"/>
      <c r="I4406" s="1"/>
      <c r="J4406" s="1"/>
      <c r="K4406" s="89" t="s">
        <v>6909</v>
      </c>
      <c r="L4406" s="89" t="str">
        <f>G150</f>
        <v>C2a1a1a</v>
      </c>
      <c r="M4406" s="89"/>
      <c r="N4406" s="89"/>
      <c r="O4406" s="92">
        <v>1.453388E7</v>
      </c>
      <c r="P4406" s="92">
        <v>1.2422081E7</v>
      </c>
      <c r="Q4406" s="89" t="s">
        <v>886</v>
      </c>
      <c r="AF4406" s="1"/>
      <c r="AG4406" s="1"/>
    </row>
    <row r="4407" ht="15.75" customHeight="1">
      <c r="A4407" s="1"/>
      <c r="B4407" s="1"/>
      <c r="C4407" s="1"/>
      <c r="D4407" s="1"/>
      <c r="E4407" s="1"/>
      <c r="F4407" s="1"/>
      <c r="G4407" s="1"/>
      <c r="H4407" s="1"/>
      <c r="I4407" s="1"/>
      <c r="J4407" s="1"/>
      <c r="K4407" s="89" t="s">
        <v>6910</v>
      </c>
      <c r="L4407" s="89" t="str">
        <f>G150</f>
        <v>C2a1a1a</v>
      </c>
      <c r="M4407" s="89" t="s">
        <v>6911</v>
      </c>
      <c r="N4407" s="89" t="s">
        <v>6912</v>
      </c>
      <c r="O4407" s="92">
        <v>8545774.0</v>
      </c>
      <c r="P4407" s="92">
        <v>8677733.0</v>
      </c>
      <c r="Q4407" s="89" t="s">
        <v>886</v>
      </c>
      <c r="AF4407" s="1"/>
      <c r="AG4407" s="1"/>
    </row>
    <row r="4408" ht="15.75" customHeight="1">
      <c r="A4408" s="1"/>
      <c r="B4408" s="1"/>
      <c r="C4408" s="1"/>
      <c r="D4408" s="1"/>
      <c r="E4408" s="1"/>
      <c r="F4408" s="1"/>
      <c r="G4408" s="1"/>
      <c r="H4408" s="1"/>
      <c r="I4408" s="1"/>
      <c r="J4408" s="1"/>
      <c r="K4408" s="89" t="s">
        <v>6913</v>
      </c>
      <c r="L4408" s="89" t="str">
        <f>G150</f>
        <v>C2a1a1a</v>
      </c>
      <c r="M4408" s="89" t="s">
        <v>6914</v>
      </c>
      <c r="N4408" s="89" t="s">
        <v>6912</v>
      </c>
      <c r="O4408" s="92">
        <v>8545774.0</v>
      </c>
      <c r="P4408" s="92">
        <v>8677733.0</v>
      </c>
      <c r="Q4408" s="89" t="s">
        <v>886</v>
      </c>
      <c r="AF4408" s="1"/>
      <c r="AG4408" s="1"/>
    </row>
    <row r="4409" ht="15.75" customHeight="1">
      <c r="A4409" s="1"/>
      <c r="B4409" s="1"/>
      <c r="C4409" s="1"/>
      <c r="D4409" s="1"/>
      <c r="E4409" s="1"/>
      <c r="F4409" s="1"/>
      <c r="G4409" s="1"/>
      <c r="H4409" s="1"/>
      <c r="I4409" s="1"/>
      <c r="J4409" s="1"/>
      <c r="K4409" s="89" t="s">
        <v>6915</v>
      </c>
      <c r="L4409" s="89" t="str">
        <f>G150</f>
        <v>C2a1a1a</v>
      </c>
      <c r="M4409" s="89" t="s">
        <v>6916</v>
      </c>
      <c r="N4409" s="89" t="s">
        <v>6912</v>
      </c>
      <c r="O4409" s="92">
        <v>8545774.0</v>
      </c>
      <c r="P4409" s="92">
        <v>8677733.0</v>
      </c>
      <c r="Q4409" s="89" t="s">
        <v>886</v>
      </c>
      <c r="AF4409" s="1"/>
      <c r="AG4409" s="1"/>
    </row>
    <row r="4410" ht="15.75" customHeight="1">
      <c r="A4410" s="1"/>
      <c r="B4410" s="1"/>
      <c r="C4410" s="1"/>
      <c r="D4410" s="1"/>
      <c r="E4410" s="1"/>
      <c r="F4410" s="1"/>
      <c r="G4410" s="1"/>
      <c r="H4410" s="1"/>
      <c r="I4410" s="1"/>
      <c r="J4410" s="1"/>
      <c r="K4410" s="89" t="s">
        <v>6917</v>
      </c>
      <c r="L4410" s="89" t="str">
        <f>G150</f>
        <v>C2a1a1a</v>
      </c>
      <c r="M4410" s="89" t="s">
        <v>6918</v>
      </c>
      <c r="N4410" s="89" t="s">
        <v>6912</v>
      </c>
      <c r="O4410" s="92">
        <v>8545774.0</v>
      </c>
      <c r="P4410" s="92">
        <v>8677733.0</v>
      </c>
      <c r="Q4410" s="89" t="s">
        <v>886</v>
      </c>
      <c r="AF4410" s="1"/>
      <c r="AG4410" s="1"/>
    </row>
    <row r="4411" ht="15.75" customHeight="1">
      <c r="A4411" s="1"/>
      <c r="B4411" s="1"/>
      <c r="C4411" s="1"/>
      <c r="D4411" s="1"/>
      <c r="E4411" s="1"/>
      <c r="F4411" s="1"/>
      <c r="G4411" s="1"/>
      <c r="H4411" s="1"/>
      <c r="I4411" s="1"/>
      <c r="J4411" s="1"/>
      <c r="K4411" s="89" t="s">
        <v>6919</v>
      </c>
      <c r="L4411" s="89" t="str">
        <f>G150</f>
        <v>C2a1a1a</v>
      </c>
      <c r="M4411" s="89"/>
      <c r="N4411" s="89" t="s">
        <v>6920</v>
      </c>
      <c r="O4411" s="92">
        <v>2.2523607E7</v>
      </c>
      <c r="P4411" s="92">
        <v>2.0361721E7</v>
      </c>
      <c r="Q4411" s="89" t="s">
        <v>802</v>
      </c>
      <c r="AF4411" s="1"/>
      <c r="AG4411" s="1"/>
    </row>
    <row r="4412" ht="15.75" customHeight="1">
      <c r="A4412" s="1"/>
      <c r="B4412" s="1"/>
      <c r="C4412" s="1"/>
      <c r="D4412" s="1"/>
      <c r="E4412" s="1"/>
      <c r="F4412" s="1"/>
      <c r="G4412" s="1"/>
      <c r="H4412" s="1"/>
      <c r="I4412" s="1"/>
      <c r="J4412" s="1"/>
      <c r="K4412" s="89" t="s">
        <v>6921</v>
      </c>
      <c r="L4412" s="89" t="str">
        <f>G150</f>
        <v>C2a1a1a</v>
      </c>
      <c r="M4412" s="89" t="s">
        <v>6922</v>
      </c>
      <c r="N4412" s="89" t="s">
        <v>6923</v>
      </c>
      <c r="O4412" s="92">
        <v>2.2560811E7</v>
      </c>
      <c r="P4412" s="92">
        <v>2.0398925E7</v>
      </c>
      <c r="Q4412" s="89" t="s">
        <v>810</v>
      </c>
      <c r="AF4412" s="1"/>
      <c r="AG4412" s="1"/>
    </row>
    <row r="4413" ht="15.75" customHeight="1">
      <c r="A4413" s="1"/>
      <c r="B4413" s="1"/>
      <c r="C4413" s="1"/>
      <c r="D4413" s="1"/>
      <c r="E4413" s="1"/>
      <c r="F4413" s="1"/>
      <c r="G4413" s="1"/>
      <c r="H4413" s="1"/>
      <c r="I4413" s="1"/>
      <c r="J4413" s="1"/>
      <c r="K4413" s="89" t="s">
        <v>6924</v>
      </c>
      <c r="L4413" s="89" t="str">
        <f>G150</f>
        <v>C2a1a1a</v>
      </c>
      <c r="M4413" s="89" t="s">
        <v>6925</v>
      </c>
      <c r="N4413" s="89" t="s">
        <v>6923</v>
      </c>
      <c r="O4413" s="92">
        <v>2.2560811E7</v>
      </c>
      <c r="P4413" s="92">
        <v>2.0398925E7</v>
      </c>
      <c r="Q4413" s="89" t="s">
        <v>810</v>
      </c>
      <c r="AF4413" s="1"/>
      <c r="AG4413" s="1"/>
    </row>
    <row r="4414" ht="15.75" customHeight="1">
      <c r="A4414" s="1"/>
      <c r="B4414" s="1"/>
      <c r="C4414" s="1"/>
      <c r="D4414" s="1"/>
      <c r="E4414" s="1"/>
      <c r="F4414" s="1"/>
      <c r="G4414" s="1"/>
      <c r="H4414" s="1"/>
      <c r="I4414" s="1"/>
      <c r="J4414" s="1"/>
      <c r="K4414" s="89" t="s">
        <v>6926</v>
      </c>
      <c r="L4414" s="89" t="str">
        <f>G150</f>
        <v>C2a1a1a</v>
      </c>
      <c r="M4414" s="89" t="s">
        <v>6927</v>
      </c>
      <c r="N4414" s="89" t="s">
        <v>6923</v>
      </c>
      <c r="O4414" s="92">
        <v>2.2560811E7</v>
      </c>
      <c r="P4414" s="92">
        <v>2.0398925E7</v>
      </c>
      <c r="Q4414" s="89" t="s">
        <v>810</v>
      </c>
      <c r="AF4414" s="1"/>
      <c r="AG4414" s="1"/>
    </row>
    <row r="4415" ht="15.75" customHeight="1">
      <c r="A4415" s="1"/>
      <c r="B4415" s="1"/>
      <c r="C4415" s="1"/>
      <c r="D4415" s="1"/>
      <c r="E4415" s="1"/>
      <c r="F4415" s="1"/>
      <c r="G4415" s="1"/>
      <c r="H4415" s="1"/>
      <c r="I4415" s="1"/>
      <c r="J4415" s="1"/>
      <c r="K4415" s="93" t="s">
        <v>6928</v>
      </c>
      <c r="L4415" s="89" t="str">
        <f>G150</f>
        <v>C2a1a1a</v>
      </c>
      <c r="M4415" s="89" t="s">
        <v>6929</v>
      </c>
      <c r="N4415" s="89" t="s">
        <v>6930</v>
      </c>
      <c r="O4415" s="92">
        <v>1.9058942E7</v>
      </c>
      <c r="P4415" s="92">
        <v>1.6947062E7</v>
      </c>
      <c r="Q4415" s="89" t="s">
        <v>838</v>
      </c>
      <c r="AF4415" s="1"/>
      <c r="AG4415" s="1"/>
    </row>
    <row r="4416" ht="15.75" customHeight="1">
      <c r="A4416" s="1"/>
      <c r="B4416" s="1"/>
      <c r="C4416" s="1"/>
      <c r="D4416" s="1"/>
      <c r="E4416" s="1"/>
      <c r="F4416" s="1"/>
      <c r="G4416" s="1"/>
      <c r="H4416" s="1"/>
      <c r="I4416" s="1"/>
      <c r="J4416" s="1"/>
      <c r="K4416" s="89" t="s">
        <v>6931</v>
      </c>
      <c r="L4416" s="89" t="str">
        <f>G150</f>
        <v>C2a1a1a</v>
      </c>
      <c r="M4416" s="93" t="s">
        <v>6932</v>
      </c>
      <c r="N4416" s="89" t="s">
        <v>6930</v>
      </c>
      <c r="O4416" s="92">
        <v>1.9058942E7</v>
      </c>
      <c r="P4416" s="92">
        <v>1.6947062E7</v>
      </c>
      <c r="Q4416" s="89" t="s">
        <v>838</v>
      </c>
      <c r="AF4416" s="1"/>
      <c r="AG4416" s="1"/>
    </row>
    <row r="4417" ht="15.75" customHeight="1">
      <c r="A4417" s="1"/>
      <c r="B4417" s="1"/>
      <c r="C4417" s="1"/>
      <c r="D4417" s="1"/>
      <c r="E4417" s="1"/>
      <c r="F4417" s="1"/>
      <c r="G4417" s="1"/>
      <c r="H4417" s="1"/>
      <c r="I4417" s="1"/>
      <c r="J4417" s="1"/>
      <c r="K4417" s="89" t="s">
        <v>6933</v>
      </c>
      <c r="L4417" s="89" t="str">
        <f>G150</f>
        <v>C2a1a1a</v>
      </c>
      <c r="M4417" s="93" t="s">
        <v>6934</v>
      </c>
      <c r="N4417" s="89" t="s">
        <v>6930</v>
      </c>
      <c r="O4417" s="92">
        <v>1.9058942E7</v>
      </c>
      <c r="P4417" s="92">
        <v>1.6947062E7</v>
      </c>
      <c r="Q4417" s="89" t="s">
        <v>838</v>
      </c>
      <c r="AF4417" s="1"/>
      <c r="AG4417" s="1"/>
    </row>
    <row r="4418" ht="15.75" customHeight="1">
      <c r="A4418" s="1"/>
      <c r="B4418" s="1"/>
      <c r="C4418" s="1"/>
      <c r="D4418" s="1"/>
      <c r="E4418" s="1"/>
      <c r="F4418" s="1"/>
      <c r="G4418" s="1"/>
      <c r="H4418" s="1"/>
      <c r="I4418" s="1"/>
      <c r="J4418" s="1"/>
      <c r="K4418" s="89" t="s">
        <v>6935</v>
      </c>
      <c r="L4418" s="89" t="str">
        <f>G150</f>
        <v>C2a1a1a</v>
      </c>
      <c r="M4418" s="89" t="s">
        <v>6936</v>
      </c>
      <c r="N4418" s="89" t="s">
        <v>6930</v>
      </c>
      <c r="O4418" s="89">
        <v>1.6295381E7</v>
      </c>
      <c r="P4418" s="89">
        <v>1.4183501E7</v>
      </c>
      <c r="Q4418" s="89" t="s">
        <v>917</v>
      </c>
      <c r="AF4418" s="1"/>
      <c r="AG4418" s="1"/>
    </row>
    <row r="4419" ht="15.75" customHeight="1">
      <c r="A4419" s="1"/>
      <c r="B4419" s="1"/>
      <c r="C4419" s="1"/>
      <c r="D4419" s="1"/>
      <c r="E4419" s="1"/>
      <c r="F4419" s="1"/>
      <c r="G4419" s="1"/>
      <c r="H4419" s="1"/>
      <c r="I4419" s="1"/>
      <c r="J4419" s="1"/>
      <c r="K4419" s="89" t="s">
        <v>6937</v>
      </c>
      <c r="L4419" s="89" t="str">
        <f>G150</f>
        <v>C2a1a1a</v>
      </c>
      <c r="M4419" s="89" t="s">
        <v>6938</v>
      </c>
      <c r="N4419" s="89" t="s">
        <v>6939</v>
      </c>
      <c r="O4419" s="89">
        <v>1.6295381E7</v>
      </c>
      <c r="P4419" s="89">
        <v>1.4183501E7</v>
      </c>
      <c r="Q4419" s="89" t="s">
        <v>917</v>
      </c>
      <c r="AF4419" s="1"/>
      <c r="AG4419" s="1"/>
    </row>
    <row r="4420" ht="15.75" customHeight="1">
      <c r="A4420" s="1"/>
      <c r="B4420" s="1"/>
      <c r="C4420" s="1"/>
      <c r="D4420" s="1"/>
      <c r="E4420" s="1"/>
      <c r="F4420" s="1"/>
      <c r="G4420" s="1"/>
      <c r="H4420" s="1"/>
      <c r="I4420" s="1"/>
      <c r="J4420" s="1"/>
      <c r="K4420" s="89" t="s">
        <v>6940</v>
      </c>
      <c r="L4420" s="89" t="str">
        <f>G150</f>
        <v>C2a1a1a</v>
      </c>
      <c r="M4420" s="89" t="s">
        <v>6941</v>
      </c>
      <c r="N4420" s="89" t="s">
        <v>6939</v>
      </c>
      <c r="O4420" s="89">
        <v>1.6295381E7</v>
      </c>
      <c r="P4420" s="89">
        <v>1.4183501E7</v>
      </c>
      <c r="Q4420" s="89" t="s">
        <v>917</v>
      </c>
      <c r="AF4420" s="1"/>
      <c r="AG4420" s="1"/>
    </row>
    <row r="4421" ht="15.75" customHeight="1">
      <c r="A4421" s="1"/>
      <c r="B4421" s="1"/>
      <c r="C4421" s="1"/>
      <c r="D4421" s="1"/>
      <c r="E4421" s="1"/>
      <c r="F4421" s="1"/>
      <c r="G4421" s="1"/>
      <c r="H4421" s="1"/>
      <c r="I4421" s="1"/>
      <c r="J4421" s="1"/>
      <c r="K4421" s="89" t="s">
        <v>6942</v>
      </c>
      <c r="L4421" s="89" t="str">
        <f>H151</f>
        <v>C2a1a1a1</v>
      </c>
      <c r="M4421" s="89"/>
      <c r="N4421" s="89" t="s">
        <v>6939</v>
      </c>
      <c r="O4421" s="89">
        <v>1.4484581E7</v>
      </c>
      <c r="P4421" s="89">
        <v>1.236385E7</v>
      </c>
      <c r="Q4421" s="89" t="s">
        <v>810</v>
      </c>
      <c r="AF4421" s="1"/>
      <c r="AG4421" s="1"/>
    </row>
    <row r="4422" ht="15.75" customHeight="1">
      <c r="A4422" s="1"/>
      <c r="B4422" s="1"/>
      <c r="C4422" s="1"/>
      <c r="D4422" s="1"/>
      <c r="E4422" s="1"/>
      <c r="F4422" s="1"/>
      <c r="G4422" s="1"/>
      <c r="H4422" s="1"/>
      <c r="I4422" s="1"/>
      <c r="J4422" s="1"/>
      <c r="K4422" s="89" t="s">
        <v>6943</v>
      </c>
      <c r="L4422" s="89" t="str">
        <f>H151</f>
        <v>C2a1a1a1</v>
      </c>
      <c r="M4422" s="89"/>
      <c r="N4422" s="89"/>
      <c r="O4422" s="92">
        <v>7601110.0</v>
      </c>
      <c r="P4422" s="92">
        <v>7733069.0</v>
      </c>
      <c r="Q4422" s="89" t="s">
        <v>810</v>
      </c>
      <c r="AF4422" s="1"/>
      <c r="AG4422" s="1"/>
    </row>
    <row r="4423" ht="15.75" customHeight="1">
      <c r="A4423" s="1"/>
      <c r="B4423" s="1"/>
      <c r="C4423" s="1"/>
      <c r="D4423" s="1"/>
      <c r="E4423" s="1"/>
      <c r="F4423" s="1"/>
      <c r="G4423" s="1"/>
      <c r="H4423" s="1"/>
      <c r="I4423" s="1"/>
      <c r="J4423" s="1"/>
      <c r="K4423" s="89" t="s">
        <v>6944</v>
      </c>
      <c r="L4423" s="89" t="str">
        <f>H151</f>
        <v>C2a1a1a1</v>
      </c>
      <c r="M4423" s="89" t="s">
        <v>6945</v>
      </c>
      <c r="N4423" s="89" t="s">
        <v>6946</v>
      </c>
      <c r="O4423" s="92">
        <v>2702701.0</v>
      </c>
      <c r="P4423" s="92">
        <v>2834660.0</v>
      </c>
      <c r="Q4423" s="89" t="s">
        <v>845</v>
      </c>
      <c r="AF4423" s="1"/>
      <c r="AG4423" s="1"/>
    </row>
    <row r="4424" ht="15.75" customHeight="1">
      <c r="A4424" s="1"/>
      <c r="B4424" s="1"/>
      <c r="C4424" s="1"/>
      <c r="D4424" s="1"/>
      <c r="E4424" s="1"/>
      <c r="F4424" s="1"/>
      <c r="G4424" s="1"/>
      <c r="H4424" s="1"/>
      <c r="I4424" s="1"/>
      <c r="J4424" s="1"/>
      <c r="K4424" s="89" t="s">
        <v>6945</v>
      </c>
      <c r="L4424" s="89" t="str">
        <f>H151</f>
        <v>C2a1a1a1</v>
      </c>
      <c r="M4424" s="89" t="s">
        <v>6944</v>
      </c>
      <c r="N4424" s="89" t="s">
        <v>6946</v>
      </c>
      <c r="O4424" s="92">
        <v>2702701.0</v>
      </c>
      <c r="P4424" s="92">
        <v>2834660.0</v>
      </c>
      <c r="Q4424" s="89" t="s">
        <v>845</v>
      </c>
      <c r="AF4424" s="1"/>
      <c r="AG4424" s="1"/>
    </row>
    <row r="4425" ht="15.75" customHeight="1">
      <c r="A4425" s="1"/>
      <c r="B4425" s="1"/>
      <c r="C4425" s="1"/>
      <c r="D4425" s="1"/>
      <c r="E4425" s="1"/>
      <c r="F4425" s="1"/>
      <c r="G4425" s="1"/>
      <c r="H4425" s="1"/>
      <c r="I4425" s="1"/>
      <c r="J4425" s="1"/>
      <c r="K4425" s="89" t="s">
        <v>6947</v>
      </c>
      <c r="L4425" s="89" t="str">
        <f>H151</f>
        <v>C2a1a1a1</v>
      </c>
      <c r="M4425" s="89" t="s">
        <v>6948</v>
      </c>
      <c r="N4425" s="89" t="s">
        <v>6949</v>
      </c>
      <c r="O4425" s="92">
        <v>2838315.0</v>
      </c>
      <c r="P4425" s="92">
        <v>2970274.0</v>
      </c>
      <c r="Q4425" s="89" t="s">
        <v>822</v>
      </c>
      <c r="AF4425" s="1"/>
      <c r="AG4425" s="1"/>
    </row>
    <row r="4426" ht="15.75" customHeight="1">
      <c r="A4426" s="1"/>
      <c r="B4426" s="1"/>
      <c r="C4426" s="1"/>
      <c r="D4426" s="1"/>
      <c r="E4426" s="1"/>
      <c r="F4426" s="1"/>
      <c r="G4426" s="1"/>
      <c r="H4426" s="1"/>
      <c r="I4426" s="1"/>
      <c r="J4426" s="1"/>
      <c r="K4426" s="89" t="s">
        <v>6948</v>
      </c>
      <c r="L4426" s="89" t="str">
        <f>H151</f>
        <v>C2a1a1a1</v>
      </c>
      <c r="M4426" s="89" t="s">
        <v>6947</v>
      </c>
      <c r="N4426" s="89" t="s">
        <v>6949</v>
      </c>
      <c r="O4426" s="92">
        <v>2838315.0</v>
      </c>
      <c r="P4426" s="92">
        <v>2970274.0</v>
      </c>
      <c r="Q4426" s="89" t="s">
        <v>822</v>
      </c>
      <c r="AF4426" s="1"/>
      <c r="AG4426" s="1"/>
    </row>
    <row r="4427" ht="15.75" customHeight="1">
      <c r="A4427" s="1"/>
      <c r="B4427" s="1"/>
      <c r="C4427" s="1"/>
      <c r="D4427" s="1"/>
      <c r="E4427" s="1"/>
      <c r="F4427" s="1"/>
      <c r="G4427" s="1"/>
      <c r="H4427" s="1"/>
      <c r="I4427" s="1"/>
      <c r="J4427" s="1"/>
      <c r="K4427" s="89" t="s">
        <v>6950</v>
      </c>
      <c r="L4427" s="89" t="str">
        <f>H151</f>
        <v>C2a1a1a1</v>
      </c>
      <c r="M4427" s="89" t="s">
        <v>6951</v>
      </c>
      <c r="N4427" s="89" t="s">
        <v>6952</v>
      </c>
      <c r="O4427" s="92">
        <v>7989801.0</v>
      </c>
      <c r="P4427" s="92">
        <v>8121760.0</v>
      </c>
      <c r="Q4427" s="89" t="s">
        <v>802</v>
      </c>
      <c r="AF4427" s="1"/>
      <c r="AG4427" s="1"/>
    </row>
    <row r="4428" ht="15.75" customHeight="1">
      <c r="A4428" s="1"/>
      <c r="B4428" s="1"/>
      <c r="C4428" s="1"/>
      <c r="D4428" s="1"/>
      <c r="E4428" s="1"/>
      <c r="F4428" s="1"/>
      <c r="G4428" s="1"/>
      <c r="H4428" s="1"/>
      <c r="I4428" s="1"/>
      <c r="J4428" s="1"/>
      <c r="K4428" s="89" t="s">
        <v>6951</v>
      </c>
      <c r="L4428" s="89" t="str">
        <f>H151</f>
        <v>C2a1a1a1</v>
      </c>
      <c r="M4428" s="89" t="s">
        <v>6950</v>
      </c>
      <c r="N4428" s="89" t="s">
        <v>6952</v>
      </c>
      <c r="O4428" s="92">
        <v>7989801.0</v>
      </c>
      <c r="P4428" s="92">
        <v>8121760.0</v>
      </c>
      <c r="Q4428" s="89" t="s">
        <v>802</v>
      </c>
      <c r="AF4428" s="1"/>
      <c r="AG4428" s="1"/>
    </row>
    <row r="4429" ht="15.75" customHeight="1">
      <c r="A4429" s="1"/>
      <c r="B4429" s="1"/>
      <c r="C4429" s="1"/>
      <c r="D4429" s="1"/>
      <c r="E4429" s="1"/>
      <c r="F4429" s="1"/>
      <c r="G4429" s="1"/>
      <c r="H4429" s="1"/>
      <c r="I4429" s="1"/>
      <c r="J4429" s="1"/>
      <c r="K4429" s="89" t="s">
        <v>6953</v>
      </c>
      <c r="L4429" s="89" t="str">
        <f>H151</f>
        <v>C2a1a1a1</v>
      </c>
      <c r="M4429" s="89" t="s">
        <v>6954</v>
      </c>
      <c r="N4429" s="89" t="s">
        <v>6955</v>
      </c>
      <c r="O4429" s="92">
        <v>8055023.0</v>
      </c>
      <c r="P4429" s="92">
        <v>8186982.0</v>
      </c>
      <c r="Q4429" s="89" t="s">
        <v>879</v>
      </c>
      <c r="AF4429" s="1"/>
      <c r="AG4429" s="1"/>
    </row>
    <row r="4430" ht="15.75" customHeight="1">
      <c r="A4430" s="1"/>
      <c r="B4430" s="1"/>
      <c r="C4430" s="1"/>
      <c r="D4430" s="1"/>
      <c r="E4430" s="1"/>
      <c r="F4430" s="1"/>
      <c r="G4430" s="1"/>
      <c r="H4430" s="1"/>
      <c r="I4430" s="1"/>
      <c r="J4430" s="1"/>
      <c r="K4430" s="89" t="s">
        <v>6954</v>
      </c>
      <c r="L4430" s="89" t="str">
        <f>H151</f>
        <v>C2a1a1a1</v>
      </c>
      <c r="M4430" s="89" t="s">
        <v>6953</v>
      </c>
      <c r="N4430" s="89" t="s">
        <v>6955</v>
      </c>
      <c r="O4430" s="92">
        <v>8055023.0</v>
      </c>
      <c r="P4430" s="92">
        <v>8186982.0</v>
      </c>
      <c r="Q4430" s="89" t="s">
        <v>879</v>
      </c>
      <c r="AF4430" s="1"/>
      <c r="AG4430" s="1"/>
    </row>
    <row r="4431" ht="15.75" customHeight="1">
      <c r="A4431" s="1"/>
      <c r="B4431" s="1"/>
      <c r="C4431" s="1"/>
      <c r="D4431" s="1"/>
      <c r="E4431" s="1"/>
      <c r="F4431" s="1"/>
      <c r="G4431" s="1"/>
      <c r="H4431" s="1"/>
      <c r="I4431" s="1"/>
      <c r="J4431" s="1"/>
      <c r="K4431" s="89" t="s">
        <v>6956</v>
      </c>
      <c r="L4431" s="89" t="str">
        <f>H151</f>
        <v>C2a1a1a1</v>
      </c>
      <c r="M4431" s="89" t="s">
        <v>6957</v>
      </c>
      <c r="N4431" s="89" t="s">
        <v>6958</v>
      </c>
      <c r="O4431" s="92">
        <v>8128918.0</v>
      </c>
      <c r="P4431" s="92">
        <v>8260877.0</v>
      </c>
      <c r="Q4431" s="89" t="s">
        <v>810</v>
      </c>
      <c r="AF4431" s="1"/>
      <c r="AG4431" s="1"/>
    </row>
    <row r="4432" ht="15.75" customHeight="1">
      <c r="A4432" s="1"/>
      <c r="B4432" s="1"/>
      <c r="C4432" s="1"/>
      <c r="D4432" s="1"/>
      <c r="E4432" s="1"/>
      <c r="F4432" s="1"/>
      <c r="G4432" s="1"/>
      <c r="H4432" s="1"/>
      <c r="I4432" s="1"/>
      <c r="J4432" s="1"/>
      <c r="K4432" s="89" t="s">
        <v>6957</v>
      </c>
      <c r="L4432" s="89" t="str">
        <f>H151</f>
        <v>C2a1a1a1</v>
      </c>
      <c r="M4432" s="89" t="s">
        <v>6956</v>
      </c>
      <c r="N4432" s="89" t="s">
        <v>6958</v>
      </c>
      <c r="O4432" s="92">
        <v>8128918.0</v>
      </c>
      <c r="P4432" s="92">
        <v>8260877.0</v>
      </c>
      <c r="Q4432" s="89" t="s">
        <v>810</v>
      </c>
      <c r="AF4432" s="1"/>
      <c r="AG4432" s="1"/>
    </row>
    <row r="4433" ht="15.75" customHeight="1">
      <c r="A4433" s="1"/>
      <c r="B4433" s="1"/>
      <c r="C4433" s="1"/>
      <c r="D4433" s="1"/>
      <c r="E4433" s="1"/>
      <c r="F4433" s="1"/>
      <c r="G4433" s="1"/>
      <c r="H4433" s="1"/>
      <c r="I4433" s="1"/>
      <c r="J4433" s="1"/>
      <c r="K4433" s="89" t="s">
        <v>6959</v>
      </c>
      <c r="L4433" s="89" t="str">
        <f>H151</f>
        <v>C2a1a1a1</v>
      </c>
      <c r="M4433" s="89" t="s">
        <v>6960</v>
      </c>
      <c r="N4433" s="89" t="s">
        <v>6961</v>
      </c>
      <c r="O4433" s="92">
        <v>8233259.0</v>
      </c>
      <c r="P4433" s="92">
        <v>8365218.0</v>
      </c>
      <c r="Q4433" s="89" t="s">
        <v>802</v>
      </c>
      <c r="AF4433" s="1"/>
      <c r="AG4433" s="1"/>
    </row>
    <row r="4434" ht="15.75" customHeight="1">
      <c r="A4434" s="1"/>
      <c r="B4434" s="1"/>
      <c r="C4434" s="1"/>
      <c r="D4434" s="1"/>
      <c r="E4434" s="1"/>
      <c r="F4434" s="1"/>
      <c r="G4434" s="1"/>
      <c r="H4434" s="1"/>
      <c r="I4434" s="1"/>
      <c r="J4434" s="1"/>
      <c r="K4434" s="89" t="s">
        <v>6960</v>
      </c>
      <c r="L4434" s="89" t="str">
        <f>H151</f>
        <v>C2a1a1a1</v>
      </c>
      <c r="M4434" s="89" t="s">
        <v>6959</v>
      </c>
      <c r="N4434" s="89" t="s">
        <v>6961</v>
      </c>
      <c r="O4434" s="92">
        <v>8233259.0</v>
      </c>
      <c r="P4434" s="92">
        <v>8365218.0</v>
      </c>
      <c r="Q4434" s="89" t="s">
        <v>802</v>
      </c>
      <c r="AF4434" s="1"/>
      <c r="AG4434" s="1"/>
    </row>
    <row r="4435" ht="15.75" customHeight="1">
      <c r="A4435" s="1"/>
      <c r="B4435" s="1"/>
      <c r="C4435" s="1"/>
      <c r="D4435" s="1"/>
      <c r="E4435" s="1"/>
      <c r="F4435" s="1"/>
      <c r="G4435" s="1"/>
      <c r="H4435" s="1"/>
      <c r="I4435" s="1"/>
      <c r="J4435" s="1"/>
      <c r="K4435" s="89" t="s">
        <v>6962</v>
      </c>
      <c r="L4435" s="89" t="str">
        <f>H151</f>
        <v>C2a1a1a1</v>
      </c>
      <c r="M4435" s="89" t="s">
        <v>6963</v>
      </c>
      <c r="N4435" s="89" t="s">
        <v>6964</v>
      </c>
      <c r="O4435" s="92">
        <v>8271472.0</v>
      </c>
      <c r="P4435" s="92">
        <v>8403431.0</v>
      </c>
      <c r="Q4435" s="89" t="s">
        <v>822</v>
      </c>
      <c r="AF4435" s="1"/>
      <c r="AG4435" s="1"/>
    </row>
    <row r="4436" ht="15.75" customHeight="1">
      <c r="A4436" s="1"/>
      <c r="B4436" s="1"/>
      <c r="C4436" s="1"/>
      <c r="D4436" s="1"/>
      <c r="E4436" s="1"/>
      <c r="F4436" s="1"/>
      <c r="G4436" s="1"/>
      <c r="H4436" s="1"/>
      <c r="I4436" s="1"/>
      <c r="J4436" s="1"/>
      <c r="K4436" s="89" t="s">
        <v>6963</v>
      </c>
      <c r="L4436" s="89" t="str">
        <f>H151</f>
        <v>C2a1a1a1</v>
      </c>
      <c r="M4436" s="89" t="s">
        <v>6962</v>
      </c>
      <c r="N4436" s="89" t="s">
        <v>6964</v>
      </c>
      <c r="O4436" s="92">
        <v>8271472.0</v>
      </c>
      <c r="P4436" s="92">
        <v>8403431.0</v>
      </c>
      <c r="Q4436" s="89" t="s">
        <v>822</v>
      </c>
      <c r="AF4436" s="1"/>
      <c r="AG4436" s="1"/>
    </row>
    <row r="4437" ht="15.75" customHeight="1">
      <c r="A4437" s="1"/>
      <c r="B4437" s="1"/>
      <c r="C4437" s="1"/>
      <c r="D4437" s="1"/>
      <c r="E4437" s="1"/>
      <c r="F4437" s="1"/>
      <c r="G4437" s="1"/>
      <c r="H4437" s="1"/>
      <c r="I4437" s="1"/>
      <c r="J4437" s="1"/>
      <c r="K4437" s="89" t="s">
        <v>6965</v>
      </c>
      <c r="L4437" s="89" t="str">
        <f>H151</f>
        <v>C2a1a1a1</v>
      </c>
      <c r="M4437" s="89" t="s">
        <v>6966</v>
      </c>
      <c r="N4437" s="89" t="s">
        <v>6967</v>
      </c>
      <c r="O4437" s="92">
        <v>8418103.0</v>
      </c>
      <c r="P4437" s="92">
        <v>8550062.0</v>
      </c>
      <c r="Q4437" s="89" t="s">
        <v>838</v>
      </c>
      <c r="AF4437" s="1"/>
      <c r="AG4437" s="1"/>
    </row>
    <row r="4438" ht="15.75" customHeight="1">
      <c r="A4438" s="1"/>
      <c r="B4438" s="1"/>
      <c r="C4438" s="1"/>
      <c r="D4438" s="1"/>
      <c r="E4438" s="1"/>
      <c r="F4438" s="1"/>
      <c r="G4438" s="1"/>
      <c r="H4438" s="1"/>
      <c r="I4438" s="1"/>
      <c r="J4438" s="1"/>
      <c r="K4438" s="89" t="s">
        <v>6966</v>
      </c>
      <c r="L4438" s="89" t="str">
        <f>H151</f>
        <v>C2a1a1a1</v>
      </c>
      <c r="M4438" s="89" t="s">
        <v>6965</v>
      </c>
      <c r="N4438" s="89" t="s">
        <v>6967</v>
      </c>
      <c r="O4438" s="92">
        <v>8418103.0</v>
      </c>
      <c r="P4438" s="92">
        <v>8550062.0</v>
      </c>
      <c r="Q4438" s="89" t="s">
        <v>838</v>
      </c>
      <c r="AF4438" s="1"/>
      <c r="AG4438" s="1"/>
    </row>
    <row r="4439" ht="15.75" customHeight="1">
      <c r="A4439" s="1"/>
      <c r="B4439" s="1"/>
      <c r="C4439" s="1"/>
      <c r="D4439" s="1"/>
      <c r="E4439" s="1"/>
      <c r="F4439" s="1"/>
      <c r="G4439" s="1"/>
      <c r="H4439" s="1"/>
      <c r="I4439" s="1"/>
      <c r="J4439" s="1"/>
      <c r="K4439" s="89" t="s">
        <v>6968</v>
      </c>
      <c r="L4439" s="89" t="str">
        <f>H151</f>
        <v>C2a1a1a1</v>
      </c>
      <c r="M4439" s="89" t="s">
        <v>6969</v>
      </c>
      <c r="N4439" s="89" t="s">
        <v>6970</v>
      </c>
      <c r="O4439" s="92">
        <v>8560348.0</v>
      </c>
      <c r="P4439" s="92">
        <v>8692307.0</v>
      </c>
      <c r="Q4439" s="89" t="s">
        <v>810</v>
      </c>
      <c r="AF4439" s="1"/>
      <c r="AG4439" s="1"/>
    </row>
    <row r="4440" ht="15.75" customHeight="1">
      <c r="A4440" s="1"/>
      <c r="B4440" s="1"/>
      <c r="C4440" s="1"/>
      <c r="D4440" s="1"/>
      <c r="E4440" s="1"/>
      <c r="F4440" s="1"/>
      <c r="G4440" s="1"/>
      <c r="H4440" s="1"/>
      <c r="I4440" s="1"/>
      <c r="J4440" s="1"/>
      <c r="K4440" s="89" t="s">
        <v>6969</v>
      </c>
      <c r="L4440" s="89" t="str">
        <f>H151</f>
        <v>C2a1a1a1</v>
      </c>
      <c r="M4440" s="89" t="s">
        <v>6968</v>
      </c>
      <c r="N4440" s="89" t="s">
        <v>6970</v>
      </c>
      <c r="O4440" s="92">
        <v>8560348.0</v>
      </c>
      <c r="P4440" s="92">
        <v>8692307.0</v>
      </c>
      <c r="Q4440" s="89" t="s">
        <v>810</v>
      </c>
      <c r="AF4440" s="1"/>
      <c r="AG4440" s="1"/>
    </row>
    <row r="4441" ht="15.75" customHeight="1">
      <c r="A4441" s="1"/>
      <c r="B4441" s="1"/>
      <c r="C4441" s="1"/>
      <c r="D4441" s="1"/>
      <c r="E4441" s="1"/>
      <c r="F4441" s="1"/>
      <c r="G4441" s="1"/>
      <c r="H4441" s="1"/>
      <c r="I4441" s="1"/>
      <c r="J4441" s="1"/>
      <c r="K4441" s="89" t="s">
        <v>6971</v>
      </c>
      <c r="L4441" s="89" t="str">
        <f>H151</f>
        <v>C2a1a1a1</v>
      </c>
      <c r="M4441" s="89" t="s">
        <v>6972</v>
      </c>
      <c r="N4441" s="89"/>
      <c r="O4441" s="92">
        <v>8791203.0</v>
      </c>
      <c r="P4441" s="92">
        <v>8923162.0</v>
      </c>
      <c r="Q4441" s="89" t="s">
        <v>838</v>
      </c>
      <c r="AF4441" s="1"/>
      <c r="AG4441" s="1"/>
    </row>
    <row r="4442" ht="15.75" customHeight="1">
      <c r="A4442" s="1"/>
      <c r="B4442" s="1"/>
      <c r="C4442" s="1"/>
      <c r="D4442" s="1"/>
      <c r="E4442" s="1"/>
      <c r="F4442" s="1"/>
      <c r="G4442" s="1"/>
      <c r="H4442" s="1"/>
      <c r="I4442" s="1"/>
      <c r="J4442" s="1"/>
      <c r="K4442" s="89" t="s">
        <v>6972</v>
      </c>
      <c r="L4442" s="89" t="str">
        <f>H151</f>
        <v>C2a1a1a1</v>
      </c>
      <c r="M4442" s="89" t="s">
        <v>6971</v>
      </c>
      <c r="N4442" s="89"/>
      <c r="O4442" s="92">
        <v>8791203.0</v>
      </c>
      <c r="P4442" s="92">
        <v>8923162.0</v>
      </c>
      <c r="Q4442" s="89" t="s">
        <v>838</v>
      </c>
      <c r="AF4442" s="1"/>
      <c r="AG4442" s="1"/>
    </row>
    <row r="4443" ht="15.75" customHeight="1">
      <c r="A4443" s="1"/>
      <c r="B4443" s="1"/>
      <c r="C4443" s="1"/>
      <c r="D4443" s="1"/>
      <c r="E4443" s="1"/>
      <c r="F4443" s="1"/>
      <c r="G4443" s="1"/>
      <c r="H4443" s="1"/>
      <c r="I4443" s="1"/>
      <c r="J4443" s="1"/>
      <c r="K4443" s="89" t="s">
        <v>6973</v>
      </c>
      <c r="L4443" s="89" t="str">
        <f>H151</f>
        <v>C2a1a1a1</v>
      </c>
      <c r="M4443" s="89" t="s">
        <v>6974</v>
      </c>
      <c r="N4443" s="89"/>
      <c r="O4443" s="92">
        <v>8891583.0</v>
      </c>
      <c r="P4443" s="92">
        <v>9023542.0</v>
      </c>
      <c r="Q4443" s="89" t="s">
        <v>802</v>
      </c>
      <c r="AF4443" s="1"/>
      <c r="AG4443" s="1"/>
    </row>
    <row r="4444" ht="15.75" customHeight="1">
      <c r="A4444" s="1"/>
      <c r="B4444" s="1"/>
      <c r="C4444" s="1"/>
      <c r="D4444" s="1"/>
      <c r="E4444" s="1"/>
      <c r="F4444" s="1"/>
      <c r="G4444" s="1"/>
      <c r="H4444" s="1"/>
      <c r="I4444" s="1"/>
      <c r="J4444" s="1"/>
      <c r="K4444" s="89" t="s">
        <v>6974</v>
      </c>
      <c r="L4444" s="89" t="str">
        <f>H151</f>
        <v>C2a1a1a1</v>
      </c>
      <c r="M4444" s="89" t="s">
        <v>6973</v>
      </c>
      <c r="N4444" s="89"/>
      <c r="O4444" s="92">
        <v>8891583.0</v>
      </c>
      <c r="P4444" s="92">
        <v>9023542.0</v>
      </c>
      <c r="Q4444" s="89" t="s">
        <v>802</v>
      </c>
      <c r="AF4444" s="1"/>
      <c r="AG4444" s="1"/>
    </row>
    <row r="4445" ht="15.75" customHeight="1">
      <c r="A4445" s="1"/>
      <c r="B4445" s="1"/>
      <c r="C4445" s="1"/>
      <c r="D4445" s="1"/>
      <c r="E4445" s="1"/>
      <c r="F4445" s="1"/>
      <c r="G4445" s="1"/>
      <c r="H4445" s="1"/>
      <c r="I4445" s="1"/>
      <c r="J4445" s="1"/>
      <c r="K4445" s="89" t="s">
        <v>6975</v>
      </c>
      <c r="L4445" s="89" t="str">
        <f>H151</f>
        <v>C2a1a1a1</v>
      </c>
      <c r="M4445" s="89" t="s">
        <v>6976</v>
      </c>
      <c r="N4445" s="89" t="s">
        <v>6977</v>
      </c>
      <c r="O4445" s="92">
        <v>1.3648826E7</v>
      </c>
      <c r="P4445" s="92">
        <v>1.149315E7</v>
      </c>
      <c r="Q4445" s="89" t="s">
        <v>845</v>
      </c>
      <c r="AF4445" s="1"/>
      <c r="AG4445" s="1"/>
    </row>
    <row r="4446" ht="15.75" customHeight="1">
      <c r="A4446" s="1"/>
      <c r="B4446" s="1"/>
      <c r="C4446" s="1"/>
      <c r="D4446" s="1"/>
      <c r="E4446" s="1"/>
      <c r="F4446" s="1"/>
      <c r="G4446" s="1"/>
      <c r="H4446" s="1"/>
      <c r="I4446" s="1"/>
      <c r="J4446" s="1"/>
      <c r="K4446" s="89" t="s">
        <v>6976</v>
      </c>
      <c r="L4446" s="89" t="str">
        <f>H151</f>
        <v>C2a1a1a1</v>
      </c>
      <c r="M4446" s="89" t="s">
        <v>6975</v>
      </c>
      <c r="N4446" s="89" t="s">
        <v>6977</v>
      </c>
      <c r="O4446" s="92">
        <v>1.3648826E7</v>
      </c>
      <c r="P4446" s="92">
        <v>1.149315E7</v>
      </c>
      <c r="Q4446" s="89" t="s">
        <v>845</v>
      </c>
      <c r="AF4446" s="1"/>
      <c r="AG4446" s="1"/>
    </row>
    <row r="4447" ht="15.75" customHeight="1">
      <c r="A4447" s="1"/>
      <c r="B4447" s="1"/>
      <c r="C4447" s="1"/>
      <c r="D4447" s="1"/>
      <c r="E4447" s="1"/>
      <c r="F4447" s="1"/>
      <c r="G4447" s="1"/>
      <c r="H4447" s="1"/>
      <c r="I4447" s="1"/>
      <c r="J4447" s="1"/>
      <c r="K4447" s="89" t="s">
        <v>6978</v>
      </c>
      <c r="L4447" s="89" t="str">
        <f>H151</f>
        <v>C2a1a1a1</v>
      </c>
      <c r="M4447" s="89" t="s">
        <v>6979</v>
      </c>
      <c r="N4447" s="89"/>
      <c r="O4447" s="92">
        <v>1.4033624E7</v>
      </c>
      <c r="P4447" s="92">
        <v>1.1912918E7</v>
      </c>
      <c r="Q4447" s="89" t="s">
        <v>917</v>
      </c>
      <c r="AF4447" s="1"/>
      <c r="AG4447" s="1"/>
    </row>
    <row r="4448" ht="15.75" customHeight="1">
      <c r="A4448" s="1"/>
      <c r="B4448" s="1"/>
      <c r="C4448" s="1"/>
      <c r="D4448" s="1"/>
      <c r="E4448" s="1"/>
      <c r="F4448" s="1"/>
      <c r="G4448" s="1"/>
      <c r="H4448" s="1"/>
      <c r="I4448" s="1"/>
      <c r="J4448" s="1"/>
      <c r="K4448" s="89" t="s">
        <v>6979</v>
      </c>
      <c r="L4448" s="89" t="str">
        <f>H151</f>
        <v>C2a1a1a1</v>
      </c>
      <c r="M4448" s="89" t="s">
        <v>6978</v>
      </c>
      <c r="N4448" s="89"/>
      <c r="O4448" s="92">
        <v>1.4033624E7</v>
      </c>
      <c r="P4448" s="92">
        <v>1.1912918E7</v>
      </c>
      <c r="Q4448" s="89" t="s">
        <v>917</v>
      </c>
      <c r="AF4448" s="1"/>
      <c r="AG4448" s="1"/>
    </row>
    <row r="4449" ht="15.75" customHeight="1">
      <c r="A4449" s="1"/>
      <c r="B4449" s="1"/>
      <c r="C4449" s="1"/>
      <c r="D4449" s="1"/>
      <c r="E4449" s="1"/>
      <c r="F4449" s="1"/>
      <c r="G4449" s="1"/>
      <c r="H4449" s="1"/>
      <c r="I4449" s="1"/>
      <c r="J4449" s="1"/>
      <c r="K4449" s="89" t="s">
        <v>6980</v>
      </c>
      <c r="L4449" s="89" t="str">
        <f>H151</f>
        <v>C2a1a1a1</v>
      </c>
      <c r="M4449" s="89" t="s">
        <v>6981</v>
      </c>
      <c r="N4449" s="89" t="s">
        <v>6982</v>
      </c>
      <c r="O4449" s="92">
        <v>1.4755288E7</v>
      </c>
      <c r="P4449" s="92">
        <v>1.2643357E7</v>
      </c>
      <c r="Q4449" s="89" t="s">
        <v>822</v>
      </c>
      <c r="AF4449" s="1"/>
      <c r="AG4449" s="1"/>
    </row>
    <row r="4450" ht="15.75" customHeight="1">
      <c r="A4450" s="1"/>
      <c r="B4450" s="1"/>
      <c r="C4450" s="1"/>
      <c r="D4450" s="1"/>
      <c r="E4450" s="1"/>
      <c r="F4450" s="1"/>
      <c r="G4450" s="1"/>
      <c r="H4450" s="1"/>
      <c r="I4450" s="1"/>
      <c r="J4450" s="1"/>
      <c r="K4450" s="89" t="s">
        <v>6981</v>
      </c>
      <c r="L4450" s="89" t="str">
        <f>H151</f>
        <v>C2a1a1a1</v>
      </c>
      <c r="M4450" s="89" t="s">
        <v>6980</v>
      </c>
      <c r="N4450" s="89" t="s">
        <v>6982</v>
      </c>
      <c r="O4450" s="92">
        <v>1.4755288E7</v>
      </c>
      <c r="P4450" s="92">
        <v>1.2643357E7</v>
      </c>
      <c r="Q4450" s="89" t="s">
        <v>822</v>
      </c>
      <c r="AF4450" s="1"/>
      <c r="AG4450" s="1"/>
    </row>
    <row r="4451" ht="15.75" customHeight="1">
      <c r="A4451" s="1"/>
      <c r="B4451" s="1"/>
      <c r="C4451" s="1"/>
      <c r="D4451" s="1"/>
      <c r="E4451" s="1"/>
      <c r="F4451" s="1"/>
      <c r="G4451" s="1"/>
      <c r="H4451" s="1"/>
      <c r="I4451" s="1"/>
      <c r="J4451" s="1"/>
      <c r="K4451" s="89" t="s">
        <v>6983</v>
      </c>
      <c r="L4451" s="89" t="str">
        <f>H151</f>
        <v>C2a1a1a1</v>
      </c>
      <c r="M4451" s="89" t="s">
        <v>6984</v>
      </c>
      <c r="N4451" s="89" t="s">
        <v>6985</v>
      </c>
      <c r="O4451" s="92">
        <v>1.5112603E7</v>
      </c>
      <c r="P4451" s="92">
        <v>1.300069E7</v>
      </c>
      <c r="Q4451" s="89" t="s">
        <v>912</v>
      </c>
      <c r="AF4451" s="1"/>
      <c r="AG4451" s="1"/>
    </row>
    <row r="4452" ht="15.75" customHeight="1">
      <c r="A4452" s="1"/>
      <c r="B4452" s="1"/>
      <c r="C4452" s="1"/>
      <c r="D4452" s="1"/>
      <c r="E4452" s="1"/>
      <c r="F4452" s="1"/>
      <c r="G4452" s="1"/>
      <c r="H4452" s="1"/>
      <c r="I4452" s="1"/>
      <c r="J4452" s="1"/>
      <c r="K4452" s="89" t="s">
        <v>6984</v>
      </c>
      <c r="L4452" s="89" t="str">
        <f>H151</f>
        <v>C2a1a1a1</v>
      </c>
      <c r="M4452" s="89" t="s">
        <v>6983</v>
      </c>
      <c r="N4452" s="89" t="s">
        <v>6985</v>
      </c>
      <c r="O4452" s="92">
        <v>1.5112603E7</v>
      </c>
      <c r="P4452" s="92">
        <v>1.300069E7</v>
      </c>
      <c r="Q4452" s="89" t="s">
        <v>912</v>
      </c>
      <c r="AF4452" s="1"/>
      <c r="AG4452" s="1"/>
    </row>
    <row r="4453" ht="15.75" customHeight="1">
      <c r="A4453" s="1"/>
      <c r="B4453" s="1"/>
      <c r="C4453" s="1"/>
      <c r="D4453" s="1"/>
      <c r="E4453" s="1"/>
      <c r="F4453" s="1"/>
      <c r="G4453" s="1"/>
      <c r="H4453" s="1"/>
      <c r="I4453" s="1"/>
      <c r="J4453" s="1"/>
      <c r="K4453" s="89" t="s">
        <v>6986</v>
      </c>
      <c r="L4453" s="89" t="str">
        <f>H151</f>
        <v>C2a1a1a1</v>
      </c>
      <c r="M4453" s="89" t="s">
        <v>6987</v>
      </c>
      <c r="N4453" s="89" t="s">
        <v>6988</v>
      </c>
      <c r="O4453" s="92">
        <v>1.9520242E7</v>
      </c>
      <c r="P4453" s="92">
        <v>1.7408362E7</v>
      </c>
      <c r="Q4453" s="89" t="s">
        <v>912</v>
      </c>
      <c r="AF4453" s="1"/>
      <c r="AG4453" s="1"/>
    </row>
    <row r="4454" ht="15.75" customHeight="1">
      <c r="A4454" s="1"/>
      <c r="B4454" s="1"/>
      <c r="C4454" s="1"/>
      <c r="D4454" s="1"/>
      <c r="E4454" s="1"/>
      <c r="F4454" s="1"/>
      <c r="G4454" s="1"/>
      <c r="H4454" s="1"/>
      <c r="I4454" s="1"/>
      <c r="J4454" s="1"/>
      <c r="K4454" s="89" t="s">
        <v>6987</v>
      </c>
      <c r="L4454" s="89" t="str">
        <f>H151</f>
        <v>C2a1a1a1</v>
      </c>
      <c r="M4454" s="89" t="s">
        <v>6986</v>
      </c>
      <c r="N4454" s="89" t="s">
        <v>6988</v>
      </c>
      <c r="O4454" s="92">
        <v>1.9520242E7</v>
      </c>
      <c r="P4454" s="92">
        <v>1.7408362E7</v>
      </c>
      <c r="Q4454" s="89" t="s">
        <v>912</v>
      </c>
      <c r="AF4454" s="1"/>
      <c r="AG4454" s="1"/>
    </row>
    <row r="4455" ht="15.75" customHeight="1">
      <c r="A4455" s="1"/>
      <c r="B4455" s="1"/>
      <c r="C4455" s="1"/>
      <c r="D4455" s="1"/>
      <c r="E4455" s="1"/>
      <c r="F4455" s="1"/>
      <c r="G4455" s="1"/>
      <c r="H4455" s="1"/>
      <c r="I4455" s="1"/>
      <c r="J4455" s="1"/>
      <c r="K4455" s="89" t="s">
        <v>6989</v>
      </c>
      <c r="L4455" s="89" t="str">
        <f>H151</f>
        <v>C2a1a1a1</v>
      </c>
      <c r="M4455" s="89" t="s">
        <v>6990</v>
      </c>
      <c r="N4455" s="89" t="s">
        <v>6991</v>
      </c>
      <c r="O4455" s="92">
        <v>1.5590519E7</v>
      </c>
      <c r="P4455" s="92">
        <v>1.3478639E7</v>
      </c>
      <c r="Q4455" s="89" t="s">
        <v>864</v>
      </c>
      <c r="AF4455" s="1"/>
      <c r="AG4455" s="1"/>
    </row>
    <row r="4456" ht="15.75" customHeight="1">
      <c r="A4456" s="1"/>
      <c r="B4456" s="1"/>
      <c r="C4456" s="1"/>
      <c r="D4456" s="1"/>
      <c r="E4456" s="1"/>
      <c r="F4456" s="1"/>
      <c r="G4456" s="1"/>
      <c r="H4456" s="1"/>
      <c r="I4456" s="1"/>
      <c r="J4456" s="1"/>
      <c r="K4456" s="89" t="s">
        <v>6990</v>
      </c>
      <c r="L4456" s="89" t="str">
        <f>H151</f>
        <v>C2a1a1a1</v>
      </c>
      <c r="M4456" s="89" t="s">
        <v>6989</v>
      </c>
      <c r="N4456" s="89" t="s">
        <v>6991</v>
      </c>
      <c r="O4456" s="92">
        <v>1.5590519E7</v>
      </c>
      <c r="P4456" s="92">
        <v>1.3478639E7</v>
      </c>
      <c r="Q4456" s="89" t="s">
        <v>864</v>
      </c>
      <c r="AF4456" s="1"/>
      <c r="AG4456" s="1"/>
    </row>
    <row r="4457" ht="15.75" customHeight="1">
      <c r="A4457" s="1"/>
      <c r="B4457" s="1"/>
      <c r="C4457" s="1"/>
      <c r="D4457" s="1"/>
      <c r="E4457" s="1"/>
      <c r="F4457" s="1"/>
      <c r="G4457" s="1"/>
      <c r="H4457" s="1"/>
      <c r="I4457" s="1"/>
      <c r="J4457" s="1"/>
      <c r="K4457" s="89" t="s">
        <v>6992</v>
      </c>
      <c r="L4457" s="89" t="str">
        <f>H151</f>
        <v>C2a1a1a1</v>
      </c>
      <c r="M4457" s="89" t="s">
        <v>6993</v>
      </c>
      <c r="N4457" s="89" t="s">
        <v>6994</v>
      </c>
      <c r="O4457" s="92">
        <v>1.5594853E7</v>
      </c>
      <c r="P4457" s="92">
        <v>1.3482973E7</v>
      </c>
      <c r="Q4457" s="89" t="s">
        <v>802</v>
      </c>
      <c r="AF4457" s="1"/>
      <c r="AG4457" s="1"/>
    </row>
    <row r="4458" ht="15.75" customHeight="1">
      <c r="A4458" s="1"/>
      <c r="B4458" s="1"/>
      <c r="C4458" s="1"/>
      <c r="D4458" s="1"/>
      <c r="E4458" s="1"/>
      <c r="F4458" s="1"/>
      <c r="G4458" s="1"/>
      <c r="H4458" s="1"/>
      <c r="I4458" s="1"/>
      <c r="J4458" s="1"/>
      <c r="K4458" s="89" t="s">
        <v>6993</v>
      </c>
      <c r="L4458" s="89" t="str">
        <f>H151</f>
        <v>C2a1a1a1</v>
      </c>
      <c r="M4458" s="89" t="s">
        <v>6992</v>
      </c>
      <c r="N4458" s="89" t="s">
        <v>6994</v>
      </c>
      <c r="O4458" s="92">
        <v>1.5594853E7</v>
      </c>
      <c r="P4458" s="92">
        <v>1.3482973E7</v>
      </c>
      <c r="Q4458" s="89" t="s">
        <v>802</v>
      </c>
      <c r="AF4458" s="1"/>
      <c r="AG4458" s="1"/>
    </row>
    <row r="4459" ht="15.75" customHeight="1">
      <c r="A4459" s="1"/>
      <c r="B4459" s="1"/>
      <c r="C4459" s="1"/>
      <c r="D4459" s="1"/>
      <c r="E4459" s="1"/>
      <c r="F4459" s="1"/>
      <c r="G4459" s="1"/>
      <c r="H4459" s="1"/>
      <c r="I4459" s="1"/>
      <c r="J4459" s="1"/>
      <c r="K4459" s="89" t="s">
        <v>6995</v>
      </c>
      <c r="L4459" s="89" t="str">
        <f>H151</f>
        <v>C2a1a1a1</v>
      </c>
      <c r="M4459" s="89" t="s">
        <v>6996</v>
      </c>
      <c r="N4459" s="89" t="s">
        <v>6997</v>
      </c>
      <c r="O4459" s="92">
        <v>1.5781131E7</v>
      </c>
      <c r="P4459" s="92">
        <v>1.3669251E7</v>
      </c>
      <c r="Q4459" s="89" t="s">
        <v>886</v>
      </c>
      <c r="AF4459" s="1"/>
      <c r="AG4459" s="1"/>
    </row>
    <row r="4460" ht="15.75" customHeight="1">
      <c r="A4460" s="1"/>
      <c r="B4460" s="1"/>
      <c r="C4460" s="1"/>
      <c r="D4460" s="1"/>
      <c r="E4460" s="1"/>
      <c r="F4460" s="1"/>
      <c r="G4460" s="1"/>
      <c r="H4460" s="1"/>
      <c r="I4460" s="1"/>
      <c r="J4460" s="1"/>
      <c r="K4460" s="89" t="s">
        <v>6996</v>
      </c>
      <c r="L4460" s="89" t="str">
        <f>H151</f>
        <v>C2a1a1a1</v>
      </c>
      <c r="M4460" s="89" t="s">
        <v>6995</v>
      </c>
      <c r="N4460" s="89" t="s">
        <v>6997</v>
      </c>
      <c r="O4460" s="92">
        <v>1.5781131E7</v>
      </c>
      <c r="P4460" s="92">
        <v>1.3669251E7</v>
      </c>
      <c r="Q4460" s="89" t="s">
        <v>886</v>
      </c>
      <c r="AF4460" s="1"/>
      <c r="AG4460" s="1"/>
    </row>
    <row r="4461" ht="15.75" customHeight="1">
      <c r="A4461" s="1"/>
      <c r="B4461" s="1"/>
      <c r="C4461" s="1"/>
      <c r="D4461" s="1"/>
      <c r="E4461" s="1"/>
      <c r="F4461" s="1"/>
      <c r="G4461" s="1"/>
      <c r="H4461" s="1"/>
      <c r="I4461" s="1"/>
      <c r="J4461" s="1"/>
      <c r="K4461" s="89" t="s">
        <v>6998</v>
      </c>
      <c r="L4461" s="89" t="str">
        <f>H151</f>
        <v>C2a1a1a1</v>
      </c>
      <c r="M4461" s="89" t="s">
        <v>6999</v>
      </c>
      <c r="N4461" s="89" t="s">
        <v>7000</v>
      </c>
      <c r="O4461" s="92">
        <v>1.6558921E7</v>
      </c>
      <c r="P4461" s="92">
        <v>1.4447041E7</v>
      </c>
      <c r="Q4461" s="89" t="s">
        <v>845</v>
      </c>
      <c r="AF4461" s="1"/>
      <c r="AG4461" s="1"/>
    </row>
    <row r="4462" ht="15.75" customHeight="1">
      <c r="A4462" s="1"/>
      <c r="B4462" s="1"/>
      <c r="C4462" s="1"/>
      <c r="D4462" s="1"/>
      <c r="E4462" s="1"/>
      <c r="F4462" s="1"/>
      <c r="G4462" s="1"/>
      <c r="H4462" s="1"/>
      <c r="I4462" s="1"/>
      <c r="J4462" s="1"/>
      <c r="K4462" s="89" t="s">
        <v>6999</v>
      </c>
      <c r="L4462" s="89" t="str">
        <f>H151</f>
        <v>C2a1a1a1</v>
      </c>
      <c r="M4462" s="89" t="s">
        <v>6998</v>
      </c>
      <c r="N4462" s="89" t="s">
        <v>7000</v>
      </c>
      <c r="O4462" s="92">
        <v>1.6558921E7</v>
      </c>
      <c r="P4462" s="92">
        <v>1.4447041E7</v>
      </c>
      <c r="Q4462" s="89" t="s">
        <v>845</v>
      </c>
      <c r="AF4462" s="1"/>
      <c r="AG4462" s="1"/>
    </row>
    <row r="4463" ht="15.75" customHeight="1">
      <c r="A4463" s="1"/>
      <c r="B4463" s="1"/>
      <c r="C4463" s="1"/>
      <c r="D4463" s="1"/>
      <c r="E4463" s="1"/>
      <c r="F4463" s="1"/>
      <c r="G4463" s="1"/>
      <c r="H4463" s="1"/>
      <c r="I4463" s="1"/>
      <c r="J4463" s="1"/>
      <c r="K4463" s="89" t="s">
        <v>7001</v>
      </c>
      <c r="L4463" s="89" t="str">
        <f>H151</f>
        <v>C2a1a1a1</v>
      </c>
      <c r="M4463" s="89" t="s">
        <v>7002</v>
      </c>
      <c r="N4463" s="89" t="s">
        <v>7003</v>
      </c>
      <c r="O4463" s="92">
        <v>1.752841E7</v>
      </c>
      <c r="P4463" s="92">
        <v>1.541653E7</v>
      </c>
      <c r="Q4463" s="89" t="s">
        <v>917</v>
      </c>
      <c r="AF4463" s="1"/>
      <c r="AG4463" s="1"/>
    </row>
    <row r="4464" ht="15.75" customHeight="1">
      <c r="A4464" s="1"/>
      <c r="B4464" s="1"/>
      <c r="C4464" s="1"/>
      <c r="D4464" s="1"/>
      <c r="E4464" s="1"/>
      <c r="F4464" s="1"/>
      <c r="G4464" s="1"/>
      <c r="H4464" s="1"/>
      <c r="I4464" s="1"/>
      <c r="J4464" s="1"/>
      <c r="K4464" s="89" t="s">
        <v>7002</v>
      </c>
      <c r="L4464" s="89" t="str">
        <f>H151</f>
        <v>C2a1a1a1</v>
      </c>
      <c r="M4464" s="89" t="s">
        <v>7001</v>
      </c>
      <c r="N4464" s="89" t="s">
        <v>7003</v>
      </c>
      <c r="O4464" s="92">
        <v>1.752841E7</v>
      </c>
      <c r="P4464" s="92">
        <v>1.541653E7</v>
      </c>
      <c r="Q4464" s="89" t="s">
        <v>917</v>
      </c>
      <c r="AF4464" s="1"/>
      <c r="AG4464" s="1"/>
    </row>
    <row r="4465" ht="15.75" customHeight="1">
      <c r="A4465" s="1"/>
      <c r="B4465" s="1"/>
      <c r="C4465" s="1"/>
      <c r="D4465" s="1"/>
      <c r="E4465" s="1"/>
      <c r="F4465" s="1"/>
      <c r="G4465" s="1"/>
      <c r="H4465" s="1"/>
      <c r="I4465" s="1"/>
      <c r="J4465" s="1"/>
      <c r="K4465" s="89" t="s">
        <v>7004</v>
      </c>
      <c r="L4465" s="89" t="str">
        <f>H151</f>
        <v>C2a1a1a1</v>
      </c>
      <c r="M4465" s="89" t="s">
        <v>7005</v>
      </c>
      <c r="N4465" s="89" t="s">
        <v>7006</v>
      </c>
      <c r="O4465" s="92">
        <v>1.7622856E7</v>
      </c>
      <c r="P4465" s="92">
        <v>1.5510976E7</v>
      </c>
      <c r="Q4465" s="89" t="s">
        <v>810</v>
      </c>
      <c r="AF4465" s="1"/>
      <c r="AG4465" s="1"/>
    </row>
    <row r="4466" ht="15.75" customHeight="1">
      <c r="A4466" s="1"/>
      <c r="B4466" s="1"/>
      <c r="C4466" s="1"/>
      <c r="D4466" s="1"/>
      <c r="E4466" s="1"/>
      <c r="F4466" s="1"/>
      <c r="G4466" s="1"/>
      <c r="H4466" s="1"/>
      <c r="I4466" s="1"/>
      <c r="J4466" s="1"/>
      <c r="K4466" s="89" t="s">
        <v>7005</v>
      </c>
      <c r="L4466" s="89" t="str">
        <f>H151</f>
        <v>C2a1a1a1</v>
      </c>
      <c r="M4466" s="89" t="s">
        <v>7004</v>
      </c>
      <c r="N4466" s="89" t="s">
        <v>7006</v>
      </c>
      <c r="O4466" s="92">
        <v>1.7622856E7</v>
      </c>
      <c r="P4466" s="92">
        <v>1.5510976E7</v>
      </c>
      <c r="Q4466" s="89" t="s">
        <v>810</v>
      </c>
      <c r="AF4466" s="1"/>
      <c r="AG4466" s="1"/>
    </row>
    <row r="4467" ht="15.75" customHeight="1">
      <c r="A4467" s="1"/>
      <c r="B4467" s="1"/>
      <c r="C4467" s="1"/>
      <c r="D4467" s="1"/>
      <c r="E4467" s="1"/>
      <c r="F4467" s="1"/>
      <c r="G4467" s="1"/>
      <c r="H4467" s="1"/>
      <c r="I4467" s="1"/>
      <c r="J4467" s="1"/>
      <c r="K4467" s="89" t="s">
        <v>7007</v>
      </c>
      <c r="L4467" s="89" t="str">
        <f>H151</f>
        <v>C2a1a1a1</v>
      </c>
      <c r="M4467" s="89" t="s">
        <v>7008</v>
      </c>
      <c r="N4467" s="89" t="s">
        <v>7009</v>
      </c>
      <c r="O4467" s="92">
        <v>1.7751116E7</v>
      </c>
      <c r="P4467" s="92">
        <v>1.5639236E7</v>
      </c>
      <c r="Q4467" s="89" t="s">
        <v>917</v>
      </c>
      <c r="AF4467" s="1"/>
      <c r="AG4467" s="1"/>
    </row>
    <row r="4468" ht="15.75" customHeight="1">
      <c r="A4468" s="1"/>
      <c r="B4468" s="1"/>
      <c r="C4468" s="1"/>
      <c r="D4468" s="1"/>
      <c r="E4468" s="1"/>
      <c r="F4468" s="1"/>
      <c r="G4468" s="1"/>
      <c r="H4468" s="1"/>
      <c r="I4468" s="1"/>
      <c r="J4468" s="1"/>
      <c r="K4468" s="89" t="s">
        <v>7008</v>
      </c>
      <c r="L4468" s="89" t="str">
        <f>H151</f>
        <v>C2a1a1a1</v>
      </c>
      <c r="M4468" s="89" t="s">
        <v>7007</v>
      </c>
      <c r="N4468" s="89" t="s">
        <v>7009</v>
      </c>
      <c r="O4468" s="92">
        <v>1.7751116E7</v>
      </c>
      <c r="P4468" s="92">
        <v>1.5639236E7</v>
      </c>
      <c r="Q4468" s="89" t="s">
        <v>917</v>
      </c>
      <c r="AF4468" s="1"/>
      <c r="AG4468" s="1"/>
    </row>
    <row r="4469" ht="15.75" customHeight="1">
      <c r="A4469" s="1"/>
      <c r="B4469" s="1"/>
      <c r="C4469" s="1"/>
      <c r="D4469" s="1"/>
      <c r="E4469" s="1"/>
      <c r="F4469" s="1"/>
      <c r="G4469" s="1"/>
      <c r="H4469" s="1"/>
      <c r="I4469" s="1"/>
      <c r="J4469" s="1"/>
      <c r="K4469" s="89" t="s">
        <v>7010</v>
      </c>
      <c r="L4469" s="89" t="str">
        <f>H151</f>
        <v>C2a1a1a1</v>
      </c>
      <c r="M4469" s="89" t="s">
        <v>7011</v>
      </c>
      <c r="N4469" s="89" t="s">
        <v>7012</v>
      </c>
      <c r="O4469" s="92">
        <v>1.7758779E7</v>
      </c>
      <c r="P4469" s="92">
        <v>1.5646899E7</v>
      </c>
      <c r="Q4469" s="89" t="s">
        <v>917</v>
      </c>
      <c r="AF4469" s="1"/>
      <c r="AG4469" s="1"/>
    </row>
    <row r="4470" ht="15.75" customHeight="1">
      <c r="A4470" s="1"/>
      <c r="B4470" s="1"/>
      <c r="C4470" s="1"/>
      <c r="D4470" s="1"/>
      <c r="E4470" s="1"/>
      <c r="F4470" s="1"/>
      <c r="G4470" s="1"/>
      <c r="H4470" s="1"/>
      <c r="I4470" s="1"/>
      <c r="J4470" s="1"/>
      <c r="K4470" s="89" t="s">
        <v>7011</v>
      </c>
      <c r="L4470" s="89" t="str">
        <f>H151</f>
        <v>C2a1a1a1</v>
      </c>
      <c r="M4470" s="89" t="s">
        <v>7010</v>
      </c>
      <c r="N4470" s="89" t="s">
        <v>7012</v>
      </c>
      <c r="O4470" s="92">
        <v>1.7758779E7</v>
      </c>
      <c r="P4470" s="92">
        <v>1.5646899E7</v>
      </c>
      <c r="Q4470" s="89" t="s">
        <v>917</v>
      </c>
      <c r="AF4470" s="1"/>
      <c r="AG4470" s="1"/>
    </row>
    <row r="4471" ht="15.75" customHeight="1">
      <c r="A4471" s="1"/>
      <c r="B4471" s="1"/>
      <c r="C4471" s="1"/>
      <c r="D4471" s="1"/>
      <c r="E4471" s="1"/>
      <c r="F4471" s="1"/>
      <c r="G4471" s="1"/>
      <c r="H4471" s="1"/>
      <c r="I4471" s="1"/>
      <c r="J4471" s="1"/>
      <c r="K4471" s="89" t="s">
        <v>7013</v>
      </c>
      <c r="L4471" s="89" t="str">
        <f>H151</f>
        <v>C2a1a1a1</v>
      </c>
      <c r="M4471" s="89" t="s">
        <v>7014</v>
      </c>
      <c r="N4471" s="89" t="s">
        <v>7015</v>
      </c>
      <c r="O4471" s="92">
        <v>1.7861444E7</v>
      </c>
      <c r="P4471" s="92">
        <v>1.5749564E7</v>
      </c>
      <c r="Q4471" s="89" t="s">
        <v>802</v>
      </c>
      <c r="AF4471" s="1"/>
      <c r="AG4471" s="1"/>
    </row>
    <row r="4472" ht="15.75" customHeight="1">
      <c r="A4472" s="1"/>
      <c r="B4472" s="1"/>
      <c r="C4472" s="1"/>
      <c r="D4472" s="1"/>
      <c r="E4472" s="1"/>
      <c r="F4472" s="1"/>
      <c r="G4472" s="1"/>
      <c r="H4472" s="1"/>
      <c r="I4472" s="1"/>
      <c r="J4472" s="1"/>
      <c r="K4472" s="89" t="s">
        <v>7014</v>
      </c>
      <c r="L4472" s="89" t="str">
        <f>H151</f>
        <v>C2a1a1a1</v>
      </c>
      <c r="M4472" s="89" t="s">
        <v>7013</v>
      </c>
      <c r="N4472" s="89" t="s">
        <v>7015</v>
      </c>
      <c r="O4472" s="92">
        <v>1.7861444E7</v>
      </c>
      <c r="P4472" s="92">
        <v>1.5749564E7</v>
      </c>
      <c r="Q4472" s="89" t="s">
        <v>802</v>
      </c>
      <c r="AF4472" s="1"/>
      <c r="AG4472" s="1"/>
    </row>
    <row r="4473" ht="15.75" customHeight="1">
      <c r="A4473" s="1"/>
      <c r="B4473" s="1"/>
      <c r="C4473" s="1"/>
      <c r="D4473" s="1"/>
      <c r="E4473" s="1"/>
      <c r="F4473" s="1"/>
      <c r="G4473" s="1"/>
      <c r="H4473" s="1"/>
      <c r="I4473" s="1"/>
      <c r="J4473" s="1"/>
      <c r="K4473" s="89" t="s">
        <v>7016</v>
      </c>
      <c r="L4473" s="89" t="str">
        <f>H151</f>
        <v>C2a1a1a1</v>
      </c>
      <c r="M4473" s="89" t="s">
        <v>7017</v>
      </c>
      <c r="N4473" s="89" t="s">
        <v>7018</v>
      </c>
      <c r="O4473" s="92">
        <v>1.8096022E7</v>
      </c>
      <c r="P4473" s="92">
        <v>1.5984142E7</v>
      </c>
      <c r="Q4473" s="89" t="s">
        <v>802</v>
      </c>
      <c r="AF4473" s="1"/>
      <c r="AG4473" s="1"/>
    </row>
    <row r="4474" ht="15.75" customHeight="1">
      <c r="A4474" s="1"/>
      <c r="B4474" s="1"/>
      <c r="C4474" s="1"/>
      <c r="D4474" s="1"/>
      <c r="E4474" s="1"/>
      <c r="F4474" s="1"/>
      <c r="G4474" s="1"/>
      <c r="H4474" s="1"/>
      <c r="I4474" s="1"/>
      <c r="J4474" s="1"/>
      <c r="K4474" s="89" t="s">
        <v>7017</v>
      </c>
      <c r="L4474" s="89" t="str">
        <f>H151</f>
        <v>C2a1a1a1</v>
      </c>
      <c r="M4474" s="89" t="s">
        <v>7016</v>
      </c>
      <c r="N4474" s="89" t="s">
        <v>7018</v>
      </c>
      <c r="O4474" s="92">
        <v>1.8096022E7</v>
      </c>
      <c r="P4474" s="92">
        <v>1.5984142E7</v>
      </c>
      <c r="Q4474" s="89" t="s">
        <v>802</v>
      </c>
      <c r="AF4474" s="1"/>
      <c r="AG4474" s="1"/>
    </row>
    <row r="4475" ht="15.75" customHeight="1">
      <c r="A4475" s="1"/>
      <c r="B4475" s="1"/>
      <c r="C4475" s="1"/>
      <c r="D4475" s="1"/>
      <c r="E4475" s="1"/>
      <c r="F4475" s="1"/>
      <c r="G4475" s="1"/>
      <c r="H4475" s="1"/>
      <c r="I4475" s="1"/>
      <c r="J4475" s="1"/>
      <c r="K4475" s="89" t="s">
        <v>7019</v>
      </c>
      <c r="L4475" s="89" t="str">
        <f>H151</f>
        <v>C2a1a1a1</v>
      </c>
      <c r="M4475" s="89" t="s">
        <v>7020</v>
      </c>
      <c r="N4475" s="89" t="s">
        <v>7021</v>
      </c>
      <c r="O4475" s="92">
        <v>1.8161373E7</v>
      </c>
      <c r="P4475" s="92">
        <v>1.6049493E7</v>
      </c>
      <c r="Q4475" s="89" t="s">
        <v>802</v>
      </c>
      <c r="AF4475" s="1"/>
      <c r="AG4475" s="1"/>
    </row>
    <row r="4476" ht="15.75" customHeight="1">
      <c r="A4476" s="1"/>
      <c r="B4476" s="1"/>
      <c r="C4476" s="1"/>
      <c r="D4476" s="1"/>
      <c r="E4476" s="1"/>
      <c r="F4476" s="1"/>
      <c r="G4476" s="1"/>
      <c r="H4476" s="1"/>
      <c r="I4476" s="1"/>
      <c r="J4476" s="1"/>
      <c r="K4476" s="89" t="s">
        <v>7020</v>
      </c>
      <c r="L4476" s="89" t="str">
        <f>H151</f>
        <v>C2a1a1a1</v>
      </c>
      <c r="M4476" s="89" t="s">
        <v>7019</v>
      </c>
      <c r="N4476" s="89" t="s">
        <v>7021</v>
      </c>
      <c r="O4476" s="92">
        <v>1.8161373E7</v>
      </c>
      <c r="P4476" s="92">
        <v>1.6049493E7</v>
      </c>
      <c r="Q4476" s="89" t="s">
        <v>802</v>
      </c>
      <c r="AF4476" s="1"/>
      <c r="AG4476" s="1"/>
    </row>
    <row r="4477" ht="15.75" customHeight="1">
      <c r="A4477" s="1"/>
      <c r="B4477" s="1"/>
      <c r="C4477" s="1"/>
      <c r="D4477" s="1"/>
      <c r="E4477" s="1"/>
      <c r="F4477" s="1"/>
      <c r="G4477" s="1"/>
      <c r="H4477" s="1"/>
      <c r="I4477" s="1"/>
      <c r="J4477" s="1"/>
      <c r="K4477" s="89" t="s">
        <v>7022</v>
      </c>
      <c r="L4477" s="89" t="str">
        <f>H151</f>
        <v>C2a1a1a1</v>
      </c>
      <c r="M4477" s="89" t="s">
        <v>7023</v>
      </c>
      <c r="N4477" s="89" t="s">
        <v>7024</v>
      </c>
      <c r="O4477" s="92">
        <v>1.8239665E7</v>
      </c>
      <c r="P4477" s="92">
        <v>1.6127785E7</v>
      </c>
      <c r="Q4477" s="89" t="s">
        <v>831</v>
      </c>
      <c r="AF4477" s="1"/>
      <c r="AG4477" s="1"/>
    </row>
    <row r="4478" ht="15.75" customHeight="1">
      <c r="A4478" s="1"/>
      <c r="B4478" s="1"/>
      <c r="C4478" s="1"/>
      <c r="D4478" s="1"/>
      <c r="E4478" s="1"/>
      <c r="F4478" s="1"/>
      <c r="G4478" s="1"/>
      <c r="H4478" s="1"/>
      <c r="I4478" s="1"/>
      <c r="J4478" s="1"/>
      <c r="K4478" s="89" t="s">
        <v>7023</v>
      </c>
      <c r="L4478" s="89" t="str">
        <f>H151</f>
        <v>C2a1a1a1</v>
      </c>
      <c r="M4478" s="89" t="s">
        <v>7022</v>
      </c>
      <c r="N4478" s="89" t="s">
        <v>7024</v>
      </c>
      <c r="O4478" s="92">
        <v>1.8239665E7</v>
      </c>
      <c r="P4478" s="92">
        <v>1.6127785E7</v>
      </c>
      <c r="Q4478" s="89" t="s">
        <v>831</v>
      </c>
      <c r="AF4478" s="1"/>
      <c r="AG4478" s="1"/>
    </row>
    <row r="4479" ht="15.75" customHeight="1">
      <c r="A4479" s="1"/>
      <c r="B4479" s="1"/>
      <c r="C4479" s="1"/>
      <c r="D4479" s="1"/>
      <c r="E4479" s="1"/>
      <c r="F4479" s="1"/>
      <c r="G4479" s="1"/>
      <c r="H4479" s="1"/>
      <c r="I4479" s="1"/>
      <c r="J4479" s="1"/>
      <c r="K4479" s="89" t="s">
        <v>7025</v>
      </c>
      <c r="L4479" s="89" t="str">
        <f>H151</f>
        <v>C2a1a1a1</v>
      </c>
      <c r="M4479" s="89" t="s">
        <v>7026</v>
      </c>
      <c r="N4479" s="89" t="s">
        <v>7027</v>
      </c>
      <c r="O4479" s="92">
        <v>1.868797E7</v>
      </c>
      <c r="P4479" s="92">
        <v>1.657609E7</v>
      </c>
      <c r="Q4479" s="89" t="s">
        <v>912</v>
      </c>
      <c r="AF4479" s="1"/>
      <c r="AG4479" s="1"/>
    </row>
    <row r="4480" ht="15.75" customHeight="1">
      <c r="A4480" s="1"/>
      <c r="B4480" s="1"/>
      <c r="C4480" s="1"/>
      <c r="D4480" s="1"/>
      <c r="E4480" s="1"/>
      <c r="F4480" s="1"/>
      <c r="G4480" s="1"/>
      <c r="H4480" s="1"/>
      <c r="I4480" s="1"/>
      <c r="J4480" s="1"/>
      <c r="K4480" s="89" t="s">
        <v>7026</v>
      </c>
      <c r="L4480" s="89" t="str">
        <f>H151</f>
        <v>C2a1a1a1</v>
      </c>
      <c r="M4480" s="89" t="s">
        <v>7025</v>
      </c>
      <c r="N4480" s="89" t="s">
        <v>7027</v>
      </c>
      <c r="O4480" s="92">
        <v>1.868797E7</v>
      </c>
      <c r="P4480" s="92">
        <v>1.657609E7</v>
      </c>
      <c r="Q4480" s="89" t="s">
        <v>912</v>
      </c>
      <c r="AF4480" s="1"/>
      <c r="AG4480" s="1"/>
    </row>
    <row r="4481" ht="15.75" customHeight="1">
      <c r="A4481" s="1"/>
      <c r="B4481" s="1"/>
      <c r="C4481" s="1"/>
      <c r="D4481" s="1"/>
      <c r="E4481" s="1"/>
      <c r="F4481" s="1"/>
      <c r="G4481" s="1"/>
      <c r="H4481" s="1"/>
      <c r="I4481" s="1"/>
      <c r="J4481" s="1"/>
      <c r="K4481" s="89" t="s">
        <v>7028</v>
      </c>
      <c r="L4481" s="89" t="str">
        <f>H151</f>
        <v>C2a1a1a1</v>
      </c>
      <c r="M4481" s="89" t="s">
        <v>7029</v>
      </c>
      <c r="N4481" s="89" t="s">
        <v>7030</v>
      </c>
      <c r="O4481" s="92">
        <v>1.8803864E7</v>
      </c>
      <c r="P4481" s="92">
        <v>1.6691984E7</v>
      </c>
      <c r="Q4481" s="89" t="s">
        <v>802</v>
      </c>
      <c r="AF4481" s="1"/>
      <c r="AG4481" s="1"/>
    </row>
    <row r="4482" ht="15.75" customHeight="1">
      <c r="A4482" s="1"/>
      <c r="B4482" s="1"/>
      <c r="C4482" s="1"/>
      <c r="D4482" s="1"/>
      <c r="E4482" s="1"/>
      <c r="F4482" s="1"/>
      <c r="G4482" s="1"/>
      <c r="H4482" s="1"/>
      <c r="I4482" s="1"/>
      <c r="J4482" s="1"/>
      <c r="K4482" s="89" t="s">
        <v>7029</v>
      </c>
      <c r="L4482" s="89" t="str">
        <f>H151</f>
        <v>C2a1a1a1</v>
      </c>
      <c r="M4482" s="89" t="s">
        <v>7028</v>
      </c>
      <c r="N4482" s="89" t="s">
        <v>7030</v>
      </c>
      <c r="O4482" s="92">
        <v>1.8803864E7</v>
      </c>
      <c r="P4482" s="92">
        <v>1.6691984E7</v>
      </c>
      <c r="Q4482" s="89" t="s">
        <v>802</v>
      </c>
      <c r="AF4482" s="1"/>
      <c r="AG4482" s="1"/>
    </row>
    <row r="4483" ht="15.75" customHeight="1">
      <c r="A4483" s="1"/>
      <c r="B4483" s="1"/>
      <c r="C4483" s="1"/>
      <c r="D4483" s="1"/>
      <c r="E4483" s="1"/>
      <c r="F4483" s="1"/>
      <c r="G4483" s="1"/>
      <c r="H4483" s="1"/>
      <c r="I4483" s="1"/>
      <c r="J4483" s="1"/>
      <c r="K4483" s="89" t="s">
        <v>7031</v>
      </c>
      <c r="L4483" s="89" t="str">
        <f>H151</f>
        <v>C2a1a1a1</v>
      </c>
      <c r="M4483" s="89" t="s">
        <v>7032</v>
      </c>
      <c r="N4483" s="89" t="s">
        <v>7033</v>
      </c>
      <c r="O4483" s="92">
        <v>1.8824847E7</v>
      </c>
      <c r="P4483" s="92">
        <v>1.6712967E7</v>
      </c>
      <c r="Q4483" s="89" t="s">
        <v>879</v>
      </c>
      <c r="AF4483" s="1"/>
      <c r="AG4483" s="1"/>
    </row>
    <row r="4484" ht="15.75" customHeight="1">
      <c r="A4484" s="1"/>
      <c r="B4484" s="1"/>
      <c r="C4484" s="1"/>
      <c r="D4484" s="1"/>
      <c r="E4484" s="1"/>
      <c r="F4484" s="1"/>
      <c r="G4484" s="1"/>
      <c r="H4484" s="1"/>
      <c r="I4484" s="1"/>
      <c r="J4484" s="1"/>
      <c r="K4484" s="89" t="s">
        <v>7032</v>
      </c>
      <c r="L4484" s="89" t="str">
        <f>H151</f>
        <v>C2a1a1a1</v>
      </c>
      <c r="M4484" s="89" t="s">
        <v>7031</v>
      </c>
      <c r="N4484" s="89" t="s">
        <v>7033</v>
      </c>
      <c r="O4484" s="92">
        <v>1.8824847E7</v>
      </c>
      <c r="P4484" s="92">
        <v>1.6712967E7</v>
      </c>
      <c r="Q4484" s="89" t="s">
        <v>879</v>
      </c>
      <c r="AF4484" s="1"/>
      <c r="AG4484" s="1"/>
    </row>
    <row r="4485" ht="15.75" customHeight="1">
      <c r="A4485" s="1"/>
      <c r="B4485" s="1"/>
      <c r="C4485" s="1"/>
      <c r="D4485" s="1"/>
      <c r="E4485" s="1"/>
      <c r="F4485" s="1"/>
      <c r="G4485" s="1"/>
      <c r="H4485" s="1"/>
      <c r="I4485" s="1"/>
      <c r="J4485" s="1"/>
      <c r="K4485" s="89" t="s">
        <v>7034</v>
      </c>
      <c r="L4485" s="89" t="str">
        <f>H151</f>
        <v>C2a1a1a1</v>
      </c>
      <c r="M4485" s="89" t="s">
        <v>7035</v>
      </c>
      <c r="N4485" s="89" t="s">
        <v>7036</v>
      </c>
      <c r="O4485" s="92">
        <v>1.9107123E7</v>
      </c>
      <c r="P4485" s="92">
        <v>1.6995243E7</v>
      </c>
      <c r="Q4485" s="89" t="s">
        <v>838</v>
      </c>
      <c r="AF4485" s="1"/>
      <c r="AG4485" s="1"/>
    </row>
    <row r="4486" ht="15.75" customHeight="1">
      <c r="A4486" s="1"/>
      <c r="B4486" s="1"/>
      <c r="C4486" s="1"/>
      <c r="D4486" s="1"/>
      <c r="E4486" s="1"/>
      <c r="F4486" s="1"/>
      <c r="G4486" s="1"/>
      <c r="H4486" s="1"/>
      <c r="I4486" s="1"/>
      <c r="J4486" s="1"/>
      <c r="K4486" s="89" t="s">
        <v>7035</v>
      </c>
      <c r="L4486" s="89" t="str">
        <f>H151</f>
        <v>C2a1a1a1</v>
      </c>
      <c r="M4486" s="89" t="s">
        <v>7034</v>
      </c>
      <c r="N4486" s="89" t="s">
        <v>7036</v>
      </c>
      <c r="O4486" s="92">
        <v>1.9107123E7</v>
      </c>
      <c r="P4486" s="92">
        <v>1.6995243E7</v>
      </c>
      <c r="Q4486" s="89" t="s">
        <v>838</v>
      </c>
      <c r="AF4486" s="1"/>
      <c r="AG4486" s="1"/>
    </row>
    <row r="4487" ht="15.75" customHeight="1">
      <c r="A4487" s="1"/>
      <c r="B4487" s="1"/>
      <c r="C4487" s="1"/>
      <c r="D4487" s="1"/>
      <c r="E4487" s="1"/>
      <c r="F4487" s="1"/>
      <c r="G4487" s="1"/>
      <c r="H4487" s="1"/>
      <c r="I4487" s="1"/>
      <c r="J4487" s="1"/>
      <c r="K4487" s="89" t="s">
        <v>7037</v>
      </c>
      <c r="L4487" s="89" t="str">
        <f>H151</f>
        <v>C2a1a1a1</v>
      </c>
      <c r="M4487" s="89" t="s">
        <v>7038</v>
      </c>
      <c r="N4487" s="89" t="s">
        <v>7039</v>
      </c>
      <c r="O4487" s="92">
        <v>2.1076691E7</v>
      </c>
      <c r="P4487" s="92">
        <v>1.8914805E7</v>
      </c>
      <c r="Q4487" s="89" t="s">
        <v>810</v>
      </c>
      <c r="AF4487" s="1"/>
      <c r="AG4487" s="1"/>
    </row>
    <row r="4488" ht="15.75" customHeight="1">
      <c r="A4488" s="1"/>
      <c r="B4488" s="1"/>
      <c r="C4488" s="1"/>
      <c r="D4488" s="1"/>
      <c r="E4488" s="1"/>
      <c r="F4488" s="1"/>
      <c r="G4488" s="1"/>
      <c r="H4488" s="1"/>
      <c r="I4488" s="1"/>
      <c r="J4488" s="1"/>
      <c r="K4488" s="89" t="s">
        <v>7038</v>
      </c>
      <c r="L4488" s="89" t="str">
        <f>H151</f>
        <v>C2a1a1a1</v>
      </c>
      <c r="M4488" s="89" t="s">
        <v>7037</v>
      </c>
      <c r="N4488" s="89" t="s">
        <v>7039</v>
      </c>
      <c r="O4488" s="92">
        <v>2.1076691E7</v>
      </c>
      <c r="P4488" s="92">
        <v>1.8914805E7</v>
      </c>
      <c r="Q4488" s="89" t="s">
        <v>810</v>
      </c>
      <c r="AF4488" s="1"/>
      <c r="AG4488" s="1"/>
    </row>
    <row r="4489" ht="15.75" customHeight="1">
      <c r="A4489" s="1"/>
      <c r="B4489" s="1"/>
      <c r="C4489" s="1"/>
      <c r="D4489" s="1"/>
      <c r="E4489" s="1"/>
      <c r="F4489" s="1"/>
      <c r="G4489" s="1"/>
      <c r="H4489" s="1"/>
      <c r="I4489" s="1"/>
      <c r="J4489" s="1"/>
      <c r="K4489" s="89" t="s">
        <v>7040</v>
      </c>
      <c r="L4489" s="89" t="str">
        <f>H151</f>
        <v>C2a1a1a1</v>
      </c>
      <c r="M4489" s="89" t="s">
        <v>7041</v>
      </c>
      <c r="N4489" s="89" t="s">
        <v>7042</v>
      </c>
      <c r="O4489" s="92">
        <v>2.1168082E7</v>
      </c>
      <c r="P4489" s="92">
        <v>1.9006196E7</v>
      </c>
      <c r="Q4489" s="89" t="s">
        <v>838</v>
      </c>
      <c r="AF4489" s="1"/>
      <c r="AG4489" s="1"/>
    </row>
    <row r="4490" ht="15.75" customHeight="1">
      <c r="A4490" s="1"/>
      <c r="B4490" s="1"/>
      <c r="C4490" s="1"/>
      <c r="D4490" s="1"/>
      <c r="E4490" s="1"/>
      <c r="F4490" s="1"/>
      <c r="G4490" s="1"/>
      <c r="H4490" s="1"/>
      <c r="I4490" s="1"/>
      <c r="J4490" s="1"/>
      <c r="K4490" s="89" t="s">
        <v>7041</v>
      </c>
      <c r="L4490" s="89" t="str">
        <f>H151</f>
        <v>C2a1a1a1</v>
      </c>
      <c r="M4490" s="89" t="s">
        <v>7040</v>
      </c>
      <c r="N4490" s="89" t="s">
        <v>7042</v>
      </c>
      <c r="O4490" s="92">
        <v>2.1168082E7</v>
      </c>
      <c r="P4490" s="92">
        <v>1.9006196E7</v>
      </c>
      <c r="Q4490" s="89" t="s">
        <v>838</v>
      </c>
      <c r="AF4490" s="1"/>
      <c r="AG4490" s="1"/>
    </row>
    <row r="4491" ht="15.75" customHeight="1">
      <c r="A4491" s="1"/>
      <c r="B4491" s="1"/>
      <c r="C4491" s="1"/>
      <c r="D4491" s="1"/>
      <c r="E4491" s="1"/>
      <c r="F4491" s="1"/>
      <c r="G4491" s="1"/>
      <c r="H4491" s="1"/>
      <c r="I4491" s="1"/>
      <c r="J4491" s="1"/>
      <c r="K4491" s="89" t="s">
        <v>7043</v>
      </c>
      <c r="L4491" s="89" t="str">
        <f>H151</f>
        <v>C2a1a1a1</v>
      </c>
      <c r="M4491" s="89" t="s">
        <v>7044</v>
      </c>
      <c r="N4491" s="89" t="s">
        <v>7045</v>
      </c>
      <c r="O4491" s="92">
        <v>2.1311431E7</v>
      </c>
      <c r="P4491" s="92">
        <v>1.9149545E7</v>
      </c>
      <c r="Q4491" s="89" t="s">
        <v>845</v>
      </c>
      <c r="AF4491" s="1"/>
      <c r="AG4491" s="1"/>
    </row>
    <row r="4492" ht="15.75" customHeight="1">
      <c r="A4492" s="1"/>
      <c r="B4492" s="1"/>
      <c r="C4492" s="1"/>
      <c r="D4492" s="1"/>
      <c r="E4492" s="1"/>
      <c r="F4492" s="1"/>
      <c r="G4492" s="1"/>
      <c r="H4492" s="1"/>
      <c r="I4492" s="1"/>
      <c r="J4492" s="1"/>
      <c r="K4492" s="89" t="s">
        <v>7044</v>
      </c>
      <c r="L4492" s="89" t="str">
        <f>H151</f>
        <v>C2a1a1a1</v>
      </c>
      <c r="M4492" s="89" t="s">
        <v>7043</v>
      </c>
      <c r="N4492" s="89" t="s">
        <v>7045</v>
      </c>
      <c r="O4492" s="92">
        <v>2.1311431E7</v>
      </c>
      <c r="P4492" s="92">
        <v>1.9149545E7</v>
      </c>
      <c r="Q4492" s="89" t="s">
        <v>845</v>
      </c>
      <c r="AF4492" s="1"/>
      <c r="AG4492" s="1"/>
    </row>
    <row r="4493" ht="15.75" customHeight="1">
      <c r="A4493" s="1"/>
      <c r="B4493" s="1"/>
      <c r="C4493" s="1"/>
      <c r="D4493" s="1"/>
      <c r="E4493" s="1"/>
      <c r="F4493" s="1"/>
      <c r="G4493" s="1"/>
      <c r="H4493" s="1"/>
      <c r="I4493" s="1"/>
      <c r="J4493" s="1"/>
      <c r="K4493" s="89" t="s">
        <v>7046</v>
      </c>
      <c r="L4493" s="89" t="str">
        <f>H151</f>
        <v>C2a1a1a1</v>
      </c>
      <c r="M4493" s="89" t="s">
        <v>7047</v>
      </c>
      <c r="N4493" s="89" t="s">
        <v>7048</v>
      </c>
      <c r="O4493" s="92">
        <v>2.2652715E7</v>
      </c>
      <c r="P4493" s="92">
        <v>2.0490829E7</v>
      </c>
      <c r="Q4493" s="89" t="s">
        <v>838</v>
      </c>
      <c r="AF4493" s="1"/>
      <c r="AG4493" s="1"/>
    </row>
    <row r="4494" ht="15.75" customHeight="1">
      <c r="A4494" s="1"/>
      <c r="B4494" s="1"/>
      <c r="C4494" s="1"/>
      <c r="D4494" s="1"/>
      <c r="E4494" s="1"/>
      <c r="F4494" s="1"/>
      <c r="G4494" s="1"/>
      <c r="H4494" s="1"/>
      <c r="I4494" s="1"/>
      <c r="J4494" s="1"/>
      <c r="K4494" s="89" t="s">
        <v>7047</v>
      </c>
      <c r="L4494" s="89" t="str">
        <f>H151</f>
        <v>C2a1a1a1</v>
      </c>
      <c r="M4494" s="89" t="s">
        <v>7046</v>
      </c>
      <c r="N4494" s="89" t="s">
        <v>7048</v>
      </c>
      <c r="O4494" s="92">
        <v>2.2652715E7</v>
      </c>
      <c r="P4494" s="92">
        <v>2.0490829E7</v>
      </c>
      <c r="Q4494" s="89" t="s">
        <v>838</v>
      </c>
      <c r="AF4494" s="1"/>
      <c r="AG4494" s="1"/>
    </row>
    <row r="4495" ht="15.75" customHeight="1">
      <c r="A4495" s="1"/>
      <c r="B4495" s="1"/>
      <c r="C4495" s="1"/>
      <c r="D4495" s="1"/>
      <c r="E4495" s="1"/>
      <c r="F4495" s="1"/>
      <c r="G4495" s="1"/>
      <c r="H4495" s="1"/>
      <c r="I4495" s="1"/>
      <c r="J4495" s="1"/>
      <c r="K4495" s="89" t="s">
        <v>7049</v>
      </c>
      <c r="L4495" s="89" t="str">
        <f>H151</f>
        <v>C2a1a1a1</v>
      </c>
      <c r="M4495" s="89" t="s">
        <v>7050</v>
      </c>
      <c r="N4495" s="89" t="s">
        <v>7051</v>
      </c>
      <c r="O4495" s="92">
        <v>2.301198E7</v>
      </c>
      <c r="P4495" s="92">
        <v>2.0850094E7</v>
      </c>
      <c r="Q4495" s="89" t="s">
        <v>810</v>
      </c>
      <c r="AF4495" s="1"/>
      <c r="AG4495" s="1"/>
    </row>
    <row r="4496" ht="15.75" customHeight="1">
      <c r="A4496" s="1"/>
      <c r="B4496" s="1"/>
      <c r="C4496" s="1"/>
      <c r="D4496" s="1"/>
      <c r="E4496" s="1"/>
      <c r="F4496" s="1"/>
      <c r="G4496" s="1"/>
      <c r="H4496" s="1"/>
      <c r="I4496" s="1"/>
      <c r="J4496" s="1"/>
      <c r="K4496" s="89" t="s">
        <v>7050</v>
      </c>
      <c r="L4496" s="89" t="str">
        <f>H151</f>
        <v>C2a1a1a1</v>
      </c>
      <c r="M4496" s="89" t="s">
        <v>7049</v>
      </c>
      <c r="N4496" s="89" t="s">
        <v>7051</v>
      </c>
      <c r="O4496" s="92">
        <v>2.301198E7</v>
      </c>
      <c r="P4496" s="92">
        <v>2.0850094E7</v>
      </c>
      <c r="Q4496" s="89" t="s">
        <v>810</v>
      </c>
      <c r="AF4496" s="1"/>
      <c r="AG4496" s="1"/>
    </row>
    <row r="4497" ht="15.75" customHeight="1">
      <c r="A4497" s="1"/>
      <c r="B4497" s="1"/>
      <c r="C4497" s="1"/>
      <c r="D4497" s="1"/>
      <c r="E4497" s="1"/>
      <c r="F4497" s="1"/>
      <c r="G4497" s="1"/>
      <c r="H4497" s="1"/>
      <c r="I4497" s="1"/>
      <c r="J4497" s="1"/>
      <c r="K4497" s="89" t="s">
        <v>7052</v>
      </c>
      <c r="L4497" s="89" t="str">
        <f>H151</f>
        <v>C2a1a1a1</v>
      </c>
      <c r="M4497" s="89" t="s">
        <v>7053</v>
      </c>
      <c r="N4497" s="89" t="s">
        <v>7054</v>
      </c>
      <c r="O4497" s="92">
        <v>2.3043657E7</v>
      </c>
      <c r="P4497" s="92">
        <v>2.0881771E7</v>
      </c>
      <c r="Q4497" s="89" t="s">
        <v>802</v>
      </c>
      <c r="AF4497" s="1"/>
      <c r="AG4497" s="1"/>
    </row>
    <row r="4498" ht="15.75" customHeight="1">
      <c r="A4498" s="1"/>
      <c r="B4498" s="1"/>
      <c r="C4498" s="1"/>
      <c r="D4498" s="1"/>
      <c r="E4498" s="1"/>
      <c r="F4498" s="1"/>
      <c r="G4498" s="1"/>
      <c r="H4498" s="1"/>
      <c r="I4498" s="1"/>
      <c r="J4498" s="1"/>
      <c r="K4498" s="89" t="s">
        <v>7053</v>
      </c>
      <c r="L4498" s="89" t="str">
        <f>H151</f>
        <v>C2a1a1a1</v>
      </c>
      <c r="M4498" s="89" t="s">
        <v>7052</v>
      </c>
      <c r="N4498" s="89" t="s">
        <v>7054</v>
      </c>
      <c r="O4498" s="92">
        <v>2.3043657E7</v>
      </c>
      <c r="P4498" s="92">
        <v>2.0881771E7</v>
      </c>
      <c r="Q4498" s="89" t="s">
        <v>802</v>
      </c>
      <c r="AF4498" s="1"/>
      <c r="AG4498" s="1"/>
    </row>
    <row r="4499" ht="15.75" customHeight="1">
      <c r="A4499" s="1"/>
      <c r="B4499" s="1"/>
      <c r="C4499" s="1"/>
      <c r="D4499" s="1"/>
      <c r="E4499" s="1"/>
      <c r="F4499" s="1"/>
      <c r="G4499" s="1"/>
      <c r="H4499" s="1"/>
      <c r="I4499" s="1"/>
      <c r="J4499" s="1"/>
      <c r="K4499" s="89" t="s">
        <v>7055</v>
      </c>
      <c r="L4499" s="89" t="str">
        <f>H151</f>
        <v>C2a1a1a1</v>
      </c>
      <c r="M4499" s="89" t="s">
        <v>7056</v>
      </c>
      <c r="N4499" s="89" t="s">
        <v>7057</v>
      </c>
      <c r="O4499" s="92">
        <v>2.3264798E7</v>
      </c>
      <c r="P4499" s="92">
        <v>2.1102912E7</v>
      </c>
      <c r="Q4499" s="89" t="s">
        <v>879</v>
      </c>
      <c r="AF4499" s="1"/>
      <c r="AG4499" s="1"/>
    </row>
    <row r="4500" ht="15.75" customHeight="1">
      <c r="A4500" s="1"/>
      <c r="B4500" s="1"/>
      <c r="C4500" s="1"/>
      <c r="D4500" s="1"/>
      <c r="E4500" s="1"/>
      <c r="F4500" s="1"/>
      <c r="G4500" s="1"/>
      <c r="H4500" s="1"/>
      <c r="I4500" s="1"/>
      <c r="J4500" s="1"/>
      <c r="K4500" s="89" t="s">
        <v>7056</v>
      </c>
      <c r="L4500" s="89" t="str">
        <f>H151</f>
        <v>C2a1a1a1</v>
      </c>
      <c r="M4500" s="89" t="s">
        <v>7055</v>
      </c>
      <c r="N4500" s="89" t="s">
        <v>7057</v>
      </c>
      <c r="O4500" s="92">
        <v>2.3264798E7</v>
      </c>
      <c r="P4500" s="92">
        <v>2.1102912E7</v>
      </c>
      <c r="Q4500" s="89" t="s">
        <v>879</v>
      </c>
      <c r="AF4500" s="1"/>
      <c r="AG4500" s="1"/>
    </row>
    <row r="4501" ht="15.75" customHeight="1">
      <c r="A4501" s="1"/>
      <c r="B4501" s="1"/>
      <c r="C4501" s="1"/>
      <c r="D4501" s="1"/>
      <c r="E4501" s="1"/>
      <c r="F4501" s="1"/>
      <c r="G4501" s="1"/>
      <c r="H4501" s="1"/>
      <c r="I4501" s="1"/>
      <c r="J4501" s="1"/>
      <c r="K4501" s="89" t="s">
        <v>7058</v>
      </c>
      <c r="L4501" s="89" t="str">
        <f>H151</f>
        <v>C2a1a1a1</v>
      </c>
      <c r="M4501" s="89" t="s">
        <v>7059</v>
      </c>
      <c r="N4501" s="89"/>
      <c r="O4501" s="92">
        <v>2.4431311E7</v>
      </c>
      <c r="P4501" s="92">
        <v>2.2285164E7</v>
      </c>
      <c r="Q4501" s="89" t="s">
        <v>822</v>
      </c>
      <c r="AF4501" s="1"/>
      <c r="AG4501" s="1"/>
    </row>
    <row r="4502" ht="15.75" customHeight="1">
      <c r="A4502" s="1"/>
      <c r="B4502" s="1"/>
      <c r="C4502" s="1"/>
      <c r="D4502" s="1"/>
      <c r="E4502" s="1"/>
      <c r="F4502" s="1"/>
      <c r="G4502" s="1"/>
      <c r="H4502" s="1"/>
      <c r="I4502" s="1"/>
      <c r="J4502" s="1"/>
      <c r="K4502" s="89" t="s">
        <v>7059</v>
      </c>
      <c r="L4502" s="89" t="str">
        <f>H151</f>
        <v>C2a1a1a1</v>
      </c>
      <c r="M4502" s="89" t="s">
        <v>7058</v>
      </c>
      <c r="N4502" s="89"/>
      <c r="O4502" s="92">
        <v>2.4431311E7</v>
      </c>
      <c r="P4502" s="92">
        <v>2.2285164E7</v>
      </c>
      <c r="Q4502" s="89" t="s">
        <v>822</v>
      </c>
      <c r="AF4502" s="1"/>
      <c r="AG4502" s="1"/>
    </row>
    <row r="4503" ht="15.75" customHeight="1">
      <c r="A4503" s="1"/>
      <c r="B4503" s="1"/>
      <c r="C4503" s="1"/>
      <c r="D4503" s="1"/>
      <c r="E4503" s="1"/>
      <c r="F4503" s="1"/>
      <c r="G4503" s="1"/>
      <c r="H4503" s="1"/>
      <c r="I4503" s="1"/>
      <c r="J4503" s="1"/>
      <c r="K4503" s="89" t="s">
        <v>7060</v>
      </c>
      <c r="L4503" s="89" t="str">
        <f>H151</f>
        <v>C2a1a1a1</v>
      </c>
      <c r="M4503" s="89" t="s">
        <v>7061</v>
      </c>
      <c r="N4503" s="89" t="s">
        <v>7062</v>
      </c>
      <c r="O4503" s="92">
        <v>1.9511277E7</v>
      </c>
      <c r="P4503" s="92">
        <v>1.7399397E7</v>
      </c>
      <c r="Q4503" s="89" t="s">
        <v>838</v>
      </c>
      <c r="AF4503" s="1"/>
      <c r="AG4503" s="1"/>
    </row>
    <row r="4504" ht="15.75" customHeight="1">
      <c r="A4504" s="1"/>
      <c r="B4504" s="1"/>
      <c r="C4504" s="1"/>
      <c r="D4504" s="1"/>
      <c r="E4504" s="1"/>
      <c r="F4504" s="1"/>
      <c r="G4504" s="1"/>
      <c r="H4504" s="1"/>
      <c r="I4504" s="1"/>
      <c r="J4504" s="1"/>
      <c r="K4504" s="89" t="s">
        <v>7061</v>
      </c>
      <c r="L4504" s="89" t="str">
        <f>H151</f>
        <v>C2a1a1a1</v>
      </c>
      <c r="M4504" s="89" t="s">
        <v>7060</v>
      </c>
      <c r="N4504" s="89" t="s">
        <v>7062</v>
      </c>
      <c r="O4504" s="92">
        <v>1.9511277E7</v>
      </c>
      <c r="P4504" s="92">
        <v>1.7399397E7</v>
      </c>
      <c r="Q4504" s="89" t="s">
        <v>838</v>
      </c>
      <c r="AF4504" s="1"/>
      <c r="AG4504" s="1"/>
    </row>
    <row r="4505" ht="15.75" customHeight="1">
      <c r="A4505" s="1"/>
      <c r="B4505" s="1"/>
      <c r="C4505" s="1"/>
      <c r="D4505" s="1"/>
      <c r="E4505" s="1"/>
      <c r="F4505" s="1"/>
      <c r="G4505" s="1"/>
      <c r="H4505" s="1"/>
      <c r="I4505" s="1"/>
      <c r="J4505" s="1"/>
      <c r="K4505" s="89" t="s">
        <v>7063</v>
      </c>
      <c r="L4505" s="89" t="str">
        <f>H151</f>
        <v>C2a1a1a1</v>
      </c>
      <c r="M4505" s="89"/>
      <c r="N4505" s="89" t="s">
        <v>7064</v>
      </c>
      <c r="O4505" s="92">
        <v>1.9350404E7</v>
      </c>
      <c r="P4505" s="92">
        <v>1.7238524E7</v>
      </c>
      <c r="Q4505" s="89" t="s">
        <v>810</v>
      </c>
      <c r="AF4505" s="1"/>
      <c r="AG4505" s="1"/>
    </row>
    <row r="4506" ht="15.75" customHeight="1">
      <c r="A4506" s="1"/>
      <c r="B4506" s="1"/>
      <c r="C4506" s="1"/>
      <c r="D4506" s="1"/>
      <c r="E4506" s="1"/>
      <c r="F4506" s="1"/>
      <c r="G4506" s="1"/>
      <c r="H4506" s="1"/>
      <c r="I4506" s="1"/>
      <c r="J4506" s="1"/>
      <c r="K4506" s="89" t="s">
        <v>7065</v>
      </c>
      <c r="L4506" s="89" t="str">
        <f>H151</f>
        <v>C2a1a1a1</v>
      </c>
      <c r="M4506" s="89"/>
      <c r="N4506" s="89" t="s">
        <v>7066</v>
      </c>
      <c r="O4506" s="92">
        <v>1.7712984E7</v>
      </c>
      <c r="P4506" s="92">
        <v>1.5601104E7</v>
      </c>
      <c r="Q4506" s="89" t="s">
        <v>802</v>
      </c>
      <c r="AF4506" s="1"/>
      <c r="AG4506" s="1"/>
    </row>
    <row r="4507" ht="15.75" customHeight="1">
      <c r="A4507" s="1"/>
      <c r="B4507" s="1"/>
      <c r="C4507" s="1"/>
      <c r="D4507" s="1"/>
      <c r="E4507" s="1"/>
      <c r="F4507" s="1"/>
      <c r="G4507" s="1"/>
      <c r="H4507" s="1"/>
      <c r="I4507" s="1"/>
      <c r="J4507" s="1"/>
      <c r="K4507" s="89" t="s">
        <v>7067</v>
      </c>
      <c r="L4507" s="89" t="str">
        <f>H151</f>
        <v>C2a1a1a1</v>
      </c>
      <c r="M4507" s="89"/>
      <c r="N4507" s="89" t="s">
        <v>7068</v>
      </c>
      <c r="O4507" s="92">
        <v>6907176.0</v>
      </c>
      <c r="P4507" s="92">
        <v>7039135.0</v>
      </c>
      <c r="Q4507" s="89" t="s">
        <v>810</v>
      </c>
      <c r="AF4507" s="1"/>
      <c r="AG4507" s="1"/>
    </row>
    <row r="4508" ht="15.75" customHeight="1">
      <c r="A4508" s="1"/>
      <c r="B4508" s="1"/>
      <c r="C4508" s="1"/>
      <c r="D4508" s="1"/>
      <c r="E4508" s="1"/>
      <c r="F4508" s="1"/>
      <c r="G4508" s="1"/>
      <c r="H4508" s="1"/>
      <c r="I4508" s="1"/>
      <c r="J4508" s="1"/>
      <c r="K4508" s="89" t="s">
        <v>7069</v>
      </c>
      <c r="L4508" s="89" t="str">
        <f>H151</f>
        <v>C2a1a1a1</v>
      </c>
      <c r="M4508" s="89"/>
      <c r="N4508" s="89" t="s">
        <v>7070</v>
      </c>
      <c r="O4508" s="92">
        <v>7737689.0</v>
      </c>
      <c r="P4508" s="92">
        <v>7869648.0</v>
      </c>
      <c r="Q4508" s="89" t="s">
        <v>838</v>
      </c>
      <c r="AF4508" s="1"/>
      <c r="AG4508" s="1"/>
    </row>
    <row r="4509" ht="15.75" customHeight="1">
      <c r="A4509" s="1"/>
      <c r="B4509" s="1"/>
      <c r="C4509" s="1"/>
      <c r="D4509" s="1"/>
      <c r="E4509" s="1"/>
      <c r="F4509" s="1"/>
      <c r="G4509" s="1"/>
      <c r="H4509" s="1"/>
      <c r="I4509" s="1"/>
      <c r="J4509" s="1"/>
      <c r="K4509" s="89" t="s">
        <v>7071</v>
      </c>
      <c r="L4509" s="89" t="str">
        <f>H151</f>
        <v>C2a1a1a1</v>
      </c>
      <c r="M4509" s="89"/>
      <c r="N4509" s="89" t="s">
        <v>7072</v>
      </c>
      <c r="O4509" s="92">
        <v>8397116.0</v>
      </c>
      <c r="P4509" s="92">
        <v>8529075.0</v>
      </c>
      <c r="Q4509" s="89" t="s">
        <v>802</v>
      </c>
      <c r="AF4509" s="1"/>
      <c r="AG4509" s="1"/>
    </row>
    <row r="4510" ht="15.75" customHeight="1">
      <c r="A4510" s="1"/>
      <c r="B4510" s="1"/>
      <c r="C4510" s="1"/>
      <c r="D4510" s="1"/>
      <c r="E4510" s="1"/>
      <c r="F4510" s="1"/>
      <c r="G4510" s="1"/>
      <c r="H4510" s="1"/>
      <c r="I4510" s="1"/>
      <c r="J4510" s="1"/>
      <c r="K4510" s="89" t="s">
        <v>7073</v>
      </c>
      <c r="L4510" s="89" t="str">
        <f>H151</f>
        <v>C2a1a1a1</v>
      </c>
      <c r="M4510" s="89"/>
      <c r="N4510" s="89"/>
      <c r="O4510" s="92">
        <v>9141267.0</v>
      </c>
      <c r="P4510" s="92">
        <v>9303658.0</v>
      </c>
      <c r="Q4510" s="89" t="s">
        <v>810</v>
      </c>
      <c r="AF4510" s="1"/>
      <c r="AG4510" s="1"/>
    </row>
    <row r="4511" ht="15.75" customHeight="1">
      <c r="A4511" s="1"/>
      <c r="B4511" s="1"/>
      <c r="C4511" s="1"/>
      <c r="D4511" s="1"/>
      <c r="E4511" s="1"/>
      <c r="F4511" s="1"/>
      <c r="G4511" s="1"/>
      <c r="H4511" s="1"/>
      <c r="I4511" s="1"/>
      <c r="J4511" s="1"/>
      <c r="K4511" s="89" t="s">
        <v>7074</v>
      </c>
      <c r="L4511" s="89" t="str">
        <f>H151</f>
        <v>C2a1a1a1</v>
      </c>
      <c r="M4511" s="89"/>
      <c r="N4511" s="89" t="s">
        <v>7075</v>
      </c>
      <c r="O4511" s="92">
        <v>1.5043979E7</v>
      </c>
      <c r="P4511" s="92">
        <v>1.2932069E7</v>
      </c>
      <c r="Q4511" s="89" t="s">
        <v>802</v>
      </c>
      <c r="AF4511" s="1"/>
      <c r="AG4511" s="1"/>
    </row>
    <row r="4512" ht="15.75" customHeight="1">
      <c r="A4512" s="1"/>
      <c r="B4512" s="1"/>
      <c r="C4512" s="1"/>
      <c r="D4512" s="1"/>
      <c r="E4512" s="1"/>
      <c r="F4512" s="1"/>
      <c r="G4512" s="1"/>
      <c r="H4512" s="1"/>
      <c r="I4512" s="1"/>
      <c r="J4512" s="1"/>
      <c r="K4512" s="89" t="s">
        <v>7076</v>
      </c>
      <c r="L4512" s="89" t="str">
        <f>H151</f>
        <v>C2a1a1a1</v>
      </c>
      <c r="M4512" s="89"/>
      <c r="N4512" s="89" t="s">
        <v>7077</v>
      </c>
      <c r="O4512" s="92">
        <v>1.6735295E7</v>
      </c>
      <c r="P4512" s="92">
        <v>1.4623415E7</v>
      </c>
      <c r="Q4512" s="89" t="s">
        <v>802</v>
      </c>
      <c r="AF4512" s="1"/>
      <c r="AG4512" s="1"/>
    </row>
    <row r="4513" ht="15.75" customHeight="1">
      <c r="A4513" s="1"/>
      <c r="B4513" s="1"/>
      <c r="C4513" s="1"/>
      <c r="D4513" s="1"/>
      <c r="E4513" s="1"/>
      <c r="F4513" s="1"/>
      <c r="G4513" s="1"/>
      <c r="H4513" s="1"/>
      <c r="I4513" s="1"/>
      <c r="J4513" s="1"/>
      <c r="K4513" s="89" t="s">
        <v>7078</v>
      </c>
      <c r="L4513" s="89" t="str">
        <f>H151</f>
        <v>C2a1a1a1</v>
      </c>
      <c r="M4513" s="89"/>
      <c r="N4513" s="89" t="s">
        <v>7079</v>
      </c>
      <c r="O4513" s="92">
        <v>1.8168691E7</v>
      </c>
      <c r="P4513" s="92">
        <v>1.6056811E7</v>
      </c>
      <c r="Q4513" s="89" t="s">
        <v>879</v>
      </c>
      <c r="AF4513" s="1"/>
      <c r="AG4513" s="1"/>
    </row>
    <row r="4514" ht="15.75" customHeight="1">
      <c r="A4514" s="1"/>
      <c r="B4514" s="1"/>
      <c r="C4514" s="1"/>
      <c r="D4514" s="1"/>
      <c r="E4514" s="1"/>
      <c r="F4514" s="1"/>
      <c r="G4514" s="1"/>
      <c r="H4514" s="1"/>
      <c r="I4514" s="1"/>
      <c r="J4514" s="1"/>
      <c r="K4514" s="89" t="s">
        <v>7080</v>
      </c>
      <c r="L4514" s="89" t="str">
        <f>H151</f>
        <v>C2a1a1a1</v>
      </c>
      <c r="M4514" s="89"/>
      <c r="N4514" s="89"/>
      <c r="O4514" s="92">
        <v>2.2478692E7</v>
      </c>
      <c r="P4514" s="92">
        <v>2.0316806E7</v>
      </c>
      <c r="Q4514" s="89" t="s">
        <v>845</v>
      </c>
      <c r="AF4514" s="1"/>
      <c r="AG4514" s="1"/>
    </row>
    <row r="4515" ht="15.75" customHeight="1">
      <c r="A4515" s="1"/>
      <c r="B4515" s="1"/>
      <c r="C4515" s="1"/>
      <c r="D4515" s="1"/>
      <c r="E4515" s="1"/>
      <c r="F4515" s="1"/>
      <c r="G4515" s="1"/>
      <c r="H4515" s="1"/>
      <c r="I4515" s="1"/>
      <c r="J4515" s="1"/>
      <c r="K4515" s="89" t="s">
        <v>7081</v>
      </c>
      <c r="L4515" s="89" t="str">
        <f>H151</f>
        <v>C2a1a1a1</v>
      </c>
      <c r="M4515" s="89"/>
      <c r="N4515" s="89" t="s">
        <v>7082</v>
      </c>
      <c r="O4515" s="92">
        <v>2.3165402E7</v>
      </c>
      <c r="P4515" s="92">
        <v>2.1003516E7</v>
      </c>
      <c r="Q4515" s="89" t="s">
        <v>810</v>
      </c>
      <c r="AF4515" s="1"/>
      <c r="AG4515" s="1"/>
    </row>
    <row r="4516" ht="15.75" customHeight="1">
      <c r="A4516" s="1"/>
      <c r="B4516" s="1"/>
      <c r="C4516" s="1"/>
      <c r="D4516" s="1"/>
      <c r="E4516" s="1"/>
      <c r="F4516" s="1"/>
      <c r="G4516" s="1"/>
      <c r="H4516" s="1"/>
      <c r="I4516" s="1"/>
      <c r="J4516" s="1"/>
      <c r="K4516" s="89" t="s">
        <v>7083</v>
      </c>
      <c r="L4516" s="89" t="str">
        <f>I152</f>
        <v>C2a1a1a1a</v>
      </c>
      <c r="M4516" s="89" t="s">
        <v>7084</v>
      </c>
      <c r="N4516" s="89" t="s">
        <v>7085</v>
      </c>
      <c r="O4516" s="92">
        <v>1.7743523E7</v>
      </c>
      <c r="P4516" s="92">
        <v>1.5631643E7</v>
      </c>
      <c r="Q4516" s="89" t="s">
        <v>912</v>
      </c>
      <c r="AF4516" s="1"/>
      <c r="AG4516" s="1"/>
    </row>
    <row r="4517" ht="15.75" customHeight="1">
      <c r="A4517" s="1"/>
      <c r="B4517" s="1"/>
      <c r="C4517" s="1"/>
      <c r="D4517" s="1"/>
      <c r="E4517" s="1"/>
      <c r="F4517" s="1"/>
      <c r="G4517" s="1"/>
      <c r="H4517" s="1"/>
      <c r="I4517" s="1"/>
      <c r="J4517" s="1"/>
      <c r="K4517" s="89" t="s">
        <v>7084</v>
      </c>
      <c r="L4517" s="89" t="str">
        <f>I152</f>
        <v>C2a1a1a1a</v>
      </c>
      <c r="M4517" s="89" t="s">
        <v>7083</v>
      </c>
      <c r="N4517" s="89" t="s">
        <v>7085</v>
      </c>
      <c r="O4517" s="92">
        <v>1.7743523E7</v>
      </c>
      <c r="P4517" s="92">
        <v>1.5631643E7</v>
      </c>
      <c r="Q4517" s="89" t="s">
        <v>912</v>
      </c>
      <c r="AF4517" s="1"/>
      <c r="AG4517" s="1"/>
    </row>
    <row r="4518" ht="15.75" customHeight="1">
      <c r="A4518" s="1"/>
      <c r="B4518" s="1"/>
      <c r="C4518" s="1"/>
      <c r="D4518" s="1"/>
      <c r="E4518" s="1"/>
      <c r="F4518" s="1"/>
      <c r="G4518" s="1"/>
      <c r="H4518" s="1"/>
      <c r="I4518" s="1"/>
      <c r="J4518" s="1"/>
      <c r="K4518" s="89" t="s">
        <v>7086</v>
      </c>
      <c r="L4518" s="89" t="str">
        <f>I152</f>
        <v>C2a1a1a1a</v>
      </c>
      <c r="M4518" s="89" t="s">
        <v>7087</v>
      </c>
      <c r="N4518" s="89" t="s">
        <v>7088</v>
      </c>
      <c r="O4518" s="92">
        <v>2.2716424E7</v>
      </c>
      <c r="P4518" s="92">
        <v>2.0554538E7</v>
      </c>
      <c r="Q4518" s="89" t="s">
        <v>838</v>
      </c>
      <c r="AF4518" s="1"/>
      <c r="AG4518" s="1"/>
    </row>
    <row r="4519" ht="15.75" customHeight="1">
      <c r="A4519" s="1"/>
      <c r="B4519" s="1"/>
      <c r="C4519" s="1"/>
      <c r="D4519" s="1"/>
      <c r="E4519" s="1"/>
      <c r="F4519" s="1"/>
      <c r="G4519" s="1"/>
      <c r="H4519" s="1"/>
      <c r="I4519" s="1"/>
      <c r="J4519" s="1"/>
      <c r="K4519" s="89" t="s">
        <v>7087</v>
      </c>
      <c r="L4519" s="89" t="str">
        <f>I152</f>
        <v>C2a1a1a1a</v>
      </c>
      <c r="M4519" s="89" t="s">
        <v>7086</v>
      </c>
      <c r="N4519" s="89" t="s">
        <v>7088</v>
      </c>
      <c r="O4519" s="92">
        <v>2.2716424E7</v>
      </c>
      <c r="P4519" s="92">
        <v>2.0554538E7</v>
      </c>
      <c r="Q4519" s="89" t="s">
        <v>838</v>
      </c>
      <c r="AF4519" s="1"/>
      <c r="AG4519" s="1"/>
    </row>
    <row r="4520" ht="15.75" customHeight="1">
      <c r="A4520" s="1"/>
      <c r="B4520" s="1"/>
      <c r="C4520" s="1"/>
      <c r="D4520" s="1"/>
      <c r="E4520" s="1"/>
      <c r="F4520" s="1"/>
      <c r="G4520" s="1"/>
      <c r="H4520" s="1"/>
      <c r="I4520" s="1"/>
      <c r="J4520" s="1"/>
      <c r="K4520" s="89" t="s">
        <v>7089</v>
      </c>
      <c r="L4520" s="89" t="str">
        <f>I152</f>
        <v>C2a1a1a1a</v>
      </c>
      <c r="M4520" s="89" t="s">
        <v>7090</v>
      </c>
      <c r="N4520" s="89" t="s">
        <v>7091</v>
      </c>
      <c r="O4520" s="92">
        <v>2.303133E7</v>
      </c>
      <c r="P4520" s="92">
        <v>2.0869444E7</v>
      </c>
      <c r="Q4520" s="89" t="s">
        <v>802</v>
      </c>
      <c r="AF4520" s="1"/>
      <c r="AG4520" s="1"/>
    </row>
    <row r="4521" ht="15.75" customHeight="1">
      <c r="A4521" s="1"/>
      <c r="B4521" s="1"/>
      <c r="C4521" s="1"/>
      <c r="D4521" s="1"/>
      <c r="E4521" s="1"/>
      <c r="F4521" s="1"/>
      <c r="G4521" s="1"/>
      <c r="H4521" s="1"/>
      <c r="I4521" s="1"/>
      <c r="J4521" s="1"/>
      <c r="K4521" s="89" t="s">
        <v>7090</v>
      </c>
      <c r="L4521" s="89" t="str">
        <f>I152</f>
        <v>C2a1a1a1a</v>
      </c>
      <c r="M4521" s="89" t="s">
        <v>7089</v>
      </c>
      <c r="N4521" s="89" t="s">
        <v>7091</v>
      </c>
      <c r="O4521" s="92">
        <v>2.303133E7</v>
      </c>
      <c r="P4521" s="92">
        <v>2.0869444E7</v>
      </c>
      <c r="Q4521" s="89" t="s">
        <v>802</v>
      </c>
      <c r="AF4521" s="1"/>
      <c r="AG4521" s="1"/>
    </row>
    <row r="4522" ht="15.75" customHeight="1">
      <c r="A4522" s="1"/>
      <c r="B4522" s="1"/>
      <c r="C4522" s="1"/>
      <c r="D4522" s="1"/>
      <c r="E4522" s="1"/>
      <c r="F4522" s="1"/>
      <c r="G4522" s="1"/>
      <c r="H4522" s="1"/>
      <c r="I4522" s="1"/>
      <c r="J4522" s="1"/>
      <c r="K4522" s="89" t="s">
        <v>7092</v>
      </c>
      <c r="L4522" s="89" t="str">
        <f>I152</f>
        <v>C2a1a1a1a</v>
      </c>
      <c r="M4522" s="89" t="s">
        <v>7093</v>
      </c>
      <c r="N4522" s="89"/>
      <c r="O4522" s="92">
        <v>2.3982408E7</v>
      </c>
      <c r="P4522" s="92">
        <v>2.1836261E7</v>
      </c>
      <c r="Q4522" s="89" t="s">
        <v>917</v>
      </c>
      <c r="AF4522" s="1"/>
      <c r="AG4522" s="1"/>
    </row>
    <row r="4523" ht="15.75" customHeight="1">
      <c r="A4523" s="1"/>
      <c r="B4523" s="1"/>
      <c r="C4523" s="1"/>
      <c r="D4523" s="1"/>
      <c r="E4523" s="1"/>
      <c r="F4523" s="1"/>
      <c r="G4523" s="1"/>
      <c r="H4523" s="1"/>
      <c r="I4523" s="1"/>
      <c r="J4523" s="1"/>
      <c r="K4523" s="89" t="s">
        <v>7093</v>
      </c>
      <c r="L4523" s="89" t="str">
        <f>I152</f>
        <v>C2a1a1a1a</v>
      </c>
      <c r="M4523" s="89" t="s">
        <v>7092</v>
      </c>
      <c r="N4523" s="89"/>
      <c r="O4523" s="92">
        <v>2.3982408E7</v>
      </c>
      <c r="P4523" s="92">
        <v>2.1836261E7</v>
      </c>
      <c r="Q4523" s="89" t="s">
        <v>917</v>
      </c>
      <c r="AF4523" s="1"/>
      <c r="AG4523" s="1"/>
    </row>
    <row r="4524" ht="15.75" customHeight="1">
      <c r="A4524" s="1"/>
      <c r="B4524" s="1"/>
      <c r="C4524" s="1"/>
      <c r="D4524" s="1"/>
      <c r="E4524" s="1"/>
      <c r="F4524" s="1"/>
      <c r="G4524" s="1"/>
      <c r="H4524" s="1"/>
      <c r="I4524" s="1"/>
      <c r="J4524" s="1"/>
      <c r="K4524" s="89" t="s">
        <v>7094</v>
      </c>
      <c r="L4524" s="89" t="str">
        <f>I152</f>
        <v>C2a1a1a1a</v>
      </c>
      <c r="M4524" s="89"/>
      <c r="N4524" s="89" t="s">
        <v>7095</v>
      </c>
      <c r="O4524" s="92">
        <v>2.1232385E7</v>
      </c>
      <c r="P4524" s="92">
        <v>1.9070499E7</v>
      </c>
      <c r="Q4524" s="89" t="s">
        <v>838</v>
      </c>
      <c r="AF4524" s="1"/>
      <c r="AG4524" s="1"/>
    </row>
    <row r="4525" ht="15.75" customHeight="1">
      <c r="A4525" s="1"/>
      <c r="B4525" s="1"/>
      <c r="C4525" s="1"/>
      <c r="D4525" s="1"/>
      <c r="E4525" s="1"/>
      <c r="F4525" s="1"/>
      <c r="G4525" s="1"/>
      <c r="H4525" s="1"/>
      <c r="I4525" s="1"/>
      <c r="J4525" s="1"/>
      <c r="K4525" s="89" t="s">
        <v>7096</v>
      </c>
      <c r="L4525" s="89" t="str">
        <f>I152</f>
        <v>C2a1a1a1a</v>
      </c>
      <c r="M4525" s="89"/>
      <c r="N4525" s="89" t="s">
        <v>7097</v>
      </c>
      <c r="O4525" s="92">
        <v>2.2121465E7</v>
      </c>
      <c r="P4525" s="92">
        <v>1.9959579E7</v>
      </c>
      <c r="Q4525" s="89" t="s">
        <v>879</v>
      </c>
      <c r="AF4525" s="1"/>
      <c r="AG4525" s="1"/>
    </row>
    <row r="4526" ht="15.75" customHeight="1">
      <c r="A4526" s="1"/>
      <c r="B4526" s="1"/>
      <c r="C4526" s="1"/>
      <c r="D4526" s="1"/>
      <c r="E4526" s="1"/>
      <c r="F4526" s="1"/>
      <c r="G4526" s="1"/>
      <c r="H4526" s="1"/>
      <c r="I4526" s="1"/>
      <c r="J4526" s="1"/>
      <c r="K4526" s="89" t="s">
        <v>7098</v>
      </c>
      <c r="L4526" s="89" t="str">
        <f>I152</f>
        <v>C2a1a1a1a</v>
      </c>
      <c r="M4526" s="89"/>
      <c r="N4526" s="89" t="s">
        <v>7099</v>
      </c>
      <c r="O4526" s="92">
        <v>1.9449755E7</v>
      </c>
      <c r="P4526" s="92">
        <v>1.7337875E7</v>
      </c>
      <c r="Q4526" s="89" t="s">
        <v>802</v>
      </c>
      <c r="AF4526" s="1"/>
      <c r="AG4526" s="1"/>
    </row>
    <row r="4527" ht="15.75" customHeight="1">
      <c r="A4527" s="1"/>
      <c r="B4527" s="1"/>
      <c r="C4527" s="1"/>
      <c r="D4527" s="1"/>
      <c r="E4527" s="1"/>
      <c r="F4527" s="1"/>
      <c r="G4527" s="1"/>
      <c r="H4527" s="1"/>
      <c r="I4527" s="1"/>
      <c r="J4527" s="1"/>
      <c r="K4527" s="89" t="s">
        <v>7100</v>
      </c>
      <c r="L4527" s="89" t="str">
        <f>J153</f>
        <v>C2a1a1a1a1</v>
      </c>
      <c r="M4527" s="89"/>
      <c r="N4527" s="89" t="s">
        <v>7101</v>
      </c>
      <c r="O4527" s="92">
        <v>7785896.0</v>
      </c>
      <c r="P4527" s="92">
        <v>7917855.0</v>
      </c>
      <c r="Q4527" s="89" t="s">
        <v>810</v>
      </c>
      <c r="AF4527" s="1"/>
      <c r="AG4527" s="1"/>
    </row>
    <row r="4528" ht="15.75" customHeight="1">
      <c r="A4528" s="1"/>
      <c r="B4528" s="1"/>
      <c r="C4528" s="1"/>
      <c r="D4528" s="1"/>
      <c r="E4528" s="1"/>
      <c r="F4528" s="1"/>
      <c r="G4528" s="1"/>
      <c r="H4528" s="1"/>
      <c r="I4528" s="1"/>
      <c r="J4528" s="1"/>
      <c r="K4528" s="89" t="s">
        <v>7102</v>
      </c>
      <c r="L4528" s="89" t="str">
        <f>J153</f>
        <v>C2a1a1a1a1</v>
      </c>
      <c r="M4528" s="89" t="s">
        <v>7103</v>
      </c>
      <c r="N4528" s="89" t="s">
        <v>7104</v>
      </c>
      <c r="O4528" s="92">
        <v>8585383.0</v>
      </c>
      <c r="P4528" s="92">
        <v>8717342.0</v>
      </c>
      <c r="Q4528" s="89" t="s">
        <v>917</v>
      </c>
      <c r="AF4528" s="1"/>
      <c r="AG4528" s="1"/>
    </row>
    <row r="4529" ht="15.75" customHeight="1">
      <c r="A4529" s="1"/>
      <c r="B4529" s="1"/>
      <c r="C4529" s="1"/>
      <c r="D4529" s="1"/>
      <c r="E4529" s="1"/>
      <c r="F4529" s="1"/>
      <c r="G4529" s="1"/>
      <c r="H4529" s="1"/>
      <c r="I4529" s="1"/>
      <c r="J4529" s="1"/>
      <c r="K4529" s="89" t="s">
        <v>7103</v>
      </c>
      <c r="L4529" s="89" t="str">
        <f>J153</f>
        <v>C2a1a1a1a1</v>
      </c>
      <c r="M4529" s="89" t="s">
        <v>7102</v>
      </c>
      <c r="N4529" s="89" t="s">
        <v>7104</v>
      </c>
      <c r="O4529" s="92">
        <v>8585383.0</v>
      </c>
      <c r="P4529" s="92">
        <v>8717342.0</v>
      </c>
      <c r="Q4529" s="89" t="s">
        <v>917</v>
      </c>
      <c r="AF4529" s="1"/>
      <c r="AG4529" s="1"/>
    </row>
    <row r="4530" ht="15.75" customHeight="1">
      <c r="A4530" s="1"/>
      <c r="B4530" s="1"/>
      <c r="C4530" s="1"/>
      <c r="D4530" s="1"/>
      <c r="E4530" s="1"/>
      <c r="F4530" s="1"/>
      <c r="G4530" s="1"/>
      <c r="H4530" s="1"/>
      <c r="I4530" s="1"/>
      <c r="J4530" s="1"/>
      <c r="K4530" s="89" t="s">
        <v>7105</v>
      </c>
      <c r="L4530" s="89" t="str">
        <f>J153</f>
        <v>C2a1a1a1a1</v>
      </c>
      <c r="M4530" s="89" t="s">
        <v>7106</v>
      </c>
      <c r="N4530" s="89" t="s">
        <v>7107</v>
      </c>
      <c r="O4530" s="92">
        <v>1.6615191E7</v>
      </c>
      <c r="P4530" s="92">
        <v>1.4503311E7</v>
      </c>
      <c r="Q4530" s="89" t="s">
        <v>838</v>
      </c>
      <c r="AF4530" s="1"/>
      <c r="AG4530" s="1"/>
    </row>
    <row r="4531" ht="15.75" customHeight="1">
      <c r="A4531" s="1"/>
      <c r="B4531" s="1"/>
      <c r="C4531" s="1"/>
      <c r="D4531" s="1"/>
      <c r="E4531" s="1"/>
      <c r="F4531" s="1"/>
      <c r="G4531" s="1"/>
      <c r="H4531" s="1"/>
      <c r="I4531" s="1"/>
      <c r="J4531" s="1"/>
      <c r="K4531" s="89" t="s">
        <v>7106</v>
      </c>
      <c r="L4531" s="89" t="str">
        <f>J153</f>
        <v>C2a1a1a1a1</v>
      </c>
      <c r="M4531" s="89" t="s">
        <v>7105</v>
      </c>
      <c r="N4531" s="89" t="s">
        <v>7107</v>
      </c>
      <c r="O4531" s="92">
        <v>1.6615191E7</v>
      </c>
      <c r="P4531" s="92">
        <v>1.4503311E7</v>
      </c>
      <c r="Q4531" s="89" t="s">
        <v>838</v>
      </c>
      <c r="AF4531" s="1"/>
      <c r="AG4531" s="1"/>
    </row>
    <row r="4532" ht="15.75" customHeight="1">
      <c r="A4532" s="1"/>
      <c r="B4532" s="1"/>
      <c r="C4532" s="1"/>
      <c r="D4532" s="1"/>
      <c r="E4532" s="1"/>
      <c r="F4532" s="1"/>
      <c r="G4532" s="1"/>
      <c r="H4532" s="1"/>
      <c r="I4532" s="1"/>
      <c r="J4532" s="1"/>
      <c r="K4532" s="89" t="s">
        <v>7108</v>
      </c>
      <c r="L4532" s="89" t="str">
        <f>J153</f>
        <v>C2a1a1a1a1</v>
      </c>
      <c r="M4532" s="89" t="s">
        <v>7109</v>
      </c>
      <c r="N4532" s="89" t="s">
        <v>7110</v>
      </c>
      <c r="O4532" s="92">
        <v>1.6915334E7</v>
      </c>
      <c r="P4532" s="92">
        <v>1.4803454E7</v>
      </c>
      <c r="Q4532" s="89" t="s">
        <v>838</v>
      </c>
      <c r="AF4532" s="1"/>
      <c r="AG4532" s="1"/>
    </row>
    <row r="4533" ht="15.75" customHeight="1">
      <c r="A4533" s="1"/>
      <c r="B4533" s="1"/>
      <c r="C4533" s="1"/>
      <c r="D4533" s="1"/>
      <c r="E4533" s="1"/>
      <c r="F4533" s="1"/>
      <c r="G4533" s="1"/>
      <c r="H4533" s="1"/>
      <c r="I4533" s="1"/>
      <c r="J4533" s="1"/>
      <c r="K4533" s="89" t="s">
        <v>7109</v>
      </c>
      <c r="L4533" s="89" t="str">
        <f>J153</f>
        <v>C2a1a1a1a1</v>
      </c>
      <c r="M4533" s="89" t="s">
        <v>7108</v>
      </c>
      <c r="N4533" s="89" t="s">
        <v>7110</v>
      </c>
      <c r="O4533" s="92">
        <v>1.6915334E7</v>
      </c>
      <c r="P4533" s="92">
        <v>1.4803454E7</v>
      </c>
      <c r="Q4533" s="89" t="s">
        <v>838</v>
      </c>
      <c r="AF4533" s="1"/>
      <c r="AG4533" s="1"/>
    </row>
    <row r="4534" ht="15.75" customHeight="1">
      <c r="A4534" s="1"/>
      <c r="B4534" s="1"/>
      <c r="C4534" s="1"/>
      <c r="D4534" s="1"/>
      <c r="E4534" s="1"/>
      <c r="F4534" s="1"/>
      <c r="G4534" s="1"/>
      <c r="H4534" s="1"/>
      <c r="I4534" s="1"/>
      <c r="J4534" s="1"/>
      <c r="K4534" s="89" t="s">
        <v>7111</v>
      </c>
      <c r="L4534" s="89" t="str">
        <f>J153</f>
        <v>C2a1a1a1a1</v>
      </c>
      <c r="M4534" s="89"/>
      <c r="N4534" s="89" t="s">
        <v>7112</v>
      </c>
      <c r="O4534" s="92">
        <v>2.1391225E7</v>
      </c>
      <c r="P4534" s="92">
        <v>1.9229339E7</v>
      </c>
      <c r="Q4534" s="89" t="s">
        <v>822</v>
      </c>
      <c r="AF4534" s="1"/>
      <c r="AG4534" s="1"/>
    </row>
    <row r="4535" ht="15.75" customHeight="1">
      <c r="A4535" s="1"/>
      <c r="B4535" s="1"/>
      <c r="C4535" s="1"/>
      <c r="D4535" s="1"/>
      <c r="E4535" s="1"/>
      <c r="F4535" s="1"/>
      <c r="G4535" s="1"/>
      <c r="H4535" s="1"/>
      <c r="I4535" s="1"/>
      <c r="J4535" s="1"/>
      <c r="K4535" s="89" t="s">
        <v>7113</v>
      </c>
      <c r="L4535" s="89" t="str">
        <f>K154</f>
        <v>C2a1a1a1a1a</v>
      </c>
      <c r="M4535" s="89"/>
      <c r="N4535" s="89"/>
      <c r="O4535" s="92">
        <v>2.1595641E7</v>
      </c>
      <c r="P4535" s="92">
        <v>1.9433755E7</v>
      </c>
      <c r="Q4535" s="89" t="s">
        <v>838</v>
      </c>
      <c r="AF4535" s="1"/>
      <c r="AG4535" s="1"/>
    </row>
    <row r="4536" ht="15.75" customHeight="1">
      <c r="A4536" s="1"/>
      <c r="B4536" s="1"/>
      <c r="C4536" s="1"/>
      <c r="D4536" s="1"/>
      <c r="E4536" s="1"/>
      <c r="F4536" s="1"/>
      <c r="G4536" s="1"/>
      <c r="H4536" s="1"/>
      <c r="I4536" s="1"/>
      <c r="J4536" s="1"/>
      <c r="K4536" s="89" t="s">
        <v>7114</v>
      </c>
      <c r="L4536" s="89" t="str">
        <f>K154</f>
        <v>C2a1a1a1a1a</v>
      </c>
      <c r="M4536" s="89"/>
      <c r="N4536" s="89"/>
      <c r="O4536" s="92">
        <v>7323622.0</v>
      </c>
      <c r="P4536" s="92">
        <v>7455581.0</v>
      </c>
      <c r="Q4536" s="89" t="s">
        <v>864</v>
      </c>
      <c r="AF4536" s="1"/>
      <c r="AG4536" s="1"/>
    </row>
    <row r="4537" ht="15.75" customHeight="1">
      <c r="A4537" s="1"/>
      <c r="B4537" s="1"/>
      <c r="C4537" s="1"/>
      <c r="D4537" s="1"/>
      <c r="E4537" s="1"/>
      <c r="F4537" s="1"/>
      <c r="G4537" s="1"/>
      <c r="H4537" s="1"/>
      <c r="I4537" s="1"/>
      <c r="J4537" s="1"/>
      <c r="K4537" s="89" t="s">
        <v>7115</v>
      </c>
      <c r="L4537" s="89" t="str">
        <f>K154</f>
        <v>C2a1a1a1a1a</v>
      </c>
      <c r="M4537" s="89"/>
      <c r="N4537" s="89" t="s">
        <v>7116</v>
      </c>
      <c r="O4537" s="92">
        <v>8533080.0</v>
      </c>
      <c r="P4537" s="92">
        <v>8665039.0</v>
      </c>
      <c r="Q4537" s="89" t="s">
        <v>802</v>
      </c>
      <c r="AF4537" s="1"/>
      <c r="AG4537" s="1"/>
    </row>
    <row r="4538" ht="15.75" customHeight="1">
      <c r="A4538" s="1"/>
      <c r="B4538" s="1"/>
      <c r="C4538" s="1"/>
      <c r="D4538" s="1"/>
      <c r="E4538" s="1"/>
      <c r="F4538" s="1"/>
      <c r="G4538" s="1"/>
      <c r="H4538" s="1"/>
      <c r="I4538" s="1"/>
      <c r="J4538" s="1"/>
      <c r="K4538" s="89" t="s">
        <v>7117</v>
      </c>
      <c r="L4538" s="89" t="str">
        <f>K154</f>
        <v>C2a1a1a1a1a</v>
      </c>
      <c r="M4538" s="89"/>
      <c r="N4538" s="89"/>
      <c r="O4538" s="92">
        <v>1.4148873E7</v>
      </c>
      <c r="P4538" s="92">
        <v>1.2028167E7</v>
      </c>
      <c r="Q4538" s="89" t="s">
        <v>813</v>
      </c>
      <c r="AF4538" s="1"/>
      <c r="AG4538" s="1"/>
    </row>
    <row r="4539" ht="15.75" customHeight="1">
      <c r="A4539" s="1"/>
      <c r="B4539" s="1"/>
      <c r="C4539" s="1"/>
      <c r="D4539" s="1"/>
      <c r="E4539" s="1"/>
      <c r="F4539" s="1"/>
      <c r="G4539" s="1"/>
      <c r="H4539" s="1"/>
      <c r="I4539" s="1"/>
      <c r="J4539" s="1"/>
      <c r="K4539" s="89" t="s">
        <v>7118</v>
      </c>
      <c r="L4539" s="89" t="str">
        <f>K154</f>
        <v>C2a1a1a1a1a</v>
      </c>
      <c r="M4539" s="89"/>
      <c r="N4539" s="89"/>
      <c r="O4539" s="92">
        <v>2.1835525E7</v>
      </c>
      <c r="P4539" s="92">
        <v>1.9673639E7</v>
      </c>
      <c r="Q4539" s="89" t="s">
        <v>810</v>
      </c>
      <c r="AF4539" s="1"/>
      <c r="AG4539" s="1"/>
    </row>
    <row r="4540" ht="15.75" customHeight="1">
      <c r="A4540" s="1"/>
      <c r="B4540" s="1"/>
      <c r="C4540" s="1"/>
      <c r="D4540" s="1"/>
      <c r="E4540" s="1"/>
      <c r="F4540" s="1"/>
      <c r="G4540" s="1"/>
      <c r="H4540" s="1"/>
      <c r="I4540" s="1"/>
      <c r="J4540" s="1"/>
      <c r="K4540" s="89" t="s">
        <v>7119</v>
      </c>
      <c r="L4540" s="89" t="str">
        <f>L155</f>
        <v>C2a1a1a1a1a1~</v>
      </c>
      <c r="M4540" s="89"/>
      <c r="N4540" s="89"/>
      <c r="O4540" s="92">
        <v>7650807.0</v>
      </c>
      <c r="P4540" s="92">
        <v>7782766.0</v>
      </c>
      <c r="Q4540" s="89" t="s">
        <v>810</v>
      </c>
      <c r="AF4540" s="1"/>
      <c r="AG4540" s="1"/>
    </row>
    <row r="4541" ht="15.75" customHeight="1">
      <c r="A4541" s="1"/>
      <c r="B4541" s="1"/>
      <c r="C4541" s="1"/>
      <c r="D4541" s="1"/>
      <c r="E4541" s="1"/>
      <c r="F4541" s="1"/>
      <c r="G4541" s="1"/>
      <c r="H4541" s="1"/>
      <c r="I4541" s="1"/>
      <c r="J4541" s="1"/>
      <c r="K4541" s="89" t="s">
        <v>7120</v>
      </c>
      <c r="L4541" s="89" t="str">
        <f>L155</f>
        <v>C2a1a1a1a1a1~</v>
      </c>
      <c r="M4541" s="89"/>
      <c r="N4541" s="89"/>
      <c r="O4541" s="92">
        <v>2.3751092E7</v>
      </c>
      <c r="P4541" s="92">
        <v>2.1589206E7</v>
      </c>
      <c r="Q4541" s="89" t="s">
        <v>810</v>
      </c>
      <c r="AF4541" s="1"/>
      <c r="AG4541" s="1"/>
    </row>
    <row r="4542" ht="15.75" customHeight="1">
      <c r="A4542" s="1"/>
      <c r="B4542" s="1"/>
      <c r="C4542" s="1"/>
      <c r="D4542" s="1"/>
      <c r="E4542" s="1"/>
      <c r="F4542" s="1"/>
      <c r="G4542" s="1"/>
      <c r="H4542" s="1"/>
      <c r="I4542" s="1"/>
      <c r="J4542" s="1"/>
      <c r="K4542" s="89" t="s">
        <v>7121</v>
      </c>
      <c r="L4542" s="89" t="str">
        <f>L155</f>
        <v>C2a1a1a1a1a1~</v>
      </c>
      <c r="M4542" s="89"/>
      <c r="N4542" s="89"/>
      <c r="O4542" s="92">
        <v>8837427.0</v>
      </c>
      <c r="P4542" s="92">
        <v>8969386.0</v>
      </c>
      <c r="Q4542" s="89" t="s">
        <v>864</v>
      </c>
      <c r="AF4542" s="1"/>
      <c r="AG4542" s="1"/>
    </row>
    <row r="4543" ht="15.75" customHeight="1">
      <c r="A4543" s="1"/>
      <c r="B4543" s="1"/>
      <c r="C4543" s="1"/>
      <c r="D4543" s="1"/>
      <c r="E4543" s="1"/>
      <c r="F4543" s="1"/>
      <c r="G4543" s="1"/>
      <c r="H4543" s="1"/>
      <c r="I4543" s="1"/>
      <c r="J4543" s="1"/>
      <c r="K4543" s="89" t="s">
        <v>7122</v>
      </c>
      <c r="L4543" s="89" t="str">
        <f>L155</f>
        <v>C2a1a1a1a1a1~</v>
      </c>
      <c r="M4543" s="89"/>
      <c r="N4543" s="89"/>
      <c r="O4543" s="92">
        <v>1.7492717E7</v>
      </c>
      <c r="P4543" s="92">
        <v>1.5380837E7</v>
      </c>
      <c r="Q4543" s="89" t="s">
        <v>802</v>
      </c>
      <c r="AF4543" s="1"/>
      <c r="AG4543" s="1"/>
    </row>
    <row r="4544" ht="15.75" customHeight="1">
      <c r="A4544" s="1"/>
      <c r="B4544" s="1"/>
      <c r="C4544" s="1"/>
      <c r="D4544" s="1"/>
      <c r="E4544" s="1"/>
      <c r="F4544" s="1"/>
      <c r="G4544" s="1"/>
      <c r="H4544" s="1"/>
      <c r="I4544" s="1"/>
      <c r="J4544" s="1"/>
      <c r="K4544" s="89" t="s">
        <v>7123</v>
      </c>
      <c r="L4544" s="89" t="str">
        <f t="shared" ref="L4544:L4545" si="32">L155</f>
        <v>C2a1a1a1a1a1~</v>
      </c>
      <c r="M4544" s="89"/>
      <c r="N4544" s="89"/>
      <c r="O4544" s="92">
        <v>2.1045119E7</v>
      </c>
      <c r="P4544" s="92">
        <v>1.8883233E7</v>
      </c>
      <c r="Q4544" s="89" t="s">
        <v>802</v>
      </c>
      <c r="AF4544" s="1"/>
      <c r="AG4544" s="1"/>
    </row>
    <row r="4545" ht="15.75" customHeight="1">
      <c r="A4545" s="1"/>
      <c r="B4545" s="1"/>
      <c r="C4545" s="1"/>
      <c r="D4545" s="1"/>
      <c r="E4545" s="1"/>
      <c r="F4545" s="1"/>
      <c r="G4545" s="1"/>
      <c r="H4545" s="1"/>
      <c r="I4545" s="1"/>
      <c r="J4545" s="1"/>
      <c r="K4545" s="89" t="s">
        <v>7124</v>
      </c>
      <c r="L4545" s="89" t="str">
        <f t="shared" si="32"/>
        <v>C2a1a1a1a1a2~</v>
      </c>
      <c r="M4545" s="89"/>
      <c r="N4545" s="89"/>
      <c r="O4545" s="92">
        <v>1.4825023E7</v>
      </c>
      <c r="P4545" s="92">
        <v>1.271309E7</v>
      </c>
      <c r="Q4545" s="89" t="s">
        <v>822</v>
      </c>
      <c r="AF4545" s="1"/>
      <c r="AG4545" s="1"/>
    </row>
    <row r="4546" ht="15.75" customHeight="1">
      <c r="A4546" s="1"/>
      <c r="B4546" s="1"/>
      <c r="C4546" s="1"/>
      <c r="D4546" s="1"/>
      <c r="E4546" s="1"/>
      <c r="F4546" s="1"/>
      <c r="G4546" s="1"/>
      <c r="H4546" s="1"/>
      <c r="I4546" s="1"/>
      <c r="J4546" s="1"/>
      <c r="K4546" s="89" t="s">
        <v>7125</v>
      </c>
      <c r="L4546" s="89" t="str">
        <f>L156</f>
        <v>C2a1a1a1a1a2~</v>
      </c>
      <c r="M4546" s="89"/>
      <c r="N4546" s="89"/>
      <c r="O4546" s="92">
        <v>1.5710804E7</v>
      </c>
      <c r="P4546" s="92">
        <v>1.3598924E7</v>
      </c>
      <c r="Q4546" s="89" t="s">
        <v>802</v>
      </c>
      <c r="AF4546" s="1"/>
      <c r="AG4546" s="1"/>
    </row>
    <row r="4547" ht="15.75" customHeight="1">
      <c r="A4547" s="1"/>
      <c r="B4547" s="1"/>
      <c r="C4547" s="1"/>
      <c r="D4547" s="1"/>
      <c r="E4547" s="1"/>
      <c r="F4547" s="1"/>
      <c r="G4547" s="1"/>
      <c r="H4547" s="1"/>
      <c r="I4547" s="1"/>
      <c r="J4547" s="1"/>
      <c r="K4547" s="89" t="s">
        <v>7126</v>
      </c>
      <c r="L4547" s="89" t="str">
        <f>L156</f>
        <v>C2a1a1a1a1a2~</v>
      </c>
      <c r="M4547" s="89"/>
      <c r="N4547" s="89"/>
      <c r="O4547" s="92">
        <v>1.8663237E7</v>
      </c>
      <c r="P4547" s="92">
        <v>1.6551357E7</v>
      </c>
      <c r="Q4547" s="89" t="s">
        <v>886</v>
      </c>
      <c r="AF4547" s="1"/>
      <c r="AG4547" s="1"/>
    </row>
    <row r="4548" ht="15.75" customHeight="1">
      <c r="A4548" s="1"/>
      <c r="B4548" s="1"/>
      <c r="C4548" s="1"/>
      <c r="D4548" s="1"/>
      <c r="E4548" s="1"/>
      <c r="F4548" s="1"/>
      <c r="G4548" s="1"/>
      <c r="H4548" s="1"/>
      <c r="I4548" s="1"/>
      <c r="J4548" s="1"/>
      <c r="K4548" s="89" t="s">
        <v>7127</v>
      </c>
      <c r="L4548" s="89" t="str">
        <f>K157</f>
        <v>C2a1a1a1a1b</v>
      </c>
      <c r="M4548" s="89" t="s">
        <v>7128</v>
      </c>
      <c r="N4548" s="89"/>
      <c r="O4548" s="92">
        <v>2812173.0</v>
      </c>
      <c r="P4548" s="92">
        <v>2944132.0</v>
      </c>
      <c r="Q4548" s="89" t="s">
        <v>822</v>
      </c>
      <c r="AF4548" s="1"/>
      <c r="AG4548" s="1"/>
    </row>
    <row r="4549" ht="15.75" customHeight="1">
      <c r="A4549" s="1"/>
      <c r="B4549" s="1"/>
      <c r="C4549" s="1"/>
      <c r="D4549" s="1"/>
      <c r="E4549" s="1"/>
      <c r="F4549" s="1"/>
      <c r="G4549" s="1"/>
      <c r="H4549" s="1"/>
      <c r="I4549" s="1"/>
      <c r="J4549" s="1"/>
      <c r="K4549" s="89" t="s">
        <v>7128</v>
      </c>
      <c r="L4549" s="89" t="str">
        <f>K157</f>
        <v>C2a1a1a1a1b</v>
      </c>
      <c r="M4549" s="89" t="s">
        <v>7127</v>
      </c>
      <c r="N4549" s="89"/>
      <c r="O4549" s="92">
        <v>2812173.0</v>
      </c>
      <c r="P4549" s="92">
        <v>2944132.0</v>
      </c>
      <c r="Q4549" s="89" t="s">
        <v>822</v>
      </c>
      <c r="AF4549" s="1"/>
      <c r="AG4549" s="1"/>
    </row>
    <row r="4550" ht="15.75" customHeight="1">
      <c r="A4550" s="1"/>
      <c r="B4550" s="1"/>
      <c r="C4550" s="1"/>
      <c r="D4550" s="1"/>
      <c r="E4550" s="1"/>
      <c r="F4550" s="1"/>
      <c r="G4550" s="1"/>
      <c r="H4550" s="1"/>
      <c r="I4550" s="1"/>
      <c r="J4550" s="1"/>
      <c r="K4550" s="89" t="s">
        <v>7129</v>
      </c>
      <c r="L4550" s="89" t="str">
        <f>K157</f>
        <v>C2a1a1a1a1b</v>
      </c>
      <c r="M4550" s="89" t="s">
        <v>7130</v>
      </c>
      <c r="N4550" s="89"/>
      <c r="O4550" s="92">
        <v>1.422459E7</v>
      </c>
      <c r="P4550" s="92">
        <v>1.2103884E7</v>
      </c>
      <c r="Q4550" s="89" t="s">
        <v>879</v>
      </c>
      <c r="AF4550" s="1"/>
      <c r="AG4550" s="1"/>
    </row>
    <row r="4551" ht="15.75" customHeight="1">
      <c r="A4551" s="1"/>
      <c r="B4551" s="1"/>
      <c r="C4551" s="1"/>
      <c r="D4551" s="1"/>
      <c r="E4551" s="1"/>
      <c r="F4551" s="1"/>
      <c r="G4551" s="1"/>
      <c r="H4551" s="1"/>
      <c r="I4551" s="1"/>
      <c r="J4551" s="1"/>
      <c r="K4551" s="89" t="s">
        <v>7130</v>
      </c>
      <c r="L4551" s="89" t="str">
        <f>K157</f>
        <v>C2a1a1a1a1b</v>
      </c>
      <c r="M4551" s="89" t="s">
        <v>7129</v>
      </c>
      <c r="N4551" s="89"/>
      <c r="O4551" s="92">
        <v>1.422459E7</v>
      </c>
      <c r="P4551" s="92">
        <v>1.2103884E7</v>
      </c>
      <c r="Q4551" s="89" t="s">
        <v>879</v>
      </c>
      <c r="AF4551" s="1"/>
      <c r="AG4551" s="1"/>
    </row>
    <row r="4552" ht="15.75" customHeight="1">
      <c r="A4552" s="1"/>
      <c r="B4552" s="1"/>
      <c r="C4552" s="1"/>
      <c r="D4552" s="1"/>
      <c r="E4552" s="1"/>
      <c r="F4552" s="1"/>
      <c r="G4552" s="1"/>
      <c r="H4552" s="1"/>
      <c r="I4552" s="1"/>
      <c r="J4552" s="1"/>
      <c r="K4552" s="89" t="s">
        <v>7131</v>
      </c>
      <c r="L4552" s="89" t="str">
        <f>K157</f>
        <v>C2a1a1a1a1b</v>
      </c>
      <c r="M4552" s="89" t="s">
        <v>7132</v>
      </c>
      <c r="N4552" s="89"/>
      <c r="O4552" s="92">
        <v>2.2806755E7</v>
      </c>
      <c r="P4552" s="92">
        <v>2.0644869E7</v>
      </c>
      <c r="Q4552" s="89" t="s">
        <v>810</v>
      </c>
      <c r="AF4552" s="1"/>
      <c r="AG4552" s="1"/>
    </row>
    <row r="4553" ht="15.75" customHeight="1">
      <c r="A4553" s="1"/>
      <c r="B4553" s="1"/>
      <c r="C4553" s="1"/>
      <c r="D4553" s="1"/>
      <c r="E4553" s="1"/>
      <c r="F4553" s="1"/>
      <c r="G4553" s="1"/>
      <c r="H4553" s="1"/>
      <c r="I4553" s="1"/>
      <c r="J4553" s="1"/>
      <c r="K4553" s="89" t="s">
        <v>7132</v>
      </c>
      <c r="L4553" s="89" t="str">
        <f>K157</f>
        <v>C2a1a1a1a1b</v>
      </c>
      <c r="M4553" s="89" t="s">
        <v>7131</v>
      </c>
      <c r="N4553" s="89"/>
      <c r="O4553" s="92">
        <v>2.2806755E7</v>
      </c>
      <c r="P4553" s="92">
        <v>2.0644869E7</v>
      </c>
      <c r="Q4553" s="89" t="s">
        <v>810</v>
      </c>
      <c r="AF4553" s="1"/>
      <c r="AG4553" s="1"/>
    </row>
    <row r="4554" ht="15.75" customHeight="1">
      <c r="A4554" s="1"/>
      <c r="B4554" s="1"/>
      <c r="C4554" s="1"/>
      <c r="D4554" s="1"/>
      <c r="E4554" s="1"/>
      <c r="F4554" s="1"/>
      <c r="G4554" s="1"/>
      <c r="H4554" s="1"/>
      <c r="I4554" s="1"/>
      <c r="J4554" s="1"/>
      <c r="K4554" s="89" t="s">
        <v>7133</v>
      </c>
      <c r="L4554" s="89" t="str">
        <f>K157</f>
        <v>C2a1a1a1a1b</v>
      </c>
      <c r="M4554" s="89" t="s">
        <v>7134</v>
      </c>
      <c r="N4554" s="89"/>
      <c r="O4554" s="92">
        <v>2.3035296E7</v>
      </c>
      <c r="P4554" s="92">
        <v>2.087341E7</v>
      </c>
      <c r="Q4554" s="89" t="s">
        <v>802</v>
      </c>
      <c r="AF4554" s="1"/>
      <c r="AG4554" s="1"/>
    </row>
    <row r="4555" ht="15.75" customHeight="1">
      <c r="A4555" s="1"/>
      <c r="B4555" s="1"/>
      <c r="C4555" s="1"/>
      <c r="D4555" s="1"/>
      <c r="E4555" s="1"/>
      <c r="F4555" s="1"/>
      <c r="G4555" s="1"/>
      <c r="H4555" s="1"/>
      <c r="I4555" s="1"/>
      <c r="J4555" s="1"/>
      <c r="K4555" s="89" t="s">
        <v>7134</v>
      </c>
      <c r="L4555" s="89" t="str">
        <f>K157</f>
        <v>C2a1a1a1a1b</v>
      </c>
      <c r="M4555" s="89" t="s">
        <v>7133</v>
      </c>
      <c r="N4555" s="89"/>
      <c r="O4555" s="92">
        <v>2.3035296E7</v>
      </c>
      <c r="P4555" s="92">
        <v>2.087341E7</v>
      </c>
      <c r="Q4555" s="89" t="s">
        <v>802</v>
      </c>
      <c r="AF4555" s="1"/>
      <c r="AG4555" s="1"/>
    </row>
    <row r="4556" ht="15.75" customHeight="1">
      <c r="A4556" s="1"/>
      <c r="B4556" s="1"/>
      <c r="C4556" s="1"/>
      <c r="D4556" s="1"/>
      <c r="E4556" s="1"/>
      <c r="F4556" s="1"/>
      <c r="G4556" s="1"/>
      <c r="H4556" s="1"/>
      <c r="I4556" s="1"/>
      <c r="J4556" s="1"/>
      <c r="K4556" s="89" t="s">
        <v>7135</v>
      </c>
      <c r="L4556" s="89" t="str">
        <f>K157</f>
        <v>C2a1a1a1a1b</v>
      </c>
      <c r="M4556" s="89"/>
      <c r="N4556" s="89"/>
      <c r="O4556" s="92">
        <v>1.5712563E7</v>
      </c>
      <c r="P4556" s="92">
        <v>1.3600683E7</v>
      </c>
      <c r="Q4556" s="89" t="s">
        <v>810</v>
      </c>
      <c r="AF4556" s="1"/>
      <c r="AG4556" s="1"/>
    </row>
    <row r="4557" ht="15.75" customHeight="1">
      <c r="A4557" s="1"/>
      <c r="B4557" s="1"/>
      <c r="C4557" s="1"/>
      <c r="D4557" s="1"/>
      <c r="E4557" s="1"/>
      <c r="F4557" s="1"/>
      <c r="G4557" s="1"/>
      <c r="H4557" s="1"/>
      <c r="I4557" s="1"/>
      <c r="J4557" s="1"/>
      <c r="K4557" s="89" t="s">
        <v>7136</v>
      </c>
      <c r="L4557" s="89" t="str">
        <f>K157</f>
        <v>C2a1a1a1a1b</v>
      </c>
      <c r="M4557" s="89"/>
      <c r="N4557" s="89"/>
      <c r="O4557" s="92">
        <v>1.5726112E7</v>
      </c>
      <c r="P4557" s="92">
        <v>1.3614232E7</v>
      </c>
      <c r="Q4557" s="89" t="s">
        <v>822</v>
      </c>
      <c r="AF4557" s="1"/>
      <c r="AG4557" s="1"/>
    </row>
    <row r="4558" ht="15.75" customHeight="1">
      <c r="A4558" s="1"/>
      <c r="B4558" s="1"/>
      <c r="C4558" s="1"/>
      <c r="D4558" s="1"/>
      <c r="E4558" s="1"/>
      <c r="F4558" s="1"/>
      <c r="G4558" s="1"/>
      <c r="H4558" s="1"/>
      <c r="I4558" s="1"/>
      <c r="J4558" s="1"/>
      <c r="K4558" s="89" t="s">
        <v>7137</v>
      </c>
      <c r="L4558" s="89" t="str">
        <f>K157</f>
        <v>C2a1a1a1a1b</v>
      </c>
      <c r="M4558" s="89"/>
      <c r="N4558" s="89"/>
      <c r="O4558" s="92">
        <v>1.8952276E7</v>
      </c>
      <c r="P4558" s="92">
        <v>1.6840396E7</v>
      </c>
      <c r="Q4558" s="89" t="s">
        <v>802</v>
      </c>
      <c r="AF4558" s="1"/>
      <c r="AG4558" s="1"/>
    </row>
    <row r="4559" ht="15.75" customHeight="1">
      <c r="A4559" s="1"/>
      <c r="B4559" s="1"/>
      <c r="C4559" s="1"/>
      <c r="D4559" s="1"/>
      <c r="E4559" s="1"/>
      <c r="F4559" s="1"/>
      <c r="G4559" s="1"/>
      <c r="H4559" s="1"/>
      <c r="I4559" s="1"/>
      <c r="J4559" s="1"/>
      <c r="K4559" s="89" t="s">
        <v>7138</v>
      </c>
      <c r="L4559" s="89" t="str">
        <f>L158</f>
        <v>C2a1a1a1a1b1~</v>
      </c>
      <c r="M4559" s="89"/>
      <c r="N4559" s="89"/>
      <c r="O4559" s="92">
        <v>7734740.0</v>
      </c>
      <c r="P4559" s="92">
        <v>7866699.0</v>
      </c>
      <c r="Q4559" s="89" t="s">
        <v>813</v>
      </c>
      <c r="AF4559" s="1"/>
      <c r="AG4559" s="1"/>
    </row>
    <row r="4560" ht="15.75" customHeight="1">
      <c r="A4560" s="1"/>
      <c r="B4560" s="1"/>
      <c r="C4560" s="1"/>
      <c r="D4560" s="1"/>
      <c r="E4560" s="1"/>
      <c r="F4560" s="1"/>
      <c r="G4560" s="1"/>
      <c r="H4560" s="1"/>
      <c r="I4560" s="1"/>
      <c r="J4560" s="1"/>
      <c r="K4560" s="89" t="s">
        <v>7139</v>
      </c>
      <c r="L4560" s="89" t="str">
        <f t="shared" ref="L4560:L4561" si="33">L158</f>
        <v>C2a1a1a1a1b1~</v>
      </c>
      <c r="M4560" s="89"/>
      <c r="N4560" s="89"/>
      <c r="O4560" s="92">
        <v>8444744.0</v>
      </c>
      <c r="P4560" s="92">
        <v>8576703.0</v>
      </c>
      <c r="Q4560" s="89" t="s">
        <v>912</v>
      </c>
      <c r="AF4560" s="1"/>
      <c r="AG4560" s="1"/>
    </row>
    <row r="4561" ht="15.75" customHeight="1">
      <c r="A4561" s="1"/>
      <c r="B4561" s="1"/>
      <c r="C4561" s="1"/>
      <c r="D4561" s="1"/>
      <c r="E4561" s="1"/>
      <c r="F4561" s="1"/>
      <c r="G4561" s="1"/>
      <c r="H4561" s="1"/>
      <c r="I4561" s="1"/>
      <c r="J4561" s="1"/>
      <c r="K4561" s="89" t="s">
        <v>7140</v>
      </c>
      <c r="L4561" s="89" t="str">
        <f t="shared" si="33"/>
        <v>C2a1a1a1a1b2~</v>
      </c>
      <c r="M4561" s="89" t="s">
        <v>7141</v>
      </c>
      <c r="N4561" s="89" t="s">
        <v>7142</v>
      </c>
      <c r="O4561" s="92">
        <v>1.5689762E7</v>
      </c>
      <c r="P4561" s="92">
        <v>1.3577882E7</v>
      </c>
      <c r="Q4561" s="89" t="s">
        <v>802</v>
      </c>
      <c r="AF4561" s="1"/>
      <c r="AG4561" s="1"/>
    </row>
    <row r="4562" ht="15.75" customHeight="1">
      <c r="A4562" s="1"/>
      <c r="B4562" s="1"/>
      <c r="C4562" s="1"/>
      <c r="D4562" s="1"/>
      <c r="E4562" s="1"/>
      <c r="F4562" s="1"/>
      <c r="G4562" s="1"/>
      <c r="H4562" s="1"/>
      <c r="I4562" s="1"/>
      <c r="J4562" s="1"/>
      <c r="K4562" s="89" t="s">
        <v>7141</v>
      </c>
      <c r="L4562" s="89" t="str">
        <f>L159</f>
        <v>C2a1a1a1a1b2~</v>
      </c>
      <c r="M4562" s="89" t="s">
        <v>7140</v>
      </c>
      <c r="N4562" s="89" t="s">
        <v>7142</v>
      </c>
      <c r="O4562" s="92">
        <v>1.5689762E7</v>
      </c>
      <c r="P4562" s="92">
        <v>1.3577882E7</v>
      </c>
      <c r="Q4562" s="89" t="s">
        <v>802</v>
      </c>
      <c r="AF4562" s="1"/>
      <c r="AG4562" s="1"/>
    </row>
    <row r="4563" ht="15.75" customHeight="1">
      <c r="A4563" s="1"/>
      <c r="B4563" s="1"/>
      <c r="C4563" s="1"/>
      <c r="D4563" s="1"/>
      <c r="E4563" s="1"/>
      <c r="F4563" s="1"/>
      <c r="G4563" s="1"/>
      <c r="H4563" s="1"/>
      <c r="I4563" s="1"/>
      <c r="J4563" s="1"/>
      <c r="K4563" s="89" t="s">
        <v>7143</v>
      </c>
      <c r="L4563" s="89" t="str">
        <f>L159</f>
        <v>C2a1a1a1a1b2~</v>
      </c>
      <c r="M4563" s="89"/>
      <c r="N4563" s="89"/>
      <c r="O4563" s="92">
        <v>1.7766027E7</v>
      </c>
      <c r="P4563" s="92">
        <v>1.5654147E7</v>
      </c>
      <c r="Q4563" s="89" t="s">
        <v>864</v>
      </c>
      <c r="AF4563" s="1"/>
      <c r="AG4563" s="1"/>
    </row>
    <row r="4564" ht="15.75" customHeight="1">
      <c r="A4564" s="1"/>
      <c r="B4564" s="1"/>
      <c r="C4564" s="1"/>
      <c r="D4564" s="1"/>
      <c r="E4564" s="1"/>
      <c r="F4564" s="1"/>
      <c r="G4564" s="1"/>
      <c r="H4564" s="1"/>
      <c r="I4564" s="1"/>
      <c r="J4564" s="1"/>
      <c r="K4564" s="89" t="s">
        <v>7144</v>
      </c>
      <c r="L4564" s="89" t="str">
        <f>L159</f>
        <v>C2a1a1a1a1b2~</v>
      </c>
      <c r="M4564" s="89"/>
      <c r="N4564" s="89"/>
      <c r="O4564" s="92">
        <v>2.3970251E7</v>
      </c>
      <c r="P4564" s="92">
        <v>2.1824104E7</v>
      </c>
      <c r="Q4564" s="89" t="s">
        <v>802</v>
      </c>
      <c r="AF4564" s="1"/>
      <c r="AG4564" s="1"/>
    </row>
    <row r="4565" ht="15.75" customHeight="1">
      <c r="A4565" s="1"/>
      <c r="B4565" s="1"/>
      <c r="C4565" s="1"/>
      <c r="D4565" s="1"/>
      <c r="E4565" s="1"/>
      <c r="F4565" s="1"/>
      <c r="G4565" s="1"/>
      <c r="H4565" s="1"/>
      <c r="I4565" s="1"/>
      <c r="J4565" s="1"/>
      <c r="K4565" s="89" t="s">
        <v>7145</v>
      </c>
      <c r="L4565" s="89" t="str">
        <f>J160</f>
        <v>C2a1a1a1a2~</v>
      </c>
      <c r="M4565" s="89"/>
      <c r="N4565" s="89"/>
      <c r="O4565" s="92">
        <v>6742580.0</v>
      </c>
      <c r="P4565" s="92">
        <v>6874539.0</v>
      </c>
      <c r="Q4565" s="89" t="s">
        <v>810</v>
      </c>
      <c r="AF4565" s="1"/>
      <c r="AG4565" s="1"/>
    </row>
    <row r="4566" ht="15.75" customHeight="1">
      <c r="A4566" s="1"/>
      <c r="B4566" s="1"/>
      <c r="C4566" s="1"/>
      <c r="D4566" s="1"/>
      <c r="E4566" s="1"/>
      <c r="F4566" s="1"/>
      <c r="G4566" s="1"/>
      <c r="H4566" s="1"/>
      <c r="I4566" s="1"/>
      <c r="J4566" s="1"/>
      <c r="K4566" s="89" t="s">
        <v>7146</v>
      </c>
      <c r="L4566" s="89" t="str">
        <f>J160</f>
        <v>C2a1a1a1a2~</v>
      </c>
      <c r="M4566" s="89"/>
      <c r="N4566" s="89"/>
      <c r="O4566" s="92">
        <v>7096234.0</v>
      </c>
      <c r="P4566" s="92">
        <v>7228193.0</v>
      </c>
      <c r="Q4566" s="89" t="s">
        <v>912</v>
      </c>
      <c r="AF4566" s="1"/>
      <c r="AG4566" s="1"/>
    </row>
    <row r="4567" ht="15.75" customHeight="1">
      <c r="A4567" s="1"/>
      <c r="B4567" s="1"/>
      <c r="C4567" s="1"/>
      <c r="D4567" s="1"/>
      <c r="E4567" s="1"/>
      <c r="F4567" s="1"/>
      <c r="G4567" s="1"/>
      <c r="H4567" s="1"/>
      <c r="I4567" s="1"/>
      <c r="J4567" s="1"/>
      <c r="K4567" s="89" t="s">
        <v>7147</v>
      </c>
      <c r="L4567" s="89" t="str">
        <f>J160</f>
        <v>C2a1a1a1a2~</v>
      </c>
      <c r="M4567" s="89"/>
      <c r="N4567" s="89"/>
      <c r="O4567" s="92">
        <v>8180887.0</v>
      </c>
      <c r="P4567" s="92">
        <v>8312846.0</v>
      </c>
      <c r="Q4567" s="89" t="s">
        <v>845</v>
      </c>
      <c r="AF4567" s="1"/>
      <c r="AG4567" s="1"/>
    </row>
    <row r="4568" ht="15.75" customHeight="1">
      <c r="A4568" s="1"/>
      <c r="B4568" s="1"/>
      <c r="C4568" s="1"/>
      <c r="D4568" s="1"/>
      <c r="E4568" s="1"/>
      <c r="F4568" s="1"/>
      <c r="G4568" s="1"/>
      <c r="H4568" s="1"/>
      <c r="I4568" s="1"/>
      <c r="J4568" s="1"/>
      <c r="K4568" s="89" t="s">
        <v>7148</v>
      </c>
      <c r="L4568" s="89" t="str">
        <f>J160</f>
        <v>C2a1a1a1a2~</v>
      </c>
      <c r="M4568" s="89"/>
      <c r="N4568" s="89"/>
      <c r="O4568" s="92">
        <v>1.4329968E7</v>
      </c>
      <c r="P4568" s="92">
        <v>1.2209262E7</v>
      </c>
      <c r="Q4568" s="89" t="s">
        <v>802</v>
      </c>
      <c r="AF4568" s="1"/>
      <c r="AG4568" s="1"/>
    </row>
    <row r="4569" ht="15.75" customHeight="1">
      <c r="A4569" s="1"/>
      <c r="B4569" s="1"/>
      <c r="C4569" s="1"/>
      <c r="D4569" s="1"/>
      <c r="E4569" s="1"/>
      <c r="F4569" s="1"/>
      <c r="G4569" s="1"/>
      <c r="H4569" s="1"/>
      <c r="I4569" s="1"/>
      <c r="J4569" s="1"/>
      <c r="K4569" s="89" t="s">
        <v>7149</v>
      </c>
      <c r="L4569" s="89" t="str">
        <f>J160</f>
        <v>C2a1a1a1a2~</v>
      </c>
      <c r="M4569" s="89"/>
      <c r="N4569" s="89"/>
      <c r="O4569" s="92">
        <v>1.4348496E7</v>
      </c>
      <c r="P4569" s="92">
        <v>1.2227791E7</v>
      </c>
      <c r="Q4569" s="89" t="s">
        <v>810</v>
      </c>
      <c r="AF4569" s="1"/>
      <c r="AG4569" s="1"/>
    </row>
    <row r="4570" ht="15.75" customHeight="1">
      <c r="A4570" s="1"/>
      <c r="B4570" s="1"/>
      <c r="C4570" s="1"/>
      <c r="D4570" s="1"/>
      <c r="E4570" s="1"/>
      <c r="F4570" s="1"/>
      <c r="G4570" s="1"/>
      <c r="H4570" s="1"/>
      <c r="I4570" s="1"/>
      <c r="J4570" s="1"/>
      <c r="K4570" s="89" t="s">
        <v>7150</v>
      </c>
      <c r="L4570" s="89" t="str">
        <f>I161</f>
        <v>C2a1a1a1b</v>
      </c>
      <c r="M4570" s="89"/>
      <c r="N4570" s="89"/>
      <c r="O4570" s="92">
        <v>8763632.0</v>
      </c>
      <c r="P4570" s="92">
        <v>8895591.0</v>
      </c>
      <c r="Q4570" s="89" t="s">
        <v>810</v>
      </c>
      <c r="AF4570" s="1"/>
      <c r="AG4570" s="1"/>
    </row>
    <row r="4571" ht="15.75" customHeight="1">
      <c r="A4571" s="1"/>
      <c r="B4571" s="1"/>
      <c r="C4571" s="1"/>
      <c r="D4571" s="1"/>
      <c r="E4571" s="1"/>
      <c r="F4571" s="1"/>
      <c r="G4571" s="1"/>
      <c r="H4571" s="1"/>
      <c r="I4571" s="1"/>
      <c r="J4571" s="1"/>
      <c r="K4571" s="89" t="s">
        <v>7151</v>
      </c>
      <c r="L4571" s="89" t="str">
        <f>I161</f>
        <v>C2a1a1a1b</v>
      </c>
      <c r="M4571" s="89"/>
      <c r="N4571" s="89"/>
      <c r="O4571" s="92">
        <v>1.4096488E7</v>
      </c>
      <c r="P4571" s="92">
        <v>1.1975782E7</v>
      </c>
      <c r="Q4571" s="89" t="s">
        <v>810</v>
      </c>
      <c r="AF4571" s="1"/>
      <c r="AG4571" s="1"/>
    </row>
    <row r="4572" ht="15.75" customHeight="1">
      <c r="A4572" s="1"/>
      <c r="B4572" s="1"/>
      <c r="C4572" s="1"/>
      <c r="D4572" s="1"/>
      <c r="E4572" s="1"/>
      <c r="F4572" s="1"/>
      <c r="G4572" s="1"/>
      <c r="H4572" s="1"/>
      <c r="I4572" s="1"/>
      <c r="J4572" s="1"/>
      <c r="K4572" s="89" t="s">
        <v>7152</v>
      </c>
      <c r="L4572" s="89" t="str">
        <f>I161</f>
        <v>C2a1a1a1b</v>
      </c>
      <c r="M4572" s="89"/>
      <c r="N4572" s="89"/>
      <c r="O4572" s="92">
        <v>1.9370684E7</v>
      </c>
      <c r="P4572" s="92">
        <v>1.7258804E7</v>
      </c>
      <c r="Q4572" s="89" t="s">
        <v>838</v>
      </c>
      <c r="AF4572" s="1"/>
      <c r="AG4572" s="1"/>
    </row>
    <row r="4573" ht="15.75" customHeight="1">
      <c r="A4573" s="1"/>
      <c r="B4573" s="1"/>
      <c r="C4573" s="1"/>
      <c r="D4573" s="1"/>
      <c r="E4573" s="1"/>
      <c r="F4573" s="1"/>
      <c r="G4573" s="1"/>
      <c r="H4573" s="1"/>
      <c r="I4573" s="1"/>
      <c r="J4573" s="1"/>
      <c r="K4573" s="89" t="s">
        <v>7153</v>
      </c>
      <c r="L4573" s="89" t="str">
        <f>I161</f>
        <v>C2a1a1a1b</v>
      </c>
      <c r="M4573" s="89"/>
      <c r="N4573" s="89"/>
      <c r="O4573" s="92">
        <v>2.1492268E7</v>
      </c>
      <c r="P4573" s="92">
        <v>1.9330382E7</v>
      </c>
      <c r="Q4573" s="89" t="s">
        <v>813</v>
      </c>
      <c r="AF4573" s="1"/>
      <c r="AG4573" s="1"/>
    </row>
    <row r="4574" ht="15.75" customHeight="1">
      <c r="A4574" s="1"/>
      <c r="B4574" s="1"/>
      <c r="C4574" s="1"/>
      <c r="D4574" s="1"/>
      <c r="E4574" s="1"/>
      <c r="F4574" s="1"/>
      <c r="G4574" s="1"/>
      <c r="H4574" s="1"/>
      <c r="I4574" s="1"/>
      <c r="J4574" s="1"/>
      <c r="K4574" s="89" t="s">
        <v>7154</v>
      </c>
      <c r="L4574" s="89" t="str">
        <f>I161</f>
        <v>C2a1a1a1b</v>
      </c>
      <c r="M4574" s="89"/>
      <c r="N4574" s="89"/>
      <c r="O4574" s="92">
        <v>2.2860774E7</v>
      </c>
      <c r="P4574" s="92">
        <v>2.0698888E7</v>
      </c>
      <c r="Q4574" s="89" t="s">
        <v>879</v>
      </c>
      <c r="AF4574" s="1"/>
      <c r="AG4574" s="1"/>
    </row>
    <row r="4575" ht="15.75" customHeight="1">
      <c r="A4575" s="1"/>
      <c r="B4575" s="1"/>
      <c r="C4575" s="1"/>
      <c r="D4575" s="1"/>
      <c r="E4575" s="1"/>
      <c r="F4575" s="1"/>
      <c r="G4575" s="1"/>
      <c r="H4575" s="1"/>
      <c r="I4575" s="1"/>
      <c r="J4575" s="1"/>
      <c r="K4575" s="89" t="s">
        <v>7155</v>
      </c>
      <c r="L4575" s="89" t="str">
        <f>I161</f>
        <v>C2a1a1a1b</v>
      </c>
      <c r="M4575" s="89"/>
      <c r="N4575" s="89"/>
      <c r="O4575" s="92">
        <v>8272495.0</v>
      </c>
      <c r="P4575" s="92">
        <v>8404454.0</v>
      </c>
      <c r="Q4575" s="89" t="s">
        <v>838</v>
      </c>
      <c r="AF4575" s="1"/>
      <c r="AG4575" s="1"/>
    </row>
    <row r="4576" ht="15.75" customHeight="1">
      <c r="A4576" s="1"/>
      <c r="B4576" s="1"/>
      <c r="C4576" s="1"/>
      <c r="D4576" s="1"/>
      <c r="E4576" s="1"/>
      <c r="F4576" s="1"/>
      <c r="G4576" s="1"/>
      <c r="H4576" s="1"/>
      <c r="I4576" s="1"/>
      <c r="J4576" s="1"/>
      <c r="K4576" s="89" t="s">
        <v>7156</v>
      </c>
      <c r="L4576" s="89" t="str">
        <f>I161</f>
        <v>C2a1a1a1b</v>
      </c>
      <c r="M4576" s="89"/>
      <c r="N4576" s="89" t="s">
        <v>7157</v>
      </c>
      <c r="O4576" s="92">
        <v>9874646.0</v>
      </c>
      <c r="P4576" s="92">
        <v>1.0037037E7</v>
      </c>
      <c r="Q4576" s="89" t="s">
        <v>810</v>
      </c>
      <c r="AF4576" s="1"/>
      <c r="AG4576" s="1"/>
    </row>
    <row r="4577" ht="15.75" customHeight="1">
      <c r="A4577" s="1"/>
      <c r="B4577" s="1"/>
      <c r="C4577" s="1"/>
      <c r="D4577" s="1"/>
      <c r="E4577" s="1"/>
      <c r="F4577" s="1"/>
      <c r="G4577" s="1"/>
      <c r="H4577" s="1"/>
      <c r="I4577" s="1"/>
      <c r="J4577" s="1"/>
      <c r="K4577" s="89" t="s">
        <v>7158</v>
      </c>
      <c r="L4577" s="89" t="str">
        <f>I161</f>
        <v>C2a1a1a1b</v>
      </c>
      <c r="M4577" s="89"/>
      <c r="N4577" s="89" t="s">
        <v>7159</v>
      </c>
      <c r="O4577" s="92">
        <v>1.5789482E7</v>
      </c>
      <c r="P4577" s="92">
        <v>1.3677602E7</v>
      </c>
      <c r="Q4577" s="89" t="s">
        <v>879</v>
      </c>
      <c r="AF4577" s="1"/>
      <c r="AG4577" s="1"/>
    </row>
    <row r="4578" ht="15.75" customHeight="1">
      <c r="A4578" s="1"/>
      <c r="B4578" s="1"/>
      <c r="C4578" s="1"/>
      <c r="D4578" s="1"/>
      <c r="E4578" s="1"/>
      <c r="F4578" s="1"/>
      <c r="G4578" s="1"/>
      <c r="H4578" s="1"/>
      <c r="I4578" s="1"/>
      <c r="J4578" s="1"/>
      <c r="K4578" s="89" t="s">
        <v>7160</v>
      </c>
      <c r="L4578" s="89" t="str">
        <f>J162</f>
        <v>C2a1a1a1b1~</v>
      </c>
      <c r="M4578" s="89"/>
      <c r="N4578" s="89"/>
      <c r="O4578" s="92">
        <v>6706604.0</v>
      </c>
      <c r="P4578" s="92">
        <v>6838563.0</v>
      </c>
      <c r="Q4578" s="89" t="s">
        <v>838</v>
      </c>
      <c r="AF4578" s="1"/>
      <c r="AG4578" s="1"/>
    </row>
    <row r="4579" ht="15.75" customHeight="1">
      <c r="A4579" s="1"/>
      <c r="B4579" s="1"/>
      <c r="C4579" s="1"/>
      <c r="D4579" s="1"/>
      <c r="E4579" s="1"/>
      <c r="F4579" s="1"/>
      <c r="G4579" s="1"/>
      <c r="H4579" s="1"/>
      <c r="I4579" s="1"/>
      <c r="J4579" s="1"/>
      <c r="K4579" s="89" t="s">
        <v>7161</v>
      </c>
      <c r="L4579" s="89" t="str">
        <f>J162</f>
        <v>C2a1a1a1b1~</v>
      </c>
      <c r="M4579" s="89"/>
      <c r="N4579" s="89"/>
      <c r="O4579" s="92">
        <v>7190078.0</v>
      </c>
      <c r="P4579" s="92">
        <v>7322037.0</v>
      </c>
      <c r="Q4579" s="89" t="s">
        <v>864</v>
      </c>
      <c r="AF4579" s="1"/>
      <c r="AG4579" s="1"/>
    </row>
    <row r="4580" ht="15.75" customHeight="1">
      <c r="A4580" s="1"/>
      <c r="B4580" s="1"/>
      <c r="C4580" s="1"/>
      <c r="D4580" s="1"/>
      <c r="E4580" s="1"/>
      <c r="F4580" s="1"/>
      <c r="G4580" s="1"/>
      <c r="H4580" s="1"/>
      <c r="I4580" s="1"/>
      <c r="J4580" s="1"/>
      <c r="K4580" s="89" t="s">
        <v>7162</v>
      </c>
      <c r="L4580" s="89" t="str">
        <f>J162</f>
        <v>C2a1a1a1b1~</v>
      </c>
      <c r="M4580" s="89"/>
      <c r="N4580" s="89"/>
      <c r="O4580" s="92">
        <v>7365117.0</v>
      </c>
      <c r="P4580" s="92">
        <v>7497076.0</v>
      </c>
      <c r="Q4580" s="89" t="s">
        <v>838</v>
      </c>
      <c r="AF4580" s="1"/>
      <c r="AG4580" s="1"/>
    </row>
    <row r="4581" ht="15.75" customHeight="1">
      <c r="A4581" s="1"/>
      <c r="B4581" s="1"/>
      <c r="C4581" s="1"/>
      <c r="D4581" s="1"/>
      <c r="E4581" s="1"/>
      <c r="F4581" s="1"/>
      <c r="G4581" s="1"/>
      <c r="H4581" s="1"/>
      <c r="I4581" s="1"/>
      <c r="J4581" s="1"/>
      <c r="K4581" s="89" t="s">
        <v>7163</v>
      </c>
      <c r="L4581" s="89" t="str">
        <f t="shared" ref="L4581:L4582" si="34">J162</f>
        <v>C2a1a1a1b1~</v>
      </c>
      <c r="M4581" s="89"/>
      <c r="N4581" s="89"/>
      <c r="O4581" s="92">
        <v>8650928.0</v>
      </c>
      <c r="P4581" s="92">
        <v>8782887.0</v>
      </c>
      <c r="Q4581" s="89" t="s">
        <v>822</v>
      </c>
      <c r="AF4581" s="1"/>
      <c r="AG4581" s="1"/>
    </row>
    <row r="4582" ht="15.75" customHeight="1">
      <c r="A4582" s="1"/>
      <c r="B4582" s="1"/>
      <c r="C4582" s="1"/>
      <c r="D4582" s="1"/>
      <c r="E4582" s="1"/>
      <c r="F4582" s="1"/>
      <c r="G4582" s="1"/>
      <c r="H4582" s="1"/>
      <c r="I4582" s="1"/>
      <c r="J4582" s="1"/>
      <c r="K4582" s="89" t="s">
        <v>7164</v>
      </c>
      <c r="L4582" s="89" t="str">
        <f t="shared" si="34"/>
        <v>C2a1a1a1b2~</v>
      </c>
      <c r="M4582" s="89"/>
      <c r="N4582" s="89"/>
      <c r="O4582" s="92">
        <v>7064361.0</v>
      </c>
      <c r="P4582" s="92">
        <v>7196320.0</v>
      </c>
      <c r="Q4582" s="89" t="s">
        <v>845</v>
      </c>
      <c r="AF4582" s="1"/>
      <c r="AG4582" s="1"/>
    </row>
    <row r="4583" ht="15.75" customHeight="1">
      <c r="A4583" s="1"/>
      <c r="B4583" s="1"/>
      <c r="C4583" s="1"/>
      <c r="D4583" s="1"/>
      <c r="E4583" s="1"/>
      <c r="F4583" s="1"/>
      <c r="G4583" s="1"/>
      <c r="H4583" s="1"/>
      <c r="I4583" s="1"/>
      <c r="J4583" s="1"/>
      <c r="K4583" s="89" t="s">
        <v>7165</v>
      </c>
      <c r="L4583" s="89" t="str">
        <f>J163</f>
        <v>C2a1a1a1b2~</v>
      </c>
      <c r="M4583" s="89"/>
      <c r="N4583" s="89"/>
      <c r="O4583" s="92">
        <v>7429132.0</v>
      </c>
      <c r="P4583" s="92">
        <v>7561091.0</v>
      </c>
      <c r="Q4583" s="89" t="s">
        <v>838</v>
      </c>
      <c r="AF4583" s="1"/>
      <c r="AG4583" s="1"/>
    </row>
    <row r="4584" ht="15.75" customHeight="1">
      <c r="A4584" s="1"/>
      <c r="B4584" s="1"/>
      <c r="C4584" s="1"/>
      <c r="D4584" s="1"/>
      <c r="E4584" s="1"/>
      <c r="F4584" s="1"/>
      <c r="G4584" s="1"/>
      <c r="H4584" s="1"/>
      <c r="I4584" s="1"/>
      <c r="J4584" s="1"/>
      <c r="K4584" s="89" t="s">
        <v>7166</v>
      </c>
      <c r="L4584" s="89" t="str">
        <f>J163</f>
        <v>C2a1a1a1b2~</v>
      </c>
      <c r="M4584" s="89"/>
      <c r="N4584" s="89"/>
      <c r="O4584" s="92">
        <v>7980015.0</v>
      </c>
      <c r="P4584" s="92">
        <v>8111974.0</v>
      </c>
      <c r="Q4584" s="89" t="s">
        <v>822</v>
      </c>
      <c r="AF4584" s="1"/>
      <c r="AG4584" s="1"/>
    </row>
    <row r="4585" ht="15.75" customHeight="1">
      <c r="A4585" s="1"/>
      <c r="B4585" s="1"/>
      <c r="C4585" s="1"/>
      <c r="D4585" s="1"/>
      <c r="E4585" s="1"/>
      <c r="F4585" s="1"/>
      <c r="G4585" s="1"/>
      <c r="H4585" s="1"/>
      <c r="I4585" s="1"/>
      <c r="J4585" s="1"/>
      <c r="K4585" s="89" t="s">
        <v>7167</v>
      </c>
      <c r="L4585" s="89" t="str">
        <f>J163</f>
        <v>C2a1a1a1b2~</v>
      </c>
      <c r="M4585" s="89"/>
      <c r="N4585" s="89"/>
      <c r="O4585" s="92">
        <v>8023742.0</v>
      </c>
      <c r="P4585" s="92">
        <v>8155701.0</v>
      </c>
      <c r="Q4585" s="89" t="s">
        <v>822</v>
      </c>
      <c r="AF4585" s="1"/>
      <c r="AG4585" s="1"/>
    </row>
    <row r="4586" ht="15.75" customHeight="1">
      <c r="A4586" s="1"/>
      <c r="B4586" s="1"/>
      <c r="C4586" s="1"/>
      <c r="D4586" s="1"/>
      <c r="E4586" s="1"/>
      <c r="F4586" s="1"/>
      <c r="G4586" s="1"/>
      <c r="H4586" s="1"/>
      <c r="I4586" s="1"/>
      <c r="J4586" s="1"/>
      <c r="K4586" s="89" t="s">
        <v>7168</v>
      </c>
      <c r="L4586" s="89" t="str">
        <f>J163</f>
        <v>C2a1a1a1b2~</v>
      </c>
      <c r="M4586" s="89"/>
      <c r="N4586" s="89"/>
      <c r="O4586" s="92">
        <v>8484964.0</v>
      </c>
      <c r="P4586" s="92">
        <v>8616923.0</v>
      </c>
      <c r="Q4586" s="89" t="s">
        <v>810</v>
      </c>
      <c r="AF4586" s="1"/>
      <c r="AG4586" s="1"/>
    </row>
    <row r="4587" ht="15.75" customHeight="1">
      <c r="A4587" s="1"/>
      <c r="B4587" s="1"/>
      <c r="C4587" s="1"/>
      <c r="D4587" s="1"/>
      <c r="E4587" s="1"/>
      <c r="F4587" s="1"/>
      <c r="G4587" s="1"/>
      <c r="H4587" s="1"/>
      <c r="I4587" s="1"/>
      <c r="J4587" s="1"/>
      <c r="K4587" s="89" t="s">
        <v>290</v>
      </c>
      <c r="L4587" s="89" t="str">
        <f>H164</f>
        <v>C2a1a1a2</v>
      </c>
      <c r="M4587" s="89"/>
      <c r="N4587" s="89"/>
      <c r="O4587" s="92">
        <v>1.4218495E7</v>
      </c>
      <c r="P4587" s="92">
        <v>1.2097789E7</v>
      </c>
      <c r="Q4587" s="89" t="s">
        <v>810</v>
      </c>
      <c r="AF4587" s="1"/>
      <c r="AG4587" s="1"/>
    </row>
    <row r="4588" ht="15.75" customHeight="1">
      <c r="A4588" s="1"/>
      <c r="B4588" s="1"/>
      <c r="C4588" s="1"/>
      <c r="D4588" s="1"/>
      <c r="E4588" s="1"/>
      <c r="F4588" s="1"/>
      <c r="G4588" s="1"/>
      <c r="H4588" s="1"/>
      <c r="I4588" s="1"/>
      <c r="J4588" s="1"/>
      <c r="K4588" s="89" t="s">
        <v>7169</v>
      </c>
      <c r="L4588" s="89" t="str">
        <f>I165</f>
        <v>C2a1a1a2a</v>
      </c>
      <c r="M4588" s="89"/>
      <c r="N4588" s="89" t="s">
        <v>7170</v>
      </c>
      <c r="O4588" s="92">
        <v>1.4310844E7</v>
      </c>
      <c r="P4588" s="92">
        <v>1.2190138E7</v>
      </c>
      <c r="Q4588" s="89" t="s">
        <v>802</v>
      </c>
      <c r="AF4588" s="1"/>
      <c r="AG4588" s="1"/>
    </row>
    <row r="4589" ht="15.75" customHeight="1">
      <c r="A4589" s="1"/>
      <c r="B4589" s="1"/>
      <c r="C4589" s="1"/>
      <c r="D4589" s="1"/>
      <c r="E4589" s="1"/>
      <c r="F4589" s="1"/>
      <c r="G4589" s="1"/>
      <c r="H4589" s="1"/>
      <c r="I4589" s="1"/>
      <c r="J4589" s="1"/>
      <c r="K4589" s="89" t="s">
        <v>7171</v>
      </c>
      <c r="L4589" s="89" t="str">
        <f>I165</f>
        <v>C2a1a1a2a</v>
      </c>
      <c r="M4589" s="89"/>
      <c r="N4589" s="89"/>
      <c r="O4589" s="92">
        <v>1.87606E7</v>
      </c>
      <c r="P4589" s="92">
        <v>1.664872E7</v>
      </c>
      <c r="Q4589" s="89" t="s">
        <v>912</v>
      </c>
      <c r="AF4589" s="1"/>
      <c r="AG4589" s="1"/>
    </row>
    <row r="4590" ht="15.75" customHeight="1">
      <c r="A4590" s="1"/>
      <c r="B4590" s="1"/>
      <c r="C4590" s="1"/>
      <c r="D4590" s="1"/>
      <c r="E4590" s="1"/>
      <c r="F4590" s="1"/>
      <c r="G4590" s="1"/>
      <c r="H4590" s="1"/>
      <c r="I4590" s="1"/>
      <c r="J4590" s="1"/>
      <c r="K4590" s="89" t="s">
        <v>7172</v>
      </c>
      <c r="L4590" s="89" t="str">
        <f>I165</f>
        <v>C2a1a1a2a</v>
      </c>
      <c r="M4590" s="89"/>
      <c r="N4590" s="89" t="s">
        <v>7173</v>
      </c>
      <c r="O4590" s="92">
        <v>2664707.0</v>
      </c>
      <c r="P4590" s="92">
        <v>2796666.0</v>
      </c>
      <c r="Q4590" s="89" t="s">
        <v>822</v>
      </c>
      <c r="AF4590" s="1"/>
      <c r="AG4590" s="1"/>
    </row>
    <row r="4591" ht="15.75" customHeight="1">
      <c r="A4591" s="1"/>
      <c r="B4591" s="1"/>
      <c r="C4591" s="1"/>
      <c r="D4591" s="1"/>
      <c r="E4591" s="1"/>
      <c r="F4591" s="1"/>
      <c r="G4591" s="1"/>
      <c r="H4591" s="1"/>
      <c r="I4591" s="1"/>
      <c r="J4591" s="1"/>
      <c r="K4591" s="93" t="s">
        <v>7174</v>
      </c>
      <c r="L4591" s="89" t="str">
        <f>I165</f>
        <v>C2a1a1a2a</v>
      </c>
      <c r="M4591" s="89"/>
      <c r="N4591" s="89"/>
      <c r="O4591" s="98">
        <v>6950926.0</v>
      </c>
      <c r="P4591" s="97">
        <v>7082885.0</v>
      </c>
      <c r="Q4591" s="93" t="s">
        <v>831</v>
      </c>
      <c r="AF4591" s="1"/>
      <c r="AG4591" s="1"/>
    </row>
    <row r="4592" ht="15.75" customHeight="1">
      <c r="A4592" s="1"/>
      <c r="B4592" s="1"/>
      <c r="C4592" s="1"/>
      <c r="D4592" s="1"/>
      <c r="E4592" s="1"/>
      <c r="F4592" s="1"/>
      <c r="G4592" s="1"/>
      <c r="H4592" s="1"/>
      <c r="I4592" s="1"/>
      <c r="J4592" s="1"/>
      <c r="K4592" s="89" t="s">
        <v>7175</v>
      </c>
      <c r="L4592" s="89" t="str">
        <f>I165</f>
        <v>C2a1a1a2a</v>
      </c>
      <c r="M4592" s="89"/>
      <c r="N4592" s="89" t="s">
        <v>7176</v>
      </c>
      <c r="O4592" s="92">
        <v>6974428.0</v>
      </c>
      <c r="P4592" s="92">
        <v>7106387.0</v>
      </c>
      <c r="Q4592" s="89" t="s">
        <v>822</v>
      </c>
      <c r="AF4592" s="1"/>
      <c r="AG4592" s="1"/>
    </row>
    <row r="4593" ht="15.75" customHeight="1">
      <c r="A4593" s="1"/>
      <c r="B4593" s="1"/>
      <c r="C4593" s="1"/>
      <c r="D4593" s="1"/>
      <c r="E4593" s="1"/>
      <c r="F4593" s="1"/>
      <c r="G4593" s="1"/>
      <c r="H4593" s="1"/>
      <c r="I4593" s="1"/>
      <c r="J4593" s="1"/>
      <c r="K4593" s="89" t="s">
        <v>7177</v>
      </c>
      <c r="L4593" s="89" t="str">
        <f>I165</f>
        <v>C2a1a1a2a</v>
      </c>
      <c r="M4593" s="89"/>
      <c r="N4593" s="89" t="s">
        <v>7178</v>
      </c>
      <c r="O4593" s="92">
        <v>8504007.0</v>
      </c>
      <c r="P4593" s="92">
        <v>8635966.0</v>
      </c>
      <c r="Q4593" s="89" t="s">
        <v>838</v>
      </c>
      <c r="AF4593" s="1"/>
      <c r="AG4593" s="1"/>
    </row>
    <row r="4594" ht="15.75" customHeight="1">
      <c r="A4594" s="1"/>
      <c r="B4594" s="1"/>
      <c r="C4594" s="1"/>
      <c r="D4594" s="1"/>
      <c r="E4594" s="1"/>
      <c r="F4594" s="1"/>
      <c r="G4594" s="1"/>
      <c r="H4594" s="1"/>
      <c r="I4594" s="1"/>
      <c r="J4594" s="1"/>
      <c r="K4594" s="89" t="s">
        <v>7179</v>
      </c>
      <c r="L4594" s="89" t="str">
        <f>I165</f>
        <v>C2a1a1a2a</v>
      </c>
      <c r="M4594" s="89"/>
      <c r="N4594" s="89" t="s">
        <v>7180</v>
      </c>
      <c r="O4594" s="92">
        <v>9102002.0</v>
      </c>
      <c r="P4594" s="92">
        <v>9264393.0</v>
      </c>
      <c r="Q4594" s="89" t="s">
        <v>802</v>
      </c>
      <c r="AF4594" s="1"/>
      <c r="AG4594" s="1"/>
    </row>
    <row r="4595" ht="15.75" customHeight="1">
      <c r="A4595" s="1"/>
      <c r="B4595" s="1"/>
      <c r="C4595" s="1"/>
      <c r="D4595" s="1"/>
      <c r="E4595" s="1"/>
      <c r="F4595" s="1"/>
      <c r="G4595" s="1"/>
      <c r="H4595" s="1"/>
      <c r="I4595" s="1"/>
      <c r="J4595" s="1"/>
      <c r="K4595" s="93" t="s">
        <v>7181</v>
      </c>
      <c r="L4595" s="89" t="str">
        <f>I165</f>
        <v>C2a1a1a2a</v>
      </c>
      <c r="M4595" s="89"/>
      <c r="N4595" s="89"/>
      <c r="O4595" s="98">
        <v>1.5827836E7</v>
      </c>
      <c r="P4595" s="97">
        <v>1.3715956E7</v>
      </c>
      <c r="Q4595" s="93" t="s">
        <v>822</v>
      </c>
      <c r="AF4595" s="1"/>
      <c r="AG4595" s="1"/>
    </row>
    <row r="4596" ht="15.75" customHeight="1">
      <c r="A4596" s="1"/>
      <c r="B4596" s="1"/>
      <c r="C4596" s="1"/>
      <c r="D4596" s="1"/>
      <c r="E4596" s="1"/>
      <c r="F4596" s="1"/>
      <c r="G4596" s="1"/>
      <c r="H4596" s="1"/>
      <c r="I4596" s="1"/>
      <c r="J4596" s="1"/>
      <c r="K4596" s="89" t="s">
        <v>7182</v>
      </c>
      <c r="L4596" s="89" t="str">
        <f>I165</f>
        <v>C2a1a1a2a</v>
      </c>
      <c r="M4596" s="89"/>
      <c r="N4596" s="89" t="s">
        <v>7183</v>
      </c>
      <c r="O4596" s="92">
        <v>1.620443E7</v>
      </c>
      <c r="P4596" s="92">
        <v>1.409255E7</v>
      </c>
      <c r="Q4596" s="89" t="s">
        <v>838</v>
      </c>
      <c r="AF4596" s="1"/>
      <c r="AG4596" s="1"/>
    </row>
    <row r="4597" ht="15.75" customHeight="1">
      <c r="A4597" s="1"/>
      <c r="B4597" s="1"/>
      <c r="C4597" s="1"/>
      <c r="D4597" s="1"/>
      <c r="E4597" s="1"/>
      <c r="F4597" s="1"/>
      <c r="G4597" s="1"/>
      <c r="H4597" s="1"/>
      <c r="I4597" s="1"/>
      <c r="J4597" s="1"/>
      <c r="K4597" s="89" t="s">
        <v>7184</v>
      </c>
      <c r="L4597" s="89" t="str">
        <f>I165</f>
        <v>C2a1a1a2a</v>
      </c>
      <c r="M4597" s="89"/>
      <c r="N4597" s="89" t="s">
        <v>7185</v>
      </c>
      <c r="O4597" s="92">
        <v>1.717069E7</v>
      </c>
      <c r="P4597" s="92">
        <v>1.505881E7</v>
      </c>
      <c r="Q4597" s="89" t="s">
        <v>864</v>
      </c>
      <c r="AF4597" s="1"/>
      <c r="AG4597" s="1"/>
    </row>
    <row r="4598" ht="15.75" customHeight="1">
      <c r="A4598" s="1"/>
      <c r="B4598" s="1"/>
      <c r="C4598" s="1"/>
      <c r="D4598" s="1"/>
      <c r="E4598" s="1"/>
      <c r="F4598" s="1"/>
      <c r="G4598" s="1"/>
      <c r="H4598" s="1"/>
      <c r="I4598" s="1"/>
      <c r="J4598" s="1"/>
      <c r="K4598" s="89" t="s">
        <v>7186</v>
      </c>
      <c r="L4598" s="89" t="str">
        <f>I165</f>
        <v>C2a1a1a2a</v>
      </c>
      <c r="M4598" s="89"/>
      <c r="N4598" s="89" t="s">
        <v>7187</v>
      </c>
      <c r="O4598" s="92">
        <v>1.7768517E7</v>
      </c>
      <c r="P4598" s="92">
        <v>1.5656637E7</v>
      </c>
      <c r="Q4598" s="89" t="s">
        <v>802</v>
      </c>
      <c r="AF4598" s="1"/>
      <c r="AG4598" s="1"/>
    </row>
    <row r="4599" ht="15.75" customHeight="1">
      <c r="A4599" s="1"/>
      <c r="B4599" s="1"/>
      <c r="C4599" s="1"/>
      <c r="D4599" s="1"/>
      <c r="E4599" s="1"/>
      <c r="F4599" s="1"/>
      <c r="G4599" s="1"/>
      <c r="H4599" s="1"/>
      <c r="I4599" s="1"/>
      <c r="J4599" s="1"/>
      <c r="K4599" s="89" t="s">
        <v>7188</v>
      </c>
      <c r="L4599" s="89" t="str">
        <f>I165</f>
        <v>C2a1a1a2a</v>
      </c>
      <c r="M4599" s="89"/>
      <c r="N4599" s="89" t="s">
        <v>7189</v>
      </c>
      <c r="O4599" s="92">
        <v>2.1251092E7</v>
      </c>
      <c r="P4599" s="92">
        <v>1.9089206E7</v>
      </c>
      <c r="Q4599" s="89" t="s">
        <v>838</v>
      </c>
      <c r="AF4599" s="1"/>
      <c r="AG4599" s="1"/>
    </row>
    <row r="4600" ht="15.75" customHeight="1">
      <c r="A4600" s="1"/>
      <c r="B4600" s="1"/>
      <c r="C4600" s="1"/>
      <c r="D4600" s="1"/>
      <c r="E4600" s="1"/>
      <c r="F4600" s="1"/>
      <c r="G4600" s="1"/>
      <c r="H4600" s="1"/>
      <c r="I4600" s="1"/>
      <c r="J4600" s="1"/>
      <c r="K4600" s="89" t="s">
        <v>7190</v>
      </c>
      <c r="L4600" s="89" t="str">
        <f>I165</f>
        <v>C2a1a1a2a</v>
      </c>
      <c r="M4600" s="89"/>
      <c r="N4600" s="89" t="s">
        <v>7191</v>
      </c>
      <c r="O4600" s="92">
        <v>2.2677035E7</v>
      </c>
      <c r="P4600" s="92">
        <v>2.0515149E7</v>
      </c>
      <c r="Q4600" s="89" t="s">
        <v>810</v>
      </c>
      <c r="AF4600" s="1"/>
      <c r="AG4600" s="1"/>
    </row>
    <row r="4601" ht="15.75" customHeight="1">
      <c r="A4601" s="1"/>
      <c r="B4601" s="1"/>
      <c r="C4601" s="1"/>
      <c r="D4601" s="1"/>
      <c r="E4601" s="1"/>
      <c r="F4601" s="1"/>
      <c r="G4601" s="1"/>
      <c r="H4601" s="1"/>
      <c r="I4601" s="1"/>
      <c r="J4601" s="1"/>
      <c r="K4601" s="89" t="s">
        <v>7192</v>
      </c>
      <c r="L4601" s="89" t="str">
        <f>I165</f>
        <v>C2a1a1a2a</v>
      </c>
      <c r="M4601" s="89" t="s">
        <v>7193</v>
      </c>
      <c r="N4601" s="89" t="s">
        <v>7194</v>
      </c>
      <c r="O4601" s="92">
        <v>6871039.0</v>
      </c>
      <c r="P4601" s="92">
        <v>7002998.0</v>
      </c>
      <c r="Q4601" s="89" t="s">
        <v>879</v>
      </c>
      <c r="AF4601" s="1"/>
      <c r="AG4601" s="1"/>
    </row>
    <row r="4602" ht="15.75" customHeight="1">
      <c r="A4602" s="1"/>
      <c r="B4602" s="1"/>
      <c r="C4602" s="1"/>
      <c r="D4602" s="1"/>
      <c r="E4602" s="1"/>
      <c r="F4602" s="1"/>
      <c r="G4602" s="1"/>
      <c r="H4602" s="1"/>
      <c r="I4602" s="1"/>
      <c r="J4602" s="1"/>
      <c r="K4602" s="89" t="s">
        <v>7195</v>
      </c>
      <c r="L4602" s="89" t="str">
        <f>I165</f>
        <v>C2a1a1a2a</v>
      </c>
      <c r="M4602" s="89" t="s">
        <v>7196</v>
      </c>
      <c r="N4602" s="89" t="s">
        <v>7194</v>
      </c>
      <c r="O4602" s="92">
        <v>6871039.0</v>
      </c>
      <c r="P4602" s="92">
        <v>7002998.0</v>
      </c>
      <c r="Q4602" s="89" t="s">
        <v>879</v>
      </c>
      <c r="AF4602" s="1"/>
      <c r="AG4602" s="1"/>
    </row>
    <row r="4603" ht="15.75" customHeight="1">
      <c r="A4603" s="1"/>
      <c r="B4603" s="1"/>
      <c r="C4603" s="1"/>
      <c r="D4603" s="1"/>
      <c r="E4603" s="1"/>
      <c r="F4603" s="1"/>
      <c r="G4603" s="1"/>
      <c r="H4603" s="1"/>
      <c r="I4603" s="1"/>
      <c r="J4603" s="1"/>
      <c r="K4603" s="89" t="s">
        <v>7197</v>
      </c>
      <c r="L4603" s="89" t="str">
        <f>I165</f>
        <v>C2a1a1a2a</v>
      </c>
      <c r="M4603" s="89" t="s">
        <v>7198</v>
      </c>
      <c r="N4603" s="89" t="s">
        <v>7194</v>
      </c>
      <c r="O4603" s="92">
        <v>6871039.0</v>
      </c>
      <c r="P4603" s="92">
        <v>7002998.0</v>
      </c>
      <c r="Q4603" s="89" t="s">
        <v>879</v>
      </c>
      <c r="AF4603" s="1"/>
      <c r="AG4603" s="1"/>
    </row>
    <row r="4604" ht="15.75" customHeight="1">
      <c r="A4604" s="1"/>
      <c r="B4604" s="1"/>
      <c r="C4604" s="1"/>
      <c r="D4604" s="1"/>
      <c r="E4604" s="1"/>
      <c r="F4604" s="1"/>
      <c r="G4604" s="1"/>
      <c r="H4604" s="1"/>
      <c r="I4604" s="1"/>
      <c r="J4604" s="1"/>
      <c r="K4604" s="89" t="s">
        <v>7199</v>
      </c>
      <c r="L4604" s="89" t="str">
        <f>I165</f>
        <v>C2a1a1a2a</v>
      </c>
      <c r="M4604" s="89" t="s">
        <v>7200</v>
      </c>
      <c r="N4604" s="89" t="s">
        <v>7194</v>
      </c>
      <c r="O4604" s="92">
        <v>6871039.0</v>
      </c>
      <c r="P4604" s="92">
        <v>7002998.0</v>
      </c>
      <c r="Q4604" s="89" t="s">
        <v>879</v>
      </c>
      <c r="AF4604" s="1"/>
      <c r="AG4604" s="1"/>
    </row>
    <row r="4605" ht="15.75" customHeight="1">
      <c r="A4605" s="1"/>
      <c r="B4605" s="1"/>
      <c r="C4605" s="1"/>
      <c r="D4605" s="1"/>
      <c r="E4605" s="1"/>
      <c r="F4605" s="1"/>
      <c r="G4605" s="1"/>
      <c r="H4605" s="1"/>
      <c r="I4605" s="1"/>
      <c r="J4605" s="1"/>
      <c r="K4605" s="89" t="s">
        <v>7201</v>
      </c>
      <c r="L4605" s="89" t="str">
        <f>I165</f>
        <v>C2a1a1a2a</v>
      </c>
      <c r="M4605" s="89" t="s">
        <v>7202</v>
      </c>
      <c r="N4605" s="89"/>
      <c r="O4605" s="89">
        <v>7320716.0</v>
      </c>
      <c r="P4605" s="89">
        <v>7452675.0</v>
      </c>
      <c r="Q4605" s="89" t="s">
        <v>822</v>
      </c>
      <c r="AF4605" s="1"/>
      <c r="AG4605" s="1"/>
    </row>
    <row r="4606" ht="15.75" customHeight="1">
      <c r="A4606" s="1"/>
      <c r="B4606" s="1"/>
      <c r="C4606" s="1"/>
      <c r="D4606" s="1"/>
      <c r="E4606" s="1"/>
      <c r="F4606" s="1"/>
      <c r="G4606" s="1"/>
      <c r="H4606" s="1"/>
      <c r="I4606" s="1"/>
      <c r="J4606" s="1"/>
      <c r="K4606" s="89" t="s">
        <v>7203</v>
      </c>
      <c r="L4606" s="89" t="str">
        <f>I165</f>
        <v>C2a1a1a2a</v>
      </c>
      <c r="M4606" s="89" t="s">
        <v>7204</v>
      </c>
      <c r="N4606" s="89"/>
      <c r="O4606" s="89">
        <v>7320716.0</v>
      </c>
      <c r="P4606" s="89">
        <v>7452675.0</v>
      </c>
      <c r="Q4606" s="89" t="s">
        <v>822</v>
      </c>
      <c r="AF4606" s="1"/>
      <c r="AG4606" s="1"/>
    </row>
    <row r="4607" ht="15.75" customHeight="1">
      <c r="A4607" s="1"/>
      <c r="B4607" s="1"/>
      <c r="C4607" s="1"/>
      <c r="D4607" s="1"/>
      <c r="E4607" s="1"/>
      <c r="F4607" s="1"/>
      <c r="G4607" s="1"/>
      <c r="H4607" s="1"/>
      <c r="I4607" s="1"/>
      <c r="J4607" s="1"/>
      <c r="K4607" s="89" t="s">
        <v>7205</v>
      </c>
      <c r="L4607" s="89" t="str">
        <f>I165</f>
        <v>C2a1a1a2a</v>
      </c>
      <c r="M4607" s="89" t="s">
        <v>7206</v>
      </c>
      <c r="N4607" s="89"/>
      <c r="O4607" s="89">
        <v>7320716.0</v>
      </c>
      <c r="P4607" s="89">
        <v>7452675.0</v>
      </c>
      <c r="Q4607" s="89" t="s">
        <v>822</v>
      </c>
      <c r="AF4607" s="1"/>
      <c r="AG4607" s="1"/>
    </row>
    <row r="4608" ht="15.75" customHeight="1">
      <c r="A4608" s="1"/>
      <c r="B4608" s="1"/>
      <c r="C4608" s="1"/>
      <c r="D4608" s="1"/>
      <c r="E4608" s="1"/>
      <c r="F4608" s="1"/>
      <c r="G4608" s="1"/>
      <c r="H4608" s="1"/>
      <c r="I4608" s="1"/>
      <c r="J4608" s="1"/>
      <c r="K4608" s="89" t="s">
        <v>7207</v>
      </c>
      <c r="L4608" s="89" t="str">
        <f>I165</f>
        <v>C2a1a1a2a</v>
      </c>
      <c r="M4608" s="89" t="s">
        <v>7208</v>
      </c>
      <c r="N4608" s="89" t="s">
        <v>7209</v>
      </c>
      <c r="O4608" s="89">
        <v>1.4539762E7</v>
      </c>
      <c r="P4608" s="89">
        <v>1.2427963E7</v>
      </c>
      <c r="Q4608" s="89" t="s">
        <v>838</v>
      </c>
      <c r="AF4608" s="1"/>
      <c r="AG4608" s="1"/>
    </row>
    <row r="4609" ht="15.75" customHeight="1">
      <c r="A4609" s="1"/>
      <c r="B4609" s="1"/>
      <c r="C4609" s="1"/>
      <c r="D4609" s="1"/>
      <c r="E4609" s="1"/>
      <c r="F4609" s="1"/>
      <c r="G4609" s="1"/>
      <c r="H4609" s="1"/>
      <c r="I4609" s="1"/>
      <c r="J4609" s="1"/>
      <c r="K4609" s="89" t="s">
        <v>7210</v>
      </c>
      <c r="L4609" s="89" t="str">
        <f>I165</f>
        <v>C2a1a1a2a</v>
      </c>
      <c r="M4609" s="89" t="s">
        <v>7211</v>
      </c>
      <c r="N4609" s="89" t="s">
        <v>7209</v>
      </c>
      <c r="O4609" s="89">
        <v>1.4539762E7</v>
      </c>
      <c r="P4609" s="89">
        <v>1.2427963E7</v>
      </c>
      <c r="Q4609" s="89" t="s">
        <v>838</v>
      </c>
      <c r="AF4609" s="1"/>
      <c r="AG4609" s="1"/>
    </row>
    <row r="4610" ht="15.75" customHeight="1">
      <c r="A4610" s="1"/>
      <c r="B4610" s="1"/>
      <c r="C4610" s="1"/>
      <c r="D4610" s="1"/>
      <c r="E4610" s="1"/>
      <c r="F4610" s="1"/>
      <c r="G4610" s="1"/>
      <c r="H4610" s="1"/>
      <c r="I4610" s="1"/>
      <c r="J4610" s="1"/>
      <c r="K4610" s="89" t="s">
        <v>7212</v>
      </c>
      <c r="L4610" s="89" t="str">
        <f>I165</f>
        <v>C2a1a1a2a</v>
      </c>
      <c r="M4610" s="89" t="s">
        <v>7213</v>
      </c>
      <c r="N4610" s="89" t="s">
        <v>7209</v>
      </c>
      <c r="O4610" s="89">
        <v>1.4539762E7</v>
      </c>
      <c r="P4610" s="89">
        <v>1.2427963E7</v>
      </c>
      <c r="Q4610" s="89" t="s">
        <v>838</v>
      </c>
      <c r="AF4610" s="1"/>
      <c r="AG4610" s="1"/>
    </row>
    <row r="4611" ht="15.75" customHeight="1">
      <c r="A4611" s="1"/>
      <c r="B4611" s="1"/>
      <c r="C4611" s="1"/>
      <c r="D4611" s="1"/>
      <c r="E4611" s="1"/>
      <c r="F4611" s="1"/>
      <c r="G4611" s="1"/>
      <c r="H4611" s="1"/>
      <c r="I4611" s="1"/>
      <c r="J4611" s="1"/>
      <c r="K4611" s="93" t="s">
        <v>7214</v>
      </c>
      <c r="L4611" s="89" t="str">
        <f>I165</f>
        <v>C2a1a1a2a</v>
      </c>
      <c r="M4611" s="89" t="s">
        <v>7215</v>
      </c>
      <c r="N4611" s="89" t="s">
        <v>7216</v>
      </c>
      <c r="O4611" s="89">
        <v>1.7021598E7</v>
      </c>
      <c r="P4611" s="89">
        <v>1.4909718E7</v>
      </c>
      <c r="Q4611" s="89" t="s">
        <v>838</v>
      </c>
      <c r="AF4611" s="1"/>
      <c r="AG4611" s="1"/>
    </row>
    <row r="4612" ht="15.75" customHeight="1">
      <c r="A4612" s="1"/>
      <c r="B4612" s="1"/>
      <c r="C4612" s="1"/>
      <c r="D4612" s="1"/>
      <c r="E4612" s="1"/>
      <c r="F4612" s="1"/>
      <c r="G4612" s="1"/>
      <c r="H4612" s="1"/>
      <c r="I4612" s="1"/>
      <c r="J4612" s="1"/>
      <c r="K4612" s="89" t="s">
        <v>7217</v>
      </c>
      <c r="L4612" s="89" t="str">
        <f>I165</f>
        <v>C2a1a1a2a</v>
      </c>
      <c r="M4612" s="93" t="s">
        <v>7218</v>
      </c>
      <c r="N4612" s="89" t="s">
        <v>7216</v>
      </c>
      <c r="O4612" s="89">
        <v>1.7021598E7</v>
      </c>
      <c r="P4612" s="89">
        <v>1.4909718E7</v>
      </c>
      <c r="Q4612" s="89" t="s">
        <v>838</v>
      </c>
      <c r="AF4612" s="1"/>
      <c r="AG4612" s="1"/>
    </row>
    <row r="4613" ht="15.75" customHeight="1">
      <c r="A4613" s="1"/>
      <c r="B4613" s="1"/>
      <c r="C4613" s="1"/>
      <c r="D4613" s="1"/>
      <c r="E4613" s="1"/>
      <c r="F4613" s="1"/>
      <c r="G4613" s="1"/>
      <c r="H4613" s="1"/>
      <c r="I4613" s="1"/>
      <c r="J4613" s="1"/>
      <c r="K4613" s="89" t="s">
        <v>7219</v>
      </c>
      <c r="L4613" s="89" t="str">
        <f>I165</f>
        <v>C2a1a1a2a</v>
      </c>
      <c r="M4613" s="93" t="s">
        <v>7220</v>
      </c>
      <c r="N4613" s="89" t="s">
        <v>7216</v>
      </c>
      <c r="O4613" s="89">
        <v>1.7021598E7</v>
      </c>
      <c r="P4613" s="89">
        <v>1.4909718E7</v>
      </c>
      <c r="Q4613" s="89" t="s">
        <v>838</v>
      </c>
      <c r="AF4613" s="1"/>
      <c r="AG4613" s="1"/>
    </row>
    <row r="4614" ht="15.75" customHeight="1">
      <c r="A4614" s="1"/>
      <c r="B4614" s="1"/>
      <c r="C4614" s="1"/>
      <c r="D4614" s="1"/>
      <c r="E4614" s="1"/>
      <c r="F4614" s="1"/>
      <c r="G4614" s="1"/>
      <c r="H4614" s="1"/>
      <c r="I4614" s="1"/>
      <c r="J4614" s="1"/>
      <c r="K4614" s="89" t="s">
        <v>7221</v>
      </c>
      <c r="L4614" s="89" t="str">
        <f>I165</f>
        <v>C2a1a1a2a</v>
      </c>
      <c r="M4614" s="89" t="s">
        <v>7222</v>
      </c>
      <c r="N4614" s="89" t="s">
        <v>7223</v>
      </c>
      <c r="O4614" s="89">
        <v>1.8232422E7</v>
      </c>
      <c r="P4614" s="89">
        <v>1.6120542E7</v>
      </c>
      <c r="Q4614" s="89" t="s">
        <v>886</v>
      </c>
      <c r="AF4614" s="1"/>
      <c r="AG4614" s="1"/>
    </row>
    <row r="4615" ht="15.75" customHeight="1">
      <c r="A4615" s="1"/>
      <c r="B4615" s="1"/>
      <c r="C4615" s="1"/>
      <c r="D4615" s="1"/>
      <c r="E4615" s="1"/>
      <c r="F4615" s="1"/>
      <c r="G4615" s="1"/>
      <c r="H4615" s="1"/>
      <c r="I4615" s="1"/>
      <c r="J4615" s="1"/>
      <c r="K4615" s="89" t="s">
        <v>7224</v>
      </c>
      <c r="L4615" s="89" t="str">
        <f>I165</f>
        <v>C2a1a1a2a</v>
      </c>
      <c r="M4615" s="89" t="s">
        <v>7225</v>
      </c>
      <c r="N4615" s="89" t="s">
        <v>7223</v>
      </c>
      <c r="O4615" s="89">
        <v>1.8232422E7</v>
      </c>
      <c r="P4615" s="89">
        <v>1.6120542E7</v>
      </c>
      <c r="Q4615" s="89" t="s">
        <v>886</v>
      </c>
      <c r="AF4615" s="1"/>
      <c r="AG4615" s="1"/>
    </row>
    <row r="4616" ht="15.75" customHeight="1">
      <c r="A4616" s="1"/>
      <c r="B4616" s="1"/>
      <c r="C4616" s="1"/>
      <c r="D4616" s="1"/>
      <c r="E4616" s="1"/>
      <c r="F4616" s="1"/>
      <c r="G4616" s="1"/>
      <c r="H4616" s="1"/>
      <c r="I4616" s="1"/>
      <c r="J4616" s="1"/>
      <c r="K4616" s="89" t="s">
        <v>7226</v>
      </c>
      <c r="L4616" s="89" t="str">
        <f>I165</f>
        <v>C2a1a1a2a</v>
      </c>
      <c r="M4616" s="89" t="s">
        <v>7227</v>
      </c>
      <c r="N4616" s="89" t="s">
        <v>7223</v>
      </c>
      <c r="O4616" s="89">
        <v>1.8232422E7</v>
      </c>
      <c r="P4616" s="89">
        <v>1.6120542E7</v>
      </c>
      <c r="Q4616" s="89" t="s">
        <v>886</v>
      </c>
      <c r="AF4616" s="1"/>
      <c r="AG4616" s="1"/>
    </row>
    <row r="4617" ht="15.75" customHeight="1">
      <c r="A4617" s="1"/>
      <c r="B4617" s="1"/>
      <c r="C4617" s="1"/>
      <c r="D4617" s="1"/>
      <c r="E4617" s="1"/>
      <c r="F4617" s="1"/>
      <c r="G4617" s="1"/>
      <c r="H4617" s="1"/>
      <c r="I4617" s="1"/>
      <c r="J4617" s="1"/>
      <c r="K4617" s="89" t="s">
        <v>7228</v>
      </c>
      <c r="L4617" s="89" t="str">
        <f>I165</f>
        <v>C2a1a1a2a</v>
      </c>
      <c r="M4617" s="89" t="s">
        <v>7229</v>
      </c>
      <c r="N4617" s="89" t="s">
        <v>7230</v>
      </c>
      <c r="O4617" s="89">
        <v>1.9274747E7</v>
      </c>
      <c r="P4617" s="89">
        <v>1.7162867E7</v>
      </c>
      <c r="Q4617" s="89" t="s">
        <v>813</v>
      </c>
      <c r="AF4617" s="1"/>
      <c r="AG4617" s="1"/>
    </row>
    <row r="4618" ht="15.75" customHeight="1">
      <c r="A4618" s="1"/>
      <c r="B4618" s="1"/>
      <c r="C4618" s="1"/>
      <c r="D4618" s="1"/>
      <c r="E4618" s="1"/>
      <c r="F4618" s="1"/>
      <c r="G4618" s="1"/>
      <c r="H4618" s="1"/>
      <c r="I4618" s="1"/>
      <c r="J4618" s="1"/>
      <c r="K4618" s="89" t="s">
        <v>7231</v>
      </c>
      <c r="L4618" s="89" t="str">
        <f>I165</f>
        <v>C2a1a1a2a</v>
      </c>
      <c r="M4618" s="89" t="s">
        <v>7232</v>
      </c>
      <c r="N4618" s="89" t="s">
        <v>7230</v>
      </c>
      <c r="O4618" s="89">
        <v>1.9274747E7</v>
      </c>
      <c r="P4618" s="89">
        <v>1.7162867E7</v>
      </c>
      <c r="Q4618" s="89" t="s">
        <v>813</v>
      </c>
      <c r="AF4618" s="1"/>
      <c r="AG4618" s="1"/>
    </row>
    <row r="4619" ht="15.75" customHeight="1">
      <c r="A4619" s="1"/>
      <c r="B4619" s="1"/>
      <c r="C4619" s="1"/>
      <c r="D4619" s="1"/>
      <c r="E4619" s="1"/>
      <c r="F4619" s="1"/>
      <c r="G4619" s="1"/>
      <c r="H4619" s="1"/>
      <c r="I4619" s="1"/>
      <c r="J4619" s="1"/>
      <c r="K4619" s="89" t="s">
        <v>7233</v>
      </c>
      <c r="L4619" s="89" t="str">
        <f>I165</f>
        <v>C2a1a1a2a</v>
      </c>
      <c r="M4619" s="89" t="s">
        <v>7234</v>
      </c>
      <c r="N4619" s="89" t="s">
        <v>7230</v>
      </c>
      <c r="O4619" s="89">
        <v>1.9274747E7</v>
      </c>
      <c r="P4619" s="89">
        <v>1.7162867E7</v>
      </c>
      <c r="Q4619" s="89" t="s">
        <v>813</v>
      </c>
      <c r="AF4619" s="1"/>
      <c r="AG4619" s="1"/>
    </row>
    <row r="4620" ht="15.75" customHeight="1">
      <c r="A4620" s="1"/>
      <c r="B4620" s="1"/>
      <c r="C4620" s="1"/>
      <c r="D4620" s="1"/>
      <c r="E4620" s="1"/>
      <c r="F4620" s="1"/>
      <c r="G4620" s="1"/>
      <c r="H4620" s="1"/>
      <c r="I4620" s="1"/>
      <c r="J4620" s="1"/>
      <c r="K4620" s="93" t="s">
        <v>7235</v>
      </c>
      <c r="L4620" s="89" t="str">
        <f>I165</f>
        <v>C2a1a1a2a</v>
      </c>
      <c r="M4620" s="93" t="s">
        <v>7236</v>
      </c>
      <c r="N4620" s="89"/>
      <c r="O4620" s="98">
        <v>1.9423177E7</v>
      </c>
      <c r="P4620" s="97">
        <v>1.7311297E7</v>
      </c>
      <c r="Q4620" s="93" t="s">
        <v>802</v>
      </c>
      <c r="AF4620" s="1"/>
      <c r="AG4620" s="1"/>
    </row>
    <row r="4621" ht="15.75" customHeight="1">
      <c r="A4621" s="1"/>
      <c r="B4621" s="1"/>
      <c r="C4621" s="1"/>
      <c r="D4621" s="1"/>
      <c r="E4621" s="1"/>
      <c r="F4621" s="1"/>
      <c r="G4621" s="1"/>
      <c r="H4621" s="1"/>
      <c r="I4621" s="1"/>
      <c r="J4621" s="1"/>
      <c r="K4621" s="93" t="s">
        <v>7237</v>
      </c>
      <c r="L4621" s="89" t="str">
        <f>I165</f>
        <v>C2a1a1a2a</v>
      </c>
      <c r="M4621" s="93" t="s">
        <v>7238</v>
      </c>
      <c r="N4621" s="89"/>
      <c r="O4621" s="98">
        <v>1.9423177E7</v>
      </c>
      <c r="P4621" s="97">
        <v>1.7311297E7</v>
      </c>
      <c r="Q4621" s="93" t="s">
        <v>802</v>
      </c>
      <c r="AF4621" s="1"/>
      <c r="AG4621" s="1"/>
    </row>
    <row r="4622" ht="15.75" customHeight="1">
      <c r="A4622" s="1"/>
      <c r="B4622" s="1"/>
      <c r="C4622" s="1"/>
      <c r="D4622" s="1"/>
      <c r="E4622" s="1"/>
      <c r="F4622" s="1"/>
      <c r="G4622" s="1"/>
      <c r="H4622" s="1"/>
      <c r="I4622" s="1"/>
      <c r="J4622" s="1"/>
      <c r="K4622" s="93" t="s">
        <v>7239</v>
      </c>
      <c r="L4622" s="89" t="str">
        <f>I165</f>
        <v>C2a1a1a2a</v>
      </c>
      <c r="M4622" s="93" t="s">
        <v>7240</v>
      </c>
      <c r="N4622" s="89"/>
      <c r="O4622" s="98">
        <v>1.9423177E7</v>
      </c>
      <c r="P4622" s="97">
        <v>1.7311297E7</v>
      </c>
      <c r="Q4622" s="93" t="s">
        <v>802</v>
      </c>
      <c r="AF4622" s="1"/>
      <c r="AG4622" s="1"/>
    </row>
    <row r="4623" ht="15.75" customHeight="1">
      <c r="A4623" s="1"/>
      <c r="B4623" s="1"/>
      <c r="C4623" s="1"/>
      <c r="D4623" s="1"/>
      <c r="E4623" s="1"/>
      <c r="F4623" s="1"/>
      <c r="G4623" s="1"/>
      <c r="H4623" s="1"/>
      <c r="I4623" s="1"/>
      <c r="J4623" s="1"/>
      <c r="K4623" s="93" t="s">
        <v>7241</v>
      </c>
      <c r="L4623" s="89" t="str">
        <f>I165</f>
        <v>C2a1a1a2a</v>
      </c>
      <c r="M4623" s="93" t="s">
        <v>7242</v>
      </c>
      <c r="N4623" s="89"/>
      <c r="O4623" s="98">
        <v>1.9423177E7</v>
      </c>
      <c r="P4623" s="97">
        <v>1.7311297E7</v>
      </c>
      <c r="Q4623" s="93" t="s">
        <v>802</v>
      </c>
      <c r="AF4623" s="1"/>
      <c r="AG4623" s="1"/>
    </row>
    <row r="4624" ht="15.75" customHeight="1">
      <c r="A4624" s="1"/>
      <c r="B4624" s="1"/>
      <c r="C4624" s="1"/>
      <c r="D4624" s="1"/>
      <c r="E4624" s="1"/>
      <c r="F4624" s="1"/>
      <c r="G4624" s="1"/>
      <c r="H4624" s="1"/>
      <c r="I4624" s="1"/>
      <c r="J4624" s="1"/>
      <c r="K4624" s="93" t="s">
        <v>7243</v>
      </c>
      <c r="L4624" s="89" t="str">
        <f>I165</f>
        <v>C2a1a1a2a</v>
      </c>
      <c r="M4624" s="93" t="s">
        <v>7244</v>
      </c>
      <c r="N4624" s="89"/>
      <c r="O4624" s="98">
        <v>1.9527803E7</v>
      </c>
      <c r="P4624" s="97">
        <v>1.7415923E7</v>
      </c>
      <c r="Q4624" s="93" t="s">
        <v>838</v>
      </c>
      <c r="AF4624" s="1"/>
      <c r="AG4624" s="1"/>
    </row>
    <row r="4625" ht="15.75" customHeight="1">
      <c r="A4625" s="1"/>
      <c r="B4625" s="1"/>
      <c r="C4625" s="1"/>
      <c r="D4625" s="1"/>
      <c r="E4625" s="1"/>
      <c r="F4625" s="1"/>
      <c r="G4625" s="1"/>
      <c r="H4625" s="1"/>
      <c r="I4625" s="1"/>
      <c r="J4625" s="1"/>
      <c r="K4625" s="93" t="s">
        <v>7245</v>
      </c>
      <c r="L4625" s="89" t="str">
        <f>I165</f>
        <v>C2a1a1a2a</v>
      </c>
      <c r="M4625" s="93" t="s">
        <v>7246</v>
      </c>
      <c r="N4625" s="89"/>
      <c r="O4625" s="98">
        <v>1.9527803E7</v>
      </c>
      <c r="P4625" s="97">
        <v>1.7415923E7</v>
      </c>
      <c r="Q4625" s="93" t="s">
        <v>838</v>
      </c>
      <c r="AF4625" s="1"/>
      <c r="AG4625" s="1"/>
    </row>
    <row r="4626" ht="15.75" customHeight="1">
      <c r="A4626" s="1"/>
      <c r="B4626" s="1"/>
      <c r="C4626" s="1"/>
      <c r="D4626" s="1"/>
      <c r="E4626" s="1"/>
      <c r="F4626" s="1"/>
      <c r="G4626" s="1"/>
      <c r="H4626" s="1"/>
      <c r="I4626" s="1"/>
      <c r="J4626" s="1"/>
      <c r="K4626" s="93" t="s">
        <v>7247</v>
      </c>
      <c r="L4626" s="89" t="str">
        <f>I165</f>
        <v>C2a1a1a2a</v>
      </c>
      <c r="M4626" s="93" t="s">
        <v>7248</v>
      </c>
      <c r="N4626" s="89"/>
      <c r="O4626" s="98">
        <v>1.9527803E7</v>
      </c>
      <c r="P4626" s="97">
        <v>1.7415923E7</v>
      </c>
      <c r="Q4626" s="93" t="s">
        <v>838</v>
      </c>
      <c r="AF4626" s="1"/>
      <c r="AG4626" s="1"/>
    </row>
    <row r="4627" ht="15.75" customHeight="1">
      <c r="A4627" s="1"/>
      <c r="B4627" s="1"/>
      <c r="C4627" s="1"/>
      <c r="D4627" s="1"/>
      <c r="E4627" s="1"/>
      <c r="F4627" s="1"/>
      <c r="G4627" s="1"/>
      <c r="H4627" s="1"/>
      <c r="I4627" s="1"/>
      <c r="J4627" s="1"/>
      <c r="K4627" s="89" t="s">
        <v>7249</v>
      </c>
      <c r="L4627" s="89" t="str">
        <f>I165</f>
        <v>C2a1a1a2a</v>
      </c>
      <c r="M4627" s="89" t="s">
        <v>7250</v>
      </c>
      <c r="N4627" s="89" t="s">
        <v>7251</v>
      </c>
      <c r="O4627" s="89">
        <v>2.2559226E7</v>
      </c>
      <c r="P4627" s="89">
        <v>2.039734E7</v>
      </c>
      <c r="Q4627" s="89" t="s">
        <v>810</v>
      </c>
      <c r="AF4627" s="1"/>
      <c r="AG4627" s="1"/>
    </row>
    <row r="4628" ht="15.75" customHeight="1">
      <c r="A4628" s="1"/>
      <c r="B4628" s="1"/>
      <c r="C4628" s="1"/>
      <c r="D4628" s="1"/>
      <c r="E4628" s="1"/>
      <c r="F4628" s="1"/>
      <c r="G4628" s="1"/>
      <c r="H4628" s="1"/>
      <c r="I4628" s="1"/>
      <c r="J4628" s="1"/>
      <c r="K4628" s="89" t="s">
        <v>7252</v>
      </c>
      <c r="L4628" s="89" t="str">
        <f>I165</f>
        <v>C2a1a1a2a</v>
      </c>
      <c r="M4628" s="89" t="s">
        <v>7253</v>
      </c>
      <c r="N4628" s="89" t="s">
        <v>7251</v>
      </c>
      <c r="O4628" s="89">
        <v>2.2559226E7</v>
      </c>
      <c r="P4628" s="89">
        <v>2.039734E7</v>
      </c>
      <c r="Q4628" s="89" t="s">
        <v>810</v>
      </c>
      <c r="AF4628" s="1"/>
      <c r="AG4628" s="1"/>
    </row>
    <row r="4629" ht="15.75" customHeight="1">
      <c r="A4629" s="1"/>
      <c r="B4629" s="1"/>
      <c r="C4629" s="1"/>
      <c r="D4629" s="1"/>
      <c r="E4629" s="1"/>
      <c r="F4629" s="1"/>
      <c r="G4629" s="1"/>
      <c r="H4629" s="1"/>
      <c r="I4629" s="1"/>
      <c r="J4629" s="1"/>
      <c r="K4629" s="89" t="s">
        <v>7254</v>
      </c>
      <c r="L4629" s="89" t="str">
        <f>I165</f>
        <v>C2a1a1a2a</v>
      </c>
      <c r="M4629" s="89" t="s">
        <v>7255</v>
      </c>
      <c r="N4629" s="89" t="s">
        <v>7251</v>
      </c>
      <c r="O4629" s="89">
        <v>2.2559226E7</v>
      </c>
      <c r="P4629" s="89">
        <v>2.039734E7</v>
      </c>
      <c r="Q4629" s="89" t="s">
        <v>810</v>
      </c>
      <c r="AF4629" s="1"/>
      <c r="AG4629" s="1"/>
    </row>
    <row r="4630" ht="15.75" customHeight="1">
      <c r="A4630" s="1"/>
      <c r="B4630" s="1"/>
      <c r="C4630" s="1"/>
      <c r="D4630" s="1"/>
      <c r="E4630" s="1"/>
      <c r="F4630" s="1"/>
      <c r="G4630" s="1"/>
      <c r="H4630" s="1"/>
      <c r="I4630" s="1"/>
      <c r="J4630" s="1"/>
      <c r="K4630" s="89" t="s">
        <v>7256</v>
      </c>
      <c r="L4630" s="89" t="str">
        <f>I165</f>
        <v>C2a1a1a2a</v>
      </c>
      <c r="M4630" s="89" t="s">
        <v>7257</v>
      </c>
      <c r="N4630" s="89" t="s">
        <v>7258</v>
      </c>
      <c r="O4630" s="92">
        <v>6922023.0</v>
      </c>
      <c r="P4630" s="92">
        <v>7053982.0</v>
      </c>
      <c r="Q4630" s="89" t="s">
        <v>838</v>
      </c>
      <c r="AF4630" s="1"/>
      <c r="AG4630" s="1"/>
    </row>
    <row r="4631" ht="15.75" customHeight="1">
      <c r="A4631" s="1"/>
      <c r="B4631" s="1"/>
      <c r="C4631" s="1"/>
      <c r="D4631" s="1"/>
      <c r="E4631" s="1"/>
      <c r="F4631" s="1"/>
      <c r="G4631" s="1"/>
      <c r="H4631" s="1"/>
      <c r="I4631" s="1"/>
      <c r="J4631" s="1"/>
      <c r="K4631" s="89" t="s">
        <v>7259</v>
      </c>
      <c r="L4631" s="89" t="str">
        <f>I165</f>
        <v>C2a1a1a2a</v>
      </c>
      <c r="M4631" s="89" t="s">
        <v>7260</v>
      </c>
      <c r="N4631" s="89" t="s">
        <v>7258</v>
      </c>
      <c r="O4631" s="92">
        <v>6922023.0</v>
      </c>
      <c r="P4631" s="92">
        <v>7053982.0</v>
      </c>
      <c r="Q4631" s="89" t="s">
        <v>838</v>
      </c>
      <c r="AF4631" s="1"/>
      <c r="AG4631" s="1"/>
    </row>
    <row r="4632" ht="15.75" customHeight="1">
      <c r="A4632" s="1"/>
      <c r="B4632" s="1"/>
      <c r="C4632" s="1"/>
      <c r="D4632" s="1"/>
      <c r="E4632" s="1"/>
      <c r="F4632" s="1"/>
      <c r="G4632" s="1"/>
      <c r="H4632" s="1"/>
      <c r="I4632" s="1"/>
      <c r="J4632" s="1"/>
      <c r="K4632" s="89" t="s">
        <v>7261</v>
      </c>
      <c r="L4632" s="89" t="str">
        <f>I165</f>
        <v>C2a1a1a2a</v>
      </c>
      <c r="M4632" s="89" t="s">
        <v>7262</v>
      </c>
      <c r="N4632" s="89" t="s">
        <v>7258</v>
      </c>
      <c r="O4632" s="92">
        <v>6922023.0</v>
      </c>
      <c r="P4632" s="92">
        <v>7053982.0</v>
      </c>
      <c r="Q4632" s="89" t="s">
        <v>838</v>
      </c>
      <c r="AF4632" s="1"/>
      <c r="AG4632" s="1"/>
    </row>
    <row r="4633" ht="15.75" customHeight="1">
      <c r="A4633" s="1"/>
      <c r="B4633" s="1"/>
      <c r="C4633" s="1"/>
      <c r="D4633" s="1"/>
      <c r="E4633" s="1"/>
      <c r="F4633" s="1"/>
      <c r="G4633" s="1"/>
      <c r="H4633" s="1"/>
      <c r="I4633" s="1"/>
      <c r="J4633" s="1"/>
      <c r="K4633" s="93" t="s">
        <v>7263</v>
      </c>
      <c r="L4633" s="89" t="str">
        <f>I165</f>
        <v>C2a1a1a2a</v>
      </c>
      <c r="M4633" s="89"/>
      <c r="N4633" s="89"/>
      <c r="O4633" s="98">
        <v>6954784.0</v>
      </c>
      <c r="P4633" s="97">
        <v>7086743.0</v>
      </c>
      <c r="Q4633" s="93" t="s">
        <v>810</v>
      </c>
      <c r="AF4633" s="1"/>
      <c r="AG4633" s="1"/>
    </row>
    <row r="4634" ht="15.75" customHeight="1">
      <c r="A4634" s="1"/>
      <c r="B4634" s="1"/>
      <c r="C4634" s="1"/>
      <c r="D4634" s="1"/>
      <c r="E4634" s="1"/>
      <c r="F4634" s="1"/>
      <c r="G4634" s="1"/>
      <c r="H4634" s="1"/>
      <c r="I4634" s="1"/>
      <c r="J4634" s="1"/>
      <c r="K4634" s="89" t="s">
        <v>7264</v>
      </c>
      <c r="L4634" s="89" t="str">
        <f>I165</f>
        <v>C2a1a1a2a</v>
      </c>
      <c r="M4634" s="89" t="s">
        <v>7265</v>
      </c>
      <c r="N4634" s="89"/>
      <c r="O4634" s="92">
        <v>7334532.0</v>
      </c>
      <c r="P4634" s="92">
        <v>7466491.0</v>
      </c>
      <c r="Q4634" s="89" t="s">
        <v>822</v>
      </c>
      <c r="AF4634" s="1"/>
      <c r="AG4634" s="1"/>
    </row>
    <row r="4635" ht="15.75" customHeight="1">
      <c r="A4635" s="1"/>
      <c r="B4635" s="1"/>
      <c r="C4635" s="1"/>
      <c r="D4635" s="1"/>
      <c r="E4635" s="1"/>
      <c r="F4635" s="1"/>
      <c r="G4635" s="1"/>
      <c r="H4635" s="1"/>
      <c r="I4635" s="1"/>
      <c r="J4635" s="1"/>
      <c r="K4635" s="89" t="s">
        <v>7266</v>
      </c>
      <c r="L4635" s="89" t="str">
        <f>I165</f>
        <v>C2a1a1a2a</v>
      </c>
      <c r="M4635" s="89" t="s">
        <v>7267</v>
      </c>
      <c r="N4635" s="89"/>
      <c r="O4635" s="92">
        <v>7334532.0</v>
      </c>
      <c r="P4635" s="92">
        <v>7466491.0</v>
      </c>
      <c r="Q4635" s="89" t="s">
        <v>822</v>
      </c>
      <c r="AF4635" s="1"/>
      <c r="AG4635" s="1"/>
    </row>
    <row r="4636" ht="15.75" customHeight="1">
      <c r="A4636" s="1"/>
      <c r="B4636" s="1"/>
      <c r="C4636" s="1"/>
      <c r="D4636" s="1"/>
      <c r="E4636" s="1"/>
      <c r="F4636" s="1"/>
      <c r="G4636" s="1"/>
      <c r="H4636" s="1"/>
      <c r="I4636" s="1"/>
      <c r="J4636" s="1"/>
      <c r="K4636" s="89" t="s">
        <v>7268</v>
      </c>
      <c r="L4636" s="89" t="str">
        <f>I165</f>
        <v>C2a1a1a2a</v>
      </c>
      <c r="M4636" s="89" t="s">
        <v>7269</v>
      </c>
      <c r="N4636" s="89"/>
      <c r="O4636" s="92">
        <v>7334532.0</v>
      </c>
      <c r="P4636" s="92">
        <v>7466491.0</v>
      </c>
      <c r="Q4636" s="89" t="s">
        <v>822</v>
      </c>
      <c r="AF4636" s="1"/>
      <c r="AG4636" s="1"/>
    </row>
    <row r="4637" ht="15.75" customHeight="1">
      <c r="A4637" s="1"/>
      <c r="B4637" s="1"/>
      <c r="C4637" s="1"/>
      <c r="D4637" s="1"/>
      <c r="E4637" s="1"/>
      <c r="F4637" s="1"/>
      <c r="G4637" s="1"/>
      <c r="H4637" s="1"/>
      <c r="I4637" s="1"/>
      <c r="J4637" s="1"/>
      <c r="K4637" s="89" t="s">
        <v>7270</v>
      </c>
      <c r="L4637" s="89" t="str">
        <f>I165</f>
        <v>C2a1a1a2a</v>
      </c>
      <c r="M4637" s="89" t="s">
        <v>7271</v>
      </c>
      <c r="N4637" s="89" t="s">
        <v>7272</v>
      </c>
      <c r="O4637" s="92">
        <v>7739294.0</v>
      </c>
      <c r="P4637" s="92">
        <v>7871253.0</v>
      </c>
      <c r="Q4637" s="89" t="s">
        <v>912</v>
      </c>
      <c r="AF4637" s="1"/>
      <c r="AG4637" s="1"/>
    </row>
    <row r="4638" ht="15.75" customHeight="1">
      <c r="A4638" s="1"/>
      <c r="B4638" s="1"/>
      <c r="C4638" s="1"/>
      <c r="D4638" s="1"/>
      <c r="E4638" s="1"/>
      <c r="F4638" s="1"/>
      <c r="G4638" s="1"/>
      <c r="H4638" s="1"/>
      <c r="I4638" s="1"/>
      <c r="J4638" s="1"/>
      <c r="K4638" s="89" t="s">
        <v>7273</v>
      </c>
      <c r="L4638" s="89" t="str">
        <f>I165</f>
        <v>C2a1a1a2a</v>
      </c>
      <c r="M4638" s="89" t="s">
        <v>7274</v>
      </c>
      <c r="N4638" s="89" t="s">
        <v>7272</v>
      </c>
      <c r="O4638" s="92">
        <v>7739294.0</v>
      </c>
      <c r="P4638" s="92">
        <v>7871253.0</v>
      </c>
      <c r="Q4638" s="89" t="s">
        <v>912</v>
      </c>
      <c r="AF4638" s="1"/>
      <c r="AG4638" s="1"/>
    </row>
    <row r="4639" ht="15.75" customHeight="1">
      <c r="A4639" s="1"/>
      <c r="B4639" s="1"/>
      <c r="C4639" s="1"/>
      <c r="D4639" s="1"/>
      <c r="E4639" s="1"/>
      <c r="F4639" s="1"/>
      <c r="G4639" s="1"/>
      <c r="H4639" s="1"/>
      <c r="I4639" s="1"/>
      <c r="J4639" s="1"/>
      <c r="K4639" s="89" t="s">
        <v>7275</v>
      </c>
      <c r="L4639" s="89" t="str">
        <f>I165</f>
        <v>C2a1a1a2a</v>
      </c>
      <c r="M4639" s="89" t="s">
        <v>7276</v>
      </c>
      <c r="N4639" s="89" t="s">
        <v>7272</v>
      </c>
      <c r="O4639" s="92">
        <v>7739294.0</v>
      </c>
      <c r="P4639" s="92">
        <v>7871253.0</v>
      </c>
      <c r="Q4639" s="89" t="s">
        <v>912</v>
      </c>
      <c r="AF4639" s="1"/>
      <c r="AG4639" s="1"/>
    </row>
    <row r="4640" ht="15.75" customHeight="1">
      <c r="A4640" s="1"/>
      <c r="B4640" s="1"/>
      <c r="C4640" s="1"/>
      <c r="D4640" s="1"/>
      <c r="E4640" s="1"/>
      <c r="F4640" s="1"/>
      <c r="G4640" s="1"/>
      <c r="H4640" s="1"/>
      <c r="I4640" s="1"/>
      <c r="J4640" s="1"/>
      <c r="K4640" s="89" t="s">
        <v>7277</v>
      </c>
      <c r="L4640" s="89" t="str">
        <f>I165</f>
        <v>C2a1a1a2a</v>
      </c>
      <c r="M4640" s="89" t="s">
        <v>7278</v>
      </c>
      <c r="N4640" s="89" t="s">
        <v>7279</v>
      </c>
      <c r="O4640" s="92">
        <v>8317671.0</v>
      </c>
      <c r="P4640" s="92">
        <v>8449630.0</v>
      </c>
      <c r="Q4640" s="89" t="s">
        <v>813</v>
      </c>
      <c r="AF4640" s="1"/>
      <c r="AG4640" s="1"/>
    </row>
    <row r="4641" ht="15.75" customHeight="1">
      <c r="A4641" s="1"/>
      <c r="B4641" s="1"/>
      <c r="C4641" s="1"/>
      <c r="D4641" s="1"/>
      <c r="E4641" s="1"/>
      <c r="F4641" s="1"/>
      <c r="G4641" s="1"/>
      <c r="H4641" s="1"/>
      <c r="I4641" s="1"/>
      <c r="J4641" s="1"/>
      <c r="K4641" s="89" t="s">
        <v>7280</v>
      </c>
      <c r="L4641" s="89" t="str">
        <f>I165</f>
        <v>C2a1a1a2a</v>
      </c>
      <c r="M4641" s="89" t="s">
        <v>7281</v>
      </c>
      <c r="N4641" s="89" t="s">
        <v>7279</v>
      </c>
      <c r="O4641" s="92">
        <v>8317671.0</v>
      </c>
      <c r="P4641" s="92">
        <v>8449630.0</v>
      </c>
      <c r="Q4641" s="89" t="s">
        <v>813</v>
      </c>
      <c r="AF4641" s="1"/>
      <c r="AG4641" s="1"/>
    </row>
    <row r="4642" ht="15.75" customHeight="1">
      <c r="A4642" s="1"/>
      <c r="B4642" s="1"/>
      <c r="C4642" s="1"/>
      <c r="D4642" s="1"/>
      <c r="E4642" s="1"/>
      <c r="F4642" s="1"/>
      <c r="G4642" s="1"/>
      <c r="H4642" s="1"/>
      <c r="I4642" s="1"/>
      <c r="J4642" s="1"/>
      <c r="K4642" s="89" t="s">
        <v>7282</v>
      </c>
      <c r="L4642" s="89" t="str">
        <f>I165</f>
        <v>C2a1a1a2a</v>
      </c>
      <c r="M4642" s="89" t="s">
        <v>7283</v>
      </c>
      <c r="N4642" s="89" t="s">
        <v>7279</v>
      </c>
      <c r="O4642" s="92">
        <v>8317671.0</v>
      </c>
      <c r="P4642" s="92">
        <v>8449630.0</v>
      </c>
      <c r="Q4642" s="89" t="s">
        <v>813</v>
      </c>
      <c r="AF4642" s="1"/>
      <c r="AG4642" s="1"/>
    </row>
    <row r="4643" ht="15.75" customHeight="1">
      <c r="A4643" s="1"/>
      <c r="B4643" s="1"/>
      <c r="C4643" s="1"/>
      <c r="D4643" s="1"/>
      <c r="E4643" s="1"/>
      <c r="F4643" s="1"/>
      <c r="G4643" s="1"/>
      <c r="H4643" s="1"/>
      <c r="I4643" s="1"/>
      <c r="J4643" s="1"/>
      <c r="K4643" s="89" t="s">
        <v>7284</v>
      </c>
      <c r="L4643" s="89" t="str">
        <f>I165</f>
        <v>C2a1a1a2a</v>
      </c>
      <c r="M4643" s="89" t="s">
        <v>7285</v>
      </c>
      <c r="N4643" s="89"/>
      <c r="O4643" s="92">
        <v>8372708.0</v>
      </c>
      <c r="P4643" s="92">
        <v>8504667.0</v>
      </c>
      <c r="Q4643" s="89" t="s">
        <v>802</v>
      </c>
      <c r="AF4643" s="1"/>
      <c r="AG4643" s="1"/>
    </row>
    <row r="4644" ht="15.75" customHeight="1">
      <c r="A4644" s="1"/>
      <c r="B4644" s="1"/>
      <c r="C4644" s="1"/>
      <c r="D4644" s="1"/>
      <c r="E4644" s="1"/>
      <c r="F4644" s="1"/>
      <c r="G4644" s="1"/>
      <c r="H4644" s="1"/>
      <c r="I4644" s="1"/>
      <c r="J4644" s="1"/>
      <c r="K4644" s="89" t="s">
        <v>7286</v>
      </c>
      <c r="L4644" s="89" t="str">
        <f>I165</f>
        <v>C2a1a1a2a</v>
      </c>
      <c r="M4644" s="89" t="s">
        <v>7287</v>
      </c>
      <c r="N4644" s="89"/>
      <c r="O4644" s="92">
        <v>8372708.0</v>
      </c>
      <c r="P4644" s="92">
        <v>8504667.0</v>
      </c>
      <c r="Q4644" s="89" t="s">
        <v>802</v>
      </c>
      <c r="AF4644" s="1"/>
      <c r="AG4644" s="1"/>
    </row>
    <row r="4645" ht="15.75" customHeight="1">
      <c r="A4645" s="1"/>
      <c r="B4645" s="1"/>
      <c r="C4645" s="1"/>
      <c r="D4645" s="1"/>
      <c r="E4645" s="1"/>
      <c r="F4645" s="1"/>
      <c r="G4645" s="1"/>
      <c r="H4645" s="1"/>
      <c r="I4645" s="1"/>
      <c r="J4645" s="1"/>
      <c r="K4645" s="89" t="s">
        <v>7288</v>
      </c>
      <c r="L4645" s="89" t="str">
        <f>I165</f>
        <v>C2a1a1a2a</v>
      </c>
      <c r="M4645" s="89" t="s">
        <v>7289</v>
      </c>
      <c r="N4645" s="89"/>
      <c r="O4645" s="92">
        <v>8372708.0</v>
      </c>
      <c r="P4645" s="92">
        <v>8504667.0</v>
      </c>
      <c r="Q4645" s="89" t="s">
        <v>802</v>
      </c>
      <c r="AF4645" s="1"/>
      <c r="AG4645" s="1"/>
    </row>
    <row r="4646" ht="15.75" customHeight="1">
      <c r="A4646" s="1"/>
      <c r="B4646" s="1"/>
      <c r="C4646" s="1"/>
      <c r="D4646" s="1"/>
      <c r="E4646" s="1"/>
      <c r="F4646" s="1"/>
      <c r="G4646" s="1"/>
      <c r="H4646" s="1"/>
      <c r="I4646" s="1"/>
      <c r="J4646" s="1"/>
      <c r="K4646" s="89" t="s">
        <v>7290</v>
      </c>
      <c r="L4646" s="89" t="str">
        <f>I165</f>
        <v>C2a1a1a2a</v>
      </c>
      <c r="M4646" s="89" t="s">
        <v>7291</v>
      </c>
      <c r="N4646" s="89" t="s">
        <v>7292</v>
      </c>
      <c r="O4646" s="92">
        <v>8637340.0</v>
      </c>
      <c r="P4646" s="92">
        <v>8769299.0</v>
      </c>
      <c r="Q4646" s="89" t="s">
        <v>802</v>
      </c>
      <c r="AF4646" s="1"/>
      <c r="AG4646" s="1"/>
    </row>
    <row r="4647" ht="15.75" customHeight="1">
      <c r="A4647" s="1"/>
      <c r="B4647" s="1"/>
      <c r="C4647" s="1"/>
      <c r="D4647" s="1"/>
      <c r="E4647" s="1"/>
      <c r="F4647" s="1"/>
      <c r="G4647" s="1"/>
      <c r="H4647" s="1"/>
      <c r="I4647" s="1"/>
      <c r="J4647" s="1"/>
      <c r="K4647" s="89" t="s">
        <v>7293</v>
      </c>
      <c r="L4647" s="89" t="str">
        <f>I165</f>
        <v>C2a1a1a2a</v>
      </c>
      <c r="M4647" s="89" t="s">
        <v>7294</v>
      </c>
      <c r="N4647" s="89" t="s">
        <v>7292</v>
      </c>
      <c r="O4647" s="92">
        <v>8637340.0</v>
      </c>
      <c r="P4647" s="92">
        <v>8769299.0</v>
      </c>
      <c r="Q4647" s="89" t="s">
        <v>802</v>
      </c>
      <c r="AF4647" s="1"/>
      <c r="AG4647" s="1"/>
    </row>
    <row r="4648" ht="15.75" customHeight="1">
      <c r="A4648" s="1"/>
      <c r="B4648" s="1"/>
      <c r="C4648" s="1"/>
      <c r="D4648" s="1"/>
      <c r="E4648" s="1"/>
      <c r="F4648" s="1"/>
      <c r="G4648" s="1"/>
      <c r="H4648" s="1"/>
      <c r="I4648" s="1"/>
      <c r="J4648" s="1"/>
      <c r="K4648" s="89" t="s">
        <v>7295</v>
      </c>
      <c r="L4648" s="89" t="str">
        <f>I165</f>
        <v>C2a1a1a2a</v>
      </c>
      <c r="M4648" s="89" t="s">
        <v>7296</v>
      </c>
      <c r="N4648" s="89" t="s">
        <v>7292</v>
      </c>
      <c r="O4648" s="92">
        <v>8637340.0</v>
      </c>
      <c r="P4648" s="92">
        <v>8769299.0</v>
      </c>
      <c r="Q4648" s="89" t="s">
        <v>802</v>
      </c>
      <c r="AF4648" s="1"/>
      <c r="AG4648" s="1"/>
    </row>
    <row r="4649" ht="15.75" customHeight="1">
      <c r="A4649" s="1"/>
      <c r="B4649" s="1"/>
      <c r="C4649" s="1"/>
      <c r="D4649" s="1"/>
      <c r="E4649" s="1"/>
      <c r="F4649" s="1"/>
      <c r="G4649" s="1"/>
      <c r="H4649" s="1"/>
      <c r="I4649" s="1"/>
      <c r="J4649" s="1"/>
      <c r="K4649" s="89" t="s">
        <v>7297</v>
      </c>
      <c r="L4649" s="89" t="str">
        <f>I165</f>
        <v>C2a1a1a2a</v>
      </c>
      <c r="M4649" s="89" t="s">
        <v>7298</v>
      </c>
      <c r="N4649" s="89"/>
      <c r="O4649" s="92">
        <v>8666949.0</v>
      </c>
      <c r="P4649" s="92">
        <v>8798908.0</v>
      </c>
      <c r="Q4649" s="89" t="s">
        <v>802</v>
      </c>
      <c r="AF4649" s="1"/>
      <c r="AG4649" s="1"/>
    </row>
    <row r="4650" ht="15.75" customHeight="1">
      <c r="A4650" s="1"/>
      <c r="B4650" s="1"/>
      <c r="C4650" s="1"/>
      <c r="D4650" s="1"/>
      <c r="E4650" s="1"/>
      <c r="F4650" s="1"/>
      <c r="G4650" s="1"/>
      <c r="H4650" s="1"/>
      <c r="I4650" s="1"/>
      <c r="J4650" s="1"/>
      <c r="K4650" s="89" t="s">
        <v>7299</v>
      </c>
      <c r="L4650" s="89" t="str">
        <f>I165</f>
        <v>C2a1a1a2a</v>
      </c>
      <c r="M4650" s="89" t="s">
        <v>7300</v>
      </c>
      <c r="N4650" s="89"/>
      <c r="O4650" s="92">
        <v>8666949.0</v>
      </c>
      <c r="P4650" s="92">
        <v>8798908.0</v>
      </c>
      <c r="Q4650" s="89" t="s">
        <v>802</v>
      </c>
      <c r="AF4650" s="1"/>
      <c r="AG4650" s="1"/>
    </row>
    <row r="4651" ht="15.75" customHeight="1">
      <c r="A4651" s="1"/>
      <c r="B4651" s="1"/>
      <c r="C4651" s="1"/>
      <c r="D4651" s="1"/>
      <c r="E4651" s="1"/>
      <c r="F4651" s="1"/>
      <c r="G4651" s="1"/>
      <c r="H4651" s="1"/>
      <c r="I4651" s="1"/>
      <c r="J4651" s="1"/>
      <c r="K4651" s="89" t="s">
        <v>7301</v>
      </c>
      <c r="L4651" s="89" t="str">
        <f>I165</f>
        <v>C2a1a1a2a</v>
      </c>
      <c r="M4651" s="89" t="s">
        <v>7302</v>
      </c>
      <c r="N4651" s="89"/>
      <c r="O4651" s="92">
        <v>8666949.0</v>
      </c>
      <c r="P4651" s="92">
        <v>8798908.0</v>
      </c>
      <c r="Q4651" s="89" t="s">
        <v>802</v>
      </c>
      <c r="AF4651" s="1"/>
      <c r="AG4651" s="1"/>
    </row>
    <row r="4652" ht="15.75" customHeight="1">
      <c r="A4652" s="1"/>
      <c r="B4652" s="1"/>
      <c r="C4652" s="1"/>
      <c r="D4652" s="1"/>
      <c r="E4652" s="1"/>
      <c r="F4652" s="1"/>
      <c r="G4652" s="1"/>
      <c r="H4652" s="1"/>
      <c r="I4652" s="1"/>
      <c r="J4652" s="1"/>
      <c r="K4652" s="89" t="s">
        <v>7303</v>
      </c>
      <c r="L4652" s="89" t="str">
        <f>I165</f>
        <v>C2a1a1a2a</v>
      </c>
      <c r="M4652" s="89" t="s">
        <v>7304</v>
      </c>
      <c r="N4652" s="89" t="s">
        <v>7305</v>
      </c>
      <c r="O4652" s="92">
        <v>8714839.0</v>
      </c>
      <c r="P4652" s="92">
        <v>8846798.0</v>
      </c>
      <c r="Q4652" s="89" t="s">
        <v>822</v>
      </c>
      <c r="AF4652" s="1"/>
      <c r="AG4652" s="1"/>
    </row>
    <row r="4653" ht="15.75" customHeight="1">
      <c r="A4653" s="1"/>
      <c r="B4653" s="1"/>
      <c r="C4653" s="1"/>
      <c r="D4653" s="1"/>
      <c r="E4653" s="1"/>
      <c r="F4653" s="1"/>
      <c r="G4653" s="1"/>
      <c r="H4653" s="1"/>
      <c r="I4653" s="1"/>
      <c r="J4653" s="1"/>
      <c r="K4653" s="89" t="s">
        <v>7306</v>
      </c>
      <c r="L4653" s="89" t="str">
        <f>I165</f>
        <v>C2a1a1a2a</v>
      </c>
      <c r="M4653" s="89" t="s">
        <v>7307</v>
      </c>
      <c r="N4653" s="89" t="s">
        <v>7305</v>
      </c>
      <c r="O4653" s="92">
        <v>8714839.0</v>
      </c>
      <c r="P4653" s="92">
        <v>8846798.0</v>
      </c>
      <c r="Q4653" s="89" t="s">
        <v>822</v>
      </c>
      <c r="AF4653" s="1"/>
      <c r="AG4653" s="1"/>
    </row>
    <row r="4654" ht="15.75" customHeight="1">
      <c r="A4654" s="1"/>
      <c r="B4654" s="1"/>
      <c r="C4654" s="1"/>
      <c r="D4654" s="1"/>
      <c r="E4654" s="1"/>
      <c r="F4654" s="1"/>
      <c r="G4654" s="1"/>
      <c r="H4654" s="1"/>
      <c r="I4654" s="1"/>
      <c r="J4654" s="1"/>
      <c r="K4654" s="89" t="s">
        <v>7308</v>
      </c>
      <c r="L4654" s="89" t="str">
        <f>I165</f>
        <v>C2a1a1a2a</v>
      </c>
      <c r="M4654" s="89" t="s">
        <v>7309</v>
      </c>
      <c r="N4654" s="89" t="s">
        <v>7305</v>
      </c>
      <c r="O4654" s="92">
        <v>8714839.0</v>
      </c>
      <c r="P4654" s="92">
        <v>8846798.0</v>
      </c>
      <c r="Q4654" s="89" t="s">
        <v>822</v>
      </c>
      <c r="AF4654" s="1"/>
      <c r="AG4654" s="1"/>
    </row>
    <row r="4655" ht="15.75" customHeight="1">
      <c r="A4655" s="1"/>
      <c r="B4655" s="1"/>
      <c r="C4655" s="1"/>
      <c r="D4655" s="1"/>
      <c r="E4655" s="1"/>
      <c r="F4655" s="1"/>
      <c r="G4655" s="1"/>
      <c r="H4655" s="1"/>
      <c r="I4655" s="1"/>
      <c r="J4655" s="1"/>
      <c r="K4655" s="89" t="s">
        <v>7310</v>
      </c>
      <c r="L4655" s="89" t="str">
        <f>I165</f>
        <v>C2a1a1a2a</v>
      </c>
      <c r="M4655" s="89" t="s">
        <v>7311</v>
      </c>
      <c r="N4655" s="89"/>
      <c r="O4655" s="92">
        <v>8771416.0</v>
      </c>
      <c r="P4655" s="92">
        <v>8903375.0</v>
      </c>
      <c r="Q4655" s="89" t="s">
        <v>802</v>
      </c>
      <c r="AF4655" s="1"/>
      <c r="AG4655" s="1"/>
    </row>
    <row r="4656" ht="15.75" customHeight="1">
      <c r="A4656" s="1"/>
      <c r="B4656" s="1"/>
      <c r="C4656" s="1"/>
      <c r="D4656" s="1"/>
      <c r="E4656" s="1"/>
      <c r="F4656" s="1"/>
      <c r="G4656" s="1"/>
      <c r="H4656" s="1"/>
      <c r="I4656" s="1"/>
      <c r="J4656" s="1"/>
      <c r="K4656" s="89" t="s">
        <v>7312</v>
      </c>
      <c r="L4656" s="89" t="str">
        <f>I165</f>
        <v>C2a1a1a2a</v>
      </c>
      <c r="M4656" s="89" t="s">
        <v>7313</v>
      </c>
      <c r="N4656" s="89"/>
      <c r="O4656" s="92">
        <v>8771416.0</v>
      </c>
      <c r="P4656" s="92">
        <v>8903375.0</v>
      </c>
      <c r="Q4656" s="89" t="s">
        <v>802</v>
      </c>
      <c r="AF4656" s="1"/>
      <c r="AG4656" s="1"/>
    </row>
    <row r="4657" ht="15.75" customHeight="1">
      <c r="A4657" s="1"/>
      <c r="B4657" s="1"/>
      <c r="C4657" s="1"/>
      <c r="D4657" s="1"/>
      <c r="E4657" s="1"/>
      <c r="F4657" s="1"/>
      <c r="G4657" s="1"/>
      <c r="H4657" s="1"/>
      <c r="I4657" s="1"/>
      <c r="J4657" s="1"/>
      <c r="K4657" s="89" t="s">
        <v>7314</v>
      </c>
      <c r="L4657" s="89" t="str">
        <f>I165</f>
        <v>C2a1a1a2a</v>
      </c>
      <c r="M4657" s="89" t="s">
        <v>7315</v>
      </c>
      <c r="N4657" s="89"/>
      <c r="O4657" s="92">
        <v>8771416.0</v>
      </c>
      <c r="P4657" s="92">
        <v>8903375.0</v>
      </c>
      <c r="Q4657" s="89" t="s">
        <v>802</v>
      </c>
      <c r="AF4657" s="1"/>
      <c r="AG4657" s="1"/>
    </row>
    <row r="4658" ht="15.75" customHeight="1">
      <c r="A4658" s="1"/>
      <c r="B4658" s="1"/>
      <c r="C4658" s="1"/>
      <c r="D4658" s="1"/>
      <c r="E4658" s="1"/>
      <c r="F4658" s="1"/>
      <c r="G4658" s="1"/>
      <c r="H4658" s="1"/>
      <c r="I4658" s="1"/>
      <c r="J4658" s="1"/>
      <c r="K4658" s="89" t="s">
        <v>7316</v>
      </c>
      <c r="L4658" s="89" t="str">
        <f>I165</f>
        <v>C2a1a1a2a</v>
      </c>
      <c r="M4658" s="89" t="s">
        <v>7317</v>
      </c>
      <c r="N4658" s="89" t="s">
        <v>7318</v>
      </c>
      <c r="O4658" s="92">
        <v>9379409.0</v>
      </c>
      <c r="P4658" s="92">
        <v>9541800.0</v>
      </c>
      <c r="Q4658" s="89" t="s">
        <v>831</v>
      </c>
      <c r="AF4658" s="1"/>
      <c r="AG4658" s="1"/>
    </row>
    <row r="4659" ht="15.75" customHeight="1">
      <c r="A4659" s="1"/>
      <c r="B4659" s="1"/>
      <c r="C4659" s="1"/>
      <c r="D4659" s="1"/>
      <c r="E4659" s="1"/>
      <c r="F4659" s="1"/>
      <c r="G4659" s="1"/>
      <c r="H4659" s="1"/>
      <c r="I4659" s="1"/>
      <c r="J4659" s="1"/>
      <c r="K4659" s="89" t="s">
        <v>7319</v>
      </c>
      <c r="L4659" s="89" t="str">
        <f>I165</f>
        <v>C2a1a1a2a</v>
      </c>
      <c r="M4659" s="89" t="s">
        <v>7320</v>
      </c>
      <c r="N4659" s="89" t="s">
        <v>7318</v>
      </c>
      <c r="O4659" s="92">
        <v>9379409.0</v>
      </c>
      <c r="P4659" s="92">
        <v>9541800.0</v>
      </c>
      <c r="Q4659" s="89" t="s">
        <v>831</v>
      </c>
      <c r="AF4659" s="1"/>
      <c r="AG4659" s="1"/>
    </row>
    <row r="4660" ht="15.75" customHeight="1">
      <c r="A4660" s="1"/>
      <c r="B4660" s="1"/>
      <c r="C4660" s="1"/>
      <c r="D4660" s="1"/>
      <c r="E4660" s="1"/>
      <c r="F4660" s="1"/>
      <c r="G4660" s="1"/>
      <c r="H4660" s="1"/>
      <c r="I4660" s="1"/>
      <c r="J4660" s="1"/>
      <c r="K4660" s="89" t="s">
        <v>7321</v>
      </c>
      <c r="L4660" s="89" t="str">
        <f>I165</f>
        <v>C2a1a1a2a</v>
      </c>
      <c r="M4660" s="89" t="s">
        <v>7322</v>
      </c>
      <c r="N4660" s="89" t="s">
        <v>7318</v>
      </c>
      <c r="O4660" s="92">
        <v>9379409.0</v>
      </c>
      <c r="P4660" s="92">
        <v>9541800.0</v>
      </c>
      <c r="Q4660" s="89" t="s">
        <v>831</v>
      </c>
      <c r="AF4660" s="1"/>
      <c r="AG4660" s="1"/>
    </row>
    <row r="4661" ht="15.75" customHeight="1">
      <c r="A4661" s="1"/>
      <c r="B4661" s="1"/>
      <c r="C4661" s="1"/>
      <c r="D4661" s="1"/>
      <c r="E4661" s="1"/>
      <c r="F4661" s="1"/>
      <c r="G4661" s="1"/>
      <c r="H4661" s="1"/>
      <c r="I4661" s="1"/>
      <c r="J4661" s="1"/>
      <c r="K4661" s="89" t="s">
        <v>7323</v>
      </c>
      <c r="L4661" s="89" t="str">
        <f>I165</f>
        <v>C2a1a1a2a</v>
      </c>
      <c r="M4661" s="89" t="s">
        <v>7324</v>
      </c>
      <c r="N4661" s="89" t="s">
        <v>7325</v>
      </c>
      <c r="O4661" s="92">
        <v>1.3665397E7</v>
      </c>
      <c r="P4661" s="92">
        <v>1.1509721E7</v>
      </c>
      <c r="Q4661" s="89" t="s">
        <v>810</v>
      </c>
      <c r="AF4661" s="1"/>
      <c r="AG4661" s="1"/>
    </row>
    <row r="4662" ht="15.75" customHeight="1">
      <c r="A4662" s="1"/>
      <c r="B4662" s="1"/>
      <c r="C4662" s="1"/>
      <c r="D4662" s="1"/>
      <c r="E4662" s="1"/>
      <c r="F4662" s="1"/>
      <c r="G4662" s="1"/>
      <c r="H4662" s="1"/>
      <c r="I4662" s="1"/>
      <c r="J4662" s="1"/>
      <c r="K4662" s="89" t="s">
        <v>7324</v>
      </c>
      <c r="L4662" s="89" t="str">
        <f>I165</f>
        <v>C2a1a1a2a</v>
      </c>
      <c r="M4662" s="89" t="s">
        <v>7323</v>
      </c>
      <c r="N4662" s="89" t="s">
        <v>7325</v>
      </c>
      <c r="O4662" s="92">
        <v>1.3665397E7</v>
      </c>
      <c r="P4662" s="92">
        <v>1.1509721E7</v>
      </c>
      <c r="Q4662" s="89" t="s">
        <v>810</v>
      </c>
      <c r="AF4662" s="1"/>
      <c r="AG4662" s="1"/>
    </row>
    <row r="4663" ht="15.75" customHeight="1">
      <c r="A4663" s="1"/>
      <c r="B4663" s="1"/>
      <c r="C4663" s="1"/>
      <c r="D4663" s="1"/>
      <c r="E4663" s="1"/>
      <c r="F4663" s="1"/>
      <c r="G4663" s="1"/>
      <c r="H4663" s="1"/>
      <c r="I4663" s="1"/>
      <c r="J4663" s="1"/>
      <c r="K4663" s="89" t="s">
        <v>7326</v>
      </c>
      <c r="L4663" s="89" t="str">
        <f>I165</f>
        <v>C2a1a1a2a</v>
      </c>
      <c r="M4663" s="89" t="s">
        <v>7327</v>
      </c>
      <c r="N4663" s="89"/>
      <c r="O4663" s="92">
        <v>1.4024138E7</v>
      </c>
      <c r="P4663" s="92">
        <v>1.1903432E7</v>
      </c>
      <c r="Q4663" s="89" t="s">
        <v>802</v>
      </c>
      <c r="AF4663" s="1"/>
      <c r="AG4663" s="1"/>
    </row>
    <row r="4664" ht="15.75" customHeight="1">
      <c r="A4664" s="1"/>
      <c r="B4664" s="1"/>
      <c r="C4664" s="1"/>
      <c r="D4664" s="1"/>
      <c r="E4664" s="1"/>
      <c r="F4664" s="1"/>
      <c r="G4664" s="1"/>
      <c r="H4664" s="1"/>
      <c r="I4664" s="1"/>
      <c r="J4664" s="1"/>
      <c r="K4664" s="89" t="s">
        <v>7328</v>
      </c>
      <c r="L4664" s="89" t="str">
        <f>I165</f>
        <v>C2a1a1a2a</v>
      </c>
      <c r="M4664" s="89" t="s">
        <v>7329</v>
      </c>
      <c r="N4664" s="89"/>
      <c r="O4664" s="92">
        <v>1.4024138E7</v>
      </c>
      <c r="P4664" s="92">
        <v>1.1903432E7</v>
      </c>
      <c r="Q4664" s="89" t="s">
        <v>802</v>
      </c>
      <c r="AF4664" s="1"/>
      <c r="AG4664" s="1"/>
    </row>
    <row r="4665" ht="15.75" customHeight="1">
      <c r="A4665" s="1"/>
      <c r="B4665" s="1"/>
      <c r="C4665" s="1"/>
      <c r="D4665" s="1"/>
      <c r="E4665" s="1"/>
      <c r="F4665" s="1"/>
      <c r="G4665" s="1"/>
      <c r="H4665" s="1"/>
      <c r="I4665" s="1"/>
      <c r="J4665" s="1"/>
      <c r="K4665" s="89" t="s">
        <v>7330</v>
      </c>
      <c r="L4665" s="89" t="str">
        <f>I165</f>
        <v>C2a1a1a2a</v>
      </c>
      <c r="M4665" s="89" t="s">
        <v>7331</v>
      </c>
      <c r="N4665" s="89"/>
      <c r="O4665" s="92">
        <v>1.4024138E7</v>
      </c>
      <c r="P4665" s="92">
        <v>1.1903432E7</v>
      </c>
      <c r="Q4665" s="89" t="s">
        <v>802</v>
      </c>
      <c r="AF4665" s="1"/>
      <c r="AG4665" s="1"/>
    </row>
    <row r="4666" ht="15.75" customHeight="1">
      <c r="A4666" s="1"/>
      <c r="B4666" s="1"/>
      <c r="C4666" s="1"/>
      <c r="D4666" s="1"/>
      <c r="E4666" s="1"/>
      <c r="F4666" s="1"/>
      <c r="G4666" s="1"/>
      <c r="H4666" s="1"/>
      <c r="I4666" s="1"/>
      <c r="J4666" s="1"/>
      <c r="K4666" s="89" t="s">
        <v>7332</v>
      </c>
      <c r="L4666" s="89" t="str">
        <f>I165</f>
        <v>C2a1a1a2a</v>
      </c>
      <c r="M4666" s="89" t="s">
        <v>7333</v>
      </c>
      <c r="N4666" s="89" t="s">
        <v>7334</v>
      </c>
      <c r="O4666" s="92">
        <v>1.5162125E7</v>
      </c>
      <c r="P4666" s="92">
        <v>1.3050211E7</v>
      </c>
      <c r="Q4666" s="89" t="s">
        <v>802</v>
      </c>
      <c r="AF4666" s="1"/>
      <c r="AG4666" s="1"/>
    </row>
    <row r="4667" ht="15.75" customHeight="1">
      <c r="A4667" s="1"/>
      <c r="B4667" s="1"/>
      <c r="C4667" s="1"/>
      <c r="D4667" s="1"/>
      <c r="E4667" s="1"/>
      <c r="F4667" s="1"/>
      <c r="G4667" s="1"/>
      <c r="H4667" s="1"/>
      <c r="I4667" s="1"/>
      <c r="J4667" s="1"/>
      <c r="K4667" s="89" t="s">
        <v>7335</v>
      </c>
      <c r="L4667" s="89" t="str">
        <f>I165</f>
        <v>C2a1a1a2a</v>
      </c>
      <c r="M4667" s="89" t="s">
        <v>7336</v>
      </c>
      <c r="N4667" s="89" t="s">
        <v>7334</v>
      </c>
      <c r="O4667" s="92">
        <v>1.5162125E7</v>
      </c>
      <c r="P4667" s="92">
        <v>1.3050211E7</v>
      </c>
      <c r="Q4667" s="89" t="s">
        <v>802</v>
      </c>
      <c r="AF4667" s="1"/>
      <c r="AG4667" s="1"/>
    </row>
    <row r="4668" ht="15.75" customHeight="1">
      <c r="A4668" s="1"/>
      <c r="B4668" s="1"/>
      <c r="C4668" s="1"/>
      <c r="D4668" s="1"/>
      <c r="E4668" s="1"/>
      <c r="F4668" s="1"/>
      <c r="G4668" s="1"/>
      <c r="H4668" s="1"/>
      <c r="I4668" s="1"/>
      <c r="J4668" s="1"/>
      <c r="K4668" s="89" t="s">
        <v>7337</v>
      </c>
      <c r="L4668" s="89" t="str">
        <f>I165</f>
        <v>C2a1a1a2a</v>
      </c>
      <c r="M4668" s="89" t="s">
        <v>7338</v>
      </c>
      <c r="N4668" s="89" t="s">
        <v>7334</v>
      </c>
      <c r="O4668" s="92">
        <v>1.5162125E7</v>
      </c>
      <c r="P4668" s="92">
        <v>1.3050211E7</v>
      </c>
      <c r="Q4668" s="89" t="s">
        <v>802</v>
      </c>
      <c r="AF4668" s="1"/>
      <c r="AG4668" s="1"/>
    </row>
    <row r="4669" ht="15.75" customHeight="1">
      <c r="A4669" s="1"/>
      <c r="B4669" s="1"/>
      <c r="C4669" s="1"/>
      <c r="D4669" s="1"/>
      <c r="E4669" s="1"/>
      <c r="F4669" s="1"/>
      <c r="G4669" s="1"/>
      <c r="H4669" s="1"/>
      <c r="I4669" s="1"/>
      <c r="J4669" s="1"/>
      <c r="K4669" s="89" t="s">
        <v>7339</v>
      </c>
      <c r="L4669" s="89" t="str">
        <f>I165</f>
        <v>C2a1a1a2a</v>
      </c>
      <c r="M4669" s="89" t="s">
        <v>7340</v>
      </c>
      <c r="N4669" s="89" t="s">
        <v>7341</v>
      </c>
      <c r="O4669" s="92">
        <v>1.526178E7</v>
      </c>
      <c r="P4669" s="92">
        <v>1.3149864E7</v>
      </c>
      <c r="Q4669" s="89" t="s">
        <v>838</v>
      </c>
      <c r="AF4669" s="1"/>
      <c r="AG4669" s="1"/>
    </row>
    <row r="4670" ht="15.75" customHeight="1">
      <c r="A4670" s="1"/>
      <c r="B4670" s="1"/>
      <c r="C4670" s="1"/>
      <c r="D4670" s="1"/>
      <c r="E4670" s="1"/>
      <c r="F4670" s="1"/>
      <c r="G4670" s="1"/>
      <c r="H4670" s="1"/>
      <c r="I4670" s="1"/>
      <c r="J4670" s="1"/>
      <c r="K4670" s="89" t="s">
        <v>7342</v>
      </c>
      <c r="L4670" s="89" t="str">
        <f>I165</f>
        <v>C2a1a1a2a</v>
      </c>
      <c r="M4670" s="89" t="s">
        <v>7343</v>
      </c>
      <c r="N4670" s="89" t="s">
        <v>7341</v>
      </c>
      <c r="O4670" s="92">
        <v>1.526178E7</v>
      </c>
      <c r="P4670" s="92">
        <v>1.3149864E7</v>
      </c>
      <c r="Q4670" s="89" t="s">
        <v>838</v>
      </c>
      <c r="AF4670" s="1"/>
      <c r="AG4670" s="1"/>
    </row>
    <row r="4671" ht="15.75" customHeight="1">
      <c r="A4671" s="1"/>
      <c r="B4671" s="1"/>
      <c r="C4671" s="1"/>
      <c r="D4671" s="1"/>
      <c r="E4671" s="1"/>
      <c r="F4671" s="1"/>
      <c r="G4671" s="1"/>
      <c r="H4671" s="1"/>
      <c r="I4671" s="1"/>
      <c r="J4671" s="1"/>
      <c r="K4671" s="89" t="s">
        <v>7344</v>
      </c>
      <c r="L4671" s="89" t="str">
        <f>I165</f>
        <v>C2a1a1a2a</v>
      </c>
      <c r="M4671" s="89" t="s">
        <v>7345</v>
      </c>
      <c r="N4671" s="89" t="s">
        <v>7341</v>
      </c>
      <c r="O4671" s="92">
        <v>1.526178E7</v>
      </c>
      <c r="P4671" s="92">
        <v>1.3149864E7</v>
      </c>
      <c r="Q4671" s="89" t="s">
        <v>838</v>
      </c>
      <c r="AF4671" s="1"/>
      <c r="AG4671" s="1"/>
    </row>
    <row r="4672" ht="15.75" customHeight="1">
      <c r="A4672" s="1"/>
      <c r="B4672" s="1"/>
      <c r="C4672" s="1"/>
      <c r="D4672" s="1"/>
      <c r="E4672" s="1"/>
      <c r="F4672" s="1"/>
      <c r="G4672" s="1"/>
      <c r="H4672" s="1"/>
      <c r="I4672" s="1"/>
      <c r="J4672" s="1"/>
      <c r="K4672" s="89" t="s">
        <v>7346</v>
      </c>
      <c r="L4672" s="89" t="str">
        <f>I165</f>
        <v>C2a1a1a2a</v>
      </c>
      <c r="M4672" s="89" t="s">
        <v>7347</v>
      </c>
      <c r="N4672" s="89"/>
      <c r="O4672" s="92">
        <v>1.6091982E7</v>
      </c>
      <c r="P4672" s="92">
        <v>1.3980102E7</v>
      </c>
      <c r="Q4672" s="89" t="s">
        <v>802</v>
      </c>
      <c r="AF4672" s="1"/>
      <c r="AG4672" s="1"/>
    </row>
    <row r="4673" ht="15.75" customHeight="1">
      <c r="A4673" s="1"/>
      <c r="B4673" s="1"/>
      <c r="C4673" s="1"/>
      <c r="D4673" s="1"/>
      <c r="E4673" s="1"/>
      <c r="F4673" s="1"/>
      <c r="G4673" s="1"/>
      <c r="H4673" s="1"/>
      <c r="I4673" s="1"/>
      <c r="J4673" s="1"/>
      <c r="K4673" s="89" t="s">
        <v>7348</v>
      </c>
      <c r="L4673" s="89" t="str">
        <f>I165</f>
        <v>C2a1a1a2a</v>
      </c>
      <c r="M4673" s="89" t="s">
        <v>7349</v>
      </c>
      <c r="N4673" s="89"/>
      <c r="O4673" s="92">
        <v>1.6091982E7</v>
      </c>
      <c r="P4673" s="92">
        <v>1.3980102E7</v>
      </c>
      <c r="Q4673" s="89" t="s">
        <v>802</v>
      </c>
      <c r="AF4673" s="1"/>
      <c r="AG4673" s="1"/>
    </row>
    <row r="4674" ht="15.75" customHeight="1">
      <c r="A4674" s="1"/>
      <c r="B4674" s="1"/>
      <c r="C4674" s="1"/>
      <c r="D4674" s="1"/>
      <c r="E4674" s="1"/>
      <c r="F4674" s="1"/>
      <c r="G4674" s="1"/>
      <c r="H4674" s="1"/>
      <c r="I4674" s="1"/>
      <c r="J4674" s="1"/>
      <c r="K4674" s="89" t="s">
        <v>7350</v>
      </c>
      <c r="L4674" s="89" t="str">
        <f>I165</f>
        <v>C2a1a1a2a</v>
      </c>
      <c r="M4674" s="89" t="s">
        <v>7351</v>
      </c>
      <c r="N4674" s="89"/>
      <c r="O4674" s="92">
        <v>1.6091982E7</v>
      </c>
      <c r="P4674" s="92">
        <v>1.3980102E7</v>
      </c>
      <c r="Q4674" s="89" t="s">
        <v>802</v>
      </c>
      <c r="AF4674" s="1"/>
      <c r="AG4674" s="1"/>
    </row>
    <row r="4675" ht="15.75" customHeight="1">
      <c r="A4675" s="1"/>
      <c r="B4675" s="1"/>
      <c r="C4675" s="1"/>
      <c r="D4675" s="1"/>
      <c r="E4675" s="1"/>
      <c r="F4675" s="1"/>
      <c r="G4675" s="1"/>
      <c r="H4675" s="1"/>
      <c r="I4675" s="1"/>
      <c r="J4675" s="1"/>
      <c r="K4675" s="89" t="s">
        <v>7352</v>
      </c>
      <c r="L4675" s="89" t="str">
        <f>I165</f>
        <v>C2a1a1a2a</v>
      </c>
      <c r="M4675" s="89" t="s">
        <v>7353</v>
      </c>
      <c r="N4675" s="89" t="s">
        <v>7354</v>
      </c>
      <c r="O4675" s="92">
        <v>1.6253862E7</v>
      </c>
      <c r="P4675" s="92">
        <v>1.4141982E7</v>
      </c>
      <c r="Q4675" s="89" t="s">
        <v>822</v>
      </c>
      <c r="AF4675" s="1"/>
      <c r="AG4675" s="1"/>
    </row>
    <row r="4676" ht="15.75" customHeight="1">
      <c r="A4676" s="1"/>
      <c r="B4676" s="1"/>
      <c r="C4676" s="1"/>
      <c r="D4676" s="1"/>
      <c r="E4676" s="1"/>
      <c r="F4676" s="1"/>
      <c r="G4676" s="1"/>
      <c r="H4676" s="1"/>
      <c r="I4676" s="1"/>
      <c r="J4676" s="1"/>
      <c r="K4676" s="89" t="s">
        <v>7355</v>
      </c>
      <c r="L4676" s="89" t="str">
        <f>I165</f>
        <v>C2a1a1a2a</v>
      </c>
      <c r="M4676" s="89" t="s">
        <v>7356</v>
      </c>
      <c r="N4676" s="89" t="s">
        <v>7354</v>
      </c>
      <c r="O4676" s="92">
        <v>1.6253862E7</v>
      </c>
      <c r="P4676" s="92">
        <v>1.4141982E7</v>
      </c>
      <c r="Q4676" s="89" t="s">
        <v>822</v>
      </c>
      <c r="AF4676" s="1"/>
      <c r="AG4676" s="1"/>
    </row>
    <row r="4677" ht="15.75" customHeight="1">
      <c r="A4677" s="1"/>
      <c r="B4677" s="1"/>
      <c r="C4677" s="1"/>
      <c r="D4677" s="1"/>
      <c r="E4677" s="1"/>
      <c r="F4677" s="1"/>
      <c r="G4677" s="1"/>
      <c r="H4677" s="1"/>
      <c r="I4677" s="1"/>
      <c r="J4677" s="1"/>
      <c r="K4677" s="89" t="s">
        <v>7357</v>
      </c>
      <c r="L4677" s="89" t="str">
        <f>I165</f>
        <v>C2a1a1a2a</v>
      </c>
      <c r="M4677" s="89" t="s">
        <v>7358</v>
      </c>
      <c r="N4677" s="89" t="s">
        <v>7354</v>
      </c>
      <c r="O4677" s="92">
        <v>1.6253862E7</v>
      </c>
      <c r="P4677" s="92">
        <v>1.4141982E7</v>
      </c>
      <c r="Q4677" s="89" t="s">
        <v>822</v>
      </c>
      <c r="AF4677" s="1"/>
      <c r="AG4677" s="1"/>
    </row>
    <row r="4678" ht="15.75" customHeight="1">
      <c r="A4678" s="1"/>
      <c r="B4678" s="1"/>
      <c r="C4678" s="1"/>
      <c r="D4678" s="1"/>
      <c r="E4678" s="1"/>
      <c r="F4678" s="1"/>
      <c r="G4678" s="1"/>
      <c r="H4678" s="1"/>
      <c r="I4678" s="1"/>
      <c r="J4678" s="1"/>
      <c r="K4678" s="93" t="s">
        <v>7359</v>
      </c>
      <c r="L4678" s="89" t="str">
        <f>I165</f>
        <v>C2a1a1a2a</v>
      </c>
      <c r="M4678" s="93" t="s">
        <v>7360</v>
      </c>
      <c r="N4678" s="89"/>
      <c r="O4678" s="98">
        <v>1.6645948E7</v>
      </c>
      <c r="P4678" s="97">
        <v>1.4534068E7</v>
      </c>
      <c r="Q4678" s="93" t="s">
        <v>810</v>
      </c>
      <c r="AF4678" s="1"/>
      <c r="AG4678" s="1"/>
    </row>
    <row r="4679" ht="15.75" customHeight="1">
      <c r="A4679" s="1"/>
      <c r="B4679" s="1"/>
      <c r="C4679" s="1"/>
      <c r="D4679" s="1"/>
      <c r="E4679" s="1"/>
      <c r="F4679" s="1"/>
      <c r="G4679" s="1"/>
      <c r="H4679" s="1"/>
      <c r="I4679" s="1"/>
      <c r="J4679" s="1"/>
      <c r="K4679" s="93" t="s">
        <v>7360</v>
      </c>
      <c r="L4679" s="89" t="str">
        <f>I165</f>
        <v>C2a1a1a2a</v>
      </c>
      <c r="M4679" s="93" t="s">
        <v>7359</v>
      </c>
      <c r="N4679" s="89"/>
      <c r="O4679" s="98">
        <v>1.6645948E7</v>
      </c>
      <c r="P4679" s="97">
        <v>1.4534068E7</v>
      </c>
      <c r="Q4679" s="93" t="s">
        <v>810</v>
      </c>
      <c r="AF4679" s="1"/>
      <c r="AG4679" s="1"/>
    </row>
    <row r="4680" ht="15.75" customHeight="1">
      <c r="A4680" s="1"/>
      <c r="B4680" s="1"/>
      <c r="C4680" s="1"/>
      <c r="D4680" s="1"/>
      <c r="E4680" s="1"/>
      <c r="F4680" s="1"/>
      <c r="G4680" s="1"/>
      <c r="H4680" s="1"/>
      <c r="I4680" s="1"/>
      <c r="J4680" s="1"/>
      <c r="K4680" s="89" t="s">
        <v>7361</v>
      </c>
      <c r="L4680" s="89" t="str">
        <f>I165</f>
        <v>C2a1a1a2a</v>
      </c>
      <c r="M4680" s="89" t="s">
        <v>7362</v>
      </c>
      <c r="N4680" s="89" t="s">
        <v>7363</v>
      </c>
      <c r="O4680" s="92">
        <v>1.6893792E7</v>
      </c>
      <c r="P4680" s="92">
        <v>1.4781912E7</v>
      </c>
      <c r="Q4680" s="89" t="s">
        <v>813</v>
      </c>
      <c r="AF4680" s="1"/>
      <c r="AG4680" s="1"/>
    </row>
    <row r="4681" ht="15.75" customHeight="1">
      <c r="A4681" s="1"/>
      <c r="B4681" s="1"/>
      <c r="C4681" s="1"/>
      <c r="D4681" s="1"/>
      <c r="E4681" s="1"/>
      <c r="F4681" s="1"/>
      <c r="G4681" s="1"/>
      <c r="H4681" s="1"/>
      <c r="I4681" s="1"/>
      <c r="J4681" s="1"/>
      <c r="K4681" s="89" t="s">
        <v>7364</v>
      </c>
      <c r="L4681" s="89" t="str">
        <f>I165</f>
        <v>C2a1a1a2a</v>
      </c>
      <c r="M4681" s="89" t="s">
        <v>7365</v>
      </c>
      <c r="N4681" s="89" t="s">
        <v>7363</v>
      </c>
      <c r="O4681" s="92">
        <v>1.6893792E7</v>
      </c>
      <c r="P4681" s="92">
        <v>1.4781912E7</v>
      </c>
      <c r="Q4681" s="89" t="s">
        <v>813</v>
      </c>
      <c r="AF4681" s="1"/>
      <c r="AG4681" s="1"/>
    </row>
    <row r="4682" ht="15.75" customHeight="1">
      <c r="A4682" s="1"/>
      <c r="B4682" s="1"/>
      <c r="C4682" s="1"/>
      <c r="D4682" s="1"/>
      <c r="E4682" s="1"/>
      <c r="F4682" s="1"/>
      <c r="G4682" s="1"/>
      <c r="H4682" s="1"/>
      <c r="I4682" s="1"/>
      <c r="J4682" s="1"/>
      <c r="K4682" s="89" t="s">
        <v>7366</v>
      </c>
      <c r="L4682" s="89" t="str">
        <f>I165</f>
        <v>C2a1a1a2a</v>
      </c>
      <c r="M4682" s="89" t="s">
        <v>7367</v>
      </c>
      <c r="N4682" s="89" t="s">
        <v>7363</v>
      </c>
      <c r="O4682" s="92">
        <v>1.6893792E7</v>
      </c>
      <c r="P4682" s="92">
        <v>1.4781912E7</v>
      </c>
      <c r="Q4682" s="89" t="s">
        <v>813</v>
      </c>
      <c r="AF4682" s="1"/>
      <c r="AG4682" s="1"/>
    </row>
    <row r="4683" ht="15.75" customHeight="1">
      <c r="A4683" s="1"/>
      <c r="B4683" s="1"/>
      <c r="C4683" s="1"/>
      <c r="D4683" s="1"/>
      <c r="E4683" s="1"/>
      <c r="F4683" s="1"/>
      <c r="G4683" s="1"/>
      <c r="H4683" s="1"/>
      <c r="I4683" s="1"/>
      <c r="J4683" s="1"/>
      <c r="K4683" s="89" t="s">
        <v>7368</v>
      </c>
      <c r="L4683" s="89" t="str">
        <f>I165</f>
        <v>C2a1a1a2a</v>
      </c>
      <c r="M4683" s="89" t="s">
        <v>7369</v>
      </c>
      <c r="N4683" s="89"/>
      <c r="O4683" s="92">
        <v>1.6909385E7</v>
      </c>
      <c r="P4683" s="92">
        <v>1.4797505E7</v>
      </c>
      <c r="Q4683" s="89" t="s">
        <v>879</v>
      </c>
      <c r="AF4683" s="1"/>
      <c r="AG4683" s="1"/>
    </row>
    <row r="4684" ht="15.75" customHeight="1">
      <c r="A4684" s="1"/>
      <c r="B4684" s="1"/>
      <c r="C4684" s="1"/>
      <c r="D4684" s="1"/>
      <c r="E4684" s="1"/>
      <c r="F4684" s="1"/>
      <c r="G4684" s="1"/>
      <c r="H4684" s="1"/>
      <c r="I4684" s="1"/>
      <c r="J4684" s="1"/>
      <c r="K4684" s="89" t="s">
        <v>7370</v>
      </c>
      <c r="L4684" s="89" t="str">
        <f>I165</f>
        <v>C2a1a1a2a</v>
      </c>
      <c r="M4684" s="89" t="s">
        <v>7371</v>
      </c>
      <c r="N4684" s="89"/>
      <c r="O4684" s="92">
        <v>1.6909385E7</v>
      </c>
      <c r="P4684" s="92">
        <v>1.4797505E7</v>
      </c>
      <c r="Q4684" s="89" t="s">
        <v>879</v>
      </c>
      <c r="AF4684" s="1"/>
      <c r="AG4684" s="1"/>
    </row>
    <row r="4685" ht="15.75" customHeight="1">
      <c r="A4685" s="1"/>
      <c r="B4685" s="1"/>
      <c r="C4685" s="1"/>
      <c r="D4685" s="1"/>
      <c r="E4685" s="1"/>
      <c r="F4685" s="1"/>
      <c r="G4685" s="1"/>
      <c r="H4685" s="1"/>
      <c r="I4685" s="1"/>
      <c r="J4685" s="1"/>
      <c r="K4685" s="89" t="s">
        <v>7372</v>
      </c>
      <c r="L4685" s="89" t="str">
        <f>I165</f>
        <v>C2a1a1a2a</v>
      </c>
      <c r="M4685" s="89" t="s">
        <v>7373</v>
      </c>
      <c r="N4685" s="89"/>
      <c r="O4685" s="92">
        <v>1.6909385E7</v>
      </c>
      <c r="P4685" s="92">
        <v>1.4797505E7</v>
      </c>
      <c r="Q4685" s="89" t="s">
        <v>879</v>
      </c>
      <c r="AF4685" s="1"/>
      <c r="AG4685" s="1"/>
    </row>
    <row r="4686" ht="15.75" customHeight="1">
      <c r="A4686" s="1"/>
      <c r="B4686" s="1"/>
      <c r="C4686" s="1"/>
      <c r="D4686" s="1"/>
      <c r="E4686" s="1"/>
      <c r="F4686" s="1"/>
      <c r="G4686" s="1"/>
      <c r="H4686" s="1"/>
      <c r="I4686" s="1"/>
      <c r="J4686" s="1"/>
      <c r="K4686" s="89" t="s">
        <v>7374</v>
      </c>
      <c r="L4686" s="89" t="str">
        <f>I165</f>
        <v>C2a1a1a2a</v>
      </c>
      <c r="M4686" s="89" t="s">
        <v>7375</v>
      </c>
      <c r="N4686" s="89" t="s">
        <v>7376</v>
      </c>
      <c r="O4686" s="92">
        <v>1.7396922E7</v>
      </c>
      <c r="P4686" s="92">
        <v>1.5285042E7</v>
      </c>
      <c r="Q4686" s="89" t="s">
        <v>802</v>
      </c>
      <c r="AF4686" s="1"/>
      <c r="AG4686" s="1"/>
    </row>
    <row r="4687" ht="15.75" customHeight="1">
      <c r="A4687" s="1"/>
      <c r="B4687" s="1"/>
      <c r="C4687" s="1"/>
      <c r="D4687" s="1"/>
      <c r="E4687" s="1"/>
      <c r="F4687" s="1"/>
      <c r="G4687" s="1"/>
      <c r="H4687" s="1"/>
      <c r="I4687" s="1"/>
      <c r="J4687" s="1"/>
      <c r="K4687" s="89" t="s">
        <v>7377</v>
      </c>
      <c r="L4687" s="89" t="str">
        <f>I165</f>
        <v>C2a1a1a2a</v>
      </c>
      <c r="M4687" s="89" t="s">
        <v>7378</v>
      </c>
      <c r="N4687" s="89" t="s">
        <v>7376</v>
      </c>
      <c r="O4687" s="92">
        <v>1.7396922E7</v>
      </c>
      <c r="P4687" s="92">
        <v>1.5285042E7</v>
      </c>
      <c r="Q4687" s="89" t="s">
        <v>802</v>
      </c>
      <c r="AF4687" s="1"/>
      <c r="AG4687" s="1"/>
    </row>
    <row r="4688" ht="15.75" customHeight="1">
      <c r="A4688" s="1"/>
      <c r="B4688" s="1"/>
      <c r="C4688" s="1"/>
      <c r="D4688" s="1"/>
      <c r="E4688" s="1"/>
      <c r="F4688" s="1"/>
      <c r="G4688" s="1"/>
      <c r="H4688" s="1"/>
      <c r="I4688" s="1"/>
      <c r="J4688" s="1"/>
      <c r="K4688" s="89" t="s">
        <v>7379</v>
      </c>
      <c r="L4688" s="89" t="str">
        <f>I165</f>
        <v>C2a1a1a2a</v>
      </c>
      <c r="M4688" s="89" t="s">
        <v>7380</v>
      </c>
      <c r="N4688" s="89" t="s">
        <v>7376</v>
      </c>
      <c r="O4688" s="92">
        <v>1.7396922E7</v>
      </c>
      <c r="P4688" s="92">
        <v>1.5285042E7</v>
      </c>
      <c r="Q4688" s="89" t="s">
        <v>802</v>
      </c>
      <c r="AF4688" s="1"/>
      <c r="AG4688" s="1"/>
    </row>
    <row r="4689" ht="15.75" customHeight="1">
      <c r="A4689" s="1"/>
      <c r="B4689" s="1"/>
      <c r="C4689" s="1"/>
      <c r="D4689" s="1"/>
      <c r="E4689" s="1"/>
      <c r="F4689" s="1"/>
      <c r="G4689" s="1"/>
      <c r="H4689" s="1"/>
      <c r="I4689" s="1"/>
      <c r="J4689" s="1"/>
      <c r="K4689" s="89" t="s">
        <v>7381</v>
      </c>
      <c r="L4689" s="89" t="str">
        <f>I165</f>
        <v>C2a1a1a2a</v>
      </c>
      <c r="M4689" s="89" t="s">
        <v>7382</v>
      </c>
      <c r="N4689" s="89" t="s">
        <v>7383</v>
      </c>
      <c r="O4689" s="92">
        <v>1.8181447E7</v>
      </c>
      <c r="P4689" s="92">
        <v>1.6069567E7</v>
      </c>
      <c r="Q4689" s="89" t="s">
        <v>838</v>
      </c>
      <c r="AF4689" s="1"/>
      <c r="AG4689" s="1"/>
    </row>
    <row r="4690" ht="15.75" customHeight="1">
      <c r="A4690" s="1"/>
      <c r="B4690" s="1"/>
      <c r="C4690" s="1"/>
      <c r="D4690" s="1"/>
      <c r="E4690" s="1"/>
      <c r="F4690" s="1"/>
      <c r="G4690" s="1"/>
      <c r="H4690" s="1"/>
      <c r="I4690" s="1"/>
      <c r="J4690" s="1"/>
      <c r="K4690" s="89" t="s">
        <v>7384</v>
      </c>
      <c r="L4690" s="89" t="str">
        <f>I165</f>
        <v>C2a1a1a2a</v>
      </c>
      <c r="M4690" s="89" t="s">
        <v>7385</v>
      </c>
      <c r="N4690" s="89" t="s">
        <v>7383</v>
      </c>
      <c r="O4690" s="92">
        <v>1.8181447E7</v>
      </c>
      <c r="P4690" s="92">
        <v>1.6069567E7</v>
      </c>
      <c r="Q4690" s="89" t="s">
        <v>838</v>
      </c>
      <c r="AF4690" s="1"/>
      <c r="AG4690" s="1"/>
    </row>
    <row r="4691" ht="15.75" customHeight="1">
      <c r="A4691" s="1"/>
      <c r="B4691" s="1"/>
      <c r="C4691" s="1"/>
      <c r="D4691" s="1"/>
      <c r="E4691" s="1"/>
      <c r="F4691" s="1"/>
      <c r="G4691" s="1"/>
      <c r="H4691" s="1"/>
      <c r="I4691" s="1"/>
      <c r="J4691" s="1"/>
      <c r="K4691" s="89" t="s">
        <v>7386</v>
      </c>
      <c r="L4691" s="89" t="str">
        <f>I165</f>
        <v>C2a1a1a2a</v>
      </c>
      <c r="M4691" s="89" t="s">
        <v>7387</v>
      </c>
      <c r="N4691" s="89" t="s">
        <v>7383</v>
      </c>
      <c r="O4691" s="92">
        <v>1.8181447E7</v>
      </c>
      <c r="P4691" s="92">
        <v>1.6069567E7</v>
      </c>
      <c r="Q4691" s="89" t="s">
        <v>838</v>
      </c>
      <c r="AF4691" s="1"/>
      <c r="AG4691" s="1"/>
    </row>
    <row r="4692" ht="15.75" customHeight="1">
      <c r="A4692" s="1"/>
      <c r="B4692" s="1"/>
      <c r="C4692" s="1"/>
      <c r="D4692" s="1"/>
      <c r="E4692" s="1"/>
      <c r="F4692" s="1"/>
      <c r="G4692" s="1"/>
      <c r="H4692" s="1"/>
      <c r="I4692" s="1"/>
      <c r="J4692" s="1"/>
      <c r="K4692" s="89" t="s">
        <v>7388</v>
      </c>
      <c r="L4692" s="89" t="str">
        <f>I165</f>
        <v>C2a1a1a2a</v>
      </c>
      <c r="M4692" s="89" t="s">
        <v>7389</v>
      </c>
      <c r="N4692" s="89" t="s">
        <v>7390</v>
      </c>
      <c r="O4692" s="92">
        <v>1.9093407E7</v>
      </c>
      <c r="P4692" s="92">
        <v>1.6981527E7</v>
      </c>
      <c r="Q4692" s="89" t="s">
        <v>879</v>
      </c>
      <c r="AF4692" s="1"/>
      <c r="AG4692" s="1"/>
    </row>
    <row r="4693" ht="15.75" customHeight="1">
      <c r="A4693" s="1"/>
      <c r="B4693" s="1"/>
      <c r="C4693" s="1"/>
      <c r="D4693" s="1"/>
      <c r="E4693" s="1"/>
      <c r="F4693" s="1"/>
      <c r="G4693" s="1"/>
      <c r="H4693" s="1"/>
      <c r="I4693" s="1"/>
      <c r="J4693" s="1"/>
      <c r="K4693" s="89" t="s">
        <v>7391</v>
      </c>
      <c r="L4693" s="89" t="str">
        <f>I165</f>
        <v>C2a1a1a2a</v>
      </c>
      <c r="M4693" s="89" t="s">
        <v>7392</v>
      </c>
      <c r="N4693" s="89" t="s">
        <v>7390</v>
      </c>
      <c r="O4693" s="92">
        <v>1.9093407E7</v>
      </c>
      <c r="P4693" s="92">
        <v>1.6981527E7</v>
      </c>
      <c r="Q4693" s="89" t="s">
        <v>879</v>
      </c>
      <c r="AF4693" s="1"/>
      <c r="AG4693" s="1"/>
    </row>
    <row r="4694" ht="15.75" customHeight="1">
      <c r="A4694" s="1"/>
      <c r="B4694" s="1"/>
      <c r="C4694" s="1"/>
      <c r="D4694" s="1"/>
      <c r="E4694" s="1"/>
      <c r="F4694" s="1"/>
      <c r="G4694" s="1"/>
      <c r="H4694" s="1"/>
      <c r="I4694" s="1"/>
      <c r="J4694" s="1"/>
      <c r="K4694" s="89" t="s">
        <v>7393</v>
      </c>
      <c r="L4694" s="89" t="str">
        <f>I165</f>
        <v>C2a1a1a2a</v>
      </c>
      <c r="M4694" s="89" t="s">
        <v>7394</v>
      </c>
      <c r="N4694" s="89" t="s">
        <v>7390</v>
      </c>
      <c r="O4694" s="92">
        <v>1.9093407E7</v>
      </c>
      <c r="P4694" s="92">
        <v>1.6981527E7</v>
      </c>
      <c r="Q4694" s="89" t="s">
        <v>879</v>
      </c>
      <c r="AF4694" s="1"/>
      <c r="AG4694" s="1"/>
    </row>
    <row r="4695" ht="15.75" customHeight="1">
      <c r="A4695" s="1"/>
      <c r="B4695" s="1"/>
      <c r="C4695" s="1"/>
      <c r="D4695" s="1"/>
      <c r="E4695" s="1"/>
      <c r="F4695" s="1"/>
      <c r="G4695" s="1"/>
      <c r="H4695" s="1"/>
      <c r="I4695" s="1"/>
      <c r="J4695" s="1"/>
      <c r="K4695" s="89" t="s">
        <v>7395</v>
      </c>
      <c r="L4695" s="89" t="str">
        <f>I165</f>
        <v>C2a1a1a2a</v>
      </c>
      <c r="M4695" s="89" t="s">
        <v>7396</v>
      </c>
      <c r="N4695" s="89" t="s">
        <v>7397</v>
      </c>
      <c r="O4695" s="92">
        <v>1.9516221E7</v>
      </c>
      <c r="P4695" s="92">
        <v>1.7404341E7</v>
      </c>
      <c r="Q4695" s="89" t="s">
        <v>831</v>
      </c>
      <c r="AF4695" s="1"/>
      <c r="AG4695" s="1"/>
    </row>
    <row r="4696" ht="15.75" customHeight="1">
      <c r="A4696" s="1"/>
      <c r="B4696" s="1"/>
      <c r="C4696" s="1"/>
      <c r="D4696" s="1"/>
      <c r="E4696" s="1"/>
      <c r="F4696" s="1"/>
      <c r="G4696" s="1"/>
      <c r="H4696" s="1"/>
      <c r="I4696" s="1"/>
      <c r="J4696" s="1"/>
      <c r="K4696" s="89" t="s">
        <v>7398</v>
      </c>
      <c r="L4696" s="89" t="str">
        <f>I165</f>
        <v>C2a1a1a2a</v>
      </c>
      <c r="M4696" s="89" t="s">
        <v>7399</v>
      </c>
      <c r="N4696" s="89" t="s">
        <v>7397</v>
      </c>
      <c r="O4696" s="92">
        <v>1.9516221E7</v>
      </c>
      <c r="P4696" s="92">
        <v>1.7404341E7</v>
      </c>
      <c r="Q4696" s="89" t="s">
        <v>831</v>
      </c>
      <c r="AF4696" s="1"/>
      <c r="AG4696" s="1"/>
    </row>
    <row r="4697" ht="15.75" customHeight="1">
      <c r="A4697" s="1"/>
      <c r="B4697" s="1"/>
      <c r="C4697" s="1"/>
      <c r="D4697" s="1"/>
      <c r="E4697" s="1"/>
      <c r="F4697" s="1"/>
      <c r="G4697" s="1"/>
      <c r="H4697" s="1"/>
      <c r="I4697" s="1"/>
      <c r="J4697" s="1"/>
      <c r="K4697" s="89" t="s">
        <v>7400</v>
      </c>
      <c r="L4697" s="89" t="str">
        <f>I165</f>
        <v>C2a1a1a2a</v>
      </c>
      <c r="M4697" s="89" t="s">
        <v>7401</v>
      </c>
      <c r="N4697" s="89" t="s">
        <v>7397</v>
      </c>
      <c r="O4697" s="92">
        <v>1.9516221E7</v>
      </c>
      <c r="P4697" s="92">
        <v>1.7404341E7</v>
      </c>
      <c r="Q4697" s="89" t="s">
        <v>831</v>
      </c>
      <c r="AF4697" s="1"/>
      <c r="AG4697" s="1"/>
    </row>
    <row r="4698" ht="15.75" customHeight="1">
      <c r="A4698" s="1"/>
      <c r="B4698" s="1"/>
      <c r="C4698" s="1"/>
      <c r="D4698" s="1"/>
      <c r="E4698" s="1"/>
      <c r="F4698" s="1"/>
      <c r="G4698" s="1"/>
      <c r="H4698" s="1"/>
      <c r="I4698" s="1"/>
      <c r="J4698" s="1"/>
      <c r="K4698" s="89" t="s">
        <v>7402</v>
      </c>
      <c r="L4698" s="89" t="str">
        <f>I165</f>
        <v>C2a1a1a2a</v>
      </c>
      <c r="M4698" s="89"/>
      <c r="N4698" s="89" t="s">
        <v>7403</v>
      </c>
      <c r="O4698" s="89">
        <v>2.1238978E7</v>
      </c>
      <c r="P4698" s="89">
        <v>1.9077092E7</v>
      </c>
      <c r="Q4698" s="89" t="s">
        <v>802</v>
      </c>
      <c r="AF4698" s="1"/>
      <c r="AG4698" s="1"/>
    </row>
    <row r="4699" ht="15.75" customHeight="1">
      <c r="A4699" s="1"/>
      <c r="B4699" s="1"/>
      <c r="C4699" s="1"/>
      <c r="D4699" s="1"/>
      <c r="E4699" s="1"/>
      <c r="F4699" s="1"/>
      <c r="G4699" s="1"/>
      <c r="H4699" s="1"/>
      <c r="I4699" s="1"/>
      <c r="J4699" s="1"/>
      <c r="K4699" s="89" t="s">
        <v>7404</v>
      </c>
      <c r="L4699" s="89" t="str">
        <f>I165</f>
        <v>C2a1a1a2a</v>
      </c>
      <c r="M4699" s="89" t="s">
        <v>7405</v>
      </c>
      <c r="N4699" s="89" t="s">
        <v>7406</v>
      </c>
      <c r="O4699" s="92">
        <v>2.1801465E7</v>
      </c>
      <c r="P4699" s="92">
        <v>1.9639579E7</v>
      </c>
      <c r="Q4699" s="89" t="s">
        <v>802</v>
      </c>
      <c r="AF4699" s="1"/>
      <c r="AG4699" s="1"/>
    </row>
    <row r="4700" ht="15.75" customHeight="1">
      <c r="A4700" s="1"/>
      <c r="B4700" s="1"/>
      <c r="C4700" s="1"/>
      <c r="D4700" s="1"/>
      <c r="E4700" s="1"/>
      <c r="F4700" s="1"/>
      <c r="G4700" s="1"/>
      <c r="H4700" s="1"/>
      <c r="I4700" s="1"/>
      <c r="J4700" s="1"/>
      <c r="K4700" s="89" t="s">
        <v>7407</v>
      </c>
      <c r="L4700" s="89" t="str">
        <f>I165</f>
        <v>C2a1a1a2a</v>
      </c>
      <c r="M4700" s="89" t="s">
        <v>7408</v>
      </c>
      <c r="N4700" s="89" t="s">
        <v>7406</v>
      </c>
      <c r="O4700" s="92">
        <v>2.1801465E7</v>
      </c>
      <c r="P4700" s="92">
        <v>1.9639579E7</v>
      </c>
      <c r="Q4700" s="89" t="s">
        <v>802</v>
      </c>
      <c r="AF4700" s="1"/>
      <c r="AG4700" s="1"/>
    </row>
    <row r="4701" ht="15.75" customHeight="1">
      <c r="A4701" s="1"/>
      <c r="B4701" s="1"/>
      <c r="C4701" s="1"/>
      <c r="D4701" s="1"/>
      <c r="E4701" s="1"/>
      <c r="F4701" s="1"/>
      <c r="G4701" s="1"/>
      <c r="H4701" s="1"/>
      <c r="I4701" s="1"/>
      <c r="J4701" s="1"/>
      <c r="K4701" s="89" t="s">
        <v>7409</v>
      </c>
      <c r="L4701" s="89" t="str">
        <f>I165</f>
        <v>C2a1a1a2a</v>
      </c>
      <c r="M4701" s="89" t="s">
        <v>7410</v>
      </c>
      <c r="N4701" s="89" t="s">
        <v>7406</v>
      </c>
      <c r="O4701" s="92">
        <v>2.1801465E7</v>
      </c>
      <c r="P4701" s="92">
        <v>1.9639579E7</v>
      </c>
      <c r="Q4701" s="89" t="s">
        <v>802</v>
      </c>
      <c r="AF4701" s="1"/>
      <c r="AG4701" s="1"/>
    </row>
    <row r="4702" ht="15.75" customHeight="1">
      <c r="A4702" s="1"/>
      <c r="B4702" s="1"/>
      <c r="C4702" s="1"/>
      <c r="D4702" s="1"/>
      <c r="E4702" s="1"/>
      <c r="F4702" s="1"/>
      <c r="G4702" s="1"/>
      <c r="H4702" s="1"/>
      <c r="I4702" s="1"/>
      <c r="J4702" s="1"/>
      <c r="K4702" s="89" t="s">
        <v>7411</v>
      </c>
      <c r="L4702" s="89" t="str">
        <f>I165</f>
        <v>C2a1a1a2a</v>
      </c>
      <c r="M4702" s="89" t="s">
        <v>7412</v>
      </c>
      <c r="N4702" s="89" t="s">
        <v>7413</v>
      </c>
      <c r="O4702" s="92">
        <v>2.1978334E7</v>
      </c>
      <c r="P4702" s="92">
        <v>1.9816448E7</v>
      </c>
      <c r="Q4702" s="89" t="s">
        <v>831</v>
      </c>
      <c r="AF4702" s="1"/>
      <c r="AG4702" s="1"/>
    </row>
    <row r="4703" ht="15.75" customHeight="1">
      <c r="A4703" s="1"/>
      <c r="B4703" s="1"/>
      <c r="C4703" s="1"/>
      <c r="D4703" s="1"/>
      <c r="E4703" s="1"/>
      <c r="F4703" s="1"/>
      <c r="G4703" s="1"/>
      <c r="H4703" s="1"/>
      <c r="I4703" s="1"/>
      <c r="J4703" s="1"/>
      <c r="K4703" s="89" t="s">
        <v>7414</v>
      </c>
      <c r="L4703" s="89" t="str">
        <f>I165</f>
        <v>C2a1a1a2a</v>
      </c>
      <c r="M4703" s="89" t="s">
        <v>7415</v>
      </c>
      <c r="N4703" s="89" t="s">
        <v>7413</v>
      </c>
      <c r="O4703" s="92">
        <v>2.1978334E7</v>
      </c>
      <c r="P4703" s="92">
        <v>1.9816448E7</v>
      </c>
      <c r="Q4703" s="89" t="s">
        <v>831</v>
      </c>
      <c r="AF4703" s="1"/>
      <c r="AG4703" s="1"/>
    </row>
    <row r="4704" ht="15.75" customHeight="1">
      <c r="A4704" s="1"/>
      <c r="B4704" s="1"/>
      <c r="C4704" s="1"/>
      <c r="D4704" s="1"/>
      <c r="E4704" s="1"/>
      <c r="F4704" s="1"/>
      <c r="G4704" s="1"/>
      <c r="H4704" s="1"/>
      <c r="I4704" s="1"/>
      <c r="J4704" s="1"/>
      <c r="K4704" s="89" t="s">
        <v>7416</v>
      </c>
      <c r="L4704" s="89" t="str">
        <f>I165</f>
        <v>C2a1a1a2a</v>
      </c>
      <c r="M4704" s="89" t="s">
        <v>7417</v>
      </c>
      <c r="N4704" s="89" t="s">
        <v>7413</v>
      </c>
      <c r="O4704" s="92">
        <v>2.1978334E7</v>
      </c>
      <c r="P4704" s="92">
        <v>1.9816448E7</v>
      </c>
      <c r="Q4704" s="89" t="s">
        <v>831</v>
      </c>
      <c r="AF4704" s="1"/>
      <c r="AG4704" s="1"/>
    </row>
    <row r="4705" ht="15.75" customHeight="1">
      <c r="A4705" s="1"/>
      <c r="B4705" s="1"/>
      <c r="C4705" s="1"/>
      <c r="D4705" s="1"/>
      <c r="E4705" s="1"/>
      <c r="F4705" s="1"/>
      <c r="G4705" s="1"/>
      <c r="H4705" s="1"/>
      <c r="I4705" s="1"/>
      <c r="J4705" s="1"/>
      <c r="K4705" s="89" t="s">
        <v>7418</v>
      </c>
      <c r="L4705" s="89" t="str">
        <f>I165</f>
        <v>C2a1a1a2a</v>
      </c>
      <c r="M4705" s="89" t="s">
        <v>7419</v>
      </c>
      <c r="N4705" s="89"/>
      <c r="O4705" s="92">
        <v>1.9367024E7</v>
      </c>
      <c r="P4705" s="92">
        <v>1.7255144E7</v>
      </c>
      <c r="Q4705" s="89" t="s">
        <v>802</v>
      </c>
      <c r="AF4705" s="1"/>
      <c r="AG4705" s="1"/>
    </row>
    <row r="4706" ht="15.75" customHeight="1">
      <c r="A4706" s="1"/>
      <c r="B4706" s="1"/>
      <c r="C4706" s="1"/>
      <c r="D4706" s="1"/>
      <c r="E4706" s="1"/>
      <c r="F4706" s="1"/>
      <c r="G4706" s="1"/>
      <c r="H4706" s="1"/>
      <c r="I4706" s="1"/>
      <c r="J4706" s="1"/>
      <c r="K4706" s="89" t="s">
        <v>7419</v>
      </c>
      <c r="L4706" s="89" t="str">
        <f>I165</f>
        <v>C2a1a1a2a</v>
      </c>
      <c r="M4706" s="89" t="s">
        <v>7418</v>
      </c>
      <c r="N4706" s="89"/>
      <c r="O4706" s="92">
        <v>1.9367024E7</v>
      </c>
      <c r="P4706" s="92">
        <v>1.7255144E7</v>
      </c>
      <c r="Q4706" s="89" t="s">
        <v>802</v>
      </c>
      <c r="AF4706" s="1"/>
      <c r="AG4706" s="1"/>
    </row>
    <row r="4707" ht="15.75" customHeight="1">
      <c r="A4707" s="1"/>
      <c r="B4707" s="1"/>
      <c r="C4707" s="1"/>
      <c r="D4707" s="1"/>
      <c r="E4707" s="1"/>
      <c r="F4707" s="1"/>
      <c r="G4707" s="1"/>
      <c r="H4707" s="1"/>
      <c r="I4707" s="1"/>
      <c r="J4707" s="1"/>
      <c r="K4707" s="89" t="s">
        <v>7420</v>
      </c>
      <c r="L4707" s="89" t="str">
        <f>J166</f>
        <v>C2a1a1a2a1</v>
      </c>
      <c r="M4707" s="89"/>
      <c r="N4707" s="89" t="s">
        <v>7421</v>
      </c>
      <c r="O4707" s="92">
        <v>2819402.0</v>
      </c>
      <c r="P4707" s="92">
        <v>2951361.0</v>
      </c>
      <c r="Q4707" s="89" t="s">
        <v>838</v>
      </c>
      <c r="AF4707" s="1"/>
      <c r="AG4707" s="1"/>
    </row>
    <row r="4708" ht="15.75" customHeight="1">
      <c r="A4708" s="1"/>
      <c r="B4708" s="1"/>
      <c r="C4708" s="1"/>
      <c r="D4708" s="1"/>
      <c r="E4708" s="1"/>
      <c r="F4708" s="1"/>
      <c r="G4708" s="1"/>
      <c r="H4708" s="1"/>
      <c r="I4708" s="1"/>
      <c r="J4708" s="1"/>
      <c r="K4708" s="89" t="s">
        <v>7422</v>
      </c>
      <c r="L4708" s="89" t="str">
        <f>J166</f>
        <v>C2a1a1a2a1</v>
      </c>
      <c r="M4708" s="89" t="s">
        <v>7423</v>
      </c>
      <c r="N4708" s="89" t="s">
        <v>7424</v>
      </c>
      <c r="O4708" s="89">
        <v>2.1517134E7</v>
      </c>
      <c r="P4708" s="89">
        <v>1.9355248E7</v>
      </c>
      <c r="Q4708" s="89" t="s">
        <v>822</v>
      </c>
      <c r="AF4708" s="1"/>
      <c r="AG4708" s="1"/>
    </row>
    <row r="4709" ht="15.75" customHeight="1">
      <c r="A4709" s="1"/>
      <c r="B4709" s="1"/>
      <c r="C4709" s="1"/>
      <c r="D4709" s="1"/>
      <c r="E4709" s="1"/>
      <c r="F4709" s="1"/>
      <c r="G4709" s="1"/>
      <c r="H4709" s="1"/>
      <c r="I4709" s="1"/>
      <c r="J4709" s="1"/>
      <c r="K4709" s="89" t="s">
        <v>7423</v>
      </c>
      <c r="L4709" s="89" t="str">
        <f>J166</f>
        <v>C2a1a1a2a1</v>
      </c>
      <c r="M4709" s="89" t="s">
        <v>7422</v>
      </c>
      <c r="N4709" s="89" t="s">
        <v>7424</v>
      </c>
      <c r="O4709" s="89">
        <v>2.1517134E7</v>
      </c>
      <c r="P4709" s="89">
        <v>1.9355248E7</v>
      </c>
      <c r="Q4709" s="89" t="s">
        <v>822</v>
      </c>
      <c r="AF4709" s="1"/>
      <c r="AG4709" s="1"/>
    </row>
    <row r="4710" ht="15.75" customHeight="1">
      <c r="A4710" s="1"/>
      <c r="B4710" s="1"/>
      <c r="C4710" s="1"/>
      <c r="D4710" s="1"/>
      <c r="E4710" s="1"/>
      <c r="F4710" s="1"/>
      <c r="G4710" s="1"/>
      <c r="H4710" s="1"/>
      <c r="I4710" s="1"/>
      <c r="J4710" s="1"/>
      <c r="K4710" s="89" t="s">
        <v>7425</v>
      </c>
      <c r="L4710" s="89" t="str">
        <f>K167</f>
        <v>C2a1a1b2a1a~</v>
      </c>
      <c r="M4710" s="89"/>
      <c r="N4710" s="89"/>
      <c r="O4710" s="92">
        <v>8134824.0</v>
      </c>
      <c r="P4710" s="92">
        <v>8266783.0</v>
      </c>
      <c r="Q4710" s="89" t="s">
        <v>864</v>
      </c>
      <c r="AF4710" s="1"/>
      <c r="AG4710" s="1"/>
    </row>
    <row r="4711" ht="15.75" customHeight="1">
      <c r="A4711" s="1"/>
      <c r="B4711" s="1"/>
      <c r="C4711" s="1"/>
      <c r="D4711" s="1"/>
      <c r="E4711" s="1"/>
      <c r="F4711" s="1"/>
      <c r="G4711" s="1"/>
      <c r="H4711" s="1"/>
      <c r="I4711" s="1"/>
      <c r="J4711" s="1"/>
      <c r="K4711" s="89" t="s">
        <v>7426</v>
      </c>
      <c r="L4711" s="89" t="str">
        <f>K167</f>
        <v>C2a1a1b2a1a~</v>
      </c>
      <c r="M4711" s="89"/>
      <c r="N4711" s="89"/>
      <c r="O4711" s="92">
        <v>8267706.0</v>
      </c>
      <c r="P4711" s="92">
        <v>8399665.0</v>
      </c>
      <c r="Q4711" s="89" t="s">
        <v>810</v>
      </c>
      <c r="AF4711" s="1"/>
      <c r="AG4711" s="1"/>
    </row>
    <row r="4712" ht="15.75" customHeight="1">
      <c r="A4712" s="1"/>
      <c r="B4712" s="1"/>
      <c r="C4712" s="1"/>
      <c r="D4712" s="1"/>
      <c r="E4712" s="1"/>
      <c r="F4712" s="1"/>
      <c r="G4712" s="1"/>
      <c r="H4712" s="1"/>
      <c r="I4712" s="1"/>
      <c r="J4712" s="1"/>
      <c r="K4712" s="89" t="s">
        <v>7427</v>
      </c>
      <c r="L4712" s="89" t="str">
        <f>K167</f>
        <v>C2a1a1b2a1a~</v>
      </c>
      <c r="M4712" s="89"/>
      <c r="N4712" s="89"/>
      <c r="O4712" s="92">
        <v>8519212.0</v>
      </c>
      <c r="P4712" s="92">
        <v>8651171.0</v>
      </c>
      <c r="Q4712" s="89" t="s">
        <v>802</v>
      </c>
      <c r="AF4712" s="1"/>
      <c r="AG4712" s="1"/>
    </row>
    <row r="4713" ht="15.75" customHeight="1">
      <c r="A4713" s="1"/>
      <c r="B4713" s="1"/>
      <c r="C4713" s="1"/>
      <c r="D4713" s="1"/>
      <c r="E4713" s="1"/>
      <c r="F4713" s="1"/>
      <c r="G4713" s="1"/>
      <c r="H4713" s="1"/>
      <c r="I4713" s="1"/>
      <c r="J4713" s="1"/>
      <c r="K4713" s="89" t="s">
        <v>7428</v>
      </c>
      <c r="L4713" s="89" t="str">
        <f>K167</f>
        <v>C2a1a1b2a1a~</v>
      </c>
      <c r="M4713" s="89"/>
      <c r="N4713" s="89"/>
      <c r="O4713" s="92">
        <v>8835876.0</v>
      </c>
      <c r="P4713" s="92">
        <v>8967835.0</v>
      </c>
      <c r="Q4713" s="89" t="s">
        <v>845</v>
      </c>
      <c r="AF4713" s="1"/>
      <c r="AG4713" s="1"/>
    </row>
    <row r="4714" ht="15.75" customHeight="1">
      <c r="A4714" s="1"/>
      <c r="B4714" s="1"/>
      <c r="C4714" s="1"/>
      <c r="D4714" s="1"/>
      <c r="E4714" s="1"/>
      <c r="F4714" s="1"/>
      <c r="G4714" s="1"/>
      <c r="H4714" s="1"/>
      <c r="I4714" s="1"/>
      <c r="J4714" s="1"/>
      <c r="K4714" s="89" t="s">
        <v>7429</v>
      </c>
      <c r="L4714" s="89" t="str">
        <f t="shared" ref="L4714:L4715" si="35">K167</f>
        <v>C2a1a1b2a1a~</v>
      </c>
      <c r="M4714" s="89"/>
      <c r="N4714" s="89"/>
      <c r="O4714" s="92">
        <v>7425363.0</v>
      </c>
      <c r="P4714" s="92">
        <v>7557322.0</v>
      </c>
      <c r="Q4714" s="89" t="s">
        <v>838</v>
      </c>
      <c r="AF4714" s="1"/>
      <c r="AG4714" s="1"/>
    </row>
    <row r="4715" ht="15.75" customHeight="1">
      <c r="A4715" s="1"/>
      <c r="B4715" s="1"/>
      <c r="C4715" s="1"/>
      <c r="D4715" s="1"/>
      <c r="E4715" s="1"/>
      <c r="F4715" s="1"/>
      <c r="G4715" s="1"/>
      <c r="H4715" s="1"/>
      <c r="I4715" s="1"/>
      <c r="J4715" s="1"/>
      <c r="K4715" s="89" t="s">
        <v>298</v>
      </c>
      <c r="L4715" s="89" t="str">
        <f t="shared" si="35"/>
        <v>C2a1a1a2a1b</v>
      </c>
      <c r="M4715" s="89"/>
      <c r="N4715" s="89" t="s">
        <v>7430</v>
      </c>
      <c r="O4715" s="92">
        <v>1.6698437E7</v>
      </c>
      <c r="P4715" s="92">
        <v>1.4586557E7</v>
      </c>
      <c r="Q4715" s="89" t="s">
        <v>802</v>
      </c>
      <c r="AF4715" s="1"/>
      <c r="AG4715" s="1"/>
    </row>
    <row r="4716" ht="15.75" customHeight="1">
      <c r="A4716" s="1"/>
      <c r="B4716" s="1"/>
      <c r="C4716" s="1"/>
      <c r="D4716" s="1"/>
      <c r="E4716" s="1"/>
      <c r="F4716" s="1"/>
      <c r="G4716" s="1"/>
      <c r="H4716" s="1"/>
      <c r="I4716" s="1"/>
      <c r="J4716" s="1"/>
      <c r="K4716" s="89" t="s">
        <v>7431</v>
      </c>
      <c r="L4716" s="89" t="str">
        <f>L169</f>
        <v>C2a1a1a2a1b1</v>
      </c>
      <c r="M4716" s="89" t="s">
        <v>7432</v>
      </c>
      <c r="N4716" s="89" t="s">
        <v>7433</v>
      </c>
      <c r="O4716" s="92">
        <v>1.5716734E7</v>
      </c>
      <c r="P4716" s="92">
        <v>1.3604854E7</v>
      </c>
      <c r="Q4716" s="89" t="s">
        <v>879</v>
      </c>
      <c r="AF4716" s="1"/>
      <c r="AG4716" s="1"/>
    </row>
    <row r="4717" ht="15.75" customHeight="1">
      <c r="A4717" s="1"/>
      <c r="B4717" s="1"/>
      <c r="C4717" s="1"/>
      <c r="D4717" s="1"/>
      <c r="E4717" s="1"/>
      <c r="F4717" s="1"/>
      <c r="G4717" s="1"/>
      <c r="H4717" s="1"/>
      <c r="I4717" s="1"/>
      <c r="J4717" s="1"/>
      <c r="K4717" s="89" t="s">
        <v>7432</v>
      </c>
      <c r="L4717" s="89" t="str">
        <f>L169</f>
        <v>C2a1a1a2a1b1</v>
      </c>
      <c r="M4717" s="89" t="s">
        <v>7431</v>
      </c>
      <c r="N4717" s="89" t="s">
        <v>7433</v>
      </c>
      <c r="O4717" s="92">
        <v>1.5716734E7</v>
      </c>
      <c r="P4717" s="92">
        <v>1.3604854E7</v>
      </c>
      <c r="Q4717" s="89" t="s">
        <v>879</v>
      </c>
      <c r="AF4717" s="1"/>
      <c r="AG4717" s="1"/>
    </row>
    <row r="4718" ht="15.75" customHeight="1">
      <c r="A4718" s="1"/>
      <c r="B4718" s="1"/>
      <c r="C4718" s="1"/>
      <c r="D4718" s="1"/>
      <c r="E4718" s="1"/>
      <c r="F4718" s="1"/>
      <c r="G4718" s="1"/>
      <c r="H4718" s="1"/>
      <c r="I4718" s="1"/>
      <c r="J4718" s="1"/>
      <c r="K4718" s="89" t="s">
        <v>7434</v>
      </c>
      <c r="L4718" s="89" t="str">
        <f>L169</f>
        <v>C2a1a1a2a1b1</v>
      </c>
      <c r="M4718" s="89" t="s">
        <v>7435</v>
      </c>
      <c r="N4718" s="89" t="s">
        <v>7436</v>
      </c>
      <c r="O4718" s="92">
        <v>2.2092009E7</v>
      </c>
      <c r="P4718" s="92">
        <v>1.9930123E7</v>
      </c>
      <c r="Q4718" s="89" t="s">
        <v>831</v>
      </c>
      <c r="AF4718" s="1"/>
      <c r="AG4718" s="1"/>
    </row>
    <row r="4719" ht="15.75" customHeight="1">
      <c r="A4719" s="1"/>
      <c r="B4719" s="1"/>
      <c r="C4719" s="1"/>
      <c r="D4719" s="1"/>
      <c r="E4719" s="1"/>
      <c r="F4719" s="1"/>
      <c r="G4719" s="1"/>
      <c r="H4719" s="1"/>
      <c r="I4719" s="1"/>
      <c r="J4719" s="1"/>
      <c r="K4719" s="89" t="s">
        <v>7435</v>
      </c>
      <c r="L4719" s="89" t="str">
        <f>L169</f>
        <v>C2a1a1a2a1b1</v>
      </c>
      <c r="M4719" s="89" t="s">
        <v>7434</v>
      </c>
      <c r="N4719" s="89" t="s">
        <v>7436</v>
      </c>
      <c r="O4719" s="92">
        <v>2.2092009E7</v>
      </c>
      <c r="P4719" s="92">
        <v>1.9930123E7</v>
      </c>
      <c r="Q4719" s="89" t="s">
        <v>831</v>
      </c>
      <c r="AF4719" s="1"/>
      <c r="AG4719" s="1"/>
    </row>
    <row r="4720" ht="15.75" customHeight="1">
      <c r="A4720" s="1"/>
      <c r="B4720" s="1"/>
      <c r="C4720" s="1"/>
      <c r="D4720" s="1"/>
      <c r="E4720" s="1"/>
      <c r="F4720" s="1"/>
      <c r="G4720" s="1"/>
      <c r="H4720" s="1"/>
      <c r="I4720" s="1"/>
      <c r="J4720" s="1"/>
      <c r="K4720" s="89" t="s">
        <v>7437</v>
      </c>
      <c r="L4720" s="89" t="str">
        <f>L169</f>
        <v>C2a1a1a2a1b1</v>
      </c>
      <c r="M4720" s="89"/>
      <c r="N4720" s="89"/>
      <c r="O4720" s="92">
        <v>7215951.0</v>
      </c>
      <c r="P4720" s="92">
        <v>7347910.0</v>
      </c>
      <c r="Q4720" s="89" t="s">
        <v>810</v>
      </c>
      <c r="AF4720" s="1"/>
      <c r="AG4720" s="1"/>
    </row>
    <row r="4721" ht="15.75" customHeight="1">
      <c r="A4721" s="1"/>
      <c r="B4721" s="1"/>
      <c r="C4721" s="1"/>
      <c r="D4721" s="1"/>
      <c r="E4721" s="1"/>
      <c r="F4721" s="1"/>
      <c r="G4721" s="1"/>
      <c r="H4721" s="1"/>
      <c r="I4721" s="1"/>
      <c r="J4721" s="1"/>
      <c r="K4721" s="89" t="s">
        <v>7438</v>
      </c>
      <c r="L4721" s="89" t="str">
        <f>L169</f>
        <v>C2a1a1a2a1b1</v>
      </c>
      <c r="M4721" s="89"/>
      <c r="N4721" s="89"/>
      <c r="O4721" s="92">
        <v>7675457.0</v>
      </c>
      <c r="P4721" s="92">
        <v>7807416.0</v>
      </c>
      <c r="Q4721" s="89" t="s">
        <v>879</v>
      </c>
      <c r="AF4721" s="1"/>
      <c r="AG4721" s="1"/>
    </row>
    <row r="4722" ht="15.75" customHeight="1">
      <c r="A4722" s="1"/>
      <c r="B4722" s="1"/>
      <c r="C4722" s="1"/>
      <c r="D4722" s="1"/>
      <c r="E4722" s="1"/>
      <c r="F4722" s="1"/>
      <c r="G4722" s="1"/>
      <c r="H4722" s="1"/>
      <c r="I4722" s="1"/>
      <c r="J4722" s="1"/>
      <c r="K4722" s="89" t="s">
        <v>7439</v>
      </c>
      <c r="L4722" s="89" t="str">
        <f>L169</f>
        <v>C2a1a1a2a1b1</v>
      </c>
      <c r="M4722" s="89"/>
      <c r="N4722" s="89"/>
      <c r="O4722" s="92">
        <v>7851851.0</v>
      </c>
      <c r="P4722" s="92">
        <v>7983810.0</v>
      </c>
      <c r="Q4722" s="89" t="s">
        <v>802</v>
      </c>
      <c r="AF4722" s="1"/>
      <c r="AG4722" s="1"/>
    </row>
    <row r="4723" ht="15.75" customHeight="1">
      <c r="A4723" s="1"/>
      <c r="B4723" s="1"/>
      <c r="C4723" s="1"/>
      <c r="D4723" s="1"/>
      <c r="E4723" s="1"/>
      <c r="F4723" s="1"/>
      <c r="G4723" s="1"/>
      <c r="H4723" s="1"/>
      <c r="I4723" s="1"/>
      <c r="J4723" s="1"/>
      <c r="K4723" s="89" t="s">
        <v>7440</v>
      </c>
      <c r="L4723" s="89" t="str">
        <f>L169</f>
        <v>C2a1a1a2a1b1</v>
      </c>
      <c r="M4723" s="89"/>
      <c r="N4723" s="89"/>
      <c r="O4723" s="92">
        <v>8632808.0</v>
      </c>
      <c r="P4723" s="92">
        <v>8764767.0</v>
      </c>
      <c r="Q4723" s="89" t="s">
        <v>802</v>
      </c>
      <c r="AF4723" s="1"/>
      <c r="AG4723" s="1"/>
    </row>
    <row r="4724" ht="15.75" customHeight="1">
      <c r="A4724" s="1"/>
      <c r="B4724" s="1"/>
      <c r="C4724" s="1"/>
      <c r="D4724" s="1"/>
      <c r="E4724" s="1"/>
      <c r="F4724" s="1"/>
      <c r="G4724" s="1"/>
      <c r="H4724" s="1"/>
      <c r="I4724" s="1"/>
      <c r="J4724" s="1"/>
      <c r="K4724" s="89" t="s">
        <v>7441</v>
      </c>
      <c r="L4724" s="89" t="str">
        <f>L169</f>
        <v>C2a1a1a2a1b1</v>
      </c>
      <c r="M4724" s="89"/>
      <c r="N4724" s="89"/>
      <c r="O4724" s="92">
        <v>9379610.0</v>
      </c>
      <c r="P4724" s="92">
        <v>9542001.0</v>
      </c>
      <c r="Q4724" s="89" t="s">
        <v>838</v>
      </c>
      <c r="AF4724" s="1"/>
      <c r="AG4724" s="1"/>
    </row>
    <row r="4725" ht="15.75" customHeight="1">
      <c r="A4725" s="1"/>
      <c r="B4725" s="1"/>
      <c r="C4725" s="1"/>
      <c r="D4725" s="1"/>
      <c r="E4725" s="1"/>
      <c r="F4725" s="1"/>
      <c r="G4725" s="1"/>
      <c r="H4725" s="1"/>
      <c r="I4725" s="1"/>
      <c r="J4725" s="1"/>
      <c r="K4725" s="89" t="s">
        <v>7442</v>
      </c>
      <c r="L4725" s="89" t="str">
        <f>L169</f>
        <v>C2a1a1a2a1b1</v>
      </c>
      <c r="M4725" s="89"/>
      <c r="N4725" s="89"/>
      <c r="O4725" s="92">
        <v>1.4751432E7</v>
      </c>
      <c r="P4725" s="92">
        <v>1.2639501E7</v>
      </c>
      <c r="Q4725" s="89" t="s">
        <v>810</v>
      </c>
      <c r="AF4725" s="1"/>
      <c r="AG4725" s="1"/>
    </row>
    <row r="4726" ht="15.75" customHeight="1">
      <c r="A4726" s="1"/>
      <c r="B4726" s="1"/>
      <c r="C4726" s="1"/>
      <c r="D4726" s="1"/>
      <c r="E4726" s="1"/>
      <c r="F4726" s="1"/>
      <c r="G4726" s="1"/>
      <c r="H4726" s="1"/>
      <c r="I4726" s="1"/>
      <c r="J4726" s="1"/>
      <c r="K4726" s="89" t="s">
        <v>7443</v>
      </c>
      <c r="L4726" s="89" t="str">
        <f>L169</f>
        <v>C2a1a1a2a1b1</v>
      </c>
      <c r="M4726" s="89"/>
      <c r="N4726" s="89"/>
      <c r="O4726" s="92">
        <v>1.4848519E7</v>
      </c>
      <c r="P4726" s="92">
        <v>1.2736585E7</v>
      </c>
      <c r="Q4726" s="89" t="s">
        <v>813</v>
      </c>
      <c r="AF4726" s="1"/>
      <c r="AG4726" s="1"/>
    </row>
    <row r="4727" ht="15.75" customHeight="1">
      <c r="A4727" s="1"/>
      <c r="B4727" s="1"/>
      <c r="C4727" s="1"/>
      <c r="D4727" s="1"/>
      <c r="E4727" s="1"/>
      <c r="F4727" s="1"/>
      <c r="G4727" s="1"/>
      <c r="H4727" s="1"/>
      <c r="I4727" s="1"/>
      <c r="J4727" s="1"/>
      <c r="K4727" s="89" t="s">
        <v>7444</v>
      </c>
      <c r="L4727" s="89" t="str">
        <f>L169</f>
        <v>C2a1a1a2a1b1</v>
      </c>
      <c r="M4727" s="89"/>
      <c r="N4727" s="89"/>
      <c r="O4727" s="92">
        <v>1.5486214E7</v>
      </c>
      <c r="P4727" s="92">
        <v>1.3374334E7</v>
      </c>
      <c r="Q4727" s="89" t="s">
        <v>802</v>
      </c>
      <c r="AF4727" s="1"/>
      <c r="AG4727" s="1"/>
    </row>
    <row r="4728" ht="15.75" customHeight="1">
      <c r="A4728" s="1"/>
      <c r="B4728" s="1"/>
      <c r="C4728" s="1"/>
      <c r="D4728" s="1"/>
      <c r="E4728" s="1"/>
      <c r="F4728" s="1"/>
      <c r="G4728" s="1"/>
      <c r="H4728" s="1"/>
      <c r="I4728" s="1"/>
      <c r="J4728" s="1"/>
      <c r="K4728" s="89" t="s">
        <v>7445</v>
      </c>
      <c r="L4728" s="89" t="str">
        <f>L169</f>
        <v>C2a1a1a2a1b1</v>
      </c>
      <c r="M4728" s="89"/>
      <c r="N4728" s="89"/>
      <c r="O4728" s="92">
        <v>1.5913483E7</v>
      </c>
      <c r="P4728" s="92">
        <v>1.3801603E7</v>
      </c>
      <c r="Q4728" s="89" t="s">
        <v>912</v>
      </c>
      <c r="AF4728" s="1"/>
      <c r="AG4728" s="1"/>
    </row>
    <row r="4729" ht="15.75" customHeight="1">
      <c r="A4729" s="1"/>
      <c r="B4729" s="1"/>
      <c r="C4729" s="1"/>
      <c r="D4729" s="1"/>
      <c r="E4729" s="1"/>
      <c r="F4729" s="1"/>
      <c r="G4729" s="1"/>
      <c r="H4729" s="1"/>
      <c r="I4729" s="1"/>
      <c r="J4729" s="1"/>
      <c r="K4729" s="89" t="s">
        <v>7446</v>
      </c>
      <c r="L4729" s="89" t="str">
        <f>L169</f>
        <v>C2a1a1a2a1b1</v>
      </c>
      <c r="M4729" s="89"/>
      <c r="N4729" s="89"/>
      <c r="O4729" s="92">
        <v>1.7150132E7</v>
      </c>
      <c r="P4729" s="92">
        <v>1.5038252E7</v>
      </c>
      <c r="Q4729" s="89" t="s">
        <v>822</v>
      </c>
      <c r="AF4729" s="1"/>
      <c r="AG4729" s="1"/>
    </row>
    <row r="4730" ht="15.75" customHeight="1">
      <c r="A4730" s="1"/>
      <c r="B4730" s="1"/>
      <c r="C4730" s="1"/>
      <c r="D4730" s="1"/>
      <c r="E4730" s="1"/>
      <c r="F4730" s="1"/>
      <c r="G4730" s="1"/>
      <c r="H4730" s="1"/>
      <c r="I4730" s="1"/>
      <c r="J4730" s="1"/>
      <c r="K4730" s="89" t="s">
        <v>7447</v>
      </c>
      <c r="L4730" s="89" t="str">
        <f>L169</f>
        <v>C2a1a1a2a1b1</v>
      </c>
      <c r="M4730" s="89"/>
      <c r="N4730" s="89"/>
      <c r="O4730" s="92">
        <v>1.7295118E7</v>
      </c>
      <c r="P4730" s="92">
        <v>1.5183238E7</v>
      </c>
      <c r="Q4730" s="89" t="s">
        <v>879</v>
      </c>
      <c r="AF4730" s="1"/>
      <c r="AG4730" s="1"/>
    </row>
    <row r="4731" ht="15.75" customHeight="1">
      <c r="A4731" s="1"/>
      <c r="B4731" s="1"/>
      <c r="C4731" s="1"/>
      <c r="D4731" s="1"/>
      <c r="E4731" s="1"/>
      <c r="F4731" s="1"/>
      <c r="G4731" s="1"/>
      <c r="H4731" s="1"/>
      <c r="I4731" s="1"/>
      <c r="J4731" s="1"/>
      <c r="K4731" s="89" t="s">
        <v>7448</v>
      </c>
      <c r="L4731" s="89" t="str">
        <f>L169</f>
        <v>C2a1a1a2a1b1</v>
      </c>
      <c r="M4731" s="89"/>
      <c r="N4731" s="89"/>
      <c r="O4731" s="92">
        <v>1.7650469E7</v>
      </c>
      <c r="P4731" s="92">
        <v>1.5538589E7</v>
      </c>
      <c r="Q4731" s="89" t="s">
        <v>810</v>
      </c>
      <c r="AF4731" s="1"/>
      <c r="AG4731" s="1"/>
    </row>
    <row r="4732" ht="15.75" customHeight="1">
      <c r="A4732" s="1"/>
      <c r="B4732" s="1"/>
      <c r="C4732" s="1"/>
      <c r="D4732" s="1"/>
      <c r="E4732" s="1"/>
      <c r="F4732" s="1"/>
      <c r="G4732" s="1"/>
      <c r="H4732" s="1"/>
      <c r="I4732" s="1"/>
      <c r="J4732" s="1"/>
      <c r="K4732" s="89" t="s">
        <v>7449</v>
      </c>
      <c r="L4732" s="89" t="str">
        <f>L169</f>
        <v>C2a1a1a2a1b1</v>
      </c>
      <c r="M4732" s="89"/>
      <c r="N4732" s="89"/>
      <c r="O4732" s="92">
        <v>1.7704162E7</v>
      </c>
      <c r="P4732" s="92">
        <v>1.5592282E7</v>
      </c>
      <c r="Q4732" s="89" t="s">
        <v>886</v>
      </c>
      <c r="AF4732" s="1"/>
      <c r="AG4732" s="1"/>
    </row>
    <row r="4733" ht="15.75" customHeight="1">
      <c r="A4733" s="1"/>
      <c r="B4733" s="1"/>
      <c r="C4733" s="1"/>
      <c r="D4733" s="1"/>
      <c r="E4733" s="1"/>
      <c r="F4733" s="1"/>
      <c r="G4733" s="1"/>
      <c r="H4733" s="1"/>
      <c r="I4733" s="1"/>
      <c r="J4733" s="1"/>
      <c r="K4733" s="89" t="s">
        <v>7450</v>
      </c>
      <c r="L4733" s="89" t="str">
        <f>L169</f>
        <v>C2a1a1a2a1b1</v>
      </c>
      <c r="M4733" s="89"/>
      <c r="N4733" s="89"/>
      <c r="O4733" s="92">
        <v>1.7877756E7</v>
      </c>
      <c r="P4733" s="92">
        <v>1.5765876E7</v>
      </c>
      <c r="Q4733" s="89" t="s">
        <v>813</v>
      </c>
      <c r="AF4733" s="1"/>
      <c r="AG4733" s="1"/>
    </row>
    <row r="4734" ht="15.75" customHeight="1">
      <c r="A4734" s="1"/>
      <c r="B4734" s="1"/>
      <c r="C4734" s="1"/>
      <c r="D4734" s="1"/>
      <c r="E4734" s="1"/>
      <c r="F4734" s="1"/>
      <c r="G4734" s="1"/>
      <c r="H4734" s="1"/>
      <c r="I4734" s="1"/>
      <c r="J4734" s="1"/>
      <c r="K4734" s="89" t="s">
        <v>7451</v>
      </c>
      <c r="L4734" s="89" t="str">
        <f>L169</f>
        <v>C2a1a1a2a1b1</v>
      </c>
      <c r="M4734" s="89"/>
      <c r="N4734" s="89"/>
      <c r="O4734" s="92">
        <v>1.7996604E7</v>
      </c>
      <c r="P4734" s="92">
        <v>1.5884724E7</v>
      </c>
      <c r="Q4734" s="89" t="s">
        <v>845</v>
      </c>
      <c r="AF4734" s="1"/>
      <c r="AG4734" s="1"/>
    </row>
    <row r="4735" ht="15.75" customHeight="1">
      <c r="A4735" s="1"/>
      <c r="B4735" s="1"/>
      <c r="C4735" s="1"/>
      <c r="D4735" s="1"/>
      <c r="E4735" s="1"/>
      <c r="F4735" s="1"/>
      <c r="G4735" s="1"/>
      <c r="H4735" s="1"/>
      <c r="I4735" s="1"/>
      <c r="J4735" s="1"/>
      <c r="K4735" s="89" t="s">
        <v>7452</v>
      </c>
      <c r="L4735" s="89" t="str">
        <f>L169</f>
        <v>C2a1a1a2a1b1</v>
      </c>
      <c r="M4735" s="89"/>
      <c r="N4735" s="89"/>
      <c r="O4735" s="92">
        <v>1.8755323E7</v>
      </c>
      <c r="P4735" s="92">
        <v>1.6643443E7</v>
      </c>
      <c r="Q4735" s="89" t="s">
        <v>810</v>
      </c>
      <c r="AF4735" s="1"/>
      <c r="AG4735" s="1"/>
    </row>
    <row r="4736" ht="15.75" customHeight="1">
      <c r="A4736" s="1"/>
      <c r="B4736" s="1"/>
      <c r="C4736" s="1"/>
      <c r="D4736" s="1"/>
      <c r="E4736" s="1"/>
      <c r="F4736" s="1"/>
      <c r="G4736" s="1"/>
      <c r="H4736" s="1"/>
      <c r="I4736" s="1"/>
      <c r="J4736" s="1"/>
      <c r="K4736" s="89" t="s">
        <v>7453</v>
      </c>
      <c r="L4736" s="89" t="str">
        <f>L169</f>
        <v>C2a1a1a2a1b1</v>
      </c>
      <c r="M4736" s="89"/>
      <c r="N4736" s="89"/>
      <c r="O4736" s="92">
        <v>2.1222639E7</v>
      </c>
      <c r="P4736" s="92">
        <v>1.9060753E7</v>
      </c>
      <c r="Q4736" s="89" t="s">
        <v>838</v>
      </c>
      <c r="AF4736" s="1"/>
      <c r="AG4736" s="1"/>
    </row>
    <row r="4737" ht="15.75" customHeight="1">
      <c r="A4737" s="1"/>
      <c r="B4737" s="1"/>
      <c r="C4737" s="1"/>
      <c r="D4737" s="1"/>
      <c r="E4737" s="1"/>
      <c r="F4737" s="1"/>
      <c r="G4737" s="1"/>
      <c r="H4737" s="1"/>
      <c r="I4737" s="1"/>
      <c r="J4737" s="1"/>
      <c r="K4737" s="89" t="s">
        <v>7454</v>
      </c>
      <c r="L4737" s="89" t="str">
        <f>L169</f>
        <v>C2a1a1a2a1b1</v>
      </c>
      <c r="M4737" s="89"/>
      <c r="N4737" s="89"/>
      <c r="O4737" s="92">
        <v>2.1548391E7</v>
      </c>
      <c r="P4737" s="92">
        <v>1.9386505E7</v>
      </c>
      <c r="Q4737" s="89" t="s">
        <v>802</v>
      </c>
      <c r="AF4737" s="1"/>
      <c r="AG4737" s="1"/>
    </row>
    <row r="4738" ht="15.75" customHeight="1">
      <c r="A4738" s="1"/>
      <c r="B4738" s="1"/>
      <c r="C4738" s="1"/>
      <c r="D4738" s="1"/>
      <c r="E4738" s="1"/>
      <c r="F4738" s="1"/>
      <c r="G4738" s="1"/>
      <c r="H4738" s="1"/>
      <c r="I4738" s="1"/>
      <c r="J4738" s="1"/>
      <c r="K4738" s="89" t="s">
        <v>7455</v>
      </c>
      <c r="L4738" s="89" t="str">
        <f>L169</f>
        <v>C2a1a1a2a1b1</v>
      </c>
      <c r="M4738" s="89"/>
      <c r="N4738" s="89"/>
      <c r="O4738" s="92">
        <v>2.2897854E7</v>
      </c>
      <c r="P4738" s="92">
        <v>2.0735968E7</v>
      </c>
      <c r="Q4738" s="89" t="s">
        <v>810</v>
      </c>
      <c r="AF4738" s="1"/>
      <c r="AG4738" s="1"/>
    </row>
    <row r="4739" ht="15.75" customHeight="1">
      <c r="A4739" s="1"/>
      <c r="B4739" s="1"/>
      <c r="C4739" s="1"/>
      <c r="D4739" s="1"/>
      <c r="E4739" s="1"/>
      <c r="F4739" s="1"/>
      <c r="G4739" s="1"/>
      <c r="H4739" s="1"/>
      <c r="I4739" s="1"/>
      <c r="J4739" s="1"/>
      <c r="K4739" s="89" t="s">
        <v>7456</v>
      </c>
      <c r="L4739" s="89" t="str">
        <f>L169</f>
        <v>C2a1a1a2a1b1</v>
      </c>
      <c r="M4739" s="89"/>
      <c r="N4739" s="89"/>
      <c r="O4739" s="92">
        <v>2.2920334E7</v>
      </c>
      <c r="P4739" s="92">
        <v>2.0758448E7</v>
      </c>
      <c r="Q4739" s="89" t="s">
        <v>845</v>
      </c>
      <c r="AF4739" s="1"/>
      <c r="AG4739" s="1"/>
    </row>
    <row r="4740" ht="15.75" customHeight="1">
      <c r="A4740" s="1"/>
      <c r="B4740" s="1"/>
      <c r="C4740" s="1"/>
      <c r="D4740" s="1"/>
      <c r="E4740" s="1"/>
      <c r="F4740" s="1"/>
      <c r="G4740" s="1"/>
      <c r="H4740" s="1"/>
      <c r="I4740" s="1"/>
      <c r="J4740" s="1"/>
      <c r="K4740" s="89" t="s">
        <v>7457</v>
      </c>
      <c r="L4740" s="89" t="str">
        <f>L169</f>
        <v>C2a1a1a2a1b1</v>
      </c>
      <c r="M4740" s="89"/>
      <c r="N4740" s="89"/>
      <c r="O4740" s="92">
        <v>2.299845E7</v>
      </c>
      <c r="P4740" s="92">
        <v>2.0836564E7</v>
      </c>
      <c r="Q4740" s="89" t="s">
        <v>886</v>
      </c>
      <c r="AF4740" s="1"/>
      <c r="AG4740" s="1"/>
    </row>
    <row r="4741" ht="15.75" customHeight="1">
      <c r="A4741" s="1"/>
      <c r="B4741" s="1"/>
      <c r="C4741" s="1"/>
      <c r="D4741" s="1"/>
      <c r="E4741" s="1"/>
      <c r="F4741" s="1"/>
      <c r="G4741" s="1"/>
      <c r="H4741" s="1"/>
      <c r="I4741" s="1"/>
      <c r="J4741" s="1"/>
      <c r="K4741" s="89" t="s">
        <v>7458</v>
      </c>
      <c r="L4741" s="89" t="str">
        <f>L169</f>
        <v>C2a1a1a2a1b1</v>
      </c>
      <c r="M4741" s="89"/>
      <c r="N4741" s="89"/>
      <c r="O4741" s="92">
        <v>2.3243411E7</v>
      </c>
      <c r="P4741" s="92">
        <v>2.1081525E7</v>
      </c>
      <c r="Q4741" s="89" t="s">
        <v>838</v>
      </c>
      <c r="AF4741" s="1"/>
      <c r="AG4741" s="1"/>
    </row>
    <row r="4742" ht="15.75" customHeight="1">
      <c r="A4742" s="1"/>
      <c r="B4742" s="1"/>
      <c r="C4742" s="1"/>
      <c r="D4742" s="1"/>
      <c r="E4742" s="1"/>
      <c r="F4742" s="1"/>
      <c r="G4742" s="1"/>
      <c r="H4742" s="1"/>
      <c r="I4742" s="1"/>
      <c r="J4742" s="1"/>
      <c r="K4742" s="89" t="s">
        <v>7459</v>
      </c>
      <c r="L4742" s="89" t="str">
        <f>M170</f>
        <v>C2a1a1a2a1b1a~</v>
      </c>
      <c r="M4742" s="89" t="s">
        <v>7460</v>
      </c>
      <c r="N4742" s="89" t="s">
        <v>7461</v>
      </c>
      <c r="O4742" s="89">
        <v>6826402.0</v>
      </c>
      <c r="P4742" s="89">
        <v>6958361.0</v>
      </c>
      <c r="Q4742" s="89" t="s">
        <v>822</v>
      </c>
      <c r="AF4742" s="1"/>
      <c r="AG4742" s="1"/>
    </row>
    <row r="4743" ht="15.75" customHeight="1">
      <c r="A4743" s="1"/>
      <c r="B4743" s="1"/>
      <c r="C4743" s="1"/>
      <c r="D4743" s="1"/>
      <c r="E4743" s="1"/>
      <c r="F4743" s="1"/>
      <c r="G4743" s="1"/>
      <c r="H4743" s="1"/>
      <c r="I4743" s="1"/>
      <c r="J4743" s="1"/>
      <c r="K4743" s="89" t="s">
        <v>7460</v>
      </c>
      <c r="L4743" s="89" t="str">
        <f>M170</f>
        <v>C2a1a1a2a1b1a~</v>
      </c>
      <c r="M4743" s="89" t="s">
        <v>7459</v>
      </c>
      <c r="N4743" s="89" t="s">
        <v>7461</v>
      </c>
      <c r="O4743" s="89">
        <v>6826402.0</v>
      </c>
      <c r="P4743" s="89">
        <v>6958361.0</v>
      </c>
      <c r="Q4743" s="89" t="s">
        <v>822</v>
      </c>
      <c r="AF4743" s="1"/>
      <c r="AG4743" s="1"/>
    </row>
    <row r="4744" ht="15.75" customHeight="1">
      <c r="A4744" s="1"/>
      <c r="B4744" s="1"/>
      <c r="C4744" s="1"/>
      <c r="D4744" s="1"/>
      <c r="E4744" s="1"/>
      <c r="F4744" s="1"/>
      <c r="G4744" s="1"/>
      <c r="H4744" s="1"/>
      <c r="I4744" s="1"/>
      <c r="J4744" s="1"/>
      <c r="K4744" s="93" t="s">
        <v>7462</v>
      </c>
      <c r="L4744" s="89" t="str">
        <f>M170</f>
        <v>C2a1a1a2a1b1a~</v>
      </c>
      <c r="M4744" s="89" t="s">
        <v>7463</v>
      </c>
      <c r="N4744" s="89"/>
      <c r="O4744" s="89">
        <v>8328870.0</v>
      </c>
      <c r="P4744" s="89">
        <v>8460829.0</v>
      </c>
      <c r="Q4744" s="89" t="s">
        <v>831</v>
      </c>
      <c r="AF4744" s="1"/>
      <c r="AG4744" s="1"/>
    </row>
    <row r="4745" ht="15.75" customHeight="1">
      <c r="A4745" s="1"/>
      <c r="B4745" s="1"/>
      <c r="C4745" s="1"/>
      <c r="D4745" s="1"/>
      <c r="E4745" s="1"/>
      <c r="F4745" s="1"/>
      <c r="G4745" s="1"/>
      <c r="H4745" s="1"/>
      <c r="I4745" s="1"/>
      <c r="J4745" s="1"/>
      <c r="K4745" s="89" t="s">
        <v>7463</v>
      </c>
      <c r="L4745" s="89" t="str">
        <f t="shared" ref="L4745:L4746" si="36">M170</f>
        <v>C2a1a1a2a1b1a~</v>
      </c>
      <c r="M4745" s="93" t="s">
        <v>7462</v>
      </c>
      <c r="N4745" s="89" t="s">
        <v>7464</v>
      </c>
      <c r="O4745" s="89">
        <v>8328870.0</v>
      </c>
      <c r="P4745" s="89">
        <v>8460829.0</v>
      </c>
      <c r="Q4745" s="89" t="s">
        <v>831</v>
      </c>
      <c r="AF4745" s="1"/>
      <c r="AG4745" s="1"/>
    </row>
    <row r="4746" ht="15.75" customHeight="1">
      <c r="A4746" s="1"/>
      <c r="B4746" s="1"/>
      <c r="C4746" s="1"/>
      <c r="D4746" s="1"/>
      <c r="E4746" s="1"/>
      <c r="F4746" s="1"/>
      <c r="G4746" s="1"/>
      <c r="H4746" s="1"/>
      <c r="I4746" s="1"/>
      <c r="J4746" s="1"/>
      <c r="K4746" s="89" t="s">
        <v>7465</v>
      </c>
      <c r="L4746" s="89" t="str">
        <f t="shared" si="36"/>
        <v>C2a1a1a2a1b1b~</v>
      </c>
      <c r="M4746" s="89"/>
      <c r="N4746" s="89"/>
      <c r="O4746" s="92">
        <v>7964375.0</v>
      </c>
      <c r="P4746" s="92">
        <v>8096334.0</v>
      </c>
      <c r="Q4746" s="89" t="s">
        <v>845</v>
      </c>
      <c r="AF4746" s="1"/>
      <c r="AG4746" s="1"/>
    </row>
    <row r="4747" ht="15.75" customHeight="1">
      <c r="A4747" s="1"/>
      <c r="B4747" s="1"/>
      <c r="C4747" s="1"/>
      <c r="D4747" s="1"/>
      <c r="E4747" s="1"/>
      <c r="F4747" s="1"/>
      <c r="G4747" s="1"/>
      <c r="H4747" s="1"/>
      <c r="I4747" s="1"/>
      <c r="J4747" s="1"/>
      <c r="K4747" s="89" t="s">
        <v>7466</v>
      </c>
      <c r="L4747" s="89" t="str">
        <f>M171</f>
        <v>C2a1a1a2a1b1b~</v>
      </c>
      <c r="M4747" s="89"/>
      <c r="N4747" s="89"/>
      <c r="O4747" s="92">
        <v>9882116.0</v>
      </c>
      <c r="P4747" s="92">
        <v>1.0044507E7</v>
      </c>
      <c r="Q4747" s="89" t="s">
        <v>822</v>
      </c>
      <c r="AF4747" s="1"/>
      <c r="AG4747" s="1"/>
    </row>
    <row r="4748" ht="15.75" customHeight="1">
      <c r="A4748" s="1"/>
      <c r="B4748" s="1"/>
      <c r="C4748" s="1"/>
      <c r="D4748" s="1"/>
      <c r="E4748" s="1"/>
      <c r="F4748" s="1"/>
      <c r="G4748" s="1"/>
      <c r="H4748" s="1"/>
      <c r="I4748" s="1"/>
      <c r="J4748" s="1"/>
      <c r="K4748" s="89" t="s">
        <v>7467</v>
      </c>
      <c r="L4748" s="89" t="str">
        <f>M171</f>
        <v>C2a1a1a2a1b1b~</v>
      </c>
      <c r="M4748" s="89"/>
      <c r="N4748" s="89"/>
      <c r="O4748" s="92">
        <v>1.8406582E7</v>
      </c>
      <c r="P4748" s="92">
        <v>1.6294702E7</v>
      </c>
      <c r="Q4748" s="89" t="s">
        <v>912</v>
      </c>
      <c r="AF4748" s="1"/>
      <c r="AG4748" s="1"/>
    </row>
    <row r="4749" ht="15.75" customHeight="1">
      <c r="A4749" s="1"/>
      <c r="B4749" s="1"/>
      <c r="C4749" s="1"/>
      <c r="D4749" s="1"/>
      <c r="E4749" s="1"/>
      <c r="F4749" s="1"/>
      <c r="G4749" s="1"/>
      <c r="H4749" s="1"/>
      <c r="I4749" s="1"/>
      <c r="J4749" s="1"/>
      <c r="K4749" s="89" t="s">
        <v>7468</v>
      </c>
      <c r="L4749" s="89" t="str">
        <f>M171</f>
        <v>C2a1a1a2a1b1b~</v>
      </c>
      <c r="M4749" s="89"/>
      <c r="N4749" s="89"/>
      <c r="O4749" s="92">
        <v>1.8582733E7</v>
      </c>
      <c r="P4749" s="92">
        <v>1.6470853E7</v>
      </c>
      <c r="Q4749" s="89" t="s">
        <v>838</v>
      </c>
      <c r="AF4749" s="1"/>
      <c r="AG4749" s="1"/>
    </row>
    <row r="4750" ht="15.75" customHeight="1">
      <c r="A4750" s="1"/>
      <c r="B4750" s="1"/>
      <c r="C4750" s="1"/>
      <c r="D4750" s="1"/>
      <c r="E4750" s="1"/>
      <c r="F4750" s="1"/>
      <c r="G4750" s="1"/>
      <c r="H4750" s="1"/>
      <c r="I4750" s="1"/>
      <c r="J4750" s="1"/>
      <c r="K4750" s="89" t="s">
        <v>7469</v>
      </c>
      <c r="L4750" s="89" t="str">
        <f t="shared" ref="L4750:L4751" si="37">M171</f>
        <v>C2a1a1a2a1b1b~</v>
      </c>
      <c r="M4750" s="89"/>
      <c r="N4750" s="89"/>
      <c r="O4750" s="92">
        <v>2.2671338E7</v>
      </c>
      <c r="P4750" s="92">
        <v>2.0509452E7</v>
      </c>
      <c r="Q4750" s="89" t="s">
        <v>810</v>
      </c>
      <c r="AF4750" s="1"/>
      <c r="AG4750" s="1"/>
    </row>
    <row r="4751" ht="15.75" customHeight="1">
      <c r="A4751" s="1"/>
      <c r="B4751" s="1"/>
      <c r="C4751" s="1"/>
      <c r="D4751" s="1"/>
      <c r="E4751" s="1"/>
      <c r="F4751" s="1"/>
      <c r="G4751" s="1"/>
      <c r="H4751" s="1"/>
      <c r="I4751" s="1"/>
      <c r="J4751" s="1"/>
      <c r="K4751" s="89" t="s">
        <v>7470</v>
      </c>
      <c r="L4751" s="89" t="str">
        <f t="shared" si="37"/>
        <v>C2a1a1a2a1b1c~</v>
      </c>
      <c r="M4751" s="89"/>
      <c r="N4751" s="89"/>
      <c r="O4751" s="92">
        <v>1.6217221E7</v>
      </c>
      <c r="P4751" s="92">
        <v>1.4105341E7</v>
      </c>
      <c r="Q4751" s="89" t="s">
        <v>822</v>
      </c>
      <c r="AF4751" s="1"/>
      <c r="AG4751" s="1"/>
    </row>
    <row r="4752" ht="15.75" customHeight="1">
      <c r="A4752" s="1"/>
      <c r="B4752" s="1"/>
      <c r="C4752" s="1"/>
      <c r="D4752" s="1"/>
      <c r="E4752" s="1"/>
      <c r="F4752" s="1"/>
      <c r="G4752" s="1"/>
      <c r="H4752" s="1"/>
      <c r="I4752" s="1"/>
      <c r="J4752" s="1"/>
      <c r="K4752" s="89" t="s">
        <v>7471</v>
      </c>
      <c r="L4752" s="89" t="str">
        <f>M172</f>
        <v>C2a1a1a2a1b1c~</v>
      </c>
      <c r="M4752" s="89"/>
      <c r="N4752" s="89"/>
      <c r="O4752" s="92">
        <v>9424893.0</v>
      </c>
      <c r="P4752" s="92">
        <v>9587284.0</v>
      </c>
      <c r="Q4752" s="89" t="s">
        <v>917</v>
      </c>
      <c r="AF4752" s="1"/>
      <c r="AG4752" s="1"/>
    </row>
    <row r="4753" ht="15.75" customHeight="1">
      <c r="A4753" s="1"/>
      <c r="B4753" s="1"/>
      <c r="C4753" s="1"/>
      <c r="D4753" s="1"/>
      <c r="E4753" s="1"/>
      <c r="F4753" s="1"/>
      <c r="G4753" s="1"/>
      <c r="H4753" s="1"/>
      <c r="I4753" s="1"/>
      <c r="J4753" s="1"/>
      <c r="K4753" s="89" t="s">
        <v>7472</v>
      </c>
      <c r="L4753" s="89" t="str">
        <f>M172</f>
        <v>C2a1a1a2a1b1c~</v>
      </c>
      <c r="M4753" s="89"/>
      <c r="N4753" s="89"/>
      <c r="O4753" s="92">
        <v>1.7107044E7</v>
      </c>
      <c r="P4753" s="92">
        <v>1.4995164E7</v>
      </c>
      <c r="Q4753" s="89" t="s">
        <v>810</v>
      </c>
      <c r="AF4753" s="1"/>
      <c r="AG4753" s="1"/>
    </row>
    <row r="4754" ht="15.75" customHeight="1">
      <c r="A4754" s="1"/>
      <c r="B4754" s="1"/>
      <c r="C4754" s="1"/>
      <c r="D4754" s="1"/>
      <c r="E4754" s="1"/>
      <c r="F4754" s="1"/>
      <c r="G4754" s="1"/>
      <c r="H4754" s="1"/>
      <c r="I4754" s="1"/>
      <c r="J4754" s="1"/>
      <c r="K4754" s="89" t="s">
        <v>7473</v>
      </c>
      <c r="L4754" s="89" t="str">
        <f>M172</f>
        <v>C2a1a1a2a1b1c~</v>
      </c>
      <c r="M4754" s="89"/>
      <c r="N4754" s="89"/>
      <c r="O4754" s="92">
        <v>2.1094936E7</v>
      </c>
      <c r="P4754" s="92">
        <v>1.893305E7</v>
      </c>
      <c r="Q4754" s="89" t="s">
        <v>802</v>
      </c>
      <c r="AF4754" s="1"/>
      <c r="AG4754" s="1"/>
    </row>
    <row r="4755" ht="15.75" customHeight="1">
      <c r="A4755" s="1"/>
      <c r="B4755" s="1"/>
      <c r="C4755" s="1"/>
      <c r="D4755" s="1"/>
      <c r="E4755" s="1"/>
      <c r="F4755" s="1"/>
      <c r="G4755" s="1"/>
      <c r="H4755" s="1"/>
      <c r="I4755" s="1"/>
      <c r="J4755" s="1"/>
      <c r="K4755" s="95" t="s">
        <v>7474</v>
      </c>
      <c r="L4755" s="89" t="str">
        <f>K173</f>
        <v>C2a1a1b2a1c~</v>
      </c>
      <c r="M4755" s="89"/>
      <c r="N4755" s="89"/>
      <c r="O4755" s="97">
        <v>6792943.0</v>
      </c>
      <c r="P4755" s="98">
        <v>6924902.0</v>
      </c>
      <c r="Q4755" s="93" t="s">
        <v>912</v>
      </c>
      <c r="AF4755" s="1"/>
      <c r="AG4755" s="1"/>
    </row>
    <row r="4756" ht="15.75" customHeight="1">
      <c r="A4756" s="1"/>
      <c r="B4756" s="1"/>
      <c r="C4756" s="1"/>
      <c r="D4756" s="1"/>
      <c r="E4756" s="1"/>
      <c r="F4756" s="1"/>
      <c r="G4756" s="1"/>
      <c r="H4756" s="1"/>
      <c r="I4756" s="1"/>
      <c r="J4756" s="1"/>
      <c r="K4756" s="95" t="s">
        <v>7475</v>
      </c>
      <c r="L4756" s="89" t="str">
        <f>K173</f>
        <v>C2a1a1b2a1c~</v>
      </c>
      <c r="M4756" s="89"/>
      <c r="N4756" s="89"/>
      <c r="O4756" s="97">
        <v>6871592.0</v>
      </c>
      <c r="P4756" s="98">
        <v>7003551.0</v>
      </c>
      <c r="Q4756" s="93" t="s">
        <v>912</v>
      </c>
      <c r="AF4756" s="1"/>
      <c r="AG4756" s="1"/>
    </row>
    <row r="4757" ht="15.75" customHeight="1">
      <c r="A4757" s="1"/>
      <c r="B4757" s="1"/>
      <c r="C4757" s="1"/>
      <c r="D4757" s="1"/>
      <c r="E4757" s="1"/>
      <c r="F4757" s="1"/>
      <c r="G4757" s="1"/>
      <c r="H4757" s="1"/>
      <c r="I4757" s="1"/>
      <c r="J4757" s="1"/>
      <c r="K4757" s="95" t="s">
        <v>7476</v>
      </c>
      <c r="L4757" s="89" t="str">
        <f>K173</f>
        <v>C2a1a1b2a1c~</v>
      </c>
      <c r="M4757" s="89"/>
      <c r="N4757" s="89"/>
      <c r="O4757" s="97">
        <v>7072124.0</v>
      </c>
      <c r="P4757" s="98">
        <v>7204083.0</v>
      </c>
      <c r="Q4757" s="93" t="s">
        <v>864</v>
      </c>
      <c r="AF4757" s="1"/>
      <c r="AG4757" s="1"/>
    </row>
    <row r="4758" ht="15.75" customHeight="1">
      <c r="A4758" s="1"/>
      <c r="B4758" s="1"/>
      <c r="C4758" s="1"/>
      <c r="D4758" s="1"/>
      <c r="E4758" s="1"/>
      <c r="F4758" s="1"/>
      <c r="G4758" s="1"/>
      <c r="H4758" s="1"/>
      <c r="I4758" s="1"/>
      <c r="J4758" s="1"/>
      <c r="K4758" s="95" t="s">
        <v>7477</v>
      </c>
      <c r="L4758" s="89" t="str">
        <f>K173</f>
        <v>C2a1a1b2a1c~</v>
      </c>
      <c r="M4758" s="89"/>
      <c r="N4758" s="89"/>
      <c r="O4758" s="97">
        <v>7806227.0</v>
      </c>
      <c r="P4758" s="98">
        <v>7938186.0</v>
      </c>
      <c r="Q4758" s="93" t="s">
        <v>822</v>
      </c>
      <c r="AF4758" s="1"/>
      <c r="AG4758" s="1"/>
    </row>
    <row r="4759" ht="15.75" customHeight="1">
      <c r="A4759" s="1"/>
      <c r="B4759" s="1"/>
      <c r="C4759" s="1"/>
      <c r="D4759" s="1"/>
      <c r="E4759" s="1"/>
      <c r="F4759" s="1"/>
      <c r="G4759" s="1"/>
      <c r="H4759" s="1"/>
      <c r="I4759" s="1"/>
      <c r="J4759" s="1"/>
      <c r="K4759" s="95" t="s">
        <v>7478</v>
      </c>
      <c r="L4759" s="89" t="str">
        <f>K173</f>
        <v>C2a1a1b2a1c~</v>
      </c>
      <c r="M4759" s="89"/>
      <c r="N4759" s="89"/>
      <c r="O4759" s="97">
        <v>7814625.0</v>
      </c>
      <c r="P4759" s="98">
        <v>7946584.0</v>
      </c>
      <c r="Q4759" s="93" t="s">
        <v>838</v>
      </c>
      <c r="AF4759" s="1"/>
      <c r="AG4759" s="1"/>
    </row>
    <row r="4760" ht="15.75" customHeight="1">
      <c r="A4760" s="1"/>
      <c r="B4760" s="1"/>
      <c r="C4760" s="1"/>
      <c r="D4760" s="1"/>
      <c r="E4760" s="1"/>
      <c r="F4760" s="1"/>
      <c r="G4760" s="1"/>
      <c r="H4760" s="1"/>
      <c r="I4760" s="1"/>
      <c r="J4760" s="1"/>
      <c r="K4760" s="89" t="s">
        <v>7479</v>
      </c>
      <c r="L4760" s="89" t="str">
        <f>J174</f>
        <v>C2a1a1a2a2</v>
      </c>
      <c r="M4760" s="89" t="s">
        <v>7480</v>
      </c>
      <c r="N4760" s="89"/>
      <c r="O4760" s="92">
        <v>8515709.0</v>
      </c>
      <c r="P4760" s="92">
        <v>8647668.0</v>
      </c>
      <c r="Q4760" s="89" t="s">
        <v>879</v>
      </c>
      <c r="AF4760" s="1"/>
      <c r="AG4760" s="1"/>
    </row>
    <row r="4761" ht="15.75" customHeight="1">
      <c r="A4761" s="1"/>
      <c r="B4761" s="1"/>
      <c r="C4761" s="1"/>
      <c r="D4761" s="1"/>
      <c r="E4761" s="1"/>
      <c r="F4761" s="1"/>
      <c r="G4761" s="1"/>
      <c r="H4761" s="1"/>
      <c r="I4761" s="1"/>
      <c r="J4761" s="1"/>
      <c r="K4761" s="89" t="s">
        <v>7480</v>
      </c>
      <c r="L4761" s="89" t="str">
        <f>J174</f>
        <v>C2a1a1a2a2</v>
      </c>
      <c r="M4761" s="89" t="s">
        <v>7479</v>
      </c>
      <c r="N4761" s="89"/>
      <c r="O4761" s="92">
        <v>8515709.0</v>
      </c>
      <c r="P4761" s="92">
        <v>8647668.0</v>
      </c>
      <c r="Q4761" s="89" t="s">
        <v>879</v>
      </c>
      <c r="AF4761" s="1"/>
      <c r="AG4761" s="1"/>
    </row>
    <row r="4762" ht="15.75" customHeight="1">
      <c r="A4762" s="1"/>
      <c r="B4762" s="1"/>
      <c r="C4762" s="1"/>
      <c r="D4762" s="1"/>
      <c r="E4762" s="1"/>
      <c r="F4762" s="1"/>
      <c r="G4762" s="1"/>
      <c r="H4762" s="1"/>
      <c r="I4762" s="1"/>
      <c r="J4762" s="1"/>
      <c r="K4762" s="89" t="s">
        <v>7481</v>
      </c>
      <c r="L4762" s="89" t="str">
        <f>J174</f>
        <v>C2a1a1a2a2</v>
      </c>
      <c r="M4762" s="89" t="s">
        <v>7482</v>
      </c>
      <c r="N4762" s="89"/>
      <c r="O4762" s="92">
        <v>1.541972E7</v>
      </c>
      <c r="P4762" s="92">
        <v>1.330784E7</v>
      </c>
      <c r="Q4762" s="89" t="s">
        <v>813</v>
      </c>
      <c r="AF4762" s="1"/>
      <c r="AG4762" s="1"/>
    </row>
    <row r="4763" ht="15.75" customHeight="1">
      <c r="A4763" s="1"/>
      <c r="B4763" s="1"/>
      <c r="C4763" s="1"/>
      <c r="D4763" s="1"/>
      <c r="E4763" s="1"/>
      <c r="F4763" s="1"/>
      <c r="G4763" s="1"/>
      <c r="H4763" s="1"/>
      <c r="I4763" s="1"/>
      <c r="J4763" s="1"/>
      <c r="K4763" s="89" t="s">
        <v>7482</v>
      </c>
      <c r="L4763" s="89" t="str">
        <f>J174</f>
        <v>C2a1a1a2a2</v>
      </c>
      <c r="M4763" s="89" t="s">
        <v>7481</v>
      </c>
      <c r="N4763" s="89"/>
      <c r="O4763" s="92">
        <v>1.541972E7</v>
      </c>
      <c r="P4763" s="92">
        <v>1.330784E7</v>
      </c>
      <c r="Q4763" s="89" t="s">
        <v>813</v>
      </c>
      <c r="AF4763" s="1"/>
      <c r="AG4763" s="1"/>
    </row>
    <row r="4764" ht="15.75" customHeight="1">
      <c r="A4764" s="1"/>
      <c r="B4764" s="1"/>
      <c r="C4764" s="1"/>
      <c r="D4764" s="1"/>
      <c r="E4764" s="1"/>
      <c r="F4764" s="1"/>
      <c r="G4764" s="1"/>
      <c r="H4764" s="1"/>
      <c r="I4764" s="1"/>
      <c r="J4764" s="1"/>
      <c r="K4764" s="89" t="s">
        <v>7483</v>
      </c>
      <c r="L4764" s="89" t="str">
        <f>J174</f>
        <v>C2a1a1a2a2</v>
      </c>
      <c r="M4764" s="89" t="s">
        <v>7484</v>
      </c>
      <c r="N4764" s="89"/>
      <c r="O4764" s="92">
        <v>2.2707826E7</v>
      </c>
      <c r="P4764" s="92">
        <v>2.054594E7</v>
      </c>
      <c r="Q4764" s="89" t="s">
        <v>810</v>
      </c>
      <c r="AF4764" s="1"/>
      <c r="AG4764" s="1"/>
    </row>
    <row r="4765" ht="15.75" customHeight="1">
      <c r="A4765" s="1"/>
      <c r="B4765" s="1"/>
      <c r="C4765" s="1"/>
      <c r="D4765" s="1"/>
      <c r="E4765" s="1"/>
      <c r="F4765" s="1"/>
      <c r="G4765" s="1"/>
      <c r="H4765" s="1"/>
      <c r="I4765" s="1"/>
      <c r="J4765" s="1"/>
      <c r="K4765" s="89" t="s">
        <v>7484</v>
      </c>
      <c r="L4765" s="89" t="str">
        <f>J174</f>
        <v>C2a1a1a2a2</v>
      </c>
      <c r="M4765" s="89" t="s">
        <v>7483</v>
      </c>
      <c r="N4765" s="89"/>
      <c r="O4765" s="92">
        <v>2.2707826E7</v>
      </c>
      <c r="P4765" s="92">
        <v>2.054594E7</v>
      </c>
      <c r="Q4765" s="89" t="s">
        <v>810</v>
      </c>
      <c r="AF4765" s="1"/>
      <c r="AG4765" s="1"/>
    </row>
    <row r="4766" ht="15.75" customHeight="1">
      <c r="A4766" s="1"/>
      <c r="B4766" s="1"/>
      <c r="C4766" s="1"/>
      <c r="D4766" s="1"/>
      <c r="E4766" s="1"/>
      <c r="F4766" s="1"/>
      <c r="G4766" s="1"/>
      <c r="H4766" s="1"/>
      <c r="I4766" s="1"/>
      <c r="J4766" s="1"/>
      <c r="K4766" s="89" t="s">
        <v>7485</v>
      </c>
      <c r="L4766" s="89" t="str">
        <f>J174</f>
        <v>C2a1a1a2a2</v>
      </c>
      <c r="M4766" s="89" t="s">
        <v>7486</v>
      </c>
      <c r="N4766" s="89"/>
      <c r="O4766" s="92">
        <v>2.3324047E7</v>
      </c>
      <c r="P4766" s="92">
        <v>2.1162161E7</v>
      </c>
      <c r="Q4766" s="89" t="s">
        <v>917</v>
      </c>
      <c r="AF4766" s="1"/>
      <c r="AG4766" s="1"/>
    </row>
    <row r="4767" ht="15.75" customHeight="1">
      <c r="A4767" s="1"/>
      <c r="B4767" s="1"/>
      <c r="C4767" s="1"/>
      <c r="D4767" s="1"/>
      <c r="E4767" s="1"/>
      <c r="F4767" s="1"/>
      <c r="G4767" s="1"/>
      <c r="H4767" s="1"/>
      <c r="I4767" s="1"/>
      <c r="J4767" s="1"/>
      <c r="K4767" s="89" t="s">
        <v>7486</v>
      </c>
      <c r="L4767" s="89" t="str">
        <f>J174</f>
        <v>C2a1a1a2a2</v>
      </c>
      <c r="M4767" s="89" t="s">
        <v>7485</v>
      </c>
      <c r="N4767" s="89"/>
      <c r="O4767" s="92">
        <v>2.3324047E7</v>
      </c>
      <c r="P4767" s="92">
        <v>2.1162161E7</v>
      </c>
      <c r="Q4767" s="89" t="s">
        <v>917</v>
      </c>
      <c r="AF4767" s="1"/>
      <c r="AG4767" s="1"/>
    </row>
    <row r="4768" ht="15.75" customHeight="1">
      <c r="A4768" s="1"/>
      <c r="B4768" s="1"/>
      <c r="C4768" s="1"/>
      <c r="D4768" s="1"/>
      <c r="E4768" s="1"/>
      <c r="F4768" s="1"/>
      <c r="G4768" s="1"/>
      <c r="H4768" s="1"/>
      <c r="I4768" s="1"/>
      <c r="J4768" s="1"/>
      <c r="K4768" s="89" t="s">
        <v>7487</v>
      </c>
      <c r="L4768" s="89" t="str">
        <f>J174</f>
        <v>C2a1a1a2a2</v>
      </c>
      <c r="M4768" s="89" t="s">
        <v>7488</v>
      </c>
      <c r="N4768" s="89"/>
      <c r="O4768" s="92">
        <v>2.3979004E7</v>
      </c>
      <c r="P4768" s="92">
        <v>2.1832857E7</v>
      </c>
      <c r="Q4768" s="89" t="s">
        <v>810</v>
      </c>
      <c r="AF4768" s="1"/>
      <c r="AG4768" s="1"/>
    </row>
    <row r="4769" ht="15.75" customHeight="1">
      <c r="A4769" s="1"/>
      <c r="B4769" s="1"/>
      <c r="C4769" s="1"/>
      <c r="D4769" s="1"/>
      <c r="E4769" s="1"/>
      <c r="F4769" s="1"/>
      <c r="G4769" s="1"/>
      <c r="H4769" s="1"/>
      <c r="I4769" s="1"/>
      <c r="J4769" s="1"/>
      <c r="K4769" s="89" t="s">
        <v>7488</v>
      </c>
      <c r="L4769" s="89" t="str">
        <f>J174</f>
        <v>C2a1a1a2a2</v>
      </c>
      <c r="M4769" s="89" t="s">
        <v>7487</v>
      </c>
      <c r="N4769" s="89"/>
      <c r="O4769" s="92">
        <v>2.3979004E7</v>
      </c>
      <c r="P4769" s="92">
        <v>2.1832857E7</v>
      </c>
      <c r="Q4769" s="89" t="s">
        <v>810</v>
      </c>
      <c r="AF4769" s="1"/>
      <c r="AG4769" s="1"/>
    </row>
    <row r="4770" ht="15.75" customHeight="1">
      <c r="A4770" s="1"/>
      <c r="B4770" s="1"/>
      <c r="C4770" s="1"/>
      <c r="D4770" s="1"/>
      <c r="E4770" s="1"/>
      <c r="F4770" s="1"/>
      <c r="G4770" s="1"/>
      <c r="H4770" s="1"/>
      <c r="I4770" s="1"/>
      <c r="J4770" s="1"/>
      <c r="K4770" s="89" t="s">
        <v>7489</v>
      </c>
      <c r="L4770" s="89" t="str">
        <f>J174</f>
        <v>C2a1a1a2a2</v>
      </c>
      <c r="M4770" s="89" t="s">
        <v>7490</v>
      </c>
      <c r="N4770" s="89"/>
      <c r="O4770" s="92">
        <v>8886075.0</v>
      </c>
      <c r="P4770" s="92">
        <v>9018034.0</v>
      </c>
      <c r="Q4770" s="89" t="s">
        <v>802</v>
      </c>
      <c r="AF4770" s="1"/>
      <c r="AG4770" s="1"/>
    </row>
    <row r="4771" ht="15.75" customHeight="1">
      <c r="A4771" s="1"/>
      <c r="B4771" s="1"/>
      <c r="C4771" s="1"/>
      <c r="D4771" s="1"/>
      <c r="E4771" s="1"/>
      <c r="F4771" s="1"/>
      <c r="G4771" s="1"/>
      <c r="H4771" s="1"/>
      <c r="I4771" s="1"/>
      <c r="J4771" s="1"/>
      <c r="K4771" s="89" t="s">
        <v>7490</v>
      </c>
      <c r="L4771" s="89" t="str">
        <f>J174</f>
        <v>C2a1a1a2a2</v>
      </c>
      <c r="M4771" s="89" t="s">
        <v>7489</v>
      </c>
      <c r="N4771" s="89"/>
      <c r="O4771" s="92">
        <v>8886075.0</v>
      </c>
      <c r="P4771" s="92">
        <v>9018034.0</v>
      </c>
      <c r="Q4771" s="89" t="s">
        <v>802</v>
      </c>
      <c r="AF4771" s="1"/>
      <c r="AG4771" s="1"/>
    </row>
    <row r="4772" ht="15.75" customHeight="1">
      <c r="A4772" s="1"/>
      <c r="B4772" s="1"/>
      <c r="C4772" s="1"/>
      <c r="D4772" s="1"/>
      <c r="E4772" s="1"/>
      <c r="F4772" s="1"/>
      <c r="G4772" s="1"/>
      <c r="H4772" s="1"/>
      <c r="I4772" s="1"/>
      <c r="J4772" s="1"/>
      <c r="K4772" s="89" t="s">
        <v>7491</v>
      </c>
      <c r="L4772" s="89" t="str">
        <f>J174</f>
        <v>C2a1a1a2a2</v>
      </c>
      <c r="M4772" s="89" t="s">
        <v>7492</v>
      </c>
      <c r="N4772" s="89"/>
      <c r="O4772" s="92">
        <v>9064732.0</v>
      </c>
      <c r="P4772" s="92">
        <v>9227123.0</v>
      </c>
      <c r="Q4772" s="89" t="s">
        <v>879</v>
      </c>
      <c r="AF4772" s="1"/>
      <c r="AG4772" s="1"/>
    </row>
    <row r="4773" ht="15.75" customHeight="1">
      <c r="A4773" s="1"/>
      <c r="B4773" s="1"/>
      <c r="C4773" s="1"/>
      <c r="D4773" s="1"/>
      <c r="E4773" s="1"/>
      <c r="F4773" s="1"/>
      <c r="G4773" s="1"/>
      <c r="H4773" s="1"/>
      <c r="I4773" s="1"/>
      <c r="J4773" s="1"/>
      <c r="K4773" s="89" t="s">
        <v>7492</v>
      </c>
      <c r="L4773" s="89" t="str">
        <f>J174</f>
        <v>C2a1a1a2a2</v>
      </c>
      <c r="M4773" s="89" t="s">
        <v>7491</v>
      </c>
      <c r="N4773" s="89"/>
      <c r="O4773" s="92">
        <v>9064732.0</v>
      </c>
      <c r="P4773" s="92">
        <v>9227123.0</v>
      </c>
      <c r="Q4773" s="89" t="s">
        <v>879</v>
      </c>
      <c r="AF4773" s="1"/>
      <c r="AG4773" s="1"/>
    </row>
    <row r="4774" ht="15.75" customHeight="1">
      <c r="A4774" s="1"/>
      <c r="B4774" s="1"/>
      <c r="C4774" s="1"/>
      <c r="D4774" s="1"/>
      <c r="E4774" s="1"/>
      <c r="F4774" s="1"/>
      <c r="G4774" s="1"/>
      <c r="H4774" s="1"/>
      <c r="I4774" s="1"/>
      <c r="J4774" s="1"/>
      <c r="K4774" s="89" t="s">
        <v>7493</v>
      </c>
      <c r="L4774" s="89" t="str">
        <f>J174</f>
        <v>C2a1a1a2a2</v>
      </c>
      <c r="M4774" s="89" t="s">
        <v>7494</v>
      </c>
      <c r="N4774" s="89"/>
      <c r="O4774" s="92">
        <v>8019300.0</v>
      </c>
      <c r="P4774" s="92">
        <v>8151259.0</v>
      </c>
      <c r="Q4774" s="89" t="s">
        <v>802</v>
      </c>
      <c r="AF4774" s="1"/>
      <c r="AG4774" s="1"/>
    </row>
    <row r="4775" ht="15.75" customHeight="1">
      <c r="A4775" s="1"/>
      <c r="B4775" s="1"/>
      <c r="C4775" s="1"/>
      <c r="D4775" s="1"/>
      <c r="E4775" s="1"/>
      <c r="F4775" s="1"/>
      <c r="G4775" s="1"/>
      <c r="H4775" s="1"/>
      <c r="I4775" s="1"/>
      <c r="J4775" s="1"/>
      <c r="K4775" s="89" t="s">
        <v>7494</v>
      </c>
      <c r="L4775" s="89" t="str">
        <f>J174</f>
        <v>C2a1a1a2a2</v>
      </c>
      <c r="M4775" s="89" t="s">
        <v>7493</v>
      </c>
      <c r="N4775" s="89"/>
      <c r="O4775" s="92">
        <v>8019300.0</v>
      </c>
      <c r="P4775" s="92">
        <v>8151259.0</v>
      </c>
      <c r="Q4775" s="89" t="s">
        <v>802</v>
      </c>
      <c r="AF4775" s="1"/>
      <c r="AG4775" s="1"/>
    </row>
    <row r="4776" ht="15.75" customHeight="1">
      <c r="A4776" s="1"/>
      <c r="B4776" s="1"/>
      <c r="C4776" s="1"/>
      <c r="D4776" s="1"/>
      <c r="E4776" s="1"/>
      <c r="F4776" s="1"/>
      <c r="G4776" s="1"/>
      <c r="H4776" s="1"/>
      <c r="I4776" s="1"/>
      <c r="J4776" s="1"/>
      <c r="K4776" s="89" t="s">
        <v>7495</v>
      </c>
      <c r="L4776" s="89" t="str">
        <f>J174</f>
        <v>C2a1a1a2a2</v>
      </c>
      <c r="M4776" s="89" t="s">
        <v>7496</v>
      </c>
      <c r="N4776" s="89" t="s">
        <v>7497</v>
      </c>
      <c r="O4776" s="92">
        <v>1.937297E7</v>
      </c>
      <c r="P4776" s="92">
        <v>1.726109E7</v>
      </c>
      <c r="Q4776" s="89" t="s">
        <v>838</v>
      </c>
      <c r="AF4776" s="1"/>
      <c r="AG4776" s="1"/>
    </row>
    <row r="4777" ht="15.75" customHeight="1">
      <c r="A4777" s="1"/>
      <c r="B4777" s="1"/>
      <c r="C4777" s="1"/>
      <c r="D4777" s="1"/>
      <c r="E4777" s="1"/>
      <c r="F4777" s="1"/>
      <c r="G4777" s="1"/>
      <c r="H4777" s="1"/>
      <c r="I4777" s="1"/>
      <c r="J4777" s="1"/>
      <c r="K4777" s="89" t="s">
        <v>7496</v>
      </c>
      <c r="L4777" s="89" t="str">
        <f>J174</f>
        <v>C2a1a1a2a2</v>
      </c>
      <c r="M4777" s="89" t="s">
        <v>7495</v>
      </c>
      <c r="N4777" s="89" t="s">
        <v>7497</v>
      </c>
      <c r="O4777" s="92">
        <v>1.937297E7</v>
      </c>
      <c r="P4777" s="92">
        <v>1.726109E7</v>
      </c>
      <c r="Q4777" s="89" t="s">
        <v>838</v>
      </c>
      <c r="AF4777" s="1"/>
      <c r="AG4777" s="1"/>
    </row>
    <row r="4778" ht="15.75" customHeight="1">
      <c r="A4778" s="1"/>
      <c r="B4778" s="1"/>
      <c r="C4778" s="1"/>
      <c r="D4778" s="1"/>
      <c r="E4778" s="1"/>
      <c r="F4778" s="1"/>
      <c r="G4778" s="1"/>
      <c r="H4778" s="1"/>
      <c r="I4778" s="1"/>
      <c r="J4778" s="1"/>
      <c r="K4778" s="89" t="s">
        <v>7498</v>
      </c>
      <c r="L4778" s="89" t="str">
        <f>K175</f>
        <v>C2a1a1a2a2a~</v>
      </c>
      <c r="M4778" s="89"/>
      <c r="N4778" s="89"/>
      <c r="O4778" s="92">
        <v>6945732.0</v>
      </c>
      <c r="P4778" s="92">
        <v>7077691.0</v>
      </c>
      <c r="Q4778" s="89" t="s">
        <v>822</v>
      </c>
      <c r="AF4778" s="1"/>
      <c r="AG4778" s="1"/>
    </row>
    <row r="4779" ht="15.75" customHeight="1">
      <c r="A4779" s="1"/>
      <c r="B4779" s="1"/>
      <c r="C4779" s="1"/>
      <c r="D4779" s="1"/>
      <c r="E4779" s="1"/>
      <c r="F4779" s="1"/>
      <c r="G4779" s="1"/>
      <c r="H4779" s="1"/>
      <c r="I4779" s="1"/>
      <c r="J4779" s="1"/>
      <c r="K4779" s="89" t="s">
        <v>7499</v>
      </c>
      <c r="L4779" s="89" t="str">
        <f>K175</f>
        <v>C2a1a1a2a2a~</v>
      </c>
      <c r="M4779" s="89"/>
      <c r="N4779" s="89"/>
      <c r="O4779" s="92">
        <v>6675016.0</v>
      </c>
      <c r="P4779" s="92">
        <v>6806975.0</v>
      </c>
      <c r="Q4779" s="89" t="s">
        <v>831</v>
      </c>
      <c r="AF4779" s="1"/>
      <c r="AG4779" s="1"/>
    </row>
    <row r="4780" ht="15.75" customHeight="1">
      <c r="A4780" s="1"/>
      <c r="B4780" s="1"/>
      <c r="C4780" s="1"/>
      <c r="D4780" s="1"/>
      <c r="E4780" s="1"/>
      <c r="F4780" s="1"/>
      <c r="G4780" s="1"/>
      <c r="H4780" s="1"/>
      <c r="I4780" s="1"/>
      <c r="J4780" s="1"/>
      <c r="K4780" s="89" t="s">
        <v>7500</v>
      </c>
      <c r="L4780" s="89" t="str">
        <f>K175</f>
        <v>C2a1a1a2a2a~</v>
      </c>
      <c r="M4780" s="89"/>
      <c r="N4780" s="89"/>
      <c r="O4780" s="92">
        <v>7103750.0</v>
      </c>
      <c r="P4780" s="92">
        <v>7235709.0</v>
      </c>
      <c r="Q4780" s="89" t="s">
        <v>822</v>
      </c>
      <c r="AF4780" s="1"/>
      <c r="AG4780" s="1"/>
    </row>
    <row r="4781" ht="15.75" customHeight="1">
      <c r="A4781" s="1"/>
      <c r="B4781" s="1"/>
      <c r="C4781" s="1"/>
      <c r="D4781" s="1"/>
      <c r="E4781" s="1"/>
      <c r="F4781" s="1"/>
      <c r="G4781" s="1"/>
      <c r="H4781" s="1"/>
      <c r="I4781" s="1"/>
      <c r="J4781" s="1"/>
      <c r="K4781" s="89" t="s">
        <v>7501</v>
      </c>
      <c r="L4781" s="89" t="str">
        <f>K175</f>
        <v>C2a1a1a2a2a~</v>
      </c>
      <c r="M4781" s="89"/>
      <c r="N4781" s="89"/>
      <c r="O4781" s="92">
        <v>7820563.0</v>
      </c>
      <c r="P4781" s="92">
        <v>7952522.0</v>
      </c>
      <c r="Q4781" s="89" t="s">
        <v>813</v>
      </c>
      <c r="AF4781" s="1"/>
      <c r="AG4781" s="1"/>
    </row>
    <row r="4782" ht="15.75" customHeight="1">
      <c r="A4782" s="1"/>
      <c r="B4782" s="1"/>
      <c r="C4782" s="1"/>
      <c r="D4782" s="1"/>
      <c r="E4782" s="1"/>
      <c r="F4782" s="1"/>
      <c r="G4782" s="1"/>
      <c r="H4782" s="1"/>
      <c r="I4782" s="1"/>
      <c r="J4782" s="1"/>
      <c r="K4782" s="89" t="s">
        <v>7502</v>
      </c>
      <c r="L4782" s="89" t="str">
        <f t="shared" ref="L4782:L4783" si="38">K175</f>
        <v>C2a1a1a2a2a~</v>
      </c>
      <c r="M4782" s="89"/>
      <c r="N4782" s="89"/>
      <c r="O4782" s="92">
        <v>1.4101783E7</v>
      </c>
      <c r="P4782" s="92">
        <v>1.1981077E7</v>
      </c>
      <c r="Q4782" s="89" t="s">
        <v>822</v>
      </c>
      <c r="AF4782" s="1"/>
      <c r="AG4782" s="1"/>
    </row>
    <row r="4783" ht="15.75" customHeight="1">
      <c r="A4783" s="1"/>
      <c r="B4783" s="1"/>
      <c r="C4783" s="1"/>
      <c r="D4783" s="1"/>
      <c r="E4783" s="1"/>
      <c r="F4783" s="1"/>
      <c r="G4783" s="1"/>
      <c r="H4783" s="1"/>
      <c r="I4783" s="1"/>
      <c r="J4783" s="1"/>
      <c r="K4783" s="89" t="s">
        <v>7503</v>
      </c>
      <c r="L4783" s="89" t="str">
        <f t="shared" si="38"/>
        <v>C2a1a1a2a2b~</v>
      </c>
      <c r="M4783" s="89"/>
      <c r="N4783" s="89"/>
      <c r="O4783" s="92">
        <v>6805906.0</v>
      </c>
      <c r="P4783" s="92">
        <v>6937865.0</v>
      </c>
      <c r="Q4783" s="89" t="s">
        <v>886</v>
      </c>
      <c r="AF4783" s="1"/>
      <c r="AG4783" s="1"/>
    </row>
    <row r="4784" ht="15.75" customHeight="1">
      <c r="A4784" s="1"/>
      <c r="B4784" s="1"/>
      <c r="C4784" s="1"/>
      <c r="D4784" s="1"/>
      <c r="E4784" s="1"/>
      <c r="F4784" s="1"/>
      <c r="G4784" s="1"/>
      <c r="H4784" s="1"/>
      <c r="I4784" s="1"/>
      <c r="J4784" s="1"/>
      <c r="K4784" s="89" t="s">
        <v>7504</v>
      </c>
      <c r="L4784" s="89" t="str">
        <f>K176</f>
        <v>C2a1a1a2a2b~</v>
      </c>
      <c r="M4784" s="89"/>
      <c r="N4784" s="89"/>
      <c r="O4784" s="92">
        <v>6823425.0</v>
      </c>
      <c r="P4784" s="92">
        <v>6955384.0</v>
      </c>
      <c r="Q4784" s="89" t="s">
        <v>813</v>
      </c>
      <c r="AF4784" s="1"/>
      <c r="AG4784" s="1"/>
    </row>
    <row r="4785" ht="15.75" customHeight="1">
      <c r="A4785" s="1"/>
      <c r="B4785" s="1"/>
      <c r="C4785" s="1"/>
      <c r="D4785" s="1"/>
      <c r="E4785" s="1"/>
      <c r="F4785" s="1"/>
      <c r="G4785" s="1"/>
      <c r="H4785" s="1"/>
      <c r="I4785" s="1"/>
      <c r="J4785" s="1"/>
      <c r="K4785" s="89" t="s">
        <v>7505</v>
      </c>
      <c r="L4785" s="89" t="str">
        <f>K176</f>
        <v>C2a1a1a2a2b~</v>
      </c>
      <c r="M4785" s="89"/>
      <c r="N4785" s="89"/>
      <c r="O4785" s="92">
        <v>7888741.0</v>
      </c>
      <c r="P4785" s="92">
        <v>8020700.0</v>
      </c>
      <c r="Q4785" s="89" t="s">
        <v>879</v>
      </c>
      <c r="AF4785" s="1"/>
      <c r="AG4785" s="1"/>
    </row>
    <row r="4786" ht="15.75" customHeight="1">
      <c r="A4786" s="1"/>
      <c r="B4786" s="1"/>
      <c r="C4786" s="1"/>
      <c r="D4786" s="1"/>
      <c r="E4786" s="1"/>
      <c r="F4786" s="1"/>
      <c r="G4786" s="1"/>
      <c r="H4786" s="1"/>
      <c r="I4786" s="1"/>
      <c r="J4786" s="1"/>
      <c r="K4786" s="89" t="s">
        <v>7506</v>
      </c>
      <c r="L4786" s="89" t="str">
        <f>K176</f>
        <v>C2a1a1a2a2b~</v>
      </c>
      <c r="M4786" s="89"/>
      <c r="N4786" s="89" t="s">
        <v>7507</v>
      </c>
      <c r="O4786" s="92">
        <v>8565253.0</v>
      </c>
      <c r="P4786" s="92">
        <v>8697212.0</v>
      </c>
      <c r="Q4786" s="89" t="s">
        <v>810</v>
      </c>
      <c r="AF4786" s="1"/>
      <c r="AG4786" s="1"/>
    </row>
    <row r="4787" ht="15.75" customHeight="1">
      <c r="A4787" s="1"/>
      <c r="B4787" s="1"/>
      <c r="C4787" s="1"/>
      <c r="D4787" s="1"/>
      <c r="E4787" s="1"/>
      <c r="F4787" s="1"/>
      <c r="G4787" s="1"/>
      <c r="H4787" s="1"/>
      <c r="I4787" s="1"/>
      <c r="J4787" s="1"/>
      <c r="K4787" s="89" t="s">
        <v>7508</v>
      </c>
      <c r="L4787" s="89" t="str">
        <f>I177</f>
        <v>C2a1a1a2b~</v>
      </c>
      <c r="M4787" s="89"/>
      <c r="N4787" s="89"/>
      <c r="O4787" s="92">
        <v>2777702.0</v>
      </c>
      <c r="P4787" s="92">
        <v>2909661.0</v>
      </c>
      <c r="Q4787" s="89" t="s">
        <v>838</v>
      </c>
      <c r="AF4787" s="1"/>
      <c r="AG4787" s="1"/>
    </row>
    <row r="4788" ht="15.75" customHeight="1">
      <c r="A4788" s="1"/>
      <c r="B4788" s="1"/>
      <c r="C4788" s="1"/>
      <c r="D4788" s="1"/>
      <c r="E4788" s="1"/>
      <c r="F4788" s="1"/>
      <c r="G4788" s="1"/>
      <c r="H4788" s="1"/>
      <c r="I4788" s="1"/>
      <c r="J4788" s="1"/>
      <c r="K4788" s="89" t="s">
        <v>7509</v>
      </c>
      <c r="L4788" s="89" t="str">
        <f>I177</f>
        <v>C2a1a1a2b~</v>
      </c>
      <c r="M4788" s="89"/>
      <c r="N4788" s="89"/>
      <c r="O4788" s="92">
        <v>2801848.0</v>
      </c>
      <c r="P4788" s="92">
        <v>2933807.0</v>
      </c>
      <c r="Q4788" s="89" t="s">
        <v>813</v>
      </c>
      <c r="AF4788" s="1"/>
      <c r="AG4788" s="1"/>
    </row>
    <row r="4789" ht="15.75" customHeight="1">
      <c r="A4789" s="1"/>
      <c r="B4789" s="1"/>
      <c r="C4789" s="1"/>
      <c r="D4789" s="1"/>
      <c r="E4789" s="1"/>
      <c r="F4789" s="1"/>
      <c r="G4789" s="1"/>
      <c r="H4789" s="1"/>
      <c r="I4789" s="1"/>
      <c r="J4789" s="1"/>
      <c r="K4789" s="89" t="s">
        <v>7510</v>
      </c>
      <c r="L4789" s="89" t="str">
        <f>I177</f>
        <v>C2a1a1a2b~</v>
      </c>
      <c r="M4789" s="89"/>
      <c r="N4789" s="89"/>
      <c r="O4789" s="92">
        <v>6921307.0</v>
      </c>
      <c r="P4789" s="92">
        <v>7053266.0</v>
      </c>
      <c r="Q4789" s="89" t="s">
        <v>822</v>
      </c>
      <c r="AF4789" s="1"/>
      <c r="AG4789" s="1"/>
    </row>
    <row r="4790" ht="15.75" customHeight="1">
      <c r="A4790" s="1"/>
      <c r="B4790" s="1"/>
      <c r="C4790" s="1"/>
      <c r="D4790" s="1"/>
      <c r="E4790" s="1"/>
      <c r="F4790" s="1"/>
      <c r="G4790" s="1"/>
      <c r="H4790" s="1"/>
      <c r="I4790" s="1"/>
      <c r="J4790" s="1"/>
      <c r="K4790" s="89" t="s">
        <v>7511</v>
      </c>
      <c r="L4790" s="89" t="str">
        <f>I177</f>
        <v>C2a1a1a2b~</v>
      </c>
      <c r="M4790" s="89"/>
      <c r="N4790" s="89"/>
      <c r="O4790" s="92">
        <v>6930972.0</v>
      </c>
      <c r="P4790" s="92">
        <v>7062931.0</v>
      </c>
      <c r="Q4790" s="89" t="s">
        <v>813</v>
      </c>
      <c r="AF4790" s="1"/>
      <c r="AG4790" s="1"/>
    </row>
    <row r="4791" ht="15.75" customHeight="1">
      <c r="A4791" s="1"/>
      <c r="B4791" s="1"/>
      <c r="C4791" s="1"/>
      <c r="D4791" s="1"/>
      <c r="E4791" s="1"/>
      <c r="F4791" s="1"/>
      <c r="G4791" s="1"/>
      <c r="H4791" s="1"/>
      <c r="I4791" s="1"/>
      <c r="J4791" s="1"/>
      <c r="K4791" s="89" t="s">
        <v>7512</v>
      </c>
      <c r="L4791" s="89" t="str">
        <f>I177</f>
        <v>C2a1a1a2b~</v>
      </c>
      <c r="M4791" s="89"/>
      <c r="N4791" s="89"/>
      <c r="O4791" s="92">
        <v>7032968.0</v>
      </c>
      <c r="P4791" s="92">
        <v>7164927.0</v>
      </c>
      <c r="Q4791" s="89" t="s">
        <v>822</v>
      </c>
      <c r="AF4791" s="1"/>
      <c r="AG4791" s="1"/>
    </row>
    <row r="4792" ht="15.75" customHeight="1">
      <c r="A4792" s="1"/>
      <c r="B4792" s="1"/>
      <c r="C4792" s="1"/>
      <c r="D4792" s="1"/>
      <c r="E4792" s="1"/>
      <c r="F4792" s="1"/>
      <c r="G4792" s="1"/>
      <c r="H4792" s="1"/>
      <c r="I4792" s="1"/>
      <c r="J4792" s="1"/>
      <c r="K4792" s="89" t="s">
        <v>7513</v>
      </c>
      <c r="L4792" s="89" t="str">
        <f>G178</f>
        <v>C2a1a1b</v>
      </c>
      <c r="M4792" s="89"/>
      <c r="N4792" s="89" t="s">
        <v>7514</v>
      </c>
      <c r="O4792" s="92">
        <v>2.1749881E7</v>
      </c>
      <c r="P4792" s="92">
        <v>1.9587995E7</v>
      </c>
      <c r="Q4792" s="89" t="s">
        <v>822</v>
      </c>
      <c r="AF4792" s="1"/>
      <c r="AG4792" s="1"/>
    </row>
    <row r="4793" ht="15.75" customHeight="1">
      <c r="A4793" s="1"/>
      <c r="B4793" s="1"/>
      <c r="C4793" s="1"/>
      <c r="D4793" s="1"/>
      <c r="E4793" s="1"/>
      <c r="F4793" s="1"/>
      <c r="G4793" s="1"/>
      <c r="H4793" s="1"/>
      <c r="I4793" s="1"/>
      <c r="J4793" s="1"/>
      <c r="K4793" s="89" t="s">
        <v>7515</v>
      </c>
      <c r="L4793" s="89" t="str">
        <f>G178</f>
        <v>C2a1a1b</v>
      </c>
      <c r="M4793" s="89" t="s">
        <v>7516</v>
      </c>
      <c r="N4793" s="89" t="s">
        <v>7517</v>
      </c>
      <c r="O4793" s="92">
        <v>7271355.0</v>
      </c>
      <c r="P4793" s="92">
        <v>7403314.0</v>
      </c>
      <c r="Q4793" s="89" t="s">
        <v>802</v>
      </c>
      <c r="AF4793" s="1"/>
      <c r="AG4793" s="1"/>
    </row>
    <row r="4794" ht="15.75" customHeight="1">
      <c r="A4794" s="1"/>
      <c r="B4794" s="1"/>
      <c r="C4794" s="1"/>
      <c r="D4794" s="1"/>
      <c r="E4794" s="1"/>
      <c r="F4794" s="1"/>
      <c r="G4794" s="1"/>
      <c r="H4794" s="1"/>
      <c r="I4794" s="1"/>
      <c r="J4794" s="1"/>
      <c r="K4794" s="89" t="s">
        <v>7516</v>
      </c>
      <c r="L4794" s="89" t="str">
        <f>G178</f>
        <v>C2a1a1b</v>
      </c>
      <c r="M4794" s="89" t="s">
        <v>7515</v>
      </c>
      <c r="N4794" s="89" t="s">
        <v>7517</v>
      </c>
      <c r="O4794" s="92">
        <v>7271355.0</v>
      </c>
      <c r="P4794" s="92">
        <v>7403314.0</v>
      </c>
      <c r="Q4794" s="89" t="s">
        <v>802</v>
      </c>
      <c r="AF4794" s="1"/>
      <c r="AG4794" s="1"/>
    </row>
    <row r="4795" ht="15.75" customHeight="1">
      <c r="A4795" s="1"/>
      <c r="B4795" s="1"/>
      <c r="C4795" s="1"/>
      <c r="D4795" s="1"/>
      <c r="E4795" s="1"/>
      <c r="F4795" s="1"/>
      <c r="G4795" s="1"/>
      <c r="H4795" s="1"/>
      <c r="I4795" s="1"/>
      <c r="J4795" s="1"/>
      <c r="K4795" s="89" t="s">
        <v>7518</v>
      </c>
      <c r="L4795" s="89" t="str">
        <f>G178</f>
        <v>C2a1a1b</v>
      </c>
      <c r="M4795" s="89" t="s">
        <v>7519</v>
      </c>
      <c r="N4795" s="89" t="s">
        <v>7520</v>
      </c>
      <c r="O4795" s="92">
        <v>8480384.0</v>
      </c>
      <c r="P4795" s="92">
        <v>8612343.0</v>
      </c>
      <c r="Q4795" s="89" t="s">
        <v>810</v>
      </c>
      <c r="AF4795" s="1"/>
      <c r="AG4795" s="1"/>
    </row>
    <row r="4796" ht="15.75" customHeight="1">
      <c r="A4796" s="1"/>
      <c r="B4796" s="1"/>
      <c r="C4796" s="1"/>
      <c r="D4796" s="1"/>
      <c r="E4796" s="1"/>
      <c r="F4796" s="1"/>
      <c r="G4796" s="1"/>
      <c r="H4796" s="1"/>
      <c r="I4796" s="1"/>
      <c r="J4796" s="1"/>
      <c r="K4796" s="89" t="s">
        <v>7519</v>
      </c>
      <c r="L4796" s="89" t="str">
        <f>G178</f>
        <v>C2a1a1b</v>
      </c>
      <c r="M4796" s="89" t="s">
        <v>7518</v>
      </c>
      <c r="N4796" s="89" t="s">
        <v>7520</v>
      </c>
      <c r="O4796" s="92">
        <v>8480384.0</v>
      </c>
      <c r="P4796" s="92">
        <v>8612343.0</v>
      </c>
      <c r="Q4796" s="89" t="s">
        <v>810</v>
      </c>
      <c r="AF4796" s="1"/>
      <c r="AG4796" s="1"/>
    </row>
    <row r="4797" ht="15.75" customHeight="1">
      <c r="A4797" s="1"/>
      <c r="B4797" s="1"/>
      <c r="C4797" s="1"/>
      <c r="D4797" s="1"/>
      <c r="E4797" s="1"/>
      <c r="F4797" s="1"/>
      <c r="G4797" s="1"/>
      <c r="H4797" s="1"/>
      <c r="I4797" s="1"/>
      <c r="J4797" s="1"/>
      <c r="K4797" s="93" t="s">
        <v>7521</v>
      </c>
      <c r="L4797" s="89" t="str">
        <f>G178</f>
        <v>C2a1a1b</v>
      </c>
      <c r="M4797" s="93" t="s">
        <v>7522</v>
      </c>
      <c r="N4797" s="89" t="s">
        <v>7523</v>
      </c>
      <c r="O4797" s="89">
        <v>1.432787E7</v>
      </c>
      <c r="P4797" s="89">
        <v>1.2207164E7</v>
      </c>
      <c r="Q4797" s="89" t="s">
        <v>810</v>
      </c>
      <c r="AF4797" s="1"/>
      <c r="AG4797" s="1"/>
    </row>
    <row r="4798" ht="15.75" customHeight="1">
      <c r="A4798" s="1"/>
      <c r="B4798" s="1"/>
      <c r="C4798" s="1"/>
      <c r="D4798" s="1"/>
      <c r="E4798" s="1"/>
      <c r="F4798" s="1"/>
      <c r="G4798" s="1"/>
      <c r="H4798" s="1"/>
      <c r="I4798" s="1"/>
      <c r="J4798" s="1"/>
      <c r="K4798" s="89" t="s">
        <v>7524</v>
      </c>
      <c r="L4798" s="89" t="str">
        <f>G178</f>
        <v>C2a1a1b</v>
      </c>
      <c r="M4798" s="93" t="s">
        <v>7525</v>
      </c>
      <c r="N4798" s="89" t="s">
        <v>7523</v>
      </c>
      <c r="O4798" s="89">
        <v>1.432787E7</v>
      </c>
      <c r="P4798" s="89">
        <v>1.2207164E7</v>
      </c>
      <c r="Q4798" s="89" t="s">
        <v>810</v>
      </c>
      <c r="AF4798" s="1"/>
      <c r="AG4798" s="1"/>
    </row>
    <row r="4799" ht="15.75" customHeight="1">
      <c r="A4799" s="1"/>
      <c r="B4799" s="1"/>
      <c r="C4799" s="1"/>
      <c r="D4799" s="1"/>
      <c r="E4799" s="1"/>
      <c r="F4799" s="1"/>
      <c r="G4799" s="1"/>
      <c r="H4799" s="1"/>
      <c r="I4799" s="1"/>
      <c r="J4799" s="1"/>
      <c r="K4799" s="93" t="s">
        <v>7526</v>
      </c>
      <c r="L4799" s="89" t="str">
        <f>G178</f>
        <v>C2a1a1b</v>
      </c>
      <c r="M4799" s="93" t="s">
        <v>7527</v>
      </c>
      <c r="N4799" s="89" t="s">
        <v>7523</v>
      </c>
      <c r="O4799" s="89">
        <v>1.432787E7</v>
      </c>
      <c r="P4799" s="89">
        <v>1.2207164E7</v>
      </c>
      <c r="Q4799" s="89" t="s">
        <v>810</v>
      </c>
      <c r="AF4799" s="1"/>
      <c r="AG4799" s="1"/>
    </row>
    <row r="4800" ht="15.75" customHeight="1">
      <c r="A4800" s="1"/>
      <c r="B4800" s="1"/>
      <c r="C4800" s="1"/>
      <c r="D4800" s="1"/>
      <c r="E4800" s="1"/>
      <c r="F4800" s="1"/>
      <c r="G4800" s="1"/>
      <c r="H4800" s="1"/>
      <c r="I4800" s="1"/>
      <c r="J4800" s="1"/>
      <c r="K4800" s="89" t="s">
        <v>7528</v>
      </c>
      <c r="L4800" s="89" t="str">
        <f>G178</f>
        <v>C2a1a1b</v>
      </c>
      <c r="M4800" s="89" t="s">
        <v>7529</v>
      </c>
      <c r="N4800" s="89" t="s">
        <v>7530</v>
      </c>
      <c r="O4800" s="92">
        <v>1.7772838E7</v>
      </c>
      <c r="P4800" s="92">
        <v>1.5660958E7</v>
      </c>
      <c r="Q4800" s="89" t="s">
        <v>822</v>
      </c>
      <c r="AF4800" s="1"/>
      <c r="AG4800" s="1"/>
    </row>
    <row r="4801" ht="15.75" customHeight="1">
      <c r="A4801" s="1"/>
      <c r="B4801" s="1"/>
      <c r="C4801" s="1"/>
      <c r="D4801" s="1"/>
      <c r="E4801" s="1"/>
      <c r="F4801" s="1"/>
      <c r="G4801" s="1"/>
      <c r="H4801" s="1"/>
      <c r="I4801" s="1"/>
      <c r="J4801" s="1"/>
      <c r="K4801" s="89" t="s">
        <v>7529</v>
      </c>
      <c r="L4801" s="89" t="str">
        <f>G178</f>
        <v>C2a1a1b</v>
      </c>
      <c r="M4801" s="89" t="s">
        <v>7528</v>
      </c>
      <c r="N4801" s="89" t="s">
        <v>7530</v>
      </c>
      <c r="O4801" s="92">
        <v>1.7772838E7</v>
      </c>
      <c r="P4801" s="92">
        <v>1.5660958E7</v>
      </c>
      <c r="Q4801" s="89" t="s">
        <v>822</v>
      </c>
      <c r="AF4801" s="1"/>
      <c r="AG4801" s="1"/>
    </row>
    <row r="4802" ht="15.75" customHeight="1">
      <c r="A4802" s="1"/>
      <c r="B4802" s="1"/>
      <c r="C4802" s="1"/>
      <c r="D4802" s="1"/>
      <c r="E4802" s="1"/>
      <c r="F4802" s="1"/>
      <c r="G4802" s="1"/>
      <c r="H4802" s="1"/>
      <c r="I4802" s="1"/>
      <c r="J4802" s="1"/>
      <c r="K4802" s="89" t="s">
        <v>7531</v>
      </c>
      <c r="L4802" s="89" t="str">
        <f>G178</f>
        <v>C2a1a1b</v>
      </c>
      <c r="M4802" s="89" t="s">
        <v>7532</v>
      </c>
      <c r="N4802" s="89" t="s">
        <v>7533</v>
      </c>
      <c r="O4802" s="92">
        <v>1.8568902E7</v>
      </c>
      <c r="P4802" s="92">
        <v>1.6457022E7</v>
      </c>
      <c r="Q4802" s="89" t="s">
        <v>813</v>
      </c>
      <c r="AF4802" s="1"/>
      <c r="AG4802" s="1"/>
    </row>
    <row r="4803" ht="15.75" customHeight="1">
      <c r="A4803" s="1"/>
      <c r="B4803" s="1"/>
      <c r="C4803" s="1"/>
      <c r="D4803" s="1"/>
      <c r="E4803" s="1"/>
      <c r="F4803" s="1"/>
      <c r="G4803" s="1"/>
      <c r="H4803" s="1"/>
      <c r="I4803" s="1"/>
      <c r="J4803" s="1"/>
      <c r="K4803" s="89" t="s">
        <v>7532</v>
      </c>
      <c r="L4803" s="89" t="str">
        <f>G178</f>
        <v>C2a1a1b</v>
      </c>
      <c r="M4803" s="89" t="s">
        <v>7531</v>
      </c>
      <c r="N4803" s="89" t="s">
        <v>7533</v>
      </c>
      <c r="O4803" s="92">
        <v>1.8568902E7</v>
      </c>
      <c r="P4803" s="92">
        <v>1.6457022E7</v>
      </c>
      <c r="Q4803" s="89" t="s">
        <v>813</v>
      </c>
      <c r="AF4803" s="1"/>
      <c r="AG4803" s="1"/>
    </row>
    <row r="4804" ht="15.75" customHeight="1">
      <c r="A4804" s="1"/>
      <c r="B4804" s="1"/>
      <c r="C4804" s="1"/>
      <c r="D4804" s="1"/>
      <c r="E4804" s="1"/>
      <c r="F4804" s="1"/>
      <c r="G4804" s="1"/>
      <c r="H4804" s="1"/>
      <c r="I4804" s="1"/>
      <c r="J4804" s="1"/>
      <c r="K4804" s="89" t="s">
        <v>7534</v>
      </c>
      <c r="L4804" s="89" t="str">
        <f>G178</f>
        <v>C2a1a1b</v>
      </c>
      <c r="M4804" s="89" t="s">
        <v>7535</v>
      </c>
      <c r="N4804" s="89" t="s">
        <v>7536</v>
      </c>
      <c r="O4804" s="92">
        <v>2.1116585E7</v>
      </c>
      <c r="P4804" s="92">
        <v>1.8954699E7</v>
      </c>
      <c r="Q4804" s="89" t="s">
        <v>802</v>
      </c>
      <c r="AF4804" s="1"/>
      <c r="AG4804" s="1"/>
    </row>
    <row r="4805" ht="15.75" customHeight="1">
      <c r="A4805" s="1"/>
      <c r="B4805" s="1"/>
      <c r="C4805" s="1"/>
      <c r="D4805" s="1"/>
      <c r="E4805" s="1"/>
      <c r="F4805" s="1"/>
      <c r="G4805" s="1"/>
      <c r="H4805" s="1"/>
      <c r="I4805" s="1"/>
      <c r="J4805" s="1"/>
      <c r="K4805" s="89" t="s">
        <v>7537</v>
      </c>
      <c r="L4805" s="89" t="str">
        <f>G178</f>
        <v>C2a1a1b</v>
      </c>
      <c r="M4805" s="89" t="s">
        <v>7538</v>
      </c>
      <c r="N4805" s="89" t="s">
        <v>7536</v>
      </c>
      <c r="O4805" s="92">
        <v>2.1116585E7</v>
      </c>
      <c r="P4805" s="92">
        <v>1.8954699E7</v>
      </c>
      <c r="Q4805" s="89" t="s">
        <v>802</v>
      </c>
      <c r="AF4805" s="1"/>
      <c r="AG4805" s="1"/>
    </row>
    <row r="4806" ht="15.75" customHeight="1">
      <c r="A4806" s="1"/>
      <c r="B4806" s="1"/>
      <c r="C4806" s="1"/>
      <c r="D4806" s="1"/>
      <c r="E4806" s="1"/>
      <c r="F4806" s="1"/>
      <c r="G4806" s="1"/>
      <c r="H4806" s="1"/>
      <c r="I4806" s="1"/>
      <c r="J4806" s="1"/>
      <c r="K4806" s="89" t="s">
        <v>7539</v>
      </c>
      <c r="L4806" s="89" t="str">
        <f>G178</f>
        <v>C2a1a1b</v>
      </c>
      <c r="M4806" s="89" t="s">
        <v>7540</v>
      </c>
      <c r="N4806" s="89" t="s">
        <v>7536</v>
      </c>
      <c r="O4806" s="92">
        <v>2.1116585E7</v>
      </c>
      <c r="P4806" s="92">
        <v>1.8954699E7</v>
      </c>
      <c r="Q4806" s="89" t="s">
        <v>802</v>
      </c>
      <c r="AF4806" s="1"/>
      <c r="AG4806" s="1"/>
    </row>
    <row r="4807" ht="15.75" customHeight="1">
      <c r="A4807" s="1"/>
      <c r="B4807" s="1"/>
      <c r="C4807" s="1"/>
      <c r="D4807" s="1"/>
      <c r="E4807" s="1"/>
      <c r="F4807" s="1"/>
      <c r="G4807" s="1"/>
      <c r="H4807" s="1"/>
      <c r="I4807" s="1"/>
      <c r="J4807" s="1"/>
      <c r="K4807" s="89" t="s">
        <v>7541</v>
      </c>
      <c r="L4807" s="89" t="str">
        <f>G178</f>
        <v>C2a1a1b</v>
      </c>
      <c r="M4807" s="89" t="s">
        <v>7542</v>
      </c>
      <c r="N4807" s="89" t="s">
        <v>7543</v>
      </c>
      <c r="O4807" s="92">
        <v>2.1978177E7</v>
      </c>
      <c r="P4807" s="92">
        <v>1.9816291E7</v>
      </c>
      <c r="Q4807" s="89" t="s">
        <v>831</v>
      </c>
      <c r="AF4807" s="1"/>
      <c r="AG4807" s="1"/>
    </row>
    <row r="4808" ht="15.75" customHeight="1">
      <c r="A4808" s="1"/>
      <c r="B4808" s="1"/>
      <c r="C4808" s="1"/>
      <c r="D4808" s="1"/>
      <c r="E4808" s="1"/>
      <c r="F4808" s="1"/>
      <c r="G4808" s="1"/>
      <c r="H4808" s="1"/>
      <c r="I4808" s="1"/>
      <c r="J4808" s="1"/>
      <c r="K4808" s="89" t="s">
        <v>7544</v>
      </c>
      <c r="L4808" s="89" t="str">
        <f>G178</f>
        <v>C2a1a1b</v>
      </c>
      <c r="M4808" s="89" t="s">
        <v>7545</v>
      </c>
      <c r="N4808" s="89" t="s">
        <v>7543</v>
      </c>
      <c r="O4808" s="92">
        <v>2.1978177E7</v>
      </c>
      <c r="P4808" s="92">
        <v>1.9816291E7</v>
      </c>
      <c r="Q4808" s="89" t="s">
        <v>831</v>
      </c>
      <c r="AF4808" s="1"/>
      <c r="AG4808" s="1"/>
    </row>
    <row r="4809" ht="15.75" customHeight="1">
      <c r="A4809" s="1"/>
      <c r="B4809" s="1"/>
      <c r="C4809" s="1"/>
      <c r="D4809" s="1"/>
      <c r="E4809" s="1"/>
      <c r="F4809" s="1"/>
      <c r="G4809" s="1"/>
      <c r="H4809" s="1"/>
      <c r="I4809" s="1"/>
      <c r="J4809" s="1"/>
      <c r="K4809" s="89" t="s">
        <v>7546</v>
      </c>
      <c r="L4809" s="89" t="str">
        <f>G178</f>
        <v>C2a1a1b</v>
      </c>
      <c r="M4809" s="89" t="s">
        <v>7547</v>
      </c>
      <c r="N4809" s="89" t="s">
        <v>7543</v>
      </c>
      <c r="O4809" s="92">
        <v>2.1978177E7</v>
      </c>
      <c r="P4809" s="92">
        <v>1.9816291E7</v>
      </c>
      <c r="Q4809" s="89" t="s">
        <v>831</v>
      </c>
      <c r="AF4809" s="1"/>
      <c r="AG4809" s="1"/>
    </row>
    <row r="4810" ht="15.75" customHeight="1">
      <c r="A4810" s="1"/>
      <c r="B4810" s="1"/>
      <c r="C4810" s="1"/>
      <c r="D4810" s="1"/>
      <c r="E4810" s="1"/>
      <c r="F4810" s="1"/>
      <c r="G4810" s="1"/>
      <c r="H4810" s="1"/>
      <c r="I4810" s="1"/>
      <c r="J4810" s="1"/>
      <c r="K4810" s="89" t="s">
        <v>7548</v>
      </c>
      <c r="L4810" s="89" t="str">
        <f>G178</f>
        <v>C2a1a1b</v>
      </c>
      <c r="M4810" s="89" t="s">
        <v>7549</v>
      </c>
      <c r="N4810" s="89" t="s">
        <v>7550</v>
      </c>
      <c r="O4810" s="92">
        <v>8114740.0</v>
      </c>
      <c r="P4810" s="92">
        <v>8246699.0</v>
      </c>
      <c r="Q4810" s="89" t="s">
        <v>838</v>
      </c>
      <c r="AF4810" s="1"/>
      <c r="AG4810" s="1"/>
    </row>
    <row r="4811" ht="15.75" customHeight="1">
      <c r="A4811" s="1"/>
      <c r="B4811" s="1"/>
      <c r="C4811" s="1"/>
      <c r="D4811" s="1"/>
      <c r="E4811" s="1"/>
      <c r="F4811" s="1"/>
      <c r="G4811" s="1"/>
      <c r="H4811" s="1"/>
      <c r="I4811" s="1"/>
      <c r="J4811" s="1"/>
      <c r="K4811" s="89" t="s">
        <v>7549</v>
      </c>
      <c r="L4811" s="89" t="str">
        <f>G178</f>
        <v>C2a1a1b</v>
      </c>
      <c r="M4811" s="89" t="s">
        <v>7548</v>
      </c>
      <c r="N4811" s="89" t="s">
        <v>7550</v>
      </c>
      <c r="O4811" s="92">
        <v>8114740.0</v>
      </c>
      <c r="P4811" s="92">
        <v>8246699.0</v>
      </c>
      <c r="Q4811" s="89" t="s">
        <v>838</v>
      </c>
      <c r="AF4811" s="1"/>
      <c r="AG4811" s="1"/>
    </row>
    <row r="4812" ht="15.75" customHeight="1">
      <c r="A4812" s="1"/>
      <c r="B4812" s="1"/>
      <c r="C4812" s="1"/>
      <c r="D4812" s="1"/>
      <c r="E4812" s="1"/>
      <c r="F4812" s="1"/>
      <c r="G4812" s="1"/>
      <c r="H4812" s="1"/>
      <c r="I4812" s="1"/>
      <c r="J4812" s="1"/>
      <c r="K4812" s="93" t="s">
        <v>7551</v>
      </c>
      <c r="L4812" s="89" t="str">
        <f>G178</f>
        <v>C2a1a1b</v>
      </c>
      <c r="M4812" s="89" t="s">
        <v>7552</v>
      </c>
      <c r="N4812" s="89" t="s">
        <v>7553</v>
      </c>
      <c r="O4812" s="92">
        <v>8117397.0</v>
      </c>
      <c r="P4812" s="92">
        <v>8249356.0</v>
      </c>
      <c r="Q4812" s="89" t="s">
        <v>822</v>
      </c>
      <c r="AF4812" s="1"/>
      <c r="AG4812" s="1"/>
    </row>
    <row r="4813" ht="15.75" customHeight="1">
      <c r="A4813" s="1"/>
      <c r="B4813" s="1"/>
      <c r="C4813" s="1"/>
      <c r="D4813" s="1"/>
      <c r="E4813" s="1"/>
      <c r="F4813" s="1"/>
      <c r="G4813" s="1"/>
      <c r="H4813" s="1"/>
      <c r="I4813" s="1"/>
      <c r="J4813" s="1"/>
      <c r="K4813" s="89" t="s">
        <v>7552</v>
      </c>
      <c r="L4813" s="89" t="str">
        <f>G178</f>
        <v>C2a1a1b</v>
      </c>
      <c r="M4813" s="93" t="s">
        <v>7551</v>
      </c>
      <c r="N4813" s="89" t="s">
        <v>7553</v>
      </c>
      <c r="O4813" s="92">
        <v>8117397.0</v>
      </c>
      <c r="P4813" s="92">
        <v>8249356.0</v>
      </c>
      <c r="Q4813" s="89" t="s">
        <v>822</v>
      </c>
      <c r="AF4813" s="1"/>
      <c r="AG4813" s="1"/>
    </row>
    <row r="4814" ht="15.75" customHeight="1">
      <c r="A4814" s="1"/>
      <c r="B4814" s="1"/>
      <c r="C4814" s="1"/>
      <c r="D4814" s="1"/>
      <c r="E4814" s="1"/>
      <c r="F4814" s="1"/>
      <c r="G4814" s="1"/>
      <c r="H4814" s="1"/>
      <c r="I4814" s="1"/>
      <c r="J4814" s="1"/>
      <c r="K4814" s="89" t="s">
        <v>7554</v>
      </c>
      <c r="L4814" s="89" t="str">
        <f>G178</f>
        <v>C2a1a1b</v>
      </c>
      <c r="M4814" s="89" t="s">
        <v>7555</v>
      </c>
      <c r="N4814" s="89" t="s">
        <v>7556</v>
      </c>
      <c r="O4814" s="92">
        <v>1.767349E7</v>
      </c>
      <c r="P4814" s="92">
        <v>1.556161E7</v>
      </c>
      <c r="Q4814" s="89" t="s">
        <v>822</v>
      </c>
      <c r="AF4814" s="1"/>
      <c r="AG4814" s="1"/>
    </row>
    <row r="4815" ht="15.75" customHeight="1">
      <c r="A4815" s="1"/>
      <c r="B4815" s="1"/>
      <c r="C4815" s="1"/>
      <c r="D4815" s="1"/>
      <c r="E4815" s="1"/>
      <c r="F4815" s="1"/>
      <c r="G4815" s="1"/>
      <c r="H4815" s="1"/>
      <c r="I4815" s="1"/>
      <c r="J4815" s="1"/>
      <c r="K4815" s="89" t="s">
        <v>7555</v>
      </c>
      <c r="L4815" s="89" t="str">
        <f>G178</f>
        <v>C2a1a1b</v>
      </c>
      <c r="M4815" s="89" t="s">
        <v>7554</v>
      </c>
      <c r="N4815" s="89" t="s">
        <v>7556</v>
      </c>
      <c r="O4815" s="92">
        <v>1.767349E7</v>
      </c>
      <c r="P4815" s="92">
        <v>1.556161E7</v>
      </c>
      <c r="Q4815" s="89" t="s">
        <v>822</v>
      </c>
      <c r="AF4815" s="1"/>
      <c r="AG4815" s="1"/>
    </row>
    <row r="4816" ht="15.75" customHeight="1">
      <c r="A4816" s="1"/>
      <c r="B4816" s="1"/>
      <c r="C4816" s="1"/>
      <c r="D4816" s="1"/>
      <c r="E4816" s="1"/>
      <c r="F4816" s="1"/>
      <c r="G4816" s="1"/>
      <c r="H4816" s="1"/>
      <c r="I4816" s="1"/>
      <c r="J4816" s="1"/>
      <c r="K4816" s="89" t="s">
        <v>7557</v>
      </c>
      <c r="L4816" s="89" t="str">
        <f>G178</f>
        <v>C2a1a1b</v>
      </c>
      <c r="M4816" s="89" t="s">
        <v>7558</v>
      </c>
      <c r="N4816" s="89" t="s">
        <v>7559</v>
      </c>
      <c r="O4816" s="92">
        <v>2.1053145E7</v>
      </c>
      <c r="P4816" s="92">
        <v>1.8891259E7</v>
      </c>
      <c r="Q4816" s="89" t="s">
        <v>886</v>
      </c>
      <c r="AF4816" s="1"/>
      <c r="AG4816" s="1"/>
    </row>
    <row r="4817" ht="15.75" customHeight="1">
      <c r="A4817" s="1"/>
      <c r="B4817" s="1"/>
      <c r="C4817" s="1"/>
      <c r="D4817" s="1"/>
      <c r="E4817" s="1"/>
      <c r="F4817" s="1"/>
      <c r="G4817" s="1"/>
      <c r="H4817" s="1"/>
      <c r="I4817" s="1"/>
      <c r="J4817" s="1"/>
      <c r="K4817" s="89" t="s">
        <v>7558</v>
      </c>
      <c r="L4817" s="89" t="str">
        <f>G178</f>
        <v>C2a1a1b</v>
      </c>
      <c r="M4817" s="89" t="s">
        <v>7557</v>
      </c>
      <c r="N4817" s="89" t="s">
        <v>7559</v>
      </c>
      <c r="O4817" s="92">
        <v>2.1053145E7</v>
      </c>
      <c r="P4817" s="92">
        <v>1.8891259E7</v>
      </c>
      <c r="Q4817" s="89" t="s">
        <v>886</v>
      </c>
      <c r="AF4817" s="1"/>
      <c r="AG4817" s="1"/>
    </row>
    <row r="4818" ht="15.75" customHeight="1">
      <c r="A4818" s="1"/>
      <c r="B4818" s="1"/>
      <c r="C4818" s="1"/>
      <c r="D4818" s="1"/>
      <c r="E4818" s="1"/>
      <c r="F4818" s="1"/>
      <c r="G4818" s="1"/>
      <c r="H4818" s="1"/>
      <c r="I4818" s="1"/>
      <c r="J4818" s="1"/>
      <c r="K4818" s="89" t="s">
        <v>7560</v>
      </c>
      <c r="L4818" s="89" t="str">
        <f>H179</f>
        <v>C2a1a1b1</v>
      </c>
      <c r="M4818" s="89"/>
      <c r="N4818" s="89" t="s">
        <v>7561</v>
      </c>
      <c r="O4818" s="92">
        <v>2.1905917E7</v>
      </c>
      <c r="P4818" s="92">
        <v>1.9744031E7</v>
      </c>
      <c r="Q4818" s="89" t="s">
        <v>864</v>
      </c>
      <c r="AF4818" s="1"/>
      <c r="AG4818" s="1"/>
    </row>
    <row r="4819" ht="15.75" customHeight="1">
      <c r="A4819" s="1"/>
      <c r="B4819" s="1"/>
      <c r="C4819" s="1"/>
      <c r="D4819" s="1"/>
      <c r="E4819" s="1"/>
      <c r="F4819" s="1"/>
      <c r="G4819" s="1"/>
      <c r="H4819" s="1"/>
      <c r="I4819" s="1"/>
      <c r="J4819" s="1"/>
      <c r="K4819" s="89" t="s">
        <v>7562</v>
      </c>
      <c r="L4819" s="89" t="str">
        <f>H179</f>
        <v>C2a1a1b1</v>
      </c>
      <c r="M4819" s="89"/>
      <c r="N4819" s="89" t="s">
        <v>7563</v>
      </c>
      <c r="O4819" s="92">
        <v>2.1759138E7</v>
      </c>
      <c r="P4819" s="92">
        <v>1.9597252E7</v>
      </c>
      <c r="Q4819" s="89" t="s">
        <v>802</v>
      </c>
      <c r="AF4819" s="1"/>
      <c r="AG4819" s="1"/>
    </row>
    <row r="4820" ht="15.75" customHeight="1">
      <c r="A4820" s="1"/>
      <c r="B4820" s="1"/>
      <c r="C4820" s="1"/>
      <c r="D4820" s="1"/>
      <c r="E4820" s="1"/>
      <c r="F4820" s="1"/>
      <c r="G4820" s="1"/>
      <c r="H4820" s="1"/>
      <c r="I4820" s="1"/>
      <c r="J4820" s="1"/>
      <c r="K4820" s="89" t="s">
        <v>7564</v>
      </c>
      <c r="L4820" s="89" t="str">
        <f>H179</f>
        <v>C2a1a1b1</v>
      </c>
      <c r="M4820" s="89" t="s">
        <v>7565</v>
      </c>
      <c r="N4820" s="89" t="s">
        <v>7566</v>
      </c>
      <c r="O4820" s="92">
        <v>6953790.0</v>
      </c>
      <c r="P4820" s="92">
        <v>7085749.0</v>
      </c>
      <c r="Q4820" s="89" t="s">
        <v>802</v>
      </c>
      <c r="AF4820" s="1"/>
      <c r="AG4820" s="1"/>
    </row>
    <row r="4821" ht="15.75" customHeight="1">
      <c r="A4821" s="1"/>
      <c r="B4821" s="1"/>
      <c r="C4821" s="1"/>
      <c r="D4821" s="1"/>
      <c r="E4821" s="1"/>
      <c r="F4821" s="1"/>
      <c r="G4821" s="1"/>
      <c r="H4821" s="1"/>
      <c r="I4821" s="1"/>
      <c r="J4821" s="1"/>
      <c r="K4821" s="89" t="s">
        <v>7567</v>
      </c>
      <c r="L4821" s="89" t="str">
        <f>H179</f>
        <v>C2a1a1b1</v>
      </c>
      <c r="M4821" s="89" t="s">
        <v>7568</v>
      </c>
      <c r="N4821" s="89" t="s">
        <v>7566</v>
      </c>
      <c r="O4821" s="92">
        <v>6953790.0</v>
      </c>
      <c r="P4821" s="92">
        <v>7085749.0</v>
      </c>
      <c r="Q4821" s="89" t="s">
        <v>802</v>
      </c>
      <c r="AF4821" s="1"/>
      <c r="AG4821" s="1"/>
    </row>
    <row r="4822" ht="15.75" customHeight="1">
      <c r="A4822" s="1"/>
      <c r="B4822" s="1"/>
      <c r="C4822" s="1"/>
      <c r="D4822" s="1"/>
      <c r="E4822" s="1"/>
      <c r="F4822" s="1"/>
      <c r="G4822" s="1"/>
      <c r="H4822" s="1"/>
      <c r="I4822" s="1"/>
      <c r="J4822" s="1"/>
      <c r="K4822" s="89" t="s">
        <v>7569</v>
      </c>
      <c r="L4822" s="89" t="str">
        <f>H179</f>
        <v>C2a1a1b1</v>
      </c>
      <c r="M4822" s="89" t="s">
        <v>7570</v>
      </c>
      <c r="N4822" s="89" t="s">
        <v>7566</v>
      </c>
      <c r="O4822" s="92">
        <v>6953790.0</v>
      </c>
      <c r="P4822" s="92">
        <v>7085749.0</v>
      </c>
      <c r="Q4822" s="89" t="s">
        <v>802</v>
      </c>
      <c r="AF4822" s="1"/>
      <c r="AG4822" s="1"/>
    </row>
    <row r="4823" ht="15.75" customHeight="1">
      <c r="A4823" s="1"/>
      <c r="B4823" s="1"/>
      <c r="C4823" s="1"/>
      <c r="D4823" s="1"/>
      <c r="E4823" s="1"/>
      <c r="F4823" s="1"/>
      <c r="G4823" s="1"/>
      <c r="H4823" s="1"/>
      <c r="I4823" s="1"/>
      <c r="J4823" s="1"/>
      <c r="K4823" s="89" t="s">
        <v>7571</v>
      </c>
      <c r="L4823" s="89" t="str">
        <f>H179</f>
        <v>C2a1a1b1</v>
      </c>
      <c r="M4823" s="89" t="s">
        <v>7572</v>
      </c>
      <c r="N4823" s="89" t="s">
        <v>7573</v>
      </c>
      <c r="O4823" s="92">
        <v>6989718.0</v>
      </c>
      <c r="P4823" s="92">
        <v>7121677.0</v>
      </c>
      <c r="Q4823" s="89" t="s">
        <v>810</v>
      </c>
      <c r="AF4823" s="1"/>
      <c r="AG4823" s="1"/>
    </row>
    <row r="4824" ht="15.75" customHeight="1">
      <c r="A4824" s="1"/>
      <c r="B4824" s="1"/>
      <c r="C4824" s="1"/>
      <c r="D4824" s="1"/>
      <c r="E4824" s="1"/>
      <c r="F4824" s="1"/>
      <c r="G4824" s="1"/>
      <c r="H4824" s="1"/>
      <c r="I4824" s="1"/>
      <c r="J4824" s="1"/>
      <c r="K4824" s="89" t="s">
        <v>7574</v>
      </c>
      <c r="L4824" s="89" t="str">
        <f>H179</f>
        <v>C2a1a1b1</v>
      </c>
      <c r="M4824" s="89" t="s">
        <v>7575</v>
      </c>
      <c r="N4824" s="89" t="s">
        <v>7573</v>
      </c>
      <c r="O4824" s="92">
        <v>6989718.0</v>
      </c>
      <c r="P4824" s="92">
        <v>7121677.0</v>
      </c>
      <c r="Q4824" s="89" t="s">
        <v>810</v>
      </c>
      <c r="AF4824" s="1"/>
      <c r="AG4824" s="1"/>
    </row>
    <row r="4825" ht="15.75" customHeight="1">
      <c r="A4825" s="1"/>
      <c r="B4825" s="1"/>
      <c r="C4825" s="1"/>
      <c r="D4825" s="1"/>
      <c r="E4825" s="1"/>
      <c r="F4825" s="1"/>
      <c r="G4825" s="1"/>
      <c r="H4825" s="1"/>
      <c r="I4825" s="1"/>
      <c r="J4825" s="1"/>
      <c r="K4825" s="89" t="s">
        <v>7576</v>
      </c>
      <c r="L4825" s="89" t="str">
        <f>H179</f>
        <v>C2a1a1b1</v>
      </c>
      <c r="M4825" s="89" t="s">
        <v>7577</v>
      </c>
      <c r="N4825" s="89" t="s">
        <v>7573</v>
      </c>
      <c r="O4825" s="92">
        <v>6989718.0</v>
      </c>
      <c r="P4825" s="92">
        <v>7121677.0</v>
      </c>
      <c r="Q4825" s="89" t="s">
        <v>810</v>
      </c>
      <c r="AF4825" s="1"/>
      <c r="AG4825" s="1"/>
    </row>
    <row r="4826" ht="15.75" customHeight="1">
      <c r="A4826" s="1"/>
      <c r="B4826" s="1"/>
      <c r="C4826" s="1"/>
      <c r="D4826" s="1"/>
      <c r="E4826" s="1"/>
      <c r="F4826" s="1"/>
      <c r="G4826" s="1"/>
      <c r="H4826" s="1"/>
      <c r="I4826" s="1"/>
      <c r="J4826" s="1"/>
      <c r="K4826" s="89" t="s">
        <v>7578</v>
      </c>
      <c r="L4826" s="89" t="str">
        <f>H179</f>
        <v>C2a1a1b1</v>
      </c>
      <c r="M4826" s="89" t="s">
        <v>7579</v>
      </c>
      <c r="N4826" s="89" t="s">
        <v>7580</v>
      </c>
      <c r="O4826" s="92">
        <v>7073299.0</v>
      </c>
      <c r="P4826" s="92">
        <v>7205258.0</v>
      </c>
      <c r="Q4826" s="89" t="s">
        <v>810</v>
      </c>
      <c r="AF4826" s="1"/>
      <c r="AG4826" s="1"/>
    </row>
    <row r="4827" ht="15.75" customHeight="1">
      <c r="A4827" s="1"/>
      <c r="B4827" s="1"/>
      <c r="C4827" s="1"/>
      <c r="D4827" s="1"/>
      <c r="E4827" s="1"/>
      <c r="F4827" s="1"/>
      <c r="G4827" s="1"/>
      <c r="H4827" s="1"/>
      <c r="I4827" s="1"/>
      <c r="J4827" s="1"/>
      <c r="K4827" s="89" t="s">
        <v>7579</v>
      </c>
      <c r="L4827" s="89" t="str">
        <f>H179</f>
        <v>C2a1a1b1</v>
      </c>
      <c r="M4827" s="89" t="s">
        <v>7578</v>
      </c>
      <c r="N4827" s="89" t="s">
        <v>7580</v>
      </c>
      <c r="O4827" s="92">
        <v>7073299.0</v>
      </c>
      <c r="P4827" s="92">
        <v>7205258.0</v>
      </c>
      <c r="Q4827" s="89" t="s">
        <v>810</v>
      </c>
      <c r="AF4827" s="1"/>
      <c r="AG4827" s="1"/>
    </row>
    <row r="4828" ht="15.75" customHeight="1">
      <c r="A4828" s="1"/>
      <c r="B4828" s="1"/>
      <c r="C4828" s="1"/>
      <c r="D4828" s="1"/>
      <c r="E4828" s="1"/>
      <c r="F4828" s="1"/>
      <c r="G4828" s="1"/>
      <c r="H4828" s="1"/>
      <c r="I4828" s="1"/>
      <c r="J4828" s="1"/>
      <c r="K4828" s="89" t="s">
        <v>7581</v>
      </c>
      <c r="L4828" s="89" t="str">
        <f>H179</f>
        <v>C2a1a1b1</v>
      </c>
      <c r="M4828" s="89" t="s">
        <v>7582</v>
      </c>
      <c r="N4828" s="89" t="s">
        <v>7583</v>
      </c>
      <c r="O4828" s="92">
        <v>7158634.0</v>
      </c>
      <c r="P4828" s="92">
        <v>7290593.0</v>
      </c>
      <c r="Q4828" s="89" t="s">
        <v>802</v>
      </c>
      <c r="AF4828" s="1"/>
      <c r="AG4828" s="1"/>
    </row>
    <row r="4829" ht="15.75" customHeight="1">
      <c r="A4829" s="1"/>
      <c r="B4829" s="1"/>
      <c r="C4829" s="1"/>
      <c r="D4829" s="1"/>
      <c r="E4829" s="1"/>
      <c r="F4829" s="1"/>
      <c r="G4829" s="1"/>
      <c r="H4829" s="1"/>
      <c r="I4829" s="1"/>
      <c r="J4829" s="1"/>
      <c r="K4829" s="89" t="s">
        <v>7584</v>
      </c>
      <c r="L4829" s="89" t="str">
        <f>H179</f>
        <v>C2a1a1b1</v>
      </c>
      <c r="M4829" s="89" t="s">
        <v>7585</v>
      </c>
      <c r="N4829" s="89" t="s">
        <v>7583</v>
      </c>
      <c r="O4829" s="92">
        <v>7158634.0</v>
      </c>
      <c r="P4829" s="92">
        <v>7290593.0</v>
      </c>
      <c r="Q4829" s="89" t="s">
        <v>802</v>
      </c>
      <c r="AF4829" s="1"/>
      <c r="AG4829" s="1"/>
    </row>
    <row r="4830" ht="15.75" customHeight="1">
      <c r="A4830" s="1"/>
      <c r="B4830" s="1"/>
      <c r="C4830" s="1"/>
      <c r="D4830" s="1"/>
      <c r="E4830" s="1"/>
      <c r="F4830" s="1"/>
      <c r="G4830" s="1"/>
      <c r="H4830" s="1"/>
      <c r="I4830" s="1"/>
      <c r="J4830" s="1"/>
      <c r="K4830" s="89" t="s">
        <v>7586</v>
      </c>
      <c r="L4830" s="89" t="str">
        <f>H179</f>
        <v>C2a1a1b1</v>
      </c>
      <c r="M4830" s="89" t="s">
        <v>7587</v>
      </c>
      <c r="N4830" s="89" t="s">
        <v>7583</v>
      </c>
      <c r="O4830" s="92">
        <v>7158634.0</v>
      </c>
      <c r="P4830" s="92">
        <v>7290593.0</v>
      </c>
      <c r="Q4830" s="89" t="s">
        <v>802</v>
      </c>
      <c r="AF4830" s="1"/>
      <c r="AG4830" s="1"/>
    </row>
    <row r="4831" ht="15.75" customHeight="1">
      <c r="A4831" s="1"/>
      <c r="B4831" s="1"/>
      <c r="C4831" s="1"/>
      <c r="D4831" s="1"/>
      <c r="E4831" s="1"/>
      <c r="F4831" s="1"/>
      <c r="G4831" s="1"/>
      <c r="H4831" s="1"/>
      <c r="I4831" s="1"/>
      <c r="J4831" s="1"/>
      <c r="K4831" s="89" t="s">
        <v>7588</v>
      </c>
      <c r="L4831" s="89" t="str">
        <f>H179</f>
        <v>C2a1a1b1</v>
      </c>
      <c r="M4831" s="89" t="s">
        <v>7589</v>
      </c>
      <c r="N4831" s="89" t="s">
        <v>7590</v>
      </c>
      <c r="O4831" s="92">
        <v>7757444.0</v>
      </c>
      <c r="P4831" s="92">
        <v>7889403.0</v>
      </c>
      <c r="Q4831" s="89" t="s">
        <v>838</v>
      </c>
      <c r="AF4831" s="1"/>
      <c r="AG4831" s="1"/>
    </row>
    <row r="4832" ht="15.75" customHeight="1">
      <c r="A4832" s="1"/>
      <c r="B4832" s="1"/>
      <c r="C4832" s="1"/>
      <c r="D4832" s="1"/>
      <c r="E4832" s="1"/>
      <c r="F4832" s="1"/>
      <c r="G4832" s="1"/>
      <c r="H4832" s="1"/>
      <c r="I4832" s="1"/>
      <c r="J4832" s="1"/>
      <c r="K4832" s="89" t="s">
        <v>7589</v>
      </c>
      <c r="L4832" s="89" t="str">
        <f>H179</f>
        <v>C2a1a1b1</v>
      </c>
      <c r="M4832" s="89" t="s">
        <v>7588</v>
      </c>
      <c r="N4832" s="89" t="s">
        <v>7590</v>
      </c>
      <c r="O4832" s="92">
        <v>7757444.0</v>
      </c>
      <c r="P4832" s="92">
        <v>7889403.0</v>
      </c>
      <c r="Q4832" s="89" t="s">
        <v>838</v>
      </c>
      <c r="AF4832" s="1"/>
      <c r="AG4832" s="1"/>
    </row>
    <row r="4833" ht="15.75" customHeight="1">
      <c r="A4833" s="1"/>
      <c r="B4833" s="1"/>
      <c r="C4833" s="1"/>
      <c r="D4833" s="1"/>
      <c r="E4833" s="1"/>
      <c r="F4833" s="1"/>
      <c r="G4833" s="1"/>
      <c r="H4833" s="1"/>
      <c r="I4833" s="1"/>
      <c r="J4833" s="1"/>
      <c r="K4833" s="89" t="s">
        <v>7591</v>
      </c>
      <c r="L4833" s="89" t="str">
        <f>H179</f>
        <v>C2a1a1b1</v>
      </c>
      <c r="M4833" s="89" t="s">
        <v>7592</v>
      </c>
      <c r="N4833" s="89" t="s">
        <v>7593</v>
      </c>
      <c r="O4833" s="92">
        <v>7891316.0</v>
      </c>
      <c r="P4833" s="92">
        <v>8023275.0</v>
      </c>
      <c r="Q4833" s="89" t="s">
        <v>886</v>
      </c>
      <c r="AF4833" s="1"/>
      <c r="AG4833" s="1"/>
    </row>
    <row r="4834" ht="15.75" customHeight="1">
      <c r="A4834" s="1"/>
      <c r="B4834" s="1"/>
      <c r="C4834" s="1"/>
      <c r="D4834" s="1"/>
      <c r="E4834" s="1"/>
      <c r="F4834" s="1"/>
      <c r="G4834" s="1"/>
      <c r="H4834" s="1"/>
      <c r="I4834" s="1"/>
      <c r="J4834" s="1"/>
      <c r="K4834" s="89" t="s">
        <v>7592</v>
      </c>
      <c r="L4834" s="89" t="str">
        <f>H179</f>
        <v>C2a1a1b1</v>
      </c>
      <c r="M4834" s="89" t="s">
        <v>7591</v>
      </c>
      <c r="N4834" s="89" t="s">
        <v>7593</v>
      </c>
      <c r="O4834" s="92">
        <v>7891316.0</v>
      </c>
      <c r="P4834" s="92">
        <v>8023275.0</v>
      </c>
      <c r="Q4834" s="89" t="s">
        <v>886</v>
      </c>
      <c r="AF4834" s="1"/>
      <c r="AG4834" s="1"/>
    </row>
    <row r="4835" ht="15.75" customHeight="1">
      <c r="A4835" s="1"/>
      <c r="B4835" s="1"/>
      <c r="C4835" s="1"/>
      <c r="D4835" s="1"/>
      <c r="E4835" s="1"/>
      <c r="F4835" s="1"/>
      <c r="G4835" s="1"/>
      <c r="H4835" s="1"/>
      <c r="I4835" s="1"/>
      <c r="J4835" s="1"/>
      <c r="K4835" s="89" t="s">
        <v>7594</v>
      </c>
      <c r="L4835" s="89" t="str">
        <f>H179</f>
        <v>C2a1a1b1</v>
      </c>
      <c r="M4835" s="89" t="s">
        <v>7595</v>
      </c>
      <c r="N4835" s="89" t="s">
        <v>7596</v>
      </c>
      <c r="O4835" s="92">
        <v>8303516.0</v>
      </c>
      <c r="P4835" s="92">
        <v>8435475.0</v>
      </c>
      <c r="Q4835" s="89" t="s">
        <v>838</v>
      </c>
      <c r="AF4835" s="1"/>
      <c r="AG4835" s="1"/>
    </row>
    <row r="4836" ht="15.75" customHeight="1">
      <c r="A4836" s="1"/>
      <c r="B4836" s="1"/>
      <c r="C4836" s="1"/>
      <c r="D4836" s="1"/>
      <c r="E4836" s="1"/>
      <c r="F4836" s="1"/>
      <c r="G4836" s="1"/>
      <c r="H4836" s="1"/>
      <c r="I4836" s="1"/>
      <c r="J4836" s="1"/>
      <c r="K4836" s="89" t="s">
        <v>7595</v>
      </c>
      <c r="L4836" s="89" t="str">
        <f>H179</f>
        <v>C2a1a1b1</v>
      </c>
      <c r="M4836" s="89" t="s">
        <v>7594</v>
      </c>
      <c r="N4836" s="89" t="s">
        <v>7596</v>
      </c>
      <c r="O4836" s="92">
        <v>8303516.0</v>
      </c>
      <c r="P4836" s="92">
        <v>8435475.0</v>
      </c>
      <c r="Q4836" s="89" t="s">
        <v>838</v>
      </c>
      <c r="AF4836" s="1"/>
      <c r="AG4836" s="1"/>
    </row>
    <row r="4837" ht="15.75" customHeight="1">
      <c r="A4837" s="1"/>
      <c r="B4837" s="1"/>
      <c r="C4837" s="1"/>
      <c r="D4837" s="1"/>
      <c r="E4837" s="1"/>
      <c r="F4837" s="1"/>
      <c r="G4837" s="1"/>
      <c r="H4837" s="1"/>
      <c r="I4837" s="1"/>
      <c r="J4837" s="1"/>
      <c r="K4837" s="89" t="s">
        <v>7597</v>
      </c>
      <c r="L4837" s="89" t="str">
        <f>H179</f>
        <v>C2a1a1b1</v>
      </c>
      <c r="M4837" s="89" t="s">
        <v>7598</v>
      </c>
      <c r="N4837" s="89" t="s">
        <v>7599</v>
      </c>
      <c r="O4837" s="92">
        <v>8525582.0</v>
      </c>
      <c r="P4837" s="92">
        <v>8657541.0</v>
      </c>
      <c r="Q4837" s="89" t="s">
        <v>810</v>
      </c>
      <c r="AF4837" s="1"/>
      <c r="AG4837" s="1"/>
    </row>
    <row r="4838" ht="15.75" customHeight="1">
      <c r="A4838" s="1"/>
      <c r="B4838" s="1"/>
      <c r="C4838" s="1"/>
      <c r="D4838" s="1"/>
      <c r="E4838" s="1"/>
      <c r="F4838" s="1"/>
      <c r="G4838" s="1"/>
      <c r="H4838" s="1"/>
      <c r="I4838" s="1"/>
      <c r="J4838" s="1"/>
      <c r="K4838" s="89" t="s">
        <v>7598</v>
      </c>
      <c r="L4838" s="89" t="str">
        <f>H179</f>
        <v>C2a1a1b1</v>
      </c>
      <c r="M4838" s="89" t="s">
        <v>7597</v>
      </c>
      <c r="N4838" s="89" t="s">
        <v>7599</v>
      </c>
      <c r="O4838" s="92">
        <v>8525582.0</v>
      </c>
      <c r="P4838" s="92">
        <v>8657541.0</v>
      </c>
      <c r="Q4838" s="89" t="s">
        <v>810</v>
      </c>
      <c r="AF4838" s="1"/>
      <c r="AG4838" s="1"/>
    </row>
    <row r="4839" ht="15.75" customHeight="1">
      <c r="A4839" s="1"/>
      <c r="B4839" s="1"/>
      <c r="C4839" s="1"/>
      <c r="D4839" s="1"/>
      <c r="E4839" s="1"/>
      <c r="F4839" s="1"/>
      <c r="G4839" s="1"/>
      <c r="H4839" s="1"/>
      <c r="I4839" s="1"/>
      <c r="J4839" s="1"/>
      <c r="K4839" s="89" t="s">
        <v>7600</v>
      </c>
      <c r="L4839" s="89" t="str">
        <f>H179</f>
        <v>C2a1a1b1</v>
      </c>
      <c r="M4839" s="89" t="s">
        <v>7601</v>
      </c>
      <c r="N4839" s="89"/>
      <c r="O4839" s="92">
        <v>8592725.0</v>
      </c>
      <c r="P4839" s="92">
        <v>8724684.0</v>
      </c>
      <c r="Q4839" s="89" t="s">
        <v>822</v>
      </c>
      <c r="AF4839" s="1"/>
      <c r="AG4839" s="1"/>
    </row>
    <row r="4840" ht="15.75" customHeight="1">
      <c r="A4840" s="1"/>
      <c r="B4840" s="1"/>
      <c r="C4840" s="1"/>
      <c r="D4840" s="1"/>
      <c r="E4840" s="1"/>
      <c r="F4840" s="1"/>
      <c r="G4840" s="1"/>
      <c r="H4840" s="1"/>
      <c r="I4840" s="1"/>
      <c r="J4840" s="1"/>
      <c r="K4840" s="89" t="s">
        <v>7601</v>
      </c>
      <c r="L4840" s="89" t="str">
        <f>H179</f>
        <v>C2a1a1b1</v>
      </c>
      <c r="M4840" s="89" t="s">
        <v>7600</v>
      </c>
      <c r="N4840" s="89"/>
      <c r="O4840" s="92">
        <v>8592725.0</v>
      </c>
      <c r="P4840" s="92">
        <v>8724684.0</v>
      </c>
      <c r="Q4840" s="89" t="s">
        <v>822</v>
      </c>
      <c r="AF4840" s="1"/>
      <c r="AG4840" s="1"/>
    </row>
    <row r="4841" ht="15.75" customHeight="1">
      <c r="A4841" s="1"/>
      <c r="B4841" s="1"/>
      <c r="C4841" s="1"/>
      <c r="D4841" s="1"/>
      <c r="E4841" s="1"/>
      <c r="F4841" s="1"/>
      <c r="G4841" s="1"/>
      <c r="H4841" s="1"/>
      <c r="I4841" s="1"/>
      <c r="J4841" s="1"/>
      <c r="K4841" s="89" t="s">
        <v>7602</v>
      </c>
      <c r="L4841" s="89" t="str">
        <f>H179</f>
        <v>C2a1a1b1</v>
      </c>
      <c r="M4841" s="89" t="s">
        <v>7603</v>
      </c>
      <c r="N4841" s="89" t="s">
        <v>7604</v>
      </c>
      <c r="O4841" s="92">
        <v>9015043.0</v>
      </c>
      <c r="P4841" s="92">
        <v>9177434.0</v>
      </c>
      <c r="Q4841" s="89" t="s">
        <v>802</v>
      </c>
      <c r="AF4841" s="1"/>
      <c r="AG4841" s="1"/>
    </row>
    <row r="4842" ht="15.75" customHeight="1">
      <c r="A4842" s="1"/>
      <c r="B4842" s="1"/>
      <c r="C4842" s="1"/>
      <c r="D4842" s="1"/>
      <c r="E4842" s="1"/>
      <c r="F4842" s="1"/>
      <c r="G4842" s="1"/>
      <c r="H4842" s="1"/>
      <c r="I4842" s="1"/>
      <c r="J4842" s="1"/>
      <c r="K4842" s="89" t="s">
        <v>7603</v>
      </c>
      <c r="L4842" s="89" t="str">
        <f>H179</f>
        <v>C2a1a1b1</v>
      </c>
      <c r="M4842" s="89" t="s">
        <v>7602</v>
      </c>
      <c r="N4842" s="89" t="s">
        <v>7604</v>
      </c>
      <c r="O4842" s="92">
        <v>9015043.0</v>
      </c>
      <c r="P4842" s="92">
        <v>9177434.0</v>
      </c>
      <c r="Q4842" s="89" t="s">
        <v>802</v>
      </c>
      <c r="AF4842" s="1"/>
      <c r="AG4842" s="1"/>
    </row>
    <row r="4843" ht="15.75" customHeight="1">
      <c r="A4843" s="1"/>
      <c r="B4843" s="1"/>
      <c r="C4843" s="1"/>
      <c r="D4843" s="1"/>
      <c r="E4843" s="1"/>
      <c r="F4843" s="1"/>
      <c r="G4843" s="1"/>
      <c r="H4843" s="1"/>
      <c r="I4843" s="1"/>
      <c r="J4843" s="1"/>
      <c r="K4843" s="89" t="s">
        <v>7605</v>
      </c>
      <c r="L4843" s="89" t="str">
        <f>H179</f>
        <v>C2a1a1b1</v>
      </c>
      <c r="M4843" s="89" t="s">
        <v>7606</v>
      </c>
      <c r="N4843" s="89" t="s">
        <v>7607</v>
      </c>
      <c r="O4843" s="92">
        <v>9091751.0</v>
      </c>
      <c r="P4843" s="92">
        <v>9254142.0</v>
      </c>
      <c r="Q4843" s="89" t="s">
        <v>802</v>
      </c>
      <c r="AF4843" s="1"/>
      <c r="AG4843" s="1"/>
    </row>
    <row r="4844" ht="15.75" customHeight="1">
      <c r="A4844" s="1"/>
      <c r="B4844" s="1"/>
      <c r="C4844" s="1"/>
      <c r="D4844" s="1"/>
      <c r="E4844" s="1"/>
      <c r="F4844" s="1"/>
      <c r="G4844" s="1"/>
      <c r="H4844" s="1"/>
      <c r="I4844" s="1"/>
      <c r="J4844" s="1"/>
      <c r="K4844" s="89" t="s">
        <v>7606</v>
      </c>
      <c r="L4844" s="89" t="str">
        <f>H179</f>
        <v>C2a1a1b1</v>
      </c>
      <c r="M4844" s="89" t="s">
        <v>7605</v>
      </c>
      <c r="N4844" s="89" t="s">
        <v>7607</v>
      </c>
      <c r="O4844" s="92">
        <v>9091751.0</v>
      </c>
      <c r="P4844" s="92">
        <v>9254142.0</v>
      </c>
      <c r="Q4844" s="89" t="s">
        <v>802</v>
      </c>
      <c r="AF4844" s="1"/>
      <c r="AG4844" s="1"/>
    </row>
    <row r="4845" ht="15.75" customHeight="1">
      <c r="A4845" s="1"/>
      <c r="B4845" s="1"/>
      <c r="C4845" s="1"/>
      <c r="D4845" s="1"/>
      <c r="E4845" s="1"/>
      <c r="F4845" s="1"/>
      <c r="G4845" s="1"/>
      <c r="H4845" s="1"/>
      <c r="I4845" s="1"/>
      <c r="J4845" s="1"/>
      <c r="K4845" s="89" t="s">
        <v>7608</v>
      </c>
      <c r="L4845" s="89" t="str">
        <f>H179</f>
        <v>C2a1a1b1</v>
      </c>
      <c r="M4845" s="89" t="s">
        <v>7609</v>
      </c>
      <c r="N4845" s="89" t="s">
        <v>7610</v>
      </c>
      <c r="O4845" s="92">
        <v>9885898.0</v>
      </c>
      <c r="P4845" s="92">
        <v>1.0048289E7</v>
      </c>
      <c r="Q4845" s="89" t="s">
        <v>810</v>
      </c>
      <c r="AF4845" s="1"/>
      <c r="AG4845" s="1"/>
    </row>
    <row r="4846" ht="15.75" customHeight="1">
      <c r="A4846" s="1"/>
      <c r="B4846" s="1"/>
      <c r="C4846" s="1"/>
      <c r="D4846" s="1"/>
      <c r="E4846" s="1"/>
      <c r="F4846" s="1"/>
      <c r="G4846" s="1"/>
      <c r="H4846" s="1"/>
      <c r="I4846" s="1"/>
      <c r="J4846" s="1"/>
      <c r="K4846" s="89" t="s">
        <v>7609</v>
      </c>
      <c r="L4846" s="89" t="str">
        <f>H179</f>
        <v>C2a1a1b1</v>
      </c>
      <c r="M4846" s="89" t="s">
        <v>7608</v>
      </c>
      <c r="N4846" s="89" t="s">
        <v>7610</v>
      </c>
      <c r="O4846" s="92">
        <v>9885898.0</v>
      </c>
      <c r="P4846" s="92">
        <v>1.0048289E7</v>
      </c>
      <c r="Q4846" s="89" t="s">
        <v>810</v>
      </c>
      <c r="AF4846" s="1"/>
      <c r="AG4846" s="1"/>
    </row>
    <row r="4847" ht="15.75" customHeight="1">
      <c r="A4847" s="1"/>
      <c r="B4847" s="1"/>
      <c r="C4847" s="1"/>
      <c r="D4847" s="1"/>
      <c r="E4847" s="1"/>
      <c r="F4847" s="1"/>
      <c r="G4847" s="1"/>
      <c r="H4847" s="1"/>
      <c r="I4847" s="1"/>
      <c r="J4847" s="1"/>
      <c r="K4847" s="89" t="s">
        <v>7611</v>
      </c>
      <c r="L4847" s="89" t="str">
        <f>H179</f>
        <v>C2a1a1b1</v>
      </c>
      <c r="M4847" s="89" t="s">
        <v>7612</v>
      </c>
      <c r="N4847" s="89" t="s">
        <v>7523</v>
      </c>
      <c r="O4847" s="92">
        <v>1.4169993E7</v>
      </c>
      <c r="P4847" s="92">
        <v>1.2049287E7</v>
      </c>
      <c r="Q4847" s="89" t="s">
        <v>838</v>
      </c>
      <c r="AF4847" s="1"/>
      <c r="AG4847" s="1"/>
    </row>
    <row r="4848" ht="15.75" customHeight="1">
      <c r="A4848" s="1"/>
      <c r="B4848" s="1"/>
      <c r="C4848" s="1"/>
      <c r="D4848" s="1"/>
      <c r="E4848" s="1"/>
      <c r="F4848" s="1"/>
      <c r="G4848" s="1"/>
      <c r="H4848" s="1"/>
      <c r="I4848" s="1"/>
      <c r="J4848" s="1"/>
      <c r="K4848" s="89" t="s">
        <v>7612</v>
      </c>
      <c r="L4848" s="89" t="str">
        <f>H179</f>
        <v>C2a1a1b1</v>
      </c>
      <c r="M4848" s="89" t="s">
        <v>7611</v>
      </c>
      <c r="N4848" s="89" t="s">
        <v>7523</v>
      </c>
      <c r="O4848" s="92">
        <v>1.4169993E7</v>
      </c>
      <c r="P4848" s="92">
        <v>1.2049287E7</v>
      </c>
      <c r="Q4848" s="89" t="s">
        <v>838</v>
      </c>
      <c r="AF4848" s="1"/>
      <c r="AG4848" s="1"/>
    </row>
    <row r="4849" ht="15.75" customHeight="1">
      <c r="A4849" s="1"/>
      <c r="B4849" s="1"/>
      <c r="C4849" s="1"/>
      <c r="D4849" s="1"/>
      <c r="E4849" s="1"/>
      <c r="F4849" s="1"/>
      <c r="G4849" s="1"/>
      <c r="H4849" s="1"/>
      <c r="I4849" s="1"/>
      <c r="J4849" s="1"/>
      <c r="K4849" s="89" t="s">
        <v>7613</v>
      </c>
      <c r="L4849" s="89" t="str">
        <f>H179</f>
        <v>C2a1a1b1</v>
      </c>
      <c r="M4849" s="89" t="s">
        <v>7614</v>
      </c>
      <c r="N4849" s="89" t="s">
        <v>7615</v>
      </c>
      <c r="O4849" s="92">
        <v>1.4427787E7</v>
      </c>
      <c r="P4849" s="92">
        <v>1.2307062E7</v>
      </c>
      <c r="Q4849" s="89" t="s">
        <v>810</v>
      </c>
      <c r="AF4849" s="1"/>
      <c r="AG4849" s="1"/>
    </row>
    <row r="4850" ht="15.75" customHeight="1">
      <c r="A4850" s="1"/>
      <c r="B4850" s="1"/>
      <c r="C4850" s="1"/>
      <c r="D4850" s="1"/>
      <c r="E4850" s="1"/>
      <c r="F4850" s="1"/>
      <c r="G4850" s="1"/>
      <c r="H4850" s="1"/>
      <c r="I4850" s="1"/>
      <c r="J4850" s="1"/>
      <c r="K4850" s="89" t="s">
        <v>7616</v>
      </c>
      <c r="L4850" s="89" t="str">
        <f>H179</f>
        <v>C2a1a1b1</v>
      </c>
      <c r="M4850" s="89" t="s">
        <v>7617</v>
      </c>
      <c r="N4850" s="89" t="s">
        <v>7615</v>
      </c>
      <c r="O4850" s="92">
        <v>1.4427787E7</v>
      </c>
      <c r="P4850" s="92">
        <v>1.2307062E7</v>
      </c>
      <c r="Q4850" s="89" t="s">
        <v>810</v>
      </c>
      <c r="AF4850" s="1"/>
      <c r="AG4850" s="1"/>
    </row>
    <row r="4851" ht="15.75" customHeight="1">
      <c r="A4851" s="1"/>
      <c r="B4851" s="1"/>
      <c r="C4851" s="1"/>
      <c r="D4851" s="1"/>
      <c r="E4851" s="1"/>
      <c r="F4851" s="1"/>
      <c r="G4851" s="1"/>
      <c r="H4851" s="1"/>
      <c r="I4851" s="1"/>
      <c r="J4851" s="1"/>
      <c r="K4851" s="89" t="s">
        <v>7618</v>
      </c>
      <c r="L4851" s="89" t="str">
        <f>H179</f>
        <v>C2a1a1b1</v>
      </c>
      <c r="M4851" s="89" t="s">
        <v>7619</v>
      </c>
      <c r="N4851" s="89" t="s">
        <v>7615</v>
      </c>
      <c r="O4851" s="92">
        <v>1.4427787E7</v>
      </c>
      <c r="P4851" s="92">
        <v>1.2307062E7</v>
      </c>
      <c r="Q4851" s="89" t="s">
        <v>810</v>
      </c>
      <c r="AF4851" s="1"/>
      <c r="AG4851" s="1"/>
    </row>
    <row r="4852" ht="15.75" customHeight="1">
      <c r="A4852" s="1"/>
      <c r="B4852" s="1"/>
      <c r="C4852" s="1"/>
      <c r="D4852" s="1"/>
      <c r="E4852" s="1"/>
      <c r="F4852" s="1"/>
      <c r="G4852" s="1"/>
      <c r="H4852" s="1"/>
      <c r="I4852" s="1"/>
      <c r="J4852" s="1"/>
      <c r="K4852" s="89" t="s">
        <v>7620</v>
      </c>
      <c r="L4852" s="89" t="str">
        <f>H179</f>
        <v>C2a1a1b1</v>
      </c>
      <c r="M4852" s="89" t="s">
        <v>7621</v>
      </c>
      <c r="N4852" s="89" t="s">
        <v>7622</v>
      </c>
      <c r="O4852" s="92">
        <v>1.4893637E7</v>
      </c>
      <c r="P4852" s="92">
        <v>1.2781703E7</v>
      </c>
      <c r="Q4852" s="89" t="s">
        <v>802</v>
      </c>
      <c r="AF4852" s="1"/>
      <c r="AG4852" s="1"/>
    </row>
    <row r="4853" ht="15.75" customHeight="1">
      <c r="A4853" s="1"/>
      <c r="B4853" s="1"/>
      <c r="C4853" s="1"/>
      <c r="D4853" s="1"/>
      <c r="E4853" s="1"/>
      <c r="F4853" s="1"/>
      <c r="G4853" s="1"/>
      <c r="H4853" s="1"/>
      <c r="I4853" s="1"/>
      <c r="J4853" s="1"/>
      <c r="K4853" s="89" t="s">
        <v>7621</v>
      </c>
      <c r="L4853" s="89" t="str">
        <f>H179</f>
        <v>C2a1a1b1</v>
      </c>
      <c r="M4853" s="89" t="s">
        <v>7620</v>
      </c>
      <c r="N4853" s="89" t="s">
        <v>7622</v>
      </c>
      <c r="O4853" s="92">
        <v>1.4893637E7</v>
      </c>
      <c r="P4853" s="92">
        <v>1.2781703E7</v>
      </c>
      <c r="Q4853" s="89" t="s">
        <v>802</v>
      </c>
      <c r="AF4853" s="1"/>
      <c r="AG4853" s="1"/>
    </row>
    <row r="4854" ht="15.75" customHeight="1">
      <c r="A4854" s="1"/>
      <c r="B4854" s="1"/>
      <c r="C4854" s="1"/>
      <c r="D4854" s="1"/>
      <c r="E4854" s="1"/>
      <c r="F4854" s="1"/>
      <c r="G4854" s="1"/>
      <c r="H4854" s="1"/>
      <c r="I4854" s="1"/>
      <c r="J4854" s="1"/>
      <c r="K4854" s="89" t="s">
        <v>7623</v>
      </c>
      <c r="L4854" s="89" t="str">
        <f>H179</f>
        <v>C2a1a1b1</v>
      </c>
      <c r="M4854" s="89" t="s">
        <v>7624</v>
      </c>
      <c r="N4854" s="89" t="s">
        <v>7625</v>
      </c>
      <c r="O4854" s="92">
        <v>1.5055505E7</v>
      </c>
      <c r="P4854" s="92">
        <v>1.2943597E7</v>
      </c>
      <c r="Q4854" s="89" t="s">
        <v>813</v>
      </c>
      <c r="AF4854" s="1"/>
      <c r="AG4854" s="1"/>
    </row>
    <row r="4855" ht="15.75" customHeight="1">
      <c r="A4855" s="1"/>
      <c r="B4855" s="1"/>
      <c r="C4855" s="1"/>
      <c r="D4855" s="1"/>
      <c r="E4855" s="1"/>
      <c r="F4855" s="1"/>
      <c r="G4855" s="1"/>
      <c r="H4855" s="1"/>
      <c r="I4855" s="1"/>
      <c r="J4855" s="1"/>
      <c r="K4855" s="89" t="s">
        <v>7624</v>
      </c>
      <c r="L4855" s="89" t="str">
        <f>H179</f>
        <v>C2a1a1b1</v>
      </c>
      <c r="M4855" s="89" t="s">
        <v>7623</v>
      </c>
      <c r="N4855" s="89" t="s">
        <v>7625</v>
      </c>
      <c r="O4855" s="92">
        <v>1.5055505E7</v>
      </c>
      <c r="P4855" s="92">
        <v>1.2943597E7</v>
      </c>
      <c r="Q4855" s="89" t="s">
        <v>813</v>
      </c>
      <c r="AF4855" s="1"/>
      <c r="AG4855" s="1"/>
    </row>
    <row r="4856" ht="15.75" customHeight="1">
      <c r="A4856" s="1"/>
      <c r="B4856" s="1"/>
      <c r="C4856" s="1"/>
      <c r="D4856" s="1"/>
      <c r="E4856" s="1"/>
      <c r="F4856" s="1"/>
      <c r="G4856" s="1"/>
      <c r="H4856" s="1"/>
      <c r="I4856" s="1"/>
      <c r="J4856" s="1"/>
      <c r="K4856" s="89" t="s">
        <v>7626</v>
      </c>
      <c r="L4856" s="89" t="str">
        <f>H179</f>
        <v>C2a1a1b1</v>
      </c>
      <c r="M4856" s="89" t="s">
        <v>7627</v>
      </c>
      <c r="N4856" s="89" t="s">
        <v>7628</v>
      </c>
      <c r="O4856" s="92">
        <v>1.5043282E7</v>
      </c>
      <c r="P4856" s="92">
        <v>1.2931372E7</v>
      </c>
      <c r="Q4856" s="89" t="s">
        <v>886</v>
      </c>
      <c r="AF4856" s="1"/>
      <c r="AG4856" s="1"/>
    </row>
    <row r="4857" ht="15.75" customHeight="1">
      <c r="A4857" s="1"/>
      <c r="B4857" s="1"/>
      <c r="C4857" s="1"/>
      <c r="D4857" s="1"/>
      <c r="E4857" s="1"/>
      <c r="F4857" s="1"/>
      <c r="G4857" s="1"/>
      <c r="H4857" s="1"/>
      <c r="I4857" s="1"/>
      <c r="J4857" s="1"/>
      <c r="K4857" s="89" t="s">
        <v>7627</v>
      </c>
      <c r="L4857" s="89" t="str">
        <f>H179</f>
        <v>C2a1a1b1</v>
      </c>
      <c r="M4857" s="89" t="s">
        <v>7626</v>
      </c>
      <c r="N4857" s="89" t="s">
        <v>7628</v>
      </c>
      <c r="O4857" s="92">
        <v>1.5043282E7</v>
      </c>
      <c r="P4857" s="92">
        <v>1.2931372E7</v>
      </c>
      <c r="Q4857" s="89" t="s">
        <v>886</v>
      </c>
      <c r="AF4857" s="1"/>
      <c r="AG4857" s="1"/>
    </row>
    <row r="4858" ht="15.75" customHeight="1">
      <c r="A4858" s="1"/>
      <c r="B4858" s="1"/>
      <c r="C4858" s="1"/>
      <c r="D4858" s="1"/>
      <c r="E4858" s="1"/>
      <c r="F4858" s="1"/>
      <c r="G4858" s="1"/>
      <c r="H4858" s="1"/>
      <c r="I4858" s="1"/>
      <c r="J4858" s="1"/>
      <c r="K4858" s="89" t="s">
        <v>7629</v>
      </c>
      <c r="L4858" s="89" t="str">
        <f>H179</f>
        <v>C2a1a1b1</v>
      </c>
      <c r="M4858" s="89" t="s">
        <v>7630</v>
      </c>
      <c r="N4858" s="89" t="s">
        <v>7631</v>
      </c>
      <c r="O4858" s="92">
        <v>1.5540359E7</v>
      </c>
      <c r="P4858" s="92">
        <v>1.3428479E7</v>
      </c>
      <c r="Q4858" s="89" t="s">
        <v>813</v>
      </c>
      <c r="AF4858" s="1"/>
      <c r="AG4858" s="1"/>
    </row>
    <row r="4859" ht="15.75" customHeight="1">
      <c r="A4859" s="1"/>
      <c r="B4859" s="1"/>
      <c r="C4859" s="1"/>
      <c r="D4859" s="1"/>
      <c r="E4859" s="1"/>
      <c r="F4859" s="1"/>
      <c r="G4859" s="1"/>
      <c r="H4859" s="1"/>
      <c r="I4859" s="1"/>
      <c r="J4859" s="1"/>
      <c r="K4859" s="89" t="s">
        <v>7630</v>
      </c>
      <c r="L4859" s="89" t="str">
        <f>H179</f>
        <v>C2a1a1b1</v>
      </c>
      <c r="M4859" s="89" t="s">
        <v>7629</v>
      </c>
      <c r="N4859" s="89" t="s">
        <v>7631</v>
      </c>
      <c r="O4859" s="92">
        <v>1.5540359E7</v>
      </c>
      <c r="P4859" s="92">
        <v>1.3428479E7</v>
      </c>
      <c r="Q4859" s="89" t="s">
        <v>813</v>
      </c>
      <c r="AF4859" s="1"/>
      <c r="AG4859" s="1"/>
    </row>
    <row r="4860" ht="15.75" customHeight="1">
      <c r="A4860" s="1"/>
      <c r="B4860" s="1"/>
      <c r="C4860" s="1"/>
      <c r="D4860" s="1"/>
      <c r="E4860" s="1"/>
      <c r="F4860" s="1"/>
      <c r="G4860" s="1"/>
      <c r="H4860" s="1"/>
      <c r="I4860" s="1"/>
      <c r="J4860" s="1"/>
      <c r="K4860" s="89" t="s">
        <v>7632</v>
      </c>
      <c r="L4860" s="89" t="str">
        <f>H179</f>
        <v>C2a1a1b1</v>
      </c>
      <c r="M4860" s="89" t="s">
        <v>7633</v>
      </c>
      <c r="N4860" s="89" t="s">
        <v>7634</v>
      </c>
      <c r="O4860" s="92">
        <v>1.56351E7</v>
      </c>
      <c r="P4860" s="92">
        <v>1.352322E7</v>
      </c>
      <c r="Q4860" s="89" t="s">
        <v>838</v>
      </c>
      <c r="AF4860" s="1"/>
      <c r="AG4860" s="1"/>
    </row>
    <row r="4861" ht="15.75" customHeight="1">
      <c r="A4861" s="1"/>
      <c r="B4861" s="1"/>
      <c r="C4861" s="1"/>
      <c r="D4861" s="1"/>
      <c r="E4861" s="1"/>
      <c r="F4861" s="1"/>
      <c r="G4861" s="1"/>
      <c r="H4861" s="1"/>
      <c r="I4861" s="1"/>
      <c r="J4861" s="1"/>
      <c r="K4861" s="89" t="s">
        <v>7635</v>
      </c>
      <c r="L4861" s="89" t="str">
        <f>H179</f>
        <v>C2a1a1b1</v>
      </c>
      <c r="M4861" s="89" t="s">
        <v>7636</v>
      </c>
      <c r="N4861" s="89" t="s">
        <v>7634</v>
      </c>
      <c r="O4861" s="92">
        <v>1.56351E7</v>
      </c>
      <c r="P4861" s="92">
        <v>1.352322E7</v>
      </c>
      <c r="Q4861" s="89" t="s">
        <v>838</v>
      </c>
      <c r="AF4861" s="1"/>
      <c r="AG4861" s="1"/>
    </row>
    <row r="4862" ht="15.75" customHeight="1">
      <c r="A4862" s="1"/>
      <c r="B4862" s="1"/>
      <c r="C4862" s="1"/>
      <c r="D4862" s="1"/>
      <c r="E4862" s="1"/>
      <c r="F4862" s="1"/>
      <c r="G4862" s="1"/>
      <c r="H4862" s="1"/>
      <c r="I4862" s="1"/>
      <c r="J4862" s="1"/>
      <c r="K4862" s="89" t="s">
        <v>7637</v>
      </c>
      <c r="L4862" s="89" t="str">
        <f>H179</f>
        <v>C2a1a1b1</v>
      </c>
      <c r="M4862" s="89" t="s">
        <v>7638</v>
      </c>
      <c r="N4862" s="89" t="s">
        <v>7634</v>
      </c>
      <c r="O4862" s="92">
        <v>1.56351E7</v>
      </c>
      <c r="P4862" s="92">
        <v>1.352322E7</v>
      </c>
      <c r="Q4862" s="89" t="s">
        <v>838</v>
      </c>
      <c r="AF4862" s="1"/>
      <c r="AG4862" s="1"/>
    </row>
    <row r="4863" ht="15.75" customHeight="1">
      <c r="A4863" s="1"/>
      <c r="B4863" s="1"/>
      <c r="C4863" s="1"/>
      <c r="D4863" s="1"/>
      <c r="E4863" s="1"/>
      <c r="F4863" s="1"/>
      <c r="G4863" s="1"/>
      <c r="H4863" s="1"/>
      <c r="I4863" s="1"/>
      <c r="J4863" s="1"/>
      <c r="K4863" s="89" t="s">
        <v>7639</v>
      </c>
      <c r="L4863" s="89" t="str">
        <f>H179</f>
        <v>C2a1a1b1</v>
      </c>
      <c r="M4863" s="89" t="s">
        <v>7640</v>
      </c>
      <c r="N4863" s="89" t="s">
        <v>7641</v>
      </c>
      <c r="O4863" s="92">
        <v>1.6262459E7</v>
      </c>
      <c r="P4863" s="92">
        <v>1.4150579E7</v>
      </c>
      <c r="Q4863" s="89" t="s">
        <v>912</v>
      </c>
      <c r="AF4863" s="1"/>
      <c r="AG4863" s="1"/>
    </row>
    <row r="4864" ht="15.75" customHeight="1">
      <c r="A4864" s="1"/>
      <c r="B4864" s="1"/>
      <c r="C4864" s="1"/>
      <c r="D4864" s="1"/>
      <c r="E4864" s="1"/>
      <c r="F4864" s="1"/>
      <c r="G4864" s="1"/>
      <c r="H4864" s="1"/>
      <c r="I4864" s="1"/>
      <c r="J4864" s="1"/>
      <c r="K4864" s="89" t="s">
        <v>7642</v>
      </c>
      <c r="L4864" s="89" t="str">
        <f>H179</f>
        <v>C2a1a1b1</v>
      </c>
      <c r="M4864" s="89" t="s">
        <v>7643</v>
      </c>
      <c r="N4864" s="89" t="s">
        <v>7641</v>
      </c>
      <c r="O4864" s="92">
        <v>1.6262459E7</v>
      </c>
      <c r="P4864" s="92">
        <v>1.4150579E7</v>
      </c>
      <c r="Q4864" s="89" t="s">
        <v>912</v>
      </c>
      <c r="AF4864" s="1"/>
      <c r="AG4864" s="1"/>
    </row>
    <row r="4865" ht="15.75" customHeight="1">
      <c r="A4865" s="1"/>
      <c r="B4865" s="1"/>
      <c r="C4865" s="1"/>
      <c r="D4865" s="1"/>
      <c r="E4865" s="1"/>
      <c r="F4865" s="1"/>
      <c r="G4865" s="1"/>
      <c r="H4865" s="1"/>
      <c r="I4865" s="1"/>
      <c r="J4865" s="1"/>
      <c r="K4865" s="89" t="s">
        <v>7644</v>
      </c>
      <c r="L4865" s="89" t="str">
        <f>H179</f>
        <v>C2a1a1b1</v>
      </c>
      <c r="M4865" s="89" t="s">
        <v>7645</v>
      </c>
      <c r="N4865" s="89" t="s">
        <v>7641</v>
      </c>
      <c r="O4865" s="92">
        <v>1.6262459E7</v>
      </c>
      <c r="P4865" s="92">
        <v>1.4150579E7</v>
      </c>
      <c r="Q4865" s="89" t="s">
        <v>912</v>
      </c>
      <c r="AF4865" s="1"/>
      <c r="AG4865" s="1"/>
    </row>
    <row r="4866" ht="15.75" customHeight="1">
      <c r="A4866" s="1"/>
      <c r="B4866" s="1"/>
      <c r="C4866" s="1"/>
      <c r="D4866" s="1"/>
      <c r="E4866" s="1"/>
      <c r="F4866" s="1"/>
      <c r="G4866" s="1"/>
      <c r="H4866" s="1"/>
      <c r="I4866" s="1"/>
      <c r="J4866" s="1"/>
      <c r="K4866" s="89" t="s">
        <v>7646</v>
      </c>
      <c r="L4866" s="89" t="str">
        <f>H179</f>
        <v>C2a1a1b1</v>
      </c>
      <c r="M4866" s="89" t="s">
        <v>7647</v>
      </c>
      <c r="N4866" s="89" t="s">
        <v>7648</v>
      </c>
      <c r="O4866" s="92">
        <v>1.6609794E7</v>
      </c>
      <c r="P4866" s="92">
        <v>1.4497914E7</v>
      </c>
      <c r="Q4866" s="89" t="s">
        <v>879</v>
      </c>
      <c r="AF4866" s="1"/>
      <c r="AG4866" s="1"/>
    </row>
    <row r="4867" ht="15.75" customHeight="1">
      <c r="A4867" s="1"/>
      <c r="B4867" s="1"/>
      <c r="C4867" s="1"/>
      <c r="D4867" s="1"/>
      <c r="E4867" s="1"/>
      <c r="F4867" s="1"/>
      <c r="G4867" s="1"/>
      <c r="H4867" s="1"/>
      <c r="I4867" s="1"/>
      <c r="J4867" s="1"/>
      <c r="K4867" s="89" t="s">
        <v>7649</v>
      </c>
      <c r="L4867" s="89" t="str">
        <f>H179</f>
        <v>C2a1a1b1</v>
      </c>
      <c r="M4867" s="89" t="s">
        <v>7650</v>
      </c>
      <c r="N4867" s="89" t="s">
        <v>7648</v>
      </c>
      <c r="O4867" s="92">
        <v>1.6609794E7</v>
      </c>
      <c r="P4867" s="92">
        <v>1.4497914E7</v>
      </c>
      <c r="Q4867" s="89" t="s">
        <v>879</v>
      </c>
      <c r="AF4867" s="1"/>
      <c r="AG4867" s="1"/>
    </row>
    <row r="4868" ht="15.75" customHeight="1">
      <c r="A4868" s="1"/>
      <c r="B4868" s="1"/>
      <c r="C4868" s="1"/>
      <c r="D4868" s="1"/>
      <c r="E4868" s="1"/>
      <c r="F4868" s="1"/>
      <c r="G4868" s="1"/>
      <c r="H4868" s="1"/>
      <c r="I4868" s="1"/>
      <c r="J4868" s="1"/>
      <c r="K4868" s="89" t="s">
        <v>7651</v>
      </c>
      <c r="L4868" s="89" t="str">
        <f>H179</f>
        <v>C2a1a1b1</v>
      </c>
      <c r="M4868" s="89" t="s">
        <v>7652</v>
      </c>
      <c r="N4868" s="89" t="s">
        <v>7648</v>
      </c>
      <c r="O4868" s="92">
        <v>1.6609794E7</v>
      </c>
      <c r="P4868" s="92">
        <v>1.4497914E7</v>
      </c>
      <c r="Q4868" s="89" t="s">
        <v>879</v>
      </c>
      <c r="AF4868" s="1"/>
      <c r="AG4868" s="1"/>
    </row>
    <row r="4869" ht="15.75" customHeight="1">
      <c r="A4869" s="1"/>
      <c r="B4869" s="1"/>
      <c r="C4869" s="1"/>
      <c r="D4869" s="1"/>
      <c r="E4869" s="1"/>
      <c r="F4869" s="1"/>
      <c r="G4869" s="1"/>
      <c r="H4869" s="1"/>
      <c r="I4869" s="1"/>
      <c r="J4869" s="1"/>
      <c r="K4869" s="89" t="s">
        <v>7653</v>
      </c>
      <c r="L4869" s="89" t="str">
        <f>H179</f>
        <v>C2a1a1b1</v>
      </c>
      <c r="M4869" s="89" t="s">
        <v>7654</v>
      </c>
      <c r="N4869" s="89" t="s">
        <v>7655</v>
      </c>
      <c r="O4869" s="92">
        <v>1.7511078E7</v>
      </c>
      <c r="P4869" s="92">
        <v>1.5399198E7</v>
      </c>
      <c r="Q4869" s="89" t="s">
        <v>912</v>
      </c>
      <c r="AF4869" s="1"/>
      <c r="AG4869" s="1"/>
    </row>
    <row r="4870" ht="15.75" customHeight="1">
      <c r="A4870" s="1"/>
      <c r="B4870" s="1"/>
      <c r="C4870" s="1"/>
      <c r="D4870" s="1"/>
      <c r="E4870" s="1"/>
      <c r="F4870" s="1"/>
      <c r="G4870" s="1"/>
      <c r="H4870" s="1"/>
      <c r="I4870" s="1"/>
      <c r="J4870" s="1"/>
      <c r="K4870" s="89" t="s">
        <v>7654</v>
      </c>
      <c r="L4870" s="89" t="str">
        <f>H179</f>
        <v>C2a1a1b1</v>
      </c>
      <c r="M4870" s="89" t="s">
        <v>7653</v>
      </c>
      <c r="N4870" s="89" t="s">
        <v>7655</v>
      </c>
      <c r="O4870" s="92">
        <v>1.7511078E7</v>
      </c>
      <c r="P4870" s="92">
        <v>1.5399198E7</v>
      </c>
      <c r="Q4870" s="89" t="s">
        <v>912</v>
      </c>
      <c r="AF4870" s="1"/>
      <c r="AG4870" s="1"/>
    </row>
    <row r="4871" ht="15.75" customHeight="1">
      <c r="A4871" s="1"/>
      <c r="B4871" s="1"/>
      <c r="C4871" s="1"/>
      <c r="D4871" s="1"/>
      <c r="E4871" s="1"/>
      <c r="F4871" s="1"/>
      <c r="G4871" s="1"/>
      <c r="H4871" s="1"/>
      <c r="I4871" s="1"/>
      <c r="J4871" s="1"/>
      <c r="K4871" s="89" t="s">
        <v>7656</v>
      </c>
      <c r="L4871" s="89" t="str">
        <f>H179</f>
        <v>C2a1a1b1</v>
      </c>
      <c r="M4871" s="89" t="s">
        <v>7657</v>
      </c>
      <c r="N4871" s="89" t="s">
        <v>7658</v>
      </c>
      <c r="O4871" s="92">
        <v>1.7533118E7</v>
      </c>
      <c r="P4871" s="92">
        <v>1.5421238E7</v>
      </c>
      <c r="Q4871" s="89" t="s">
        <v>822</v>
      </c>
      <c r="AF4871" s="1"/>
      <c r="AG4871" s="1"/>
    </row>
    <row r="4872" ht="15.75" customHeight="1">
      <c r="A4872" s="1"/>
      <c r="B4872" s="1"/>
      <c r="C4872" s="1"/>
      <c r="D4872" s="1"/>
      <c r="E4872" s="1"/>
      <c r="F4872" s="1"/>
      <c r="G4872" s="1"/>
      <c r="H4872" s="1"/>
      <c r="I4872" s="1"/>
      <c r="J4872" s="1"/>
      <c r="K4872" s="89" t="s">
        <v>7659</v>
      </c>
      <c r="L4872" s="89" t="str">
        <f>H179</f>
        <v>C2a1a1b1</v>
      </c>
      <c r="M4872" s="89" t="s">
        <v>7660</v>
      </c>
      <c r="N4872" s="89" t="s">
        <v>7658</v>
      </c>
      <c r="O4872" s="92">
        <v>1.7533118E7</v>
      </c>
      <c r="P4872" s="92">
        <v>1.5421238E7</v>
      </c>
      <c r="Q4872" s="89" t="s">
        <v>822</v>
      </c>
      <c r="AF4872" s="1"/>
      <c r="AG4872" s="1"/>
    </row>
    <row r="4873" ht="15.75" customHeight="1">
      <c r="A4873" s="1"/>
      <c r="B4873" s="1"/>
      <c r="C4873" s="1"/>
      <c r="D4873" s="1"/>
      <c r="E4873" s="1"/>
      <c r="F4873" s="1"/>
      <c r="G4873" s="1"/>
      <c r="H4873" s="1"/>
      <c r="I4873" s="1"/>
      <c r="J4873" s="1"/>
      <c r="K4873" s="89" t="s">
        <v>7661</v>
      </c>
      <c r="L4873" s="89" t="str">
        <f>H179</f>
        <v>C2a1a1b1</v>
      </c>
      <c r="M4873" s="89" t="s">
        <v>7662</v>
      </c>
      <c r="N4873" s="89" t="s">
        <v>7658</v>
      </c>
      <c r="O4873" s="92">
        <v>1.7533118E7</v>
      </c>
      <c r="P4873" s="92">
        <v>1.5421238E7</v>
      </c>
      <c r="Q4873" s="89" t="s">
        <v>822</v>
      </c>
      <c r="AF4873" s="1"/>
      <c r="AG4873" s="1"/>
    </row>
    <row r="4874" ht="15.75" customHeight="1">
      <c r="A4874" s="1"/>
      <c r="B4874" s="1"/>
      <c r="C4874" s="1"/>
      <c r="D4874" s="1"/>
      <c r="E4874" s="1"/>
      <c r="F4874" s="1"/>
      <c r="G4874" s="1"/>
      <c r="H4874" s="1"/>
      <c r="I4874" s="1"/>
      <c r="J4874" s="1"/>
      <c r="K4874" s="89" t="s">
        <v>7663</v>
      </c>
      <c r="L4874" s="89" t="str">
        <f>H179</f>
        <v>C2a1a1b1</v>
      </c>
      <c r="M4874" s="89" t="s">
        <v>7664</v>
      </c>
      <c r="N4874" s="89" t="s">
        <v>7665</v>
      </c>
      <c r="O4874" s="92">
        <v>1.7557999E7</v>
      </c>
      <c r="P4874" s="92">
        <v>1.5446119E7</v>
      </c>
      <c r="Q4874" s="89" t="s">
        <v>822</v>
      </c>
      <c r="AF4874" s="1"/>
      <c r="AG4874" s="1"/>
    </row>
    <row r="4875" ht="15.75" customHeight="1">
      <c r="A4875" s="1"/>
      <c r="B4875" s="1"/>
      <c r="C4875" s="1"/>
      <c r="D4875" s="1"/>
      <c r="E4875" s="1"/>
      <c r="F4875" s="1"/>
      <c r="G4875" s="1"/>
      <c r="H4875" s="1"/>
      <c r="I4875" s="1"/>
      <c r="J4875" s="1"/>
      <c r="K4875" s="89" t="s">
        <v>7666</v>
      </c>
      <c r="L4875" s="89" t="str">
        <f>H179</f>
        <v>C2a1a1b1</v>
      </c>
      <c r="M4875" s="89" t="s">
        <v>7667</v>
      </c>
      <c r="N4875" s="89" t="s">
        <v>7665</v>
      </c>
      <c r="O4875" s="92">
        <v>1.7557999E7</v>
      </c>
      <c r="P4875" s="92">
        <v>1.5446119E7</v>
      </c>
      <c r="Q4875" s="89" t="s">
        <v>822</v>
      </c>
      <c r="AF4875" s="1"/>
      <c r="AG4875" s="1"/>
    </row>
    <row r="4876" ht="15.75" customHeight="1">
      <c r="A4876" s="1"/>
      <c r="B4876" s="1"/>
      <c r="C4876" s="1"/>
      <c r="D4876" s="1"/>
      <c r="E4876" s="1"/>
      <c r="F4876" s="1"/>
      <c r="G4876" s="1"/>
      <c r="H4876" s="1"/>
      <c r="I4876" s="1"/>
      <c r="J4876" s="1"/>
      <c r="K4876" s="89" t="s">
        <v>7668</v>
      </c>
      <c r="L4876" s="89" t="str">
        <f>H179</f>
        <v>C2a1a1b1</v>
      </c>
      <c r="M4876" s="89" t="s">
        <v>7669</v>
      </c>
      <c r="N4876" s="89" t="s">
        <v>7665</v>
      </c>
      <c r="O4876" s="92">
        <v>1.7557999E7</v>
      </c>
      <c r="P4876" s="92">
        <v>1.5446119E7</v>
      </c>
      <c r="Q4876" s="89" t="s">
        <v>822</v>
      </c>
      <c r="AF4876" s="1"/>
      <c r="AG4876" s="1"/>
    </row>
    <row r="4877" ht="15.75" customHeight="1">
      <c r="A4877" s="1"/>
      <c r="B4877" s="1"/>
      <c r="C4877" s="1"/>
      <c r="D4877" s="1"/>
      <c r="E4877" s="1"/>
      <c r="F4877" s="1"/>
      <c r="G4877" s="1"/>
      <c r="H4877" s="1"/>
      <c r="I4877" s="1"/>
      <c r="J4877" s="1"/>
      <c r="K4877" s="89" t="s">
        <v>7670</v>
      </c>
      <c r="L4877" s="89" t="str">
        <f>H179</f>
        <v>C2a1a1b1</v>
      </c>
      <c r="M4877" s="89" t="s">
        <v>7671</v>
      </c>
      <c r="N4877" s="89" t="s">
        <v>7672</v>
      </c>
      <c r="O4877" s="92">
        <v>1.761057E7</v>
      </c>
      <c r="P4877" s="92">
        <v>1.549869E7</v>
      </c>
      <c r="Q4877" s="89" t="s">
        <v>802</v>
      </c>
      <c r="AF4877" s="1"/>
      <c r="AG4877" s="1"/>
    </row>
    <row r="4878" ht="15.75" customHeight="1">
      <c r="A4878" s="1"/>
      <c r="B4878" s="1"/>
      <c r="C4878" s="1"/>
      <c r="D4878" s="1"/>
      <c r="E4878" s="1"/>
      <c r="F4878" s="1"/>
      <c r="G4878" s="1"/>
      <c r="H4878" s="1"/>
      <c r="I4878" s="1"/>
      <c r="J4878" s="1"/>
      <c r="K4878" s="89" t="s">
        <v>7671</v>
      </c>
      <c r="L4878" s="89" t="str">
        <f>H179</f>
        <v>C2a1a1b1</v>
      </c>
      <c r="M4878" s="89" t="s">
        <v>7670</v>
      </c>
      <c r="N4878" s="89" t="s">
        <v>7672</v>
      </c>
      <c r="O4878" s="92">
        <v>1.761057E7</v>
      </c>
      <c r="P4878" s="92">
        <v>1.549869E7</v>
      </c>
      <c r="Q4878" s="89" t="s">
        <v>802</v>
      </c>
      <c r="AF4878" s="1"/>
      <c r="AG4878" s="1"/>
    </row>
    <row r="4879" ht="15.75" customHeight="1">
      <c r="A4879" s="1"/>
      <c r="B4879" s="1"/>
      <c r="C4879" s="1"/>
      <c r="D4879" s="1"/>
      <c r="E4879" s="1"/>
      <c r="F4879" s="1"/>
      <c r="G4879" s="1"/>
      <c r="H4879" s="1"/>
      <c r="I4879" s="1"/>
      <c r="J4879" s="1"/>
      <c r="K4879" s="89" t="s">
        <v>7673</v>
      </c>
      <c r="L4879" s="89" t="str">
        <f>H179</f>
        <v>C2a1a1b1</v>
      </c>
      <c r="M4879" s="89" t="s">
        <v>7674</v>
      </c>
      <c r="N4879" s="89" t="s">
        <v>7675</v>
      </c>
      <c r="O4879" s="92">
        <v>1.889014E7</v>
      </c>
      <c r="P4879" s="92">
        <v>1.677826E7</v>
      </c>
      <c r="Q4879" s="89" t="s">
        <v>810</v>
      </c>
      <c r="AF4879" s="1"/>
      <c r="AG4879" s="1"/>
    </row>
    <row r="4880" ht="15.75" customHeight="1">
      <c r="A4880" s="1"/>
      <c r="B4880" s="1"/>
      <c r="C4880" s="1"/>
      <c r="D4880" s="1"/>
      <c r="E4880" s="1"/>
      <c r="F4880" s="1"/>
      <c r="G4880" s="1"/>
      <c r="H4880" s="1"/>
      <c r="I4880" s="1"/>
      <c r="J4880" s="1"/>
      <c r="K4880" s="89" t="s">
        <v>7676</v>
      </c>
      <c r="L4880" s="89" t="str">
        <f>H179</f>
        <v>C2a1a1b1</v>
      </c>
      <c r="M4880" s="89" t="s">
        <v>7677</v>
      </c>
      <c r="N4880" s="89" t="s">
        <v>7675</v>
      </c>
      <c r="O4880" s="92">
        <v>1.889014E7</v>
      </c>
      <c r="P4880" s="92">
        <v>1.677826E7</v>
      </c>
      <c r="Q4880" s="89" t="s">
        <v>810</v>
      </c>
      <c r="AF4880" s="1"/>
      <c r="AG4880" s="1"/>
    </row>
    <row r="4881" ht="15.75" customHeight="1">
      <c r="A4881" s="1"/>
      <c r="B4881" s="1"/>
      <c r="C4881" s="1"/>
      <c r="D4881" s="1"/>
      <c r="E4881" s="1"/>
      <c r="F4881" s="1"/>
      <c r="G4881" s="1"/>
      <c r="H4881" s="1"/>
      <c r="I4881" s="1"/>
      <c r="J4881" s="1"/>
      <c r="K4881" s="89" t="s">
        <v>7678</v>
      </c>
      <c r="L4881" s="89" t="str">
        <f>H179</f>
        <v>C2a1a1b1</v>
      </c>
      <c r="M4881" s="89" t="s">
        <v>7679</v>
      </c>
      <c r="N4881" s="89" t="s">
        <v>7675</v>
      </c>
      <c r="O4881" s="92">
        <v>1.889014E7</v>
      </c>
      <c r="P4881" s="92">
        <v>1.677826E7</v>
      </c>
      <c r="Q4881" s="89" t="s">
        <v>810</v>
      </c>
      <c r="AF4881" s="1"/>
      <c r="AG4881" s="1"/>
    </row>
    <row r="4882" ht="15.75" customHeight="1">
      <c r="A4882" s="1"/>
      <c r="B4882" s="1"/>
      <c r="C4882" s="1"/>
      <c r="D4882" s="1"/>
      <c r="E4882" s="1"/>
      <c r="F4882" s="1"/>
      <c r="G4882" s="1"/>
      <c r="H4882" s="1"/>
      <c r="I4882" s="1"/>
      <c r="J4882" s="1"/>
      <c r="K4882" s="89" t="s">
        <v>7680</v>
      </c>
      <c r="L4882" s="89" t="str">
        <f>H179</f>
        <v>C2a1a1b1</v>
      </c>
      <c r="M4882" s="89" t="s">
        <v>7681</v>
      </c>
      <c r="N4882" s="89" t="s">
        <v>7682</v>
      </c>
      <c r="O4882" s="92">
        <v>1.8944063E7</v>
      </c>
      <c r="P4882" s="92">
        <v>1.6832183E7</v>
      </c>
      <c r="Q4882" s="89" t="s">
        <v>838</v>
      </c>
      <c r="AF4882" s="1"/>
      <c r="AG4882" s="1"/>
    </row>
    <row r="4883" ht="15.75" customHeight="1">
      <c r="A4883" s="1"/>
      <c r="B4883" s="1"/>
      <c r="C4883" s="1"/>
      <c r="D4883" s="1"/>
      <c r="E4883" s="1"/>
      <c r="F4883" s="1"/>
      <c r="G4883" s="1"/>
      <c r="H4883" s="1"/>
      <c r="I4883" s="1"/>
      <c r="J4883" s="1"/>
      <c r="K4883" s="89" t="s">
        <v>7681</v>
      </c>
      <c r="L4883" s="89" t="str">
        <f>H179</f>
        <v>C2a1a1b1</v>
      </c>
      <c r="M4883" s="89" t="s">
        <v>7680</v>
      </c>
      <c r="N4883" s="89" t="s">
        <v>7682</v>
      </c>
      <c r="O4883" s="92">
        <v>1.8944063E7</v>
      </c>
      <c r="P4883" s="92">
        <v>1.6832183E7</v>
      </c>
      <c r="Q4883" s="89" t="s">
        <v>838</v>
      </c>
      <c r="AF4883" s="1"/>
      <c r="AG4883" s="1"/>
    </row>
    <row r="4884" ht="15.75" customHeight="1">
      <c r="A4884" s="1"/>
      <c r="B4884" s="1"/>
      <c r="C4884" s="1"/>
      <c r="D4884" s="1"/>
      <c r="E4884" s="1"/>
      <c r="F4884" s="1"/>
      <c r="G4884" s="1"/>
      <c r="H4884" s="1"/>
      <c r="I4884" s="1"/>
      <c r="J4884" s="1"/>
      <c r="K4884" s="89" t="s">
        <v>7683</v>
      </c>
      <c r="L4884" s="89" t="str">
        <f>H179</f>
        <v>C2a1a1b1</v>
      </c>
      <c r="M4884" s="89" t="s">
        <v>7684</v>
      </c>
      <c r="N4884" s="89" t="s">
        <v>7685</v>
      </c>
      <c r="O4884" s="92">
        <v>1.9143015E7</v>
      </c>
      <c r="P4884" s="92">
        <v>1.7031135E7</v>
      </c>
      <c r="Q4884" s="89" t="s">
        <v>822</v>
      </c>
      <c r="AF4884" s="1"/>
      <c r="AG4884" s="1"/>
    </row>
    <row r="4885" ht="15.75" customHeight="1">
      <c r="A4885" s="1"/>
      <c r="B4885" s="1"/>
      <c r="C4885" s="1"/>
      <c r="D4885" s="1"/>
      <c r="E4885" s="1"/>
      <c r="F4885" s="1"/>
      <c r="G4885" s="1"/>
      <c r="H4885" s="1"/>
      <c r="I4885" s="1"/>
      <c r="J4885" s="1"/>
      <c r="K4885" s="89" t="s">
        <v>7686</v>
      </c>
      <c r="L4885" s="89" t="str">
        <f>H179</f>
        <v>C2a1a1b1</v>
      </c>
      <c r="M4885" s="89" t="s">
        <v>7687</v>
      </c>
      <c r="N4885" s="89" t="s">
        <v>7685</v>
      </c>
      <c r="O4885" s="92">
        <v>1.9143015E7</v>
      </c>
      <c r="P4885" s="92">
        <v>1.7031135E7</v>
      </c>
      <c r="Q4885" s="89" t="s">
        <v>822</v>
      </c>
      <c r="AF4885" s="1"/>
      <c r="AG4885" s="1"/>
    </row>
    <row r="4886" ht="15.75" customHeight="1">
      <c r="A4886" s="1"/>
      <c r="B4886" s="1"/>
      <c r="C4886" s="1"/>
      <c r="D4886" s="1"/>
      <c r="E4886" s="1"/>
      <c r="F4886" s="1"/>
      <c r="G4886" s="1"/>
      <c r="H4886" s="1"/>
      <c r="I4886" s="1"/>
      <c r="J4886" s="1"/>
      <c r="K4886" s="89" t="s">
        <v>7688</v>
      </c>
      <c r="L4886" s="89" t="str">
        <f>H179</f>
        <v>C2a1a1b1</v>
      </c>
      <c r="M4886" s="89" t="s">
        <v>7689</v>
      </c>
      <c r="N4886" s="89" t="s">
        <v>7685</v>
      </c>
      <c r="O4886" s="92">
        <v>1.9143015E7</v>
      </c>
      <c r="P4886" s="92">
        <v>1.7031135E7</v>
      </c>
      <c r="Q4886" s="89" t="s">
        <v>822</v>
      </c>
      <c r="AF4886" s="1"/>
      <c r="AG4886" s="1"/>
    </row>
    <row r="4887" ht="15.75" customHeight="1">
      <c r="A4887" s="1"/>
      <c r="B4887" s="1"/>
      <c r="C4887" s="1"/>
      <c r="D4887" s="1"/>
      <c r="E4887" s="1"/>
      <c r="F4887" s="1"/>
      <c r="G4887" s="1"/>
      <c r="H4887" s="1"/>
      <c r="I4887" s="1"/>
      <c r="J4887" s="1"/>
      <c r="K4887" s="89" t="s">
        <v>7690</v>
      </c>
      <c r="L4887" s="89" t="str">
        <f>H179</f>
        <v>C2a1a1b1</v>
      </c>
      <c r="M4887" s="89" t="s">
        <v>7691</v>
      </c>
      <c r="N4887" s="89" t="s">
        <v>7692</v>
      </c>
      <c r="O4887" s="92">
        <v>1.9188381E7</v>
      </c>
      <c r="P4887" s="92">
        <v>1.7076501E7</v>
      </c>
      <c r="Q4887" s="89" t="s">
        <v>831</v>
      </c>
      <c r="AF4887" s="1"/>
      <c r="AG4887" s="1"/>
    </row>
    <row r="4888" ht="15.75" customHeight="1">
      <c r="A4888" s="1"/>
      <c r="B4888" s="1"/>
      <c r="C4888" s="1"/>
      <c r="D4888" s="1"/>
      <c r="E4888" s="1"/>
      <c r="F4888" s="1"/>
      <c r="G4888" s="1"/>
      <c r="H4888" s="1"/>
      <c r="I4888" s="1"/>
      <c r="J4888" s="1"/>
      <c r="K4888" s="89" t="s">
        <v>7693</v>
      </c>
      <c r="L4888" s="89" t="str">
        <f>H179</f>
        <v>C2a1a1b1</v>
      </c>
      <c r="M4888" s="89" t="s">
        <v>7694</v>
      </c>
      <c r="N4888" s="89" t="s">
        <v>7692</v>
      </c>
      <c r="O4888" s="92">
        <v>1.9188381E7</v>
      </c>
      <c r="P4888" s="92">
        <v>1.7076501E7</v>
      </c>
      <c r="Q4888" s="89" t="s">
        <v>831</v>
      </c>
      <c r="AF4888" s="1"/>
      <c r="AG4888" s="1"/>
    </row>
    <row r="4889" ht="15.75" customHeight="1">
      <c r="A4889" s="1"/>
      <c r="B4889" s="1"/>
      <c r="C4889" s="1"/>
      <c r="D4889" s="1"/>
      <c r="E4889" s="1"/>
      <c r="F4889" s="1"/>
      <c r="G4889" s="1"/>
      <c r="H4889" s="1"/>
      <c r="I4889" s="1"/>
      <c r="J4889" s="1"/>
      <c r="K4889" s="89" t="s">
        <v>7695</v>
      </c>
      <c r="L4889" s="89" t="str">
        <f>H179</f>
        <v>C2a1a1b1</v>
      </c>
      <c r="M4889" s="89" t="s">
        <v>7696</v>
      </c>
      <c r="N4889" s="89" t="s">
        <v>7692</v>
      </c>
      <c r="O4889" s="92">
        <v>1.9188381E7</v>
      </c>
      <c r="P4889" s="92">
        <v>1.7076501E7</v>
      </c>
      <c r="Q4889" s="89" t="s">
        <v>831</v>
      </c>
      <c r="AF4889" s="1"/>
      <c r="AG4889" s="1"/>
    </row>
    <row r="4890" ht="15.75" customHeight="1">
      <c r="A4890" s="1"/>
      <c r="B4890" s="1"/>
      <c r="C4890" s="1"/>
      <c r="D4890" s="1"/>
      <c r="E4890" s="1"/>
      <c r="F4890" s="1"/>
      <c r="G4890" s="1"/>
      <c r="H4890" s="1"/>
      <c r="I4890" s="1"/>
      <c r="J4890" s="1"/>
      <c r="K4890" s="89" t="s">
        <v>7697</v>
      </c>
      <c r="L4890" s="89" t="str">
        <f>H179</f>
        <v>C2a1a1b1</v>
      </c>
      <c r="M4890" s="89" t="s">
        <v>7698</v>
      </c>
      <c r="N4890" s="89" t="s">
        <v>7699</v>
      </c>
      <c r="O4890" s="92">
        <v>1.9236092E7</v>
      </c>
      <c r="P4890" s="92">
        <v>1.7124212E7</v>
      </c>
      <c r="Q4890" s="89" t="s">
        <v>838</v>
      </c>
      <c r="AF4890" s="1"/>
      <c r="AG4890" s="1"/>
    </row>
    <row r="4891" ht="15.75" customHeight="1">
      <c r="A4891" s="1"/>
      <c r="B4891" s="1"/>
      <c r="C4891" s="1"/>
      <c r="D4891" s="1"/>
      <c r="E4891" s="1"/>
      <c r="F4891" s="1"/>
      <c r="G4891" s="1"/>
      <c r="H4891" s="1"/>
      <c r="I4891" s="1"/>
      <c r="J4891" s="1"/>
      <c r="K4891" s="89" t="s">
        <v>7700</v>
      </c>
      <c r="L4891" s="89" t="str">
        <f>H179</f>
        <v>C2a1a1b1</v>
      </c>
      <c r="M4891" s="89" t="s">
        <v>7701</v>
      </c>
      <c r="N4891" s="89" t="s">
        <v>7699</v>
      </c>
      <c r="O4891" s="92">
        <v>1.9236092E7</v>
      </c>
      <c r="P4891" s="92">
        <v>1.7124212E7</v>
      </c>
      <c r="Q4891" s="89" t="s">
        <v>838</v>
      </c>
      <c r="AF4891" s="1"/>
      <c r="AG4891" s="1"/>
    </row>
    <row r="4892" ht="15.75" customHeight="1">
      <c r="A4892" s="1"/>
      <c r="B4892" s="1"/>
      <c r="C4892" s="1"/>
      <c r="D4892" s="1"/>
      <c r="E4892" s="1"/>
      <c r="F4892" s="1"/>
      <c r="G4892" s="1"/>
      <c r="H4892" s="1"/>
      <c r="I4892" s="1"/>
      <c r="J4892" s="1"/>
      <c r="K4892" s="89" t="s">
        <v>7702</v>
      </c>
      <c r="L4892" s="89" t="str">
        <f>H179</f>
        <v>C2a1a1b1</v>
      </c>
      <c r="M4892" s="89" t="s">
        <v>7703</v>
      </c>
      <c r="N4892" s="89" t="s">
        <v>7699</v>
      </c>
      <c r="O4892" s="92">
        <v>1.9236092E7</v>
      </c>
      <c r="P4892" s="92">
        <v>1.7124212E7</v>
      </c>
      <c r="Q4892" s="89" t="s">
        <v>838</v>
      </c>
      <c r="AF4892" s="1"/>
      <c r="AG4892" s="1"/>
    </row>
    <row r="4893" ht="15.75" customHeight="1">
      <c r="A4893" s="1"/>
      <c r="B4893" s="1"/>
      <c r="C4893" s="1"/>
      <c r="D4893" s="1"/>
      <c r="E4893" s="1"/>
      <c r="F4893" s="1"/>
      <c r="G4893" s="1"/>
      <c r="H4893" s="1"/>
      <c r="I4893" s="1"/>
      <c r="J4893" s="1"/>
      <c r="K4893" s="89" t="s">
        <v>7704</v>
      </c>
      <c r="L4893" s="89" t="str">
        <f>H179</f>
        <v>C2a1a1b1</v>
      </c>
      <c r="M4893" s="89" t="s">
        <v>7705</v>
      </c>
      <c r="N4893" s="89" t="s">
        <v>7706</v>
      </c>
      <c r="O4893" s="92">
        <v>2.1256746E7</v>
      </c>
      <c r="P4893" s="92">
        <v>1.909486E7</v>
      </c>
      <c r="Q4893" s="89" t="s">
        <v>879</v>
      </c>
      <c r="AF4893" s="1"/>
      <c r="AG4893" s="1"/>
    </row>
    <row r="4894" ht="15.75" customHeight="1">
      <c r="A4894" s="1"/>
      <c r="B4894" s="1"/>
      <c r="C4894" s="1"/>
      <c r="D4894" s="1"/>
      <c r="E4894" s="1"/>
      <c r="F4894" s="1"/>
      <c r="G4894" s="1"/>
      <c r="H4894" s="1"/>
      <c r="I4894" s="1"/>
      <c r="J4894" s="1"/>
      <c r="K4894" s="89" t="s">
        <v>7705</v>
      </c>
      <c r="L4894" s="89" t="str">
        <f>H179</f>
        <v>C2a1a1b1</v>
      </c>
      <c r="M4894" s="89" t="s">
        <v>7704</v>
      </c>
      <c r="N4894" s="89" t="s">
        <v>7706</v>
      </c>
      <c r="O4894" s="92">
        <v>2.1256746E7</v>
      </c>
      <c r="P4894" s="92">
        <v>1.909486E7</v>
      </c>
      <c r="Q4894" s="89" t="s">
        <v>879</v>
      </c>
      <c r="AF4894" s="1"/>
      <c r="AG4894" s="1"/>
    </row>
    <row r="4895" ht="15.75" customHeight="1">
      <c r="A4895" s="1"/>
      <c r="B4895" s="1"/>
      <c r="C4895" s="1"/>
      <c r="D4895" s="1"/>
      <c r="E4895" s="1"/>
      <c r="F4895" s="1"/>
      <c r="G4895" s="1"/>
      <c r="H4895" s="1"/>
      <c r="I4895" s="1"/>
      <c r="J4895" s="1"/>
      <c r="K4895" s="89" t="s">
        <v>7707</v>
      </c>
      <c r="L4895" s="89" t="str">
        <f>H179</f>
        <v>C2a1a1b1</v>
      </c>
      <c r="M4895" s="89" t="s">
        <v>7708</v>
      </c>
      <c r="N4895" s="89" t="s">
        <v>7709</v>
      </c>
      <c r="O4895" s="92">
        <v>2.1260907E7</v>
      </c>
      <c r="P4895" s="92">
        <v>1.9099021E7</v>
      </c>
      <c r="Q4895" s="89" t="s">
        <v>864</v>
      </c>
      <c r="AF4895" s="1"/>
      <c r="AG4895" s="1"/>
    </row>
    <row r="4896" ht="15.75" customHeight="1">
      <c r="A4896" s="1"/>
      <c r="B4896" s="1"/>
      <c r="C4896" s="1"/>
      <c r="D4896" s="1"/>
      <c r="E4896" s="1"/>
      <c r="F4896" s="1"/>
      <c r="G4896" s="1"/>
      <c r="H4896" s="1"/>
      <c r="I4896" s="1"/>
      <c r="J4896" s="1"/>
      <c r="K4896" s="89" t="s">
        <v>7710</v>
      </c>
      <c r="L4896" s="89" t="str">
        <f>H179</f>
        <v>C2a1a1b1</v>
      </c>
      <c r="M4896" s="89" t="s">
        <v>7711</v>
      </c>
      <c r="N4896" s="89" t="s">
        <v>7709</v>
      </c>
      <c r="O4896" s="92">
        <v>2.1260907E7</v>
      </c>
      <c r="P4896" s="92">
        <v>1.9099021E7</v>
      </c>
      <c r="Q4896" s="89" t="s">
        <v>864</v>
      </c>
      <c r="AF4896" s="1"/>
      <c r="AG4896" s="1"/>
    </row>
    <row r="4897" ht="15.75" customHeight="1">
      <c r="A4897" s="1"/>
      <c r="B4897" s="1"/>
      <c r="C4897" s="1"/>
      <c r="D4897" s="1"/>
      <c r="E4897" s="1"/>
      <c r="F4897" s="1"/>
      <c r="G4897" s="1"/>
      <c r="H4897" s="1"/>
      <c r="I4897" s="1"/>
      <c r="J4897" s="1"/>
      <c r="K4897" s="89" t="s">
        <v>7712</v>
      </c>
      <c r="L4897" s="89" t="str">
        <f>H179</f>
        <v>C2a1a1b1</v>
      </c>
      <c r="M4897" s="89" t="s">
        <v>7713</v>
      </c>
      <c r="N4897" s="89" t="s">
        <v>7709</v>
      </c>
      <c r="O4897" s="92">
        <v>2.1260907E7</v>
      </c>
      <c r="P4897" s="92">
        <v>1.9099021E7</v>
      </c>
      <c r="Q4897" s="89" t="s">
        <v>864</v>
      </c>
      <c r="AF4897" s="1"/>
      <c r="AG4897" s="1"/>
    </row>
    <row r="4898" ht="15.75" customHeight="1">
      <c r="A4898" s="1"/>
      <c r="B4898" s="1"/>
      <c r="C4898" s="1"/>
      <c r="D4898" s="1"/>
      <c r="E4898" s="1"/>
      <c r="F4898" s="1"/>
      <c r="G4898" s="1"/>
      <c r="H4898" s="1"/>
      <c r="I4898" s="1"/>
      <c r="J4898" s="1"/>
      <c r="K4898" s="89" t="s">
        <v>7714</v>
      </c>
      <c r="L4898" s="89" t="str">
        <f>H179</f>
        <v>C2a1a1b1</v>
      </c>
      <c r="M4898" s="89" t="s">
        <v>7715</v>
      </c>
      <c r="N4898" s="89" t="s">
        <v>7716</v>
      </c>
      <c r="O4898" s="92">
        <v>2.1992542E7</v>
      </c>
      <c r="P4898" s="92">
        <v>1.9830656E7</v>
      </c>
      <c r="Q4898" s="89" t="s">
        <v>810</v>
      </c>
      <c r="AF4898" s="1"/>
      <c r="AG4898" s="1"/>
    </row>
    <row r="4899" ht="15.75" customHeight="1">
      <c r="A4899" s="1"/>
      <c r="B4899" s="1"/>
      <c r="C4899" s="1"/>
      <c r="D4899" s="1"/>
      <c r="E4899" s="1"/>
      <c r="F4899" s="1"/>
      <c r="G4899" s="1"/>
      <c r="H4899" s="1"/>
      <c r="I4899" s="1"/>
      <c r="J4899" s="1"/>
      <c r="K4899" s="89" t="s">
        <v>7715</v>
      </c>
      <c r="L4899" s="89" t="str">
        <f>H179</f>
        <v>C2a1a1b1</v>
      </c>
      <c r="M4899" s="89" t="s">
        <v>7714</v>
      </c>
      <c r="N4899" s="89" t="s">
        <v>7716</v>
      </c>
      <c r="O4899" s="92">
        <v>2.1992542E7</v>
      </c>
      <c r="P4899" s="92">
        <v>1.9830656E7</v>
      </c>
      <c r="Q4899" s="89" t="s">
        <v>810</v>
      </c>
      <c r="AF4899" s="1"/>
      <c r="AG4899" s="1"/>
    </row>
    <row r="4900" ht="15.75" customHeight="1">
      <c r="A4900" s="1"/>
      <c r="B4900" s="1"/>
      <c r="C4900" s="1"/>
      <c r="D4900" s="1"/>
      <c r="E4900" s="1"/>
      <c r="F4900" s="1"/>
      <c r="G4900" s="1"/>
      <c r="H4900" s="1"/>
      <c r="I4900" s="1"/>
      <c r="J4900" s="1"/>
      <c r="K4900" s="89" t="s">
        <v>7717</v>
      </c>
      <c r="L4900" s="89" t="str">
        <f>H179</f>
        <v>C2a1a1b1</v>
      </c>
      <c r="M4900" s="89" t="s">
        <v>7718</v>
      </c>
      <c r="N4900" s="89" t="s">
        <v>7719</v>
      </c>
      <c r="O4900" s="92">
        <v>2.2163757E7</v>
      </c>
      <c r="P4900" s="92">
        <v>2.0001871E7</v>
      </c>
      <c r="Q4900" s="89" t="s">
        <v>879</v>
      </c>
      <c r="AF4900" s="1"/>
      <c r="AG4900" s="1"/>
    </row>
    <row r="4901" ht="15.75" customHeight="1">
      <c r="A4901" s="1"/>
      <c r="B4901" s="1"/>
      <c r="C4901" s="1"/>
      <c r="D4901" s="1"/>
      <c r="E4901" s="1"/>
      <c r="F4901" s="1"/>
      <c r="G4901" s="1"/>
      <c r="H4901" s="1"/>
      <c r="I4901" s="1"/>
      <c r="J4901" s="1"/>
      <c r="K4901" s="89" t="s">
        <v>7720</v>
      </c>
      <c r="L4901" s="89" t="str">
        <f>H179</f>
        <v>C2a1a1b1</v>
      </c>
      <c r="M4901" s="89" t="s">
        <v>7721</v>
      </c>
      <c r="N4901" s="89" t="s">
        <v>7719</v>
      </c>
      <c r="O4901" s="92">
        <v>2.2163757E7</v>
      </c>
      <c r="P4901" s="92">
        <v>2.0001871E7</v>
      </c>
      <c r="Q4901" s="89" t="s">
        <v>879</v>
      </c>
      <c r="AF4901" s="1"/>
      <c r="AG4901" s="1"/>
    </row>
    <row r="4902" ht="15.75" customHeight="1">
      <c r="A4902" s="1"/>
      <c r="B4902" s="1"/>
      <c r="C4902" s="1"/>
      <c r="D4902" s="1"/>
      <c r="E4902" s="1"/>
      <c r="F4902" s="1"/>
      <c r="G4902" s="1"/>
      <c r="H4902" s="1"/>
      <c r="I4902" s="1"/>
      <c r="J4902" s="1"/>
      <c r="K4902" s="89" t="s">
        <v>7722</v>
      </c>
      <c r="L4902" s="89" t="str">
        <f>H179</f>
        <v>C2a1a1b1</v>
      </c>
      <c r="M4902" s="89" t="s">
        <v>7723</v>
      </c>
      <c r="N4902" s="89" t="s">
        <v>7719</v>
      </c>
      <c r="O4902" s="92">
        <v>2.2163757E7</v>
      </c>
      <c r="P4902" s="92">
        <v>2.0001871E7</v>
      </c>
      <c r="Q4902" s="89" t="s">
        <v>879</v>
      </c>
      <c r="AF4902" s="1"/>
      <c r="AG4902" s="1"/>
    </row>
    <row r="4903" ht="15.75" customHeight="1">
      <c r="A4903" s="1"/>
      <c r="B4903" s="1"/>
      <c r="C4903" s="1"/>
      <c r="D4903" s="1"/>
      <c r="E4903" s="1"/>
      <c r="F4903" s="1"/>
      <c r="G4903" s="1"/>
      <c r="H4903" s="1"/>
      <c r="I4903" s="1"/>
      <c r="J4903" s="1"/>
      <c r="K4903" s="89" t="s">
        <v>7724</v>
      </c>
      <c r="L4903" s="89" t="str">
        <f>H179</f>
        <v>C2a1a1b1</v>
      </c>
      <c r="M4903" s="89" t="s">
        <v>7725</v>
      </c>
      <c r="N4903" s="89" t="s">
        <v>7719</v>
      </c>
      <c r="O4903" s="92">
        <v>2.2163757E7</v>
      </c>
      <c r="P4903" s="92">
        <v>2.0001871E7</v>
      </c>
      <c r="Q4903" s="89" t="s">
        <v>879</v>
      </c>
      <c r="AF4903" s="1"/>
      <c r="AG4903" s="1"/>
    </row>
    <row r="4904" ht="15.75" customHeight="1">
      <c r="A4904" s="1"/>
      <c r="B4904" s="1"/>
      <c r="C4904" s="1"/>
      <c r="D4904" s="1"/>
      <c r="E4904" s="1"/>
      <c r="F4904" s="1"/>
      <c r="G4904" s="1"/>
      <c r="H4904" s="1"/>
      <c r="I4904" s="1"/>
      <c r="J4904" s="1"/>
      <c r="K4904" s="89" t="s">
        <v>7726</v>
      </c>
      <c r="L4904" s="89" t="str">
        <f>H179</f>
        <v>C2a1a1b1</v>
      </c>
      <c r="M4904" s="89" t="s">
        <v>7727</v>
      </c>
      <c r="N4904" s="89" t="s">
        <v>7728</v>
      </c>
      <c r="O4904" s="92">
        <v>2.2631393E7</v>
      </c>
      <c r="P4904" s="92">
        <v>2.0469507E7</v>
      </c>
      <c r="Q4904" s="89" t="s">
        <v>822</v>
      </c>
      <c r="AF4904" s="1"/>
      <c r="AG4904" s="1"/>
    </row>
    <row r="4905" ht="15.75" customHeight="1">
      <c r="A4905" s="1"/>
      <c r="B4905" s="1"/>
      <c r="C4905" s="1"/>
      <c r="D4905" s="1"/>
      <c r="E4905" s="1"/>
      <c r="F4905" s="1"/>
      <c r="G4905" s="1"/>
      <c r="H4905" s="1"/>
      <c r="I4905" s="1"/>
      <c r="J4905" s="1"/>
      <c r="K4905" s="89" t="s">
        <v>7727</v>
      </c>
      <c r="L4905" s="89" t="str">
        <f>H179</f>
        <v>C2a1a1b1</v>
      </c>
      <c r="M4905" s="89" t="s">
        <v>7726</v>
      </c>
      <c r="N4905" s="89" t="s">
        <v>7728</v>
      </c>
      <c r="O4905" s="92">
        <v>2.2631393E7</v>
      </c>
      <c r="P4905" s="92">
        <v>2.0469507E7</v>
      </c>
      <c r="Q4905" s="89" t="s">
        <v>822</v>
      </c>
      <c r="AF4905" s="1"/>
      <c r="AG4905" s="1"/>
    </row>
    <row r="4906" ht="15.75" customHeight="1">
      <c r="A4906" s="1"/>
      <c r="B4906" s="1"/>
      <c r="C4906" s="1"/>
      <c r="D4906" s="1"/>
      <c r="E4906" s="1"/>
      <c r="F4906" s="1"/>
      <c r="G4906" s="1"/>
      <c r="H4906" s="1"/>
      <c r="I4906" s="1"/>
      <c r="J4906" s="1"/>
      <c r="K4906" s="89" t="s">
        <v>7729</v>
      </c>
      <c r="L4906" s="89" t="str">
        <f>H179</f>
        <v>C2a1a1b1</v>
      </c>
      <c r="M4906" s="89" t="s">
        <v>7730</v>
      </c>
      <c r="N4906" s="89" t="s">
        <v>7731</v>
      </c>
      <c r="O4906" s="92">
        <v>2.3239861E7</v>
      </c>
      <c r="P4906" s="92">
        <v>2.1077975E7</v>
      </c>
      <c r="Q4906" s="89" t="s">
        <v>813</v>
      </c>
      <c r="AF4906" s="1"/>
      <c r="AG4906" s="1"/>
    </row>
    <row r="4907" ht="15.75" customHeight="1">
      <c r="A4907" s="1"/>
      <c r="B4907" s="1"/>
      <c r="C4907" s="1"/>
      <c r="D4907" s="1"/>
      <c r="E4907" s="1"/>
      <c r="F4907" s="1"/>
      <c r="G4907" s="1"/>
      <c r="H4907" s="1"/>
      <c r="I4907" s="1"/>
      <c r="J4907" s="1"/>
      <c r="K4907" s="89" t="s">
        <v>7730</v>
      </c>
      <c r="L4907" s="89" t="str">
        <f>H179</f>
        <v>C2a1a1b1</v>
      </c>
      <c r="M4907" s="89" t="s">
        <v>7729</v>
      </c>
      <c r="N4907" s="89" t="s">
        <v>7731</v>
      </c>
      <c r="O4907" s="92">
        <v>2.3239861E7</v>
      </c>
      <c r="P4907" s="92">
        <v>2.1077975E7</v>
      </c>
      <c r="Q4907" s="89" t="s">
        <v>813</v>
      </c>
      <c r="AF4907" s="1"/>
      <c r="AG4907" s="1"/>
    </row>
    <row r="4908" ht="15.75" customHeight="1">
      <c r="A4908" s="1"/>
      <c r="B4908" s="1"/>
      <c r="C4908" s="1"/>
      <c r="D4908" s="1"/>
      <c r="E4908" s="1"/>
      <c r="F4908" s="1"/>
      <c r="G4908" s="1"/>
      <c r="H4908" s="1"/>
      <c r="I4908" s="1"/>
      <c r="J4908" s="1"/>
      <c r="K4908" s="89" t="s">
        <v>7732</v>
      </c>
      <c r="L4908" s="89" t="str">
        <f>H179</f>
        <v>C2a1a1b1</v>
      </c>
      <c r="M4908" s="89" t="s">
        <v>7733</v>
      </c>
      <c r="N4908" s="89" t="s">
        <v>7734</v>
      </c>
      <c r="O4908" s="92">
        <v>2.3292231E7</v>
      </c>
      <c r="P4908" s="92">
        <v>2.1130345E7</v>
      </c>
      <c r="Q4908" s="89" t="s">
        <v>802</v>
      </c>
      <c r="AF4908" s="1"/>
      <c r="AG4908" s="1"/>
    </row>
    <row r="4909" ht="15.75" customHeight="1">
      <c r="A4909" s="1"/>
      <c r="B4909" s="1"/>
      <c r="C4909" s="1"/>
      <c r="D4909" s="1"/>
      <c r="E4909" s="1"/>
      <c r="F4909" s="1"/>
      <c r="G4909" s="1"/>
      <c r="H4909" s="1"/>
      <c r="I4909" s="1"/>
      <c r="J4909" s="1"/>
      <c r="K4909" s="89" t="s">
        <v>7733</v>
      </c>
      <c r="L4909" s="89" t="str">
        <f>H179</f>
        <v>C2a1a1b1</v>
      </c>
      <c r="M4909" s="89" t="s">
        <v>7732</v>
      </c>
      <c r="N4909" s="89" t="s">
        <v>7734</v>
      </c>
      <c r="O4909" s="92">
        <v>2.3292231E7</v>
      </c>
      <c r="P4909" s="92">
        <v>2.1130345E7</v>
      </c>
      <c r="Q4909" s="89" t="s">
        <v>802</v>
      </c>
      <c r="AF4909" s="1"/>
      <c r="AG4909" s="1"/>
    </row>
    <row r="4910" ht="15.75" customHeight="1">
      <c r="A4910" s="1"/>
      <c r="B4910" s="1"/>
      <c r="C4910" s="1"/>
      <c r="D4910" s="1"/>
      <c r="E4910" s="1"/>
      <c r="F4910" s="1"/>
      <c r="G4910" s="1"/>
      <c r="H4910" s="1"/>
      <c r="I4910" s="1"/>
      <c r="J4910" s="1"/>
      <c r="K4910" s="89" t="s">
        <v>7735</v>
      </c>
      <c r="L4910" s="89" t="str">
        <f>H179</f>
        <v>C2a1a1b1</v>
      </c>
      <c r="M4910" s="89" t="s">
        <v>7736</v>
      </c>
      <c r="N4910" s="89"/>
      <c r="O4910" s="92">
        <v>8287857.0</v>
      </c>
      <c r="P4910" s="92">
        <v>8419816.0</v>
      </c>
      <c r="Q4910" s="89" t="s">
        <v>822</v>
      </c>
      <c r="AF4910" s="1"/>
      <c r="AG4910" s="1"/>
    </row>
    <row r="4911" ht="15.75" customHeight="1">
      <c r="A4911" s="1"/>
      <c r="B4911" s="1"/>
      <c r="C4911" s="1"/>
      <c r="D4911" s="1"/>
      <c r="E4911" s="1"/>
      <c r="F4911" s="1"/>
      <c r="G4911" s="1"/>
      <c r="H4911" s="1"/>
      <c r="I4911" s="1"/>
      <c r="J4911" s="1"/>
      <c r="K4911" s="89" t="s">
        <v>7736</v>
      </c>
      <c r="L4911" s="89" t="str">
        <f>H179</f>
        <v>C2a1a1b1</v>
      </c>
      <c r="M4911" s="89" t="s">
        <v>7735</v>
      </c>
      <c r="N4911" s="89"/>
      <c r="O4911" s="92">
        <v>8287857.0</v>
      </c>
      <c r="P4911" s="92">
        <v>8419816.0</v>
      </c>
      <c r="Q4911" s="89" t="s">
        <v>822</v>
      </c>
      <c r="AF4911" s="1"/>
      <c r="AG4911" s="1"/>
    </row>
    <row r="4912" ht="15.75" customHeight="1">
      <c r="A4912" s="1"/>
      <c r="B4912" s="1"/>
      <c r="C4912" s="1"/>
      <c r="D4912" s="1"/>
      <c r="E4912" s="1"/>
      <c r="F4912" s="1"/>
      <c r="G4912" s="1"/>
      <c r="H4912" s="1"/>
      <c r="I4912" s="1"/>
      <c r="J4912" s="1"/>
      <c r="K4912" s="89" t="s">
        <v>7737</v>
      </c>
      <c r="L4912" s="89" t="str">
        <f>H179</f>
        <v>C2a1a1b1</v>
      </c>
      <c r="M4912" s="89" t="s">
        <v>7738</v>
      </c>
      <c r="N4912" s="89" t="s">
        <v>7739</v>
      </c>
      <c r="O4912" s="92">
        <v>1.5658426E7</v>
      </c>
      <c r="P4912" s="92">
        <v>1.3546546E7</v>
      </c>
      <c r="Q4912" s="89" t="s">
        <v>864</v>
      </c>
      <c r="AF4912" s="1"/>
      <c r="AG4912" s="1"/>
    </row>
    <row r="4913" ht="15.75" customHeight="1">
      <c r="A4913" s="1"/>
      <c r="B4913" s="1"/>
      <c r="C4913" s="1"/>
      <c r="D4913" s="1"/>
      <c r="E4913" s="1"/>
      <c r="F4913" s="1"/>
      <c r="G4913" s="1"/>
      <c r="H4913" s="1"/>
      <c r="I4913" s="1"/>
      <c r="J4913" s="1"/>
      <c r="K4913" s="89" t="s">
        <v>7738</v>
      </c>
      <c r="L4913" s="89" t="str">
        <f>H179</f>
        <v>C2a1a1b1</v>
      </c>
      <c r="M4913" s="89" t="s">
        <v>7737</v>
      </c>
      <c r="N4913" s="89" t="s">
        <v>7739</v>
      </c>
      <c r="O4913" s="92">
        <v>1.5658426E7</v>
      </c>
      <c r="P4913" s="92">
        <v>1.3546546E7</v>
      </c>
      <c r="Q4913" s="89" t="s">
        <v>864</v>
      </c>
      <c r="AF4913" s="1"/>
      <c r="AG4913" s="1"/>
    </row>
    <row r="4914" ht="15.75" customHeight="1">
      <c r="A4914" s="1"/>
      <c r="B4914" s="1"/>
      <c r="C4914" s="1"/>
      <c r="D4914" s="1"/>
      <c r="E4914" s="1"/>
      <c r="F4914" s="1"/>
      <c r="G4914" s="1"/>
      <c r="H4914" s="1"/>
      <c r="I4914" s="1"/>
      <c r="J4914" s="1"/>
      <c r="K4914" s="89" t="s">
        <v>7740</v>
      </c>
      <c r="L4914" s="89" t="str">
        <f>H179</f>
        <v>C2a1a1b1</v>
      </c>
      <c r="M4914" s="89" t="s">
        <v>7741</v>
      </c>
      <c r="N4914" s="89" t="s">
        <v>7742</v>
      </c>
      <c r="O4914" s="92">
        <v>1.8713036E7</v>
      </c>
      <c r="P4914" s="92">
        <v>1.6601156E7</v>
      </c>
      <c r="Q4914" s="89" t="s">
        <v>912</v>
      </c>
      <c r="AF4914" s="1"/>
      <c r="AG4914" s="1"/>
    </row>
    <row r="4915" ht="15.75" customHeight="1">
      <c r="A4915" s="1"/>
      <c r="B4915" s="1"/>
      <c r="C4915" s="1"/>
      <c r="D4915" s="1"/>
      <c r="E4915" s="1"/>
      <c r="F4915" s="1"/>
      <c r="G4915" s="1"/>
      <c r="H4915" s="1"/>
      <c r="I4915" s="1"/>
      <c r="J4915" s="1"/>
      <c r="K4915" s="89" t="s">
        <v>7743</v>
      </c>
      <c r="L4915" s="89" t="str">
        <f>H179</f>
        <v>C2a1a1b1</v>
      </c>
      <c r="M4915" s="89" t="s">
        <v>7744</v>
      </c>
      <c r="N4915" s="89" t="s">
        <v>7742</v>
      </c>
      <c r="O4915" s="92">
        <v>1.8713036E7</v>
      </c>
      <c r="P4915" s="92">
        <v>1.6601156E7</v>
      </c>
      <c r="Q4915" s="89" t="s">
        <v>912</v>
      </c>
      <c r="AF4915" s="1"/>
      <c r="AG4915" s="1"/>
    </row>
    <row r="4916" ht="15.75" customHeight="1">
      <c r="A4916" s="1"/>
      <c r="B4916" s="1"/>
      <c r="C4916" s="1"/>
      <c r="D4916" s="1"/>
      <c r="E4916" s="1"/>
      <c r="F4916" s="1"/>
      <c r="G4916" s="1"/>
      <c r="H4916" s="1"/>
      <c r="I4916" s="1"/>
      <c r="J4916" s="1"/>
      <c r="K4916" s="89" t="s">
        <v>7745</v>
      </c>
      <c r="L4916" s="89" t="str">
        <f>H179</f>
        <v>C2a1a1b1</v>
      </c>
      <c r="M4916" s="89" t="s">
        <v>7746</v>
      </c>
      <c r="N4916" s="89" t="s">
        <v>7742</v>
      </c>
      <c r="O4916" s="92">
        <v>1.8713036E7</v>
      </c>
      <c r="P4916" s="92">
        <v>1.6601156E7</v>
      </c>
      <c r="Q4916" s="89" t="s">
        <v>912</v>
      </c>
      <c r="AF4916" s="1"/>
      <c r="AG4916" s="1"/>
    </row>
    <row r="4917" ht="15.75" customHeight="1">
      <c r="A4917" s="1"/>
      <c r="B4917" s="1"/>
      <c r="C4917" s="1"/>
      <c r="D4917" s="1"/>
      <c r="E4917" s="1"/>
      <c r="F4917" s="1"/>
      <c r="G4917" s="1"/>
      <c r="H4917" s="1"/>
      <c r="I4917" s="1"/>
      <c r="J4917" s="1"/>
      <c r="K4917" s="89" t="s">
        <v>7747</v>
      </c>
      <c r="L4917" s="89" t="str">
        <f>H179</f>
        <v>C2a1a1b1</v>
      </c>
      <c r="M4917" s="89" t="s">
        <v>7748</v>
      </c>
      <c r="N4917" s="89" t="s">
        <v>7749</v>
      </c>
      <c r="O4917" s="92">
        <v>2.1193291E7</v>
      </c>
      <c r="P4917" s="92">
        <v>1.9031405E7</v>
      </c>
      <c r="Q4917" s="89" t="s">
        <v>822</v>
      </c>
      <c r="AF4917" s="1"/>
      <c r="AG4917" s="1"/>
    </row>
    <row r="4918" ht="15.75" customHeight="1">
      <c r="A4918" s="1"/>
      <c r="B4918" s="1"/>
      <c r="C4918" s="1"/>
      <c r="D4918" s="1"/>
      <c r="E4918" s="1"/>
      <c r="F4918" s="1"/>
      <c r="G4918" s="1"/>
      <c r="H4918" s="1"/>
      <c r="I4918" s="1"/>
      <c r="J4918" s="1"/>
      <c r="K4918" s="89" t="s">
        <v>7748</v>
      </c>
      <c r="L4918" s="89" t="str">
        <f>H179</f>
        <v>C2a1a1b1</v>
      </c>
      <c r="M4918" s="89" t="s">
        <v>7747</v>
      </c>
      <c r="N4918" s="89" t="s">
        <v>7749</v>
      </c>
      <c r="O4918" s="92">
        <v>2.1193291E7</v>
      </c>
      <c r="P4918" s="92">
        <v>1.9031405E7</v>
      </c>
      <c r="Q4918" s="89" t="s">
        <v>822</v>
      </c>
      <c r="AF4918" s="1"/>
      <c r="AG4918" s="1"/>
    </row>
    <row r="4919" ht="15.75" customHeight="1">
      <c r="A4919" s="1"/>
      <c r="B4919" s="1"/>
      <c r="C4919" s="1"/>
      <c r="D4919" s="1"/>
      <c r="E4919" s="1"/>
      <c r="F4919" s="1"/>
      <c r="G4919" s="1"/>
      <c r="H4919" s="1"/>
      <c r="I4919" s="1"/>
      <c r="J4919" s="1"/>
      <c r="K4919" s="89" t="s">
        <v>7750</v>
      </c>
      <c r="L4919" s="89" t="str">
        <f>H179</f>
        <v>C2a1a1b1</v>
      </c>
      <c r="M4919" s="89" t="s">
        <v>7751</v>
      </c>
      <c r="N4919" s="89" t="s">
        <v>7752</v>
      </c>
      <c r="O4919" s="92">
        <v>2.2031833E7</v>
      </c>
      <c r="P4919" s="92">
        <v>1.9869947E7</v>
      </c>
      <c r="Q4919" s="89" t="s">
        <v>838</v>
      </c>
      <c r="AF4919" s="1"/>
      <c r="AG4919" s="1"/>
    </row>
    <row r="4920" ht="15.75" customHeight="1">
      <c r="A4920" s="1"/>
      <c r="B4920" s="1"/>
      <c r="C4920" s="1"/>
      <c r="D4920" s="1"/>
      <c r="E4920" s="1"/>
      <c r="F4920" s="1"/>
      <c r="G4920" s="1"/>
      <c r="H4920" s="1"/>
      <c r="I4920" s="1"/>
      <c r="J4920" s="1"/>
      <c r="K4920" s="89" t="s">
        <v>7753</v>
      </c>
      <c r="L4920" s="89" t="str">
        <f>H179</f>
        <v>C2a1a1b1</v>
      </c>
      <c r="M4920" s="89" t="s">
        <v>7754</v>
      </c>
      <c r="N4920" s="89" t="s">
        <v>7752</v>
      </c>
      <c r="O4920" s="92">
        <v>2.2031833E7</v>
      </c>
      <c r="P4920" s="92">
        <v>1.9869947E7</v>
      </c>
      <c r="Q4920" s="89" t="s">
        <v>838</v>
      </c>
      <c r="AF4920" s="1"/>
      <c r="AG4920" s="1"/>
    </row>
    <row r="4921" ht="15.75" customHeight="1">
      <c r="A4921" s="1"/>
      <c r="B4921" s="1"/>
      <c r="C4921" s="1"/>
      <c r="D4921" s="1"/>
      <c r="E4921" s="1"/>
      <c r="F4921" s="1"/>
      <c r="G4921" s="1"/>
      <c r="H4921" s="1"/>
      <c r="I4921" s="1"/>
      <c r="J4921" s="1"/>
      <c r="K4921" s="89" t="s">
        <v>7755</v>
      </c>
      <c r="L4921" s="89" t="str">
        <f>H179</f>
        <v>C2a1a1b1</v>
      </c>
      <c r="M4921" s="89" t="s">
        <v>7756</v>
      </c>
      <c r="N4921" s="89" t="s">
        <v>7752</v>
      </c>
      <c r="O4921" s="92">
        <v>2.2031833E7</v>
      </c>
      <c r="P4921" s="92">
        <v>1.9869947E7</v>
      </c>
      <c r="Q4921" s="89" t="s">
        <v>838</v>
      </c>
      <c r="AF4921" s="1"/>
      <c r="AG4921" s="1"/>
    </row>
    <row r="4922" ht="15.75" customHeight="1">
      <c r="A4922" s="1"/>
      <c r="B4922" s="1"/>
      <c r="C4922" s="1"/>
      <c r="D4922" s="1"/>
      <c r="E4922" s="1"/>
      <c r="F4922" s="1"/>
      <c r="G4922" s="1"/>
      <c r="H4922" s="1"/>
      <c r="I4922" s="1"/>
      <c r="J4922" s="1"/>
      <c r="K4922" s="89" t="s">
        <v>7757</v>
      </c>
      <c r="L4922" s="89" t="str">
        <f>H179</f>
        <v>C2a1a1b1</v>
      </c>
      <c r="M4922" s="89" t="s">
        <v>7758</v>
      </c>
      <c r="N4922" s="89" t="s">
        <v>7759</v>
      </c>
      <c r="O4922" s="92">
        <v>2.2190538E7</v>
      </c>
      <c r="P4922" s="92">
        <v>2.0028652E7</v>
      </c>
      <c r="Q4922" s="89" t="s">
        <v>802</v>
      </c>
      <c r="AF4922" s="1"/>
      <c r="AG4922" s="1"/>
    </row>
    <row r="4923" ht="15.75" customHeight="1">
      <c r="A4923" s="1"/>
      <c r="B4923" s="1"/>
      <c r="C4923" s="1"/>
      <c r="D4923" s="1"/>
      <c r="E4923" s="1"/>
      <c r="F4923" s="1"/>
      <c r="G4923" s="1"/>
      <c r="H4923" s="1"/>
      <c r="I4923" s="1"/>
      <c r="J4923" s="1"/>
      <c r="K4923" s="89" t="s">
        <v>7758</v>
      </c>
      <c r="L4923" s="89" t="str">
        <f>H179</f>
        <v>C2a1a1b1</v>
      </c>
      <c r="M4923" s="89" t="s">
        <v>7757</v>
      </c>
      <c r="N4923" s="89" t="s">
        <v>7759</v>
      </c>
      <c r="O4923" s="92">
        <v>2.2190538E7</v>
      </c>
      <c r="P4923" s="92">
        <v>2.0028652E7</v>
      </c>
      <c r="Q4923" s="89" t="s">
        <v>802</v>
      </c>
      <c r="AF4923" s="1"/>
      <c r="AG4923" s="1"/>
    </row>
    <row r="4924" ht="15.75" customHeight="1">
      <c r="A4924" s="1"/>
      <c r="B4924" s="1"/>
      <c r="C4924" s="1"/>
      <c r="D4924" s="1"/>
      <c r="E4924" s="1"/>
      <c r="F4924" s="1"/>
      <c r="G4924" s="1"/>
      <c r="H4924" s="1"/>
      <c r="I4924" s="1"/>
      <c r="J4924" s="1"/>
      <c r="K4924" s="89" t="s">
        <v>7760</v>
      </c>
      <c r="L4924" s="89" t="str">
        <f>H179</f>
        <v>C2a1a1b1</v>
      </c>
      <c r="M4924" s="89"/>
      <c r="N4924" s="89" t="s">
        <v>7761</v>
      </c>
      <c r="O4924" s="92">
        <v>1.5667924E7</v>
      </c>
      <c r="P4924" s="92">
        <v>1.3556044E7</v>
      </c>
      <c r="Q4924" s="89" t="s">
        <v>912</v>
      </c>
      <c r="AF4924" s="1"/>
      <c r="AG4924" s="1"/>
    </row>
    <row r="4925" ht="15.75" customHeight="1">
      <c r="A4925" s="1"/>
      <c r="B4925" s="1"/>
      <c r="C4925" s="1"/>
      <c r="D4925" s="1"/>
      <c r="E4925" s="1"/>
      <c r="F4925" s="1"/>
      <c r="G4925" s="1"/>
      <c r="H4925" s="1"/>
      <c r="I4925" s="1"/>
      <c r="J4925" s="1"/>
      <c r="K4925" s="89" t="s">
        <v>7762</v>
      </c>
      <c r="L4925" s="89" t="str">
        <f>H179</f>
        <v>C2a1a1b1</v>
      </c>
      <c r="M4925" s="89" t="s">
        <v>7763</v>
      </c>
      <c r="N4925" s="89" t="s">
        <v>7764</v>
      </c>
      <c r="O4925" s="92">
        <v>1.9067032E7</v>
      </c>
      <c r="P4925" s="92">
        <v>1.6955152E7</v>
      </c>
      <c r="Q4925" s="89" t="s">
        <v>810</v>
      </c>
      <c r="AF4925" s="1"/>
      <c r="AG4925" s="1"/>
    </row>
    <row r="4926" ht="15.75" customHeight="1">
      <c r="A4926" s="1"/>
      <c r="B4926" s="1"/>
      <c r="C4926" s="1"/>
      <c r="D4926" s="1"/>
      <c r="E4926" s="1"/>
      <c r="F4926" s="1"/>
      <c r="G4926" s="1"/>
      <c r="H4926" s="1"/>
      <c r="I4926" s="1"/>
      <c r="J4926" s="1"/>
      <c r="K4926" s="89" t="s">
        <v>7763</v>
      </c>
      <c r="L4926" s="89" t="str">
        <f>H179</f>
        <v>C2a1a1b1</v>
      </c>
      <c r="M4926" s="89" t="s">
        <v>7762</v>
      </c>
      <c r="N4926" s="89" t="s">
        <v>7764</v>
      </c>
      <c r="O4926" s="92">
        <v>1.9067032E7</v>
      </c>
      <c r="P4926" s="92">
        <v>1.6955152E7</v>
      </c>
      <c r="Q4926" s="89" t="s">
        <v>810</v>
      </c>
      <c r="AF4926" s="1"/>
      <c r="AG4926" s="1"/>
    </row>
    <row r="4927" ht="15.75" customHeight="1">
      <c r="A4927" s="1"/>
      <c r="B4927" s="1"/>
      <c r="C4927" s="1"/>
      <c r="D4927" s="1"/>
      <c r="E4927" s="1"/>
      <c r="F4927" s="1"/>
      <c r="G4927" s="1"/>
      <c r="H4927" s="1"/>
      <c r="I4927" s="1"/>
      <c r="J4927" s="1"/>
      <c r="K4927" s="89" t="s">
        <v>7693</v>
      </c>
      <c r="L4927" s="89" t="str">
        <f>H179</f>
        <v>C2a1a1b1</v>
      </c>
      <c r="M4927" s="89" t="s">
        <v>7695</v>
      </c>
      <c r="N4927" s="89" t="s">
        <v>7692</v>
      </c>
      <c r="O4927" s="92">
        <v>1.9188381E7</v>
      </c>
      <c r="P4927" s="92">
        <v>1.7076501E7</v>
      </c>
      <c r="Q4927" s="89" t="s">
        <v>831</v>
      </c>
      <c r="AF4927" s="1"/>
      <c r="AG4927" s="1"/>
    </row>
    <row r="4928" ht="15.75" customHeight="1">
      <c r="A4928" s="1"/>
      <c r="B4928" s="1"/>
      <c r="C4928" s="1"/>
      <c r="D4928" s="1"/>
      <c r="E4928" s="1"/>
      <c r="F4928" s="1"/>
      <c r="G4928" s="1"/>
      <c r="H4928" s="1"/>
      <c r="I4928" s="1"/>
      <c r="J4928" s="1"/>
      <c r="K4928" s="89" t="s">
        <v>7695</v>
      </c>
      <c r="L4928" s="89" t="str">
        <f>H179</f>
        <v>C2a1a1b1</v>
      </c>
      <c r="M4928" s="89" t="s">
        <v>7693</v>
      </c>
      <c r="N4928" s="89" t="s">
        <v>7692</v>
      </c>
      <c r="O4928" s="92">
        <v>1.9188381E7</v>
      </c>
      <c r="P4928" s="92">
        <v>1.7076501E7</v>
      </c>
      <c r="Q4928" s="89" t="s">
        <v>831</v>
      </c>
      <c r="AF4928" s="1"/>
      <c r="AG4928" s="1"/>
    </row>
    <row r="4929" ht="15.75" customHeight="1">
      <c r="A4929" s="1"/>
      <c r="B4929" s="1"/>
      <c r="C4929" s="1"/>
      <c r="D4929" s="1"/>
      <c r="E4929" s="1"/>
      <c r="F4929" s="1"/>
      <c r="G4929" s="1"/>
      <c r="H4929" s="1"/>
      <c r="I4929" s="1"/>
      <c r="J4929" s="1"/>
      <c r="K4929" s="89" t="s">
        <v>7765</v>
      </c>
      <c r="L4929" s="89" t="str">
        <f>H179</f>
        <v>C2a1a1b1</v>
      </c>
      <c r="M4929" s="89" t="s">
        <v>7766</v>
      </c>
      <c r="N4929" s="89" t="s">
        <v>7767</v>
      </c>
      <c r="O4929" s="92">
        <v>1.7659786E7</v>
      </c>
      <c r="P4929" s="92">
        <v>1.5547906E7</v>
      </c>
      <c r="Q4929" s="89" t="s">
        <v>838</v>
      </c>
      <c r="AF4929" s="1"/>
      <c r="AG4929" s="1"/>
    </row>
    <row r="4930" ht="15.75" customHeight="1">
      <c r="A4930" s="1"/>
      <c r="B4930" s="1"/>
      <c r="C4930" s="1"/>
      <c r="D4930" s="1"/>
      <c r="E4930" s="1"/>
      <c r="F4930" s="1"/>
      <c r="G4930" s="1"/>
      <c r="H4930" s="1"/>
      <c r="I4930" s="1"/>
      <c r="J4930" s="1"/>
      <c r="K4930" s="89" t="s">
        <v>7766</v>
      </c>
      <c r="L4930" s="89" t="str">
        <f>H179</f>
        <v>C2a1a1b1</v>
      </c>
      <c r="M4930" s="89" t="s">
        <v>7765</v>
      </c>
      <c r="N4930" s="89" t="s">
        <v>7767</v>
      </c>
      <c r="O4930" s="92">
        <v>1.7659786E7</v>
      </c>
      <c r="P4930" s="92">
        <v>1.5547906E7</v>
      </c>
      <c r="Q4930" s="89" t="s">
        <v>838</v>
      </c>
      <c r="AF4930" s="1"/>
      <c r="AG4930" s="1"/>
    </row>
    <row r="4931" ht="15.75" customHeight="1">
      <c r="A4931" s="1"/>
      <c r="B4931" s="1"/>
      <c r="C4931" s="1"/>
      <c r="D4931" s="1"/>
      <c r="E4931" s="1"/>
      <c r="F4931" s="1"/>
      <c r="G4931" s="1"/>
      <c r="H4931" s="1"/>
      <c r="I4931" s="1"/>
      <c r="J4931" s="1"/>
      <c r="K4931" s="89" t="s">
        <v>7768</v>
      </c>
      <c r="L4931" s="89" t="str">
        <f>H179</f>
        <v>C2a1a1b1</v>
      </c>
      <c r="M4931" s="89" t="s">
        <v>7769</v>
      </c>
      <c r="N4931" s="89" t="s">
        <v>7770</v>
      </c>
      <c r="O4931" s="92">
        <v>2.1760973E7</v>
      </c>
      <c r="P4931" s="92">
        <v>1.9599087E7</v>
      </c>
      <c r="Q4931" s="89" t="s">
        <v>886</v>
      </c>
      <c r="AF4931" s="1"/>
      <c r="AG4931" s="1"/>
    </row>
    <row r="4932" ht="15.75" customHeight="1">
      <c r="A4932" s="1"/>
      <c r="B4932" s="1"/>
      <c r="C4932" s="1"/>
      <c r="D4932" s="1"/>
      <c r="E4932" s="1"/>
      <c r="F4932" s="1"/>
      <c r="G4932" s="1"/>
      <c r="H4932" s="1"/>
      <c r="I4932" s="1"/>
      <c r="J4932" s="1"/>
      <c r="K4932" s="89" t="s">
        <v>7769</v>
      </c>
      <c r="L4932" s="89" t="str">
        <f>H179</f>
        <v>C2a1a1b1</v>
      </c>
      <c r="M4932" s="89" t="s">
        <v>7768</v>
      </c>
      <c r="N4932" s="89" t="s">
        <v>7770</v>
      </c>
      <c r="O4932" s="92">
        <v>2.1760973E7</v>
      </c>
      <c r="P4932" s="92">
        <v>1.9599087E7</v>
      </c>
      <c r="Q4932" s="89" t="s">
        <v>886</v>
      </c>
      <c r="AF4932" s="1"/>
      <c r="AG4932" s="1"/>
    </row>
    <row r="4933" ht="15.75" customHeight="1">
      <c r="A4933" s="1"/>
      <c r="B4933" s="1"/>
      <c r="C4933" s="1"/>
      <c r="D4933" s="1"/>
      <c r="E4933" s="1"/>
      <c r="F4933" s="1"/>
      <c r="G4933" s="1"/>
      <c r="H4933" s="1"/>
      <c r="I4933" s="1"/>
      <c r="J4933" s="1"/>
      <c r="K4933" s="89" t="s">
        <v>7771</v>
      </c>
      <c r="L4933" s="89" t="str">
        <f>H179</f>
        <v>C2a1a1b1</v>
      </c>
      <c r="M4933" s="89"/>
      <c r="N4933" s="89"/>
      <c r="O4933" s="92">
        <v>1.9439624E7</v>
      </c>
      <c r="P4933" s="92">
        <v>1.7327744E7</v>
      </c>
      <c r="Q4933" s="89" t="s">
        <v>879</v>
      </c>
      <c r="AF4933" s="1"/>
      <c r="AG4933" s="1"/>
    </row>
    <row r="4934" ht="15.75" customHeight="1">
      <c r="A4934" s="1"/>
      <c r="B4934" s="1"/>
      <c r="C4934" s="1"/>
      <c r="D4934" s="1"/>
      <c r="E4934" s="1"/>
      <c r="F4934" s="1"/>
      <c r="G4934" s="1"/>
      <c r="H4934" s="1"/>
      <c r="I4934" s="1"/>
      <c r="J4934" s="1"/>
      <c r="K4934" s="89" t="s">
        <v>7772</v>
      </c>
      <c r="L4934" s="89" t="str">
        <f>H179</f>
        <v>C2a1a1b1</v>
      </c>
      <c r="M4934" s="89"/>
      <c r="N4934" s="89" t="s">
        <v>7773</v>
      </c>
      <c r="O4934" s="92">
        <v>2.1875321E7</v>
      </c>
      <c r="P4934" s="92">
        <v>1.9713435E7</v>
      </c>
      <c r="Q4934" s="89" t="s">
        <v>822</v>
      </c>
      <c r="AF4934" s="1"/>
      <c r="AG4934" s="1"/>
    </row>
    <row r="4935" ht="15.75" customHeight="1">
      <c r="A4935" s="1"/>
      <c r="B4935" s="1"/>
      <c r="C4935" s="1"/>
      <c r="D4935" s="1"/>
      <c r="E4935" s="1"/>
      <c r="F4935" s="1"/>
      <c r="G4935" s="1"/>
      <c r="H4935" s="1"/>
      <c r="I4935" s="1"/>
      <c r="J4935" s="1"/>
      <c r="K4935" s="89" t="s">
        <v>7774</v>
      </c>
      <c r="L4935" s="89" t="str">
        <f>H179</f>
        <v>C2a1a1b1</v>
      </c>
      <c r="M4935" s="89"/>
      <c r="N4935" s="89" t="s">
        <v>7775</v>
      </c>
      <c r="O4935" s="92">
        <v>2.1891112E7</v>
      </c>
      <c r="P4935" s="92">
        <v>1.9729226E7</v>
      </c>
      <c r="Q4935" s="89" t="s">
        <v>845</v>
      </c>
      <c r="AF4935" s="1"/>
      <c r="AG4935" s="1"/>
    </row>
    <row r="4936" ht="15.75" customHeight="1">
      <c r="A4936" s="1"/>
      <c r="B4936" s="1"/>
      <c r="C4936" s="1"/>
      <c r="D4936" s="1"/>
      <c r="E4936" s="1"/>
      <c r="F4936" s="1"/>
      <c r="G4936" s="1"/>
      <c r="H4936" s="1"/>
      <c r="I4936" s="1"/>
      <c r="J4936" s="1"/>
      <c r="K4936" s="89" t="s">
        <v>7776</v>
      </c>
      <c r="L4936" s="89" t="str">
        <f>H179</f>
        <v>C2a1a1b1</v>
      </c>
      <c r="M4936" s="89"/>
      <c r="N4936" s="89" t="s">
        <v>7777</v>
      </c>
      <c r="O4936" s="92">
        <v>7852612.0</v>
      </c>
      <c r="P4936" s="92">
        <v>7984571.0</v>
      </c>
      <c r="Q4936" s="89" t="s">
        <v>810</v>
      </c>
      <c r="AF4936" s="1"/>
      <c r="AG4936" s="1"/>
    </row>
    <row r="4937" ht="15.75" customHeight="1">
      <c r="A4937" s="1"/>
      <c r="B4937" s="1"/>
      <c r="C4937" s="1"/>
      <c r="D4937" s="1"/>
      <c r="E4937" s="1"/>
      <c r="F4937" s="1"/>
      <c r="G4937" s="1"/>
      <c r="H4937" s="1"/>
      <c r="I4937" s="1"/>
      <c r="J4937" s="1"/>
      <c r="K4937" s="89" t="s">
        <v>7778</v>
      </c>
      <c r="L4937" s="89" t="str">
        <f>H179</f>
        <v>C2a1a1b1</v>
      </c>
      <c r="M4937" s="89"/>
      <c r="N4937" s="89" t="s">
        <v>7779</v>
      </c>
      <c r="O4937" s="92">
        <v>1.7406793E7</v>
      </c>
      <c r="P4937" s="92">
        <v>1.5294913E7</v>
      </c>
      <c r="Q4937" s="89" t="s">
        <v>822</v>
      </c>
      <c r="AF4937" s="1"/>
      <c r="AG4937" s="1"/>
    </row>
    <row r="4938" ht="15.75" customHeight="1">
      <c r="A4938" s="1"/>
      <c r="B4938" s="1"/>
      <c r="C4938" s="1"/>
      <c r="D4938" s="1"/>
      <c r="E4938" s="1"/>
      <c r="F4938" s="1"/>
      <c r="G4938" s="1"/>
      <c r="H4938" s="1"/>
      <c r="I4938" s="1"/>
      <c r="J4938" s="1"/>
      <c r="K4938" s="89" t="s">
        <v>7780</v>
      </c>
      <c r="L4938" s="89" t="str">
        <f>H179</f>
        <v>C2a1a1b1</v>
      </c>
      <c r="M4938" s="89"/>
      <c r="N4938" s="89" t="s">
        <v>7781</v>
      </c>
      <c r="O4938" s="92">
        <v>1.721153E7</v>
      </c>
      <c r="P4938" s="92">
        <v>1.509965E7</v>
      </c>
      <c r="Q4938" s="89" t="s">
        <v>810</v>
      </c>
      <c r="AF4938" s="1"/>
      <c r="AG4938" s="1"/>
    </row>
    <row r="4939" ht="15.75" customHeight="1">
      <c r="A4939" s="1"/>
      <c r="B4939" s="1"/>
      <c r="C4939" s="1"/>
      <c r="D4939" s="1"/>
      <c r="E4939" s="1"/>
      <c r="F4939" s="1"/>
      <c r="G4939" s="1"/>
      <c r="H4939" s="1"/>
      <c r="I4939" s="1"/>
      <c r="J4939" s="1"/>
      <c r="K4939" s="89" t="s">
        <v>7782</v>
      </c>
      <c r="L4939" s="89" t="str">
        <f t="shared" ref="L4939:L4940" si="39">H179</f>
        <v>C2a1a1b1</v>
      </c>
      <c r="M4939" s="89"/>
      <c r="N4939" s="89"/>
      <c r="O4939" s="92">
        <v>2.3439045E7</v>
      </c>
      <c r="P4939" s="92">
        <v>2.1277159E7</v>
      </c>
      <c r="Q4939" s="89" t="s">
        <v>810</v>
      </c>
      <c r="AF4939" s="1"/>
      <c r="AG4939" s="1"/>
    </row>
    <row r="4940" ht="15.75" customHeight="1">
      <c r="A4940" s="1"/>
      <c r="B4940" s="1"/>
      <c r="C4940" s="1"/>
      <c r="D4940" s="1"/>
      <c r="E4940" s="1"/>
      <c r="F4940" s="1"/>
      <c r="G4940" s="1"/>
      <c r="H4940" s="1"/>
      <c r="I4940" s="1"/>
      <c r="J4940" s="1"/>
      <c r="K4940" s="89" t="s">
        <v>7783</v>
      </c>
      <c r="L4940" s="89" t="str">
        <f t="shared" si="39"/>
        <v>C2a1a1b1~</v>
      </c>
      <c r="M4940" s="89"/>
      <c r="N4940" s="89" t="s">
        <v>7781</v>
      </c>
      <c r="O4940" s="92">
        <v>1.721153E7</v>
      </c>
      <c r="P4940" s="92">
        <v>1.509965E7</v>
      </c>
      <c r="Q4940" s="89" t="s">
        <v>810</v>
      </c>
      <c r="AF4940" s="1"/>
      <c r="AG4940" s="1"/>
    </row>
    <row r="4941" ht="15.75" customHeight="1">
      <c r="A4941" s="1"/>
      <c r="B4941" s="1"/>
      <c r="C4941" s="1"/>
      <c r="D4941" s="1"/>
      <c r="E4941" s="1"/>
      <c r="F4941" s="1"/>
      <c r="G4941" s="1"/>
      <c r="H4941" s="1"/>
      <c r="I4941" s="1"/>
      <c r="J4941" s="1"/>
      <c r="K4941" s="89" t="s">
        <v>7784</v>
      </c>
      <c r="L4941" s="89" t="str">
        <f>H180</f>
        <v>C2a1a1b1~</v>
      </c>
      <c r="M4941" s="89"/>
      <c r="N4941" s="89"/>
      <c r="O4941" s="92">
        <v>2.3439045E7</v>
      </c>
      <c r="P4941" s="92">
        <v>2.1277159E7</v>
      </c>
      <c r="Q4941" s="89" t="s">
        <v>810</v>
      </c>
      <c r="AF4941" s="1"/>
      <c r="AG4941" s="1"/>
    </row>
    <row r="4942" ht="15.75" customHeight="1">
      <c r="A4942" s="1"/>
      <c r="B4942" s="1"/>
      <c r="C4942" s="1"/>
      <c r="D4942" s="1"/>
      <c r="E4942" s="1"/>
      <c r="F4942" s="1"/>
      <c r="G4942" s="1"/>
      <c r="H4942" s="1"/>
      <c r="I4942" s="1"/>
      <c r="J4942" s="1"/>
      <c r="K4942" s="89" t="s">
        <v>7785</v>
      </c>
      <c r="L4942" s="89" t="str">
        <f>H180</f>
        <v>C2a1a1b1~</v>
      </c>
      <c r="M4942" s="89"/>
      <c r="N4942" s="89"/>
      <c r="O4942" s="92">
        <v>6654601.0</v>
      </c>
      <c r="P4942" s="92">
        <v>6786560.0</v>
      </c>
      <c r="Q4942" s="89" t="s">
        <v>822</v>
      </c>
      <c r="AF4942" s="1"/>
      <c r="AG4942" s="1"/>
    </row>
    <row r="4943" ht="15.75" customHeight="1">
      <c r="A4943" s="1"/>
      <c r="B4943" s="1"/>
      <c r="C4943" s="1"/>
      <c r="D4943" s="1"/>
      <c r="E4943" s="1"/>
      <c r="F4943" s="1"/>
      <c r="G4943" s="1"/>
      <c r="H4943" s="1"/>
      <c r="I4943" s="1"/>
      <c r="J4943" s="1"/>
      <c r="K4943" s="89" t="s">
        <v>7786</v>
      </c>
      <c r="L4943" s="89" t="str">
        <f>H180</f>
        <v>C2a1a1b1~</v>
      </c>
      <c r="M4943" s="89"/>
      <c r="N4943" s="89" t="s">
        <v>7787</v>
      </c>
      <c r="O4943" s="92">
        <v>9080852.0</v>
      </c>
      <c r="P4943" s="92">
        <v>9243243.0</v>
      </c>
      <c r="Q4943" s="89" t="s">
        <v>822</v>
      </c>
      <c r="AF4943" s="1"/>
      <c r="AG4943" s="1"/>
    </row>
    <row r="4944" ht="15.75" customHeight="1">
      <c r="A4944" s="1"/>
      <c r="B4944" s="1"/>
      <c r="C4944" s="1"/>
      <c r="D4944" s="1"/>
      <c r="E4944" s="1"/>
      <c r="F4944" s="1"/>
      <c r="G4944" s="1"/>
      <c r="H4944" s="1"/>
      <c r="I4944" s="1"/>
      <c r="J4944" s="1"/>
      <c r="K4944" s="89" t="s">
        <v>7788</v>
      </c>
      <c r="L4944" s="89" t="str">
        <f>H180</f>
        <v>C2a1a1b1~</v>
      </c>
      <c r="M4944" s="89"/>
      <c r="N4944" s="89" t="s">
        <v>7789</v>
      </c>
      <c r="O4944" s="92">
        <v>1.4283555E7</v>
      </c>
      <c r="P4944" s="92">
        <v>1.2162849E7</v>
      </c>
      <c r="Q4944" s="89" t="s">
        <v>845</v>
      </c>
      <c r="AF4944" s="1"/>
      <c r="AG4944" s="1"/>
    </row>
    <row r="4945" ht="15.75" customHeight="1">
      <c r="A4945" s="1"/>
      <c r="B4945" s="1"/>
      <c r="C4945" s="1"/>
      <c r="D4945" s="1"/>
      <c r="E4945" s="1"/>
      <c r="F4945" s="1"/>
      <c r="G4945" s="1"/>
      <c r="H4945" s="1"/>
      <c r="I4945" s="1"/>
      <c r="J4945" s="1"/>
      <c r="K4945" s="89" t="s">
        <v>7790</v>
      </c>
      <c r="L4945" s="89" t="str">
        <f>H180</f>
        <v>C2a1a1b1~</v>
      </c>
      <c r="M4945" s="89"/>
      <c r="N4945" s="89" t="s">
        <v>7791</v>
      </c>
      <c r="O4945" s="92">
        <v>1.742956E7</v>
      </c>
      <c r="P4945" s="92">
        <v>1.531768E7</v>
      </c>
      <c r="Q4945" s="89" t="s">
        <v>802</v>
      </c>
      <c r="AF4945" s="1"/>
      <c r="AG4945" s="1"/>
    </row>
    <row r="4946" ht="15.75" customHeight="1">
      <c r="A4946" s="1"/>
      <c r="B4946" s="1"/>
      <c r="C4946" s="1"/>
      <c r="D4946" s="1"/>
      <c r="E4946" s="1"/>
      <c r="F4946" s="1"/>
      <c r="G4946" s="1"/>
      <c r="H4946" s="1"/>
      <c r="I4946" s="1"/>
      <c r="J4946" s="1"/>
      <c r="K4946" s="89" t="s">
        <v>7792</v>
      </c>
      <c r="L4946" s="89" t="str">
        <f>H180</f>
        <v>C2a1a1b1~</v>
      </c>
      <c r="M4946" s="89"/>
      <c r="N4946" s="89" t="s">
        <v>7793</v>
      </c>
      <c r="O4946" s="92">
        <v>1.7931211E7</v>
      </c>
      <c r="P4946" s="92">
        <v>1.5819331E7</v>
      </c>
      <c r="Q4946" s="89" t="s">
        <v>810</v>
      </c>
      <c r="AF4946" s="1"/>
      <c r="AG4946" s="1"/>
    </row>
    <row r="4947" ht="15.75" customHeight="1">
      <c r="A4947" s="1"/>
      <c r="B4947" s="1"/>
      <c r="C4947" s="1"/>
      <c r="D4947" s="1"/>
      <c r="E4947" s="1"/>
      <c r="F4947" s="1"/>
      <c r="G4947" s="1"/>
      <c r="H4947" s="1"/>
      <c r="I4947" s="1"/>
      <c r="J4947" s="1"/>
      <c r="K4947" s="89" t="s">
        <v>7794</v>
      </c>
      <c r="L4947" s="89" t="str">
        <f>H180</f>
        <v>C2a1a1b1~</v>
      </c>
      <c r="M4947" s="89"/>
      <c r="N4947" s="89"/>
      <c r="O4947" s="92">
        <v>1.862624E7</v>
      </c>
      <c r="P4947" s="92">
        <v>1.651436E7</v>
      </c>
      <c r="Q4947" s="89" t="s">
        <v>838</v>
      </c>
      <c r="AF4947" s="1"/>
      <c r="AG4947" s="1"/>
    </row>
    <row r="4948" ht="15.75" customHeight="1">
      <c r="A4948" s="1"/>
      <c r="B4948" s="1"/>
      <c r="C4948" s="1"/>
      <c r="D4948" s="1"/>
      <c r="E4948" s="1"/>
      <c r="F4948" s="1"/>
      <c r="G4948" s="1"/>
      <c r="H4948" s="1"/>
      <c r="I4948" s="1"/>
      <c r="J4948" s="1"/>
      <c r="K4948" s="89" t="s">
        <v>7795</v>
      </c>
      <c r="L4948" s="89" t="str">
        <f>H180</f>
        <v>C2a1a1b1~</v>
      </c>
      <c r="M4948" s="89"/>
      <c r="N4948" s="89" t="s">
        <v>7796</v>
      </c>
      <c r="O4948" s="92">
        <v>1.8651912E7</v>
      </c>
      <c r="P4948" s="92">
        <v>1.6540032E7</v>
      </c>
      <c r="Q4948" s="89" t="s">
        <v>802</v>
      </c>
      <c r="AF4948" s="1"/>
      <c r="AG4948" s="1"/>
    </row>
    <row r="4949" ht="15.75" customHeight="1">
      <c r="A4949" s="1"/>
      <c r="B4949" s="1"/>
      <c r="C4949" s="1"/>
      <c r="D4949" s="1"/>
      <c r="E4949" s="1"/>
      <c r="F4949" s="1"/>
      <c r="G4949" s="1"/>
      <c r="H4949" s="1"/>
      <c r="I4949" s="1"/>
      <c r="J4949" s="1"/>
      <c r="K4949" s="89" t="s">
        <v>7797</v>
      </c>
      <c r="L4949" s="89" t="str">
        <f>H180</f>
        <v>C2a1a1b1~</v>
      </c>
      <c r="M4949" s="89"/>
      <c r="N4949" s="89" t="s">
        <v>7798</v>
      </c>
      <c r="O4949" s="92">
        <v>1.9071953E7</v>
      </c>
      <c r="P4949" s="92">
        <v>1.6960073E7</v>
      </c>
      <c r="Q4949" s="89" t="s">
        <v>802</v>
      </c>
      <c r="AF4949" s="1"/>
      <c r="AG4949" s="1"/>
    </row>
    <row r="4950" ht="15.75" customHeight="1">
      <c r="A4950" s="1"/>
      <c r="B4950" s="1"/>
      <c r="C4950" s="1"/>
      <c r="D4950" s="1"/>
      <c r="E4950" s="1"/>
      <c r="F4950" s="1"/>
      <c r="G4950" s="1"/>
      <c r="H4950" s="1"/>
      <c r="I4950" s="1"/>
      <c r="J4950" s="1"/>
      <c r="K4950" s="89" t="s">
        <v>7799</v>
      </c>
      <c r="L4950" s="89" t="str">
        <f>H180</f>
        <v>C2a1a1b1~</v>
      </c>
      <c r="M4950" s="89"/>
      <c r="N4950" s="89"/>
      <c r="O4950" s="92">
        <v>2.1208641E7</v>
      </c>
      <c r="P4950" s="92">
        <v>1.9046755E7</v>
      </c>
      <c r="Q4950" s="89" t="s">
        <v>831</v>
      </c>
      <c r="AF4950" s="1"/>
      <c r="AG4950" s="1"/>
    </row>
    <row r="4951" ht="15.75" customHeight="1">
      <c r="A4951" s="1"/>
      <c r="B4951" s="1"/>
      <c r="C4951" s="1"/>
      <c r="D4951" s="1"/>
      <c r="E4951" s="1"/>
      <c r="F4951" s="1"/>
      <c r="G4951" s="1"/>
      <c r="H4951" s="1"/>
      <c r="I4951" s="1"/>
      <c r="J4951" s="1"/>
      <c r="K4951" s="89" t="s">
        <v>7800</v>
      </c>
      <c r="L4951" s="89" t="str">
        <f>H180</f>
        <v>C2a1a1b1~</v>
      </c>
      <c r="M4951" s="89"/>
      <c r="N4951" s="89" t="s">
        <v>7801</v>
      </c>
      <c r="O4951" s="92">
        <v>2.1598839E7</v>
      </c>
      <c r="P4951" s="92">
        <v>1.9436953E7</v>
      </c>
      <c r="Q4951" s="89" t="s">
        <v>810</v>
      </c>
      <c r="AF4951" s="1"/>
      <c r="AG4951" s="1"/>
    </row>
    <row r="4952" ht="15.75" customHeight="1">
      <c r="A4952" s="1"/>
      <c r="B4952" s="1"/>
      <c r="C4952" s="1"/>
      <c r="D4952" s="1"/>
      <c r="E4952" s="1"/>
      <c r="F4952" s="1"/>
      <c r="G4952" s="1"/>
      <c r="H4952" s="1"/>
      <c r="I4952" s="1"/>
      <c r="J4952" s="1"/>
      <c r="K4952" s="89" t="s">
        <v>7802</v>
      </c>
      <c r="L4952" s="89" t="str">
        <f>H180</f>
        <v>C2a1a1b1~</v>
      </c>
      <c r="M4952" s="89"/>
      <c r="N4952" s="89"/>
      <c r="O4952" s="92">
        <v>2.2113925E7</v>
      </c>
      <c r="P4952" s="92">
        <v>1.9952039E7</v>
      </c>
      <c r="Q4952" s="89" t="s">
        <v>810</v>
      </c>
      <c r="AF4952" s="1"/>
      <c r="AG4952" s="1"/>
    </row>
    <row r="4953" ht="15.75" customHeight="1">
      <c r="A4953" s="1"/>
      <c r="B4953" s="1"/>
      <c r="C4953" s="1"/>
      <c r="D4953" s="1"/>
      <c r="E4953" s="1"/>
      <c r="F4953" s="1"/>
      <c r="G4953" s="1"/>
      <c r="H4953" s="1"/>
      <c r="I4953" s="1"/>
      <c r="J4953" s="1"/>
      <c r="K4953" s="89" t="s">
        <v>7803</v>
      </c>
      <c r="L4953" s="89" t="str">
        <f>H180</f>
        <v>C2a1a1b1~</v>
      </c>
      <c r="M4953" s="89"/>
      <c r="N4953" s="89" t="s">
        <v>7804</v>
      </c>
      <c r="O4953" s="92">
        <v>2.2878613E7</v>
      </c>
      <c r="P4953" s="92">
        <v>2.0716727E7</v>
      </c>
      <c r="Q4953" s="89" t="s">
        <v>838</v>
      </c>
      <c r="AF4953" s="1"/>
      <c r="AG4953" s="1"/>
    </row>
    <row r="4954" ht="15.75" customHeight="1">
      <c r="A4954" s="1"/>
      <c r="B4954" s="1"/>
      <c r="C4954" s="1"/>
      <c r="D4954" s="1"/>
      <c r="E4954" s="1"/>
      <c r="F4954" s="1"/>
      <c r="G4954" s="1"/>
      <c r="H4954" s="1"/>
      <c r="I4954" s="1"/>
      <c r="J4954" s="1"/>
      <c r="K4954" s="89" t="s">
        <v>7805</v>
      </c>
      <c r="L4954" s="89" t="str">
        <f>H180</f>
        <v>C2a1a1b1~</v>
      </c>
      <c r="M4954" s="89"/>
      <c r="N4954" s="89"/>
      <c r="O4954" s="92">
        <v>2.3004365E7</v>
      </c>
      <c r="P4954" s="92">
        <v>2.0842479E7</v>
      </c>
      <c r="Q4954" s="89" t="s">
        <v>838</v>
      </c>
      <c r="AF4954" s="1"/>
      <c r="AG4954" s="1"/>
    </row>
    <row r="4955" ht="15.75" customHeight="1">
      <c r="A4955" s="1"/>
      <c r="B4955" s="1"/>
      <c r="C4955" s="1"/>
      <c r="D4955" s="1"/>
      <c r="E4955" s="1"/>
      <c r="F4955" s="1"/>
      <c r="G4955" s="1"/>
      <c r="H4955" s="1"/>
      <c r="I4955" s="1"/>
      <c r="J4955" s="1"/>
      <c r="K4955" s="89" t="s">
        <v>7806</v>
      </c>
      <c r="L4955" s="89" t="str">
        <f>H180</f>
        <v>C2a1a1b1~</v>
      </c>
      <c r="M4955" s="89"/>
      <c r="N4955" s="89"/>
      <c r="O4955" s="92">
        <v>2.3105677E7</v>
      </c>
      <c r="P4955" s="92">
        <v>2.0943791E7</v>
      </c>
      <c r="Q4955" s="89" t="s">
        <v>912</v>
      </c>
      <c r="AF4955" s="1"/>
      <c r="AG4955" s="1"/>
    </row>
    <row r="4956" ht="15.75" customHeight="1">
      <c r="A4956" s="1"/>
      <c r="B4956" s="1"/>
      <c r="C4956" s="1"/>
      <c r="D4956" s="1"/>
      <c r="E4956" s="1"/>
      <c r="F4956" s="1"/>
      <c r="G4956" s="1"/>
      <c r="H4956" s="1"/>
      <c r="I4956" s="1"/>
      <c r="J4956" s="1"/>
      <c r="K4956" s="89" t="s">
        <v>7807</v>
      </c>
      <c r="L4956" s="89" t="str">
        <f>I181</f>
        <v>C2a1a1b1a~</v>
      </c>
      <c r="M4956" s="89"/>
      <c r="N4956" s="89"/>
      <c r="O4956" s="92">
        <v>1.6903417E7</v>
      </c>
      <c r="P4956" s="92">
        <v>1.4791537E7</v>
      </c>
      <c r="Q4956" s="89" t="s">
        <v>810</v>
      </c>
      <c r="AF4956" s="1"/>
      <c r="AG4956" s="1"/>
    </row>
    <row r="4957" ht="15.75" customHeight="1">
      <c r="A4957" s="1"/>
      <c r="B4957" s="1"/>
      <c r="C4957" s="1"/>
      <c r="D4957" s="1"/>
      <c r="E4957" s="1"/>
      <c r="F4957" s="1"/>
      <c r="G4957" s="1"/>
      <c r="H4957" s="1"/>
      <c r="I4957" s="1"/>
      <c r="J4957" s="1"/>
      <c r="K4957" s="89" t="s">
        <v>7808</v>
      </c>
      <c r="L4957" s="89" t="str">
        <f>I181</f>
        <v>C2a1a1b1a~</v>
      </c>
      <c r="M4957" s="89"/>
      <c r="N4957" s="89"/>
      <c r="O4957" s="92">
        <v>7949214.0</v>
      </c>
      <c r="P4957" s="92">
        <v>8081173.0</v>
      </c>
      <c r="Q4957" s="89" t="s">
        <v>831</v>
      </c>
      <c r="AF4957" s="1"/>
      <c r="AG4957" s="1"/>
    </row>
    <row r="4958" ht="15.75" customHeight="1">
      <c r="A4958" s="1"/>
      <c r="B4958" s="1"/>
      <c r="C4958" s="1"/>
      <c r="D4958" s="1"/>
      <c r="E4958" s="1"/>
      <c r="F4958" s="1"/>
      <c r="G4958" s="1"/>
      <c r="H4958" s="1"/>
      <c r="I4958" s="1"/>
      <c r="J4958" s="1"/>
      <c r="K4958" s="89" t="s">
        <v>7809</v>
      </c>
      <c r="L4958" s="89" t="str">
        <f>I181</f>
        <v>C2a1a1b1a~</v>
      </c>
      <c r="M4958" s="89"/>
      <c r="N4958" s="89"/>
      <c r="O4958" s="92">
        <v>1.7879785E7</v>
      </c>
      <c r="P4958" s="92">
        <v>1.5767905E7</v>
      </c>
      <c r="Q4958" s="89" t="s">
        <v>813</v>
      </c>
      <c r="AF4958" s="1"/>
      <c r="AG4958" s="1"/>
    </row>
    <row r="4959" ht="15.75" customHeight="1">
      <c r="A4959" s="1"/>
      <c r="B4959" s="1"/>
      <c r="C4959" s="1"/>
      <c r="D4959" s="1"/>
      <c r="E4959" s="1"/>
      <c r="F4959" s="1"/>
      <c r="G4959" s="1"/>
      <c r="H4959" s="1"/>
      <c r="I4959" s="1"/>
      <c r="J4959" s="1"/>
      <c r="K4959" s="89" t="s">
        <v>7810</v>
      </c>
      <c r="L4959" s="89" t="str">
        <f>I181</f>
        <v>C2a1a1b1a~</v>
      </c>
      <c r="M4959" s="89"/>
      <c r="N4959" s="89"/>
      <c r="O4959" s="92">
        <v>1.7882541E7</v>
      </c>
      <c r="P4959" s="92">
        <v>1.5770661E7</v>
      </c>
      <c r="Q4959" s="89" t="s">
        <v>912</v>
      </c>
      <c r="AF4959" s="1"/>
      <c r="AG4959" s="1"/>
    </row>
    <row r="4960" ht="15.75" customHeight="1">
      <c r="A4960" s="1"/>
      <c r="B4960" s="1"/>
      <c r="C4960" s="1"/>
      <c r="D4960" s="1"/>
      <c r="E4960" s="1"/>
      <c r="F4960" s="1"/>
      <c r="G4960" s="1"/>
      <c r="H4960" s="1"/>
      <c r="I4960" s="1"/>
      <c r="J4960" s="1"/>
      <c r="K4960" s="89" t="s">
        <v>7811</v>
      </c>
      <c r="L4960" s="89" t="str">
        <f>I181</f>
        <v>C2a1a1b1a~</v>
      </c>
      <c r="M4960" s="89"/>
      <c r="N4960" s="89"/>
      <c r="O4960" s="92">
        <v>1.8573145E7</v>
      </c>
      <c r="P4960" s="92">
        <v>1.6461265E7</v>
      </c>
      <c r="Q4960" s="89" t="s">
        <v>864</v>
      </c>
      <c r="AF4960" s="1"/>
      <c r="AG4960" s="1"/>
    </row>
    <row r="4961" ht="15.75" customHeight="1">
      <c r="A4961" s="1"/>
      <c r="B4961" s="1"/>
      <c r="C4961" s="1"/>
      <c r="D4961" s="1"/>
      <c r="E4961" s="1"/>
      <c r="F4961" s="1"/>
      <c r="G4961" s="1"/>
      <c r="H4961" s="1"/>
      <c r="I4961" s="1"/>
      <c r="J4961" s="1"/>
      <c r="K4961" s="89" t="s">
        <v>7812</v>
      </c>
      <c r="L4961" s="89" t="str">
        <f>I181</f>
        <v>C2a1a1b1a~</v>
      </c>
      <c r="M4961" s="89"/>
      <c r="N4961" s="89"/>
      <c r="O4961" s="92">
        <v>2.1481847E7</v>
      </c>
      <c r="P4961" s="92">
        <v>1.9319961E7</v>
      </c>
      <c r="Q4961" s="89" t="s">
        <v>822</v>
      </c>
      <c r="AF4961" s="1"/>
      <c r="AG4961" s="1"/>
    </row>
    <row r="4962" ht="15.75" customHeight="1">
      <c r="A4962" s="1"/>
      <c r="B4962" s="1"/>
      <c r="C4962" s="1"/>
      <c r="D4962" s="1"/>
      <c r="E4962" s="1"/>
      <c r="F4962" s="1"/>
      <c r="G4962" s="1"/>
      <c r="H4962" s="1"/>
      <c r="I4962" s="1"/>
      <c r="J4962" s="1"/>
      <c r="K4962" s="89" t="s">
        <v>326</v>
      </c>
      <c r="L4962" s="89" t="str">
        <f>J182</f>
        <v>C2a1a1b1a1</v>
      </c>
      <c r="M4962" s="89"/>
      <c r="N4962" s="89"/>
      <c r="O4962" s="92">
        <v>8498289.0</v>
      </c>
      <c r="P4962" s="92">
        <v>8630248.0</v>
      </c>
      <c r="Q4962" s="89" t="s">
        <v>912</v>
      </c>
      <c r="AF4962" s="1"/>
      <c r="AG4962" s="1"/>
    </row>
    <row r="4963" ht="15.75" customHeight="1">
      <c r="A4963" s="1"/>
      <c r="B4963" s="1"/>
      <c r="C4963" s="1"/>
      <c r="D4963" s="1"/>
      <c r="E4963" s="1"/>
      <c r="F4963" s="1"/>
      <c r="G4963" s="1"/>
      <c r="H4963" s="1"/>
      <c r="I4963" s="1"/>
      <c r="J4963" s="1"/>
      <c r="K4963" s="89" t="s">
        <v>7813</v>
      </c>
      <c r="L4963" s="89" t="str">
        <f>K183</f>
        <v>C2a1a1b1a1a</v>
      </c>
      <c r="M4963" s="89"/>
      <c r="N4963" s="89"/>
      <c r="O4963" s="92">
        <v>7115467.0</v>
      </c>
      <c r="P4963" s="92">
        <v>7247426.0</v>
      </c>
      <c r="Q4963" s="89" t="s">
        <v>810</v>
      </c>
      <c r="AF4963" s="1"/>
      <c r="AG4963" s="1"/>
    </row>
    <row r="4964" ht="15.75" customHeight="1">
      <c r="A4964" s="1"/>
      <c r="B4964" s="1"/>
      <c r="C4964" s="1"/>
      <c r="D4964" s="1"/>
      <c r="E4964" s="1"/>
      <c r="F4964" s="1"/>
      <c r="G4964" s="1"/>
      <c r="H4964" s="1"/>
      <c r="I4964" s="1"/>
      <c r="J4964" s="1"/>
      <c r="K4964" s="89" t="s">
        <v>7814</v>
      </c>
      <c r="L4964" s="89" t="str">
        <f>K183</f>
        <v>C2a1a1b1a1a</v>
      </c>
      <c r="M4964" s="89"/>
      <c r="N4964" s="89"/>
      <c r="O4964" s="92">
        <v>8311520.0</v>
      </c>
      <c r="P4964" s="92">
        <v>8443479.0</v>
      </c>
      <c r="Q4964" s="89" t="s">
        <v>886</v>
      </c>
      <c r="AF4964" s="1"/>
      <c r="AG4964" s="1"/>
    </row>
    <row r="4965" ht="15.75" customHeight="1">
      <c r="A4965" s="1"/>
      <c r="B4965" s="1"/>
      <c r="C4965" s="1"/>
      <c r="D4965" s="1"/>
      <c r="E4965" s="1"/>
      <c r="F4965" s="1"/>
      <c r="G4965" s="1"/>
      <c r="H4965" s="1"/>
      <c r="I4965" s="1"/>
      <c r="J4965" s="1"/>
      <c r="K4965" s="89" t="s">
        <v>7815</v>
      </c>
      <c r="L4965" s="89" t="str">
        <f>K183</f>
        <v>C2a1a1b1a1a</v>
      </c>
      <c r="M4965" s="89"/>
      <c r="N4965" s="89"/>
      <c r="O4965" s="92">
        <v>8701691.0</v>
      </c>
      <c r="P4965" s="92">
        <v>8833650.0</v>
      </c>
      <c r="Q4965" s="89" t="s">
        <v>831</v>
      </c>
      <c r="AF4965" s="1"/>
      <c r="AG4965" s="1"/>
    </row>
    <row r="4966" ht="15.75" customHeight="1">
      <c r="A4966" s="1"/>
      <c r="B4966" s="1"/>
      <c r="C4966" s="1"/>
      <c r="D4966" s="1"/>
      <c r="E4966" s="1"/>
      <c r="F4966" s="1"/>
      <c r="G4966" s="1"/>
      <c r="H4966" s="1"/>
      <c r="I4966" s="1"/>
      <c r="J4966" s="1"/>
      <c r="K4966" s="89" t="s">
        <v>7816</v>
      </c>
      <c r="L4966" s="89" t="str">
        <f>K183</f>
        <v>C2a1a1b1a1a</v>
      </c>
      <c r="M4966" s="89"/>
      <c r="N4966" s="89"/>
      <c r="O4966" s="92">
        <v>9016522.0</v>
      </c>
      <c r="P4966" s="92">
        <v>9178913.0</v>
      </c>
      <c r="Q4966" s="89" t="s">
        <v>802</v>
      </c>
      <c r="AF4966" s="1"/>
      <c r="AG4966" s="1"/>
    </row>
    <row r="4967" ht="15.75" customHeight="1">
      <c r="A4967" s="1"/>
      <c r="B4967" s="1"/>
      <c r="C4967" s="1"/>
      <c r="D4967" s="1"/>
      <c r="E4967" s="1"/>
      <c r="F4967" s="1"/>
      <c r="G4967" s="1"/>
      <c r="H4967" s="1"/>
      <c r="I4967" s="1"/>
      <c r="J4967" s="1"/>
      <c r="K4967" s="89" t="s">
        <v>7817</v>
      </c>
      <c r="L4967" s="89" t="str">
        <f>K183</f>
        <v>C2a1a1b1a1a</v>
      </c>
      <c r="M4967" s="89"/>
      <c r="N4967" s="89"/>
      <c r="O4967" s="92">
        <v>1.9502094E7</v>
      </c>
      <c r="P4967" s="92">
        <v>1.7390214E7</v>
      </c>
      <c r="Q4967" s="89" t="s">
        <v>917</v>
      </c>
      <c r="AF4967" s="1"/>
      <c r="AG4967" s="1"/>
    </row>
    <row r="4968" ht="15.75" customHeight="1">
      <c r="A4968" s="1"/>
      <c r="B4968" s="1"/>
      <c r="C4968" s="1"/>
      <c r="D4968" s="1"/>
      <c r="E4968" s="1"/>
      <c r="F4968" s="1"/>
      <c r="G4968" s="1"/>
      <c r="H4968" s="1"/>
      <c r="I4968" s="1"/>
      <c r="J4968" s="1"/>
      <c r="K4968" s="89" t="s">
        <v>7818</v>
      </c>
      <c r="L4968" s="89" t="str">
        <f>K183</f>
        <v>C2a1a1b1a1a</v>
      </c>
      <c r="M4968" s="89"/>
      <c r="N4968" s="89"/>
      <c r="O4968" s="92">
        <v>2.1245693E7</v>
      </c>
      <c r="P4968" s="92">
        <v>1.9083807E7</v>
      </c>
      <c r="Q4968" s="89" t="s">
        <v>912</v>
      </c>
      <c r="AF4968" s="1"/>
      <c r="AG4968" s="1"/>
    </row>
    <row r="4969" ht="15.75" customHeight="1">
      <c r="A4969" s="1"/>
      <c r="B4969" s="1"/>
      <c r="C4969" s="1"/>
      <c r="D4969" s="1"/>
      <c r="E4969" s="1"/>
      <c r="F4969" s="1"/>
      <c r="G4969" s="1"/>
      <c r="H4969" s="1"/>
      <c r="I4969" s="1"/>
      <c r="J4969" s="1"/>
      <c r="K4969" s="89" t="s">
        <v>7819</v>
      </c>
      <c r="L4969" s="89" t="str">
        <f>K183</f>
        <v>C2a1a1b1a1a</v>
      </c>
      <c r="M4969" s="89"/>
      <c r="N4969" s="89"/>
      <c r="O4969" s="92">
        <v>2.3254299E7</v>
      </c>
      <c r="P4969" s="92">
        <v>2.1092413E7</v>
      </c>
      <c r="Q4969" s="89" t="s">
        <v>802</v>
      </c>
      <c r="AF4969" s="1"/>
      <c r="AG4969" s="1"/>
    </row>
    <row r="4970" ht="15.75" customHeight="1">
      <c r="A4970" s="1"/>
      <c r="B4970" s="1"/>
      <c r="C4970" s="1"/>
      <c r="D4970" s="1"/>
      <c r="E4970" s="1"/>
      <c r="F4970" s="1"/>
      <c r="G4970" s="1"/>
      <c r="H4970" s="1"/>
      <c r="I4970" s="1"/>
      <c r="J4970" s="1"/>
      <c r="K4970" s="89" t="s">
        <v>330</v>
      </c>
      <c r="L4970" s="89" t="str">
        <f t="shared" ref="L4970:L4971" si="40">L184</f>
        <v>C2a1a1b1a1a1</v>
      </c>
      <c r="M4970" s="89"/>
      <c r="N4970" s="89"/>
      <c r="O4970" s="92">
        <v>7989230.0</v>
      </c>
      <c r="P4970" s="92">
        <v>8121189.0</v>
      </c>
      <c r="Q4970" s="89" t="s">
        <v>813</v>
      </c>
      <c r="AF4970" s="1"/>
      <c r="AG4970" s="1"/>
    </row>
    <row r="4971" ht="15.75" customHeight="1">
      <c r="A4971" s="1"/>
      <c r="B4971" s="1"/>
      <c r="C4971" s="1"/>
      <c r="D4971" s="1"/>
      <c r="E4971" s="1"/>
      <c r="F4971" s="1"/>
      <c r="G4971" s="1"/>
      <c r="H4971" s="1"/>
      <c r="I4971" s="1"/>
      <c r="J4971" s="1"/>
      <c r="K4971" s="89" t="s">
        <v>7820</v>
      </c>
      <c r="L4971" s="89" t="str">
        <f t="shared" si="40"/>
        <v>C2a1a1b1a1a2~</v>
      </c>
      <c r="M4971" s="89"/>
      <c r="N4971" s="89"/>
      <c r="O4971" s="92">
        <v>1.5765758E7</v>
      </c>
      <c r="P4971" s="92">
        <v>1.3653878E7</v>
      </c>
      <c r="Q4971" s="89" t="s">
        <v>822</v>
      </c>
      <c r="AF4971" s="1"/>
      <c r="AG4971" s="1"/>
    </row>
    <row r="4972" ht="15.75" customHeight="1">
      <c r="A4972" s="1"/>
      <c r="B4972" s="1"/>
      <c r="C4972" s="1"/>
      <c r="D4972" s="1"/>
      <c r="E4972" s="1"/>
      <c r="F4972" s="1"/>
      <c r="G4972" s="1"/>
      <c r="H4972" s="1"/>
      <c r="I4972" s="1"/>
      <c r="J4972" s="1"/>
      <c r="K4972" s="89" t="s">
        <v>7821</v>
      </c>
      <c r="L4972" s="89" t="str">
        <f>L185</f>
        <v>C2a1a1b1a1a2~</v>
      </c>
      <c r="M4972" s="89"/>
      <c r="N4972" s="89"/>
      <c r="O4972" s="92">
        <v>1.5929967E7</v>
      </c>
      <c r="P4972" s="92">
        <v>1.3818087E7</v>
      </c>
      <c r="Q4972" s="89" t="s">
        <v>886</v>
      </c>
      <c r="AF4972" s="1"/>
      <c r="AG4972" s="1"/>
    </row>
    <row r="4973" ht="15.75" customHeight="1">
      <c r="A4973" s="1"/>
      <c r="B4973" s="1"/>
      <c r="C4973" s="1"/>
      <c r="D4973" s="1"/>
      <c r="E4973" s="1"/>
      <c r="F4973" s="1"/>
      <c r="G4973" s="1"/>
      <c r="H4973" s="1"/>
      <c r="I4973" s="1"/>
      <c r="J4973" s="1"/>
      <c r="K4973" s="89" t="s">
        <v>7822</v>
      </c>
      <c r="L4973" s="89" t="str">
        <f t="shared" ref="L4973:L4974" si="41">L185</f>
        <v>C2a1a1b1a1a2~</v>
      </c>
      <c r="M4973" s="89"/>
      <c r="N4973" s="89"/>
      <c r="O4973" s="92">
        <v>1.6788191E7</v>
      </c>
      <c r="P4973" s="92">
        <v>1.4676311E7</v>
      </c>
      <c r="Q4973" s="89" t="s">
        <v>864</v>
      </c>
      <c r="AF4973" s="1"/>
      <c r="AG4973" s="1"/>
    </row>
    <row r="4974" ht="15.75" customHeight="1">
      <c r="A4974" s="1"/>
      <c r="B4974" s="1"/>
      <c r="C4974" s="1"/>
      <c r="D4974" s="1"/>
      <c r="E4974" s="1"/>
      <c r="F4974" s="1"/>
      <c r="G4974" s="1"/>
      <c r="H4974" s="1"/>
      <c r="I4974" s="1"/>
      <c r="J4974" s="1"/>
      <c r="K4974" s="89" t="s">
        <v>7823</v>
      </c>
      <c r="L4974" s="89" t="str">
        <f t="shared" si="41"/>
        <v>C2a1a1b1a1a3~</v>
      </c>
      <c r="M4974" s="89"/>
      <c r="N4974" s="89"/>
      <c r="O4974" s="92">
        <v>8363301.0</v>
      </c>
      <c r="P4974" s="92">
        <v>8495260.0</v>
      </c>
      <c r="Q4974" s="89" t="s">
        <v>810</v>
      </c>
      <c r="AF4974" s="1"/>
      <c r="AG4974" s="1"/>
    </row>
    <row r="4975" ht="15.75" customHeight="1">
      <c r="A4975" s="1"/>
      <c r="B4975" s="1"/>
      <c r="C4975" s="1"/>
      <c r="D4975" s="1"/>
      <c r="E4975" s="1"/>
      <c r="F4975" s="1"/>
      <c r="G4975" s="1"/>
      <c r="H4975" s="1"/>
      <c r="I4975" s="1"/>
      <c r="J4975" s="1"/>
      <c r="K4975" s="89" t="s">
        <v>7824</v>
      </c>
      <c r="L4975" s="89" t="str">
        <f>L186</f>
        <v>C2a1a1b1a1a3~</v>
      </c>
      <c r="M4975" s="89"/>
      <c r="N4975" s="89"/>
      <c r="O4975" s="92">
        <v>8381365.0</v>
      </c>
      <c r="P4975" s="92">
        <v>8513324.0</v>
      </c>
      <c r="Q4975" s="89" t="s">
        <v>879</v>
      </c>
      <c r="AF4975" s="1"/>
      <c r="AG4975" s="1"/>
    </row>
    <row r="4976" ht="15.75" customHeight="1">
      <c r="A4976" s="1"/>
      <c r="B4976" s="1"/>
      <c r="C4976" s="1"/>
      <c r="D4976" s="1"/>
      <c r="E4976" s="1"/>
      <c r="F4976" s="1"/>
      <c r="G4976" s="1"/>
      <c r="H4976" s="1"/>
      <c r="I4976" s="1"/>
      <c r="J4976" s="1"/>
      <c r="K4976" s="89" t="s">
        <v>7825</v>
      </c>
      <c r="L4976" s="89" t="str">
        <f>K187</f>
        <v>C2a1a1b1a1b~</v>
      </c>
      <c r="M4976" s="89"/>
      <c r="N4976" s="89"/>
      <c r="O4976" s="92">
        <v>2733417.0</v>
      </c>
      <c r="P4976" s="92">
        <v>2865376.0</v>
      </c>
      <c r="Q4976" s="89" t="s">
        <v>802</v>
      </c>
      <c r="AF4976" s="1"/>
      <c r="AG4976" s="1"/>
    </row>
    <row r="4977" ht="15.75" customHeight="1">
      <c r="A4977" s="1"/>
      <c r="B4977" s="1"/>
      <c r="C4977" s="1"/>
      <c r="D4977" s="1"/>
      <c r="E4977" s="1"/>
      <c r="F4977" s="1"/>
      <c r="G4977" s="1"/>
      <c r="H4977" s="1"/>
      <c r="I4977" s="1"/>
      <c r="J4977" s="1"/>
      <c r="K4977" s="89" t="s">
        <v>7826</v>
      </c>
      <c r="L4977" s="89" t="str">
        <f>K187</f>
        <v>C2a1a1b1a1b~</v>
      </c>
      <c r="M4977" s="89"/>
      <c r="N4977" s="89"/>
      <c r="O4977" s="92">
        <v>1.7532238E7</v>
      </c>
      <c r="P4977" s="92">
        <v>1.5420358E7</v>
      </c>
      <c r="Q4977" s="89" t="s">
        <v>831</v>
      </c>
      <c r="AF4977" s="1"/>
      <c r="AG4977" s="1"/>
    </row>
    <row r="4978" ht="15.75" customHeight="1">
      <c r="A4978" s="1"/>
      <c r="B4978" s="1"/>
      <c r="C4978" s="1"/>
      <c r="D4978" s="1"/>
      <c r="E4978" s="1"/>
      <c r="F4978" s="1"/>
      <c r="G4978" s="1"/>
      <c r="H4978" s="1"/>
      <c r="I4978" s="1"/>
      <c r="J4978" s="1"/>
      <c r="K4978" s="89" t="s">
        <v>7827</v>
      </c>
      <c r="L4978" s="89" t="str">
        <f>K187</f>
        <v>C2a1a1b1a1b~</v>
      </c>
      <c r="M4978" s="89"/>
      <c r="N4978" s="89" t="s">
        <v>7828</v>
      </c>
      <c r="O4978" s="92">
        <v>1.8993663E7</v>
      </c>
      <c r="P4978" s="92">
        <v>1.6881783E7</v>
      </c>
      <c r="Q4978" s="89" t="s">
        <v>810</v>
      </c>
      <c r="AF4978" s="1"/>
      <c r="AG4978" s="1"/>
    </row>
    <row r="4979" ht="15.75" customHeight="1">
      <c r="A4979" s="1"/>
      <c r="B4979" s="1"/>
      <c r="C4979" s="1"/>
      <c r="D4979" s="1"/>
      <c r="E4979" s="1"/>
      <c r="F4979" s="1"/>
      <c r="G4979" s="1"/>
      <c r="H4979" s="1"/>
      <c r="I4979" s="1"/>
      <c r="J4979" s="1"/>
      <c r="K4979" s="89" t="s">
        <v>7829</v>
      </c>
      <c r="L4979" s="89" t="str">
        <f>K187</f>
        <v>C2a1a1b1a1b~</v>
      </c>
      <c r="M4979" s="89"/>
      <c r="N4979" s="89"/>
      <c r="O4979" s="92">
        <v>1.951904E7</v>
      </c>
      <c r="P4979" s="92">
        <v>1.740716E7</v>
      </c>
      <c r="Q4979" s="89" t="s">
        <v>810</v>
      </c>
      <c r="AF4979" s="1"/>
      <c r="AG4979" s="1"/>
    </row>
    <row r="4980" ht="15.75" customHeight="1">
      <c r="A4980" s="1"/>
      <c r="B4980" s="1"/>
      <c r="C4980" s="1"/>
      <c r="D4980" s="1"/>
      <c r="E4980" s="1"/>
      <c r="F4980" s="1"/>
      <c r="G4980" s="1"/>
      <c r="H4980" s="1"/>
      <c r="I4980" s="1"/>
      <c r="J4980" s="1"/>
      <c r="K4980" s="89" t="s">
        <v>7830</v>
      </c>
      <c r="L4980" s="89" t="str">
        <f>K187</f>
        <v>C2a1a1b1a1b~</v>
      </c>
      <c r="M4980" s="89"/>
      <c r="N4980" s="89"/>
      <c r="O4980" s="92">
        <v>2.1205215E7</v>
      </c>
      <c r="P4980" s="92">
        <v>1.9043329E7</v>
      </c>
      <c r="Q4980" s="89" t="s">
        <v>810</v>
      </c>
      <c r="AF4980" s="1"/>
      <c r="AG4980" s="1"/>
    </row>
    <row r="4981" ht="15.75" customHeight="1">
      <c r="A4981" s="1"/>
      <c r="B4981" s="1"/>
      <c r="C4981" s="1"/>
      <c r="D4981" s="1"/>
      <c r="E4981" s="1"/>
      <c r="F4981" s="1"/>
      <c r="G4981" s="1"/>
      <c r="H4981" s="1"/>
      <c r="I4981" s="1"/>
      <c r="J4981" s="1"/>
      <c r="K4981" s="89" t="s">
        <v>7831</v>
      </c>
      <c r="L4981" s="89" t="str">
        <f>J188</f>
        <v>C2a1a1b1a2</v>
      </c>
      <c r="M4981" s="89"/>
      <c r="N4981" s="89"/>
      <c r="O4981" s="92">
        <v>8129805.0</v>
      </c>
      <c r="P4981" s="92">
        <v>8261764.0</v>
      </c>
      <c r="Q4981" s="89" t="s">
        <v>822</v>
      </c>
      <c r="AF4981" s="1"/>
      <c r="AG4981" s="1"/>
    </row>
    <row r="4982" ht="15.75" customHeight="1">
      <c r="A4982" s="1"/>
      <c r="B4982" s="1"/>
      <c r="C4982" s="1"/>
      <c r="D4982" s="1"/>
      <c r="E4982" s="1"/>
      <c r="F4982" s="1"/>
      <c r="G4982" s="1"/>
      <c r="H4982" s="1"/>
      <c r="I4982" s="1"/>
      <c r="J4982" s="1"/>
      <c r="K4982" s="89" t="s">
        <v>7832</v>
      </c>
      <c r="L4982" s="89" t="str">
        <f>J188</f>
        <v>C2a1a1b1a2</v>
      </c>
      <c r="M4982" s="89"/>
      <c r="N4982" s="89"/>
      <c r="O4982" s="92">
        <v>1.5251172E7</v>
      </c>
      <c r="P4982" s="92">
        <v>1.3139258E7</v>
      </c>
      <c r="Q4982" s="89" t="s">
        <v>838</v>
      </c>
      <c r="AF4982" s="1"/>
      <c r="AG4982" s="1"/>
    </row>
    <row r="4983" ht="15.75" customHeight="1">
      <c r="A4983" s="1"/>
      <c r="B4983" s="1"/>
      <c r="C4983" s="1"/>
      <c r="D4983" s="1"/>
      <c r="E4983" s="1"/>
      <c r="F4983" s="1"/>
      <c r="G4983" s="1"/>
      <c r="H4983" s="1"/>
      <c r="I4983" s="1"/>
      <c r="J4983" s="1"/>
      <c r="K4983" s="89" t="s">
        <v>7833</v>
      </c>
      <c r="L4983" s="89" t="str">
        <f>J188</f>
        <v>C2a1a1b1a2</v>
      </c>
      <c r="M4983" s="89"/>
      <c r="N4983" s="89"/>
      <c r="O4983" s="92">
        <v>1.7342966E7</v>
      </c>
      <c r="P4983" s="92">
        <v>1.5231086E7</v>
      </c>
      <c r="Q4983" s="89" t="s">
        <v>810</v>
      </c>
      <c r="AF4983" s="1"/>
      <c r="AG4983" s="1"/>
    </row>
    <row r="4984" ht="15.75" customHeight="1">
      <c r="A4984" s="1"/>
      <c r="B4984" s="1"/>
      <c r="C4984" s="1"/>
      <c r="D4984" s="1"/>
      <c r="E4984" s="1"/>
      <c r="F4984" s="1"/>
      <c r="G4984" s="1"/>
      <c r="H4984" s="1"/>
      <c r="I4984" s="1"/>
      <c r="J4984" s="1"/>
      <c r="K4984" s="89" t="s">
        <v>7834</v>
      </c>
      <c r="L4984" s="89" t="str">
        <f>J188</f>
        <v>C2a1a1b1a2</v>
      </c>
      <c r="M4984" s="89"/>
      <c r="N4984" s="89"/>
      <c r="O4984" s="92">
        <v>2.1344887E7</v>
      </c>
      <c r="P4984" s="92">
        <v>1.9183001E7</v>
      </c>
      <c r="Q4984" s="89" t="s">
        <v>802</v>
      </c>
      <c r="AF4984" s="1"/>
      <c r="AG4984" s="1"/>
    </row>
    <row r="4985" ht="15.75" customHeight="1">
      <c r="A4985" s="1"/>
      <c r="B4985" s="1"/>
      <c r="C4985" s="1"/>
      <c r="D4985" s="1"/>
      <c r="E4985" s="1"/>
      <c r="F4985" s="1"/>
      <c r="G4985" s="1"/>
      <c r="H4985" s="1"/>
      <c r="I4985" s="1"/>
      <c r="J4985" s="1"/>
      <c r="K4985" s="89" t="s">
        <v>7835</v>
      </c>
      <c r="L4985" s="89" t="str">
        <f>J188</f>
        <v>C2a1a1b1a2</v>
      </c>
      <c r="M4985" s="89"/>
      <c r="N4985" s="89"/>
      <c r="O4985" s="92">
        <v>2.3196433E7</v>
      </c>
      <c r="P4985" s="92">
        <v>2.1034547E7</v>
      </c>
      <c r="Q4985" s="89" t="s">
        <v>845</v>
      </c>
      <c r="AF4985" s="1"/>
      <c r="AG4985" s="1"/>
    </row>
    <row r="4986" ht="15.75" customHeight="1">
      <c r="A4986" s="1"/>
      <c r="B4986" s="1"/>
      <c r="C4986" s="1"/>
      <c r="D4986" s="1"/>
      <c r="E4986" s="1"/>
      <c r="F4986" s="1"/>
      <c r="G4986" s="1"/>
      <c r="H4986" s="1"/>
      <c r="I4986" s="1"/>
      <c r="J4986" s="1"/>
      <c r="K4986" s="89" t="s">
        <v>7836</v>
      </c>
      <c r="L4986" s="89" t="str">
        <f>J188</f>
        <v>C2a1a1b1a2</v>
      </c>
      <c r="M4986" s="89"/>
      <c r="N4986" s="89"/>
      <c r="O4986" s="92">
        <v>2.3335169E7</v>
      </c>
      <c r="P4986" s="92">
        <v>2.1173283E7</v>
      </c>
      <c r="Q4986" s="89" t="s">
        <v>917</v>
      </c>
      <c r="AF4986" s="1"/>
      <c r="AG4986" s="1"/>
    </row>
    <row r="4987" ht="15.75" customHeight="1">
      <c r="A4987" s="1"/>
      <c r="B4987" s="1"/>
      <c r="C4987" s="1"/>
      <c r="D4987" s="1"/>
      <c r="E4987" s="1"/>
      <c r="F4987" s="1"/>
      <c r="G4987" s="1"/>
      <c r="H4987" s="1"/>
      <c r="I4987" s="1"/>
      <c r="J4987" s="1"/>
      <c r="K4987" s="89" t="s">
        <v>7837</v>
      </c>
      <c r="L4987" s="89" t="str">
        <f>K189</f>
        <v>C2a1a1b1a2a</v>
      </c>
      <c r="M4987" s="89"/>
      <c r="N4987" s="89"/>
      <c r="O4987" s="92">
        <v>2.1473656E7</v>
      </c>
      <c r="P4987" s="92">
        <v>1.931177E7</v>
      </c>
      <c r="Q4987" s="89" t="s">
        <v>810</v>
      </c>
      <c r="AF4987" s="1"/>
      <c r="AG4987" s="1"/>
    </row>
    <row r="4988" ht="15.75" customHeight="1">
      <c r="A4988" s="1"/>
      <c r="B4988" s="1"/>
      <c r="C4988" s="1"/>
      <c r="D4988" s="1"/>
      <c r="E4988" s="1"/>
      <c r="F4988" s="1"/>
      <c r="G4988" s="1"/>
      <c r="H4988" s="1"/>
      <c r="I4988" s="1"/>
      <c r="J4988" s="1"/>
      <c r="K4988" s="89" t="s">
        <v>7838</v>
      </c>
      <c r="L4988" s="89" t="str">
        <f>K189</f>
        <v>C2a1a1b1a2a</v>
      </c>
      <c r="M4988" s="89"/>
      <c r="N4988" s="89"/>
      <c r="O4988" s="92">
        <v>2.1830576E7</v>
      </c>
      <c r="P4988" s="92">
        <v>1.966869E7</v>
      </c>
      <c r="Q4988" s="89" t="s">
        <v>810</v>
      </c>
      <c r="AF4988" s="1"/>
      <c r="AG4988" s="1"/>
    </row>
    <row r="4989" ht="15.75" customHeight="1">
      <c r="A4989" s="1"/>
      <c r="B4989" s="1"/>
      <c r="C4989" s="1"/>
      <c r="D4989" s="1"/>
      <c r="E4989" s="1"/>
      <c r="F4989" s="1"/>
      <c r="G4989" s="1"/>
      <c r="H4989" s="1"/>
      <c r="I4989" s="1"/>
      <c r="J4989" s="1"/>
      <c r="K4989" s="89" t="s">
        <v>7839</v>
      </c>
      <c r="L4989" s="89" t="str">
        <f>K189</f>
        <v>C2a1a1b1a2a</v>
      </c>
      <c r="M4989" s="89"/>
      <c r="N4989" s="89" t="s">
        <v>7840</v>
      </c>
      <c r="O4989" s="92">
        <v>6938293.0</v>
      </c>
      <c r="P4989" s="92">
        <v>7070252.0</v>
      </c>
      <c r="Q4989" s="89" t="s">
        <v>810</v>
      </c>
      <c r="AF4989" s="1"/>
      <c r="AG4989" s="1"/>
    </row>
    <row r="4990" ht="15.75" customHeight="1">
      <c r="A4990" s="1"/>
      <c r="B4990" s="1"/>
      <c r="C4990" s="1"/>
      <c r="D4990" s="1"/>
      <c r="E4990" s="1"/>
      <c r="F4990" s="1"/>
      <c r="G4990" s="1"/>
      <c r="H4990" s="1"/>
      <c r="I4990" s="1"/>
      <c r="J4990" s="1"/>
      <c r="K4990" s="89" t="s">
        <v>7820</v>
      </c>
      <c r="L4990" s="89" t="str">
        <f>L190</f>
        <v>C2a1a1b1a2a1~</v>
      </c>
      <c r="M4990" s="89"/>
      <c r="N4990" s="89"/>
      <c r="O4990" s="92">
        <v>1.5765758E7</v>
      </c>
      <c r="P4990" s="92">
        <v>1.3653878E7</v>
      </c>
      <c r="Q4990" s="89" t="s">
        <v>822</v>
      </c>
      <c r="AF4990" s="1"/>
      <c r="AG4990" s="1"/>
    </row>
    <row r="4991" ht="15.75" customHeight="1">
      <c r="A4991" s="1"/>
      <c r="B4991" s="1"/>
      <c r="C4991" s="1"/>
      <c r="D4991" s="1"/>
      <c r="E4991" s="1"/>
      <c r="F4991" s="1"/>
      <c r="G4991" s="1"/>
      <c r="H4991" s="1"/>
      <c r="I4991" s="1"/>
      <c r="J4991" s="1"/>
      <c r="K4991" s="89" t="s">
        <v>7821</v>
      </c>
      <c r="L4991" s="89" t="str">
        <f>L190</f>
        <v>C2a1a1b1a2a1~</v>
      </c>
      <c r="M4991" s="89"/>
      <c r="N4991" s="89"/>
      <c r="O4991" s="92">
        <v>1.5929967E7</v>
      </c>
      <c r="P4991" s="92">
        <v>1.3818087E7</v>
      </c>
      <c r="Q4991" s="89" t="s">
        <v>886</v>
      </c>
      <c r="AF4991" s="1"/>
      <c r="AG4991" s="1"/>
    </row>
    <row r="4992" ht="15.75" customHeight="1">
      <c r="A4992" s="1"/>
      <c r="B4992" s="1"/>
      <c r="C4992" s="1"/>
      <c r="D4992" s="1"/>
      <c r="E4992" s="1"/>
      <c r="F4992" s="1"/>
      <c r="G4992" s="1"/>
      <c r="H4992" s="1"/>
      <c r="I4992" s="1"/>
      <c r="J4992" s="1"/>
      <c r="K4992" s="89" t="s">
        <v>7822</v>
      </c>
      <c r="L4992" s="89" t="str">
        <f t="shared" ref="L4992:L4993" si="42">L190</f>
        <v>C2a1a1b1a2a1~</v>
      </c>
      <c r="M4992" s="89"/>
      <c r="N4992" s="89"/>
      <c r="O4992" s="92">
        <v>1.6788191E7</v>
      </c>
      <c r="P4992" s="92">
        <v>1.4676311E7</v>
      </c>
      <c r="Q4992" s="89" t="s">
        <v>864</v>
      </c>
      <c r="AF4992" s="1"/>
      <c r="AG4992" s="1"/>
    </row>
    <row r="4993" ht="15.75" customHeight="1">
      <c r="A4993" s="1"/>
      <c r="B4993" s="1"/>
      <c r="C4993" s="1"/>
      <c r="D4993" s="1"/>
      <c r="E4993" s="1"/>
      <c r="F4993" s="1"/>
      <c r="G4993" s="1"/>
      <c r="H4993" s="1"/>
      <c r="I4993" s="1"/>
      <c r="J4993" s="1"/>
      <c r="K4993" s="89" t="s">
        <v>7823</v>
      </c>
      <c r="L4993" s="89" t="str">
        <f t="shared" si="42"/>
        <v>C2a1a1b1a2a2~</v>
      </c>
      <c r="M4993" s="89"/>
      <c r="N4993" s="89"/>
      <c r="O4993" s="92">
        <v>8363301.0</v>
      </c>
      <c r="P4993" s="92">
        <v>8495260.0</v>
      </c>
      <c r="Q4993" s="89" t="s">
        <v>810</v>
      </c>
      <c r="AF4993" s="1"/>
      <c r="AG4993" s="1"/>
    </row>
    <row r="4994" ht="15.75" customHeight="1">
      <c r="A4994" s="1"/>
      <c r="B4994" s="1"/>
      <c r="C4994" s="1"/>
      <c r="D4994" s="1"/>
      <c r="E4994" s="1"/>
      <c r="F4994" s="1"/>
      <c r="G4994" s="1"/>
      <c r="H4994" s="1"/>
      <c r="I4994" s="1"/>
      <c r="J4994" s="1"/>
      <c r="K4994" s="89" t="s">
        <v>7824</v>
      </c>
      <c r="L4994" s="89" t="str">
        <f>L191</f>
        <v>C2a1a1b1a2a2~</v>
      </c>
      <c r="M4994" s="89"/>
      <c r="N4994" s="89"/>
      <c r="O4994" s="92">
        <v>8381365.0</v>
      </c>
      <c r="P4994" s="92">
        <v>8513324.0</v>
      </c>
      <c r="Q4994" s="89" t="s">
        <v>879</v>
      </c>
      <c r="AF4994" s="1"/>
      <c r="AG4994" s="1"/>
    </row>
    <row r="4995" ht="15.75" customHeight="1">
      <c r="A4995" s="1"/>
      <c r="B4995" s="1"/>
      <c r="C4995" s="1"/>
      <c r="D4995" s="1"/>
      <c r="E4995" s="1"/>
      <c r="F4995" s="1"/>
      <c r="G4995" s="1"/>
      <c r="H4995" s="1"/>
      <c r="I4995" s="1"/>
      <c r="J4995" s="1"/>
      <c r="K4995" s="89" t="s">
        <v>7841</v>
      </c>
      <c r="L4995" s="89" t="str">
        <f>K192</f>
        <v>C2a1a1b1a2b</v>
      </c>
      <c r="M4995" s="89"/>
      <c r="N4995" s="89"/>
      <c r="O4995" s="92">
        <v>6979010.0</v>
      </c>
      <c r="P4995" s="92">
        <v>7110969.0</v>
      </c>
      <c r="Q4995" s="89" t="s">
        <v>822</v>
      </c>
      <c r="AF4995" s="1"/>
      <c r="AG4995" s="1"/>
    </row>
    <row r="4996" ht="15.75" customHeight="1">
      <c r="A4996" s="1"/>
      <c r="B4996" s="1"/>
      <c r="C4996" s="1"/>
      <c r="D4996" s="1"/>
      <c r="E4996" s="1"/>
      <c r="F4996" s="1"/>
      <c r="G4996" s="1"/>
      <c r="H4996" s="1"/>
      <c r="I4996" s="1"/>
      <c r="J4996" s="1"/>
      <c r="K4996" s="89" t="s">
        <v>7842</v>
      </c>
      <c r="L4996" s="89" t="str">
        <f>K192</f>
        <v>C2a1a1b1a2b</v>
      </c>
      <c r="M4996" s="89"/>
      <c r="N4996" s="89"/>
      <c r="O4996" s="92">
        <v>8402983.0</v>
      </c>
      <c r="P4996" s="92">
        <v>8534942.0</v>
      </c>
      <c r="Q4996" s="89" t="s">
        <v>810</v>
      </c>
      <c r="AF4996" s="1"/>
      <c r="AG4996" s="1"/>
    </row>
    <row r="4997" ht="15.75" customHeight="1">
      <c r="A4997" s="1"/>
      <c r="B4997" s="1"/>
      <c r="C4997" s="1"/>
      <c r="D4997" s="1"/>
      <c r="E4997" s="1"/>
      <c r="F4997" s="1"/>
      <c r="G4997" s="1"/>
      <c r="H4997" s="1"/>
      <c r="I4997" s="1"/>
      <c r="J4997" s="1"/>
      <c r="K4997" s="89" t="s">
        <v>7843</v>
      </c>
      <c r="L4997" s="89" t="str">
        <f>K192</f>
        <v>C2a1a1b1a2b</v>
      </c>
      <c r="M4997" s="89"/>
      <c r="N4997" s="89"/>
      <c r="O4997" s="92">
        <v>1.6421732E7</v>
      </c>
      <c r="P4997" s="92">
        <v>1.4309852E7</v>
      </c>
      <c r="Q4997" s="89" t="s">
        <v>810</v>
      </c>
      <c r="AF4997" s="1"/>
      <c r="AG4997" s="1"/>
    </row>
    <row r="4998" ht="15.75" customHeight="1">
      <c r="A4998" s="1"/>
      <c r="B4998" s="1"/>
      <c r="C4998" s="1"/>
      <c r="D4998" s="1"/>
      <c r="E4998" s="1"/>
      <c r="F4998" s="1"/>
      <c r="G4998" s="1"/>
      <c r="H4998" s="1"/>
      <c r="I4998" s="1"/>
      <c r="J4998" s="1"/>
      <c r="K4998" s="89" t="s">
        <v>7844</v>
      </c>
      <c r="L4998" s="89" t="str">
        <f>K192</f>
        <v>C2a1a1b1a2b</v>
      </c>
      <c r="M4998" s="89"/>
      <c r="N4998" s="89"/>
      <c r="O4998" s="89">
        <v>1.6544615E7</v>
      </c>
      <c r="P4998" s="89">
        <v>1.4432735E7</v>
      </c>
      <c r="Q4998" s="89" t="s">
        <v>912</v>
      </c>
      <c r="AF4998" s="1"/>
      <c r="AG4998" s="1"/>
    </row>
    <row r="4999" ht="15.75" customHeight="1">
      <c r="A4999" s="1"/>
      <c r="B4999" s="1"/>
      <c r="C4999" s="1"/>
      <c r="D4999" s="1"/>
      <c r="E4999" s="1"/>
      <c r="F4999" s="1"/>
      <c r="G4999" s="1"/>
      <c r="H4999" s="1"/>
      <c r="I4999" s="1"/>
      <c r="J4999" s="1"/>
      <c r="K4999" s="89" t="s">
        <v>7845</v>
      </c>
      <c r="L4999" s="89" t="str">
        <f>K192</f>
        <v>C2a1a1b1a2b</v>
      </c>
      <c r="M4999" s="89"/>
      <c r="N4999" s="89"/>
      <c r="O4999" s="92">
        <v>1.673099E7</v>
      </c>
      <c r="P4999" s="92">
        <v>1.461911E7</v>
      </c>
      <c r="Q4999" s="89" t="s">
        <v>912</v>
      </c>
      <c r="AF4999" s="1"/>
      <c r="AG4999" s="1"/>
    </row>
    <row r="5000" ht="15.75" customHeight="1">
      <c r="A5000" s="1"/>
      <c r="B5000" s="1"/>
      <c r="C5000" s="1"/>
      <c r="D5000" s="1"/>
      <c r="E5000" s="1"/>
      <c r="F5000" s="1"/>
      <c r="G5000" s="1"/>
      <c r="H5000" s="1"/>
      <c r="I5000" s="1"/>
      <c r="J5000" s="1"/>
      <c r="K5000" s="89" t="s">
        <v>7846</v>
      </c>
      <c r="L5000" s="89" t="str">
        <f>K192</f>
        <v>C2a1a1b1a2b</v>
      </c>
      <c r="M5000" s="89"/>
      <c r="N5000" s="89"/>
      <c r="O5000" s="92">
        <v>1.8764006E7</v>
      </c>
      <c r="P5000" s="92">
        <v>1.6652126E7</v>
      </c>
      <c r="Q5000" s="89" t="s">
        <v>838</v>
      </c>
      <c r="AF5000" s="1"/>
      <c r="AG5000" s="1"/>
    </row>
    <row r="5001" ht="15.75" customHeight="1">
      <c r="A5001" s="1"/>
      <c r="B5001" s="1"/>
      <c r="C5001" s="1"/>
      <c r="D5001" s="1"/>
      <c r="E5001" s="1"/>
      <c r="F5001" s="1"/>
      <c r="G5001" s="1"/>
      <c r="H5001" s="1"/>
      <c r="I5001" s="1"/>
      <c r="J5001" s="1"/>
      <c r="K5001" s="89" t="s">
        <v>7847</v>
      </c>
      <c r="L5001" s="89" t="str">
        <f>L193</f>
        <v>C2a1a1b1a2b1~</v>
      </c>
      <c r="M5001" s="89"/>
      <c r="N5001" s="89"/>
      <c r="O5001" s="92">
        <v>9091152.0</v>
      </c>
      <c r="P5001" s="92">
        <v>9253543.0</v>
      </c>
      <c r="Q5001" s="89" t="s">
        <v>810</v>
      </c>
      <c r="AF5001" s="1"/>
      <c r="AG5001" s="1"/>
    </row>
    <row r="5002" ht="15.75" customHeight="1">
      <c r="A5002" s="1"/>
      <c r="B5002" s="1"/>
      <c r="C5002" s="1"/>
      <c r="D5002" s="1"/>
      <c r="E5002" s="1"/>
      <c r="F5002" s="1"/>
      <c r="G5002" s="1"/>
      <c r="H5002" s="1"/>
      <c r="I5002" s="1"/>
      <c r="J5002" s="1"/>
      <c r="K5002" s="89" t="s">
        <v>7848</v>
      </c>
      <c r="L5002" s="89" t="str">
        <f>L193</f>
        <v>C2a1a1b1a2b1~</v>
      </c>
      <c r="M5002" s="89"/>
      <c r="N5002" s="89"/>
      <c r="O5002" s="92">
        <v>1.6237412E7</v>
      </c>
      <c r="P5002" s="92">
        <v>1.4125532E7</v>
      </c>
      <c r="Q5002" s="89" t="s">
        <v>838</v>
      </c>
      <c r="AF5002" s="1"/>
      <c r="AG5002" s="1"/>
    </row>
    <row r="5003" ht="15.75" customHeight="1">
      <c r="A5003" s="1"/>
      <c r="B5003" s="1"/>
      <c r="C5003" s="1"/>
      <c r="D5003" s="1"/>
      <c r="E5003" s="1"/>
      <c r="F5003" s="1"/>
      <c r="G5003" s="1"/>
      <c r="H5003" s="1"/>
      <c r="I5003" s="1"/>
      <c r="J5003" s="1"/>
      <c r="K5003" s="89" t="s">
        <v>7849</v>
      </c>
      <c r="L5003" s="89" t="str">
        <f>L193</f>
        <v>C2a1a1b1a2b1~</v>
      </c>
      <c r="M5003" s="89"/>
      <c r="N5003" s="89"/>
      <c r="O5003" s="92">
        <v>1.6522721E7</v>
      </c>
      <c r="P5003" s="92">
        <v>1.4410841E7</v>
      </c>
      <c r="Q5003" s="89" t="s">
        <v>912</v>
      </c>
      <c r="AF5003" s="1"/>
      <c r="AG5003" s="1"/>
    </row>
    <row r="5004" ht="15.75" customHeight="1">
      <c r="A5004" s="1"/>
      <c r="B5004" s="1"/>
      <c r="C5004" s="1"/>
      <c r="D5004" s="1"/>
      <c r="E5004" s="1"/>
      <c r="F5004" s="1"/>
      <c r="G5004" s="1"/>
      <c r="H5004" s="1"/>
      <c r="I5004" s="1"/>
      <c r="J5004" s="1"/>
      <c r="K5004" s="89" t="s">
        <v>7850</v>
      </c>
      <c r="L5004" s="89" t="str">
        <f>L193</f>
        <v>C2a1a1b1a2b1~</v>
      </c>
      <c r="M5004" s="89"/>
      <c r="N5004" s="89"/>
      <c r="O5004" s="92">
        <v>1.9538162E7</v>
      </c>
      <c r="P5004" s="92">
        <v>1.7426282E7</v>
      </c>
      <c r="Q5004" s="89" t="s">
        <v>802</v>
      </c>
      <c r="AF5004" s="1"/>
      <c r="AG5004" s="1"/>
    </row>
    <row r="5005" ht="15.75" customHeight="1">
      <c r="A5005" s="1"/>
      <c r="B5005" s="1"/>
      <c r="C5005" s="1"/>
      <c r="D5005" s="1"/>
      <c r="E5005" s="1"/>
      <c r="F5005" s="1"/>
      <c r="G5005" s="1"/>
      <c r="H5005" s="1"/>
      <c r="I5005" s="1"/>
      <c r="J5005" s="1"/>
      <c r="K5005" s="89" t="s">
        <v>7851</v>
      </c>
      <c r="L5005" s="89" t="str">
        <f t="shared" ref="L5005:L5006" si="43">L193</f>
        <v>C2a1a1b1a2b1~</v>
      </c>
      <c r="M5005" s="89"/>
      <c r="N5005" s="89"/>
      <c r="O5005" s="92">
        <v>2.1563835E7</v>
      </c>
      <c r="P5005" s="92">
        <v>1.9401949E7</v>
      </c>
      <c r="Q5005" s="89" t="s">
        <v>912</v>
      </c>
      <c r="AF5005" s="1"/>
      <c r="AG5005" s="1"/>
    </row>
    <row r="5006" ht="15.75" customHeight="1">
      <c r="A5006" s="1"/>
      <c r="B5006" s="1"/>
      <c r="C5006" s="1"/>
      <c r="D5006" s="1"/>
      <c r="E5006" s="1"/>
      <c r="F5006" s="1"/>
      <c r="G5006" s="1"/>
      <c r="H5006" s="1"/>
      <c r="I5006" s="1"/>
      <c r="J5006" s="1"/>
      <c r="K5006" s="89" t="s">
        <v>7852</v>
      </c>
      <c r="L5006" s="89" t="str">
        <f t="shared" si="43"/>
        <v>C2a1a1b1a2b2</v>
      </c>
      <c r="M5006" s="89"/>
      <c r="N5006" s="89"/>
      <c r="O5006" s="92">
        <v>9076082.0</v>
      </c>
      <c r="P5006" s="92">
        <v>9238473.0</v>
      </c>
      <c r="Q5006" s="89" t="s">
        <v>822</v>
      </c>
      <c r="AF5006" s="1"/>
      <c r="AG5006" s="1"/>
    </row>
    <row r="5007" ht="15.75" customHeight="1">
      <c r="A5007" s="1"/>
      <c r="B5007" s="1"/>
      <c r="C5007" s="1"/>
      <c r="D5007" s="1"/>
      <c r="E5007" s="1"/>
      <c r="F5007" s="1"/>
      <c r="G5007" s="1"/>
      <c r="H5007" s="1"/>
      <c r="I5007" s="1"/>
      <c r="J5007" s="1"/>
      <c r="K5007" s="89" t="s">
        <v>7853</v>
      </c>
      <c r="L5007" s="89" t="str">
        <f>L194</f>
        <v>C2a1a1b1a2b2</v>
      </c>
      <c r="M5007" s="89"/>
      <c r="N5007" s="89"/>
      <c r="O5007" s="92">
        <v>1.6227509E7</v>
      </c>
      <c r="P5007" s="92">
        <v>1.4115629E7</v>
      </c>
      <c r="Q5007" s="89" t="s">
        <v>864</v>
      </c>
      <c r="AF5007" s="1"/>
      <c r="AG5007" s="1"/>
    </row>
    <row r="5008" ht="15.75" customHeight="1">
      <c r="A5008" s="1"/>
      <c r="B5008" s="1"/>
      <c r="C5008" s="1"/>
      <c r="D5008" s="1"/>
      <c r="E5008" s="1"/>
      <c r="F5008" s="1"/>
      <c r="G5008" s="1"/>
      <c r="H5008" s="1"/>
      <c r="I5008" s="1"/>
      <c r="J5008" s="1"/>
      <c r="K5008" s="89" t="s">
        <v>7854</v>
      </c>
      <c r="L5008" s="89" t="str">
        <f>M195</f>
        <v>C2a1a1b1a2b2a~</v>
      </c>
      <c r="M5008" s="89"/>
      <c r="N5008" s="89"/>
      <c r="O5008" s="92">
        <v>6836053.0</v>
      </c>
      <c r="P5008" s="92">
        <v>6968012.0</v>
      </c>
      <c r="Q5008" s="89" t="s">
        <v>802</v>
      </c>
      <c r="AF5008" s="1"/>
      <c r="AG5008" s="1"/>
    </row>
    <row r="5009" ht="15.75" customHeight="1">
      <c r="A5009" s="1"/>
      <c r="B5009" s="1"/>
      <c r="C5009" s="1"/>
      <c r="D5009" s="1"/>
      <c r="E5009" s="1"/>
      <c r="F5009" s="1"/>
      <c r="G5009" s="1"/>
      <c r="H5009" s="1"/>
      <c r="I5009" s="1"/>
      <c r="J5009" s="1"/>
      <c r="K5009" s="89" t="s">
        <v>7855</v>
      </c>
      <c r="L5009" s="89" t="str">
        <f>M195</f>
        <v>C2a1a1b1a2b2a~</v>
      </c>
      <c r="M5009" s="89"/>
      <c r="N5009" s="89"/>
      <c r="O5009" s="92">
        <v>7785288.0</v>
      </c>
      <c r="P5009" s="92">
        <v>7917247.0</v>
      </c>
      <c r="Q5009" s="89" t="s">
        <v>813</v>
      </c>
      <c r="AF5009" s="1"/>
      <c r="AG5009" s="1"/>
    </row>
    <row r="5010" ht="15.75" customHeight="1">
      <c r="A5010" s="1"/>
      <c r="B5010" s="1"/>
      <c r="C5010" s="1"/>
      <c r="D5010" s="1"/>
      <c r="E5010" s="1"/>
      <c r="F5010" s="1"/>
      <c r="G5010" s="1"/>
      <c r="H5010" s="1"/>
      <c r="I5010" s="1"/>
      <c r="J5010" s="1"/>
      <c r="K5010" s="89" t="s">
        <v>7856</v>
      </c>
      <c r="L5010" s="89" t="str">
        <f>M195</f>
        <v>C2a1a1b1a2b2a~</v>
      </c>
      <c r="M5010" s="89"/>
      <c r="N5010" s="89"/>
      <c r="O5010" s="92">
        <v>1.8872425E7</v>
      </c>
      <c r="P5010" s="92">
        <v>1.6760545E7</v>
      </c>
      <c r="Q5010" s="89" t="s">
        <v>822</v>
      </c>
      <c r="AF5010" s="1"/>
      <c r="AG5010" s="1"/>
    </row>
    <row r="5011" ht="15.75" customHeight="1">
      <c r="A5011" s="1"/>
      <c r="B5011" s="1"/>
      <c r="C5011" s="1"/>
      <c r="D5011" s="1"/>
      <c r="E5011" s="1"/>
      <c r="F5011" s="1"/>
      <c r="G5011" s="1"/>
      <c r="H5011" s="1"/>
      <c r="I5011" s="1"/>
      <c r="J5011" s="1"/>
      <c r="K5011" s="89" t="s">
        <v>7857</v>
      </c>
      <c r="L5011" s="89" t="str">
        <f>M195</f>
        <v>C2a1a1b1a2b2a~</v>
      </c>
      <c r="M5011" s="89"/>
      <c r="N5011" s="89"/>
      <c r="O5011" s="92">
        <v>2.1570032E7</v>
      </c>
      <c r="P5011" s="92">
        <v>1.9408146E7</v>
      </c>
      <c r="Q5011" s="89" t="s">
        <v>864</v>
      </c>
      <c r="AF5011" s="1"/>
      <c r="AG5011" s="1"/>
    </row>
    <row r="5012" ht="15.75" customHeight="1">
      <c r="A5012" s="1"/>
      <c r="B5012" s="1"/>
      <c r="C5012" s="1"/>
      <c r="D5012" s="1"/>
      <c r="E5012" s="1"/>
      <c r="F5012" s="1"/>
      <c r="G5012" s="1"/>
      <c r="H5012" s="1"/>
      <c r="I5012" s="1"/>
      <c r="J5012" s="1"/>
      <c r="K5012" s="89" t="s">
        <v>7858</v>
      </c>
      <c r="L5012" s="89" t="str">
        <f t="shared" ref="L5012:L5013" si="44">M195</f>
        <v>C2a1a1b1a2b2a~</v>
      </c>
      <c r="M5012" s="89"/>
      <c r="N5012" s="89"/>
      <c r="O5012" s="92">
        <v>2.3185439E7</v>
      </c>
      <c r="P5012" s="92">
        <v>2.1023553E7</v>
      </c>
      <c r="Q5012" s="89" t="s">
        <v>810</v>
      </c>
      <c r="AF5012" s="1"/>
      <c r="AG5012" s="1"/>
    </row>
    <row r="5013" ht="15.75" customHeight="1">
      <c r="A5013" s="1"/>
      <c r="B5013" s="1"/>
      <c r="C5013" s="1"/>
      <c r="D5013" s="1"/>
      <c r="E5013" s="1"/>
      <c r="F5013" s="1"/>
      <c r="G5013" s="1"/>
      <c r="H5013" s="1"/>
      <c r="I5013" s="1"/>
      <c r="J5013" s="1"/>
      <c r="K5013" s="89" t="s">
        <v>7859</v>
      </c>
      <c r="L5013" s="89" t="str">
        <f t="shared" si="44"/>
        <v>C2a1a1b1a2b2b~</v>
      </c>
      <c r="M5013" s="89"/>
      <c r="N5013" s="89"/>
      <c r="O5013" s="92">
        <v>8085988.0</v>
      </c>
      <c r="P5013" s="92">
        <v>8217947.0</v>
      </c>
      <c r="Q5013" s="89" t="s">
        <v>845</v>
      </c>
      <c r="AF5013" s="1"/>
      <c r="AG5013" s="1"/>
    </row>
    <row r="5014" ht="15.75" customHeight="1">
      <c r="A5014" s="1"/>
      <c r="B5014" s="1"/>
      <c r="C5014" s="1"/>
      <c r="D5014" s="1"/>
      <c r="E5014" s="1"/>
      <c r="F5014" s="1"/>
      <c r="G5014" s="1"/>
      <c r="H5014" s="1"/>
      <c r="I5014" s="1"/>
      <c r="J5014" s="1"/>
      <c r="K5014" s="89" t="s">
        <v>7860</v>
      </c>
      <c r="L5014" s="89" t="str">
        <f>M196</f>
        <v>C2a1a1b1a2b2b~</v>
      </c>
      <c r="M5014" s="89"/>
      <c r="N5014" s="89"/>
      <c r="O5014" s="92">
        <v>8846891.0</v>
      </c>
      <c r="P5014" s="92">
        <v>8978850.0</v>
      </c>
      <c r="Q5014" s="89" t="s">
        <v>810</v>
      </c>
      <c r="AF5014" s="1"/>
      <c r="AG5014" s="1"/>
    </row>
    <row r="5015" ht="15.75" customHeight="1">
      <c r="A5015" s="1"/>
      <c r="B5015" s="1"/>
      <c r="C5015" s="1"/>
      <c r="D5015" s="1"/>
      <c r="E5015" s="1"/>
      <c r="F5015" s="1"/>
      <c r="G5015" s="1"/>
      <c r="H5015" s="1"/>
      <c r="I5015" s="1"/>
      <c r="J5015" s="1"/>
      <c r="K5015" s="89" t="s">
        <v>7861</v>
      </c>
      <c r="L5015" s="89" t="str">
        <f>M196</f>
        <v>C2a1a1b1a2b2b~</v>
      </c>
      <c r="M5015" s="89"/>
      <c r="N5015" s="89" t="s">
        <v>7862</v>
      </c>
      <c r="O5015" s="92">
        <v>1.474048E7</v>
      </c>
      <c r="P5015" s="92">
        <v>1.2628548E7</v>
      </c>
      <c r="Q5015" s="89" t="s">
        <v>810</v>
      </c>
      <c r="AF5015" s="1"/>
      <c r="AG5015" s="1"/>
    </row>
    <row r="5016" ht="15.75" customHeight="1">
      <c r="A5016" s="1"/>
      <c r="B5016" s="1"/>
      <c r="C5016" s="1"/>
      <c r="D5016" s="1"/>
      <c r="E5016" s="1"/>
      <c r="F5016" s="1"/>
      <c r="G5016" s="1"/>
      <c r="H5016" s="1"/>
      <c r="I5016" s="1"/>
      <c r="J5016" s="1"/>
      <c r="K5016" s="89" t="s">
        <v>7863</v>
      </c>
      <c r="L5016" s="89" t="str">
        <f>M196</f>
        <v>C2a1a1b1a2b2b~</v>
      </c>
      <c r="M5016" s="89"/>
      <c r="N5016" s="89"/>
      <c r="O5016" s="92">
        <v>2.1826873E7</v>
      </c>
      <c r="P5016" s="92">
        <v>1.9664987E7</v>
      </c>
      <c r="Q5016" s="89" t="s">
        <v>838</v>
      </c>
      <c r="AF5016" s="1"/>
      <c r="AG5016" s="1"/>
    </row>
    <row r="5017" ht="15.75" customHeight="1">
      <c r="A5017" s="1"/>
      <c r="B5017" s="1"/>
      <c r="C5017" s="1"/>
      <c r="D5017" s="1"/>
      <c r="E5017" s="1"/>
      <c r="F5017" s="1"/>
      <c r="G5017" s="1"/>
      <c r="H5017" s="1"/>
      <c r="I5017" s="1"/>
      <c r="J5017" s="1"/>
      <c r="K5017" s="89" t="s">
        <v>7864</v>
      </c>
      <c r="L5017" s="89" t="str">
        <f>I197</f>
        <v>C2a1a1b1b</v>
      </c>
      <c r="M5017" s="89" t="s">
        <v>7865</v>
      </c>
      <c r="N5017" s="89" t="s">
        <v>7866</v>
      </c>
      <c r="O5017" s="92">
        <v>8549341.0</v>
      </c>
      <c r="P5017" s="92">
        <v>8681300.0</v>
      </c>
      <c r="Q5017" s="89" t="s">
        <v>802</v>
      </c>
      <c r="AF5017" s="1"/>
      <c r="AG5017" s="1"/>
    </row>
    <row r="5018" ht="15.75" customHeight="1">
      <c r="A5018" s="1"/>
      <c r="B5018" s="1"/>
      <c r="C5018" s="1"/>
      <c r="D5018" s="1"/>
      <c r="E5018" s="1"/>
      <c r="F5018" s="1"/>
      <c r="G5018" s="1"/>
      <c r="H5018" s="1"/>
      <c r="I5018" s="1"/>
      <c r="J5018" s="1"/>
      <c r="K5018" s="89" t="s">
        <v>7865</v>
      </c>
      <c r="L5018" s="89" t="str">
        <f>I197</f>
        <v>C2a1a1b1b</v>
      </c>
      <c r="M5018" s="89" t="s">
        <v>7864</v>
      </c>
      <c r="N5018" s="89" t="s">
        <v>7866</v>
      </c>
      <c r="O5018" s="92">
        <v>8549341.0</v>
      </c>
      <c r="P5018" s="92">
        <v>8681300.0</v>
      </c>
      <c r="Q5018" s="89" t="s">
        <v>802</v>
      </c>
      <c r="AF5018" s="1"/>
      <c r="AG5018" s="1"/>
    </row>
    <row r="5019" ht="15.75" customHeight="1">
      <c r="A5019" s="1"/>
      <c r="B5019" s="1"/>
      <c r="C5019" s="1"/>
      <c r="D5019" s="1"/>
      <c r="E5019" s="1"/>
      <c r="F5019" s="1"/>
      <c r="G5019" s="1"/>
      <c r="H5019" s="1"/>
      <c r="I5019" s="1"/>
      <c r="J5019" s="1"/>
      <c r="K5019" s="89" t="s">
        <v>7867</v>
      </c>
      <c r="L5019" s="89" t="str">
        <f>I197</f>
        <v>C2a1a1b1b</v>
      </c>
      <c r="M5019" s="89" t="s">
        <v>7868</v>
      </c>
      <c r="N5019" s="89" t="s">
        <v>7869</v>
      </c>
      <c r="O5019" s="92">
        <v>6809316.0</v>
      </c>
      <c r="P5019" s="92">
        <v>6941275.0</v>
      </c>
      <c r="Q5019" s="89" t="s">
        <v>802</v>
      </c>
      <c r="AF5019" s="1"/>
      <c r="AG5019" s="1"/>
    </row>
    <row r="5020" ht="15.75" customHeight="1">
      <c r="A5020" s="1"/>
      <c r="B5020" s="1"/>
      <c r="C5020" s="1"/>
      <c r="D5020" s="1"/>
      <c r="E5020" s="1"/>
      <c r="F5020" s="1"/>
      <c r="G5020" s="1"/>
      <c r="H5020" s="1"/>
      <c r="I5020" s="1"/>
      <c r="J5020" s="1"/>
      <c r="K5020" s="89" t="s">
        <v>7868</v>
      </c>
      <c r="L5020" s="89" t="str">
        <f>I197</f>
        <v>C2a1a1b1b</v>
      </c>
      <c r="M5020" s="89" t="s">
        <v>7867</v>
      </c>
      <c r="N5020" s="89" t="s">
        <v>7869</v>
      </c>
      <c r="O5020" s="92">
        <v>6809316.0</v>
      </c>
      <c r="P5020" s="92">
        <v>6941275.0</v>
      </c>
      <c r="Q5020" s="89" t="s">
        <v>802</v>
      </c>
      <c r="AF5020" s="1"/>
      <c r="AG5020" s="1"/>
    </row>
    <row r="5021" ht="15.75" customHeight="1">
      <c r="A5021" s="1"/>
      <c r="B5021" s="1"/>
      <c r="C5021" s="1"/>
      <c r="D5021" s="1"/>
      <c r="E5021" s="1"/>
      <c r="F5021" s="1"/>
      <c r="G5021" s="1"/>
      <c r="H5021" s="1"/>
      <c r="I5021" s="1"/>
      <c r="J5021" s="1"/>
      <c r="K5021" s="89" t="s">
        <v>7623</v>
      </c>
      <c r="L5021" s="89" t="str">
        <f>I197</f>
        <v>C2a1a1b1b</v>
      </c>
      <c r="M5021" s="89" t="s">
        <v>7624</v>
      </c>
      <c r="N5021" s="89" t="s">
        <v>7625</v>
      </c>
      <c r="O5021" s="92">
        <v>1.5055505E7</v>
      </c>
      <c r="P5021" s="92">
        <v>1.2943597E7</v>
      </c>
      <c r="Q5021" s="89" t="s">
        <v>813</v>
      </c>
      <c r="AF5021" s="1"/>
      <c r="AG5021" s="1"/>
    </row>
    <row r="5022" ht="15.75" customHeight="1">
      <c r="A5022" s="1"/>
      <c r="B5022" s="1"/>
      <c r="C5022" s="1"/>
      <c r="D5022" s="1"/>
      <c r="E5022" s="1"/>
      <c r="F5022" s="1"/>
      <c r="G5022" s="1"/>
      <c r="H5022" s="1"/>
      <c r="I5022" s="1"/>
      <c r="J5022" s="1"/>
      <c r="K5022" s="89" t="s">
        <v>7624</v>
      </c>
      <c r="L5022" s="89" t="str">
        <f>I197</f>
        <v>C2a1a1b1b</v>
      </c>
      <c r="M5022" s="89" t="s">
        <v>7623</v>
      </c>
      <c r="N5022" s="89" t="s">
        <v>7625</v>
      </c>
      <c r="O5022" s="92">
        <v>1.5055505E7</v>
      </c>
      <c r="P5022" s="92">
        <v>1.2943597E7</v>
      </c>
      <c r="Q5022" s="89" t="s">
        <v>813</v>
      </c>
      <c r="AF5022" s="1"/>
      <c r="AG5022" s="1"/>
    </row>
    <row r="5023" ht="15.75" customHeight="1">
      <c r="A5023" s="1"/>
      <c r="B5023" s="1"/>
      <c r="C5023" s="1"/>
      <c r="D5023" s="1"/>
      <c r="E5023" s="1"/>
      <c r="F5023" s="1"/>
      <c r="G5023" s="1"/>
      <c r="H5023" s="1"/>
      <c r="I5023" s="1"/>
      <c r="J5023" s="1"/>
      <c r="K5023" s="89" t="s">
        <v>7870</v>
      </c>
      <c r="L5023" s="89" t="str">
        <f>I197</f>
        <v>C2a1a1b1b</v>
      </c>
      <c r="M5023" s="89" t="s">
        <v>7871</v>
      </c>
      <c r="N5023" s="89" t="s">
        <v>7872</v>
      </c>
      <c r="O5023" s="92">
        <v>9423440.0</v>
      </c>
      <c r="P5023" s="92">
        <v>9585831.0</v>
      </c>
      <c r="Q5023" s="89" t="s">
        <v>831</v>
      </c>
      <c r="AF5023" s="1"/>
      <c r="AG5023" s="1"/>
    </row>
    <row r="5024" ht="15.75" customHeight="1">
      <c r="A5024" s="1"/>
      <c r="B5024" s="1"/>
      <c r="C5024" s="1"/>
      <c r="D5024" s="1"/>
      <c r="E5024" s="1"/>
      <c r="F5024" s="1"/>
      <c r="G5024" s="1"/>
      <c r="H5024" s="1"/>
      <c r="I5024" s="1"/>
      <c r="J5024" s="1"/>
      <c r="K5024" s="89" t="s">
        <v>7871</v>
      </c>
      <c r="L5024" s="89" t="str">
        <f>I197</f>
        <v>C2a1a1b1b</v>
      </c>
      <c r="M5024" s="89" t="s">
        <v>7870</v>
      </c>
      <c r="N5024" s="89" t="s">
        <v>7872</v>
      </c>
      <c r="O5024" s="92">
        <v>9423440.0</v>
      </c>
      <c r="P5024" s="92">
        <v>9585831.0</v>
      </c>
      <c r="Q5024" s="89" t="s">
        <v>831</v>
      </c>
      <c r="AF5024" s="1"/>
      <c r="AG5024" s="1"/>
    </row>
    <row r="5025" ht="15.75" customHeight="1">
      <c r="A5025" s="1"/>
      <c r="B5025" s="1"/>
      <c r="C5025" s="1"/>
      <c r="D5025" s="1"/>
      <c r="E5025" s="1"/>
      <c r="F5025" s="1"/>
      <c r="G5025" s="1"/>
      <c r="H5025" s="1"/>
      <c r="I5025" s="1"/>
      <c r="J5025" s="1"/>
      <c r="K5025" s="89" t="s">
        <v>7873</v>
      </c>
      <c r="L5025" s="89" t="str">
        <f>I197</f>
        <v>C2a1a1b1b</v>
      </c>
      <c r="M5025" s="89" t="s">
        <v>7874</v>
      </c>
      <c r="N5025" s="89" t="s">
        <v>7875</v>
      </c>
      <c r="O5025" s="92">
        <v>1.5136931E7</v>
      </c>
      <c r="P5025" s="92">
        <v>1.3025018E7</v>
      </c>
      <c r="Q5025" s="89" t="s">
        <v>912</v>
      </c>
      <c r="AF5025" s="1"/>
      <c r="AG5025" s="1"/>
    </row>
    <row r="5026" ht="15.75" customHeight="1">
      <c r="A5026" s="1"/>
      <c r="B5026" s="1"/>
      <c r="C5026" s="1"/>
      <c r="D5026" s="1"/>
      <c r="E5026" s="1"/>
      <c r="F5026" s="1"/>
      <c r="G5026" s="1"/>
      <c r="H5026" s="1"/>
      <c r="I5026" s="1"/>
      <c r="J5026" s="1"/>
      <c r="K5026" s="89" t="s">
        <v>7874</v>
      </c>
      <c r="L5026" s="89" t="str">
        <f>I197</f>
        <v>C2a1a1b1b</v>
      </c>
      <c r="M5026" s="89" t="s">
        <v>7873</v>
      </c>
      <c r="N5026" s="89" t="s">
        <v>7875</v>
      </c>
      <c r="O5026" s="92">
        <v>1.5136931E7</v>
      </c>
      <c r="P5026" s="92">
        <v>1.3025018E7</v>
      </c>
      <c r="Q5026" s="89" t="s">
        <v>912</v>
      </c>
      <c r="AF5026" s="1"/>
      <c r="AG5026" s="1"/>
    </row>
    <row r="5027" ht="15.75" customHeight="1">
      <c r="A5027" s="1"/>
      <c r="B5027" s="1"/>
      <c r="C5027" s="1"/>
      <c r="D5027" s="1"/>
      <c r="E5027" s="1"/>
      <c r="F5027" s="1"/>
      <c r="G5027" s="1"/>
      <c r="H5027" s="1"/>
      <c r="I5027" s="1"/>
      <c r="J5027" s="1"/>
      <c r="K5027" s="89" t="s">
        <v>7876</v>
      </c>
      <c r="L5027" s="89" t="str">
        <f>I197</f>
        <v>C2a1a1b1b</v>
      </c>
      <c r="M5027" s="89" t="s">
        <v>7877</v>
      </c>
      <c r="N5027" s="89" t="s">
        <v>7878</v>
      </c>
      <c r="O5027" s="92">
        <v>2.3625322E7</v>
      </c>
      <c r="P5027" s="92">
        <v>2.1463436E7</v>
      </c>
      <c r="Q5027" s="89" t="s">
        <v>838</v>
      </c>
      <c r="AF5027" s="1"/>
      <c r="AG5027" s="1"/>
    </row>
    <row r="5028" ht="15.75" customHeight="1">
      <c r="A5028" s="1"/>
      <c r="B5028" s="1"/>
      <c r="C5028" s="1"/>
      <c r="D5028" s="1"/>
      <c r="E5028" s="1"/>
      <c r="F5028" s="1"/>
      <c r="G5028" s="1"/>
      <c r="H5028" s="1"/>
      <c r="I5028" s="1"/>
      <c r="J5028" s="1"/>
      <c r="K5028" s="89" t="s">
        <v>7877</v>
      </c>
      <c r="L5028" s="89" t="str">
        <f>I197</f>
        <v>C2a1a1b1b</v>
      </c>
      <c r="M5028" s="89" t="s">
        <v>7876</v>
      </c>
      <c r="N5028" s="89" t="s">
        <v>7878</v>
      </c>
      <c r="O5028" s="92">
        <v>2.3625322E7</v>
      </c>
      <c r="P5028" s="92">
        <v>2.1463436E7</v>
      </c>
      <c r="Q5028" s="89" t="s">
        <v>838</v>
      </c>
      <c r="AF5028" s="1"/>
      <c r="AG5028" s="1"/>
    </row>
    <row r="5029" ht="15.75" customHeight="1">
      <c r="A5029" s="1"/>
      <c r="B5029" s="1"/>
      <c r="C5029" s="1"/>
      <c r="D5029" s="1"/>
      <c r="E5029" s="1"/>
      <c r="F5029" s="1"/>
      <c r="G5029" s="1"/>
      <c r="H5029" s="1"/>
      <c r="I5029" s="1"/>
      <c r="J5029" s="1"/>
      <c r="K5029" s="89" t="s">
        <v>7879</v>
      </c>
      <c r="L5029" s="89" t="str">
        <f>J198</f>
        <v>C2a1a1b1b1</v>
      </c>
      <c r="M5029" s="89" t="s">
        <v>7880</v>
      </c>
      <c r="N5029" s="89" t="s">
        <v>7881</v>
      </c>
      <c r="O5029" s="92">
        <v>1.5042101E7</v>
      </c>
      <c r="P5029" s="92">
        <v>1.2930191E7</v>
      </c>
      <c r="Q5029" s="89" t="s">
        <v>886</v>
      </c>
      <c r="AF5029" s="1"/>
      <c r="AG5029" s="1"/>
    </row>
    <row r="5030" ht="15.75" customHeight="1">
      <c r="A5030" s="1"/>
      <c r="B5030" s="1"/>
      <c r="C5030" s="1"/>
      <c r="D5030" s="1"/>
      <c r="E5030" s="1"/>
      <c r="F5030" s="1"/>
      <c r="G5030" s="1"/>
      <c r="H5030" s="1"/>
      <c r="I5030" s="1"/>
      <c r="J5030" s="1"/>
      <c r="K5030" s="89" t="s">
        <v>7882</v>
      </c>
      <c r="L5030" s="89" t="str">
        <f>J198</f>
        <v>C2a1a1b1b1</v>
      </c>
      <c r="M5030" s="89" t="s">
        <v>7883</v>
      </c>
      <c r="N5030" s="89" t="s">
        <v>7881</v>
      </c>
      <c r="O5030" s="92">
        <v>1.5042101E7</v>
      </c>
      <c r="P5030" s="92">
        <v>1.2930191E7</v>
      </c>
      <c r="Q5030" s="89" t="s">
        <v>886</v>
      </c>
      <c r="AF5030" s="1"/>
      <c r="AG5030" s="1"/>
    </row>
    <row r="5031" ht="15.75" customHeight="1">
      <c r="A5031" s="1"/>
      <c r="B5031" s="1"/>
      <c r="C5031" s="1"/>
      <c r="D5031" s="1"/>
      <c r="E5031" s="1"/>
      <c r="F5031" s="1"/>
      <c r="G5031" s="1"/>
      <c r="H5031" s="1"/>
      <c r="I5031" s="1"/>
      <c r="J5031" s="1"/>
      <c r="K5031" s="89" t="s">
        <v>7884</v>
      </c>
      <c r="L5031" s="89" t="str">
        <f>J198</f>
        <v>C2a1a1b1b1</v>
      </c>
      <c r="M5031" s="89" t="s">
        <v>7885</v>
      </c>
      <c r="N5031" s="89" t="s">
        <v>7881</v>
      </c>
      <c r="O5031" s="92">
        <v>1.5042101E7</v>
      </c>
      <c r="P5031" s="92">
        <v>1.2930191E7</v>
      </c>
      <c r="Q5031" s="89" t="s">
        <v>886</v>
      </c>
      <c r="AF5031" s="1"/>
      <c r="AG5031" s="1"/>
    </row>
    <row r="5032" ht="15.75" customHeight="1">
      <c r="A5032" s="1"/>
      <c r="B5032" s="1"/>
      <c r="C5032" s="1"/>
      <c r="D5032" s="1"/>
      <c r="E5032" s="1"/>
      <c r="F5032" s="1"/>
      <c r="G5032" s="1"/>
      <c r="H5032" s="1"/>
      <c r="I5032" s="1"/>
      <c r="J5032" s="1"/>
      <c r="K5032" s="89" t="s">
        <v>7886</v>
      </c>
      <c r="L5032" s="89" t="str">
        <f>J198</f>
        <v>C2a1a1b1b1</v>
      </c>
      <c r="M5032" s="89" t="s">
        <v>7887</v>
      </c>
      <c r="N5032" s="89" t="s">
        <v>7888</v>
      </c>
      <c r="O5032" s="92">
        <v>1.0013596E7</v>
      </c>
      <c r="P5032" s="92">
        <v>1.0175987E7</v>
      </c>
      <c r="Q5032" s="89" t="s">
        <v>802</v>
      </c>
      <c r="AF5032" s="1"/>
      <c r="AG5032" s="1"/>
    </row>
    <row r="5033" ht="15.75" customHeight="1">
      <c r="A5033" s="1"/>
      <c r="B5033" s="1"/>
      <c r="C5033" s="1"/>
      <c r="D5033" s="1"/>
      <c r="E5033" s="1"/>
      <c r="F5033" s="1"/>
      <c r="G5033" s="1"/>
      <c r="H5033" s="1"/>
      <c r="I5033" s="1"/>
      <c r="J5033" s="1"/>
      <c r="K5033" s="89" t="s">
        <v>7887</v>
      </c>
      <c r="L5033" s="89" t="str">
        <f>J198</f>
        <v>C2a1a1b1b1</v>
      </c>
      <c r="M5033" s="89" t="s">
        <v>7886</v>
      </c>
      <c r="N5033" s="89" t="s">
        <v>7888</v>
      </c>
      <c r="O5033" s="92">
        <v>1.0013596E7</v>
      </c>
      <c r="P5033" s="92">
        <v>1.0175987E7</v>
      </c>
      <c r="Q5033" s="89" t="s">
        <v>802</v>
      </c>
      <c r="AF5033" s="1"/>
      <c r="AG5033" s="1"/>
    </row>
    <row r="5034" ht="15.75" customHeight="1">
      <c r="A5034" s="1"/>
      <c r="B5034" s="1"/>
      <c r="C5034" s="1"/>
      <c r="D5034" s="1"/>
      <c r="E5034" s="1"/>
      <c r="F5034" s="1"/>
      <c r="G5034" s="1"/>
      <c r="H5034" s="1"/>
      <c r="I5034" s="1"/>
      <c r="J5034" s="1"/>
      <c r="K5034" s="89" t="s">
        <v>7889</v>
      </c>
      <c r="L5034" s="89" t="str">
        <f>J198</f>
        <v>C2a1a1b1b1</v>
      </c>
      <c r="M5034" s="89" t="s">
        <v>7890</v>
      </c>
      <c r="N5034" s="89" t="s">
        <v>7891</v>
      </c>
      <c r="O5034" s="92">
        <v>1.7334984E7</v>
      </c>
      <c r="P5034" s="92">
        <v>1.5223104E7</v>
      </c>
      <c r="Q5034" s="89" t="s">
        <v>838</v>
      </c>
      <c r="AF5034" s="1"/>
      <c r="AG5034" s="1"/>
    </row>
    <row r="5035" ht="15.75" customHeight="1">
      <c r="A5035" s="1"/>
      <c r="B5035" s="1"/>
      <c r="C5035" s="1"/>
      <c r="D5035" s="1"/>
      <c r="E5035" s="1"/>
      <c r="F5035" s="1"/>
      <c r="G5035" s="1"/>
      <c r="H5035" s="1"/>
      <c r="I5035" s="1"/>
      <c r="J5035" s="1"/>
      <c r="K5035" s="89" t="s">
        <v>7890</v>
      </c>
      <c r="L5035" s="89" t="str">
        <f>J198</f>
        <v>C2a1a1b1b1</v>
      </c>
      <c r="M5035" s="89" t="s">
        <v>7889</v>
      </c>
      <c r="N5035" s="89" t="s">
        <v>7891</v>
      </c>
      <c r="O5035" s="92">
        <v>1.7334984E7</v>
      </c>
      <c r="P5035" s="92">
        <v>1.5223104E7</v>
      </c>
      <c r="Q5035" s="89" t="s">
        <v>838</v>
      </c>
      <c r="AF5035" s="1"/>
      <c r="AG5035" s="1"/>
    </row>
    <row r="5036" ht="15.75" customHeight="1">
      <c r="A5036" s="1"/>
      <c r="B5036" s="1"/>
      <c r="C5036" s="1"/>
      <c r="D5036" s="1"/>
      <c r="E5036" s="1"/>
      <c r="F5036" s="1"/>
      <c r="G5036" s="1"/>
      <c r="H5036" s="1"/>
      <c r="I5036" s="1"/>
      <c r="J5036" s="1"/>
      <c r="K5036" s="89" t="s">
        <v>7892</v>
      </c>
      <c r="L5036" s="89" t="str">
        <f>J198</f>
        <v>C2a1a1b1b1</v>
      </c>
      <c r="M5036" s="89" t="s">
        <v>7893</v>
      </c>
      <c r="N5036" s="89" t="s">
        <v>7894</v>
      </c>
      <c r="O5036" s="92">
        <v>2738449.0</v>
      </c>
      <c r="P5036" s="92">
        <v>2870408.0</v>
      </c>
      <c r="Q5036" s="89" t="s">
        <v>912</v>
      </c>
      <c r="AF5036" s="1"/>
      <c r="AG5036" s="1"/>
    </row>
    <row r="5037" ht="15.75" customHeight="1">
      <c r="A5037" s="1"/>
      <c r="B5037" s="1"/>
      <c r="C5037" s="1"/>
      <c r="D5037" s="1"/>
      <c r="E5037" s="1"/>
      <c r="F5037" s="1"/>
      <c r="G5037" s="1"/>
      <c r="H5037" s="1"/>
      <c r="I5037" s="1"/>
      <c r="J5037" s="1"/>
      <c r="K5037" s="89" t="s">
        <v>7893</v>
      </c>
      <c r="L5037" s="89" t="str">
        <f>J198</f>
        <v>C2a1a1b1b1</v>
      </c>
      <c r="M5037" s="89" t="s">
        <v>7892</v>
      </c>
      <c r="N5037" s="89" t="s">
        <v>7894</v>
      </c>
      <c r="O5037" s="92">
        <v>2738449.0</v>
      </c>
      <c r="P5037" s="92">
        <v>2870408.0</v>
      </c>
      <c r="Q5037" s="89" t="s">
        <v>912</v>
      </c>
      <c r="AF5037" s="1"/>
      <c r="AG5037" s="1"/>
    </row>
    <row r="5038" ht="15.75" customHeight="1">
      <c r="A5038" s="1"/>
      <c r="B5038" s="1"/>
      <c r="C5038" s="1"/>
      <c r="D5038" s="1"/>
      <c r="E5038" s="1"/>
      <c r="F5038" s="1"/>
      <c r="G5038" s="1"/>
      <c r="H5038" s="1"/>
      <c r="I5038" s="1"/>
      <c r="J5038" s="1"/>
      <c r="K5038" s="89" t="s">
        <v>358</v>
      </c>
      <c r="L5038" s="89" t="str">
        <f t="shared" ref="L5038:L5039" si="45">K199</f>
        <v>C2a1a1b1b1a~</v>
      </c>
      <c r="M5038" s="89"/>
      <c r="N5038" s="89"/>
      <c r="O5038" s="92">
        <v>1.4042412E7</v>
      </c>
      <c r="P5038" s="92">
        <v>1.1921706E7</v>
      </c>
      <c r="Q5038" s="89" t="s">
        <v>917</v>
      </c>
      <c r="AF5038" s="1"/>
      <c r="AG5038" s="1"/>
    </row>
    <row r="5039" ht="15.75" customHeight="1">
      <c r="A5039" s="1"/>
      <c r="B5039" s="1"/>
      <c r="C5039" s="1"/>
      <c r="D5039" s="1"/>
      <c r="E5039" s="1"/>
      <c r="F5039" s="1"/>
      <c r="G5039" s="1"/>
      <c r="H5039" s="1"/>
      <c r="I5039" s="1"/>
      <c r="J5039" s="1"/>
      <c r="K5039" s="89" t="s">
        <v>7895</v>
      </c>
      <c r="L5039" s="89" t="str">
        <f t="shared" si="45"/>
        <v>C2a1a1b1b1b~</v>
      </c>
      <c r="M5039" s="89"/>
      <c r="N5039" s="89" t="s">
        <v>7896</v>
      </c>
      <c r="O5039" s="92">
        <v>7066330.0</v>
      </c>
      <c r="P5039" s="92">
        <v>7198289.0</v>
      </c>
      <c r="Q5039" s="89" t="s">
        <v>838</v>
      </c>
      <c r="AF5039" s="1"/>
      <c r="AG5039" s="1"/>
    </row>
    <row r="5040" ht="15.75" customHeight="1">
      <c r="A5040" s="1"/>
      <c r="B5040" s="1"/>
      <c r="C5040" s="1"/>
      <c r="D5040" s="1"/>
      <c r="E5040" s="1"/>
      <c r="F5040" s="1"/>
      <c r="G5040" s="1"/>
      <c r="H5040" s="1"/>
      <c r="I5040" s="1"/>
      <c r="J5040" s="1"/>
      <c r="K5040" s="89" t="s">
        <v>7897</v>
      </c>
      <c r="L5040" s="89" t="str">
        <f>K200</f>
        <v>C2a1a1b1b1b~</v>
      </c>
      <c r="M5040" s="89"/>
      <c r="N5040" s="89" t="s">
        <v>7898</v>
      </c>
      <c r="O5040" s="92">
        <v>8382834.0</v>
      </c>
      <c r="P5040" s="92">
        <v>8514793.0</v>
      </c>
      <c r="Q5040" s="89" t="s">
        <v>810</v>
      </c>
      <c r="AF5040" s="1"/>
      <c r="AG5040" s="1"/>
    </row>
    <row r="5041" ht="15.75" customHeight="1">
      <c r="A5041" s="1"/>
      <c r="B5041" s="1"/>
      <c r="C5041" s="1"/>
      <c r="D5041" s="1"/>
      <c r="E5041" s="1"/>
      <c r="F5041" s="1"/>
      <c r="G5041" s="1"/>
      <c r="H5041" s="1"/>
      <c r="I5041" s="1"/>
      <c r="J5041" s="1"/>
      <c r="K5041" s="89" t="s">
        <v>7899</v>
      </c>
      <c r="L5041" s="89" t="str">
        <f>K200</f>
        <v>C2a1a1b1b1b~</v>
      </c>
      <c r="M5041" s="89"/>
      <c r="N5041" s="89" t="s">
        <v>7900</v>
      </c>
      <c r="O5041" s="92">
        <v>1.440892E7</v>
      </c>
      <c r="P5041" s="92">
        <v>1.2288218E7</v>
      </c>
      <c r="Q5041" s="89" t="s">
        <v>845</v>
      </c>
      <c r="AF5041" s="1"/>
      <c r="AG5041" s="1"/>
    </row>
    <row r="5042" ht="15.75" customHeight="1">
      <c r="A5042" s="1"/>
      <c r="B5042" s="1"/>
      <c r="C5042" s="1"/>
      <c r="D5042" s="1"/>
      <c r="E5042" s="1"/>
      <c r="F5042" s="1"/>
      <c r="G5042" s="1"/>
      <c r="H5042" s="1"/>
      <c r="I5042" s="1"/>
      <c r="J5042" s="1"/>
      <c r="K5042" s="89" t="s">
        <v>7901</v>
      </c>
      <c r="L5042" s="89" t="str">
        <f>K200</f>
        <v>C2a1a1b1b1b~</v>
      </c>
      <c r="M5042" s="89"/>
      <c r="N5042" s="89" t="s">
        <v>7902</v>
      </c>
      <c r="O5042" s="92">
        <v>2.1470475E7</v>
      </c>
      <c r="P5042" s="92">
        <v>1.9308589E7</v>
      </c>
      <c r="Q5042" s="89" t="s">
        <v>912</v>
      </c>
      <c r="AF5042" s="1"/>
      <c r="AG5042" s="1"/>
    </row>
    <row r="5043" ht="15.75" customHeight="1">
      <c r="A5043" s="1"/>
      <c r="B5043" s="1"/>
      <c r="C5043" s="1"/>
      <c r="D5043" s="1"/>
      <c r="E5043" s="1"/>
      <c r="F5043" s="1"/>
      <c r="G5043" s="1"/>
      <c r="H5043" s="1"/>
      <c r="I5043" s="1"/>
      <c r="J5043" s="1"/>
      <c r="K5043" s="89" t="s">
        <v>7903</v>
      </c>
      <c r="L5043" s="89" t="str">
        <f>K200</f>
        <v>C2a1a1b1b1b~</v>
      </c>
      <c r="M5043" s="89"/>
      <c r="N5043" s="89" t="s">
        <v>7904</v>
      </c>
      <c r="O5043" s="92">
        <v>1.7892645E7</v>
      </c>
      <c r="P5043" s="92">
        <v>1.5780765E7</v>
      </c>
      <c r="Q5043" s="89" t="s">
        <v>822</v>
      </c>
      <c r="AF5043" s="1"/>
      <c r="AG5043" s="1"/>
    </row>
    <row r="5044" ht="15.75" customHeight="1">
      <c r="A5044" s="1"/>
      <c r="B5044" s="1"/>
      <c r="C5044" s="1"/>
      <c r="D5044" s="1"/>
      <c r="E5044" s="1"/>
      <c r="F5044" s="1"/>
      <c r="G5044" s="1"/>
      <c r="H5044" s="1"/>
      <c r="I5044" s="1"/>
      <c r="J5044" s="1"/>
      <c r="K5044" s="89" t="s">
        <v>7905</v>
      </c>
      <c r="L5044" s="89" t="str">
        <f>K200</f>
        <v>C2a1a1b1b1b~</v>
      </c>
      <c r="M5044" s="89"/>
      <c r="N5044" s="89" t="s">
        <v>7906</v>
      </c>
      <c r="O5044" s="92">
        <v>1.7149655E7</v>
      </c>
      <c r="P5044" s="92">
        <v>1.5037775E7</v>
      </c>
      <c r="Q5044" s="89" t="s">
        <v>886</v>
      </c>
      <c r="AF5044" s="1"/>
      <c r="AG5044" s="1"/>
    </row>
    <row r="5045" ht="15.75" customHeight="1">
      <c r="A5045" s="1"/>
      <c r="B5045" s="1"/>
      <c r="C5045" s="1"/>
      <c r="D5045" s="1"/>
      <c r="E5045" s="1"/>
      <c r="F5045" s="1"/>
      <c r="G5045" s="1"/>
      <c r="H5045" s="1"/>
      <c r="I5045" s="1"/>
      <c r="J5045" s="94" t="s">
        <v>23</v>
      </c>
      <c r="K5045" s="93" t="s">
        <v>7907</v>
      </c>
      <c r="L5045" s="89" t="str">
        <f>J201</f>
        <v>C2a1a1b1b2</v>
      </c>
      <c r="M5045" s="93" t="s">
        <v>7908</v>
      </c>
      <c r="N5045" s="89" t="s">
        <v>7909</v>
      </c>
      <c r="O5045" s="92">
        <v>2738264.0</v>
      </c>
      <c r="P5045" s="92">
        <v>2870223.0</v>
      </c>
      <c r="Q5045" s="89" t="s">
        <v>831</v>
      </c>
      <c r="AF5045" s="1"/>
      <c r="AG5045" s="1"/>
    </row>
    <row r="5046" ht="15.75" customHeight="1">
      <c r="A5046" s="1"/>
      <c r="B5046" s="1"/>
      <c r="C5046" s="1"/>
      <c r="D5046" s="1"/>
      <c r="E5046" s="1"/>
      <c r="F5046" s="1"/>
      <c r="G5046" s="1"/>
      <c r="H5046" s="1"/>
      <c r="I5046" s="1"/>
      <c r="J5046" s="1"/>
      <c r="K5046" s="93" t="s">
        <v>7908</v>
      </c>
      <c r="L5046" s="89" t="str">
        <f>J201</f>
        <v>C2a1a1b1b2</v>
      </c>
      <c r="M5046" s="93" t="s">
        <v>7907</v>
      </c>
      <c r="N5046" s="89" t="s">
        <v>7909</v>
      </c>
      <c r="O5046" s="92">
        <v>2738264.0</v>
      </c>
      <c r="P5046" s="92">
        <v>2870223.0</v>
      </c>
      <c r="Q5046" s="89" t="s">
        <v>831</v>
      </c>
      <c r="AF5046" s="1"/>
      <c r="AG5046" s="1"/>
    </row>
    <row r="5047" ht="15.75" customHeight="1">
      <c r="A5047" s="1"/>
      <c r="B5047" s="1"/>
      <c r="C5047" s="1"/>
      <c r="D5047" s="1"/>
      <c r="E5047" s="1"/>
      <c r="F5047" s="1"/>
      <c r="G5047" s="1"/>
      <c r="H5047" s="1"/>
      <c r="I5047" s="1"/>
      <c r="J5047" s="1"/>
      <c r="K5047" s="39" t="s">
        <v>7910</v>
      </c>
      <c r="L5047" t="str">
        <f>J201</f>
        <v>C2a1a1b1b2</v>
      </c>
      <c r="M5047" s="39" t="s">
        <v>7911</v>
      </c>
      <c r="O5047" s="97">
        <v>1.8621252E7</v>
      </c>
      <c r="P5047" s="110">
        <v>1.6509372E7</v>
      </c>
      <c r="Q5047" s="39" t="s">
        <v>822</v>
      </c>
      <c r="AF5047" s="1"/>
      <c r="AG5047" s="1"/>
    </row>
    <row r="5048" ht="15.75" customHeight="1">
      <c r="A5048" s="1"/>
      <c r="B5048" s="1"/>
      <c r="C5048" s="1"/>
      <c r="D5048" s="1"/>
      <c r="E5048" s="1"/>
      <c r="F5048" s="1"/>
      <c r="G5048" s="1"/>
      <c r="H5048" s="1"/>
      <c r="I5048" s="1"/>
      <c r="J5048" s="1"/>
      <c r="K5048" s="39" t="s">
        <v>7911</v>
      </c>
      <c r="L5048" t="str">
        <f>J201</f>
        <v>C2a1a1b1b2</v>
      </c>
      <c r="M5048" s="39" t="s">
        <v>7910</v>
      </c>
      <c r="O5048" s="97">
        <v>1.8621252E7</v>
      </c>
      <c r="P5048" s="110">
        <v>1.6509372E7</v>
      </c>
      <c r="Q5048" s="39" t="s">
        <v>822</v>
      </c>
      <c r="AF5048" s="1"/>
      <c r="AG5048" s="1"/>
    </row>
    <row r="5049" ht="15.75" customHeight="1">
      <c r="A5049" s="1"/>
      <c r="B5049" s="1"/>
      <c r="C5049" s="1"/>
      <c r="D5049" s="1"/>
      <c r="E5049" s="1"/>
      <c r="F5049" s="1"/>
      <c r="G5049" s="1"/>
      <c r="H5049" s="1"/>
      <c r="I5049" s="1"/>
      <c r="J5049" s="1"/>
      <c r="K5049" s="93" t="s">
        <v>7912</v>
      </c>
      <c r="L5049" s="89" t="str">
        <f>J201</f>
        <v>C2a1a1b1b2</v>
      </c>
      <c r="M5049" s="89"/>
      <c r="N5049" s="89"/>
      <c r="O5049" s="97">
        <v>2.1952683E7</v>
      </c>
      <c r="P5049" s="110">
        <v>1.9790797E7</v>
      </c>
      <c r="Q5049" s="93" t="s">
        <v>822</v>
      </c>
      <c r="AF5049" s="1"/>
      <c r="AG5049" s="1"/>
    </row>
    <row r="5050" ht="15.75" customHeight="1">
      <c r="A5050" s="1"/>
      <c r="B5050" s="1"/>
      <c r="C5050" s="1"/>
      <c r="D5050" s="1"/>
      <c r="E5050" s="1"/>
      <c r="F5050" s="1"/>
      <c r="G5050" s="1"/>
      <c r="H5050" s="1"/>
      <c r="I5050" s="1"/>
      <c r="J5050" s="1"/>
      <c r="K5050" s="93" t="s">
        <v>7913</v>
      </c>
      <c r="L5050" s="89" t="str">
        <f>J201</f>
        <v>C2a1a1b1b2</v>
      </c>
      <c r="M5050" s="89"/>
      <c r="N5050" s="89"/>
      <c r="O5050" s="92">
        <v>8686014.0</v>
      </c>
      <c r="P5050" s="92">
        <v>8817973.0</v>
      </c>
      <c r="Q5050" s="89" t="s">
        <v>831</v>
      </c>
      <c r="AF5050" s="1"/>
      <c r="AG5050" s="1"/>
    </row>
    <row r="5051" ht="15.75" customHeight="1">
      <c r="A5051" s="1"/>
      <c r="B5051" s="1"/>
      <c r="C5051" s="1"/>
      <c r="D5051" s="1"/>
      <c r="E5051" s="1"/>
      <c r="F5051" s="1"/>
      <c r="G5051" s="1"/>
      <c r="H5051" s="1"/>
      <c r="I5051" s="1"/>
      <c r="J5051" s="1"/>
      <c r="K5051" s="93" t="s">
        <v>7914</v>
      </c>
      <c r="L5051" s="89" t="str">
        <f>K202</f>
        <v>C2a1a1b1b2a~</v>
      </c>
      <c r="M5051" s="89"/>
      <c r="N5051" s="89"/>
      <c r="O5051" s="111">
        <v>1.2424245E7</v>
      </c>
      <c r="P5051" s="111">
        <v>1.2424245E7</v>
      </c>
      <c r="Q5051" s="93" t="s">
        <v>838</v>
      </c>
      <c r="AF5051" s="1"/>
      <c r="AG5051" s="1"/>
    </row>
    <row r="5052" ht="15.75" customHeight="1">
      <c r="A5052" s="1"/>
      <c r="B5052" s="1"/>
      <c r="C5052" s="1"/>
      <c r="D5052" s="1"/>
      <c r="E5052" s="1"/>
      <c r="F5052" s="1"/>
      <c r="G5052" s="1"/>
      <c r="H5052" s="1"/>
      <c r="I5052" s="1"/>
      <c r="J5052" s="1"/>
      <c r="K5052" s="93" t="s">
        <v>7915</v>
      </c>
      <c r="L5052" s="89" t="str">
        <f>K202</f>
        <v>C2a1a1b1b2a~</v>
      </c>
      <c r="M5052" s="89"/>
      <c r="N5052" s="89"/>
      <c r="O5052" s="92">
        <v>1.4243358E7</v>
      </c>
      <c r="P5052" s="92">
        <v>1.2122652E7</v>
      </c>
      <c r="Q5052" s="89" t="s">
        <v>917</v>
      </c>
      <c r="AF5052" s="1"/>
      <c r="AG5052" s="1"/>
    </row>
    <row r="5053" ht="15.75" customHeight="1">
      <c r="A5053" s="1"/>
      <c r="B5053" s="1"/>
      <c r="C5053" s="1"/>
      <c r="D5053" s="1"/>
      <c r="E5053" s="1"/>
      <c r="F5053" s="1"/>
      <c r="G5053" s="1"/>
      <c r="H5053" s="1"/>
      <c r="I5053" s="1"/>
      <c r="J5053" s="1"/>
      <c r="K5053" s="93" t="s">
        <v>7916</v>
      </c>
      <c r="L5053" s="89" t="str">
        <f>K202</f>
        <v>C2a1a1b1b2a~</v>
      </c>
      <c r="M5053" s="89"/>
      <c r="N5053" s="89"/>
      <c r="O5053" s="92">
        <v>7933715.0</v>
      </c>
      <c r="P5053" s="92">
        <v>8065674.0</v>
      </c>
      <c r="Q5053" s="89" t="s">
        <v>822</v>
      </c>
      <c r="AF5053" s="1"/>
      <c r="AG5053" s="1"/>
    </row>
    <row r="5054" ht="15.75" customHeight="1">
      <c r="A5054" s="1"/>
      <c r="B5054" s="1"/>
      <c r="C5054" s="1"/>
      <c r="D5054" s="1"/>
      <c r="E5054" s="1"/>
      <c r="F5054" s="1"/>
      <c r="G5054" s="1"/>
      <c r="H5054" s="1"/>
      <c r="I5054" s="1"/>
      <c r="J5054" s="1"/>
      <c r="K5054" s="93" t="s">
        <v>7917</v>
      </c>
      <c r="L5054" s="89" t="str">
        <f>K202</f>
        <v>C2a1a1b1b2a~</v>
      </c>
      <c r="M5054" s="89"/>
      <c r="N5054" s="89"/>
      <c r="O5054" s="92">
        <v>8894343.0</v>
      </c>
      <c r="P5054" s="92">
        <v>9026302.0</v>
      </c>
      <c r="Q5054" s="89" t="s">
        <v>845</v>
      </c>
      <c r="AF5054" s="1"/>
      <c r="AG5054" s="1"/>
    </row>
    <row r="5055" ht="15.75" customHeight="1">
      <c r="A5055" s="1"/>
      <c r="B5055" s="1"/>
      <c r="C5055" s="1"/>
      <c r="D5055" s="1"/>
      <c r="E5055" s="1"/>
      <c r="F5055" s="1"/>
      <c r="G5055" s="1"/>
      <c r="H5055" s="1"/>
      <c r="I5055" s="1"/>
      <c r="J5055" s="94" t="s">
        <v>23</v>
      </c>
      <c r="K5055" s="93" t="s">
        <v>7918</v>
      </c>
      <c r="L5055" s="89" t="str">
        <f t="shared" ref="L5055:L5056" si="46">K202</f>
        <v>C2a1a1b1b2a~</v>
      </c>
      <c r="M5055" s="89"/>
      <c r="N5055" s="89"/>
      <c r="O5055" s="106">
        <v>1.8580561E7</v>
      </c>
      <c r="P5055" s="111">
        <v>1.6468681E7</v>
      </c>
      <c r="Q5055" s="93" t="s">
        <v>810</v>
      </c>
      <c r="AF5055" s="1"/>
      <c r="AG5055" s="1"/>
    </row>
    <row r="5056" ht="15.75" customHeight="1">
      <c r="A5056" s="1"/>
      <c r="B5056" s="1"/>
      <c r="C5056" s="1"/>
      <c r="D5056" s="1"/>
      <c r="E5056" s="1"/>
      <c r="F5056" s="1"/>
      <c r="G5056" s="1"/>
      <c r="H5056" s="1"/>
      <c r="I5056" s="1"/>
      <c r="J5056" s="94"/>
      <c r="K5056" s="93" t="s">
        <v>7919</v>
      </c>
      <c r="L5056" s="89" t="str">
        <f t="shared" si="46"/>
        <v>C2a1a1b1b2b~</v>
      </c>
      <c r="M5056" s="93" t="s">
        <v>7920</v>
      </c>
      <c r="N5056" s="89"/>
      <c r="O5056" s="97">
        <v>1.7408978E7</v>
      </c>
      <c r="P5056" s="110">
        <v>1.5297098E7</v>
      </c>
      <c r="Q5056" s="93" t="s">
        <v>838</v>
      </c>
      <c r="AF5056" s="1"/>
      <c r="AG5056" s="1"/>
    </row>
    <row r="5057" ht="15.75" customHeight="1">
      <c r="A5057" s="1"/>
      <c r="B5057" s="1"/>
      <c r="C5057" s="1"/>
      <c r="D5057" s="1"/>
      <c r="E5057" s="1"/>
      <c r="F5057" s="1"/>
      <c r="G5057" s="1"/>
      <c r="H5057" s="1"/>
      <c r="I5057" s="1"/>
      <c r="J5057" s="1"/>
      <c r="K5057" s="93" t="s">
        <v>7921</v>
      </c>
      <c r="L5057" s="112" t="str">
        <f>K203</f>
        <v>C2a1a1b1b2b~</v>
      </c>
      <c r="M5057" s="93" t="s">
        <v>7922</v>
      </c>
      <c r="N5057" s="89"/>
      <c r="O5057" s="97">
        <v>1.7408978E7</v>
      </c>
      <c r="P5057" s="110">
        <v>1.5297098E7</v>
      </c>
      <c r="Q5057" s="93" t="s">
        <v>838</v>
      </c>
      <c r="AF5057" s="1"/>
      <c r="AG5057" s="1"/>
    </row>
    <row r="5058" ht="15.75" customHeight="1">
      <c r="A5058" s="1"/>
      <c r="B5058" s="1"/>
      <c r="C5058" s="1"/>
      <c r="D5058" s="1"/>
      <c r="E5058" s="1"/>
      <c r="F5058" s="1"/>
      <c r="G5058" s="1"/>
      <c r="H5058" s="1"/>
      <c r="I5058" s="1"/>
      <c r="J5058" s="1"/>
      <c r="K5058" s="93" t="s">
        <v>7923</v>
      </c>
      <c r="L5058" s="112" t="str">
        <f>K203</f>
        <v>C2a1a1b1b2b~</v>
      </c>
      <c r="M5058" s="93" t="s">
        <v>7924</v>
      </c>
      <c r="N5058" s="89"/>
      <c r="O5058" s="97">
        <v>1.7408978E7</v>
      </c>
      <c r="P5058" s="110">
        <v>1.5297098E7</v>
      </c>
      <c r="Q5058" s="93" t="s">
        <v>838</v>
      </c>
      <c r="AF5058" s="1"/>
      <c r="AG5058" s="1"/>
    </row>
    <row r="5059" ht="15.75" customHeight="1">
      <c r="A5059" s="1"/>
      <c r="B5059" s="1"/>
      <c r="C5059" s="1"/>
      <c r="D5059" s="1"/>
      <c r="E5059" s="1"/>
      <c r="F5059" s="1"/>
      <c r="G5059" s="1"/>
      <c r="H5059" s="1"/>
      <c r="I5059" s="1"/>
      <c r="J5059" s="1"/>
      <c r="K5059" s="93" t="s">
        <v>7925</v>
      </c>
      <c r="L5059" s="112" t="str">
        <f>K203</f>
        <v>C2a1a1b1b2b~</v>
      </c>
      <c r="M5059" s="93" t="s">
        <v>7926</v>
      </c>
      <c r="N5059" s="89"/>
      <c r="O5059" s="97">
        <v>1.6385313E7</v>
      </c>
      <c r="P5059" s="110">
        <v>1.4273433E7</v>
      </c>
      <c r="Q5059" s="93" t="s">
        <v>810</v>
      </c>
      <c r="AF5059" s="1"/>
      <c r="AG5059" s="1"/>
    </row>
    <row r="5060" ht="15.75" customHeight="1">
      <c r="A5060" s="1"/>
      <c r="B5060" s="1"/>
      <c r="C5060" s="1"/>
      <c r="D5060" s="1"/>
      <c r="E5060" s="1"/>
      <c r="F5060" s="1"/>
      <c r="G5060" s="1"/>
      <c r="H5060" s="1"/>
      <c r="I5060" s="1"/>
      <c r="J5060" s="1"/>
      <c r="K5060" s="93" t="s">
        <v>7927</v>
      </c>
      <c r="L5060" s="112" t="str">
        <f>K203</f>
        <v>C2a1a1b1b2b~</v>
      </c>
      <c r="M5060" s="93" t="s">
        <v>7928</v>
      </c>
      <c r="N5060" s="89"/>
      <c r="O5060" s="97">
        <v>1.6385313E7</v>
      </c>
      <c r="P5060" s="110">
        <v>1.4273433E7</v>
      </c>
      <c r="Q5060" s="93" t="s">
        <v>810</v>
      </c>
      <c r="AF5060" s="1"/>
      <c r="AG5060" s="1"/>
    </row>
    <row r="5061" ht="15.75" customHeight="1">
      <c r="A5061" s="1"/>
      <c r="B5061" s="1"/>
      <c r="C5061" s="1"/>
      <c r="D5061" s="1"/>
      <c r="E5061" s="1"/>
      <c r="F5061" s="1"/>
      <c r="G5061" s="1"/>
      <c r="H5061" s="1"/>
      <c r="I5061" s="1"/>
      <c r="J5061" s="1"/>
      <c r="K5061" s="93" t="s">
        <v>7929</v>
      </c>
      <c r="L5061" s="112" t="str">
        <f>K203</f>
        <v>C2a1a1b1b2b~</v>
      </c>
      <c r="M5061" s="93" t="s">
        <v>7930</v>
      </c>
      <c r="N5061" s="89"/>
      <c r="O5061" s="97">
        <v>1.6385313E7</v>
      </c>
      <c r="P5061" s="110">
        <v>1.4273433E7</v>
      </c>
      <c r="Q5061" s="93" t="s">
        <v>810</v>
      </c>
      <c r="AF5061" s="1"/>
      <c r="AG5061" s="1"/>
    </row>
    <row r="5062" ht="15.75" customHeight="1">
      <c r="A5062" s="1"/>
      <c r="B5062" s="1"/>
      <c r="C5062" s="1"/>
      <c r="D5062" s="1"/>
      <c r="E5062" s="1"/>
      <c r="F5062" s="1"/>
      <c r="G5062" s="1"/>
      <c r="H5062" s="1"/>
      <c r="I5062" s="1"/>
      <c r="J5062" s="1"/>
      <c r="K5062" s="93" t="s">
        <v>7931</v>
      </c>
      <c r="L5062" s="112" t="str">
        <f>K203</f>
        <v>C2a1a1b1b2b~</v>
      </c>
      <c r="M5062" s="93" t="s">
        <v>7932</v>
      </c>
      <c r="N5062" s="89"/>
      <c r="O5062" s="97">
        <v>1.636474E7</v>
      </c>
      <c r="P5062" s="110">
        <v>1.425286E7</v>
      </c>
      <c r="Q5062" s="93" t="s">
        <v>879</v>
      </c>
      <c r="AF5062" s="1"/>
      <c r="AG5062" s="1"/>
    </row>
    <row r="5063" ht="15.75" customHeight="1">
      <c r="A5063" s="1"/>
      <c r="B5063" s="1"/>
      <c r="C5063" s="1"/>
      <c r="D5063" s="1"/>
      <c r="E5063" s="1"/>
      <c r="F5063" s="1"/>
      <c r="G5063" s="1"/>
      <c r="H5063" s="1"/>
      <c r="I5063" s="1"/>
      <c r="J5063" s="1"/>
      <c r="K5063" s="93" t="s">
        <v>7933</v>
      </c>
      <c r="L5063" s="112" t="str">
        <f>K203</f>
        <v>C2a1a1b1b2b~</v>
      </c>
      <c r="M5063" s="93" t="s">
        <v>7934</v>
      </c>
      <c r="N5063" s="89"/>
      <c r="O5063" s="97">
        <v>1.636474E7</v>
      </c>
      <c r="P5063" s="110">
        <v>1.425286E7</v>
      </c>
      <c r="Q5063" s="93" t="s">
        <v>879</v>
      </c>
      <c r="AF5063" s="1"/>
      <c r="AG5063" s="1"/>
    </row>
    <row r="5064" ht="15.75" customHeight="1">
      <c r="A5064" s="1"/>
      <c r="B5064" s="1"/>
      <c r="C5064" s="1"/>
      <c r="D5064" s="1"/>
      <c r="E5064" s="1"/>
      <c r="F5064" s="1"/>
      <c r="G5064" s="1"/>
      <c r="H5064" s="1"/>
      <c r="I5064" s="1"/>
      <c r="J5064" s="1"/>
      <c r="K5064" s="93" t="s">
        <v>7935</v>
      </c>
      <c r="L5064" s="112" t="str">
        <f>K203</f>
        <v>C2a1a1b1b2b~</v>
      </c>
      <c r="M5064" s="93" t="s">
        <v>7936</v>
      </c>
      <c r="N5064" s="89"/>
      <c r="O5064" s="97">
        <v>1.636474E7</v>
      </c>
      <c r="P5064" s="110">
        <v>1.425286E7</v>
      </c>
      <c r="Q5064" s="93" t="s">
        <v>879</v>
      </c>
      <c r="AF5064" s="1"/>
      <c r="AG5064" s="1"/>
    </row>
    <row r="5065" ht="15.75" customHeight="1">
      <c r="A5065" s="1"/>
      <c r="B5065" s="1"/>
      <c r="C5065" s="1"/>
      <c r="D5065" s="1"/>
      <c r="E5065" s="1"/>
      <c r="F5065" s="1"/>
      <c r="G5065" s="1"/>
      <c r="H5065" s="1"/>
      <c r="I5065" s="1"/>
      <c r="J5065" s="1"/>
      <c r="K5065" s="93" t="s">
        <v>7937</v>
      </c>
      <c r="L5065" s="112" t="str">
        <f>K203</f>
        <v>C2a1a1b1b2b~</v>
      </c>
      <c r="M5065" s="93" t="s">
        <v>7938</v>
      </c>
      <c r="N5065" s="89"/>
      <c r="O5065" s="97">
        <v>8820313.0</v>
      </c>
      <c r="P5065" s="110">
        <v>8952272.0</v>
      </c>
      <c r="Q5065" s="93" t="s">
        <v>838</v>
      </c>
      <c r="AF5065" s="1"/>
      <c r="AG5065" s="1"/>
    </row>
    <row r="5066" ht="15.75" customHeight="1">
      <c r="A5066" s="1"/>
      <c r="B5066" s="1"/>
      <c r="C5066" s="1"/>
      <c r="D5066" s="1"/>
      <c r="E5066" s="1"/>
      <c r="F5066" s="1"/>
      <c r="G5066" s="1"/>
      <c r="H5066" s="1"/>
      <c r="I5066" s="1"/>
      <c r="J5066" s="1"/>
      <c r="K5066" s="93" t="s">
        <v>7939</v>
      </c>
      <c r="L5066" s="112" t="str">
        <f>K203</f>
        <v>C2a1a1b1b2b~</v>
      </c>
      <c r="M5066" s="93" t="s">
        <v>7940</v>
      </c>
      <c r="N5066" s="89"/>
      <c r="O5066" s="97">
        <v>8820313.0</v>
      </c>
      <c r="P5066" s="110">
        <v>8952272.0</v>
      </c>
      <c r="Q5066" s="93" t="s">
        <v>838</v>
      </c>
      <c r="AF5066" s="1"/>
      <c r="AG5066" s="1"/>
    </row>
    <row r="5067" ht="15.75" customHeight="1">
      <c r="A5067" s="1"/>
      <c r="B5067" s="1"/>
      <c r="C5067" s="1"/>
      <c r="D5067" s="1"/>
      <c r="E5067" s="1"/>
      <c r="F5067" s="1"/>
      <c r="G5067" s="1"/>
      <c r="H5067" s="1"/>
      <c r="I5067" s="1"/>
      <c r="J5067" s="1"/>
      <c r="K5067" s="93" t="s">
        <v>7941</v>
      </c>
      <c r="L5067" s="112" t="str">
        <f>K203</f>
        <v>C2a1a1b1b2b~</v>
      </c>
      <c r="M5067" s="93" t="s">
        <v>7942</v>
      </c>
      <c r="N5067" s="89"/>
      <c r="O5067" s="97">
        <v>8820313.0</v>
      </c>
      <c r="P5067" s="110">
        <v>8952272.0</v>
      </c>
      <c r="Q5067" s="93" t="s">
        <v>838</v>
      </c>
      <c r="AF5067" s="1"/>
      <c r="AG5067" s="1"/>
    </row>
    <row r="5068" ht="15.75" customHeight="1">
      <c r="A5068" s="1"/>
      <c r="B5068" s="1"/>
      <c r="C5068" s="1"/>
      <c r="D5068" s="1"/>
      <c r="E5068" s="1"/>
      <c r="F5068" s="1"/>
      <c r="G5068" s="1"/>
      <c r="H5068" s="1"/>
      <c r="I5068" s="1"/>
      <c r="J5068" s="1"/>
      <c r="K5068" s="93" t="s">
        <v>7943</v>
      </c>
      <c r="L5068" s="112" t="str">
        <f>K203</f>
        <v>C2a1a1b1b2b~</v>
      </c>
      <c r="M5068" s="93" t="s">
        <v>7944</v>
      </c>
      <c r="N5068" s="89"/>
      <c r="O5068" s="97">
        <v>2848955.0</v>
      </c>
      <c r="P5068" s="110">
        <v>2980914.0</v>
      </c>
      <c r="Q5068" s="93" t="s">
        <v>838</v>
      </c>
      <c r="AF5068" s="1"/>
      <c r="AG5068" s="1"/>
    </row>
    <row r="5069" ht="15.75" customHeight="1">
      <c r="A5069" s="1"/>
      <c r="B5069" s="1"/>
      <c r="C5069" s="1"/>
      <c r="D5069" s="1"/>
      <c r="E5069" s="1"/>
      <c r="F5069" s="1"/>
      <c r="G5069" s="1"/>
      <c r="H5069" s="1"/>
      <c r="I5069" s="1"/>
      <c r="J5069" s="1"/>
      <c r="K5069" s="93" t="s">
        <v>7945</v>
      </c>
      <c r="L5069" s="112" t="str">
        <f>K203</f>
        <v>C2a1a1b1b2b~</v>
      </c>
      <c r="M5069" s="93" t="s">
        <v>7946</v>
      </c>
      <c r="N5069" s="89"/>
      <c r="O5069" s="97">
        <v>2848955.0</v>
      </c>
      <c r="P5069" s="110">
        <v>2980914.0</v>
      </c>
      <c r="Q5069" s="93" t="s">
        <v>838</v>
      </c>
      <c r="AF5069" s="1"/>
      <c r="AG5069" s="1"/>
    </row>
    <row r="5070" ht="15.75" customHeight="1">
      <c r="A5070" s="1"/>
      <c r="B5070" s="1"/>
      <c r="C5070" s="1"/>
      <c r="D5070" s="1"/>
      <c r="E5070" s="1"/>
      <c r="F5070" s="1"/>
      <c r="G5070" s="1"/>
      <c r="H5070" s="1"/>
      <c r="I5070" s="1"/>
      <c r="J5070" s="94"/>
      <c r="K5070" s="93" t="s">
        <v>7947</v>
      </c>
      <c r="L5070" s="112" t="str">
        <f>K203</f>
        <v>C2a1a1b1b2b~</v>
      </c>
      <c r="M5070" s="93" t="s">
        <v>7948</v>
      </c>
      <c r="N5070" s="89"/>
      <c r="O5070" s="97">
        <v>2848955.0</v>
      </c>
      <c r="P5070" s="110">
        <v>2980914.0</v>
      </c>
      <c r="Q5070" s="93" t="s">
        <v>838</v>
      </c>
      <c r="AF5070" s="1"/>
      <c r="AG5070" s="1"/>
    </row>
    <row r="5071" ht="15.75" customHeight="1">
      <c r="A5071" s="1"/>
      <c r="B5071" s="1"/>
      <c r="C5071" s="1"/>
      <c r="D5071" s="1"/>
      <c r="E5071" s="1"/>
      <c r="F5071" s="1"/>
      <c r="G5071" s="1"/>
      <c r="H5071" s="1"/>
      <c r="I5071" s="1"/>
      <c r="J5071" s="1"/>
      <c r="K5071" s="89" t="s">
        <v>7949</v>
      </c>
      <c r="L5071" s="89" t="str">
        <f>H204</f>
        <v>C2a1a1b2</v>
      </c>
      <c r="M5071" s="89"/>
      <c r="N5071" s="89"/>
      <c r="O5071" s="92">
        <v>2792795.0</v>
      </c>
      <c r="P5071" s="92">
        <v>2924754.0</v>
      </c>
      <c r="Q5071" s="89" t="s">
        <v>838</v>
      </c>
      <c r="AF5071" s="1"/>
      <c r="AG5071" s="1"/>
    </row>
    <row r="5072" ht="15.75" customHeight="1">
      <c r="A5072" s="1"/>
      <c r="B5072" s="1"/>
      <c r="C5072" s="1"/>
      <c r="D5072" s="1"/>
      <c r="E5072" s="1"/>
      <c r="F5072" s="1"/>
      <c r="G5072" s="1"/>
      <c r="H5072" s="1"/>
      <c r="I5072" s="1"/>
      <c r="J5072" s="1"/>
      <c r="K5072" s="89" t="s">
        <v>7950</v>
      </c>
      <c r="L5072" s="89" t="str">
        <f>H204</f>
        <v>C2a1a1b2</v>
      </c>
      <c r="M5072" s="89"/>
      <c r="N5072" s="89" t="s">
        <v>7951</v>
      </c>
      <c r="O5072" s="92">
        <v>1.8183045E7</v>
      </c>
      <c r="P5072" s="92">
        <v>1.6071165E7</v>
      </c>
      <c r="Q5072" s="89" t="s">
        <v>810</v>
      </c>
      <c r="AF5072" s="1"/>
      <c r="AG5072" s="1"/>
    </row>
    <row r="5073" ht="15.75" customHeight="1">
      <c r="A5073" s="1"/>
      <c r="B5073" s="1"/>
      <c r="C5073" s="1"/>
      <c r="D5073" s="1"/>
      <c r="E5073" s="1"/>
      <c r="F5073" s="1"/>
      <c r="G5073" s="1"/>
      <c r="H5073" s="1"/>
      <c r="I5073" s="1"/>
      <c r="J5073" s="1"/>
      <c r="K5073" s="89" t="s">
        <v>7952</v>
      </c>
      <c r="L5073" s="89" t="str">
        <f>H204</f>
        <v>C2a1a1b2</v>
      </c>
      <c r="M5073" s="89"/>
      <c r="N5073" s="89"/>
      <c r="O5073" s="92">
        <v>2798927.0</v>
      </c>
      <c r="P5073" s="92">
        <v>2930886.0</v>
      </c>
      <c r="Q5073" s="89" t="s">
        <v>802</v>
      </c>
      <c r="AF5073" s="1"/>
      <c r="AG5073" s="1"/>
    </row>
    <row r="5074" ht="15.75" customHeight="1">
      <c r="A5074" s="1"/>
      <c r="B5074" s="1"/>
      <c r="C5074" s="1"/>
      <c r="D5074" s="1"/>
      <c r="E5074" s="1"/>
      <c r="F5074" s="1"/>
      <c r="G5074" s="1"/>
      <c r="H5074" s="1"/>
      <c r="I5074" s="1"/>
      <c r="J5074" s="1"/>
      <c r="K5074" s="89" t="s">
        <v>7953</v>
      </c>
      <c r="L5074" s="89" t="str">
        <f>H204</f>
        <v>C2a1a1b2</v>
      </c>
      <c r="M5074" s="89"/>
      <c r="N5074" s="89"/>
      <c r="O5074" s="92">
        <v>6899649.0</v>
      </c>
      <c r="P5074" s="92">
        <v>7031608.0</v>
      </c>
      <c r="Q5074" s="89" t="s">
        <v>822</v>
      </c>
      <c r="AF5074" s="1"/>
      <c r="AG5074" s="1"/>
    </row>
    <row r="5075" ht="15.75" customHeight="1">
      <c r="A5075" s="1"/>
      <c r="B5075" s="1"/>
      <c r="C5075" s="1"/>
      <c r="D5075" s="1"/>
      <c r="E5075" s="1"/>
      <c r="F5075" s="1"/>
      <c r="G5075" s="1"/>
      <c r="H5075" s="1"/>
      <c r="I5075" s="1"/>
      <c r="J5075" s="1"/>
      <c r="K5075" s="89" t="s">
        <v>7954</v>
      </c>
      <c r="L5075" s="89" t="str">
        <f>H204</f>
        <v>C2a1a1b2</v>
      </c>
      <c r="M5075" s="89"/>
      <c r="N5075" s="89"/>
      <c r="O5075" s="89">
        <v>7011760.0</v>
      </c>
      <c r="P5075" s="89">
        <v>7143719.0</v>
      </c>
      <c r="Q5075" s="89" t="s">
        <v>810</v>
      </c>
      <c r="AF5075" s="1"/>
      <c r="AG5075" s="1"/>
    </row>
    <row r="5076" ht="15.75" customHeight="1">
      <c r="A5076" s="1"/>
      <c r="B5076" s="1"/>
      <c r="C5076" s="1"/>
      <c r="D5076" s="1"/>
      <c r="E5076" s="1"/>
      <c r="F5076" s="1"/>
      <c r="G5076" s="1"/>
      <c r="H5076" s="1"/>
      <c r="I5076" s="1"/>
      <c r="J5076" s="1"/>
      <c r="K5076" s="89" t="s">
        <v>7955</v>
      </c>
      <c r="L5076" s="89" t="str">
        <f>H204</f>
        <v>C2a1a1b2</v>
      </c>
      <c r="M5076" s="89"/>
      <c r="N5076" s="89"/>
      <c r="O5076" s="89">
        <v>7256157.0</v>
      </c>
      <c r="P5076" s="89">
        <v>7388116.0</v>
      </c>
      <c r="Q5076" s="89" t="s">
        <v>831</v>
      </c>
      <c r="AF5076" s="1"/>
      <c r="AG5076" s="1"/>
    </row>
    <row r="5077" ht="15.75" customHeight="1">
      <c r="A5077" s="1"/>
      <c r="B5077" s="1"/>
      <c r="C5077" s="1"/>
      <c r="D5077" s="1"/>
      <c r="E5077" s="1"/>
      <c r="F5077" s="1"/>
      <c r="G5077" s="1"/>
      <c r="H5077" s="1"/>
      <c r="I5077" s="1"/>
      <c r="J5077" s="1"/>
      <c r="K5077" s="89" t="s">
        <v>7956</v>
      </c>
      <c r="L5077" s="89" t="str">
        <f>H204</f>
        <v>C2a1a1b2</v>
      </c>
      <c r="M5077" s="89"/>
      <c r="N5077" s="89"/>
      <c r="O5077" s="92">
        <v>7520256.0</v>
      </c>
      <c r="P5077" s="92">
        <v>7652215.0</v>
      </c>
      <c r="Q5077" s="89" t="s">
        <v>822</v>
      </c>
      <c r="AF5077" s="1"/>
      <c r="AG5077" s="1"/>
    </row>
    <row r="5078" ht="15.75" customHeight="1">
      <c r="A5078" s="1"/>
      <c r="B5078" s="1"/>
      <c r="C5078" s="1"/>
      <c r="D5078" s="1"/>
      <c r="E5078" s="1"/>
      <c r="F5078" s="1"/>
      <c r="G5078" s="1"/>
      <c r="H5078" s="1"/>
      <c r="I5078" s="1"/>
      <c r="J5078" s="1"/>
      <c r="K5078" s="89" t="s">
        <v>7957</v>
      </c>
      <c r="L5078" s="89" t="str">
        <f>H204</f>
        <v>C2a1a1b2</v>
      </c>
      <c r="M5078" s="89"/>
      <c r="N5078" s="89"/>
      <c r="O5078" s="92">
        <v>7522438.0</v>
      </c>
      <c r="P5078" s="92">
        <v>7654397.0</v>
      </c>
      <c r="Q5078" s="89" t="s">
        <v>810</v>
      </c>
      <c r="AF5078" s="1"/>
      <c r="AG5078" s="1"/>
    </row>
    <row r="5079" ht="15.75" customHeight="1">
      <c r="A5079" s="1"/>
      <c r="B5079" s="1"/>
      <c r="C5079" s="1"/>
      <c r="D5079" s="1"/>
      <c r="E5079" s="1"/>
      <c r="F5079" s="1"/>
      <c r="G5079" s="1"/>
      <c r="H5079" s="1"/>
      <c r="I5079" s="1"/>
      <c r="J5079" s="1"/>
      <c r="K5079" s="89" t="s">
        <v>7958</v>
      </c>
      <c r="L5079" s="89" t="str">
        <f>H204</f>
        <v>C2a1a1b2</v>
      </c>
      <c r="M5079" s="89"/>
      <c r="N5079" s="89"/>
      <c r="O5079" s="92">
        <v>8179704.0</v>
      </c>
      <c r="P5079" s="92">
        <v>8311663.0</v>
      </c>
      <c r="Q5079" s="89" t="s">
        <v>810</v>
      </c>
      <c r="AF5079" s="1"/>
      <c r="AG5079" s="1"/>
    </row>
    <row r="5080" ht="15.75" customHeight="1">
      <c r="A5080" s="1"/>
      <c r="B5080" s="1"/>
      <c r="C5080" s="1"/>
      <c r="D5080" s="1"/>
      <c r="E5080" s="1"/>
      <c r="F5080" s="1"/>
      <c r="G5080" s="1"/>
      <c r="H5080" s="1"/>
      <c r="I5080" s="1"/>
      <c r="J5080" s="1"/>
      <c r="K5080" s="89" t="s">
        <v>7959</v>
      </c>
      <c r="L5080" s="89" t="str">
        <f>H204</f>
        <v>C2a1a1b2</v>
      </c>
      <c r="M5080" s="89"/>
      <c r="N5080" s="89"/>
      <c r="O5080" s="92">
        <v>8213501.0</v>
      </c>
      <c r="P5080" s="92">
        <v>8345460.0</v>
      </c>
      <c r="Q5080" s="89" t="s">
        <v>822</v>
      </c>
      <c r="AF5080" s="1"/>
      <c r="AG5080" s="1"/>
    </row>
    <row r="5081" ht="15.75" customHeight="1">
      <c r="A5081" s="1"/>
      <c r="B5081" s="1"/>
      <c r="C5081" s="1"/>
      <c r="D5081" s="1"/>
      <c r="E5081" s="1"/>
      <c r="F5081" s="1"/>
      <c r="G5081" s="1"/>
      <c r="H5081" s="1"/>
      <c r="I5081" s="1"/>
      <c r="J5081" s="1"/>
      <c r="K5081" s="89" t="s">
        <v>7960</v>
      </c>
      <c r="L5081" s="89" t="str">
        <f>H204</f>
        <v>C2a1a1b2</v>
      </c>
      <c r="M5081" s="89"/>
      <c r="N5081" s="89"/>
      <c r="O5081" s="92">
        <v>8554786.0</v>
      </c>
      <c r="P5081" s="92">
        <v>8686745.0</v>
      </c>
      <c r="Q5081" s="89" t="s">
        <v>886</v>
      </c>
      <c r="AF5081" s="1"/>
      <c r="AG5081" s="1"/>
    </row>
    <row r="5082" ht="15.75" customHeight="1">
      <c r="A5082" s="1"/>
      <c r="B5082" s="1"/>
      <c r="C5082" s="1"/>
      <c r="D5082" s="1"/>
      <c r="E5082" s="1"/>
      <c r="F5082" s="1"/>
      <c r="G5082" s="1"/>
      <c r="H5082" s="1"/>
      <c r="I5082" s="1"/>
      <c r="J5082" s="1"/>
      <c r="K5082" s="89" t="s">
        <v>7961</v>
      </c>
      <c r="L5082" s="89" t="str">
        <f>H204</f>
        <v>C2a1a1b2</v>
      </c>
      <c r="M5082" s="89"/>
      <c r="N5082" s="89"/>
      <c r="O5082" s="92">
        <v>8593918.0</v>
      </c>
      <c r="P5082" s="92">
        <v>8725877.0</v>
      </c>
      <c r="Q5082" s="89" t="s">
        <v>810</v>
      </c>
      <c r="AF5082" s="1"/>
      <c r="AG5082" s="1"/>
    </row>
    <row r="5083" ht="15.75" customHeight="1">
      <c r="A5083" s="1"/>
      <c r="B5083" s="1"/>
      <c r="C5083" s="1"/>
      <c r="D5083" s="1"/>
      <c r="E5083" s="1"/>
      <c r="F5083" s="1"/>
      <c r="G5083" s="1"/>
      <c r="H5083" s="1"/>
      <c r="I5083" s="1"/>
      <c r="J5083" s="1"/>
      <c r="K5083" s="89" t="s">
        <v>7962</v>
      </c>
      <c r="L5083" s="89" t="str">
        <f>H204</f>
        <v>C2a1a1b2</v>
      </c>
      <c r="M5083" s="89"/>
      <c r="N5083" s="89"/>
      <c r="O5083" s="92">
        <v>9085130.0</v>
      </c>
      <c r="P5083" s="92">
        <v>9247521.0</v>
      </c>
      <c r="Q5083" s="89" t="s">
        <v>864</v>
      </c>
      <c r="AF5083" s="1"/>
      <c r="AG5083" s="1"/>
    </row>
    <row r="5084" ht="15.75" customHeight="1">
      <c r="A5084" s="1"/>
      <c r="B5084" s="1"/>
      <c r="C5084" s="1"/>
      <c r="D5084" s="1"/>
      <c r="E5084" s="1"/>
      <c r="F5084" s="1"/>
      <c r="G5084" s="1"/>
      <c r="H5084" s="1"/>
      <c r="I5084" s="1"/>
      <c r="J5084" s="1"/>
      <c r="K5084" s="89" t="s">
        <v>7963</v>
      </c>
      <c r="L5084" s="89" t="str">
        <f>H204</f>
        <v>C2a1a1b2</v>
      </c>
      <c r="M5084" s="89"/>
      <c r="N5084" s="89"/>
      <c r="O5084" s="92">
        <v>1.422165E7</v>
      </c>
      <c r="P5084" s="92">
        <v>1.2100944E7</v>
      </c>
      <c r="Q5084" s="89" t="s">
        <v>864</v>
      </c>
      <c r="AF5084" s="1"/>
      <c r="AG5084" s="1"/>
    </row>
    <row r="5085" ht="15.75" customHeight="1">
      <c r="A5085" s="1"/>
      <c r="B5085" s="1"/>
      <c r="C5085" s="1"/>
      <c r="D5085" s="1"/>
      <c r="E5085" s="1"/>
      <c r="F5085" s="1"/>
      <c r="G5085" s="1"/>
      <c r="H5085" s="1"/>
      <c r="I5085" s="1"/>
      <c r="J5085" s="1"/>
      <c r="K5085" s="89" t="s">
        <v>7964</v>
      </c>
      <c r="L5085" s="89" t="str">
        <f>H204</f>
        <v>C2a1a1b2</v>
      </c>
      <c r="M5085" s="89"/>
      <c r="N5085" s="89"/>
      <c r="O5085" s="92">
        <v>1.4248799E7</v>
      </c>
      <c r="P5085" s="92">
        <v>1.2128093E7</v>
      </c>
      <c r="Q5085" s="89" t="s">
        <v>802</v>
      </c>
      <c r="AF5085" s="1"/>
      <c r="AG5085" s="1"/>
    </row>
    <row r="5086" ht="15.75" customHeight="1">
      <c r="A5086" s="1"/>
      <c r="B5086" s="1"/>
      <c r="C5086" s="1"/>
      <c r="D5086" s="1"/>
      <c r="E5086" s="1"/>
      <c r="F5086" s="1"/>
      <c r="G5086" s="1"/>
      <c r="H5086" s="1"/>
      <c r="I5086" s="1"/>
      <c r="J5086" s="1"/>
      <c r="K5086" s="89" t="s">
        <v>7965</v>
      </c>
      <c r="L5086" s="89" t="str">
        <f>H204</f>
        <v>C2a1a1b2</v>
      </c>
      <c r="M5086" s="89"/>
      <c r="N5086" s="89"/>
      <c r="O5086" s="92">
        <v>1.4755577E7</v>
      </c>
      <c r="P5086" s="92">
        <v>1.2643646E7</v>
      </c>
      <c r="Q5086" s="89" t="s">
        <v>822</v>
      </c>
      <c r="AF5086" s="1"/>
      <c r="AG5086" s="1"/>
    </row>
    <row r="5087" ht="15.75" customHeight="1">
      <c r="A5087" s="1"/>
      <c r="B5087" s="1"/>
      <c r="C5087" s="1"/>
      <c r="D5087" s="1"/>
      <c r="E5087" s="1"/>
      <c r="F5087" s="1"/>
      <c r="G5087" s="1"/>
      <c r="H5087" s="1"/>
      <c r="I5087" s="1"/>
      <c r="J5087" s="1"/>
      <c r="K5087" s="89" t="s">
        <v>7966</v>
      </c>
      <c r="L5087" s="89" t="str">
        <f>H204</f>
        <v>C2a1a1b2</v>
      </c>
      <c r="M5087" s="89"/>
      <c r="N5087" s="89"/>
      <c r="O5087" s="92">
        <v>1.4861648E7</v>
      </c>
      <c r="P5087" s="92">
        <v>1.2749714E7</v>
      </c>
      <c r="Q5087" s="89" t="s">
        <v>822</v>
      </c>
      <c r="AF5087" s="1"/>
      <c r="AG5087" s="1"/>
    </row>
    <row r="5088" ht="15.75" customHeight="1">
      <c r="A5088" s="1"/>
      <c r="B5088" s="1"/>
      <c r="C5088" s="1"/>
      <c r="D5088" s="1"/>
      <c r="E5088" s="1"/>
      <c r="F5088" s="1"/>
      <c r="G5088" s="1"/>
      <c r="H5088" s="1"/>
      <c r="I5088" s="1"/>
      <c r="J5088" s="1"/>
      <c r="K5088" s="89" t="s">
        <v>7967</v>
      </c>
      <c r="L5088" s="89" t="str">
        <f>H204</f>
        <v>C2a1a1b2</v>
      </c>
      <c r="M5088" s="89"/>
      <c r="N5088" s="89"/>
      <c r="O5088" s="92">
        <v>1.4933662E7</v>
      </c>
      <c r="P5088" s="92">
        <v>1.2821727E7</v>
      </c>
      <c r="Q5088" s="89" t="s">
        <v>810</v>
      </c>
      <c r="AF5088" s="1"/>
      <c r="AG5088" s="1"/>
    </row>
    <row r="5089" ht="15.75" customHeight="1">
      <c r="A5089" s="1"/>
      <c r="B5089" s="1"/>
      <c r="C5089" s="1"/>
      <c r="D5089" s="1"/>
      <c r="E5089" s="1"/>
      <c r="F5089" s="1"/>
      <c r="G5089" s="1"/>
      <c r="H5089" s="1"/>
      <c r="I5089" s="1"/>
      <c r="J5089" s="1"/>
      <c r="K5089" s="89" t="s">
        <v>7968</v>
      </c>
      <c r="L5089" s="89" t="str">
        <f>H204</f>
        <v>C2a1a1b2</v>
      </c>
      <c r="M5089" s="89"/>
      <c r="N5089" s="89" t="s">
        <v>7969</v>
      </c>
      <c r="O5089" s="92">
        <v>1.496494E7</v>
      </c>
      <c r="P5089" s="92">
        <v>1.2853015E7</v>
      </c>
      <c r="Q5089" s="89" t="s">
        <v>802</v>
      </c>
      <c r="AF5089" s="1"/>
      <c r="AG5089" s="1"/>
    </row>
    <row r="5090" ht="15.75" customHeight="1">
      <c r="A5090" s="1"/>
      <c r="B5090" s="1"/>
      <c r="C5090" s="1"/>
      <c r="D5090" s="1"/>
      <c r="E5090" s="1"/>
      <c r="F5090" s="1"/>
      <c r="G5090" s="1"/>
      <c r="H5090" s="1"/>
      <c r="I5090" s="1"/>
      <c r="J5090" s="1"/>
      <c r="K5090" s="89" t="s">
        <v>7970</v>
      </c>
      <c r="L5090" s="89" t="str">
        <f>H204</f>
        <v>C2a1a1b2</v>
      </c>
      <c r="M5090" s="89"/>
      <c r="N5090" s="89"/>
      <c r="O5090" s="92">
        <v>1.5053405E7</v>
      </c>
      <c r="P5090" s="92">
        <v>1.2941496E7</v>
      </c>
      <c r="Q5090" s="89" t="s">
        <v>838</v>
      </c>
      <c r="AF5090" s="1"/>
      <c r="AG5090" s="1"/>
    </row>
    <row r="5091" ht="15.75" customHeight="1">
      <c r="A5091" s="1"/>
      <c r="B5091" s="1"/>
      <c r="C5091" s="1"/>
      <c r="D5091" s="1"/>
      <c r="E5091" s="1"/>
      <c r="F5091" s="1"/>
      <c r="G5091" s="1"/>
      <c r="H5091" s="1"/>
      <c r="I5091" s="1"/>
      <c r="J5091" s="1"/>
      <c r="K5091" s="89" t="s">
        <v>7971</v>
      </c>
      <c r="L5091" s="89" t="str">
        <f>H204</f>
        <v>C2a1a1b2</v>
      </c>
      <c r="M5091" s="89"/>
      <c r="N5091" s="89"/>
      <c r="O5091" s="92">
        <v>1.5592878E7</v>
      </c>
      <c r="P5091" s="92">
        <v>1.3480998E7</v>
      </c>
      <c r="Q5091" s="89" t="s">
        <v>822</v>
      </c>
      <c r="AF5091" s="1"/>
      <c r="AG5091" s="1"/>
    </row>
    <row r="5092" ht="15.75" customHeight="1">
      <c r="A5092" s="1"/>
      <c r="B5092" s="1"/>
      <c r="C5092" s="1"/>
      <c r="D5092" s="1"/>
      <c r="E5092" s="1"/>
      <c r="F5092" s="1"/>
      <c r="G5092" s="1"/>
      <c r="H5092" s="1"/>
      <c r="I5092" s="1"/>
      <c r="J5092" s="1"/>
      <c r="K5092" s="89" t="s">
        <v>7972</v>
      </c>
      <c r="L5092" s="89" t="str">
        <f>H204</f>
        <v>C2a1a1b2</v>
      </c>
      <c r="M5092" s="89"/>
      <c r="N5092" s="89"/>
      <c r="O5092" s="92">
        <v>1.5693353E7</v>
      </c>
      <c r="P5092" s="92">
        <v>1.3581473E7</v>
      </c>
      <c r="Q5092" s="89" t="s">
        <v>810</v>
      </c>
      <c r="AF5092" s="1"/>
      <c r="AG5092" s="1"/>
    </row>
    <row r="5093" ht="15.75" customHeight="1">
      <c r="A5093" s="1"/>
      <c r="B5093" s="1"/>
      <c r="C5093" s="1"/>
      <c r="D5093" s="1"/>
      <c r="E5093" s="1"/>
      <c r="F5093" s="1"/>
      <c r="G5093" s="1"/>
      <c r="H5093" s="1"/>
      <c r="I5093" s="1"/>
      <c r="J5093" s="1"/>
      <c r="K5093" s="89" t="s">
        <v>7973</v>
      </c>
      <c r="L5093" s="89" t="str">
        <f>H204</f>
        <v>C2a1a1b2</v>
      </c>
      <c r="M5093" s="89"/>
      <c r="N5093" s="89"/>
      <c r="O5093" s="92">
        <v>1.5747577E7</v>
      </c>
      <c r="P5093" s="92">
        <v>1.3635697E7</v>
      </c>
      <c r="Q5093" s="89" t="s">
        <v>822</v>
      </c>
      <c r="AF5093" s="1"/>
      <c r="AG5093" s="1"/>
    </row>
    <row r="5094" ht="15.75" customHeight="1">
      <c r="A5094" s="1"/>
      <c r="B5094" s="1"/>
      <c r="C5094" s="1"/>
      <c r="D5094" s="1"/>
      <c r="E5094" s="1"/>
      <c r="F5094" s="1"/>
      <c r="G5094" s="1"/>
      <c r="H5094" s="1"/>
      <c r="I5094" s="1"/>
      <c r="J5094" s="1"/>
      <c r="K5094" s="89" t="s">
        <v>7974</v>
      </c>
      <c r="L5094" s="89" t="str">
        <f>H204</f>
        <v>C2a1a1b2</v>
      </c>
      <c r="M5094" s="89"/>
      <c r="N5094" s="89"/>
      <c r="O5094" s="92">
        <v>1.5894684E7</v>
      </c>
      <c r="P5094" s="92">
        <v>1.3782804E7</v>
      </c>
      <c r="Q5094" s="89" t="s">
        <v>802</v>
      </c>
      <c r="AF5094" s="1"/>
      <c r="AG5094" s="1"/>
    </row>
    <row r="5095" ht="15.75" customHeight="1">
      <c r="A5095" s="1"/>
      <c r="B5095" s="1"/>
      <c r="C5095" s="1"/>
      <c r="D5095" s="1"/>
      <c r="E5095" s="1"/>
      <c r="F5095" s="1"/>
      <c r="G5095" s="1"/>
      <c r="H5095" s="1"/>
      <c r="I5095" s="1"/>
      <c r="J5095" s="1"/>
      <c r="K5095" s="89" t="s">
        <v>7975</v>
      </c>
      <c r="L5095" s="89" t="str">
        <f>H204</f>
        <v>C2a1a1b2</v>
      </c>
      <c r="M5095" s="89"/>
      <c r="N5095" s="89"/>
      <c r="O5095" s="92">
        <v>1.6050515E7</v>
      </c>
      <c r="P5095" s="92">
        <v>1.3938635E7</v>
      </c>
      <c r="Q5095" s="89" t="s">
        <v>879</v>
      </c>
      <c r="AF5095" s="1"/>
      <c r="AG5095" s="1"/>
    </row>
    <row r="5096" ht="15.75" customHeight="1">
      <c r="A5096" s="1"/>
      <c r="B5096" s="1"/>
      <c r="C5096" s="1"/>
      <c r="D5096" s="1"/>
      <c r="E5096" s="1"/>
      <c r="F5096" s="1"/>
      <c r="G5096" s="1"/>
      <c r="H5096" s="1"/>
      <c r="I5096" s="1"/>
      <c r="J5096" s="1"/>
      <c r="K5096" s="89" t="s">
        <v>7976</v>
      </c>
      <c r="L5096" s="89" t="str">
        <f>H204</f>
        <v>C2a1a1b2</v>
      </c>
      <c r="M5096" s="89"/>
      <c r="N5096" s="89"/>
      <c r="O5096" s="92">
        <v>1.6704438E7</v>
      </c>
      <c r="P5096" s="92">
        <v>1.4592558E7</v>
      </c>
      <c r="Q5096" s="89" t="s">
        <v>886</v>
      </c>
      <c r="AF5096" s="1"/>
      <c r="AG5096" s="1"/>
    </row>
    <row r="5097" ht="15.75" customHeight="1">
      <c r="A5097" s="1"/>
      <c r="B5097" s="1"/>
      <c r="C5097" s="1"/>
      <c r="D5097" s="1"/>
      <c r="E5097" s="1"/>
      <c r="F5097" s="1"/>
      <c r="G5097" s="1"/>
      <c r="H5097" s="1"/>
      <c r="I5097" s="1"/>
      <c r="J5097" s="1"/>
      <c r="K5097" s="89" t="s">
        <v>7977</v>
      </c>
      <c r="L5097" s="89" t="str">
        <f>H204</f>
        <v>C2a1a1b2</v>
      </c>
      <c r="M5097" s="89"/>
      <c r="N5097" s="89"/>
      <c r="O5097" s="92">
        <v>1.6874605E7</v>
      </c>
      <c r="P5097" s="92">
        <v>1.4762725E7</v>
      </c>
      <c r="Q5097" s="89" t="s">
        <v>802</v>
      </c>
      <c r="AF5097" s="1"/>
      <c r="AG5097" s="1"/>
    </row>
    <row r="5098" ht="15.75" customHeight="1">
      <c r="A5098" s="1"/>
      <c r="B5098" s="1"/>
      <c r="C5098" s="1"/>
      <c r="D5098" s="1"/>
      <c r="E5098" s="1"/>
      <c r="F5098" s="1"/>
      <c r="G5098" s="1"/>
      <c r="H5098" s="1"/>
      <c r="I5098" s="1"/>
      <c r="J5098" s="1"/>
      <c r="K5098" s="89" t="s">
        <v>7978</v>
      </c>
      <c r="L5098" s="89" t="str">
        <f>H204</f>
        <v>C2a1a1b2</v>
      </c>
      <c r="M5098" s="89"/>
      <c r="N5098" s="89"/>
      <c r="O5098" s="92">
        <v>1.688951E7</v>
      </c>
      <c r="P5098" s="92">
        <v>1.477763E7</v>
      </c>
      <c r="Q5098" s="89" t="s">
        <v>810</v>
      </c>
      <c r="AF5098" s="1"/>
      <c r="AG5098" s="1"/>
    </row>
    <row r="5099" ht="15.75" customHeight="1">
      <c r="A5099" s="1"/>
      <c r="B5099" s="1"/>
      <c r="C5099" s="1"/>
      <c r="D5099" s="1"/>
      <c r="E5099" s="1"/>
      <c r="F5099" s="1"/>
      <c r="G5099" s="1"/>
      <c r="H5099" s="1"/>
      <c r="I5099" s="1"/>
      <c r="J5099" s="1"/>
      <c r="K5099" s="89" t="s">
        <v>7979</v>
      </c>
      <c r="L5099" s="89" t="str">
        <f>H204</f>
        <v>C2a1a1b2</v>
      </c>
      <c r="M5099" s="89"/>
      <c r="N5099" s="89"/>
      <c r="O5099" s="92">
        <v>1.7158588E7</v>
      </c>
      <c r="P5099" s="92">
        <v>1.5046708E7</v>
      </c>
      <c r="Q5099" s="89" t="s">
        <v>822</v>
      </c>
      <c r="AF5099" s="1"/>
      <c r="AG5099" s="1"/>
    </row>
    <row r="5100" ht="15.75" customHeight="1">
      <c r="A5100" s="1"/>
      <c r="B5100" s="1"/>
      <c r="C5100" s="1"/>
      <c r="D5100" s="1"/>
      <c r="E5100" s="1"/>
      <c r="F5100" s="1"/>
      <c r="G5100" s="1"/>
      <c r="H5100" s="1"/>
      <c r="I5100" s="1"/>
      <c r="J5100" s="1"/>
      <c r="K5100" s="89" t="s">
        <v>7980</v>
      </c>
      <c r="L5100" s="89" t="str">
        <f>H204</f>
        <v>C2a1a1b2</v>
      </c>
      <c r="M5100" s="89"/>
      <c r="N5100" s="89"/>
      <c r="O5100" s="92">
        <v>1.7259749E7</v>
      </c>
      <c r="P5100" s="92">
        <v>1.5147869E7</v>
      </c>
      <c r="Q5100" s="89" t="s">
        <v>802</v>
      </c>
      <c r="AF5100" s="1"/>
      <c r="AG5100" s="1"/>
    </row>
    <row r="5101" ht="15.75" customHeight="1">
      <c r="A5101" s="1"/>
      <c r="B5101" s="1"/>
      <c r="C5101" s="1"/>
      <c r="D5101" s="1"/>
      <c r="E5101" s="1"/>
      <c r="F5101" s="1"/>
      <c r="G5101" s="1"/>
      <c r="H5101" s="1"/>
      <c r="I5101" s="1"/>
      <c r="J5101" s="1"/>
      <c r="K5101" s="89" t="s">
        <v>7981</v>
      </c>
      <c r="L5101" s="89" t="str">
        <f>H204</f>
        <v>C2a1a1b2</v>
      </c>
      <c r="M5101" s="89"/>
      <c r="N5101" s="89"/>
      <c r="O5101" s="92">
        <v>1.737798E7</v>
      </c>
      <c r="P5101" s="92">
        <v>1.52661E7</v>
      </c>
      <c r="Q5101" s="89" t="s">
        <v>822</v>
      </c>
      <c r="AF5101" s="1"/>
      <c r="AG5101" s="1"/>
    </row>
    <row r="5102" ht="15.75" customHeight="1">
      <c r="A5102" s="1"/>
      <c r="B5102" s="1"/>
      <c r="C5102" s="1"/>
      <c r="D5102" s="1"/>
      <c r="E5102" s="1"/>
      <c r="F5102" s="1"/>
      <c r="G5102" s="1"/>
      <c r="H5102" s="1"/>
      <c r="I5102" s="1"/>
      <c r="J5102" s="1"/>
      <c r="K5102" s="89" t="s">
        <v>7982</v>
      </c>
      <c r="L5102" s="89" t="str">
        <f>H204</f>
        <v>C2a1a1b2</v>
      </c>
      <c r="M5102" s="89"/>
      <c r="N5102" s="89"/>
      <c r="O5102" s="92">
        <v>1.7975187E7</v>
      </c>
      <c r="P5102" s="92">
        <v>1.5863307E7</v>
      </c>
      <c r="Q5102" s="89" t="s">
        <v>810</v>
      </c>
      <c r="AF5102" s="1"/>
      <c r="AG5102" s="1"/>
    </row>
    <row r="5103" ht="15.75" customHeight="1">
      <c r="A5103" s="1"/>
      <c r="B5103" s="1"/>
      <c r="C5103" s="1"/>
      <c r="D5103" s="1"/>
      <c r="E5103" s="1"/>
      <c r="F5103" s="1"/>
      <c r="G5103" s="1"/>
      <c r="H5103" s="1"/>
      <c r="I5103" s="1"/>
      <c r="J5103" s="1"/>
      <c r="K5103" s="89" t="s">
        <v>7983</v>
      </c>
      <c r="L5103" s="89" t="str">
        <f>H204</f>
        <v>C2a1a1b2</v>
      </c>
      <c r="M5103" s="89"/>
      <c r="N5103" s="89"/>
      <c r="O5103" s="92">
        <v>1.8116012E7</v>
      </c>
      <c r="P5103" s="92">
        <v>1.6004132E7</v>
      </c>
      <c r="Q5103" s="89" t="s">
        <v>838</v>
      </c>
      <c r="AF5103" s="1"/>
      <c r="AG5103" s="1"/>
    </row>
    <row r="5104" ht="15.75" customHeight="1">
      <c r="A5104" s="1"/>
      <c r="B5104" s="1"/>
      <c r="C5104" s="1"/>
      <c r="D5104" s="1"/>
      <c r="E5104" s="1"/>
      <c r="F5104" s="1"/>
      <c r="G5104" s="1"/>
      <c r="H5104" s="1"/>
      <c r="I5104" s="1"/>
      <c r="J5104" s="1"/>
      <c r="K5104" s="89" t="s">
        <v>7984</v>
      </c>
      <c r="L5104" s="89" t="str">
        <f>H204</f>
        <v>C2a1a1b2</v>
      </c>
      <c r="M5104" s="89"/>
      <c r="N5104" s="89"/>
      <c r="O5104" s="92">
        <v>1.8240739E7</v>
      </c>
      <c r="P5104" s="92">
        <v>1.6128859E7</v>
      </c>
      <c r="Q5104" s="89" t="s">
        <v>879</v>
      </c>
      <c r="AF5104" s="1"/>
      <c r="AG5104" s="1"/>
    </row>
    <row r="5105" ht="15.75" customHeight="1">
      <c r="A5105" s="1"/>
      <c r="B5105" s="1"/>
      <c r="C5105" s="1"/>
      <c r="D5105" s="1"/>
      <c r="E5105" s="1"/>
      <c r="F5105" s="1"/>
      <c r="G5105" s="1"/>
      <c r="H5105" s="1"/>
      <c r="I5105" s="1"/>
      <c r="J5105" s="1"/>
      <c r="K5105" s="89" t="s">
        <v>7985</v>
      </c>
      <c r="L5105" s="89" t="str">
        <f>H204</f>
        <v>C2a1a1b2</v>
      </c>
      <c r="M5105" s="89"/>
      <c r="N5105" s="89"/>
      <c r="O5105" s="92">
        <v>1.8677455E7</v>
      </c>
      <c r="P5105" s="92">
        <v>1.6565575E7</v>
      </c>
      <c r="Q5105" s="89" t="s">
        <v>838</v>
      </c>
      <c r="AF5105" s="1"/>
      <c r="AG5105" s="1"/>
    </row>
    <row r="5106" ht="15.75" customHeight="1">
      <c r="A5106" s="1"/>
      <c r="B5106" s="1"/>
      <c r="C5106" s="1"/>
      <c r="D5106" s="1"/>
      <c r="E5106" s="1"/>
      <c r="F5106" s="1"/>
      <c r="G5106" s="1"/>
      <c r="H5106" s="1"/>
      <c r="I5106" s="1"/>
      <c r="J5106" s="1"/>
      <c r="K5106" s="89" t="s">
        <v>7986</v>
      </c>
      <c r="L5106" s="89" t="str">
        <f>H204</f>
        <v>C2a1a1b2</v>
      </c>
      <c r="M5106" s="89"/>
      <c r="N5106" s="89"/>
      <c r="O5106" s="92">
        <v>1.9202822E7</v>
      </c>
      <c r="P5106" s="92">
        <v>1.7090942E7</v>
      </c>
      <c r="Q5106" s="89" t="s">
        <v>802</v>
      </c>
      <c r="AF5106" s="1"/>
      <c r="AG5106" s="1"/>
    </row>
    <row r="5107" ht="15.75" customHeight="1">
      <c r="A5107" s="1"/>
      <c r="B5107" s="1"/>
      <c r="C5107" s="1"/>
      <c r="D5107" s="1"/>
      <c r="E5107" s="1"/>
      <c r="F5107" s="1"/>
      <c r="G5107" s="1"/>
      <c r="H5107" s="1"/>
      <c r="I5107" s="1"/>
      <c r="J5107" s="1"/>
      <c r="K5107" s="89" t="s">
        <v>7987</v>
      </c>
      <c r="L5107" s="89" t="str">
        <f>H204</f>
        <v>C2a1a1b2</v>
      </c>
      <c r="M5107" s="89"/>
      <c r="N5107" s="89"/>
      <c r="O5107" s="92">
        <v>1.9411226E7</v>
      </c>
      <c r="P5107" s="92">
        <v>1.7299346E7</v>
      </c>
      <c r="Q5107" s="89" t="s">
        <v>822</v>
      </c>
      <c r="AF5107" s="1"/>
      <c r="AG5107" s="1"/>
    </row>
    <row r="5108" ht="15.75" customHeight="1">
      <c r="A5108" s="1"/>
      <c r="B5108" s="1"/>
      <c r="C5108" s="1"/>
      <c r="D5108" s="1"/>
      <c r="E5108" s="1"/>
      <c r="F5108" s="1"/>
      <c r="G5108" s="1"/>
      <c r="H5108" s="1"/>
      <c r="I5108" s="1"/>
      <c r="J5108" s="1"/>
      <c r="K5108" s="89" t="s">
        <v>7988</v>
      </c>
      <c r="L5108" s="89" t="str">
        <f>H204</f>
        <v>C2a1a1b2</v>
      </c>
      <c r="M5108" s="89"/>
      <c r="N5108" s="89"/>
      <c r="O5108" s="92">
        <v>2.1391453E7</v>
      </c>
      <c r="P5108" s="92">
        <v>1.9229567E7</v>
      </c>
      <c r="Q5108" s="89" t="s">
        <v>886</v>
      </c>
      <c r="AF5108" s="1"/>
      <c r="AG5108" s="1"/>
    </row>
    <row r="5109" ht="15.75" customHeight="1">
      <c r="A5109" s="1"/>
      <c r="B5109" s="1"/>
      <c r="C5109" s="1"/>
      <c r="D5109" s="1"/>
      <c r="E5109" s="1"/>
      <c r="F5109" s="1"/>
      <c r="G5109" s="1"/>
      <c r="H5109" s="1"/>
      <c r="I5109" s="1"/>
      <c r="J5109" s="1"/>
      <c r="K5109" s="89" t="s">
        <v>7989</v>
      </c>
      <c r="L5109" s="89" t="str">
        <f>H204</f>
        <v>C2a1a1b2</v>
      </c>
      <c r="M5109" s="89"/>
      <c r="N5109" s="89"/>
      <c r="O5109" s="92">
        <v>2.1567346E7</v>
      </c>
      <c r="P5109" s="92">
        <v>1.940546E7</v>
      </c>
      <c r="Q5109" s="89" t="s">
        <v>912</v>
      </c>
      <c r="AF5109" s="1"/>
      <c r="AG5109" s="1"/>
    </row>
    <row r="5110" ht="15.75" customHeight="1">
      <c r="A5110" s="1"/>
      <c r="B5110" s="1"/>
      <c r="C5110" s="1"/>
      <c r="D5110" s="1"/>
      <c r="E5110" s="1"/>
      <c r="F5110" s="1"/>
      <c r="G5110" s="1"/>
      <c r="H5110" s="1"/>
      <c r="I5110" s="1"/>
      <c r="J5110" s="1"/>
      <c r="K5110" s="89" t="s">
        <v>7990</v>
      </c>
      <c r="L5110" s="89" t="str">
        <f>H204</f>
        <v>C2a1a1b2</v>
      </c>
      <c r="M5110" s="89"/>
      <c r="N5110" s="89"/>
      <c r="O5110" s="92">
        <v>2.1588316E7</v>
      </c>
      <c r="P5110" s="92">
        <v>1.942643E7</v>
      </c>
      <c r="Q5110" s="89" t="s">
        <v>831</v>
      </c>
      <c r="AF5110" s="1"/>
      <c r="AG5110" s="1"/>
    </row>
    <row r="5111" ht="15.75" customHeight="1">
      <c r="A5111" s="1"/>
      <c r="B5111" s="1"/>
      <c r="C5111" s="1"/>
      <c r="D5111" s="1"/>
      <c r="E5111" s="1"/>
      <c r="F5111" s="1"/>
      <c r="G5111" s="1"/>
      <c r="H5111" s="1"/>
      <c r="I5111" s="1"/>
      <c r="J5111" s="1"/>
      <c r="K5111" s="89" t="s">
        <v>7991</v>
      </c>
      <c r="L5111" s="89" t="str">
        <f>H204</f>
        <v>C2a1a1b2</v>
      </c>
      <c r="M5111" s="89"/>
      <c r="N5111" s="89"/>
      <c r="O5111" s="92">
        <v>2.1699927E7</v>
      </c>
      <c r="P5111" s="92">
        <v>1.9538041E7</v>
      </c>
      <c r="Q5111" s="89" t="s">
        <v>838</v>
      </c>
      <c r="AF5111" s="1"/>
      <c r="AG5111" s="1"/>
    </row>
    <row r="5112" ht="15.75" customHeight="1">
      <c r="A5112" s="1"/>
      <c r="B5112" s="1"/>
      <c r="C5112" s="1"/>
      <c r="D5112" s="1"/>
      <c r="E5112" s="1"/>
      <c r="F5112" s="1"/>
      <c r="G5112" s="1"/>
      <c r="H5112" s="1"/>
      <c r="I5112" s="1"/>
      <c r="J5112" s="1"/>
      <c r="K5112" s="89" t="s">
        <v>7992</v>
      </c>
      <c r="L5112" s="89" t="str">
        <f>H204</f>
        <v>C2a1a1b2</v>
      </c>
      <c r="M5112" s="89"/>
      <c r="N5112" s="89"/>
      <c r="O5112" s="92">
        <v>2.1724743E7</v>
      </c>
      <c r="P5112" s="92">
        <v>1.9562857E7</v>
      </c>
      <c r="Q5112" s="89" t="s">
        <v>838</v>
      </c>
      <c r="AF5112" s="1"/>
      <c r="AG5112" s="1"/>
    </row>
    <row r="5113" ht="15.75" customHeight="1">
      <c r="A5113" s="1"/>
      <c r="B5113" s="1"/>
      <c r="C5113" s="1"/>
      <c r="D5113" s="1"/>
      <c r="E5113" s="1"/>
      <c r="F5113" s="1"/>
      <c r="G5113" s="1"/>
      <c r="H5113" s="1"/>
      <c r="I5113" s="1"/>
      <c r="J5113" s="1"/>
      <c r="K5113" s="89" t="s">
        <v>7993</v>
      </c>
      <c r="L5113" s="89" t="str">
        <f>H204</f>
        <v>C2a1a1b2</v>
      </c>
      <c r="M5113" s="89"/>
      <c r="N5113" s="89"/>
      <c r="O5113" s="92">
        <v>2.1915889E7</v>
      </c>
      <c r="P5113" s="92">
        <v>1.9754003E7</v>
      </c>
      <c r="Q5113" s="89" t="s">
        <v>831</v>
      </c>
      <c r="AF5113" s="1"/>
      <c r="AG5113" s="1"/>
    </row>
    <row r="5114" ht="15.75" customHeight="1">
      <c r="A5114" s="1"/>
      <c r="B5114" s="1"/>
      <c r="C5114" s="1"/>
      <c r="D5114" s="1"/>
      <c r="E5114" s="1"/>
      <c r="F5114" s="1"/>
      <c r="G5114" s="1"/>
      <c r="H5114" s="1"/>
      <c r="I5114" s="1"/>
      <c r="J5114" s="1"/>
      <c r="K5114" s="89" t="s">
        <v>7994</v>
      </c>
      <c r="L5114" s="89" t="str">
        <f>H204</f>
        <v>C2a1a1b2</v>
      </c>
      <c r="M5114" s="89"/>
      <c r="N5114" s="89"/>
      <c r="O5114" s="92">
        <v>2.2061013E7</v>
      </c>
      <c r="P5114" s="92">
        <v>1.9899127E7</v>
      </c>
      <c r="Q5114" s="89" t="s">
        <v>912</v>
      </c>
      <c r="AF5114" s="1"/>
      <c r="AG5114" s="1"/>
    </row>
    <row r="5115" ht="15.75" customHeight="1">
      <c r="A5115" s="1"/>
      <c r="B5115" s="1"/>
      <c r="C5115" s="1"/>
      <c r="D5115" s="1"/>
      <c r="E5115" s="1"/>
      <c r="F5115" s="1"/>
      <c r="G5115" s="1"/>
      <c r="H5115" s="1"/>
      <c r="I5115" s="1"/>
      <c r="J5115" s="1"/>
      <c r="K5115" s="89" t="s">
        <v>7995</v>
      </c>
      <c r="L5115" s="89" t="str">
        <f>H204</f>
        <v>C2a1a1b2</v>
      </c>
      <c r="M5115" s="89"/>
      <c r="N5115" s="89"/>
      <c r="O5115" s="92">
        <v>2.2142021E7</v>
      </c>
      <c r="P5115" s="92">
        <v>1.9980135E7</v>
      </c>
      <c r="Q5115" s="89" t="s">
        <v>864</v>
      </c>
      <c r="AF5115" s="1"/>
      <c r="AG5115" s="1"/>
    </row>
    <row r="5116" ht="15.75" customHeight="1">
      <c r="A5116" s="1"/>
      <c r="B5116" s="1"/>
      <c r="C5116" s="1"/>
      <c r="D5116" s="1"/>
      <c r="E5116" s="1"/>
      <c r="F5116" s="1"/>
      <c r="G5116" s="1"/>
      <c r="H5116" s="1"/>
      <c r="I5116" s="1"/>
      <c r="J5116" s="1"/>
      <c r="K5116" s="89" t="s">
        <v>7996</v>
      </c>
      <c r="L5116" s="89" t="str">
        <f>H204</f>
        <v>C2a1a1b2</v>
      </c>
      <c r="M5116" s="89"/>
      <c r="N5116" s="89"/>
      <c r="O5116" s="92">
        <v>2.2801074E7</v>
      </c>
      <c r="P5116" s="92">
        <v>2.0639188E7</v>
      </c>
      <c r="Q5116" s="89" t="s">
        <v>802</v>
      </c>
      <c r="AF5116" s="1"/>
      <c r="AG5116" s="1"/>
    </row>
    <row r="5117" ht="15.75" customHeight="1">
      <c r="A5117" s="1"/>
      <c r="B5117" s="1"/>
      <c r="C5117" s="1"/>
      <c r="D5117" s="1"/>
      <c r="E5117" s="1"/>
      <c r="F5117" s="1"/>
      <c r="G5117" s="1"/>
      <c r="H5117" s="1"/>
      <c r="I5117" s="1"/>
      <c r="J5117" s="1"/>
      <c r="K5117" s="89" t="s">
        <v>7997</v>
      </c>
      <c r="L5117" s="89" t="str">
        <f>H204</f>
        <v>C2a1a1b2</v>
      </c>
      <c r="M5117" s="89"/>
      <c r="N5117" s="89"/>
      <c r="O5117" s="92">
        <v>2.3209455E7</v>
      </c>
      <c r="P5117" s="92">
        <v>2.1047569E7</v>
      </c>
      <c r="Q5117" s="89" t="s">
        <v>810</v>
      </c>
      <c r="AF5117" s="1"/>
      <c r="AG5117" s="1"/>
    </row>
    <row r="5118" ht="15.75" customHeight="1">
      <c r="A5118" s="1"/>
      <c r="B5118" s="1"/>
      <c r="C5118" s="1"/>
      <c r="D5118" s="1"/>
      <c r="E5118" s="1"/>
      <c r="F5118" s="1"/>
      <c r="G5118" s="1"/>
      <c r="H5118" s="1"/>
      <c r="I5118" s="1"/>
      <c r="J5118" s="1"/>
      <c r="K5118" s="89" t="s">
        <v>7998</v>
      </c>
      <c r="L5118" s="89" t="str">
        <f>H204</f>
        <v>C2a1a1b2</v>
      </c>
      <c r="M5118" s="89"/>
      <c r="N5118" s="89"/>
      <c r="O5118" s="92">
        <v>2.3482953E7</v>
      </c>
      <c r="P5118" s="92">
        <v>2.1321067E7</v>
      </c>
      <c r="Q5118" s="89" t="s">
        <v>912</v>
      </c>
      <c r="AF5118" s="1"/>
      <c r="AG5118" s="1"/>
    </row>
    <row r="5119" ht="15.75" customHeight="1">
      <c r="A5119" s="1"/>
      <c r="B5119" s="1"/>
      <c r="C5119" s="1"/>
      <c r="D5119" s="1"/>
      <c r="E5119" s="1"/>
      <c r="F5119" s="1"/>
      <c r="G5119" s="1"/>
      <c r="H5119" s="1"/>
      <c r="I5119" s="1"/>
      <c r="J5119" s="1"/>
      <c r="K5119" s="89" t="s">
        <v>7999</v>
      </c>
      <c r="L5119" s="89" t="str">
        <f>H204</f>
        <v>C2a1a1b2</v>
      </c>
      <c r="M5119" s="89"/>
      <c r="N5119" s="89"/>
      <c r="O5119" s="92">
        <v>2.8640417E7</v>
      </c>
      <c r="P5119" s="92">
        <v>2.649427E7</v>
      </c>
      <c r="Q5119" s="89" t="s">
        <v>802</v>
      </c>
      <c r="AF5119" s="1"/>
      <c r="AG5119" s="1"/>
    </row>
    <row r="5120" ht="15.75" customHeight="1">
      <c r="A5120" s="1"/>
      <c r="B5120" s="1"/>
      <c r="C5120" s="1"/>
      <c r="D5120" s="1"/>
      <c r="E5120" s="1"/>
      <c r="F5120" s="1"/>
      <c r="G5120" s="1"/>
      <c r="H5120" s="1"/>
      <c r="I5120" s="1"/>
      <c r="J5120" s="1"/>
      <c r="K5120" s="89" t="s">
        <v>8000</v>
      </c>
      <c r="L5120" s="89" t="str">
        <f>I205</f>
        <v>C2a1a1b2a</v>
      </c>
      <c r="M5120" s="89"/>
      <c r="N5120" s="89"/>
      <c r="O5120" s="92">
        <v>7883698.0</v>
      </c>
      <c r="P5120" s="92">
        <v>8015657.0</v>
      </c>
      <c r="Q5120" s="89" t="s">
        <v>822</v>
      </c>
      <c r="AF5120" s="1"/>
      <c r="AG5120" s="1"/>
    </row>
    <row r="5121" ht="15.75" customHeight="1">
      <c r="A5121" s="1"/>
      <c r="B5121" s="1"/>
      <c r="C5121" s="1"/>
      <c r="D5121" s="1"/>
      <c r="E5121" s="1"/>
      <c r="F5121" s="1"/>
      <c r="G5121" s="1"/>
      <c r="H5121" s="1"/>
      <c r="I5121" s="1"/>
      <c r="J5121" s="1"/>
      <c r="K5121" s="89" t="s">
        <v>8001</v>
      </c>
      <c r="L5121" s="89" t="str">
        <f>I205</f>
        <v>C2a1a1b2a</v>
      </c>
      <c r="M5121" s="89"/>
      <c r="N5121" s="89"/>
      <c r="O5121" s="92">
        <v>8515285.0</v>
      </c>
      <c r="P5121" s="92">
        <v>8647244.0</v>
      </c>
      <c r="Q5121" s="89" t="s">
        <v>831</v>
      </c>
      <c r="AF5121" s="1"/>
      <c r="AG5121" s="1"/>
    </row>
    <row r="5122" ht="15.75" customHeight="1">
      <c r="A5122" s="1"/>
      <c r="B5122" s="1"/>
      <c r="C5122" s="1"/>
      <c r="D5122" s="1"/>
      <c r="E5122" s="1"/>
      <c r="F5122" s="1"/>
      <c r="G5122" s="1"/>
      <c r="H5122" s="1"/>
      <c r="I5122" s="1"/>
      <c r="J5122" s="1"/>
      <c r="K5122" s="89" t="s">
        <v>8002</v>
      </c>
      <c r="L5122" s="89" t="str">
        <f>I205</f>
        <v>C2a1a1b2a</v>
      </c>
      <c r="M5122" s="89"/>
      <c r="N5122" s="89"/>
      <c r="O5122" s="92">
        <v>8565762.0</v>
      </c>
      <c r="P5122" s="92">
        <v>8697721.0</v>
      </c>
      <c r="Q5122" s="89" t="s">
        <v>822</v>
      </c>
      <c r="AF5122" s="1"/>
      <c r="AG5122" s="1"/>
    </row>
    <row r="5123" ht="15.75" customHeight="1">
      <c r="A5123" s="1"/>
      <c r="B5123" s="1"/>
      <c r="C5123" s="1"/>
      <c r="D5123" s="1"/>
      <c r="E5123" s="1"/>
      <c r="F5123" s="1"/>
      <c r="G5123" s="1"/>
      <c r="H5123" s="1"/>
      <c r="I5123" s="1"/>
      <c r="J5123" s="1"/>
      <c r="K5123" s="89" t="s">
        <v>8003</v>
      </c>
      <c r="L5123" s="89" t="str">
        <f>I205</f>
        <v>C2a1a1b2a</v>
      </c>
      <c r="M5123" s="89"/>
      <c r="N5123" s="89"/>
      <c r="O5123" s="92">
        <v>1.4097059E7</v>
      </c>
      <c r="P5123" s="92">
        <v>1.1976353E7</v>
      </c>
      <c r="Q5123" s="89" t="s">
        <v>810</v>
      </c>
      <c r="AF5123" s="1"/>
      <c r="AG5123" s="1"/>
    </row>
    <row r="5124" ht="15.75" customHeight="1">
      <c r="A5124" s="1"/>
      <c r="B5124" s="1"/>
      <c r="C5124" s="1"/>
      <c r="D5124" s="1"/>
      <c r="E5124" s="1"/>
      <c r="F5124" s="1"/>
      <c r="G5124" s="1"/>
      <c r="H5124" s="1"/>
      <c r="I5124" s="1"/>
      <c r="J5124" s="1"/>
      <c r="K5124" s="89" t="s">
        <v>8004</v>
      </c>
      <c r="L5124" s="89" t="str">
        <f>I205</f>
        <v>C2a1a1b2a</v>
      </c>
      <c r="M5124" s="89"/>
      <c r="N5124" s="89"/>
      <c r="O5124" s="92">
        <v>1.5030739E7</v>
      </c>
      <c r="P5124" s="92">
        <v>1.2918827E7</v>
      </c>
      <c r="Q5124" s="89" t="s">
        <v>822</v>
      </c>
      <c r="AF5124" s="1"/>
      <c r="AG5124" s="1"/>
    </row>
    <row r="5125" ht="15.75" customHeight="1">
      <c r="A5125" s="1"/>
      <c r="B5125" s="1"/>
      <c r="C5125" s="1"/>
      <c r="D5125" s="1"/>
      <c r="E5125" s="1"/>
      <c r="F5125" s="1"/>
      <c r="G5125" s="1"/>
      <c r="H5125" s="1"/>
      <c r="I5125" s="1"/>
      <c r="J5125" s="1"/>
      <c r="K5125" s="89" t="s">
        <v>8005</v>
      </c>
      <c r="L5125" s="89" t="str">
        <f>I205</f>
        <v>C2a1a1b2a</v>
      </c>
      <c r="M5125" s="89"/>
      <c r="N5125" s="89"/>
      <c r="O5125" s="92">
        <v>1.5251667E7</v>
      </c>
      <c r="P5125" s="92">
        <v>1.3139753E7</v>
      </c>
      <c r="Q5125" s="89" t="s">
        <v>845</v>
      </c>
      <c r="AF5125" s="1"/>
      <c r="AG5125" s="1"/>
    </row>
    <row r="5126" ht="15.75" customHeight="1">
      <c r="A5126" s="1"/>
      <c r="B5126" s="1"/>
      <c r="C5126" s="1"/>
      <c r="D5126" s="1"/>
      <c r="E5126" s="1"/>
      <c r="F5126" s="1"/>
      <c r="G5126" s="1"/>
      <c r="H5126" s="1"/>
      <c r="I5126" s="1"/>
      <c r="J5126" s="1"/>
      <c r="K5126" s="89" t="s">
        <v>8006</v>
      </c>
      <c r="L5126" s="89" t="str">
        <f>I205</f>
        <v>C2a1a1b2a</v>
      </c>
      <c r="M5126" s="89"/>
      <c r="N5126" s="89"/>
      <c r="O5126" s="92">
        <v>1.6683095E7</v>
      </c>
      <c r="P5126" s="92">
        <v>1.4571215E7</v>
      </c>
      <c r="Q5126" s="89" t="s">
        <v>813</v>
      </c>
      <c r="AF5126" s="1"/>
      <c r="AG5126" s="1"/>
    </row>
    <row r="5127" ht="15.75" customHeight="1">
      <c r="A5127" s="1"/>
      <c r="B5127" s="1"/>
      <c r="C5127" s="1"/>
      <c r="D5127" s="1"/>
      <c r="E5127" s="1"/>
      <c r="F5127" s="1"/>
      <c r="G5127" s="1"/>
      <c r="H5127" s="1"/>
      <c r="I5127" s="1"/>
      <c r="J5127" s="1"/>
      <c r="K5127" s="89" t="s">
        <v>8007</v>
      </c>
      <c r="L5127" s="89" t="str">
        <f>I205</f>
        <v>C2a1a1b2a</v>
      </c>
      <c r="M5127" s="89"/>
      <c r="N5127" s="89"/>
      <c r="O5127" s="92">
        <v>1.8856625E7</v>
      </c>
      <c r="P5127" s="92">
        <v>1.6744745E7</v>
      </c>
      <c r="Q5127" s="89" t="s">
        <v>879</v>
      </c>
      <c r="AF5127" s="1"/>
      <c r="AG5127" s="1"/>
    </row>
    <row r="5128" ht="15.75" customHeight="1">
      <c r="A5128" s="1"/>
      <c r="B5128" s="1"/>
      <c r="C5128" s="1"/>
      <c r="D5128" s="1"/>
      <c r="E5128" s="1"/>
      <c r="F5128" s="1"/>
      <c r="G5128" s="1"/>
      <c r="H5128" s="1"/>
      <c r="I5128" s="1"/>
      <c r="J5128" s="1"/>
      <c r="K5128" s="89" t="s">
        <v>8008</v>
      </c>
      <c r="L5128" s="89" t="str">
        <f>I205</f>
        <v>C2a1a1b2a</v>
      </c>
      <c r="M5128" s="89"/>
      <c r="N5128" s="89"/>
      <c r="O5128" s="92">
        <v>2.2136463E7</v>
      </c>
      <c r="P5128" s="92">
        <v>1.9974577E7</v>
      </c>
      <c r="Q5128" s="89" t="s">
        <v>864</v>
      </c>
      <c r="AF5128" s="1"/>
      <c r="AG5128" s="1"/>
    </row>
    <row r="5129" ht="15.75" customHeight="1">
      <c r="A5129" s="1"/>
      <c r="B5129" s="1"/>
      <c r="C5129" s="1"/>
      <c r="D5129" s="1"/>
      <c r="E5129" s="1"/>
      <c r="F5129" s="1"/>
      <c r="G5129" s="1"/>
      <c r="H5129" s="1"/>
      <c r="I5129" s="1"/>
      <c r="J5129" s="1"/>
      <c r="K5129" s="89" t="s">
        <v>8009</v>
      </c>
      <c r="L5129" s="89" t="str">
        <f>J206</f>
        <v>C2a1a1b2a1~</v>
      </c>
      <c r="M5129" s="89"/>
      <c r="N5129" s="89"/>
      <c r="O5129" s="92">
        <v>7050926.0</v>
      </c>
      <c r="P5129" s="92">
        <v>7182885.0</v>
      </c>
      <c r="Q5129" s="89" t="s">
        <v>802</v>
      </c>
      <c r="AF5129" s="1"/>
      <c r="AG5129" s="1"/>
    </row>
    <row r="5130" ht="15.75" customHeight="1">
      <c r="A5130" s="1"/>
      <c r="B5130" s="1"/>
      <c r="C5130" s="1"/>
      <c r="D5130" s="1"/>
      <c r="E5130" s="1"/>
      <c r="F5130" s="1"/>
      <c r="G5130" s="1"/>
      <c r="H5130" s="1"/>
      <c r="I5130" s="1"/>
      <c r="J5130" s="1"/>
      <c r="K5130" s="89" t="s">
        <v>8010</v>
      </c>
      <c r="L5130" s="89" t="str">
        <f>J206</f>
        <v>C2a1a1b2a1~</v>
      </c>
      <c r="M5130" s="89"/>
      <c r="N5130" s="89"/>
      <c r="O5130" s="92">
        <v>7258035.0</v>
      </c>
      <c r="P5130" s="92">
        <v>7389994.0</v>
      </c>
      <c r="Q5130" s="89" t="s">
        <v>912</v>
      </c>
      <c r="AF5130" s="1"/>
      <c r="AG5130" s="1"/>
    </row>
    <row r="5131" ht="15.75" customHeight="1">
      <c r="A5131" s="1"/>
      <c r="B5131" s="1"/>
      <c r="C5131" s="1"/>
      <c r="D5131" s="1"/>
      <c r="E5131" s="1"/>
      <c r="F5131" s="1"/>
      <c r="G5131" s="1"/>
      <c r="H5131" s="1"/>
      <c r="I5131" s="1"/>
      <c r="J5131" s="1"/>
      <c r="K5131" s="89" t="s">
        <v>8011</v>
      </c>
      <c r="L5131" s="89" t="str">
        <f>J206</f>
        <v>C2a1a1b2a1~</v>
      </c>
      <c r="M5131" s="89"/>
      <c r="N5131" s="89"/>
      <c r="O5131" s="92">
        <v>7352432.0</v>
      </c>
      <c r="P5131" s="92">
        <v>7484391.0</v>
      </c>
      <c r="Q5131" s="89" t="s">
        <v>802</v>
      </c>
      <c r="AF5131" s="1"/>
      <c r="AG5131" s="1"/>
    </row>
    <row r="5132" ht="15.75" customHeight="1">
      <c r="A5132" s="1"/>
      <c r="B5132" s="1"/>
      <c r="C5132" s="1"/>
      <c r="D5132" s="1"/>
      <c r="E5132" s="1"/>
      <c r="F5132" s="1"/>
      <c r="G5132" s="1"/>
      <c r="H5132" s="1"/>
      <c r="I5132" s="1"/>
      <c r="J5132" s="1"/>
      <c r="K5132" s="89" t="s">
        <v>8012</v>
      </c>
      <c r="L5132" s="89" t="str">
        <f t="shared" ref="L5132:L5133" si="47">J206</f>
        <v>C2a1a1b2a1~</v>
      </c>
      <c r="M5132" s="89"/>
      <c r="N5132" s="89"/>
      <c r="O5132" s="92">
        <v>7585501.0</v>
      </c>
      <c r="P5132" s="92">
        <v>7717460.0</v>
      </c>
      <c r="Q5132" s="89" t="s">
        <v>838</v>
      </c>
      <c r="AF5132" s="1"/>
      <c r="AG5132" s="1"/>
    </row>
    <row r="5133" ht="15.75" customHeight="1">
      <c r="A5133" s="1"/>
      <c r="B5133" s="1"/>
      <c r="C5133" s="1"/>
      <c r="D5133" s="1"/>
      <c r="E5133" s="1"/>
      <c r="F5133" s="1"/>
      <c r="G5133" s="1"/>
      <c r="H5133" s="1"/>
      <c r="I5133" s="1"/>
      <c r="J5133" s="1"/>
      <c r="K5133" s="89" t="s">
        <v>8013</v>
      </c>
      <c r="L5133" s="89" t="str">
        <f t="shared" si="47"/>
        <v>C2a1a1b2a2</v>
      </c>
      <c r="M5133" s="89"/>
      <c r="N5133" s="89"/>
      <c r="O5133" s="92">
        <v>2745262.0</v>
      </c>
      <c r="P5133" s="92">
        <v>2877221.0</v>
      </c>
      <c r="Q5133" s="89" t="s">
        <v>879</v>
      </c>
      <c r="AF5133" s="1"/>
      <c r="AG5133" s="1"/>
    </row>
    <row r="5134" ht="15.75" customHeight="1">
      <c r="A5134" s="1"/>
      <c r="B5134" s="1"/>
      <c r="C5134" s="1"/>
      <c r="D5134" s="1"/>
      <c r="E5134" s="1"/>
      <c r="F5134" s="1"/>
      <c r="G5134" s="1"/>
      <c r="H5134" s="1"/>
      <c r="I5134" s="1"/>
      <c r="J5134" s="1"/>
      <c r="K5134" s="89" t="s">
        <v>8014</v>
      </c>
      <c r="L5134" s="89" t="str">
        <f>J207</f>
        <v>C2a1a1b2a2</v>
      </c>
      <c r="M5134" s="89"/>
      <c r="N5134" s="89" t="s">
        <v>8015</v>
      </c>
      <c r="O5134" s="92">
        <v>1.3952453E7</v>
      </c>
      <c r="P5134" s="92">
        <v>1.1831747E7</v>
      </c>
      <c r="Q5134" s="89" t="s">
        <v>822</v>
      </c>
      <c r="AF5134" s="1"/>
      <c r="AG5134" s="1"/>
    </row>
    <row r="5135" ht="15.75" customHeight="1">
      <c r="A5135" s="1"/>
      <c r="B5135" s="1"/>
      <c r="C5135" s="1"/>
      <c r="D5135" s="1"/>
      <c r="E5135" s="1"/>
      <c r="F5135" s="1"/>
      <c r="G5135" s="1"/>
      <c r="H5135" s="1"/>
      <c r="I5135" s="1"/>
      <c r="J5135" s="1"/>
      <c r="K5135" s="89" t="s">
        <v>8016</v>
      </c>
      <c r="L5135" s="89" t="str">
        <f>J207</f>
        <v>C2a1a1b2a2</v>
      </c>
      <c r="M5135" s="89"/>
      <c r="N5135" s="89"/>
      <c r="O5135" s="92">
        <v>7645619.0</v>
      </c>
      <c r="P5135" s="92">
        <v>7777578.0</v>
      </c>
      <c r="Q5135" s="89" t="s">
        <v>845</v>
      </c>
      <c r="AF5135" s="1"/>
      <c r="AG5135" s="1"/>
    </row>
    <row r="5136" ht="15.75" customHeight="1">
      <c r="A5136" s="1"/>
      <c r="B5136" s="1"/>
      <c r="C5136" s="1"/>
      <c r="D5136" s="1"/>
      <c r="E5136" s="1"/>
      <c r="F5136" s="1"/>
      <c r="G5136" s="1"/>
      <c r="H5136" s="1"/>
      <c r="I5136" s="1"/>
      <c r="J5136" s="1"/>
      <c r="K5136" s="89" t="s">
        <v>8017</v>
      </c>
      <c r="L5136" s="89" t="str">
        <f>J207</f>
        <v>C2a1a1b2a2</v>
      </c>
      <c r="M5136" s="89"/>
      <c r="N5136" s="89"/>
      <c r="O5136" s="92">
        <v>8136183.0</v>
      </c>
      <c r="P5136" s="92">
        <v>8268142.0</v>
      </c>
      <c r="Q5136" s="89" t="s">
        <v>917</v>
      </c>
      <c r="AF5136" s="1"/>
      <c r="AG5136" s="1"/>
    </row>
    <row r="5137" ht="15.75" customHeight="1">
      <c r="A5137" s="1"/>
      <c r="B5137" s="1"/>
      <c r="C5137" s="1"/>
      <c r="D5137" s="1"/>
      <c r="E5137" s="1"/>
      <c r="F5137" s="1"/>
      <c r="G5137" s="1"/>
      <c r="H5137" s="1"/>
      <c r="I5137" s="1"/>
      <c r="J5137" s="1"/>
      <c r="K5137" s="89" t="s">
        <v>8018</v>
      </c>
      <c r="L5137" s="89" t="str">
        <f>J207</f>
        <v>C2a1a1b2a2</v>
      </c>
      <c r="M5137" s="89"/>
      <c r="N5137" s="89"/>
      <c r="O5137" s="92">
        <v>8179740.0</v>
      </c>
      <c r="P5137" s="92">
        <v>8311699.0</v>
      </c>
      <c r="Q5137" s="89" t="s">
        <v>879</v>
      </c>
      <c r="AF5137" s="1"/>
      <c r="AG5137" s="1"/>
    </row>
    <row r="5138" ht="15.75" customHeight="1">
      <c r="A5138" s="1"/>
      <c r="B5138" s="1"/>
      <c r="C5138" s="1"/>
      <c r="D5138" s="1"/>
      <c r="E5138" s="1"/>
      <c r="F5138" s="1"/>
      <c r="G5138" s="1"/>
      <c r="H5138" s="1"/>
      <c r="I5138" s="1"/>
      <c r="J5138" s="1"/>
      <c r="K5138" s="89" t="s">
        <v>8019</v>
      </c>
      <c r="L5138" s="89" t="str">
        <f>J207</f>
        <v>C2a1a1b2a2</v>
      </c>
      <c r="M5138" s="89"/>
      <c r="N5138" s="89" t="s">
        <v>8020</v>
      </c>
      <c r="O5138" s="92">
        <v>8532712.0</v>
      </c>
      <c r="P5138" s="92">
        <v>8664671.0</v>
      </c>
      <c r="Q5138" s="89" t="s">
        <v>810</v>
      </c>
      <c r="AF5138" s="1"/>
      <c r="AG5138" s="1"/>
    </row>
    <row r="5139" ht="15.75" customHeight="1">
      <c r="A5139" s="1"/>
      <c r="B5139" s="1"/>
      <c r="C5139" s="1"/>
      <c r="D5139" s="1"/>
      <c r="E5139" s="1"/>
      <c r="F5139" s="1"/>
      <c r="G5139" s="1"/>
      <c r="H5139" s="1"/>
      <c r="I5139" s="1"/>
      <c r="J5139" s="1"/>
      <c r="K5139" s="89" t="s">
        <v>8021</v>
      </c>
      <c r="L5139" s="89" t="str">
        <f>J207</f>
        <v>C2a1a1b2a2</v>
      </c>
      <c r="M5139" s="89"/>
      <c r="N5139" s="89"/>
      <c r="O5139" s="92">
        <v>8690686.0</v>
      </c>
      <c r="P5139" s="92">
        <v>8822645.0</v>
      </c>
      <c r="Q5139" s="89" t="s">
        <v>831</v>
      </c>
      <c r="AF5139" s="1"/>
      <c r="AG5139" s="1"/>
    </row>
    <row r="5140" ht="15.75" customHeight="1">
      <c r="A5140" s="1"/>
      <c r="B5140" s="1"/>
      <c r="C5140" s="1"/>
      <c r="D5140" s="1"/>
      <c r="E5140" s="1"/>
      <c r="F5140" s="1"/>
      <c r="G5140" s="1"/>
      <c r="H5140" s="1"/>
      <c r="I5140" s="1"/>
      <c r="J5140" s="1"/>
      <c r="K5140" s="89" t="s">
        <v>8022</v>
      </c>
      <c r="L5140" s="89" t="str">
        <f>J207</f>
        <v>C2a1a1b2a2</v>
      </c>
      <c r="M5140" s="89"/>
      <c r="N5140" s="89"/>
      <c r="O5140" s="92">
        <v>1.4131528E7</v>
      </c>
      <c r="P5140" s="92">
        <v>1.2010822E7</v>
      </c>
      <c r="Q5140" s="89" t="s">
        <v>802</v>
      </c>
      <c r="AF5140" s="1"/>
      <c r="AG5140" s="1"/>
    </row>
    <row r="5141" ht="15.75" customHeight="1">
      <c r="A5141" s="1"/>
      <c r="B5141" s="1"/>
      <c r="C5141" s="1"/>
      <c r="D5141" s="1"/>
      <c r="E5141" s="1"/>
      <c r="F5141" s="1"/>
      <c r="G5141" s="1"/>
      <c r="H5141" s="1"/>
      <c r="I5141" s="1"/>
      <c r="J5141" s="1"/>
      <c r="K5141" s="89" t="s">
        <v>8023</v>
      </c>
      <c r="L5141" s="89" t="str">
        <f>J207</f>
        <v>C2a1a1b2a2</v>
      </c>
      <c r="M5141" s="89"/>
      <c r="N5141" s="89"/>
      <c r="O5141" s="92">
        <v>1.5486756E7</v>
      </c>
      <c r="P5141" s="92">
        <v>1.3374876E7</v>
      </c>
      <c r="Q5141" s="89" t="s">
        <v>813</v>
      </c>
      <c r="AF5141" s="1"/>
      <c r="AG5141" s="1"/>
    </row>
    <row r="5142" ht="15.75" customHeight="1">
      <c r="A5142" s="1"/>
      <c r="B5142" s="1"/>
      <c r="C5142" s="1"/>
      <c r="D5142" s="1"/>
      <c r="E5142" s="1"/>
      <c r="F5142" s="1"/>
      <c r="G5142" s="1"/>
      <c r="H5142" s="1"/>
      <c r="I5142" s="1"/>
      <c r="J5142" s="1"/>
      <c r="K5142" s="89" t="s">
        <v>8024</v>
      </c>
      <c r="L5142" s="89" t="str">
        <f>J207</f>
        <v>C2a1a1b2a2</v>
      </c>
      <c r="M5142" s="89"/>
      <c r="N5142" s="89"/>
      <c r="O5142" s="92">
        <v>1.5652572E7</v>
      </c>
      <c r="P5142" s="92">
        <v>1.3540692E7</v>
      </c>
      <c r="Q5142" s="89" t="s">
        <v>810</v>
      </c>
      <c r="AF5142" s="1"/>
      <c r="AG5142" s="1"/>
    </row>
    <row r="5143" ht="15.75" customHeight="1">
      <c r="A5143" s="1"/>
      <c r="B5143" s="1"/>
      <c r="C5143" s="1"/>
      <c r="D5143" s="1"/>
      <c r="E5143" s="1"/>
      <c r="F5143" s="1"/>
      <c r="G5143" s="1"/>
      <c r="H5143" s="1"/>
      <c r="I5143" s="1"/>
      <c r="J5143" s="1"/>
      <c r="K5143" s="89" t="s">
        <v>8025</v>
      </c>
      <c r="L5143" s="89" t="str">
        <f>J207</f>
        <v>C2a1a1b2a2</v>
      </c>
      <c r="M5143" s="89"/>
      <c r="N5143" s="89"/>
      <c r="O5143" s="92">
        <v>1.5739537E7</v>
      </c>
      <c r="P5143" s="92">
        <v>1.3627657E7</v>
      </c>
      <c r="Q5143" s="89" t="s">
        <v>810</v>
      </c>
      <c r="AF5143" s="1"/>
      <c r="AG5143" s="1"/>
    </row>
    <row r="5144" ht="15.75" customHeight="1">
      <c r="A5144" s="1"/>
      <c r="B5144" s="1"/>
      <c r="C5144" s="1"/>
      <c r="D5144" s="1"/>
      <c r="E5144" s="1"/>
      <c r="F5144" s="1"/>
      <c r="G5144" s="1"/>
      <c r="H5144" s="1"/>
      <c r="I5144" s="1"/>
      <c r="J5144" s="1"/>
      <c r="K5144" s="89" t="s">
        <v>8026</v>
      </c>
      <c r="L5144" s="89" t="str">
        <f>J207</f>
        <v>C2a1a1b2a2</v>
      </c>
      <c r="M5144" s="89"/>
      <c r="N5144" s="89"/>
      <c r="O5144" s="92">
        <v>1.5824363E7</v>
      </c>
      <c r="P5144" s="92">
        <v>1.3712483E7</v>
      </c>
      <c r="Q5144" s="89" t="s">
        <v>886</v>
      </c>
      <c r="AF5144" s="1"/>
      <c r="AG5144" s="1"/>
    </row>
    <row r="5145" ht="15.75" customHeight="1">
      <c r="A5145" s="1"/>
      <c r="B5145" s="1"/>
      <c r="C5145" s="1"/>
      <c r="D5145" s="1"/>
      <c r="E5145" s="1"/>
      <c r="F5145" s="1"/>
      <c r="G5145" s="1"/>
      <c r="H5145" s="1"/>
      <c r="I5145" s="1"/>
      <c r="J5145" s="1"/>
      <c r="K5145" s="89" t="s">
        <v>8027</v>
      </c>
      <c r="L5145" s="89" t="str">
        <f>J207</f>
        <v>C2a1a1b2a2</v>
      </c>
      <c r="M5145" s="89"/>
      <c r="N5145" s="89"/>
      <c r="O5145" s="92">
        <v>1.5839993E7</v>
      </c>
      <c r="P5145" s="92">
        <v>1.3728113E7</v>
      </c>
      <c r="Q5145" s="89" t="s">
        <v>802</v>
      </c>
      <c r="AF5145" s="1"/>
      <c r="AG5145" s="1"/>
    </row>
    <row r="5146" ht="15.75" customHeight="1">
      <c r="A5146" s="1"/>
      <c r="B5146" s="1"/>
      <c r="C5146" s="1"/>
      <c r="D5146" s="1"/>
      <c r="E5146" s="1"/>
      <c r="F5146" s="1"/>
      <c r="G5146" s="1"/>
      <c r="H5146" s="1"/>
      <c r="I5146" s="1"/>
      <c r="J5146" s="1"/>
      <c r="K5146" s="89" t="s">
        <v>8028</v>
      </c>
      <c r="L5146" s="89" t="str">
        <f>J207</f>
        <v>C2a1a1b2a2</v>
      </c>
      <c r="M5146" s="89"/>
      <c r="N5146" s="89"/>
      <c r="O5146" s="92">
        <v>1.6735383E7</v>
      </c>
      <c r="P5146" s="92">
        <v>1.4623503E7</v>
      </c>
      <c r="Q5146" s="89" t="s">
        <v>838</v>
      </c>
      <c r="AF5146" s="1"/>
      <c r="AG5146" s="1"/>
    </row>
    <row r="5147" ht="15.75" customHeight="1">
      <c r="A5147" s="1"/>
      <c r="B5147" s="1"/>
      <c r="C5147" s="1"/>
      <c r="D5147" s="1"/>
      <c r="E5147" s="1"/>
      <c r="F5147" s="1"/>
      <c r="G5147" s="1"/>
      <c r="H5147" s="1"/>
      <c r="I5147" s="1"/>
      <c r="J5147" s="1"/>
      <c r="K5147" s="89" t="s">
        <v>8029</v>
      </c>
      <c r="L5147" s="89" t="str">
        <f>J207</f>
        <v>C2a1a1b2a2</v>
      </c>
      <c r="M5147" s="89"/>
      <c r="N5147" s="89"/>
      <c r="O5147" s="92">
        <v>1.6883033E7</v>
      </c>
      <c r="P5147" s="92">
        <v>1.4771153E7</v>
      </c>
      <c r="Q5147" s="89" t="s">
        <v>838</v>
      </c>
      <c r="AF5147" s="1"/>
      <c r="AG5147" s="1"/>
    </row>
    <row r="5148" ht="15.75" customHeight="1">
      <c r="A5148" s="1"/>
      <c r="B5148" s="1"/>
      <c r="C5148" s="1"/>
      <c r="D5148" s="1"/>
      <c r="E5148" s="1"/>
      <c r="F5148" s="1"/>
      <c r="G5148" s="1"/>
      <c r="H5148" s="1"/>
      <c r="I5148" s="1"/>
      <c r="J5148" s="1"/>
      <c r="K5148" s="89" t="s">
        <v>8030</v>
      </c>
      <c r="L5148" s="89" t="str">
        <f>J207</f>
        <v>C2a1a1b2a2</v>
      </c>
      <c r="M5148" s="89"/>
      <c r="N5148" s="89"/>
      <c r="O5148" s="92">
        <v>1.7914966E7</v>
      </c>
      <c r="P5148" s="92">
        <v>1.5803086E7</v>
      </c>
      <c r="Q5148" s="89" t="s">
        <v>831</v>
      </c>
      <c r="AF5148" s="1"/>
      <c r="AG5148" s="1"/>
    </row>
    <row r="5149" ht="15.75" customHeight="1">
      <c r="A5149" s="1"/>
      <c r="B5149" s="1"/>
      <c r="C5149" s="1"/>
      <c r="D5149" s="1"/>
      <c r="E5149" s="1"/>
      <c r="F5149" s="1"/>
      <c r="G5149" s="1"/>
      <c r="H5149" s="1"/>
      <c r="I5149" s="1"/>
      <c r="J5149" s="1"/>
      <c r="K5149" s="89" t="s">
        <v>8031</v>
      </c>
      <c r="L5149" s="89" t="str">
        <f>J207</f>
        <v>C2a1a1b2a2</v>
      </c>
      <c r="M5149" s="89"/>
      <c r="N5149" s="89"/>
      <c r="O5149" s="92">
        <v>1.8939416E7</v>
      </c>
      <c r="P5149" s="92">
        <v>1.6827536E7</v>
      </c>
      <c r="Q5149" s="89" t="s">
        <v>810</v>
      </c>
      <c r="AF5149" s="1"/>
      <c r="AG5149" s="1"/>
    </row>
    <row r="5150" ht="15.75" customHeight="1">
      <c r="A5150" s="1"/>
      <c r="B5150" s="1"/>
      <c r="C5150" s="1"/>
      <c r="D5150" s="1"/>
      <c r="E5150" s="1"/>
      <c r="F5150" s="1"/>
      <c r="G5150" s="1"/>
      <c r="H5150" s="1"/>
      <c r="I5150" s="1"/>
      <c r="J5150" s="1"/>
      <c r="K5150" s="89" t="s">
        <v>8032</v>
      </c>
      <c r="L5150" s="89" t="str">
        <f>J207</f>
        <v>C2a1a1b2a2</v>
      </c>
      <c r="M5150" s="89"/>
      <c r="N5150" s="89"/>
      <c r="O5150" s="92">
        <v>1.9305132E7</v>
      </c>
      <c r="P5150" s="92">
        <v>1.7193252E7</v>
      </c>
      <c r="Q5150" s="89" t="s">
        <v>845</v>
      </c>
      <c r="AF5150" s="1"/>
      <c r="AG5150" s="1"/>
    </row>
    <row r="5151" ht="15.75" customHeight="1">
      <c r="A5151" s="1"/>
      <c r="B5151" s="1"/>
      <c r="C5151" s="1"/>
      <c r="D5151" s="1"/>
      <c r="E5151" s="1"/>
      <c r="F5151" s="1"/>
      <c r="G5151" s="1"/>
      <c r="H5151" s="1"/>
      <c r="I5151" s="1"/>
      <c r="J5151" s="1"/>
      <c r="K5151" s="89" t="s">
        <v>8033</v>
      </c>
      <c r="L5151" s="89" t="str">
        <f>J207</f>
        <v>C2a1a1b2a2</v>
      </c>
      <c r="M5151" s="89"/>
      <c r="N5151" s="89"/>
      <c r="O5151" s="92">
        <v>1.9455943E7</v>
      </c>
      <c r="P5151" s="92">
        <v>1.7344063E7</v>
      </c>
      <c r="Q5151" s="89" t="s">
        <v>813</v>
      </c>
      <c r="AF5151" s="1"/>
      <c r="AG5151" s="1"/>
    </row>
    <row r="5152" ht="15.75" customHeight="1">
      <c r="A5152" s="1"/>
      <c r="B5152" s="1"/>
      <c r="C5152" s="1"/>
      <c r="D5152" s="1"/>
      <c r="E5152" s="1"/>
      <c r="F5152" s="1"/>
      <c r="G5152" s="1"/>
      <c r="H5152" s="1"/>
      <c r="I5152" s="1"/>
      <c r="J5152" s="1"/>
      <c r="K5152" s="89" t="s">
        <v>8034</v>
      </c>
      <c r="L5152" s="89" t="str">
        <f>J207</f>
        <v>C2a1a1b2a2</v>
      </c>
      <c r="M5152" s="89"/>
      <c r="N5152" s="89"/>
      <c r="O5152" s="92">
        <v>1.9554426E7</v>
      </c>
      <c r="P5152" s="92">
        <v>1.7442546E7</v>
      </c>
      <c r="Q5152" s="89" t="s">
        <v>879</v>
      </c>
      <c r="AF5152" s="1"/>
      <c r="AG5152" s="1"/>
    </row>
    <row r="5153" ht="15.75" customHeight="1">
      <c r="A5153" s="1"/>
      <c r="B5153" s="1"/>
      <c r="C5153" s="1"/>
      <c r="D5153" s="1"/>
      <c r="E5153" s="1"/>
      <c r="F5153" s="1"/>
      <c r="G5153" s="1"/>
      <c r="H5153" s="1"/>
      <c r="I5153" s="1"/>
      <c r="J5153" s="1"/>
      <c r="K5153" s="89" t="s">
        <v>8035</v>
      </c>
      <c r="L5153" s="89" t="str">
        <f>J207</f>
        <v>C2a1a1b2a2</v>
      </c>
      <c r="M5153" s="89"/>
      <c r="N5153" s="89"/>
      <c r="O5153" s="92">
        <v>2.1856093E7</v>
      </c>
      <c r="P5153" s="92">
        <v>1.9694207E7</v>
      </c>
      <c r="Q5153" s="89" t="s">
        <v>802</v>
      </c>
      <c r="AF5153" s="1"/>
      <c r="AG5153" s="1"/>
    </row>
    <row r="5154" ht="15.75" customHeight="1">
      <c r="A5154" s="1"/>
      <c r="B5154" s="1"/>
      <c r="C5154" s="1"/>
      <c r="D5154" s="1"/>
      <c r="E5154" s="1"/>
      <c r="F5154" s="1"/>
      <c r="G5154" s="1"/>
      <c r="H5154" s="1"/>
      <c r="I5154" s="1"/>
      <c r="J5154" s="1"/>
      <c r="K5154" s="89" t="s">
        <v>8036</v>
      </c>
      <c r="L5154" s="89" t="str">
        <f>J207</f>
        <v>C2a1a1b2a2</v>
      </c>
      <c r="M5154" s="89"/>
      <c r="N5154" s="89"/>
      <c r="O5154" s="92">
        <v>2.2140605E7</v>
      </c>
      <c r="P5154" s="92">
        <v>1.9978719E7</v>
      </c>
      <c r="Q5154" s="89" t="s">
        <v>838</v>
      </c>
      <c r="AF5154" s="1"/>
      <c r="AG5154" s="1"/>
    </row>
    <row r="5155" ht="15.75" customHeight="1">
      <c r="A5155" s="1"/>
      <c r="B5155" s="1"/>
      <c r="C5155" s="1"/>
      <c r="D5155" s="1"/>
      <c r="E5155" s="1"/>
      <c r="F5155" s="1"/>
      <c r="G5155" s="1"/>
      <c r="H5155" s="1"/>
      <c r="I5155" s="1"/>
      <c r="J5155" s="1"/>
      <c r="K5155" s="89" t="s">
        <v>8037</v>
      </c>
      <c r="L5155" s="89" t="str">
        <f>J207</f>
        <v>C2a1a1b2a2</v>
      </c>
      <c r="M5155" s="89"/>
      <c r="N5155" s="89"/>
      <c r="O5155" s="92">
        <v>2.2758167E7</v>
      </c>
      <c r="P5155" s="92">
        <v>2.0596281E7</v>
      </c>
      <c r="Q5155" s="89" t="s">
        <v>886</v>
      </c>
      <c r="AF5155" s="1"/>
      <c r="AG5155" s="1"/>
    </row>
    <row r="5156" ht="15.75" customHeight="1">
      <c r="A5156" s="1"/>
      <c r="B5156" s="1"/>
      <c r="C5156" s="1"/>
      <c r="D5156" s="1"/>
      <c r="E5156" s="1"/>
      <c r="F5156" s="1"/>
      <c r="G5156" s="1"/>
      <c r="H5156" s="1"/>
      <c r="I5156" s="1"/>
      <c r="J5156" s="1"/>
      <c r="K5156" s="89" t="s">
        <v>8038</v>
      </c>
      <c r="L5156" s="89" t="str">
        <f>K208</f>
        <v>C2a1a1b2a2a~</v>
      </c>
      <c r="M5156" s="89"/>
      <c r="N5156" s="89" t="s">
        <v>8039</v>
      </c>
      <c r="O5156" s="92">
        <v>1.755054E7</v>
      </c>
      <c r="P5156" s="92">
        <v>1.543866E7</v>
      </c>
      <c r="Q5156" s="89" t="s">
        <v>802</v>
      </c>
      <c r="AF5156" s="1"/>
      <c r="AG5156" s="1"/>
    </row>
    <row r="5157" ht="15.75" customHeight="1">
      <c r="A5157" s="1"/>
      <c r="B5157" s="1"/>
      <c r="C5157" s="1"/>
      <c r="D5157" s="1"/>
      <c r="E5157" s="1"/>
      <c r="F5157" s="1"/>
      <c r="G5157" s="1"/>
      <c r="H5157" s="1"/>
      <c r="I5157" s="1"/>
      <c r="J5157" s="1"/>
      <c r="K5157" s="89" t="s">
        <v>8040</v>
      </c>
      <c r="L5157" s="89" t="str">
        <f>K208</f>
        <v>C2a1a1b2a2a~</v>
      </c>
      <c r="M5157" s="89"/>
      <c r="N5157" s="89"/>
      <c r="O5157" s="92">
        <v>8550970.0</v>
      </c>
      <c r="P5157" s="92">
        <v>8682929.0</v>
      </c>
      <c r="Q5157" s="89" t="s">
        <v>912</v>
      </c>
      <c r="AF5157" s="1"/>
      <c r="AG5157" s="1"/>
    </row>
    <row r="5158" ht="15.75" customHeight="1">
      <c r="A5158" s="1"/>
      <c r="B5158" s="1"/>
      <c r="C5158" s="1"/>
      <c r="D5158" s="1"/>
      <c r="E5158" s="1"/>
      <c r="F5158" s="1"/>
      <c r="G5158" s="1"/>
      <c r="H5158" s="1"/>
      <c r="I5158" s="1"/>
      <c r="J5158" s="1"/>
      <c r="K5158" s="89" t="s">
        <v>8041</v>
      </c>
      <c r="L5158" s="89" t="str">
        <f>K208</f>
        <v>C2a1a1b2a2a~</v>
      </c>
      <c r="M5158" s="89"/>
      <c r="N5158" s="89"/>
      <c r="O5158" s="92">
        <v>1.6637343E7</v>
      </c>
      <c r="P5158" s="92">
        <v>1.4525463E7</v>
      </c>
      <c r="Q5158" s="89" t="s">
        <v>813</v>
      </c>
      <c r="AF5158" s="1"/>
      <c r="AG5158" s="1"/>
    </row>
    <row r="5159" ht="15.75" customHeight="1">
      <c r="A5159" s="1"/>
      <c r="B5159" s="1"/>
      <c r="C5159" s="1"/>
      <c r="D5159" s="1"/>
      <c r="E5159" s="1"/>
      <c r="F5159" s="1"/>
      <c r="G5159" s="1"/>
      <c r="H5159" s="1"/>
      <c r="I5159" s="1"/>
      <c r="J5159" s="1"/>
      <c r="K5159" s="89" t="s">
        <v>8042</v>
      </c>
      <c r="L5159" s="89" t="str">
        <f t="shared" ref="L5159:L5160" si="48">K208</f>
        <v>C2a1a1b2a2a~</v>
      </c>
      <c r="M5159" s="89"/>
      <c r="N5159" s="89"/>
      <c r="O5159" s="92">
        <v>2.2074258E7</v>
      </c>
      <c r="P5159" s="92">
        <v>1.9912372E7</v>
      </c>
      <c r="Q5159" s="89" t="s">
        <v>810</v>
      </c>
      <c r="AF5159" s="1"/>
      <c r="AG5159" s="1"/>
    </row>
    <row r="5160" ht="15.75" customHeight="1">
      <c r="A5160" s="1"/>
      <c r="B5160" s="1"/>
      <c r="C5160" s="1"/>
      <c r="D5160" s="1"/>
      <c r="E5160" s="1"/>
      <c r="F5160" s="1"/>
      <c r="G5160" s="1"/>
      <c r="H5160" s="1"/>
      <c r="I5160" s="1"/>
      <c r="J5160" s="1"/>
      <c r="K5160" s="89" t="s">
        <v>8043</v>
      </c>
      <c r="L5160" s="89" t="str">
        <f t="shared" si="48"/>
        <v>C2a1a1b2a2b~</v>
      </c>
      <c r="M5160" s="89"/>
      <c r="N5160" s="89"/>
      <c r="O5160" s="92">
        <v>1.428238E7</v>
      </c>
      <c r="P5160" s="92">
        <v>1.2161674E7</v>
      </c>
      <c r="Q5160" s="89" t="s">
        <v>864</v>
      </c>
      <c r="AF5160" s="1"/>
      <c r="AG5160" s="1"/>
    </row>
    <row r="5161" ht="15.75" customHeight="1">
      <c r="A5161" s="1"/>
      <c r="B5161" s="1"/>
      <c r="C5161" s="1"/>
      <c r="D5161" s="1"/>
      <c r="E5161" s="1"/>
      <c r="F5161" s="1"/>
      <c r="G5161" s="1"/>
      <c r="H5161" s="1"/>
      <c r="I5161" s="1"/>
      <c r="J5161" s="1"/>
      <c r="K5161" s="89" t="s">
        <v>8044</v>
      </c>
      <c r="L5161" s="89" t="str">
        <f>K209</f>
        <v>C2a1a1b2a2b~</v>
      </c>
      <c r="M5161" s="89"/>
      <c r="N5161" s="89"/>
      <c r="O5161" s="92">
        <v>1.8976424E7</v>
      </c>
      <c r="P5161" s="92">
        <v>1.6864544E7</v>
      </c>
      <c r="Q5161" s="89" t="s">
        <v>810</v>
      </c>
      <c r="AF5161" s="1"/>
      <c r="AG5161" s="1"/>
    </row>
    <row r="5162" ht="15.75" customHeight="1">
      <c r="A5162" s="1"/>
      <c r="B5162" s="1"/>
      <c r="C5162" s="1"/>
      <c r="D5162" s="1"/>
      <c r="E5162" s="1"/>
      <c r="F5162" s="1"/>
      <c r="G5162" s="1"/>
      <c r="H5162" s="1"/>
      <c r="I5162" s="1"/>
      <c r="J5162" s="1"/>
      <c r="K5162" s="89" t="s">
        <v>8045</v>
      </c>
      <c r="L5162" s="89" t="str">
        <f>I210</f>
        <v>C2a1a1b2b~</v>
      </c>
      <c r="M5162" s="89"/>
      <c r="N5162" s="89"/>
      <c r="O5162" s="92">
        <v>6984297.0</v>
      </c>
      <c r="P5162" s="92">
        <v>7116256.0</v>
      </c>
      <c r="Q5162" s="89" t="s">
        <v>810</v>
      </c>
      <c r="AF5162" s="1"/>
      <c r="AG5162" s="1"/>
    </row>
    <row r="5163" ht="15.75" customHeight="1">
      <c r="A5163" s="1"/>
      <c r="B5163" s="1"/>
      <c r="C5163" s="1"/>
      <c r="D5163" s="1"/>
      <c r="E5163" s="1"/>
      <c r="F5163" s="1"/>
      <c r="G5163" s="1"/>
      <c r="H5163" s="1"/>
      <c r="I5163" s="1"/>
      <c r="J5163" s="1"/>
      <c r="K5163" s="89" t="s">
        <v>8046</v>
      </c>
      <c r="L5163" s="89" t="str">
        <f>I210</f>
        <v>C2a1a1b2b~</v>
      </c>
      <c r="M5163" s="89"/>
      <c r="N5163" s="89"/>
      <c r="O5163" s="92">
        <v>7181716.0</v>
      </c>
      <c r="P5163" s="92">
        <v>7313675.0</v>
      </c>
      <c r="Q5163" s="89" t="s">
        <v>838</v>
      </c>
      <c r="AF5163" s="1"/>
      <c r="AG5163" s="1"/>
    </row>
    <row r="5164" ht="15.75" customHeight="1">
      <c r="A5164" s="1"/>
      <c r="B5164" s="1"/>
      <c r="C5164" s="1"/>
      <c r="D5164" s="1"/>
      <c r="E5164" s="1"/>
      <c r="F5164" s="1"/>
      <c r="G5164" s="1"/>
      <c r="H5164" s="1"/>
      <c r="I5164" s="1"/>
      <c r="J5164" s="1"/>
      <c r="K5164" s="89" t="s">
        <v>8047</v>
      </c>
      <c r="L5164" s="89" t="str">
        <f>I210</f>
        <v>C2a1a1b2b~</v>
      </c>
      <c r="M5164" s="89"/>
      <c r="N5164" s="89"/>
      <c r="O5164" s="92">
        <v>7400768.0</v>
      </c>
      <c r="P5164" s="92">
        <v>7532727.0</v>
      </c>
      <c r="Q5164" s="89" t="s">
        <v>822</v>
      </c>
      <c r="AF5164" s="1"/>
      <c r="AG5164" s="1"/>
    </row>
    <row r="5165" ht="15.75" customHeight="1">
      <c r="A5165" s="1"/>
      <c r="B5165" s="1"/>
      <c r="C5165" s="1"/>
      <c r="D5165" s="1"/>
      <c r="E5165" s="1"/>
      <c r="F5165" s="1"/>
      <c r="G5165" s="1"/>
      <c r="H5165" s="1"/>
      <c r="I5165" s="1"/>
      <c r="J5165" s="1"/>
      <c r="K5165" s="93" t="s">
        <v>8048</v>
      </c>
      <c r="L5165" s="89" t="str">
        <f>I210</f>
        <v>C2a1a1b2b~</v>
      </c>
      <c r="M5165" s="89"/>
      <c r="N5165" s="89"/>
      <c r="O5165" s="108">
        <v>8052316.0</v>
      </c>
      <c r="P5165" s="110">
        <v>8184275.0</v>
      </c>
      <c r="Q5165" s="93" t="s">
        <v>810</v>
      </c>
      <c r="AF5165" s="1"/>
      <c r="AG5165" s="1"/>
    </row>
    <row r="5166" ht="15.75" customHeight="1">
      <c r="A5166" s="1"/>
      <c r="B5166" s="1"/>
      <c r="C5166" s="1"/>
      <c r="D5166" s="1"/>
      <c r="E5166" s="1"/>
      <c r="F5166" s="1"/>
      <c r="G5166" s="1"/>
      <c r="H5166" s="1"/>
      <c r="I5166" s="1"/>
      <c r="J5166" s="1"/>
      <c r="K5166" s="89" t="s">
        <v>8049</v>
      </c>
      <c r="L5166" s="89" t="str">
        <f>H211</f>
        <v>C2a1a1b3~</v>
      </c>
      <c r="M5166" s="89" t="s">
        <v>8050</v>
      </c>
      <c r="N5166" s="89"/>
      <c r="O5166" s="92">
        <v>2.1619495E7</v>
      </c>
      <c r="P5166" s="92">
        <v>1.9457609E7</v>
      </c>
      <c r="Q5166" s="89" t="s">
        <v>845</v>
      </c>
      <c r="AF5166" s="1"/>
      <c r="AG5166" s="1"/>
    </row>
    <row r="5167" ht="15.75" customHeight="1">
      <c r="A5167" s="1"/>
      <c r="B5167" s="1"/>
      <c r="C5167" s="1"/>
      <c r="D5167" s="1"/>
      <c r="E5167" s="1"/>
      <c r="F5167" s="1"/>
      <c r="G5167" s="1"/>
      <c r="H5167" s="1"/>
      <c r="I5167" s="1"/>
      <c r="J5167" s="1"/>
      <c r="K5167" s="89" t="s">
        <v>8050</v>
      </c>
      <c r="L5167" s="89" t="str">
        <f>H211</f>
        <v>C2a1a1b3~</v>
      </c>
      <c r="M5167" s="89" t="s">
        <v>8049</v>
      </c>
      <c r="N5167" s="89"/>
      <c r="O5167" s="92">
        <v>2.1619495E7</v>
      </c>
      <c r="P5167" s="92">
        <v>1.9457609E7</v>
      </c>
      <c r="Q5167" s="89" t="s">
        <v>845</v>
      </c>
      <c r="AF5167" s="1"/>
      <c r="AG5167" s="1"/>
    </row>
    <row r="5168" ht="15.75" customHeight="1">
      <c r="A5168" s="1"/>
      <c r="B5168" s="1"/>
      <c r="C5168" s="1"/>
      <c r="D5168" s="1"/>
      <c r="E5168" s="1"/>
      <c r="F5168" s="1"/>
      <c r="G5168" s="1"/>
      <c r="H5168" s="1"/>
      <c r="I5168" s="1"/>
      <c r="J5168" s="1"/>
      <c r="K5168" s="89" t="s">
        <v>8051</v>
      </c>
      <c r="L5168" s="89" t="str">
        <f>I212</f>
        <v>C2a1a1b3a~</v>
      </c>
      <c r="M5168" s="89"/>
      <c r="N5168" s="89"/>
      <c r="O5168" s="92">
        <v>1.7888818E7</v>
      </c>
      <c r="P5168" s="92">
        <v>1.5776938E7</v>
      </c>
      <c r="Q5168" s="89" t="s">
        <v>810</v>
      </c>
      <c r="AF5168" s="1"/>
      <c r="AG5168" s="1"/>
    </row>
    <row r="5169" ht="15.75" customHeight="1">
      <c r="A5169" s="1"/>
      <c r="B5169" s="1"/>
      <c r="C5169" s="1"/>
      <c r="D5169" s="1"/>
      <c r="E5169" s="1"/>
      <c r="F5169" s="1"/>
      <c r="G5169" s="1"/>
      <c r="H5169" s="1"/>
      <c r="I5169" s="1"/>
      <c r="J5169" s="1"/>
      <c r="K5169" s="89" t="s">
        <v>8052</v>
      </c>
      <c r="L5169" s="89" t="str">
        <f>I212</f>
        <v>C2a1a1b3a~</v>
      </c>
      <c r="M5169" s="89"/>
      <c r="N5169" s="89"/>
      <c r="O5169" s="92">
        <v>1.8069774E7</v>
      </c>
      <c r="P5169" s="92">
        <v>1.5957894E7</v>
      </c>
      <c r="Q5169" s="89" t="s">
        <v>917</v>
      </c>
      <c r="AF5169" s="1"/>
      <c r="AG5169" s="1"/>
    </row>
    <row r="5170" ht="15.75" customHeight="1">
      <c r="A5170" s="1"/>
      <c r="B5170" s="1"/>
      <c r="C5170" s="1"/>
      <c r="D5170" s="1"/>
      <c r="E5170" s="1"/>
      <c r="F5170" s="1"/>
      <c r="G5170" s="1"/>
      <c r="H5170" s="1"/>
      <c r="I5170" s="1"/>
      <c r="J5170" s="1"/>
      <c r="K5170" s="89" t="s">
        <v>8053</v>
      </c>
      <c r="L5170" s="89" t="str">
        <f>I212</f>
        <v>C2a1a1b3a~</v>
      </c>
      <c r="M5170" s="89"/>
      <c r="N5170" s="89"/>
      <c r="O5170" s="92">
        <v>1.8682141E7</v>
      </c>
      <c r="P5170" s="92">
        <v>1.6570261E7</v>
      </c>
      <c r="Q5170" s="89" t="s">
        <v>917</v>
      </c>
      <c r="AF5170" s="1"/>
      <c r="AG5170" s="1"/>
    </row>
    <row r="5171" ht="15.75" customHeight="1">
      <c r="A5171" s="1"/>
      <c r="B5171" s="1"/>
      <c r="C5171" s="1"/>
      <c r="D5171" s="1"/>
      <c r="E5171" s="1"/>
      <c r="F5171" s="1"/>
      <c r="G5171" s="1"/>
      <c r="H5171" s="1"/>
      <c r="I5171" s="1"/>
      <c r="J5171" s="1"/>
      <c r="K5171" s="89" t="s">
        <v>8054</v>
      </c>
      <c r="L5171" s="89" t="str">
        <f>I212</f>
        <v>C2a1a1b3a~</v>
      </c>
      <c r="M5171" s="89"/>
      <c r="N5171" s="89"/>
      <c r="O5171" s="89">
        <v>1.9453359E7</v>
      </c>
      <c r="P5171" s="89">
        <v>1.7341479E7</v>
      </c>
      <c r="Q5171" s="89" t="s">
        <v>822</v>
      </c>
      <c r="AF5171" s="1"/>
      <c r="AG5171" s="1"/>
    </row>
    <row r="5172" ht="15.75" customHeight="1">
      <c r="A5172" s="1"/>
      <c r="B5172" s="1"/>
      <c r="C5172" s="1"/>
      <c r="D5172" s="1"/>
      <c r="E5172" s="1"/>
      <c r="F5172" s="1"/>
      <c r="G5172" s="1"/>
      <c r="H5172" s="1"/>
      <c r="I5172" s="1"/>
      <c r="J5172" s="1"/>
      <c r="K5172" s="89" t="s">
        <v>8055</v>
      </c>
      <c r="L5172" s="89" t="str">
        <f>I212</f>
        <v>C2a1a1b3a~</v>
      </c>
      <c r="M5172" s="89"/>
      <c r="N5172" s="89"/>
      <c r="O5172" s="89">
        <v>7908401.0</v>
      </c>
      <c r="P5172" s="89">
        <v>8040360.0</v>
      </c>
      <c r="Q5172" s="89" t="s">
        <v>810</v>
      </c>
      <c r="AF5172" s="1"/>
      <c r="AG5172" s="1"/>
    </row>
    <row r="5173" ht="15.75" customHeight="1">
      <c r="A5173" s="1"/>
      <c r="B5173" s="1"/>
      <c r="C5173" s="1"/>
      <c r="D5173" s="1"/>
      <c r="E5173" s="1"/>
      <c r="F5173" s="1"/>
      <c r="G5173" s="1"/>
      <c r="H5173" s="1"/>
      <c r="I5173" s="1"/>
      <c r="J5173" s="1"/>
      <c r="K5173" s="89" t="s">
        <v>8056</v>
      </c>
      <c r="L5173" s="89" t="str">
        <f>I212</f>
        <v>C2a1a1b3a~</v>
      </c>
      <c r="M5173" s="89"/>
      <c r="N5173" s="89"/>
      <c r="O5173" s="92">
        <v>1.7157542E7</v>
      </c>
      <c r="P5173" s="92">
        <v>1.5045662E7</v>
      </c>
      <c r="Q5173" s="89" t="s">
        <v>810</v>
      </c>
      <c r="AF5173" s="1"/>
      <c r="AG5173" s="1"/>
    </row>
    <row r="5174" ht="15.75" customHeight="1">
      <c r="A5174" s="1"/>
      <c r="B5174" s="1"/>
      <c r="C5174" s="1"/>
      <c r="D5174" s="1"/>
      <c r="E5174" s="1"/>
      <c r="F5174" s="1"/>
      <c r="G5174" s="1"/>
      <c r="H5174" s="1"/>
      <c r="I5174" s="1"/>
      <c r="J5174" s="1"/>
      <c r="K5174" s="89" t="s">
        <v>8057</v>
      </c>
      <c r="L5174" s="89" t="str">
        <f>I212</f>
        <v>C2a1a1b3a~</v>
      </c>
      <c r="M5174" s="89"/>
      <c r="N5174" s="89"/>
      <c r="O5174" s="92">
        <v>1.7843383E7</v>
      </c>
      <c r="P5174" s="92">
        <v>1.5731503E7</v>
      </c>
      <c r="Q5174" s="89" t="s">
        <v>810</v>
      </c>
      <c r="AF5174" s="1"/>
      <c r="AG5174" s="1"/>
    </row>
    <row r="5175" ht="15.75" customHeight="1">
      <c r="A5175" s="1"/>
      <c r="B5175" s="1"/>
      <c r="C5175" s="1"/>
      <c r="D5175" s="1"/>
      <c r="E5175" s="1"/>
      <c r="F5175" s="1"/>
      <c r="G5175" s="1"/>
      <c r="H5175" s="1"/>
      <c r="I5175" s="1"/>
      <c r="J5175" s="1"/>
      <c r="K5175" s="89" t="s">
        <v>386</v>
      </c>
      <c r="L5175" s="89" t="str">
        <f>J213</f>
        <v>C2a1a1b3a1~</v>
      </c>
      <c r="M5175" s="89"/>
      <c r="N5175" s="89"/>
      <c r="O5175" s="92">
        <v>1.7729521E7</v>
      </c>
      <c r="P5175" s="92">
        <v>1.5617641E7</v>
      </c>
      <c r="Q5175" s="89" t="s">
        <v>802</v>
      </c>
      <c r="AF5175" s="1"/>
      <c r="AG5175" s="1"/>
    </row>
    <row r="5176" ht="15.75" customHeight="1">
      <c r="A5176" s="1"/>
      <c r="B5176" s="1"/>
      <c r="C5176" s="1"/>
      <c r="D5176" s="1"/>
      <c r="E5176" s="1"/>
      <c r="F5176" s="1"/>
      <c r="G5176" s="1"/>
      <c r="H5176" s="1"/>
      <c r="I5176" s="1"/>
      <c r="J5176" s="1"/>
      <c r="K5176" s="89" t="s">
        <v>8058</v>
      </c>
      <c r="L5176" s="89" t="str">
        <f>G214</f>
        <v>C2a1a1c</v>
      </c>
      <c r="M5176" s="89"/>
      <c r="N5176" s="89"/>
      <c r="O5176" s="92">
        <v>2.1888793E7</v>
      </c>
      <c r="P5176" s="92">
        <v>1.9726907E7</v>
      </c>
      <c r="Q5176" s="89" t="s">
        <v>838</v>
      </c>
      <c r="AF5176" s="1"/>
      <c r="AG5176" s="1"/>
    </row>
    <row r="5177" ht="15.75" customHeight="1">
      <c r="A5177" s="1"/>
      <c r="B5177" s="1"/>
      <c r="C5177" s="1"/>
      <c r="D5177" s="1"/>
      <c r="E5177" s="1"/>
      <c r="F5177" s="1"/>
      <c r="G5177" s="1"/>
      <c r="H5177" s="1"/>
      <c r="I5177" s="1"/>
      <c r="J5177" s="1"/>
      <c r="K5177" s="89" t="s">
        <v>8059</v>
      </c>
      <c r="L5177" s="89" t="str">
        <f>G214</f>
        <v>C2a1a1c</v>
      </c>
      <c r="M5177" s="89" t="s">
        <v>8060</v>
      </c>
      <c r="N5177" s="89" t="s">
        <v>8061</v>
      </c>
      <c r="O5177" s="92">
        <v>1.6362484E7</v>
      </c>
      <c r="P5177" s="92">
        <v>1.4250604E7</v>
      </c>
      <c r="Q5177" s="89" t="s">
        <v>810</v>
      </c>
      <c r="AF5177" s="1"/>
      <c r="AG5177" s="1"/>
    </row>
    <row r="5178" ht="15.75" customHeight="1">
      <c r="A5178" s="1"/>
      <c r="B5178" s="1"/>
      <c r="C5178" s="1"/>
      <c r="D5178" s="1"/>
      <c r="E5178" s="1"/>
      <c r="F5178" s="1"/>
      <c r="G5178" s="1"/>
      <c r="H5178" s="1"/>
      <c r="I5178" s="1"/>
      <c r="J5178" s="1"/>
      <c r="K5178" s="89" t="s">
        <v>8062</v>
      </c>
      <c r="L5178" s="89" t="str">
        <f>G214</f>
        <v>C2a1a1c</v>
      </c>
      <c r="M5178" s="89" t="s">
        <v>8063</v>
      </c>
      <c r="N5178" s="89" t="s">
        <v>8061</v>
      </c>
      <c r="O5178" s="92">
        <v>1.6362484E7</v>
      </c>
      <c r="P5178" s="92">
        <v>1.4250604E7</v>
      </c>
      <c r="Q5178" s="89" t="s">
        <v>810</v>
      </c>
      <c r="AF5178" s="1"/>
      <c r="AG5178" s="1"/>
    </row>
    <row r="5179" ht="15.75" customHeight="1">
      <c r="A5179" s="1"/>
      <c r="B5179" s="1"/>
      <c r="C5179" s="1"/>
      <c r="D5179" s="1"/>
      <c r="E5179" s="1"/>
      <c r="F5179" s="1"/>
      <c r="G5179" s="1"/>
      <c r="H5179" s="1"/>
      <c r="I5179" s="1"/>
      <c r="J5179" s="1"/>
      <c r="K5179" s="89" t="s">
        <v>8064</v>
      </c>
      <c r="L5179" s="89" t="str">
        <f>G214</f>
        <v>C2a1a1c</v>
      </c>
      <c r="M5179" s="89" t="s">
        <v>8065</v>
      </c>
      <c r="N5179" s="89" t="s">
        <v>8061</v>
      </c>
      <c r="O5179" s="92">
        <v>1.6362484E7</v>
      </c>
      <c r="P5179" s="92">
        <v>1.4250604E7</v>
      </c>
      <c r="Q5179" s="89" t="s">
        <v>810</v>
      </c>
      <c r="AF5179" s="1"/>
      <c r="AG5179" s="1"/>
    </row>
    <row r="5180" ht="15.75" customHeight="1">
      <c r="A5180" s="1"/>
      <c r="B5180" s="1"/>
      <c r="C5180" s="1"/>
      <c r="D5180" s="1"/>
      <c r="E5180" s="1"/>
      <c r="F5180" s="1"/>
      <c r="G5180" s="1"/>
      <c r="H5180" s="1"/>
      <c r="I5180" s="1"/>
      <c r="J5180" s="1"/>
      <c r="K5180" s="89" t="s">
        <v>8066</v>
      </c>
      <c r="L5180" s="89" t="str">
        <f>G214</f>
        <v>C2a1a1c</v>
      </c>
      <c r="M5180" s="89" t="s">
        <v>8067</v>
      </c>
      <c r="N5180" s="89" t="s">
        <v>8061</v>
      </c>
      <c r="O5180" s="92">
        <v>1.6362484E7</v>
      </c>
      <c r="P5180" s="92">
        <v>1.4250604E7</v>
      </c>
      <c r="Q5180" s="89" t="s">
        <v>810</v>
      </c>
      <c r="AF5180" s="1"/>
      <c r="AG5180" s="1"/>
    </row>
    <row r="5181" ht="15.75" customHeight="1">
      <c r="A5181" s="1"/>
      <c r="B5181" s="1"/>
      <c r="C5181" s="1"/>
      <c r="D5181" s="1"/>
      <c r="E5181" s="1"/>
      <c r="F5181" s="1"/>
      <c r="G5181" s="1"/>
      <c r="H5181" s="1"/>
      <c r="I5181" s="1"/>
      <c r="J5181" s="1"/>
      <c r="K5181" s="89" t="s">
        <v>8068</v>
      </c>
      <c r="L5181" s="89" t="str">
        <f>G214</f>
        <v>C2a1a1c</v>
      </c>
      <c r="M5181" s="89"/>
      <c r="N5181" s="89"/>
      <c r="O5181" s="92">
        <v>7153509.0</v>
      </c>
      <c r="P5181" s="92">
        <v>7285468.0</v>
      </c>
      <c r="Q5181" s="89" t="s">
        <v>822</v>
      </c>
      <c r="AF5181" s="1"/>
      <c r="AG5181" s="1"/>
    </row>
    <row r="5182" ht="15.75" customHeight="1">
      <c r="A5182" s="1"/>
      <c r="B5182" s="1"/>
      <c r="C5182" s="1"/>
      <c r="D5182" s="1"/>
      <c r="E5182" s="1"/>
      <c r="F5182" s="1"/>
      <c r="G5182" s="1"/>
      <c r="H5182" s="1"/>
      <c r="I5182" s="1"/>
      <c r="J5182" s="1"/>
      <c r="K5182" s="89" t="s">
        <v>8069</v>
      </c>
      <c r="L5182" s="89" t="str">
        <f>G214</f>
        <v>C2a1a1c</v>
      </c>
      <c r="M5182" s="89"/>
      <c r="N5182" s="89"/>
      <c r="O5182" s="92">
        <v>7425541.0</v>
      </c>
      <c r="P5182" s="92">
        <v>7557500.0</v>
      </c>
      <c r="Q5182" s="89" t="s">
        <v>838</v>
      </c>
      <c r="AF5182" s="1"/>
      <c r="AG5182" s="1"/>
    </row>
    <row r="5183" ht="15.75" customHeight="1">
      <c r="A5183" s="1"/>
      <c r="B5183" s="1"/>
      <c r="C5183" s="1"/>
      <c r="D5183" s="1"/>
      <c r="E5183" s="1"/>
      <c r="F5183" s="1"/>
      <c r="G5183" s="1"/>
      <c r="H5183" s="1"/>
      <c r="I5183" s="1"/>
      <c r="J5183" s="1"/>
      <c r="K5183" s="89" t="s">
        <v>8070</v>
      </c>
      <c r="L5183" s="89" t="str">
        <f>G214</f>
        <v>C2a1a1c</v>
      </c>
      <c r="M5183" s="89"/>
      <c r="N5183" s="89"/>
      <c r="O5183" s="92">
        <v>1.525023E7</v>
      </c>
      <c r="P5183" s="92">
        <v>1.3138316E7</v>
      </c>
      <c r="Q5183" s="89" t="s">
        <v>810</v>
      </c>
      <c r="AF5183" s="1"/>
      <c r="AG5183" s="1"/>
    </row>
    <row r="5184" ht="15.75" customHeight="1">
      <c r="A5184" s="1"/>
      <c r="B5184" s="1"/>
      <c r="C5184" s="1"/>
      <c r="D5184" s="1"/>
      <c r="E5184" s="1"/>
      <c r="F5184" s="1"/>
      <c r="G5184" s="1"/>
      <c r="H5184" s="1"/>
      <c r="I5184" s="1"/>
      <c r="J5184" s="1"/>
      <c r="K5184" s="89" t="s">
        <v>8071</v>
      </c>
      <c r="L5184" s="89" t="str">
        <f>G214</f>
        <v>C2a1a1c</v>
      </c>
      <c r="M5184" s="89"/>
      <c r="N5184" s="89"/>
      <c r="O5184" s="92">
        <v>1.5845248E7</v>
      </c>
      <c r="P5184" s="92">
        <v>1.3733368E7</v>
      </c>
      <c r="Q5184" s="89" t="s">
        <v>822</v>
      </c>
      <c r="AF5184" s="1"/>
      <c r="AG5184" s="1"/>
    </row>
    <row r="5185" ht="15.75" customHeight="1">
      <c r="A5185" s="1"/>
      <c r="B5185" s="1"/>
      <c r="C5185" s="1"/>
      <c r="D5185" s="1"/>
      <c r="E5185" s="1"/>
      <c r="F5185" s="1"/>
      <c r="G5185" s="1"/>
      <c r="H5185" s="1"/>
      <c r="I5185" s="1"/>
      <c r="J5185" s="1"/>
      <c r="K5185" s="89" t="s">
        <v>8072</v>
      </c>
      <c r="L5185" s="89" t="str">
        <f>G214</f>
        <v>C2a1a1c</v>
      </c>
      <c r="M5185" s="89"/>
      <c r="N5185" s="89"/>
      <c r="O5185" s="92">
        <v>1.899311E7</v>
      </c>
      <c r="P5185" s="92">
        <v>1.688123E7</v>
      </c>
      <c r="Q5185" s="89" t="s">
        <v>845</v>
      </c>
      <c r="AF5185" s="1"/>
      <c r="AG5185" s="1"/>
    </row>
    <row r="5186" ht="15.75" customHeight="1">
      <c r="A5186" s="1"/>
      <c r="B5186" s="1"/>
      <c r="C5186" s="1"/>
      <c r="D5186" s="1"/>
      <c r="E5186" s="1"/>
      <c r="F5186" s="1"/>
      <c r="G5186" s="1"/>
      <c r="H5186" s="1"/>
      <c r="I5186" s="1"/>
      <c r="J5186" s="1"/>
      <c r="K5186" s="89" t="s">
        <v>8073</v>
      </c>
      <c r="L5186" s="89" t="str">
        <f>G214</f>
        <v>C2a1a1c</v>
      </c>
      <c r="M5186" s="89"/>
      <c r="N5186" s="89"/>
      <c r="O5186" s="92">
        <v>8508188.0</v>
      </c>
      <c r="P5186" s="92">
        <v>8640147.0</v>
      </c>
      <c r="Q5186" s="89" t="s">
        <v>838</v>
      </c>
      <c r="AF5186" s="1"/>
      <c r="AG5186" s="1"/>
    </row>
    <row r="5187" ht="15.75" customHeight="1">
      <c r="A5187" s="1"/>
      <c r="B5187" s="1"/>
      <c r="C5187" s="1"/>
      <c r="D5187" s="1"/>
      <c r="E5187" s="1"/>
      <c r="F5187" s="1"/>
      <c r="G5187" s="1"/>
      <c r="H5187" s="1"/>
      <c r="I5187" s="1"/>
      <c r="J5187" s="1"/>
      <c r="K5187" s="89" t="s">
        <v>8074</v>
      </c>
      <c r="L5187" s="89" t="str">
        <f>G214</f>
        <v>C2a1a1c</v>
      </c>
      <c r="M5187" s="89"/>
      <c r="N5187" s="89"/>
      <c r="O5187" s="92">
        <v>1.4920666E7</v>
      </c>
      <c r="P5187" s="92">
        <v>1.2808731E7</v>
      </c>
      <c r="Q5187" s="89" t="s">
        <v>822</v>
      </c>
      <c r="AF5187" s="1"/>
      <c r="AG5187" s="1"/>
    </row>
    <row r="5188" ht="15.75" customHeight="1">
      <c r="A5188" s="1"/>
      <c r="B5188" s="1"/>
      <c r="C5188" s="1"/>
      <c r="D5188" s="1"/>
      <c r="E5188" s="1"/>
      <c r="F5188" s="1"/>
      <c r="G5188" s="1"/>
      <c r="H5188" s="1"/>
      <c r="I5188" s="1"/>
      <c r="J5188" s="1"/>
      <c r="K5188" s="89" t="s">
        <v>8075</v>
      </c>
      <c r="L5188" s="89" t="str">
        <f>G214</f>
        <v>C2a1a1c</v>
      </c>
      <c r="M5188" s="89"/>
      <c r="N5188" s="89"/>
      <c r="O5188" s="92">
        <v>1.6375727E7</v>
      </c>
      <c r="P5188" s="92">
        <v>1.4263847E7</v>
      </c>
      <c r="Q5188" s="89" t="s">
        <v>810</v>
      </c>
      <c r="AF5188" s="1"/>
      <c r="AG5188" s="1"/>
    </row>
    <row r="5189" ht="15.75" customHeight="1">
      <c r="A5189" s="1"/>
      <c r="B5189" s="1"/>
      <c r="C5189" s="1"/>
      <c r="D5189" s="1"/>
      <c r="E5189" s="1"/>
      <c r="F5189" s="1"/>
      <c r="G5189" s="1"/>
      <c r="H5189" s="1"/>
      <c r="I5189" s="1"/>
      <c r="J5189" s="1"/>
      <c r="K5189" s="89" t="s">
        <v>8076</v>
      </c>
      <c r="L5189" s="89" t="str">
        <f>G214</f>
        <v>C2a1a1c</v>
      </c>
      <c r="M5189" s="89"/>
      <c r="N5189" s="89"/>
      <c r="O5189" s="92">
        <v>1.7853198E7</v>
      </c>
      <c r="P5189" s="92">
        <v>1.5741318E7</v>
      </c>
      <c r="Q5189" s="89" t="s">
        <v>802</v>
      </c>
      <c r="AF5189" s="1"/>
      <c r="AG5189" s="1"/>
    </row>
    <row r="5190" ht="15.75" customHeight="1">
      <c r="A5190" s="1"/>
      <c r="B5190" s="1"/>
      <c r="C5190" s="1"/>
      <c r="D5190" s="1"/>
      <c r="E5190" s="1"/>
      <c r="F5190" s="1"/>
      <c r="G5190" s="1"/>
      <c r="H5190" s="1"/>
      <c r="I5190" s="1"/>
      <c r="J5190" s="1"/>
      <c r="K5190" s="89" t="s">
        <v>8077</v>
      </c>
      <c r="L5190" s="89" t="str">
        <f>G214</f>
        <v>C2a1a1c</v>
      </c>
      <c r="M5190" s="89"/>
      <c r="N5190" s="89"/>
      <c r="O5190" s="92">
        <v>1.8552719E7</v>
      </c>
      <c r="P5190" s="92">
        <v>1.6440839E7</v>
      </c>
      <c r="Q5190" s="89" t="s">
        <v>802</v>
      </c>
      <c r="AF5190" s="1"/>
      <c r="AG5190" s="1"/>
    </row>
    <row r="5191" ht="15.75" customHeight="1">
      <c r="A5191" s="1"/>
      <c r="B5191" s="1"/>
      <c r="C5191" s="1"/>
      <c r="D5191" s="1"/>
      <c r="E5191" s="1"/>
      <c r="F5191" s="1"/>
      <c r="G5191" s="1"/>
      <c r="H5191" s="1"/>
      <c r="I5191" s="1"/>
      <c r="J5191" s="1"/>
      <c r="K5191" s="89" t="s">
        <v>8078</v>
      </c>
      <c r="L5191" s="89" t="str">
        <f>G214</f>
        <v>C2a1a1c</v>
      </c>
      <c r="M5191" s="89"/>
      <c r="N5191" s="89"/>
      <c r="O5191" s="92">
        <v>2.2686897E7</v>
      </c>
      <c r="P5191" s="92">
        <v>2.0525011E7</v>
      </c>
      <c r="Q5191" s="89" t="s">
        <v>822</v>
      </c>
      <c r="AF5191" s="1"/>
      <c r="AG5191" s="1"/>
    </row>
    <row r="5192" ht="15.75" customHeight="1">
      <c r="A5192" s="1"/>
      <c r="B5192" s="1"/>
      <c r="C5192" s="1"/>
      <c r="D5192" s="1"/>
      <c r="E5192" s="1"/>
      <c r="F5192" s="1"/>
      <c r="G5192" s="1"/>
      <c r="H5192" s="1"/>
      <c r="I5192" s="1"/>
      <c r="J5192" s="1"/>
      <c r="K5192" s="89" t="s">
        <v>8079</v>
      </c>
      <c r="L5192" s="89" t="str">
        <f>G214</f>
        <v>C2a1a1c</v>
      </c>
      <c r="M5192" s="89"/>
      <c r="N5192" s="89"/>
      <c r="O5192" s="92">
        <v>2802435.0</v>
      </c>
      <c r="P5192" s="92">
        <v>2934394.0</v>
      </c>
      <c r="Q5192" s="89" t="s">
        <v>831</v>
      </c>
      <c r="AF5192" s="1"/>
      <c r="AG5192" s="1"/>
    </row>
    <row r="5193" ht="15.75" customHeight="1">
      <c r="A5193" s="1"/>
      <c r="B5193" s="1"/>
      <c r="C5193" s="1"/>
      <c r="D5193" s="1"/>
      <c r="E5193" s="1"/>
      <c r="F5193" s="1"/>
      <c r="G5193" s="1"/>
      <c r="H5193" s="1"/>
      <c r="I5193" s="1"/>
      <c r="J5193" s="1"/>
      <c r="K5193" s="89" t="s">
        <v>8080</v>
      </c>
      <c r="L5193" s="89" t="str">
        <f>G214</f>
        <v>C2a1a1c</v>
      </c>
      <c r="M5193" s="89"/>
      <c r="N5193" s="89"/>
      <c r="O5193" s="92">
        <v>9108951.0</v>
      </c>
      <c r="P5193" s="92">
        <v>9271342.0</v>
      </c>
      <c r="Q5193" s="89" t="s">
        <v>879</v>
      </c>
      <c r="AF5193" s="1"/>
      <c r="AG5193" s="1"/>
    </row>
    <row r="5194" ht="15.75" customHeight="1">
      <c r="A5194" s="1"/>
      <c r="B5194" s="1"/>
      <c r="C5194" s="1"/>
      <c r="D5194" s="1"/>
      <c r="E5194" s="1"/>
      <c r="F5194" s="1"/>
      <c r="G5194" s="1"/>
      <c r="H5194" s="1"/>
      <c r="I5194" s="1"/>
      <c r="J5194" s="1"/>
      <c r="K5194" s="89" t="s">
        <v>8081</v>
      </c>
      <c r="L5194" s="89" t="str">
        <f>G214</f>
        <v>C2a1a1c</v>
      </c>
      <c r="M5194" s="89"/>
      <c r="N5194" s="89"/>
      <c r="O5194" s="92">
        <v>1.4571542E7</v>
      </c>
      <c r="P5194" s="92">
        <v>1.2459742E7</v>
      </c>
      <c r="Q5194" s="89" t="s">
        <v>864</v>
      </c>
      <c r="AF5194" s="1"/>
      <c r="AG5194" s="1"/>
    </row>
    <row r="5195" ht="15.75" customHeight="1">
      <c r="A5195" s="1"/>
      <c r="B5195" s="1"/>
      <c r="C5195" s="1"/>
      <c r="D5195" s="1"/>
      <c r="E5195" s="1"/>
      <c r="F5195" s="1"/>
      <c r="G5195" s="1"/>
      <c r="H5195" s="1"/>
      <c r="I5195" s="1"/>
      <c r="J5195" s="1"/>
      <c r="K5195" s="89" t="s">
        <v>8082</v>
      </c>
      <c r="L5195" s="89" t="str">
        <f>G214</f>
        <v>C2a1a1c</v>
      </c>
      <c r="M5195" s="89"/>
      <c r="N5195" s="89"/>
      <c r="O5195" s="92">
        <v>1.5867412E7</v>
      </c>
      <c r="P5195" s="92">
        <v>1.3755532E7</v>
      </c>
      <c r="Q5195" s="89" t="s">
        <v>879</v>
      </c>
      <c r="AF5195" s="1"/>
      <c r="AG5195" s="1"/>
    </row>
    <row r="5196" ht="15.75" customHeight="1">
      <c r="A5196" s="1"/>
      <c r="B5196" s="1"/>
      <c r="C5196" s="1"/>
      <c r="D5196" s="1"/>
      <c r="E5196" s="1"/>
      <c r="F5196" s="1"/>
      <c r="G5196" s="1"/>
      <c r="H5196" s="1"/>
      <c r="I5196" s="1"/>
      <c r="J5196" s="1"/>
      <c r="K5196" s="89" t="s">
        <v>8083</v>
      </c>
      <c r="L5196" s="89" t="str">
        <f>G214</f>
        <v>C2a1a1c</v>
      </c>
      <c r="M5196" s="89"/>
      <c r="N5196" s="89"/>
      <c r="O5196" s="92">
        <v>1.6243337E7</v>
      </c>
      <c r="P5196" s="92">
        <v>1.4131457E7</v>
      </c>
      <c r="Q5196" s="89" t="s">
        <v>810</v>
      </c>
      <c r="AF5196" s="1"/>
      <c r="AG5196" s="1"/>
    </row>
    <row r="5197" ht="15.75" customHeight="1">
      <c r="A5197" s="1"/>
      <c r="B5197" s="1"/>
      <c r="C5197" s="1"/>
      <c r="D5197" s="1"/>
      <c r="E5197" s="1"/>
      <c r="F5197" s="1"/>
      <c r="G5197" s="1"/>
      <c r="H5197" s="1"/>
      <c r="I5197" s="1"/>
      <c r="J5197" s="1"/>
      <c r="K5197" s="89" t="s">
        <v>8084</v>
      </c>
      <c r="L5197" s="89" t="str">
        <f>G214</f>
        <v>C2a1a1c</v>
      </c>
      <c r="M5197" s="89"/>
      <c r="N5197" s="89"/>
      <c r="O5197" s="92">
        <v>1.6755578E7</v>
      </c>
      <c r="P5197" s="92">
        <v>1.4643698E7</v>
      </c>
      <c r="Q5197" s="89" t="s">
        <v>912</v>
      </c>
      <c r="AF5197" s="1"/>
      <c r="AG5197" s="1"/>
    </row>
    <row r="5198" ht="15.75" customHeight="1">
      <c r="A5198" s="1"/>
      <c r="B5198" s="1"/>
      <c r="C5198" s="1"/>
      <c r="D5198" s="1"/>
      <c r="E5198" s="1"/>
      <c r="F5198" s="1"/>
      <c r="G5198" s="1"/>
      <c r="H5198" s="1"/>
      <c r="I5198" s="1"/>
      <c r="J5198" s="1"/>
      <c r="K5198" s="89" t="s">
        <v>8085</v>
      </c>
      <c r="L5198" s="89" t="str">
        <f>G214</f>
        <v>C2a1a1c</v>
      </c>
      <c r="M5198" s="89"/>
      <c r="N5198" s="89"/>
      <c r="O5198" s="92">
        <v>1.9051726E7</v>
      </c>
      <c r="P5198" s="92">
        <v>1.6939846E7</v>
      </c>
      <c r="Q5198" s="89" t="s">
        <v>838</v>
      </c>
      <c r="AF5198" s="1"/>
      <c r="AG5198" s="1"/>
    </row>
    <row r="5199" ht="15.75" customHeight="1">
      <c r="A5199" s="1"/>
      <c r="B5199" s="1"/>
      <c r="C5199" s="1"/>
      <c r="D5199" s="1"/>
      <c r="E5199" s="1"/>
      <c r="F5199" s="1"/>
      <c r="G5199" s="1"/>
      <c r="H5199" s="1"/>
      <c r="I5199" s="1"/>
      <c r="J5199" s="1"/>
      <c r="K5199" s="89" t="s">
        <v>8086</v>
      </c>
      <c r="L5199" s="89" t="str">
        <f>G214</f>
        <v>C2a1a1c</v>
      </c>
      <c r="M5199" s="89"/>
      <c r="N5199" s="89"/>
      <c r="O5199" s="92">
        <v>2.3481449E7</v>
      </c>
      <c r="P5199" s="92">
        <v>2.1319563E7</v>
      </c>
      <c r="Q5199" s="89" t="s">
        <v>802</v>
      </c>
      <c r="AF5199" s="1"/>
      <c r="AG5199" s="1"/>
    </row>
    <row r="5200" ht="15.75" customHeight="1">
      <c r="A5200" s="1"/>
      <c r="B5200" s="1"/>
      <c r="C5200" s="1"/>
      <c r="D5200" s="1"/>
      <c r="E5200" s="1"/>
      <c r="F5200" s="1"/>
      <c r="G5200" s="1"/>
      <c r="H5200" s="1"/>
      <c r="I5200" s="1"/>
      <c r="J5200" s="1"/>
      <c r="K5200" s="89" t="s">
        <v>8087</v>
      </c>
      <c r="L5200" s="89" t="str">
        <f>G214</f>
        <v>C2a1a1c</v>
      </c>
      <c r="M5200" s="89"/>
      <c r="N5200" s="89"/>
      <c r="O5200" s="92">
        <v>2.3793562E7</v>
      </c>
      <c r="P5200" s="92">
        <v>2.1631676E7</v>
      </c>
      <c r="Q5200" s="89" t="s">
        <v>917</v>
      </c>
      <c r="AF5200" s="1"/>
      <c r="AG5200" s="1"/>
    </row>
    <row r="5201" ht="15.75" customHeight="1">
      <c r="A5201" s="1"/>
      <c r="B5201" s="1"/>
      <c r="C5201" s="1"/>
      <c r="D5201" s="1"/>
      <c r="E5201" s="1"/>
      <c r="F5201" s="1"/>
      <c r="G5201" s="1"/>
      <c r="H5201" s="1"/>
      <c r="I5201" s="1"/>
      <c r="J5201" s="1"/>
      <c r="K5201" s="89" t="s">
        <v>8088</v>
      </c>
      <c r="L5201" s="89" t="str">
        <f>G214</f>
        <v>C2a1a1c</v>
      </c>
      <c r="M5201" s="89"/>
      <c r="N5201" s="89"/>
      <c r="O5201" s="92">
        <v>9445166.0</v>
      </c>
      <c r="P5201" s="92">
        <v>9607557.0</v>
      </c>
      <c r="Q5201" s="89" t="s">
        <v>838</v>
      </c>
      <c r="AF5201" s="1"/>
      <c r="AG5201" s="1"/>
    </row>
    <row r="5202" ht="15.75" customHeight="1">
      <c r="A5202" s="1"/>
      <c r="B5202" s="1"/>
      <c r="C5202" s="1"/>
      <c r="D5202" s="1"/>
      <c r="E5202" s="1"/>
      <c r="F5202" s="1"/>
      <c r="G5202" s="1"/>
      <c r="H5202" s="1"/>
      <c r="I5202" s="1"/>
      <c r="J5202" s="1"/>
      <c r="K5202" s="89" t="s">
        <v>8089</v>
      </c>
      <c r="L5202" s="89" t="str">
        <f>G214</f>
        <v>C2a1a1c</v>
      </c>
      <c r="M5202" s="89" t="s">
        <v>8090</v>
      </c>
      <c r="N5202" s="89"/>
      <c r="O5202" s="92">
        <v>6674832.0</v>
      </c>
      <c r="P5202" s="92">
        <v>6806791.0</v>
      </c>
      <c r="Q5202" s="89" t="s">
        <v>838</v>
      </c>
      <c r="AF5202" s="1"/>
      <c r="AG5202" s="1"/>
    </row>
    <row r="5203" ht="15.75" customHeight="1">
      <c r="A5203" s="1"/>
      <c r="B5203" s="1"/>
      <c r="C5203" s="1"/>
      <c r="D5203" s="1"/>
      <c r="E5203" s="1"/>
      <c r="F5203" s="1"/>
      <c r="G5203" s="1"/>
      <c r="H5203" s="1"/>
      <c r="I5203" s="1"/>
      <c r="J5203" s="1"/>
      <c r="K5203" s="89" t="s">
        <v>8090</v>
      </c>
      <c r="L5203" s="89" t="str">
        <f>G214</f>
        <v>C2a1a1c</v>
      </c>
      <c r="M5203" s="89" t="s">
        <v>8089</v>
      </c>
      <c r="N5203" s="89"/>
      <c r="O5203" s="92">
        <v>6674832.0</v>
      </c>
      <c r="P5203" s="92">
        <v>6806791.0</v>
      </c>
      <c r="Q5203" s="89" t="s">
        <v>838</v>
      </c>
      <c r="AF5203" s="1"/>
      <c r="AG5203" s="1"/>
    </row>
    <row r="5204" ht="15.75" customHeight="1">
      <c r="A5204" s="1"/>
      <c r="B5204" s="1"/>
      <c r="C5204" s="1"/>
      <c r="D5204" s="1"/>
      <c r="E5204" s="1"/>
      <c r="F5204" s="1"/>
      <c r="G5204" s="1"/>
      <c r="H5204" s="1"/>
      <c r="I5204" s="1"/>
      <c r="J5204" s="1"/>
      <c r="K5204" s="89" t="s">
        <v>8091</v>
      </c>
      <c r="L5204" s="89" t="str">
        <f>G214</f>
        <v>C2a1a1c</v>
      </c>
      <c r="M5204" s="89" t="s">
        <v>8092</v>
      </c>
      <c r="N5204" s="89"/>
      <c r="O5204" s="92">
        <v>6778762.0</v>
      </c>
      <c r="P5204" s="92">
        <v>6910721.0</v>
      </c>
      <c r="Q5204" s="89" t="s">
        <v>802</v>
      </c>
      <c r="AF5204" s="1"/>
      <c r="AG5204" s="1"/>
    </row>
    <row r="5205" ht="15.75" customHeight="1">
      <c r="A5205" s="1"/>
      <c r="B5205" s="1"/>
      <c r="C5205" s="1"/>
      <c r="D5205" s="1"/>
      <c r="E5205" s="1"/>
      <c r="F5205" s="1"/>
      <c r="G5205" s="1"/>
      <c r="H5205" s="1"/>
      <c r="I5205" s="1"/>
      <c r="J5205" s="1"/>
      <c r="K5205" s="89" t="s">
        <v>8093</v>
      </c>
      <c r="L5205" s="89" t="str">
        <f>G214</f>
        <v>C2a1a1c</v>
      </c>
      <c r="M5205" s="89" t="s">
        <v>8094</v>
      </c>
      <c r="N5205" s="89"/>
      <c r="O5205" s="92">
        <v>6778762.0</v>
      </c>
      <c r="P5205" s="92">
        <v>6910721.0</v>
      </c>
      <c r="Q5205" s="89" t="s">
        <v>802</v>
      </c>
      <c r="AF5205" s="1"/>
      <c r="AG5205" s="1"/>
    </row>
    <row r="5206" ht="15.75" customHeight="1">
      <c r="A5206" s="1"/>
      <c r="B5206" s="1"/>
      <c r="C5206" s="1"/>
      <c r="D5206" s="1"/>
      <c r="E5206" s="1"/>
      <c r="F5206" s="1"/>
      <c r="G5206" s="1"/>
      <c r="H5206" s="1"/>
      <c r="I5206" s="1"/>
      <c r="J5206" s="1"/>
      <c r="K5206" s="89" t="s">
        <v>8095</v>
      </c>
      <c r="L5206" s="89" t="str">
        <f>G214</f>
        <v>C2a1a1c</v>
      </c>
      <c r="M5206" s="89" t="s">
        <v>8096</v>
      </c>
      <c r="N5206" s="89"/>
      <c r="O5206" s="92">
        <v>6778762.0</v>
      </c>
      <c r="P5206" s="92">
        <v>6910721.0</v>
      </c>
      <c r="Q5206" s="89" t="s">
        <v>802</v>
      </c>
      <c r="AF5206" s="1"/>
      <c r="AG5206" s="1"/>
    </row>
    <row r="5207" ht="15.75" customHeight="1">
      <c r="A5207" s="1"/>
      <c r="B5207" s="1"/>
      <c r="C5207" s="1"/>
      <c r="D5207" s="1"/>
      <c r="E5207" s="1"/>
      <c r="F5207" s="1"/>
      <c r="G5207" s="1"/>
      <c r="H5207" s="1"/>
      <c r="I5207" s="1"/>
      <c r="J5207" s="1"/>
      <c r="K5207" s="89" t="s">
        <v>8097</v>
      </c>
      <c r="L5207" s="89" t="str">
        <f>G214</f>
        <v>C2a1a1c</v>
      </c>
      <c r="M5207" s="89" t="s">
        <v>8098</v>
      </c>
      <c r="N5207" s="89"/>
      <c r="O5207" s="92">
        <v>7152131.0</v>
      </c>
      <c r="P5207" s="92">
        <v>7284090.0</v>
      </c>
      <c r="Q5207" s="89" t="s">
        <v>802</v>
      </c>
      <c r="AF5207" s="1"/>
      <c r="AG5207" s="1"/>
    </row>
    <row r="5208" ht="15.75" customHeight="1">
      <c r="A5208" s="1"/>
      <c r="B5208" s="1"/>
      <c r="C5208" s="1"/>
      <c r="D5208" s="1"/>
      <c r="E5208" s="1"/>
      <c r="F5208" s="1"/>
      <c r="G5208" s="1"/>
      <c r="H5208" s="1"/>
      <c r="I5208" s="1"/>
      <c r="J5208" s="1"/>
      <c r="K5208" s="89" t="s">
        <v>8098</v>
      </c>
      <c r="L5208" s="89" t="str">
        <f>G214</f>
        <v>C2a1a1c</v>
      </c>
      <c r="M5208" s="89" t="s">
        <v>8097</v>
      </c>
      <c r="N5208" s="89"/>
      <c r="O5208" s="92">
        <v>7152131.0</v>
      </c>
      <c r="P5208" s="92">
        <v>7284090.0</v>
      </c>
      <c r="Q5208" s="89" t="s">
        <v>802</v>
      </c>
      <c r="AF5208" s="1"/>
      <c r="AG5208" s="1"/>
    </row>
    <row r="5209" ht="15.75" customHeight="1">
      <c r="A5209" s="1"/>
      <c r="B5209" s="1"/>
      <c r="C5209" s="1"/>
      <c r="D5209" s="1"/>
      <c r="E5209" s="1"/>
      <c r="F5209" s="1"/>
      <c r="G5209" s="1"/>
      <c r="H5209" s="1"/>
      <c r="I5209" s="1"/>
      <c r="J5209" s="1"/>
      <c r="K5209" s="89" t="s">
        <v>8099</v>
      </c>
      <c r="L5209" s="89" t="str">
        <f>G214</f>
        <v>C2a1a1c</v>
      </c>
      <c r="M5209" s="89" t="s">
        <v>8100</v>
      </c>
      <c r="N5209" s="89"/>
      <c r="O5209" s="92">
        <v>7551043.0</v>
      </c>
      <c r="P5209" s="92">
        <v>7683002.0</v>
      </c>
      <c r="Q5209" s="89" t="s">
        <v>822</v>
      </c>
      <c r="AF5209" s="1"/>
      <c r="AG5209" s="1"/>
    </row>
    <row r="5210" ht="15.75" customHeight="1">
      <c r="A5210" s="1"/>
      <c r="B5210" s="1"/>
      <c r="C5210" s="1"/>
      <c r="D5210" s="1"/>
      <c r="E5210" s="1"/>
      <c r="F5210" s="1"/>
      <c r="G5210" s="1"/>
      <c r="H5210" s="1"/>
      <c r="I5210" s="1"/>
      <c r="J5210" s="1"/>
      <c r="K5210" s="89" t="s">
        <v>8100</v>
      </c>
      <c r="L5210" s="89" t="str">
        <f>G214</f>
        <v>C2a1a1c</v>
      </c>
      <c r="M5210" s="89" t="s">
        <v>8099</v>
      </c>
      <c r="N5210" s="89"/>
      <c r="O5210" s="92">
        <v>7551043.0</v>
      </c>
      <c r="P5210" s="92">
        <v>7683002.0</v>
      </c>
      <c r="Q5210" s="89" t="s">
        <v>822</v>
      </c>
      <c r="AF5210" s="1"/>
      <c r="AG5210" s="1"/>
    </row>
    <row r="5211" ht="15.75" customHeight="1">
      <c r="A5211" s="1"/>
      <c r="B5211" s="1"/>
      <c r="C5211" s="1"/>
      <c r="D5211" s="1"/>
      <c r="E5211" s="1"/>
      <c r="F5211" s="1"/>
      <c r="G5211" s="1"/>
      <c r="H5211" s="1"/>
      <c r="I5211" s="1"/>
      <c r="J5211" s="1"/>
      <c r="K5211" s="89" t="s">
        <v>8101</v>
      </c>
      <c r="L5211" s="89" t="str">
        <f>G214</f>
        <v>C2a1a1c</v>
      </c>
      <c r="M5211" s="89" t="s">
        <v>8102</v>
      </c>
      <c r="N5211" s="89"/>
      <c r="O5211" s="92">
        <v>7675570.0</v>
      </c>
      <c r="P5211" s="92">
        <v>7807529.0</v>
      </c>
      <c r="Q5211" s="89" t="s">
        <v>802</v>
      </c>
      <c r="AF5211" s="1"/>
      <c r="AG5211" s="1"/>
    </row>
    <row r="5212" ht="15.75" customHeight="1">
      <c r="A5212" s="1"/>
      <c r="B5212" s="1"/>
      <c r="C5212" s="1"/>
      <c r="D5212" s="1"/>
      <c r="E5212" s="1"/>
      <c r="F5212" s="1"/>
      <c r="G5212" s="1"/>
      <c r="H5212" s="1"/>
      <c r="I5212" s="1"/>
      <c r="J5212" s="1"/>
      <c r="K5212" s="89" t="s">
        <v>8102</v>
      </c>
      <c r="L5212" s="89" t="str">
        <f>G214</f>
        <v>C2a1a1c</v>
      </c>
      <c r="M5212" s="89" t="s">
        <v>8101</v>
      </c>
      <c r="N5212" s="89"/>
      <c r="O5212" s="92">
        <v>7675570.0</v>
      </c>
      <c r="P5212" s="92">
        <v>7807529.0</v>
      </c>
      <c r="Q5212" s="89" t="s">
        <v>802</v>
      </c>
      <c r="AF5212" s="1"/>
      <c r="AG5212" s="1"/>
    </row>
    <row r="5213" ht="15.75" customHeight="1">
      <c r="A5213" s="1"/>
      <c r="B5213" s="1"/>
      <c r="C5213" s="1"/>
      <c r="D5213" s="1"/>
      <c r="E5213" s="1"/>
      <c r="F5213" s="1"/>
      <c r="G5213" s="1"/>
      <c r="H5213" s="1"/>
      <c r="I5213" s="1"/>
      <c r="J5213" s="1"/>
      <c r="K5213" s="89" t="s">
        <v>8103</v>
      </c>
      <c r="L5213" s="89" t="str">
        <f>G214</f>
        <v>C2a1a1c</v>
      </c>
      <c r="M5213" s="89" t="s">
        <v>8104</v>
      </c>
      <c r="N5213" s="89"/>
      <c r="O5213" s="92">
        <v>7903359.0</v>
      </c>
      <c r="P5213" s="92">
        <v>8035318.0</v>
      </c>
      <c r="Q5213" s="89" t="s">
        <v>917</v>
      </c>
      <c r="AF5213" s="1"/>
      <c r="AG5213" s="1"/>
    </row>
    <row r="5214" ht="15.75" customHeight="1">
      <c r="A5214" s="1"/>
      <c r="B5214" s="1"/>
      <c r="C5214" s="1"/>
      <c r="D5214" s="1"/>
      <c r="E5214" s="1"/>
      <c r="F5214" s="1"/>
      <c r="G5214" s="1"/>
      <c r="H5214" s="1"/>
      <c r="I5214" s="1"/>
      <c r="J5214" s="1"/>
      <c r="K5214" s="89" t="s">
        <v>8105</v>
      </c>
      <c r="L5214" s="89" t="str">
        <f>G214</f>
        <v>C2a1a1c</v>
      </c>
      <c r="M5214" s="89" t="s">
        <v>8106</v>
      </c>
      <c r="N5214" s="89"/>
      <c r="O5214" s="92">
        <v>7903359.0</v>
      </c>
      <c r="P5214" s="92">
        <v>8035318.0</v>
      </c>
      <c r="Q5214" s="89" t="s">
        <v>917</v>
      </c>
      <c r="AF5214" s="1"/>
      <c r="AG5214" s="1"/>
    </row>
    <row r="5215" ht="15.75" customHeight="1">
      <c r="A5215" s="1"/>
      <c r="B5215" s="1"/>
      <c r="C5215" s="1"/>
      <c r="D5215" s="1"/>
      <c r="E5215" s="1"/>
      <c r="F5215" s="1"/>
      <c r="G5215" s="1"/>
      <c r="H5215" s="1"/>
      <c r="I5215" s="1"/>
      <c r="J5215" s="1"/>
      <c r="K5215" s="89" t="s">
        <v>8107</v>
      </c>
      <c r="L5215" s="89" t="str">
        <f>G214</f>
        <v>C2a1a1c</v>
      </c>
      <c r="M5215" s="89" t="s">
        <v>8108</v>
      </c>
      <c r="N5215" s="89"/>
      <c r="O5215" s="92">
        <v>7903359.0</v>
      </c>
      <c r="P5215" s="92">
        <v>8035318.0</v>
      </c>
      <c r="Q5215" s="89" t="s">
        <v>917</v>
      </c>
      <c r="AF5215" s="1"/>
      <c r="AG5215" s="1"/>
    </row>
    <row r="5216" ht="15.75" customHeight="1">
      <c r="A5216" s="1"/>
      <c r="B5216" s="1"/>
      <c r="C5216" s="1"/>
      <c r="D5216" s="1"/>
      <c r="E5216" s="1"/>
      <c r="F5216" s="1"/>
      <c r="G5216" s="1"/>
      <c r="H5216" s="1"/>
      <c r="I5216" s="1"/>
      <c r="J5216" s="1"/>
      <c r="K5216" s="89" t="s">
        <v>8109</v>
      </c>
      <c r="L5216" s="89" t="str">
        <f>G214</f>
        <v>C2a1a1c</v>
      </c>
      <c r="M5216" s="89"/>
      <c r="N5216" s="89"/>
      <c r="O5216" s="92">
        <v>8034368.0</v>
      </c>
      <c r="P5216" s="92">
        <v>8166327.0</v>
      </c>
      <c r="Q5216" s="89" t="s">
        <v>810</v>
      </c>
      <c r="AF5216" s="1"/>
      <c r="AG5216" s="1"/>
    </row>
    <row r="5217" ht="15.75" customHeight="1">
      <c r="A5217" s="1"/>
      <c r="B5217" s="1"/>
      <c r="C5217" s="1"/>
      <c r="D5217" s="1"/>
      <c r="E5217" s="1"/>
      <c r="F5217" s="1"/>
      <c r="G5217" s="1"/>
      <c r="H5217" s="1"/>
      <c r="I5217" s="1"/>
      <c r="J5217" s="1"/>
      <c r="K5217" s="89" t="s">
        <v>8110</v>
      </c>
      <c r="L5217" s="89" t="str">
        <f>G214</f>
        <v>C2a1a1c</v>
      </c>
      <c r="M5217" s="89" t="s">
        <v>8111</v>
      </c>
      <c r="N5217" s="89"/>
      <c r="O5217" s="92">
        <v>8514733.0</v>
      </c>
      <c r="P5217" s="92">
        <v>8646692.0</v>
      </c>
      <c r="Q5217" s="89" t="s">
        <v>810</v>
      </c>
      <c r="AF5217" s="1"/>
      <c r="AG5217" s="1"/>
    </row>
    <row r="5218" ht="15.75" customHeight="1">
      <c r="A5218" s="1"/>
      <c r="B5218" s="1"/>
      <c r="C5218" s="1"/>
      <c r="D5218" s="1"/>
      <c r="E5218" s="1"/>
      <c r="F5218" s="1"/>
      <c r="G5218" s="1"/>
      <c r="H5218" s="1"/>
      <c r="I5218" s="1"/>
      <c r="J5218" s="1"/>
      <c r="K5218" s="89" t="s">
        <v>8111</v>
      </c>
      <c r="L5218" s="89" t="str">
        <f>G214</f>
        <v>C2a1a1c</v>
      </c>
      <c r="M5218" s="89" t="s">
        <v>8110</v>
      </c>
      <c r="N5218" s="89"/>
      <c r="O5218" s="92">
        <v>8514733.0</v>
      </c>
      <c r="P5218" s="92">
        <v>8646692.0</v>
      </c>
      <c r="Q5218" s="89" t="s">
        <v>810</v>
      </c>
      <c r="AF5218" s="1"/>
      <c r="AG5218" s="1"/>
    </row>
    <row r="5219" ht="15.75" customHeight="1">
      <c r="A5219" s="1"/>
      <c r="B5219" s="1"/>
      <c r="C5219" s="1"/>
      <c r="D5219" s="1"/>
      <c r="E5219" s="1"/>
      <c r="F5219" s="1"/>
      <c r="G5219" s="1"/>
      <c r="H5219" s="1"/>
      <c r="I5219" s="1"/>
      <c r="J5219" s="1"/>
      <c r="K5219" s="89" t="s">
        <v>8112</v>
      </c>
      <c r="L5219" s="89" t="str">
        <f>G214</f>
        <v>C2a1a1c</v>
      </c>
      <c r="M5219" s="89"/>
      <c r="N5219" s="89"/>
      <c r="O5219" s="92">
        <v>8670380.0</v>
      </c>
      <c r="P5219" s="92">
        <v>8802339.0</v>
      </c>
      <c r="Q5219" s="89" t="s">
        <v>845</v>
      </c>
      <c r="AF5219" s="1"/>
      <c r="AG5219" s="1"/>
    </row>
    <row r="5220" ht="15.75" customHeight="1">
      <c r="A5220" s="1"/>
      <c r="B5220" s="1"/>
      <c r="C5220" s="1"/>
      <c r="D5220" s="1"/>
      <c r="E5220" s="1"/>
      <c r="F5220" s="1"/>
      <c r="G5220" s="1"/>
      <c r="H5220" s="1"/>
      <c r="I5220" s="1"/>
      <c r="J5220" s="1"/>
      <c r="K5220" s="89" t="s">
        <v>8113</v>
      </c>
      <c r="L5220" s="89" t="str">
        <f>G214</f>
        <v>C2a1a1c</v>
      </c>
      <c r="M5220" s="89" t="s">
        <v>8114</v>
      </c>
      <c r="N5220" s="89"/>
      <c r="O5220" s="92">
        <v>8807995.0</v>
      </c>
      <c r="P5220" s="92">
        <v>8939954.0</v>
      </c>
      <c r="Q5220" s="89" t="s">
        <v>879</v>
      </c>
      <c r="AF5220" s="1"/>
      <c r="AG5220" s="1"/>
    </row>
    <row r="5221" ht="15.75" customHeight="1">
      <c r="A5221" s="1"/>
      <c r="B5221" s="1"/>
      <c r="C5221" s="1"/>
      <c r="D5221" s="1"/>
      <c r="E5221" s="1"/>
      <c r="F5221" s="1"/>
      <c r="G5221" s="1"/>
      <c r="H5221" s="1"/>
      <c r="I5221" s="1"/>
      <c r="J5221" s="1"/>
      <c r="K5221" s="89" t="s">
        <v>8114</v>
      </c>
      <c r="L5221" s="89" t="str">
        <f>G214</f>
        <v>C2a1a1c</v>
      </c>
      <c r="M5221" s="89" t="s">
        <v>8113</v>
      </c>
      <c r="N5221" s="89"/>
      <c r="O5221" s="92">
        <v>8807995.0</v>
      </c>
      <c r="P5221" s="92">
        <v>8939954.0</v>
      </c>
      <c r="Q5221" s="89" t="s">
        <v>879</v>
      </c>
      <c r="AF5221" s="1"/>
      <c r="AG5221" s="1"/>
    </row>
    <row r="5222" ht="15.75" customHeight="1">
      <c r="A5222" s="1"/>
      <c r="B5222" s="1"/>
      <c r="C5222" s="1"/>
      <c r="D5222" s="1"/>
      <c r="E5222" s="1"/>
      <c r="F5222" s="1"/>
      <c r="G5222" s="1"/>
      <c r="H5222" s="1"/>
      <c r="I5222" s="1"/>
      <c r="J5222" s="1"/>
      <c r="K5222" s="89" t="s">
        <v>8115</v>
      </c>
      <c r="L5222" s="89" t="str">
        <f>G214</f>
        <v>C2a1a1c</v>
      </c>
      <c r="M5222" s="89"/>
      <c r="N5222" s="89"/>
      <c r="O5222" s="92">
        <v>8857621.0</v>
      </c>
      <c r="P5222" s="92">
        <v>8989580.0</v>
      </c>
      <c r="Q5222" s="89" t="s">
        <v>917</v>
      </c>
      <c r="AF5222" s="1"/>
      <c r="AG5222" s="1"/>
    </row>
    <row r="5223" ht="15.75" customHeight="1">
      <c r="A5223" s="1"/>
      <c r="B5223" s="1"/>
      <c r="C5223" s="1"/>
      <c r="D5223" s="1"/>
      <c r="E5223" s="1"/>
      <c r="F5223" s="1"/>
      <c r="G5223" s="1"/>
      <c r="H5223" s="1"/>
      <c r="I5223" s="1"/>
      <c r="J5223" s="1"/>
      <c r="K5223" s="89" t="s">
        <v>8116</v>
      </c>
      <c r="L5223" s="89" t="str">
        <f>G214</f>
        <v>C2a1a1c</v>
      </c>
      <c r="M5223" s="89"/>
      <c r="N5223" s="89"/>
      <c r="O5223" s="92">
        <v>8857950.0</v>
      </c>
      <c r="P5223" s="92">
        <v>8989909.0</v>
      </c>
      <c r="Q5223" s="89" t="s">
        <v>822</v>
      </c>
      <c r="AF5223" s="1"/>
      <c r="AG5223" s="1"/>
    </row>
    <row r="5224" ht="15.75" customHeight="1">
      <c r="A5224" s="1"/>
      <c r="B5224" s="1"/>
      <c r="C5224" s="1"/>
      <c r="D5224" s="1"/>
      <c r="E5224" s="1"/>
      <c r="F5224" s="1"/>
      <c r="G5224" s="1"/>
      <c r="H5224" s="1"/>
      <c r="I5224" s="1"/>
      <c r="J5224" s="1"/>
      <c r="K5224" s="89" t="s">
        <v>8117</v>
      </c>
      <c r="L5224" s="89" t="str">
        <f>G214</f>
        <v>C2a1a1c</v>
      </c>
      <c r="M5224" s="89"/>
      <c r="N5224" s="89" t="s">
        <v>8118</v>
      </c>
      <c r="O5224" s="92">
        <v>1.000692E7</v>
      </c>
      <c r="P5224" s="92">
        <v>1.0169311E7</v>
      </c>
      <c r="Q5224" s="89" t="s">
        <v>802</v>
      </c>
      <c r="AF5224" s="1"/>
      <c r="AG5224" s="1"/>
    </row>
    <row r="5225" ht="15.75" customHeight="1">
      <c r="A5225" s="1"/>
      <c r="B5225" s="1"/>
      <c r="C5225" s="1"/>
      <c r="D5225" s="1"/>
      <c r="E5225" s="1"/>
      <c r="F5225" s="1"/>
      <c r="G5225" s="1"/>
      <c r="H5225" s="1"/>
      <c r="I5225" s="1"/>
      <c r="J5225" s="1"/>
      <c r="K5225" s="89" t="s">
        <v>8119</v>
      </c>
      <c r="L5225" s="89" t="str">
        <f>G214</f>
        <v>C2a1a1c</v>
      </c>
      <c r="M5225" s="89"/>
      <c r="N5225" s="89"/>
      <c r="O5225" s="92">
        <v>1.36465E7</v>
      </c>
      <c r="P5225" s="92">
        <v>1.1490824E7</v>
      </c>
      <c r="Q5225" s="89" t="s">
        <v>822</v>
      </c>
      <c r="AF5225" s="1"/>
      <c r="AG5225" s="1"/>
    </row>
    <row r="5226" ht="15.75" customHeight="1">
      <c r="A5226" s="1"/>
      <c r="B5226" s="1"/>
      <c r="C5226" s="1"/>
      <c r="D5226" s="1"/>
      <c r="E5226" s="1"/>
      <c r="F5226" s="1"/>
      <c r="G5226" s="1"/>
      <c r="H5226" s="1"/>
      <c r="I5226" s="1"/>
      <c r="J5226" s="1"/>
      <c r="K5226" s="89" t="s">
        <v>8120</v>
      </c>
      <c r="L5226" s="89" t="str">
        <f>G214</f>
        <v>C2a1a1c</v>
      </c>
      <c r="M5226" s="89"/>
      <c r="N5226" s="89"/>
      <c r="O5226" s="92">
        <v>1.3817003E7</v>
      </c>
      <c r="P5226" s="92">
        <v>1.1696297E7</v>
      </c>
      <c r="Q5226" s="89" t="s">
        <v>810</v>
      </c>
      <c r="AF5226" s="1"/>
      <c r="AG5226" s="1"/>
    </row>
    <row r="5227" ht="15.75" customHeight="1">
      <c r="A5227" s="1"/>
      <c r="B5227" s="1"/>
      <c r="C5227" s="1"/>
      <c r="D5227" s="1"/>
      <c r="E5227" s="1"/>
      <c r="F5227" s="1"/>
      <c r="G5227" s="1"/>
      <c r="H5227" s="1"/>
      <c r="I5227" s="1"/>
      <c r="J5227" s="1"/>
      <c r="K5227" s="89" t="s">
        <v>8121</v>
      </c>
      <c r="L5227" s="89" t="str">
        <f>G214</f>
        <v>C2a1a1c</v>
      </c>
      <c r="M5227" s="89" t="s">
        <v>8122</v>
      </c>
      <c r="N5227" s="89"/>
      <c r="O5227" s="92">
        <v>1.4252561E7</v>
      </c>
      <c r="P5227" s="92">
        <v>1.2131855E7</v>
      </c>
      <c r="Q5227" s="89" t="s">
        <v>810</v>
      </c>
      <c r="AF5227" s="1"/>
      <c r="AG5227" s="1"/>
    </row>
    <row r="5228" ht="15.75" customHeight="1">
      <c r="A5228" s="1"/>
      <c r="B5228" s="1"/>
      <c r="C5228" s="1"/>
      <c r="D5228" s="1"/>
      <c r="E5228" s="1"/>
      <c r="F5228" s="1"/>
      <c r="G5228" s="1"/>
      <c r="H5228" s="1"/>
      <c r="I5228" s="1"/>
      <c r="J5228" s="1"/>
      <c r="K5228" s="89" t="s">
        <v>8122</v>
      </c>
      <c r="L5228" s="89" t="str">
        <f>G214</f>
        <v>C2a1a1c</v>
      </c>
      <c r="M5228" s="89" t="s">
        <v>8121</v>
      </c>
      <c r="N5228" s="89"/>
      <c r="O5228" s="92">
        <v>1.4252561E7</v>
      </c>
      <c r="P5228" s="92">
        <v>1.2131855E7</v>
      </c>
      <c r="Q5228" s="89" t="s">
        <v>810</v>
      </c>
      <c r="AF5228" s="1"/>
      <c r="AG5228" s="1"/>
    </row>
    <row r="5229" ht="15.75" customHeight="1">
      <c r="A5229" s="1"/>
      <c r="B5229" s="1"/>
      <c r="C5229" s="1"/>
      <c r="D5229" s="1"/>
      <c r="E5229" s="1"/>
      <c r="F5229" s="1"/>
      <c r="G5229" s="1"/>
      <c r="H5229" s="1"/>
      <c r="I5229" s="1"/>
      <c r="J5229" s="1"/>
      <c r="K5229" s="89" t="s">
        <v>8123</v>
      </c>
      <c r="L5229" s="89" t="str">
        <f>G214</f>
        <v>C2a1a1c</v>
      </c>
      <c r="M5229" s="89"/>
      <c r="N5229" s="89"/>
      <c r="O5229" s="92">
        <v>1.4518023E7</v>
      </c>
      <c r="P5229" s="92">
        <v>1.2406224E7</v>
      </c>
      <c r="Q5229" s="89" t="s">
        <v>813</v>
      </c>
      <c r="AF5229" s="1"/>
      <c r="AG5229" s="1"/>
    </row>
    <row r="5230" ht="15.75" customHeight="1">
      <c r="A5230" s="1"/>
      <c r="B5230" s="1"/>
      <c r="C5230" s="1"/>
      <c r="D5230" s="1"/>
      <c r="E5230" s="1"/>
      <c r="F5230" s="1"/>
      <c r="G5230" s="1"/>
      <c r="H5230" s="1"/>
      <c r="I5230" s="1"/>
      <c r="J5230" s="1"/>
      <c r="K5230" s="89" t="s">
        <v>8124</v>
      </c>
      <c r="L5230" s="89" t="str">
        <f>G214</f>
        <v>C2a1a1c</v>
      </c>
      <c r="M5230" s="89"/>
      <c r="N5230" s="89" t="s">
        <v>8125</v>
      </c>
      <c r="O5230" s="92">
        <v>1.5153497E7</v>
      </c>
      <c r="P5230" s="92">
        <v>1.3041584E7</v>
      </c>
      <c r="Q5230" s="89" t="s">
        <v>838</v>
      </c>
      <c r="AF5230" s="1"/>
      <c r="AG5230" s="1"/>
    </row>
    <row r="5231" ht="15.75" customHeight="1">
      <c r="A5231" s="1"/>
      <c r="B5231" s="1"/>
      <c r="C5231" s="1"/>
      <c r="D5231" s="1"/>
      <c r="E5231" s="1"/>
      <c r="F5231" s="1"/>
      <c r="G5231" s="1"/>
      <c r="H5231" s="1"/>
      <c r="I5231" s="1"/>
      <c r="J5231" s="1"/>
      <c r="K5231" s="93" t="s">
        <v>8126</v>
      </c>
      <c r="L5231" s="89" t="str">
        <f>G214</f>
        <v>C2a1a1c</v>
      </c>
      <c r="M5231" s="89" t="s">
        <v>8127</v>
      </c>
      <c r="N5231" s="89"/>
      <c r="O5231" s="92">
        <v>1.5327052E7</v>
      </c>
      <c r="P5231" s="92">
        <v>1.321517E7</v>
      </c>
      <c r="Q5231" s="89" t="s">
        <v>912</v>
      </c>
      <c r="AF5231" s="1"/>
      <c r="AG5231" s="1"/>
    </row>
    <row r="5232" ht="15.75" customHeight="1">
      <c r="A5232" s="1"/>
      <c r="B5232" s="1"/>
      <c r="C5232" s="1"/>
      <c r="D5232" s="1"/>
      <c r="E5232" s="1"/>
      <c r="F5232" s="1"/>
      <c r="G5232" s="1"/>
      <c r="H5232" s="1"/>
      <c r="I5232" s="1"/>
      <c r="J5232" s="1"/>
      <c r="K5232" s="89" t="s">
        <v>8127</v>
      </c>
      <c r="L5232" s="89" t="str">
        <f>G214</f>
        <v>C2a1a1c</v>
      </c>
      <c r="M5232" s="93" t="s">
        <v>8126</v>
      </c>
      <c r="N5232" s="89"/>
      <c r="O5232" s="92">
        <v>1.5327052E7</v>
      </c>
      <c r="P5232" s="92">
        <v>1.321517E7</v>
      </c>
      <c r="Q5232" s="89" t="s">
        <v>912</v>
      </c>
      <c r="AF5232" s="1"/>
      <c r="AG5232" s="1"/>
    </row>
    <row r="5233" ht="15.75" customHeight="1">
      <c r="A5233" s="1"/>
      <c r="B5233" s="1"/>
      <c r="C5233" s="1"/>
      <c r="D5233" s="1"/>
      <c r="E5233" s="1"/>
      <c r="F5233" s="1"/>
      <c r="G5233" s="1"/>
      <c r="H5233" s="1"/>
      <c r="I5233" s="1"/>
      <c r="J5233" s="1"/>
      <c r="K5233" s="89" t="s">
        <v>8128</v>
      </c>
      <c r="L5233" s="89" t="str">
        <f>G214</f>
        <v>C2a1a1c</v>
      </c>
      <c r="M5233" s="89"/>
      <c r="N5233" s="89"/>
      <c r="O5233" s="92">
        <v>1.5723335E7</v>
      </c>
      <c r="P5233" s="92">
        <v>1.3611455E7</v>
      </c>
      <c r="Q5233" s="89" t="s">
        <v>802</v>
      </c>
      <c r="AF5233" s="1"/>
      <c r="AG5233" s="1"/>
    </row>
    <row r="5234" ht="15.75" customHeight="1">
      <c r="A5234" s="1"/>
      <c r="B5234" s="1"/>
      <c r="C5234" s="1"/>
      <c r="D5234" s="1"/>
      <c r="E5234" s="1"/>
      <c r="F5234" s="1"/>
      <c r="G5234" s="1"/>
      <c r="H5234" s="1"/>
      <c r="I5234" s="1"/>
      <c r="J5234" s="1"/>
      <c r="K5234" s="89" t="s">
        <v>8129</v>
      </c>
      <c r="L5234" s="89" t="str">
        <f>G214</f>
        <v>C2a1a1c</v>
      </c>
      <c r="M5234" s="89" t="s">
        <v>8130</v>
      </c>
      <c r="N5234" s="89"/>
      <c r="O5234" s="92">
        <v>1.5725229E7</v>
      </c>
      <c r="P5234" s="92">
        <v>1.3613349E7</v>
      </c>
      <c r="Q5234" s="89" t="s">
        <v>822</v>
      </c>
      <c r="AF5234" s="1"/>
      <c r="AG5234" s="1"/>
    </row>
    <row r="5235" ht="15.75" customHeight="1">
      <c r="A5235" s="1"/>
      <c r="B5235" s="1"/>
      <c r="C5235" s="1"/>
      <c r="D5235" s="1"/>
      <c r="E5235" s="1"/>
      <c r="F5235" s="1"/>
      <c r="G5235" s="1"/>
      <c r="H5235" s="1"/>
      <c r="I5235" s="1"/>
      <c r="J5235" s="1"/>
      <c r="K5235" s="89" t="s">
        <v>8130</v>
      </c>
      <c r="L5235" s="89" t="str">
        <f>G214</f>
        <v>C2a1a1c</v>
      </c>
      <c r="M5235" s="89" t="s">
        <v>8129</v>
      </c>
      <c r="N5235" s="89"/>
      <c r="O5235" s="92">
        <v>1.5725229E7</v>
      </c>
      <c r="P5235" s="92">
        <v>1.3613349E7</v>
      </c>
      <c r="Q5235" s="89" t="s">
        <v>822</v>
      </c>
      <c r="AF5235" s="1"/>
      <c r="AG5235" s="1"/>
    </row>
    <row r="5236" ht="15.75" customHeight="1">
      <c r="A5236" s="1"/>
      <c r="B5236" s="1"/>
      <c r="C5236" s="1"/>
      <c r="D5236" s="1"/>
      <c r="E5236" s="1"/>
      <c r="F5236" s="1"/>
      <c r="G5236" s="1"/>
      <c r="H5236" s="1"/>
      <c r="I5236" s="1"/>
      <c r="J5236" s="1"/>
      <c r="K5236" s="89" t="s">
        <v>8131</v>
      </c>
      <c r="L5236" s="89" t="str">
        <f>G214</f>
        <v>C2a1a1c</v>
      </c>
      <c r="M5236" s="89" t="s">
        <v>8132</v>
      </c>
      <c r="N5236" s="89"/>
      <c r="O5236" s="92">
        <v>1.6276717E7</v>
      </c>
      <c r="P5236" s="92">
        <v>1.4164837E7</v>
      </c>
      <c r="Q5236" s="89" t="s">
        <v>813</v>
      </c>
      <c r="AF5236" s="1"/>
      <c r="AG5236" s="1"/>
    </row>
    <row r="5237" ht="15.75" customHeight="1">
      <c r="A5237" s="1"/>
      <c r="B5237" s="1"/>
      <c r="C5237" s="1"/>
      <c r="D5237" s="1"/>
      <c r="E5237" s="1"/>
      <c r="F5237" s="1"/>
      <c r="G5237" s="1"/>
      <c r="H5237" s="1"/>
      <c r="I5237" s="1"/>
      <c r="J5237" s="1"/>
      <c r="K5237" s="89" t="s">
        <v>8132</v>
      </c>
      <c r="L5237" s="89" t="str">
        <f>G214</f>
        <v>C2a1a1c</v>
      </c>
      <c r="M5237" s="89" t="s">
        <v>8131</v>
      </c>
      <c r="N5237" s="89"/>
      <c r="O5237" s="92">
        <v>1.6276717E7</v>
      </c>
      <c r="P5237" s="92">
        <v>1.4164837E7</v>
      </c>
      <c r="Q5237" s="89" t="s">
        <v>813</v>
      </c>
      <c r="AF5237" s="1"/>
      <c r="AG5237" s="1"/>
    </row>
    <row r="5238" ht="15.75" customHeight="1">
      <c r="A5238" s="1"/>
      <c r="B5238" s="1"/>
      <c r="C5238" s="1"/>
      <c r="D5238" s="1"/>
      <c r="E5238" s="1"/>
      <c r="F5238" s="1"/>
      <c r="G5238" s="1"/>
      <c r="H5238" s="1"/>
      <c r="I5238" s="1"/>
      <c r="J5238" s="1"/>
      <c r="K5238" s="89" t="s">
        <v>8133</v>
      </c>
      <c r="L5238" s="89" t="str">
        <f>G214</f>
        <v>C2a1a1c</v>
      </c>
      <c r="M5238" s="89" t="s">
        <v>8134</v>
      </c>
      <c r="N5238" s="89"/>
      <c r="O5238" s="92">
        <v>1.6796295E7</v>
      </c>
      <c r="P5238" s="92">
        <v>1.4684415E7</v>
      </c>
      <c r="Q5238" s="89" t="s">
        <v>879</v>
      </c>
      <c r="AF5238" s="1"/>
      <c r="AG5238" s="1"/>
    </row>
    <row r="5239" ht="15.75" customHeight="1">
      <c r="A5239" s="1"/>
      <c r="B5239" s="1"/>
      <c r="C5239" s="1"/>
      <c r="D5239" s="1"/>
      <c r="E5239" s="1"/>
      <c r="F5239" s="1"/>
      <c r="G5239" s="1"/>
      <c r="H5239" s="1"/>
      <c r="I5239" s="1"/>
      <c r="J5239" s="1"/>
      <c r="K5239" s="89" t="s">
        <v>8135</v>
      </c>
      <c r="L5239" s="89" t="str">
        <f>G214</f>
        <v>C2a1a1c</v>
      </c>
      <c r="M5239" s="89" t="s">
        <v>8136</v>
      </c>
      <c r="N5239" s="89"/>
      <c r="O5239" s="92">
        <v>1.6796295E7</v>
      </c>
      <c r="P5239" s="92">
        <v>1.4684415E7</v>
      </c>
      <c r="Q5239" s="89" t="s">
        <v>879</v>
      </c>
      <c r="AF5239" s="1"/>
      <c r="AG5239" s="1"/>
    </row>
    <row r="5240" ht="15.75" customHeight="1">
      <c r="A5240" s="1"/>
      <c r="B5240" s="1"/>
      <c r="C5240" s="1"/>
      <c r="D5240" s="1"/>
      <c r="E5240" s="1"/>
      <c r="F5240" s="1"/>
      <c r="G5240" s="1"/>
      <c r="H5240" s="1"/>
      <c r="I5240" s="1"/>
      <c r="J5240" s="1"/>
      <c r="K5240" s="89" t="s">
        <v>8137</v>
      </c>
      <c r="L5240" s="89" t="str">
        <f>G214</f>
        <v>C2a1a1c</v>
      </c>
      <c r="M5240" s="89" t="s">
        <v>8138</v>
      </c>
      <c r="N5240" s="89"/>
      <c r="O5240" s="92">
        <v>1.6796295E7</v>
      </c>
      <c r="P5240" s="92">
        <v>1.4684415E7</v>
      </c>
      <c r="Q5240" s="89" t="s">
        <v>879</v>
      </c>
      <c r="AF5240" s="1"/>
      <c r="AG5240" s="1"/>
    </row>
    <row r="5241" ht="15.75" customHeight="1">
      <c r="A5241" s="1"/>
      <c r="B5241" s="1"/>
      <c r="C5241" s="1"/>
      <c r="D5241" s="1"/>
      <c r="E5241" s="1"/>
      <c r="F5241" s="1"/>
      <c r="G5241" s="1"/>
      <c r="H5241" s="1"/>
      <c r="I5241" s="1"/>
      <c r="J5241" s="1"/>
      <c r="K5241" s="89" t="s">
        <v>8139</v>
      </c>
      <c r="L5241" s="89" t="str">
        <f>G214</f>
        <v>C2a1a1c</v>
      </c>
      <c r="M5241" s="89" t="s">
        <v>8140</v>
      </c>
      <c r="N5241" s="89"/>
      <c r="O5241" s="92">
        <v>1.7293933E7</v>
      </c>
      <c r="P5241" s="92">
        <v>1.5182053E7</v>
      </c>
      <c r="Q5241" s="89" t="s">
        <v>810</v>
      </c>
      <c r="AF5241" s="1"/>
      <c r="AG5241" s="1"/>
    </row>
    <row r="5242" ht="15.75" customHeight="1">
      <c r="A5242" s="1"/>
      <c r="B5242" s="1"/>
      <c r="C5242" s="1"/>
      <c r="D5242" s="1"/>
      <c r="E5242" s="1"/>
      <c r="F5242" s="1"/>
      <c r="G5242" s="1"/>
      <c r="H5242" s="1"/>
      <c r="I5242" s="1"/>
      <c r="J5242" s="1"/>
      <c r="K5242" s="89" t="s">
        <v>8140</v>
      </c>
      <c r="L5242" s="89" t="str">
        <f>G214</f>
        <v>C2a1a1c</v>
      </c>
      <c r="M5242" s="89" t="s">
        <v>8139</v>
      </c>
      <c r="N5242" s="89"/>
      <c r="O5242" s="92">
        <v>1.7293933E7</v>
      </c>
      <c r="P5242" s="92">
        <v>1.5182053E7</v>
      </c>
      <c r="Q5242" s="89" t="s">
        <v>810</v>
      </c>
      <c r="AF5242" s="1"/>
      <c r="AG5242" s="1"/>
    </row>
    <row r="5243" ht="15.75" customHeight="1">
      <c r="A5243" s="1"/>
      <c r="B5243" s="1"/>
      <c r="C5243" s="1"/>
      <c r="D5243" s="1"/>
      <c r="E5243" s="1"/>
      <c r="F5243" s="1"/>
      <c r="G5243" s="1"/>
      <c r="H5243" s="1"/>
      <c r="I5243" s="1"/>
      <c r="J5243" s="1"/>
      <c r="K5243" s="89" t="s">
        <v>8141</v>
      </c>
      <c r="L5243" s="89" t="str">
        <f>G214</f>
        <v>C2a1a1c</v>
      </c>
      <c r="M5243" s="89" t="s">
        <v>8142</v>
      </c>
      <c r="N5243" s="89"/>
      <c r="O5243" s="92">
        <v>1.7913484E7</v>
      </c>
      <c r="P5243" s="92">
        <v>1.5801604E7</v>
      </c>
      <c r="Q5243" s="89" t="s">
        <v>802</v>
      </c>
      <c r="AF5243" s="1"/>
      <c r="AG5243" s="1"/>
    </row>
    <row r="5244" ht="15.75" customHeight="1">
      <c r="A5244" s="1"/>
      <c r="B5244" s="1"/>
      <c r="C5244" s="1"/>
      <c r="D5244" s="1"/>
      <c r="E5244" s="1"/>
      <c r="F5244" s="1"/>
      <c r="G5244" s="1"/>
      <c r="H5244" s="1"/>
      <c r="I5244" s="1"/>
      <c r="J5244" s="1"/>
      <c r="K5244" s="89" t="s">
        <v>8142</v>
      </c>
      <c r="L5244" s="89" t="str">
        <f>G214</f>
        <v>C2a1a1c</v>
      </c>
      <c r="M5244" s="89" t="s">
        <v>8141</v>
      </c>
      <c r="N5244" s="89"/>
      <c r="O5244" s="92">
        <v>1.7913484E7</v>
      </c>
      <c r="P5244" s="92">
        <v>1.5801604E7</v>
      </c>
      <c r="Q5244" s="89" t="s">
        <v>802</v>
      </c>
      <c r="AF5244" s="1"/>
      <c r="AG5244" s="1"/>
    </row>
    <row r="5245" ht="15.75" customHeight="1">
      <c r="A5245" s="1"/>
      <c r="B5245" s="1"/>
      <c r="C5245" s="1"/>
      <c r="D5245" s="1"/>
      <c r="E5245" s="1"/>
      <c r="F5245" s="1"/>
      <c r="G5245" s="1"/>
      <c r="H5245" s="1"/>
      <c r="I5245" s="1"/>
      <c r="J5245" s="1"/>
      <c r="K5245" s="89" t="s">
        <v>8143</v>
      </c>
      <c r="L5245" s="89" t="str">
        <f>G214</f>
        <v>C2a1a1c</v>
      </c>
      <c r="M5245" s="89" t="s">
        <v>8144</v>
      </c>
      <c r="N5245" s="89" t="s">
        <v>8145</v>
      </c>
      <c r="O5245" s="92">
        <v>1.7983088E7</v>
      </c>
      <c r="P5245" s="92">
        <v>1.5871208E7</v>
      </c>
      <c r="Q5245" s="89" t="s">
        <v>831</v>
      </c>
      <c r="AF5245" s="1"/>
      <c r="AG5245" s="1"/>
    </row>
    <row r="5246" ht="15.75" customHeight="1">
      <c r="A5246" s="1"/>
      <c r="B5246" s="1"/>
      <c r="C5246" s="1"/>
      <c r="D5246" s="1"/>
      <c r="E5246" s="1"/>
      <c r="F5246" s="1"/>
      <c r="G5246" s="1"/>
      <c r="H5246" s="1"/>
      <c r="I5246" s="1"/>
      <c r="J5246" s="1"/>
      <c r="K5246" s="89" t="s">
        <v>8146</v>
      </c>
      <c r="L5246" s="89" t="str">
        <f>G214</f>
        <v>C2a1a1c</v>
      </c>
      <c r="M5246" s="89" t="s">
        <v>8147</v>
      </c>
      <c r="N5246" s="89" t="s">
        <v>8145</v>
      </c>
      <c r="O5246" s="92">
        <v>1.7983088E7</v>
      </c>
      <c r="P5246" s="92">
        <v>1.5871208E7</v>
      </c>
      <c r="Q5246" s="89" t="s">
        <v>831</v>
      </c>
      <c r="AF5246" s="1"/>
      <c r="AG5246" s="1"/>
    </row>
    <row r="5247" ht="15.75" customHeight="1">
      <c r="A5247" s="1"/>
      <c r="B5247" s="1"/>
      <c r="C5247" s="1"/>
      <c r="D5247" s="1"/>
      <c r="E5247" s="1"/>
      <c r="F5247" s="1"/>
      <c r="G5247" s="1"/>
      <c r="H5247" s="1"/>
      <c r="I5247" s="1"/>
      <c r="J5247" s="1"/>
      <c r="K5247" s="89" t="s">
        <v>8148</v>
      </c>
      <c r="L5247" s="89" t="str">
        <f>G214</f>
        <v>C2a1a1c</v>
      </c>
      <c r="M5247" s="89" t="s">
        <v>8149</v>
      </c>
      <c r="N5247" s="89" t="s">
        <v>8145</v>
      </c>
      <c r="O5247" s="92">
        <v>1.7983088E7</v>
      </c>
      <c r="P5247" s="92">
        <v>1.5871208E7</v>
      </c>
      <c r="Q5247" s="89" t="s">
        <v>831</v>
      </c>
      <c r="AF5247" s="1"/>
      <c r="AG5247" s="1"/>
    </row>
    <row r="5248" ht="15.75" customHeight="1">
      <c r="A5248" s="1"/>
      <c r="B5248" s="1"/>
      <c r="C5248" s="1"/>
      <c r="D5248" s="1"/>
      <c r="E5248" s="1"/>
      <c r="F5248" s="1"/>
      <c r="G5248" s="1"/>
      <c r="H5248" s="1"/>
      <c r="I5248" s="1"/>
      <c r="J5248" s="1"/>
      <c r="K5248" s="89" t="s">
        <v>8150</v>
      </c>
      <c r="L5248" s="89" t="str">
        <f>G214</f>
        <v>C2a1a1c</v>
      </c>
      <c r="M5248" s="89" t="s">
        <v>8151</v>
      </c>
      <c r="N5248" s="89"/>
      <c r="O5248" s="92">
        <v>1.8206858E7</v>
      </c>
      <c r="P5248" s="92">
        <v>1.6094978E7</v>
      </c>
      <c r="Q5248" s="89" t="s">
        <v>802</v>
      </c>
      <c r="AF5248" s="1"/>
      <c r="AG5248" s="1"/>
    </row>
    <row r="5249" ht="15.75" customHeight="1">
      <c r="A5249" s="1"/>
      <c r="B5249" s="1"/>
      <c r="C5249" s="1"/>
      <c r="D5249" s="1"/>
      <c r="E5249" s="1"/>
      <c r="F5249" s="1"/>
      <c r="G5249" s="1"/>
      <c r="H5249" s="1"/>
      <c r="I5249" s="1"/>
      <c r="J5249" s="1"/>
      <c r="K5249" s="89" t="s">
        <v>8152</v>
      </c>
      <c r="L5249" s="89" t="str">
        <f>G214</f>
        <v>C2a1a1c</v>
      </c>
      <c r="M5249" s="89" t="s">
        <v>8153</v>
      </c>
      <c r="N5249" s="89"/>
      <c r="O5249" s="92">
        <v>1.8206858E7</v>
      </c>
      <c r="P5249" s="92">
        <v>1.6094978E7</v>
      </c>
      <c r="Q5249" s="89" t="s">
        <v>802</v>
      </c>
      <c r="AF5249" s="1"/>
      <c r="AG5249" s="1"/>
    </row>
    <row r="5250" ht="15.75" customHeight="1">
      <c r="A5250" s="1"/>
      <c r="B5250" s="1"/>
      <c r="C5250" s="1"/>
      <c r="D5250" s="1"/>
      <c r="E5250" s="1"/>
      <c r="F5250" s="1"/>
      <c r="G5250" s="1"/>
      <c r="H5250" s="1"/>
      <c r="I5250" s="1"/>
      <c r="J5250" s="1"/>
      <c r="K5250" s="89" t="s">
        <v>8154</v>
      </c>
      <c r="L5250" s="89" t="str">
        <f>G214</f>
        <v>C2a1a1c</v>
      </c>
      <c r="M5250" s="89" t="s">
        <v>8155</v>
      </c>
      <c r="N5250" s="89"/>
      <c r="O5250" s="92">
        <v>1.8206858E7</v>
      </c>
      <c r="P5250" s="92">
        <v>1.6094978E7</v>
      </c>
      <c r="Q5250" s="89" t="s">
        <v>802</v>
      </c>
      <c r="AF5250" s="1"/>
      <c r="AG5250" s="1"/>
    </row>
    <row r="5251" ht="15.75" customHeight="1">
      <c r="A5251" s="1"/>
      <c r="B5251" s="1"/>
      <c r="C5251" s="1"/>
      <c r="D5251" s="1"/>
      <c r="E5251" s="1"/>
      <c r="F5251" s="1"/>
      <c r="G5251" s="1"/>
      <c r="H5251" s="1"/>
      <c r="I5251" s="1"/>
      <c r="J5251" s="1"/>
      <c r="K5251" s="89" t="s">
        <v>8156</v>
      </c>
      <c r="L5251" s="89" t="str">
        <f>G214</f>
        <v>C2a1a1c</v>
      </c>
      <c r="M5251" s="89" t="s">
        <v>8157</v>
      </c>
      <c r="N5251" s="89"/>
      <c r="O5251" s="92">
        <v>1.8727936E7</v>
      </c>
      <c r="P5251" s="92">
        <v>1.6616056E7</v>
      </c>
      <c r="Q5251" s="89" t="s">
        <v>802</v>
      </c>
      <c r="AF5251" s="1"/>
      <c r="AG5251" s="1"/>
    </row>
    <row r="5252" ht="15.75" customHeight="1">
      <c r="A5252" s="1"/>
      <c r="B5252" s="1"/>
      <c r="C5252" s="1"/>
      <c r="D5252" s="1"/>
      <c r="E5252" s="1"/>
      <c r="F5252" s="1"/>
      <c r="G5252" s="1"/>
      <c r="H5252" s="1"/>
      <c r="I5252" s="1"/>
      <c r="J5252" s="1"/>
      <c r="K5252" s="89" t="s">
        <v>8157</v>
      </c>
      <c r="L5252" s="89" t="str">
        <f>G214</f>
        <v>C2a1a1c</v>
      </c>
      <c r="M5252" s="89" t="s">
        <v>8156</v>
      </c>
      <c r="N5252" s="89"/>
      <c r="O5252" s="92">
        <v>1.8727936E7</v>
      </c>
      <c r="P5252" s="92">
        <v>1.6616056E7</v>
      </c>
      <c r="Q5252" s="89" t="s">
        <v>802</v>
      </c>
      <c r="AF5252" s="1"/>
      <c r="AG5252" s="1"/>
    </row>
    <row r="5253" ht="15.75" customHeight="1">
      <c r="A5253" s="1"/>
      <c r="B5253" s="1"/>
      <c r="C5253" s="1"/>
      <c r="D5253" s="1"/>
      <c r="E5253" s="1"/>
      <c r="F5253" s="1"/>
      <c r="G5253" s="1"/>
      <c r="H5253" s="1"/>
      <c r="I5253" s="1"/>
      <c r="J5253" s="1"/>
      <c r="K5253" s="89" t="s">
        <v>8158</v>
      </c>
      <c r="L5253" s="89" t="str">
        <f>G214</f>
        <v>C2a1a1c</v>
      </c>
      <c r="M5253" s="89" t="s">
        <v>8159</v>
      </c>
      <c r="N5253" s="89"/>
      <c r="O5253" s="92">
        <v>1.9060966E7</v>
      </c>
      <c r="P5253" s="92">
        <v>1.6949086E7</v>
      </c>
      <c r="Q5253" s="89" t="s">
        <v>879</v>
      </c>
      <c r="AF5253" s="1"/>
      <c r="AG5253" s="1"/>
    </row>
    <row r="5254" ht="15.75" customHeight="1">
      <c r="A5254" s="1"/>
      <c r="B5254" s="1"/>
      <c r="C5254" s="1"/>
      <c r="D5254" s="1"/>
      <c r="E5254" s="1"/>
      <c r="F5254" s="1"/>
      <c r="G5254" s="1"/>
      <c r="H5254" s="1"/>
      <c r="I5254" s="1"/>
      <c r="J5254" s="1"/>
      <c r="K5254" s="89" t="s">
        <v>8159</v>
      </c>
      <c r="L5254" s="89" t="str">
        <f>G214</f>
        <v>C2a1a1c</v>
      </c>
      <c r="M5254" s="89" t="s">
        <v>8158</v>
      </c>
      <c r="N5254" s="89"/>
      <c r="O5254" s="92">
        <v>1.9060966E7</v>
      </c>
      <c r="P5254" s="92">
        <v>1.6949086E7</v>
      </c>
      <c r="Q5254" s="89" t="s">
        <v>879</v>
      </c>
      <c r="AF5254" s="1"/>
      <c r="AG5254" s="1"/>
    </row>
    <row r="5255" ht="15.75" customHeight="1">
      <c r="A5255" s="1"/>
      <c r="B5255" s="1"/>
      <c r="C5255" s="1"/>
      <c r="D5255" s="1"/>
      <c r="E5255" s="1"/>
      <c r="F5255" s="1"/>
      <c r="G5255" s="1"/>
      <c r="H5255" s="1"/>
      <c r="I5255" s="1"/>
      <c r="J5255" s="1"/>
      <c r="K5255" s="89" t="s">
        <v>8160</v>
      </c>
      <c r="L5255" s="89" t="str">
        <f>G214</f>
        <v>C2a1a1c</v>
      </c>
      <c r="M5255" s="89" t="s">
        <v>8161</v>
      </c>
      <c r="N5255" s="89"/>
      <c r="O5255" s="92">
        <v>1.9070244E7</v>
      </c>
      <c r="P5255" s="92">
        <v>1.6958364E7</v>
      </c>
      <c r="Q5255" s="89" t="s">
        <v>810</v>
      </c>
      <c r="AF5255" s="1"/>
      <c r="AG5255" s="1"/>
    </row>
    <row r="5256" ht="15.75" customHeight="1">
      <c r="A5256" s="1"/>
      <c r="B5256" s="1"/>
      <c r="C5256" s="1"/>
      <c r="D5256" s="1"/>
      <c r="E5256" s="1"/>
      <c r="F5256" s="1"/>
      <c r="G5256" s="1"/>
      <c r="H5256" s="1"/>
      <c r="I5256" s="1"/>
      <c r="J5256" s="1"/>
      <c r="K5256" s="89" t="s">
        <v>8161</v>
      </c>
      <c r="L5256" s="89" t="str">
        <f>G214</f>
        <v>C2a1a1c</v>
      </c>
      <c r="M5256" s="89" t="s">
        <v>8160</v>
      </c>
      <c r="N5256" s="89"/>
      <c r="O5256" s="92">
        <v>1.9070244E7</v>
      </c>
      <c r="P5256" s="92">
        <v>1.6958364E7</v>
      </c>
      <c r="Q5256" s="89" t="s">
        <v>810</v>
      </c>
      <c r="AF5256" s="1"/>
      <c r="AG5256" s="1"/>
    </row>
    <row r="5257" ht="15.75" customHeight="1">
      <c r="A5257" s="1"/>
      <c r="B5257" s="1"/>
      <c r="C5257" s="1"/>
      <c r="D5257" s="1"/>
      <c r="E5257" s="1"/>
      <c r="F5257" s="1"/>
      <c r="G5257" s="1"/>
      <c r="H5257" s="1"/>
      <c r="I5257" s="1"/>
      <c r="J5257" s="1"/>
      <c r="K5257" s="89" t="s">
        <v>8162</v>
      </c>
      <c r="L5257" s="89" t="str">
        <f>G214</f>
        <v>C2a1a1c</v>
      </c>
      <c r="M5257" s="89" t="s">
        <v>8163</v>
      </c>
      <c r="N5257" s="89"/>
      <c r="O5257" s="92">
        <v>1.9089441E7</v>
      </c>
      <c r="P5257" s="92">
        <v>1.6977561E7</v>
      </c>
      <c r="Q5257" s="89" t="s">
        <v>912</v>
      </c>
      <c r="AF5257" s="1"/>
      <c r="AG5257" s="1"/>
    </row>
    <row r="5258" ht="15.75" customHeight="1">
      <c r="A5258" s="1"/>
      <c r="B5258" s="1"/>
      <c r="C5258" s="1"/>
      <c r="D5258" s="1"/>
      <c r="E5258" s="1"/>
      <c r="F5258" s="1"/>
      <c r="G5258" s="1"/>
      <c r="H5258" s="1"/>
      <c r="I5258" s="1"/>
      <c r="J5258" s="1"/>
      <c r="K5258" s="89" t="s">
        <v>8163</v>
      </c>
      <c r="L5258" s="89" t="str">
        <f>G214</f>
        <v>C2a1a1c</v>
      </c>
      <c r="M5258" s="89" t="s">
        <v>8162</v>
      </c>
      <c r="N5258" s="89"/>
      <c r="O5258" s="92">
        <v>1.9089441E7</v>
      </c>
      <c r="P5258" s="92">
        <v>1.6977561E7</v>
      </c>
      <c r="Q5258" s="89" t="s">
        <v>912</v>
      </c>
      <c r="AF5258" s="1"/>
      <c r="AG5258" s="1"/>
    </row>
    <row r="5259" ht="15.75" customHeight="1">
      <c r="A5259" s="1"/>
      <c r="B5259" s="1"/>
      <c r="C5259" s="1"/>
      <c r="D5259" s="1"/>
      <c r="E5259" s="1"/>
      <c r="F5259" s="1"/>
      <c r="G5259" s="1"/>
      <c r="H5259" s="1"/>
      <c r="I5259" s="1"/>
      <c r="J5259" s="1"/>
      <c r="K5259" s="89" t="s">
        <v>8164</v>
      </c>
      <c r="L5259" s="89" t="str">
        <f>G214</f>
        <v>C2a1a1c</v>
      </c>
      <c r="M5259" s="89" t="s">
        <v>8165</v>
      </c>
      <c r="N5259" s="89"/>
      <c r="O5259" s="92">
        <v>1.9306993E7</v>
      </c>
      <c r="P5259" s="92">
        <v>1.7195113E7</v>
      </c>
      <c r="Q5259" s="89" t="s">
        <v>838</v>
      </c>
      <c r="AF5259" s="1"/>
      <c r="AG5259" s="1"/>
    </row>
    <row r="5260" ht="15.75" customHeight="1">
      <c r="A5260" s="1"/>
      <c r="B5260" s="1"/>
      <c r="C5260" s="1"/>
      <c r="D5260" s="1"/>
      <c r="E5260" s="1"/>
      <c r="F5260" s="1"/>
      <c r="G5260" s="1"/>
      <c r="H5260" s="1"/>
      <c r="I5260" s="1"/>
      <c r="J5260" s="1"/>
      <c r="K5260" s="89" t="s">
        <v>8165</v>
      </c>
      <c r="L5260" s="89" t="str">
        <f>G214</f>
        <v>C2a1a1c</v>
      </c>
      <c r="M5260" s="89" t="s">
        <v>8164</v>
      </c>
      <c r="N5260" s="89"/>
      <c r="O5260" s="92">
        <v>1.9306993E7</v>
      </c>
      <c r="P5260" s="92">
        <v>1.7195113E7</v>
      </c>
      <c r="Q5260" s="89" t="s">
        <v>838</v>
      </c>
      <c r="AF5260" s="1"/>
      <c r="AG5260" s="1"/>
    </row>
    <row r="5261" ht="15.75" customHeight="1">
      <c r="A5261" s="1"/>
      <c r="B5261" s="1"/>
      <c r="C5261" s="1"/>
      <c r="D5261" s="1"/>
      <c r="E5261" s="1"/>
      <c r="F5261" s="1"/>
      <c r="G5261" s="1"/>
      <c r="H5261" s="1"/>
      <c r="I5261" s="1"/>
      <c r="J5261" s="1"/>
      <c r="K5261" s="89" t="s">
        <v>8166</v>
      </c>
      <c r="L5261" s="89" t="str">
        <f>G214</f>
        <v>C2a1a1c</v>
      </c>
      <c r="M5261" s="89"/>
      <c r="N5261" s="89"/>
      <c r="O5261" s="92">
        <v>2.1213313E7</v>
      </c>
      <c r="P5261" s="92">
        <v>1.9051427E7</v>
      </c>
      <c r="Q5261" s="89" t="s">
        <v>879</v>
      </c>
      <c r="AF5261" s="1"/>
      <c r="AG5261" s="1"/>
    </row>
    <row r="5262" ht="15.75" customHeight="1">
      <c r="A5262" s="1"/>
      <c r="B5262" s="1"/>
      <c r="C5262" s="1"/>
      <c r="D5262" s="1"/>
      <c r="E5262" s="1"/>
      <c r="F5262" s="1"/>
      <c r="G5262" s="1"/>
      <c r="H5262" s="1"/>
      <c r="I5262" s="1"/>
      <c r="J5262" s="1"/>
      <c r="K5262" s="89" t="s">
        <v>8167</v>
      </c>
      <c r="L5262" s="89" t="str">
        <f>G214</f>
        <v>C2a1a1c</v>
      </c>
      <c r="M5262" s="89"/>
      <c r="N5262" s="89"/>
      <c r="O5262" s="92">
        <v>2.1221551E7</v>
      </c>
      <c r="P5262" s="92">
        <v>1.9059665E7</v>
      </c>
      <c r="Q5262" s="89" t="s">
        <v>912</v>
      </c>
      <c r="AF5262" s="1"/>
      <c r="AG5262" s="1"/>
    </row>
    <row r="5263" ht="15.75" customHeight="1">
      <c r="A5263" s="1"/>
      <c r="B5263" s="1"/>
      <c r="C5263" s="1"/>
      <c r="D5263" s="1"/>
      <c r="E5263" s="1"/>
      <c r="F5263" s="1"/>
      <c r="G5263" s="1"/>
      <c r="H5263" s="1"/>
      <c r="I5263" s="1"/>
      <c r="J5263" s="1"/>
      <c r="K5263" s="89" t="s">
        <v>8168</v>
      </c>
      <c r="L5263" s="89" t="str">
        <f>G214</f>
        <v>C2a1a1c</v>
      </c>
      <c r="M5263" s="89"/>
      <c r="N5263" s="89"/>
      <c r="O5263" s="92">
        <v>2.125207E7</v>
      </c>
      <c r="P5263" s="92">
        <v>1.9090184E7</v>
      </c>
      <c r="Q5263" s="89" t="s">
        <v>810</v>
      </c>
      <c r="AF5263" s="1"/>
      <c r="AG5263" s="1"/>
    </row>
    <row r="5264" ht="15.75" customHeight="1">
      <c r="A5264" s="1"/>
      <c r="B5264" s="1"/>
      <c r="C5264" s="1"/>
      <c r="D5264" s="1"/>
      <c r="E5264" s="1"/>
      <c r="F5264" s="1"/>
      <c r="G5264" s="1"/>
      <c r="H5264" s="1"/>
      <c r="I5264" s="1"/>
      <c r="J5264" s="1"/>
      <c r="K5264" s="89" t="s">
        <v>8169</v>
      </c>
      <c r="L5264" s="89" t="str">
        <f>G214</f>
        <v>C2a1a1c</v>
      </c>
      <c r="M5264" s="89" t="s">
        <v>8170</v>
      </c>
      <c r="N5264" s="89"/>
      <c r="O5264" s="92">
        <v>2.125668E7</v>
      </c>
      <c r="P5264" s="92">
        <v>1.9094794E7</v>
      </c>
      <c r="Q5264" s="89" t="s">
        <v>802</v>
      </c>
      <c r="AF5264" s="1"/>
      <c r="AG5264" s="1"/>
    </row>
    <row r="5265" ht="15.75" customHeight="1">
      <c r="A5265" s="1"/>
      <c r="B5265" s="1"/>
      <c r="C5265" s="1"/>
      <c r="D5265" s="1"/>
      <c r="E5265" s="1"/>
      <c r="F5265" s="1"/>
      <c r="G5265" s="1"/>
      <c r="H5265" s="1"/>
      <c r="I5265" s="1"/>
      <c r="J5265" s="1"/>
      <c r="K5265" s="89" t="s">
        <v>8170</v>
      </c>
      <c r="L5265" s="89" t="str">
        <f>G214</f>
        <v>C2a1a1c</v>
      </c>
      <c r="M5265" s="89" t="s">
        <v>8169</v>
      </c>
      <c r="N5265" s="89"/>
      <c r="O5265" s="92">
        <v>2.125668E7</v>
      </c>
      <c r="P5265" s="92">
        <v>1.9094794E7</v>
      </c>
      <c r="Q5265" s="89" t="s">
        <v>802</v>
      </c>
      <c r="AF5265" s="1"/>
      <c r="AG5265" s="1"/>
    </row>
    <row r="5266" ht="15.75" customHeight="1">
      <c r="A5266" s="1"/>
      <c r="B5266" s="1"/>
      <c r="C5266" s="1"/>
      <c r="D5266" s="1"/>
      <c r="E5266" s="1"/>
      <c r="F5266" s="1"/>
      <c r="G5266" s="1"/>
      <c r="H5266" s="1"/>
      <c r="I5266" s="1"/>
      <c r="J5266" s="1"/>
      <c r="K5266" s="89" t="s">
        <v>8171</v>
      </c>
      <c r="L5266" s="89" t="str">
        <f>G214</f>
        <v>C2a1a1c</v>
      </c>
      <c r="M5266" s="89" t="s">
        <v>8172</v>
      </c>
      <c r="N5266" s="89"/>
      <c r="O5266" s="92">
        <v>2.1307871E7</v>
      </c>
      <c r="P5266" s="92">
        <v>1.9145985E7</v>
      </c>
      <c r="Q5266" s="89" t="s">
        <v>845</v>
      </c>
      <c r="AF5266" s="1"/>
      <c r="AG5266" s="1"/>
    </row>
    <row r="5267" ht="15.75" customHeight="1">
      <c r="A5267" s="1"/>
      <c r="B5267" s="1"/>
      <c r="C5267" s="1"/>
      <c r="D5267" s="1"/>
      <c r="E5267" s="1"/>
      <c r="F5267" s="1"/>
      <c r="G5267" s="1"/>
      <c r="H5267" s="1"/>
      <c r="I5267" s="1"/>
      <c r="J5267" s="1"/>
      <c r="K5267" s="89" t="s">
        <v>8172</v>
      </c>
      <c r="L5267" s="89" t="str">
        <f>G214</f>
        <v>C2a1a1c</v>
      </c>
      <c r="M5267" s="89" t="s">
        <v>8171</v>
      </c>
      <c r="N5267" s="89"/>
      <c r="O5267" s="92">
        <v>2.1307871E7</v>
      </c>
      <c r="P5267" s="92">
        <v>1.9145985E7</v>
      </c>
      <c r="Q5267" s="89" t="s">
        <v>845</v>
      </c>
      <c r="AF5267" s="1"/>
      <c r="AG5267" s="1"/>
    </row>
    <row r="5268" ht="15.75" customHeight="1">
      <c r="A5268" s="1"/>
      <c r="B5268" s="1"/>
      <c r="C5268" s="1"/>
      <c r="D5268" s="1"/>
      <c r="E5268" s="1"/>
      <c r="F5268" s="1"/>
      <c r="G5268" s="1"/>
      <c r="H5268" s="1"/>
      <c r="I5268" s="1"/>
      <c r="J5268" s="1"/>
      <c r="K5268" s="89" t="s">
        <v>8173</v>
      </c>
      <c r="L5268" s="89" t="str">
        <f>G214</f>
        <v>C2a1a1c</v>
      </c>
      <c r="M5268" s="89" t="s">
        <v>8174</v>
      </c>
      <c r="N5268" s="89"/>
      <c r="O5268" s="92">
        <v>2.1308145E7</v>
      </c>
      <c r="P5268" s="92">
        <v>1.9146259E7</v>
      </c>
      <c r="Q5268" s="89" t="s">
        <v>831</v>
      </c>
      <c r="AF5268" s="1"/>
      <c r="AG5268" s="1"/>
    </row>
    <row r="5269" ht="15.75" customHeight="1">
      <c r="A5269" s="1"/>
      <c r="B5269" s="1"/>
      <c r="C5269" s="1"/>
      <c r="D5269" s="1"/>
      <c r="E5269" s="1"/>
      <c r="F5269" s="1"/>
      <c r="G5269" s="1"/>
      <c r="H5269" s="1"/>
      <c r="I5269" s="1"/>
      <c r="J5269" s="1"/>
      <c r="K5269" s="89" t="s">
        <v>8174</v>
      </c>
      <c r="L5269" s="89" t="str">
        <f>G214</f>
        <v>C2a1a1c</v>
      </c>
      <c r="M5269" s="89" t="s">
        <v>8173</v>
      </c>
      <c r="N5269" s="89"/>
      <c r="O5269" s="92">
        <v>2.1308145E7</v>
      </c>
      <c r="P5269" s="92">
        <v>1.9146259E7</v>
      </c>
      <c r="Q5269" s="89" t="s">
        <v>831</v>
      </c>
      <c r="AF5269" s="1"/>
      <c r="AG5269" s="1"/>
    </row>
    <row r="5270" ht="15.75" customHeight="1">
      <c r="A5270" s="1"/>
      <c r="B5270" s="1"/>
      <c r="C5270" s="1"/>
      <c r="D5270" s="1"/>
      <c r="E5270" s="1"/>
      <c r="F5270" s="1"/>
      <c r="G5270" s="1"/>
      <c r="H5270" s="1"/>
      <c r="I5270" s="1"/>
      <c r="J5270" s="1"/>
      <c r="K5270" s="89" t="s">
        <v>8175</v>
      </c>
      <c r="L5270" s="89" t="str">
        <f>G214</f>
        <v>C2a1a1c</v>
      </c>
      <c r="M5270" s="89" t="s">
        <v>8176</v>
      </c>
      <c r="N5270" s="89"/>
      <c r="O5270" s="92">
        <v>2.1709394E7</v>
      </c>
      <c r="P5270" s="92">
        <v>1.9547508E7</v>
      </c>
      <c r="Q5270" s="89" t="s">
        <v>802</v>
      </c>
      <c r="AF5270" s="1"/>
      <c r="AG5270" s="1"/>
    </row>
    <row r="5271" ht="15.75" customHeight="1">
      <c r="A5271" s="1"/>
      <c r="B5271" s="1"/>
      <c r="C5271" s="1"/>
      <c r="D5271" s="1"/>
      <c r="E5271" s="1"/>
      <c r="F5271" s="1"/>
      <c r="G5271" s="1"/>
      <c r="H5271" s="1"/>
      <c r="I5271" s="1"/>
      <c r="J5271" s="1"/>
      <c r="K5271" s="89" t="s">
        <v>8176</v>
      </c>
      <c r="L5271" s="89" t="str">
        <f>G214</f>
        <v>C2a1a1c</v>
      </c>
      <c r="M5271" s="89" t="s">
        <v>8175</v>
      </c>
      <c r="N5271" s="89"/>
      <c r="O5271" s="92">
        <v>2.1709394E7</v>
      </c>
      <c r="P5271" s="92">
        <v>1.9547508E7</v>
      </c>
      <c r="Q5271" s="89" t="s">
        <v>802</v>
      </c>
      <c r="AF5271" s="1"/>
      <c r="AG5271" s="1"/>
    </row>
    <row r="5272" ht="15.75" customHeight="1">
      <c r="A5272" s="1"/>
      <c r="B5272" s="1"/>
      <c r="C5272" s="1"/>
      <c r="D5272" s="1"/>
      <c r="E5272" s="1"/>
      <c r="F5272" s="1"/>
      <c r="G5272" s="1"/>
      <c r="H5272" s="1"/>
      <c r="I5272" s="1"/>
      <c r="J5272" s="1"/>
      <c r="K5272" s="89" t="s">
        <v>8177</v>
      </c>
      <c r="L5272" s="89" t="str">
        <f>G214</f>
        <v>C2a1a1c</v>
      </c>
      <c r="M5272" s="89" t="s">
        <v>8178</v>
      </c>
      <c r="N5272" s="89" t="s">
        <v>8179</v>
      </c>
      <c r="O5272" s="92">
        <v>2.1869132E7</v>
      </c>
      <c r="P5272" s="92">
        <v>1.9707246E7</v>
      </c>
      <c r="Q5272" s="89" t="s">
        <v>838</v>
      </c>
      <c r="AF5272" s="1"/>
      <c r="AG5272" s="1"/>
    </row>
    <row r="5273" ht="15.75" customHeight="1">
      <c r="A5273" s="1"/>
      <c r="B5273" s="1"/>
      <c r="C5273" s="1"/>
      <c r="D5273" s="1"/>
      <c r="E5273" s="1"/>
      <c r="F5273" s="1"/>
      <c r="G5273" s="1"/>
      <c r="H5273" s="1"/>
      <c r="I5273" s="1"/>
      <c r="J5273" s="1"/>
      <c r="K5273" s="89" t="s">
        <v>8178</v>
      </c>
      <c r="L5273" s="89" t="str">
        <f>G214</f>
        <v>C2a1a1c</v>
      </c>
      <c r="M5273" s="89" t="s">
        <v>8177</v>
      </c>
      <c r="N5273" s="89" t="s">
        <v>8179</v>
      </c>
      <c r="O5273" s="92">
        <v>2.1869132E7</v>
      </c>
      <c r="P5273" s="92">
        <v>1.9707246E7</v>
      </c>
      <c r="Q5273" s="89" t="s">
        <v>838</v>
      </c>
      <c r="AF5273" s="1"/>
      <c r="AG5273" s="1"/>
    </row>
    <row r="5274" ht="15.75" customHeight="1">
      <c r="A5274" s="1"/>
      <c r="B5274" s="1"/>
      <c r="C5274" s="1"/>
      <c r="D5274" s="1"/>
      <c r="E5274" s="1"/>
      <c r="F5274" s="1"/>
      <c r="G5274" s="1"/>
      <c r="H5274" s="1"/>
      <c r="I5274" s="1"/>
      <c r="J5274" s="1"/>
      <c r="K5274" s="89" t="s">
        <v>8180</v>
      </c>
      <c r="L5274" s="89" t="str">
        <f>G214</f>
        <v>C2a1a1c</v>
      </c>
      <c r="M5274" s="89" t="s">
        <v>8181</v>
      </c>
      <c r="N5274" s="89"/>
      <c r="O5274" s="92">
        <v>2.1990058E7</v>
      </c>
      <c r="P5274" s="92">
        <v>1.9828172E7</v>
      </c>
      <c r="Q5274" s="89" t="s">
        <v>802</v>
      </c>
      <c r="AF5274" s="1"/>
      <c r="AG5274" s="1"/>
    </row>
    <row r="5275" ht="15.75" customHeight="1">
      <c r="A5275" s="1"/>
      <c r="B5275" s="1"/>
      <c r="C5275" s="1"/>
      <c r="D5275" s="1"/>
      <c r="E5275" s="1"/>
      <c r="F5275" s="1"/>
      <c r="G5275" s="1"/>
      <c r="H5275" s="1"/>
      <c r="I5275" s="1"/>
      <c r="J5275" s="1"/>
      <c r="K5275" s="89" t="s">
        <v>8181</v>
      </c>
      <c r="L5275" s="89" t="str">
        <f>G214</f>
        <v>C2a1a1c</v>
      </c>
      <c r="M5275" s="89" t="s">
        <v>8180</v>
      </c>
      <c r="N5275" s="89"/>
      <c r="O5275" s="92">
        <v>2.1990058E7</v>
      </c>
      <c r="P5275" s="92">
        <v>1.9828172E7</v>
      </c>
      <c r="Q5275" s="89" t="s">
        <v>802</v>
      </c>
      <c r="AF5275" s="1"/>
      <c r="AG5275" s="1"/>
    </row>
    <row r="5276" ht="15.75" customHeight="1">
      <c r="A5276" s="1"/>
      <c r="B5276" s="1"/>
      <c r="C5276" s="1"/>
      <c r="D5276" s="1"/>
      <c r="E5276" s="1"/>
      <c r="F5276" s="1"/>
      <c r="G5276" s="1"/>
      <c r="H5276" s="1"/>
      <c r="I5276" s="1"/>
      <c r="J5276" s="1"/>
      <c r="K5276" s="89" t="s">
        <v>8182</v>
      </c>
      <c r="L5276" s="89" t="str">
        <f>G214</f>
        <v>C2a1a1c</v>
      </c>
      <c r="M5276" s="89" t="s">
        <v>8183</v>
      </c>
      <c r="N5276" s="89"/>
      <c r="O5276" s="92">
        <v>2.2133306E7</v>
      </c>
      <c r="P5276" s="92">
        <v>1.997142E7</v>
      </c>
      <c r="Q5276" s="89" t="s">
        <v>838</v>
      </c>
      <c r="AF5276" s="1"/>
      <c r="AG5276" s="1"/>
    </row>
    <row r="5277" ht="15.75" customHeight="1">
      <c r="A5277" s="1"/>
      <c r="B5277" s="1"/>
      <c r="C5277" s="1"/>
      <c r="D5277" s="1"/>
      <c r="E5277" s="1"/>
      <c r="F5277" s="1"/>
      <c r="G5277" s="1"/>
      <c r="H5277" s="1"/>
      <c r="I5277" s="1"/>
      <c r="J5277" s="1"/>
      <c r="K5277" s="89" t="s">
        <v>8183</v>
      </c>
      <c r="L5277" s="89" t="str">
        <f>G214</f>
        <v>C2a1a1c</v>
      </c>
      <c r="M5277" s="89" t="s">
        <v>8182</v>
      </c>
      <c r="N5277" s="89"/>
      <c r="O5277" s="92">
        <v>2.2133306E7</v>
      </c>
      <c r="P5277" s="92">
        <v>1.997142E7</v>
      </c>
      <c r="Q5277" s="89" t="s">
        <v>838</v>
      </c>
      <c r="AF5277" s="1"/>
      <c r="AG5277" s="1"/>
    </row>
    <row r="5278" ht="15.75" customHeight="1">
      <c r="A5278" s="1"/>
      <c r="B5278" s="1"/>
      <c r="C5278" s="1"/>
      <c r="D5278" s="1"/>
      <c r="E5278" s="1"/>
      <c r="F5278" s="1"/>
      <c r="G5278" s="1"/>
      <c r="H5278" s="1"/>
      <c r="I5278" s="1"/>
      <c r="J5278" s="1"/>
      <c r="K5278" s="89" t="s">
        <v>8184</v>
      </c>
      <c r="L5278" s="89" t="str">
        <f>G214</f>
        <v>C2a1a1c</v>
      </c>
      <c r="M5278" s="89" t="s">
        <v>8185</v>
      </c>
      <c r="N5278" s="89"/>
      <c r="O5278" s="92">
        <v>2.2199622E7</v>
      </c>
      <c r="P5278" s="92">
        <v>2.0037736E7</v>
      </c>
      <c r="Q5278" s="89" t="s">
        <v>838</v>
      </c>
      <c r="AF5278" s="1"/>
      <c r="AG5278" s="1"/>
    </row>
    <row r="5279" ht="15.75" customHeight="1">
      <c r="A5279" s="1"/>
      <c r="B5279" s="1"/>
      <c r="C5279" s="1"/>
      <c r="D5279" s="1"/>
      <c r="E5279" s="1"/>
      <c r="F5279" s="1"/>
      <c r="G5279" s="1"/>
      <c r="H5279" s="1"/>
      <c r="I5279" s="1"/>
      <c r="J5279" s="1"/>
      <c r="K5279" s="89" t="s">
        <v>8185</v>
      </c>
      <c r="L5279" s="89" t="str">
        <f>G214</f>
        <v>C2a1a1c</v>
      </c>
      <c r="M5279" s="89" t="s">
        <v>8184</v>
      </c>
      <c r="N5279" s="89"/>
      <c r="O5279" s="92">
        <v>2.2199622E7</v>
      </c>
      <c r="P5279" s="92">
        <v>2.0037736E7</v>
      </c>
      <c r="Q5279" s="89" t="s">
        <v>838</v>
      </c>
      <c r="AF5279" s="1"/>
      <c r="AG5279" s="1"/>
    </row>
    <row r="5280" ht="15.75" customHeight="1">
      <c r="A5280" s="1"/>
      <c r="B5280" s="1"/>
      <c r="C5280" s="1"/>
      <c r="D5280" s="1"/>
      <c r="E5280" s="1"/>
      <c r="F5280" s="1"/>
      <c r="G5280" s="1"/>
      <c r="H5280" s="1"/>
      <c r="I5280" s="1"/>
      <c r="J5280" s="1"/>
      <c r="K5280" s="89" t="s">
        <v>8186</v>
      </c>
      <c r="L5280" s="89" t="str">
        <f>G214</f>
        <v>C2a1a1c</v>
      </c>
      <c r="M5280" s="89"/>
      <c r="N5280" s="89"/>
      <c r="O5280" s="89">
        <v>2.2467867E7</v>
      </c>
      <c r="P5280" s="89">
        <v>2.0305981E7</v>
      </c>
      <c r="Q5280" s="89" t="s">
        <v>802</v>
      </c>
      <c r="AF5280" s="1"/>
      <c r="AG5280" s="1"/>
    </row>
    <row r="5281" ht="15.75" customHeight="1">
      <c r="A5281" s="1"/>
      <c r="B5281" s="1"/>
      <c r="C5281" s="1"/>
      <c r="D5281" s="1"/>
      <c r="E5281" s="1"/>
      <c r="F5281" s="1"/>
      <c r="G5281" s="1"/>
      <c r="H5281" s="1"/>
      <c r="I5281" s="1"/>
      <c r="J5281" s="1"/>
      <c r="K5281" s="89" t="s">
        <v>8187</v>
      </c>
      <c r="L5281" s="89" t="str">
        <f>G214</f>
        <v>C2a1a1c</v>
      </c>
      <c r="M5281" s="89" t="s">
        <v>8188</v>
      </c>
      <c r="N5281" s="89"/>
      <c r="O5281" s="92">
        <v>2.2761041E7</v>
      </c>
      <c r="P5281" s="92">
        <v>2.0599155E7</v>
      </c>
      <c r="Q5281" s="89" t="s">
        <v>802</v>
      </c>
      <c r="AF5281" s="1"/>
      <c r="AG5281" s="1"/>
    </row>
    <row r="5282" ht="15.75" customHeight="1">
      <c r="A5282" s="1"/>
      <c r="B5282" s="1"/>
      <c r="C5282" s="1"/>
      <c r="D5282" s="1"/>
      <c r="E5282" s="1"/>
      <c r="F5282" s="1"/>
      <c r="G5282" s="1"/>
      <c r="H5282" s="1"/>
      <c r="I5282" s="1"/>
      <c r="J5282" s="1"/>
      <c r="K5282" s="89" t="s">
        <v>8188</v>
      </c>
      <c r="L5282" s="89" t="str">
        <f>G214</f>
        <v>C2a1a1c</v>
      </c>
      <c r="M5282" s="89" t="s">
        <v>8187</v>
      </c>
      <c r="N5282" s="89"/>
      <c r="O5282" s="92">
        <v>2.2761041E7</v>
      </c>
      <c r="P5282" s="92">
        <v>2.0599155E7</v>
      </c>
      <c r="Q5282" s="89" t="s">
        <v>802</v>
      </c>
      <c r="AF5282" s="1"/>
      <c r="AG5282" s="1"/>
    </row>
    <row r="5283" ht="15.75" customHeight="1">
      <c r="A5283" s="1"/>
      <c r="B5283" s="1"/>
      <c r="C5283" s="1"/>
      <c r="D5283" s="1"/>
      <c r="E5283" s="1"/>
      <c r="F5283" s="1"/>
      <c r="G5283" s="1"/>
      <c r="H5283" s="1"/>
      <c r="I5283" s="1"/>
      <c r="J5283" s="1"/>
      <c r="K5283" s="89" t="s">
        <v>8189</v>
      </c>
      <c r="L5283" s="89" t="str">
        <f>G214</f>
        <v>C2a1a1c</v>
      </c>
      <c r="M5283" s="89" t="s">
        <v>8190</v>
      </c>
      <c r="N5283" s="89"/>
      <c r="O5283" s="92">
        <v>2.2905919E7</v>
      </c>
      <c r="P5283" s="92">
        <v>2.0744033E7</v>
      </c>
      <c r="Q5283" s="89" t="s">
        <v>802</v>
      </c>
      <c r="AF5283" s="1"/>
      <c r="AG5283" s="1"/>
    </row>
    <row r="5284" ht="15.75" customHeight="1">
      <c r="A5284" s="1"/>
      <c r="B5284" s="1"/>
      <c r="C5284" s="1"/>
      <c r="D5284" s="1"/>
      <c r="E5284" s="1"/>
      <c r="F5284" s="1"/>
      <c r="G5284" s="1"/>
      <c r="H5284" s="1"/>
      <c r="I5284" s="1"/>
      <c r="J5284" s="1"/>
      <c r="K5284" s="89" t="s">
        <v>8190</v>
      </c>
      <c r="L5284" s="89" t="str">
        <f>G214</f>
        <v>C2a1a1c</v>
      </c>
      <c r="M5284" s="89" t="s">
        <v>8189</v>
      </c>
      <c r="N5284" s="89"/>
      <c r="O5284" s="92">
        <v>2.2905919E7</v>
      </c>
      <c r="P5284" s="92">
        <v>2.0744033E7</v>
      </c>
      <c r="Q5284" s="89" t="s">
        <v>802</v>
      </c>
      <c r="AF5284" s="1"/>
      <c r="AG5284" s="1"/>
    </row>
    <row r="5285" ht="15.75" customHeight="1">
      <c r="A5285" s="1"/>
      <c r="B5285" s="1"/>
      <c r="C5285" s="1"/>
      <c r="D5285" s="1"/>
      <c r="E5285" s="1"/>
      <c r="F5285" s="1"/>
      <c r="G5285" s="1"/>
      <c r="H5285" s="1"/>
      <c r="I5285" s="1"/>
      <c r="J5285" s="1"/>
      <c r="K5285" s="89" t="s">
        <v>8191</v>
      </c>
      <c r="L5285" s="89" t="str">
        <f>G214</f>
        <v>C2a1a1c</v>
      </c>
      <c r="M5285" s="89"/>
      <c r="N5285" s="89"/>
      <c r="O5285" s="92">
        <v>2.2913918E7</v>
      </c>
      <c r="P5285" s="92">
        <v>2.0752032E7</v>
      </c>
      <c r="Q5285" s="89" t="s">
        <v>822</v>
      </c>
      <c r="AF5285" s="1"/>
      <c r="AG5285" s="1"/>
    </row>
    <row r="5286" ht="15.75" customHeight="1">
      <c r="A5286" s="1"/>
      <c r="B5286" s="1"/>
      <c r="C5286" s="1"/>
      <c r="D5286" s="1"/>
      <c r="E5286" s="1"/>
      <c r="F5286" s="1"/>
      <c r="G5286" s="1"/>
      <c r="H5286" s="1"/>
      <c r="I5286" s="1"/>
      <c r="J5286" s="1"/>
      <c r="K5286" s="89" t="s">
        <v>8192</v>
      </c>
      <c r="L5286" s="89" t="str">
        <f>G214</f>
        <v>C2a1a1c</v>
      </c>
      <c r="M5286" s="89" t="s">
        <v>8193</v>
      </c>
      <c r="N5286" s="89"/>
      <c r="O5286" s="92">
        <v>8661991.0</v>
      </c>
      <c r="P5286" s="92">
        <v>8793950.0</v>
      </c>
      <c r="Q5286" s="89" t="s">
        <v>813</v>
      </c>
      <c r="AF5286" s="1"/>
      <c r="AG5286" s="1"/>
    </row>
    <row r="5287" ht="15.75" customHeight="1">
      <c r="A5287" s="1"/>
      <c r="B5287" s="1"/>
      <c r="C5287" s="1"/>
      <c r="D5287" s="1"/>
      <c r="E5287" s="1"/>
      <c r="F5287" s="1"/>
      <c r="G5287" s="1"/>
      <c r="H5287" s="1"/>
      <c r="I5287" s="1"/>
      <c r="J5287" s="1"/>
      <c r="K5287" s="89" t="s">
        <v>8194</v>
      </c>
      <c r="L5287" s="89" t="str">
        <f>G214</f>
        <v>C2a1a1c</v>
      </c>
      <c r="M5287" s="89" t="s">
        <v>8195</v>
      </c>
      <c r="N5287" s="89"/>
      <c r="O5287" s="92">
        <v>8661991.0</v>
      </c>
      <c r="P5287" s="92">
        <v>8793950.0</v>
      </c>
      <c r="Q5287" s="89" t="s">
        <v>813</v>
      </c>
      <c r="AF5287" s="1"/>
      <c r="AG5287" s="1"/>
    </row>
    <row r="5288" ht="15.75" customHeight="1">
      <c r="A5288" s="1"/>
      <c r="B5288" s="1"/>
      <c r="C5288" s="1"/>
      <c r="D5288" s="1"/>
      <c r="E5288" s="1"/>
      <c r="F5288" s="1"/>
      <c r="G5288" s="1"/>
      <c r="H5288" s="1"/>
      <c r="I5288" s="1"/>
      <c r="J5288" s="1"/>
      <c r="K5288" s="89" t="s">
        <v>8196</v>
      </c>
      <c r="L5288" s="89" t="str">
        <f>G214</f>
        <v>C2a1a1c</v>
      </c>
      <c r="M5288" s="89" t="s">
        <v>8197</v>
      </c>
      <c r="N5288" s="89"/>
      <c r="O5288" s="92">
        <v>8661991.0</v>
      </c>
      <c r="P5288" s="92">
        <v>8793950.0</v>
      </c>
      <c r="Q5288" s="89" t="s">
        <v>813</v>
      </c>
      <c r="AF5288" s="1"/>
      <c r="AG5288" s="1"/>
    </row>
    <row r="5289" ht="15.75" customHeight="1">
      <c r="A5289" s="1"/>
      <c r="B5289" s="1"/>
      <c r="C5289" s="1"/>
      <c r="D5289" s="1"/>
      <c r="E5289" s="1"/>
      <c r="F5289" s="1"/>
      <c r="G5289" s="1"/>
      <c r="H5289" s="1"/>
      <c r="I5289" s="1"/>
      <c r="J5289" s="1"/>
      <c r="K5289" s="89" t="s">
        <v>8198</v>
      </c>
      <c r="L5289" s="89" t="str">
        <f>G214</f>
        <v>C2a1a1c</v>
      </c>
      <c r="M5289" s="89"/>
      <c r="N5289" s="89"/>
      <c r="O5289" s="92">
        <v>1.8697375E7</v>
      </c>
      <c r="P5289" s="92">
        <v>1.6585495E7</v>
      </c>
      <c r="Q5289" s="89" t="s">
        <v>802</v>
      </c>
      <c r="AF5289" s="1"/>
      <c r="AG5289" s="1"/>
    </row>
    <row r="5290" ht="15.75" customHeight="1">
      <c r="A5290" s="1"/>
      <c r="B5290" s="1"/>
      <c r="C5290" s="1"/>
      <c r="D5290" s="1"/>
      <c r="E5290" s="1"/>
      <c r="F5290" s="1"/>
      <c r="G5290" s="1"/>
      <c r="H5290" s="1"/>
      <c r="I5290" s="1"/>
      <c r="J5290" s="1"/>
      <c r="K5290" s="89" t="s">
        <v>8199</v>
      </c>
      <c r="L5290" s="89" t="str">
        <f>G214</f>
        <v>C2a1a1c</v>
      </c>
      <c r="M5290" s="89" t="s">
        <v>8200</v>
      </c>
      <c r="N5290" s="89"/>
      <c r="O5290" s="89">
        <v>2.3545477E7</v>
      </c>
      <c r="P5290" s="89">
        <v>2.1383591E7</v>
      </c>
      <c r="Q5290" s="89" t="s">
        <v>822</v>
      </c>
      <c r="AF5290" s="1"/>
      <c r="AG5290" s="1"/>
    </row>
    <row r="5291" ht="15.75" customHeight="1">
      <c r="A5291" s="1"/>
      <c r="B5291" s="1"/>
      <c r="C5291" s="1"/>
      <c r="D5291" s="1"/>
      <c r="E5291" s="1"/>
      <c r="F5291" s="1"/>
      <c r="G5291" s="1"/>
      <c r="H5291" s="1"/>
      <c r="I5291" s="1"/>
      <c r="J5291" s="1"/>
      <c r="K5291" s="93" t="s">
        <v>8201</v>
      </c>
      <c r="L5291" s="89" t="str">
        <f>H215</f>
        <v>C2a1a1c1</v>
      </c>
      <c r="M5291" s="93" t="s">
        <v>8202</v>
      </c>
      <c r="N5291" s="89"/>
      <c r="O5291" s="92">
        <v>8438277.0</v>
      </c>
      <c r="P5291" s="92">
        <v>8570236.0</v>
      </c>
      <c r="Q5291" s="89" t="s">
        <v>822</v>
      </c>
      <c r="AF5291" s="1"/>
      <c r="AG5291" s="1"/>
    </row>
    <row r="5292" ht="15.75" customHeight="1">
      <c r="A5292" s="1"/>
      <c r="B5292" s="1"/>
      <c r="C5292" s="1"/>
      <c r="D5292" s="1"/>
      <c r="E5292" s="1"/>
      <c r="F5292" s="1"/>
      <c r="G5292" s="1"/>
      <c r="H5292" s="1"/>
      <c r="I5292" s="1"/>
      <c r="J5292" s="1"/>
      <c r="K5292" s="89" t="s">
        <v>8203</v>
      </c>
      <c r="L5292" s="89" t="str">
        <f>H215</f>
        <v>C2a1a1c1</v>
      </c>
      <c r="M5292" s="93" t="s">
        <v>8204</v>
      </c>
      <c r="N5292" s="89"/>
      <c r="O5292" s="92">
        <v>8438277.0</v>
      </c>
      <c r="P5292" s="92">
        <v>8570236.0</v>
      </c>
      <c r="Q5292" s="89" t="s">
        <v>822</v>
      </c>
      <c r="AF5292" s="1"/>
      <c r="AG5292" s="1"/>
    </row>
    <row r="5293" ht="15.75" customHeight="1">
      <c r="A5293" s="1"/>
      <c r="B5293" s="1"/>
      <c r="C5293" s="1"/>
      <c r="D5293" s="1"/>
      <c r="E5293" s="1"/>
      <c r="F5293" s="1"/>
      <c r="G5293" s="1"/>
      <c r="H5293" s="1"/>
      <c r="I5293" s="1"/>
      <c r="J5293" s="1"/>
      <c r="K5293" s="89" t="s">
        <v>8205</v>
      </c>
      <c r="L5293" s="89" t="str">
        <f>H215</f>
        <v>C2a1a1c1</v>
      </c>
      <c r="M5293" s="93" t="s">
        <v>8206</v>
      </c>
      <c r="N5293" s="89"/>
      <c r="O5293" s="92">
        <v>8438277.0</v>
      </c>
      <c r="P5293" s="92">
        <v>8570236.0</v>
      </c>
      <c r="Q5293" s="89" t="s">
        <v>822</v>
      </c>
      <c r="AF5293" s="1"/>
      <c r="AG5293" s="1"/>
    </row>
    <row r="5294" ht="15.75" customHeight="1">
      <c r="A5294" s="1"/>
      <c r="B5294" s="1"/>
      <c r="C5294" s="1"/>
      <c r="D5294" s="1"/>
      <c r="E5294" s="1"/>
      <c r="F5294" s="1"/>
      <c r="G5294" s="1"/>
      <c r="H5294" s="1"/>
      <c r="I5294" s="1"/>
      <c r="J5294" s="1"/>
      <c r="K5294" s="89" t="s">
        <v>8207</v>
      </c>
      <c r="L5294" s="89" t="str">
        <f>H215</f>
        <v>C2a1a1c1</v>
      </c>
      <c r="M5294" s="93" t="s">
        <v>8208</v>
      </c>
      <c r="N5294" s="89"/>
      <c r="O5294" s="92">
        <v>8438277.0</v>
      </c>
      <c r="P5294" s="92">
        <v>8570236.0</v>
      </c>
      <c r="Q5294" s="89" t="s">
        <v>822</v>
      </c>
      <c r="AF5294" s="1"/>
      <c r="AG5294" s="1"/>
    </row>
    <row r="5295" ht="15.75" customHeight="1">
      <c r="A5295" s="1"/>
      <c r="B5295" s="1"/>
      <c r="C5295" s="1"/>
      <c r="D5295" s="1"/>
      <c r="E5295" s="1"/>
      <c r="F5295" s="1"/>
      <c r="G5295" s="1"/>
      <c r="H5295" s="1"/>
      <c r="I5295" s="1"/>
      <c r="J5295" s="1"/>
      <c r="K5295" s="89" t="s">
        <v>8209</v>
      </c>
      <c r="L5295" s="89" t="str">
        <f>H215</f>
        <v>C2a1a1c1</v>
      </c>
      <c r="M5295" s="89"/>
      <c r="N5295" s="89"/>
      <c r="O5295" s="92">
        <v>1.857872E7</v>
      </c>
      <c r="P5295" s="92">
        <v>1.646684E7</v>
      </c>
      <c r="Q5295" s="89" t="s">
        <v>802</v>
      </c>
      <c r="AF5295" s="1"/>
      <c r="AG5295" s="1"/>
    </row>
    <row r="5296" ht="15.75" customHeight="1">
      <c r="A5296" s="1"/>
      <c r="B5296" s="1"/>
      <c r="C5296" s="1"/>
      <c r="D5296" s="1"/>
      <c r="E5296" s="1"/>
      <c r="F5296" s="1"/>
      <c r="G5296" s="1"/>
      <c r="H5296" s="1"/>
      <c r="I5296" s="1"/>
      <c r="J5296" s="1"/>
      <c r="K5296" s="89" t="s">
        <v>8210</v>
      </c>
      <c r="L5296" s="89" t="str">
        <f>H215</f>
        <v>C2a1a1c1</v>
      </c>
      <c r="M5296" s="89"/>
      <c r="N5296" s="89"/>
      <c r="O5296" s="92">
        <v>2.1131856E7</v>
      </c>
      <c r="P5296" s="92">
        <v>1.896997E7</v>
      </c>
      <c r="Q5296" s="89" t="s">
        <v>822</v>
      </c>
      <c r="AF5296" s="1"/>
      <c r="AG5296" s="1"/>
    </row>
    <row r="5297" ht="15.75" customHeight="1">
      <c r="A5297" s="1"/>
      <c r="B5297" s="1"/>
      <c r="C5297" s="1"/>
      <c r="D5297" s="1"/>
      <c r="E5297" s="1"/>
      <c r="F5297" s="1"/>
      <c r="G5297" s="1"/>
      <c r="H5297" s="1"/>
      <c r="I5297" s="1"/>
      <c r="J5297" s="1"/>
      <c r="K5297" s="89" t="s">
        <v>8211</v>
      </c>
      <c r="L5297" s="89" t="str">
        <f>H215</f>
        <v>C2a1a1c1</v>
      </c>
      <c r="M5297" s="89" t="s">
        <v>8212</v>
      </c>
      <c r="N5297" s="89"/>
      <c r="O5297" s="92">
        <v>9062800.0</v>
      </c>
      <c r="P5297" s="92">
        <v>9225191.0</v>
      </c>
      <c r="Q5297" s="89" t="s">
        <v>802</v>
      </c>
      <c r="AF5297" s="1"/>
      <c r="AG5297" s="1"/>
    </row>
    <row r="5298" ht="15.75" customHeight="1">
      <c r="A5298" s="1"/>
      <c r="B5298" s="1"/>
      <c r="C5298" s="1"/>
      <c r="D5298" s="1"/>
      <c r="E5298" s="1"/>
      <c r="F5298" s="1"/>
      <c r="G5298" s="1"/>
      <c r="H5298" s="1"/>
      <c r="I5298" s="1"/>
      <c r="J5298" s="1"/>
      <c r="K5298" s="89" t="s">
        <v>8213</v>
      </c>
      <c r="L5298" s="89" t="str">
        <f>H215</f>
        <v>C2a1a1c1</v>
      </c>
      <c r="M5298" s="89" t="s">
        <v>8214</v>
      </c>
      <c r="N5298" s="89"/>
      <c r="O5298" s="92">
        <v>9062800.0</v>
      </c>
      <c r="P5298" s="92">
        <v>9225191.0</v>
      </c>
      <c r="Q5298" s="89" t="s">
        <v>802</v>
      </c>
      <c r="AF5298" s="1"/>
      <c r="AG5298" s="1"/>
    </row>
    <row r="5299" ht="15.75" customHeight="1">
      <c r="A5299" s="1"/>
      <c r="B5299" s="1"/>
      <c r="C5299" s="1"/>
      <c r="D5299" s="1"/>
      <c r="E5299" s="1"/>
      <c r="F5299" s="1"/>
      <c r="G5299" s="1"/>
      <c r="H5299" s="1"/>
      <c r="I5299" s="1"/>
      <c r="J5299" s="1"/>
      <c r="K5299" s="89" t="s">
        <v>8215</v>
      </c>
      <c r="L5299" s="89" t="str">
        <f>H215</f>
        <v>C2a1a1c1</v>
      </c>
      <c r="M5299" s="89" t="s">
        <v>8216</v>
      </c>
      <c r="N5299" s="89"/>
      <c r="O5299" s="92">
        <v>9062800.0</v>
      </c>
      <c r="P5299" s="92">
        <v>9225191.0</v>
      </c>
      <c r="Q5299" s="89" t="s">
        <v>802</v>
      </c>
      <c r="AF5299" s="1"/>
      <c r="AG5299" s="1"/>
    </row>
    <row r="5300" ht="15.75" customHeight="1">
      <c r="A5300" s="1"/>
      <c r="B5300" s="1"/>
      <c r="C5300" s="1"/>
      <c r="D5300" s="1"/>
      <c r="E5300" s="1"/>
      <c r="F5300" s="1"/>
      <c r="G5300" s="1"/>
      <c r="H5300" s="1"/>
      <c r="I5300" s="1"/>
      <c r="J5300" s="1"/>
      <c r="K5300" s="89" t="s">
        <v>8217</v>
      </c>
      <c r="L5300" s="89" t="str">
        <f>H215</f>
        <v>C2a1a1c1</v>
      </c>
      <c r="M5300" s="89" t="s">
        <v>8218</v>
      </c>
      <c r="N5300" s="89"/>
      <c r="O5300" s="92">
        <v>9397750.0</v>
      </c>
      <c r="P5300" s="92">
        <v>9560141.0</v>
      </c>
      <c r="Q5300" s="89" t="s">
        <v>802</v>
      </c>
      <c r="AF5300" s="1"/>
      <c r="AG5300" s="1"/>
    </row>
    <row r="5301" ht="15.75" customHeight="1">
      <c r="A5301" s="1"/>
      <c r="B5301" s="1"/>
      <c r="C5301" s="1"/>
      <c r="D5301" s="1"/>
      <c r="E5301" s="1"/>
      <c r="F5301" s="1"/>
      <c r="G5301" s="1"/>
      <c r="H5301" s="1"/>
      <c r="I5301" s="1"/>
      <c r="J5301" s="1"/>
      <c r="K5301" s="89" t="s">
        <v>8219</v>
      </c>
      <c r="L5301" s="89" t="str">
        <f>H215</f>
        <v>C2a1a1c1</v>
      </c>
      <c r="M5301" s="89" t="s">
        <v>8220</v>
      </c>
      <c r="N5301" s="89"/>
      <c r="O5301" s="92">
        <v>9397750.0</v>
      </c>
      <c r="P5301" s="92">
        <v>9560141.0</v>
      </c>
      <c r="Q5301" s="89" t="s">
        <v>802</v>
      </c>
      <c r="AF5301" s="1"/>
      <c r="AG5301" s="1"/>
    </row>
    <row r="5302" ht="15.75" customHeight="1">
      <c r="A5302" s="1"/>
      <c r="B5302" s="1"/>
      <c r="C5302" s="1"/>
      <c r="D5302" s="1"/>
      <c r="E5302" s="1"/>
      <c r="F5302" s="1"/>
      <c r="G5302" s="1"/>
      <c r="H5302" s="1"/>
      <c r="I5302" s="1"/>
      <c r="J5302" s="1"/>
      <c r="K5302" s="89" t="s">
        <v>8221</v>
      </c>
      <c r="L5302" s="89" t="str">
        <f>H215</f>
        <v>C2a1a1c1</v>
      </c>
      <c r="M5302" s="89" t="s">
        <v>8222</v>
      </c>
      <c r="N5302" s="89"/>
      <c r="O5302" s="92">
        <v>9397750.0</v>
      </c>
      <c r="P5302" s="92">
        <v>9560141.0</v>
      </c>
      <c r="Q5302" s="89" t="s">
        <v>802</v>
      </c>
      <c r="AF5302" s="1"/>
      <c r="AG5302" s="1"/>
    </row>
    <row r="5303" ht="15.75" customHeight="1">
      <c r="A5303" s="1"/>
      <c r="B5303" s="1"/>
      <c r="C5303" s="1"/>
      <c r="D5303" s="1"/>
      <c r="E5303" s="1"/>
      <c r="F5303" s="1"/>
      <c r="G5303" s="1"/>
      <c r="H5303" s="1"/>
      <c r="I5303" s="1"/>
      <c r="J5303" s="1"/>
      <c r="K5303" s="89" t="s">
        <v>8223</v>
      </c>
      <c r="L5303" s="89" t="str">
        <f>H215</f>
        <v>C2a1a1c1</v>
      </c>
      <c r="M5303" s="89" t="s">
        <v>8224</v>
      </c>
      <c r="N5303" s="89"/>
      <c r="O5303" s="92">
        <v>1.383216E7</v>
      </c>
      <c r="P5303" s="92">
        <v>1.1711454E7</v>
      </c>
      <c r="Q5303" s="89" t="s">
        <v>810</v>
      </c>
      <c r="AF5303" s="1"/>
      <c r="AG5303" s="1"/>
    </row>
    <row r="5304" ht="15.75" customHeight="1">
      <c r="A5304" s="1"/>
      <c r="B5304" s="1"/>
      <c r="C5304" s="1"/>
      <c r="D5304" s="1"/>
      <c r="E5304" s="1"/>
      <c r="F5304" s="1"/>
      <c r="G5304" s="1"/>
      <c r="H5304" s="1"/>
      <c r="I5304" s="1"/>
      <c r="J5304" s="1"/>
      <c r="K5304" s="89" t="s">
        <v>8224</v>
      </c>
      <c r="L5304" s="89" t="str">
        <f>H215</f>
        <v>C2a1a1c1</v>
      </c>
      <c r="M5304" s="89" t="s">
        <v>8223</v>
      </c>
      <c r="N5304" s="89"/>
      <c r="O5304" s="92">
        <v>1.383216E7</v>
      </c>
      <c r="P5304" s="92">
        <v>1.1711454E7</v>
      </c>
      <c r="Q5304" s="89" t="s">
        <v>810</v>
      </c>
      <c r="AF5304" s="1"/>
      <c r="AG5304" s="1"/>
    </row>
    <row r="5305" ht="15.75" customHeight="1">
      <c r="A5305" s="1"/>
      <c r="B5305" s="1"/>
      <c r="C5305" s="1"/>
      <c r="D5305" s="1"/>
      <c r="E5305" s="1"/>
      <c r="F5305" s="1"/>
      <c r="G5305" s="1"/>
      <c r="H5305" s="1"/>
      <c r="I5305" s="1"/>
      <c r="J5305" s="1"/>
      <c r="K5305" s="89" t="s">
        <v>8225</v>
      </c>
      <c r="L5305" s="89" t="str">
        <f>H215</f>
        <v>C2a1a1c1</v>
      </c>
      <c r="M5305" s="89" t="s">
        <v>8226</v>
      </c>
      <c r="N5305" s="89"/>
      <c r="O5305" s="92">
        <v>1.4006436E7</v>
      </c>
      <c r="P5305" s="92">
        <v>1.188573E7</v>
      </c>
      <c r="Q5305" s="89" t="s">
        <v>802</v>
      </c>
      <c r="AF5305" s="1"/>
      <c r="AG5305" s="1"/>
    </row>
    <row r="5306" ht="15.75" customHeight="1">
      <c r="A5306" s="1"/>
      <c r="B5306" s="1"/>
      <c r="C5306" s="1"/>
      <c r="D5306" s="1"/>
      <c r="E5306" s="1"/>
      <c r="F5306" s="1"/>
      <c r="G5306" s="1"/>
      <c r="H5306" s="1"/>
      <c r="I5306" s="1"/>
      <c r="J5306" s="1"/>
      <c r="K5306" s="89" t="s">
        <v>8227</v>
      </c>
      <c r="L5306" s="89" t="str">
        <f>H215</f>
        <v>C2a1a1c1</v>
      </c>
      <c r="M5306" s="89" t="s">
        <v>8228</v>
      </c>
      <c r="N5306" s="89"/>
      <c r="O5306" s="92">
        <v>1.4006436E7</v>
      </c>
      <c r="P5306" s="92">
        <v>1.188573E7</v>
      </c>
      <c r="Q5306" s="89" t="s">
        <v>802</v>
      </c>
      <c r="AF5306" s="1"/>
      <c r="AG5306" s="1"/>
    </row>
    <row r="5307" ht="15.75" customHeight="1">
      <c r="A5307" s="1"/>
      <c r="B5307" s="1"/>
      <c r="C5307" s="1"/>
      <c r="D5307" s="1"/>
      <c r="E5307" s="1"/>
      <c r="F5307" s="1"/>
      <c r="G5307" s="1"/>
      <c r="H5307" s="1"/>
      <c r="I5307" s="1"/>
      <c r="J5307" s="1"/>
      <c r="K5307" s="89" t="s">
        <v>8229</v>
      </c>
      <c r="L5307" s="89" t="str">
        <f>H215</f>
        <v>C2a1a1c1</v>
      </c>
      <c r="M5307" s="89" t="s">
        <v>8230</v>
      </c>
      <c r="N5307" s="89"/>
      <c r="O5307" s="92">
        <v>1.4006436E7</v>
      </c>
      <c r="P5307" s="92">
        <v>1.188573E7</v>
      </c>
      <c r="Q5307" s="89" t="s">
        <v>802</v>
      </c>
      <c r="AF5307" s="1"/>
      <c r="AG5307" s="1"/>
    </row>
    <row r="5308" ht="15.75" customHeight="1">
      <c r="A5308" s="1"/>
      <c r="B5308" s="1"/>
      <c r="C5308" s="1"/>
      <c r="D5308" s="1"/>
      <c r="E5308" s="1"/>
      <c r="F5308" s="1"/>
      <c r="G5308" s="1"/>
      <c r="H5308" s="1"/>
      <c r="I5308" s="1"/>
      <c r="J5308" s="1"/>
      <c r="K5308" s="89" t="s">
        <v>8231</v>
      </c>
      <c r="L5308" s="89" t="str">
        <f>H215</f>
        <v>C2a1a1c1</v>
      </c>
      <c r="M5308" s="89" t="s">
        <v>8232</v>
      </c>
      <c r="N5308" s="89"/>
      <c r="O5308" s="92">
        <v>1.4757407E7</v>
      </c>
      <c r="P5308" s="92">
        <v>1.2645476E7</v>
      </c>
      <c r="Q5308" s="89" t="s">
        <v>822</v>
      </c>
      <c r="AF5308" s="1"/>
      <c r="AG5308" s="1"/>
    </row>
    <row r="5309" ht="15.75" customHeight="1">
      <c r="A5309" s="1"/>
      <c r="B5309" s="1"/>
      <c r="C5309" s="1"/>
      <c r="D5309" s="1"/>
      <c r="E5309" s="1"/>
      <c r="F5309" s="1"/>
      <c r="G5309" s="1"/>
      <c r="H5309" s="1"/>
      <c r="I5309" s="1"/>
      <c r="J5309" s="1"/>
      <c r="K5309" s="89" t="s">
        <v>8233</v>
      </c>
      <c r="L5309" s="89" t="str">
        <f>H215</f>
        <v>C2a1a1c1</v>
      </c>
      <c r="M5309" s="89" t="s">
        <v>8234</v>
      </c>
      <c r="N5309" s="89"/>
      <c r="O5309" s="92">
        <v>1.4757407E7</v>
      </c>
      <c r="P5309" s="92">
        <v>1.2645476E7</v>
      </c>
      <c r="Q5309" s="89" t="s">
        <v>822</v>
      </c>
      <c r="AF5309" s="1"/>
      <c r="AG5309" s="1"/>
    </row>
    <row r="5310" ht="15.75" customHeight="1">
      <c r="A5310" s="1"/>
      <c r="B5310" s="1"/>
      <c r="C5310" s="1"/>
      <c r="D5310" s="1"/>
      <c r="E5310" s="1"/>
      <c r="F5310" s="1"/>
      <c r="G5310" s="1"/>
      <c r="H5310" s="1"/>
      <c r="I5310" s="1"/>
      <c r="J5310" s="1"/>
      <c r="K5310" s="89" t="s">
        <v>8235</v>
      </c>
      <c r="L5310" s="89" t="str">
        <f>H215</f>
        <v>C2a1a1c1</v>
      </c>
      <c r="M5310" s="89" t="s">
        <v>8236</v>
      </c>
      <c r="N5310" s="89"/>
      <c r="O5310" s="92">
        <v>1.4757407E7</v>
      </c>
      <c r="P5310" s="92">
        <v>1.2645476E7</v>
      </c>
      <c r="Q5310" s="89" t="s">
        <v>822</v>
      </c>
      <c r="AF5310" s="1"/>
      <c r="AG5310" s="1"/>
    </row>
    <row r="5311" ht="15.75" customHeight="1">
      <c r="A5311" s="1"/>
      <c r="B5311" s="1"/>
      <c r="C5311" s="1"/>
      <c r="D5311" s="1"/>
      <c r="E5311" s="1"/>
      <c r="F5311" s="1"/>
      <c r="G5311" s="1"/>
      <c r="H5311" s="1"/>
      <c r="I5311" s="1"/>
      <c r="J5311" s="1"/>
      <c r="K5311" s="89" t="s">
        <v>8237</v>
      </c>
      <c r="L5311" s="89" t="str">
        <f>H215</f>
        <v>C2a1a1c1</v>
      </c>
      <c r="M5311" s="89" t="s">
        <v>8238</v>
      </c>
      <c r="N5311" s="89"/>
      <c r="O5311" s="92">
        <v>1.6236831E7</v>
      </c>
      <c r="P5311" s="92">
        <v>1.4124951E7</v>
      </c>
      <c r="Q5311" s="89" t="s">
        <v>912</v>
      </c>
      <c r="AF5311" s="1"/>
      <c r="AG5311" s="1"/>
    </row>
    <row r="5312" ht="15.75" customHeight="1">
      <c r="A5312" s="1"/>
      <c r="B5312" s="1"/>
      <c r="C5312" s="1"/>
      <c r="D5312" s="1"/>
      <c r="E5312" s="1"/>
      <c r="F5312" s="1"/>
      <c r="G5312" s="1"/>
      <c r="H5312" s="1"/>
      <c r="I5312" s="1"/>
      <c r="J5312" s="1"/>
      <c r="K5312" s="89" t="s">
        <v>8239</v>
      </c>
      <c r="L5312" s="89" t="str">
        <f>H215</f>
        <v>C2a1a1c1</v>
      </c>
      <c r="M5312" s="89" t="s">
        <v>8240</v>
      </c>
      <c r="N5312" s="89"/>
      <c r="O5312" s="92">
        <v>1.6236831E7</v>
      </c>
      <c r="P5312" s="92">
        <v>1.4124951E7</v>
      </c>
      <c r="Q5312" s="89" t="s">
        <v>912</v>
      </c>
      <c r="AF5312" s="1"/>
      <c r="AG5312" s="1"/>
    </row>
    <row r="5313" ht="15.75" customHeight="1">
      <c r="A5313" s="1"/>
      <c r="B5313" s="1"/>
      <c r="C5313" s="1"/>
      <c r="D5313" s="1"/>
      <c r="E5313" s="1"/>
      <c r="F5313" s="1"/>
      <c r="G5313" s="1"/>
      <c r="H5313" s="1"/>
      <c r="I5313" s="1"/>
      <c r="J5313" s="1"/>
      <c r="K5313" s="89" t="s">
        <v>8241</v>
      </c>
      <c r="L5313" s="89" t="str">
        <f>H215</f>
        <v>C2a1a1c1</v>
      </c>
      <c r="M5313" s="89" t="s">
        <v>8242</v>
      </c>
      <c r="N5313" s="89"/>
      <c r="O5313" s="92">
        <v>1.6236831E7</v>
      </c>
      <c r="P5313" s="92">
        <v>1.4124951E7</v>
      </c>
      <c r="Q5313" s="89" t="s">
        <v>912</v>
      </c>
      <c r="AF5313" s="1"/>
      <c r="AG5313" s="1"/>
    </row>
    <row r="5314" ht="15.75" customHeight="1">
      <c r="A5314" s="1"/>
      <c r="B5314" s="1"/>
      <c r="C5314" s="1"/>
      <c r="D5314" s="1"/>
      <c r="E5314" s="1"/>
      <c r="F5314" s="1"/>
      <c r="G5314" s="1"/>
      <c r="H5314" s="1"/>
      <c r="I5314" s="1"/>
      <c r="J5314" s="1"/>
      <c r="K5314" s="89" t="s">
        <v>8243</v>
      </c>
      <c r="L5314" s="89" t="str">
        <f>H215</f>
        <v>C2a1a1c1</v>
      </c>
      <c r="M5314" s="89" t="s">
        <v>8244</v>
      </c>
      <c r="N5314" s="89"/>
      <c r="O5314" s="92">
        <v>1.8689874E7</v>
      </c>
      <c r="P5314" s="92">
        <v>1.6577994E7</v>
      </c>
      <c r="Q5314" s="89" t="s">
        <v>845</v>
      </c>
      <c r="AF5314" s="1"/>
      <c r="AG5314" s="1"/>
    </row>
    <row r="5315" ht="15.75" customHeight="1">
      <c r="A5315" s="1"/>
      <c r="B5315" s="1"/>
      <c r="C5315" s="1"/>
      <c r="D5315" s="1"/>
      <c r="E5315" s="1"/>
      <c r="F5315" s="1"/>
      <c r="G5315" s="1"/>
      <c r="H5315" s="1"/>
      <c r="I5315" s="1"/>
      <c r="J5315" s="1"/>
      <c r="K5315" s="89" t="s">
        <v>8245</v>
      </c>
      <c r="L5315" s="89" t="str">
        <f>H215</f>
        <v>C2a1a1c1</v>
      </c>
      <c r="M5315" s="89" t="s">
        <v>8246</v>
      </c>
      <c r="N5315" s="89"/>
      <c r="O5315" s="92">
        <v>1.8689874E7</v>
      </c>
      <c r="P5315" s="92">
        <v>1.6577994E7</v>
      </c>
      <c r="Q5315" s="89" t="s">
        <v>845</v>
      </c>
      <c r="AF5315" s="1"/>
      <c r="AG5315" s="1"/>
    </row>
    <row r="5316" ht="15.75" customHeight="1">
      <c r="A5316" s="1"/>
      <c r="B5316" s="1"/>
      <c r="C5316" s="1"/>
      <c r="D5316" s="1"/>
      <c r="E5316" s="1"/>
      <c r="F5316" s="1"/>
      <c r="G5316" s="1"/>
      <c r="H5316" s="1"/>
      <c r="I5316" s="1"/>
      <c r="J5316" s="1"/>
      <c r="K5316" s="89" t="s">
        <v>8247</v>
      </c>
      <c r="L5316" s="89" t="str">
        <f>H215</f>
        <v>C2a1a1c1</v>
      </c>
      <c r="M5316" s="89" t="s">
        <v>8248</v>
      </c>
      <c r="N5316" s="89"/>
      <c r="O5316" s="92">
        <v>1.8689874E7</v>
      </c>
      <c r="P5316" s="92">
        <v>1.6577994E7</v>
      </c>
      <c r="Q5316" s="89" t="s">
        <v>845</v>
      </c>
      <c r="AF5316" s="1"/>
      <c r="AG5316" s="1"/>
    </row>
    <row r="5317" ht="15.75" customHeight="1">
      <c r="A5317" s="1"/>
      <c r="B5317" s="1"/>
      <c r="C5317" s="1"/>
      <c r="D5317" s="1"/>
      <c r="E5317" s="1"/>
      <c r="F5317" s="1"/>
      <c r="G5317" s="1"/>
      <c r="H5317" s="1"/>
      <c r="I5317" s="1"/>
      <c r="J5317" s="1"/>
      <c r="K5317" s="89" t="s">
        <v>8249</v>
      </c>
      <c r="L5317" s="89" t="str">
        <f>H215</f>
        <v>C2a1a1c1</v>
      </c>
      <c r="M5317" s="89" t="s">
        <v>8250</v>
      </c>
      <c r="N5317" s="89"/>
      <c r="O5317" s="92">
        <v>2.1221551E7</v>
      </c>
      <c r="P5317" s="92">
        <v>1.9059665E7</v>
      </c>
      <c r="Q5317" s="89" t="s">
        <v>912</v>
      </c>
      <c r="AF5317" s="1"/>
      <c r="AG5317" s="1"/>
    </row>
    <row r="5318" ht="15.75" customHeight="1">
      <c r="A5318" s="1"/>
      <c r="B5318" s="1"/>
      <c r="C5318" s="1"/>
      <c r="D5318" s="1"/>
      <c r="E5318" s="1"/>
      <c r="F5318" s="1"/>
      <c r="G5318" s="1"/>
      <c r="H5318" s="1"/>
      <c r="I5318" s="1"/>
      <c r="J5318" s="1"/>
      <c r="K5318" s="89" t="s">
        <v>8167</v>
      </c>
      <c r="L5318" s="89" t="str">
        <f>H215</f>
        <v>C2a1a1c1</v>
      </c>
      <c r="M5318" s="89" t="s">
        <v>8251</v>
      </c>
      <c r="N5318" s="89"/>
      <c r="O5318" s="92">
        <v>2.1221551E7</v>
      </c>
      <c r="P5318" s="92">
        <v>1.9059665E7</v>
      </c>
      <c r="Q5318" s="89" t="s">
        <v>912</v>
      </c>
      <c r="AF5318" s="1"/>
      <c r="AG5318" s="1"/>
    </row>
    <row r="5319" ht="15.75" customHeight="1">
      <c r="A5319" s="1"/>
      <c r="B5319" s="1"/>
      <c r="C5319" s="1"/>
      <c r="D5319" s="1"/>
      <c r="E5319" s="1"/>
      <c r="F5319" s="1"/>
      <c r="G5319" s="1"/>
      <c r="H5319" s="1"/>
      <c r="I5319" s="1"/>
      <c r="J5319" s="1"/>
      <c r="K5319" s="89" t="s">
        <v>8252</v>
      </c>
      <c r="L5319" s="89" t="str">
        <f>H215</f>
        <v>C2a1a1c1</v>
      </c>
      <c r="M5319" s="89" t="s">
        <v>8253</v>
      </c>
      <c r="N5319" s="89"/>
      <c r="O5319" s="92">
        <v>2.1221551E7</v>
      </c>
      <c r="P5319" s="92">
        <v>1.9059665E7</v>
      </c>
      <c r="Q5319" s="89" t="s">
        <v>912</v>
      </c>
      <c r="AF5319" s="1"/>
      <c r="AG5319" s="1"/>
    </row>
    <row r="5320" ht="15.75" customHeight="1">
      <c r="A5320" s="1"/>
      <c r="B5320" s="1"/>
      <c r="C5320" s="1"/>
      <c r="D5320" s="1"/>
      <c r="E5320" s="1"/>
      <c r="F5320" s="1"/>
      <c r="G5320" s="1"/>
      <c r="H5320" s="1"/>
      <c r="I5320" s="1"/>
      <c r="J5320" s="1"/>
      <c r="K5320" s="89" t="s">
        <v>8254</v>
      </c>
      <c r="L5320" s="89" t="str">
        <f>H215</f>
        <v>C2a1a1c1</v>
      </c>
      <c r="M5320" s="89" t="s">
        <v>8255</v>
      </c>
      <c r="N5320" s="89" t="s">
        <v>8179</v>
      </c>
      <c r="O5320" s="92">
        <v>2.1869132E7</v>
      </c>
      <c r="P5320" s="92">
        <v>1.9707246E7</v>
      </c>
      <c r="Q5320" s="89" t="s">
        <v>838</v>
      </c>
      <c r="AF5320" s="1"/>
      <c r="AG5320" s="1"/>
    </row>
    <row r="5321" ht="15.75" customHeight="1">
      <c r="A5321" s="1"/>
      <c r="B5321" s="1"/>
      <c r="C5321" s="1"/>
      <c r="D5321" s="1"/>
      <c r="E5321" s="1"/>
      <c r="F5321" s="1"/>
      <c r="G5321" s="1"/>
      <c r="H5321" s="1"/>
      <c r="I5321" s="1"/>
      <c r="J5321" s="1"/>
      <c r="K5321" s="89" t="s">
        <v>8177</v>
      </c>
      <c r="L5321" s="89" t="str">
        <f>H215</f>
        <v>C2a1a1c1</v>
      </c>
      <c r="M5321" s="89" t="s">
        <v>8256</v>
      </c>
      <c r="N5321" s="89" t="s">
        <v>8179</v>
      </c>
      <c r="O5321" s="92">
        <v>2.1869132E7</v>
      </c>
      <c r="P5321" s="92">
        <v>1.9707246E7</v>
      </c>
      <c r="Q5321" s="89" t="s">
        <v>838</v>
      </c>
      <c r="AF5321" s="1"/>
      <c r="AG5321" s="1"/>
    </row>
    <row r="5322" ht="15.75" customHeight="1">
      <c r="A5322" s="1"/>
      <c r="B5322" s="1"/>
      <c r="C5322" s="1"/>
      <c r="D5322" s="1"/>
      <c r="E5322" s="1"/>
      <c r="F5322" s="1"/>
      <c r="G5322" s="1"/>
      <c r="H5322" s="1"/>
      <c r="I5322" s="1"/>
      <c r="J5322" s="1"/>
      <c r="K5322" s="89" t="s">
        <v>8178</v>
      </c>
      <c r="L5322" s="89" t="str">
        <f>H215</f>
        <v>C2a1a1c1</v>
      </c>
      <c r="M5322" s="89" t="s">
        <v>8257</v>
      </c>
      <c r="N5322" s="89" t="s">
        <v>8179</v>
      </c>
      <c r="O5322" s="92">
        <v>2.1869132E7</v>
      </c>
      <c r="P5322" s="92">
        <v>1.9707246E7</v>
      </c>
      <c r="Q5322" s="89" t="s">
        <v>838</v>
      </c>
      <c r="AF5322" s="1"/>
      <c r="AG5322" s="1"/>
    </row>
    <row r="5323" ht="15.75" customHeight="1">
      <c r="A5323" s="1"/>
      <c r="B5323" s="1"/>
      <c r="C5323" s="1"/>
      <c r="D5323" s="1"/>
      <c r="E5323" s="1"/>
      <c r="F5323" s="1"/>
      <c r="G5323" s="1"/>
      <c r="H5323" s="1"/>
      <c r="I5323" s="1"/>
      <c r="J5323" s="1"/>
      <c r="K5323" s="89" t="s">
        <v>8258</v>
      </c>
      <c r="L5323" s="89" t="str">
        <f>H215</f>
        <v>C2a1a1c1</v>
      </c>
      <c r="M5323" s="89" t="s">
        <v>8259</v>
      </c>
      <c r="N5323" s="89"/>
      <c r="O5323" s="92">
        <v>2.1990058E7</v>
      </c>
      <c r="P5323" s="92">
        <v>1.9828172E7</v>
      </c>
      <c r="Q5323" s="89" t="s">
        <v>802</v>
      </c>
      <c r="AF5323" s="1"/>
      <c r="AG5323" s="1"/>
    </row>
    <row r="5324" ht="15.75" customHeight="1">
      <c r="A5324" s="1"/>
      <c r="B5324" s="1"/>
      <c r="C5324" s="1"/>
      <c r="D5324" s="1"/>
      <c r="E5324" s="1"/>
      <c r="F5324" s="1"/>
      <c r="G5324" s="1"/>
      <c r="H5324" s="1"/>
      <c r="I5324" s="1"/>
      <c r="J5324" s="1"/>
      <c r="K5324" s="89" t="s">
        <v>8180</v>
      </c>
      <c r="L5324" s="89" t="str">
        <f>H215</f>
        <v>C2a1a1c1</v>
      </c>
      <c r="M5324" s="89" t="s">
        <v>8260</v>
      </c>
      <c r="N5324" s="89"/>
      <c r="O5324" s="92">
        <v>2.1990058E7</v>
      </c>
      <c r="P5324" s="92">
        <v>1.9828172E7</v>
      </c>
      <c r="Q5324" s="89" t="s">
        <v>802</v>
      </c>
      <c r="AF5324" s="1"/>
      <c r="AG5324" s="1"/>
    </row>
    <row r="5325" ht="15.75" customHeight="1">
      <c r="A5325" s="1"/>
      <c r="B5325" s="1"/>
      <c r="C5325" s="1"/>
      <c r="D5325" s="1"/>
      <c r="E5325" s="1"/>
      <c r="F5325" s="1"/>
      <c r="G5325" s="1"/>
      <c r="H5325" s="1"/>
      <c r="I5325" s="1"/>
      <c r="J5325" s="1"/>
      <c r="K5325" s="89" t="s">
        <v>8181</v>
      </c>
      <c r="L5325" s="89" t="str">
        <f>H215</f>
        <v>C2a1a1c1</v>
      </c>
      <c r="M5325" s="89" t="s">
        <v>8261</v>
      </c>
      <c r="N5325" s="89"/>
      <c r="O5325" s="92">
        <v>2.1990058E7</v>
      </c>
      <c r="P5325" s="92">
        <v>1.9828172E7</v>
      </c>
      <c r="Q5325" s="89" t="s">
        <v>802</v>
      </c>
      <c r="AF5325" s="1"/>
      <c r="AG5325" s="1"/>
    </row>
    <row r="5326" ht="15.75" customHeight="1">
      <c r="A5326" s="1"/>
      <c r="B5326" s="1"/>
      <c r="C5326" s="1"/>
      <c r="D5326" s="1"/>
      <c r="E5326" s="1"/>
      <c r="F5326" s="1"/>
      <c r="G5326" s="1"/>
      <c r="H5326" s="1"/>
      <c r="I5326" s="1"/>
      <c r="J5326" s="1"/>
      <c r="K5326" s="89" t="s">
        <v>8262</v>
      </c>
      <c r="L5326" s="89" t="str">
        <f>H215</f>
        <v>C2a1a1c1</v>
      </c>
      <c r="M5326" s="89" t="s">
        <v>8263</v>
      </c>
      <c r="N5326" s="89"/>
      <c r="O5326" s="89">
        <v>2.8480076E7</v>
      </c>
      <c r="P5326" s="89">
        <v>2.6333929E7</v>
      </c>
      <c r="Q5326" s="89" t="s">
        <v>810</v>
      </c>
      <c r="AF5326" s="1"/>
      <c r="AG5326" s="1"/>
    </row>
    <row r="5327" ht="15.75" customHeight="1">
      <c r="A5327" s="1"/>
      <c r="B5327" s="1"/>
      <c r="C5327" s="1"/>
      <c r="D5327" s="1"/>
      <c r="E5327" s="1"/>
      <c r="F5327" s="1"/>
      <c r="G5327" s="1"/>
      <c r="H5327" s="1"/>
      <c r="I5327" s="1"/>
      <c r="J5327" s="1"/>
      <c r="K5327" s="89" t="s">
        <v>8264</v>
      </c>
      <c r="L5327" s="89" t="str">
        <f>H215</f>
        <v>C2a1a1c1</v>
      </c>
      <c r="M5327" s="89" t="s">
        <v>8265</v>
      </c>
      <c r="N5327" s="89"/>
      <c r="O5327" s="89">
        <v>2.8480076E7</v>
      </c>
      <c r="P5327" s="89">
        <v>2.6333929E7</v>
      </c>
      <c r="Q5327" s="89" t="s">
        <v>810</v>
      </c>
      <c r="AF5327" s="1"/>
      <c r="AG5327" s="1"/>
    </row>
    <row r="5328" ht="15.75" customHeight="1">
      <c r="A5328" s="1"/>
      <c r="B5328" s="1"/>
      <c r="C5328" s="1"/>
      <c r="D5328" s="1"/>
      <c r="E5328" s="1"/>
      <c r="F5328" s="1"/>
      <c r="G5328" s="1"/>
      <c r="H5328" s="1"/>
      <c r="I5328" s="1"/>
      <c r="J5328" s="1"/>
      <c r="K5328" s="89" t="s">
        <v>8266</v>
      </c>
      <c r="L5328" s="89" t="str">
        <f>H215</f>
        <v>C2a1a1c1</v>
      </c>
      <c r="M5328" s="89" t="s">
        <v>8267</v>
      </c>
      <c r="N5328" s="89"/>
      <c r="O5328" s="89">
        <v>2.8480076E7</v>
      </c>
      <c r="P5328" s="89">
        <v>2.6333929E7</v>
      </c>
      <c r="Q5328" s="89" t="s">
        <v>810</v>
      </c>
      <c r="AF5328" s="1"/>
      <c r="AG5328" s="1"/>
    </row>
    <row r="5329" ht="15.75" customHeight="1">
      <c r="A5329" s="1"/>
      <c r="B5329" s="1"/>
      <c r="C5329" s="1"/>
      <c r="D5329" s="1"/>
      <c r="E5329" s="1"/>
      <c r="F5329" s="1"/>
      <c r="G5329" s="1"/>
      <c r="H5329" s="1"/>
      <c r="I5329" s="1"/>
      <c r="J5329" s="1"/>
      <c r="K5329" s="89" t="s">
        <v>8116</v>
      </c>
      <c r="L5329" s="89" t="str">
        <f>H215</f>
        <v>C2a1a1c1</v>
      </c>
      <c r="M5329" s="89" t="s">
        <v>8268</v>
      </c>
      <c r="N5329" s="89"/>
      <c r="O5329" s="92">
        <v>8857950.0</v>
      </c>
      <c r="P5329" s="92">
        <v>8989909.0</v>
      </c>
      <c r="Q5329" s="89" t="s">
        <v>822</v>
      </c>
      <c r="AF5329" s="1"/>
      <c r="AG5329" s="1"/>
    </row>
    <row r="5330" ht="15.75" customHeight="1">
      <c r="A5330" s="1"/>
      <c r="B5330" s="1"/>
      <c r="C5330" s="1"/>
      <c r="D5330" s="1"/>
      <c r="E5330" s="1"/>
      <c r="F5330" s="1"/>
      <c r="G5330" s="1"/>
      <c r="H5330" s="1"/>
      <c r="I5330" s="1"/>
      <c r="J5330" s="1"/>
      <c r="K5330" s="89" t="s">
        <v>8269</v>
      </c>
      <c r="L5330" s="89" t="str">
        <f>H215</f>
        <v>C2a1a1c1</v>
      </c>
      <c r="M5330" s="89" t="s">
        <v>8270</v>
      </c>
      <c r="N5330" s="89"/>
      <c r="O5330" s="92">
        <v>8857950.0</v>
      </c>
      <c r="P5330" s="92">
        <v>8989909.0</v>
      </c>
      <c r="Q5330" s="89" t="s">
        <v>822</v>
      </c>
      <c r="AF5330" s="1"/>
      <c r="AG5330" s="1"/>
    </row>
    <row r="5331" ht="15.75" customHeight="1">
      <c r="A5331" s="1"/>
      <c r="B5331" s="1"/>
      <c r="C5331" s="1"/>
      <c r="D5331" s="1"/>
      <c r="E5331" s="1"/>
      <c r="F5331" s="1"/>
      <c r="G5331" s="1"/>
      <c r="H5331" s="1"/>
      <c r="I5331" s="1"/>
      <c r="J5331" s="1"/>
      <c r="K5331" s="89" t="s">
        <v>8245</v>
      </c>
      <c r="L5331" s="89" t="str">
        <f>H215</f>
        <v>C2a1a1c1</v>
      </c>
      <c r="M5331" s="89"/>
      <c r="N5331" s="89"/>
      <c r="O5331" s="92">
        <v>1.8689874E7</v>
      </c>
      <c r="P5331" s="92">
        <v>1.6577994E7</v>
      </c>
      <c r="Q5331" s="89" t="s">
        <v>845</v>
      </c>
      <c r="AF5331" s="1"/>
      <c r="AG5331" s="1"/>
    </row>
    <row r="5332" ht="15.75" customHeight="1">
      <c r="A5332" s="1"/>
      <c r="B5332" s="1"/>
      <c r="C5332" s="1"/>
      <c r="D5332" s="1"/>
      <c r="E5332" s="1"/>
      <c r="F5332" s="1"/>
      <c r="G5332" s="1"/>
      <c r="H5332" s="1"/>
      <c r="I5332" s="1"/>
      <c r="J5332" s="1"/>
      <c r="K5332" s="89" t="s">
        <v>8271</v>
      </c>
      <c r="L5332" s="89" t="str">
        <f>H215</f>
        <v>C2a1a1c1</v>
      </c>
      <c r="M5332" s="89" t="s">
        <v>8272</v>
      </c>
      <c r="N5332" s="89"/>
      <c r="O5332" s="92">
        <v>2.1104677E7</v>
      </c>
      <c r="P5332" s="92">
        <v>1.8942791E7</v>
      </c>
      <c r="Q5332" s="89" t="s">
        <v>864</v>
      </c>
      <c r="AF5332" s="1"/>
      <c r="AG5332" s="1"/>
    </row>
    <row r="5333" ht="15.75" customHeight="1">
      <c r="A5333" s="1"/>
      <c r="B5333" s="1"/>
      <c r="C5333" s="1"/>
      <c r="D5333" s="1"/>
      <c r="E5333" s="1"/>
      <c r="F5333" s="1"/>
      <c r="G5333" s="1"/>
      <c r="H5333" s="1"/>
      <c r="I5333" s="1"/>
      <c r="J5333" s="1"/>
      <c r="K5333" s="89" t="s">
        <v>8272</v>
      </c>
      <c r="L5333" s="89" t="str">
        <f>H215</f>
        <v>C2a1a1c1</v>
      </c>
      <c r="M5333" s="89" t="s">
        <v>8271</v>
      </c>
      <c r="N5333" s="89"/>
      <c r="O5333" s="92">
        <v>2.1104677E7</v>
      </c>
      <c r="P5333" s="92">
        <v>1.8942791E7</v>
      </c>
      <c r="Q5333" s="89" t="s">
        <v>864</v>
      </c>
      <c r="AF5333" s="1"/>
      <c r="AG5333" s="1"/>
    </row>
    <row r="5334" ht="15.75" customHeight="1">
      <c r="A5334" s="1"/>
      <c r="B5334" s="1"/>
      <c r="C5334" s="1"/>
      <c r="D5334" s="1"/>
      <c r="E5334" s="1"/>
      <c r="F5334" s="1"/>
      <c r="G5334" s="1"/>
      <c r="H5334" s="1"/>
      <c r="I5334" s="1"/>
      <c r="J5334" s="1"/>
      <c r="K5334" s="89" t="s">
        <v>8227</v>
      </c>
      <c r="L5334" s="89" t="str">
        <f t="shared" ref="L5334:L5335" si="49">H215</f>
        <v>C2a1a1c1</v>
      </c>
      <c r="M5334" s="89"/>
      <c r="N5334" s="89"/>
      <c r="O5334" s="92">
        <v>1.4006436E7</v>
      </c>
      <c r="P5334" s="92">
        <v>1.188573E7</v>
      </c>
      <c r="Q5334" s="89" t="s">
        <v>802</v>
      </c>
      <c r="AF5334" s="1"/>
      <c r="AG5334" s="1"/>
    </row>
    <row r="5335" ht="15.75" customHeight="1">
      <c r="A5335" s="1"/>
      <c r="B5335" s="1"/>
      <c r="C5335" s="1"/>
      <c r="D5335" s="1"/>
      <c r="E5335" s="1"/>
      <c r="F5335" s="1"/>
      <c r="G5335" s="1"/>
      <c r="H5335" s="1"/>
      <c r="I5335" s="1"/>
      <c r="J5335" s="1"/>
      <c r="K5335" s="89" t="s">
        <v>8273</v>
      </c>
      <c r="L5335" s="89" t="str">
        <f t="shared" si="49"/>
        <v>C2a1a1c1~</v>
      </c>
      <c r="M5335" s="89" t="s">
        <v>8274</v>
      </c>
      <c r="N5335" s="89"/>
      <c r="O5335" s="92">
        <v>6728766.0</v>
      </c>
      <c r="P5335" s="92">
        <v>6860725.0</v>
      </c>
      <c r="Q5335" s="89" t="s">
        <v>810</v>
      </c>
      <c r="AF5335" s="1"/>
      <c r="AG5335" s="1"/>
    </row>
    <row r="5336" ht="15.75" customHeight="1">
      <c r="A5336" s="1"/>
      <c r="B5336" s="1"/>
      <c r="C5336" s="1"/>
      <c r="D5336" s="1"/>
      <c r="E5336" s="1"/>
      <c r="F5336" s="1"/>
      <c r="G5336" s="1"/>
      <c r="H5336" s="1"/>
      <c r="I5336" s="1"/>
      <c r="J5336" s="1"/>
      <c r="K5336" s="89" t="s">
        <v>8275</v>
      </c>
      <c r="L5336" s="89" t="str">
        <f>H216</f>
        <v>C2a1a1c1~</v>
      </c>
      <c r="M5336" s="89" t="s">
        <v>8276</v>
      </c>
      <c r="N5336" s="89"/>
      <c r="O5336" s="92">
        <v>6728766.0</v>
      </c>
      <c r="P5336" s="92">
        <v>6860725.0</v>
      </c>
      <c r="Q5336" s="89" t="s">
        <v>810</v>
      </c>
      <c r="AF5336" s="1"/>
      <c r="AG5336" s="1"/>
    </row>
    <row r="5337" ht="15.75" customHeight="1">
      <c r="A5337" s="1"/>
      <c r="B5337" s="1"/>
      <c r="C5337" s="1"/>
      <c r="D5337" s="1"/>
      <c r="E5337" s="1"/>
      <c r="F5337" s="1"/>
      <c r="G5337" s="1"/>
      <c r="H5337" s="1"/>
      <c r="I5337" s="1"/>
      <c r="J5337" s="1"/>
      <c r="K5337" s="89" t="s">
        <v>8277</v>
      </c>
      <c r="L5337" s="89" t="str">
        <f>H216</f>
        <v>C2a1a1c1~</v>
      </c>
      <c r="M5337" s="89" t="s">
        <v>8278</v>
      </c>
      <c r="N5337" s="89"/>
      <c r="O5337" s="92">
        <v>6728766.0</v>
      </c>
      <c r="P5337" s="92">
        <v>6860725.0</v>
      </c>
      <c r="Q5337" s="89" t="s">
        <v>810</v>
      </c>
      <c r="AF5337" s="1"/>
      <c r="AG5337" s="1"/>
    </row>
    <row r="5338" ht="15.75" customHeight="1">
      <c r="A5338" s="1"/>
      <c r="B5338" s="1"/>
      <c r="C5338" s="1"/>
      <c r="D5338" s="1"/>
      <c r="E5338" s="1"/>
      <c r="F5338" s="1"/>
      <c r="G5338" s="1"/>
      <c r="H5338" s="1"/>
      <c r="I5338" s="1"/>
      <c r="J5338" s="1"/>
      <c r="K5338" s="89" t="s">
        <v>8279</v>
      </c>
      <c r="L5338" s="89" t="str">
        <f>H216</f>
        <v>C2a1a1c1~</v>
      </c>
      <c r="M5338" s="89" t="s">
        <v>8280</v>
      </c>
      <c r="N5338" s="93"/>
      <c r="O5338" s="92">
        <v>1.6622019E7</v>
      </c>
      <c r="P5338" s="92">
        <v>1.4510139E7</v>
      </c>
      <c r="Q5338" s="89" t="s">
        <v>917</v>
      </c>
      <c r="AF5338" s="1"/>
      <c r="AG5338" s="1"/>
    </row>
    <row r="5339" ht="15.75" customHeight="1">
      <c r="A5339" s="1"/>
      <c r="B5339" s="1"/>
      <c r="C5339" s="1"/>
      <c r="D5339" s="1"/>
      <c r="E5339" s="1"/>
      <c r="F5339" s="1"/>
      <c r="G5339" s="1"/>
      <c r="H5339" s="1"/>
      <c r="I5339" s="1"/>
      <c r="J5339" s="1"/>
      <c r="K5339" s="89" t="s">
        <v>8281</v>
      </c>
      <c r="L5339" s="89" t="str">
        <f>H216</f>
        <v>C2a1a1c1~</v>
      </c>
      <c r="M5339" s="89" t="s">
        <v>8282</v>
      </c>
      <c r="N5339" s="89"/>
      <c r="O5339" s="92">
        <v>1.6622019E7</v>
      </c>
      <c r="P5339" s="92">
        <v>1.4510139E7</v>
      </c>
      <c r="Q5339" s="89" t="s">
        <v>917</v>
      </c>
      <c r="AF5339" s="1"/>
      <c r="AG5339" s="1"/>
    </row>
    <row r="5340" ht="15.75" customHeight="1">
      <c r="A5340" s="1"/>
      <c r="B5340" s="1"/>
      <c r="C5340" s="1"/>
      <c r="D5340" s="1"/>
      <c r="E5340" s="1"/>
      <c r="F5340" s="1"/>
      <c r="G5340" s="1"/>
      <c r="H5340" s="1"/>
      <c r="I5340" s="1"/>
      <c r="J5340" s="1"/>
      <c r="K5340" s="89" t="s">
        <v>8283</v>
      </c>
      <c r="L5340" s="89" t="str">
        <f>H216</f>
        <v>C2a1a1c1~</v>
      </c>
      <c r="M5340" s="89" t="s">
        <v>8284</v>
      </c>
      <c r="N5340" s="89"/>
      <c r="O5340" s="92">
        <v>1.6622019E7</v>
      </c>
      <c r="P5340" s="92">
        <v>1.4510139E7</v>
      </c>
      <c r="Q5340" s="89" t="s">
        <v>917</v>
      </c>
      <c r="AF5340" s="1"/>
      <c r="AG5340" s="1"/>
    </row>
    <row r="5341" ht="15.75" customHeight="1">
      <c r="A5341" s="1"/>
      <c r="B5341" s="1"/>
      <c r="C5341" s="1"/>
      <c r="D5341" s="1"/>
      <c r="E5341" s="1"/>
      <c r="F5341" s="1"/>
      <c r="G5341" s="1"/>
      <c r="H5341" s="1"/>
      <c r="I5341" s="1"/>
      <c r="J5341" s="1"/>
      <c r="K5341" s="89" t="s">
        <v>8285</v>
      </c>
      <c r="L5341" s="89" t="str">
        <f>H216</f>
        <v>C2a1a1c1~</v>
      </c>
      <c r="M5341" s="89" t="s">
        <v>8286</v>
      </c>
      <c r="N5341" s="93"/>
      <c r="O5341" s="92">
        <v>1.7731966E7</v>
      </c>
      <c r="P5341" s="92">
        <v>1.5620086E7</v>
      </c>
      <c r="Q5341" s="89" t="s">
        <v>810</v>
      </c>
      <c r="AF5341" s="1"/>
      <c r="AG5341" s="1"/>
    </row>
    <row r="5342" ht="15.75" customHeight="1">
      <c r="A5342" s="1"/>
      <c r="B5342" s="1"/>
      <c r="C5342" s="1"/>
      <c r="D5342" s="1"/>
      <c r="E5342" s="1"/>
      <c r="F5342" s="1"/>
      <c r="G5342" s="1"/>
      <c r="H5342" s="1"/>
      <c r="I5342" s="1"/>
      <c r="J5342" s="1"/>
      <c r="K5342" s="89" t="s">
        <v>8287</v>
      </c>
      <c r="L5342" s="89" t="str">
        <f>H216</f>
        <v>C2a1a1c1~</v>
      </c>
      <c r="M5342" s="89" t="s">
        <v>8288</v>
      </c>
      <c r="N5342" s="89"/>
      <c r="O5342" s="92">
        <v>1.7731966E7</v>
      </c>
      <c r="P5342" s="92">
        <v>1.5620086E7</v>
      </c>
      <c r="Q5342" s="89" t="s">
        <v>810</v>
      </c>
      <c r="AF5342" s="1"/>
      <c r="AG5342" s="1"/>
    </row>
    <row r="5343" ht="15.75" customHeight="1">
      <c r="A5343" s="1"/>
      <c r="B5343" s="1"/>
      <c r="C5343" s="1"/>
      <c r="D5343" s="1"/>
      <c r="E5343" s="1"/>
      <c r="F5343" s="1"/>
      <c r="G5343" s="1"/>
      <c r="H5343" s="1"/>
      <c r="I5343" s="1"/>
      <c r="J5343" s="1"/>
      <c r="K5343" s="89" t="s">
        <v>8289</v>
      </c>
      <c r="L5343" s="89" t="str">
        <f>H216</f>
        <v>C2a1a1c1~</v>
      </c>
      <c r="M5343" s="89" t="s">
        <v>8290</v>
      </c>
      <c r="N5343" s="89"/>
      <c r="O5343" s="92" t="s">
        <v>8291</v>
      </c>
      <c r="P5343" s="92" t="s">
        <v>8292</v>
      </c>
      <c r="Q5343" s="89" t="s">
        <v>8293</v>
      </c>
      <c r="AF5343" s="1"/>
      <c r="AG5343" s="1"/>
    </row>
    <row r="5344" ht="15.75" customHeight="1">
      <c r="A5344" s="1"/>
      <c r="B5344" s="1"/>
      <c r="C5344" s="1"/>
      <c r="D5344" s="1"/>
      <c r="E5344" s="1"/>
      <c r="F5344" s="1"/>
      <c r="G5344" s="1"/>
      <c r="H5344" s="1"/>
      <c r="I5344" s="1"/>
      <c r="J5344" s="1"/>
      <c r="K5344" s="89" t="s">
        <v>8294</v>
      </c>
      <c r="L5344" s="89" t="str">
        <f>H216</f>
        <v>C2a1a1c1~</v>
      </c>
      <c r="M5344" s="89" t="s">
        <v>8295</v>
      </c>
      <c r="N5344" s="89"/>
      <c r="O5344" s="92">
        <v>2.2814009E7</v>
      </c>
      <c r="P5344" s="92">
        <v>2.0652123E7</v>
      </c>
      <c r="Q5344" s="89" t="s">
        <v>838</v>
      </c>
      <c r="AF5344" s="1"/>
      <c r="AG5344" s="1"/>
    </row>
    <row r="5345" ht="15.75" customHeight="1">
      <c r="A5345" s="1"/>
      <c r="B5345" s="1"/>
      <c r="C5345" s="1"/>
      <c r="D5345" s="1"/>
      <c r="E5345" s="1"/>
      <c r="F5345" s="1"/>
      <c r="G5345" s="1"/>
      <c r="H5345" s="1"/>
      <c r="I5345" s="1"/>
      <c r="J5345" s="1"/>
      <c r="K5345" s="89" t="s">
        <v>8295</v>
      </c>
      <c r="L5345" s="89" t="str">
        <f>H216</f>
        <v>C2a1a1c1~</v>
      </c>
      <c r="M5345" s="89" t="s">
        <v>8294</v>
      </c>
      <c r="N5345" s="89"/>
      <c r="O5345" s="92">
        <v>2.2814009E7</v>
      </c>
      <c r="P5345" s="92">
        <v>2.0652123E7</v>
      </c>
      <c r="Q5345" s="89" t="s">
        <v>838</v>
      </c>
      <c r="AF5345" s="1"/>
      <c r="AG5345" s="1"/>
    </row>
    <row r="5346" ht="15.75" customHeight="1">
      <c r="A5346" s="1"/>
      <c r="B5346" s="1"/>
      <c r="C5346" s="1"/>
      <c r="D5346" s="1"/>
      <c r="E5346" s="1"/>
      <c r="F5346" s="1"/>
      <c r="G5346" s="1"/>
      <c r="H5346" s="1"/>
      <c r="I5346" s="1"/>
      <c r="J5346" s="1"/>
      <c r="K5346" s="89" t="s">
        <v>8296</v>
      </c>
      <c r="L5346" s="89" t="str">
        <f>H216</f>
        <v>C2a1a1c1~</v>
      </c>
      <c r="M5346" s="89" t="s">
        <v>8297</v>
      </c>
      <c r="N5346" s="89"/>
      <c r="O5346" s="92">
        <v>1.3976841E7</v>
      </c>
      <c r="P5346" s="92">
        <v>1.1856135E7</v>
      </c>
      <c r="Q5346" s="89" t="s">
        <v>810</v>
      </c>
      <c r="AF5346" s="1"/>
      <c r="AG5346" s="1"/>
    </row>
    <row r="5347" ht="15.75" customHeight="1">
      <c r="A5347" s="1"/>
      <c r="B5347" s="1"/>
      <c r="C5347" s="1"/>
      <c r="D5347" s="1"/>
      <c r="E5347" s="1"/>
      <c r="F5347" s="1"/>
      <c r="G5347" s="1"/>
      <c r="H5347" s="1"/>
      <c r="I5347" s="1"/>
      <c r="J5347" s="1"/>
      <c r="K5347" s="89" t="s">
        <v>8297</v>
      </c>
      <c r="L5347" s="89" t="str">
        <f>H216</f>
        <v>C2a1a1c1~</v>
      </c>
      <c r="M5347" s="89" t="s">
        <v>8296</v>
      </c>
      <c r="N5347" s="89"/>
      <c r="O5347" s="92">
        <v>1.3976841E7</v>
      </c>
      <c r="P5347" s="92">
        <v>1.1856135E7</v>
      </c>
      <c r="Q5347" s="89" t="s">
        <v>810</v>
      </c>
      <c r="AF5347" s="1"/>
      <c r="AG5347" s="1"/>
    </row>
    <row r="5348" ht="15.75" customHeight="1">
      <c r="A5348" s="1"/>
      <c r="B5348" s="1"/>
      <c r="C5348" s="1"/>
      <c r="D5348" s="1"/>
      <c r="E5348" s="1"/>
      <c r="F5348" s="1"/>
      <c r="G5348" s="1"/>
      <c r="H5348" s="1"/>
      <c r="I5348" s="1"/>
      <c r="J5348" s="1"/>
      <c r="K5348" s="89" t="s">
        <v>8298</v>
      </c>
      <c r="L5348" s="89" t="str">
        <f>I217</f>
        <v>C2a1a1c1a~</v>
      </c>
      <c r="M5348" s="89" t="s">
        <v>8299</v>
      </c>
      <c r="N5348" s="89"/>
      <c r="O5348" s="92">
        <v>1.3825019E7</v>
      </c>
      <c r="P5348" s="92">
        <v>1.1704313E7</v>
      </c>
      <c r="Q5348" s="89" t="s">
        <v>822</v>
      </c>
      <c r="AF5348" s="1"/>
      <c r="AG5348" s="1"/>
    </row>
    <row r="5349" ht="15.75" customHeight="1">
      <c r="A5349" s="1"/>
      <c r="B5349" s="1"/>
      <c r="C5349" s="1"/>
      <c r="D5349" s="1"/>
      <c r="E5349" s="1"/>
      <c r="F5349" s="1"/>
      <c r="G5349" s="1"/>
      <c r="H5349" s="1"/>
      <c r="I5349" s="1"/>
      <c r="J5349" s="1"/>
      <c r="K5349" s="89" t="s">
        <v>8299</v>
      </c>
      <c r="L5349" s="89" t="str">
        <f>I217</f>
        <v>C2a1a1c1a~</v>
      </c>
      <c r="M5349" s="89" t="s">
        <v>8298</v>
      </c>
      <c r="N5349" s="89"/>
      <c r="O5349" s="92">
        <v>1.3825019E7</v>
      </c>
      <c r="P5349" s="92">
        <v>1.1704313E7</v>
      </c>
      <c r="Q5349" s="89" t="s">
        <v>822</v>
      </c>
      <c r="AF5349" s="1"/>
      <c r="AG5349" s="1"/>
    </row>
    <row r="5350" ht="15.75" customHeight="1">
      <c r="A5350" s="1"/>
      <c r="B5350" s="1"/>
      <c r="C5350" s="1"/>
      <c r="D5350" s="1"/>
      <c r="E5350" s="1"/>
      <c r="F5350" s="1"/>
      <c r="G5350" s="1"/>
      <c r="H5350" s="1"/>
      <c r="I5350" s="1"/>
      <c r="J5350" s="1"/>
      <c r="K5350" s="89" t="s">
        <v>396</v>
      </c>
      <c r="L5350" s="89" t="str">
        <f>J218</f>
        <v>C2a1a1c1a1~</v>
      </c>
      <c r="M5350" s="89"/>
      <c r="N5350" s="89" t="s">
        <v>8300</v>
      </c>
      <c r="O5350" s="92">
        <v>2.1331652E7</v>
      </c>
      <c r="P5350" s="92">
        <v>1.9169766E7</v>
      </c>
      <c r="Q5350" s="89" t="s">
        <v>802</v>
      </c>
      <c r="AF5350" s="1"/>
      <c r="AG5350" s="1"/>
    </row>
    <row r="5351" ht="15.75" customHeight="1">
      <c r="A5351" s="1"/>
      <c r="B5351" s="1"/>
      <c r="C5351" s="1"/>
      <c r="D5351" s="1"/>
      <c r="E5351" s="1"/>
      <c r="F5351" s="1"/>
      <c r="G5351" s="1"/>
      <c r="H5351" s="1"/>
      <c r="I5351" s="1"/>
      <c r="J5351" s="1"/>
      <c r="K5351" s="89" t="s">
        <v>398</v>
      </c>
      <c r="L5351" s="89" t="str">
        <f>K219</f>
        <v>C2a1a1c1a1a~</v>
      </c>
      <c r="M5351" s="89"/>
      <c r="N5351" s="89"/>
      <c r="O5351" s="92">
        <v>1.7405198E7</v>
      </c>
      <c r="P5351" s="92">
        <v>1.5293318E7</v>
      </c>
      <c r="Q5351" s="89" t="s">
        <v>838</v>
      </c>
      <c r="AF5351" s="1"/>
      <c r="AG5351" s="1"/>
    </row>
    <row r="5352" ht="15.75" customHeight="1">
      <c r="A5352" s="1"/>
      <c r="B5352" s="1"/>
      <c r="C5352" s="1"/>
      <c r="D5352" s="1"/>
      <c r="E5352" s="1"/>
      <c r="F5352" s="1"/>
      <c r="G5352" s="1"/>
      <c r="H5352" s="1"/>
      <c r="I5352" s="1"/>
      <c r="J5352" s="1"/>
      <c r="K5352" s="89" t="s">
        <v>400</v>
      </c>
      <c r="L5352" s="89" t="str">
        <f>J220</f>
        <v>C2a1a1c1a2~</v>
      </c>
      <c r="M5352" s="89"/>
      <c r="N5352" s="89"/>
      <c r="O5352" s="92">
        <v>8567906.0</v>
      </c>
      <c r="P5352" s="92">
        <v>8699865.0</v>
      </c>
      <c r="Q5352" s="89" t="s">
        <v>822</v>
      </c>
      <c r="AF5352" s="1"/>
      <c r="AG5352" s="1"/>
    </row>
    <row r="5353" ht="15.75" customHeight="1">
      <c r="A5353" s="1"/>
      <c r="B5353" s="1"/>
      <c r="C5353" s="1"/>
      <c r="D5353" s="1"/>
      <c r="E5353" s="1"/>
      <c r="F5353" s="1"/>
      <c r="G5353" s="1"/>
      <c r="H5353" s="1"/>
      <c r="I5353" s="1"/>
      <c r="J5353" s="1"/>
      <c r="K5353" s="89" t="s">
        <v>402</v>
      </c>
      <c r="L5353" s="89" t="str">
        <f>K221</f>
        <v>C2a1a1c1a2a~</v>
      </c>
      <c r="M5353" s="89"/>
      <c r="N5353" s="89" t="s">
        <v>8301</v>
      </c>
      <c r="O5353" s="92">
        <v>2.355143E7</v>
      </c>
      <c r="P5353" s="92">
        <v>2.1389544E7</v>
      </c>
      <c r="Q5353" s="89" t="s">
        <v>886</v>
      </c>
      <c r="AF5353" s="1"/>
      <c r="AG5353" s="1"/>
    </row>
    <row r="5354" ht="15.75" customHeight="1">
      <c r="A5354" s="1"/>
      <c r="B5354" s="1"/>
      <c r="C5354" s="1"/>
      <c r="D5354" s="1"/>
      <c r="E5354" s="1"/>
      <c r="F5354" s="1"/>
      <c r="G5354" s="1"/>
      <c r="H5354" s="1"/>
      <c r="I5354" s="1"/>
      <c r="J5354" s="1"/>
      <c r="K5354" s="89" t="s">
        <v>8302</v>
      </c>
      <c r="L5354" s="89" t="str">
        <f>J222</f>
        <v>C2a1a1c1a3~</v>
      </c>
      <c r="M5354" s="89"/>
      <c r="N5354" s="89"/>
      <c r="O5354" s="92">
        <v>2864070.0</v>
      </c>
      <c r="P5354" s="92">
        <v>2996029.0</v>
      </c>
      <c r="Q5354" s="89" t="s">
        <v>838</v>
      </c>
      <c r="AF5354" s="1"/>
      <c r="AG5354" s="1"/>
    </row>
    <row r="5355" ht="15.75" customHeight="1">
      <c r="A5355" s="1"/>
      <c r="B5355" s="1"/>
      <c r="C5355" s="1"/>
      <c r="D5355" s="1"/>
      <c r="E5355" s="1"/>
      <c r="F5355" s="1"/>
      <c r="G5355" s="1"/>
      <c r="H5355" s="1"/>
      <c r="I5355" s="1"/>
      <c r="J5355" s="1"/>
      <c r="K5355" s="89" t="s">
        <v>8303</v>
      </c>
      <c r="L5355" s="89" t="str">
        <f>J222</f>
        <v>C2a1a1c1a3~</v>
      </c>
      <c r="M5355" s="89"/>
      <c r="N5355" s="89"/>
      <c r="O5355" s="92">
        <v>1.6007484E7</v>
      </c>
      <c r="P5355" s="92">
        <v>1.3895604E7</v>
      </c>
      <c r="Q5355" s="89" t="s">
        <v>802</v>
      </c>
      <c r="AF5355" s="1"/>
      <c r="AG5355" s="1"/>
    </row>
    <row r="5356" ht="15.75" customHeight="1">
      <c r="A5356" s="1"/>
      <c r="B5356" s="1"/>
      <c r="C5356" s="1"/>
      <c r="D5356" s="1"/>
      <c r="E5356" s="1"/>
      <c r="F5356" s="1"/>
      <c r="G5356" s="1"/>
      <c r="H5356" s="1"/>
      <c r="I5356" s="1"/>
      <c r="J5356" s="1"/>
      <c r="K5356" s="89" t="s">
        <v>8304</v>
      </c>
      <c r="L5356" s="89" t="str">
        <f>J222</f>
        <v>C2a1a1c1a3~</v>
      </c>
      <c r="M5356" s="89"/>
      <c r="N5356" s="89"/>
      <c r="O5356" s="106">
        <v>2.3167088E7</v>
      </c>
      <c r="P5356" s="89">
        <v>2.1005202E7</v>
      </c>
      <c r="Q5356" s="89" t="s">
        <v>822</v>
      </c>
      <c r="AF5356" s="1"/>
      <c r="AG5356" s="1"/>
    </row>
    <row r="5357" ht="15.75" customHeight="1">
      <c r="A5357" s="1"/>
      <c r="B5357" s="1"/>
      <c r="C5357" s="1"/>
      <c r="D5357" s="1"/>
      <c r="E5357" s="1"/>
      <c r="F5357" s="1"/>
      <c r="G5357" s="1"/>
      <c r="H5357" s="1"/>
      <c r="I5357" s="1"/>
      <c r="J5357" s="1"/>
      <c r="K5357" s="89" t="s">
        <v>8305</v>
      </c>
      <c r="L5357" s="89" t="str">
        <f>J222</f>
        <v>C2a1a1c1a3~</v>
      </c>
      <c r="M5357" s="89"/>
      <c r="N5357" s="89"/>
      <c r="O5357" s="92">
        <v>1.8236081E7</v>
      </c>
      <c r="P5357" s="92">
        <v>1.6124201E7</v>
      </c>
      <c r="Q5357" s="89" t="s">
        <v>810</v>
      </c>
      <c r="AF5357" s="1"/>
      <c r="AG5357" s="1"/>
    </row>
    <row r="5358" ht="15.75" customHeight="1">
      <c r="A5358" s="1"/>
      <c r="B5358" s="1"/>
      <c r="C5358" s="1"/>
      <c r="D5358" s="1"/>
      <c r="E5358" s="1"/>
      <c r="F5358" s="1"/>
      <c r="G5358" s="1"/>
      <c r="H5358" s="1"/>
      <c r="I5358" s="1"/>
      <c r="J5358" s="1"/>
      <c r="K5358" s="89" t="s">
        <v>8306</v>
      </c>
      <c r="L5358" s="89" t="str">
        <f>J222</f>
        <v>C2a1a1c1a3~</v>
      </c>
      <c r="M5358" s="89"/>
      <c r="N5358" s="89"/>
      <c r="O5358" s="92">
        <v>2.2704471E7</v>
      </c>
      <c r="P5358" s="92">
        <v>2.0542585E7</v>
      </c>
      <c r="Q5358" s="89" t="s">
        <v>802</v>
      </c>
      <c r="AF5358" s="1"/>
      <c r="AG5358" s="1"/>
    </row>
    <row r="5359" ht="15.75" customHeight="1">
      <c r="A5359" s="1"/>
      <c r="B5359" s="1"/>
      <c r="C5359" s="1"/>
      <c r="D5359" s="1"/>
      <c r="E5359" s="1"/>
      <c r="F5359" s="1"/>
      <c r="G5359" s="1"/>
      <c r="H5359" s="1"/>
      <c r="I5359" s="1"/>
      <c r="J5359" s="1"/>
      <c r="K5359" s="89" t="s">
        <v>8307</v>
      </c>
      <c r="L5359" s="89" t="str">
        <f>I223</f>
        <v>C2a1a1c1b~</v>
      </c>
      <c r="M5359" s="89"/>
      <c r="N5359" s="89"/>
      <c r="O5359" s="92">
        <v>7046813.0</v>
      </c>
      <c r="P5359" s="92">
        <v>7178772.0</v>
      </c>
      <c r="Q5359" s="89" t="s">
        <v>838</v>
      </c>
      <c r="AF5359" s="1"/>
      <c r="AG5359" s="1"/>
    </row>
    <row r="5360" ht="15.75" customHeight="1">
      <c r="A5360" s="1"/>
      <c r="B5360" s="1"/>
      <c r="C5360" s="1"/>
      <c r="D5360" s="1"/>
      <c r="E5360" s="1"/>
      <c r="F5360" s="1"/>
      <c r="G5360" s="1"/>
      <c r="H5360" s="1"/>
      <c r="I5360" s="1"/>
      <c r="J5360" s="1"/>
      <c r="K5360" s="89" t="s">
        <v>8308</v>
      </c>
      <c r="L5360" s="89" t="str">
        <f>I223</f>
        <v>C2a1a1c1b~</v>
      </c>
      <c r="M5360" s="89"/>
      <c r="N5360" s="89"/>
      <c r="O5360" s="92">
        <v>7652781.0</v>
      </c>
      <c r="P5360" s="92">
        <v>7784740.0</v>
      </c>
      <c r="Q5360" s="89" t="s">
        <v>802</v>
      </c>
      <c r="AF5360" s="1"/>
      <c r="AG5360" s="1"/>
    </row>
    <row r="5361" ht="15.75" customHeight="1">
      <c r="A5361" s="1"/>
      <c r="B5361" s="1"/>
      <c r="C5361" s="1"/>
      <c r="D5361" s="1"/>
      <c r="E5361" s="1"/>
      <c r="F5361" s="1"/>
      <c r="G5361" s="1"/>
      <c r="H5361" s="1"/>
      <c r="I5361" s="1"/>
      <c r="J5361" s="1"/>
      <c r="K5361" s="89" t="s">
        <v>8309</v>
      </c>
      <c r="L5361" s="89" t="str">
        <f>I223</f>
        <v>C2a1a1c1b~</v>
      </c>
      <c r="M5361" s="89"/>
      <c r="N5361" s="89" t="s">
        <v>8310</v>
      </c>
      <c r="O5361" s="92">
        <v>8602145.0</v>
      </c>
      <c r="P5361" s="92">
        <v>8734104.0</v>
      </c>
      <c r="Q5361" s="89" t="s">
        <v>802</v>
      </c>
      <c r="AF5361" s="1"/>
      <c r="AG5361" s="1"/>
    </row>
    <row r="5362" ht="15.75" customHeight="1">
      <c r="A5362" s="1"/>
      <c r="B5362" s="1"/>
      <c r="C5362" s="1"/>
      <c r="D5362" s="1"/>
      <c r="E5362" s="1"/>
      <c r="F5362" s="1"/>
      <c r="G5362" s="1"/>
      <c r="H5362" s="1"/>
      <c r="I5362" s="1"/>
      <c r="J5362" s="1"/>
      <c r="K5362" s="89" t="s">
        <v>8311</v>
      </c>
      <c r="L5362" s="89" t="str">
        <f>I223</f>
        <v>C2a1a1c1b~</v>
      </c>
      <c r="M5362" s="89"/>
      <c r="N5362" s="89"/>
      <c r="O5362" s="92">
        <v>1.4869664E7</v>
      </c>
      <c r="P5362" s="92">
        <v>1.2757734E7</v>
      </c>
      <c r="Q5362" s="89" t="s">
        <v>813</v>
      </c>
      <c r="AF5362" s="1"/>
      <c r="AG5362" s="1"/>
    </row>
    <row r="5363" ht="15.75" customHeight="1">
      <c r="A5363" s="1"/>
      <c r="B5363" s="1"/>
      <c r="C5363" s="1"/>
      <c r="D5363" s="1"/>
      <c r="E5363" s="1"/>
      <c r="F5363" s="1"/>
      <c r="G5363" s="1"/>
      <c r="H5363" s="1"/>
      <c r="I5363" s="1"/>
      <c r="J5363" s="1"/>
      <c r="K5363" s="89" t="s">
        <v>8312</v>
      </c>
      <c r="L5363" s="89" t="str">
        <f t="shared" ref="L5363:L5364" si="50">I223</f>
        <v>C2a1a1c1b~</v>
      </c>
      <c r="M5363" s="89"/>
      <c r="N5363" s="89"/>
      <c r="O5363" s="92">
        <v>1.5948398E7</v>
      </c>
      <c r="P5363" s="92">
        <v>1.3836518E7</v>
      </c>
      <c r="Q5363" s="89" t="s">
        <v>813</v>
      </c>
      <c r="AF5363" s="1"/>
      <c r="AG5363" s="1"/>
    </row>
    <row r="5364" ht="15.75" customHeight="1">
      <c r="A5364" s="1"/>
      <c r="B5364" s="1"/>
      <c r="C5364" s="1"/>
      <c r="D5364" s="1"/>
      <c r="E5364" s="1"/>
      <c r="F5364" s="1"/>
      <c r="G5364" s="1"/>
      <c r="H5364" s="1"/>
      <c r="I5364" s="1"/>
      <c r="J5364" s="1"/>
      <c r="K5364" s="89" t="s">
        <v>408</v>
      </c>
      <c r="L5364" s="89" t="str">
        <f t="shared" si="50"/>
        <v>C2a1a1c1c</v>
      </c>
      <c r="M5364" s="89"/>
      <c r="N5364" s="89"/>
      <c r="O5364" s="92">
        <v>2.2513482E7</v>
      </c>
      <c r="P5364" s="92">
        <v>2.0351596E7</v>
      </c>
      <c r="Q5364" s="89" t="s">
        <v>838</v>
      </c>
      <c r="AF5364" s="1"/>
      <c r="AG5364" s="1"/>
    </row>
    <row r="5365" ht="15.75" customHeight="1">
      <c r="A5365" s="1"/>
      <c r="B5365" s="1"/>
      <c r="C5365" s="1"/>
      <c r="D5365" s="1"/>
      <c r="E5365" s="1"/>
      <c r="F5365" s="1"/>
      <c r="G5365" s="1"/>
      <c r="H5365" s="1"/>
      <c r="I5365" s="1"/>
      <c r="J5365" s="1"/>
      <c r="K5365" s="89" t="s">
        <v>8313</v>
      </c>
      <c r="L5365" s="89" t="str">
        <f>J225</f>
        <v>C2a1a1c1c1~</v>
      </c>
      <c r="M5365" s="89"/>
      <c r="N5365" s="89" t="s">
        <v>8314</v>
      </c>
      <c r="O5365" s="92">
        <v>7511046.0</v>
      </c>
      <c r="P5365" s="92">
        <v>7643005.0</v>
      </c>
      <c r="Q5365" s="89" t="s">
        <v>802</v>
      </c>
      <c r="AF5365" s="1"/>
      <c r="AG5365" s="1"/>
    </row>
    <row r="5366" ht="15.75" customHeight="1">
      <c r="A5366" s="1"/>
      <c r="B5366" s="1"/>
      <c r="C5366" s="1"/>
      <c r="D5366" s="1"/>
      <c r="E5366" s="1"/>
      <c r="F5366" s="1"/>
      <c r="G5366" s="1"/>
      <c r="H5366" s="1"/>
      <c r="I5366" s="1"/>
      <c r="J5366" s="1"/>
      <c r="K5366" s="89" t="s">
        <v>8315</v>
      </c>
      <c r="L5366" s="89" t="str">
        <f>J225</f>
        <v>C2a1a1c1c1~</v>
      </c>
      <c r="M5366" s="89"/>
      <c r="N5366" s="89"/>
      <c r="O5366" s="92">
        <v>1.8117964E7</v>
      </c>
      <c r="P5366" s="92">
        <v>1.6006084E7</v>
      </c>
      <c r="Q5366" s="89" t="s">
        <v>810</v>
      </c>
      <c r="AF5366" s="1"/>
      <c r="AG5366" s="1"/>
    </row>
    <row r="5367" ht="15.75" customHeight="1">
      <c r="A5367" s="1"/>
      <c r="B5367" s="1"/>
      <c r="C5367" s="1"/>
      <c r="D5367" s="1"/>
      <c r="E5367" s="1"/>
      <c r="F5367" s="1"/>
      <c r="G5367" s="1"/>
      <c r="H5367" s="1"/>
      <c r="I5367" s="1"/>
      <c r="J5367" s="1"/>
      <c r="K5367" s="89" t="s">
        <v>8316</v>
      </c>
      <c r="L5367" s="89" t="str">
        <f>J225</f>
        <v>C2a1a1c1c1~</v>
      </c>
      <c r="M5367" s="89"/>
      <c r="N5367" s="89"/>
      <c r="O5367" s="92">
        <v>2.1222388E7</v>
      </c>
      <c r="P5367" s="92">
        <v>1.9060502E7</v>
      </c>
      <c r="Q5367" s="89" t="s">
        <v>802</v>
      </c>
      <c r="AF5367" s="1"/>
      <c r="AG5367" s="1"/>
    </row>
    <row r="5368" ht="15.75" customHeight="1">
      <c r="A5368" s="1"/>
      <c r="B5368" s="1"/>
      <c r="C5368" s="1"/>
      <c r="D5368" s="1"/>
      <c r="E5368" s="1"/>
      <c r="F5368" s="1"/>
      <c r="G5368" s="1"/>
      <c r="H5368" s="1"/>
      <c r="I5368" s="1"/>
      <c r="J5368" s="1"/>
      <c r="K5368" s="89" t="s">
        <v>8317</v>
      </c>
      <c r="L5368" s="89" t="str">
        <f>J225</f>
        <v>C2a1a1c1c1~</v>
      </c>
      <c r="M5368" s="89"/>
      <c r="N5368" s="89"/>
      <c r="O5368" s="92">
        <v>2.2969243E7</v>
      </c>
      <c r="P5368" s="92">
        <v>2.0807357E7</v>
      </c>
      <c r="Q5368" s="89" t="s">
        <v>838</v>
      </c>
      <c r="AF5368" s="1"/>
      <c r="AG5368" s="1"/>
    </row>
    <row r="5369" ht="15.75" customHeight="1">
      <c r="A5369" s="1"/>
      <c r="B5369" s="1"/>
      <c r="C5369" s="1"/>
      <c r="D5369" s="1"/>
      <c r="E5369" s="1"/>
      <c r="F5369" s="1"/>
      <c r="G5369" s="1"/>
      <c r="H5369" s="1"/>
      <c r="I5369" s="1"/>
      <c r="J5369" s="1"/>
      <c r="K5369" s="89" t="s">
        <v>8318</v>
      </c>
      <c r="L5369" s="89" t="str">
        <f t="shared" ref="L5369:L5370" si="51">J225</f>
        <v>C2a1a1c1c1~</v>
      </c>
      <c r="M5369" s="89"/>
      <c r="N5369" s="89"/>
      <c r="O5369" s="92">
        <v>1.8178345E7</v>
      </c>
      <c r="P5369" s="92">
        <v>1.6066465E7</v>
      </c>
      <c r="Q5369" s="89" t="s">
        <v>917</v>
      </c>
      <c r="AF5369" s="1"/>
      <c r="AG5369" s="1"/>
    </row>
    <row r="5370" ht="15.75" customHeight="1">
      <c r="A5370" s="1"/>
      <c r="B5370" s="1"/>
      <c r="C5370" s="1"/>
      <c r="D5370" s="1"/>
      <c r="E5370" s="1"/>
      <c r="F5370" s="1"/>
      <c r="G5370" s="1"/>
      <c r="H5370" s="1"/>
      <c r="I5370" s="1"/>
      <c r="J5370" s="1"/>
      <c r="K5370" s="89" t="s">
        <v>8319</v>
      </c>
      <c r="L5370" s="89" t="str">
        <f t="shared" si="51"/>
        <v>C2a1a1c1c2</v>
      </c>
      <c r="M5370" s="89" t="s">
        <v>8320</v>
      </c>
      <c r="N5370" s="89"/>
      <c r="O5370" s="92">
        <v>1.9086774E7</v>
      </c>
      <c r="P5370" s="92">
        <v>1.6974894E7</v>
      </c>
      <c r="Q5370" s="89" t="s">
        <v>917</v>
      </c>
      <c r="AF5370" s="1"/>
      <c r="AG5370" s="1"/>
    </row>
    <row r="5371" ht="15.75" customHeight="1">
      <c r="A5371" s="1"/>
      <c r="B5371" s="1"/>
      <c r="C5371" s="1"/>
      <c r="D5371" s="1"/>
      <c r="E5371" s="1"/>
      <c r="F5371" s="1"/>
      <c r="G5371" s="1"/>
      <c r="H5371" s="1"/>
      <c r="I5371" s="1"/>
      <c r="J5371" s="1"/>
      <c r="K5371" s="89" t="s">
        <v>8320</v>
      </c>
      <c r="L5371" s="89" t="str">
        <f t="shared" ref="L5371:L5372" si="52">J226</f>
        <v>C2a1a1c1c2</v>
      </c>
      <c r="M5371" s="89" t="s">
        <v>8319</v>
      </c>
      <c r="N5371" s="89"/>
      <c r="O5371" s="92">
        <v>1.9086774E7</v>
      </c>
      <c r="P5371" s="92">
        <v>1.6974894E7</v>
      </c>
      <c r="Q5371" s="89" t="s">
        <v>917</v>
      </c>
      <c r="AF5371" s="1"/>
      <c r="AG5371" s="1"/>
    </row>
    <row r="5372" ht="15.75" customHeight="1">
      <c r="A5372" s="1"/>
      <c r="B5372" s="1"/>
      <c r="C5372" s="1"/>
      <c r="D5372" s="1"/>
      <c r="E5372" s="1"/>
      <c r="F5372" s="1"/>
      <c r="G5372" s="1"/>
      <c r="H5372" s="1"/>
      <c r="I5372" s="1"/>
      <c r="J5372" s="1"/>
      <c r="K5372" s="89" t="s">
        <v>8321</v>
      </c>
      <c r="L5372" s="89" t="str">
        <f t="shared" si="52"/>
        <v>C2a1a1c1c3~</v>
      </c>
      <c r="M5372" s="89"/>
      <c r="N5372" s="89"/>
      <c r="O5372" s="92">
        <v>2881676.0</v>
      </c>
      <c r="P5372" s="92">
        <v>3013635.0</v>
      </c>
      <c r="Q5372" s="89" t="s">
        <v>845</v>
      </c>
      <c r="AF5372" s="1"/>
      <c r="AG5372" s="1"/>
    </row>
    <row r="5373" ht="15.75" customHeight="1">
      <c r="A5373" s="1"/>
      <c r="B5373" s="1"/>
      <c r="C5373" s="1"/>
      <c r="D5373" s="1"/>
      <c r="E5373" s="1"/>
      <c r="F5373" s="1"/>
      <c r="G5373" s="1"/>
      <c r="H5373" s="1"/>
      <c r="I5373" s="1"/>
      <c r="J5373" s="1"/>
      <c r="K5373" s="89" t="s">
        <v>8322</v>
      </c>
      <c r="L5373" s="89" t="str">
        <f>J227</f>
        <v>C2a1a1c1c3~</v>
      </c>
      <c r="M5373" s="89"/>
      <c r="N5373" s="89" t="s">
        <v>8323</v>
      </c>
      <c r="O5373" s="92">
        <v>6701519.0</v>
      </c>
      <c r="P5373" s="92">
        <v>6833478.0</v>
      </c>
      <c r="Q5373" s="89" t="s">
        <v>838</v>
      </c>
      <c r="AF5373" s="1"/>
      <c r="AG5373" s="1"/>
    </row>
    <row r="5374" ht="15.75" customHeight="1">
      <c r="A5374" s="1"/>
      <c r="B5374" s="1"/>
      <c r="C5374" s="1"/>
      <c r="D5374" s="1"/>
      <c r="E5374" s="1"/>
      <c r="F5374" s="1"/>
      <c r="G5374" s="1"/>
      <c r="H5374" s="1"/>
      <c r="I5374" s="1"/>
      <c r="J5374" s="1"/>
      <c r="K5374" s="89" t="s">
        <v>8324</v>
      </c>
      <c r="L5374" s="89" t="str">
        <f>J227</f>
        <v>C2a1a1c1c3~</v>
      </c>
      <c r="M5374" s="89"/>
      <c r="N5374" s="89" t="s">
        <v>8325</v>
      </c>
      <c r="O5374" s="92">
        <v>8464498.0</v>
      </c>
      <c r="P5374" s="92">
        <v>8596457.0</v>
      </c>
      <c r="Q5374" s="89" t="s">
        <v>810</v>
      </c>
      <c r="AF5374" s="1"/>
      <c r="AG5374" s="1"/>
    </row>
    <row r="5375" ht="15.75" customHeight="1">
      <c r="A5375" s="1"/>
      <c r="B5375" s="1"/>
      <c r="C5375" s="1"/>
      <c r="D5375" s="1"/>
      <c r="E5375" s="1"/>
      <c r="F5375" s="1"/>
      <c r="G5375" s="1"/>
      <c r="H5375" s="1"/>
      <c r="I5375" s="1"/>
      <c r="J5375" s="1"/>
      <c r="K5375" s="89" t="s">
        <v>8326</v>
      </c>
      <c r="L5375" s="89" t="str">
        <f>I228</f>
        <v>C2a1a1c1c~</v>
      </c>
      <c r="M5375" s="89" t="s">
        <v>8327</v>
      </c>
      <c r="N5375" s="89"/>
      <c r="O5375" s="92">
        <v>8357498.0</v>
      </c>
      <c r="P5375" s="92">
        <v>8489457.0</v>
      </c>
      <c r="Q5375" s="89" t="s">
        <v>912</v>
      </c>
      <c r="AF5375" s="1"/>
      <c r="AG5375" s="1"/>
    </row>
    <row r="5376" ht="15.75" customHeight="1">
      <c r="A5376" s="1"/>
      <c r="B5376" s="1"/>
      <c r="C5376" s="1"/>
      <c r="D5376" s="1"/>
      <c r="E5376" s="1"/>
      <c r="F5376" s="1"/>
      <c r="G5376" s="1"/>
      <c r="H5376" s="1"/>
      <c r="I5376" s="1"/>
      <c r="J5376" s="1"/>
      <c r="K5376" s="89" t="s">
        <v>8327</v>
      </c>
      <c r="L5376" s="89" t="str">
        <f>I228</f>
        <v>C2a1a1c1c~</v>
      </c>
      <c r="M5376" s="89" t="s">
        <v>8326</v>
      </c>
      <c r="N5376" s="89"/>
      <c r="O5376" s="92">
        <v>8357498.0</v>
      </c>
      <c r="P5376" s="92">
        <v>8489457.0</v>
      </c>
      <c r="Q5376" s="89" t="s">
        <v>912</v>
      </c>
      <c r="AF5376" s="1"/>
      <c r="AG5376" s="1"/>
    </row>
    <row r="5377" ht="15.75" customHeight="1">
      <c r="A5377" s="1"/>
      <c r="B5377" s="1"/>
      <c r="C5377" s="1"/>
      <c r="D5377" s="1"/>
      <c r="E5377" s="1"/>
      <c r="F5377" s="1"/>
      <c r="G5377" s="1"/>
      <c r="H5377" s="1"/>
      <c r="I5377" s="1"/>
      <c r="J5377" s="1"/>
      <c r="K5377" s="89" t="s">
        <v>8328</v>
      </c>
      <c r="L5377" s="89" t="str">
        <f>I228</f>
        <v>C2a1a1c1c~</v>
      </c>
      <c r="M5377" s="89"/>
      <c r="N5377" s="89"/>
      <c r="O5377" s="92">
        <v>1.6345225E7</v>
      </c>
      <c r="P5377" s="92">
        <v>1.4233345E7</v>
      </c>
      <c r="Q5377" s="89" t="s">
        <v>838</v>
      </c>
      <c r="AF5377" s="1"/>
      <c r="AG5377" s="1"/>
    </row>
    <row r="5378" ht="15.75" customHeight="1">
      <c r="A5378" s="1"/>
      <c r="B5378" s="1"/>
      <c r="C5378" s="1"/>
      <c r="D5378" s="1"/>
      <c r="E5378" s="1"/>
      <c r="F5378" s="1"/>
      <c r="G5378" s="1"/>
      <c r="H5378" s="1"/>
      <c r="I5378" s="1"/>
      <c r="J5378" s="1"/>
      <c r="K5378" s="89" t="s">
        <v>8329</v>
      </c>
      <c r="L5378" s="89" t="str">
        <f t="shared" ref="L5378:L5379" si="53">I228</f>
        <v>C2a1a1c1c~</v>
      </c>
      <c r="M5378" s="89"/>
      <c r="N5378" s="89"/>
      <c r="O5378" s="92">
        <v>2.3048289E7</v>
      </c>
      <c r="P5378" s="92">
        <v>2.0886403E7</v>
      </c>
      <c r="Q5378" s="89" t="s">
        <v>802</v>
      </c>
      <c r="AF5378" s="1"/>
      <c r="AG5378" s="1"/>
    </row>
    <row r="5379" ht="15.75" customHeight="1">
      <c r="A5379" s="1"/>
      <c r="B5379" s="1"/>
      <c r="C5379" s="1"/>
      <c r="D5379" s="1"/>
      <c r="E5379" s="1"/>
      <c r="F5379" s="1"/>
      <c r="G5379" s="1"/>
      <c r="H5379" s="1"/>
      <c r="I5379" s="1"/>
      <c r="J5379" s="1"/>
      <c r="K5379" s="89" t="s">
        <v>8330</v>
      </c>
      <c r="L5379" s="89" t="str">
        <f t="shared" si="53"/>
        <v>C2a1a1c1d~</v>
      </c>
      <c r="M5379" s="89"/>
      <c r="N5379" s="89"/>
      <c r="O5379" s="92">
        <v>6926894.0</v>
      </c>
      <c r="P5379" s="92">
        <v>7058853.0</v>
      </c>
      <c r="Q5379" s="89" t="s">
        <v>813</v>
      </c>
      <c r="AF5379" s="1"/>
      <c r="AG5379" s="1"/>
    </row>
    <row r="5380" ht="15.75" customHeight="1">
      <c r="A5380" s="1"/>
      <c r="B5380" s="1"/>
      <c r="C5380" s="1"/>
      <c r="D5380" s="1"/>
      <c r="E5380" s="1"/>
      <c r="F5380" s="1"/>
      <c r="G5380" s="1"/>
      <c r="H5380" s="1"/>
      <c r="I5380" s="1"/>
      <c r="J5380" s="1"/>
      <c r="K5380" s="89" t="s">
        <v>8331</v>
      </c>
      <c r="L5380" s="89" t="str">
        <f>I229</f>
        <v>C2a1a1c1d~</v>
      </c>
      <c r="M5380" s="89"/>
      <c r="N5380" s="89" t="s">
        <v>8332</v>
      </c>
      <c r="O5380" s="92">
        <v>1.3673843E7</v>
      </c>
      <c r="P5380" s="92">
        <v>1.1518167E7</v>
      </c>
      <c r="Q5380" s="89" t="s">
        <v>802</v>
      </c>
      <c r="AF5380" s="1"/>
      <c r="AG5380" s="1"/>
    </row>
    <row r="5381" ht="15.75" customHeight="1">
      <c r="A5381" s="1"/>
      <c r="B5381" s="1"/>
      <c r="C5381" s="1"/>
      <c r="D5381" s="1"/>
      <c r="E5381" s="1"/>
      <c r="F5381" s="1"/>
      <c r="G5381" s="1"/>
      <c r="H5381" s="1"/>
      <c r="I5381" s="1"/>
      <c r="J5381" s="1"/>
      <c r="K5381" s="89" t="s">
        <v>8333</v>
      </c>
      <c r="L5381" s="89" t="str">
        <f>I229</f>
        <v>C2a1a1c1d~</v>
      </c>
      <c r="M5381" s="89" t="s">
        <v>8334</v>
      </c>
      <c r="N5381" s="89"/>
      <c r="O5381" s="92">
        <v>1.5726664E7</v>
      </c>
      <c r="P5381" s="92">
        <v>1.3614784E7</v>
      </c>
      <c r="Q5381" s="89" t="s">
        <v>838</v>
      </c>
      <c r="AF5381" s="1"/>
      <c r="AG5381" s="1"/>
    </row>
    <row r="5382" ht="15.75" customHeight="1">
      <c r="A5382" s="1"/>
      <c r="B5382" s="1"/>
      <c r="C5382" s="1"/>
      <c r="D5382" s="1"/>
      <c r="E5382" s="1"/>
      <c r="F5382" s="1"/>
      <c r="G5382" s="1"/>
      <c r="H5382" s="1"/>
      <c r="I5382" s="1"/>
      <c r="J5382" s="1"/>
      <c r="K5382" s="89" t="s">
        <v>8334</v>
      </c>
      <c r="L5382" s="89" t="str">
        <f>I229</f>
        <v>C2a1a1c1d~</v>
      </c>
      <c r="M5382" s="89" t="s">
        <v>8333</v>
      </c>
      <c r="N5382" s="89"/>
      <c r="O5382" s="92">
        <v>1.5726664E7</v>
      </c>
      <c r="P5382" s="92">
        <v>1.3614784E7</v>
      </c>
      <c r="Q5382" s="89" t="s">
        <v>838</v>
      </c>
      <c r="AF5382" s="1"/>
      <c r="AG5382" s="1"/>
    </row>
    <row r="5383" ht="15.75" customHeight="1">
      <c r="A5383" s="1"/>
      <c r="B5383" s="1"/>
      <c r="C5383" s="1"/>
      <c r="D5383" s="1"/>
      <c r="E5383" s="1"/>
      <c r="F5383" s="1"/>
      <c r="G5383" s="1"/>
      <c r="H5383" s="1"/>
      <c r="I5383" s="1"/>
      <c r="J5383" s="1"/>
      <c r="K5383" s="89" t="s">
        <v>8335</v>
      </c>
      <c r="L5383" s="89" t="str">
        <f>I229</f>
        <v>C2a1a1c1d~</v>
      </c>
      <c r="M5383" s="89"/>
      <c r="N5383" s="89"/>
      <c r="O5383" s="92">
        <v>1.6456522E7</v>
      </c>
      <c r="P5383" s="92">
        <v>1.4344642E7</v>
      </c>
      <c r="Q5383" s="89" t="s">
        <v>810</v>
      </c>
      <c r="AF5383" s="1"/>
      <c r="AG5383" s="1"/>
    </row>
    <row r="5384" ht="15.75" customHeight="1">
      <c r="A5384" s="1"/>
      <c r="B5384" s="1"/>
      <c r="C5384" s="1"/>
      <c r="D5384" s="1"/>
      <c r="E5384" s="1"/>
      <c r="F5384" s="1"/>
      <c r="G5384" s="1"/>
      <c r="H5384" s="1"/>
      <c r="I5384" s="1"/>
      <c r="J5384" s="1"/>
      <c r="K5384" s="89" t="s">
        <v>8336</v>
      </c>
      <c r="L5384" s="89" t="str">
        <f>J230</f>
        <v>C2a1a1c1d1~</v>
      </c>
      <c r="M5384" s="89"/>
      <c r="N5384" s="89"/>
      <c r="O5384" s="92">
        <v>7956941.0</v>
      </c>
      <c r="P5384" s="92">
        <v>8088900.0</v>
      </c>
      <c r="Q5384" s="89" t="s">
        <v>879</v>
      </c>
      <c r="AF5384" s="1"/>
      <c r="AG5384" s="1"/>
    </row>
    <row r="5385" ht="15.75" customHeight="1">
      <c r="A5385" s="1"/>
      <c r="B5385" s="1"/>
      <c r="C5385" s="1"/>
      <c r="D5385" s="1"/>
      <c r="E5385" s="1"/>
      <c r="F5385" s="1"/>
      <c r="G5385" s="1"/>
      <c r="H5385" s="1"/>
      <c r="I5385" s="1"/>
      <c r="J5385" s="1"/>
      <c r="K5385" s="89" t="s">
        <v>8337</v>
      </c>
      <c r="L5385" s="89" t="str">
        <f>J230</f>
        <v>C2a1a1c1d1~</v>
      </c>
      <c r="M5385" s="89"/>
      <c r="N5385" s="89"/>
      <c r="O5385" s="92">
        <v>1.3491249E7</v>
      </c>
      <c r="P5385" s="92">
        <v>1.1335573E7</v>
      </c>
      <c r="Q5385" s="89" t="s">
        <v>879</v>
      </c>
      <c r="AF5385" s="1"/>
      <c r="AG5385" s="1"/>
    </row>
    <row r="5386" ht="15.75" customHeight="1">
      <c r="A5386" s="1"/>
      <c r="B5386" s="1"/>
      <c r="C5386" s="1"/>
      <c r="D5386" s="1"/>
      <c r="E5386" s="1"/>
      <c r="F5386" s="1"/>
      <c r="G5386" s="1"/>
      <c r="H5386" s="1"/>
      <c r="I5386" s="1"/>
      <c r="J5386" s="1"/>
      <c r="K5386" s="89" t="s">
        <v>8338</v>
      </c>
      <c r="L5386" s="89" t="str">
        <f>J230</f>
        <v>C2a1a1c1d1~</v>
      </c>
      <c r="M5386" s="89"/>
      <c r="N5386" s="89"/>
      <c r="O5386" s="92">
        <v>1.9315274E7</v>
      </c>
      <c r="P5386" s="92">
        <v>1.7203394E7</v>
      </c>
      <c r="Q5386" s="89" t="s">
        <v>802</v>
      </c>
      <c r="AF5386" s="1"/>
      <c r="AG5386" s="1"/>
    </row>
    <row r="5387" ht="15.75" customHeight="1">
      <c r="A5387" s="1"/>
      <c r="B5387" s="1"/>
      <c r="C5387" s="1"/>
      <c r="D5387" s="1"/>
      <c r="E5387" s="1"/>
      <c r="F5387" s="1"/>
      <c r="G5387" s="1"/>
      <c r="H5387" s="1"/>
      <c r="I5387" s="1"/>
      <c r="J5387" s="1"/>
      <c r="K5387" s="89" t="s">
        <v>8339</v>
      </c>
      <c r="L5387" s="89" t="str">
        <f>K231</f>
        <v>C2a1a1c1d1a~</v>
      </c>
      <c r="M5387" s="89"/>
      <c r="N5387" s="89"/>
      <c r="O5387" s="92">
        <v>1.6174352E7</v>
      </c>
      <c r="P5387" s="92">
        <v>1.4062472E7</v>
      </c>
      <c r="Q5387" s="89" t="s">
        <v>879</v>
      </c>
      <c r="AF5387" s="1"/>
      <c r="AG5387" s="1"/>
    </row>
    <row r="5388" ht="15.75" customHeight="1">
      <c r="A5388" s="1"/>
      <c r="B5388" s="1"/>
      <c r="C5388" s="1"/>
      <c r="D5388" s="1"/>
      <c r="E5388" s="1"/>
      <c r="F5388" s="1"/>
      <c r="G5388" s="1"/>
      <c r="H5388" s="1"/>
      <c r="I5388" s="1"/>
      <c r="J5388" s="1"/>
      <c r="K5388" s="89" t="s">
        <v>8340</v>
      </c>
      <c r="L5388" s="89" t="str">
        <f t="shared" ref="L5388:L5389" si="54">K231</f>
        <v>C2a1a1c1d1a~</v>
      </c>
      <c r="M5388" s="89"/>
      <c r="N5388" s="89"/>
      <c r="O5388" s="92">
        <v>1.7803867E7</v>
      </c>
      <c r="P5388" s="92">
        <v>1.5691987E7</v>
      </c>
      <c r="Q5388" s="89" t="s">
        <v>838</v>
      </c>
      <c r="AF5388" s="1"/>
      <c r="AG5388" s="1"/>
    </row>
    <row r="5389" ht="15.75" customHeight="1">
      <c r="A5389" s="1"/>
      <c r="B5389" s="1"/>
      <c r="C5389" s="1"/>
      <c r="D5389" s="1"/>
      <c r="E5389" s="1"/>
      <c r="F5389" s="1"/>
      <c r="G5389" s="1"/>
      <c r="H5389" s="1"/>
      <c r="I5389" s="1"/>
      <c r="J5389" s="1"/>
      <c r="K5389" s="89" t="s">
        <v>424</v>
      </c>
      <c r="L5389" s="89" t="str">
        <f t="shared" si="54"/>
        <v>C2a1a1c1d1b~</v>
      </c>
      <c r="M5389" s="89"/>
      <c r="N5389" s="89"/>
      <c r="O5389" s="92">
        <v>2.2731841E7</v>
      </c>
      <c r="P5389" s="92">
        <v>2.0569955E7</v>
      </c>
      <c r="Q5389" s="89" t="s">
        <v>838</v>
      </c>
      <c r="AF5389" s="1"/>
      <c r="AG5389" s="1"/>
    </row>
    <row r="5390" ht="15.75" customHeight="1">
      <c r="A5390" s="1"/>
      <c r="B5390" s="1"/>
      <c r="C5390" s="1"/>
      <c r="D5390" s="1"/>
      <c r="E5390" s="1"/>
      <c r="F5390" s="1"/>
      <c r="G5390" s="1"/>
      <c r="H5390" s="1"/>
      <c r="I5390" s="1"/>
      <c r="J5390" s="1"/>
      <c r="K5390" s="89" t="s">
        <v>8341</v>
      </c>
      <c r="L5390" s="89" t="str">
        <f t="shared" ref="L5390:L5391" si="55">J233</f>
        <v>C2a1a1c1d2~</v>
      </c>
      <c r="M5390" s="89"/>
      <c r="N5390" s="89"/>
      <c r="O5390" s="92">
        <v>1.4656737E7</v>
      </c>
      <c r="P5390" s="92">
        <v>1.2544802E7</v>
      </c>
      <c r="Q5390" s="89" t="s">
        <v>802</v>
      </c>
      <c r="AF5390" s="1"/>
      <c r="AG5390" s="1"/>
    </row>
    <row r="5391" ht="15.75" customHeight="1">
      <c r="A5391" s="1"/>
      <c r="B5391" s="1"/>
      <c r="C5391" s="1"/>
      <c r="D5391" s="1"/>
      <c r="E5391" s="1"/>
      <c r="F5391" s="1"/>
      <c r="G5391" s="1"/>
      <c r="H5391" s="1"/>
      <c r="I5391" s="1"/>
      <c r="J5391" s="1"/>
      <c r="K5391" s="89" t="s">
        <v>8342</v>
      </c>
      <c r="L5391" s="89" t="str">
        <f t="shared" si="55"/>
        <v>C2a1a1c1d3~</v>
      </c>
      <c r="M5391" s="89" t="s">
        <v>8343</v>
      </c>
      <c r="N5391" s="89"/>
      <c r="O5391" s="92">
        <v>1.875924E7</v>
      </c>
      <c r="P5391" s="92">
        <v>1.664736E7</v>
      </c>
      <c r="Q5391" s="89" t="s">
        <v>810</v>
      </c>
      <c r="AF5391" s="1"/>
      <c r="AG5391" s="1"/>
    </row>
    <row r="5392" ht="15.75" customHeight="1">
      <c r="A5392" s="1"/>
      <c r="B5392" s="1"/>
      <c r="C5392" s="1"/>
      <c r="D5392" s="1"/>
      <c r="E5392" s="1"/>
      <c r="F5392" s="1"/>
      <c r="G5392" s="1"/>
      <c r="H5392" s="1"/>
      <c r="I5392" s="1"/>
      <c r="J5392" s="1"/>
      <c r="K5392" s="89" t="s">
        <v>8343</v>
      </c>
      <c r="L5392" s="89" t="str">
        <f>J234</f>
        <v>C2a1a1c1d3~</v>
      </c>
      <c r="M5392" s="89" t="s">
        <v>8342</v>
      </c>
      <c r="N5392" s="89"/>
      <c r="O5392" s="92">
        <v>1.875924E7</v>
      </c>
      <c r="P5392" s="92">
        <v>1.664736E7</v>
      </c>
      <c r="Q5392" s="89" t="s">
        <v>810</v>
      </c>
      <c r="AF5392" s="1"/>
      <c r="AG5392" s="1"/>
    </row>
    <row r="5393" ht="15.75" customHeight="1">
      <c r="A5393" s="1"/>
      <c r="B5393" s="1"/>
      <c r="C5393" s="1"/>
      <c r="D5393" s="1"/>
      <c r="E5393" s="1"/>
      <c r="F5393" s="1"/>
      <c r="G5393" s="1"/>
      <c r="H5393" s="1"/>
      <c r="I5393" s="1"/>
      <c r="J5393" s="1"/>
      <c r="K5393" s="89" t="s">
        <v>8344</v>
      </c>
      <c r="L5393" s="89" t="str">
        <f>J234</f>
        <v>C2a1a1c1d3~</v>
      </c>
      <c r="M5393" s="89"/>
      <c r="N5393" s="89" t="s">
        <v>8345</v>
      </c>
      <c r="O5393" s="92">
        <v>1.3800385E7</v>
      </c>
      <c r="P5393" s="92">
        <v>1.1679679E7</v>
      </c>
      <c r="Q5393" s="89" t="s">
        <v>912</v>
      </c>
      <c r="AF5393" s="1"/>
      <c r="AG5393" s="1"/>
    </row>
    <row r="5394" ht="15.75" customHeight="1">
      <c r="A5394" s="1"/>
      <c r="B5394" s="1"/>
      <c r="C5394" s="1"/>
      <c r="D5394" s="1"/>
      <c r="E5394" s="1"/>
      <c r="F5394" s="1"/>
      <c r="G5394" s="1"/>
      <c r="H5394" s="1"/>
      <c r="I5394" s="1"/>
      <c r="J5394" s="1"/>
      <c r="K5394" s="89" t="s">
        <v>8346</v>
      </c>
      <c r="L5394" s="89" t="str">
        <f>J234</f>
        <v>C2a1a1c1d3~</v>
      </c>
      <c r="M5394" s="89"/>
      <c r="N5394" s="89"/>
      <c r="O5394" s="92">
        <v>1.5630182E7</v>
      </c>
      <c r="P5394" s="92">
        <v>1.3518302E7</v>
      </c>
      <c r="Q5394" s="89" t="s">
        <v>912</v>
      </c>
      <c r="AF5394" s="1"/>
      <c r="AG5394" s="1"/>
    </row>
    <row r="5395" ht="15.75" customHeight="1">
      <c r="A5395" s="1"/>
      <c r="B5395" s="1"/>
      <c r="C5395" s="1"/>
      <c r="D5395" s="1"/>
      <c r="E5395" s="1"/>
      <c r="F5395" s="1"/>
      <c r="G5395" s="1"/>
      <c r="H5395" s="1"/>
      <c r="I5395" s="1"/>
      <c r="J5395" s="1"/>
      <c r="K5395" s="89" t="s">
        <v>8347</v>
      </c>
      <c r="L5395" s="89" t="str">
        <f>J234</f>
        <v>C2a1a1c1d3~</v>
      </c>
      <c r="M5395" s="89"/>
      <c r="N5395" s="89"/>
      <c r="O5395" s="92">
        <v>1.6843208E7</v>
      </c>
      <c r="P5395" s="92">
        <v>1.4731328E7</v>
      </c>
      <c r="Q5395" s="89" t="s">
        <v>838</v>
      </c>
      <c r="AF5395" s="1"/>
      <c r="AG5395" s="1"/>
    </row>
    <row r="5396" ht="15.75" customHeight="1">
      <c r="A5396" s="1"/>
      <c r="B5396" s="1"/>
      <c r="C5396" s="1"/>
      <c r="D5396" s="1"/>
      <c r="E5396" s="1"/>
      <c r="F5396" s="1"/>
      <c r="G5396" s="1"/>
      <c r="H5396" s="1"/>
      <c r="I5396" s="1"/>
      <c r="J5396" s="1"/>
      <c r="K5396" s="89" t="s">
        <v>8348</v>
      </c>
      <c r="L5396" s="89" t="str">
        <f>J234</f>
        <v>C2a1a1c1d3~</v>
      </c>
      <c r="M5396" s="89"/>
      <c r="N5396" s="89"/>
      <c r="O5396" s="92">
        <v>1.8096073E7</v>
      </c>
      <c r="P5396" s="92">
        <v>1.5984193E7</v>
      </c>
      <c r="Q5396" s="89" t="s">
        <v>838</v>
      </c>
      <c r="AF5396" s="1"/>
      <c r="AG5396" s="1"/>
    </row>
    <row r="5397" ht="15.75" customHeight="1">
      <c r="A5397" s="1"/>
      <c r="B5397" s="1"/>
      <c r="C5397" s="1"/>
      <c r="D5397" s="1"/>
      <c r="E5397" s="1"/>
      <c r="F5397" s="1"/>
      <c r="G5397" s="1"/>
      <c r="H5397" s="1"/>
      <c r="I5397" s="1"/>
      <c r="J5397" s="1"/>
      <c r="K5397" s="89" t="s">
        <v>8349</v>
      </c>
      <c r="L5397" s="89" t="str">
        <f>J234</f>
        <v>C2a1a1c1d3~</v>
      </c>
      <c r="M5397" s="89"/>
      <c r="N5397" s="89" t="s">
        <v>8350</v>
      </c>
      <c r="O5397" s="92">
        <v>8590647.0</v>
      </c>
      <c r="P5397" s="92">
        <v>8722606.0</v>
      </c>
      <c r="Q5397" s="89" t="s">
        <v>822</v>
      </c>
      <c r="AF5397" s="1"/>
      <c r="AG5397" s="1"/>
    </row>
    <row r="5398" ht="15.75" customHeight="1">
      <c r="A5398" s="1"/>
      <c r="B5398" s="1"/>
      <c r="C5398" s="1"/>
      <c r="D5398" s="1"/>
      <c r="E5398" s="1"/>
      <c r="F5398" s="1"/>
      <c r="G5398" s="1"/>
      <c r="H5398" s="1"/>
      <c r="I5398" s="1"/>
      <c r="J5398" s="1"/>
      <c r="K5398" s="89" t="s">
        <v>8351</v>
      </c>
      <c r="L5398" s="89" t="str">
        <f>I235</f>
        <v>C2a1a1c1e~</v>
      </c>
      <c r="M5398" s="89"/>
      <c r="N5398" s="89"/>
      <c r="O5398" s="92">
        <v>1.7396108E7</v>
      </c>
      <c r="P5398" s="92">
        <v>1.5284228E7</v>
      </c>
      <c r="Q5398" s="89" t="s">
        <v>838</v>
      </c>
      <c r="AF5398" s="1"/>
      <c r="AG5398" s="1"/>
    </row>
    <row r="5399" ht="15.75" customHeight="1">
      <c r="A5399" s="1"/>
      <c r="B5399" s="1"/>
      <c r="C5399" s="1"/>
      <c r="D5399" s="1"/>
      <c r="E5399" s="1"/>
      <c r="F5399" s="1"/>
      <c r="G5399" s="1"/>
      <c r="H5399" s="1"/>
      <c r="I5399" s="1"/>
      <c r="J5399" s="1"/>
      <c r="K5399" s="89" t="s">
        <v>8352</v>
      </c>
      <c r="L5399" s="89" t="str">
        <f>I235</f>
        <v>C2a1a1c1e~</v>
      </c>
      <c r="M5399" s="89"/>
      <c r="N5399" s="89"/>
      <c r="O5399" s="92">
        <v>8297696.0</v>
      </c>
      <c r="P5399" s="92">
        <v>8429655.0</v>
      </c>
      <c r="Q5399" s="89" t="s">
        <v>802</v>
      </c>
      <c r="AF5399" s="1"/>
      <c r="AG5399" s="1"/>
    </row>
    <row r="5400" ht="15.75" customHeight="1">
      <c r="A5400" s="1"/>
      <c r="B5400" s="1"/>
      <c r="C5400" s="1"/>
      <c r="D5400" s="1"/>
      <c r="E5400" s="1"/>
      <c r="F5400" s="1"/>
      <c r="G5400" s="1"/>
      <c r="H5400" s="1"/>
      <c r="I5400" s="1"/>
      <c r="J5400" s="1"/>
      <c r="K5400" s="89" t="s">
        <v>432</v>
      </c>
      <c r="L5400" s="89" t="str">
        <f t="shared" ref="L5400:L5401" si="56">J236</f>
        <v>C2a1a1c1e1~</v>
      </c>
      <c r="M5400" s="89"/>
      <c r="N5400" s="89" t="s">
        <v>8353</v>
      </c>
      <c r="O5400" s="92">
        <v>1.8425202E7</v>
      </c>
      <c r="P5400" s="92">
        <v>1.6313322E7</v>
      </c>
      <c r="Q5400" s="89" t="s">
        <v>822</v>
      </c>
      <c r="AF5400" s="1"/>
      <c r="AG5400" s="1"/>
    </row>
    <row r="5401" ht="15.75" customHeight="1">
      <c r="A5401" s="1"/>
      <c r="B5401" s="1"/>
      <c r="C5401" s="1"/>
      <c r="D5401" s="1"/>
      <c r="E5401" s="1"/>
      <c r="F5401" s="1"/>
      <c r="G5401" s="1"/>
      <c r="H5401" s="1"/>
      <c r="I5401" s="1"/>
      <c r="J5401" s="1"/>
      <c r="K5401" s="89" t="s">
        <v>8354</v>
      </c>
      <c r="L5401" s="89" t="str">
        <f t="shared" si="56"/>
        <v>C2a1a1c1e2~</v>
      </c>
      <c r="M5401" s="89" t="s">
        <v>8355</v>
      </c>
      <c r="N5401" s="89" t="s">
        <v>8356</v>
      </c>
      <c r="O5401" s="92">
        <v>1.9124322E7</v>
      </c>
      <c r="P5401" s="92">
        <v>1.7012442E7</v>
      </c>
      <c r="Q5401" s="89" t="s">
        <v>886</v>
      </c>
      <c r="AF5401" s="1"/>
      <c r="AG5401" s="1"/>
    </row>
    <row r="5402" ht="15.75" customHeight="1">
      <c r="A5402" s="1"/>
      <c r="B5402" s="1"/>
      <c r="C5402" s="1"/>
      <c r="D5402" s="1"/>
      <c r="E5402" s="1"/>
      <c r="F5402" s="1"/>
      <c r="G5402" s="1"/>
      <c r="H5402" s="1"/>
      <c r="I5402" s="1"/>
      <c r="J5402" s="1"/>
      <c r="K5402" s="89" t="s">
        <v>8357</v>
      </c>
      <c r="L5402" s="89" t="str">
        <f>J237</f>
        <v>C2a1a1c1e2~</v>
      </c>
      <c r="M5402" s="89" t="s">
        <v>8358</v>
      </c>
      <c r="N5402" s="89" t="s">
        <v>8356</v>
      </c>
      <c r="O5402" s="92">
        <v>1.9124322E7</v>
      </c>
      <c r="P5402" s="92">
        <v>1.7012442E7</v>
      </c>
      <c r="Q5402" s="89" t="s">
        <v>886</v>
      </c>
      <c r="AF5402" s="1"/>
      <c r="AG5402" s="1"/>
    </row>
    <row r="5403" ht="15.75" customHeight="1">
      <c r="A5403" s="1"/>
      <c r="B5403" s="1"/>
      <c r="C5403" s="1"/>
      <c r="D5403" s="1"/>
      <c r="E5403" s="1"/>
      <c r="F5403" s="1"/>
      <c r="G5403" s="1"/>
      <c r="H5403" s="1"/>
      <c r="I5403" s="1"/>
      <c r="J5403" s="1"/>
      <c r="K5403" s="89" t="s">
        <v>8359</v>
      </c>
      <c r="L5403" s="89" t="str">
        <f>J237</f>
        <v>C2a1a1c1e2~</v>
      </c>
      <c r="M5403" s="89" t="s">
        <v>8360</v>
      </c>
      <c r="N5403" s="89" t="s">
        <v>8356</v>
      </c>
      <c r="O5403" s="92">
        <v>1.9124322E7</v>
      </c>
      <c r="P5403" s="92">
        <v>1.7012442E7</v>
      </c>
      <c r="Q5403" s="89" t="s">
        <v>886</v>
      </c>
      <c r="AF5403" s="1"/>
      <c r="AG5403" s="1"/>
    </row>
    <row r="5404" ht="15.75" customHeight="1">
      <c r="A5404" s="1"/>
      <c r="B5404" s="1"/>
      <c r="C5404" s="1"/>
      <c r="D5404" s="1"/>
      <c r="E5404" s="1"/>
      <c r="F5404" s="1"/>
      <c r="G5404" s="1"/>
      <c r="H5404" s="1"/>
      <c r="I5404" s="1"/>
      <c r="J5404" s="1"/>
      <c r="K5404" s="93" t="s">
        <v>8361</v>
      </c>
      <c r="L5404" s="89" t="str">
        <f>I238</f>
        <v>C2a1a1c1f~</v>
      </c>
      <c r="M5404" s="93"/>
      <c r="N5404" s="89"/>
      <c r="O5404" s="106">
        <v>9854010.0</v>
      </c>
      <c r="P5404" s="108">
        <v>1.0016401E7</v>
      </c>
      <c r="Q5404" s="93" t="s">
        <v>810</v>
      </c>
      <c r="AF5404" s="1"/>
      <c r="AG5404" s="1"/>
    </row>
    <row r="5405" ht="15.75" customHeight="1">
      <c r="A5405" s="1"/>
      <c r="B5405" s="1"/>
      <c r="C5405" s="1"/>
      <c r="D5405" s="1"/>
      <c r="E5405" s="1"/>
      <c r="F5405" s="1"/>
      <c r="G5405" s="1"/>
      <c r="H5405" s="1"/>
      <c r="I5405" s="1"/>
      <c r="J5405" s="1"/>
      <c r="K5405" s="89" t="s">
        <v>8362</v>
      </c>
      <c r="L5405" s="89" t="str">
        <f>I238</f>
        <v>C2a1a1c1f~</v>
      </c>
      <c r="M5405" s="93" t="s">
        <v>8363</v>
      </c>
      <c r="N5405" s="89" t="s">
        <v>8364</v>
      </c>
      <c r="O5405" s="92">
        <v>1.9112874E7</v>
      </c>
      <c r="P5405" s="92">
        <v>1.7000994E7</v>
      </c>
      <c r="Q5405" s="89" t="s">
        <v>879</v>
      </c>
      <c r="AF5405" s="1"/>
      <c r="AG5405" s="1"/>
    </row>
    <row r="5406" ht="15.75" customHeight="1">
      <c r="A5406" s="1"/>
      <c r="B5406" s="1"/>
      <c r="C5406" s="1"/>
      <c r="D5406" s="1"/>
      <c r="E5406" s="1"/>
      <c r="F5406" s="1"/>
      <c r="G5406" s="1"/>
      <c r="H5406" s="1"/>
      <c r="I5406" s="1"/>
      <c r="J5406" s="1"/>
      <c r="K5406" s="93" t="s">
        <v>8365</v>
      </c>
      <c r="L5406" s="89" t="str">
        <f>I238</f>
        <v>C2a1a1c1f~</v>
      </c>
      <c r="M5406" s="89" t="s">
        <v>8366</v>
      </c>
      <c r="N5406" s="89" t="s">
        <v>8364</v>
      </c>
      <c r="O5406" s="92">
        <v>1.9112874E7</v>
      </c>
      <c r="P5406" s="92">
        <v>1.7000994E7</v>
      </c>
      <c r="Q5406" s="89" t="s">
        <v>879</v>
      </c>
      <c r="AF5406" s="1"/>
      <c r="AG5406" s="1"/>
    </row>
    <row r="5407" ht="15.75" customHeight="1">
      <c r="A5407" s="1"/>
      <c r="B5407" s="1"/>
      <c r="C5407" s="1"/>
      <c r="D5407" s="1"/>
      <c r="E5407" s="1"/>
      <c r="F5407" s="1"/>
      <c r="G5407" s="1"/>
      <c r="H5407" s="1"/>
      <c r="I5407" s="1"/>
      <c r="J5407" s="1"/>
      <c r="K5407" s="89" t="s">
        <v>8367</v>
      </c>
      <c r="L5407" s="89" t="str">
        <f>I238</f>
        <v>C2a1a1c1f~</v>
      </c>
      <c r="M5407" s="93" t="s">
        <v>8368</v>
      </c>
      <c r="N5407" s="89" t="s">
        <v>8364</v>
      </c>
      <c r="O5407" s="92">
        <v>1.9112874E7</v>
      </c>
      <c r="P5407" s="92">
        <v>1.7000994E7</v>
      </c>
      <c r="Q5407" s="89" t="s">
        <v>879</v>
      </c>
      <c r="AF5407" s="1"/>
      <c r="AG5407" s="1"/>
    </row>
    <row r="5408" ht="15.75" customHeight="1">
      <c r="A5408" s="1"/>
      <c r="B5408" s="1"/>
      <c r="C5408" s="1"/>
      <c r="D5408" s="1"/>
      <c r="E5408" s="1"/>
      <c r="F5408" s="1"/>
      <c r="G5408" s="1"/>
      <c r="H5408" s="1"/>
      <c r="I5408" s="1"/>
      <c r="J5408" s="1"/>
      <c r="K5408" s="89" t="s">
        <v>8369</v>
      </c>
      <c r="L5408" s="89" t="str">
        <f>I238</f>
        <v>C2a1a1c1f~</v>
      </c>
      <c r="M5408" s="89"/>
      <c r="N5408" s="89"/>
      <c r="O5408" s="92">
        <v>1.7493725E7</v>
      </c>
      <c r="P5408" s="92">
        <v>1.5381845E7</v>
      </c>
      <c r="Q5408" s="89" t="s">
        <v>831</v>
      </c>
      <c r="AF5408" s="1"/>
      <c r="AG5408" s="1"/>
    </row>
    <row r="5409" ht="15.75" customHeight="1">
      <c r="A5409" s="1"/>
      <c r="B5409" s="1"/>
      <c r="C5409" s="1"/>
      <c r="D5409" s="1"/>
      <c r="E5409" s="1"/>
      <c r="F5409" s="1"/>
      <c r="G5409" s="1"/>
      <c r="H5409" s="1"/>
      <c r="I5409" s="1"/>
      <c r="J5409" s="1"/>
      <c r="K5409" s="89" t="s">
        <v>8370</v>
      </c>
      <c r="L5409" s="89" t="str">
        <f>I238</f>
        <v>C2a1a1c1f~</v>
      </c>
      <c r="M5409" s="89"/>
      <c r="N5409" s="89"/>
      <c r="O5409" s="92">
        <v>8491160.0</v>
      </c>
      <c r="P5409" s="92">
        <v>8623119.0</v>
      </c>
      <c r="Q5409" s="89" t="s">
        <v>813</v>
      </c>
      <c r="AF5409" s="1"/>
      <c r="AG5409" s="1"/>
    </row>
    <row r="5410" ht="15.75" customHeight="1">
      <c r="A5410" s="1"/>
      <c r="B5410" s="1"/>
      <c r="C5410" s="1"/>
      <c r="D5410" s="1"/>
      <c r="E5410" s="1"/>
      <c r="F5410" s="1"/>
      <c r="G5410" s="1"/>
      <c r="H5410" s="1"/>
      <c r="I5410" s="1"/>
      <c r="J5410" s="1"/>
      <c r="K5410" s="89" t="s">
        <v>8371</v>
      </c>
      <c r="L5410" s="89" t="str">
        <f>J239</f>
        <v>C2a1a1c1f1~</v>
      </c>
      <c r="M5410" s="89"/>
      <c r="N5410" s="89"/>
      <c r="O5410" s="92">
        <v>1.4102979E7</v>
      </c>
      <c r="P5410" s="92">
        <v>1.1982273E7</v>
      </c>
      <c r="Q5410" s="89" t="s">
        <v>864</v>
      </c>
      <c r="AF5410" s="1"/>
      <c r="AG5410" s="1"/>
    </row>
    <row r="5411" ht="15.75" customHeight="1">
      <c r="A5411" s="1"/>
      <c r="B5411" s="1"/>
      <c r="C5411" s="1"/>
      <c r="D5411" s="1"/>
      <c r="E5411" s="1"/>
      <c r="F5411" s="1"/>
      <c r="G5411" s="1"/>
      <c r="H5411" s="1"/>
      <c r="I5411" s="1"/>
      <c r="J5411" s="1"/>
      <c r="K5411" s="89" t="s">
        <v>8372</v>
      </c>
      <c r="L5411" s="89" t="str">
        <f>J239</f>
        <v>C2a1a1c1f1~</v>
      </c>
      <c r="M5411" s="89"/>
      <c r="N5411" s="89"/>
      <c r="O5411" s="92">
        <v>1.5945037E7</v>
      </c>
      <c r="P5411" s="92">
        <v>1.3833157E7</v>
      </c>
      <c r="Q5411" s="89" t="s">
        <v>912</v>
      </c>
      <c r="AF5411" s="1"/>
      <c r="AG5411" s="1"/>
    </row>
    <row r="5412" ht="15.75" customHeight="1">
      <c r="A5412" s="1"/>
      <c r="B5412" s="1"/>
      <c r="C5412" s="1"/>
      <c r="D5412" s="1"/>
      <c r="E5412" s="1"/>
      <c r="F5412" s="1"/>
      <c r="G5412" s="1"/>
      <c r="H5412" s="1"/>
      <c r="I5412" s="1"/>
      <c r="J5412" s="1"/>
      <c r="K5412" s="89" t="s">
        <v>8373</v>
      </c>
      <c r="L5412" s="89" t="str">
        <f>J239</f>
        <v>C2a1a1c1f1~</v>
      </c>
      <c r="M5412" s="89"/>
      <c r="N5412" s="89"/>
      <c r="O5412" s="92">
        <v>1.9214038E7</v>
      </c>
      <c r="P5412" s="92">
        <v>1.7102158E7</v>
      </c>
      <c r="Q5412" s="89" t="s">
        <v>802</v>
      </c>
      <c r="AF5412" s="1"/>
      <c r="AG5412" s="1"/>
    </row>
    <row r="5413" ht="15.75" customHeight="1">
      <c r="A5413" s="1"/>
      <c r="B5413" s="1"/>
      <c r="C5413" s="1"/>
      <c r="D5413" s="1"/>
      <c r="E5413" s="1"/>
      <c r="F5413" s="1"/>
      <c r="G5413" s="1"/>
      <c r="H5413" s="1"/>
      <c r="I5413" s="1"/>
      <c r="J5413" s="1"/>
      <c r="K5413" s="89" t="s">
        <v>8374</v>
      </c>
      <c r="L5413" s="89" t="str">
        <f>J239</f>
        <v>C2a1a1c1f1~</v>
      </c>
      <c r="M5413" s="89"/>
      <c r="N5413" s="89"/>
      <c r="O5413" s="92">
        <v>2.1302198E7</v>
      </c>
      <c r="P5413" s="92">
        <v>1.9140312E7</v>
      </c>
      <c r="Q5413" s="89" t="s">
        <v>831</v>
      </c>
      <c r="AF5413" s="1"/>
      <c r="AG5413" s="1"/>
    </row>
    <row r="5414" ht="15.75" customHeight="1">
      <c r="A5414" s="1"/>
      <c r="B5414" s="1"/>
      <c r="C5414" s="1"/>
      <c r="D5414" s="1"/>
      <c r="E5414" s="1"/>
      <c r="F5414" s="1"/>
      <c r="G5414" s="1"/>
      <c r="H5414" s="1"/>
      <c r="I5414" s="1"/>
      <c r="J5414" s="1"/>
      <c r="K5414" s="93" t="s">
        <v>8375</v>
      </c>
      <c r="L5414" s="89" t="str">
        <f>I240</f>
        <v>C2a1a1c1g~</v>
      </c>
      <c r="M5414" s="89"/>
      <c r="N5414" s="89"/>
      <c r="O5414" s="97">
        <v>1.6404931E7</v>
      </c>
      <c r="P5414" s="110">
        <v>1.4293051E7</v>
      </c>
      <c r="Q5414" s="93" t="s">
        <v>802</v>
      </c>
      <c r="AF5414" s="1"/>
      <c r="AG5414" s="1"/>
    </row>
    <row r="5415" ht="15.75" customHeight="1">
      <c r="A5415" s="1"/>
      <c r="B5415" s="1"/>
      <c r="C5415" s="1"/>
      <c r="D5415" s="1"/>
      <c r="E5415" s="1"/>
      <c r="F5415" s="1"/>
      <c r="G5415" s="1"/>
      <c r="H5415" s="1"/>
      <c r="I5415" s="1"/>
      <c r="J5415" s="1"/>
      <c r="K5415" s="93" t="s">
        <v>8376</v>
      </c>
      <c r="L5415" s="89" t="str">
        <f>I240</f>
        <v>C2a1a1c1g~</v>
      </c>
      <c r="M5415" s="89"/>
      <c r="N5415" s="89"/>
      <c r="O5415" s="97">
        <v>8494431.0</v>
      </c>
      <c r="P5415" s="110">
        <v>8626390.0</v>
      </c>
      <c r="Q5415" s="93" t="s">
        <v>864</v>
      </c>
      <c r="AF5415" s="1"/>
      <c r="AG5415" s="1"/>
    </row>
    <row r="5416" ht="15.75" customHeight="1">
      <c r="A5416" s="1"/>
      <c r="B5416" s="1"/>
      <c r="C5416" s="1"/>
      <c r="D5416" s="1"/>
      <c r="E5416" s="1"/>
      <c r="F5416" s="1"/>
      <c r="G5416" s="1"/>
      <c r="H5416" s="1"/>
      <c r="I5416" s="1"/>
      <c r="J5416" s="1"/>
      <c r="K5416" s="93" t="s">
        <v>8377</v>
      </c>
      <c r="L5416" s="89" t="str">
        <f>I240</f>
        <v>C2a1a1c1g~</v>
      </c>
      <c r="M5416" s="89"/>
      <c r="N5416" s="89"/>
      <c r="O5416" s="97">
        <v>8546334.0</v>
      </c>
      <c r="P5416" s="110">
        <v>8678293.0</v>
      </c>
      <c r="Q5416" s="93" t="s">
        <v>879</v>
      </c>
      <c r="AF5416" s="1"/>
      <c r="AG5416" s="1"/>
    </row>
    <row r="5417" ht="15.75" customHeight="1">
      <c r="A5417" s="1"/>
      <c r="B5417" s="1"/>
      <c r="C5417" s="1"/>
      <c r="D5417" s="1"/>
      <c r="E5417" s="1"/>
      <c r="F5417" s="1"/>
      <c r="G5417" s="1"/>
      <c r="H5417" s="1"/>
      <c r="I5417" s="1"/>
      <c r="J5417" s="1"/>
      <c r="K5417" s="93" t="s">
        <v>8378</v>
      </c>
      <c r="L5417" s="89" t="str">
        <f>I240</f>
        <v>C2a1a1c1g~</v>
      </c>
      <c r="M5417" s="89"/>
      <c r="N5417" s="89"/>
      <c r="O5417" s="97">
        <v>1.516498E7</v>
      </c>
      <c r="P5417" s="110">
        <v>1.3053066E7</v>
      </c>
      <c r="Q5417" s="93" t="s">
        <v>802</v>
      </c>
      <c r="AF5417" s="1"/>
      <c r="AG5417" s="1"/>
    </row>
    <row r="5418" ht="15.75" customHeight="1">
      <c r="A5418" s="1"/>
      <c r="B5418" s="1"/>
      <c r="C5418" s="1"/>
      <c r="D5418" s="1"/>
      <c r="E5418" s="1"/>
      <c r="F5418" s="1"/>
      <c r="G5418" s="1"/>
      <c r="H5418" s="1"/>
      <c r="I5418" s="1"/>
      <c r="J5418" s="1"/>
      <c r="K5418" s="93" t="s">
        <v>8379</v>
      </c>
      <c r="L5418" s="89" t="str">
        <f t="shared" ref="L5418:L5419" si="57">I240</f>
        <v>C2a1a1c1g~</v>
      </c>
      <c r="M5418" s="89"/>
      <c r="N5418" s="89"/>
      <c r="O5418" s="106">
        <v>2.1160447E7</v>
      </c>
      <c r="P5418" s="106">
        <v>1.8998561E7</v>
      </c>
      <c r="Q5418" s="93" t="s">
        <v>8380</v>
      </c>
      <c r="AF5418" s="1"/>
      <c r="AG5418" s="1"/>
    </row>
    <row r="5419" ht="15.75" customHeight="1">
      <c r="A5419" s="1"/>
      <c r="B5419" s="1"/>
      <c r="C5419" s="1"/>
      <c r="D5419" s="1"/>
      <c r="E5419" s="1"/>
      <c r="F5419" s="1"/>
      <c r="G5419" s="1"/>
      <c r="H5419" s="1"/>
      <c r="I5419" s="1"/>
      <c r="J5419" s="1"/>
      <c r="K5419" s="93" t="s">
        <v>8381</v>
      </c>
      <c r="L5419" s="89" t="str">
        <f t="shared" si="57"/>
        <v>C2a1a1c1h~</v>
      </c>
      <c r="M5419" s="93"/>
      <c r="N5419" s="89"/>
      <c r="O5419" s="106">
        <v>1.1723373E7</v>
      </c>
      <c r="P5419" s="106">
        <v>1.3844079E7</v>
      </c>
      <c r="Q5419" s="93" t="s">
        <v>810</v>
      </c>
      <c r="AF5419" s="1"/>
      <c r="AG5419" s="1"/>
    </row>
    <row r="5420" ht="15.75" customHeight="1">
      <c r="A5420" s="1"/>
      <c r="B5420" s="1"/>
      <c r="C5420" s="1"/>
      <c r="D5420" s="1"/>
      <c r="E5420" s="1"/>
      <c r="F5420" s="1"/>
      <c r="G5420" s="1"/>
      <c r="H5420" s="1"/>
      <c r="I5420" s="1"/>
      <c r="J5420" s="1"/>
      <c r="K5420" s="93" t="s">
        <v>8326</v>
      </c>
      <c r="L5420" s="89" t="str">
        <f>I241</f>
        <v>C2a1a1c1h~</v>
      </c>
      <c r="M5420" s="93" t="s">
        <v>8327</v>
      </c>
      <c r="N5420" s="89"/>
      <c r="O5420" s="106">
        <v>8489457.0</v>
      </c>
      <c r="P5420" s="106">
        <v>8357498.0</v>
      </c>
      <c r="Q5420" s="93" t="s">
        <v>912</v>
      </c>
      <c r="AF5420" s="1"/>
      <c r="AG5420" s="1"/>
    </row>
    <row r="5421" ht="15.75" customHeight="1">
      <c r="A5421" s="1"/>
      <c r="B5421" s="1"/>
      <c r="C5421" s="1"/>
      <c r="D5421" s="1"/>
      <c r="E5421" s="1"/>
      <c r="F5421" s="1"/>
      <c r="G5421" s="1"/>
      <c r="H5421" s="1"/>
      <c r="I5421" s="1"/>
      <c r="J5421" s="1"/>
      <c r="K5421" s="93" t="s">
        <v>8327</v>
      </c>
      <c r="L5421" s="89" t="str">
        <f>I241</f>
        <v>C2a1a1c1h~</v>
      </c>
      <c r="M5421" s="93" t="s">
        <v>8326</v>
      </c>
      <c r="N5421" s="89"/>
      <c r="O5421" s="106">
        <v>8489457.0</v>
      </c>
      <c r="P5421" s="106">
        <v>8357498.0</v>
      </c>
      <c r="Q5421" s="93" t="s">
        <v>912</v>
      </c>
      <c r="AF5421" s="1"/>
      <c r="AG5421" s="1"/>
    </row>
    <row r="5422" ht="15.75" customHeight="1">
      <c r="A5422" s="1"/>
      <c r="B5422" s="1"/>
      <c r="C5422" s="1"/>
      <c r="D5422" s="1"/>
      <c r="E5422" s="1"/>
      <c r="F5422" s="1"/>
      <c r="G5422" s="1"/>
      <c r="H5422" s="1"/>
      <c r="I5422" s="1"/>
      <c r="J5422" s="1"/>
      <c r="K5422" s="89" t="s">
        <v>8382</v>
      </c>
      <c r="L5422" s="89" t="str">
        <f>H242</f>
        <v>C2a1a1c2~</v>
      </c>
      <c r="M5422" s="89"/>
      <c r="N5422" s="89"/>
      <c r="O5422">
        <v>9151036.0</v>
      </c>
      <c r="P5422">
        <v>9313427.0</v>
      </c>
      <c r="Q5422" s="89" t="s">
        <v>838</v>
      </c>
      <c r="AF5422" s="1"/>
      <c r="AG5422" s="1"/>
    </row>
    <row r="5423" ht="15.75" customHeight="1">
      <c r="A5423" s="1"/>
      <c r="B5423" s="1"/>
      <c r="C5423" s="1"/>
      <c r="D5423" s="1"/>
      <c r="E5423" s="1"/>
      <c r="F5423" s="1"/>
      <c r="G5423" s="1"/>
      <c r="H5423" s="1"/>
      <c r="I5423" s="1"/>
      <c r="J5423" s="1"/>
      <c r="K5423" s="89" t="s">
        <v>8383</v>
      </c>
      <c r="L5423" s="89" t="str">
        <f>H242</f>
        <v>C2a1a1c2~</v>
      </c>
      <c r="M5423" s="89"/>
      <c r="N5423" s="89"/>
      <c r="O5423" s="92">
        <v>1.4080223E7</v>
      </c>
      <c r="P5423" s="92">
        <v>1.1959517E7</v>
      </c>
      <c r="Q5423" s="89" t="s">
        <v>802</v>
      </c>
      <c r="AF5423" s="1"/>
      <c r="AG5423" s="1"/>
    </row>
    <row r="5424" ht="15.75" customHeight="1">
      <c r="A5424" s="1"/>
      <c r="B5424" s="1"/>
      <c r="C5424" s="1"/>
      <c r="D5424" s="1"/>
      <c r="E5424" s="1"/>
      <c r="F5424" s="1"/>
      <c r="G5424" s="1"/>
      <c r="H5424" s="1"/>
      <c r="I5424" s="1"/>
      <c r="J5424" s="1"/>
      <c r="K5424" s="89" t="s">
        <v>8384</v>
      </c>
      <c r="L5424" s="89" t="str">
        <f>H242</f>
        <v>C2a1a1c2~</v>
      </c>
      <c r="M5424" s="89"/>
      <c r="N5424" s="89"/>
      <c r="O5424" s="92">
        <v>1.7535297E7</v>
      </c>
      <c r="P5424" s="92">
        <v>1.5423417E7</v>
      </c>
      <c r="Q5424" s="89" t="s">
        <v>879</v>
      </c>
      <c r="AF5424" s="1"/>
      <c r="AG5424" s="1"/>
    </row>
    <row r="5425" ht="15.75" customHeight="1">
      <c r="A5425" s="1"/>
      <c r="B5425" s="1"/>
      <c r="C5425" s="1"/>
      <c r="D5425" s="1"/>
      <c r="E5425" s="1"/>
      <c r="F5425" s="1"/>
      <c r="G5425" s="1"/>
      <c r="H5425" s="1"/>
      <c r="I5425" s="1"/>
      <c r="J5425" s="1"/>
      <c r="K5425" s="89" t="s">
        <v>8385</v>
      </c>
      <c r="L5425" s="89" t="str">
        <f>H242</f>
        <v>C2a1a1c2~</v>
      </c>
      <c r="M5425" s="89"/>
      <c r="N5425" s="89"/>
      <c r="O5425" s="92">
        <v>2.3768077E7</v>
      </c>
      <c r="P5425" s="92">
        <v>2.1606191E7</v>
      </c>
      <c r="Q5425" s="89" t="s">
        <v>912</v>
      </c>
      <c r="AF5425" s="1"/>
      <c r="AG5425" s="1"/>
    </row>
    <row r="5426" ht="15.75" customHeight="1">
      <c r="A5426" s="1"/>
      <c r="B5426" s="1"/>
      <c r="C5426" s="1"/>
      <c r="D5426" s="1"/>
      <c r="E5426" s="1"/>
      <c r="F5426" s="1"/>
      <c r="G5426" s="1"/>
      <c r="H5426" s="1"/>
      <c r="I5426" s="1"/>
      <c r="J5426" s="1"/>
      <c r="K5426" s="89" t="s">
        <v>8386</v>
      </c>
      <c r="L5426" s="89" t="str">
        <f>I243</f>
        <v>C2a1a1c2a~</v>
      </c>
      <c r="M5426" s="89"/>
      <c r="N5426" s="89"/>
      <c r="O5426" s="92">
        <v>7510771.0</v>
      </c>
      <c r="P5426" s="92">
        <v>7642730.0</v>
      </c>
      <c r="Q5426" s="89" t="s">
        <v>810</v>
      </c>
      <c r="AF5426" s="1"/>
      <c r="AG5426" s="1"/>
    </row>
    <row r="5427" ht="15.75" customHeight="1">
      <c r="A5427" s="1"/>
      <c r="B5427" s="1"/>
      <c r="C5427" s="1"/>
      <c r="D5427" s="1"/>
      <c r="E5427" s="1"/>
      <c r="F5427" s="1"/>
      <c r="G5427" s="1"/>
      <c r="H5427" s="1"/>
      <c r="I5427" s="1"/>
      <c r="J5427" s="1"/>
      <c r="K5427" s="89" t="s">
        <v>8387</v>
      </c>
      <c r="L5427" s="89" t="str">
        <f>I243</f>
        <v>C2a1a1c2a~</v>
      </c>
      <c r="M5427" s="89"/>
      <c r="N5427" s="89"/>
      <c r="O5427" s="92">
        <v>8189029.0</v>
      </c>
      <c r="P5427" s="92">
        <v>8320988.0</v>
      </c>
      <c r="Q5427" s="89" t="s">
        <v>864</v>
      </c>
      <c r="AF5427" s="1"/>
      <c r="AG5427" s="1"/>
    </row>
    <row r="5428" ht="15.75" customHeight="1">
      <c r="A5428" s="1"/>
      <c r="B5428" s="1"/>
      <c r="C5428" s="1"/>
      <c r="D5428" s="1"/>
      <c r="E5428" s="1"/>
      <c r="F5428" s="1"/>
      <c r="G5428" s="1"/>
      <c r="H5428" s="1"/>
      <c r="I5428" s="1"/>
      <c r="J5428" s="1"/>
      <c r="K5428" s="89" t="s">
        <v>8388</v>
      </c>
      <c r="L5428" s="89" t="str">
        <f>I243</f>
        <v>C2a1a1c2a~</v>
      </c>
      <c r="M5428" s="89"/>
      <c r="N5428" s="89"/>
      <c r="O5428" s="92">
        <v>9899034.0</v>
      </c>
      <c r="P5428" s="92">
        <v>1.0061425E7</v>
      </c>
      <c r="Q5428" s="89" t="s">
        <v>912</v>
      </c>
      <c r="AF5428" s="1"/>
      <c r="AG5428" s="1"/>
    </row>
    <row r="5429" ht="15.75" customHeight="1">
      <c r="A5429" s="1"/>
      <c r="B5429" s="1"/>
      <c r="C5429" s="1"/>
      <c r="D5429" s="1"/>
      <c r="E5429" s="1"/>
      <c r="F5429" s="1"/>
      <c r="G5429" s="1"/>
      <c r="H5429" s="1"/>
      <c r="I5429" s="1"/>
      <c r="J5429" s="1"/>
      <c r="K5429" s="89" t="s">
        <v>8389</v>
      </c>
      <c r="L5429" s="89" t="str">
        <f>I243</f>
        <v>C2a1a1c2a~</v>
      </c>
      <c r="M5429" s="89"/>
      <c r="N5429" s="89"/>
      <c r="O5429" s="92">
        <v>1.3486051E7</v>
      </c>
      <c r="P5429" s="92">
        <v>1.1330375E7</v>
      </c>
      <c r="Q5429" s="89" t="s">
        <v>822</v>
      </c>
      <c r="AF5429" s="1"/>
      <c r="AG5429" s="1"/>
    </row>
    <row r="5430" ht="15.75" customHeight="1">
      <c r="A5430" s="1"/>
      <c r="B5430" s="1"/>
      <c r="C5430" s="1"/>
      <c r="D5430" s="1"/>
      <c r="E5430" s="1"/>
      <c r="F5430" s="1"/>
      <c r="G5430" s="1"/>
      <c r="H5430" s="1"/>
      <c r="I5430" s="1"/>
      <c r="J5430" s="1"/>
      <c r="K5430" s="89" t="s">
        <v>8390</v>
      </c>
      <c r="L5430" s="89" t="str">
        <f>I243</f>
        <v>C2a1a1c2a~</v>
      </c>
      <c r="M5430" s="89"/>
      <c r="N5430" s="89"/>
      <c r="O5430" s="92">
        <v>1.4065715E7</v>
      </c>
      <c r="P5430" s="92">
        <v>1.1945009E7</v>
      </c>
      <c r="Q5430" s="89" t="s">
        <v>822</v>
      </c>
      <c r="AF5430" s="1"/>
      <c r="AG5430" s="1"/>
    </row>
    <row r="5431" ht="15.75" customHeight="1">
      <c r="A5431" s="1"/>
      <c r="B5431" s="1"/>
      <c r="C5431" s="1"/>
      <c r="D5431" s="1"/>
      <c r="E5431" s="1"/>
      <c r="F5431" s="1"/>
      <c r="G5431" s="1"/>
      <c r="H5431" s="1"/>
      <c r="I5431" s="1"/>
      <c r="J5431" s="1"/>
      <c r="K5431" s="89" t="s">
        <v>8391</v>
      </c>
      <c r="L5431" s="89" t="str">
        <f>I243</f>
        <v>C2a1a1c2a~</v>
      </c>
      <c r="M5431" s="89"/>
      <c r="N5431" s="89"/>
      <c r="O5431" s="92">
        <v>1.5238269E7</v>
      </c>
      <c r="P5431" s="92">
        <v>1.3126355E7</v>
      </c>
      <c r="Q5431" s="89" t="s">
        <v>813</v>
      </c>
      <c r="AF5431" s="1"/>
      <c r="AG5431" s="1"/>
    </row>
    <row r="5432" ht="15.75" customHeight="1">
      <c r="A5432" s="1"/>
      <c r="B5432" s="1"/>
      <c r="C5432" s="1"/>
      <c r="D5432" s="1"/>
      <c r="E5432" s="1"/>
      <c r="F5432" s="1"/>
      <c r="G5432" s="1"/>
      <c r="H5432" s="1"/>
      <c r="I5432" s="1"/>
      <c r="J5432" s="1"/>
      <c r="K5432" s="89" t="s">
        <v>8392</v>
      </c>
      <c r="L5432" s="89" t="str">
        <f>I243</f>
        <v>C2a1a1c2a~</v>
      </c>
      <c r="M5432" s="89"/>
      <c r="N5432" s="89"/>
      <c r="O5432" s="92">
        <v>1.6370564E7</v>
      </c>
      <c r="P5432" s="92">
        <v>1.4258684E7</v>
      </c>
      <c r="Q5432" s="89" t="s">
        <v>912</v>
      </c>
      <c r="AF5432" s="1"/>
      <c r="AG5432" s="1"/>
    </row>
    <row r="5433" ht="15.75" customHeight="1">
      <c r="A5433" s="1"/>
      <c r="B5433" s="1"/>
      <c r="C5433" s="1"/>
      <c r="D5433" s="1"/>
      <c r="E5433" s="1"/>
      <c r="F5433" s="1"/>
      <c r="G5433" s="1"/>
      <c r="H5433" s="1"/>
      <c r="I5433" s="1"/>
      <c r="J5433" s="1"/>
      <c r="K5433" s="89" t="s">
        <v>8393</v>
      </c>
      <c r="L5433" s="89" t="str">
        <f>I243</f>
        <v>C2a1a1c2a~</v>
      </c>
      <c r="M5433" s="89"/>
      <c r="N5433" s="89"/>
      <c r="O5433" s="92">
        <v>1.7908393E7</v>
      </c>
      <c r="P5433" s="92">
        <v>1.5796513E7</v>
      </c>
      <c r="Q5433" s="89" t="s">
        <v>838</v>
      </c>
      <c r="AF5433" s="1"/>
      <c r="AG5433" s="1"/>
    </row>
    <row r="5434" ht="15.75" customHeight="1">
      <c r="A5434" s="1"/>
      <c r="B5434" s="1"/>
      <c r="C5434" s="1"/>
      <c r="D5434" s="1"/>
      <c r="E5434" s="1"/>
      <c r="F5434" s="1"/>
      <c r="G5434" s="1"/>
      <c r="H5434" s="1"/>
      <c r="I5434" s="1"/>
      <c r="J5434" s="1"/>
      <c r="K5434" s="89" t="s">
        <v>8394</v>
      </c>
      <c r="L5434" s="89" t="str">
        <f>I243</f>
        <v>C2a1a1c2a~</v>
      </c>
      <c r="M5434" s="89"/>
      <c r="N5434" s="89"/>
      <c r="O5434" s="92">
        <v>2.1224566E7</v>
      </c>
      <c r="P5434" s="92">
        <v>1.906268E7</v>
      </c>
      <c r="Q5434" s="89" t="s">
        <v>810</v>
      </c>
      <c r="AF5434" s="1"/>
      <c r="AG5434" s="1"/>
    </row>
    <row r="5435" ht="15.75" customHeight="1">
      <c r="A5435" s="1"/>
      <c r="B5435" s="1"/>
      <c r="C5435" s="1"/>
      <c r="D5435" s="1"/>
      <c r="E5435" s="1"/>
      <c r="F5435" s="1"/>
      <c r="G5435" s="1"/>
      <c r="H5435" s="1"/>
      <c r="I5435" s="1"/>
      <c r="J5435" s="1"/>
      <c r="K5435" s="89" t="s">
        <v>8395</v>
      </c>
      <c r="L5435" s="89" t="str">
        <f>I243</f>
        <v>C2a1a1c2a~</v>
      </c>
      <c r="M5435" s="89"/>
      <c r="N5435" s="89"/>
      <c r="O5435" s="92">
        <v>2.1381973E7</v>
      </c>
      <c r="P5435" s="92">
        <v>1.9220087E7</v>
      </c>
      <c r="Q5435" s="89" t="s">
        <v>810</v>
      </c>
      <c r="AF5435" s="1"/>
      <c r="AG5435" s="1"/>
    </row>
    <row r="5436" ht="15.75" customHeight="1">
      <c r="A5436" s="1"/>
      <c r="B5436" s="1"/>
      <c r="C5436" s="1"/>
      <c r="D5436" s="1"/>
      <c r="E5436" s="1"/>
      <c r="F5436" s="1"/>
      <c r="G5436" s="1"/>
      <c r="H5436" s="1"/>
      <c r="I5436" s="1"/>
      <c r="J5436" s="1"/>
      <c r="K5436" s="89" t="s">
        <v>8396</v>
      </c>
      <c r="L5436" s="89" t="str">
        <f>I243</f>
        <v>C2a1a1c2a~</v>
      </c>
      <c r="M5436" s="89"/>
      <c r="N5436" s="89"/>
      <c r="O5436" s="92">
        <v>2.1484188E7</v>
      </c>
      <c r="P5436" s="92">
        <v>1.9322302E7</v>
      </c>
      <c r="Q5436" s="89" t="s">
        <v>917</v>
      </c>
      <c r="AF5436" s="1"/>
      <c r="AG5436" s="1"/>
    </row>
    <row r="5437" ht="15.75" customHeight="1">
      <c r="A5437" s="1"/>
      <c r="B5437" s="1"/>
      <c r="C5437" s="1"/>
      <c r="D5437" s="1"/>
      <c r="E5437" s="1"/>
      <c r="F5437" s="1"/>
      <c r="G5437" s="1"/>
      <c r="H5437" s="1"/>
      <c r="I5437" s="1"/>
      <c r="J5437" s="1"/>
      <c r="K5437" s="89" t="s">
        <v>8397</v>
      </c>
      <c r="L5437" s="89" t="str">
        <f>I243</f>
        <v>C2a1a1c2a~</v>
      </c>
      <c r="M5437" s="89"/>
      <c r="N5437" s="89"/>
      <c r="O5437" s="92">
        <v>2.148468E7</v>
      </c>
      <c r="P5437" s="92">
        <v>1.9322794E7</v>
      </c>
      <c r="Q5437" s="89" t="s">
        <v>810</v>
      </c>
      <c r="AF5437" s="1"/>
      <c r="AG5437" s="1"/>
    </row>
    <row r="5438" ht="15.75" customHeight="1">
      <c r="A5438" s="1"/>
      <c r="B5438" s="1"/>
      <c r="C5438" s="1"/>
      <c r="D5438" s="1"/>
      <c r="E5438" s="1"/>
      <c r="F5438" s="1"/>
      <c r="G5438" s="1"/>
      <c r="H5438" s="1"/>
      <c r="I5438" s="1"/>
      <c r="J5438" s="1"/>
      <c r="K5438" s="89" t="s">
        <v>8398</v>
      </c>
      <c r="L5438" s="89" t="str">
        <f>I243</f>
        <v>C2a1a1c2a~</v>
      </c>
      <c r="M5438" s="89"/>
      <c r="N5438" s="89"/>
      <c r="O5438" s="92">
        <v>2.3190611E7</v>
      </c>
      <c r="P5438" s="92">
        <v>2.1028725E7</v>
      </c>
      <c r="Q5438" s="89" t="s">
        <v>879</v>
      </c>
      <c r="AF5438" s="1"/>
      <c r="AG5438" s="1"/>
    </row>
    <row r="5439" ht="15.75" customHeight="1">
      <c r="A5439" s="1"/>
      <c r="B5439" s="1"/>
      <c r="C5439" s="1"/>
      <c r="D5439" s="1"/>
      <c r="E5439" s="1"/>
      <c r="F5439" s="1"/>
      <c r="G5439" s="1"/>
      <c r="H5439" s="1"/>
      <c r="I5439" s="1"/>
      <c r="J5439" s="1"/>
      <c r="K5439" s="89" t="s">
        <v>8399</v>
      </c>
      <c r="L5439" s="89" t="str">
        <f>I243</f>
        <v>C2a1a1c2a~</v>
      </c>
      <c r="M5439" s="89"/>
      <c r="N5439" s="89"/>
      <c r="O5439" s="92">
        <v>2.346163E7</v>
      </c>
      <c r="P5439" s="92">
        <v>2.1299744E7</v>
      </c>
      <c r="Q5439" s="89" t="s">
        <v>886</v>
      </c>
      <c r="AF5439" s="1"/>
      <c r="AG5439" s="1"/>
    </row>
    <row r="5440" ht="15.75" customHeight="1">
      <c r="A5440" s="1"/>
      <c r="B5440" s="1"/>
      <c r="C5440" s="1"/>
      <c r="D5440" s="1"/>
      <c r="E5440" s="1"/>
      <c r="F5440" s="1"/>
      <c r="G5440" s="1"/>
      <c r="H5440" s="1"/>
      <c r="I5440" s="1"/>
      <c r="J5440" s="1"/>
      <c r="K5440" s="89" t="s">
        <v>8400</v>
      </c>
      <c r="L5440" s="89" t="str">
        <f>I243</f>
        <v>C2a1a1c2a~</v>
      </c>
      <c r="M5440" s="89"/>
      <c r="N5440" s="89"/>
      <c r="O5440" s="92">
        <v>2.3982331E7</v>
      </c>
      <c r="P5440" s="92">
        <v>2.1836184E7</v>
      </c>
      <c r="Q5440" s="89" t="s">
        <v>879</v>
      </c>
      <c r="AF5440" s="1"/>
      <c r="AG5440" s="1"/>
    </row>
    <row r="5441" ht="15.75" customHeight="1">
      <c r="A5441" s="1"/>
      <c r="B5441" s="1"/>
      <c r="C5441" s="1"/>
      <c r="D5441" s="1"/>
      <c r="E5441" s="1"/>
      <c r="F5441" s="1"/>
      <c r="G5441" s="1"/>
      <c r="H5441" s="1"/>
      <c r="I5441" s="1"/>
      <c r="J5441" s="1"/>
      <c r="K5441" s="89" t="s">
        <v>448</v>
      </c>
      <c r="L5441" s="89" t="str">
        <f>J244</f>
        <v>C2a1a1c2a1~</v>
      </c>
      <c r="M5441" s="89"/>
      <c r="N5441" s="89"/>
      <c r="O5441" s="92">
        <v>7740265.0</v>
      </c>
      <c r="P5441" s="92">
        <v>7872224.0</v>
      </c>
      <c r="Q5441" s="89" t="s">
        <v>810</v>
      </c>
      <c r="AF5441" s="1"/>
      <c r="AG5441" s="1"/>
    </row>
    <row r="5442" ht="15.75" customHeight="1">
      <c r="A5442" s="1"/>
      <c r="B5442" s="1"/>
      <c r="C5442" s="1"/>
      <c r="D5442" s="1"/>
      <c r="E5442" s="1"/>
      <c r="F5442" s="1"/>
      <c r="G5442" s="1"/>
      <c r="H5442" s="1"/>
      <c r="I5442" s="1"/>
      <c r="J5442" s="1"/>
      <c r="K5442" s="89" t="s">
        <v>8401</v>
      </c>
      <c r="L5442" s="89" t="str">
        <f>H245</f>
        <v>C2a1a1c3~</v>
      </c>
      <c r="M5442" s="89"/>
      <c r="N5442" s="89"/>
      <c r="O5442" s="92">
        <v>8591341.0</v>
      </c>
      <c r="P5442" s="92">
        <v>8723300.0</v>
      </c>
      <c r="Q5442" s="89" t="s">
        <v>831</v>
      </c>
      <c r="AF5442" s="1"/>
      <c r="AG5442" s="1"/>
    </row>
    <row r="5443" ht="15.75" customHeight="1">
      <c r="A5443" s="1"/>
      <c r="B5443" s="1"/>
      <c r="C5443" s="1"/>
      <c r="D5443" s="1"/>
      <c r="E5443" s="1"/>
      <c r="F5443" s="1"/>
      <c r="G5443" s="1"/>
      <c r="H5443" s="1"/>
      <c r="I5443" s="1"/>
      <c r="J5443" s="1"/>
      <c r="K5443" s="89" t="s">
        <v>8402</v>
      </c>
      <c r="L5443" s="89" t="str">
        <f t="shared" ref="L5443:L5445" si="58">H245</f>
        <v>C2a1a1c3~</v>
      </c>
      <c r="M5443" s="89"/>
      <c r="N5443" s="89"/>
      <c r="O5443" s="92">
        <v>1.4971496E7</v>
      </c>
      <c r="P5443" s="92">
        <v>1.2859571E7</v>
      </c>
      <c r="Q5443" s="89" t="s">
        <v>845</v>
      </c>
      <c r="AF5443" s="1"/>
      <c r="AG5443" s="1"/>
    </row>
    <row r="5444" ht="15.75" customHeight="1">
      <c r="A5444" s="1"/>
      <c r="B5444" s="1"/>
      <c r="C5444" s="1"/>
      <c r="D5444" s="1"/>
      <c r="E5444" s="1"/>
      <c r="F5444" s="1"/>
      <c r="G5444" s="1"/>
      <c r="H5444" s="1"/>
      <c r="I5444" s="1"/>
      <c r="J5444" s="1"/>
      <c r="K5444" s="89" t="s">
        <v>452</v>
      </c>
      <c r="L5444" s="89" t="str">
        <f t="shared" si="58"/>
        <v>C2a1a1c4~</v>
      </c>
      <c r="M5444" s="89"/>
      <c r="N5444" s="89"/>
      <c r="O5444" s="92">
        <v>7546772.0</v>
      </c>
      <c r="P5444" s="92">
        <v>7678731.0</v>
      </c>
      <c r="Q5444" s="89" t="s">
        <v>810</v>
      </c>
      <c r="AF5444" s="1"/>
      <c r="AG5444" s="1"/>
    </row>
    <row r="5445" ht="15.75" customHeight="1">
      <c r="A5445" s="1"/>
      <c r="B5445" s="1"/>
      <c r="C5445" s="1"/>
      <c r="D5445" s="1"/>
      <c r="E5445" s="1"/>
      <c r="F5445" s="1"/>
      <c r="G5445" s="1"/>
      <c r="H5445" s="1"/>
      <c r="I5445" s="1"/>
      <c r="J5445" s="1"/>
      <c r="K5445" s="93" t="s">
        <v>8403</v>
      </c>
      <c r="L5445" s="89" t="str">
        <f t="shared" si="58"/>
        <v>C2a1a1c5~</v>
      </c>
      <c r="M5445" s="89"/>
      <c r="N5445" s="89"/>
      <c r="O5445" s="108">
        <v>3001744.0</v>
      </c>
      <c r="P5445" s="108">
        <v>2869785.0</v>
      </c>
      <c r="Q5445" s="93" t="s">
        <v>810</v>
      </c>
      <c r="AF5445" s="1"/>
      <c r="AG5445" s="1"/>
    </row>
    <row r="5446" ht="15.75" customHeight="1">
      <c r="A5446" s="1"/>
      <c r="B5446" s="1"/>
      <c r="C5446" s="1"/>
      <c r="D5446" s="1"/>
      <c r="E5446" s="1"/>
      <c r="F5446" s="1"/>
      <c r="G5446" s="1"/>
      <c r="H5446" s="1"/>
      <c r="I5446" s="1"/>
      <c r="J5446" s="1"/>
      <c r="K5446" s="93" t="s">
        <v>8404</v>
      </c>
      <c r="L5446" s="89" t="str">
        <f>H247</f>
        <v>C2a1a1c5~</v>
      </c>
      <c r="M5446" s="89"/>
      <c r="N5446" s="89"/>
      <c r="O5446" s="108">
        <v>7152387.0</v>
      </c>
      <c r="P5446" s="108">
        <v>7020428.0</v>
      </c>
      <c r="Q5446" s="93" t="s">
        <v>912</v>
      </c>
      <c r="AF5446" s="1"/>
      <c r="AG5446" s="1"/>
    </row>
    <row r="5447" ht="15.75" customHeight="1">
      <c r="A5447" s="1"/>
      <c r="B5447" s="1"/>
      <c r="C5447" s="1"/>
      <c r="D5447" s="1"/>
      <c r="E5447" s="1"/>
      <c r="F5447" s="1"/>
      <c r="G5447" s="1"/>
      <c r="H5447" s="1"/>
      <c r="I5447" s="1"/>
      <c r="J5447" s="1"/>
      <c r="K5447" s="93" t="s">
        <v>8405</v>
      </c>
      <c r="L5447" s="89" t="str">
        <f>H247</f>
        <v>C2a1a1c5~</v>
      </c>
      <c r="M5447" s="89"/>
      <c r="N5447" s="89"/>
      <c r="O5447" s="108">
        <v>7237903.0</v>
      </c>
      <c r="P5447" s="108">
        <v>7105944.0</v>
      </c>
      <c r="Q5447" s="93" t="s">
        <v>886</v>
      </c>
      <c r="AF5447" s="1"/>
      <c r="AG5447" s="1"/>
    </row>
    <row r="5448" ht="15.75" customHeight="1">
      <c r="A5448" s="1"/>
      <c r="B5448" s="1"/>
      <c r="C5448" s="1"/>
      <c r="D5448" s="1"/>
      <c r="E5448" s="1"/>
      <c r="F5448" s="1"/>
      <c r="G5448" s="1"/>
      <c r="H5448" s="1"/>
      <c r="I5448" s="1"/>
      <c r="J5448" s="1"/>
      <c r="K5448" s="93" t="s">
        <v>8406</v>
      </c>
      <c r="L5448" s="89" t="str">
        <f>H247</f>
        <v>C2a1a1c5~</v>
      </c>
      <c r="M5448" s="89"/>
      <c r="N5448" s="89"/>
      <c r="O5448" s="108">
        <v>7658945.0</v>
      </c>
      <c r="P5448" s="108">
        <v>7526986.0</v>
      </c>
      <c r="Q5448" s="93" t="s">
        <v>879</v>
      </c>
      <c r="AF5448" s="1"/>
      <c r="AG5448" s="1"/>
    </row>
    <row r="5449" ht="15.75" customHeight="1">
      <c r="A5449" s="1"/>
      <c r="B5449" s="1"/>
      <c r="C5449" s="1"/>
      <c r="D5449" s="1"/>
      <c r="E5449" s="1"/>
      <c r="F5449" s="1"/>
      <c r="G5449" s="1"/>
      <c r="H5449" s="1"/>
      <c r="I5449" s="1"/>
      <c r="J5449" s="1"/>
      <c r="K5449" s="93" t="s">
        <v>8407</v>
      </c>
      <c r="L5449" s="89" t="str">
        <f>H247</f>
        <v>C2a1a1c5~</v>
      </c>
      <c r="M5449" s="89"/>
      <c r="N5449" s="89"/>
      <c r="O5449" s="108">
        <v>8348721.0</v>
      </c>
      <c r="P5449" s="108">
        <v>8216762.0</v>
      </c>
      <c r="Q5449" s="93" t="s">
        <v>838</v>
      </c>
      <c r="AF5449" s="1"/>
      <c r="AG5449" s="1"/>
    </row>
    <row r="5450" ht="15.75" customHeight="1">
      <c r="A5450" s="1"/>
      <c r="B5450" s="1"/>
      <c r="C5450" s="1"/>
      <c r="D5450" s="1"/>
      <c r="E5450" s="1"/>
      <c r="F5450" s="1"/>
      <c r="G5450" s="1"/>
      <c r="H5450" s="1"/>
      <c r="I5450" s="1"/>
      <c r="J5450" s="1"/>
      <c r="K5450" s="89" t="s">
        <v>8408</v>
      </c>
      <c r="L5450" s="89" t="str">
        <f>G248</f>
        <v>C2a1a1d</v>
      </c>
      <c r="M5450" s="89" t="s">
        <v>8409</v>
      </c>
      <c r="N5450" s="89" t="s">
        <v>8410</v>
      </c>
      <c r="O5450" s="92">
        <v>7922665.0</v>
      </c>
      <c r="P5450" s="92">
        <v>8054624.0</v>
      </c>
      <c r="Q5450" s="89" t="s">
        <v>838</v>
      </c>
      <c r="AF5450" s="1"/>
      <c r="AG5450" s="1"/>
    </row>
    <row r="5451" ht="15.75" customHeight="1">
      <c r="A5451" s="1"/>
      <c r="B5451" s="1"/>
      <c r="C5451" s="1"/>
      <c r="D5451" s="1"/>
      <c r="E5451" s="1"/>
      <c r="F5451" s="1"/>
      <c r="G5451" s="1"/>
      <c r="H5451" s="1"/>
      <c r="I5451" s="1"/>
      <c r="J5451" s="1"/>
      <c r="K5451" s="89" t="s">
        <v>8411</v>
      </c>
      <c r="L5451" s="89" t="str">
        <f>G248</f>
        <v>C2a1a1d</v>
      </c>
      <c r="M5451" s="89" t="s">
        <v>8412</v>
      </c>
      <c r="N5451" s="89" t="s">
        <v>8410</v>
      </c>
      <c r="O5451" s="92">
        <v>7922665.0</v>
      </c>
      <c r="P5451" s="92">
        <v>8054624.0</v>
      </c>
      <c r="Q5451" s="89" t="s">
        <v>838</v>
      </c>
      <c r="AF5451" s="1"/>
      <c r="AG5451" s="1"/>
    </row>
    <row r="5452" ht="15.75" customHeight="1">
      <c r="A5452" s="1"/>
      <c r="B5452" s="1"/>
      <c r="C5452" s="1"/>
      <c r="D5452" s="1"/>
      <c r="E5452" s="1"/>
      <c r="F5452" s="1"/>
      <c r="G5452" s="1"/>
      <c r="H5452" s="1"/>
      <c r="I5452" s="1"/>
      <c r="J5452" s="1"/>
      <c r="K5452" s="89" t="s">
        <v>8413</v>
      </c>
      <c r="L5452" s="89" t="str">
        <f>G248</f>
        <v>C2a1a1d</v>
      </c>
      <c r="M5452" s="89" t="s">
        <v>8414</v>
      </c>
      <c r="N5452" s="89" t="s">
        <v>8410</v>
      </c>
      <c r="O5452" s="92">
        <v>7922665.0</v>
      </c>
      <c r="P5452" s="92">
        <v>8054624.0</v>
      </c>
      <c r="Q5452" s="89" t="s">
        <v>838</v>
      </c>
      <c r="AF5452" s="1"/>
      <c r="AG5452" s="1"/>
    </row>
    <row r="5453" ht="15.75" customHeight="1">
      <c r="A5453" s="1"/>
      <c r="B5453" s="1"/>
      <c r="C5453" s="1"/>
      <c r="D5453" s="1"/>
      <c r="E5453" s="1"/>
      <c r="F5453" s="1"/>
      <c r="G5453" s="1"/>
      <c r="H5453" s="1"/>
      <c r="I5453" s="1"/>
      <c r="J5453" s="1"/>
      <c r="K5453" s="89" t="s">
        <v>8415</v>
      </c>
      <c r="L5453" s="89" t="str">
        <f>G248</f>
        <v>C2a1a1d</v>
      </c>
      <c r="M5453" s="89" t="s">
        <v>8416</v>
      </c>
      <c r="N5453" s="89"/>
      <c r="O5453" s="92">
        <v>8009139.0</v>
      </c>
      <c r="P5453" s="92">
        <v>8141098.0</v>
      </c>
      <c r="Q5453" s="89" t="s">
        <v>845</v>
      </c>
      <c r="AF5453" s="1"/>
      <c r="AG5453" s="1"/>
    </row>
    <row r="5454" ht="15.75" customHeight="1">
      <c r="A5454" s="1"/>
      <c r="B5454" s="1"/>
      <c r="C5454" s="1"/>
      <c r="D5454" s="1"/>
      <c r="E5454" s="1"/>
      <c r="F5454" s="1"/>
      <c r="G5454" s="1"/>
      <c r="H5454" s="1"/>
      <c r="I5454" s="1"/>
      <c r="J5454" s="1"/>
      <c r="K5454" s="89" t="s">
        <v>8417</v>
      </c>
      <c r="L5454" s="89" t="str">
        <f>G248</f>
        <v>C2a1a1d</v>
      </c>
      <c r="M5454" s="89" t="s">
        <v>8418</v>
      </c>
      <c r="N5454" s="89"/>
      <c r="O5454" s="92">
        <v>8009139.0</v>
      </c>
      <c r="P5454" s="92">
        <v>8141098.0</v>
      </c>
      <c r="Q5454" s="89" t="s">
        <v>845</v>
      </c>
      <c r="AF5454" s="1"/>
      <c r="AG5454" s="1"/>
    </row>
    <row r="5455" ht="15.75" customHeight="1">
      <c r="A5455" s="1"/>
      <c r="B5455" s="1"/>
      <c r="C5455" s="1"/>
      <c r="D5455" s="1"/>
      <c r="E5455" s="1"/>
      <c r="F5455" s="1"/>
      <c r="G5455" s="1"/>
      <c r="H5455" s="1"/>
      <c r="I5455" s="1"/>
      <c r="J5455" s="1"/>
      <c r="K5455" s="89" t="s">
        <v>8419</v>
      </c>
      <c r="L5455" s="89" t="str">
        <f>G248</f>
        <v>C2a1a1d</v>
      </c>
      <c r="M5455" s="89" t="s">
        <v>8420</v>
      </c>
      <c r="N5455" s="89"/>
      <c r="O5455" s="92">
        <v>8009139.0</v>
      </c>
      <c r="P5455" s="92">
        <v>8141098.0</v>
      </c>
      <c r="Q5455" s="89" t="s">
        <v>845</v>
      </c>
      <c r="AF5455" s="1"/>
      <c r="AG5455" s="1"/>
    </row>
    <row r="5456" ht="15.75" customHeight="1">
      <c r="A5456" s="1"/>
      <c r="B5456" s="1"/>
      <c r="C5456" s="1"/>
      <c r="D5456" s="1"/>
      <c r="E5456" s="1"/>
      <c r="F5456" s="1"/>
      <c r="G5456" s="1"/>
      <c r="H5456" s="1"/>
      <c r="I5456" s="1"/>
      <c r="J5456" s="1"/>
      <c r="K5456" s="89" t="s">
        <v>8421</v>
      </c>
      <c r="L5456" s="89" t="str">
        <f>G248</f>
        <v>C2a1a1d</v>
      </c>
      <c r="M5456" s="89" t="s">
        <v>8422</v>
      </c>
      <c r="N5456" s="89" t="s">
        <v>8423</v>
      </c>
      <c r="O5456" s="92">
        <v>8356590.0</v>
      </c>
      <c r="P5456" s="92">
        <v>8488549.0</v>
      </c>
      <c r="Q5456" s="89" t="s">
        <v>838</v>
      </c>
      <c r="AF5456" s="1"/>
      <c r="AG5456" s="1"/>
    </row>
    <row r="5457" ht="15.75" customHeight="1">
      <c r="A5457" s="1"/>
      <c r="B5457" s="1"/>
      <c r="C5457" s="1"/>
      <c r="D5457" s="1"/>
      <c r="E5457" s="1"/>
      <c r="F5457" s="1"/>
      <c r="G5457" s="1"/>
      <c r="H5457" s="1"/>
      <c r="I5457" s="1"/>
      <c r="J5457" s="1"/>
      <c r="K5457" s="89" t="s">
        <v>8424</v>
      </c>
      <c r="L5457" s="89" t="str">
        <f>G248</f>
        <v>C2a1a1d</v>
      </c>
      <c r="M5457" s="89" t="s">
        <v>8425</v>
      </c>
      <c r="N5457" s="89" t="s">
        <v>8423</v>
      </c>
      <c r="O5457" s="92">
        <v>8356590.0</v>
      </c>
      <c r="P5457" s="92">
        <v>8488549.0</v>
      </c>
      <c r="Q5457" s="89" t="s">
        <v>838</v>
      </c>
      <c r="AF5457" s="1"/>
      <c r="AG5457" s="1"/>
    </row>
    <row r="5458" ht="15.75" customHeight="1">
      <c r="A5458" s="1"/>
      <c r="B5458" s="1"/>
      <c r="C5458" s="1"/>
      <c r="D5458" s="1"/>
      <c r="E5458" s="1"/>
      <c r="F5458" s="1"/>
      <c r="G5458" s="1"/>
      <c r="H5458" s="1"/>
      <c r="I5458" s="1"/>
      <c r="J5458" s="1"/>
      <c r="K5458" s="89" t="s">
        <v>8426</v>
      </c>
      <c r="L5458" s="89" t="str">
        <f>G248</f>
        <v>C2a1a1d</v>
      </c>
      <c r="M5458" s="89" t="s">
        <v>8427</v>
      </c>
      <c r="N5458" s="89" t="s">
        <v>8423</v>
      </c>
      <c r="O5458" s="92">
        <v>8356590.0</v>
      </c>
      <c r="P5458" s="92">
        <v>8488549.0</v>
      </c>
      <c r="Q5458" s="89" t="s">
        <v>838</v>
      </c>
      <c r="AF5458" s="1"/>
      <c r="AG5458" s="1"/>
    </row>
    <row r="5459" ht="15.75" customHeight="1">
      <c r="A5459" s="1"/>
      <c r="B5459" s="1"/>
      <c r="C5459" s="1"/>
      <c r="D5459" s="1"/>
      <c r="E5459" s="1"/>
      <c r="F5459" s="1"/>
      <c r="G5459" s="1"/>
      <c r="H5459" s="1"/>
      <c r="I5459" s="1"/>
      <c r="J5459" s="1"/>
      <c r="K5459" s="89" t="s">
        <v>8428</v>
      </c>
      <c r="L5459" s="89" t="str">
        <f>G248</f>
        <v>C2a1a1d</v>
      </c>
      <c r="M5459" s="89" t="s">
        <v>8429</v>
      </c>
      <c r="N5459" s="89"/>
      <c r="O5459" s="92">
        <v>8417447.0</v>
      </c>
      <c r="P5459" s="92">
        <v>8549406.0</v>
      </c>
      <c r="Q5459" s="89" t="s">
        <v>813</v>
      </c>
      <c r="AF5459" s="1"/>
      <c r="AG5459" s="1"/>
    </row>
    <row r="5460" ht="15.75" customHeight="1">
      <c r="A5460" s="1"/>
      <c r="B5460" s="1"/>
      <c r="C5460" s="1"/>
      <c r="D5460" s="1"/>
      <c r="E5460" s="1"/>
      <c r="F5460" s="1"/>
      <c r="G5460" s="1"/>
      <c r="H5460" s="1"/>
      <c r="I5460" s="1"/>
      <c r="J5460" s="1"/>
      <c r="K5460" s="89" t="s">
        <v>8430</v>
      </c>
      <c r="L5460" s="89" t="str">
        <f>G248</f>
        <v>C2a1a1d</v>
      </c>
      <c r="M5460" s="89" t="s">
        <v>8431</v>
      </c>
      <c r="N5460" s="89"/>
      <c r="O5460" s="92">
        <v>8417447.0</v>
      </c>
      <c r="P5460" s="92">
        <v>8549406.0</v>
      </c>
      <c r="Q5460" s="89" t="s">
        <v>813</v>
      </c>
      <c r="AF5460" s="1"/>
      <c r="AG5460" s="1"/>
    </row>
    <row r="5461" ht="15.75" customHeight="1">
      <c r="A5461" s="1"/>
      <c r="B5461" s="1"/>
      <c r="C5461" s="1"/>
      <c r="D5461" s="1"/>
      <c r="E5461" s="1"/>
      <c r="F5461" s="1"/>
      <c r="G5461" s="1"/>
      <c r="H5461" s="1"/>
      <c r="I5461" s="1"/>
      <c r="J5461" s="1"/>
      <c r="K5461" s="89" t="s">
        <v>8432</v>
      </c>
      <c r="L5461" s="89" t="str">
        <f>G248</f>
        <v>C2a1a1d</v>
      </c>
      <c r="M5461" s="89" t="s">
        <v>8433</v>
      </c>
      <c r="N5461" s="89"/>
      <c r="O5461" s="92">
        <v>8417447.0</v>
      </c>
      <c r="P5461" s="92">
        <v>8549406.0</v>
      </c>
      <c r="Q5461" s="89" t="s">
        <v>813</v>
      </c>
      <c r="AF5461" s="1"/>
      <c r="AG5461" s="1"/>
    </row>
    <row r="5462" ht="15.75" customHeight="1">
      <c r="A5462" s="1"/>
      <c r="B5462" s="1"/>
      <c r="C5462" s="1"/>
      <c r="D5462" s="1"/>
      <c r="E5462" s="1"/>
      <c r="F5462" s="1"/>
      <c r="G5462" s="1"/>
      <c r="H5462" s="1"/>
      <c r="I5462" s="1"/>
      <c r="J5462" s="1"/>
      <c r="K5462" s="89" t="s">
        <v>8434</v>
      </c>
      <c r="L5462" s="89" t="str">
        <f>G248</f>
        <v>C2a1a1d</v>
      </c>
      <c r="M5462" s="89" t="s">
        <v>8435</v>
      </c>
      <c r="N5462" s="89" t="s">
        <v>8436</v>
      </c>
      <c r="O5462" s="92">
        <v>9900580.0</v>
      </c>
      <c r="P5462" s="92">
        <v>1.0062971E7</v>
      </c>
      <c r="Q5462" s="89" t="s">
        <v>822</v>
      </c>
      <c r="AF5462" s="1"/>
      <c r="AG5462" s="1"/>
    </row>
    <row r="5463" ht="15.75" customHeight="1">
      <c r="A5463" s="1"/>
      <c r="B5463" s="1"/>
      <c r="C5463" s="1"/>
      <c r="D5463" s="1"/>
      <c r="E5463" s="1"/>
      <c r="F5463" s="1"/>
      <c r="G5463" s="1"/>
      <c r="H5463" s="1"/>
      <c r="I5463" s="1"/>
      <c r="J5463" s="1"/>
      <c r="K5463" s="89" t="s">
        <v>8437</v>
      </c>
      <c r="L5463" s="89" t="str">
        <f>G248</f>
        <v>C2a1a1d</v>
      </c>
      <c r="M5463" s="89" t="s">
        <v>8438</v>
      </c>
      <c r="N5463" s="89" t="s">
        <v>8436</v>
      </c>
      <c r="O5463" s="92">
        <v>9900580.0</v>
      </c>
      <c r="P5463" s="92">
        <v>1.0062971E7</v>
      </c>
      <c r="Q5463" s="89" t="s">
        <v>822</v>
      </c>
      <c r="AF5463" s="1"/>
      <c r="AG5463" s="1"/>
    </row>
    <row r="5464" ht="15.75" customHeight="1">
      <c r="A5464" s="1"/>
      <c r="B5464" s="1"/>
      <c r="C5464" s="1"/>
      <c r="D5464" s="1"/>
      <c r="E5464" s="1"/>
      <c r="F5464" s="1"/>
      <c r="G5464" s="1"/>
      <c r="H5464" s="1"/>
      <c r="I5464" s="1"/>
      <c r="J5464" s="1"/>
      <c r="K5464" s="89" t="s">
        <v>8439</v>
      </c>
      <c r="L5464" s="89" t="str">
        <f>G248</f>
        <v>C2a1a1d</v>
      </c>
      <c r="M5464" s="89" t="s">
        <v>8440</v>
      </c>
      <c r="N5464" s="89" t="s">
        <v>8436</v>
      </c>
      <c r="O5464" s="92">
        <v>9900580.0</v>
      </c>
      <c r="P5464" s="92">
        <v>1.0062971E7</v>
      </c>
      <c r="Q5464" s="89" t="s">
        <v>822</v>
      </c>
      <c r="AF5464" s="1"/>
      <c r="AG5464" s="1"/>
    </row>
    <row r="5465" ht="15.75" customHeight="1">
      <c r="A5465" s="1"/>
      <c r="B5465" s="1"/>
      <c r="C5465" s="1"/>
      <c r="D5465" s="1"/>
      <c r="E5465" s="1"/>
      <c r="F5465" s="1"/>
      <c r="G5465" s="1"/>
      <c r="H5465" s="1"/>
      <c r="I5465" s="1"/>
      <c r="J5465" s="1"/>
      <c r="K5465" s="89" t="s">
        <v>8441</v>
      </c>
      <c r="L5465" s="89" t="str">
        <f>G248</f>
        <v>C2a1a1d</v>
      </c>
      <c r="M5465" s="89" t="s">
        <v>8442</v>
      </c>
      <c r="N5465" s="89" t="s">
        <v>8443</v>
      </c>
      <c r="O5465" s="92">
        <v>1.3659199E7</v>
      </c>
      <c r="P5465" s="92">
        <v>1.1503523E7</v>
      </c>
      <c r="Q5465" s="89" t="s">
        <v>831</v>
      </c>
      <c r="AF5465" s="1"/>
      <c r="AG5465" s="1"/>
    </row>
    <row r="5466" ht="15.75" customHeight="1">
      <c r="A5466" s="1"/>
      <c r="B5466" s="1"/>
      <c r="C5466" s="1"/>
      <c r="D5466" s="1"/>
      <c r="E5466" s="1"/>
      <c r="F5466" s="1"/>
      <c r="G5466" s="1"/>
      <c r="H5466" s="1"/>
      <c r="I5466" s="1"/>
      <c r="J5466" s="1"/>
      <c r="K5466" s="89" t="s">
        <v>8442</v>
      </c>
      <c r="L5466" s="89" t="str">
        <f>G248</f>
        <v>C2a1a1d</v>
      </c>
      <c r="M5466" s="89" t="s">
        <v>8441</v>
      </c>
      <c r="N5466" s="89" t="s">
        <v>8443</v>
      </c>
      <c r="O5466" s="92">
        <v>1.3659199E7</v>
      </c>
      <c r="P5466" s="92">
        <v>1.1503523E7</v>
      </c>
      <c r="Q5466" s="89" t="s">
        <v>831</v>
      </c>
      <c r="AF5466" s="1"/>
      <c r="AG5466" s="1"/>
    </row>
    <row r="5467" ht="15.75" customHeight="1">
      <c r="A5467" s="1"/>
      <c r="B5467" s="1"/>
      <c r="C5467" s="1"/>
      <c r="D5467" s="1"/>
      <c r="E5467" s="1"/>
      <c r="F5467" s="1"/>
      <c r="G5467" s="1"/>
      <c r="H5467" s="1"/>
      <c r="I5467" s="1"/>
      <c r="J5467" s="1"/>
      <c r="K5467" s="89" t="s">
        <v>8444</v>
      </c>
      <c r="L5467" s="89" t="str">
        <f>G248</f>
        <v>C2a1a1d</v>
      </c>
      <c r="M5467" s="89" t="s">
        <v>8445</v>
      </c>
      <c r="N5467" s="89"/>
      <c r="O5467" s="92">
        <v>1.4096743E7</v>
      </c>
      <c r="P5467" s="92">
        <v>1.1976037E7</v>
      </c>
      <c r="Q5467" s="89" t="s">
        <v>802</v>
      </c>
      <c r="AF5467" s="1"/>
      <c r="AG5467" s="1"/>
    </row>
    <row r="5468" ht="15.75" customHeight="1">
      <c r="A5468" s="1"/>
      <c r="B5468" s="1"/>
      <c r="C5468" s="1"/>
      <c r="D5468" s="1"/>
      <c r="E5468" s="1"/>
      <c r="F5468" s="1"/>
      <c r="G5468" s="1"/>
      <c r="H5468" s="1"/>
      <c r="I5468" s="1"/>
      <c r="J5468" s="1"/>
      <c r="K5468" s="89" t="s">
        <v>8446</v>
      </c>
      <c r="L5468" s="89" t="str">
        <f>G248</f>
        <v>C2a1a1d</v>
      </c>
      <c r="M5468" s="89" t="s">
        <v>8447</v>
      </c>
      <c r="N5468" s="89"/>
      <c r="O5468" s="92">
        <v>1.4096743E7</v>
      </c>
      <c r="P5468" s="92">
        <v>1.1976037E7</v>
      </c>
      <c r="Q5468" s="89" t="s">
        <v>802</v>
      </c>
      <c r="AF5468" s="1"/>
      <c r="AG5468" s="1"/>
    </row>
    <row r="5469" ht="15.75" customHeight="1">
      <c r="A5469" s="1"/>
      <c r="B5469" s="1"/>
      <c r="C5469" s="1"/>
      <c r="D5469" s="1"/>
      <c r="E5469" s="1"/>
      <c r="F5469" s="1"/>
      <c r="G5469" s="1"/>
      <c r="H5469" s="1"/>
      <c r="I5469" s="1"/>
      <c r="J5469" s="1"/>
      <c r="K5469" s="89" t="s">
        <v>8448</v>
      </c>
      <c r="L5469" s="89" t="str">
        <f>G248</f>
        <v>C2a1a1d</v>
      </c>
      <c r="M5469" s="89" t="s">
        <v>8449</v>
      </c>
      <c r="N5469" s="89"/>
      <c r="O5469" s="92">
        <v>1.4096743E7</v>
      </c>
      <c r="P5469" s="92">
        <v>1.1976037E7</v>
      </c>
      <c r="Q5469" s="89" t="s">
        <v>802</v>
      </c>
      <c r="AF5469" s="1"/>
      <c r="AG5469" s="1"/>
    </row>
    <row r="5470" ht="15.75" customHeight="1">
      <c r="A5470" s="1"/>
      <c r="B5470" s="1"/>
      <c r="C5470" s="1"/>
      <c r="D5470" s="1"/>
      <c r="E5470" s="1"/>
      <c r="F5470" s="1"/>
      <c r="G5470" s="1"/>
      <c r="H5470" s="1"/>
      <c r="I5470" s="1"/>
      <c r="J5470" s="1"/>
      <c r="K5470" s="89" t="s">
        <v>8450</v>
      </c>
      <c r="L5470" s="89" t="str">
        <f>G248</f>
        <v>C2a1a1d</v>
      </c>
      <c r="M5470" s="89" t="s">
        <v>8451</v>
      </c>
      <c r="N5470" s="89"/>
      <c r="O5470" s="92">
        <v>1.4334536E7</v>
      </c>
      <c r="P5470" s="92">
        <v>1.2213831E7</v>
      </c>
      <c r="Q5470" s="89" t="s">
        <v>810</v>
      </c>
      <c r="AF5470" s="1"/>
      <c r="AG5470" s="1"/>
    </row>
    <row r="5471" ht="15.75" customHeight="1">
      <c r="A5471" s="1"/>
      <c r="B5471" s="1"/>
      <c r="C5471" s="1"/>
      <c r="D5471" s="1"/>
      <c r="E5471" s="1"/>
      <c r="F5471" s="1"/>
      <c r="G5471" s="1"/>
      <c r="H5471" s="1"/>
      <c r="I5471" s="1"/>
      <c r="J5471" s="1"/>
      <c r="K5471" s="89" t="s">
        <v>8452</v>
      </c>
      <c r="L5471" s="89" t="str">
        <f>G248</f>
        <v>C2a1a1d</v>
      </c>
      <c r="M5471" s="89" t="s">
        <v>8453</v>
      </c>
      <c r="N5471" s="89"/>
      <c r="O5471" s="92">
        <v>1.4334536E7</v>
      </c>
      <c r="P5471" s="92">
        <v>1.2213831E7</v>
      </c>
      <c r="Q5471" s="89" t="s">
        <v>810</v>
      </c>
      <c r="AF5471" s="1"/>
      <c r="AG5471" s="1"/>
    </row>
    <row r="5472" ht="15.75" customHeight="1">
      <c r="A5472" s="1"/>
      <c r="B5472" s="1"/>
      <c r="C5472" s="1"/>
      <c r="D5472" s="1"/>
      <c r="E5472" s="1"/>
      <c r="F5472" s="1"/>
      <c r="G5472" s="1"/>
      <c r="H5472" s="1"/>
      <c r="I5472" s="1"/>
      <c r="J5472" s="1"/>
      <c r="K5472" s="89" t="s">
        <v>8454</v>
      </c>
      <c r="L5472" s="89" t="str">
        <f>G248</f>
        <v>C2a1a1d</v>
      </c>
      <c r="M5472" s="89" t="s">
        <v>8455</v>
      </c>
      <c r="N5472" s="89"/>
      <c r="O5472" s="92">
        <v>1.4334536E7</v>
      </c>
      <c r="P5472" s="92">
        <v>1.2213831E7</v>
      </c>
      <c r="Q5472" s="89" t="s">
        <v>810</v>
      </c>
      <c r="AF5472" s="1"/>
      <c r="AG5472" s="1"/>
    </row>
    <row r="5473" ht="15.75" customHeight="1">
      <c r="A5473" s="1"/>
      <c r="B5473" s="1"/>
      <c r="C5473" s="1"/>
      <c r="D5473" s="1"/>
      <c r="E5473" s="1"/>
      <c r="F5473" s="1"/>
      <c r="G5473" s="1"/>
      <c r="H5473" s="1"/>
      <c r="I5473" s="1"/>
      <c r="J5473" s="1"/>
      <c r="K5473" s="89" t="s">
        <v>8456</v>
      </c>
      <c r="L5473" s="89" t="str">
        <f>G248</f>
        <v>C2a1a1d</v>
      </c>
      <c r="M5473" s="89" t="s">
        <v>8457</v>
      </c>
      <c r="N5473" s="89"/>
      <c r="O5473" s="92">
        <v>1.4364851E7</v>
      </c>
      <c r="P5473" s="92">
        <v>1.2244146E7</v>
      </c>
      <c r="Q5473" s="89" t="s">
        <v>822</v>
      </c>
      <c r="AF5473" s="1"/>
      <c r="AG5473" s="1"/>
    </row>
    <row r="5474" ht="15.75" customHeight="1">
      <c r="A5474" s="1"/>
      <c r="B5474" s="1"/>
      <c r="C5474" s="1"/>
      <c r="D5474" s="1"/>
      <c r="E5474" s="1"/>
      <c r="F5474" s="1"/>
      <c r="G5474" s="1"/>
      <c r="H5474" s="1"/>
      <c r="I5474" s="1"/>
      <c r="J5474" s="1"/>
      <c r="K5474" s="89" t="s">
        <v>8458</v>
      </c>
      <c r="L5474" s="89" t="str">
        <f>G248</f>
        <v>C2a1a1d</v>
      </c>
      <c r="M5474" s="89" t="s">
        <v>8459</v>
      </c>
      <c r="N5474" s="89"/>
      <c r="O5474" s="92">
        <v>1.4364851E7</v>
      </c>
      <c r="P5474" s="92">
        <v>1.2244146E7</v>
      </c>
      <c r="Q5474" s="89" t="s">
        <v>822</v>
      </c>
      <c r="AF5474" s="1"/>
      <c r="AG5474" s="1"/>
    </row>
    <row r="5475" ht="15.75" customHeight="1">
      <c r="A5475" s="1"/>
      <c r="B5475" s="1"/>
      <c r="C5475" s="1"/>
      <c r="D5475" s="1"/>
      <c r="E5475" s="1"/>
      <c r="F5475" s="1"/>
      <c r="G5475" s="1"/>
      <c r="H5475" s="1"/>
      <c r="I5475" s="1"/>
      <c r="J5475" s="1"/>
      <c r="K5475" s="89" t="s">
        <v>8460</v>
      </c>
      <c r="L5475" s="89" t="str">
        <f>G248</f>
        <v>C2a1a1d</v>
      </c>
      <c r="M5475" s="89" t="s">
        <v>8461</v>
      </c>
      <c r="N5475" s="89"/>
      <c r="O5475" s="92">
        <v>1.4364851E7</v>
      </c>
      <c r="P5475" s="92">
        <v>1.2244146E7</v>
      </c>
      <c r="Q5475" s="89" t="s">
        <v>822</v>
      </c>
      <c r="AF5475" s="1"/>
      <c r="AG5475" s="1"/>
    </row>
    <row r="5476" ht="15.75" customHeight="1">
      <c r="A5476" s="1"/>
      <c r="B5476" s="1"/>
      <c r="C5476" s="1"/>
      <c r="D5476" s="1"/>
      <c r="E5476" s="1"/>
      <c r="F5476" s="1"/>
      <c r="G5476" s="1"/>
      <c r="H5476" s="1"/>
      <c r="I5476" s="1"/>
      <c r="J5476" s="1"/>
      <c r="K5476" s="89" t="s">
        <v>8462</v>
      </c>
      <c r="L5476" s="89" t="str">
        <f>G248</f>
        <v>C2a1a1d</v>
      </c>
      <c r="M5476" s="89" t="s">
        <v>8463</v>
      </c>
      <c r="N5476" s="89" t="s">
        <v>8464</v>
      </c>
      <c r="O5476" s="92">
        <v>1.5064183E7</v>
      </c>
      <c r="P5476" s="92">
        <v>1.2952275E7</v>
      </c>
      <c r="Q5476" s="89" t="s">
        <v>802</v>
      </c>
      <c r="AF5476" s="1"/>
      <c r="AG5476" s="1"/>
    </row>
    <row r="5477" ht="15.75" customHeight="1">
      <c r="A5477" s="1"/>
      <c r="B5477" s="1"/>
      <c r="C5477" s="1"/>
      <c r="D5477" s="1"/>
      <c r="E5477" s="1"/>
      <c r="F5477" s="1"/>
      <c r="G5477" s="1"/>
      <c r="H5477" s="1"/>
      <c r="I5477" s="1"/>
      <c r="J5477" s="1"/>
      <c r="K5477" s="89" t="s">
        <v>8465</v>
      </c>
      <c r="L5477" s="89" t="str">
        <f>G248</f>
        <v>C2a1a1d</v>
      </c>
      <c r="M5477" s="89" t="s">
        <v>8466</v>
      </c>
      <c r="N5477" s="89" t="s">
        <v>8464</v>
      </c>
      <c r="O5477" s="92">
        <v>1.5064183E7</v>
      </c>
      <c r="P5477" s="92">
        <v>1.2952275E7</v>
      </c>
      <c r="Q5477" s="89" t="s">
        <v>802</v>
      </c>
      <c r="AF5477" s="1"/>
      <c r="AG5477" s="1"/>
    </row>
    <row r="5478" ht="15.75" customHeight="1">
      <c r="A5478" s="1"/>
      <c r="B5478" s="1"/>
      <c r="C5478" s="1"/>
      <c r="D5478" s="1"/>
      <c r="E5478" s="1"/>
      <c r="F5478" s="1"/>
      <c r="G5478" s="1"/>
      <c r="H5478" s="1"/>
      <c r="I5478" s="1"/>
      <c r="J5478" s="1"/>
      <c r="K5478" s="89" t="s">
        <v>8467</v>
      </c>
      <c r="L5478" s="89" t="str">
        <f>G248</f>
        <v>C2a1a1d</v>
      </c>
      <c r="M5478" s="89" t="s">
        <v>8468</v>
      </c>
      <c r="N5478" s="89" t="s">
        <v>8464</v>
      </c>
      <c r="O5478" s="92">
        <v>1.5064183E7</v>
      </c>
      <c r="P5478" s="92">
        <v>1.2952275E7</v>
      </c>
      <c r="Q5478" s="89" t="s">
        <v>802</v>
      </c>
      <c r="AF5478" s="1"/>
      <c r="AG5478" s="1"/>
    </row>
    <row r="5479" ht="15.75" customHeight="1">
      <c r="A5479" s="1"/>
      <c r="B5479" s="1"/>
      <c r="C5479" s="1"/>
      <c r="D5479" s="1"/>
      <c r="E5479" s="1"/>
      <c r="F5479" s="1"/>
      <c r="G5479" s="1"/>
      <c r="H5479" s="1"/>
      <c r="I5479" s="1"/>
      <c r="J5479" s="1"/>
      <c r="K5479" s="89" t="s">
        <v>8469</v>
      </c>
      <c r="L5479" s="89" t="str">
        <f>G248</f>
        <v>C2a1a1d</v>
      </c>
      <c r="M5479" s="89" t="s">
        <v>8470</v>
      </c>
      <c r="N5479" s="89" t="s">
        <v>8471</v>
      </c>
      <c r="O5479" s="92">
        <v>1.5134473E7</v>
      </c>
      <c r="P5479" s="92">
        <v>1.302256E7</v>
      </c>
      <c r="Q5479" s="89" t="s">
        <v>912</v>
      </c>
      <c r="AF5479" s="1"/>
      <c r="AG5479" s="1"/>
    </row>
    <row r="5480" ht="15.75" customHeight="1">
      <c r="A5480" s="1"/>
      <c r="B5480" s="1"/>
      <c r="C5480" s="1"/>
      <c r="D5480" s="1"/>
      <c r="E5480" s="1"/>
      <c r="F5480" s="1"/>
      <c r="G5480" s="1"/>
      <c r="H5480" s="1"/>
      <c r="I5480" s="1"/>
      <c r="J5480" s="1"/>
      <c r="K5480" s="89" t="s">
        <v>8472</v>
      </c>
      <c r="L5480" s="89" t="str">
        <f>G248</f>
        <v>C2a1a1d</v>
      </c>
      <c r="M5480" s="89" t="s">
        <v>8473</v>
      </c>
      <c r="N5480" s="89" t="s">
        <v>8471</v>
      </c>
      <c r="O5480" s="92">
        <v>1.5134473E7</v>
      </c>
      <c r="P5480" s="92">
        <v>1.302256E7</v>
      </c>
      <c r="Q5480" s="89" t="s">
        <v>912</v>
      </c>
      <c r="AF5480" s="1"/>
      <c r="AG5480" s="1"/>
    </row>
    <row r="5481" ht="15.75" customHeight="1">
      <c r="A5481" s="1"/>
      <c r="B5481" s="1"/>
      <c r="C5481" s="1"/>
      <c r="D5481" s="1"/>
      <c r="E5481" s="1"/>
      <c r="F5481" s="1"/>
      <c r="G5481" s="1"/>
      <c r="H5481" s="1"/>
      <c r="I5481" s="1"/>
      <c r="J5481" s="1"/>
      <c r="K5481" s="89" t="s">
        <v>8474</v>
      </c>
      <c r="L5481" s="89" t="str">
        <f>G248</f>
        <v>C2a1a1d</v>
      </c>
      <c r="M5481" s="89" t="s">
        <v>8475</v>
      </c>
      <c r="N5481" s="89" t="s">
        <v>8471</v>
      </c>
      <c r="O5481" s="92">
        <v>1.5134473E7</v>
      </c>
      <c r="P5481" s="92">
        <v>1.302256E7</v>
      </c>
      <c r="Q5481" s="89" t="s">
        <v>912</v>
      </c>
      <c r="AF5481" s="1"/>
      <c r="AG5481" s="1"/>
    </row>
    <row r="5482" ht="15.75" customHeight="1">
      <c r="A5482" s="1"/>
      <c r="B5482" s="1"/>
      <c r="C5482" s="1"/>
      <c r="D5482" s="1"/>
      <c r="E5482" s="1"/>
      <c r="F5482" s="1"/>
      <c r="G5482" s="1"/>
      <c r="H5482" s="1"/>
      <c r="I5482" s="1"/>
      <c r="J5482" s="1"/>
      <c r="K5482" s="89" t="s">
        <v>8476</v>
      </c>
      <c r="L5482" s="89" t="str">
        <f>G248</f>
        <v>C2a1a1d</v>
      </c>
      <c r="M5482" s="89" t="s">
        <v>8477</v>
      </c>
      <c r="N5482" s="89"/>
      <c r="O5482" s="92">
        <v>1.5352133E7</v>
      </c>
      <c r="P5482" s="92">
        <v>1.3240252E7</v>
      </c>
      <c r="Q5482" s="89" t="s">
        <v>879</v>
      </c>
      <c r="AF5482" s="1"/>
      <c r="AG5482" s="1"/>
    </row>
    <row r="5483" ht="15.75" customHeight="1">
      <c r="A5483" s="1"/>
      <c r="B5483" s="1"/>
      <c r="C5483" s="1"/>
      <c r="D5483" s="1"/>
      <c r="E5483" s="1"/>
      <c r="F5483" s="1"/>
      <c r="G5483" s="1"/>
      <c r="H5483" s="1"/>
      <c r="I5483" s="1"/>
      <c r="J5483" s="1"/>
      <c r="K5483" s="89" t="s">
        <v>8478</v>
      </c>
      <c r="L5483" s="89" t="str">
        <f>G248</f>
        <v>C2a1a1d</v>
      </c>
      <c r="M5483" s="89" t="s">
        <v>8479</v>
      </c>
      <c r="N5483" s="89"/>
      <c r="O5483" s="92">
        <v>1.5352133E7</v>
      </c>
      <c r="P5483" s="92">
        <v>1.3240252E7</v>
      </c>
      <c r="Q5483" s="89" t="s">
        <v>879</v>
      </c>
      <c r="AF5483" s="1"/>
      <c r="AG5483" s="1"/>
    </row>
    <row r="5484" ht="15.75" customHeight="1">
      <c r="A5484" s="1"/>
      <c r="B5484" s="1"/>
      <c r="C5484" s="1"/>
      <c r="D5484" s="1"/>
      <c r="E5484" s="1"/>
      <c r="F5484" s="1"/>
      <c r="G5484" s="1"/>
      <c r="H5484" s="1"/>
      <c r="I5484" s="1"/>
      <c r="J5484" s="1"/>
      <c r="K5484" s="89" t="s">
        <v>8480</v>
      </c>
      <c r="L5484" s="89" t="str">
        <f>G248</f>
        <v>C2a1a1d</v>
      </c>
      <c r="M5484" s="89" t="s">
        <v>8481</v>
      </c>
      <c r="N5484" s="89"/>
      <c r="O5484" s="92">
        <v>1.5352133E7</v>
      </c>
      <c r="P5484" s="92">
        <v>1.3240252E7</v>
      </c>
      <c r="Q5484" s="89" t="s">
        <v>879</v>
      </c>
      <c r="AF5484" s="1"/>
      <c r="AG5484" s="1"/>
    </row>
    <row r="5485" ht="15.75" customHeight="1">
      <c r="A5485" s="1"/>
      <c r="B5485" s="1"/>
      <c r="C5485" s="1"/>
      <c r="D5485" s="1"/>
      <c r="E5485" s="1"/>
      <c r="F5485" s="1"/>
      <c r="G5485" s="1"/>
      <c r="H5485" s="1"/>
      <c r="I5485" s="1"/>
      <c r="J5485" s="1"/>
      <c r="K5485" s="89" t="s">
        <v>8482</v>
      </c>
      <c r="L5485" s="89" t="str">
        <f>G248</f>
        <v>C2a1a1d</v>
      </c>
      <c r="M5485" s="89" t="s">
        <v>8483</v>
      </c>
      <c r="N5485" s="89"/>
      <c r="O5485" s="92">
        <v>1.6170684E7</v>
      </c>
      <c r="P5485" s="92">
        <v>1.4058804E7</v>
      </c>
      <c r="Q5485" s="89" t="s">
        <v>879</v>
      </c>
      <c r="AF5485" s="1"/>
      <c r="AG5485" s="1"/>
    </row>
    <row r="5486" ht="15.75" customHeight="1">
      <c r="A5486" s="1"/>
      <c r="B5486" s="1"/>
      <c r="C5486" s="1"/>
      <c r="D5486" s="1"/>
      <c r="E5486" s="1"/>
      <c r="F5486" s="1"/>
      <c r="G5486" s="1"/>
      <c r="H5486" s="1"/>
      <c r="I5486" s="1"/>
      <c r="J5486" s="1"/>
      <c r="K5486" s="89" t="s">
        <v>8484</v>
      </c>
      <c r="L5486" s="89" t="str">
        <f>G248</f>
        <v>C2a1a1d</v>
      </c>
      <c r="M5486" s="89" t="s">
        <v>8485</v>
      </c>
      <c r="N5486" s="89"/>
      <c r="O5486" s="92">
        <v>1.6170684E7</v>
      </c>
      <c r="P5486" s="92">
        <v>1.4058804E7</v>
      </c>
      <c r="Q5486" s="89" t="s">
        <v>879</v>
      </c>
      <c r="AF5486" s="1"/>
      <c r="AG5486" s="1"/>
    </row>
    <row r="5487" ht="15.75" customHeight="1">
      <c r="A5487" s="1"/>
      <c r="B5487" s="1"/>
      <c r="C5487" s="1"/>
      <c r="D5487" s="1"/>
      <c r="E5487" s="1"/>
      <c r="F5487" s="1"/>
      <c r="G5487" s="1"/>
      <c r="H5487" s="1"/>
      <c r="I5487" s="1"/>
      <c r="J5487" s="1"/>
      <c r="K5487" s="89" t="s">
        <v>8486</v>
      </c>
      <c r="L5487" s="89" t="str">
        <f>G248</f>
        <v>C2a1a1d</v>
      </c>
      <c r="M5487" s="89" t="s">
        <v>8487</v>
      </c>
      <c r="N5487" s="89"/>
      <c r="O5487" s="92">
        <v>1.6170684E7</v>
      </c>
      <c r="P5487" s="92">
        <v>1.4058804E7</v>
      </c>
      <c r="Q5487" s="89" t="s">
        <v>879</v>
      </c>
      <c r="AF5487" s="1"/>
      <c r="AG5487" s="1"/>
    </row>
    <row r="5488" ht="15.75" customHeight="1">
      <c r="A5488" s="1"/>
      <c r="B5488" s="1"/>
      <c r="C5488" s="1"/>
      <c r="D5488" s="1"/>
      <c r="E5488" s="1"/>
      <c r="F5488" s="1"/>
      <c r="G5488" s="1"/>
      <c r="H5488" s="1"/>
      <c r="I5488" s="1"/>
      <c r="J5488" s="1"/>
      <c r="K5488" s="89" t="s">
        <v>8488</v>
      </c>
      <c r="L5488" s="89" t="str">
        <f>G248</f>
        <v>C2a1a1d</v>
      </c>
      <c r="M5488" s="89" t="s">
        <v>8489</v>
      </c>
      <c r="N5488" s="89" t="s">
        <v>8490</v>
      </c>
      <c r="O5488" s="92">
        <v>1.6179415E7</v>
      </c>
      <c r="P5488" s="92">
        <v>1.4067535E7</v>
      </c>
      <c r="Q5488" s="89" t="s">
        <v>886</v>
      </c>
      <c r="AF5488" s="1"/>
      <c r="AG5488" s="1"/>
    </row>
    <row r="5489" ht="15.75" customHeight="1">
      <c r="A5489" s="1"/>
      <c r="B5489" s="1"/>
      <c r="C5489" s="1"/>
      <c r="D5489" s="1"/>
      <c r="E5489" s="1"/>
      <c r="F5489" s="1"/>
      <c r="G5489" s="1"/>
      <c r="H5489" s="1"/>
      <c r="I5489" s="1"/>
      <c r="J5489" s="1"/>
      <c r="K5489" s="89" t="s">
        <v>8491</v>
      </c>
      <c r="L5489" s="89" t="str">
        <f>G248</f>
        <v>C2a1a1d</v>
      </c>
      <c r="M5489" s="89" t="s">
        <v>8492</v>
      </c>
      <c r="N5489" s="89" t="s">
        <v>8490</v>
      </c>
      <c r="O5489" s="92">
        <v>1.6179415E7</v>
      </c>
      <c r="P5489" s="92">
        <v>1.4067535E7</v>
      </c>
      <c r="Q5489" s="89" t="s">
        <v>886</v>
      </c>
      <c r="AF5489" s="1"/>
      <c r="AG5489" s="1"/>
    </row>
    <row r="5490" ht="15.75" customHeight="1">
      <c r="A5490" s="1"/>
      <c r="B5490" s="1"/>
      <c r="C5490" s="1"/>
      <c r="D5490" s="1"/>
      <c r="E5490" s="1"/>
      <c r="F5490" s="1"/>
      <c r="G5490" s="1"/>
      <c r="H5490" s="1"/>
      <c r="I5490" s="1"/>
      <c r="J5490" s="1"/>
      <c r="K5490" s="89" t="s">
        <v>8493</v>
      </c>
      <c r="L5490" s="89" t="str">
        <f>G248</f>
        <v>C2a1a1d</v>
      </c>
      <c r="M5490" s="89" t="s">
        <v>8494</v>
      </c>
      <c r="N5490" s="89" t="s">
        <v>8490</v>
      </c>
      <c r="O5490" s="92">
        <v>1.6179415E7</v>
      </c>
      <c r="P5490" s="92">
        <v>1.4067535E7</v>
      </c>
      <c r="Q5490" s="89" t="s">
        <v>886</v>
      </c>
      <c r="AF5490" s="1"/>
      <c r="AG5490" s="1"/>
    </row>
    <row r="5491" ht="15.75" customHeight="1">
      <c r="A5491" s="1"/>
      <c r="B5491" s="1"/>
      <c r="C5491" s="1"/>
      <c r="D5491" s="1"/>
      <c r="E5491" s="1"/>
      <c r="F5491" s="1"/>
      <c r="G5491" s="1"/>
      <c r="H5491" s="1"/>
      <c r="I5491" s="1"/>
      <c r="J5491" s="1"/>
      <c r="K5491" s="89" t="s">
        <v>8495</v>
      </c>
      <c r="L5491" s="89" t="str">
        <f>G248</f>
        <v>C2a1a1d</v>
      </c>
      <c r="M5491" s="89" t="s">
        <v>8496</v>
      </c>
      <c r="N5491" s="89" t="s">
        <v>8497</v>
      </c>
      <c r="O5491" s="92">
        <v>1.625192E7</v>
      </c>
      <c r="P5491" s="92">
        <v>1.414004E7</v>
      </c>
      <c r="Q5491" s="89" t="s">
        <v>822</v>
      </c>
      <c r="AF5491" s="1"/>
      <c r="AG5491" s="1"/>
    </row>
    <row r="5492" ht="15.75" customHeight="1">
      <c r="A5492" s="1"/>
      <c r="B5492" s="1"/>
      <c r="C5492" s="1"/>
      <c r="D5492" s="1"/>
      <c r="E5492" s="1"/>
      <c r="F5492" s="1"/>
      <c r="G5492" s="1"/>
      <c r="H5492" s="1"/>
      <c r="I5492" s="1"/>
      <c r="J5492" s="1"/>
      <c r="K5492" s="89" t="s">
        <v>8498</v>
      </c>
      <c r="L5492" s="89" t="str">
        <f>G248</f>
        <v>C2a1a1d</v>
      </c>
      <c r="M5492" s="89" t="s">
        <v>8499</v>
      </c>
      <c r="N5492" s="89" t="s">
        <v>8497</v>
      </c>
      <c r="O5492" s="92">
        <v>1.625192E7</v>
      </c>
      <c r="P5492" s="92">
        <v>1.414004E7</v>
      </c>
      <c r="Q5492" s="89" t="s">
        <v>822</v>
      </c>
      <c r="AF5492" s="1"/>
      <c r="AG5492" s="1"/>
    </row>
    <row r="5493" ht="15.75" customHeight="1">
      <c r="A5493" s="1"/>
      <c r="B5493" s="1"/>
      <c r="C5493" s="1"/>
      <c r="D5493" s="1"/>
      <c r="E5493" s="1"/>
      <c r="F5493" s="1"/>
      <c r="G5493" s="1"/>
      <c r="H5493" s="1"/>
      <c r="I5493" s="1"/>
      <c r="J5493" s="1"/>
      <c r="K5493" s="89" t="s">
        <v>8500</v>
      </c>
      <c r="L5493" s="89" t="str">
        <f>G248</f>
        <v>C2a1a1d</v>
      </c>
      <c r="M5493" s="89" t="s">
        <v>8501</v>
      </c>
      <c r="N5493" s="89" t="s">
        <v>8497</v>
      </c>
      <c r="O5493" s="92">
        <v>1.625192E7</v>
      </c>
      <c r="P5493" s="92">
        <v>1.414004E7</v>
      </c>
      <c r="Q5493" s="89" t="s">
        <v>822</v>
      </c>
      <c r="AF5493" s="1"/>
      <c r="AG5493" s="1"/>
    </row>
    <row r="5494" ht="15.75" customHeight="1">
      <c r="A5494" s="1"/>
      <c r="B5494" s="1"/>
      <c r="C5494" s="1"/>
      <c r="D5494" s="1"/>
      <c r="E5494" s="1"/>
      <c r="F5494" s="1"/>
      <c r="G5494" s="1"/>
      <c r="H5494" s="1"/>
      <c r="I5494" s="1"/>
      <c r="J5494" s="1"/>
      <c r="K5494" s="89" t="s">
        <v>8502</v>
      </c>
      <c r="L5494" s="89" t="str">
        <f>G248</f>
        <v>C2a1a1d</v>
      </c>
      <c r="M5494" s="89" t="s">
        <v>8503</v>
      </c>
      <c r="N5494" s="89" t="s">
        <v>8504</v>
      </c>
      <c r="O5494" s="92">
        <v>1.6718432E7</v>
      </c>
      <c r="P5494" s="92">
        <v>1.4606552E7</v>
      </c>
      <c r="Q5494" s="89" t="s">
        <v>802</v>
      </c>
      <c r="AF5494" s="1"/>
      <c r="AG5494" s="1"/>
    </row>
    <row r="5495" ht="15.75" customHeight="1">
      <c r="A5495" s="1"/>
      <c r="B5495" s="1"/>
      <c r="C5495" s="1"/>
      <c r="D5495" s="1"/>
      <c r="E5495" s="1"/>
      <c r="F5495" s="1"/>
      <c r="G5495" s="1"/>
      <c r="H5495" s="1"/>
      <c r="I5495" s="1"/>
      <c r="J5495" s="1"/>
      <c r="K5495" s="89" t="s">
        <v>8505</v>
      </c>
      <c r="L5495" s="89" t="str">
        <f>G248</f>
        <v>C2a1a1d</v>
      </c>
      <c r="M5495" s="89" t="s">
        <v>8506</v>
      </c>
      <c r="N5495" s="89" t="s">
        <v>8504</v>
      </c>
      <c r="O5495" s="92">
        <v>1.6718432E7</v>
      </c>
      <c r="P5495" s="92">
        <v>1.4606552E7</v>
      </c>
      <c r="Q5495" s="89" t="s">
        <v>802</v>
      </c>
      <c r="AF5495" s="1"/>
      <c r="AG5495" s="1"/>
    </row>
    <row r="5496" ht="15.75" customHeight="1">
      <c r="A5496" s="1"/>
      <c r="B5496" s="1"/>
      <c r="C5496" s="1"/>
      <c r="D5496" s="1"/>
      <c r="E5496" s="1"/>
      <c r="F5496" s="1"/>
      <c r="G5496" s="1"/>
      <c r="H5496" s="1"/>
      <c r="I5496" s="1"/>
      <c r="J5496" s="1"/>
      <c r="K5496" s="89" t="s">
        <v>8507</v>
      </c>
      <c r="L5496" s="89" t="str">
        <f>G248</f>
        <v>C2a1a1d</v>
      </c>
      <c r="M5496" s="89" t="s">
        <v>8508</v>
      </c>
      <c r="N5496" s="89" t="s">
        <v>8504</v>
      </c>
      <c r="O5496" s="92">
        <v>1.6718432E7</v>
      </c>
      <c r="P5496" s="92">
        <v>1.4606552E7</v>
      </c>
      <c r="Q5496" s="89" t="s">
        <v>802</v>
      </c>
      <c r="AF5496" s="1"/>
      <c r="AG5496" s="1"/>
    </row>
    <row r="5497" ht="15.75" customHeight="1">
      <c r="A5497" s="1"/>
      <c r="B5497" s="1"/>
      <c r="C5497" s="1"/>
      <c r="D5497" s="1"/>
      <c r="E5497" s="1"/>
      <c r="F5497" s="1"/>
      <c r="G5497" s="1"/>
      <c r="H5497" s="1"/>
      <c r="I5497" s="1"/>
      <c r="J5497" s="1"/>
      <c r="K5497" s="89" t="s">
        <v>8509</v>
      </c>
      <c r="L5497" s="89" t="str">
        <f>G248</f>
        <v>C2a1a1d</v>
      </c>
      <c r="M5497" s="89" t="s">
        <v>8510</v>
      </c>
      <c r="N5497" s="89" t="s">
        <v>8511</v>
      </c>
      <c r="O5497" s="92">
        <v>1.720895E7</v>
      </c>
      <c r="P5497" s="92">
        <v>1.509707E7</v>
      </c>
      <c r="Q5497" s="89" t="s">
        <v>802</v>
      </c>
      <c r="AF5497" s="1"/>
      <c r="AG5497" s="1"/>
    </row>
    <row r="5498" ht="15.75" customHeight="1">
      <c r="A5498" s="1"/>
      <c r="B5498" s="1"/>
      <c r="C5498" s="1"/>
      <c r="D5498" s="1"/>
      <c r="E5498" s="1"/>
      <c r="F5498" s="1"/>
      <c r="G5498" s="1"/>
      <c r="H5498" s="1"/>
      <c r="I5498" s="1"/>
      <c r="J5498" s="1"/>
      <c r="K5498" s="89" t="s">
        <v>8512</v>
      </c>
      <c r="L5498" s="89" t="str">
        <f>G248</f>
        <v>C2a1a1d</v>
      </c>
      <c r="M5498" s="89" t="s">
        <v>8513</v>
      </c>
      <c r="N5498" s="89" t="s">
        <v>8511</v>
      </c>
      <c r="O5498" s="92">
        <v>1.720895E7</v>
      </c>
      <c r="P5498" s="92">
        <v>1.509707E7</v>
      </c>
      <c r="Q5498" s="89" t="s">
        <v>802</v>
      </c>
      <c r="AF5498" s="1"/>
      <c r="AG5498" s="1"/>
    </row>
    <row r="5499" ht="15.75" customHeight="1">
      <c r="A5499" s="1"/>
      <c r="B5499" s="1"/>
      <c r="C5499" s="1"/>
      <c r="D5499" s="1"/>
      <c r="E5499" s="1"/>
      <c r="F5499" s="1"/>
      <c r="G5499" s="1"/>
      <c r="H5499" s="1"/>
      <c r="I5499" s="1"/>
      <c r="J5499" s="1"/>
      <c r="K5499" s="89" t="s">
        <v>8514</v>
      </c>
      <c r="L5499" s="89" t="str">
        <f>G248</f>
        <v>C2a1a1d</v>
      </c>
      <c r="M5499" s="89" t="s">
        <v>8515</v>
      </c>
      <c r="N5499" s="89" t="s">
        <v>8511</v>
      </c>
      <c r="O5499" s="92">
        <v>1.720895E7</v>
      </c>
      <c r="P5499" s="92">
        <v>1.509707E7</v>
      </c>
      <c r="Q5499" s="89" t="s">
        <v>802</v>
      </c>
      <c r="AF5499" s="1"/>
      <c r="AG5499" s="1"/>
    </row>
    <row r="5500" ht="15.75" customHeight="1">
      <c r="A5500" s="1"/>
      <c r="B5500" s="1"/>
      <c r="C5500" s="1"/>
      <c r="D5500" s="1"/>
      <c r="E5500" s="1"/>
      <c r="F5500" s="1"/>
      <c r="G5500" s="1"/>
      <c r="H5500" s="1"/>
      <c r="I5500" s="1"/>
      <c r="J5500" s="1"/>
      <c r="K5500" s="89" t="s">
        <v>8516</v>
      </c>
      <c r="L5500" s="89" t="str">
        <f>G248</f>
        <v>C2a1a1d</v>
      </c>
      <c r="M5500" s="89" t="s">
        <v>8517</v>
      </c>
      <c r="N5500" s="89"/>
      <c r="O5500" s="92">
        <v>1.7560176E7</v>
      </c>
      <c r="P5500" s="92">
        <v>1.5448296E7</v>
      </c>
      <c r="Q5500" s="93" t="s">
        <v>845</v>
      </c>
      <c r="AF5500" s="1"/>
      <c r="AG5500" s="1"/>
    </row>
    <row r="5501" ht="15.75" customHeight="1">
      <c r="A5501" s="1"/>
      <c r="B5501" s="1"/>
      <c r="C5501" s="1"/>
      <c r="D5501" s="1"/>
      <c r="E5501" s="1"/>
      <c r="F5501" s="1"/>
      <c r="G5501" s="1"/>
      <c r="H5501" s="1"/>
      <c r="I5501" s="1"/>
      <c r="J5501" s="1"/>
      <c r="K5501" s="89" t="s">
        <v>8518</v>
      </c>
      <c r="L5501" s="89" t="str">
        <f>G248</f>
        <v>C2a1a1d</v>
      </c>
      <c r="M5501" s="89" t="s">
        <v>8519</v>
      </c>
      <c r="N5501" s="89"/>
      <c r="O5501" s="92">
        <v>1.7560176E7</v>
      </c>
      <c r="P5501" s="92">
        <v>1.5448296E7</v>
      </c>
      <c r="Q5501" s="93" t="s">
        <v>845</v>
      </c>
      <c r="AF5501" s="1"/>
      <c r="AG5501" s="1"/>
    </row>
    <row r="5502" ht="15.75" customHeight="1">
      <c r="A5502" s="1"/>
      <c r="B5502" s="1"/>
      <c r="C5502" s="1"/>
      <c r="D5502" s="1"/>
      <c r="E5502" s="1"/>
      <c r="F5502" s="1"/>
      <c r="G5502" s="1"/>
      <c r="H5502" s="1"/>
      <c r="I5502" s="1"/>
      <c r="J5502" s="1"/>
      <c r="K5502" s="89" t="s">
        <v>8520</v>
      </c>
      <c r="L5502" s="89" t="str">
        <f>G248</f>
        <v>C2a1a1d</v>
      </c>
      <c r="M5502" s="89" t="s">
        <v>8521</v>
      </c>
      <c r="N5502" s="89"/>
      <c r="O5502" s="92">
        <v>1.7560176E7</v>
      </c>
      <c r="P5502" s="92">
        <v>1.5448296E7</v>
      </c>
      <c r="Q5502" s="93" t="s">
        <v>845</v>
      </c>
      <c r="AF5502" s="1"/>
      <c r="AG5502" s="1"/>
    </row>
    <row r="5503" ht="15.75" customHeight="1">
      <c r="A5503" s="1"/>
      <c r="B5503" s="1"/>
      <c r="C5503" s="1"/>
      <c r="D5503" s="1"/>
      <c r="E5503" s="1"/>
      <c r="F5503" s="1"/>
      <c r="G5503" s="1"/>
      <c r="H5503" s="1"/>
      <c r="I5503" s="1"/>
      <c r="J5503" s="1"/>
      <c r="K5503" s="89" t="s">
        <v>8522</v>
      </c>
      <c r="L5503" s="89" t="str">
        <f>G248</f>
        <v>C2a1a1d</v>
      </c>
      <c r="M5503" s="89" t="s">
        <v>8523</v>
      </c>
      <c r="N5503" s="89" t="s">
        <v>8524</v>
      </c>
      <c r="O5503" s="92">
        <v>1.8406295E7</v>
      </c>
      <c r="P5503" s="92">
        <v>1.6294415E7</v>
      </c>
      <c r="Q5503" s="89" t="s">
        <v>838</v>
      </c>
      <c r="AF5503" s="1"/>
      <c r="AG5503" s="1"/>
    </row>
    <row r="5504" ht="15.75" customHeight="1">
      <c r="A5504" s="1"/>
      <c r="B5504" s="1"/>
      <c r="C5504" s="1"/>
      <c r="D5504" s="1"/>
      <c r="E5504" s="1"/>
      <c r="F5504" s="1"/>
      <c r="G5504" s="1"/>
      <c r="H5504" s="1"/>
      <c r="I5504" s="1"/>
      <c r="J5504" s="1"/>
      <c r="K5504" s="89" t="s">
        <v>8525</v>
      </c>
      <c r="L5504" s="89" t="str">
        <f>G248</f>
        <v>C2a1a1d</v>
      </c>
      <c r="M5504" s="89" t="s">
        <v>8526</v>
      </c>
      <c r="N5504" s="89" t="s">
        <v>8524</v>
      </c>
      <c r="O5504" s="92">
        <v>1.8406295E7</v>
      </c>
      <c r="P5504" s="92">
        <v>1.6294415E7</v>
      </c>
      <c r="Q5504" s="89" t="s">
        <v>838</v>
      </c>
      <c r="AF5504" s="1"/>
      <c r="AG5504" s="1"/>
    </row>
    <row r="5505" ht="15.75" customHeight="1">
      <c r="A5505" s="1"/>
      <c r="B5505" s="1"/>
      <c r="C5505" s="1"/>
      <c r="D5505" s="1"/>
      <c r="E5505" s="1"/>
      <c r="F5505" s="1"/>
      <c r="G5505" s="1"/>
      <c r="H5505" s="1"/>
      <c r="I5505" s="1"/>
      <c r="J5505" s="1"/>
      <c r="K5505" s="89" t="s">
        <v>8527</v>
      </c>
      <c r="L5505" s="89" t="str">
        <f>G248</f>
        <v>C2a1a1d</v>
      </c>
      <c r="M5505" s="89" t="s">
        <v>8528</v>
      </c>
      <c r="N5505" s="89" t="s">
        <v>8524</v>
      </c>
      <c r="O5505" s="92">
        <v>1.8406295E7</v>
      </c>
      <c r="P5505" s="92">
        <v>1.6294415E7</v>
      </c>
      <c r="Q5505" s="89" t="s">
        <v>838</v>
      </c>
      <c r="AF5505" s="1"/>
      <c r="AG5505" s="1"/>
    </row>
    <row r="5506" ht="15.75" customHeight="1">
      <c r="A5506" s="1"/>
      <c r="B5506" s="1"/>
      <c r="C5506" s="1"/>
      <c r="D5506" s="1"/>
      <c r="E5506" s="1"/>
      <c r="F5506" s="1"/>
      <c r="G5506" s="1"/>
      <c r="H5506" s="1"/>
      <c r="I5506" s="1"/>
      <c r="J5506" s="1"/>
      <c r="K5506" s="89" t="s">
        <v>8529</v>
      </c>
      <c r="L5506" s="89" t="str">
        <f>G248</f>
        <v>C2a1a1d</v>
      </c>
      <c r="M5506" s="89" t="s">
        <v>8530</v>
      </c>
      <c r="N5506" s="89" t="s">
        <v>8531</v>
      </c>
      <c r="O5506" s="92">
        <v>1.8683427E7</v>
      </c>
      <c r="P5506" s="92">
        <v>1.6571547E7</v>
      </c>
      <c r="Q5506" s="89" t="s">
        <v>838</v>
      </c>
      <c r="AF5506" s="1"/>
      <c r="AG5506" s="1"/>
    </row>
    <row r="5507" ht="15.75" customHeight="1">
      <c r="A5507" s="1"/>
      <c r="B5507" s="1"/>
      <c r="C5507" s="1"/>
      <c r="D5507" s="1"/>
      <c r="E5507" s="1"/>
      <c r="F5507" s="1"/>
      <c r="G5507" s="1"/>
      <c r="H5507" s="1"/>
      <c r="I5507" s="1"/>
      <c r="J5507" s="1"/>
      <c r="K5507" s="89" t="s">
        <v>8532</v>
      </c>
      <c r="L5507" s="89" t="str">
        <f>G248</f>
        <v>C2a1a1d</v>
      </c>
      <c r="M5507" s="89" t="s">
        <v>8533</v>
      </c>
      <c r="N5507" s="89" t="s">
        <v>8531</v>
      </c>
      <c r="O5507" s="92">
        <v>1.8683427E7</v>
      </c>
      <c r="P5507" s="92">
        <v>1.6571547E7</v>
      </c>
      <c r="Q5507" s="89" t="s">
        <v>838</v>
      </c>
      <c r="AF5507" s="1"/>
      <c r="AG5507" s="1"/>
    </row>
    <row r="5508" ht="15.75" customHeight="1">
      <c r="A5508" s="1"/>
      <c r="B5508" s="1"/>
      <c r="C5508" s="1"/>
      <c r="D5508" s="1"/>
      <c r="E5508" s="1"/>
      <c r="F5508" s="1"/>
      <c r="G5508" s="1"/>
      <c r="H5508" s="1"/>
      <c r="I5508" s="1"/>
      <c r="J5508" s="1"/>
      <c r="K5508" s="89" t="s">
        <v>8534</v>
      </c>
      <c r="L5508" s="89" t="str">
        <f>G248</f>
        <v>C2a1a1d</v>
      </c>
      <c r="M5508" s="89" t="s">
        <v>8535</v>
      </c>
      <c r="N5508" s="89" t="s">
        <v>8531</v>
      </c>
      <c r="O5508" s="92">
        <v>1.8683427E7</v>
      </c>
      <c r="P5508" s="92">
        <v>1.6571547E7</v>
      </c>
      <c r="Q5508" s="89" t="s">
        <v>838</v>
      </c>
      <c r="AF5508" s="1"/>
      <c r="AG5508" s="1"/>
    </row>
    <row r="5509" ht="15.75" customHeight="1">
      <c r="A5509" s="1"/>
      <c r="B5509" s="1"/>
      <c r="C5509" s="1"/>
      <c r="D5509" s="1"/>
      <c r="E5509" s="1"/>
      <c r="F5509" s="1"/>
      <c r="G5509" s="1"/>
      <c r="H5509" s="1"/>
      <c r="I5509" s="1"/>
      <c r="J5509" s="1"/>
      <c r="K5509" s="89" t="s">
        <v>8536</v>
      </c>
      <c r="L5509" s="89" t="str">
        <f>G248</f>
        <v>C2a1a1d</v>
      </c>
      <c r="M5509" s="89" t="s">
        <v>8537</v>
      </c>
      <c r="N5509" s="89" t="s">
        <v>8538</v>
      </c>
      <c r="O5509" s="92">
        <v>1.7019214E7</v>
      </c>
      <c r="P5509" s="92">
        <v>1.4907334E7</v>
      </c>
      <c r="Q5509" s="89" t="s">
        <v>802</v>
      </c>
      <c r="AF5509" s="1"/>
      <c r="AG5509" s="1"/>
    </row>
    <row r="5510" ht="15.75" customHeight="1">
      <c r="A5510" s="1"/>
      <c r="B5510" s="1"/>
      <c r="C5510" s="1"/>
      <c r="D5510" s="1"/>
      <c r="E5510" s="1"/>
      <c r="F5510" s="1"/>
      <c r="G5510" s="1"/>
      <c r="H5510" s="1"/>
      <c r="I5510" s="1"/>
      <c r="J5510" s="1"/>
      <c r="K5510" s="89" t="s">
        <v>8539</v>
      </c>
      <c r="L5510" s="89" t="str">
        <f>G248</f>
        <v>C2a1a1d</v>
      </c>
      <c r="M5510" s="89" t="s">
        <v>8540</v>
      </c>
      <c r="N5510" s="89" t="s">
        <v>8538</v>
      </c>
      <c r="O5510" s="92">
        <v>1.7019214E7</v>
      </c>
      <c r="P5510" s="92">
        <v>1.4907334E7</v>
      </c>
      <c r="Q5510" s="89" t="s">
        <v>802</v>
      </c>
      <c r="AF5510" s="1"/>
      <c r="AG5510" s="1"/>
    </row>
    <row r="5511" ht="15.75" customHeight="1">
      <c r="A5511" s="1"/>
      <c r="B5511" s="1"/>
      <c r="C5511" s="1"/>
      <c r="D5511" s="1"/>
      <c r="E5511" s="1"/>
      <c r="F5511" s="1"/>
      <c r="G5511" s="1"/>
      <c r="H5511" s="1"/>
      <c r="I5511" s="1"/>
      <c r="J5511" s="1"/>
      <c r="K5511" s="89" t="s">
        <v>8541</v>
      </c>
      <c r="L5511" s="89" t="str">
        <f>G248</f>
        <v>C2a1a1d</v>
      </c>
      <c r="M5511" s="89" t="s">
        <v>8542</v>
      </c>
      <c r="N5511" s="89" t="s">
        <v>8538</v>
      </c>
      <c r="O5511" s="92">
        <v>1.7019214E7</v>
      </c>
      <c r="P5511" s="92">
        <v>1.4907334E7</v>
      </c>
      <c r="Q5511" s="89" t="s">
        <v>802</v>
      </c>
      <c r="AF5511" s="1"/>
      <c r="AG5511" s="1"/>
    </row>
    <row r="5512" ht="15.75" customHeight="1">
      <c r="A5512" s="1"/>
      <c r="B5512" s="1"/>
      <c r="C5512" s="1"/>
      <c r="D5512" s="1"/>
      <c r="E5512" s="1"/>
      <c r="F5512" s="1"/>
      <c r="G5512" s="1"/>
      <c r="H5512" s="1"/>
      <c r="I5512" s="1"/>
      <c r="J5512" s="1"/>
      <c r="K5512" s="89" t="s">
        <v>8543</v>
      </c>
      <c r="L5512" s="89" t="str">
        <f>G248</f>
        <v>C2a1a1d</v>
      </c>
      <c r="M5512" s="89" t="s">
        <v>8544</v>
      </c>
      <c r="N5512" s="89" t="s">
        <v>8545</v>
      </c>
      <c r="O5512" s="92">
        <v>1.9370005E7</v>
      </c>
      <c r="P5512" s="92">
        <v>1.7258125E7</v>
      </c>
      <c r="Q5512" s="89" t="s">
        <v>831</v>
      </c>
      <c r="AF5512" s="1"/>
      <c r="AG5512" s="1"/>
    </row>
    <row r="5513" ht="15.75" customHeight="1">
      <c r="A5513" s="1"/>
      <c r="B5513" s="1"/>
      <c r="C5513" s="1"/>
      <c r="D5513" s="1"/>
      <c r="E5513" s="1"/>
      <c r="F5513" s="1"/>
      <c r="G5513" s="1"/>
      <c r="H5513" s="1"/>
      <c r="I5513" s="1"/>
      <c r="J5513" s="1"/>
      <c r="K5513" s="89" t="s">
        <v>8546</v>
      </c>
      <c r="L5513" s="89" t="str">
        <f>G248</f>
        <v>C2a1a1d</v>
      </c>
      <c r="M5513" s="89" t="s">
        <v>8547</v>
      </c>
      <c r="N5513" s="89" t="s">
        <v>8545</v>
      </c>
      <c r="O5513" s="92">
        <v>1.9370005E7</v>
      </c>
      <c r="P5513" s="92">
        <v>1.7258125E7</v>
      </c>
      <c r="Q5513" s="89" t="s">
        <v>831</v>
      </c>
      <c r="AF5513" s="1"/>
      <c r="AG5513" s="1"/>
    </row>
    <row r="5514" ht="15.75" customHeight="1">
      <c r="A5514" s="1"/>
      <c r="B5514" s="1"/>
      <c r="C5514" s="1"/>
      <c r="D5514" s="1"/>
      <c r="E5514" s="1"/>
      <c r="F5514" s="1"/>
      <c r="G5514" s="1"/>
      <c r="H5514" s="1"/>
      <c r="I5514" s="1"/>
      <c r="J5514" s="1"/>
      <c r="K5514" s="89" t="s">
        <v>8548</v>
      </c>
      <c r="L5514" s="89" t="str">
        <f>G248</f>
        <v>C2a1a1d</v>
      </c>
      <c r="M5514" s="89" t="s">
        <v>8549</v>
      </c>
      <c r="N5514" s="89" t="s">
        <v>8545</v>
      </c>
      <c r="O5514" s="92">
        <v>1.9370005E7</v>
      </c>
      <c r="P5514" s="92">
        <v>1.7258125E7</v>
      </c>
      <c r="Q5514" s="89" t="s">
        <v>831</v>
      </c>
      <c r="AF5514" s="1"/>
      <c r="AG5514" s="1"/>
    </row>
    <row r="5515" ht="15.75" customHeight="1">
      <c r="A5515" s="1"/>
      <c r="B5515" s="1"/>
      <c r="C5515" s="1"/>
      <c r="D5515" s="1"/>
      <c r="E5515" s="1"/>
      <c r="F5515" s="1"/>
      <c r="G5515" s="1"/>
      <c r="H5515" s="1"/>
      <c r="I5515" s="1"/>
      <c r="J5515" s="1"/>
      <c r="K5515" s="89" t="s">
        <v>8550</v>
      </c>
      <c r="L5515" s="89" t="str">
        <f>G248</f>
        <v>C2a1a1d</v>
      </c>
      <c r="M5515" s="89" t="s">
        <v>8551</v>
      </c>
      <c r="N5515" s="89" t="s">
        <v>8552</v>
      </c>
      <c r="O5515" s="92">
        <v>2.1353753E7</v>
      </c>
      <c r="P5515" s="92">
        <v>1.9191867E7</v>
      </c>
      <c r="Q5515" s="89" t="s">
        <v>810</v>
      </c>
      <c r="AF5515" s="1"/>
      <c r="AG5515" s="1"/>
    </row>
    <row r="5516" ht="15.75" customHeight="1">
      <c r="A5516" s="1"/>
      <c r="B5516" s="1"/>
      <c r="C5516" s="1"/>
      <c r="D5516" s="1"/>
      <c r="E5516" s="1"/>
      <c r="F5516" s="1"/>
      <c r="G5516" s="1"/>
      <c r="H5516" s="1"/>
      <c r="I5516" s="1"/>
      <c r="J5516" s="1"/>
      <c r="K5516" s="89" t="s">
        <v>8553</v>
      </c>
      <c r="L5516" s="89" t="str">
        <f>G248</f>
        <v>C2a1a1d</v>
      </c>
      <c r="M5516" s="89" t="s">
        <v>8554</v>
      </c>
      <c r="N5516" s="89" t="s">
        <v>8552</v>
      </c>
      <c r="O5516" s="92">
        <v>2.1353753E7</v>
      </c>
      <c r="P5516" s="92">
        <v>1.9191867E7</v>
      </c>
      <c r="Q5516" s="89" t="s">
        <v>810</v>
      </c>
      <c r="AF5516" s="1"/>
      <c r="AG5516" s="1"/>
    </row>
    <row r="5517" ht="15.75" customHeight="1">
      <c r="A5517" s="1"/>
      <c r="B5517" s="1"/>
      <c r="C5517" s="1"/>
      <c r="D5517" s="1"/>
      <c r="E5517" s="1"/>
      <c r="F5517" s="1"/>
      <c r="G5517" s="1"/>
      <c r="H5517" s="1"/>
      <c r="I5517" s="1"/>
      <c r="J5517" s="1"/>
      <c r="K5517" s="89" t="s">
        <v>8555</v>
      </c>
      <c r="L5517" s="89" t="str">
        <f>G248</f>
        <v>C2a1a1d</v>
      </c>
      <c r="M5517" s="89" t="s">
        <v>8556</v>
      </c>
      <c r="N5517" s="89" t="s">
        <v>8552</v>
      </c>
      <c r="O5517" s="92">
        <v>2.1353753E7</v>
      </c>
      <c r="P5517" s="92">
        <v>1.9191867E7</v>
      </c>
      <c r="Q5517" s="89" t="s">
        <v>810</v>
      </c>
      <c r="AF5517" s="1"/>
      <c r="AG5517" s="1"/>
    </row>
    <row r="5518" ht="15.75" customHeight="1">
      <c r="A5518" s="1"/>
      <c r="B5518" s="1"/>
      <c r="C5518" s="1"/>
      <c r="D5518" s="1"/>
      <c r="E5518" s="1"/>
      <c r="F5518" s="1"/>
      <c r="G5518" s="1"/>
      <c r="H5518" s="1"/>
      <c r="I5518" s="1"/>
      <c r="J5518" s="1"/>
      <c r="K5518" s="89" t="s">
        <v>8557</v>
      </c>
      <c r="L5518" s="89" t="str">
        <f>G248</f>
        <v>C2a1a1d</v>
      </c>
      <c r="M5518" s="89" t="s">
        <v>8558</v>
      </c>
      <c r="N5518" s="89" t="s">
        <v>8559</v>
      </c>
      <c r="O5518" s="92">
        <v>2.1442178E7</v>
      </c>
      <c r="P5518" s="92">
        <v>1.9280292E7</v>
      </c>
      <c r="Q5518" s="89" t="s">
        <v>822</v>
      </c>
      <c r="AF5518" s="1"/>
      <c r="AG5518" s="1"/>
    </row>
    <row r="5519" ht="15.75" customHeight="1">
      <c r="A5519" s="1"/>
      <c r="B5519" s="1"/>
      <c r="C5519" s="1"/>
      <c r="D5519" s="1"/>
      <c r="E5519" s="1"/>
      <c r="F5519" s="1"/>
      <c r="G5519" s="1"/>
      <c r="H5519" s="1"/>
      <c r="I5519" s="1"/>
      <c r="J5519" s="1"/>
      <c r="K5519" s="89" t="s">
        <v>8560</v>
      </c>
      <c r="L5519" s="89" t="str">
        <f>G248</f>
        <v>C2a1a1d</v>
      </c>
      <c r="M5519" s="89" t="s">
        <v>8561</v>
      </c>
      <c r="N5519" s="89" t="s">
        <v>8559</v>
      </c>
      <c r="O5519" s="92">
        <v>2.1442178E7</v>
      </c>
      <c r="P5519" s="92">
        <v>1.9280292E7</v>
      </c>
      <c r="Q5519" s="89" t="s">
        <v>822</v>
      </c>
      <c r="AF5519" s="1"/>
      <c r="AG5519" s="1"/>
    </row>
    <row r="5520" ht="15.75" customHeight="1">
      <c r="A5520" s="1"/>
      <c r="B5520" s="1"/>
      <c r="C5520" s="1"/>
      <c r="D5520" s="1"/>
      <c r="E5520" s="1"/>
      <c r="F5520" s="1"/>
      <c r="G5520" s="1"/>
      <c r="H5520" s="1"/>
      <c r="I5520" s="1"/>
      <c r="J5520" s="1"/>
      <c r="K5520" s="89" t="s">
        <v>8562</v>
      </c>
      <c r="L5520" s="89" t="str">
        <f>G248</f>
        <v>C2a1a1d</v>
      </c>
      <c r="M5520" s="89" t="s">
        <v>8563</v>
      </c>
      <c r="N5520" s="89" t="s">
        <v>8559</v>
      </c>
      <c r="O5520" s="92">
        <v>2.1442178E7</v>
      </c>
      <c r="P5520" s="92">
        <v>1.9280292E7</v>
      </c>
      <c r="Q5520" s="89" t="s">
        <v>822</v>
      </c>
      <c r="AF5520" s="1"/>
      <c r="AG5520" s="1"/>
    </row>
    <row r="5521" ht="15.75" customHeight="1">
      <c r="A5521" s="1"/>
      <c r="B5521" s="1"/>
      <c r="C5521" s="1"/>
      <c r="D5521" s="1"/>
      <c r="E5521" s="1"/>
      <c r="F5521" s="1"/>
      <c r="G5521" s="1"/>
      <c r="H5521" s="1"/>
      <c r="I5521" s="1"/>
      <c r="J5521" s="1"/>
      <c r="K5521" s="89" t="s">
        <v>8564</v>
      </c>
      <c r="L5521" s="89" t="str">
        <f>G248</f>
        <v>C2a1a1d</v>
      </c>
      <c r="M5521" s="89" t="s">
        <v>8565</v>
      </c>
      <c r="N5521" s="89" t="s">
        <v>8566</v>
      </c>
      <c r="O5521" s="92">
        <v>2.1768749E7</v>
      </c>
      <c r="P5521" s="92">
        <v>1.9606863E7</v>
      </c>
      <c r="Q5521" s="89" t="s">
        <v>802</v>
      </c>
      <c r="AF5521" s="1"/>
      <c r="AG5521" s="1"/>
    </row>
    <row r="5522" ht="15.75" customHeight="1">
      <c r="A5522" s="1"/>
      <c r="B5522" s="1"/>
      <c r="C5522" s="1"/>
      <c r="D5522" s="1"/>
      <c r="E5522" s="1"/>
      <c r="F5522" s="1"/>
      <c r="G5522" s="1"/>
      <c r="H5522" s="1"/>
      <c r="I5522" s="1"/>
      <c r="J5522" s="1"/>
      <c r="K5522" s="89" t="s">
        <v>8567</v>
      </c>
      <c r="L5522" s="89" t="str">
        <f>G248</f>
        <v>C2a1a1d</v>
      </c>
      <c r="M5522" s="89" t="s">
        <v>8568</v>
      </c>
      <c r="N5522" s="89" t="s">
        <v>8566</v>
      </c>
      <c r="O5522" s="92">
        <v>2.1768749E7</v>
      </c>
      <c r="P5522" s="92">
        <v>1.9606863E7</v>
      </c>
      <c r="Q5522" s="89" t="s">
        <v>802</v>
      </c>
      <c r="AF5522" s="1"/>
      <c r="AG5522" s="1"/>
    </row>
    <row r="5523" ht="15.75" customHeight="1">
      <c r="A5523" s="1"/>
      <c r="B5523" s="1"/>
      <c r="C5523" s="1"/>
      <c r="D5523" s="1"/>
      <c r="E5523" s="1"/>
      <c r="F5523" s="1"/>
      <c r="G5523" s="1"/>
      <c r="H5523" s="1"/>
      <c r="I5523" s="1"/>
      <c r="J5523" s="1"/>
      <c r="K5523" s="89" t="s">
        <v>8569</v>
      </c>
      <c r="L5523" s="89" t="str">
        <f>G248</f>
        <v>C2a1a1d</v>
      </c>
      <c r="M5523" s="89" t="s">
        <v>8570</v>
      </c>
      <c r="N5523" s="89" t="s">
        <v>8566</v>
      </c>
      <c r="O5523" s="92">
        <v>2.1768749E7</v>
      </c>
      <c r="P5523" s="92">
        <v>1.9606863E7</v>
      </c>
      <c r="Q5523" s="89" t="s">
        <v>802</v>
      </c>
      <c r="AF5523" s="1"/>
      <c r="AG5523" s="1"/>
    </row>
    <row r="5524" ht="15.75" customHeight="1">
      <c r="A5524" s="1"/>
      <c r="B5524" s="1"/>
      <c r="C5524" s="1"/>
      <c r="D5524" s="1"/>
      <c r="E5524" s="1"/>
      <c r="F5524" s="1"/>
      <c r="G5524" s="1"/>
      <c r="H5524" s="1"/>
      <c r="I5524" s="1"/>
      <c r="J5524" s="1"/>
      <c r="K5524" s="89" t="s">
        <v>8571</v>
      </c>
      <c r="L5524" s="89" t="str">
        <f>G248</f>
        <v>C2a1a1d</v>
      </c>
      <c r="M5524" s="89" t="s">
        <v>8572</v>
      </c>
      <c r="N5524" s="89" t="s">
        <v>8573</v>
      </c>
      <c r="O5524" s="92">
        <v>2.2569391E7</v>
      </c>
      <c r="P5524" s="92">
        <v>2.0407505E7</v>
      </c>
      <c r="Q5524" s="89" t="s">
        <v>813</v>
      </c>
      <c r="AF5524" s="1"/>
      <c r="AG5524" s="1"/>
    </row>
    <row r="5525" ht="15.75" customHeight="1">
      <c r="A5525" s="1"/>
      <c r="B5525" s="1"/>
      <c r="C5525" s="1"/>
      <c r="D5525" s="1"/>
      <c r="E5525" s="1"/>
      <c r="F5525" s="1"/>
      <c r="G5525" s="1"/>
      <c r="H5525" s="1"/>
      <c r="I5525" s="1"/>
      <c r="J5525" s="1"/>
      <c r="K5525" s="89" t="s">
        <v>8574</v>
      </c>
      <c r="L5525" s="89" t="str">
        <f>G248</f>
        <v>C2a1a1d</v>
      </c>
      <c r="M5525" s="89" t="s">
        <v>8575</v>
      </c>
      <c r="N5525" s="89" t="s">
        <v>8573</v>
      </c>
      <c r="O5525" s="92">
        <v>2.2569391E7</v>
      </c>
      <c r="P5525" s="92">
        <v>2.0407505E7</v>
      </c>
      <c r="Q5525" s="89" t="s">
        <v>813</v>
      </c>
      <c r="AF5525" s="1"/>
      <c r="AG5525" s="1"/>
    </row>
    <row r="5526" ht="15.75" customHeight="1">
      <c r="A5526" s="1"/>
      <c r="B5526" s="1"/>
      <c r="C5526" s="1"/>
      <c r="D5526" s="1"/>
      <c r="E5526" s="1"/>
      <c r="F5526" s="1"/>
      <c r="G5526" s="1"/>
      <c r="H5526" s="1"/>
      <c r="I5526" s="1"/>
      <c r="J5526" s="1"/>
      <c r="K5526" s="89" t="s">
        <v>8576</v>
      </c>
      <c r="L5526" s="89" t="str">
        <f>G248</f>
        <v>C2a1a1d</v>
      </c>
      <c r="M5526" s="89" t="s">
        <v>8577</v>
      </c>
      <c r="N5526" s="89" t="s">
        <v>8573</v>
      </c>
      <c r="O5526" s="92">
        <v>2.2569391E7</v>
      </c>
      <c r="P5526" s="92">
        <v>2.0407505E7</v>
      </c>
      <c r="Q5526" s="89" t="s">
        <v>813</v>
      </c>
      <c r="AF5526" s="1"/>
      <c r="AG5526" s="1"/>
    </row>
    <row r="5527" ht="15.75" customHeight="1">
      <c r="A5527" s="1"/>
      <c r="B5527" s="1"/>
      <c r="C5527" s="1"/>
      <c r="D5527" s="1"/>
      <c r="E5527" s="1"/>
      <c r="F5527" s="1"/>
      <c r="G5527" s="1"/>
      <c r="H5527" s="1"/>
      <c r="I5527" s="1"/>
      <c r="J5527" s="1"/>
      <c r="K5527" s="89" t="s">
        <v>8578</v>
      </c>
      <c r="L5527" s="89" t="str">
        <f>G248</f>
        <v>C2a1a1d</v>
      </c>
      <c r="M5527" s="89" t="s">
        <v>8579</v>
      </c>
      <c r="N5527" s="89" t="s">
        <v>8580</v>
      </c>
      <c r="O5527" s="92">
        <v>2.3056767E7</v>
      </c>
      <c r="P5527" s="92">
        <v>2.0894881E7</v>
      </c>
      <c r="Q5527" s="89" t="s">
        <v>879</v>
      </c>
      <c r="AF5527" s="1"/>
      <c r="AG5527" s="1"/>
    </row>
    <row r="5528" ht="15.75" customHeight="1">
      <c r="A5528" s="1"/>
      <c r="B5528" s="1"/>
      <c r="C5528" s="1"/>
      <c r="D5528" s="1"/>
      <c r="E5528" s="1"/>
      <c r="F5528" s="1"/>
      <c r="G5528" s="1"/>
      <c r="H5528" s="1"/>
      <c r="I5528" s="1"/>
      <c r="J5528" s="1"/>
      <c r="K5528" s="89" t="s">
        <v>8581</v>
      </c>
      <c r="L5528" s="89" t="str">
        <f>G248</f>
        <v>C2a1a1d</v>
      </c>
      <c r="M5528" s="89" t="s">
        <v>8582</v>
      </c>
      <c r="N5528" s="89" t="s">
        <v>8580</v>
      </c>
      <c r="O5528" s="92">
        <v>2.3056767E7</v>
      </c>
      <c r="P5528" s="92">
        <v>2.0894881E7</v>
      </c>
      <c r="Q5528" s="89" t="s">
        <v>879</v>
      </c>
      <c r="AF5528" s="1"/>
      <c r="AG5528" s="1"/>
    </row>
    <row r="5529" ht="15.75" customHeight="1">
      <c r="A5529" s="1"/>
      <c r="B5529" s="1"/>
      <c r="C5529" s="1"/>
      <c r="D5529" s="1"/>
      <c r="E5529" s="1"/>
      <c r="F5529" s="1"/>
      <c r="G5529" s="1"/>
      <c r="H5529" s="1"/>
      <c r="I5529" s="1"/>
      <c r="J5529" s="1"/>
      <c r="K5529" s="89" t="s">
        <v>8583</v>
      </c>
      <c r="L5529" s="89" t="str">
        <f>G248</f>
        <v>C2a1a1d</v>
      </c>
      <c r="M5529" s="89" t="s">
        <v>8584</v>
      </c>
      <c r="N5529" s="89" t="s">
        <v>8580</v>
      </c>
      <c r="O5529" s="92">
        <v>2.3056767E7</v>
      </c>
      <c r="P5529" s="92">
        <v>2.0894881E7</v>
      </c>
      <c r="Q5529" s="89" t="s">
        <v>879</v>
      </c>
      <c r="AF5529" s="1"/>
      <c r="AG5529" s="1"/>
    </row>
    <row r="5530" ht="15.75" customHeight="1">
      <c r="A5530" s="1"/>
      <c r="B5530" s="1"/>
      <c r="C5530" s="1"/>
      <c r="D5530" s="1"/>
      <c r="E5530" s="1"/>
      <c r="F5530" s="1"/>
      <c r="G5530" s="1"/>
      <c r="H5530" s="1"/>
      <c r="I5530" s="1"/>
      <c r="J5530" s="1"/>
      <c r="K5530" s="89" t="s">
        <v>8585</v>
      </c>
      <c r="L5530" s="89" t="str">
        <f>G248</f>
        <v>C2a1a1d</v>
      </c>
      <c r="M5530" s="89" t="s">
        <v>8586</v>
      </c>
      <c r="N5530" s="89"/>
      <c r="O5530" s="92">
        <v>2.3955562E7</v>
      </c>
      <c r="P5530" s="92">
        <v>2.1809415E7</v>
      </c>
      <c r="Q5530" s="89" t="s">
        <v>831</v>
      </c>
      <c r="AF5530" s="1"/>
      <c r="AG5530" s="1"/>
    </row>
    <row r="5531" ht="15.75" customHeight="1">
      <c r="A5531" s="1"/>
      <c r="B5531" s="1"/>
      <c r="C5531" s="1"/>
      <c r="D5531" s="1"/>
      <c r="E5531" s="1"/>
      <c r="F5531" s="1"/>
      <c r="G5531" s="1"/>
      <c r="H5531" s="1"/>
      <c r="I5531" s="1"/>
      <c r="J5531" s="1"/>
      <c r="K5531" s="89" t="s">
        <v>8587</v>
      </c>
      <c r="L5531" s="89" t="str">
        <f>G248</f>
        <v>C2a1a1d</v>
      </c>
      <c r="M5531" s="89" t="s">
        <v>8588</v>
      </c>
      <c r="N5531" s="89"/>
      <c r="O5531" s="92">
        <v>2.3955562E7</v>
      </c>
      <c r="P5531" s="92">
        <v>2.1809415E7</v>
      </c>
      <c r="Q5531" s="89" t="s">
        <v>831</v>
      </c>
      <c r="AF5531" s="1"/>
      <c r="AG5531" s="1"/>
    </row>
    <row r="5532" ht="15.75" customHeight="1">
      <c r="A5532" s="1"/>
      <c r="B5532" s="1"/>
      <c r="C5532" s="1"/>
      <c r="D5532" s="1"/>
      <c r="E5532" s="1"/>
      <c r="F5532" s="1"/>
      <c r="G5532" s="1"/>
      <c r="H5532" s="1"/>
      <c r="I5532" s="1"/>
      <c r="J5532" s="1"/>
      <c r="K5532" s="89" t="s">
        <v>8589</v>
      </c>
      <c r="L5532" s="89" t="str">
        <f>G248</f>
        <v>C2a1a1d</v>
      </c>
      <c r="M5532" s="89" t="s">
        <v>8590</v>
      </c>
      <c r="N5532" s="89"/>
      <c r="O5532" s="92">
        <v>2.3955562E7</v>
      </c>
      <c r="P5532" s="92">
        <v>2.1809415E7</v>
      </c>
      <c r="Q5532" s="89" t="s">
        <v>831</v>
      </c>
      <c r="AF5532" s="1"/>
      <c r="AG5532" s="1"/>
    </row>
    <row r="5533" ht="15.75" customHeight="1">
      <c r="A5533" s="1"/>
      <c r="B5533" s="1"/>
      <c r="C5533" s="1"/>
      <c r="D5533" s="1"/>
      <c r="E5533" s="1"/>
      <c r="F5533" s="1"/>
      <c r="G5533" s="1"/>
      <c r="H5533" s="1"/>
      <c r="I5533" s="1"/>
      <c r="J5533" s="1"/>
      <c r="K5533" s="89" t="s">
        <v>8591</v>
      </c>
      <c r="L5533" s="89" t="str">
        <f>G248</f>
        <v>C2a1a1d</v>
      </c>
      <c r="M5533" s="89" t="s">
        <v>8592</v>
      </c>
      <c r="N5533" s="89" t="s">
        <v>8593</v>
      </c>
      <c r="O5533" s="92">
        <v>1.689908E7</v>
      </c>
      <c r="P5533" s="92">
        <v>1.47872E7</v>
      </c>
      <c r="Q5533" s="89" t="s">
        <v>838</v>
      </c>
      <c r="AF5533" s="1"/>
      <c r="AG5533" s="1"/>
    </row>
    <row r="5534" ht="15.75" customHeight="1">
      <c r="A5534" s="1"/>
      <c r="B5534" s="1"/>
      <c r="C5534" s="1"/>
      <c r="D5534" s="1"/>
      <c r="E5534" s="1"/>
      <c r="F5534" s="1"/>
      <c r="G5534" s="1"/>
      <c r="H5534" s="1"/>
      <c r="I5534" s="1"/>
      <c r="J5534" s="1"/>
      <c r="K5534" s="89" t="s">
        <v>8592</v>
      </c>
      <c r="L5534" s="89" t="str">
        <f>G248</f>
        <v>C2a1a1d</v>
      </c>
      <c r="M5534" s="89" t="s">
        <v>8591</v>
      </c>
      <c r="N5534" s="89" t="s">
        <v>8593</v>
      </c>
      <c r="O5534" s="92">
        <v>1.689908E7</v>
      </c>
      <c r="P5534" s="92">
        <v>1.47872E7</v>
      </c>
      <c r="Q5534" s="89" t="s">
        <v>838</v>
      </c>
      <c r="AF5534" s="1"/>
      <c r="AG5534" s="1"/>
    </row>
    <row r="5535" ht="15.75" customHeight="1">
      <c r="A5535" s="1"/>
      <c r="B5535" s="1"/>
      <c r="C5535" s="1"/>
      <c r="D5535" s="1"/>
      <c r="E5535" s="1"/>
      <c r="F5535" s="1"/>
      <c r="G5535" s="1"/>
      <c r="H5535" s="1"/>
      <c r="I5535" s="1"/>
      <c r="J5535" s="1"/>
      <c r="K5535" s="89" t="s">
        <v>8594</v>
      </c>
      <c r="L5535" s="89" t="str">
        <f>H249</f>
        <v>C2a1a1d1</v>
      </c>
      <c r="M5535" s="89"/>
      <c r="N5535" s="89" t="s">
        <v>8595</v>
      </c>
      <c r="O5535" s="92">
        <v>2779745.0</v>
      </c>
      <c r="P5535" s="92">
        <v>2911704.0</v>
      </c>
      <c r="Q5535" s="89" t="s">
        <v>912</v>
      </c>
      <c r="AF5535" s="1"/>
      <c r="AG5535" s="1"/>
    </row>
    <row r="5536" ht="15.75" customHeight="1">
      <c r="A5536" s="1"/>
      <c r="B5536" s="1"/>
      <c r="C5536" s="1"/>
      <c r="D5536" s="1"/>
      <c r="E5536" s="1"/>
      <c r="F5536" s="1"/>
      <c r="G5536" s="1"/>
      <c r="H5536" s="1"/>
      <c r="I5536" s="1"/>
      <c r="J5536" s="1"/>
      <c r="K5536" s="89" t="s">
        <v>8596</v>
      </c>
      <c r="L5536" s="89" t="str">
        <f>H249</f>
        <v>C2a1a1d1</v>
      </c>
      <c r="M5536" s="89"/>
      <c r="N5536" s="89"/>
      <c r="O5536" s="89">
        <v>1.3832961E7</v>
      </c>
      <c r="P5536" s="89">
        <v>1.1712255E7</v>
      </c>
      <c r="Q5536" s="89" t="s">
        <v>802</v>
      </c>
      <c r="AF5536" s="1"/>
      <c r="AG5536" s="1"/>
    </row>
    <row r="5537" ht="15.75" customHeight="1">
      <c r="A5537" s="1"/>
      <c r="B5537" s="1"/>
      <c r="C5537" s="1"/>
      <c r="D5537" s="1"/>
      <c r="E5537" s="1"/>
      <c r="F5537" s="1"/>
      <c r="G5537" s="1"/>
      <c r="H5537" s="1"/>
      <c r="I5537" s="1"/>
      <c r="J5537" s="1"/>
      <c r="K5537" s="89" t="s">
        <v>8597</v>
      </c>
      <c r="L5537" s="89" t="str">
        <f>H249</f>
        <v>C2a1a1d1</v>
      </c>
      <c r="M5537" s="89"/>
      <c r="N5537" s="89" t="s">
        <v>8598</v>
      </c>
      <c r="O5537" s="92">
        <v>7919305.0</v>
      </c>
      <c r="P5537" s="92">
        <v>8051264.0</v>
      </c>
      <c r="Q5537" s="89" t="s">
        <v>917</v>
      </c>
      <c r="AF5537" s="1"/>
      <c r="AG5537" s="1"/>
    </row>
    <row r="5538" ht="15.75" customHeight="1">
      <c r="A5538" s="1"/>
      <c r="B5538" s="1"/>
      <c r="C5538" s="1"/>
      <c r="D5538" s="1"/>
      <c r="E5538" s="1"/>
      <c r="F5538" s="1"/>
      <c r="G5538" s="1"/>
      <c r="H5538" s="1"/>
      <c r="I5538" s="1"/>
      <c r="J5538" s="1"/>
      <c r="K5538" s="89" t="s">
        <v>8599</v>
      </c>
      <c r="L5538" s="89" t="str">
        <f>H249</f>
        <v>C2a1a1d1</v>
      </c>
      <c r="M5538" s="89"/>
      <c r="N5538" s="89" t="s">
        <v>8600</v>
      </c>
      <c r="O5538" s="92">
        <v>8046986.0</v>
      </c>
      <c r="P5538" s="92">
        <v>8178945.0</v>
      </c>
      <c r="Q5538" s="89" t="s">
        <v>912</v>
      </c>
      <c r="AF5538" s="1"/>
      <c r="AG5538" s="1"/>
    </row>
    <row r="5539" ht="15.75" customHeight="1">
      <c r="A5539" s="1"/>
      <c r="B5539" s="1"/>
      <c r="C5539" s="1"/>
      <c r="D5539" s="1"/>
      <c r="E5539" s="1"/>
      <c r="F5539" s="1"/>
      <c r="G5539" s="1"/>
      <c r="H5539" s="1"/>
      <c r="I5539" s="1"/>
      <c r="J5539" s="1"/>
      <c r="K5539" s="89" t="s">
        <v>8601</v>
      </c>
      <c r="L5539" s="89" t="str">
        <f>H249</f>
        <v>C2a1a1d1</v>
      </c>
      <c r="M5539" s="89"/>
      <c r="N5539" s="89" t="s">
        <v>8602</v>
      </c>
      <c r="O5539" s="106">
        <v>8485822.0</v>
      </c>
      <c r="P5539" s="89">
        <v>8617781.0</v>
      </c>
      <c r="Q5539" s="89" t="s">
        <v>831</v>
      </c>
      <c r="AF5539" s="1"/>
      <c r="AG5539" s="1"/>
    </row>
    <row r="5540" ht="15.75" customHeight="1">
      <c r="A5540" s="1"/>
      <c r="B5540" s="1"/>
      <c r="C5540" s="1"/>
      <c r="D5540" s="1"/>
      <c r="E5540" s="1"/>
      <c r="F5540" s="1"/>
      <c r="G5540" s="1"/>
      <c r="H5540" s="1"/>
      <c r="I5540" s="1"/>
      <c r="J5540" s="1"/>
      <c r="K5540" s="89" t="s">
        <v>8603</v>
      </c>
      <c r="L5540" s="89" t="str">
        <f>H249</f>
        <v>C2a1a1d1</v>
      </c>
      <c r="M5540" s="89"/>
      <c r="N5540" s="89"/>
      <c r="O5540" s="92">
        <v>8766654.0</v>
      </c>
      <c r="P5540" s="92">
        <v>8898613.0</v>
      </c>
      <c r="Q5540" s="89" t="s">
        <v>845</v>
      </c>
      <c r="AF5540" s="1"/>
      <c r="AG5540" s="1"/>
    </row>
    <row r="5541" ht="15.75" customHeight="1">
      <c r="A5541" s="1"/>
      <c r="B5541" s="1"/>
      <c r="C5541" s="1"/>
      <c r="D5541" s="1"/>
      <c r="E5541" s="1"/>
      <c r="F5541" s="1"/>
      <c r="G5541" s="1"/>
      <c r="H5541" s="1"/>
      <c r="I5541" s="1"/>
      <c r="J5541" s="1"/>
      <c r="K5541" s="89" t="s">
        <v>8604</v>
      </c>
      <c r="L5541" s="89" t="str">
        <f>H249</f>
        <v>C2a1a1d1</v>
      </c>
      <c r="M5541" s="89"/>
      <c r="N5541" s="89" t="s">
        <v>8605</v>
      </c>
      <c r="O5541" s="92">
        <v>8858113.0</v>
      </c>
      <c r="P5541" s="92">
        <v>8990072.0</v>
      </c>
      <c r="Q5541" s="89" t="s">
        <v>810</v>
      </c>
      <c r="AF5541" s="1"/>
      <c r="AG5541" s="1"/>
    </row>
    <row r="5542" ht="15.75" customHeight="1">
      <c r="A5542" s="1"/>
      <c r="B5542" s="1"/>
      <c r="C5542" s="1"/>
      <c r="D5542" s="1"/>
      <c r="E5542" s="1"/>
      <c r="F5542" s="1"/>
      <c r="G5542" s="1"/>
      <c r="H5542" s="1"/>
      <c r="I5542" s="1"/>
      <c r="J5542" s="1"/>
      <c r="K5542" s="89" t="s">
        <v>8606</v>
      </c>
      <c r="L5542" s="89" t="str">
        <f>H249</f>
        <v>C2a1a1d1</v>
      </c>
      <c r="M5542" s="89"/>
      <c r="N5542" s="89"/>
      <c r="O5542" s="92">
        <v>8881198.0</v>
      </c>
      <c r="P5542" s="92">
        <v>9013157.0</v>
      </c>
      <c r="Q5542" s="89" t="s">
        <v>822</v>
      </c>
      <c r="AF5542" s="1"/>
      <c r="AG5542" s="1"/>
    </row>
    <row r="5543" ht="15.75" customHeight="1">
      <c r="A5543" s="1"/>
      <c r="B5543" s="1"/>
      <c r="C5543" s="1"/>
      <c r="D5543" s="1"/>
      <c r="E5543" s="1"/>
      <c r="F5543" s="1"/>
      <c r="G5543" s="1"/>
      <c r="H5543" s="1"/>
      <c r="I5543" s="1"/>
      <c r="J5543" s="1"/>
      <c r="K5543" s="89" t="s">
        <v>8607</v>
      </c>
      <c r="L5543" s="89" t="str">
        <f>H249</f>
        <v>C2a1a1d1</v>
      </c>
      <c r="M5543" s="89"/>
      <c r="N5543" s="89" t="s">
        <v>8608</v>
      </c>
      <c r="O5543" s="92">
        <v>9379386.0</v>
      </c>
      <c r="P5543" s="92">
        <v>9541777.0</v>
      </c>
      <c r="Q5543" s="89" t="s">
        <v>822</v>
      </c>
      <c r="AF5543" s="1"/>
      <c r="AG5543" s="1"/>
    </row>
    <row r="5544" ht="15.75" customHeight="1">
      <c r="A5544" s="1"/>
      <c r="B5544" s="1"/>
      <c r="C5544" s="1"/>
      <c r="D5544" s="1"/>
      <c r="E5544" s="1"/>
      <c r="F5544" s="1"/>
      <c r="G5544" s="1"/>
      <c r="H5544" s="1"/>
      <c r="I5544" s="1"/>
      <c r="J5544" s="1"/>
      <c r="K5544" s="89" t="s">
        <v>8609</v>
      </c>
      <c r="L5544" s="89" t="str">
        <f>H249</f>
        <v>C2a1a1d1</v>
      </c>
      <c r="M5544" s="89"/>
      <c r="N5544" s="89"/>
      <c r="O5544" s="106">
        <v>9393693.0</v>
      </c>
      <c r="P5544" s="89">
        <v>9556084.0</v>
      </c>
      <c r="Q5544" s="89" t="s">
        <v>822</v>
      </c>
      <c r="AF5544" s="1"/>
      <c r="AG5544" s="1"/>
    </row>
    <row r="5545" ht="15.75" customHeight="1">
      <c r="A5545" s="1"/>
      <c r="B5545" s="1"/>
      <c r="C5545" s="1"/>
      <c r="D5545" s="1"/>
      <c r="E5545" s="1"/>
      <c r="F5545" s="1"/>
      <c r="G5545" s="1"/>
      <c r="H5545" s="1"/>
      <c r="I5545" s="1"/>
      <c r="J5545" s="1"/>
      <c r="K5545" s="89" t="s">
        <v>8610</v>
      </c>
      <c r="L5545" s="89" t="str">
        <f>H249</f>
        <v>C2a1a1d1</v>
      </c>
      <c r="M5545" s="89"/>
      <c r="N5545" s="89"/>
      <c r="O5545" s="92">
        <v>9845014.0</v>
      </c>
      <c r="P5545" s="92">
        <v>1.0007405E7</v>
      </c>
      <c r="Q5545" s="89" t="s">
        <v>864</v>
      </c>
      <c r="AF5545" s="1"/>
      <c r="AG5545" s="1"/>
    </row>
    <row r="5546" ht="15.75" customHeight="1">
      <c r="A5546" s="1"/>
      <c r="B5546" s="1"/>
      <c r="C5546" s="1"/>
      <c r="D5546" s="1"/>
      <c r="E5546" s="1"/>
      <c r="F5546" s="1"/>
      <c r="G5546" s="1"/>
      <c r="H5546" s="1"/>
      <c r="I5546" s="1"/>
      <c r="J5546" s="1"/>
      <c r="K5546" s="89" t="s">
        <v>8611</v>
      </c>
      <c r="L5546" s="89" t="str">
        <f>H249</f>
        <v>C2a1a1d1</v>
      </c>
      <c r="M5546" s="89"/>
      <c r="N5546" s="89" t="s">
        <v>8612</v>
      </c>
      <c r="O5546" s="92">
        <v>1.634146E7</v>
      </c>
      <c r="P5546" s="92">
        <v>1.422958E7</v>
      </c>
      <c r="Q5546" s="89" t="s">
        <v>879</v>
      </c>
      <c r="AF5546" s="1"/>
      <c r="AG5546" s="1"/>
    </row>
    <row r="5547" ht="15.75" customHeight="1">
      <c r="A5547" s="1"/>
      <c r="B5547" s="1"/>
      <c r="C5547" s="1"/>
      <c r="D5547" s="1"/>
      <c r="E5547" s="1"/>
      <c r="F5547" s="1"/>
      <c r="G5547" s="1"/>
      <c r="H5547" s="1"/>
      <c r="I5547" s="1"/>
      <c r="J5547" s="1"/>
      <c r="K5547" s="89" t="s">
        <v>8613</v>
      </c>
      <c r="L5547" s="89" t="str">
        <f>H249</f>
        <v>C2a1a1d1</v>
      </c>
      <c r="M5547" s="89"/>
      <c r="N5547" s="89"/>
      <c r="O5547" s="92">
        <v>1.6361553E7</v>
      </c>
      <c r="P5547" s="92">
        <v>1.4249673E7</v>
      </c>
      <c r="Q5547" s="89" t="s">
        <v>886</v>
      </c>
      <c r="AF5547" s="1"/>
      <c r="AG5547" s="1"/>
    </row>
    <row r="5548" ht="15.75" customHeight="1">
      <c r="A5548" s="1"/>
      <c r="B5548" s="1"/>
      <c r="C5548" s="1"/>
      <c r="D5548" s="1"/>
      <c r="E5548" s="1"/>
      <c r="F5548" s="1"/>
      <c r="G5548" s="1"/>
      <c r="H5548" s="1"/>
      <c r="I5548" s="1"/>
      <c r="J5548" s="1"/>
      <c r="K5548" s="89" t="s">
        <v>8614</v>
      </c>
      <c r="L5548" s="89" t="str">
        <f>H249</f>
        <v>C2a1a1d1</v>
      </c>
      <c r="M5548" s="89"/>
      <c r="N5548" s="89" t="s">
        <v>8615</v>
      </c>
      <c r="O5548" s="92">
        <v>1.6711553E7</v>
      </c>
      <c r="P5548" s="92">
        <v>1.4599673E7</v>
      </c>
      <c r="Q5548" s="89" t="s">
        <v>810</v>
      </c>
      <c r="AF5548" s="1"/>
      <c r="AG5548" s="1"/>
    </row>
    <row r="5549" ht="15.75" customHeight="1">
      <c r="A5549" s="1"/>
      <c r="B5549" s="1"/>
      <c r="C5549" s="1"/>
      <c r="D5549" s="1"/>
      <c r="E5549" s="1"/>
      <c r="F5549" s="1"/>
      <c r="G5549" s="1"/>
      <c r="H5549" s="1"/>
      <c r="I5549" s="1"/>
      <c r="J5549" s="1"/>
      <c r="K5549" s="89" t="s">
        <v>8616</v>
      </c>
      <c r="L5549" s="89" t="str">
        <f>H249</f>
        <v>C2a1a1d1</v>
      </c>
      <c r="M5549" s="89"/>
      <c r="N5549" s="89" t="s">
        <v>8617</v>
      </c>
      <c r="O5549" s="92">
        <v>1.7186253E7</v>
      </c>
      <c r="P5549" s="92">
        <v>1.5074373E7</v>
      </c>
      <c r="Q5549" s="89" t="s">
        <v>822</v>
      </c>
      <c r="AF5549" s="1"/>
      <c r="AG5549" s="1"/>
    </row>
    <row r="5550" ht="15.75" customHeight="1">
      <c r="A5550" s="1"/>
      <c r="B5550" s="1"/>
      <c r="C5550" s="1"/>
      <c r="D5550" s="1"/>
      <c r="E5550" s="1"/>
      <c r="F5550" s="1"/>
      <c r="G5550" s="1"/>
      <c r="H5550" s="1"/>
      <c r="I5550" s="1"/>
      <c r="J5550" s="1"/>
      <c r="K5550" s="89" t="s">
        <v>8618</v>
      </c>
      <c r="L5550" s="89" t="str">
        <f>H249</f>
        <v>C2a1a1d1</v>
      </c>
      <c r="M5550" s="89"/>
      <c r="N5550" s="89"/>
      <c r="O5550" s="92">
        <v>1.7437489E7</v>
      </c>
      <c r="P5550" s="92">
        <v>1.5325609E7</v>
      </c>
      <c r="Q5550" s="89" t="s">
        <v>822</v>
      </c>
      <c r="AF5550" s="1"/>
      <c r="AG5550" s="1"/>
    </row>
    <row r="5551" ht="15.75" customHeight="1">
      <c r="A5551" s="1"/>
      <c r="B5551" s="1"/>
      <c r="C5551" s="1"/>
      <c r="D5551" s="1"/>
      <c r="E5551" s="1"/>
      <c r="F5551" s="1"/>
      <c r="G5551" s="1"/>
      <c r="H5551" s="1"/>
      <c r="I5551" s="1"/>
      <c r="J5551" s="1"/>
      <c r="K5551" s="89" t="s">
        <v>8619</v>
      </c>
      <c r="L5551" s="89" t="str">
        <f>H249</f>
        <v>C2a1a1d1</v>
      </c>
      <c r="M5551" s="89"/>
      <c r="N5551" s="89" t="s">
        <v>8620</v>
      </c>
      <c r="O5551" s="92">
        <v>1.7799537E7</v>
      </c>
      <c r="P5551" s="92">
        <v>1.5687657E7</v>
      </c>
      <c r="Q5551" s="89" t="s">
        <v>879</v>
      </c>
      <c r="AF5551" s="1"/>
      <c r="AG5551" s="1"/>
    </row>
    <row r="5552" ht="15.75" customHeight="1">
      <c r="A5552" s="1"/>
      <c r="B5552" s="1"/>
      <c r="C5552" s="1"/>
      <c r="D5552" s="1"/>
      <c r="E5552" s="1"/>
      <c r="F5552" s="1"/>
      <c r="G5552" s="1"/>
      <c r="H5552" s="1"/>
      <c r="I5552" s="1"/>
      <c r="J5552" s="1"/>
      <c r="K5552" s="89" t="s">
        <v>8621</v>
      </c>
      <c r="L5552" s="89" t="str">
        <f>H249</f>
        <v>C2a1a1d1</v>
      </c>
      <c r="M5552" s="89"/>
      <c r="N5552" s="89" t="s">
        <v>8622</v>
      </c>
      <c r="O5552" s="92">
        <v>1.7821711E7</v>
      </c>
      <c r="P5552" s="92">
        <v>1.5709831E7</v>
      </c>
      <c r="Q5552" s="89" t="s">
        <v>810</v>
      </c>
      <c r="AF5552" s="1"/>
      <c r="AG5552" s="1"/>
    </row>
    <row r="5553" ht="15.75" customHeight="1">
      <c r="A5553" s="1"/>
      <c r="B5553" s="1"/>
      <c r="C5553" s="1"/>
      <c r="D5553" s="1"/>
      <c r="E5553" s="1"/>
      <c r="F5553" s="1"/>
      <c r="G5553" s="1"/>
      <c r="H5553" s="1"/>
      <c r="I5553" s="1"/>
      <c r="J5553" s="1"/>
      <c r="K5553" s="89" t="s">
        <v>8623</v>
      </c>
      <c r="L5553" s="89" t="str">
        <f>H249</f>
        <v>C2a1a1d1</v>
      </c>
      <c r="M5553" s="89"/>
      <c r="N5553" s="89" t="s">
        <v>8624</v>
      </c>
      <c r="O5553" s="92">
        <v>1.7971088E7</v>
      </c>
      <c r="P5553" s="92">
        <v>1.5859208E7</v>
      </c>
      <c r="Q5553" s="89" t="s">
        <v>917</v>
      </c>
      <c r="AF5553" s="1"/>
      <c r="AG5553" s="1"/>
    </row>
    <row r="5554" ht="15.75" customHeight="1">
      <c r="A5554" s="1"/>
      <c r="B5554" s="1"/>
      <c r="C5554" s="1"/>
      <c r="D5554" s="1"/>
      <c r="E5554" s="1"/>
      <c r="F5554" s="1"/>
      <c r="G5554" s="1"/>
      <c r="H5554" s="1"/>
      <c r="I5554" s="1"/>
      <c r="J5554" s="1"/>
      <c r="K5554" s="89" t="s">
        <v>8625</v>
      </c>
      <c r="L5554" s="89" t="str">
        <f>H249</f>
        <v>C2a1a1d1</v>
      </c>
      <c r="M5554" s="89"/>
      <c r="N5554" s="89" t="s">
        <v>8626</v>
      </c>
      <c r="O5554" s="92">
        <v>1.8176147E7</v>
      </c>
      <c r="P5554" s="92">
        <v>1.6064267E7</v>
      </c>
      <c r="Q5554" s="89" t="s">
        <v>838</v>
      </c>
      <c r="AF5554" s="1"/>
      <c r="AG5554" s="1"/>
    </row>
    <row r="5555" ht="15.75" customHeight="1">
      <c r="A5555" s="1"/>
      <c r="B5555" s="1"/>
      <c r="C5555" s="1"/>
      <c r="D5555" s="1"/>
      <c r="E5555" s="1"/>
      <c r="F5555" s="1"/>
      <c r="G5555" s="1"/>
      <c r="H5555" s="1"/>
      <c r="I5555" s="1"/>
      <c r="J5555" s="1"/>
      <c r="K5555" s="89" t="s">
        <v>8627</v>
      </c>
      <c r="L5555" s="89" t="str">
        <f>H249</f>
        <v>C2a1a1d1</v>
      </c>
      <c r="M5555" s="89"/>
      <c r="N5555" s="89" t="s">
        <v>8628</v>
      </c>
      <c r="O5555" s="92">
        <v>1.8209982E7</v>
      </c>
      <c r="P5555" s="92">
        <v>1.6098102E7</v>
      </c>
      <c r="Q5555" s="89" t="s">
        <v>838</v>
      </c>
      <c r="AF5555" s="1"/>
      <c r="AG5555" s="1"/>
    </row>
    <row r="5556" ht="15.75" customHeight="1">
      <c r="A5556" s="1"/>
      <c r="B5556" s="1"/>
      <c r="C5556" s="1"/>
      <c r="D5556" s="1"/>
      <c r="E5556" s="1"/>
      <c r="F5556" s="1"/>
      <c r="G5556" s="1"/>
      <c r="H5556" s="1"/>
      <c r="I5556" s="1"/>
      <c r="J5556" s="1"/>
      <c r="K5556" s="89" t="s">
        <v>8629</v>
      </c>
      <c r="L5556" s="89" t="str">
        <f>H249</f>
        <v>C2a1a1d1</v>
      </c>
      <c r="M5556" s="89"/>
      <c r="N5556" s="89" t="s">
        <v>8630</v>
      </c>
      <c r="O5556" s="92">
        <v>1.8417487E7</v>
      </c>
      <c r="P5556" s="92">
        <v>1.6305607E7</v>
      </c>
      <c r="Q5556" s="89" t="s">
        <v>802</v>
      </c>
      <c r="AF5556" s="1"/>
      <c r="AG5556" s="1"/>
    </row>
    <row r="5557" ht="15.75" customHeight="1">
      <c r="A5557" s="1"/>
      <c r="B5557" s="1"/>
      <c r="C5557" s="1"/>
      <c r="D5557" s="1"/>
      <c r="E5557" s="1"/>
      <c r="F5557" s="1"/>
      <c r="G5557" s="1"/>
      <c r="H5557" s="1"/>
      <c r="I5557" s="1"/>
      <c r="J5557" s="1"/>
      <c r="K5557" s="89" t="s">
        <v>8631</v>
      </c>
      <c r="L5557" s="89" t="str">
        <f>H249</f>
        <v>C2a1a1d1</v>
      </c>
      <c r="M5557" s="89"/>
      <c r="N5557" s="89" t="s">
        <v>8632</v>
      </c>
      <c r="O5557" s="92">
        <v>1.8841426E7</v>
      </c>
      <c r="P5557" s="92">
        <v>1.6729546E7</v>
      </c>
      <c r="Q5557" s="89" t="s">
        <v>802</v>
      </c>
      <c r="AF5557" s="1"/>
      <c r="AG5557" s="1"/>
    </row>
    <row r="5558" ht="15.75" customHeight="1">
      <c r="A5558" s="1"/>
      <c r="B5558" s="1"/>
      <c r="C5558" s="1"/>
      <c r="D5558" s="1"/>
      <c r="E5558" s="1"/>
      <c r="F5558" s="1"/>
      <c r="G5558" s="1"/>
      <c r="H5558" s="1"/>
      <c r="I5558" s="1"/>
      <c r="J5558" s="1"/>
      <c r="K5558" s="89" t="s">
        <v>8633</v>
      </c>
      <c r="L5558" s="89" t="str">
        <f>H249</f>
        <v>C2a1a1d1</v>
      </c>
      <c r="M5558" s="89"/>
      <c r="N5558" s="89" t="s">
        <v>8634</v>
      </c>
      <c r="O5558" s="92">
        <v>1.9338005E7</v>
      </c>
      <c r="P5558" s="92">
        <v>1.7226125E7</v>
      </c>
      <c r="Q5558" s="89" t="s">
        <v>886</v>
      </c>
      <c r="AF5558" s="1"/>
      <c r="AG5558" s="1"/>
    </row>
    <row r="5559" ht="15.75" customHeight="1">
      <c r="A5559" s="1"/>
      <c r="B5559" s="1"/>
      <c r="C5559" s="1"/>
      <c r="D5559" s="1"/>
      <c r="E5559" s="1"/>
      <c r="F5559" s="1"/>
      <c r="G5559" s="1"/>
      <c r="H5559" s="1"/>
      <c r="I5559" s="1"/>
      <c r="J5559" s="1"/>
      <c r="K5559" s="89" t="s">
        <v>8635</v>
      </c>
      <c r="L5559" s="89" t="str">
        <f>H249</f>
        <v>C2a1a1d1</v>
      </c>
      <c r="M5559" s="89"/>
      <c r="N5559" s="89" t="s">
        <v>8636</v>
      </c>
      <c r="O5559" s="92">
        <v>1.9378651E7</v>
      </c>
      <c r="P5559" s="92">
        <v>1.7266771E7</v>
      </c>
      <c r="Q5559" s="89" t="s">
        <v>810</v>
      </c>
      <c r="AF5559" s="1"/>
      <c r="AG5559" s="1"/>
    </row>
    <row r="5560" ht="15.75" customHeight="1">
      <c r="A5560" s="1"/>
      <c r="B5560" s="1"/>
      <c r="C5560" s="1"/>
      <c r="D5560" s="1"/>
      <c r="E5560" s="1"/>
      <c r="F5560" s="1"/>
      <c r="G5560" s="1"/>
      <c r="H5560" s="1"/>
      <c r="I5560" s="1"/>
      <c r="J5560" s="1"/>
      <c r="K5560" s="89" t="s">
        <v>8637</v>
      </c>
      <c r="L5560" s="89" t="str">
        <f>H249</f>
        <v>C2a1a1d1</v>
      </c>
      <c r="M5560" s="89"/>
      <c r="N5560" s="89" t="s">
        <v>8638</v>
      </c>
      <c r="O5560" s="92">
        <v>2.1611196E7</v>
      </c>
      <c r="P5560" s="92">
        <v>1.944931E7</v>
      </c>
      <c r="Q5560" s="89" t="s">
        <v>802</v>
      </c>
      <c r="AF5560" s="1"/>
      <c r="AG5560" s="1"/>
    </row>
    <row r="5561" ht="15.75" customHeight="1">
      <c r="A5561" s="1"/>
      <c r="B5561" s="1"/>
      <c r="C5561" s="1"/>
      <c r="D5561" s="1"/>
      <c r="E5561" s="1"/>
      <c r="F5561" s="1"/>
      <c r="G5561" s="1"/>
      <c r="H5561" s="1"/>
      <c r="I5561" s="1"/>
      <c r="J5561" s="1"/>
      <c r="K5561" s="89" t="s">
        <v>8639</v>
      </c>
      <c r="L5561" s="89" t="str">
        <f>H249</f>
        <v>C2a1a1d1</v>
      </c>
      <c r="M5561" s="89"/>
      <c r="N5561" s="89" t="s">
        <v>8640</v>
      </c>
      <c r="O5561" s="92">
        <v>2.2157928E7</v>
      </c>
      <c r="P5561" s="92">
        <v>1.9996042E7</v>
      </c>
      <c r="Q5561" s="89" t="s">
        <v>810</v>
      </c>
      <c r="AF5561" s="1"/>
      <c r="AG5561" s="1"/>
    </row>
    <row r="5562" ht="15.75" customHeight="1">
      <c r="A5562" s="1"/>
      <c r="B5562" s="1"/>
      <c r="C5562" s="1"/>
      <c r="D5562" s="1"/>
      <c r="E5562" s="1"/>
      <c r="F5562" s="1"/>
      <c r="G5562" s="1"/>
      <c r="H5562" s="1"/>
      <c r="I5562" s="1"/>
      <c r="J5562" s="1"/>
      <c r="K5562" s="89" t="s">
        <v>8641</v>
      </c>
      <c r="L5562" s="89" t="str">
        <f>H249</f>
        <v>C2a1a1d1</v>
      </c>
      <c r="M5562" s="89"/>
      <c r="N5562" s="89" t="s">
        <v>8642</v>
      </c>
      <c r="O5562" s="92">
        <v>2.2514017E7</v>
      </c>
      <c r="P5562" s="92">
        <v>2.0352131E7</v>
      </c>
      <c r="Q5562" s="89" t="s">
        <v>822</v>
      </c>
      <c r="AF5562" s="1"/>
      <c r="AG5562" s="1"/>
    </row>
    <row r="5563" ht="15.75" customHeight="1">
      <c r="A5563" s="1"/>
      <c r="B5563" s="1"/>
      <c r="C5563" s="1"/>
      <c r="D5563" s="1"/>
      <c r="E5563" s="1"/>
      <c r="F5563" s="1"/>
      <c r="G5563" s="1"/>
      <c r="H5563" s="1"/>
      <c r="I5563" s="1"/>
      <c r="J5563" s="1"/>
      <c r="K5563" s="89" t="s">
        <v>8643</v>
      </c>
      <c r="L5563" s="89" t="str">
        <f>H249</f>
        <v>C2a1a1d1</v>
      </c>
      <c r="M5563" s="89"/>
      <c r="N5563" s="89" t="s">
        <v>8644</v>
      </c>
      <c r="O5563" s="92">
        <v>2.3063049E7</v>
      </c>
      <c r="P5563" s="92">
        <v>2.0901163E7</v>
      </c>
      <c r="Q5563" s="89" t="s">
        <v>810</v>
      </c>
      <c r="AF5563" s="1"/>
      <c r="AG5563" s="1"/>
    </row>
    <row r="5564" ht="15.75" customHeight="1">
      <c r="A5564" s="1"/>
      <c r="B5564" s="1"/>
      <c r="C5564" s="1"/>
      <c r="D5564" s="1"/>
      <c r="E5564" s="1"/>
      <c r="F5564" s="1"/>
      <c r="G5564" s="1"/>
      <c r="H5564" s="1"/>
      <c r="I5564" s="1"/>
      <c r="J5564" s="1"/>
      <c r="K5564" s="89" t="s">
        <v>8645</v>
      </c>
      <c r="L5564" s="89" t="str">
        <f>H249</f>
        <v>C2a1a1d1</v>
      </c>
      <c r="M5564" s="89"/>
      <c r="N5564" s="89" t="s">
        <v>8646</v>
      </c>
      <c r="O5564" s="92">
        <v>2.3149288E7</v>
      </c>
      <c r="P5564" s="92">
        <v>2.0987402E7</v>
      </c>
      <c r="Q5564" s="89" t="s">
        <v>864</v>
      </c>
      <c r="AF5564" s="1"/>
      <c r="AG5564" s="1"/>
    </row>
    <row r="5565" ht="15.75" customHeight="1">
      <c r="A5565" s="1"/>
      <c r="B5565" s="1"/>
      <c r="C5565" s="1"/>
      <c r="D5565" s="1"/>
      <c r="E5565" s="1"/>
      <c r="F5565" s="1"/>
      <c r="G5565" s="1"/>
      <c r="H5565" s="1"/>
      <c r="I5565" s="1"/>
      <c r="J5565" s="1"/>
      <c r="K5565" s="89" t="s">
        <v>8647</v>
      </c>
      <c r="L5565" s="89" t="str">
        <f>H249</f>
        <v>C2a1a1d1</v>
      </c>
      <c r="M5565" s="89"/>
      <c r="N5565" s="89"/>
      <c r="O5565" s="92">
        <v>2.3196431E7</v>
      </c>
      <c r="P5565" s="92">
        <v>2.1034545E7</v>
      </c>
      <c r="Q5565" s="89" t="s">
        <v>912</v>
      </c>
      <c r="AF5565" s="1"/>
      <c r="AG5565" s="1"/>
    </row>
    <row r="5566" ht="15.75" customHeight="1">
      <c r="A5566" s="1"/>
      <c r="B5566" s="1"/>
      <c r="C5566" s="1"/>
      <c r="D5566" s="1"/>
      <c r="E5566" s="1"/>
      <c r="F5566" s="1"/>
      <c r="G5566" s="1"/>
      <c r="H5566" s="1"/>
      <c r="I5566" s="1"/>
      <c r="J5566" s="1"/>
      <c r="K5566" s="89" t="s">
        <v>8648</v>
      </c>
      <c r="L5566" s="89" t="str">
        <f>H249</f>
        <v>C2a1a1d1</v>
      </c>
      <c r="M5566" s="89"/>
      <c r="N5566" s="89"/>
      <c r="O5566" s="92">
        <v>2907748.0</v>
      </c>
      <c r="P5566" s="92">
        <v>3039707.0</v>
      </c>
      <c r="Q5566" s="89" t="s">
        <v>802</v>
      </c>
      <c r="AF5566" s="1"/>
      <c r="AG5566" s="1"/>
    </row>
    <row r="5567" ht="15.75" customHeight="1">
      <c r="A5567" s="1"/>
      <c r="B5567" s="1"/>
      <c r="C5567" s="1"/>
      <c r="D5567" s="1"/>
      <c r="E5567" s="1"/>
      <c r="F5567" s="1"/>
      <c r="G5567" s="1"/>
      <c r="H5567" s="1"/>
      <c r="I5567" s="1"/>
      <c r="J5567" s="1"/>
      <c r="K5567" s="89" t="s">
        <v>8649</v>
      </c>
      <c r="L5567" s="89" t="str">
        <f>H249</f>
        <v>C2a1a1d1</v>
      </c>
      <c r="M5567" s="89"/>
      <c r="N5567" s="89" t="s">
        <v>8650</v>
      </c>
      <c r="O5567" s="92">
        <v>6660713.0</v>
      </c>
      <c r="P5567" s="92">
        <v>6792672.0</v>
      </c>
      <c r="Q5567" s="89" t="s">
        <v>912</v>
      </c>
      <c r="AF5567" s="1"/>
      <c r="AG5567" s="1"/>
    </row>
    <row r="5568" ht="15.75" customHeight="1">
      <c r="A5568" s="1"/>
      <c r="B5568" s="1"/>
      <c r="C5568" s="1"/>
      <c r="D5568" s="1"/>
      <c r="E5568" s="1"/>
      <c r="F5568" s="1"/>
      <c r="G5568" s="1"/>
      <c r="H5568" s="1"/>
      <c r="I5568" s="1"/>
      <c r="J5568" s="1"/>
      <c r="K5568" s="89" t="s">
        <v>8651</v>
      </c>
      <c r="L5568" s="89" t="str">
        <f>H249</f>
        <v>C2a1a1d1</v>
      </c>
      <c r="M5568" s="89"/>
      <c r="N5568" s="89" t="s">
        <v>8602</v>
      </c>
      <c r="O5568" s="92">
        <v>8485822.0</v>
      </c>
      <c r="P5568" s="92">
        <v>8617781.0</v>
      </c>
      <c r="Q5568" s="89" t="s">
        <v>831</v>
      </c>
      <c r="AF5568" s="1"/>
      <c r="AG5568" s="1"/>
    </row>
    <row r="5569" ht="15.75" customHeight="1">
      <c r="A5569" s="1"/>
      <c r="B5569" s="1"/>
      <c r="C5569" s="1"/>
      <c r="D5569" s="1"/>
      <c r="E5569" s="1"/>
      <c r="F5569" s="1"/>
      <c r="G5569" s="1"/>
      <c r="H5569" s="1"/>
      <c r="I5569" s="1"/>
      <c r="J5569" s="1"/>
      <c r="K5569" s="89" t="s">
        <v>8652</v>
      </c>
      <c r="L5569" s="89" t="str">
        <f>H249</f>
        <v>C2a1a1d1</v>
      </c>
      <c r="M5569" s="89"/>
      <c r="N5569" s="89" t="s">
        <v>8653</v>
      </c>
      <c r="O5569" s="92">
        <v>1.4406528E7</v>
      </c>
      <c r="P5569" s="92">
        <v>1.2285826E7</v>
      </c>
      <c r="Q5569" s="89" t="s">
        <v>810</v>
      </c>
      <c r="AF5569" s="1"/>
      <c r="AG5569" s="1"/>
    </row>
    <row r="5570" ht="15.75" customHeight="1">
      <c r="A5570" s="1"/>
      <c r="B5570" s="1"/>
      <c r="C5570" s="1"/>
      <c r="D5570" s="1"/>
      <c r="E5570" s="1"/>
      <c r="F5570" s="1"/>
      <c r="G5570" s="1"/>
      <c r="H5570" s="1"/>
      <c r="I5570" s="1"/>
      <c r="J5570" s="1"/>
      <c r="K5570" s="89" t="s">
        <v>8654</v>
      </c>
      <c r="L5570" s="89" t="str">
        <f>H249</f>
        <v>C2a1a1d1</v>
      </c>
      <c r="M5570" s="89"/>
      <c r="N5570" s="89" t="s">
        <v>8655</v>
      </c>
      <c r="O5570" s="92">
        <v>1.4640119E7</v>
      </c>
      <c r="P5570" s="92">
        <v>1.2528188E7</v>
      </c>
      <c r="Q5570" s="89" t="s">
        <v>864</v>
      </c>
      <c r="AF5570" s="1"/>
      <c r="AG5570" s="1"/>
    </row>
    <row r="5571" ht="15.75" customHeight="1">
      <c r="A5571" s="1"/>
      <c r="B5571" s="1"/>
      <c r="C5571" s="1"/>
      <c r="D5571" s="1"/>
      <c r="E5571" s="1"/>
      <c r="F5571" s="1"/>
      <c r="G5571" s="1"/>
      <c r="H5571" s="1"/>
      <c r="I5571" s="1"/>
      <c r="J5571" s="1"/>
      <c r="K5571" s="89" t="s">
        <v>8656</v>
      </c>
      <c r="L5571" s="89" t="str">
        <f>H249</f>
        <v>C2a1a1d1</v>
      </c>
      <c r="M5571" s="89"/>
      <c r="N5571" s="89" t="s">
        <v>8657</v>
      </c>
      <c r="O5571" s="92">
        <v>1.5230388E7</v>
      </c>
      <c r="P5571" s="92">
        <v>1.3118474E7</v>
      </c>
      <c r="Q5571" s="89" t="s">
        <v>831</v>
      </c>
      <c r="AF5571" s="1"/>
      <c r="AG5571" s="1"/>
    </row>
    <row r="5572" ht="15.75" customHeight="1">
      <c r="A5572" s="1"/>
      <c r="B5572" s="1"/>
      <c r="C5572" s="1"/>
      <c r="D5572" s="1"/>
      <c r="E5572" s="1"/>
      <c r="F5572" s="1"/>
      <c r="G5572" s="1"/>
      <c r="H5572" s="1"/>
      <c r="I5572" s="1"/>
      <c r="J5572" s="1"/>
      <c r="K5572" s="89" t="s">
        <v>8658</v>
      </c>
      <c r="L5572" s="89" t="str">
        <f>H249</f>
        <v>C2a1a1d1</v>
      </c>
      <c r="M5572" s="89"/>
      <c r="N5572" s="89" t="s">
        <v>8659</v>
      </c>
      <c r="O5572" s="92">
        <v>1.9116374E7</v>
      </c>
      <c r="P5572" s="92">
        <v>1.7004494E7</v>
      </c>
      <c r="Q5572" s="89" t="s">
        <v>810</v>
      </c>
      <c r="AF5572" s="1"/>
      <c r="AG5572" s="1"/>
    </row>
    <row r="5573" ht="15.75" customHeight="1">
      <c r="A5573" s="1"/>
      <c r="B5573" s="1"/>
      <c r="C5573" s="1"/>
      <c r="D5573" s="1"/>
      <c r="E5573" s="1"/>
      <c r="F5573" s="1"/>
      <c r="G5573" s="1"/>
      <c r="H5573" s="1"/>
      <c r="I5573" s="1"/>
      <c r="J5573" s="1"/>
      <c r="K5573" s="89" t="s">
        <v>8660</v>
      </c>
      <c r="L5573" s="89" t="str">
        <f>H249</f>
        <v>C2a1a1d1</v>
      </c>
      <c r="M5573" s="89"/>
      <c r="N5573" s="89"/>
      <c r="O5573" s="92">
        <v>1.4187382E7</v>
      </c>
      <c r="P5573" s="92">
        <v>1.2066676E7</v>
      </c>
      <c r="Q5573" s="89" t="s">
        <v>802</v>
      </c>
      <c r="AF5573" s="1"/>
      <c r="AG5573" s="1"/>
    </row>
    <row r="5574" ht="15.75" customHeight="1">
      <c r="A5574" s="1"/>
      <c r="B5574" s="1"/>
      <c r="C5574" s="1"/>
      <c r="D5574" s="1"/>
      <c r="E5574" s="1"/>
      <c r="F5574" s="1"/>
      <c r="G5574" s="1"/>
      <c r="H5574" s="1"/>
      <c r="I5574" s="1"/>
      <c r="J5574" s="1"/>
      <c r="K5574" s="89" t="s">
        <v>8661</v>
      </c>
      <c r="L5574" s="89" t="str">
        <f>H249</f>
        <v>C2a1a1d1</v>
      </c>
      <c r="M5574" s="89"/>
      <c r="N5574" s="89" t="s">
        <v>8662</v>
      </c>
      <c r="O5574" s="92">
        <v>1.9513733E7</v>
      </c>
      <c r="P5574" s="92">
        <v>1.7401853E7</v>
      </c>
      <c r="Q5574" s="89" t="s">
        <v>810</v>
      </c>
      <c r="AF5574" s="1"/>
      <c r="AG5574" s="1"/>
    </row>
    <row r="5575" ht="15.75" customHeight="1">
      <c r="A5575" s="1"/>
      <c r="B5575" s="1"/>
      <c r="C5575" s="1"/>
      <c r="D5575" s="1"/>
      <c r="E5575" s="1"/>
      <c r="F5575" s="1"/>
      <c r="G5575" s="1"/>
      <c r="H5575" s="1"/>
      <c r="I5575" s="1"/>
      <c r="J5575" s="1"/>
      <c r="K5575" s="89" t="s">
        <v>8663</v>
      </c>
      <c r="L5575" s="89" t="str">
        <f>I250</f>
        <v>C2a1a1d1a~</v>
      </c>
      <c r="M5575" s="89"/>
      <c r="N5575" s="89"/>
      <c r="O5575" s="92">
        <v>2686875.0</v>
      </c>
      <c r="P5575" s="92">
        <v>2818834.0</v>
      </c>
      <c r="Q5575" s="89" t="s">
        <v>810</v>
      </c>
      <c r="AF5575" s="1"/>
      <c r="AG5575" s="1"/>
    </row>
    <row r="5576" ht="15.75" customHeight="1">
      <c r="A5576" s="1"/>
      <c r="B5576" s="1"/>
      <c r="C5576" s="1"/>
      <c r="D5576" s="1"/>
      <c r="E5576" s="1"/>
      <c r="F5576" s="1"/>
      <c r="G5576" s="1"/>
      <c r="H5576" s="1"/>
      <c r="I5576" s="1"/>
      <c r="J5576" s="1"/>
      <c r="K5576" s="89" t="s">
        <v>8664</v>
      </c>
      <c r="L5576" s="89" t="str">
        <f t="shared" ref="L5576:L5577" si="59">I250</f>
        <v>C2a1a1d1a~</v>
      </c>
      <c r="M5576" s="89"/>
      <c r="N5576" s="89"/>
      <c r="O5576" s="92">
        <v>7326195.0</v>
      </c>
      <c r="P5576" s="92">
        <v>7458154.0</v>
      </c>
      <c r="Q5576" s="89" t="s">
        <v>813</v>
      </c>
      <c r="AF5576" s="1"/>
      <c r="AG5576" s="1"/>
    </row>
    <row r="5577" ht="15.75" customHeight="1">
      <c r="A5577" s="1"/>
      <c r="B5577" s="1"/>
      <c r="C5577" s="1"/>
      <c r="D5577" s="1"/>
      <c r="E5577" s="1"/>
      <c r="F5577" s="1"/>
      <c r="G5577" s="1"/>
      <c r="H5577" s="1"/>
      <c r="I5577" s="1"/>
      <c r="J5577" s="1"/>
      <c r="K5577" s="89" t="s">
        <v>8665</v>
      </c>
      <c r="L5577" s="89" t="str">
        <f t="shared" si="59"/>
        <v>C2a1a1d1b~</v>
      </c>
      <c r="M5577" s="89"/>
      <c r="N5577" s="89" t="s">
        <v>8666</v>
      </c>
      <c r="O5577" s="92">
        <v>7893477.0</v>
      </c>
      <c r="P5577" s="92">
        <v>8025436.0</v>
      </c>
      <c r="Q5577" s="89" t="s">
        <v>802</v>
      </c>
      <c r="AF5577" s="1"/>
      <c r="AG5577" s="1"/>
    </row>
    <row r="5578" ht="15.75" customHeight="1">
      <c r="A5578" s="1"/>
      <c r="B5578" s="1"/>
      <c r="C5578" s="1"/>
      <c r="D5578" s="1"/>
      <c r="E5578" s="1"/>
      <c r="F5578" s="1"/>
      <c r="G5578" s="1"/>
      <c r="H5578" s="1"/>
      <c r="I5578" s="1"/>
      <c r="J5578" s="1"/>
      <c r="K5578" s="89" t="s">
        <v>8667</v>
      </c>
      <c r="L5578" s="89" t="str">
        <f>I251</f>
        <v>C2a1a1d1b~</v>
      </c>
      <c r="M5578" s="89"/>
      <c r="N5578" s="89" t="s">
        <v>8668</v>
      </c>
      <c r="O5578" s="92">
        <v>7012199.0</v>
      </c>
      <c r="P5578" s="92">
        <v>7144158.0</v>
      </c>
      <c r="Q5578" s="89" t="s">
        <v>845</v>
      </c>
      <c r="AF5578" s="1"/>
      <c r="AG5578" s="1"/>
    </row>
    <row r="5579" ht="15.75" customHeight="1">
      <c r="A5579" s="1"/>
      <c r="B5579" s="1"/>
      <c r="C5579" s="1"/>
      <c r="D5579" s="1"/>
      <c r="E5579" s="1"/>
      <c r="F5579" s="1"/>
      <c r="G5579" s="1"/>
      <c r="H5579" s="1"/>
      <c r="I5579" s="1"/>
      <c r="J5579" s="1"/>
      <c r="K5579" s="89" t="s">
        <v>8669</v>
      </c>
      <c r="L5579" s="89" t="str">
        <f>I251</f>
        <v>C2a1a1d1b~</v>
      </c>
      <c r="M5579" s="89"/>
      <c r="N5579" s="89" t="s">
        <v>8670</v>
      </c>
      <c r="O5579" s="92">
        <v>2811770.0</v>
      </c>
      <c r="P5579" s="92">
        <v>2943729.0</v>
      </c>
      <c r="Q5579" s="89" t="s">
        <v>810</v>
      </c>
      <c r="AF5579" s="1"/>
      <c r="AG5579" s="1"/>
    </row>
    <row r="5580" ht="15.75" customHeight="1">
      <c r="A5580" s="1"/>
      <c r="B5580" s="1"/>
      <c r="C5580" s="1"/>
      <c r="D5580" s="1"/>
      <c r="E5580" s="1"/>
      <c r="F5580" s="1"/>
      <c r="G5580" s="1"/>
      <c r="H5580" s="1"/>
      <c r="I5580" s="1"/>
      <c r="J5580" s="1"/>
      <c r="K5580" s="89" t="s">
        <v>8671</v>
      </c>
      <c r="L5580" s="89" t="str">
        <f>I251</f>
        <v>C2a1a1d1b~</v>
      </c>
      <c r="M5580" s="89"/>
      <c r="N5580" s="89" t="s">
        <v>8672</v>
      </c>
      <c r="O5580" s="92">
        <v>7570155.0</v>
      </c>
      <c r="P5580" s="92">
        <v>7702114.0</v>
      </c>
      <c r="Q5580" s="89" t="s">
        <v>810</v>
      </c>
      <c r="AF5580" s="1"/>
      <c r="AG5580" s="1"/>
    </row>
    <row r="5581" ht="15.75" customHeight="1">
      <c r="A5581" s="1"/>
      <c r="B5581" s="1"/>
      <c r="C5581" s="1"/>
      <c r="D5581" s="1"/>
      <c r="E5581" s="1"/>
      <c r="F5581" s="1"/>
      <c r="G5581" s="1"/>
      <c r="H5581" s="1"/>
      <c r="I5581" s="1"/>
      <c r="J5581" s="1"/>
      <c r="K5581" s="89" t="s">
        <v>8673</v>
      </c>
      <c r="L5581" s="89" t="str">
        <f>I251</f>
        <v>C2a1a1d1b~</v>
      </c>
      <c r="M5581" s="89"/>
      <c r="N5581" s="89" t="s">
        <v>8674</v>
      </c>
      <c r="O5581" s="92">
        <v>8708667.0</v>
      </c>
      <c r="P5581" s="92">
        <v>8840626.0</v>
      </c>
      <c r="Q5581" s="89" t="s">
        <v>917</v>
      </c>
      <c r="AF5581" s="1"/>
      <c r="AG5581" s="1"/>
    </row>
    <row r="5582" ht="15.75" customHeight="1">
      <c r="A5582" s="1"/>
      <c r="B5582" s="1"/>
      <c r="C5582" s="1"/>
      <c r="D5582" s="1"/>
      <c r="E5582" s="1"/>
      <c r="F5582" s="1"/>
      <c r="G5582" s="1"/>
      <c r="H5582" s="1"/>
      <c r="I5582" s="1"/>
      <c r="J5582" s="1"/>
      <c r="K5582" s="89" t="s">
        <v>8675</v>
      </c>
      <c r="L5582" s="89" t="str">
        <f>H252</f>
        <v>C2a1a1d2~</v>
      </c>
      <c r="M5582" s="89"/>
      <c r="N5582" s="89"/>
      <c r="O5582" s="92">
        <v>2867031.0</v>
      </c>
      <c r="P5582" s="92">
        <v>2998990.0</v>
      </c>
      <c r="Q5582" s="89" t="s">
        <v>838</v>
      </c>
      <c r="AF5582" s="1"/>
      <c r="AG5582" s="1"/>
    </row>
    <row r="5583" ht="15.75" customHeight="1">
      <c r="A5583" s="1"/>
      <c r="B5583" s="1"/>
      <c r="C5583" s="1"/>
      <c r="D5583" s="1"/>
      <c r="E5583" s="1"/>
      <c r="F5583" s="1"/>
      <c r="G5583" s="1"/>
      <c r="H5583" s="1"/>
      <c r="I5583" s="1"/>
      <c r="J5583" s="1"/>
      <c r="K5583" s="89" t="s">
        <v>8676</v>
      </c>
      <c r="L5583" s="89" t="str">
        <f>H252</f>
        <v>C2a1a1d2~</v>
      </c>
      <c r="M5583" s="89"/>
      <c r="N5583" s="89"/>
      <c r="O5583" s="92">
        <v>6704023.0</v>
      </c>
      <c r="P5583" s="92">
        <v>6835982.0</v>
      </c>
      <c r="Q5583" s="89" t="s">
        <v>838</v>
      </c>
      <c r="AF5583" s="1"/>
      <c r="AG5583" s="1"/>
    </row>
    <row r="5584" ht="15.75" customHeight="1">
      <c r="A5584" s="1"/>
      <c r="B5584" s="1"/>
      <c r="C5584" s="1"/>
      <c r="D5584" s="1"/>
      <c r="E5584" s="1"/>
      <c r="F5584" s="1"/>
      <c r="G5584" s="1"/>
      <c r="H5584" s="1"/>
      <c r="I5584" s="1"/>
      <c r="J5584" s="1"/>
      <c r="K5584" s="89" t="s">
        <v>8677</v>
      </c>
      <c r="L5584" s="89" t="str">
        <f>H252</f>
        <v>C2a1a1d2~</v>
      </c>
      <c r="M5584" s="89"/>
      <c r="N5584" s="89"/>
      <c r="O5584" s="92">
        <v>7271122.0</v>
      </c>
      <c r="P5584" s="92">
        <v>7403081.0</v>
      </c>
      <c r="Q5584" s="89" t="s">
        <v>917</v>
      </c>
      <c r="AF5584" s="1"/>
      <c r="AG5584" s="1"/>
    </row>
    <row r="5585" ht="15.75" customHeight="1">
      <c r="A5585" s="1"/>
      <c r="B5585" s="1"/>
      <c r="C5585" s="1"/>
      <c r="D5585" s="1"/>
      <c r="E5585" s="1"/>
      <c r="F5585" s="1"/>
      <c r="G5585" s="1"/>
      <c r="H5585" s="1"/>
      <c r="I5585" s="1"/>
      <c r="J5585" s="1"/>
      <c r="K5585" s="89" t="s">
        <v>8678</v>
      </c>
      <c r="L5585" s="89" t="str">
        <f>H252</f>
        <v>C2a1a1d2~</v>
      </c>
      <c r="M5585" s="89"/>
      <c r="N5585" s="89"/>
      <c r="O5585" s="92">
        <v>7689359.0</v>
      </c>
      <c r="P5585" s="92">
        <v>7821318.0</v>
      </c>
      <c r="Q5585" s="89" t="s">
        <v>838</v>
      </c>
      <c r="AF5585" s="1"/>
      <c r="AG5585" s="1"/>
    </row>
    <row r="5586" ht="15.75" customHeight="1">
      <c r="A5586" s="1"/>
      <c r="B5586" s="1"/>
      <c r="C5586" s="1"/>
      <c r="D5586" s="1"/>
      <c r="E5586" s="1"/>
      <c r="F5586" s="1"/>
      <c r="G5586" s="1"/>
      <c r="H5586" s="1"/>
      <c r="I5586" s="1"/>
      <c r="J5586" s="1"/>
      <c r="K5586" s="89" t="s">
        <v>8679</v>
      </c>
      <c r="L5586" s="89" t="str">
        <f>H252</f>
        <v>C2a1a1d2~</v>
      </c>
      <c r="M5586" s="89"/>
      <c r="N5586" s="89"/>
      <c r="O5586" s="92">
        <v>8226473.0</v>
      </c>
      <c r="P5586" s="92">
        <v>8358432.0</v>
      </c>
      <c r="Q5586" s="89" t="s">
        <v>810</v>
      </c>
      <c r="AF5586" s="1"/>
      <c r="AG5586" s="1"/>
    </row>
    <row r="5587" ht="15.75" customHeight="1">
      <c r="A5587" s="1"/>
      <c r="B5587" s="1"/>
      <c r="C5587" s="1"/>
      <c r="D5587" s="1"/>
      <c r="E5587" s="1"/>
      <c r="F5587" s="1"/>
      <c r="G5587" s="1"/>
      <c r="H5587" s="1"/>
      <c r="I5587" s="1"/>
      <c r="J5587" s="1"/>
      <c r="K5587" s="89" t="s">
        <v>8680</v>
      </c>
      <c r="L5587" s="89" t="str">
        <f>G253</f>
        <v>C2a1a1e~</v>
      </c>
      <c r="M5587" s="89"/>
      <c r="N5587" s="89"/>
      <c r="O5587" s="92">
        <v>2653927.0</v>
      </c>
      <c r="P5587" s="92">
        <v>2785886.0</v>
      </c>
      <c r="Q5587" s="89" t="s">
        <v>838</v>
      </c>
      <c r="AF5587" s="1"/>
      <c r="AG5587" s="1"/>
    </row>
    <row r="5588" ht="15.75" customHeight="1">
      <c r="A5588" s="1"/>
      <c r="B5588" s="1"/>
      <c r="C5588" s="1"/>
      <c r="D5588" s="1"/>
      <c r="E5588" s="1"/>
      <c r="F5588" s="1"/>
      <c r="G5588" s="1"/>
      <c r="H5588" s="1"/>
      <c r="I5588" s="1"/>
      <c r="J5588" s="1"/>
      <c r="K5588" s="89" t="s">
        <v>8681</v>
      </c>
      <c r="L5588" s="89" t="str">
        <f>G253</f>
        <v>C2a1a1e~</v>
      </c>
      <c r="M5588" s="89"/>
      <c r="N5588" s="89"/>
      <c r="O5588" s="92">
        <v>6705074.0</v>
      </c>
      <c r="P5588" s="92">
        <v>6837033.0</v>
      </c>
      <c r="Q5588" s="89" t="s">
        <v>810</v>
      </c>
      <c r="AF5588" s="1"/>
      <c r="AG5588" s="1"/>
    </row>
    <row r="5589" ht="15.75" customHeight="1">
      <c r="A5589" s="1"/>
      <c r="B5589" s="1"/>
      <c r="C5589" s="1"/>
      <c r="D5589" s="1"/>
      <c r="E5589" s="1"/>
      <c r="F5589" s="1"/>
      <c r="G5589" s="1"/>
      <c r="H5589" s="1"/>
      <c r="I5589" s="1"/>
      <c r="J5589" s="1"/>
      <c r="K5589" s="93" t="s">
        <v>8682</v>
      </c>
      <c r="L5589" s="89" t="str">
        <f>G253</f>
        <v>C2a1a1e~</v>
      </c>
      <c r="M5589" s="89"/>
      <c r="N5589" s="89"/>
      <c r="O5589" s="108">
        <v>6860661.0</v>
      </c>
      <c r="P5589" s="108">
        <v>6992620.0</v>
      </c>
      <c r="Q5589" s="93" t="s">
        <v>831</v>
      </c>
      <c r="AF5589" s="1"/>
      <c r="AG5589" s="1"/>
    </row>
    <row r="5590" ht="15.75" customHeight="1">
      <c r="A5590" s="1"/>
      <c r="B5590" s="1"/>
      <c r="C5590" s="1"/>
      <c r="D5590" s="1"/>
      <c r="E5590" s="1"/>
      <c r="F5590" s="1"/>
      <c r="G5590" s="1"/>
      <c r="H5590" s="1"/>
      <c r="I5590" s="1"/>
      <c r="J5590" s="1"/>
      <c r="K5590" s="89" t="s">
        <v>8683</v>
      </c>
      <c r="L5590" s="89" t="str">
        <f>G253</f>
        <v>C2a1a1e~</v>
      </c>
      <c r="M5590" s="89"/>
      <c r="N5590" s="89"/>
      <c r="O5590" s="92">
        <v>6904480.0</v>
      </c>
      <c r="P5590" s="92">
        <v>7036439.0</v>
      </c>
      <c r="Q5590" s="89" t="s">
        <v>838</v>
      </c>
      <c r="AF5590" s="1"/>
      <c r="AG5590" s="1"/>
    </row>
    <row r="5591" ht="15.75" customHeight="1">
      <c r="A5591" s="1"/>
      <c r="B5591" s="1"/>
      <c r="C5591" s="1"/>
      <c r="D5591" s="1"/>
      <c r="E5591" s="1"/>
      <c r="F5591" s="1"/>
      <c r="G5591" s="1"/>
      <c r="H5591" s="1"/>
      <c r="I5591" s="1"/>
      <c r="J5591" s="1"/>
      <c r="K5591" s="89" t="s">
        <v>8684</v>
      </c>
      <c r="L5591" s="89" t="str">
        <f>G253</f>
        <v>C2a1a1e~</v>
      </c>
      <c r="M5591" s="89"/>
      <c r="N5591" s="89"/>
      <c r="O5591" s="92">
        <v>7088534.0</v>
      </c>
      <c r="P5591" s="92">
        <v>7220493.0</v>
      </c>
      <c r="Q5591" s="89" t="s">
        <v>879</v>
      </c>
      <c r="AF5591" s="1"/>
      <c r="AG5591" s="1"/>
    </row>
    <row r="5592" ht="15.75" customHeight="1">
      <c r="A5592" s="1"/>
      <c r="B5592" s="1"/>
      <c r="C5592" s="1"/>
      <c r="D5592" s="1"/>
      <c r="E5592" s="1"/>
      <c r="F5592" s="1"/>
      <c r="G5592" s="1"/>
      <c r="H5592" s="1"/>
      <c r="I5592" s="1"/>
      <c r="J5592" s="1"/>
      <c r="K5592" s="89" t="s">
        <v>8685</v>
      </c>
      <c r="L5592" s="89" t="str">
        <f>E254</f>
        <v>C2a1b~</v>
      </c>
      <c r="M5592" s="89"/>
      <c r="N5592" s="89" t="s">
        <v>8686</v>
      </c>
      <c r="O5592" s="92">
        <v>2746444.0</v>
      </c>
      <c r="P5592" s="92">
        <v>2878403.0</v>
      </c>
      <c r="Q5592" s="89" t="s">
        <v>879</v>
      </c>
      <c r="AF5592" s="1"/>
      <c r="AG5592" s="1"/>
    </row>
    <row r="5593" ht="15.75" customHeight="1">
      <c r="A5593" s="1"/>
      <c r="B5593" s="1"/>
      <c r="C5593" s="1"/>
      <c r="D5593" s="1"/>
      <c r="E5593" s="1"/>
      <c r="F5593" s="1"/>
      <c r="G5593" s="1"/>
      <c r="H5593" s="1"/>
      <c r="I5593" s="1"/>
      <c r="J5593" s="1"/>
      <c r="K5593" s="89" t="s">
        <v>8687</v>
      </c>
      <c r="L5593" s="89" t="str">
        <f>E254</f>
        <v>C2a1b~</v>
      </c>
      <c r="M5593" s="89"/>
      <c r="N5593" s="89"/>
      <c r="O5593" s="92">
        <v>2865439.0</v>
      </c>
      <c r="P5593" s="92">
        <v>2997398.0</v>
      </c>
      <c r="Q5593" s="89" t="s">
        <v>813</v>
      </c>
      <c r="AF5593" s="1"/>
      <c r="AG5593" s="1"/>
    </row>
    <row r="5594" ht="15.75" customHeight="1">
      <c r="A5594" s="1"/>
      <c r="B5594" s="1"/>
      <c r="C5594" s="1"/>
      <c r="D5594" s="1"/>
      <c r="E5594" s="1"/>
      <c r="F5594" s="1"/>
      <c r="G5594" s="1"/>
      <c r="H5594" s="1"/>
      <c r="I5594" s="1"/>
      <c r="J5594" s="1"/>
      <c r="K5594" s="89" t="s">
        <v>8688</v>
      </c>
      <c r="L5594" s="89" t="str">
        <f>E254</f>
        <v>C2a1b~</v>
      </c>
      <c r="M5594" s="89"/>
      <c r="N5594" s="89" t="s">
        <v>8689</v>
      </c>
      <c r="O5594" s="92">
        <v>2889495.0</v>
      </c>
      <c r="P5594" s="92">
        <v>3021454.0</v>
      </c>
      <c r="Q5594" s="89" t="s">
        <v>831</v>
      </c>
      <c r="AF5594" s="1"/>
      <c r="AG5594" s="1"/>
    </row>
    <row r="5595" ht="15.75" customHeight="1">
      <c r="A5595" s="1"/>
      <c r="B5595" s="1"/>
      <c r="C5595" s="1"/>
      <c r="D5595" s="1"/>
      <c r="E5595" s="1"/>
      <c r="F5595" s="1"/>
      <c r="G5595" s="1"/>
      <c r="H5595" s="1"/>
      <c r="I5595" s="1"/>
      <c r="J5595" s="1"/>
      <c r="K5595" s="89" t="s">
        <v>8690</v>
      </c>
      <c r="L5595" s="89" t="str">
        <f>E254</f>
        <v>C2a1b~</v>
      </c>
      <c r="M5595" s="89"/>
      <c r="N5595" s="89" t="s">
        <v>8691</v>
      </c>
      <c r="O5595" s="92">
        <v>2871045.0</v>
      </c>
      <c r="P5595" s="92">
        <v>3003004.0</v>
      </c>
      <c r="Q5595" s="89" t="s">
        <v>802</v>
      </c>
      <c r="AF5595" s="1"/>
      <c r="AG5595" s="1"/>
    </row>
    <row r="5596" ht="15.75" customHeight="1">
      <c r="A5596" s="1"/>
      <c r="B5596" s="1"/>
      <c r="C5596" s="1"/>
      <c r="D5596" s="1"/>
      <c r="E5596" s="1"/>
      <c r="F5596" s="1"/>
      <c r="G5596" s="1"/>
      <c r="H5596" s="1"/>
      <c r="I5596" s="1"/>
      <c r="J5596" s="1"/>
      <c r="K5596" s="89" t="s">
        <v>8692</v>
      </c>
      <c r="L5596" s="89" t="str">
        <f>E254</f>
        <v>C2a1b~</v>
      </c>
      <c r="M5596" s="89"/>
      <c r="N5596" s="89" t="s">
        <v>8693</v>
      </c>
      <c r="O5596" s="92">
        <v>6813499.0</v>
      </c>
      <c r="P5596" s="92">
        <v>6945458.0</v>
      </c>
      <c r="Q5596" s="89" t="s">
        <v>864</v>
      </c>
      <c r="AF5596" s="1"/>
      <c r="AG5596" s="1"/>
    </row>
    <row r="5597" ht="15.75" customHeight="1">
      <c r="A5597" s="1"/>
      <c r="B5597" s="1"/>
      <c r="C5597" s="1"/>
      <c r="D5597" s="1"/>
      <c r="E5597" s="1"/>
      <c r="F5597" s="1"/>
      <c r="G5597" s="1"/>
      <c r="H5597" s="1"/>
      <c r="I5597" s="1"/>
      <c r="J5597" s="1"/>
      <c r="K5597" s="95" t="s">
        <v>8694</v>
      </c>
      <c r="L5597" s="89" t="str">
        <f>D255</f>
        <v>C2a2~</v>
      </c>
      <c r="M5597" s="89"/>
      <c r="N5597" s="89"/>
      <c r="O5597" s="101">
        <v>2882253.0</v>
      </c>
      <c r="P5597" s="98">
        <v>3014212.0</v>
      </c>
      <c r="Q5597" s="93" t="s">
        <v>845</v>
      </c>
      <c r="AF5597" s="1"/>
      <c r="AG5597" s="1"/>
    </row>
    <row r="5598" ht="15.75" customHeight="1">
      <c r="A5598" s="1"/>
      <c r="B5598" s="1"/>
      <c r="C5598" s="1"/>
      <c r="D5598" s="1"/>
      <c r="E5598" s="1"/>
      <c r="F5598" s="1"/>
      <c r="G5598" s="1"/>
      <c r="H5598" s="1"/>
      <c r="I5598" s="1"/>
      <c r="J5598" s="1"/>
      <c r="K5598" s="95" t="s">
        <v>8695</v>
      </c>
      <c r="L5598" s="89" t="str">
        <f>D255</f>
        <v>C2a2~</v>
      </c>
      <c r="M5598" s="89"/>
      <c r="N5598" s="89"/>
      <c r="O5598" s="101">
        <v>2888987.0</v>
      </c>
      <c r="P5598" s="98">
        <v>3020946.0</v>
      </c>
      <c r="Q5598" s="93" t="s">
        <v>838</v>
      </c>
      <c r="AF5598" s="1"/>
      <c r="AG5598" s="1"/>
    </row>
    <row r="5599" ht="15.75" customHeight="1">
      <c r="A5599" s="1"/>
      <c r="B5599" s="1"/>
      <c r="C5599" s="1"/>
      <c r="D5599" s="1"/>
      <c r="E5599" s="1"/>
      <c r="F5599" s="1"/>
      <c r="G5599" s="1"/>
      <c r="H5599" s="1"/>
      <c r="I5599" s="1"/>
      <c r="J5599" s="1"/>
      <c r="K5599" s="95" t="s">
        <v>8696</v>
      </c>
      <c r="L5599" s="89" t="str">
        <f>D255</f>
        <v>C2a2~</v>
      </c>
      <c r="M5599" s="89"/>
      <c r="N5599" s="89"/>
      <c r="O5599" s="101">
        <v>6762059.0</v>
      </c>
      <c r="P5599" s="98">
        <v>6894018.0</v>
      </c>
      <c r="Q5599" s="93" t="s">
        <v>802</v>
      </c>
      <c r="AF5599" s="1"/>
      <c r="AG5599" s="1"/>
    </row>
    <row r="5600" ht="15.75" customHeight="1">
      <c r="A5600" s="1"/>
      <c r="B5600" s="1"/>
      <c r="C5600" s="1"/>
      <c r="D5600" s="1"/>
      <c r="E5600" s="1"/>
      <c r="F5600" s="1"/>
      <c r="G5600" s="1"/>
      <c r="H5600" s="1"/>
      <c r="I5600" s="1"/>
      <c r="J5600" s="1"/>
      <c r="K5600" s="95" t="s">
        <v>8697</v>
      </c>
      <c r="L5600" s="89" t="str">
        <f>D255</f>
        <v>C2a2~</v>
      </c>
      <c r="M5600" s="89"/>
      <c r="N5600" s="89"/>
      <c r="O5600" s="101">
        <v>7222405.0</v>
      </c>
      <c r="P5600" s="98">
        <v>7354364.0</v>
      </c>
      <c r="Q5600" s="93" t="s">
        <v>813</v>
      </c>
      <c r="AF5600" s="1"/>
      <c r="AG5600" s="1"/>
    </row>
    <row r="5601" ht="15.75" customHeight="1">
      <c r="A5601" s="1"/>
      <c r="B5601" s="1"/>
      <c r="C5601" s="1"/>
      <c r="D5601" s="1"/>
      <c r="E5601" s="1"/>
      <c r="F5601" s="1"/>
      <c r="G5601" s="1"/>
      <c r="H5601" s="1"/>
      <c r="I5601" s="1"/>
      <c r="J5601" s="1"/>
      <c r="K5601" s="95" t="s">
        <v>8698</v>
      </c>
      <c r="L5601" s="89" t="str">
        <f>D255</f>
        <v>C2a2~</v>
      </c>
      <c r="M5601" s="89"/>
      <c r="N5601" s="89"/>
      <c r="O5601" s="101">
        <v>7293467.0</v>
      </c>
      <c r="P5601" s="98">
        <v>7425426.0</v>
      </c>
      <c r="Q5601" s="93" t="s">
        <v>810</v>
      </c>
      <c r="AF5601" s="1"/>
      <c r="AG5601" s="1"/>
    </row>
    <row r="5602" ht="15.75" customHeight="1">
      <c r="A5602" s="1"/>
      <c r="B5602" s="1"/>
      <c r="C5602" s="1"/>
      <c r="D5602" s="1"/>
      <c r="E5602" s="1"/>
      <c r="F5602" s="1"/>
      <c r="G5602" s="1"/>
      <c r="H5602" s="1"/>
      <c r="I5602" s="1"/>
      <c r="J5602" s="1"/>
      <c r="K5602" s="89" t="s">
        <v>8699</v>
      </c>
      <c r="L5602" s="89" t="str">
        <f>C256</f>
        <v>C2b</v>
      </c>
      <c r="M5602" s="89"/>
      <c r="N5602" s="89" t="s">
        <v>8700</v>
      </c>
      <c r="O5602" s="92">
        <v>7800481.0</v>
      </c>
      <c r="P5602" s="92">
        <v>7932440.0</v>
      </c>
      <c r="Q5602" s="89" t="s">
        <v>810</v>
      </c>
      <c r="AF5602" s="1"/>
      <c r="AG5602" s="1"/>
    </row>
    <row r="5603" ht="15.75" customHeight="1">
      <c r="A5603" s="1"/>
      <c r="B5603" s="1"/>
      <c r="C5603" s="1"/>
      <c r="D5603" s="1"/>
      <c r="E5603" s="1"/>
      <c r="F5603" s="1"/>
      <c r="G5603" s="1"/>
      <c r="H5603" s="1"/>
      <c r="I5603" s="1"/>
      <c r="J5603" s="1"/>
      <c r="K5603" s="89" t="s">
        <v>8701</v>
      </c>
      <c r="L5603" s="89" t="str">
        <f>C256</f>
        <v>C2b</v>
      </c>
      <c r="M5603" s="89"/>
      <c r="N5603" s="89" t="s">
        <v>8702</v>
      </c>
      <c r="O5603" s="92">
        <v>1.7486536E7</v>
      </c>
      <c r="P5603" s="92">
        <v>1.5374656E7</v>
      </c>
      <c r="Q5603" s="93" t="s">
        <v>838</v>
      </c>
      <c r="AF5603" s="1"/>
      <c r="AG5603" s="1"/>
    </row>
    <row r="5604" ht="15.75" customHeight="1">
      <c r="A5604" s="1"/>
      <c r="B5604" s="1"/>
      <c r="C5604" s="1"/>
      <c r="D5604" s="1"/>
      <c r="E5604" s="1"/>
      <c r="F5604" s="1"/>
      <c r="G5604" s="1"/>
      <c r="H5604" s="1"/>
      <c r="I5604" s="1"/>
      <c r="J5604" s="1"/>
      <c r="K5604" s="89" t="s">
        <v>8703</v>
      </c>
      <c r="L5604" s="89" t="str">
        <f>C256</f>
        <v>C2b</v>
      </c>
      <c r="M5604" s="89"/>
      <c r="N5604" s="89" t="s">
        <v>8704</v>
      </c>
      <c r="O5604" s="92">
        <v>1.7942987E7</v>
      </c>
      <c r="P5604" s="92">
        <v>1.5831107E7</v>
      </c>
      <c r="Q5604" s="89" t="s">
        <v>864</v>
      </c>
      <c r="AF5604" s="1"/>
      <c r="AG5604" s="1"/>
    </row>
    <row r="5605" ht="15.75" customHeight="1">
      <c r="A5605" s="1"/>
      <c r="B5605" s="1"/>
      <c r="C5605" s="1"/>
      <c r="D5605" s="1"/>
      <c r="E5605" s="1"/>
      <c r="F5605" s="1"/>
      <c r="G5605" s="1"/>
      <c r="H5605" s="1"/>
      <c r="I5605" s="1"/>
      <c r="J5605" s="1"/>
      <c r="K5605" s="89" t="s">
        <v>8705</v>
      </c>
      <c r="L5605" s="89" t="str">
        <f>C256</f>
        <v>C2b</v>
      </c>
      <c r="M5605" s="89"/>
      <c r="N5605" s="89" t="s">
        <v>8706</v>
      </c>
      <c r="O5605" s="89">
        <v>2.4367224E7</v>
      </c>
      <c r="P5605" s="89">
        <v>2.2221077E7</v>
      </c>
      <c r="Q5605" s="89" t="s">
        <v>912</v>
      </c>
      <c r="AF5605" s="1"/>
      <c r="AG5605" s="1"/>
    </row>
    <row r="5606" ht="15.75" customHeight="1">
      <c r="A5606" s="1"/>
      <c r="B5606" s="1"/>
      <c r="C5606" s="1"/>
      <c r="D5606" s="1"/>
      <c r="E5606" s="1"/>
      <c r="F5606" s="1"/>
      <c r="G5606" s="1"/>
      <c r="H5606" s="1"/>
      <c r="I5606" s="1"/>
      <c r="J5606" s="1"/>
      <c r="K5606" s="89" t="s">
        <v>8707</v>
      </c>
      <c r="L5606" s="89" t="str">
        <f>C256</f>
        <v>C2b</v>
      </c>
      <c r="M5606" s="89"/>
      <c r="N5606" s="89" t="s">
        <v>8708</v>
      </c>
      <c r="O5606" s="92">
        <v>2.2680249E7</v>
      </c>
      <c r="P5606" s="92">
        <v>2.0518363E7</v>
      </c>
      <c r="Q5606" s="89" t="s">
        <v>802</v>
      </c>
      <c r="AF5606" s="1"/>
      <c r="AG5606" s="1"/>
    </row>
    <row r="5607" ht="15.75" customHeight="1">
      <c r="A5607" s="1"/>
      <c r="B5607" s="1"/>
      <c r="C5607" s="1"/>
      <c r="D5607" s="1"/>
      <c r="E5607" s="1"/>
      <c r="F5607" s="1"/>
      <c r="G5607" s="1"/>
      <c r="H5607" s="1"/>
      <c r="I5607" s="1"/>
      <c r="J5607" s="1"/>
      <c r="K5607" s="89" t="s">
        <v>8709</v>
      </c>
      <c r="L5607" s="89" t="str">
        <f>C256</f>
        <v>C2b</v>
      </c>
      <c r="M5607" s="89"/>
      <c r="N5607" s="89" t="s">
        <v>8710</v>
      </c>
      <c r="O5607" s="92">
        <v>2.166153E7</v>
      </c>
      <c r="P5607" s="92">
        <v>1.9499644E7</v>
      </c>
      <c r="Q5607" s="89" t="s">
        <v>802</v>
      </c>
      <c r="AF5607" s="1"/>
      <c r="AG5607" s="1"/>
    </row>
    <row r="5608" ht="15.75" customHeight="1">
      <c r="A5608" s="1"/>
      <c r="B5608" s="1"/>
      <c r="C5608" s="1"/>
      <c r="D5608" s="1"/>
      <c r="E5608" s="1"/>
      <c r="F5608" s="1"/>
      <c r="G5608" s="1"/>
      <c r="H5608" s="1"/>
      <c r="I5608" s="1"/>
      <c r="J5608" s="1"/>
      <c r="K5608" s="89" t="s">
        <v>8711</v>
      </c>
      <c r="L5608" s="89" t="str">
        <f>C256</f>
        <v>C2b</v>
      </c>
      <c r="M5608" s="89" t="s">
        <v>8712</v>
      </c>
      <c r="N5608" s="89" t="s">
        <v>8713</v>
      </c>
      <c r="O5608" s="92">
        <v>2.1332417E7</v>
      </c>
      <c r="P5608" s="92">
        <v>1.9170531E7</v>
      </c>
      <c r="Q5608" s="89" t="s">
        <v>802</v>
      </c>
      <c r="AF5608" s="1"/>
      <c r="AG5608" s="1"/>
    </row>
    <row r="5609" ht="15.75" customHeight="1">
      <c r="A5609" s="1"/>
      <c r="B5609" s="1"/>
      <c r="C5609" s="1"/>
      <c r="D5609" s="1"/>
      <c r="E5609" s="1"/>
      <c r="F5609" s="1"/>
      <c r="G5609" s="1"/>
      <c r="H5609" s="1"/>
      <c r="I5609" s="1"/>
      <c r="J5609" s="1"/>
      <c r="K5609" s="89" t="s">
        <v>8712</v>
      </c>
      <c r="L5609" s="89" t="str">
        <f t="shared" ref="L5609:L5610" si="60">C256</f>
        <v>C2b</v>
      </c>
      <c r="M5609" s="89" t="s">
        <v>8711</v>
      </c>
      <c r="N5609" s="89" t="s">
        <v>8713</v>
      </c>
      <c r="O5609" s="92">
        <v>2.1332417E7</v>
      </c>
      <c r="P5609" s="92">
        <v>1.9170531E7</v>
      </c>
      <c r="Q5609" s="89" t="s">
        <v>802</v>
      </c>
      <c r="AF5609" s="1"/>
      <c r="AG5609" s="1"/>
    </row>
    <row r="5610" ht="15.75" customHeight="1">
      <c r="A5610" s="1"/>
      <c r="B5610" s="1"/>
      <c r="C5610" s="1"/>
      <c r="D5610" s="1"/>
      <c r="E5610" s="1"/>
      <c r="F5610" s="1"/>
      <c r="G5610" s="1"/>
      <c r="H5610" s="1"/>
      <c r="I5610" s="1"/>
      <c r="J5610" s="1"/>
      <c r="K5610" s="89" t="s">
        <v>8714</v>
      </c>
      <c r="L5610" s="89" t="str">
        <f t="shared" si="60"/>
        <v>C2b~</v>
      </c>
      <c r="M5610" s="89" t="s">
        <v>8715</v>
      </c>
      <c r="N5610" s="89" t="s">
        <v>8716</v>
      </c>
      <c r="O5610" s="92">
        <v>2738986.0</v>
      </c>
      <c r="P5610" s="92">
        <v>2870945.0</v>
      </c>
      <c r="Q5610" s="89" t="s">
        <v>802</v>
      </c>
      <c r="AF5610" s="1"/>
      <c r="AG5610" s="1"/>
    </row>
    <row r="5611" ht="15.75" customHeight="1">
      <c r="A5611" s="1"/>
      <c r="B5611" s="1"/>
      <c r="C5611" s="1"/>
      <c r="D5611" s="1"/>
      <c r="E5611" s="1"/>
      <c r="F5611" s="1"/>
      <c r="G5611" s="1"/>
      <c r="H5611" s="1"/>
      <c r="I5611" s="1"/>
      <c r="J5611" s="1"/>
      <c r="K5611" s="89" t="s">
        <v>8715</v>
      </c>
      <c r="L5611" s="89" t="str">
        <f>C257</f>
        <v>C2b~</v>
      </c>
      <c r="M5611" s="89" t="s">
        <v>8714</v>
      </c>
      <c r="N5611" s="89" t="s">
        <v>8716</v>
      </c>
      <c r="O5611" s="92">
        <v>2738986.0</v>
      </c>
      <c r="P5611" s="92">
        <v>2870945.0</v>
      </c>
      <c r="Q5611" s="89" t="s">
        <v>802</v>
      </c>
      <c r="AF5611" s="1"/>
      <c r="AG5611" s="1"/>
    </row>
    <row r="5612" ht="15.75" customHeight="1">
      <c r="A5612" s="1"/>
      <c r="B5612" s="1"/>
      <c r="C5612" s="1"/>
      <c r="D5612" s="1"/>
      <c r="E5612" s="1"/>
      <c r="F5612" s="1"/>
      <c r="G5612" s="1"/>
      <c r="H5612" s="1"/>
      <c r="I5612" s="1"/>
      <c r="J5612" s="1"/>
      <c r="K5612" s="89" t="s">
        <v>8717</v>
      </c>
      <c r="L5612" s="89" t="str">
        <f>D258</f>
        <v>C2b1</v>
      </c>
      <c r="M5612" s="89" t="s">
        <v>8718</v>
      </c>
      <c r="N5612" s="89" t="s">
        <v>8719</v>
      </c>
      <c r="O5612" s="92">
        <v>1.7844001E7</v>
      </c>
      <c r="P5612" s="92">
        <v>1.5732121E7</v>
      </c>
      <c r="Q5612" s="89" t="s">
        <v>838</v>
      </c>
      <c r="AF5612" s="1"/>
      <c r="AG5612" s="1"/>
    </row>
    <row r="5613" ht="15.75" customHeight="1">
      <c r="A5613" s="1"/>
      <c r="B5613" s="1"/>
      <c r="C5613" s="1"/>
      <c r="D5613" s="1"/>
      <c r="E5613" s="1"/>
      <c r="F5613" s="1"/>
      <c r="G5613" s="1"/>
      <c r="H5613" s="1"/>
      <c r="I5613" s="1"/>
      <c r="J5613" s="1"/>
      <c r="K5613" s="89" t="s">
        <v>8718</v>
      </c>
      <c r="L5613" s="89" t="str">
        <f>D258</f>
        <v>C2b1</v>
      </c>
      <c r="M5613" s="89" t="s">
        <v>8717</v>
      </c>
      <c r="N5613" s="89" t="s">
        <v>8719</v>
      </c>
      <c r="O5613" s="92">
        <v>1.7844001E7</v>
      </c>
      <c r="P5613" s="92">
        <v>1.5732121E7</v>
      </c>
      <c r="Q5613" s="89" t="s">
        <v>838</v>
      </c>
      <c r="AF5613" s="1"/>
      <c r="AG5613" s="1"/>
    </row>
    <row r="5614" ht="15.75" customHeight="1">
      <c r="A5614" s="1"/>
      <c r="B5614" s="1"/>
      <c r="C5614" s="1"/>
      <c r="D5614" s="1"/>
      <c r="E5614" s="1"/>
      <c r="F5614" s="1"/>
      <c r="G5614" s="1"/>
      <c r="H5614" s="1"/>
      <c r="I5614" s="1"/>
      <c r="J5614" s="1"/>
      <c r="K5614" s="89" t="s">
        <v>8720</v>
      </c>
      <c r="L5614" s="89" t="str">
        <f>D258</f>
        <v>C2b1</v>
      </c>
      <c r="M5614" s="89"/>
      <c r="N5614" s="89" t="s">
        <v>8721</v>
      </c>
      <c r="O5614" s="92">
        <v>2653141.0</v>
      </c>
      <c r="P5614" s="92">
        <v>2785100.0</v>
      </c>
      <c r="Q5614" s="89" t="s">
        <v>838</v>
      </c>
      <c r="AF5614" s="1"/>
      <c r="AG5614" s="1"/>
    </row>
    <row r="5615" ht="15.75" customHeight="1">
      <c r="A5615" s="1"/>
      <c r="B5615" s="1"/>
      <c r="C5615" s="1"/>
      <c r="D5615" s="1"/>
      <c r="E5615" s="1"/>
      <c r="F5615" s="1"/>
      <c r="G5615" s="1"/>
      <c r="H5615" s="1"/>
      <c r="I5615" s="1"/>
      <c r="J5615" s="1"/>
      <c r="K5615" s="89" t="s">
        <v>8722</v>
      </c>
      <c r="L5615" s="89" t="str">
        <f>D258</f>
        <v>C2b1</v>
      </c>
      <c r="M5615" s="89"/>
      <c r="N5615" s="89" t="s">
        <v>8723</v>
      </c>
      <c r="O5615" s="92">
        <v>2811158.0</v>
      </c>
      <c r="P5615" s="92">
        <v>2943117.0</v>
      </c>
      <c r="Q5615" s="89" t="s">
        <v>810</v>
      </c>
      <c r="AF5615" s="1"/>
      <c r="AG5615" s="1"/>
    </row>
    <row r="5616" ht="15.75" customHeight="1">
      <c r="A5616" s="1"/>
      <c r="B5616" s="1"/>
      <c r="C5616" s="1"/>
      <c r="D5616" s="1"/>
      <c r="E5616" s="1"/>
      <c r="F5616" s="1"/>
      <c r="G5616" s="1"/>
      <c r="H5616" s="1"/>
      <c r="I5616" s="1"/>
      <c r="J5616" s="1"/>
      <c r="K5616" s="89" t="s">
        <v>8724</v>
      </c>
      <c r="L5616" s="89" t="str">
        <f>D258</f>
        <v>C2b1</v>
      </c>
      <c r="M5616" s="89" t="s">
        <v>8725</v>
      </c>
      <c r="N5616" s="89" t="s">
        <v>8726</v>
      </c>
      <c r="O5616" s="92">
        <v>6696055.0</v>
      </c>
      <c r="P5616" s="92">
        <v>6828014.0</v>
      </c>
      <c r="Q5616" s="89" t="s">
        <v>802</v>
      </c>
      <c r="AF5616" s="1"/>
      <c r="AG5616" s="1"/>
    </row>
    <row r="5617" ht="15.75" customHeight="1">
      <c r="A5617" s="1"/>
      <c r="B5617" s="1"/>
      <c r="C5617" s="1"/>
      <c r="D5617" s="1"/>
      <c r="E5617" s="1"/>
      <c r="F5617" s="1"/>
      <c r="G5617" s="1"/>
      <c r="H5617" s="1"/>
      <c r="I5617" s="1"/>
      <c r="J5617" s="1"/>
      <c r="K5617" s="89" t="s">
        <v>8725</v>
      </c>
      <c r="L5617" s="89" t="str">
        <f>D258</f>
        <v>C2b1</v>
      </c>
      <c r="M5617" s="89" t="s">
        <v>8724</v>
      </c>
      <c r="N5617" s="89" t="s">
        <v>8726</v>
      </c>
      <c r="O5617" s="92">
        <v>6696055.0</v>
      </c>
      <c r="P5617" s="92">
        <v>6828014.0</v>
      </c>
      <c r="Q5617" s="89" t="s">
        <v>802</v>
      </c>
      <c r="AF5617" s="1"/>
      <c r="AG5617" s="1"/>
    </row>
    <row r="5618" ht="15.75" customHeight="1">
      <c r="A5618" s="1"/>
      <c r="B5618" s="1"/>
      <c r="C5618" s="1"/>
      <c r="D5618" s="1"/>
      <c r="E5618" s="1"/>
      <c r="F5618" s="1"/>
      <c r="G5618" s="1"/>
      <c r="H5618" s="1"/>
      <c r="I5618" s="1"/>
      <c r="J5618" s="1"/>
      <c r="K5618" s="89" t="s">
        <v>8727</v>
      </c>
      <c r="L5618" s="89" t="str">
        <f>D258</f>
        <v>C2b1</v>
      </c>
      <c r="M5618" s="89" t="s">
        <v>8728</v>
      </c>
      <c r="N5618" s="89" t="s">
        <v>8729</v>
      </c>
      <c r="O5618" s="89">
        <v>6697158.0</v>
      </c>
      <c r="P5618" s="89">
        <v>6829117.0</v>
      </c>
      <c r="Q5618" s="89" t="s">
        <v>810</v>
      </c>
      <c r="AF5618" s="1"/>
      <c r="AG5618" s="1"/>
    </row>
    <row r="5619" ht="15.75" customHeight="1">
      <c r="A5619" s="1"/>
      <c r="B5619" s="1"/>
      <c r="C5619" s="1"/>
      <c r="D5619" s="1"/>
      <c r="E5619" s="1"/>
      <c r="F5619" s="1"/>
      <c r="G5619" s="1"/>
      <c r="H5619" s="1"/>
      <c r="I5619" s="1"/>
      <c r="J5619" s="1"/>
      <c r="K5619" s="89" t="s">
        <v>8728</v>
      </c>
      <c r="L5619" s="89" t="str">
        <f>D258</f>
        <v>C2b1</v>
      </c>
      <c r="M5619" s="89" t="s">
        <v>8727</v>
      </c>
      <c r="N5619" s="89" t="s">
        <v>8729</v>
      </c>
      <c r="O5619" s="89">
        <v>6697158.0</v>
      </c>
      <c r="P5619" s="89">
        <v>6829117.0</v>
      </c>
      <c r="Q5619" s="89" t="s">
        <v>810</v>
      </c>
      <c r="AF5619" s="1"/>
      <c r="AG5619" s="1"/>
    </row>
    <row r="5620" ht="15.75" customHeight="1">
      <c r="A5620" s="1"/>
      <c r="B5620" s="1"/>
      <c r="C5620" s="1"/>
      <c r="D5620" s="1"/>
      <c r="E5620" s="1"/>
      <c r="F5620" s="1"/>
      <c r="G5620" s="1"/>
      <c r="H5620" s="1"/>
      <c r="I5620" s="1"/>
      <c r="J5620" s="1"/>
      <c r="K5620" s="89" t="s">
        <v>8730</v>
      </c>
      <c r="L5620" s="89" t="str">
        <f>D258</f>
        <v>C2b1</v>
      </c>
      <c r="M5620" s="89"/>
      <c r="N5620" s="89" t="s">
        <v>8731</v>
      </c>
      <c r="O5620" s="92">
        <v>6913949.0</v>
      </c>
      <c r="P5620" s="92">
        <v>7045908.0</v>
      </c>
      <c r="Q5620" s="89" t="s">
        <v>802</v>
      </c>
      <c r="AF5620" s="1"/>
      <c r="AG5620" s="1"/>
    </row>
    <row r="5621" ht="15.75" customHeight="1">
      <c r="A5621" s="1"/>
      <c r="B5621" s="1"/>
      <c r="C5621" s="1"/>
      <c r="D5621" s="1"/>
      <c r="E5621" s="1"/>
      <c r="F5621" s="1"/>
      <c r="G5621" s="1"/>
      <c r="H5621" s="1"/>
      <c r="I5621" s="1"/>
      <c r="J5621" s="1"/>
      <c r="K5621" s="89" t="s">
        <v>8732</v>
      </c>
      <c r="L5621" s="89" t="str">
        <f>D258</f>
        <v>C2b1</v>
      </c>
      <c r="M5621" s="89"/>
      <c r="N5621" s="89" t="s">
        <v>8733</v>
      </c>
      <c r="O5621" s="89">
        <v>7012698.0</v>
      </c>
      <c r="P5621" s="89">
        <v>7144657.0</v>
      </c>
      <c r="Q5621" s="89" t="s">
        <v>810</v>
      </c>
      <c r="AF5621" s="1"/>
      <c r="AG5621" s="1"/>
    </row>
    <row r="5622" ht="15.75" customHeight="1">
      <c r="A5622" s="1"/>
      <c r="B5622" s="1"/>
      <c r="C5622" s="1"/>
      <c r="D5622" s="1"/>
      <c r="E5622" s="1"/>
      <c r="F5622" s="1"/>
      <c r="G5622" s="1"/>
      <c r="H5622" s="1"/>
      <c r="I5622" s="1"/>
      <c r="J5622" s="1"/>
      <c r="K5622" s="89" t="s">
        <v>8734</v>
      </c>
      <c r="L5622" s="89" t="str">
        <f>D258</f>
        <v>C2b1</v>
      </c>
      <c r="M5622" s="89"/>
      <c r="N5622" s="89" t="s">
        <v>8735</v>
      </c>
      <c r="O5622" s="89">
        <v>7033363.0</v>
      </c>
      <c r="P5622" s="89">
        <v>7165322.0</v>
      </c>
      <c r="Q5622" s="89" t="s">
        <v>802</v>
      </c>
      <c r="AF5622" s="1"/>
      <c r="AG5622" s="1"/>
    </row>
    <row r="5623" ht="15.75" customHeight="1">
      <c r="A5623" s="1"/>
      <c r="B5623" s="1"/>
      <c r="C5623" s="1"/>
      <c r="D5623" s="1"/>
      <c r="E5623" s="1"/>
      <c r="F5623" s="1"/>
      <c r="G5623" s="1"/>
      <c r="H5623" s="1"/>
      <c r="I5623" s="1"/>
      <c r="J5623" s="1"/>
      <c r="K5623" s="89" t="s">
        <v>8736</v>
      </c>
      <c r="L5623" s="89" t="str">
        <f>D258</f>
        <v>C2b1</v>
      </c>
      <c r="M5623" s="89"/>
      <c r="N5623" s="89" t="s">
        <v>8737</v>
      </c>
      <c r="O5623" s="92">
        <v>7101405.0</v>
      </c>
      <c r="P5623" s="92">
        <v>7233364.0</v>
      </c>
      <c r="Q5623" s="89" t="s">
        <v>802</v>
      </c>
      <c r="AF5623" s="1"/>
      <c r="AG5623" s="1"/>
    </row>
    <row r="5624" ht="15.75" customHeight="1">
      <c r="A5624" s="1"/>
      <c r="B5624" s="1"/>
      <c r="C5624" s="1"/>
      <c r="D5624" s="1"/>
      <c r="E5624" s="1"/>
      <c r="F5624" s="1"/>
      <c r="G5624" s="1"/>
      <c r="H5624" s="1"/>
      <c r="I5624" s="1"/>
      <c r="J5624" s="1"/>
      <c r="K5624" s="89" t="s">
        <v>8738</v>
      </c>
      <c r="L5624" s="89" t="str">
        <f>D258</f>
        <v>C2b1</v>
      </c>
      <c r="M5624" s="89" t="s">
        <v>8739</v>
      </c>
      <c r="N5624" s="89" t="s">
        <v>8740</v>
      </c>
      <c r="O5624" s="92">
        <v>7387961.0</v>
      </c>
      <c r="P5624" s="92">
        <v>7519920.0</v>
      </c>
      <c r="Q5624" s="89" t="s">
        <v>912</v>
      </c>
      <c r="AF5624" s="1"/>
      <c r="AG5624" s="1"/>
    </row>
    <row r="5625" ht="15.75" customHeight="1">
      <c r="A5625" s="1"/>
      <c r="B5625" s="1"/>
      <c r="C5625" s="1"/>
      <c r="D5625" s="1"/>
      <c r="E5625" s="1"/>
      <c r="F5625" s="1"/>
      <c r="G5625" s="1"/>
      <c r="H5625" s="1"/>
      <c r="I5625" s="1"/>
      <c r="J5625" s="1"/>
      <c r="K5625" s="89" t="s">
        <v>8739</v>
      </c>
      <c r="L5625" s="89" t="str">
        <f>D258</f>
        <v>C2b1</v>
      </c>
      <c r="M5625" s="89" t="s">
        <v>8738</v>
      </c>
      <c r="N5625" s="89" t="s">
        <v>8740</v>
      </c>
      <c r="O5625" s="92">
        <v>7387961.0</v>
      </c>
      <c r="P5625" s="92">
        <v>7519920.0</v>
      </c>
      <c r="Q5625" s="89" t="s">
        <v>912</v>
      </c>
      <c r="AF5625" s="1"/>
      <c r="AG5625" s="1"/>
    </row>
    <row r="5626" ht="15.75" customHeight="1">
      <c r="A5626" s="1"/>
      <c r="B5626" s="1"/>
      <c r="C5626" s="1"/>
      <c r="D5626" s="1"/>
      <c r="E5626" s="1"/>
      <c r="F5626" s="1"/>
      <c r="G5626" s="1"/>
      <c r="H5626" s="1"/>
      <c r="I5626" s="1"/>
      <c r="J5626" s="1"/>
      <c r="K5626" s="89" t="s">
        <v>8741</v>
      </c>
      <c r="L5626" s="89" t="str">
        <f>D258</f>
        <v>C2b1</v>
      </c>
      <c r="M5626" s="89"/>
      <c r="N5626" s="89" t="s">
        <v>8742</v>
      </c>
      <c r="O5626" s="89">
        <v>1.4021265E7</v>
      </c>
      <c r="P5626" s="89">
        <v>1.1900559E7</v>
      </c>
      <c r="Q5626" s="89" t="s">
        <v>912</v>
      </c>
      <c r="AF5626" s="1"/>
      <c r="AG5626" s="1"/>
    </row>
    <row r="5627" ht="15.75" customHeight="1">
      <c r="A5627" s="1"/>
      <c r="B5627" s="1"/>
      <c r="C5627" s="1"/>
      <c r="D5627" s="1"/>
      <c r="E5627" s="1"/>
      <c r="F5627" s="1"/>
      <c r="G5627" s="1"/>
      <c r="H5627" s="1"/>
      <c r="I5627" s="1"/>
      <c r="J5627" s="1"/>
      <c r="K5627" s="89" t="s">
        <v>8743</v>
      </c>
      <c r="L5627" s="89" t="str">
        <f>D258</f>
        <v>C2b1</v>
      </c>
      <c r="M5627" s="89" t="s">
        <v>8744</v>
      </c>
      <c r="N5627" s="89" t="s">
        <v>8745</v>
      </c>
      <c r="O5627" s="92">
        <v>1.4065592E7</v>
      </c>
      <c r="P5627" s="92">
        <v>1.1944886E7</v>
      </c>
      <c r="Q5627" s="89" t="s">
        <v>838</v>
      </c>
      <c r="AF5627" s="1"/>
      <c r="AG5627" s="1"/>
    </row>
    <row r="5628" ht="15.75" customHeight="1">
      <c r="A5628" s="1"/>
      <c r="B5628" s="1"/>
      <c r="C5628" s="1"/>
      <c r="D5628" s="1"/>
      <c r="E5628" s="1"/>
      <c r="F5628" s="1"/>
      <c r="G5628" s="1"/>
      <c r="H5628" s="1"/>
      <c r="I5628" s="1"/>
      <c r="J5628" s="1"/>
      <c r="K5628" s="89" t="s">
        <v>8744</v>
      </c>
      <c r="L5628" s="89" t="str">
        <f>D258</f>
        <v>C2b1</v>
      </c>
      <c r="M5628" s="89" t="s">
        <v>8743</v>
      </c>
      <c r="N5628" s="89" t="s">
        <v>8745</v>
      </c>
      <c r="O5628" s="92">
        <v>1.4065592E7</v>
      </c>
      <c r="P5628" s="92">
        <v>1.1944886E7</v>
      </c>
      <c r="Q5628" s="89" t="s">
        <v>838</v>
      </c>
      <c r="AF5628" s="1"/>
      <c r="AG5628" s="1"/>
    </row>
    <row r="5629" ht="15.75" customHeight="1">
      <c r="A5629" s="1"/>
      <c r="B5629" s="1"/>
      <c r="C5629" s="1"/>
      <c r="D5629" s="1"/>
      <c r="E5629" s="1"/>
      <c r="F5629" s="1"/>
      <c r="G5629" s="1"/>
      <c r="H5629" s="1"/>
      <c r="I5629" s="1"/>
      <c r="J5629" s="1"/>
      <c r="K5629" s="89" t="s">
        <v>8746</v>
      </c>
      <c r="L5629" s="89" t="str">
        <f>D258</f>
        <v>C2b1</v>
      </c>
      <c r="M5629" s="89" t="s">
        <v>8747</v>
      </c>
      <c r="N5629" s="89" t="s">
        <v>8748</v>
      </c>
      <c r="O5629" s="92">
        <v>1.4097025E7</v>
      </c>
      <c r="P5629" s="92">
        <v>1.1976319E7</v>
      </c>
      <c r="Q5629" s="89" t="s">
        <v>810</v>
      </c>
      <c r="AF5629" s="1"/>
      <c r="AG5629" s="1"/>
    </row>
    <row r="5630" ht="15.75" customHeight="1">
      <c r="A5630" s="1"/>
      <c r="B5630" s="1"/>
      <c r="C5630" s="1"/>
      <c r="D5630" s="1"/>
      <c r="E5630" s="1"/>
      <c r="F5630" s="1"/>
      <c r="G5630" s="1"/>
      <c r="H5630" s="1"/>
      <c r="I5630" s="1"/>
      <c r="J5630" s="1"/>
      <c r="K5630" s="89" t="s">
        <v>8747</v>
      </c>
      <c r="L5630" s="89" t="str">
        <f>D258</f>
        <v>C2b1</v>
      </c>
      <c r="M5630" s="89" t="s">
        <v>8746</v>
      </c>
      <c r="N5630" s="89" t="s">
        <v>8748</v>
      </c>
      <c r="O5630" s="92">
        <v>1.4097025E7</v>
      </c>
      <c r="P5630" s="92">
        <v>1.1976319E7</v>
      </c>
      <c r="Q5630" s="89" t="s">
        <v>810</v>
      </c>
      <c r="AF5630" s="1"/>
      <c r="AG5630" s="1"/>
    </row>
    <row r="5631" ht="15.75" customHeight="1">
      <c r="A5631" s="1"/>
      <c r="B5631" s="1"/>
      <c r="C5631" s="1"/>
      <c r="D5631" s="1"/>
      <c r="E5631" s="1"/>
      <c r="F5631" s="1"/>
      <c r="G5631" s="1"/>
      <c r="H5631" s="1"/>
      <c r="I5631" s="1"/>
      <c r="J5631" s="1"/>
      <c r="K5631" s="89" t="s">
        <v>8749</v>
      </c>
      <c r="L5631" s="89" t="str">
        <f>D258</f>
        <v>C2b1</v>
      </c>
      <c r="M5631" s="89" t="s">
        <v>8750</v>
      </c>
      <c r="N5631" s="89" t="s">
        <v>8751</v>
      </c>
      <c r="O5631" s="89">
        <v>1.4195377E7</v>
      </c>
      <c r="P5631" s="89">
        <v>1.2074671E7</v>
      </c>
      <c r="Q5631" s="89" t="s">
        <v>917</v>
      </c>
      <c r="AF5631" s="1"/>
      <c r="AG5631" s="1"/>
    </row>
    <row r="5632" ht="15.75" customHeight="1">
      <c r="A5632" s="1"/>
      <c r="B5632" s="1"/>
      <c r="C5632" s="1"/>
      <c r="D5632" s="1"/>
      <c r="E5632" s="1"/>
      <c r="F5632" s="1"/>
      <c r="G5632" s="1"/>
      <c r="H5632" s="1"/>
      <c r="I5632" s="1"/>
      <c r="J5632" s="1"/>
      <c r="K5632" s="89" t="s">
        <v>8750</v>
      </c>
      <c r="L5632" s="89" t="str">
        <f>D258</f>
        <v>C2b1</v>
      </c>
      <c r="M5632" s="89" t="s">
        <v>8749</v>
      </c>
      <c r="N5632" s="89" t="s">
        <v>8751</v>
      </c>
      <c r="O5632" s="89">
        <v>1.4195377E7</v>
      </c>
      <c r="P5632" s="89">
        <v>1.2074671E7</v>
      </c>
      <c r="Q5632" s="89" t="s">
        <v>917</v>
      </c>
      <c r="AF5632" s="1"/>
      <c r="AG5632" s="1"/>
    </row>
    <row r="5633" ht="15.75" customHeight="1">
      <c r="A5633" s="1"/>
      <c r="B5633" s="1"/>
      <c r="C5633" s="1"/>
      <c r="D5633" s="1"/>
      <c r="E5633" s="1"/>
      <c r="F5633" s="1"/>
      <c r="G5633" s="1"/>
      <c r="H5633" s="1"/>
      <c r="I5633" s="1"/>
      <c r="J5633" s="1"/>
      <c r="K5633" s="89" t="s">
        <v>8752</v>
      </c>
      <c r="L5633" s="89" t="str">
        <f>D258</f>
        <v>C2b1</v>
      </c>
      <c r="M5633" s="89"/>
      <c r="N5633" s="89" t="s">
        <v>8753</v>
      </c>
      <c r="O5633" s="89">
        <v>1.4300581E7</v>
      </c>
      <c r="P5633" s="89">
        <v>1.2179875E7</v>
      </c>
      <c r="Q5633" s="89" t="s">
        <v>912</v>
      </c>
      <c r="AF5633" s="1"/>
      <c r="AG5633" s="1"/>
    </row>
    <row r="5634" ht="15.75" customHeight="1">
      <c r="A5634" s="1"/>
      <c r="B5634" s="1"/>
      <c r="C5634" s="1"/>
      <c r="D5634" s="1"/>
      <c r="E5634" s="1"/>
      <c r="F5634" s="1"/>
      <c r="G5634" s="1"/>
      <c r="H5634" s="1"/>
      <c r="I5634" s="1"/>
      <c r="J5634" s="1"/>
      <c r="K5634" s="89" t="s">
        <v>8754</v>
      </c>
      <c r="L5634" s="89" t="str">
        <f>D258</f>
        <v>C2b1</v>
      </c>
      <c r="M5634" s="89"/>
      <c r="N5634" s="89" t="s">
        <v>8755</v>
      </c>
      <c r="O5634" s="92">
        <v>1.430414E7</v>
      </c>
      <c r="P5634" s="92">
        <v>1.2183434E7</v>
      </c>
      <c r="Q5634" s="89" t="s">
        <v>886</v>
      </c>
      <c r="AF5634" s="1"/>
      <c r="AG5634" s="1"/>
    </row>
    <row r="5635" ht="15.75" customHeight="1">
      <c r="A5635" s="1"/>
      <c r="B5635" s="1"/>
      <c r="C5635" s="1"/>
      <c r="D5635" s="1"/>
      <c r="E5635" s="1"/>
      <c r="F5635" s="1"/>
      <c r="G5635" s="1"/>
      <c r="H5635" s="1"/>
      <c r="I5635" s="1"/>
      <c r="J5635" s="1"/>
      <c r="K5635" s="89" t="s">
        <v>8756</v>
      </c>
      <c r="L5635" s="89" t="str">
        <f>D258</f>
        <v>C2b1</v>
      </c>
      <c r="M5635" s="89" t="s">
        <v>8757</v>
      </c>
      <c r="N5635" s="89" t="s">
        <v>8758</v>
      </c>
      <c r="O5635" s="92">
        <v>1.4327533E7</v>
      </c>
      <c r="P5635" s="92">
        <v>1.2206827E7</v>
      </c>
      <c r="Q5635" s="89" t="s">
        <v>802</v>
      </c>
      <c r="AF5635" s="1"/>
      <c r="AG5635" s="1"/>
    </row>
    <row r="5636" ht="15.75" customHeight="1">
      <c r="A5636" s="1"/>
      <c r="B5636" s="1"/>
      <c r="C5636" s="1"/>
      <c r="D5636" s="1"/>
      <c r="E5636" s="1"/>
      <c r="F5636" s="1"/>
      <c r="G5636" s="1"/>
      <c r="H5636" s="1"/>
      <c r="I5636" s="1"/>
      <c r="J5636" s="1"/>
      <c r="K5636" s="89" t="s">
        <v>8757</v>
      </c>
      <c r="L5636" s="89" t="str">
        <f>D258</f>
        <v>C2b1</v>
      </c>
      <c r="M5636" s="89" t="s">
        <v>8756</v>
      </c>
      <c r="N5636" s="89" t="s">
        <v>8758</v>
      </c>
      <c r="O5636" s="92">
        <v>1.4327533E7</v>
      </c>
      <c r="P5636" s="92">
        <v>1.2206827E7</v>
      </c>
      <c r="Q5636" s="89" t="s">
        <v>802</v>
      </c>
      <c r="AF5636" s="1"/>
      <c r="AG5636" s="1"/>
    </row>
    <row r="5637" ht="15.75" customHeight="1">
      <c r="A5637" s="1"/>
      <c r="B5637" s="1"/>
      <c r="C5637" s="1"/>
      <c r="D5637" s="1"/>
      <c r="E5637" s="1"/>
      <c r="F5637" s="1"/>
      <c r="G5637" s="1"/>
      <c r="H5637" s="1"/>
      <c r="I5637" s="1"/>
      <c r="J5637" s="1"/>
      <c r="K5637" s="89" t="s">
        <v>8759</v>
      </c>
      <c r="L5637" s="89" t="str">
        <f>D258</f>
        <v>C2b1</v>
      </c>
      <c r="M5637" s="89"/>
      <c r="N5637" s="89" t="s">
        <v>8760</v>
      </c>
      <c r="O5637" s="92">
        <v>1.4521295E7</v>
      </c>
      <c r="P5637" s="92">
        <v>1.2409496E7</v>
      </c>
      <c r="Q5637" s="89" t="s">
        <v>886</v>
      </c>
      <c r="AF5637" s="1"/>
      <c r="AG5637" s="1"/>
    </row>
    <row r="5638" ht="15.75" customHeight="1">
      <c r="A5638" s="1"/>
      <c r="B5638" s="1"/>
      <c r="C5638" s="1"/>
      <c r="D5638" s="1"/>
      <c r="E5638" s="1"/>
      <c r="F5638" s="1"/>
      <c r="G5638" s="1"/>
      <c r="H5638" s="1"/>
      <c r="I5638" s="1"/>
      <c r="J5638" s="1"/>
      <c r="K5638" s="89" t="s">
        <v>8761</v>
      </c>
      <c r="L5638" s="89" t="str">
        <f>D258</f>
        <v>C2b1</v>
      </c>
      <c r="M5638" s="89"/>
      <c r="N5638" s="89" t="s">
        <v>8762</v>
      </c>
      <c r="O5638" s="92">
        <v>1.4672472E7</v>
      </c>
      <c r="P5638" s="92">
        <v>1.2560538E7</v>
      </c>
      <c r="Q5638" s="89" t="s">
        <v>802</v>
      </c>
      <c r="AF5638" s="1"/>
      <c r="AG5638" s="1"/>
    </row>
    <row r="5639" ht="15.75" customHeight="1">
      <c r="A5639" s="1"/>
      <c r="B5639" s="1"/>
      <c r="C5639" s="1"/>
      <c r="D5639" s="1"/>
      <c r="E5639" s="1"/>
      <c r="F5639" s="1"/>
      <c r="G5639" s="1"/>
      <c r="H5639" s="1"/>
      <c r="I5639" s="1"/>
      <c r="J5639" s="1"/>
      <c r="K5639" s="93" t="s">
        <v>8763</v>
      </c>
      <c r="L5639" s="89" t="str">
        <f>D258</f>
        <v>C2b1</v>
      </c>
      <c r="M5639" s="89" t="s">
        <v>8764</v>
      </c>
      <c r="N5639" s="89" t="s">
        <v>8765</v>
      </c>
      <c r="O5639" s="89">
        <v>1.4676647E7</v>
      </c>
      <c r="P5639" s="89">
        <v>1.2564713E7</v>
      </c>
      <c r="Q5639" s="89" t="s">
        <v>838</v>
      </c>
      <c r="AF5639" s="1"/>
      <c r="AG5639" s="1"/>
    </row>
    <row r="5640" ht="15.75" customHeight="1">
      <c r="A5640" s="1"/>
      <c r="B5640" s="1"/>
      <c r="C5640" s="1"/>
      <c r="D5640" s="1"/>
      <c r="E5640" s="1"/>
      <c r="F5640" s="1"/>
      <c r="G5640" s="1"/>
      <c r="H5640" s="1"/>
      <c r="I5640" s="1"/>
      <c r="J5640" s="1"/>
      <c r="K5640" s="89" t="s">
        <v>8764</v>
      </c>
      <c r="L5640" s="89" t="str">
        <f>D258</f>
        <v>C2b1</v>
      </c>
      <c r="M5640" s="93" t="s">
        <v>8763</v>
      </c>
      <c r="N5640" s="89" t="s">
        <v>8765</v>
      </c>
      <c r="O5640" s="89">
        <v>1.4676647E7</v>
      </c>
      <c r="P5640" s="89">
        <v>1.2564713E7</v>
      </c>
      <c r="Q5640" s="89" t="s">
        <v>838</v>
      </c>
      <c r="AF5640" s="1"/>
      <c r="AG5640" s="1"/>
    </row>
    <row r="5641" ht="15.75" customHeight="1">
      <c r="A5641" s="1"/>
      <c r="B5641" s="1"/>
      <c r="C5641" s="1"/>
      <c r="D5641" s="1"/>
      <c r="E5641" s="1"/>
      <c r="F5641" s="1"/>
      <c r="G5641" s="1"/>
      <c r="H5641" s="1"/>
      <c r="I5641" s="1"/>
      <c r="J5641" s="1"/>
      <c r="K5641" s="89" t="s">
        <v>8766</v>
      </c>
      <c r="L5641" s="89" t="str">
        <f>D258</f>
        <v>C2b1</v>
      </c>
      <c r="M5641" s="89" t="s">
        <v>8767</v>
      </c>
      <c r="N5641" s="89" t="s">
        <v>8768</v>
      </c>
      <c r="O5641" s="92">
        <v>1.4688824E7</v>
      </c>
      <c r="P5641" s="92">
        <v>1.257689E7</v>
      </c>
      <c r="Q5641" s="89" t="s">
        <v>838</v>
      </c>
      <c r="AF5641" s="1"/>
      <c r="AG5641" s="1"/>
    </row>
    <row r="5642" ht="15.75" customHeight="1">
      <c r="A5642" s="1"/>
      <c r="B5642" s="1"/>
      <c r="C5642" s="1"/>
      <c r="D5642" s="1"/>
      <c r="E5642" s="1"/>
      <c r="F5642" s="1"/>
      <c r="G5642" s="1"/>
      <c r="H5642" s="1"/>
      <c r="I5642" s="1"/>
      <c r="J5642" s="1"/>
      <c r="K5642" s="89" t="s">
        <v>8767</v>
      </c>
      <c r="L5642" s="89" t="str">
        <f>D258</f>
        <v>C2b1</v>
      </c>
      <c r="M5642" s="89" t="s">
        <v>8766</v>
      </c>
      <c r="N5642" s="89" t="s">
        <v>8768</v>
      </c>
      <c r="O5642" s="92">
        <v>1.4688824E7</v>
      </c>
      <c r="P5642" s="92">
        <v>1.257689E7</v>
      </c>
      <c r="Q5642" s="89" t="s">
        <v>838</v>
      </c>
      <c r="AF5642" s="1"/>
      <c r="AG5642" s="1"/>
    </row>
    <row r="5643" ht="15.75" customHeight="1">
      <c r="A5643" s="1"/>
      <c r="B5643" s="1"/>
      <c r="C5643" s="1"/>
      <c r="D5643" s="1"/>
      <c r="E5643" s="1"/>
      <c r="F5643" s="1"/>
      <c r="G5643" s="1"/>
      <c r="H5643" s="1"/>
      <c r="I5643" s="1"/>
      <c r="J5643" s="1"/>
      <c r="K5643" s="89" t="s">
        <v>8769</v>
      </c>
      <c r="L5643" s="89" t="str">
        <f>D258</f>
        <v>C2b1</v>
      </c>
      <c r="M5643" s="89"/>
      <c r="N5643" s="89" t="s">
        <v>8770</v>
      </c>
      <c r="O5643" s="92">
        <v>1.4693087E7</v>
      </c>
      <c r="P5643" s="92">
        <v>1.2581153E7</v>
      </c>
      <c r="Q5643" s="89" t="s">
        <v>822</v>
      </c>
      <c r="AF5643" s="1"/>
      <c r="AG5643" s="1"/>
    </row>
    <row r="5644" ht="15.75" customHeight="1">
      <c r="A5644" s="1"/>
      <c r="B5644" s="1"/>
      <c r="C5644" s="1"/>
      <c r="D5644" s="1"/>
      <c r="E5644" s="1"/>
      <c r="F5644" s="1"/>
      <c r="G5644" s="1"/>
      <c r="H5644" s="1"/>
      <c r="I5644" s="1"/>
      <c r="J5644" s="1"/>
      <c r="K5644" s="89" t="s">
        <v>8771</v>
      </c>
      <c r="L5644" s="89" t="str">
        <f>D258</f>
        <v>C2b1</v>
      </c>
      <c r="M5644" s="89"/>
      <c r="N5644" s="89" t="s">
        <v>8772</v>
      </c>
      <c r="O5644" s="92">
        <v>1.4811099E7</v>
      </c>
      <c r="P5644" s="92">
        <v>1.269917E7</v>
      </c>
      <c r="Q5644" s="89" t="s">
        <v>810</v>
      </c>
      <c r="AF5644" s="1"/>
      <c r="AG5644" s="1"/>
    </row>
    <row r="5645" ht="15.75" customHeight="1">
      <c r="A5645" s="1"/>
      <c r="B5645" s="1"/>
      <c r="C5645" s="1"/>
      <c r="D5645" s="1"/>
      <c r="E5645" s="1"/>
      <c r="F5645" s="1"/>
      <c r="G5645" s="1"/>
      <c r="H5645" s="1"/>
      <c r="I5645" s="1"/>
      <c r="J5645" s="1"/>
      <c r="K5645" s="89" t="s">
        <v>8773</v>
      </c>
      <c r="L5645" s="89" t="str">
        <f>D258</f>
        <v>C2b1</v>
      </c>
      <c r="M5645" s="89"/>
      <c r="N5645" s="89" t="s">
        <v>8774</v>
      </c>
      <c r="O5645" s="92">
        <v>1.4931124E7</v>
      </c>
      <c r="P5645" s="92">
        <v>1.2819189E7</v>
      </c>
      <c r="Q5645" s="89" t="s">
        <v>810</v>
      </c>
      <c r="AF5645" s="1"/>
      <c r="AG5645" s="1"/>
    </row>
    <row r="5646" ht="15.75" customHeight="1">
      <c r="A5646" s="1"/>
      <c r="B5646" s="1"/>
      <c r="C5646" s="1"/>
      <c r="D5646" s="1"/>
      <c r="E5646" s="1"/>
      <c r="F5646" s="1"/>
      <c r="G5646" s="1"/>
      <c r="H5646" s="1"/>
      <c r="I5646" s="1"/>
      <c r="J5646" s="1"/>
      <c r="K5646" s="89" t="s">
        <v>8775</v>
      </c>
      <c r="L5646" s="89" t="str">
        <f>D258</f>
        <v>C2b1</v>
      </c>
      <c r="M5646" s="89"/>
      <c r="N5646" s="89" t="s">
        <v>8776</v>
      </c>
      <c r="O5646" s="92">
        <v>1.5089795E7</v>
      </c>
      <c r="P5646" s="92">
        <v>1.2977884E7</v>
      </c>
      <c r="Q5646" s="89" t="s">
        <v>802</v>
      </c>
      <c r="AF5646" s="1"/>
      <c r="AG5646" s="1"/>
    </row>
    <row r="5647" ht="15.75" customHeight="1">
      <c r="A5647" s="1"/>
      <c r="B5647" s="1"/>
      <c r="C5647" s="1"/>
      <c r="D5647" s="1"/>
      <c r="E5647" s="1"/>
      <c r="F5647" s="1"/>
      <c r="G5647" s="1"/>
      <c r="H5647" s="1"/>
      <c r="I5647" s="1"/>
      <c r="J5647" s="1"/>
      <c r="K5647" s="93" t="s">
        <v>8777</v>
      </c>
      <c r="L5647" s="89" t="str">
        <f>D258</f>
        <v>C2b1</v>
      </c>
      <c r="M5647" s="89" t="s">
        <v>8778</v>
      </c>
      <c r="N5647" s="89" t="s">
        <v>8779</v>
      </c>
      <c r="O5647" s="89">
        <v>1.5287141E7</v>
      </c>
      <c r="P5647" s="89">
        <v>1.317524E7</v>
      </c>
      <c r="Q5647" s="89" t="s">
        <v>810</v>
      </c>
      <c r="AF5647" s="1"/>
      <c r="AG5647" s="1"/>
    </row>
    <row r="5648" ht="15.75" customHeight="1">
      <c r="A5648" s="1"/>
      <c r="B5648" s="1"/>
      <c r="C5648" s="1"/>
      <c r="D5648" s="1"/>
      <c r="E5648" s="1"/>
      <c r="F5648" s="1"/>
      <c r="G5648" s="1"/>
      <c r="H5648" s="1"/>
      <c r="I5648" s="1"/>
      <c r="J5648" s="1"/>
      <c r="K5648" s="89" t="s">
        <v>8778</v>
      </c>
      <c r="L5648" s="89" t="str">
        <f>D258</f>
        <v>C2b1</v>
      </c>
      <c r="M5648" s="93" t="s">
        <v>8777</v>
      </c>
      <c r="N5648" s="89" t="s">
        <v>8779</v>
      </c>
      <c r="O5648" s="89">
        <v>1.5287141E7</v>
      </c>
      <c r="P5648" s="89">
        <v>1.317524E7</v>
      </c>
      <c r="Q5648" s="89" t="s">
        <v>810</v>
      </c>
      <c r="AF5648" s="1"/>
      <c r="AG5648" s="1"/>
    </row>
    <row r="5649" ht="15.75" customHeight="1">
      <c r="A5649" s="1"/>
      <c r="B5649" s="1"/>
      <c r="C5649" s="1"/>
      <c r="D5649" s="1"/>
      <c r="E5649" s="1"/>
      <c r="F5649" s="1"/>
      <c r="G5649" s="1"/>
      <c r="H5649" s="1"/>
      <c r="I5649" s="1"/>
      <c r="J5649" s="1"/>
      <c r="K5649" s="89" t="s">
        <v>8780</v>
      </c>
      <c r="L5649" s="89" t="str">
        <f>D258</f>
        <v>C2b1</v>
      </c>
      <c r="M5649" s="89"/>
      <c r="N5649" s="89" t="s">
        <v>8781</v>
      </c>
      <c r="O5649" s="92">
        <v>1.5331925E7</v>
      </c>
      <c r="P5649" s="92">
        <v>1.3220043E7</v>
      </c>
      <c r="Q5649" s="89" t="s">
        <v>822</v>
      </c>
      <c r="AF5649" s="1"/>
      <c r="AG5649" s="1"/>
    </row>
    <row r="5650" ht="15.75" customHeight="1">
      <c r="A5650" s="1"/>
      <c r="B5650" s="1"/>
      <c r="C5650" s="1"/>
      <c r="D5650" s="1"/>
      <c r="E5650" s="1"/>
      <c r="F5650" s="1"/>
      <c r="G5650" s="1"/>
      <c r="H5650" s="1"/>
      <c r="I5650" s="1"/>
      <c r="J5650" s="1"/>
      <c r="K5650" s="89" t="s">
        <v>8782</v>
      </c>
      <c r="L5650" s="89" t="str">
        <f>D258</f>
        <v>C2b1</v>
      </c>
      <c r="M5650" s="89" t="s">
        <v>8783</v>
      </c>
      <c r="N5650" s="89" t="s">
        <v>8784</v>
      </c>
      <c r="O5650" s="92">
        <v>1.5370523E7</v>
      </c>
      <c r="P5650" s="92">
        <v>1.3258643E7</v>
      </c>
      <c r="Q5650" s="89" t="s">
        <v>864</v>
      </c>
      <c r="AF5650" s="1"/>
      <c r="AG5650" s="1"/>
    </row>
    <row r="5651" ht="15.75" customHeight="1">
      <c r="A5651" s="1"/>
      <c r="B5651" s="1"/>
      <c r="C5651" s="1"/>
      <c r="D5651" s="1"/>
      <c r="E5651" s="1"/>
      <c r="F5651" s="1"/>
      <c r="G5651" s="1"/>
      <c r="H5651" s="1"/>
      <c r="I5651" s="1"/>
      <c r="J5651" s="1"/>
      <c r="K5651" s="89" t="s">
        <v>8783</v>
      </c>
      <c r="L5651" s="89" t="str">
        <f>D258</f>
        <v>C2b1</v>
      </c>
      <c r="M5651" s="89" t="s">
        <v>8782</v>
      </c>
      <c r="N5651" s="89" t="s">
        <v>8784</v>
      </c>
      <c r="O5651" s="92">
        <v>1.5370523E7</v>
      </c>
      <c r="P5651" s="92">
        <v>1.3258643E7</v>
      </c>
      <c r="Q5651" s="89" t="s">
        <v>864</v>
      </c>
      <c r="AF5651" s="1"/>
      <c r="AG5651" s="1"/>
    </row>
    <row r="5652" ht="15.75" customHeight="1">
      <c r="A5652" s="1"/>
      <c r="B5652" s="1"/>
      <c r="C5652" s="1"/>
      <c r="D5652" s="1"/>
      <c r="E5652" s="1"/>
      <c r="F5652" s="1"/>
      <c r="G5652" s="1"/>
      <c r="H5652" s="1"/>
      <c r="I5652" s="1"/>
      <c r="J5652" s="1"/>
      <c r="K5652" s="93" t="s">
        <v>8785</v>
      </c>
      <c r="L5652" s="89" t="str">
        <f>D258</f>
        <v>C2b1</v>
      </c>
      <c r="M5652" s="89" t="s">
        <v>8786</v>
      </c>
      <c r="N5652" s="89" t="s">
        <v>8787</v>
      </c>
      <c r="O5652" s="89">
        <v>1.5424808E7</v>
      </c>
      <c r="P5652" s="89">
        <v>1.3312928E7</v>
      </c>
      <c r="Q5652" s="89" t="s">
        <v>838</v>
      </c>
      <c r="AF5652" s="1"/>
      <c r="AG5652" s="1"/>
    </row>
    <row r="5653" ht="15.75" customHeight="1">
      <c r="A5653" s="1"/>
      <c r="B5653" s="1"/>
      <c r="C5653" s="1"/>
      <c r="D5653" s="1"/>
      <c r="E5653" s="1"/>
      <c r="F5653" s="1"/>
      <c r="G5653" s="1"/>
      <c r="H5653" s="1"/>
      <c r="I5653" s="1"/>
      <c r="J5653" s="1"/>
      <c r="K5653" s="89" t="s">
        <v>8786</v>
      </c>
      <c r="L5653" s="89" t="str">
        <f>D258</f>
        <v>C2b1</v>
      </c>
      <c r="M5653" s="93" t="s">
        <v>8785</v>
      </c>
      <c r="N5653" s="89" t="s">
        <v>8787</v>
      </c>
      <c r="O5653" s="89">
        <v>1.5424808E7</v>
      </c>
      <c r="P5653" s="89">
        <v>1.3312928E7</v>
      </c>
      <c r="Q5653" s="89" t="s">
        <v>838</v>
      </c>
      <c r="AF5653" s="1"/>
      <c r="AG5653" s="1"/>
    </row>
    <row r="5654" ht="15.75" customHeight="1">
      <c r="A5654" s="1"/>
      <c r="B5654" s="1"/>
      <c r="C5654" s="1"/>
      <c r="D5654" s="1"/>
      <c r="E5654" s="1"/>
      <c r="F5654" s="1"/>
      <c r="G5654" s="1"/>
      <c r="H5654" s="1"/>
      <c r="I5654" s="1"/>
      <c r="J5654" s="1"/>
      <c r="K5654" s="89" t="s">
        <v>8788</v>
      </c>
      <c r="L5654" s="89" t="str">
        <f>D258</f>
        <v>C2b1</v>
      </c>
      <c r="M5654" s="89"/>
      <c r="N5654" s="89" t="s">
        <v>8789</v>
      </c>
      <c r="O5654" s="92">
        <v>1.548996E7</v>
      </c>
      <c r="P5654" s="92">
        <v>1.337808E7</v>
      </c>
      <c r="Q5654" s="89" t="s">
        <v>864</v>
      </c>
      <c r="AF5654" s="1"/>
      <c r="AG5654" s="1"/>
    </row>
    <row r="5655" ht="15.75" customHeight="1">
      <c r="A5655" s="1"/>
      <c r="B5655" s="1"/>
      <c r="C5655" s="1"/>
      <c r="D5655" s="1"/>
      <c r="E5655" s="1"/>
      <c r="F5655" s="1"/>
      <c r="G5655" s="1"/>
      <c r="H5655" s="1"/>
      <c r="I5655" s="1"/>
      <c r="J5655" s="1"/>
      <c r="K5655" s="89" t="s">
        <v>8790</v>
      </c>
      <c r="L5655" s="89" t="str">
        <f>D258</f>
        <v>C2b1</v>
      </c>
      <c r="M5655" s="89"/>
      <c r="N5655" s="89" t="s">
        <v>8791</v>
      </c>
      <c r="O5655" s="89">
        <v>1.5920775E7</v>
      </c>
      <c r="P5655" s="89">
        <v>1.3808895E7</v>
      </c>
      <c r="Q5655" s="89" t="s">
        <v>838</v>
      </c>
      <c r="AF5655" s="1"/>
      <c r="AG5655" s="1"/>
    </row>
    <row r="5656" ht="15.75" customHeight="1">
      <c r="A5656" s="1"/>
      <c r="B5656" s="1"/>
      <c r="C5656" s="1"/>
      <c r="D5656" s="1"/>
      <c r="E5656" s="1"/>
      <c r="F5656" s="1"/>
      <c r="G5656" s="1"/>
      <c r="H5656" s="1"/>
      <c r="I5656" s="1"/>
      <c r="J5656" s="1"/>
      <c r="K5656" s="89" t="s">
        <v>8792</v>
      </c>
      <c r="L5656" s="89" t="str">
        <f>D258</f>
        <v>C2b1</v>
      </c>
      <c r="M5656" s="89"/>
      <c r="N5656" s="89" t="s">
        <v>8793</v>
      </c>
      <c r="O5656" s="92">
        <v>1.5953654E7</v>
      </c>
      <c r="P5656" s="92">
        <v>1.3841774E7</v>
      </c>
      <c r="Q5656" s="89" t="s">
        <v>879</v>
      </c>
      <c r="AF5656" s="1"/>
      <c r="AG5656" s="1"/>
    </row>
    <row r="5657" ht="15.75" customHeight="1">
      <c r="A5657" s="1"/>
      <c r="B5657" s="1"/>
      <c r="C5657" s="1"/>
      <c r="D5657" s="1"/>
      <c r="E5657" s="1"/>
      <c r="F5657" s="1"/>
      <c r="G5657" s="1"/>
      <c r="H5657" s="1"/>
      <c r="I5657" s="1"/>
      <c r="J5657" s="1"/>
      <c r="K5657" s="89" t="s">
        <v>8794</v>
      </c>
      <c r="L5657" s="89" t="str">
        <f>D258</f>
        <v>C2b1</v>
      </c>
      <c r="M5657" s="89"/>
      <c r="N5657" s="89" t="s">
        <v>8795</v>
      </c>
      <c r="O5657" s="89">
        <v>1.6397509E7</v>
      </c>
      <c r="P5657" s="89">
        <v>1.4285629E7</v>
      </c>
      <c r="Q5657" s="89" t="s">
        <v>802</v>
      </c>
      <c r="AF5657" s="1"/>
      <c r="AG5657" s="1"/>
    </row>
    <row r="5658" ht="15.75" customHeight="1">
      <c r="A5658" s="1"/>
      <c r="B5658" s="1"/>
      <c r="C5658" s="1"/>
      <c r="D5658" s="1"/>
      <c r="E5658" s="1"/>
      <c r="F5658" s="1"/>
      <c r="G5658" s="1"/>
      <c r="H5658" s="1"/>
      <c r="I5658" s="1"/>
      <c r="J5658" s="1"/>
      <c r="K5658" s="89" t="s">
        <v>8796</v>
      </c>
      <c r="L5658" s="89" t="str">
        <f>D258</f>
        <v>C2b1</v>
      </c>
      <c r="M5658" s="89"/>
      <c r="N5658" s="89" t="s">
        <v>8797</v>
      </c>
      <c r="O5658" s="89">
        <v>1.6621442E7</v>
      </c>
      <c r="P5658" s="89">
        <v>1.4509562E7</v>
      </c>
      <c r="Q5658" s="89" t="s">
        <v>838</v>
      </c>
      <c r="AF5658" s="1"/>
      <c r="AG5658" s="1"/>
    </row>
    <row r="5659" ht="15.75" customHeight="1">
      <c r="A5659" s="1"/>
      <c r="B5659" s="1"/>
      <c r="C5659" s="1"/>
      <c r="D5659" s="1"/>
      <c r="E5659" s="1"/>
      <c r="F5659" s="1"/>
      <c r="G5659" s="1"/>
      <c r="H5659" s="1"/>
      <c r="I5659" s="1"/>
      <c r="J5659" s="1"/>
      <c r="K5659" s="89" t="s">
        <v>8798</v>
      </c>
      <c r="L5659" s="89" t="str">
        <f>D258</f>
        <v>C2b1</v>
      </c>
      <c r="M5659" s="89"/>
      <c r="N5659" s="89" t="s">
        <v>8799</v>
      </c>
      <c r="O5659" s="92">
        <v>1.669848E7</v>
      </c>
      <c r="P5659" s="92">
        <v>1.45866E7</v>
      </c>
      <c r="Q5659" s="89" t="s">
        <v>802</v>
      </c>
      <c r="AF5659" s="1"/>
      <c r="AG5659" s="1"/>
    </row>
    <row r="5660" ht="15.75" customHeight="1">
      <c r="A5660" s="1"/>
      <c r="B5660" s="1"/>
      <c r="C5660" s="1"/>
      <c r="D5660" s="1"/>
      <c r="E5660" s="1"/>
      <c r="F5660" s="1"/>
      <c r="G5660" s="1"/>
      <c r="H5660" s="1"/>
      <c r="I5660" s="1"/>
      <c r="J5660" s="1"/>
      <c r="K5660" s="89" t="s">
        <v>8800</v>
      </c>
      <c r="L5660" s="89" t="str">
        <f>D258</f>
        <v>C2b1</v>
      </c>
      <c r="M5660" s="89"/>
      <c r="N5660" s="89" t="s">
        <v>8801</v>
      </c>
      <c r="O5660" s="92">
        <v>1.6859254E7</v>
      </c>
      <c r="P5660" s="92">
        <v>1.4747374E7</v>
      </c>
      <c r="Q5660" s="89" t="s">
        <v>822</v>
      </c>
      <c r="AF5660" s="1"/>
      <c r="AG5660" s="1"/>
    </row>
    <row r="5661" ht="15.75" customHeight="1">
      <c r="A5661" s="1"/>
      <c r="B5661" s="1"/>
      <c r="C5661" s="1"/>
      <c r="D5661" s="1"/>
      <c r="E5661" s="1"/>
      <c r="F5661" s="1"/>
      <c r="G5661" s="1"/>
      <c r="H5661" s="1"/>
      <c r="I5661" s="1"/>
      <c r="J5661" s="1"/>
      <c r="K5661" s="89" t="s">
        <v>8802</v>
      </c>
      <c r="L5661" s="89" t="str">
        <f>D258</f>
        <v>C2b1</v>
      </c>
      <c r="M5661" s="89"/>
      <c r="N5661" s="89" t="s">
        <v>8803</v>
      </c>
      <c r="O5661" s="92">
        <v>1.6993058E7</v>
      </c>
      <c r="P5661" s="92">
        <v>1.4881178E7</v>
      </c>
      <c r="Q5661" s="89" t="s">
        <v>802</v>
      </c>
      <c r="AF5661" s="1"/>
      <c r="AG5661" s="1"/>
    </row>
    <row r="5662" ht="15.75" customHeight="1">
      <c r="A5662" s="1"/>
      <c r="B5662" s="1"/>
      <c r="C5662" s="1"/>
      <c r="D5662" s="1"/>
      <c r="E5662" s="1"/>
      <c r="F5662" s="1"/>
      <c r="G5662" s="1"/>
      <c r="H5662" s="1"/>
      <c r="I5662" s="1"/>
      <c r="J5662" s="1"/>
      <c r="K5662" s="89" t="s">
        <v>8804</v>
      </c>
      <c r="L5662" s="89" t="str">
        <f>D258</f>
        <v>C2b1</v>
      </c>
      <c r="M5662" s="89"/>
      <c r="N5662" s="89" t="s">
        <v>8805</v>
      </c>
      <c r="O5662" s="92">
        <v>1.7018227E7</v>
      </c>
      <c r="P5662" s="92">
        <v>1.4906347E7</v>
      </c>
      <c r="Q5662" s="89" t="s">
        <v>802</v>
      </c>
      <c r="AF5662" s="1"/>
      <c r="AG5662" s="1"/>
    </row>
    <row r="5663" ht="15.75" customHeight="1">
      <c r="A5663" s="1"/>
      <c r="B5663" s="1"/>
      <c r="C5663" s="1"/>
      <c r="D5663" s="1"/>
      <c r="E5663" s="1"/>
      <c r="F5663" s="1"/>
      <c r="G5663" s="1"/>
      <c r="H5663" s="1"/>
      <c r="I5663" s="1"/>
      <c r="J5663" s="1"/>
      <c r="K5663" s="89" t="s">
        <v>8806</v>
      </c>
      <c r="L5663" s="89" t="str">
        <f>D258</f>
        <v>C2b1</v>
      </c>
      <c r="M5663" s="89"/>
      <c r="N5663" s="89" t="s">
        <v>8807</v>
      </c>
      <c r="O5663" s="92">
        <v>1.7053586E7</v>
      </c>
      <c r="P5663" s="92">
        <v>1.4941706E7</v>
      </c>
      <c r="Q5663" s="89" t="s">
        <v>822</v>
      </c>
      <c r="AF5663" s="1"/>
      <c r="AG5663" s="1"/>
    </row>
    <row r="5664" ht="15.75" customHeight="1">
      <c r="A5664" s="1"/>
      <c r="B5664" s="1"/>
      <c r="C5664" s="1"/>
      <c r="D5664" s="1"/>
      <c r="E5664" s="1"/>
      <c r="F5664" s="1"/>
      <c r="G5664" s="1"/>
      <c r="H5664" s="1"/>
      <c r="I5664" s="1"/>
      <c r="J5664" s="1"/>
      <c r="K5664" s="89" t="s">
        <v>8808</v>
      </c>
      <c r="L5664" s="89" t="str">
        <f>D258</f>
        <v>C2b1</v>
      </c>
      <c r="M5664" s="89"/>
      <c r="N5664" s="89" t="s">
        <v>8809</v>
      </c>
      <c r="O5664" s="92">
        <v>1.7099623E7</v>
      </c>
      <c r="P5664" s="92">
        <v>1.4987743E7</v>
      </c>
      <c r="Q5664" s="89" t="s">
        <v>886</v>
      </c>
      <c r="AF5664" s="1"/>
      <c r="AG5664" s="1"/>
    </row>
    <row r="5665" ht="15.75" customHeight="1">
      <c r="A5665" s="1"/>
      <c r="B5665" s="1"/>
      <c r="C5665" s="1"/>
      <c r="D5665" s="1"/>
      <c r="E5665" s="1"/>
      <c r="F5665" s="1"/>
      <c r="G5665" s="1"/>
      <c r="H5665" s="1"/>
      <c r="I5665" s="1"/>
      <c r="J5665" s="1"/>
      <c r="K5665" s="89" t="s">
        <v>8810</v>
      </c>
      <c r="L5665" s="89" t="str">
        <f>D258</f>
        <v>C2b1</v>
      </c>
      <c r="M5665" s="89"/>
      <c r="N5665" s="89" t="s">
        <v>8811</v>
      </c>
      <c r="O5665" s="92">
        <v>1.7201524E7</v>
      </c>
      <c r="P5665" s="92">
        <v>1.5089644E7</v>
      </c>
      <c r="Q5665" s="89" t="s">
        <v>886</v>
      </c>
      <c r="AF5665" s="1"/>
      <c r="AG5665" s="1"/>
    </row>
    <row r="5666" ht="15.75" customHeight="1">
      <c r="A5666" s="1"/>
      <c r="B5666" s="1"/>
      <c r="C5666" s="1"/>
      <c r="D5666" s="1"/>
      <c r="E5666" s="1"/>
      <c r="F5666" s="1"/>
      <c r="G5666" s="1"/>
      <c r="H5666" s="1"/>
      <c r="I5666" s="1"/>
      <c r="J5666" s="1"/>
      <c r="K5666" s="89" t="s">
        <v>8812</v>
      </c>
      <c r="L5666" s="89" t="str">
        <f>D258</f>
        <v>C2b1</v>
      </c>
      <c r="M5666" s="89" t="s">
        <v>8813</v>
      </c>
      <c r="N5666" s="89" t="s">
        <v>8814</v>
      </c>
      <c r="O5666" s="92">
        <v>1.7331881E7</v>
      </c>
      <c r="P5666" s="92">
        <v>1.5220001E7</v>
      </c>
      <c r="Q5666" s="89" t="s">
        <v>879</v>
      </c>
      <c r="AF5666" s="1"/>
      <c r="AG5666" s="1"/>
    </row>
    <row r="5667" ht="15.75" customHeight="1">
      <c r="A5667" s="1"/>
      <c r="B5667" s="1"/>
      <c r="C5667" s="1"/>
      <c r="D5667" s="1"/>
      <c r="E5667" s="1"/>
      <c r="F5667" s="1"/>
      <c r="G5667" s="1"/>
      <c r="H5667" s="1"/>
      <c r="I5667" s="1"/>
      <c r="J5667" s="1"/>
      <c r="K5667" s="89" t="s">
        <v>8813</v>
      </c>
      <c r="L5667" s="89" t="str">
        <f>D258</f>
        <v>C2b1</v>
      </c>
      <c r="M5667" s="89" t="s">
        <v>8812</v>
      </c>
      <c r="N5667" s="89" t="s">
        <v>8814</v>
      </c>
      <c r="O5667" s="92">
        <v>1.7331881E7</v>
      </c>
      <c r="P5667" s="92">
        <v>1.5220001E7</v>
      </c>
      <c r="Q5667" s="89" t="s">
        <v>879</v>
      </c>
      <c r="AF5667" s="1"/>
      <c r="AG5667" s="1"/>
    </row>
    <row r="5668" ht="15.75" customHeight="1">
      <c r="A5668" s="1"/>
      <c r="B5668" s="1"/>
      <c r="C5668" s="1"/>
      <c r="D5668" s="1"/>
      <c r="E5668" s="1"/>
      <c r="F5668" s="1"/>
      <c r="G5668" s="1"/>
      <c r="H5668" s="1"/>
      <c r="I5668" s="1"/>
      <c r="J5668" s="1"/>
      <c r="K5668" s="89" t="s">
        <v>8815</v>
      </c>
      <c r="L5668" s="89" t="str">
        <f>D258</f>
        <v>C2b1</v>
      </c>
      <c r="M5668" s="89"/>
      <c r="N5668" s="89" t="s">
        <v>8816</v>
      </c>
      <c r="O5668" s="92">
        <v>1.7468144E7</v>
      </c>
      <c r="P5668" s="92">
        <v>1.5356264E7</v>
      </c>
      <c r="Q5668" s="89" t="s">
        <v>822</v>
      </c>
      <c r="AF5668" s="1"/>
      <c r="AG5668" s="1"/>
    </row>
    <row r="5669" ht="15.75" customHeight="1">
      <c r="A5669" s="1"/>
      <c r="B5669" s="1"/>
      <c r="C5669" s="1"/>
      <c r="D5669" s="1"/>
      <c r="E5669" s="1"/>
      <c r="F5669" s="1"/>
      <c r="G5669" s="1"/>
      <c r="H5669" s="1"/>
      <c r="I5669" s="1"/>
      <c r="J5669" s="1"/>
      <c r="K5669" s="89" t="s">
        <v>8817</v>
      </c>
      <c r="L5669" s="89" t="str">
        <f>D258</f>
        <v>C2b1</v>
      </c>
      <c r="M5669" s="89"/>
      <c r="N5669" s="89" t="s">
        <v>8818</v>
      </c>
      <c r="O5669" s="89">
        <v>1.7546158E7</v>
      </c>
      <c r="P5669" s="89">
        <v>1.5434278E7</v>
      </c>
      <c r="Q5669" s="89" t="s">
        <v>912</v>
      </c>
      <c r="AF5669" s="1"/>
      <c r="AG5669" s="1"/>
    </row>
    <row r="5670" ht="15.75" customHeight="1">
      <c r="A5670" s="1"/>
      <c r="B5670" s="1"/>
      <c r="C5670" s="1"/>
      <c r="D5670" s="1"/>
      <c r="E5670" s="1"/>
      <c r="F5670" s="1"/>
      <c r="G5670" s="1"/>
      <c r="H5670" s="1"/>
      <c r="I5670" s="1"/>
      <c r="J5670" s="1"/>
      <c r="K5670" s="89" t="s">
        <v>8819</v>
      </c>
      <c r="L5670" s="89" t="str">
        <f>D258</f>
        <v>C2b1</v>
      </c>
      <c r="M5670" s="89" t="s">
        <v>8820</v>
      </c>
      <c r="N5670" s="89" t="s">
        <v>8821</v>
      </c>
      <c r="O5670" s="89">
        <v>1.7672182E7</v>
      </c>
      <c r="P5670" s="89">
        <v>1.5560302E7</v>
      </c>
      <c r="Q5670" s="89" t="s">
        <v>917</v>
      </c>
      <c r="AF5670" s="1"/>
      <c r="AG5670" s="1"/>
    </row>
    <row r="5671" ht="15.75" customHeight="1">
      <c r="A5671" s="1"/>
      <c r="B5671" s="1"/>
      <c r="C5671" s="1"/>
      <c r="D5671" s="1"/>
      <c r="E5671" s="1"/>
      <c r="F5671" s="1"/>
      <c r="G5671" s="1"/>
      <c r="H5671" s="1"/>
      <c r="I5671" s="1"/>
      <c r="J5671" s="1"/>
      <c r="K5671" s="89" t="s">
        <v>8820</v>
      </c>
      <c r="L5671" s="89" t="str">
        <f>D258</f>
        <v>C2b1</v>
      </c>
      <c r="M5671" s="89" t="s">
        <v>8819</v>
      </c>
      <c r="N5671" s="89" t="s">
        <v>8821</v>
      </c>
      <c r="O5671" s="89">
        <v>1.7672182E7</v>
      </c>
      <c r="P5671" s="89">
        <v>1.5560302E7</v>
      </c>
      <c r="Q5671" s="89" t="s">
        <v>917</v>
      </c>
      <c r="AF5671" s="1"/>
      <c r="AG5671" s="1"/>
    </row>
    <row r="5672" ht="15.75" customHeight="1">
      <c r="A5672" s="1"/>
      <c r="B5672" s="1"/>
      <c r="C5672" s="1"/>
      <c r="D5672" s="1"/>
      <c r="E5672" s="1"/>
      <c r="F5672" s="1"/>
      <c r="G5672" s="1"/>
      <c r="H5672" s="1"/>
      <c r="I5672" s="1"/>
      <c r="J5672" s="1"/>
      <c r="K5672" s="89" t="s">
        <v>8822</v>
      </c>
      <c r="L5672" s="89" t="str">
        <f>D258</f>
        <v>C2b1</v>
      </c>
      <c r="M5672" s="89"/>
      <c r="N5672" s="89" t="s">
        <v>8823</v>
      </c>
      <c r="O5672" s="89">
        <v>1.7827711E7</v>
      </c>
      <c r="P5672" s="89">
        <v>1.5715831E7</v>
      </c>
      <c r="Q5672" s="89" t="s">
        <v>831</v>
      </c>
      <c r="AF5672" s="1"/>
      <c r="AG5672" s="1"/>
    </row>
    <row r="5673" ht="15.75" customHeight="1">
      <c r="A5673" s="1"/>
      <c r="B5673" s="1"/>
      <c r="C5673" s="1"/>
      <c r="D5673" s="1"/>
      <c r="E5673" s="1"/>
      <c r="F5673" s="1"/>
      <c r="G5673" s="1"/>
      <c r="H5673" s="1"/>
      <c r="I5673" s="1"/>
      <c r="J5673" s="1"/>
      <c r="K5673" s="89" t="s">
        <v>8824</v>
      </c>
      <c r="L5673" s="89" t="str">
        <f>D258</f>
        <v>C2b1</v>
      </c>
      <c r="M5673" s="89"/>
      <c r="N5673" s="89" t="s">
        <v>8825</v>
      </c>
      <c r="O5673" s="89">
        <v>1.7827789E7</v>
      </c>
      <c r="P5673" s="89">
        <v>1.5715909E7</v>
      </c>
      <c r="Q5673" s="89" t="s">
        <v>912</v>
      </c>
      <c r="AF5673" s="1"/>
      <c r="AG5673" s="1"/>
    </row>
    <row r="5674" ht="15.75" customHeight="1">
      <c r="A5674" s="1"/>
      <c r="B5674" s="1"/>
      <c r="C5674" s="1"/>
      <c r="D5674" s="1"/>
      <c r="E5674" s="1"/>
      <c r="F5674" s="1"/>
      <c r="G5674" s="1"/>
      <c r="H5674" s="1"/>
      <c r="I5674" s="1"/>
      <c r="J5674" s="1"/>
      <c r="K5674" s="89" t="s">
        <v>8826</v>
      </c>
      <c r="L5674" s="89" t="str">
        <f>D258</f>
        <v>C2b1</v>
      </c>
      <c r="M5674" s="89"/>
      <c r="N5674" s="89" t="s">
        <v>8827</v>
      </c>
      <c r="O5674" s="92">
        <v>1.7976596E7</v>
      </c>
      <c r="P5674" s="92">
        <v>1.5864716E7</v>
      </c>
      <c r="Q5674" s="89" t="s">
        <v>810</v>
      </c>
      <c r="AF5674" s="1"/>
      <c r="AG5674" s="1"/>
    </row>
    <row r="5675" ht="15.75" customHeight="1">
      <c r="A5675" s="1"/>
      <c r="B5675" s="1"/>
      <c r="C5675" s="1"/>
      <c r="D5675" s="1"/>
      <c r="E5675" s="1"/>
      <c r="F5675" s="1"/>
      <c r="G5675" s="1"/>
      <c r="H5675" s="1"/>
      <c r="I5675" s="1"/>
      <c r="J5675" s="1"/>
      <c r="K5675" s="89" t="s">
        <v>8828</v>
      </c>
      <c r="L5675" s="89" t="str">
        <f>D258</f>
        <v>C2b1</v>
      </c>
      <c r="M5675" s="89"/>
      <c r="N5675" s="89" t="s">
        <v>8829</v>
      </c>
      <c r="O5675" s="89">
        <v>1.8263926E7</v>
      </c>
      <c r="P5675" s="89">
        <v>1.6152046E7</v>
      </c>
      <c r="Q5675" s="89" t="s">
        <v>879</v>
      </c>
      <c r="AF5675" s="1"/>
      <c r="AG5675" s="1"/>
    </row>
    <row r="5676" ht="15.75" customHeight="1">
      <c r="A5676" s="1"/>
      <c r="B5676" s="1"/>
      <c r="C5676" s="1"/>
      <c r="D5676" s="1"/>
      <c r="E5676" s="1"/>
      <c r="F5676" s="1"/>
      <c r="G5676" s="1"/>
      <c r="H5676" s="1"/>
      <c r="I5676" s="1"/>
      <c r="J5676" s="1"/>
      <c r="K5676" s="89" t="s">
        <v>8830</v>
      </c>
      <c r="L5676" s="89" t="str">
        <f>D258</f>
        <v>C2b1</v>
      </c>
      <c r="M5676" s="89" t="s">
        <v>8831</v>
      </c>
      <c r="N5676" s="89" t="s">
        <v>8832</v>
      </c>
      <c r="O5676" s="92">
        <v>1.887304E7</v>
      </c>
      <c r="P5676" s="92">
        <v>1.676116E7</v>
      </c>
      <c r="Q5676" s="89" t="s">
        <v>838</v>
      </c>
      <c r="AF5676" s="1"/>
      <c r="AG5676" s="1"/>
    </row>
    <row r="5677" ht="15.75" customHeight="1">
      <c r="A5677" s="1"/>
      <c r="B5677" s="1"/>
      <c r="C5677" s="1"/>
      <c r="D5677" s="1"/>
      <c r="E5677" s="1"/>
      <c r="F5677" s="1"/>
      <c r="G5677" s="1"/>
      <c r="H5677" s="1"/>
      <c r="I5677" s="1"/>
      <c r="J5677" s="1"/>
      <c r="K5677" s="89" t="s">
        <v>8831</v>
      </c>
      <c r="L5677" s="89" t="str">
        <f>D258</f>
        <v>C2b1</v>
      </c>
      <c r="M5677" s="89" t="s">
        <v>8830</v>
      </c>
      <c r="N5677" s="89" t="s">
        <v>8832</v>
      </c>
      <c r="O5677" s="92">
        <v>1.887304E7</v>
      </c>
      <c r="P5677" s="92">
        <v>1.676116E7</v>
      </c>
      <c r="Q5677" s="89" t="s">
        <v>838</v>
      </c>
      <c r="AF5677" s="1"/>
      <c r="AG5677" s="1"/>
    </row>
    <row r="5678" ht="15.75" customHeight="1">
      <c r="A5678" s="1"/>
      <c r="B5678" s="1"/>
      <c r="C5678" s="1"/>
      <c r="D5678" s="1"/>
      <c r="E5678" s="1"/>
      <c r="F5678" s="1"/>
      <c r="G5678" s="1"/>
      <c r="H5678" s="1"/>
      <c r="I5678" s="1"/>
      <c r="J5678" s="1"/>
      <c r="K5678" s="89" t="s">
        <v>8833</v>
      </c>
      <c r="L5678" s="89" t="str">
        <f>D258</f>
        <v>C2b1</v>
      </c>
      <c r="M5678" s="89"/>
      <c r="N5678" s="89" t="s">
        <v>8834</v>
      </c>
      <c r="O5678" s="92">
        <v>1.8951766E7</v>
      </c>
      <c r="P5678" s="92">
        <v>1.6839886E7</v>
      </c>
      <c r="Q5678" s="89" t="s">
        <v>838</v>
      </c>
      <c r="AF5678" s="1"/>
      <c r="AG5678" s="1"/>
    </row>
    <row r="5679" ht="15.75" customHeight="1">
      <c r="A5679" s="1"/>
      <c r="B5679" s="1"/>
      <c r="C5679" s="1"/>
      <c r="D5679" s="1"/>
      <c r="E5679" s="1"/>
      <c r="F5679" s="1"/>
      <c r="G5679" s="1"/>
      <c r="H5679" s="1"/>
      <c r="I5679" s="1"/>
      <c r="J5679" s="1"/>
      <c r="K5679" s="89" t="s">
        <v>8835</v>
      </c>
      <c r="L5679" s="89" t="str">
        <f>D258</f>
        <v>C2b1</v>
      </c>
      <c r="M5679" s="89" t="s">
        <v>8836</v>
      </c>
      <c r="N5679" s="89" t="s">
        <v>8837</v>
      </c>
      <c r="O5679" s="92">
        <v>1.9307451E7</v>
      </c>
      <c r="P5679" s="92">
        <v>1.7195571E7</v>
      </c>
      <c r="Q5679" s="89" t="s">
        <v>802</v>
      </c>
      <c r="AF5679" s="1"/>
      <c r="AG5679" s="1"/>
    </row>
    <row r="5680" ht="15.75" customHeight="1">
      <c r="A5680" s="1"/>
      <c r="B5680" s="1"/>
      <c r="C5680" s="1"/>
      <c r="D5680" s="1"/>
      <c r="E5680" s="1"/>
      <c r="F5680" s="1"/>
      <c r="G5680" s="1"/>
      <c r="H5680" s="1"/>
      <c r="I5680" s="1"/>
      <c r="J5680" s="1"/>
      <c r="K5680" s="89" t="s">
        <v>8836</v>
      </c>
      <c r="L5680" s="89" t="str">
        <f>D258</f>
        <v>C2b1</v>
      </c>
      <c r="M5680" s="89" t="s">
        <v>8835</v>
      </c>
      <c r="N5680" s="89" t="s">
        <v>8837</v>
      </c>
      <c r="O5680" s="92">
        <v>1.9307451E7</v>
      </c>
      <c r="P5680" s="92">
        <v>1.7195571E7</v>
      </c>
      <c r="Q5680" s="89" t="s">
        <v>802</v>
      </c>
      <c r="AF5680" s="1"/>
      <c r="AG5680" s="1"/>
    </row>
    <row r="5681" ht="15.75" customHeight="1">
      <c r="A5681" s="1"/>
      <c r="B5681" s="1"/>
      <c r="C5681" s="1"/>
      <c r="D5681" s="1"/>
      <c r="E5681" s="1"/>
      <c r="F5681" s="1"/>
      <c r="G5681" s="1"/>
      <c r="H5681" s="1"/>
      <c r="I5681" s="1"/>
      <c r="J5681" s="1"/>
      <c r="K5681" s="89" t="s">
        <v>8838</v>
      </c>
      <c r="L5681" s="89" t="str">
        <f>D258</f>
        <v>C2b1</v>
      </c>
      <c r="M5681" s="89" t="s">
        <v>8839</v>
      </c>
      <c r="N5681" s="89" t="s">
        <v>8840</v>
      </c>
      <c r="O5681" s="92">
        <v>1.9330394E7</v>
      </c>
      <c r="P5681" s="92">
        <v>1.7218514E7</v>
      </c>
      <c r="Q5681" s="89" t="s">
        <v>886</v>
      </c>
      <c r="AF5681" s="1"/>
      <c r="AG5681" s="1"/>
    </row>
    <row r="5682" ht="15.75" customHeight="1">
      <c r="A5682" s="1"/>
      <c r="B5682" s="1"/>
      <c r="C5682" s="1"/>
      <c r="D5682" s="1"/>
      <c r="E5682" s="1"/>
      <c r="F5682" s="1"/>
      <c r="G5682" s="1"/>
      <c r="H5682" s="1"/>
      <c r="I5682" s="1"/>
      <c r="J5682" s="1"/>
      <c r="K5682" s="89" t="s">
        <v>8839</v>
      </c>
      <c r="L5682" s="89" t="str">
        <f>D258</f>
        <v>C2b1</v>
      </c>
      <c r="M5682" s="89" t="s">
        <v>8838</v>
      </c>
      <c r="N5682" s="89" t="s">
        <v>8840</v>
      </c>
      <c r="O5682" s="92">
        <v>1.9330394E7</v>
      </c>
      <c r="P5682" s="92">
        <v>1.7218514E7</v>
      </c>
      <c r="Q5682" s="89" t="s">
        <v>886</v>
      </c>
      <c r="AF5682" s="1"/>
      <c r="AG5682" s="1"/>
    </row>
    <row r="5683" ht="15.75" customHeight="1">
      <c r="A5683" s="1"/>
      <c r="B5683" s="1"/>
      <c r="C5683" s="1"/>
      <c r="D5683" s="1"/>
      <c r="E5683" s="1"/>
      <c r="F5683" s="1"/>
      <c r="G5683" s="1"/>
      <c r="H5683" s="1"/>
      <c r="I5683" s="1"/>
      <c r="J5683" s="1"/>
      <c r="K5683" s="89" t="s">
        <v>8841</v>
      </c>
      <c r="L5683" s="89" t="str">
        <f>D258</f>
        <v>C2b1</v>
      </c>
      <c r="M5683" s="89"/>
      <c r="N5683" s="89" t="s">
        <v>8842</v>
      </c>
      <c r="O5683" s="92">
        <v>2.2663747E7</v>
      </c>
      <c r="P5683" s="92">
        <v>2.0501861E7</v>
      </c>
      <c r="Q5683" s="89" t="s">
        <v>810</v>
      </c>
      <c r="AF5683" s="1"/>
      <c r="AG5683" s="1"/>
    </row>
    <row r="5684" ht="15.75" customHeight="1">
      <c r="A5684" s="1"/>
      <c r="B5684" s="1"/>
      <c r="C5684" s="1"/>
      <c r="D5684" s="1"/>
      <c r="E5684" s="1"/>
      <c r="F5684" s="1"/>
      <c r="G5684" s="1"/>
      <c r="H5684" s="1"/>
      <c r="I5684" s="1"/>
      <c r="J5684" s="1"/>
      <c r="K5684" s="89" t="s">
        <v>8843</v>
      </c>
      <c r="L5684" s="89" t="str">
        <f>D258</f>
        <v>C2b1</v>
      </c>
      <c r="M5684" s="89" t="s">
        <v>8844</v>
      </c>
      <c r="N5684" s="89" t="s">
        <v>8845</v>
      </c>
      <c r="O5684" s="92">
        <v>2.2762746E7</v>
      </c>
      <c r="P5684" s="92">
        <v>2.060086E7</v>
      </c>
      <c r="Q5684" s="89" t="s">
        <v>822</v>
      </c>
      <c r="AF5684" s="1"/>
      <c r="AG5684" s="1"/>
    </row>
    <row r="5685" ht="15.75" customHeight="1">
      <c r="A5685" s="1"/>
      <c r="B5685" s="1"/>
      <c r="C5685" s="1"/>
      <c r="D5685" s="1"/>
      <c r="E5685" s="1"/>
      <c r="F5685" s="1"/>
      <c r="G5685" s="1"/>
      <c r="H5685" s="1"/>
      <c r="I5685" s="1"/>
      <c r="J5685" s="1"/>
      <c r="K5685" s="89" t="s">
        <v>8844</v>
      </c>
      <c r="L5685" s="89" t="str">
        <f>D258</f>
        <v>C2b1</v>
      </c>
      <c r="M5685" s="89" t="s">
        <v>8843</v>
      </c>
      <c r="N5685" s="89" t="s">
        <v>8845</v>
      </c>
      <c r="O5685" s="92">
        <v>2.2762746E7</v>
      </c>
      <c r="P5685" s="92">
        <v>2.060086E7</v>
      </c>
      <c r="Q5685" s="89" t="s">
        <v>822</v>
      </c>
      <c r="AF5685" s="1"/>
      <c r="AG5685" s="1"/>
    </row>
    <row r="5686" ht="15.75" customHeight="1">
      <c r="A5686" s="1"/>
      <c r="B5686" s="1"/>
      <c r="C5686" s="1"/>
      <c r="D5686" s="1"/>
      <c r="E5686" s="1"/>
      <c r="F5686" s="1"/>
      <c r="G5686" s="1"/>
      <c r="H5686" s="1"/>
      <c r="I5686" s="1"/>
      <c r="J5686" s="1"/>
      <c r="K5686" s="89" t="s">
        <v>8846</v>
      </c>
      <c r="L5686" s="89" t="str">
        <f>D258</f>
        <v>C2b1</v>
      </c>
      <c r="M5686" s="89"/>
      <c r="N5686" s="89" t="s">
        <v>8847</v>
      </c>
      <c r="O5686" s="89">
        <v>2.2808725E7</v>
      </c>
      <c r="P5686" s="89">
        <v>2.0646839E7</v>
      </c>
      <c r="Q5686" s="89" t="s">
        <v>810</v>
      </c>
      <c r="AF5686" s="1"/>
      <c r="AG5686" s="1"/>
    </row>
    <row r="5687" ht="15.75" customHeight="1">
      <c r="A5687" s="1"/>
      <c r="B5687" s="1"/>
      <c r="C5687" s="1"/>
      <c r="D5687" s="1"/>
      <c r="E5687" s="1"/>
      <c r="F5687" s="1"/>
      <c r="G5687" s="1"/>
      <c r="H5687" s="1"/>
      <c r="I5687" s="1"/>
      <c r="J5687" s="1"/>
      <c r="K5687" s="89" t="s">
        <v>8848</v>
      </c>
      <c r="L5687" s="89" t="str">
        <f>D258</f>
        <v>C2b1</v>
      </c>
      <c r="M5687" s="89" t="s">
        <v>8849</v>
      </c>
      <c r="N5687" s="89" t="s">
        <v>8850</v>
      </c>
      <c r="O5687" s="92">
        <v>2.2872584E7</v>
      </c>
      <c r="P5687" s="92">
        <v>2.0710698E7</v>
      </c>
      <c r="Q5687" s="89" t="s">
        <v>810</v>
      </c>
      <c r="AF5687" s="1"/>
      <c r="AG5687" s="1"/>
    </row>
    <row r="5688" ht="15.75" customHeight="1">
      <c r="A5688" s="1"/>
      <c r="B5688" s="1"/>
      <c r="C5688" s="1"/>
      <c r="D5688" s="1"/>
      <c r="E5688" s="1"/>
      <c r="F5688" s="1"/>
      <c r="G5688" s="1"/>
      <c r="H5688" s="1"/>
      <c r="I5688" s="1"/>
      <c r="J5688" s="1"/>
      <c r="K5688" s="89" t="s">
        <v>8849</v>
      </c>
      <c r="L5688" s="89" t="str">
        <f>D258</f>
        <v>C2b1</v>
      </c>
      <c r="M5688" s="89" t="s">
        <v>8848</v>
      </c>
      <c r="N5688" s="89" t="s">
        <v>8850</v>
      </c>
      <c r="O5688" s="92">
        <v>2.2872584E7</v>
      </c>
      <c r="P5688" s="92">
        <v>2.0710698E7</v>
      </c>
      <c r="Q5688" s="89" t="s">
        <v>810</v>
      </c>
      <c r="AF5688" s="1"/>
      <c r="AG5688" s="1"/>
    </row>
    <row r="5689" ht="15.75" customHeight="1">
      <c r="A5689" s="1"/>
      <c r="B5689" s="1"/>
      <c r="C5689" s="1"/>
      <c r="D5689" s="1"/>
      <c r="E5689" s="1"/>
      <c r="F5689" s="1"/>
      <c r="G5689" s="1"/>
      <c r="H5689" s="1"/>
      <c r="I5689" s="1"/>
      <c r="J5689" s="1"/>
      <c r="K5689" s="89" t="s">
        <v>8851</v>
      </c>
      <c r="L5689" s="89" t="str">
        <f>D258</f>
        <v>C2b1</v>
      </c>
      <c r="M5689" s="89"/>
      <c r="N5689" s="89" t="s">
        <v>8852</v>
      </c>
      <c r="O5689" s="92">
        <v>2.2976194E7</v>
      </c>
      <c r="P5689" s="92">
        <v>2.0814308E7</v>
      </c>
      <c r="Q5689" s="89" t="s">
        <v>802</v>
      </c>
      <c r="AF5689" s="1"/>
      <c r="AG5689" s="1"/>
    </row>
    <row r="5690" ht="15.75" customHeight="1">
      <c r="A5690" s="1"/>
      <c r="B5690" s="1"/>
      <c r="C5690" s="1"/>
      <c r="D5690" s="1"/>
      <c r="E5690" s="1"/>
      <c r="F5690" s="1"/>
      <c r="G5690" s="1"/>
      <c r="H5690" s="1"/>
      <c r="I5690" s="1"/>
      <c r="J5690" s="1"/>
      <c r="K5690" s="89" t="s">
        <v>8853</v>
      </c>
      <c r="L5690" s="89" t="str">
        <f>D258</f>
        <v>C2b1</v>
      </c>
      <c r="M5690" s="89"/>
      <c r="N5690" s="89" t="s">
        <v>8854</v>
      </c>
      <c r="O5690" s="92">
        <v>2.3059222E7</v>
      </c>
      <c r="P5690" s="92">
        <v>2.0897336E7</v>
      </c>
      <c r="Q5690" s="89" t="s">
        <v>802</v>
      </c>
      <c r="AF5690" s="1"/>
      <c r="AG5690" s="1"/>
    </row>
    <row r="5691" ht="15.75" customHeight="1">
      <c r="A5691" s="1"/>
      <c r="B5691" s="1"/>
      <c r="C5691" s="1"/>
      <c r="D5691" s="1"/>
      <c r="E5691" s="1"/>
      <c r="F5691" s="1"/>
      <c r="G5691" s="1"/>
      <c r="H5691" s="1"/>
      <c r="I5691" s="1"/>
      <c r="J5691" s="1"/>
      <c r="K5691" s="89" t="s">
        <v>8855</v>
      </c>
      <c r="L5691" s="89" t="str">
        <f>D258</f>
        <v>C2b1</v>
      </c>
      <c r="M5691" s="89"/>
      <c r="N5691" s="89" t="s">
        <v>8856</v>
      </c>
      <c r="O5691" s="89">
        <v>2.3087306E7</v>
      </c>
      <c r="P5691" s="89">
        <v>2.092542E7</v>
      </c>
      <c r="Q5691" s="89" t="s">
        <v>813</v>
      </c>
      <c r="AF5691" s="1"/>
      <c r="AG5691" s="1"/>
    </row>
    <row r="5692" ht="15.75" customHeight="1">
      <c r="A5692" s="1"/>
      <c r="B5692" s="1"/>
      <c r="C5692" s="1"/>
      <c r="D5692" s="1"/>
      <c r="E5692" s="1"/>
      <c r="F5692" s="1"/>
      <c r="G5692" s="1"/>
      <c r="H5692" s="1"/>
      <c r="I5692" s="1"/>
      <c r="J5692" s="1"/>
      <c r="K5692" s="89" t="s">
        <v>8857</v>
      </c>
      <c r="L5692" s="89" t="str">
        <f>D258</f>
        <v>C2b1</v>
      </c>
      <c r="M5692" s="89"/>
      <c r="N5692" s="89" t="s">
        <v>8858</v>
      </c>
      <c r="O5692" s="92">
        <v>2.3135044E7</v>
      </c>
      <c r="P5692" s="92">
        <v>2.0973158E7</v>
      </c>
      <c r="Q5692" s="89" t="s">
        <v>813</v>
      </c>
      <c r="AF5692" s="1"/>
      <c r="AG5692" s="1"/>
    </row>
    <row r="5693" ht="15.75" customHeight="1">
      <c r="A5693" s="1"/>
      <c r="B5693" s="1"/>
      <c r="C5693" s="1"/>
      <c r="D5693" s="1"/>
      <c r="E5693" s="1"/>
      <c r="F5693" s="1"/>
      <c r="G5693" s="1"/>
      <c r="H5693" s="1"/>
      <c r="I5693" s="1"/>
      <c r="J5693" s="1"/>
      <c r="K5693" s="89" t="s">
        <v>8859</v>
      </c>
      <c r="L5693" s="89" t="str">
        <f>D258</f>
        <v>C2b1</v>
      </c>
      <c r="M5693" s="89"/>
      <c r="N5693" s="89" t="s">
        <v>8860</v>
      </c>
      <c r="O5693" s="92">
        <v>2.3301174E7</v>
      </c>
      <c r="P5693" s="92">
        <v>2.1139288E7</v>
      </c>
      <c r="Q5693" s="89" t="s">
        <v>802</v>
      </c>
      <c r="AF5693" s="1"/>
      <c r="AG5693" s="1"/>
    </row>
    <row r="5694" ht="15.75" customHeight="1">
      <c r="A5694" s="1"/>
      <c r="B5694" s="1"/>
      <c r="C5694" s="1"/>
      <c r="D5694" s="1"/>
      <c r="E5694" s="1"/>
      <c r="F5694" s="1"/>
      <c r="G5694" s="1"/>
      <c r="H5694" s="1"/>
      <c r="I5694" s="1"/>
      <c r="J5694" s="1"/>
      <c r="K5694" s="89" t="s">
        <v>8861</v>
      </c>
      <c r="L5694" s="89" t="str">
        <f>D258</f>
        <v>C2b1</v>
      </c>
      <c r="M5694" s="89"/>
      <c r="N5694" s="89" t="s">
        <v>8862</v>
      </c>
      <c r="O5694" s="89">
        <v>2.8629677E7</v>
      </c>
      <c r="P5694" s="89">
        <v>2.648353E7</v>
      </c>
      <c r="Q5694" s="89" t="s">
        <v>802</v>
      </c>
      <c r="AF5694" s="1"/>
      <c r="AG5694" s="1"/>
    </row>
    <row r="5695" ht="15.75" customHeight="1">
      <c r="A5695" s="1"/>
      <c r="B5695" s="1"/>
      <c r="C5695" s="1"/>
      <c r="D5695" s="1"/>
      <c r="E5695" s="1"/>
      <c r="F5695" s="1"/>
      <c r="G5695" s="1"/>
      <c r="H5695" s="1"/>
      <c r="I5695" s="1"/>
      <c r="J5695" s="1"/>
      <c r="K5695" s="89" t="s">
        <v>8863</v>
      </c>
      <c r="L5695" s="89" t="str">
        <f>D258</f>
        <v>C2b1</v>
      </c>
      <c r="M5695" s="89"/>
      <c r="N5695" s="89" t="s">
        <v>8864</v>
      </c>
      <c r="O5695" s="89">
        <v>2.872175E7</v>
      </c>
      <c r="P5695" s="89">
        <v>2.6575603E7</v>
      </c>
      <c r="Q5695" s="89" t="s">
        <v>802</v>
      </c>
      <c r="AF5695" s="1"/>
      <c r="AG5695" s="1"/>
    </row>
    <row r="5696" ht="15.75" customHeight="1">
      <c r="A5696" s="1"/>
      <c r="B5696" s="1"/>
      <c r="C5696" s="1"/>
      <c r="D5696" s="1"/>
      <c r="E5696" s="1"/>
      <c r="F5696" s="1"/>
      <c r="G5696" s="1"/>
      <c r="H5696" s="1"/>
      <c r="I5696" s="1"/>
      <c r="J5696" s="1"/>
      <c r="K5696" s="89" t="s">
        <v>8865</v>
      </c>
      <c r="L5696" s="89" t="str">
        <f>D258</f>
        <v>C2b1</v>
      </c>
      <c r="M5696" s="89"/>
      <c r="N5696" s="89" t="s">
        <v>8866</v>
      </c>
      <c r="O5696" s="92">
        <v>7072858.0</v>
      </c>
      <c r="P5696" s="92">
        <v>7204817.0</v>
      </c>
      <c r="Q5696" s="89" t="s">
        <v>879</v>
      </c>
      <c r="AF5696" s="1"/>
      <c r="AG5696" s="1"/>
    </row>
    <row r="5697" ht="15.75" customHeight="1">
      <c r="A5697" s="1"/>
      <c r="B5697" s="1"/>
      <c r="C5697" s="1"/>
      <c r="D5697" s="1"/>
      <c r="E5697" s="1"/>
      <c r="F5697" s="1"/>
      <c r="G5697" s="1"/>
      <c r="H5697" s="1"/>
      <c r="I5697" s="1"/>
      <c r="J5697" s="1"/>
      <c r="K5697" s="89" t="s">
        <v>8867</v>
      </c>
      <c r="L5697" s="89" t="str">
        <f>D258</f>
        <v>C2b1</v>
      </c>
      <c r="M5697" s="89"/>
      <c r="N5697" s="89" t="s">
        <v>8868</v>
      </c>
      <c r="O5697" s="92">
        <v>7396970.0</v>
      </c>
      <c r="P5697" s="92">
        <v>7528929.0</v>
      </c>
      <c r="Q5697" s="89" t="s">
        <v>917</v>
      </c>
      <c r="AF5697" s="1"/>
      <c r="AG5697" s="1"/>
    </row>
    <row r="5698" ht="15.75" customHeight="1">
      <c r="A5698" s="1"/>
      <c r="B5698" s="1"/>
      <c r="C5698" s="1"/>
      <c r="D5698" s="1"/>
      <c r="E5698" s="1"/>
      <c r="F5698" s="1"/>
      <c r="G5698" s="1"/>
      <c r="H5698" s="1"/>
      <c r="I5698" s="1"/>
      <c r="J5698" s="1"/>
      <c r="K5698" s="89" t="s">
        <v>8869</v>
      </c>
      <c r="L5698" s="89" t="str">
        <f>D258</f>
        <v>C2b1</v>
      </c>
      <c r="M5698" s="89" t="s">
        <v>8870</v>
      </c>
      <c r="N5698" s="89" t="s">
        <v>8871</v>
      </c>
      <c r="O5698" s="92">
        <v>7527930.0</v>
      </c>
      <c r="P5698" s="92">
        <v>7659889.0</v>
      </c>
      <c r="Q5698" s="89" t="s">
        <v>810</v>
      </c>
      <c r="AF5698" s="1"/>
      <c r="AG5698" s="1"/>
    </row>
    <row r="5699" ht="15.75" customHeight="1">
      <c r="A5699" s="1"/>
      <c r="B5699" s="1"/>
      <c r="C5699" s="1"/>
      <c r="D5699" s="1"/>
      <c r="E5699" s="1"/>
      <c r="F5699" s="1"/>
      <c r="G5699" s="1"/>
      <c r="H5699" s="1"/>
      <c r="I5699" s="1"/>
      <c r="J5699" s="1"/>
      <c r="K5699" s="89" t="s">
        <v>8870</v>
      </c>
      <c r="L5699" s="89" t="str">
        <f>D258</f>
        <v>C2b1</v>
      </c>
      <c r="M5699" s="89" t="s">
        <v>8869</v>
      </c>
      <c r="N5699" s="89" t="s">
        <v>8871</v>
      </c>
      <c r="O5699" s="92">
        <v>7527930.0</v>
      </c>
      <c r="P5699" s="92">
        <v>7659889.0</v>
      </c>
      <c r="Q5699" s="89" t="s">
        <v>810</v>
      </c>
      <c r="AF5699" s="1"/>
      <c r="AG5699" s="1"/>
    </row>
    <row r="5700" ht="15.75" customHeight="1">
      <c r="A5700" s="1"/>
      <c r="B5700" s="1"/>
      <c r="C5700" s="1"/>
      <c r="D5700" s="1"/>
      <c r="E5700" s="1"/>
      <c r="F5700" s="1"/>
      <c r="G5700" s="1"/>
      <c r="H5700" s="1"/>
      <c r="I5700" s="1"/>
      <c r="J5700" s="1"/>
      <c r="K5700" s="89" t="s">
        <v>8872</v>
      </c>
      <c r="L5700" s="89" t="str">
        <f>D258</f>
        <v>C2b1</v>
      </c>
      <c r="M5700" s="89"/>
      <c r="N5700" s="89" t="s">
        <v>8873</v>
      </c>
      <c r="O5700" s="92">
        <v>7587362.0</v>
      </c>
      <c r="P5700" s="92">
        <v>7719321.0</v>
      </c>
      <c r="Q5700" s="89" t="s">
        <v>912</v>
      </c>
      <c r="AF5700" s="1"/>
      <c r="AG5700" s="1"/>
    </row>
    <row r="5701" ht="15.75" customHeight="1">
      <c r="A5701" s="1"/>
      <c r="B5701" s="1"/>
      <c r="C5701" s="1"/>
      <c r="D5701" s="1"/>
      <c r="E5701" s="1"/>
      <c r="F5701" s="1"/>
      <c r="G5701" s="1"/>
      <c r="H5701" s="1"/>
      <c r="I5701" s="1"/>
      <c r="J5701" s="1"/>
      <c r="K5701" s="89" t="s">
        <v>8874</v>
      </c>
      <c r="L5701" s="89" t="str">
        <f>D258</f>
        <v>C2b1</v>
      </c>
      <c r="M5701" s="89" t="s">
        <v>8875</v>
      </c>
      <c r="N5701" s="89" t="s">
        <v>8876</v>
      </c>
      <c r="O5701" s="92">
        <v>8068842.0</v>
      </c>
      <c r="P5701" s="92">
        <v>8200801.0</v>
      </c>
      <c r="Q5701" s="89" t="s">
        <v>813</v>
      </c>
      <c r="AF5701" s="1"/>
      <c r="AG5701" s="1"/>
    </row>
    <row r="5702" ht="15.75" customHeight="1">
      <c r="A5702" s="1"/>
      <c r="B5702" s="1"/>
      <c r="C5702" s="1"/>
      <c r="D5702" s="1"/>
      <c r="E5702" s="1"/>
      <c r="F5702" s="1"/>
      <c r="G5702" s="1"/>
      <c r="H5702" s="1"/>
      <c r="I5702" s="1"/>
      <c r="J5702" s="1"/>
      <c r="K5702" s="89" t="s">
        <v>8875</v>
      </c>
      <c r="L5702" s="89" t="str">
        <f>D258</f>
        <v>C2b1</v>
      </c>
      <c r="M5702" s="89" t="s">
        <v>8874</v>
      </c>
      <c r="N5702" s="89" t="s">
        <v>8876</v>
      </c>
      <c r="O5702" s="92">
        <v>8068842.0</v>
      </c>
      <c r="P5702" s="92">
        <v>8200801.0</v>
      </c>
      <c r="Q5702" s="89" t="s">
        <v>813</v>
      </c>
      <c r="AF5702" s="1"/>
      <c r="AG5702" s="1"/>
    </row>
    <row r="5703" ht="15.75" customHeight="1">
      <c r="A5703" s="1"/>
      <c r="B5703" s="1"/>
      <c r="C5703" s="1"/>
      <c r="D5703" s="1"/>
      <c r="E5703" s="1"/>
      <c r="F5703" s="1"/>
      <c r="G5703" s="1"/>
      <c r="H5703" s="1"/>
      <c r="I5703" s="1"/>
      <c r="J5703" s="1"/>
      <c r="K5703" s="89" t="s">
        <v>8877</v>
      </c>
      <c r="L5703" s="89" t="str">
        <f>D258</f>
        <v>C2b1</v>
      </c>
      <c r="M5703" s="89"/>
      <c r="N5703" s="89" t="s">
        <v>8878</v>
      </c>
      <c r="O5703" s="92">
        <v>8116284.0</v>
      </c>
      <c r="P5703" s="92">
        <v>8248243.0</v>
      </c>
      <c r="Q5703" s="89" t="s">
        <v>810</v>
      </c>
      <c r="AF5703" s="1"/>
      <c r="AG5703" s="1"/>
    </row>
    <row r="5704" ht="15.75" customHeight="1">
      <c r="A5704" s="1"/>
      <c r="B5704" s="1"/>
      <c r="C5704" s="1"/>
      <c r="D5704" s="1"/>
      <c r="E5704" s="1"/>
      <c r="F5704" s="1"/>
      <c r="G5704" s="1"/>
      <c r="H5704" s="1"/>
      <c r="I5704" s="1"/>
      <c r="J5704" s="1"/>
      <c r="K5704" s="89" t="s">
        <v>8879</v>
      </c>
      <c r="L5704" s="89" t="str">
        <f>D258</f>
        <v>C2b1</v>
      </c>
      <c r="M5704" s="89"/>
      <c r="N5704" s="89" t="s">
        <v>8880</v>
      </c>
      <c r="O5704" s="92">
        <v>8307194.0</v>
      </c>
      <c r="P5704" s="92">
        <v>8439153.0</v>
      </c>
      <c r="Q5704" s="89" t="s">
        <v>810</v>
      </c>
      <c r="AF5704" s="1"/>
      <c r="AG5704" s="1"/>
    </row>
    <row r="5705" ht="15.75" customHeight="1">
      <c r="A5705" s="1"/>
      <c r="B5705" s="1"/>
      <c r="C5705" s="1"/>
      <c r="D5705" s="1"/>
      <c r="E5705" s="1"/>
      <c r="F5705" s="1"/>
      <c r="G5705" s="1"/>
      <c r="H5705" s="1"/>
      <c r="I5705" s="1"/>
      <c r="J5705" s="1"/>
      <c r="K5705" s="89" t="s">
        <v>8881</v>
      </c>
      <c r="L5705" s="89" t="str">
        <f>D258</f>
        <v>C2b1</v>
      </c>
      <c r="M5705" s="89"/>
      <c r="N5705" s="89" t="s">
        <v>8882</v>
      </c>
      <c r="O5705" s="92">
        <v>8392756.0</v>
      </c>
      <c r="P5705" s="92">
        <v>8524715.0</v>
      </c>
      <c r="Q5705" s="89" t="s">
        <v>822</v>
      </c>
      <c r="AF5705" s="1"/>
      <c r="AG5705" s="1"/>
    </row>
    <row r="5706" ht="15.75" customHeight="1">
      <c r="A5706" s="1"/>
      <c r="B5706" s="1"/>
      <c r="C5706" s="1"/>
      <c r="D5706" s="1"/>
      <c r="E5706" s="1"/>
      <c r="F5706" s="1"/>
      <c r="G5706" s="1"/>
      <c r="H5706" s="1"/>
      <c r="I5706" s="1"/>
      <c r="J5706" s="1"/>
      <c r="K5706" s="89" t="s">
        <v>8883</v>
      </c>
      <c r="L5706" s="89" t="str">
        <f>D258</f>
        <v>C2b1</v>
      </c>
      <c r="M5706" s="89"/>
      <c r="N5706" s="89" t="s">
        <v>8884</v>
      </c>
      <c r="O5706" s="92">
        <v>8463332.0</v>
      </c>
      <c r="P5706" s="92">
        <v>8595291.0</v>
      </c>
      <c r="Q5706" s="89" t="s">
        <v>838</v>
      </c>
      <c r="AF5706" s="1"/>
      <c r="AG5706" s="1"/>
    </row>
    <row r="5707" ht="15.75" customHeight="1">
      <c r="A5707" s="1"/>
      <c r="B5707" s="1"/>
      <c r="C5707" s="1"/>
      <c r="D5707" s="1"/>
      <c r="E5707" s="1"/>
      <c r="F5707" s="1"/>
      <c r="G5707" s="1"/>
      <c r="H5707" s="1"/>
      <c r="I5707" s="1"/>
      <c r="J5707" s="1"/>
      <c r="K5707" s="89" t="s">
        <v>8885</v>
      </c>
      <c r="L5707" s="89" t="str">
        <f>D258</f>
        <v>C2b1</v>
      </c>
      <c r="M5707" s="89"/>
      <c r="N5707" s="89" t="s">
        <v>8886</v>
      </c>
      <c r="O5707" s="92">
        <v>8483638.0</v>
      </c>
      <c r="P5707" s="92">
        <v>8615597.0</v>
      </c>
      <c r="Q5707" s="89" t="s">
        <v>810</v>
      </c>
      <c r="AF5707" s="1"/>
      <c r="AG5707" s="1"/>
    </row>
    <row r="5708" ht="15.75" customHeight="1">
      <c r="A5708" s="1"/>
      <c r="B5708" s="1"/>
      <c r="C5708" s="1"/>
      <c r="D5708" s="1"/>
      <c r="E5708" s="1"/>
      <c r="F5708" s="1"/>
      <c r="G5708" s="1"/>
      <c r="H5708" s="1"/>
      <c r="I5708" s="1"/>
      <c r="J5708" s="1"/>
      <c r="K5708" s="89" t="s">
        <v>8887</v>
      </c>
      <c r="L5708" s="89" t="str">
        <f>D258</f>
        <v>C2b1</v>
      </c>
      <c r="M5708" s="89"/>
      <c r="N5708" s="89" t="s">
        <v>8888</v>
      </c>
      <c r="O5708" s="92">
        <v>8511769.0</v>
      </c>
      <c r="P5708" s="92">
        <v>8643728.0</v>
      </c>
      <c r="Q5708" s="89" t="s">
        <v>838</v>
      </c>
      <c r="AF5708" s="1"/>
      <c r="AG5708" s="1"/>
    </row>
    <row r="5709" ht="15.75" customHeight="1">
      <c r="A5709" s="1"/>
      <c r="B5709" s="1"/>
      <c r="C5709" s="1"/>
      <c r="D5709" s="1"/>
      <c r="E5709" s="1"/>
      <c r="F5709" s="1"/>
      <c r="G5709" s="1"/>
      <c r="H5709" s="1"/>
      <c r="I5709" s="1"/>
      <c r="J5709" s="1"/>
      <c r="K5709" s="89" t="s">
        <v>8889</v>
      </c>
      <c r="L5709" s="89" t="str">
        <f>D258</f>
        <v>C2b1</v>
      </c>
      <c r="M5709" s="89"/>
      <c r="N5709" s="89" t="s">
        <v>8890</v>
      </c>
      <c r="O5709" s="92">
        <v>8578180.0</v>
      </c>
      <c r="P5709" s="92">
        <v>8710139.0</v>
      </c>
      <c r="Q5709" s="89" t="s">
        <v>917</v>
      </c>
      <c r="AF5709" s="1"/>
      <c r="AG5709" s="1"/>
    </row>
    <row r="5710" ht="15.75" customHeight="1">
      <c r="A5710" s="1"/>
      <c r="B5710" s="1"/>
      <c r="C5710" s="1"/>
      <c r="D5710" s="1"/>
      <c r="E5710" s="1"/>
      <c r="F5710" s="1"/>
      <c r="G5710" s="1"/>
      <c r="H5710" s="1"/>
      <c r="I5710" s="1"/>
      <c r="J5710" s="1"/>
      <c r="K5710" s="89" t="s">
        <v>8891</v>
      </c>
      <c r="L5710" s="89" t="str">
        <f>D258</f>
        <v>C2b1</v>
      </c>
      <c r="M5710" s="89"/>
      <c r="N5710" s="89" t="s">
        <v>8892</v>
      </c>
      <c r="O5710" s="92">
        <v>8688351.0</v>
      </c>
      <c r="P5710" s="92">
        <v>8820310.0</v>
      </c>
      <c r="Q5710" s="89" t="s">
        <v>810</v>
      </c>
      <c r="AF5710" s="1"/>
      <c r="AG5710" s="1"/>
    </row>
    <row r="5711" ht="15.75" customHeight="1">
      <c r="A5711" s="1"/>
      <c r="B5711" s="1"/>
      <c r="C5711" s="1"/>
      <c r="D5711" s="1"/>
      <c r="E5711" s="1"/>
      <c r="F5711" s="1"/>
      <c r="G5711" s="1"/>
      <c r="H5711" s="1"/>
      <c r="I5711" s="1"/>
      <c r="J5711" s="1"/>
      <c r="K5711" s="89" t="s">
        <v>8893</v>
      </c>
      <c r="L5711" s="89" t="str">
        <f>D258</f>
        <v>C2b1</v>
      </c>
      <c r="M5711" s="89" t="s">
        <v>8894</v>
      </c>
      <c r="N5711" s="89" t="s">
        <v>8895</v>
      </c>
      <c r="O5711" s="92">
        <v>8804908.0</v>
      </c>
      <c r="P5711" s="92">
        <v>8936867.0</v>
      </c>
      <c r="Q5711" s="89" t="s">
        <v>838</v>
      </c>
      <c r="AF5711" s="1"/>
      <c r="AG5711" s="1"/>
    </row>
    <row r="5712" ht="15.75" customHeight="1">
      <c r="A5712" s="1"/>
      <c r="B5712" s="1"/>
      <c r="C5712" s="1"/>
      <c r="D5712" s="1"/>
      <c r="E5712" s="1"/>
      <c r="F5712" s="1"/>
      <c r="G5712" s="1"/>
      <c r="H5712" s="1"/>
      <c r="I5712" s="1"/>
      <c r="J5712" s="1"/>
      <c r="K5712" s="89" t="s">
        <v>8894</v>
      </c>
      <c r="L5712" s="89" t="str">
        <f>D258</f>
        <v>C2b1</v>
      </c>
      <c r="M5712" s="89" t="s">
        <v>8893</v>
      </c>
      <c r="N5712" s="89" t="s">
        <v>8895</v>
      </c>
      <c r="O5712" s="92">
        <v>8804908.0</v>
      </c>
      <c r="P5712" s="92">
        <v>8936867.0</v>
      </c>
      <c r="Q5712" s="89" t="s">
        <v>838</v>
      </c>
      <c r="AF5712" s="1"/>
      <c r="AG5712" s="1"/>
    </row>
    <row r="5713" ht="15.75" customHeight="1">
      <c r="A5713" s="1"/>
      <c r="B5713" s="1"/>
      <c r="C5713" s="1"/>
      <c r="D5713" s="1"/>
      <c r="E5713" s="1"/>
      <c r="F5713" s="1"/>
      <c r="G5713" s="1"/>
      <c r="H5713" s="1"/>
      <c r="I5713" s="1"/>
      <c r="J5713" s="1"/>
      <c r="K5713" s="89" t="s">
        <v>8896</v>
      </c>
      <c r="L5713" s="89" t="str">
        <f>D258</f>
        <v>C2b1</v>
      </c>
      <c r="M5713" s="89"/>
      <c r="N5713" s="89" t="s">
        <v>8897</v>
      </c>
      <c r="O5713" s="92">
        <v>9844137.0</v>
      </c>
      <c r="P5713" s="92">
        <v>1.0006528E7</v>
      </c>
      <c r="Q5713" s="89" t="s">
        <v>838</v>
      </c>
      <c r="AF5713" s="1"/>
      <c r="AG5713" s="1"/>
    </row>
    <row r="5714" ht="15.75" customHeight="1">
      <c r="A5714" s="1"/>
      <c r="B5714" s="1"/>
      <c r="C5714" s="1"/>
      <c r="D5714" s="1"/>
      <c r="E5714" s="1"/>
      <c r="F5714" s="1"/>
      <c r="G5714" s="1"/>
      <c r="H5714" s="1"/>
      <c r="I5714" s="1"/>
      <c r="J5714" s="1"/>
      <c r="K5714" s="89" t="s">
        <v>8898</v>
      </c>
      <c r="L5714" s="89" t="str">
        <f>D258</f>
        <v>C2b1</v>
      </c>
      <c r="M5714" s="89"/>
      <c r="N5714" s="89" t="s">
        <v>8899</v>
      </c>
      <c r="O5714" s="92">
        <v>9893879.0</v>
      </c>
      <c r="P5714" s="92">
        <v>1.005627E7</v>
      </c>
      <c r="Q5714" s="89" t="s">
        <v>810</v>
      </c>
      <c r="AF5714" s="1"/>
      <c r="AG5714" s="1"/>
    </row>
    <row r="5715" ht="15.75" customHeight="1">
      <c r="A5715" s="1"/>
      <c r="B5715" s="1"/>
      <c r="C5715" s="1"/>
      <c r="D5715" s="1"/>
      <c r="E5715" s="1"/>
      <c r="F5715" s="1"/>
      <c r="G5715" s="1"/>
      <c r="H5715" s="1"/>
      <c r="I5715" s="1"/>
      <c r="J5715" s="1"/>
      <c r="K5715" s="89" t="s">
        <v>8900</v>
      </c>
      <c r="L5715" s="89" t="str">
        <f>D258</f>
        <v>C2b1</v>
      </c>
      <c r="M5715" s="89" t="s">
        <v>8901</v>
      </c>
      <c r="N5715" s="89" t="s">
        <v>8902</v>
      </c>
      <c r="O5715" s="92">
        <v>1.4001179E7</v>
      </c>
      <c r="P5715" s="92">
        <v>1.1880473E7</v>
      </c>
      <c r="Q5715" s="89" t="s">
        <v>810</v>
      </c>
      <c r="AF5715" s="1"/>
      <c r="AG5715" s="1"/>
    </row>
    <row r="5716" ht="15.75" customHeight="1">
      <c r="A5716" s="1"/>
      <c r="B5716" s="1"/>
      <c r="C5716" s="1"/>
      <c r="D5716" s="1"/>
      <c r="E5716" s="1"/>
      <c r="F5716" s="1"/>
      <c r="G5716" s="1"/>
      <c r="H5716" s="1"/>
      <c r="I5716" s="1"/>
      <c r="J5716" s="1"/>
      <c r="K5716" s="89" t="s">
        <v>8901</v>
      </c>
      <c r="L5716" s="89" t="str">
        <f>D258</f>
        <v>C2b1</v>
      </c>
      <c r="M5716" s="89" t="s">
        <v>8900</v>
      </c>
      <c r="N5716" s="89" t="s">
        <v>8902</v>
      </c>
      <c r="O5716" s="92">
        <v>1.4001179E7</v>
      </c>
      <c r="P5716" s="92">
        <v>1.1880473E7</v>
      </c>
      <c r="Q5716" s="89" t="s">
        <v>810</v>
      </c>
      <c r="AF5716" s="1"/>
      <c r="AG5716" s="1"/>
    </row>
    <row r="5717" ht="15.75" customHeight="1">
      <c r="A5717" s="1"/>
      <c r="B5717" s="1"/>
      <c r="C5717" s="1"/>
      <c r="D5717" s="1"/>
      <c r="E5717" s="1"/>
      <c r="F5717" s="1"/>
      <c r="G5717" s="1"/>
      <c r="H5717" s="1"/>
      <c r="I5717" s="1"/>
      <c r="J5717" s="1"/>
      <c r="K5717" s="89" t="s">
        <v>8903</v>
      </c>
      <c r="L5717" s="89" t="str">
        <f>D258</f>
        <v>C2b1</v>
      </c>
      <c r="M5717" s="89"/>
      <c r="N5717" s="89" t="s">
        <v>8904</v>
      </c>
      <c r="O5717" s="92">
        <v>1.4253619E7</v>
      </c>
      <c r="P5717" s="92">
        <v>1.2132913E7</v>
      </c>
      <c r="Q5717" s="89" t="s">
        <v>802</v>
      </c>
      <c r="AF5717" s="1"/>
      <c r="AG5717" s="1"/>
    </row>
    <row r="5718" ht="15.75" customHeight="1">
      <c r="A5718" s="1"/>
      <c r="B5718" s="1"/>
      <c r="C5718" s="1"/>
      <c r="D5718" s="1"/>
      <c r="E5718" s="1"/>
      <c r="F5718" s="1"/>
      <c r="G5718" s="1"/>
      <c r="H5718" s="1"/>
      <c r="I5718" s="1"/>
      <c r="J5718" s="1"/>
      <c r="K5718" s="89" t="s">
        <v>8905</v>
      </c>
      <c r="L5718" s="89" t="str">
        <f>D258</f>
        <v>C2b1</v>
      </c>
      <c r="M5718" s="89" t="s">
        <v>8906</v>
      </c>
      <c r="N5718" s="89" t="s">
        <v>8907</v>
      </c>
      <c r="O5718" s="92">
        <v>1.4845988E7</v>
      </c>
      <c r="P5718" s="92">
        <v>1.2734054E7</v>
      </c>
      <c r="Q5718" s="89" t="s">
        <v>838</v>
      </c>
      <c r="AF5718" s="1"/>
      <c r="AG5718" s="1"/>
    </row>
    <row r="5719" ht="15.75" customHeight="1">
      <c r="A5719" s="1"/>
      <c r="B5719" s="1"/>
      <c r="C5719" s="1"/>
      <c r="D5719" s="1"/>
      <c r="E5719" s="1"/>
      <c r="F5719" s="1"/>
      <c r="G5719" s="1"/>
      <c r="H5719" s="1"/>
      <c r="I5719" s="1"/>
      <c r="J5719" s="1"/>
      <c r="K5719" s="89" t="s">
        <v>8906</v>
      </c>
      <c r="L5719" s="89" t="str">
        <f>D258</f>
        <v>C2b1</v>
      </c>
      <c r="M5719" s="89" t="s">
        <v>8905</v>
      </c>
      <c r="N5719" s="89" t="s">
        <v>8907</v>
      </c>
      <c r="O5719" s="92">
        <v>1.4845988E7</v>
      </c>
      <c r="P5719" s="92">
        <v>1.2734054E7</v>
      </c>
      <c r="Q5719" s="89" t="s">
        <v>838</v>
      </c>
      <c r="AF5719" s="1"/>
      <c r="AG5719" s="1"/>
    </row>
    <row r="5720" ht="15.75" customHeight="1">
      <c r="A5720" s="1"/>
      <c r="B5720" s="1"/>
      <c r="C5720" s="1"/>
      <c r="D5720" s="1"/>
      <c r="E5720" s="1"/>
      <c r="F5720" s="1"/>
      <c r="G5720" s="1"/>
      <c r="H5720" s="1"/>
      <c r="I5720" s="1"/>
      <c r="J5720" s="1"/>
      <c r="K5720" s="89" t="s">
        <v>8908</v>
      </c>
      <c r="L5720" s="89" t="str">
        <f>D258</f>
        <v>C2b1</v>
      </c>
      <c r="M5720" s="89"/>
      <c r="N5720" s="89" t="s">
        <v>8909</v>
      </c>
      <c r="O5720" s="92">
        <v>1.536275E7</v>
      </c>
      <c r="P5720" s="92">
        <v>1.325087E7</v>
      </c>
      <c r="Q5720" s="89" t="s">
        <v>838</v>
      </c>
      <c r="AF5720" s="1"/>
      <c r="AG5720" s="1"/>
    </row>
    <row r="5721" ht="15.75" customHeight="1">
      <c r="A5721" s="1"/>
      <c r="B5721" s="1"/>
      <c r="C5721" s="1"/>
      <c r="D5721" s="1"/>
      <c r="E5721" s="1"/>
      <c r="F5721" s="1"/>
      <c r="G5721" s="1"/>
      <c r="H5721" s="1"/>
      <c r="I5721" s="1"/>
      <c r="J5721" s="1"/>
      <c r="K5721" s="89" t="s">
        <v>8910</v>
      </c>
      <c r="L5721" s="89" t="str">
        <f>D258</f>
        <v>C2b1</v>
      </c>
      <c r="M5721" s="89"/>
      <c r="N5721" s="89" t="s">
        <v>8911</v>
      </c>
      <c r="O5721" s="92">
        <v>1.5560659E7</v>
      </c>
      <c r="P5721" s="92">
        <v>1.3448779E7</v>
      </c>
      <c r="Q5721" s="89" t="s">
        <v>802</v>
      </c>
      <c r="AF5721" s="1"/>
      <c r="AG5721" s="1"/>
    </row>
    <row r="5722" ht="15.75" customHeight="1">
      <c r="A5722" s="1"/>
      <c r="B5722" s="1"/>
      <c r="C5722" s="1"/>
      <c r="D5722" s="1"/>
      <c r="E5722" s="1"/>
      <c r="F5722" s="1"/>
      <c r="G5722" s="1"/>
      <c r="H5722" s="1"/>
      <c r="I5722" s="1"/>
      <c r="J5722" s="1"/>
      <c r="K5722" s="89" t="s">
        <v>8912</v>
      </c>
      <c r="L5722" s="89" t="str">
        <f>D258</f>
        <v>C2b1</v>
      </c>
      <c r="M5722" s="89"/>
      <c r="N5722" s="89" t="s">
        <v>8913</v>
      </c>
      <c r="O5722" s="92">
        <v>1.5980484E7</v>
      </c>
      <c r="P5722" s="92">
        <v>1.3868604E7</v>
      </c>
      <c r="Q5722" s="89" t="s">
        <v>845</v>
      </c>
      <c r="AF5722" s="1"/>
      <c r="AG5722" s="1"/>
    </row>
    <row r="5723" ht="15.75" customHeight="1">
      <c r="A5723" s="1"/>
      <c r="B5723" s="1"/>
      <c r="C5723" s="1"/>
      <c r="D5723" s="1"/>
      <c r="E5723" s="1"/>
      <c r="F5723" s="1"/>
      <c r="G5723" s="1"/>
      <c r="H5723" s="1"/>
      <c r="I5723" s="1"/>
      <c r="J5723" s="1"/>
      <c r="K5723" s="89" t="s">
        <v>8914</v>
      </c>
      <c r="L5723" s="89" t="str">
        <f>D258</f>
        <v>C2b1</v>
      </c>
      <c r="M5723" s="89" t="s">
        <v>8915</v>
      </c>
      <c r="N5723" s="89" t="s">
        <v>8916</v>
      </c>
      <c r="O5723" s="92">
        <v>1.6177608E7</v>
      </c>
      <c r="P5723" s="92">
        <v>1.4065728E7</v>
      </c>
      <c r="Q5723" s="89" t="s">
        <v>838</v>
      </c>
      <c r="AF5723" s="1"/>
      <c r="AG5723" s="1"/>
    </row>
    <row r="5724" ht="15.75" customHeight="1">
      <c r="A5724" s="1"/>
      <c r="B5724" s="1"/>
      <c r="C5724" s="1"/>
      <c r="D5724" s="1"/>
      <c r="E5724" s="1"/>
      <c r="F5724" s="1"/>
      <c r="G5724" s="1"/>
      <c r="H5724" s="1"/>
      <c r="I5724" s="1"/>
      <c r="J5724" s="1"/>
      <c r="K5724" s="89" t="s">
        <v>8915</v>
      </c>
      <c r="L5724" s="89" t="str">
        <f>D258</f>
        <v>C2b1</v>
      </c>
      <c r="M5724" s="89" t="s">
        <v>8914</v>
      </c>
      <c r="N5724" s="89" t="s">
        <v>8916</v>
      </c>
      <c r="O5724" s="92">
        <v>1.6177608E7</v>
      </c>
      <c r="P5724" s="92">
        <v>1.4065728E7</v>
      </c>
      <c r="Q5724" s="89" t="s">
        <v>838</v>
      </c>
      <c r="AF5724" s="1"/>
      <c r="AG5724" s="1"/>
    </row>
    <row r="5725" ht="15.75" customHeight="1">
      <c r="A5725" s="1"/>
      <c r="B5725" s="1"/>
      <c r="C5725" s="1"/>
      <c r="D5725" s="1"/>
      <c r="E5725" s="1"/>
      <c r="F5725" s="1"/>
      <c r="G5725" s="1"/>
      <c r="H5725" s="1"/>
      <c r="I5725" s="1"/>
      <c r="J5725" s="1"/>
      <c r="K5725" s="89" t="s">
        <v>8917</v>
      </c>
      <c r="L5725" s="89" t="str">
        <f>D258</f>
        <v>C2b1</v>
      </c>
      <c r="M5725" s="89"/>
      <c r="N5725" s="89" t="s">
        <v>8918</v>
      </c>
      <c r="O5725" s="92">
        <v>1.6263192E7</v>
      </c>
      <c r="P5725" s="92">
        <v>1.4151312E7</v>
      </c>
      <c r="Q5725" s="89" t="s">
        <v>838</v>
      </c>
      <c r="AF5725" s="1"/>
      <c r="AG5725" s="1"/>
    </row>
    <row r="5726" ht="15.75" customHeight="1">
      <c r="A5726" s="1"/>
      <c r="B5726" s="1"/>
      <c r="C5726" s="1"/>
      <c r="D5726" s="1"/>
      <c r="E5726" s="1"/>
      <c r="F5726" s="1"/>
      <c r="G5726" s="1"/>
      <c r="H5726" s="1"/>
      <c r="I5726" s="1"/>
      <c r="J5726" s="1"/>
      <c r="K5726" s="89" t="s">
        <v>8919</v>
      </c>
      <c r="L5726" s="89" t="str">
        <f>D258</f>
        <v>C2b1</v>
      </c>
      <c r="M5726" s="89"/>
      <c r="N5726" s="89" t="s">
        <v>8920</v>
      </c>
      <c r="O5726" s="92">
        <v>1.6325878E7</v>
      </c>
      <c r="P5726" s="92">
        <v>1.4213998E7</v>
      </c>
      <c r="Q5726" s="89" t="s">
        <v>810</v>
      </c>
      <c r="AF5726" s="1"/>
      <c r="AG5726" s="1"/>
    </row>
    <row r="5727" ht="15.75" customHeight="1">
      <c r="A5727" s="1"/>
      <c r="B5727" s="1"/>
      <c r="C5727" s="1"/>
      <c r="D5727" s="1"/>
      <c r="E5727" s="1"/>
      <c r="F5727" s="1"/>
      <c r="G5727" s="1"/>
      <c r="H5727" s="1"/>
      <c r="I5727" s="1"/>
      <c r="J5727" s="1"/>
      <c r="K5727" s="89" t="s">
        <v>8921</v>
      </c>
      <c r="L5727" s="89" t="str">
        <f>D258</f>
        <v>C2b1</v>
      </c>
      <c r="M5727" s="89"/>
      <c r="N5727" s="89" t="s">
        <v>8922</v>
      </c>
      <c r="O5727" s="92">
        <v>1.6349174E7</v>
      </c>
      <c r="P5727" s="92">
        <v>1.4237294E7</v>
      </c>
      <c r="Q5727" s="89" t="s">
        <v>831</v>
      </c>
      <c r="AF5727" s="1"/>
      <c r="AG5727" s="1"/>
    </row>
    <row r="5728" ht="15.75" customHeight="1">
      <c r="A5728" s="1"/>
      <c r="B5728" s="1"/>
      <c r="C5728" s="1"/>
      <c r="D5728" s="1"/>
      <c r="E5728" s="1"/>
      <c r="F5728" s="1"/>
      <c r="G5728" s="1"/>
      <c r="H5728" s="1"/>
      <c r="I5728" s="1"/>
      <c r="J5728" s="1"/>
      <c r="K5728" s="89" t="s">
        <v>8923</v>
      </c>
      <c r="L5728" s="89" t="str">
        <f>D258</f>
        <v>C2b1</v>
      </c>
      <c r="M5728" s="89"/>
      <c r="N5728" s="89" t="s">
        <v>8924</v>
      </c>
      <c r="O5728" s="92">
        <v>1.6639435E7</v>
      </c>
      <c r="P5728" s="92">
        <v>1.4527555E7</v>
      </c>
      <c r="Q5728" s="89" t="s">
        <v>822</v>
      </c>
      <c r="AF5728" s="1"/>
      <c r="AG5728" s="1"/>
    </row>
    <row r="5729" ht="15.75" customHeight="1">
      <c r="A5729" s="1"/>
      <c r="B5729" s="1"/>
      <c r="C5729" s="1"/>
      <c r="D5729" s="1"/>
      <c r="E5729" s="1"/>
      <c r="F5729" s="1"/>
      <c r="G5729" s="1"/>
      <c r="H5729" s="1"/>
      <c r="I5729" s="1"/>
      <c r="J5729" s="1"/>
      <c r="K5729" s="89" t="s">
        <v>8925</v>
      </c>
      <c r="L5729" s="89" t="str">
        <f>D258</f>
        <v>C2b1</v>
      </c>
      <c r="M5729" s="89" t="s">
        <v>8926</v>
      </c>
      <c r="N5729" s="89" t="s">
        <v>8927</v>
      </c>
      <c r="O5729" s="92">
        <v>1.6646059E7</v>
      </c>
      <c r="P5729" s="92">
        <v>1.4534179E7</v>
      </c>
      <c r="Q5729" s="89" t="s">
        <v>879</v>
      </c>
      <c r="AF5729" s="1"/>
      <c r="AG5729" s="1"/>
    </row>
    <row r="5730" ht="15.75" customHeight="1">
      <c r="A5730" s="1"/>
      <c r="B5730" s="1"/>
      <c r="C5730" s="1"/>
      <c r="D5730" s="1"/>
      <c r="E5730" s="1"/>
      <c r="F5730" s="1"/>
      <c r="G5730" s="1"/>
      <c r="H5730" s="1"/>
      <c r="I5730" s="1"/>
      <c r="J5730" s="1"/>
      <c r="K5730" s="89" t="s">
        <v>8926</v>
      </c>
      <c r="L5730" s="89" t="str">
        <f>D258</f>
        <v>C2b1</v>
      </c>
      <c r="M5730" s="89" t="s">
        <v>8925</v>
      </c>
      <c r="N5730" s="89" t="s">
        <v>8927</v>
      </c>
      <c r="O5730" s="92">
        <v>1.6646059E7</v>
      </c>
      <c r="P5730" s="92">
        <v>1.4534179E7</v>
      </c>
      <c r="Q5730" s="89" t="s">
        <v>879</v>
      </c>
      <c r="AF5730" s="1"/>
      <c r="AG5730" s="1"/>
    </row>
    <row r="5731" ht="15.75" customHeight="1">
      <c r="A5731" s="1"/>
      <c r="B5731" s="1"/>
      <c r="C5731" s="1"/>
      <c r="D5731" s="1"/>
      <c r="E5731" s="1"/>
      <c r="F5731" s="1"/>
      <c r="G5731" s="1"/>
      <c r="H5731" s="1"/>
      <c r="I5731" s="1"/>
      <c r="J5731" s="1"/>
      <c r="K5731" s="89" t="s">
        <v>8928</v>
      </c>
      <c r="L5731" s="89" t="str">
        <f>D258</f>
        <v>C2b1</v>
      </c>
      <c r="M5731" s="89"/>
      <c r="N5731" s="89" t="s">
        <v>8929</v>
      </c>
      <c r="O5731" s="92">
        <v>1.6770163E7</v>
      </c>
      <c r="P5731" s="92">
        <v>1.4658283E7</v>
      </c>
      <c r="Q5731" s="89" t="s">
        <v>886</v>
      </c>
      <c r="AF5731" s="1"/>
      <c r="AG5731" s="1"/>
    </row>
    <row r="5732" ht="15.75" customHeight="1">
      <c r="A5732" s="1"/>
      <c r="B5732" s="1"/>
      <c r="C5732" s="1"/>
      <c r="D5732" s="1"/>
      <c r="E5732" s="1"/>
      <c r="F5732" s="1"/>
      <c r="G5732" s="1"/>
      <c r="H5732" s="1"/>
      <c r="I5732" s="1"/>
      <c r="J5732" s="1"/>
      <c r="K5732" s="89" t="s">
        <v>8930</v>
      </c>
      <c r="L5732" s="89" t="str">
        <f>D258</f>
        <v>C2b1</v>
      </c>
      <c r="M5732" s="89" t="s">
        <v>8931</v>
      </c>
      <c r="N5732" s="89" t="s">
        <v>8932</v>
      </c>
      <c r="O5732" s="92">
        <v>1.678177E7</v>
      </c>
      <c r="P5732" s="92">
        <v>1.466989E7</v>
      </c>
      <c r="Q5732" s="89" t="s">
        <v>845</v>
      </c>
      <c r="AF5732" s="1"/>
      <c r="AG5732" s="1"/>
    </row>
    <row r="5733" ht="15.75" customHeight="1">
      <c r="A5733" s="1"/>
      <c r="B5733" s="1"/>
      <c r="C5733" s="1"/>
      <c r="D5733" s="1"/>
      <c r="E5733" s="1"/>
      <c r="F5733" s="1"/>
      <c r="G5733" s="1"/>
      <c r="H5733" s="1"/>
      <c r="I5733" s="1"/>
      <c r="J5733" s="1"/>
      <c r="K5733" s="89" t="s">
        <v>8931</v>
      </c>
      <c r="L5733" s="89" t="str">
        <f>D258</f>
        <v>C2b1</v>
      </c>
      <c r="M5733" s="89" t="s">
        <v>8930</v>
      </c>
      <c r="N5733" s="89" t="s">
        <v>8932</v>
      </c>
      <c r="O5733" s="92">
        <v>1.678177E7</v>
      </c>
      <c r="P5733" s="92">
        <v>1.466989E7</v>
      </c>
      <c r="Q5733" s="89" t="s">
        <v>845</v>
      </c>
      <c r="AF5733" s="1"/>
      <c r="AG5733" s="1"/>
    </row>
    <row r="5734" ht="15.75" customHeight="1">
      <c r="A5734" s="1"/>
      <c r="B5734" s="1"/>
      <c r="C5734" s="1"/>
      <c r="D5734" s="1"/>
      <c r="E5734" s="1"/>
      <c r="F5734" s="1"/>
      <c r="G5734" s="1"/>
      <c r="H5734" s="1"/>
      <c r="I5734" s="1"/>
      <c r="J5734" s="1"/>
      <c r="K5734" s="89" t="s">
        <v>8933</v>
      </c>
      <c r="L5734" s="89" t="str">
        <f>D258</f>
        <v>C2b1</v>
      </c>
      <c r="M5734" s="89"/>
      <c r="N5734" s="89" t="s">
        <v>8934</v>
      </c>
      <c r="O5734" s="92">
        <v>1.6946036E7</v>
      </c>
      <c r="P5734" s="92">
        <v>1.4834156E7</v>
      </c>
      <c r="Q5734" s="89" t="s">
        <v>802</v>
      </c>
      <c r="AF5734" s="1"/>
      <c r="AG5734" s="1"/>
    </row>
    <row r="5735" ht="15.75" customHeight="1">
      <c r="A5735" s="1"/>
      <c r="B5735" s="1"/>
      <c r="C5735" s="1"/>
      <c r="D5735" s="1"/>
      <c r="E5735" s="1"/>
      <c r="F5735" s="1"/>
      <c r="G5735" s="1"/>
      <c r="H5735" s="1"/>
      <c r="I5735" s="1"/>
      <c r="J5735" s="1"/>
      <c r="K5735" s="89" t="s">
        <v>8935</v>
      </c>
      <c r="L5735" s="89" t="str">
        <f>D258</f>
        <v>C2b1</v>
      </c>
      <c r="M5735" s="89"/>
      <c r="N5735" s="89" t="s">
        <v>8936</v>
      </c>
      <c r="O5735" s="92">
        <v>1.7080017E7</v>
      </c>
      <c r="P5735" s="92">
        <v>1.4968137E7</v>
      </c>
      <c r="Q5735" s="89" t="s">
        <v>810</v>
      </c>
      <c r="AF5735" s="1"/>
      <c r="AG5735" s="1"/>
    </row>
    <row r="5736" ht="15.75" customHeight="1">
      <c r="A5736" s="1"/>
      <c r="B5736" s="1"/>
      <c r="C5736" s="1"/>
      <c r="D5736" s="1"/>
      <c r="E5736" s="1"/>
      <c r="F5736" s="1"/>
      <c r="G5736" s="1"/>
      <c r="H5736" s="1"/>
      <c r="I5736" s="1"/>
      <c r="J5736" s="1"/>
      <c r="K5736" s="89" t="s">
        <v>8937</v>
      </c>
      <c r="L5736" s="89" t="str">
        <f>D258</f>
        <v>C2b1</v>
      </c>
      <c r="M5736" s="89"/>
      <c r="N5736" s="89" t="s">
        <v>8938</v>
      </c>
      <c r="O5736" s="92">
        <v>1.7113314E7</v>
      </c>
      <c r="P5736" s="92">
        <v>1.5001434E7</v>
      </c>
      <c r="Q5736" s="89" t="s">
        <v>912</v>
      </c>
      <c r="AF5736" s="1"/>
      <c r="AG5736" s="1"/>
    </row>
    <row r="5737" ht="15.75" customHeight="1">
      <c r="A5737" s="1"/>
      <c r="B5737" s="1"/>
      <c r="C5737" s="1"/>
      <c r="D5737" s="1"/>
      <c r="E5737" s="1"/>
      <c r="F5737" s="1"/>
      <c r="G5737" s="1"/>
      <c r="H5737" s="1"/>
      <c r="I5737" s="1"/>
      <c r="J5737" s="1"/>
      <c r="K5737" s="89" t="s">
        <v>8939</v>
      </c>
      <c r="L5737" s="89" t="str">
        <f>D258</f>
        <v>C2b1</v>
      </c>
      <c r="M5737" s="89"/>
      <c r="N5737" s="89" t="s">
        <v>8940</v>
      </c>
      <c r="O5737" s="92">
        <v>1.7137589E7</v>
      </c>
      <c r="P5737" s="92">
        <v>1.5025709E7</v>
      </c>
      <c r="Q5737" s="89" t="s">
        <v>810</v>
      </c>
      <c r="AF5737" s="1"/>
      <c r="AG5737" s="1"/>
    </row>
    <row r="5738" ht="15.75" customHeight="1">
      <c r="A5738" s="1"/>
      <c r="B5738" s="1"/>
      <c r="C5738" s="1"/>
      <c r="D5738" s="1"/>
      <c r="E5738" s="1"/>
      <c r="F5738" s="1"/>
      <c r="G5738" s="1"/>
      <c r="H5738" s="1"/>
      <c r="I5738" s="1"/>
      <c r="J5738" s="1"/>
      <c r="K5738" s="89" t="s">
        <v>8941</v>
      </c>
      <c r="L5738" s="89" t="str">
        <f>D258</f>
        <v>C2b1</v>
      </c>
      <c r="M5738" s="89"/>
      <c r="N5738" s="89" t="s">
        <v>8942</v>
      </c>
      <c r="O5738" s="92">
        <v>1.7309455E7</v>
      </c>
      <c r="P5738" s="92">
        <v>1.5197575E7</v>
      </c>
      <c r="Q5738" s="89" t="s">
        <v>810</v>
      </c>
      <c r="AF5738" s="1"/>
      <c r="AG5738" s="1"/>
    </row>
    <row r="5739" ht="15.75" customHeight="1">
      <c r="A5739" s="1"/>
      <c r="B5739" s="1"/>
      <c r="C5739" s="1"/>
      <c r="D5739" s="1"/>
      <c r="E5739" s="1"/>
      <c r="F5739" s="1"/>
      <c r="G5739" s="1"/>
      <c r="H5739" s="1"/>
      <c r="I5739" s="1"/>
      <c r="J5739" s="1"/>
      <c r="K5739" s="89" t="s">
        <v>8943</v>
      </c>
      <c r="L5739" s="89" t="str">
        <f>D258</f>
        <v>C2b1</v>
      </c>
      <c r="M5739" s="89" t="s">
        <v>8944</v>
      </c>
      <c r="N5739" s="89" t="s">
        <v>8945</v>
      </c>
      <c r="O5739" s="92">
        <v>1.7434784E7</v>
      </c>
      <c r="P5739" s="92">
        <v>1.5322904E7</v>
      </c>
      <c r="Q5739" s="89" t="s">
        <v>838</v>
      </c>
      <c r="AF5739" s="1"/>
      <c r="AG5739" s="1"/>
    </row>
    <row r="5740" ht="15.75" customHeight="1">
      <c r="A5740" s="1"/>
      <c r="B5740" s="1"/>
      <c r="C5740" s="1"/>
      <c r="D5740" s="1"/>
      <c r="E5740" s="1"/>
      <c r="F5740" s="1"/>
      <c r="G5740" s="1"/>
      <c r="H5740" s="1"/>
      <c r="I5740" s="1"/>
      <c r="J5740" s="1"/>
      <c r="K5740" s="89" t="s">
        <v>8944</v>
      </c>
      <c r="L5740" s="89" t="str">
        <f>D258</f>
        <v>C2b1</v>
      </c>
      <c r="M5740" s="89" t="s">
        <v>8943</v>
      </c>
      <c r="N5740" s="89" t="s">
        <v>8945</v>
      </c>
      <c r="O5740" s="92">
        <v>1.7434784E7</v>
      </c>
      <c r="P5740" s="92">
        <v>1.5322904E7</v>
      </c>
      <c r="Q5740" s="89" t="s">
        <v>838</v>
      </c>
      <c r="AF5740" s="1"/>
      <c r="AG5740" s="1"/>
    </row>
    <row r="5741" ht="15.75" customHeight="1">
      <c r="A5741" s="1"/>
      <c r="B5741" s="1"/>
      <c r="C5741" s="1"/>
      <c r="D5741" s="1"/>
      <c r="E5741" s="1"/>
      <c r="F5741" s="1"/>
      <c r="G5741" s="1"/>
      <c r="H5741" s="1"/>
      <c r="I5741" s="1"/>
      <c r="J5741" s="1"/>
      <c r="K5741" s="89" t="s">
        <v>8946</v>
      </c>
      <c r="L5741" s="89" t="str">
        <f>D258</f>
        <v>C2b1</v>
      </c>
      <c r="M5741" s="89"/>
      <c r="N5741" s="89" t="s">
        <v>8947</v>
      </c>
      <c r="O5741" s="92">
        <v>1.7606096E7</v>
      </c>
      <c r="P5741" s="92">
        <v>1.5494216E7</v>
      </c>
      <c r="Q5741" s="89" t="s">
        <v>810</v>
      </c>
      <c r="AF5741" s="1"/>
      <c r="AG5741" s="1"/>
    </row>
    <row r="5742" ht="15.75" customHeight="1">
      <c r="A5742" s="1"/>
      <c r="B5742" s="1"/>
      <c r="C5742" s="1"/>
      <c r="D5742" s="1"/>
      <c r="E5742" s="1"/>
      <c r="F5742" s="1"/>
      <c r="G5742" s="1"/>
      <c r="H5742" s="1"/>
      <c r="I5742" s="1"/>
      <c r="J5742" s="1"/>
      <c r="K5742" s="89" t="s">
        <v>8948</v>
      </c>
      <c r="L5742" s="89" t="str">
        <f>D258</f>
        <v>C2b1</v>
      </c>
      <c r="M5742" s="89"/>
      <c r="N5742" s="89" t="s">
        <v>8949</v>
      </c>
      <c r="O5742" s="92">
        <v>1.8028351E7</v>
      </c>
      <c r="P5742" s="92">
        <v>1.5916471E7</v>
      </c>
      <c r="Q5742" s="89" t="s">
        <v>886</v>
      </c>
      <c r="AF5742" s="1"/>
      <c r="AG5742" s="1"/>
    </row>
    <row r="5743" ht="15.75" customHeight="1">
      <c r="A5743" s="1"/>
      <c r="B5743" s="1"/>
      <c r="C5743" s="1"/>
      <c r="D5743" s="1"/>
      <c r="E5743" s="1"/>
      <c r="F5743" s="1"/>
      <c r="G5743" s="1"/>
      <c r="H5743" s="1"/>
      <c r="I5743" s="1"/>
      <c r="J5743" s="1"/>
      <c r="K5743" s="89" t="s">
        <v>8950</v>
      </c>
      <c r="L5743" s="89" t="str">
        <f>D258</f>
        <v>C2b1</v>
      </c>
      <c r="M5743" s="89" t="s">
        <v>8951</v>
      </c>
      <c r="N5743" s="89" t="s">
        <v>8952</v>
      </c>
      <c r="O5743" s="92">
        <v>1.8033437E7</v>
      </c>
      <c r="P5743" s="92">
        <v>1.5921557E7</v>
      </c>
      <c r="Q5743" s="89" t="s">
        <v>802</v>
      </c>
      <c r="AF5743" s="1"/>
      <c r="AG5743" s="1"/>
    </row>
    <row r="5744" ht="15.75" customHeight="1">
      <c r="A5744" s="1"/>
      <c r="B5744" s="1"/>
      <c r="C5744" s="1"/>
      <c r="D5744" s="1"/>
      <c r="E5744" s="1"/>
      <c r="F5744" s="1"/>
      <c r="G5744" s="1"/>
      <c r="H5744" s="1"/>
      <c r="I5744" s="1"/>
      <c r="J5744" s="1"/>
      <c r="K5744" s="89" t="s">
        <v>8951</v>
      </c>
      <c r="L5744" s="89" t="str">
        <f>D258</f>
        <v>C2b1</v>
      </c>
      <c r="M5744" s="89" t="s">
        <v>8950</v>
      </c>
      <c r="N5744" s="89" t="s">
        <v>8952</v>
      </c>
      <c r="O5744" s="92">
        <v>1.8033437E7</v>
      </c>
      <c r="P5744" s="92">
        <v>1.5921557E7</v>
      </c>
      <c r="Q5744" s="89" t="s">
        <v>802</v>
      </c>
      <c r="AF5744" s="1"/>
      <c r="AG5744" s="1"/>
    </row>
    <row r="5745" ht="15.75" customHeight="1">
      <c r="A5745" s="1"/>
      <c r="B5745" s="1"/>
      <c r="C5745" s="1"/>
      <c r="D5745" s="1"/>
      <c r="E5745" s="1"/>
      <c r="F5745" s="1"/>
      <c r="G5745" s="1"/>
      <c r="H5745" s="1"/>
      <c r="I5745" s="1"/>
      <c r="J5745" s="1"/>
      <c r="K5745" s="89" t="s">
        <v>8953</v>
      </c>
      <c r="L5745" s="89" t="str">
        <f>D258</f>
        <v>C2b1</v>
      </c>
      <c r="M5745" s="89"/>
      <c r="N5745" s="89" t="s">
        <v>8954</v>
      </c>
      <c r="O5745" s="92">
        <v>1.8053083E7</v>
      </c>
      <c r="P5745" s="92">
        <v>1.5941203E7</v>
      </c>
      <c r="Q5745" s="89" t="s">
        <v>822</v>
      </c>
      <c r="AF5745" s="1"/>
      <c r="AG5745" s="1"/>
    </row>
    <row r="5746" ht="15.75" customHeight="1">
      <c r="A5746" s="1"/>
      <c r="B5746" s="1"/>
      <c r="C5746" s="1"/>
      <c r="D5746" s="1"/>
      <c r="E5746" s="1"/>
      <c r="F5746" s="1"/>
      <c r="G5746" s="1"/>
      <c r="H5746" s="1"/>
      <c r="I5746" s="1"/>
      <c r="J5746" s="1"/>
      <c r="K5746" s="89" t="s">
        <v>8955</v>
      </c>
      <c r="L5746" s="89" t="str">
        <f>D258</f>
        <v>C2b1</v>
      </c>
      <c r="M5746" s="89"/>
      <c r="N5746" s="89" t="s">
        <v>8956</v>
      </c>
      <c r="O5746" s="92">
        <v>1.8212954E7</v>
      </c>
      <c r="P5746" s="92">
        <v>1.6101074E7</v>
      </c>
      <c r="Q5746" s="89" t="s">
        <v>802</v>
      </c>
      <c r="AF5746" s="1"/>
      <c r="AG5746" s="1"/>
    </row>
    <row r="5747" ht="15.75" customHeight="1">
      <c r="A5747" s="1"/>
      <c r="B5747" s="1"/>
      <c r="C5747" s="1"/>
      <c r="D5747" s="1"/>
      <c r="E5747" s="1"/>
      <c r="F5747" s="1"/>
      <c r="G5747" s="1"/>
      <c r="H5747" s="1"/>
      <c r="I5747" s="1"/>
      <c r="J5747" s="1"/>
      <c r="K5747" s="89" t="s">
        <v>8957</v>
      </c>
      <c r="L5747" s="89" t="str">
        <f>D258</f>
        <v>C2b1</v>
      </c>
      <c r="M5747" s="89"/>
      <c r="N5747" s="89" t="s">
        <v>8958</v>
      </c>
      <c r="O5747" s="92">
        <v>1.8802968E7</v>
      </c>
      <c r="P5747" s="92">
        <v>1.6691088E7</v>
      </c>
      <c r="Q5747" s="89" t="s">
        <v>864</v>
      </c>
      <c r="AF5747" s="1"/>
      <c r="AG5747" s="1"/>
    </row>
    <row r="5748" ht="15.75" customHeight="1">
      <c r="A5748" s="1"/>
      <c r="B5748" s="1"/>
      <c r="C5748" s="1"/>
      <c r="D5748" s="1"/>
      <c r="E5748" s="1"/>
      <c r="F5748" s="1"/>
      <c r="G5748" s="1"/>
      <c r="H5748" s="1"/>
      <c r="I5748" s="1"/>
      <c r="J5748" s="1"/>
      <c r="K5748" s="89" t="s">
        <v>8959</v>
      </c>
      <c r="L5748" s="89" t="str">
        <f>D258</f>
        <v>C2b1</v>
      </c>
      <c r="M5748" s="89"/>
      <c r="N5748" s="89" t="s">
        <v>8960</v>
      </c>
      <c r="O5748" s="92">
        <v>1.8886218E7</v>
      </c>
      <c r="P5748" s="92">
        <v>1.6774338E7</v>
      </c>
      <c r="Q5748" s="89" t="s">
        <v>838</v>
      </c>
      <c r="AF5748" s="1"/>
      <c r="AG5748" s="1"/>
    </row>
    <row r="5749" ht="15.75" customHeight="1">
      <c r="A5749" s="1"/>
      <c r="B5749" s="1"/>
      <c r="C5749" s="1"/>
      <c r="D5749" s="1"/>
      <c r="E5749" s="1"/>
      <c r="F5749" s="1"/>
      <c r="G5749" s="1"/>
      <c r="H5749" s="1"/>
      <c r="I5749" s="1"/>
      <c r="J5749" s="1"/>
      <c r="K5749" s="89" t="s">
        <v>8961</v>
      </c>
      <c r="L5749" s="89" t="str">
        <f>D258</f>
        <v>C2b1</v>
      </c>
      <c r="M5749" s="89"/>
      <c r="N5749" s="89" t="s">
        <v>8962</v>
      </c>
      <c r="O5749" s="92">
        <v>1.9226833E7</v>
      </c>
      <c r="P5749" s="92">
        <v>1.7114953E7</v>
      </c>
      <c r="Q5749" s="89" t="s">
        <v>802</v>
      </c>
      <c r="AF5749" s="1"/>
      <c r="AG5749" s="1"/>
    </row>
    <row r="5750" ht="15.75" customHeight="1">
      <c r="A5750" s="1"/>
      <c r="B5750" s="1"/>
      <c r="C5750" s="1"/>
      <c r="D5750" s="1"/>
      <c r="E5750" s="1"/>
      <c r="F5750" s="1"/>
      <c r="G5750" s="1"/>
      <c r="H5750" s="1"/>
      <c r="I5750" s="1"/>
      <c r="J5750" s="1"/>
      <c r="K5750" s="89" t="s">
        <v>8963</v>
      </c>
      <c r="L5750" s="89" t="str">
        <f>D258</f>
        <v>C2b1</v>
      </c>
      <c r="M5750" s="89"/>
      <c r="N5750" s="89" t="s">
        <v>8964</v>
      </c>
      <c r="O5750" s="92">
        <v>1.9227158E7</v>
      </c>
      <c r="P5750" s="92">
        <v>1.7115278E7</v>
      </c>
      <c r="Q5750" s="89" t="s">
        <v>813</v>
      </c>
      <c r="AF5750" s="1"/>
      <c r="AG5750" s="1"/>
    </row>
    <row r="5751" ht="15.75" customHeight="1">
      <c r="A5751" s="1"/>
      <c r="B5751" s="1"/>
      <c r="C5751" s="1"/>
      <c r="D5751" s="1"/>
      <c r="E5751" s="1"/>
      <c r="F5751" s="1"/>
      <c r="G5751" s="1"/>
      <c r="H5751" s="1"/>
      <c r="I5751" s="1"/>
      <c r="J5751" s="1"/>
      <c r="K5751" s="89" t="s">
        <v>8965</v>
      </c>
      <c r="L5751" s="89" t="str">
        <f>D258</f>
        <v>C2b1</v>
      </c>
      <c r="M5751" s="89" t="s">
        <v>8966</v>
      </c>
      <c r="N5751" s="89" t="s">
        <v>8967</v>
      </c>
      <c r="O5751" s="89">
        <v>1.9311468E7</v>
      </c>
      <c r="P5751" s="89">
        <v>1.7199588E7</v>
      </c>
      <c r="Q5751" s="89" t="s">
        <v>864</v>
      </c>
      <c r="AF5751" s="1"/>
      <c r="AG5751" s="1"/>
    </row>
    <row r="5752" ht="15.75" customHeight="1">
      <c r="A5752" s="1"/>
      <c r="B5752" s="1"/>
      <c r="C5752" s="1"/>
      <c r="D5752" s="1"/>
      <c r="E5752" s="1"/>
      <c r="F5752" s="1"/>
      <c r="G5752" s="1"/>
      <c r="H5752" s="1"/>
      <c r="I5752" s="1"/>
      <c r="J5752" s="1"/>
      <c r="K5752" s="89" t="s">
        <v>8966</v>
      </c>
      <c r="L5752" s="89" t="str">
        <f>D258</f>
        <v>C2b1</v>
      </c>
      <c r="M5752" s="89" t="s">
        <v>8965</v>
      </c>
      <c r="N5752" s="89" t="s">
        <v>8967</v>
      </c>
      <c r="O5752" s="89">
        <v>1.9311468E7</v>
      </c>
      <c r="P5752" s="89">
        <v>1.7199588E7</v>
      </c>
      <c r="Q5752" s="89" t="s">
        <v>864</v>
      </c>
      <c r="AF5752" s="1"/>
      <c r="AG5752" s="1"/>
    </row>
    <row r="5753" ht="15.75" customHeight="1">
      <c r="A5753" s="1"/>
      <c r="B5753" s="1"/>
      <c r="C5753" s="1"/>
      <c r="D5753" s="1"/>
      <c r="E5753" s="1"/>
      <c r="F5753" s="1"/>
      <c r="G5753" s="1"/>
      <c r="H5753" s="1"/>
      <c r="I5753" s="1"/>
      <c r="J5753" s="1"/>
      <c r="K5753" s="89" t="s">
        <v>8968</v>
      </c>
      <c r="L5753" s="89" t="str">
        <f>D258</f>
        <v>C2b1</v>
      </c>
      <c r="M5753" s="89"/>
      <c r="N5753" s="89" t="s">
        <v>8969</v>
      </c>
      <c r="O5753" s="92">
        <v>1.9471097E7</v>
      </c>
      <c r="P5753" s="92">
        <v>1.7359217E7</v>
      </c>
      <c r="Q5753" s="89" t="s">
        <v>822</v>
      </c>
      <c r="AF5753" s="1"/>
      <c r="AG5753" s="1"/>
    </row>
    <row r="5754" ht="15.75" customHeight="1">
      <c r="A5754" s="1"/>
      <c r="B5754" s="1"/>
      <c r="C5754" s="1"/>
      <c r="D5754" s="1"/>
      <c r="E5754" s="1"/>
      <c r="F5754" s="1"/>
      <c r="G5754" s="1"/>
      <c r="H5754" s="1"/>
      <c r="I5754" s="1"/>
      <c r="J5754" s="1"/>
      <c r="K5754" s="89" t="s">
        <v>8970</v>
      </c>
      <c r="L5754" s="89" t="str">
        <f>D258</f>
        <v>C2b1</v>
      </c>
      <c r="M5754" s="89"/>
      <c r="N5754" s="89" t="s">
        <v>8971</v>
      </c>
      <c r="O5754" s="92">
        <v>1.9495908E7</v>
      </c>
      <c r="P5754" s="92">
        <v>1.7384028E7</v>
      </c>
      <c r="Q5754" s="89" t="s">
        <v>822</v>
      </c>
      <c r="AF5754" s="1"/>
      <c r="AG5754" s="1"/>
    </row>
    <row r="5755" ht="15.75" customHeight="1">
      <c r="A5755" s="1"/>
      <c r="B5755" s="1"/>
      <c r="C5755" s="1"/>
      <c r="D5755" s="1"/>
      <c r="E5755" s="1"/>
      <c r="F5755" s="1"/>
      <c r="G5755" s="1"/>
      <c r="H5755" s="1"/>
      <c r="I5755" s="1"/>
      <c r="J5755" s="1"/>
      <c r="K5755" s="89" t="s">
        <v>8972</v>
      </c>
      <c r="L5755" s="89" t="str">
        <f>D258</f>
        <v>C2b1</v>
      </c>
      <c r="M5755" s="89"/>
      <c r="N5755" s="89" t="s">
        <v>8973</v>
      </c>
      <c r="O5755" s="92">
        <v>1.9542811E7</v>
      </c>
      <c r="P5755" s="92">
        <v>1.7430931E7</v>
      </c>
      <c r="Q5755" s="89" t="s">
        <v>810</v>
      </c>
      <c r="AF5755" s="1"/>
      <c r="AG5755" s="1"/>
    </row>
    <row r="5756" ht="15.75" customHeight="1">
      <c r="A5756" s="1"/>
      <c r="B5756" s="1"/>
      <c r="C5756" s="1"/>
      <c r="D5756" s="1"/>
      <c r="E5756" s="1"/>
      <c r="F5756" s="1"/>
      <c r="G5756" s="1"/>
      <c r="H5756" s="1"/>
      <c r="I5756" s="1"/>
      <c r="J5756" s="1"/>
      <c r="K5756" s="89" t="s">
        <v>8974</v>
      </c>
      <c r="L5756" s="89" t="str">
        <f>D258</f>
        <v>C2b1</v>
      </c>
      <c r="M5756" s="89" t="s">
        <v>8975</v>
      </c>
      <c r="N5756" s="89" t="s">
        <v>8976</v>
      </c>
      <c r="O5756" s="92">
        <v>2.1359174E7</v>
      </c>
      <c r="P5756" s="92">
        <v>1.9197288E7</v>
      </c>
      <c r="Q5756" s="89" t="s">
        <v>802</v>
      </c>
      <c r="AF5756" s="1"/>
      <c r="AG5756" s="1"/>
    </row>
    <row r="5757" ht="15.75" customHeight="1">
      <c r="A5757" s="1"/>
      <c r="B5757" s="1"/>
      <c r="C5757" s="1"/>
      <c r="D5757" s="1"/>
      <c r="E5757" s="1"/>
      <c r="F5757" s="1"/>
      <c r="G5757" s="1"/>
      <c r="H5757" s="1"/>
      <c r="I5757" s="1"/>
      <c r="J5757" s="1"/>
      <c r="K5757" s="89" t="s">
        <v>8975</v>
      </c>
      <c r="L5757" s="89" t="str">
        <f>D258</f>
        <v>C2b1</v>
      </c>
      <c r="M5757" s="89" t="s">
        <v>8974</v>
      </c>
      <c r="N5757" s="89" t="s">
        <v>8976</v>
      </c>
      <c r="O5757" s="92">
        <v>2.1359174E7</v>
      </c>
      <c r="P5757" s="92">
        <v>1.9197288E7</v>
      </c>
      <c r="Q5757" s="89" t="s">
        <v>802</v>
      </c>
      <c r="AF5757" s="1"/>
      <c r="AG5757" s="1"/>
    </row>
    <row r="5758" ht="15.75" customHeight="1">
      <c r="A5758" s="1"/>
      <c r="B5758" s="1"/>
      <c r="C5758" s="1"/>
      <c r="D5758" s="1"/>
      <c r="E5758" s="1"/>
      <c r="F5758" s="1"/>
      <c r="G5758" s="1"/>
      <c r="H5758" s="1"/>
      <c r="I5758" s="1"/>
      <c r="J5758" s="1"/>
      <c r="K5758" s="89" t="s">
        <v>8977</v>
      </c>
      <c r="L5758" s="89" t="str">
        <f>D258</f>
        <v>C2b1</v>
      </c>
      <c r="M5758" s="89"/>
      <c r="N5758" s="89" t="s">
        <v>8978</v>
      </c>
      <c r="O5758" s="92">
        <v>2.1365572E7</v>
      </c>
      <c r="P5758" s="92">
        <v>1.9203686E7</v>
      </c>
      <c r="Q5758" s="89" t="s">
        <v>879</v>
      </c>
      <c r="AF5758" s="1"/>
      <c r="AG5758" s="1"/>
    </row>
    <row r="5759" ht="15.75" customHeight="1">
      <c r="A5759" s="1"/>
      <c r="B5759" s="1"/>
      <c r="C5759" s="1"/>
      <c r="D5759" s="1"/>
      <c r="E5759" s="1"/>
      <c r="F5759" s="1"/>
      <c r="G5759" s="1"/>
      <c r="H5759" s="1"/>
      <c r="I5759" s="1"/>
      <c r="J5759" s="1"/>
      <c r="K5759" s="89" t="s">
        <v>8979</v>
      </c>
      <c r="L5759" s="89" t="str">
        <f>D258</f>
        <v>C2b1</v>
      </c>
      <c r="M5759" s="89"/>
      <c r="N5759" s="89" t="s">
        <v>8980</v>
      </c>
      <c r="O5759" s="92">
        <v>2.2178215E7</v>
      </c>
      <c r="P5759" s="92">
        <v>2.0016329E7</v>
      </c>
      <c r="Q5759" s="89" t="s">
        <v>879</v>
      </c>
      <c r="AF5759" s="1"/>
      <c r="AG5759" s="1"/>
    </row>
    <row r="5760" ht="15.75" customHeight="1">
      <c r="A5760" s="1"/>
      <c r="B5760" s="1"/>
      <c r="C5760" s="1"/>
      <c r="D5760" s="1"/>
      <c r="E5760" s="1"/>
      <c r="F5760" s="1"/>
      <c r="G5760" s="1"/>
      <c r="H5760" s="1"/>
      <c r="I5760" s="1"/>
      <c r="J5760" s="1"/>
      <c r="K5760" s="89" t="s">
        <v>8981</v>
      </c>
      <c r="L5760" s="89" t="str">
        <f>D258</f>
        <v>C2b1</v>
      </c>
      <c r="M5760" s="89"/>
      <c r="N5760" s="89" t="s">
        <v>8982</v>
      </c>
      <c r="O5760" s="92">
        <v>2.22129E7</v>
      </c>
      <c r="P5760" s="92">
        <v>2.0051014E7</v>
      </c>
      <c r="Q5760" s="89" t="s">
        <v>810</v>
      </c>
      <c r="AF5760" s="1"/>
      <c r="AG5760" s="1"/>
    </row>
    <row r="5761" ht="15.75" customHeight="1">
      <c r="A5761" s="1"/>
      <c r="B5761" s="1"/>
      <c r="C5761" s="1"/>
      <c r="D5761" s="1"/>
      <c r="E5761" s="1"/>
      <c r="F5761" s="1"/>
      <c r="G5761" s="1"/>
      <c r="H5761" s="1"/>
      <c r="I5761" s="1"/>
      <c r="J5761" s="1"/>
      <c r="K5761" s="89" t="s">
        <v>8983</v>
      </c>
      <c r="L5761" s="89" t="str">
        <f>D258</f>
        <v>C2b1</v>
      </c>
      <c r="M5761" s="89"/>
      <c r="N5761" s="89" t="s">
        <v>8984</v>
      </c>
      <c r="O5761" s="92">
        <v>2.2576141E7</v>
      </c>
      <c r="P5761" s="92">
        <v>2.0414255E7</v>
      </c>
      <c r="Q5761" s="89" t="s">
        <v>838</v>
      </c>
      <c r="AF5761" s="1"/>
      <c r="AG5761" s="1"/>
    </row>
    <row r="5762" ht="15.75" customHeight="1">
      <c r="A5762" s="1"/>
      <c r="B5762" s="1"/>
      <c r="C5762" s="1"/>
      <c r="D5762" s="1"/>
      <c r="E5762" s="1"/>
      <c r="F5762" s="1"/>
      <c r="G5762" s="1"/>
      <c r="H5762" s="1"/>
      <c r="I5762" s="1"/>
      <c r="J5762" s="1"/>
      <c r="K5762" s="89" t="s">
        <v>8985</v>
      </c>
      <c r="L5762" s="89" t="str">
        <f>D258</f>
        <v>C2b1</v>
      </c>
      <c r="M5762" s="89"/>
      <c r="N5762" s="89" t="s">
        <v>8986</v>
      </c>
      <c r="O5762" s="92">
        <v>2.3050063E7</v>
      </c>
      <c r="P5762" s="92">
        <v>2.0888177E7</v>
      </c>
      <c r="Q5762" s="89" t="s">
        <v>802</v>
      </c>
      <c r="AF5762" s="1"/>
      <c r="AG5762" s="1"/>
    </row>
    <row r="5763" ht="15.75" customHeight="1">
      <c r="A5763" s="1"/>
      <c r="B5763" s="1"/>
      <c r="C5763" s="1"/>
      <c r="D5763" s="1"/>
      <c r="E5763" s="1"/>
      <c r="F5763" s="1"/>
      <c r="G5763" s="1"/>
      <c r="H5763" s="1"/>
      <c r="I5763" s="1"/>
      <c r="J5763" s="1"/>
      <c r="K5763" s="89" t="s">
        <v>8987</v>
      </c>
      <c r="L5763" s="89" t="str">
        <f>D258</f>
        <v>C2b1</v>
      </c>
      <c r="M5763" s="89"/>
      <c r="N5763" s="89" t="s">
        <v>8988</v>
      </c>
      <c r="O5763" s="92">
        <v>2.3530416E7</v>
      </c>
      <c r="P5763" s="92">
        <v>2.136853E7</v>
      </c>
      <c r="Q5763" s="89" t="s">
        <v>838</v>
      </c>
      <c r="AF5763" s="1"/>
      <c r="AG5763" s="1"/>
    </row>
    <row r="5764" ht="15.75" customHeight="1">
      <c r="A5764" s="1"/>
      <c r="B5764" s="1"/>
      <c r="C5764" s="1"/>
      <c r="D5764" s="1"/>
      <c r="E5764" s="1"/>
      <c r="F5764" s="1"/>
      <c r="G5764" s="1"/>
      <c r="H5764" s="1"/>
      <c r="I5764" s="1"/>
      <c r="J5764" s="1"/>
      <c r="K5764" s="89" t="s">
        <v>8989</v>
      </c>
      <c r="L5764" s="89" t="str">
        <f>D258</f>
        <v>C2b1</v>
      </c>
      <c r="M5764" s="89" t="s">
        <v>8990</v>
      </c>
      <c r="N5764" s="89" t="s">
        <v>8991</v>
      </c>
      <c r="O5764" s="92">
        <v>2.3605622E7</v>
      </c>
      <c r="P5764" s="92">
        <v>2.1443736E7</v>
      </c>
      <c r="Q5764" s="89" t="s">
        <v>802</v>
      </c>
      <c r="AF5764" s="1"/>
      <c r="AG5764" s="1"/>
    </row>
    <row r="5765" ht="15.75" customHeight="1">
      <c r="A5765" s="1"/>
      <c r="B5765" s="1"/>
      <c r="C5765" s="1"/>
      <c r="D5765" s="1"/>
      <c r="E5765" s="1"/>
      <c r="F5765" s="1"/>
      <c r="G5765" s="1"/>
      <c r="H5765" s="1"/>
      <c r="I5765" s="1"/>
      <c r="J5765" s="1"/>
      <c r="K5765" s="89" t="s">
        <v>8990</v>
      </c>
      <c r="L5765" s="89" t="str">
        <f>D258</f>
        <v>C2b1</v>
      </c>
      <c r="M5765" s="89" t="s">
        <v>8989</v>
      </c>
      <c r="N5765" s="89" t="s">
        <v>8991</v>
      </c>
      <c r="O5765" s="92">
        <v>2.3605622E7</v>
      </c>
      <c r="P5765" s="92">
        <v>2.1443736E7</v>
      </c>
      <c r="Q5765" s="89" t="s">
        <v>802</v>
      </c>
      <c r="AF5765" s="1"/>
      <c r="AG5765" s="1"/>
    </row>
    <row r="5766" ht="15.75" customHeight="1">
      <c r="A5766" s="1"/>
      <c r="B5766" s="1"/>
      <c r="C5766" s="1"/>
      <c r="D5766" s="1"/>
      <c r="E5766" s="1"/>
      <c r="F5766" s="1"/>
      <c r="G5766" s="1"/>
      <c r="H5766" s="1"/>
      <c r="I5766" s="1"/>
      <c r="J5766" s="1"/>
      <c r="K5766" s="89" t="s">
        <v>8992</v>
      </c>
      <c r="L5766" s="89" t="str">
        <f>D258</f>
        <v>C2b1</v>
      </c>
      <c r="M5766" s="89"/>
      <c r="N5766" s="89" t="s">
        <v>8993</v>
      </c>
      <c r="O5766" s="92">
        <v>2.3621548E7</v>
      </c>
      <c r="P5766" s="92">
        <v>2.1459662E7</v>
      </c>
      <c r="Q5766" s="89" t="s">
        <v>802</v>
      </c>
      <c r="AF5766" s="1"/>
      <c r="AG5766" s="1"/>
    </row>
    <row r="5767" ht="15.75" customHeight="1">
      <c r="A5767" s="1"/>
      <c r="B5767" s="1"/>
      <c r="C5767" s="1"/>
      <c r="D5767" s="1"/>
      <c r="E5767" s="1"/>
      <c r="F5767" s="1"/>
      <c r="G5767" s="1"/>
      <c r="H5767" s="1"/>
      <c r="I5767" s="1"/>
      <c r="J5767" s="1"/>
      <c r="K5767" s="89" t="s">
        <v>8994</v>
      </c>
      <c r="L5767" s="89" t="str">
        <f>D258</f>
        <v>C2b1</v>
      </c>
      <c r="M5767" s="89"/>
      <c r="N5767" s="89" t="s">
        <v>8995</v>
      </c>
      <c r="O5767" s="92">
        <v>2.3978653E7</v>
      </c>
      <c r="P5767" s="92">
        <v>2.1832506E7</v>
      </c>
      <c r="Q5767" s="89" t="s">
        <v>813</v>
      </c>
      <c r="AF5767" s="1"/>
      <c r="AG5767" s="1"/>
    </row>
    <row r="5768" ht="15.75" customHeight="1">
      <c r="A5768" s="1"/>
      <c r="B5768" s="1"/>
      <c r="C5768" s="1"/>
      <c r="D5768" s="1"/>
      <c r="E5768" s="1"/>
      <c r="F5768" s="1"/>
      <c r="G5768" s="1"/>
      <c r="H5768" s="1"/>
      <c r="I5768" s="1"/>
      <c r="J5768" s="1"/>
      <c r="K5768" s="89" t="s">
        <v>8996</v>
      </c>
      <c r="L5768" s="89" t="str">
        <f>D258</f>
        <v>C2b1</v>
      </c>
      <c r="M5768" s="89" t="s">
        <v>8997</v>
      </c>
      <c r="N5768" s="89" t="s">
        <v>8998</v>
      </c>
      <c r="O5768" s="92">
        <v>6878048.0</v>
      </c>
      <c r="P5768" s="92">
        <v>7010007.0</v>
      </c>
      <c r="Q5768" s="89" t="s">
        <v>912</v>
      </c>
      <c r="AF5768" s="1"/>
      <c r="AG5768" s="1"/>
    </row>
    <row r="5769" ht="15.75" customHeight="1">
      <c r="A5769" s="1"/>
      <c r="B5769" s="1"/>
      <c r="C5769" s="1"/>
      <c r="D5769" s="1"/>
      <c r="E5769" s="1"/>
      <c r="F5769" s="1"/>
      <c r="G5769" s="1"/>
      <c r="H5769" s="1"/>
      <c r="I5769" s="1"/>
      <c r="J5769" s="1"/>
      <c r="K5769" s="89" t="s">
        <v>8997</v>
      </c>
      <c r="L5769" s="89" t="str">
        <f>D258</f>
        <v>C2b1</v>
      </c>
      <c r="M5769" s="89" t="s">
        <v>8996</v>
      </c>
      <c r="N5769" s="89" t="s">
        <v>8998</v>
      </c>
      <c r="O5769" s="92">
        <v>6878048.0</v>
      </c>
      <c r="P5769" s="92">
        <v>7010007.0</v>
      </c>
      <c r="Q5769" s="89" t="s">
        <v>912</v>
      </c>
      <c r="AF5769" s="1"/>
      <c r="AG5769" s="1"/>
    </row>
    <row r="5770" ht="15.75" customHeight="1">
      <c r="A5770" s="1"/>
      <c r="B5770" s="1"/>
      <c r="C5770" s="1"/>
      <c r="D5770" s="1"/>
      <c r="E5770" s="1"/>
      <c r="F5770" s="1"/>
      <c r="G5770" s="1"/>
      <c r="H5770" s="1"/>
      <c r="I5770" s="1"/>
      <c r="J5770" s="1"/>
      <c r="K5770" s="89" t="s">
        <v>8999</v>
      </c>
      <c r="L5770" s="89" t="str">
        <f>D258</f>
        <v>C2b1</v>
      </c>
      <c r="M5770" s="89"/>
      <c r="N5770" s="89" t="s">
        <v>9000</v>
      </c>
      <c r="O5770" s="92">
        <v>8391108.0</v>
      </c>
      <c r="P5770" s="92">
        <v>8523067.0</v>
      </c>
      <c r="Q5770" s="89" t="s">
        <v>912</v>
      </c>
      <c r="AF5770" s="1"/>
      <c r="AG5770" s="1"/>
    </row>
    <row r="5771" ht="15.75" customHeight="1">
      <c r="A5771" s="1"/>
      <c r="B5771" s="1"/>
      <c r="C5771" s="1"/>
      <c r="D5771" s="1"/>
      <c r="E5771" s="1"/>
      <c r="F5771" s="1"/>
      <c r="G5771" s="1"/>
      <c r="H5771" s="1"/>
      <c r="I5771" s="1"/>
      <c r="J5771" s="1"/>
      <c r="K5771" s="89" t="s">
        <v>9001</v>
      </c>
      <c r="L5771" s="89" t="str">
        <f>D258</f>
        <v>C2b1</v>
      </c>
      <c r="M5771" s="89"/>
      <c r="N5771" s="89" t="s">
        <v>9002</v>
      </c>
      <c r="O5771" s="92">
        <v>9085444.0</v>
      </c>
      <c r="P5771" s="92">
        <v>9247835.0</v>
      </c>
      <c r="Q5771" s="89" t="s">
        <v>802</v>
      </c>
      <c r="AF5771" s="1"/>
      <c r="AG5771" s="1"/>
    </row>
    <row r="5772" ht="15.75" customHeight="1">
      <c r="A5772" s="1"/>
      <c r="B5772" s="1"/>
      <c r="C5772" s="1"/>
      <c r="D5772" s="1"/>
      <c r="E5772" s="1"/>
      <c r="F5772" s="1"/>
      <c r="G5772" s="1"/>
      <c r="H5772" s="1"/>
      <c r="I5772" s="1"/>
      <c r="J5772" s="1"/>
      <c r="K5772" s="89" t="s">
        <v>9003</v>
      </c>
      <c r="L5772" s="89" t="str">
        <f>D258</f>
        <v>C2b1</v>
      </c>
      <c r="M5772" s="89"/>
      <c r="N5772" s="89" t="s">
        <v>9004</v>
      </c>
      <c r="O5772" s="92">
        <v>9758675.0</v>
      </c>
      <c r="P5772" s="92">
        <v>9921066.0</v>
      </c>
      <c r="Q5772" s="89" t="s">
        <v>864</v>
      </c>
      <c r="AF5772" s="1"/>
      <c r="AG5772" s="1"/>
    </row>
    <row r="5773" ht="15.75" customHeight="1">
      <c r="A5773" s="1"/>
      <c r="B5773" s="1"/>
      <c r="C5773" s="1"/>
      <c r="D5773" s="1"/>
      <c r="E5773" s="1"/>
      <c r="F5773" s="1"/>
      <c r="G5773" s="1"/>
      <c r="H5773" s="1"/>
      <c r="I5773" s="1"/>
      <c r="J5773" s="1"/>
      <c r="K5773" s="89" t="s">
        <v>9005</v>
      </c>
      <c r="L5773" s="89" t="str">
        <f>D258</f>
        <v>C2b1</v>
      </c>
      <c r="M5773" s="89"/>
      <c r="N5773" s="89" t="s">
        <v>9006</v>
      </c>
      <c r="O5773" s="92">
        <v>1.7720134E7</v>
      </c>
      <c r="P5773" s="92">
        <v>1.5608254E7</v>
      </c>
      <c r="Q5773" s="89" t="s">
        <v>886</v>
      </c>
      <c r="AF5773" s="1"/>
      <c r="AG5773" s="1"/>
    </row>
    <row r="5774" ht="15.75" customHeight="1">
      <c r="A5774" s="1"/>
      <c r="B5774" s="1"/>
      <c r="C5774" s="1"/>
      <c r="D5774" s="1"/>
      <c r="E5774" s="1"/>
      <c r="F5774" s="1"/>
      <c r="G5774" s="1"/>
      <c r="H5774" s="1"/>
      <c r="I5774" s="1"/>
      <c r="J5774" s="1"/>
      <c r="K5774" s="89" t="s">
        <v>9007</v>
      </c>
      <c r="L5774" s="89" t="str">
        <f>D258</f>
        <v>C2b1</v>
      </c>
      <c r="M5774" s="89"/>
      <c r="N5774" s="89" t="s">
        <v>9008</v>
      </c>
      <c r="O5774" s="92">
        <v>1.7792483E7</v>
      </c>
      <c r="P5774" s="92">
        <v>1.5680603E7</v>
      </c>
      <c r="Q5774" s="89" t="s">
        <v>864</v>
      </c>
      <c r="AF5774" s="1"/>
      <c r="AG5774" s="1"/>
    </row>
    <row r="5775" ht="15.75" customHeight="1">
      <c r="A5775" s="1"/>
      <c r="B5775" s="1"/>
      <c r="C5775" s="1"/>
      <c r="D5775" s="1"/>
      <c r="E5775" s="1"/>
      <c r="F5775" s="1"/>
      <c r="G5775" s="1"/>
      <c r="H5775" s="1"/>
      <c r="I5775" s="1"/>
      <c r="J5775" s="1"/>
      <c r="K5775" s="89" t="s">
        <v>9009</v>
      </c>
      <c r="L5775" s="89" t="str">
        <f>D258</f>
        <v>C2b1</v>
      </c>
      <c r="M5775" s="89"/>
      <c r="N5775" s="89" t="s">
        <v>9010</v>
      </c>
      <c r="O5775" s="92">
        <v>1.7810927E7</v>
      </c>
      <c r="P5775" s="92">
        <v>1.5699047E7</v>
      </c>
      <c r="Q5775" s="89" t="s">
        <v>810</v>
      </c>
      <c r="AF5775" s="1"/>
      <c r="AG5775" s="1"/>
    </row>
    <row r="5776" ht="15.75" customHeight="1">
      <c r="A5776" s="1"/>
      <c r="B5776" s="1"/>
      <c r="C5776" s="1"/>
      <c r="D5776" s="1"/>
      <c r="E5776" s="1"/>
      <c r="F5776" s="1"/>
      <c r="G5776" s="1"/>
      <c r="H5776" s="1"/>
      <c r="I5776" s="1"/>
      <c r="J5776" s="1"/>
      <c r="K5776" s="89" t="s">
        <v>9011</v>
      </c>
      <c r="L5776" s="89" t="str">
        <f>D258</f>
        <v>C2b1</v>
      </c>
      <c r="M5776" s="89"/>
      <c r="N5776" s="89" t="s">
        <v>9012</v>
      </c>
      <c r="O5776" s="92">
        <v>7557268.0</v>
      </c>
      <c r="P5776" s="92">
        <v>7689227.0</v>
      </c>
      <c r="Q5776" s="89" t="s">
        <v>802</v>
      </c>
      <c r="AF5776" s="1"/>
      <c r="AG5776" s="1"/>
    </row>
    <row r="5777" ht="15.75" customHeight="1">
      <c r="A5777" s="1"/>
      <c r="B5777" s="1"/>
      <c r="C5777" s="1"/>
      <c r="D5777" s="1"/>
      <c r="E5777" s="1"/>
      <c r="F5777" s="1"/>
      <c r="G5777" s="1"/>
      <c r="H5777" s="1"/>
      <c r="I5777" s="1"/>
      <c r="J5777" s="1"/>
      <c r="K5777" s="89" t="s">
        <v>9013</v>
      </c>
      <c r="L5777" s="89" t="str">
        <f>D258</f>
        <v>C2b1</v>
      </c>
      <c r="M5777" s="89"/>
      <c r="N5777" s="89" t="s">
        <v>9014</v>
      </c>
      <c r="O5777" s="92">
        <v>1.3991351E7</v>
      </c>
      <c r="P5777" s="92">
        <v>1.1870645E7</v>
      </c>
      <c r="Q5777" s="89" t="s">
        <v>912</v>
      </c>
      <c r="AF5777" s="1"/>
      <c r="AG5777" s="1"/>
    </row>
    <row r="5778" ht="15.75" customHeight="1">
      <c r="A5778" s="1"/>
      <c r="B5778" s="1"/>
      <c r="C5778" s="1"/>
      <c r="D5778" s="1"/>
      <c r="E5778" s="1"/>
      <c r="F5778" s="1"/>
      <c r="G5778" s="1"/>
      <c r="H5778" s="1"/>
      <c r="I5778" s="1"/>
      <c r="J5778" s="1"/>
      <c r="K5778" s="89" t="s">
        <v>9015</v>
      </c>
      <c r="L5778" s="89" t="str">
        <f>D258</f>
        <v>C2b1</v>
      </c>
      <c r="M5778" s="89"/>
      <c r="N5778" s="89" t="s">
        <v>9016</v>
      </c>
      <c r="O5778" s="92">
        <v>1.5964912E7</v>
      </c>
      <c r="P5778" s="92">
        <v>1.3853032E7</v>
      </c>
      <c r="Q5778" s="89" t="s">
        <v>912</v>
      </c>
      <c r="AF5778" s="1"/>
      <c r="AG5778" s="1"/>
    </row>
    <row r="5779" ht="15.75" customHeight="1">
      <c r="A5779" s="1"/>
      <c r="B5779" s="1"/>
      <c r="C5779" s="1"/>
      <c r="D5779" s="1"/>
      <c r="E5779" s="1"/>
      <c r="F5779" s="1"/>
      <c r="G5779" s="1"/>
      <c r="H5779" s="1"/>
      <c r="I5779" s="1"/>
      <c r="J5779" s="1"/>
      <c r="K5779" s="89" t="s">
        <v>9017</v>
      </c>
      <c r="L5779" s="89" t="str">
        <f>D258</f>
        <v>C2b1</v>
      </c>
      <c r="M5779" s="89" t="s">
        <v>9018</v>
      </c>
      <c r="N5779" s="89" t="s">
        <v>9019</v>
      </c>
      <c r="O5779" s="92">
        <v>2.124937E7</v>
      </c>
      <c r="P5779" s="92">
        <v>1.9087484E7</v>
      </c>
      <c r="Q5779" s="89" t="s">
        <v>822</v>
      </c>
      <c r="AF5779" s="1"/>
      <c r="AG5779" s="1"/>
    </row>
    <row r="5780" ht="15.75" customHeight="1">
      <c r="A5780" s="1"/>
      <c r="B5780" s="1"/>
      <c r="C5780" s="1"/>
      <c r="D5780" s="1"/>
      <c r="E5780" s="1"/>
      <c r="F5780" s="1"/>
      <c r="G5780" s="1"/>
      <c r="H5780" s="1"/>
      <c r="I5780" s="1"/>
      <c r="J5780" s="1"/>
      <c r="K5780" s="89" t="s">
        <v>9018</v>
      </c>
      <c r="L5780" s="89" t="str">
        <f>D258</f>
        <v>C2b1</v>
      </c>
      <c r="M5780" s="89" t="s">
        <v>9017</v>
      </c>
      <c r="N5780" s="89" t="s">
        <v>9019</v>
      </c>
      <c r="O5780" s="92">
        <v>2.124937E7</v>
      </c>
      <c r="P5780" s="92">
        <v>1.9087484E7</v>
      </c>
      <c r="Q5780" s="89" t="s">
        <v>822</v>
      </c>
      <c r="AF5780" s="1"/>
      <c r="AG5780" s="1"/>
    </row>
    <row r="5781" ht="15.75" customHeight="1">
      <c r="A5781" s="1"/>
      <c r="B5781" s="1"/>
      <c r="C5781" s="1"/>
      <c r="D5781" s="1"/>
      <c r="E5781" s="1"/>
      <c r="F5781" s="1"/>
      <c r="G5781" s="1"/>
      <c r="H5781" s="1"/>
      <c r="I5781" s="1"/>
      <c r="J5781" s="1"/>
      <c r="K5781" s="89" t="s">
        <v>9020</v>
      </c>
      <c r="L5781" s="89" t="str">
        <f>D258</f>
        <v>C2b1</v>
      </c>
      <c r="M5781" s="89"/>
      <c r="N5781" s="89" t="s">
        <v>9021</v>
      </c>
      <c r="O5781" s="92">
        <v>2.1467565E7</v>
      </c>
      <c r="P5781" s="92">
        <v>1.9305679E7</v>
      </c>
      <c r="Q5781" s="89" t="s">
        <v>810</v>
      </c>
      <c r="AF5781" s="1"/>
      <c r="AG5781" s="1"/>
    </row>
    <row r="5782" ht="15.75" customHeight="1">
      <c r="A5782" s="1"/>
      <c r="B5782" s="1"/>
      <c r="C5782" s="1"/>
      <c r="D5782" s="1"/>
      <c r="E5782" s="1"/>
      <c r="F5782" s="1"/>
      <c r="G5782" s="1"/>
      <c r="H5782" s="1"/>
      <c r="I5782" s="1"/>
      <c r="J5782" s="1"/>
      <c r="K5782" s="89" t="s">
        <v>9022</v>
      </c>
      <c r="L5782" s="89" t="str">
        <f>D258</f>
        <v>C2b1</v>
      </c>
      <c r="M5782" s="89"/>
      <c r="N5782" s="89" t="s">
        <v>9023</v>
      </c>
      <c r="O5782" s="92">
        <v>7786240.0</v>
      </c>
      <c r="P5782" s="92">
        <v>7918199.0</v>
      </c>
      <c r="Q5782" s="89" t="s">
        <v>813</v>
      </c>
      <c r="AF5782" s="1"/>
      <c r="AG5782" s="1"/>
    </row>
    <row r="5783" ht="15.75" customHeight="1">
      <c r="A5783" s="1"/>
      <c r="B5783" s="1"/>
      <c r="C5783" s="1"/>
      <c r="D5783" s="1"/>
      <c r="E5783" s="1"/>
      <c r="F5783" s="1"/>
      <c r="G5783" s="1"/>
      <c r="H5783" s="1"/>
      <c r="I5783" s="1"/>
      <c r="J5783" s="1"/>
      <c r="K5783" s="89" t="s">
        <v>9024</v>
      </c>
      <c r="L5783" s="89" t="str">
        <f>D258</f>
        <v>C2b1</v>
      </c>
      <c r="M5783" s="89"/>
      <c r="N5783" s="89" t="s">
        <v>9025</v>
      </c>
      <c r="O5783" s="92">
        <v>8252836.0</v>
      </c>
      <c r="P5783" s="92">
        <v>8384795.0</v>
      </c>
      <c r="Q5783" s="89" t="s">
        <v>879</v>
      </c>
      <c r="AF5783" s="1"/>
      <c r="AG5783" s="1"/>
    </row>
    <row r="5784" ht="15.75" customHeight="1">
      <c r="A5784" s="1"/>
      <c r="B5784" s="1"/>
      <c r="C5784" s="1"/>
      <c r="D5784" s="1"/>
      <c r="E5784" s="1"/>
      <c r="F5784" s="1"/>
      <c r="G5784" s="1"/>
      <c r="H5784" s="1"/>
      <c r="I5784" s="1"/>
      <c r="J5784" s="1"/>
      <c r="K5784" s="89" t="s">
        <v>9026</v>
      </c>
      <c r="L5784" s="89" t="str">
        <f>D258</f>
        <v>C2b1</v>
      </c>
      <c r="M5784" s="89"/>
      <c r="N5784" s="89" t="s">
        <v>9027</v>
      </c>
      <c r="O5784" s="92">
        <v>9051841.0</v>
      </c>
      <c r="P5784" s="92">
        <v>9214232.0</v>
      </c>
      <c r="Q5784" s="89" t="s">
        <v>845</v>
      </c>
      <c r="AF5784" s="1"/>
      <c r="AG5784" s="1"/>
    </row>
    <row r="5785" ht="15.75" customHeight="1">
      <c r="A5785" s="1"/>
      <c r="B5785" s="1"/>
      <c r="C5785" s="1"/>
      <c r="D5785" s="1"/>
      <c r="E5785" s="1"/>
      <c r="F5785" s="1"/>
      <c r="G5785" s="1"/>
      <c r="H5785" s="1"/>
      <c r="I5785" s="1"/>
      <c r="J5785" s="1"/>
      <c r="K5785" s="89" t="s">
        <v>9028</v>
      </c>
      <c r="L5785" s="89" t="str">
        <f>D258</f>
        <v>C2b1</v>
      </c>
      <c r="M5785" s="89"/>
      <c r="N5785" s="89"/>
      <c r="O5785" s="89">
        <v>9946291.0</v>
      </c>
      <c r="P5785" s="89">
        <v>1.0108682E7</v>
      </c>
      <c r="Q5785" s="89" t="s">
        <v>813</v>
      </c>
      <c r="AF5785" s="1"/>
      <c r="AG5785" s="1"/>
    </row>
    <row r="5786" ht="15.75" customHeight="1">
      <c r="A5786" s="1"/>
      <c r="B5786" s="1"/>
      <c r="C5786" s="1"/>
      <c r="D5786" s="1"/>
      <c r="E5786" s="1"/>
      <c r="F5786" s="1"/>
      <c r="G5786" s="1"/>
      <c r="H5786" s="1"/>
      <c r="I5786" s="1"/>
      <c r="J5786" s="1"/>
      <c r="K5786" s="89" t="s">
        <v>9029</v>
      </c>
      <c r="L5786" s="89" t="str">
        <f>D258</f>
        <v>C2b1</v>
      </c>
      <c r="M5786" s="89"/>
      <c r="N5786" s="89"/>
      <c r="O5786" s="92">
        <v>9983373.0</v>
      </c>
      <c r="P5786" s="92">
        <v>1.0145764E7</v>
      </c>
      <c r="Q5786" s="89" t="s">
        <v>822</v>
      </c>
      <c r="AF5786" s="1"/>
      <c r="AG5786" s="1"/>
    </row>
    <row r="5787" ht="15.75" customHeight="1">
      <c r="A5787" s="1"/>
      <c r="B5787" s="1"/>
      <c r="C5787" s="1"/>
      <c r="D5787" s="1"/>
      <c r="E5787" s="1"/>
      <c r="F5787" s="1"/>
      <c r="G5787" s="1"/>
      <c r="H5787" s="1"/>
      <c r="I5787" s="1"/>
      <c r="J5787" s="1"/>
      <c r="K5787" s="89" t="s">
        <v>9030</v>
      </c>
      <c r="L5787" s="89" t="str">
        <f>D258</f>
        <v>C2b1</v>
      </c>
      <c r="M5787" s="89"/>
      <c r="N5787" s="89" t="s">
        <v>9031</v>
      </c>
      <c r="O5787" s="92">
        <v>9997924.0</v>
      </c>
      <c r="P5787" s="92">
        <v>1.0160315E7</v>
      </c>
      <c r="Q5787" s="89" t="s">
        <v>822</v>
      </c>
      <c r="AF5787" s="1"/>
      <c r="AG5787" s="1"/>
    </row>
    <row r="5788" ht="15.75" customHeight="1">
      <c r="A5788" s="1"/>
      <c r="B5788" s="1"/>
      <c r="C5788" s="1"/>
      <c r="D5788" s="1"/>
      <c r="E5788" s="1"/>
      <c r="F5788" s="1"/>
      <c r="G5788" s="1"/>
      <c r="H5788" s="1"/>
      <c r="I5788" s="1"/>
      <c r="J5788" s="1"/>
      <c r="K5788" s="89" t="s">
        <v>9032</v>
      </c>
      <c r="L5788" s="89" t="str">
        <f>D258</f>
        <v>C2b1</v>
      </c>
      <c r="M5788" s="89"/>
      <c r="N5788" s="89" t="s">
        <v>9033</v>
      </c>
      <c r="O5788" s="92">
        <v>1.0051096E7</v>
      </c>
      <c r="P5788" s="92">
        <v>1.0213487E7</v>
      </c>
      <c r="Q5788" s="89" t="s">
        <v>810</v>
      </c>
      <c r="AF5788" s="1"/>
      <c r="AG5788" s="1"/>
    </row>
    <row r="5789" ht="15.75" customHeight="1">
      <c r="A5789" s="1"/>
      <c r="B5789" s="1"/>
      <c r="C5789" s="1"/>
      <c r="D5789" s="1"/>
      <c r="E5789" s="1"/>
      <c r="F5789" s="1"/>
      <c r="G5789" s="1"/>
      <c r="H5789" s="1"/>
      <c r="I5789" s="1"/>
      <c r="J5789" s="1"/>
      <c r="K5789" s="89" t="s">
        <v>9034</v>
      </c>
      <c r="L5789" s="89" t="str">
        <f>D258</f>
        <v>C2b1</v>
      </c>
      <c r="M5789" s="89"/>
      <c r="N5789" s="89" t="s">
        <v>9035</v>
      </c>
      <c r="O5789" s="89">
        <v>1.5022939E7</v>
      </c>
      <c r="P5789" s="89">
        <v>1.2911027E7</v>
      </c>
      <c r="Q5789" s="89" t="s">
        <v>802</v>
      </c>
      <c r="AF5789" s="1"/>
      <c r="AG5789" s="1"/>
    </row>
    <row r="5790" ht="15.75" customHeight="1">
      <c r="A5790" s="1"/>
      <c r="B5790" s="1"/>
      <c r="C5790" s="1"/>
      <c r="D5790" s="1"/>
      <c r="E5790" s="1"/>
      <c r="F5790" s="1"/>
      <c r="G5790" s="1"/>
      <c r="H5790" s="1"/>
      <c r="I5790" s="1"/>
      <c r="J5790" s="1"/>
      <c r="K5790" s="89" t="s">
        <v>9036</v>
      </c>
      <c r="L5790" s="89" t="str">
        <f>D258</f>
        <v>C2b1</v>
      </c>
      <c r="M5790" s="89"/>
      <c r="N5790" s="89" t="s">
        <v>9037</v>
      </c>
      <c r="O5790" s="92">
        <v>2.1761737E7</v>
      </c>
      <c r="P5790" s="92">
        <v>1.9599851E7</v>
      </c>
      <c r="Q5790" s="89" t="s">
        <v>886</v>
      </c>
      <c r="AF5790" s="1"/>
      <c r="AG5790" s="1"/>
    </row>
    <row r="5791" ht="15.75" customHeight="1">
      <c r="A5791" s="1"/>
      <c r="B5791" s="1"/>
      <c r="C5791" s="1"/>
      <c r="D5791" s="1"/>
      <c r="E5791" s="1"/>
      <c r="F5791" s="1"/>
      <c r="G5791" s="1"/>
      <c r="H5791" s="1"/>
      <c r="I5791" s="1"/>
      <c r="J5791" s="1"/>
      <c r="K5791" s="89" t="s">
        <v>9038</v>
      </c>
      <c r="L5791" s="89" t="str">
        <f>D258</f>
        <v>C2b1</v>
      </c>
      <c r="M5791" s="89" t="s">
        <v>9039</v>
      </c>
      <c r="N5791" s="89" t="s">
        <v>9040</v>
      </c>
      <c r="O5791" s="92">
        <v>2.1136028E7</v>
      </c>
      <c r="P5791" s="92">
        <v>1.8974142E7</v>
      </c>
      <c r="Q5791" s="89" t="s">
        <v>864</v>
      </c>
      <c r="AF5791" s="1"/>
      <c r="AG5791" s="1"/>
    </row>
    <row r="5792" ht="15.75" customHeight="1">
      <c r="A5792" s="1"/>
      <c r="B5792" s="1"/>
      <c r="C5792" s="1"/>
      <c r="D5792" s="1"/>
      <c r="E5792" s="1"/>
      <c r="F5792" s="1"/>
      <c r="G5792" s="1"/>
      <c r="H5792" s="1"/>
      <c r="I5792" s="1"/>
      <c r="J5792" s="1"/>
      <c r="K5792" s="89" t="s">
        <v>9039</v>
      </c>
      <c r="L5792" s="89" t="str">
        <f>D258</f>
        <v>C2b1</v>
      </c>
      <c r="M5792" s="89" t="s">
        <v>9038</v>
      </c>
      <c r="N5792" s="89" t="s">
        <v>9040</v>
      </c>
      <c r="O5792" s="92">
        <v>2.1136028E7</v>
      </c>
      <c r="P5792" s="92">
        <v>1.8974142E7</v>
      </c>
      <c r="Q5792" s="89" t="s">
        <v>864</v>
      </c>
      <c r="AF5792" s="1"/>
      <c r="AG5792" s="1"/>
    </row>
    <row r="5793" ht="15.75" customHeight="1">
      <c r="A5793" s="1"/>
      <c r="B5793" s="1"/>
      <c r="C5793" s="1"/>
      <c r="D5793" s="1"/>
      <c r="E5793" s="1"/>
      <c r="F5793" s="1"/>
      <c r="G5793" s="1"/>
      <c r="H5793" s="1"/>
      <c r="I5793" s="1"/>
      <c r="J5793" s="1"/>
      <c r="K5793" s="89" t="s">
        <v>9041</v>
      </c>
      <c r="L5793" s="89" t="str">
        <f>D258</f>
        <v>C2b1</v>
      </c>
      <c r="M5793" s="89" t="s">
        <v>9042</v>
      </c>
      <c r="N5793" s="89" t="s">
        <v>9043</v>
      </c>
      <c r="O5793" s="92">
        <v>2.3477687E7</v>
      </c>
      <c r="P5793" s="92">
        <v>2.1315801E7</v>
      </c>
      <c r="Q5793" s="89" t="s">
        <v>802</v>
      </c>
      <c r="AF5793" s="1"/>
      <c r="AG5793" s="1"/>
    </row>
    <row r="5794" ht="15.75" customHeight="1">
      <c r="A5794" s="1"/>
      <c r="B5794" s="1"/>
      <c r="C5794" s="1"/>
      <c r="D5794" s="1"/>
      <c r="E5794" s="1"/>
      <c r="F5794" s="1"/>
      <c r="G5794" s="1"/>
      <c r="H5794" s="1"/>
      <c r="I5794" s="1"/>
      <c r="J5794" s="1"/>
      <c r="K5794" s="89" t="s">
        <v>9042</v>
      </c>
      <c r="L5794" s="89" t="str">
        <f>D258</f>
        <v>C2b1</v>
      </c>
      <c r="M5794" s="89" t="s">
        <v>9041</v>
      </c>
      <c r="N5794" s="89" t="s">
        <v>9043</v>
      </c>
      <c r="O5794" s="92">
        <v>2.3477687E7</v>
      </c>
      <c r="P5794" s="92">
        <v>2.1315801E7</v>
      </c>
      <c r="Q5794" s="89" t="s">
        <v>802</v>
      </c>
      <c r="AF5794" s="1"/>
      <c r="AG5794" s="1"/>
    </row>
    <row r="5795" ht="15.75" customHeight="1">
      <c r="A5795" s="1"/>
      <c r="B5795" s="1"/>
      <c r="C5795" s="1"/>
      <c r="D5795" s="1"/>
      <c r="E5795" s="1"/>
      <c r="F5795" s="1"/>
      <c r="G5795" s="1"/>
      <c r="H5795" s="1"/>
      <c r="I5795" s="1"/>
      <c r="J5795" s="1"/>
      <c r="K5795" s="89" t="s">
        <v>9044</v>
      </c>
      <c r="L5795" s="89" t="str">
        <f>D258</f>
        <v>C2b1</v>
      </c>
      <c r="M5795" s="89"/>
      <c r="N5795" s="89" t="s">
        <v>9045</v>
      </c>
      <c r="O5795" s="92">
        <v>7721500.0</v>
      </c>
      <c r="P5795" s="92">
        <v>7853459.0</v>
      </c>
      <c r="Q5795" s="89" t="s">
        <v>810</v>
      </c>
      <c r="AF5795" s="1"/>
      <c r="AG5795" s="1"/>
    </row>
    <row r="5796" ht="15.75" customHeight="1">
      <c r="A5796" s="1"/>
      <c r="B5796" s="1"/>
      <c r="C5796" s="1"/>
      <c r="D5796" s="1"/>
      <c r="E5796" s="1"/>
      <c r="F5796" s="1"/>
      <c r="G5796" s="1"/>
      <c r="H5796" s="1"/>
      <c r="I5796" s="1"/>
      <c r="J5796" s="1"/>
      <c r="K5796" s="89" t="s">
        <v>9046</v>
      </c>
      <c r="L5796" s="89" t="str">
        <f>D258</f>
        <v>C2b1</v>
      </c>
      <c r="M5796" s="89"/>
      <c r="N5796" s="89" t="s">
        <v>9047</v>
      </c>
      <c r="O5796" s="92">
        <v>7788727.0</v>
      </c>
      <c r="P5796" s="92">
        <v>7920686.0</v>
      </c>
      <c r="Q5796" s="89" t="s">
        <v>802</v>
      </c>
      <c r="AF5796" s="1"/>
      <c r="AG5796" s="1"/>
    </row>
    <row r="5797" ht="15.75" customHeight="1">
      <c r="A5797" s="1"/>
      <c r="B5797" s="1"/>
      <c r="C5797" s="1"/>
      <c r="D5797" s="1"/>
      <c r="E5797" s="1"/>
      <c r="F5797" s="1"/>
      <c r="G5797" s="1"/>
      <c r="H5797" s="1"/>
      <c r="I5797" s="1"/>
      <c r="J5797" s="1"/>
      <c r="K5797" s="89" t="s">
        <v>9048</v>
      </c>
      <c r="L5797" s="89" t="str">
        <f>D258</f>
        <v>C2b1</v>
      </c>
      <c r="M5797" s="89"/>
      <c r="N5797" s="89" t="s">
        <v>9049</v>
      </c>
      <c r="O5797" s="92">
        <v>8222809.0</v>
      </c>
      <c r="P5797" s="92">
        <v>8354768.0</v>
      </c>
      <c r="Q5797" s="89" t="s">
        <v>813</v>
      </c>
      <c r="AF5797" s="1"/>
      <c r="AG5797" s="1"/>
    </row>
    <row r="5798" ht="15.75" customHeight="1">
      <c r="A5798" s="1"/>
      <c r="B5798" s="1"/>
      <c r="C5798" s="1"/>
      <c r="D5798" s="1"/>
      <c r="E5798" s="1"/>
      <c r="F5798" s="1"/>
      <c r="G5798" s="1"/>
      <c r="H5798" s="1"/>
      <c r="I5798" s="1"/>
      <c r="J5798" s="1"/>
      <c r="K5798" s="89" t="s">
        <v>9050</v>
      </c>
      <c r="L5798" s="89" t="str">
        <f>D258</f>
        <v>C2b1</v>
      </c>
      <c r="M5798" s="89"/>
      <c r="N5798" s="89" t="s">
        <v>9051</v>
      </c>
      <c r="O5798" s="92">
        <v>9063946.0</v>
      </c>
      <c r="P5798" s="92">
        <v>9226337.0</v>
      </c>
      <c r="Q5798" s="89" t="s">
        <v>813</v>
      </c>
      <c r="AF5798" s="1"/>
      <c r="AG5798" s="1"/>
    </row>
    <row r="5799" ht="15.75" customHeight="1">
      <c r="A5799" s="1"/>
      <c r="B5799" s="1"/>
      <c r="C5799" s="1"/>
      <c r="D5799" s="1"/>
      <c r="E5799" s="1"/>
      <c r="F5799" s="1"/>
      <c r="G5799" s="1"/>
      <c r="H5799" s="1"/>
      <c r="I5799" s="1"/>
      <c r="J5799" s="1"/>
      <c r="K5799" s="89" t="s">
        <v>9052</v>
      </c>
      <c r="L5799" s="89" t="str">
        <f>D258</f>
        <v>C2b1</v>
      </c>
      <c r="M5799" s="89"/>
      <c r="N5799" s="89" t="s">
        <v>9053</v>
      </c>
      <c r="O5799" s="92">
        <v>1.3230354E7</v>
      </c>
      <c r="P5799" s="92">
        <v>1.1074678E7</v>
      </c>
      <c r="Q5799" s="89" t="s">
        <v>810</v>
      </c>
      <c r="AF5799" s="1"/>
      <c r="AG5799" s="1"/>
    </row>
    <row r="5800" ht="15.75" customHeight="1">
      <c r="A5800" s="1"/>
      <c r="B5800" s="1"/>
      <c r="C5800" s="1"/>
      <c r="D5800" s="1"/>
      <c r="E5800" s="1"/>
      <c r="F5800" s="1"/>
      <c r="G5800" s="1"/>
      <c r="H5800" s="1"/>
      <c r="I5800" s="1"/>
      <c r="J5800" s="1"/>
      <c r="K5800" s="89" t="s">
        <v>9054</v>
      </c>
      <c r="L5800" s="89" t="str">
        <f>D258</f>
        <v>C2b1</v>
      </c>
      <c r="M5800" s="89"/>
      <c r="N5800" s="89" t="s">
        <v>9055</v>
      </c>
      <c r="O5800" s="92">
        <v>2.1401751E7</v>
      </c>
      <c r="P5800" s="92">
        <v>1.9239865E7</v>
      </c>
      <c r="Q5800" s="89" t="s">
        <v>810</v>
      </c>
      <c r="AF5800" s="1"/>
      <c r="AG5800" s="1"/>
    </row>
    <row r="5801" ht="15.75" customHeight="1">
      <c r="A5801" s="1"/>
      <c r="B5801" s="1"/>
      <c r="C5801" s="1"/>
      <c r="D5801" s="1"/>
      <c r="E5801" s="1"/>
      <c r="F5801" s="1"/>
      <c r="G5801" s="1"/>
      <c r="H5801" s="1"/>
      <c r="I5801" s="1"/>
      <c r="J5801" s="1"/>
      <c r="K5801" s="89" t="s">
        <v>9056</v>
      </c>
      <c r="L5801" s="89" t="str">
        <f>D258</f>
        <v>C2b1</v>
      </c>
      <c r="M5801" s="89"/>
      <c r="N5801" s="89" t="s">
        <v>9057</v>
      </c>
      <c r="O5801" s="92">
        <v>6650199.0</v>
      </c>
      <c r="P5801" s="92">
        <v>6782158.0</v>
      </c>
      <c r="Q5801" s="89" t="s">
        <v>831</v>
      </c>
      <c r="AF5801" s="1"/>
      <c r="AG5801" s="1"/>
    </row>
    <row r="5802" ht="15.75" customHeight="1">
      <c r="A5802" s="1"/>
      <c r="B5802" s="1"/>
      <c r="C5802" s="1"/>
      <c r="D5802" s="1"/>
      <c r="E5802" s="1"/>
      <c r="F5802" s="1"/>
      <c r="G5802" s="1"/>
      <c r="H5802" s="1"/>
      <c r="I5802" s="1"/>
      <c r="J5802" s="1"/>
      <c r="K5802" s="89" t="s">
        <v>9058</v>
      </c>
      <c r="L5802" s="89" t="str">
        <f>D258</f>
        <v>C2b1</v>
      </c>
      <c r="M5802" s="89"/>
      <c r="N5802" s="89" t="s">
        <v>9059</v>
      </c>
      <c r="O5802" s="92">
        <v>7531194.0</v>
      </c>
      <c r="P5802" s="92">
        <v>7663153.0</v>
      </c>
      <c r="Q5802" s="89" t="s">
        <v>802</v>
      </c>
      <c r="AF5802" s="1"/>
      <c r="AG5802" s="1"/>
    </row>
    <row r="5803" ht="15.75" customHeight="1">
      <c r="A5803" s="1"/>
      <c r="B5803" s="1"/>
      <c r="C5803" s="1"/>
      <c r="D5803" s="1"/>
      <c r="E5803" s="1"/>
      <c r="F5803" s="1"/>
      <c r="G5803" s="1"/>
      <c r="H5803" s="1"/>
      <c r="I5803" s="1"/>
      <c r="J5803" s="1"/>
      <c r="K5803" s="89" t="s">
        <v>9060</v>
      </c>
      <c r="L5803" s="89" t="str">
        <f>D258</f>
        <v>C2b1</v>
      </c>
      <c r="M5803" s="89"/>
      <c r="N5803" s="89" t="s">
        <v>9061</v>
      </c>
      <c r="O5803" s="92">
        <v>7550780.0</v>
      </c>
      <c r="P5803" s="92">
        <v>7682739.0</v>
      </c>
      <c r="Q5803" s="89" t="s">
        <v>802</v>
      </c>
      <c r="AF5803" s="1"/>
      <c r="AG5803" s="1"/>
    </row>
    <row r="5804" ht="15.75" customHeight="1">
      <c r="A5804" s="1"/>
      <c r="B5804" s="1"/>
      <c r="C5804" s="1"/>
      <c r="D5804" s="1"/>
      <c r="E5804" s="1"/>
      <c r="F5804" s="1"/>
      <c r="G5804" s="1"/>
      <c r="H5804" s="1"/>
      <c r="I5804" s="1"/>
      <c r="J5804" s="1"/>
      <c r="K5804" s="89" t="s">
        <v>9062</v>
      </c>
      <c r="L5804" s="89" t="str">
        <f>D258</f>
        <v>C2b1</v>
      </c>
      <c r="M5804" s="89"/>
      <c r="N5804" s="89" t="s">
        <v>9063</v>
      </c>
      <c r="O5804" s="92">
        <v>7923436.0</v>
      </c>
      <c r="P5804" s="92">
        <v>8055395.0</v>
      </c>
      <c r="Q5804" s="89" t="s">
        <v>802</v>
      </c>
      <c r="AF5804" s="1"/>
      <c r="AG5804" s="1"/>
    </row>
    <row r="5805" ht="15.75" customHeight="1">
      <c r="A5805" s="1"/>
      <c r="B5805" s="1"/>
      <c r="C5805" s="1"/>
      <c r="D5805" s="1"/>
      <c r="E5805" s="1"/>
      <c r="F5805" s="1"/>
      <c r="G5805" s="1"/>
      <c r="H5805" s="1"/>
      <c r="I5805" s="1"/>
      <c r="J5805" s="1"/>
      <c r="K5805" s="89" t="s">
        <v>9064</v>
      </c>
      <c r="L5805" s="89" t="str">
        <f>D258</f>
        <v>C2b1</v>
      </c>
      <c r="M5805" s="89"/>
      <c r="N5805" s="89" t="s">
        <v>9065</v>
      </c>
      <c r="O5805" s="89">
        <v>8159650.0</v>
      </c>
      <c r="P5805" s="89">
        <v>8291609.0</v>
      </c>
      <c r="Q5805" s="89" t="s">
        <v>838</v>
      </c>
      <c r="AF5805" s="1"/>
      <c r="AG5805" s="1"/>
    </row>
    <row r="5806" ht="15.75" customHeight="1">
      <c r="A5806" s="1"/>
      <c r="B5806" s="1"/>
      <c r="C5806" s="1"/>
      <c r="D5806" s="1"/>
      <c r="E5806" s="1"/>
      <c r="F5806" s="1"/>
      <c r="G5806" s="1"/>
      <c r="H5806" s="1"/>
      <c r="I5806" s="1"/>
      <c r="J5806" s="1"/>
      <c r="K5806" s="89" t="s">
        <v>9066</v>
      </c>
      <c r="L5806" s="89" t="str">
        <f>D258</f>
        <v>C2b1</v>
      </c>
      <c r="M5806" s="89"/>
      <c r="N5806" s="89" t="s">
        <v>9067</v>
      </c>
      <c r="O5806" s="92">
        <v>8195260.0</v>
      </c>
      <c r="P5806" s="92">
        <v>8327219.0</v>
      </c>
      <c r="Q5806" s="89" t="s">
        <v>810</v>
      </c>
      <c r="AF5806" s="1"/>
      <c r="AG5806" s="1"/>
    </row>
    <row r="5807" ht="15.75" customHeight="1">
      <c r="A5807" s="1"/>
      <c r="B5807" s="1"/>
      <c r="C5807" s="1"/>
      <c r="D5807" s="1"/>
      <c r="E5807" s="1"/>
      <c r="F5807" s="1"/>
      <c r="G5807" s="1"/>
      <c r="H5807" s="1"/>
      <c r="I5807" s="1"/>
      <c r="J5807" s="1"/>
      <c r="K5807" s="89" t="s">
        <v>9068</v>
      </c>
      <c r="L5807" s="89" t="str">
        <f>D258</f>
        <v>C2b1</v>
      </c>
      <c r="M5807" s="89"/>
      <c r="N5807" s="89" t="s">
        <v>9069</v>
      </c>
      <c r="O5807" s="92">
        <v>8332538.0</v>
      </c>
      <c r="P5807" s="92">
        <v>8464497.0</v>
      </c>
      <c r="Q5807" s="89" t="s">
        <v>822</v>
      </c>
      <c r="AF5807" s="1"/>
      <c r="AG5807" s="1"/>
    </row>
    <row r="5808" ht="15.75" customHeight="1">
      <c r="A5808" s="1"/>
      <c r="B5808" s="1"/>
      <c r="C5808" s="1"/>
      <c r="D5808" s="1"/>
      <c r="E5808" s="1"/>
      <c r="F5808" s="1"/>
      <c r="G5808" s="1"/>
      <c r="H5808" s="1"/>
      <c r="I5808" s="1"/>
      <c r="J5808" s="1"/>
      <c r="K5808" s="89" t="s">
        <v>9070</v>
      </c>
      <c r="L5808" s="89" t="str">
        <f>D258</f>
        <v>C2b1</v>
      </c>
      <c r="M5808" s="89"/>
      <c r="N5808" s="89" t="s">
        <v>9071</v>
      </c>
      <c r="O5808" s="92">
        <v>8778211.0</v>
      </c>
      <c r="P5808" s="92">
        <v>8910170.0</v>
      </c>
      <c r="Q5808" s="89" t="s">
        <v>864</v>
      </c>
      <c r="AF5808" s="1"/>
      <c r="AG5808" s="1"/>
    </row>
    <row r="5809" ht="15.75" customHeight="1">
      <c r="A5809" s="1"/>
      <c r="B5809" s="1"/>
      <c r="C5809" s="1"/>
      <c r="D5809" s="1"/>
      <c r="E5809" s="1"/>
      <c r="F5809" s="1"/>
      <c r="G5809" s="1"/>
      <c r="H5809" s="1"/>
      <c r="I5809" s="1"/>
      <c r="J5809" s="1"/>
      <c r="K5809" s="89" t="s">
        <v>9072</v>
      </c>
      <c r="L5809" s="89" t="str">
        <f>D258</f>
        <v>C2b1</v>
      </c>
      <c r="M5809" s="89"/>
      <c r="N5809" s="89" t="s">
        <v>9073</v>
      </c>
      <c r="O5809" s="89">
        <v>9442123.0</v>
      </c>
      <c r="P5809" s="89">
        <v>9604514.0</v>
      </c>
      <c r="Q5809" s="89" t="s">
        <v>802</v>
      </c>
      <c r="AF5809" s="1"/>
      <c r="AG5809" s="1"/>
    </row>
    <row r="5810" ht="15.75" customHeight="1">
      <c r="A5810" s="1"/>
      <c r="B5810" s="1"/>
      <c r="C5810" s="1"/>
      <c r="D5810" s="1"/>
      <c r="E5810" s="1"/>
      <c r="F5810" s="1"/>
      <c r="G5810" s="1"/>
      <c r="H5810" s="1"/>
      <c r="I5810" s="1"/>
      <c r="J5810" s="1"/>
      <c r="K5810" s="89" t="s">
        <v>9074</v>
      </c>
      <c r="L5810" s="89" t="str">
        <f>D258</f>
        <v>C2b1</v>
      </c>
      <c r="M5810" s="89"/>
      <c r="N5810" s="89" t="s">
        <v>9075</v>
      </c>
      <c r="O5810" s="92">
        <v>1.323885E7</v>
      </c>
      <c r="P5810" s="92">
        <v>1.1083174E7</v>
      </c>
      <c r="Q5810" s="89" t="s">
        <v>879</v>
      </c>
      <c r="AF5810" s="1"/>
      <c r="AG5810" s="1"/>
    </row>
    <row r="5811" ht="15.75" customHeight="1">
      <c r="A5811" s="1"/>
      <c r="B5811" s="1"/>
      <c r="C5811" s="1"/>
      <c r="D5811" s="1"/>
      <c r="E5811" s="1"/>
      <c r="F5811" s="1"/>
      <c r="G5811" s="1"/>
      <c r="H5811" s="1"/>
      <c r="I5811" s="1"/>
      <c r="J5811" s="1"/>
      <c r="K5811" s="89" t="s">
        <v>9076</v>
      </c>
      <c r="L5811" s="89" t="str">
        <f>D258</f>
        <v>C2b1</v>
      </c>
      <c r="M5811" s="89"/>
      <c r="N5811" s="89" t="s">
        <v>9077</v>
      </c>
      <c r="O5811" s="92">
        <v>1.3238871E7</v>
      </c>
      <c r="P5811" s="92">
        <v>1.1083195E7</v>
      </c>
      <c r="Q5811" s="89" t="s">
        <v>810</v>
      </c>
      <c r="AF5811" s="1"/>
      <c r="AG5811" s="1"/>
    </row>
    <row r="5812" ht="15.75" customHeight="1">
      <c r="A5812" s="1"/>
      <c r="B5812" s="1"/>
      <c r="C5812" s="1"/>
      <c r="D5812" s="1"/>
      <c r="E5812" s="1"/>
      <c r="F5812" s="1"/>
      <c r="G5812" s="1"/>
      <c r="H5812" s="1"/>
      <c r="I5812" s="1"/>
      <c r="J5812" s="1"/>
      <c r="K5812" s="89" t="s">
        <v>9078</v>
      </c>
      <c r="L5812" s="89" t="str">
        <f>D258</f>
        <v>C2b1</v>
      </c>
      <c r="M5812" s="89"/>
      <c r="N5812" s="89" t="s">
        <v>9079</v>
      </c>
      <c r="O5812" s="89">
        <v>1.6692028E7</v>
      </c>
      <c r="P5812" s="89">
        <v>1.4580148E7</v>
      </c>
      <c r="Q5812" s="89" t="s">
        <v>802</v>
      </c>
      <c r="AF5812" s="1"/>
      <c r="AG5812" s="1"/>
    </row>
    <row r="5813" ht="15.75" customHeight="1">
      <c r="A5813" s="1"/>
      <c r="B5813" s="1"/>
      <c r="C5813" s="1"/>
      <c r="D5813" s="1"/>
      <c r="E5813" s="1"/>
      <c r="F5813" s="1"/>
      <c r="G5813" s="1"/>
      <c r="H5813" s="1"/>
      <c r="I5813" s="1"/>
      <c r="J5813" s="1"/>
      <c r="K5813" s="89" t="s">
        <v>9080</v>
      </c>
      <c r="L5813" s="89" t="str">
        <f>D258</f>
        <v>C2b1</v>
      </c>
      <c r="M5813" s="89"/>
      <c r="N5813" s="89" t="s">
        <v>9081</v>
      </c>
      <c r="O5813" s="89">
        <v>1.6719872E7</v>
      </c>
      <c r="P5813" s="89">
        <v>1.4607992E7</v>
      </c>
      <c r="Q5813" s="89" t="s">
        <v>810</v>
      </c>
      <c r="AF5813" s="1"/>
      <c r="AG5813" s="1"/>
    </row>
    <row r="5814" ht="15.75" customHeight="1">
      <c r="A5814" s="1"/>
      <c r="B5814" s="1"/>
      <c r="C5814" s="1"/>
      <c r="D5814" s="1"/>
      <c r="E5814" s="1"/>
      <c r="F5814" s="1"/>
      <c r="G5814" s="1"/>
      <c r="H5814" s="1"/>
      <c r="I5814" s="1"/>
      <c r="J5814" s="1"/>
      <c r="K5814" s="89" t="s">
        <v>9082</v>
      </c>
      <c r="L5814" s="89" t="str">
        <f>D258</f>
        <v>C2b1</v>
      </c>
      <c r="M5814" s="89"/>
      <c r="N5814" s="89" t="s">
        <v>9083</v>
      </c>
      <c r="O5814" s="92">
        <v>1.7332858E7</v>
      </c>
      <c r="P5814" s="92">
        <v>1.5220978E7</v>
      </c>
      <c r="Q5814" s="89" t="s">
        <v>822</v>
      </c>
      <c r="AF5814" s="1"/>
      <c r="AG5814" s="1"/>
    </row>
    <row r="5815" ht="15.75" customHeight="1">
      <c r="A5815" s="1"/>
      <c r="B5815" s="1"/>
      <c r="C5815" s="1"/>
      <c r="D5815" s="1"/>
      <c r="E5815" s="1"/>
      <c r="F5815" s="1"/>
      <c r="G5815" s="1"/>
      <c r="H5815" s="1"/>
      <c r="I5815" s="1"/>
      <c r="J5815" s="1"/>
      <c r="K5815" s="89" t="s">
        <v>9084</v>
      </c>
      <c r="L5815" s="89" t="str">
        <f>D258</f>
        <v>C2b1</v>
      </c>
      <c r="M5815" s="89"/>
      <c r="N5815" s="89" t="s">
        <v>9085</v>
      </c>
      <c r="O5815" s="92">
        <v>1.7903269E7</v>
      </c>
      <c r="P5815" s="92">
        <v>1.5791389E7</v>
      </c>
      <c r="Q5815" s="89" t="s">
        <v>810</v>
      </c>
      <c r="AF5815" s="1"/>
      <c r="AG5815" s="1"/>
    </row>
    <row r="5816" ht="15.75" customHeight="1">
      <c r="A5816" s="1"/>
      <c r="B5816" s="1"/>
      <c r="C5816" s="1"/>
      <c r="D5816" s="1"/>
      <c r="E5816" s="1"/>
      <c r="F5816" s="1"/>
      <c r="G5816" s="1"/>
      <c r="H5816" s="1"/>
      <c r="I5816" s="1"/>
      <c r="J5816" s="1"/>
      <c r="K5816" s="89" t="s">
        <v>9086</v>
      </c>
      <c r="L5816" s="89" t="str">
        <f>D258</f>
        <v>C2b1</v>
      </c>
      <c r="M5816" s="89"/>
      <c r="N5816" s="89" t="s">
        <v>9087</v>
      </c>
      <c r="O5816" s="92">
        <v>2.1332179E7</v>
      </c>
      <c r="P5816" s="92">
        <v>1.9170293E7</v>
      </c>
      <c r="Q5816" s="89" t="s">
        <v>822</v>
      </c>
      <c r="AF5816" s="1"/>
      <c r="AG5816" s="1"/>
    </row>
    <row r="5817" ht="15.75" customHeight="1">
      <c r="A5817" s="1"/>
      <c r="B5817" s="1"/>
      <c r="C5817" s="1"/>
      <c r="D5817" s="1"/>
      <c r="E5817" s="1"/>
      <c r="F5817" s="1"/>
      <c r="G5817" s="1"/>
      <c r="H5817" s="1"/>
      <c r="I5817" s="1"/>
      <c r="J5817" s="1"/>
      <c r="K5817" s="89" t="s">
        <v>9088</v>
      </c>
      <c r="L5817" s="89" t="str">
        <f>D258</f>
        <v>C2b1</v>
      </c>
      <c r="M5817" s="89"/>
      <c r="N5817" s="89" t="s">
        <v>9089</v>
      </c>
      <c r="O5817" s="92">
        <v>2.1460961E7</v>
      </c>
      <c r="P5817" s="92">
        <v>1.9299075E7</v>
      </c>
      <c r="Q5817" s="89" t="s">
        <v>838</v>
      </c>
      <c r="AF5817" s="1"/>
      <c r="AG5817" s="1"/>
    </row>
    <row r="5818" ht="15.75" customHeight="1">
      <c r="A5818" s="1"/>
      <c r="B5818" s="1"/>
      <c r="C5818" s="1"/>
      <c r="D5818" s="1"/>
      <c r="E5818" s="1"/>
      <c r="F5818" s="1"/>
      <c r="G5818" s="1"/>
      <c r="H5818" s="1"/>
      <c r="I5818" s="1"/>
      <c r="J5818" s="1"/>
      <c r="K5818" s="89" t="s">
        <v>9090</v>
      </c>
      <c r="L5818" s="89" t="str">
        <f>D258</f>
        <v>C2b1</v>
      </c>
      <c r="M5818" s="89"/>
      <c r="N5818" s="89" t="s">
        <v>9091</v>
      </c>
      <c r="O5818" s="89">
        <v>2.1582168E7</v>
      </c>
      <c r="P5818" s="89">
        <v>1.9420282E7</v>
      </c>
      <c r="Q5818" s="89" t="s">
        <v>912</v>
      </c>
      <c r="AF5818" s="1"/>
      <c r="AG5818" s="1"/>
    </row>
    <row r="5819" ht="15.75" customHeight="1">
      <c r="A5819" s="1"/>
      <c r="B5819" s="1"/>
      <c r="C5819" s="1"/>
      <c r="D5819" s="1"/>
      <c r="E5819" s="1"/>
      <c r="F5819" s="1"/>
      <c r="G5819" s="1"/>
      <c r="H5819" s="1"/>
      <c r="I5819" s="1"/>
      <c r="J5819" s="1"/>
      <c r="K5819" s="89" t="s">
        <v>9092</v>
      </c>
      <c r="L5819" s="89" t="str">
        <f>D258</f>
        <v>C2b1</v>
      </c>
      <c r="M5819" s="89"/>
      <c r="N5819" s="89" t="s">
        <v>9093</v>
      </c>
      <c r="O5819" s="92">
        <v>2.2544997E7</v>
      </c>
      <c r="P5819" s="92">
        <v>2.0383111E7</v>
      </c>
      <c r="Q5819" s="89" t="s">
        <v>822</v>
      </c>
      <c r="AF5819" s="1"/>
      <c r="AG5819" s="1"/>
    </row>
    <row r="5820" ht="15.75" customHeight="1">
      <c r="A5820" s="1"/>
      <c r="B5820" s="1"/>
      <c r="C5820" s="1"/>
      <c r="D5820" s="1"/>
      <c r="E5820" s="1"/>
      <c r="F5820" s="1"/>
      <c r="G5820" s="1"/>
      <c r="H5820" s="1"/>
      <c r="I5820" s="1"/>
      <c r="J5820" s="1"/>
      <c r="K5820" s="89" t="s">
        <v>9094</v>
      </c>
      <c r="L5820" s="89" t="str">
        <f>D258</f>
        <v>C2b1</v>
      </c>
      <c r="M5820" s="89"/>
      <c r="N5820" s="89" t="s">
        <v>9095</v>
      </c>
      <c r="O5820" s="92">
        <v>2.2555918E7</v>
      </c>
      <c r="P5820" s="92">
        <v>2.0394032E7</v>
      </c>
      <c r="Q5820" s="89" t="s">
        <v>822</v>
      </c>
      <c r="AF5820" s="1"/>
      <c r="AG5820" s="1"/>
    </row>
    <row r="5821" ht="15.75" customHeight="1">
      <c r="A5821" s="1"/>
      <c r="B5821" s="1"/>
      <c r="C5821" s="1"/>
      <c r="D5821" s="1"/>
      <c r="E5821" s="1"/>
      <c r="F5821" s="1"/>
      <c r="G5821" s="1"/>
      <c r="H5821" s="1"/>
      <c r="I5821" s="1"/>
      <c r="J5821" s="1"/>
      <c r="K5821" s="89" t="s">
        <v>9096</v>
      </c>
      <c r="L5821" s="89" t="str">
        <f>D258</f>
        <v>C2b1</v>
      </c>
      <c r="M5821" s="89"/>
      <c r="N5821" s="89" t="s">
        <v>9097</v>
      </c>
      <c r="O5821" s="92">
        <v>2.4001146E7</v>
      </c>
      <c r="P5821" s="92">
        <v>2.1854999E7</v>
      </c>
      <c r="Q5821" s="89" t="s">
        <v>810</v>
      </c>
      <c r="AF5821" s="1"/>
      <c r="AG5821" s="1"/>
    </row>
    <row r="5822" ht="15.75" customHeight="1">
      <c r="A5822" s="1"/>
      <c r="B5822" s="1"/>
      <c r="C5822" s="1"/>
      <c r="D5822" s="1"/>
      <c r="E5822" s="1"/>
      <c r="F5822" s="1"/>
      <c r="G5822" s="1"/>
      <c r="H5822" s="1"/>
      <c r="I5822" s="1"/>
      <c r="J5822" s="1"/>
      <c r="K5822" s="89" t="s">
        <v>9098</v>
      </c>
      <c r="L5822" s="89" t="str">
        <f>D258</f>
        <v>C2b1</v>
      </c>
      <c r="M5822" s="89"/>
      <c r="N5822" s="89" t="s">
        <v>9099</v>
      </c>
      <c r="O5822" s="92">
        <v>1.3812526E7</v>
      </c>
      <c r="P5822" s="92">
        <v>1.169182E7</v>
      </c>
      <c r="Q5822" s="89" t="s">
        <v>810</v>
      </c>
      <c r="AF5822" s="1"/>
      <c r="AG5822" s="1"/>
    </row>
    <row r="5823" ht="15.75" customHeight="1">
      <c r="A5823" s="1"/>
      <c r="B5823" s="1"/>
      <c r="C5823" s="1"/>
      <c r="D5823" s="1"/>
      <c r="E5823" s="1"/>
      <c r="F5823" s="1"/>
      <c r="G5823" s="1"/>
      <c r="H5823" s="1"/>
      <c r="I5823" s="1"/>
      <c r="J5823" s="1"/>
      <c r="K5823" s="89" t="s">
        <v>9100</v>
      </c>
      <c r="L5823" s="89" t="str">
        <f>D258</f>
        <v>C2b1</v>
      </c>
      <c r="M5823" s="89"/>
      <c r="N5823" s="89" t="s">
        <v>9101</v>
      </c>
      <c r="O5823" s="92">
        <v>2.1632866E7</v>
      </c>
      <c r="P5823" s="92">
        <v>1.947098E7</v>
      </c>
      <c r="Q5823" s="89" t="s">
        <v>810</v>
      </c>
      <c r="AF5823" s="1"/>
      <c r="AG5823" s="1"/>
    </row>
    <row r="5824" ht="15.75" customHeight="1">
      <c r="A5824" s="1"/>
      <c r="B5824" s="1"/>
      <c r="C5824" s="1"/>
      <c r="D5824" s="1"/>
      <c r="E5824" s="1"/>
      <c r="F5824" s="1"/>
      <c r="G5824" s="1"/>
      <c r="H5824" s="1"/>
      <c r="I5824" s="1"/>
      <c r="J5824" s="1"/>
      <c r="K5824" s="89" t="s">
        <v>9102</v>
      </c>
      <c r="L5824" s="89" t="str">
        <f t="shared" ref="L5824:L5825" si="61">D258</f>
        <v>C2b1</v>
      </c>
      <c r="M5824" s="89"/>
      <c r="N5824" s="89" t="s">
        <v>9103</v>
      </c>
      <c r="O5824" s="92">
        <v>2.3392308E7</v>
      </c>
      <c r="P5824" s="92">
        <v>2.1230422E7</v>
      </c>
      <c r="Q5824" s="89" t="s">
        <v>813</v>
      </c>
      <c r="AF5824" s="1"/>
      <c r="AG5824" s="1"/>
    </row>
    <row r="5825" ht="15.75" customHeight="1">
      <c r="A5825" s="1"/>
      <c r="B5825" s="1"/>
      <c r="C5825" s="1"/>
      <c r="D5825" s="1"/>
      <c r="E5825" s="1"/>
      <c r="F5825" s="1"/>
      <c r="G5825" s="1"/>
      <c r="H5825" s="1"/>
      <c r="I5825" s="1"/>
      <c r="J5825" s="1"/>
      <c r="K5825" s="89" t="s">
        <v>9104</v>
      </c>
      <c r="L5825" s="89" t="str">
        <f t="shared" si="61"/>
        <v>C2b1~</v>
      </c>
      <c r="M5825" s="89"/>
      <c r="N5825" s="89" t="s">
        <v>9105</v>
      </c>
      <c r="O5825" s="92">
        <v>1.559299E7</v>
      </c>
      <c r="P5825" s="92">
        <v>1.348111E7</v>
      </c>
      <c r="Q5825" s="89" t="s">
        <v>822</v>
      </c>
      <c r="AF5825" s="1"/>
      <c r="AG5825" s="1"/>
    </row>
    <row r="5826" ht="15.75" customHeight="1">
      <c r="A5826" s="1"/>
      <c r="B5826" s="1"/>
      <c r="C5826" s="1"/>
      <c r="D5826" s="1"/>
      <c r="E5826" s="1"/>
      <c r="F5826" s="1"/>
      <c r="G5826" s="1"/>
      <c r="H5826" s="1"/>
      <c r="I5826" s="1"/>
      <c r="J5826" s="1"/>
      <c r="K5826" s="89" t="s">
        <v>9106</v>
      </c>
      <c r="L5826" s="89" t="str">
        <f>D259</f>
        <v>C2b1~</v>
      </c>
      <c r="M5826" s="89"/>
      <c r="N5826" s="89" t="s">
        <v>9107</v>
      </c>
      <c r="O5826" s="89">
        <v>1.5636198E7</v>
      </c>
      <c r="P5826" s="89">
        <v>1.3524318E7</v>
      </c>
      <c r="Q5826" s="89" t="s">
        <v>802</v>
      </c>
      <c r="AF5826" s="1"/>
      <c r="AG5826" s="1"/>
    </row>
    <row r="5827" ht="15.75" customHeight="1">
      <c r="A5827" s="1"/>
      <c r="B5827" s="1"/>
      <c r="C5827" s="1"/>
      <c r="D5827" s="1"/>
      <c r="E5827" s="1"/>
      <c r="F5827" s="1"/>
      <c r="G5827" s="1"/>
      <c r="H5827" s="1"/>
      <c r="I5827" s="1"/>
      <c r="J5827" s="1"/>
      <c r="K5827" s="89" t="s">
        <v>9108</v>
      </c>
      <c r="L5827" s="89" t="str">
        <f>D259</f>
        <v>C2b1~</v>
      </c>
      <c r="M5827" s="89"/>
      <c r="N5827" s="89" t="s">
        <v>9109</v>
      </c>
      <c r="O5827" s="92">
        <v>1.5803376E7</v>
      </c>
      <c r="P5827" s="92">
        <v>1.3691496E7</v>
      </c>
      <c r="Q5827" s="89" t="s">
        <v>802</v>
      </c>
      <c r="AF5827" s="1"/>
      <c r="AG5827" s="1"/>
    </row>
    <row r="5828" ht="15.75" customHeight="1">
      <c r="A5828" s="1"/>
      <c r="B5828" s="1"/>
      <c r="C5828" s="1"/>
      <c r="D5828" s="1"/>
      <c r="E5828" s="1"/>
      <c r="F5828" s="1"/>
      <c r="G5828" s="1"/>
      <c r="H5828" s="1"/>
      <c r="I5828" s="1"/>
      <c r="J5828" s="1"/>
      <c r="K5828" s="89" t="s">
        <v>9110</v>
      </c>
      <c r="L5828" s="89" t="str">
        <f>D259</f>
        <v>C2b1~</v>
      </c>
      <c r="M5828" s="89"/>
      <c r="N5828" s="89" t="s">
        <v>9111</v>
      </c>
      <c r="O5828" s="92">
        <v>1.6251407E7</v>
      </c>
      <c r="P5828" s="92">
        <v>1.4139527E7</v>
      </c>
      <c r="Q5828" s="89" t="s">
        <v>802</v>
      </c>
      <c r="AF5828" s="1"/>
      <c r="AG5828" s="1"/>
    </row>
    <row r="5829" ht="15.75" customHeight="1">
      <c r="A5829" s="1"/>
      <c r="B5829" s="1"/>
      <c r="C5829" s="1"/>
      <c r="D5829" s="1"/>
      <c r="E5829" s="1"/>
      <c r="F5829" s="1"/>
      <c r="G5829" s="1"/>
      <c r="H5829" s="1"/>
      <c r="I5829" s="1"/>
      <c r="J5829" s="1"/>
      <c r="K5829" s="89" t="s">
        <v>9112</v>
      </c>
      <c r="L5829" s="89" t="str">
        <f>D259</f>
        <v>C2b1~</v>
      </c>
      <c r="M5829" s="89"/>
      <c r="N5829" s="89" t="s">
        <v>9113</v>
      </c>
      <c r="O5829" s="92">
        <v>1.6442413E7</v>
      </c>
      <c r="P5829" s="92">
        <v>1.4330533E7</v>
      </c>
      <c r="Q5829" s="89" t="s">
        <v>912</v>
      </c>
      <c r="AF5829" s="1"/>
      <c r="AG5829" s="1"/>
    </row>
    <row r="5830" ht="15.75" customHeight="1">
      <c r="A5830" s="1"/>
      <c r="B5830" s="1"/>
      <c r="C5830" s="1"/>
      <c r="D5830" s="1"/>
      <c r="E5830" s="1"/>
      <c r="F5830" s="1"/>
      <c r="G5830" s="1"/>
      <c r="H5830" s="1"/>
      <c r="I5830" s="1"/>
      <c r="J5830" s="1"/>
      <c r="K5830" s="89" t="s">
        <v>9114</v>
      </c>
      <c r="L5830" s="89" t="str">
        <f>D259</f>
        <v>C2b1~</v>
      </c>
      <c r="M5830" s="89"/>
      <c r="N5830" s="89" t="s">
        <v>9115</v>
      </c>
      <c r="O5830" s="92">
        <v>1.7070722E7</v>
      </c>
      <c r="P5830" s="92">
        <v>1.4958842E7</v>
      </c>
      <c r="Q5830" s="89" t="s">
        <v>802</v>
      </c>
      <c r="AF5830" s="1"/>
      <c r="AG5830" s="1"/>
    </row>
    <row r="5831" ht="15.75" customHeight="1">
      <c r="A5831" s="1"/>
      <c r="B5831" s="1"/>
      <c r="C5831" s="1"/>
      <c r="D5831" s="1"/>
      <c r="E5831" s="1"/>
      <c r="F5831" s="1"/>
      <c r="G5831" s="1"/>
      <c r="H5831" s="1"/>
      <c r="I5831" s="1"/>
      <c r="J5831" s="1"/>
      <c r="K5831" s="89" t="s">
        <v>9116</v>
      </c>
      <c r="L5831" s="89" t="str">
        <f>D259</f>
        <v>C2b1~</v>
      </c>
      <c r="M5831" s="89"/>
      <c r="N5831" s="89" t="s">
        <v>9117</v>
      </c>
      <c r="O5831" s="92">
        <v>1.7157702E7</v>
      </c>
      <c r="P5831" s="92">
        <v>1.5045822E7</v>
      </c>
      <c r="Q5831" s="89" t="s">
        <v>912</v>
      </c>
      <c r="AF5831" s="1"/>
      <c r="AG5831" s="1"/>
    </row>
    <row r="5832" ht="15.75" customHeight="1">
      <c r="A5832" s="1"/>
      <c r="B5832" s="1"/>
      <c r="C5832" s="1"/>
      <c r="D5832" s="1"/>
      <c r="E5832" s="1"/>
      <c r="F5832" s="1"/>
      <c r="G5832" s="1"/>
      <c r="H5832" s="1"/>
      <c r="I5832" s="1"/>
      <c r="J5832" s="1"/>
      <c r="K5832" s="89" t="s">
        <v>9118</v>
      </c>
      <c r="L5832" s="89" t="str">
        <f>D259</f>
        <v>C2b1~</v>
      </c>
      <c r="M5832" s="89"/>
      <c r="N5832" s="89" t="s">
        <v>9119</v>
      </c>
      <c r="O5832" s="92">
        <v>1.7314435E7</v>
      </c>
      <c r="P5832" s="92">
        <v>1.5202555E7</v>
      </c>
      <c r="Q5832" s="89" t="s">
        <v>810</v>
      </c>
      <c r="AF5832" s="1"/>
      <c r="AG5832" s="1"/>
    </row>
    <row r="5833" ht="15.75" customHeight="1">
      <c r="A5833" s="1"/>
      <c r="B5833" s="1"/>
      <c r="C5833" s="1"/>
      <c r="D5833" s="1"/>
      <c r="E5833" s="1"/>
      <c r="F5833" s="1"/>
      <c r="G5833" s="1"/>
      <c r="H5833" s="1"/>
      <c r="I5833" s="1"/>
      <c r="J5833" s="1"/>
      <c r="K5833" s="89" t="s">
        <v>9120</v>
      </c>
      <c r="L5833" s="89" t="str">
        <f>D259</f>
        <v>C2b1~</v>
      </c>
      <c r="M5833" s="89"/>
      <c r="N5833" s="89" t="s">
        <v>9121</v>
      </c>
      <c r="O5833" s="92">
        <v>1.8167933E7</v>
      </c>
      <c r="P5833" s="92">
        <v>1.6056053E7</v>
      </c>
      <c r="Q5833" s="89" t="s">
        <v>810</v>
      </c>
      <c r="AF5833" s="1"/>
      <c r="AG5833" s="1"/>
    </row>
    <row r="5834" ht="15.75" customHeight="1">
      <c r="A5834" s="1"/>
      <c r="B5834" s="1"/>
      <c r="C5834" s="1"/>
      <c r="D5834" s="1"/>
      <c r="E5834" s="1"/>
      <c r="F5834" s="1"/>
      <c r="G5834" s="1"/>
      <c r="H5834" s="1"/>
      <c r="I5834" s="1"/>
      <c r="J5834" s="1"/>
      <c r="K5834" s="89" t="s">
        <v>9122</v>
      </c>
      <c r="L5834" s="89" t="str">
        <f>D259</f>
        <v>C2b1~</v>
      </c>
      <c r="M5834" s="89"/>
      <c r="N5834" s="89" t="s">
        <v>9123</v>
      </c>
      <c r="O5834" s="92">
        <v>1.9340515E7</v>
      </c>
      <c r="P5834" s="92">
        <v>1.7228635E7</v>
      </c>
      <c r="Q5834" s="89" t="s">
        <v>838</v>
      </c>
      <c r="AF5834" s="1"/>
      <c r="AG5834" s="1"/>
    </row>
    <row r="5835" ht="15.75" customHeight="1">
      <c r="A5835" s="1"/>
      <c r="B5835" s="1"/>
      <c r="C5835" s="1"/>
      <c r="D5835" s="1"/>
      <c r="E5835" s="1"/>
      <c r="F5835" s="1"/>
      <c r="G5835" s="1"/>
      <c r="H5835" s="1"/>
      <c r="I5835" s="1"/>
      <c r="J5835" s="1"/>
      <c r="K5835" s="89" t="s">
        <v>9124</v>
      </c>
      <c r="L5835" s="89" t="str">
        <f>D259</f>
        <v>C2b1~</v>
      </c>
      <c r="M5835" s="89"/>
      <c r="N5835" s="89" t="s">
        <v>9125</v>
      </c>
      <c r="O5835" s="92">
        <v>2.2812816E7</v>
      </c>
      <c r="P5835" s="92">
        <v>2.065093E7</v>
      </c>
      <c r="Q5835" s="89" t="s">
        <v>802</v>
      </c>
      <c r="AF5835" s="1"/>
      <c r="AG5835" s="1"/>
    </row>
    <row r="5836" ht="15.75" customHeight="1">
      <c r="A5836" s="1"/>
      <c r="B5836" s="1"/>
      <c r="C5836" s="1"/>
      <c r="D5836" s="1"/>
      <c r="E5836" s="1"/>
      <c r="F5836" s="1"/>
      <c r="G5836" s="1"/>
      <c r="H5836" s="1"/>
      <c r="I5836" s="1"/>
      <c r="J5836" s="1"/>
      <c r="K5836" s="89" t="s">
        <v>9126</v>
      </c>
      <c r="L5836" s="89" t="str">
        <f>D259</f>
        <v>C2b1~</v>
      </c>
      <c r="M5836" s="89"/>
      <c r="N5836" s="89" t="s">
        <v>9127</v>
      </c>
      <c r="O5836" s="89">
        <v>2.8735795E7</v>
      </c>
      <c r="P5836" s="89">
        <v>2.6589648E7</v>
      </c>
      <c r="Q5836" s="89" t="s">
        <v>838</v>
      </c>
      <c r="AF5836" s="1"/>
      <c r="AG5836" s="1"/>
    </row>
    <row r="5837" ht="15.75" customHeight="1">
      <c r="A5837" s="1"/>
      <c r="B5837" s="1"/>
      <c r="C5837" s="1"/>
      <c r="D5837" s="1"/>
      <c r="E5837" s="1"/>
      <c r="F5837" s="1"/>
      <c r="G5837" s="1"/>
      <c r="H5837" s="1"/>
      <c r="I5837" s="1"/>
      <c r="J5837" s="1"/>
      <c r="K5837" s="89" t="s">
        <v>9128</v>
      </c>
      <c r="L5837" s="89" t="str">
        <f>D259</f>
        <v>C2b1~</v>
      </c>
      <c r="M5837" s="89"/>
      <c r="N5837" s="89" t="s">
        <v>9129</v>
      </c>
      <c r="O5837" s="92">
        <v>2.8766196E7</v>
      </c>
      <c r="P5837" s="92">
        <v>2.6620049E7</v>
      </c>
      <c r="Q5837" s="89" t="s">
        <v>810</v>
      </c>
      <c r="AF5837" s="1"/>
      <c r="AG5837" s="1"/>
    </row>
    <row r="5838" ht="15.75" customHeight="1">
      <c r="A5838" s="1"/>
      <c r="B5838" s="1"/>
      <c r="C5838" s="1"/>
      <c r="D5838" s="1"/>
      <c r="E5838" s="1"/>
      <c r="F5838" s="1"/>
      <c r="G5838" s="1"/>
      <c r="H5838" s="1"/>
      <c r="I5838" s="1"/>
      <c r="J5838" s="1"/>
      <c r="K5838" s="89" t="s">
        <v>9130</v>
      </c>
      <c r="L5838" s="89" t="str">
        <f>D259</f>
        <v>C2b1~</v>
      </c>
      <c r="M5838" s="89"/>
      <c r="N5838" s="89" t="s">
        <v>9131</v>
      </c>
      <c r="O5838" s="92">
        <v>8306942.0</v>
      </c>
      <c r="P5838" s="92">
        <v>8438901.0</v>
      </c>
      <c r="Q5838" s="89" t="s">
        <v>822</v>
      </c>
      <c r="AF5838" s="1"/>
      <c r="AG5838" s="1"/>
    </row>
    <row r="5839" ht="15.75" customHeight="1">
      <c r="A5839" s="1"/>
      <c r="B5839" s="1"/>
      <c r="C5839" s="1"/>
      <c r="D5839" s="1"/>
      <c r="E5839" s="1"/>
      <c r="F5839" s="1"/>
      <c r="G5839" s="1"/>
      <c r="H5839" s="1"/>
      <c r="I5839" s="1"/>
      <c r="J5839" s="1"/>
      <c r="K5839" s="89" t="s">
        <v>9132</v>
      </c>
      <c r="L5839" s="89" t="str">
        <f>D259</f>
        <v>C2b1~</v>
      </c>
      <c r="M5839" s="89"/>
      <c r="N5839" s="89" t="s">
        <v>9133</v>
      </c>
      <c r="O5839" s="92">
        <v>8482599.0</v>
      </c>
      <c r="P5839" s="92">
        <v>8614558.0</v>
      </c>
      <c r="Q5839" s="89" t="s">
        <v>813</v>
      </c>
      <c r="AF5839" s="1"/>
      <c r="AG5839" s="1"/>
    </row>
    <row r="5840" ht="15.75" customHeight="1">
      <c r="A5840" s="1"/>
      <c r="B5840" s="1"/>
      <c r="C5840" s="1"/>
      <c r="D5840" s="1"/>
      <c r="E5840" s="1"/>
      <c r="F5840" s="1"/>
      <c r="G5840" s="1"/>
      <c r="H5840" s="1"/>
      <c r="I5840" s="1"/>
      <c r="J5840" s="1"/>
      <c r="K5840" s="89" t="s">
        <v>9134</v>
      </c>
      <c r="L5840" s="89" t="str">
        <f>D259</f>
        <v>C2b1~</v>
      </c>
      <c r="M5840" s="89"/>
      <c r="N5840" s="89" t="s">
        <v>9135</v>
      </c>
      <c r="O5840" s="89">
        <v>8486344.0</v>
      </c>
      <c r="P5840" s="89">
        <v>8618303.0</v>
      </c>
      <c r="Q5840" s="89" t="s">
        <v>810</v>
      </c>
      <c r="AF5840" s="1"/>
      <c r="AG5840" s="1"/>
    </row>
    <row r="5841" ht="15.75" customHeight="1">
      <c r="A5841" s="1"/>
      <c r="B5841" s="1"/>
      <c r="C5841" s="1"/>
      <c r="D5841" s="1"/>
      <c r="E5841" s="1"/>
      <c r="F5841" s="1"/>
      <c r="G5841" s="1"/>
      <c r="H5841" s="1"/>
      <c r="I5841" s="1"/>
      <c r="J5841" s="1"/>
      <c r="K5841" s="89" t="s">
        <v>9136</v>
      </c>
      <c r="L5841" s="89" t="str">
        <f>D259</f>
        <v>C2b1~</v>
      </c>
      <c r="M5841" s="89"/>
      <c r="N5841" s="89" t="s">
        <v>9137</v>
      </c>
      <c r="O5841" s="92">
        <v>8589604.0</v>
      </c>
      <c r="P5841" s="92">
        <v>8721563.0</v>
      </c>
      <c r="Q5841" s="89" t="s">
        <v>810</v>
      </c>
      <c r="AF5841" s="1"/>
      <c r="AG5841" s="1"/>
    </row>
    <row r="5842" ht="15.75" customHeight="1">
      <c r="A5842" s="1"/>
      <c r="B5842" s="1"/>
      <c r="C5842" s="1"/>
      <c r="D5842" s="1"/>
      <c r="E5842" s="1"/>
      <c r="F5842" s="1"/>
      <c r="G5842" s="1"/>
      <c r="H5842" s="1"/>
      <c r="I5842" s="1"/>
      <c r="J5842" s="1"/>
      <c r="K5842" s="89" t="s">
        <v>9138</v>
      </c>
      <c r="L5842" s="89" t="str">
        <f>D259</f>
        <v>C2b1~</v>
      </c>
      <c r="M5842" s="89"/>
      <c r="N5842" s="89" t="s">
        <v>9139</v>
      </c>
      <c r="O5842" s="92">
        <v>8895766.0</v>
      </c>
      <c r="P5842" s="92">
        <v>9027725.0</v>
      </c>
      <c r="Q5842" s="89" t="s">
        <v>810</v>
      </c>
      <c r="AF5842" s="1"/>
      <c r="AG5842" s="1"/>
    </row>
    <row r="5843" ht="15.75" customHeight="1">
      <c r="A5843" s="1"/>
      <c r="B5843" s="1"/>
      <c r="C5843" s="1"/>
      <c r="D5843" s="1"/>
      <c r="E5843" s="1"/>
      <c r="F5843" s="1"/>
      <c r="G5843" s="1"/>
      <c r="H5843" s="1"/>
      <c r="I5843" s="1"/>
      <c r="J5843" s="1"/>
      <c r="K5843" s="89" t="s">
        <v>9140</v>
      </c>
      <c r="L5843" s="89" t="str">
        <f>D259</f>
        <v>C2b1~</v>
      </c>
      <c r="M5843" s="89"/>
      <c r="N5843" s="89" t="s">
        <v>9141</v>
      </c>
      <c r="O5843" s="92">
        <v>1.4593958E7</v>
      </c>
      <c r="P5843" s="92">
        <v>1.2482158E7</v>
      </c>
      <c r="Q5843" s="89" t="s">
        <v>802</v>
      </c>
      <c r="AF5843" s="1"/>
      <c r="AG5843" s="1"/>
    </row>
    <row r="5844" ht="15.75" customHeight="1">
      <c r="A5844" s="1"/>
      <c r="B5844" s="1"/>
      <c r="C5844" s="1"/>
      <c r="D5844" s="1"/>
      <c r="E5844" s="1"/>
      <c r="F5844" s="1"/>
      <c r="G5844" s="1"/>
      <c r="H5844" s="1"/>
      <c r="I5844" s="1"/>
      <c r="J5844" s="1"/>
      <c r="K5844" s="89" t="s">
        <v>9142</v>
      </c>
      <c r="L5844" s="89" t="str">
        <f>D259</f>
        <v>C2b1~</v>
      </c>
      <c r="M5844" s="89"/>
      <c r="N5844" s="89" t="s">
        <v>9143</v>
      </c>
      <c r="O5844" s="92">
        <v>1.5974459E7</v>
      </c>
      <c r="P5844" s="92">
        <v>1.3862579E7</v>
      </c>
      <c r="Q5844" s="89" t="s">
        <v>879</v>
      </c>
      <c r="AF5844" s="1"/>
      <c r="AG5844" s="1"/>
    </row>
    <row r="5845" ht="15.75" customHeight="1">
      <c r="A5845" s="1"/>
      <c r="B5845" s="1"/>
      <c r="C5845" s="1"/>
      <c r="D5845" s="1"/>
      <c r="E5845" s="1"/>
      <c r="F5845" s="1"/>
      <c r="G5845" s="1"/>
      <c r="H5845" s="1"/>
      <c r="I5845" s="1"/>
      <c r="J5845" s="1"/>
      <c r="K5845" s="89" t="s">
        <v>9144</v>
      </c>
      <c r="L5845" s="89" t="str">
        <f>D259</f>
        <v>C2b1~</v>
      </c>
      <c r="M5845" s="89"/>
      <c r="N5845" s="89" t="s">
        <v>9145</v>
      </c>
      <c r="O5845" s="92">
        <v>1.7054046E7</v>
      </c>
      <c r="P5845" s="92">
        <v>1.4942166E7</v>
      </c>
      <c r="Q5845" s="89" t="s">
        <v>813</v>
      </c>
      <c r="AF5845" s="1"/>
      <c r="AG5845" s="1"/>
    </row>
    <row r="5846" ht="15.75" customHeight="1">
      <c r="A5846" s="1"/>
      <c r="B5846" s="1"/>
      <c r="C5846" s="1"/>
      <c r="D5846" s="1"/>
      <c r="E5846" s="1"/>
      <c r="F5846" s="1"/>
      <c r="G5846" s="1"/>
      <c r="H5846" s="1"/>
      <c r="I5846" s="1"/>
      <c r="J5846" s="1"/>
      <c r="K5846" s="89" t="s">
        <v>9146</v>
      </c>
      <c r="L5846" s="89" t="str">
        <f>D259</f>
        <v>C2b1~</v>
      </c>
      <c r="M5846" s="89"/>
      <c r="N5846" s="89" t="s">
        <v>9147</v>
      </c>
      <c r="O5846" s="92">
        <v>8760488.0</v>
      </c>
      <c r="P5846" s="92">
        <v>8892447.0</v>
      </c>
      <c r="Q5846" s="89" t="s">
        <v>845</v>
      </c>
      <c r="AF5846" s="1"/>
      <c r="AG5846" s="1"/>
    </row>
    <row r="5847" ht="15.75" customHeight="1">
      <c r="A5847" s="1"/>
      <c r="B5847" s="1"/>
      <c r="C5847" s="1"/>
      <c r="D5847" s="1"/>
      <c r="E5847" s="1"/>
      <c r="F5847" s="1"/>
      <c r="G5847" s="1"/>
      <c r="H5847" s="1"/>
      <c r="I5847" s="1"/>
      <c r="J5847" s="1"/>
      <c r="K5847" s="89" t="s">
        <v>9148</v>
      </c>
      <c r="L5847" s="89" t="str">
        <f>D259</f>
        <v>C2b1~</v>
      </c>
      <c r="M5847" s="89"/>
      <c r="N5847" s="89" t="s">
        <v>9149</v>
      </c>
      <c r="O5847" s="92">
        <v>9171896.0</v>
      </c>
      <c r="P5847" s="92">
        <v>9334287.0</v>
      </c>
      <c r="Q5847" s="89" t="s">
        <v>810</v>
      </c>
      <c r="AF5847" s="1"/>
      <c r="AG5847" s="1"/>
    </row>
    <row r="5848" ht="15.75" customHeight="1">
      <c r="A5848" s="1"/>
      <c r="B5848" s="1"/>
      <c r="C5848" s="1"/>
      <c r="D5848" s="1"/>
      <c r="E5848" s="1"/>
      <c r="F5848" s="1"/>
      <c r="G5848" s="1"/>
      <c r="H5848" s="1"/>
      <c r="I5848" s="1"/>
      <c r="J5848" s="1"/>
      <c r="K5848" s="89" t="s">
        <v>9150</v>
      </c>
      <c r="L5848" s="89" t="str">
        <f>D259</f>
        <v>C2b1~</v>
      </c>
      <c r="M5848" s="89"/>
      <c r="N5848" s="89" t="s">
        <v>9151</v>
      </c>
      <c r="O5848" s="89">
        <v>2.1367157E7</v>
      </c>
      <c r="P5848" s="89">
        <v>1.9205271E7</v>
      </c>
      <c r="Q5848" s="89" t="s">
        <v>879</v>
      </c>
      <c r="AF5848" s="1"/>
      <c r="AG5848" s="1"/>
    </row>
    <row r="5849" ht="15.75" customHeight="1">
      <c r="A5849" s="1"/>
      <c r="B5849" s="1"/>
      <c r="C5849" s="1"/>
      <c r="D5849" s="1"/>
      <c r="E5849" s="1"/>
      <c r="F5849" s="1"/>
      <c r="G5849" s="1"/>
      <c r="H5849" s="1"/>
      <c r="I5849" s="1"/>
      <c r="J5849" s="1"/>
      <c r="K5849" s="89" t="s">
        <v>9152</v>
      </c>
      <c r="L5849" s="89" t="str">
        <f>D259</f>
        <v>C2b1~</v>
      </c>
      <c r="M5849" s="89"/>
      <c r="N5849" s="89" t="s">
        <v>9153</v>
      </c>
      <c r="O5849" s="92">
        <v>2.318929E7</v>
      </c>
      <c r="P5849" s="92">
        <v>2.1027404E7</v>
      </c>
      <c r="Q5849" s="89" t="s">
        <v>802</v>
      </c>
      <c r="AF5849" s="1"/>
      <c r="AG5849" s="1"/>
    </row>
    <row r="5850" ht="15.75" customHeight="1">
      <c r="A5850" s="1"/>
      <c r="B5850" s="1"/>
      <c r="C5850" s="1"/>
      <c r="D5850" s="1"/>
      <c r="E5850" s="1"/>
      <c r="F5850" s="1"/>
      <c r="G5850" s="1"/>
      <c r="H5850" s="1"/>
      <c r="I5850" s="1"/>
      <c r="J5850" s="1"/>
      <c r="K5850" s="89" t="s">
        <v>9154</v>
      </c>
      <c r="L5850" s="89" t="str">
        <f>D259</f>
        <v>C2b1~</v>
      </c>
      <c r="M5850" s="89"/>
      <c r="N5850" s="89" t="s">
        <v>9155</v>
      </c>
      <c r="O5850" s="89">
        <v>7821143.0</v>
      </c>
      <c r="P5850" s="89">
        <v>7953102.0</v>
      </c>
      <c r="Q5850" s="89" t="s">
        <v>822</v>
      </c>
      <c r="AF5850" s="1"/>
      <c r="AG5850" s="1"/>
    </row>
    <row r="5851" ht="15.75" customHeight="1">
      <c r="A5851" s="1"/>
      <c r="B5851" s="1"/>
      <c r="C5851" s="1"/>
      <c r="D5851" s="1"/>
      <c r="E5851" s="1"/>
      <c r="F5851" s="1"/>
      <c r="G5851" s="1"/>
      <c r="H5851" s="1"/>
      <c r="I5851" s="1"/>
      <c r="J5851" s="1"/>
      <c r="K5851" s="89" t="s">
        <v>9156</v>
      </c>
      <c r="L5851" s="89" t="str">
        <f>D259</f>
        <v>C2b1~</v>
      </c>
      <c r="M5851" s="89"/>
      <c r="N5851" s="89" t="s">
        <v>9157</v>
      </c>
      <c r="O5851" s="92">
        <v>1.3558182E7</v>
      </c>
      <c r="P5851" s="92">
        <v>1.1402506E7</v>
      </c>
      <c r="Q5851" s="89" t="s">
        <v>810</v>
      </c>
      <c r="AF5851" s="1"/>
      <c r="AG5851" s="1"/>
    </row>
    <row r="5852" ht="15.75" customHeight="1">
      <c r="A5852" s="1"/>
      <c r="B5852" s="1"/>
      <c r="C5852" s="1"/>
      <c r="D5852" s="1"/>
      <c r="E5852" s="1"/>
      <c r="F5852" s="1"/>
      <c r="G5852" s="1"/>
      <c r="H5852" s="1"/>
      <c r="I5852" s="1"/>
      <c r="J5852" s="1"/>
      <c r="K5852" s="89" t="s">
        <v>9158</v>
      </c>
      <c r="L5852" s="89" t="str">
        <f>D259</f>
        <v>C2b1~</v>
      </c>
      <c r="M5852" s="89"/>
      <c r="N5852" s="89" t="s">
        <v>9159</v>
      </c>
      <c r="O5852" s="89">
        <v>1.6186609E7</v>
      </c>
      <c r="P5852" s="89">
        <v>1.4074729E7</v>
      </c>
      <c r="Q5852" s="89" t="s">
        <v>864</v>
      </c>
      <c r="AF5852" s="1"/>
      <c r="AG5852" s="1"/>
    </row>
    <row r="5853" ht="15.75" customHeight="1">
      <c r="A5853" s="1"/>
      <c r="B5853" s="1"/>
      <c r="C5853" s="1"/>
      <c r="D5853" s="1"/>
      <c r="E5853" s="1"/>
      <c r="F5853" s="1"/>
      <c r="G5853" s="1"/>
      <c r="H5853" s="1"/>
      <c r="I5853" s="1"/>
      <c r="J5853" s="1"/>
      <c r="K5853" s="89" t="s">
        <v>9160</v>
      </c>
      <c r="L5853" s="89" t="str">
        <f>E260</f>
        <v>C2b1a</v>
      </c>
      <c r="M5853" s="89"/>
      <c r="N5853" s="89" t="s">
        <v>9161</v>
      </c>
      <c r="O5853" s="89">
        <v>7801788.0</v>
      </c>
      <c r="P5853" s="89">
        <v>7933747.0</v>
      </c>
      <c r="Q5853" s="89" t="s">
        <v>802</v>
      </c>
      <c r="AF5853" s="1"/>
      <c r="AG5853" s="1"/>
    </row>
    <row r="5854" ht="15.75" customHeight="1">
      <c r="A5854" s="1"/>
      <c r="B5854" s="1"/>
      <c r="C5854" s="1"/>
      <c r="D5854" s="1"/>
      <c r="E5854" s="1"/>
      <c r="F5854" s="1"/>
      <c r="G5854" s="1"/>
      <c r="H5854" s="1"/>
      <c r="I5854" s="1"/>
      <c r="J5854" s="1"/>
      <c r="K5854" s="89" t="s">
        <v>9162</v>
      </c>
      <c r="L5854" s="89" t="str">
        <f>E260</f>
        <v>C2b1a</v>
      </c>
      <c r="M5854" s="89" t="s">
        <v>9163</v>
      </c>
      <c r="N5854" s="89" t="s">
        <v>9164</v>
      </c>
      <c r="O5854" s="92">
        <v>1.5339328E7</v>
      </c>
      <c r="P5854" s="92">
        <v>1.3227446E7</v>
      </c>
      <c r="Q5854" s="89" t="s">
        <v>802</v>
      </c>
      <c r="AF5854" s="1"/>
      <c r="AG5854" s="1"/>
    </row>
    <row r="5855" ht="15.75" customHeight="1">
      <c r="A5855" s="1"/>
      <c r="B5855" s="1"/>
      <c r="C5855" s="1"/>
      <c r="D5855" s="1"/>
      <c r="E5855" s="1"/>
      <c r="F5855" s="1"/>
      <c r="G5855" s="1"/>
      <c r="H5855" s="1"/>
      <c r="I5855" s="1"/>
      <c r="J5855" s="1"/>
      <c r="K5855" s="89" t="s">
        <v>9163</v>
      </c>
      <c r="L5855" s="89" t="str">
        <f>E260</f>
        <v>C2b1a</v>
      </c>
      <c r="M5855" s="89" t="s">
        <v>9162</v>
      </c>
      <c r="N5855" s="89" t="s">
        <v>9164</v>
      </c>
      <c r="O5855" s="92">
        <v>1.5339328E7</v>
      </c>
      <c r="P5855" s="92">
        <v>1.3227446E7</v>
      </c>
      <c r="Q5855" s="89" t="s">
        <v>802</v>
      </c>
      <c r="AF5855" s="1"/>
      <c r="AG5855" s="1"/>
    </row>
    <row r="5856" ht="15.75" customHeight="1">
      <c r="A5856" s="1"/>
      <c r="B5856" s="1"/>
      <c r="C5856" s="1"/>
      <c r="D5856" s="1"/>
      <c r="E5856" s="1"/>
      <c r="F5856" s="1"/>
      <c r="G5856" s="1"/>
      <c r="H5856" s="1"/>
      <c r="I5856" s="1"/>
      <c r="J5856" s="1"/>
      <c r="K5856" s="89" t="s">
        <v>9165</v>
      </c>
      <c r="L5856" s="89" t="str">
        <f>E260</f>
        <v>C2b1a</v>
      </c>
      <c r="M5856" s="89"/>
      <c r="N5856" s="89" t="s">
        <v>9166</v>
      </c>
      <c r="O5856" s="92">
        <v>1.5724326E7</v>
      </c>
      <c r="P5856" s="92">
        <v>1.3612446E7</v>
      </c>
      <c r="Q5856" s="89" t="s">
        <v>822</v>
      </c>
      <c r="AF5856" s="1"/>
      <c r="AG5856" s="1"/>
    </row>
    <row r="5857" ht="15.75" customHeight="1">
      <c r="A5857" s="1"/>
      <c r="B5857" s="1"/>
      <c r="C5857" s="1"/>
      <c r="D5857" s="1"/>
      <c r="E5857" s="1"/>
      <c r="F5857" s="1"/>
      <c r="G5857" s="1"/>
      <c r="H5857" s="1"/>
      <c r="I5857" s="1"/>
      <c r="J5857" s="1"/>
      <c r="K5857" s="89" t="s">
        <v>9167</v>
      </c>
      <c r="L5857" s="89" t="str">
        <f>E260</f>
        <v>C2b1a</v>
      </c>
      <c r="M5857" s="89"/>
      <c r="N5857" s="89" t="s">
        <v>9168</v>
      </c>
      <c r="O5857" s="92">
        <v>1.9207887E7</v>
      </c>
      <c r="P5857" s="92">
        <v>1.7096007E7</v>
      </c>
      <c r="Q5857" s="89" t="s">
        <v>912</v>
      </c>
      <c r="AF5857" s="1"/>
      <c r="AG5857" s="1"/>
    </row>
    <row r="5858" ht="15.75" customHeight="1">
      <c r="A5858" s="1"/>
      <c r="B5858" s="1"/>
      <c r="C5858" s="1"/>
      <c r="D5858" s="1"/>
      <c r="E5858" s="1"/>
      <c r="F5858" s="1"/>
      <c r="G5858" s="1"/>
      <c r="H5858" s="1"/>
      <c r="I5858" s="1"/>
      <c r="J5858" s="1"/>
      <c r="K5858" s="89" t="s">
        <v>9169</v>
      </c>
      <c r="L5858" s="89" t="str">
        <f>E260</f>
        <v>C2b1a</v>
      </c>
      <c r="M5858" s="89"/>
      <c r="N5858" s="89" t="s">
        <v>9170</v>
      </c>
      <c r="O5858" s="92">
        <v>9099427.0</v>
      </c>
      <c r="P5858" s="92">
        <v>9261818.0</v>
      </c>
      <c r="Q5858" s="89" t="s">
        <v>802</v>
      </c>
      <c r="AF5858" s="1"/>
      <c r="AG5858" s="1"/>
    </row>
    <row r="5859" ht="15.75" customHeight="1">
      <c r="A5859" s="1"/>
      <c r="B5859" s="1"/>
      <c r="C5859" s="1"/>
      <c r="D5859" s="1"/>
      <c r="E5859" s="1"/>
      <c r="F5859" s="1"/>
      <c r="G5859" s="1"/>
      <c r="H5859" s="1"/>
      <c r="I5859" s="1"/>
      <c r="J5859" s="1"/>
      <c r="K5859" s="89" t="s">
        <v>9171</v>
      </c>
      <c r="L5859" s="89" t="str">
        <f t="shared" ref="L5859:L5860" si="62">E260</f>
        <v>C2b1a</v>
      </c>
      <c r="M5859" s="89"/>
      <c r="N5859" s="89" t="s">
        <v>9172</v>
      </c>
      <c r="O5859" s="92">
        <v>1.7206421E7</v>
      </c>
      <c r="P5859" s="92">
        <v>1.5094541E7</v>
      </c>
      <c r="Q5859" s="89" t="s">
        <v>802</v>
      </c>
      <c r="AF5859" s="1"/>
      <c r="AG5859" s="1"/>
    </row>
    <row r="5860" ht="15.75" customHeight="1">
      <c r="A5860" s="1"/>
      <c r="B5860" s="1"/>
      <c r="C5860" s="1"/>
      <c r="D5860" s="1"/>
      <c r="E5860" s="1"/>
      <c r="F5860" s="1"/>
      <c r="G5860" s="1"/>
      <c r="H5860" s="1"/>
      <c r="I5860" s="1"/>
      <c r="J5860" s="1"/>
      <c r="K5860" s="89" t="s">
        <v>482</v>
      </c>
      <c r="L5860" s="89" t="str">
        <f t="shared" si="62"/>
        <v>C2b1a~</v>
      </c>
      <c r="M5860" s="89"/>
      <c r="N5860" s="89" t="s">
        <v>9173</v>
      </c>
      <c r="O5860" s="92">
        <v>7150431.0</v>
      </c>
      <c r="P5860" s="92">
        <v>7282390.0</v>
      </c>
      <c r="Q5860" s="89" t="s">
        <v>831</v>
      </c>
      <c r="R5860" s="47"/>
      <c r="AF5860" s="1"/>
      <c r="AG5860" s="1"/>
    </row>
    <row r="5861" ht="15.75" customHeight="1">
      <c r="A5861" s="1"/>
      <c r="B5861" s="1"/>
      <c r="C5861" s="1"/>
      <c r="D5861" s="1"/>
      <c r="E5861" s="1"/>
      <c r="F5861" s="1"/>
      <c r="G5861" s="1"/>
      <c r="H5861" s="1"/>
      <c r="I5861" s="1"/>
      <c r="J5861" s="1"/>
      <c r="K5861" s="89" t="s">
        <v>9174</v>
      </c>
      <c r="L5861" s="89" t="str">
        <f>F262</f>
        <v>C2b1a1</v>
      </c>
      <c r="M5861" s="89"/>
      <c r="N5861" s="89" t="s">
        <v>9175</v>
      </c>
      <c r="O5861" s="92">
        <v>1.4408338E7</v>
      </c>
      <c r="P5861" s="92">
        <v>1.2287636E7</v>
      </c>
      <c r="Q5861" s="89" t="s">
        <v>831</v>
      </c>
      <c r="AF5861" s="1"/>
      <c r="AG5861" s="1"/>
    </row>
    <row r="5862" ht="15.75" customHeight="1">
      <c r="A5862" s="1"/>
      <c r="B5862" s="1"/>
      <c r="C5862" s="1"/>
      <c r="D5862" s="1"/>
      <c r="E5862" s="1"/>
      <c r="F5862" s="1"/>
      <c r="G5862" s="1"/>
      <c r="H5862" s="1"/>
      <c r="I5862" s="1"/>
      <c r="J5862" s="1"/>
      <c r="K5862" s="89" t="s">
        <v>9176</v>
      </c>
      <c r="L5862" s="89" t="str">
        <f>F262</f>
        <v>C2b1a1</v>
      </c>
      <c r="M5862" s="89"/>
      <c r="N5862" s="89" t="s">
        <v>9177</v>
      </c>
      <c r="O5862" s="92">
        <v>9105097.0</v>
      </c>
      <c r="P5862" s="92">
        <v>9267488.0</v>
      </c>
      <c r="Q5862" s="89" t="s">
        <v>810</v>
      </c>
      <c r="AF5862" s="1"/>
      <c r="AG5862" s="1"/>
    </row>
    <row r="5863" ht="15.75" customHeight="1">
      <c r="A5863" s="1"/>
      <c r="B5863" s="1"/>
      <c r="C5863" s="1"/>
      <c r="D5863" s="1"/>
      <c r="E5863" s="1"/>
      <c r="F5863" s="1"/>
      <c r="G5863" s="1"/>
      <c r="H5863" s="1"/>
      <c r="I5863" s="1"/>
      <c r="J5863" s="1"/>
      <c r="K5863" s="89" t="s">
        <v>9178</v>
      </c>
      <c r="L5863" s="89" t="str">
        <f>F262</f>
        <v>C2b1a1</v>
      </c>
      <c r="M5863" s="89" t="s">
        <v>9179</v>
      </c>
      <c r="N5863" s="89" t="s">
        <v>9180</v>
      </c>
      <c r="O5863" s="92">
        <v>8155906.0</v>
      </c>
      <c r="P5863" s="92">
        <v>8287865.0</v>
      </c>
      <c r="Q5863" s="89" t="s">
        <v>802</v>
      </c>
      <c r="AF5863" s="1"/>
      <c r="AG5863" s="1"/>
    </row>
    <row r="5864" ht="15.75" customHeight="1">
      <c r="A5864" s="1"/>
      <c r="B5864" s="1"/>
      <c r="C5864" s="1"/>
      <c r="D5864" s="1"/>
      <c r="E5864" s="1"/>
      <c r="F5864" s="1"/>
      <c r="G5864" s="1"/>
      <c r="H5864" s="1"/>
      <c r="I5864" s="1"/>
      <c r="J5864" s="1"/>
      <c r="K5864" s="89" t="s">
        <v>9179</v>
      </c>
      <c r="L5864" s="89" t="str">
        <f>F262</f>
        <v>C2b1a1</v>
      </c>
      <c r="M5864" s="89" t="s">
        <v>9178</v>
      </c>
      <c r="N5864" s="89" t="s">
        <v>9180</v>
      </c>
      <c r="O5864" s="92">
        <v>8155906.0</v>
      </c>
      <c r="P5864" s="92">
        <v>8287865.0</v>
      </c>
      <c r="Q5864" s="89" t="s">
        <v>802</v>
      </c>
      <c r="AF5864" s="1"/>
      <c r="AG5864" s="1"/>
    </row>
    <row r="5865" ht="15.75" customHeight="1">
      <c r="A5865" s="1"/>
      <c r="B5865" s="1"/>
      <c r="C5865" s="1"/>
      <c r="D5865" s="1"/>
      <c r="E5865" s="1"/>
      <c r="F5865" s="1"/>
      <c r="G5865" s="1"/>
      <c r="H5865" s="1"/>
      <c r="I5865" s="1"/>
      <c r="J5865" s="1"/>
      <c r="K5865" s="89" t="s">
        <v>9181</v>
      </c>
      <c r="L5865" s="89" t="str">
        <f>F262</f>
        <v>C2b1a1</v>
      </c>
      <c r="M5865" s="89" t="s">
        <v>9182</v>
      </c>
      <c r="N5865" s="89" t="s">
        <v>9183</v>
      </c>
      <c r="O5865" s="92">
        <v>2.1425E7</v>
      </c>
      <c r="P5865" s="92">
        <v>1.9263114E7</v>
      </c>
      <c r="Q5865" s="89" t="s">
        <v>838</v>
      </c>
      <c r="AF5865" s="1"/>
      <c r="AG5865" s="1"/>
    </row>
    <row r="5866" ht="15.75" customHeight="1">
      <c r="A5866" s="1"/>
      <c r="B5866" s="1"/>
      <c r="C5866" s="1"/>
      <c r="D5866" s="1"/>
      <c r="E5866" s="1"/>
      <c r="F5866" s="1"/>
      <c r="G5866" s="1"/>
      <c r="H5866" s="1"/>
      <c r="I5866" s="1"/>
      <c r="J5866" s="1"/>
      <c r="K5866" s="89" t="s">
        <v>9182</v>
      </c>
      <c r="L5866" s="89" t="str">
        <f>F262</f>
        <v>C2b1a1</v>
      </c>
      <c r="M5866" s="89" t="s">
        <v>9181</v>
      </c>
      <c r="N5866" s="89" t="s">
        <v>9183</v>
      </c>
      <c r="O5866" s="92">
        <v>2.1425E7</v>
      </c>
      <c r="P5866" s="92">
        <v>1.9263114E7</v>
      </c>
      <c r="Q5866" s="89" t="s">
        <v>838</v>
      </c>
      <c r="AF5866" s="1"/>
      <c r="AG5866" s="1"/>
    </row>
    <row r="5867" ht="15.75" customHeight="1">
      <c r="A5867" s="1"/>
      <c r="B5867" s="1"/>
      <c r="C5867" s="1"/>
      <c r="D5867" s="1"/>
      <c r="E5867" s="1"/>
      <c r="F5867" s="1"/>
      <c r="G5867" s="1"/>
      <c r="H5867" s="1"/>
      <c r="I5867" s="1"/>
      <c r="J5867" s="1"/>
      <c r="K5867" s="89" t="s">
        <v>9184</v>
      </c>
      <c r="L5867" s="89" t="str">
        <f>G264</f>
        <v>C2b1a1a</v>
      </c>
      <c r="M5867" s="89"/>
      <c r="N5867" s="89" t="s">
        <v>9185</v>
      </c>
      <c r="O5867" s="92">
        <v>2.3406293E7</v>
      </c>
      <c r="P5867" s="92">
        <v>2.1244407E7</v>
      </c>
      <c r="Q5867" s="89" t="s">
        <v>879</v>
      </c>
      <c r="AF5867" s="1"/>
      <c r="AG5867" s="1"/>
    </row>
    <row r="5868" ht="15.75" customHeight="1">
      <c r="A5868" s="1"/>
      <c r="B5868" s="1"/>
      <c r="C5868" s="1"/>
      <c r="D5868" s="1"/>
      <c r="E5868" s="1"/>
      <c r="F5868" s="1"/>
      <c r="G5868" s="1"/>
      <c r="H5868" s="1"/>
      <c r="I5868" s="1"/>
      <c r="J5868" s="1"/>
      <c r="K5868" s="89" t="s">
        <v>9186</v>
      </c>
      <c r="L5868" s="89" t="str">
        <f>G264</f>
        <v>C2b1a1a</v>
      </c>
      <c r="M5868" s="89"/>
      <c r="N5868" s="89" t="s">
        <v>9187</v>
      </c>
      <c r="O5868" s="92">
        <v>1.4658617E7</v>
      </c>
      <c r="P5868" s="92">
        <v>1.2546682E7</v>
      </c>
      <c r="Q5868" s="89" t="s">
        <v>879</v>
      </c>
      <c r="AF5868" s="1"/>
      <c r="AG5868" s="1"/>
    </row>
    <row r="5869" ht="15.75" customHeight="1">
      <c r="A5869" s="1"/>
      <c r="B5869" s="1"/>
      <c r="C5869" s="1"/>
      <c r="D5869" s="1"/>
      <c r="E5869" s="1"/>
      <c r="F5869" s="1"/>
      <c r="G5869" s="1"/>
      <c r="H5869" s="1"/>
      <c r="I5869" s="1"/>
      <c r="J5869" s="1"/>
      <c r="K5869" s="89" t="s">
        <v>9188</v>
      </c>
      <c r="L5869" s="89" t="str">
        <f>G264</f>
        <v>C2b1a1a</v>
      </c>
      <c r="M5869" s="89"/>
      <c r="N5869" s="89" t="s">
        <v>9189</v>
      </c>
      <c r="O5869" s="92">
        <v>1.6904813E7</v>
      </c>
      <c r="P5869" s="92">
        <v>1.4792933E7</v>
      </c>
      <c r="Q5869" s="89" t="s">
        <v>886</v>
      </c>
      <c r="AF5869" s="1"/>
      <c r="AG5869" s="1"/>
    </row>
    <row r="5870" ht="15.75" customHeight="1">
      <c r="A5870" s="1"/>
      <c r="B5870" s="1"/>
      <c r="C5870" s="1"/>
      <c r="D5870" s="1"/>
      <c r="E5870" s="1"/>
      <c r="F5870" s="1"/>
      <c r="G5870" s="1"/>
      <c r="H5870" s="1"/>
      <c r="I5870" s="1"/>
      <c r="J5870" s="1"/>
      <c r="K5870" s="89" t="s">
        <v>9190</v>
      </c>
      <c r="L5870" s="89" t="str">
        <f>G264</f>
        <v>C2b1a1a</v>
      </c>
      <c r="M5870" s="89"/>
      <c r="N5870" s="89" t="s">
        <v>9191</v>
      </c>
      <c r="O5870" s="92">
        <v>1.7656766E7</v>
      </c>
      <c r="P5870" s="92">
        <v>1.5544886E7</v>
      </c>
      <c r="Q5870" s="89" t="s">
        <v>822</v>
      </c>
      <c r="AF5870" s="1"/>
      <c r="AG5870" s="1"/>
    </row>
    <row r="5871" ht="15.75" customHeight="1">
      <c r="A5871" s="1"/>
      <c r="B5871" s="1"/>
      <c r="C5871" s="1"/>
      <c r="D5871" s="1"/>
      <c r="E5871" s="1"/>
      <c r="F5871" s="1"/>
      <c r="G5871" s="1"/>
      <c r="H5871" s="1"/>
      <c r="I5871" s="1"/>
      <c r="J5871" s="1"/>
      <c r="K5871" s="89" t="s">
        <v>9192</v>
      </c>
      <c r="L5871" s="89" t="str">
        <f>G264</f>
        <v>C2b1a1a</v>
      </c>
      <c r="M5871" s="89"/>
      <c r="N5871" s="89" t="s">
        <v>9193</v>
      </c>
      <c r="O5871" s="92">
        <v>2.3573825E7</v>
      </c>
      <c r="P5871" s="92">
        <v>2.1411939E7</v>
      </c>
      <c r="Q5871" s="89" t="s">
        <v>831</v>
      </c>
      <c r="AF5871" s="1"/>
      <c r="AG5871" s="1"/>
    </row>
    <row r="5872" ht="15.75" customHeight="1">
      <c r="A5872" s="1"/>
      <c r="B5872" s="1"/>
      <c r="C5872" s="1"/>
      <c r="D5872" s="1"/>
      <c r="E5872" s="1"/>
      <c r="F5872" s="1"/>
      <c r="G5872" s="1"/>
      <c r="H5872" s="1"/>
      <c r="I5872" s="1"/>
      <c r="J5872" s="1"/>
      <c r="K5872" s="89" t="s">
        <v>9194</v>
      </c>
      <c r="L5872" s="89" t="str">
        <f>G264</f>
        <v>C2b1a1a</v>
      </c>
      <c r="M5872" s="89"/>
      <c r="N5872" s="89" t="s">
        <v>9195</v>
      </c>
      <c r="O5872" s="92">
        <v>2.3966519E7</v>
      </c>
      <c r="P5872" s="92">
        <v>2.1820372E7</v>
      </c>
      <c r="Q5872" s="89" t="s">
        <v>838</v>
      </c>
      <c r="AF5872" s="1"/>
      <c r="AG5872" s="1"/>
    </row>
    <row r="5873" ht="15.75" customHeight="1">
      <c r="A5873" s="1"/>
      <c r="B5873" s="1"/>
      <c r="C5873" s="1"/>
      <c r="D5873" s="1"/>
      <c r="E5873" s="1"/>
      <c r="F5873" s="1"/>
      <c r="G5873" s="1"/>
      <c r="H5873" s="1"/>
      <c r="I5873" s="1"/>
      <c r="J5873" s="1"/>
      <c r="K5873" s="89" t="s">
        <v>9196</v>
      </c>
      <c r="L5873" s="89" t="str">
        <f>G264</f>
        <v>C2b1a1a</v>
      </c>
      <c r="M5873" s="89" t="s">
        <v>9197</v>
      </c>
      <c r="N5873" s="89" t="s">
        <v>9198</v>
      </c>
      <c r="O5873" s="92">
        <v>1.7456014E7</v>
      </c>
      <c r="P5873" s="92">
        <v>1.5344134E7</v>
      </c>
      <c r="Q5873" s="89" t="s">
        <v>813</v>
      </c>
      <c r="AF5873" s="1"/>
      <c r="AG5873" s="1"/>
    </row>
    <row r="5874" ht="15.75" customHeight="1">
      <c r="A5874" s="1"/>
      <c r="B5874" s="1"/>
      <c r="C5874" s="1"/>
      <c r="D5874" s="1"/>
      <c r="E5874" s="1"/>
      <c r="F5874" s="1"/>
      <c r="G5874" s="1"/>
      <c r="H5874" s="1"/>
      <c r="I5874" s="1"/>
      <c r="J5874" s="1"/>
      <c r="K5874" s="89" t="s">
        <v>9199</v>
      </c>
      <c r="L5874" s="89" t="str">
        <f>G264</f>
        <v>C2b1a1a</v>
      </c>
      <c r="M5874" s="89" t="s">
        <v>9200</v>
      </c>
      <c r="N5874" s="89" t="s">
        <v>9198</v>
      </c>
      <c r="O5874" s="92">
        <v>1.7456014E7</v>
      </c>
      <c r="P5874" s="92">
        <v>1.5344134E7</v>
      </c>
      <c r="Q5874" s="89" t="s">
        <v>813</v>
      </c>
      <c r="AF5874" s="1"/>
      <c r="AG5874" s="1"/>
    </row>
    <row r="5875" ht="15.75" customHeight="1">
      <c r="A5875" s="1"/>
      <c r="B5875" s="1"/>
      <c r="C5875" s="1"/>
      <c r="D5875" s="1"/>
      <c r="E5875" s="1"/>
      <c r="F5875" s="1"/>
      <c r="G5875" s="1"/>
      <c r="H5875" s="1"/>
      <c r="I5875" s="1"/>
      <c r="J5875" s="1"/>
      <c r="K5875" s="89" t="s">
        <v>9201</v>
      </c>
      <c r="L5875" s="89" t="str">
        <f>G264</f>
        <v>C2b1a1a</v>
      </c>
      <c r="M5875" s="89" t="s">
        <v>9202</v>
      </c>
      <c r="N5875" s="89" t="s">
        <v>9198</v>
      </c>
      <c r="O5875" s="92">
        <v>1.7456014E7</v>
      </c>
      <c r="P5875" s="92">
        <v>1.5344134E7</v>
      </c>
      <c r="Q5875" s="89" t="s">
        <v>813</v>
      </c>
      <c r="AF5875" s="1"/>
      <c r="AG5875" s="1"/>
    </row>
    <row r="5876" ht="15.75" customHeight="1">
      <c r="A5876" s="1"/>
      <c r="B5876" s="1"/>
      <c r="C5876" s="1"/>
      <c r="D5876" s="1"/>
      <c r="E5876" s="1"/>
      <c r="F5876" s="1"/>
      <c r="G5876" s="1"/>
      <c r="H5876" s="1"/>
      <c r="I5876" s="1"/>
      <c r="J5876" s="1"/>
      <c r="K5876" s="89" t="s">
        <v>9203</v>
      </c>
      <c r="L5876" s="89" t="str">
        <f>G264</f>
        <v>C2b1a1a</v>
      </c>
      <c r="M5876" s="93" t="s">
        <v>9204</v>
      </c>
      <c r="N5876" s="89" t="s">
        <v>9205</v>
      </c>
      <c r="O5876" s="92">
        <v>2.2613137E7</v>
      </c>
      <c r="P5876" s="92">
        <v>2.0451251E7</v>
      </c>
      <c r="Q5876" s="89" t="s">
        <v>822</v>
      </c>
      <c r="AF5876" s="1"/>
      <c r="AG5876" s="1"/>
    </row>
    <row r="5877" ht="15.75" customHeight="1">
      <c r="A5877" s="1"/>
      <c r="B5877" s="1"/>
      <c r="C5877" s="1"/>
      <c r="D5877" s="1"/>
      <c r="E5877" s="1"/>
      <c r="F5877" s="1"/>
      <c r="G5877" s="1"/>
      <c r="H5877" s="1"/>
      <c r="I5877" s="1"/>
      <c r="J5877" s="1"/>
      <c r="K5877" s="93" t="s">
        <v>9206</v>
      </c>
      <c r="L5877" s="89" t="str">
        <f>G264</f>
        <v>C2b1a1a</v>
      </c>
      <c r="M5877" s="89" t="s">
        <v>9207</v>
      </c>
      <c r="N5877" s="89" t="s">
        <v>9205</v>
      </c>
      <c r="O5877" s="92">
        <v>2.2613137E7</v>
      </c>
      <c r="P5877" s="92">
        <v>2.0451251E7</v>
      </c>
      <c r="Q5877" s="89" t="s">
        <v>822</v>
      </c>
      <c r="AF5877" s="1"/>
      <c r="AG5877" s="1"/>
    </row>
    <row r="5878" ht="15.75" customHeight="1">
      <c r="A5878" s="1"/>
      <c r="B5878" s="1"/>
      <c r="C5878" s="1"/>
      <c r="D5878" s="1"/>
      <c r="E5878" s="1"/>
      <c r="F5878" s="1"/>
      <c r="G5878" s="1"/>
      <c r="H5878" s="1"/>
      <c r="I5878" s="1"/>
      <c r="J5878" s="1"/>
      <c r="K5878" s="89" t="s">
        <v>9208</v>
      </c>
      <c r="L5878" s="89" t="str">
        <f>G264</f>
        <v>C2b1a1a</v>
      </c>
      <c r="M5878" s="93" t="s">
        <v>9209</v>
      </c>
      <c r="N5878" s="89" t="s">
        <v>9205</v>
      </c>
      <c r="O5878" s="92">
        <v>2.2613137E7</v>
      </c>
      <c r="P5878" s="92">
        <v>2.0451251E7</v>
      </c>
      <c r="Q5878" s="89" t="s">
        <v>822</v>
      </c>
      <c r="AF5878" s="1"/>
      <c r="AG5878" s="1"/>
    </row>
    <row r="5879" ht="15.75" customHeight="1">
      <c r="A5879" s="1"/>
      <c r="B5879" s="1"/>
      <c r="C5879" s="1"/>
      <c r="D5879" s="1"/>
      <c r="E5879" s="1"/>
      <c r="F5879" s="1"/>
      <c r="G5879" s="1"/>
      <c r="H5879" s="1"/>
      <c r="I5879" s="1"/>
      <c r="J5879" s="1"/>
      <c r="K5879" s="89" t="s">
        <v>486</v>
      </c>
      <c r="L5879" s="89" t="str">
        <f>F263</f>
        <v>C2b1a1~</v>
      </c>
      <c r="M5879" s="89"/>
      <c r="N5879" s="89" t="s">
        <v>9210</v>
      </c>
      <c r="O5879" s="92">
        <v>1.4123088E7</v>
      </c>
      <c r="P5879" s="92">
        <v>1.2002382E7</v>
      </c>
      <c r="Q5879" s="89" t="s">
        <v>822</v>
      </c>
      <c r="AF5879" s="1"/>
      <c r="AG5879" s="1"/>
    </row>
    <row r="5880" ht="15.75" customHeight="1">
      <c r="A5880" s="1"/>
      <c r="B5880" s="1"/>
      <c r="C5880" s="1"/>
      <c r="D5880" s="1"/>
      <c r="E5880" s="1"/>
      <c r="F5880" s="1"/>
      <c r="G5880" s="1"/>
      <c r="H5880" s="1"/>
      <c r="I5880" s="1"/>
      <c r="J5880" s="1"/>
      <c r="K5880" s="89" t="s">
        <v>9211</v>
      </c>
      <c r="L5880" s="89" t="str">
        <f>H265</f>
        <v>C2b1a1a1</v>
      </c>
      <c r="M5880" s="89"/>
      <c r="N5880" s="89" t="s">
        <v>9212</v>
      </c>
      <c r="O5880" s="92">
        <v>1.8091127E7</v>
      </c>
      <c r="P5880" s="92">
        <v>1.5979247E7</v>
      </c>
      <c r="Q5880" s="89" t="s">
        <v>838</v>
      </c>
      <c r="AF5880" s="1"/>
      <c r="AG5880" s="1"/>
    </row>
    <row r="5881" ht="15.75" customHeight="1">
      <c r="A5881" s="1"/>
      <c r="B5881" s="1"/>
      <c r="C5881" s="1"/>
      <c r="D5881" s="1"/>
      <c r="E5881" s="1"/>
      <c r="F5881" s="1"/>
      <c r="G5881" s="1"/>
      <c r="H5881" s="1"/>
      <c r="I5881" s="1"/>
      <c r="J5881" s="1"/>
      <c r="K5881" s="89" t="s">
        <v>9213</v>
      </c>
      <c r="L5881" s="89" t="str">
        <f>H265</f>
        <v>C2b1a1a1</v>
      </c>
      <c r="M5881" s="89"/>
      <c r="N5881" s="89" t="s">
        <v>9214</v>
      </c>
      <c r="O5881" s="89">
        <v>1.6455146E7</v>
      </c>
      <c r="P5881" s="89">
        <v>1.4343266E7</v>
      </c>
      <c r="Q5881" s="89" t="s">
        <v>912</v>
      </c>
      <c r="AF5881" s="1"/>
      <c r="AG5881" s="1"/>
    </row>
    <row r="5882" ht="15.75" customHeight="1">
      <c r="A5882" s="1"/>
      <c r="B5882" s="1"/>
      <c r="C5882" s="1"/>
      <c r="D5882" s="1"/>
      <c r="E5882" s="1"/>
      <c r="F5882" s="1"/>
      <c r="G5882" s="1"/>
      <c r="H5882" s="1"/>
      <c r="I5882" s="1"/>
      <c r="J5882" s="1"/>
      <c r="K5882" s="89" t="s">
        <v>9215</v>
      </c>
      <c r="L5882" s="89" t="str">
        <f>H265</f>
        <v>C2b1a1a1</v>
      </c>
      <c r="M5882" s="89"/>
      <c r="N5882" s="89" t="s">
        <v>9216</v>
      </c>
      <c r="O5882" s="92">
        <v>6952633.0</v>
      </c>
      <c r="P5882" s="92">
        <v>7084592.0</v>
      </c>
      <c r="Q5882" s="89" t="s">
        <v>831</v>
      </c>
      <c r="AF5882" s="1"/>
      <c r="AG5882" s="1"/>
    </row>
    <row r="5883" ht="15.75" customHeight="1">
      <c r="A5883" s="1"/>
      <c r="B5883" s="1"/>
      <c r="C5883" s="1"/>
      <c r="D5883" s="1"/>
      <c r="E5883" s="1"/>
      <c r="F5883" s="1"/>
      <c r="G5883" s="1"/>
      <c r="H5883" s="1"/>
      <c r="I5883" s="1"/>
      <c r="J5883" s="1"/>
      <c r="K5883" s="89" t="s">
        <v>9217</v>
      </c>
      <c r="L5883" s="89" t="str">
        <f>H265</f>
        <v>C2b1a1a1</v>
      </c>
      <c r="M5883" s="89"/>
      <c r="N5883" s="89" t="s">
        <v>9218</v>
      </c>
      <c r="O5883" s="92">
        <v>6792143.0</v>
      </c>
      <c r="P5883" s="92">
        <v>6924102.0</v>
      </c>
      <c r="Q5883" s="89" t="s">
        <v>912</v>
      </c>
      <c r="AF5883" s="1"/>
      <c r="AG5883" s="1"/>
    </row>
    <row r="5884" ht="15.75" customHeight="1">
      <c r="A5884" s="1"/>
      <c r="B5884" s="1"/>
      <c r="C5884" s="1"/>
      <c r="D5884" s="1"/>
      <c r="E5884" s="1"/>
      <c r="F5884" s="1"/>
      <c r="G5884" s="1"/>
      <c r="H5884" s="1"/>
      <c r="I5884" s="1"/>
      <c r="J5884" s="1"/>
      <c r="K5884" s="89" t="s">
        <v>9219</v>
      </c>
      <c r="L5884" s="89" t="str">
        <f>H265</f>
        <v>C2b1a1a1</v>
      </c>
      <c r="M5884" s="89"/>
      <c r="N5884" s="89" t="s">
        <v>9220</v>
      </c>
      <c r="O5884" s="92">
        <v>8870417.0</v>
      </c>
      <c r="P5884" s="92">
        <v>9002376.0</v>
      </c>
      <c r="Q5884" s="89" t="s">
        <v>831</v>
      </c>
      <c r="AF5884" s="1"/>
      <c r="AG5884" s="1"/>
    </row>
    <row r="5885" ht="15.75" customHeight="1">
      <c r="A5885" s="1"/>
      <c r="B5885" s="1"/>
      <c r="C5885" s="1"/>
      <c r="D5885" s="1"/>
      <c r="E5885" s="1"/>
      <c r="F5885" s="1"/>
      <c r="G5885" s="1"/>
      <c r="H5885" s="1"/>
      <c r="I5885" s="1"/>
      <c r="J5885" s="1"/>
      <c r="K5885" s="89" t="s">
        <v>9221</v>
      </c>
      <c r="L5885" s="89" t="str">
        <f>H265</f>
        <v>C2b1a1a1</v>
      </c>
      <c r="M5885" s="89"/>
      <c r="N5885" s="89" t="s">
        <v>9222</v>
      </c>
      <c r="O5885" s="89">
        <v>2.4445181E7</v>
      </c>
      <c r="P5885" s="89">
        <v>2.2299034E7</v>
      </c>
      <c r="Q5885" s="89" t="s">
        <v>912</v>
      </c>
      <c r="AF5885" s="1"/>
      <c r="AG5885" s="1"/>
    </row>
    <row r="5886" ht="15.75" customHeight="1">
      <c r="A5886" s="1"/>
      <c r="B5886" s="1"/>
      <c r="C5886" s="1"/>
      <c r="D5886" s="1"/>
      <c r="E5886" s="1"/>
      <c r="F5886" s="1"/>
      <c r="G5886" s="1"/>
      <c r="H5886" s="1"/>
      <c r="I5886" s="1"/>
      <c r="J5886" s="1"/>
      <c r="K5886" s="89" t="s">
        <v>9223</v>
      </c>
      <c r="L5886" s="89" t="str">
        <f>H265</f>
        <v>C2b1a1a1</v>
      </c>
      <c r="M5886" s="89" t="s">
        <v>9224</v>
      </c>
      <c r="N5886" s="89" t="s">
        <v>9225</v>
      </c>
      <c r="O5886" s="92">
        <v>8316170.0</v>
      </c>
      <c r="P5886" s="92">
        <v>8448129.0</v>
      </c>
      <c r="Q5886" s="89" t="s">
        <v>917</v>
      </c>
      <c r="AF5886" s="1"/>
      <c r="AG5886" s="1"/>
    </row>
    <row r="5887" ht="15.75" customHeight="1">
      <c r="A5887" s="1"/>
      <c r="B5887" s="1"/>
      <c r="C5887" s="1"/>
      <c r="D5887" s="1"/>
      <c r="E5887" s="1"/>
      <c r="F5887" s="1"/>
      <c r="G5887" s="1"/>
      <c r="H5887" s="1"/>
      <c r="I5887" s="1"/>
      <c r="J5887" s="1"/>
      <c r="K5887" s="89" t="s">
        <v>9226</v>
      </c>
      <c r="L5887" s="89" t="str">
        <f>H265</f>
        <v>C2b1a1a1</v>
      </c>
      <c r="M5887" s="89" t="s">
        <v>9227</v>
      </c>
      <c r="N5887" s="89" t="s">
        <v>9225</v>
      </c>
      <c r="O5887" s="92">
        <v>8316170.0</v>
      </c>
      <c r="P5887" s="92">
        <v>8448129.0</v>
      </c>
      <c r="Q5887" s="89" t="s">
        <v>917</v>
      </c>
      <c r="AF5887" s="1"/>
      <c r="AG5887" s="1"/>
    </row>
    <row r="5888" ht="15.75" customHeight="1">
      <c r="A5888" s="1"/>
      <c r="B5888" s="1"/>
      <c r="C5888" s="1"/>
      <c r="D5888" s="1"/>
      <c r="E5888" s="1"/>
      <c r="F5888" s="1"/>
      <c r="G5888" s="1"/>
      <c r="H5888" s="1"/>
      <c r="I5888" s="1"/>
      <c r="J5888" s="1"/>
      <c r="K5888" s="89" t="s">
        <v>9228</v>
      </c>
      <c r="L5888" s="89" t="str">
        <f>H265</f>
        <v>C2b1a1a1</v>
      </c>
      <c r="M5888" s="89" t="s">
        <v>9229</v>
      </c>
      <c r="N5888" s="89" t="s">
        <v>9225</v>
      </c>
      <c r="O5888" s="92">
        <v>8316170.0</v>
      </c>
      <c r="P5888" s="92">
        <v>8448129.0</v>
      </c>
      <c r="Q5888" s="89" t="s">
        <v>917</v>
      </c>
      <c r="AF5888" s="1"/>
      <c r="AG5888" s="1"/>
    </row>
    <row r="5889" ht="15.75" customHeight="1">
      <c r="A5889" s="1"/>
      <c r="B5889" s="1"/>
      <c r="C5889" s="1"/>
      <c r="D5889" s="1"/>
      <c r="E5889" s="1"/>
      <c r="F5889" s="1"/>
      <c r="G5889" s="1"/>
      <c r="H5889" s="1"/>
      <c r="I5889" s="1"/>
      <c r="J5889" s="1"/>
      <c r="K5889" s="89" t="s">
        <v>9230</v>
      </c>
      <c r="L5889" s="89" t="str">
        <f>H265</f>
        <v>C2b1a1a1</v>
      </c>
      <c r="M5889" s="89" t="s">
        <v>9231</v>
      </c>
      <c r="N5889" s="89" t="s">
        <v>9232</v>
      </c>
      <c r="O5889" s="92">
        <v>7682654.0</v>
      </c>
      <c r="P5889" s="92">
        <v>7814613.0</v>
      </c>
      <c r="Q5889" s="89" t="s">
        <v>831</v>
      </c>
      <c r="AF5889" s="1"/>
      <c r="AG5889" s="1"/>
    </row>
    <row r="5890" ht="15.75" customHeight="1">
      <c r="A5890" s="1"/>
      <c r="B5890" s="1"/>
      <c r="C5890" s="1"/>
      <c r="D5890" s="1"/>
      <c r="E5890" s="1"/>
      <c r="F5890" s="1"/>
      <c r="G5890" s="1"/>
      <c r="H5890" s="1"/>
      <c r="I5890" s="1"/>
      <c r="J5890" s="1"/>
      <c r="K5890" s="89" t="s">
        <v>9233</v>
      </c>
      <c r="L5890" s="89" t="str">
        <f>H265</f>
        <v>C2b1a1a1</v>
      </c>
      <c r="M5890" s="89" t="s">
        <v>9234</v>
      </c>
      <c r="N5890" s="89" t="s">
        <v>9232</v>
      </c>
      <c r="O5890" s="92">
        <v>7682654.0</v>
      </c>
      <c r="P5890" s="92">
        <v>7814613.0</v>
      </c>
      <c r="Q5890" s="89" t="s">
        <v>831</v>
      </c>
      <c r="AF5890" s="1"/>
      <c r="AG5890" s="1"/>
    </row>
    <row r="5891" ht="15.75" customHeight="1">
      <c r="A5891" s="1"/>
      <c r="B5891" s="1"/>
      <c r="C5891" s="1"/>
      <c r="D5891" s="1"/>
      <c r="E5891" s="1"/>
      <c r="F5891" s="1"/>
      <c r="G5891" s="1"/>
      <c r="H5891" s="1"/>
      <c r="I5891" s="1"/>
      <c r="J5891" s="1"/>
      <c r="K5891" s="89" t="s">
        <v>9235</v>
      </c>
      <c r="L5891" s="89" t="str">
        <f>H265</f>
        <v>C2b1a1a1</v>
      </c>
      <c r="M5891" s="89" t="s">
        <v>9236</v>
      </c>
      <c r="N5891" s="89" t="s">
        <v>9232</v>
      </c>
      <c r="O5891" s="92">
        <v>7682654.0</v>
      </c>
      <c r="P5891" s="92">
        <v>7814613.0</v>
      </c>
      <c r="Q5891" s="89" t="s">
        <v>831</v>
      </c>
      <c r="AF5891" s="1"/>
      <c r="AG5891" s="1"/>
    </row>
    <row r="5892" ht="15.75" customHeight="1">
      <c r="A5892" s="1"/>
      <c r="B5892" s="1"/>
      <c r="C5892" s="1"/>
      <c r="D5892" s="1"/>
      <c r="E5892" s="1"/>
      <c r="F5892" s="1"/>
      <c r="G5892" s="1"/>
      <c r="H5892" s="1"/>
      <c r="I5892" s="1"/>
      <c r="J5892" s="1"/>
      <c r="K5892" s="89" t="s">
        <v>9237</v>
      </c>
      <c r="L5892" s="89" t="str">
        <f>H265</f>
        <v>C2b1a1a1</v>
      </c>
      <c r="M5892" s="89" t="s">
        <v>9238</v>
      </c>
      <c r="N5892" s="89" t="s">
        <v>9239</v>
      </c>
      <c r="O5892" s="89">
        <v>2.1527645E7</v>
      </c>
      <c r="P5892" s="89">
        <v>1.9365759E7</v>
      </c>
      <c r="Q5892" s="89" t="s">
        <v>879</v>
      </c>
      <c r="AF5892" s="1"/>
      <c r="AG5892" s="1"/>
    </row>
    <row r="5893" ht="15.75" customHeight="1">
      <c r="A5893" s="1"/>
      <c r="B5893" s="1"/>
      <c r="C5893" s="1"/>
      <c r="D5893" s="1"/>
      <c r="E5893" s="1"/>
      <c r="F5893" s="1"/>
      <c r="G5893" s="1"/>
      <c r="H5893" s="1"/>
      <c r="I5893" s="1"/>
      <c r="J5893" s="1"/>
      <c r="K5893" s="89" t="s">
        <v>9238</v>
      </c>
      <c r="L5893" s="89" t="str">
        <f>H265</f>
        <v>C2b1a1a1</v>
      </c>
      <c r="M5893" s="89" t="s">
        <v>9237</v>
      </c>
      <c r="N5893" s="89" t="s">
        <v>9239</v>
      </c>
      <c r="O5893" s="89">
        <v>2.1527645E7</v>
      </c>
      <c r="P5893" s="89">
        <v>1.9365759E7</v>
      </c>
      <c r="Q5893" s="89" t="s">
        <v>879</v>
      </c>
      <c r="AF5893" s="1"/>
      <c r="AG5893" s="1"/>
    </row>
    <row r="5894" ht="15.75" customHeight="1">
      <c r="A5894" s="1"/>
      <c r="B5894" s="1"/>
      <c r="C5894" s="1"/>
      <c r="D5894" s="1"/>
      <c r="E5894" s="1"/>
      <c r="F5894" s="1"/>
      <c r="G5894" s="1"/>
      <c r="H5894" s="1"/>
      <c r="I5894" s="1"/>
      <c r="J5894" s="1"/>
      <c r="K5894" s="89" t="s">
        <v>9240</v>
      </c>
      <c r="L5894" s="89" t="str">
        <f>I266</f>
        <v>C2b1a1a1a</v>
      </c>
      <c r="M5894" s="89"/>
      <c r="N5894" s="89" t="s">
        <v>9241</v>
      </c>
      <c r="O5894" s="92">
        <v>2750408.0</v>
      </c>
      <c r="P5894" s="92">
        <v>2882367.0</v>
      </c>
      <c r="Q5894" s="89" t="s">
        <v>822</v>
      </c>
      <c r="AF5894" s="1"/>
      <c r="AG5894" s="1"/>
    </row>
    <row r="5895" ht="15.75" customHeight="1">
      <c r="A5895" s="1"/>
      <c r="B5895" s="1"/>
      <c r="C5895" s="1"/>
      <c r="D5895" s="1"/>
      <c r="E5895" s="1"/>
      <c r="F5895" s="1"/>
      <c r="G5895" s="1"/>
      <c r="H5895" s="1"/>
      <c r="I5895" s="1"/>
      <c r="J5895" s="1"/>
      <c r="K5895" s="89" t="s">
        <v>9242</v>
      </c>
      <c r="L5895" s="89" t="str">
        <f>I266</f>
        <v>C2b1a1a1a</v>
      </c>
      <c r="M5895" s="89"/>
      <c r="N5895" s="89" t="s">
        <v>9243</v>
      </c>
      <c r="O5895" s="92">
        <v>6628186.0</v>
      </c>
      <c r="P5895" s="92">
        <v>6760145.0</v>
      </c>
      <c r="Q5895" s="89" t="s">
        <v>810</v>
      </c>
      <c r="AF5895" s="1"/>
      <c r="AG5895" s="1"/>
    </row>
    <row r="5896" ht="15.75" customHeight="1">
      <c r="A5896" s="1"/>
      <c r="B5896" s="1"/>
      <c r="C5896" s="1"/>
      <c r="D5896" s="1"/>
      <c r="E5896" s="1"/>
      <c r="F5896" s="1"/>
      <c r="G5896" s="1"/>
      <c r="H5896" s="1"/>
      <c r="I5896" s="1"/>
      <c r="J5896" s="1"/>
      <c r="K5896" s="89" t="s">
        <v>9244</v>
      </c>
      <c r="L5896" s="89" t="str">
        <f>I266</f>
        <v>C2b1a1a1a</v>
      </c>
      <c r="M5896" s="89"/>
      <c r="N5896" s="89" t="s">
        <v>9245</v>
      </c>
      <c r="O5896" s="92">
        <v>1.7129406E7</v>
      </c>
      <c r="P5896" s="92">
        <v>1.5017526E7</v>
      </c>
      <c r="Q5896" s="89" t="s">
        <v>802</v>
      </c>
      <c r="AF5896" s="1"/>
      <c r="AG5896" s="1"/>
    </row>
    <row r="5897" ht="15.75" customHeight="1">
      <c r="A5897" s="1"/>
      <c r="B5897" s="1"/>
      <c r="C5897" s="1"/>
      <c r="D5897" s="1"/>
      <c r="E5897" s="1"/>
      <c r="F5897" s="1"/>
      <c r="G5897" s="1"/>
      <c r="H5897" s="1"/>
      <c r="I5897" s="1"/>
      <c r="J5897" s="1"/>
      <c r="K5897" s="89" t="s">
        <v>9246</v>
      </c>
      <c r="L5897" s="89" t="str">
        <f>I266</f>
        <v>C2b1a1a1a</v>
      </c>
      <c r="M5897" s="89"/>
      <c r="N5897" s="89" t="s">
        <v>9247</v>
      </c>
      <c r="O5897" s="92">
        <v>1.7386406E7</v>
      </c>
      <c r="P5897" s="92">
        <v>1.5274526E7</v>
      </c>
      <c r="Q5897" s="89" t="s">
        <v>822</v>
      </c>
      <c r="AF5897" s="1"/>
      <c r="AG5897" s="1"/>
    </row>
    <row r="5898" ht="15.75" customHeight="1">
      <c r="A5898" s="1"/>
      <c r="B5898" s="1"/>
      <c r="C5898" s="1"/>
      <c r="D5898" s="1"/>
      <c r="E5898" s="1"/>
      <c r="F5898" s="1"/>
      <c r="G5898" s="1"/>
      <c r="H5898" s="1"/>
      <c r="I5898" s="1"/>
      <c r="J5898" s="1"/>
      <c r="K5898" s="89" t="s">
        <v>9248</v>
      </c>
      <c r="L5898" s="89" t="str">
        <f>I266</f>
        <v>C2b1a1a1a</v>
      </c>
      <c r="M5898" s="89"/>
      <c r="N5898" s="89" t="s">
        <v>9249</v>
      </c>
      <c r="O5898" s="92">
        <v>7526451.0</v>
      </c>
      <c r="P5898" s="92">
        <v>7658410.0</v>
      </c>
      <c r="Q5898" s="89" t="s">
        <v>810</v>
      </c>
      <c r="AF5898" s="1"/>
      <c r="AG5898" s="1"/>
    </row>
    <row r="5899" ht="15.75" customHeight="1">
      <c r="A5899" s="1"/>
      <c r="B5899" s="1"/>
      <c r="C5899" s="1"/>
      <c r="D5899" s="1"/>
      <c r="E5899" s="1"/>
      <c r="F5899" s="1"/>
      <c r="G5899" s="1"/>
      <c r="H5899" s="1"/>
      <c r="I5899" s="1"/>
      <c r="J5899" s="1"/>
      <c r="K5899" s="89" t="s">
        <v>9250</v>
      </c>
      <c r="L5899" s="89" t="str">
        <f>I266</f>
        <v>C2b1a1a1a</v>
      </c>
      <c r="M5899" s="89"/>
      <c r="N5899" s="89" t="s">
        <v>9251</v>
      </c>
      <c r="O5899" s="92">
        <v>8395251.0</v>
      </c>
      <c r="P5899" s="92">
        <v>8527210.0</v>
      </c>
      <c r="Q5899" s="89" t="s">
        <v>802</v>
      </c>
      <c r="AF5899" s="1"/>
      <c r="AG5899" s="1"/>
    </row>
    <row r="5900" ht="15.75" customHeight="1">
      <c r="A5900" s="1"/>
      <c r="B5900" s="1"/>
      <c r="C5900" s="1"/>
      <c r="D5900" s="1"/>
      <c r="E5900" s="1"/>
      <c r="F5900" s="1"/>
      <c r="G5900" s="1"/>
      <c r="H5900" s="1"/>
      <c r="I5900" s="1"/>
      <c r="J5900" s="1"/>
      <c r="K5900" s="89" t="s">
        <v>9252</v>
      </c>
      <c r="L5900" s="89" t="str">
        <f>I266</f>
        <v>C2b1a1a1a</v>
      </c>
      <c r="M5900" s="89" t="s">
        <v>9253</v>
      </c>
      <c r="N5900" s="89" t="s">
        <v>9254</v>
      </c>
      <c r="O5900" s="92">
        <v>7841766.0</v>
      </c>
      <c r="P5900" s="92">
        <v>7973725.0</v>
      </c>
      <c r="Q5900" s="89" t="s">
        <v>886</v>
      </c>
      <c r="AF5900" s="1"/>
      <c r="AG5900" s="1"/>
    </row>
    <row r="5901" ht="15.75" customHeight="1">
      <c r="A5901" s="1"/>
      <c r="B5901" s="1"/>
      <c r="C5901" s="1"/>
      <c r="D5901" s="1"/>
      <c r="E5901" s="1"/>
      <c r="F5901" s="1"/>
      <c r="G5901" s="1"/>
      <c r="H5901" s="1"/>
      <c r="I5901" s="1"/>
      <c r="J5901" s="1"/>
      <c r="K5901" s="89" t="s">
        <v>9255</v>
      </c>
      <c r="L5901" s="89" t="str">
        <f>I266</f>
        <v>C2b1a1a1a</v>
      </c>
      <c r="M5901" s="89" t="s">
        <v>9256</v>
      </c>
      <c r="N5901" s="89" t="s">
        <v>9254</v>
      </c>
      <c r="O5901" s="92">
        <v>7841766.0</v>
      </c>
      <c r="P5901" s="92">
        <v>7973725.0</v>
      </c>
      <c r="Q5901" s="89" t="s">
        <v>886</v>
      </c>
      <c r="AF5901" s="1"/>
      <c r="AG5901" s="1"/>
    </row>
    <row r="5902" ht="15.75" customHeight="1">
      <c r="A5902" s="1"/>
      <c r="B5902" s="1"/>
      <c r="C5902" s="1"/>
      <c r="D5902" s="1"/>
      <c r="E5902" s="1"/>
      <c r="F5902" s="1"/>
      <c r="G5902" s="1"/>
      <c r="H5902" s="1"/>
      <c r="I5902" s="1"/>
      <c r="J5902" s="1"/>
      <c r="K5902" s="89" t="s">
        <v>9257</v>
      </c>
      <c r="L5902" s="89" t="str">
        <f>I266</f>
        <v>C2b1a1a1a</v>
      </c>
      <c r="M5902" s="89" t="s">
        <v>9258</v>
      </c>
      <c r="N5902" s="89" t="s">
        <v>9254</v>
      </c>
      <c r="O5902" s="92">
        <v>7841766.0</v>
      </c>
      <c r="P5902" s="92">
        <v>7973725.0</v>
      </c>
      <c r="Q5902" s="89" t="s">
        <v>886</v>
      </c>
      <c r="AF5902" s="1"/>
      <c r="AG5902" s="1"/>
    </row>
    <row r="5903" ht="15.75" customHeight="1">
      <c r="A5903" s="1"/>
      <c r="B5903" s="1"/>
      <c r="C5903" s="1"/>
      <c r="D5903" s="1"/>
      <c r="E5903" s="1"/>
      <c r="F5903" s="1"/>
      <c r="G5903" s="1"/>
      <c r="H5903" s="1"/>
      <c r="I5903" s="1"/>
      <c r="J5903" s="1"/>
      <c r="K5903" s="89" t="s">
        <v>9259</v>
      </c>
      <c r="L5903" s="89" t="str">
        <f>I266</f>
        <v>C2b1a1a1a</v>
      </c>
      <c r="M5903" s="89" t="s">
        <v>9260</v>
      </c>
      <c r="N5903" s="89"/>
      <c r="O5903" s="92">
        <v>9808936.0</v>
      </c>
      <c r="P5903" s="92">
        <v>9971327.0</v>
      </c>
      <c r="Q5903" s="89" t="s">
        <v>822</v>
      </c>
      <c r="AF5903" s="1"/>
      <c r="AG5903" s="1"/>
    </row>
    <row r="5904" ht="15.75" customHeight="1">
      <c r="A5904" s="1"/>
      <c r="B5904" s="1"/>
      <c r="C5904" s="1"/>
      <c r="D5904" s="1"/>
      <c r="E5904" s="1"/>
      <c r="F5904" s="1"/>
      <c r="G5904" s="1"/>
      <c r="H5904" s="1"/>
      <c r="I5904" s="1"/>
      <c r="J5904" s="1"/>
      <c r="K5904" s="89" t="s">
        <v>9260</v>
      </c>
      <c r="L5904" s="89" t="str">
        <f>I266</f>
        <v>C2b1a1a1a</v>
      </c>
      <c r="M5904" s="89" t="s">
        <v>9259</v>
      </c>
      <c r="N5904" s="89"/>
      <c r="O5904" s="92">
        <v>9808936.0</v>
      </c>
      <c r="P5904" s="92">
        <v>9971327.0</v>
      </c>
      <c r="Q5904" s="89" t="s">
        <v>822</v>
      </c>
      <c r="AF5904" s="1"/>
      <c r="AG5904" s="1"/>
    </row>
    <row r="5905" ht="15.75" customHeight="1">
      <c r="A5905" s="1"/>
      <c r="B5905" s="1"/>
      <c r="C5905" s="1"/>
      <c r="D5905" s="1"/>
      <c r="E5905" s="1"/>
      <c r="F5905" s="1"/>
      <c r="G5905" s="1"/>
      <c r="H5905" s="1"/>
      <c r="I5905" s="1"/>
      <c r="J5905" s="1"/>
      <c r="K5905" s="89" t="s">
        <v>9261</v>
      </c>
      <c r="L5905" s="89" t="str">
        <f>I266</f>
        <v>C2b1a1a1a</v>
      </c>
      <c r="M5905" s="89" t="s">
        <v>9262</v>
      </c>
      <c r="N5905" s="89" t="s">
        <v>9263</v>
      </c>
      <c r="O5905" s="92">
        <v>1.484379E7</v>
      </c>
      <c r="P5905" s="92">
        <v>1.2731856E7</v>
      </c>
      <c r="Q5905" s="89" t="s">
        <v>813</v>
      </c>
      <c r="AF5905" s="1"/>
      <c r="AG5905" s="1"/>
    </row>
    <row r="5906" ht="15.75" customHeight="1">
      <c r="A5906" s="1"/>
      <c r="B5906" s="1"/>
      <c r="C5906" s="1"/>
      <c r="D5906" s="1"/>
      <c r="E5906" s="1"/>
      <c r="F5906" s="1"/>
      <c r="G5906" s="1"/>
      <c r="H5906" s="1"/>
      <c r="I5906" s="1"/>
      <c r="J5906" s="1"/>
      <c r="K5906" s="89" t="s">
        <v>9264</v>
      </c>
      <c r="L5906" s="89" t="str">
        <f>I266</f>
        <v>C2b1a1a1a</v>
      </c>
      <c r="M5906" s="89" t="s">
        <v>9265</v>
      </c>
      <c r="N5906" s="89" t="s">
        <v>9263</v>
      </c>
      <c r="O5906" s="92">
        <v>1.484379E7</v>
      </c>
      <c r="P5906" s="92">
        <v>1.2731856E7</v>
      </c>
      <c r="Q5906" s="89" t="s">
        <v>813</v>
      </c>
      <c r="AF5906" s="1"/>
      <c r="AG5906" s="1"/>
    </row>
    <row r="5907" ht="15.75" customHeight="1">
      <c r="A5907" s="1"/>
      <c r="B5907" s="1"/>
      <c r="C5907" s="1"/>
      <c r="D5907" s="1"/>
      <c r="E5907" s="1"/>
      <c r="F5907" s="1"/>
      <c r="G5907" s="1"/>
      <c r="H5907" s="1"/>
      <c r="I5907" s="1"/>
      <c r="J5907" s="1"/>
      <c r="K5907" s="89" t="s">
        <v>9266</v>
      </c>
      <c r="L5907" s="89" t="str">
        <f>I266</f>
        <v>C2b1a1a1a</v>
      </c>
      <c r="M5907" s="89" t="s">
        <v>9267</v>
      </c>
      <c r="N5907" s="89" t="s">
        <v>9263</v>
      </c>
      <c r="O5907" s="92">
        <v>1.484379E7</v>
      </c>
      <c r="P5907" s="92">
        <v>1.2731856E7</v>
      </c>
      <c r="Q5907" s="89" t="s">
        <v>813</v>
      </c>
      <c r="AF5907" s="1"/>
      <c r="AG5907" s="1"/>
    </row>
    <row r="5908" ht="15.75" customHeight="1">
      <c r="A5908" s="1"/>
      <c r="B5908" s="1"/>
      <c r="C5908" s="1"/>
      <c r="D5908" s="1"/>
      <c r="E5908" s="1"/>
      <c r="F5908" s="1"/>
      <c r="G5908" s="1"/>
      <c r="H5908" s="1"/>
      <c r="I5908" s="1"/>
      <c r="J5908" s="1"/>
      <c r="K5908" s="89" t="s">
        <v>9268</v>
      </c>
      <c r="L5908" s="89" t="str">
        <f>I266</f>
        <v>C2b1a1a1a</v>
      </c>
      <c r="M5908" s="89" t="s">
        <v>9269</v>
      </c>
      <c r="N5908" s="89"/>
      <c r="O5908" s="92">
        <v>1.5428714E7</v>
      </c>
      <c r="P5908" s="92">
        <v>1.3316834E7</v>
      </c>
      <c r="Q5908" s="89" t="s">
        <v>802</v>
      </c>
      <c r="AF5908" s="1"/>
      <c r="AG5908" s="1"/>
    </row>
    <row r="5909" ht="15.75" customHeight="1">
      <c r="A5909" s="1"/>
      <c r="B5909" s="1"/>
      <c r="C5909" s="1"/>
      <c r="D5909" s="1"/>
      <c r="E5909" s="1"/>
      <c r="F5909" s="1"/>
      <c r="G5909" s="1"/>
      <c r="H5909" s="1"/>
      <c r="I5909" s="1"/>
      <c r="J5909" s="1"/>
      <c r="K5909" s="89" t="s">
        <v>9269</v>
      </c>
      <c r="L5909" s="89" t="str">
        <f>I266</f>
        <v>C2b1a1a1a</v>
      </c>
      <c r="M5909" s="89" t="s">
        <v>9268</v>
      </c>
      <c r="N5909" s="89"/>
      <c r="O5909" s="92">
        <v>1.5428714E7</v>
      </c>
      <c r="P5909" s="92">
        <v>1.3316834E7</v>
      </c>
      <c r="Q5909" s="89" t="s">
        <v>802</v>
      </c>
      <c r="AF5909" s="1"/>
      <c r="AG5909" s="1"/>
    </row>
    <row r="5910" ht="15.75" customHeight="1">
      <c r="A5910" s="1"/>
      <c r="B5910" s="1"/>
      <c r="C5910" s="1"/>
      <c r="D5910" s="1"/>
      <c r="E5910" s="1"/>
      <c r="F5910" s="1"/>
      <c r="G5910" s="1"/>
      <c r="H5910" s="1"/>
      <c r="I5910" s="1"/>
      <c r="J5910" s="1"/>
      <c r="K5910" s="89" t="s">
        <v>9270</v>
      </c>
      <c r="L5910" s="89" t="str">
        <f>I266</f>
        <v>C2b1a1a1a</v>
      </c>
      <c r="M5910" s="89" t="s">
        <v>9271</v>
      </c>
      <c r="N5910" s="89" t="s">
        <v>9272</v>
      </c>
      <c r="O5910" s="92">
        <v>1.7412741E7</v>
      </c>
      <c r="P5910" s="92">
        <v>1.5300861E7</v>
      </c>
      <c r="Q5910" s="89" t="s">
        <v>864</v>
      </c>
      <c r="AF5910" s="1"/>
      <c r="AG5910" s="1"/>
    </row>
    <row r="5911" ht="15.75" customHeight="1">
      <c r="A5911" s="1"/>
      <c r="B5911" s="1"/>
      <c r="C5911" s="1"/>
      <c r="D5911" s="1"/>
      <c r="E5911" s="1"/>
      <c r="F5911" s="1"/>
      <c r="G5911" s="1"/>
      <c r="H5911" s="1"/>
      <c r="I5911" s="1"/>
      <c r="J5911" s="1"/>
      <c r="K5911" s="89" t="s">
        <v>9273</v>
      </c>
      <c r="L5911" s="89" t="str">
        <f>I266</f>
        <v>C2b1a1a1a</v>
      </c>
      <c r="M5911" s="89" t="s">
        <v>9274</v>
      </c>
      <c r="N5911" s="89" t="s">
        <v>9272</v>
      </c>
      <c r="O5911" s="92">
        <v>1.7412741E7</v>
      </c>
      <c r="P5911" s="92">
        <v>1.5300861E7</v>
      </c>
      <c r="Q5911" s="89" t="s">
        <v>864</v>
      </c>
      <c r="AF5911" s="1"/>
      <c r="AG5911" s="1"/>
    </row>
    <row r="5912" ht="15.75" customHeight="1">
      <c r="A5912" s="1"/>
      <c r="B5912" s="1"/>
      <c r="C5912" s="1"/>
      <c r="D5912" s="1"/>
      <c r="E5912" s="1"/>
      <c r="F5912" s="1"/>
      <c r="G5912" s="1"/>
      <c r="H5912" s="1"/>
      <c r="I5912" s="1"/>
      <c r="J5912" s="1"/>
      <c r="K5912" s="89" t="s">
        <v>9275</v>
      </c>
      <c r="L5912" s="89" t="str">
        <f>I266</f>
        <v>C2b1a1a1a</v>
      </c>
      <c r="M5912" s="89" t="s">
        <v>9276</v>
      </c>
      <c r="N5912" s="89" t="s">
        <v>9272</v>
      </c>
      <c r="O5912" s="92">
        <v>1.7412741E7</v>
      </c>
      <c r="P5912" s="92">
        <v>1.5300861E7</v>
      </c>
      <c r="Q5912" s="89" t="s">
        <v>864</v>
      </c>
      <c r="AF5912" s="1"/>
      <c r="AG5912" s="1"/>
    </row>
    <row r="5913" ht="15.75" customHeight="1">
      <c r="A5913" s="1"/>
      <c r="B5913" s="1"/>
      <c r="C5913" s="1"/>
      <c r="D5913" s="1"/>
      <c r="E5913" s="1"/>
      <c r="F5913" s="1"/>
      <c r="G5913" s="1"/>
      <c r="H5913" s="1"/>
      <c r="I5913" s="1"/>
      <c r="J5913" s="1"/>
      <c r="K5913" s="89" t="s">
        <v>9277</v>
      </c>
      <c r="L5913" s="89" t="str">
        <f>I266</f>
        <v>C2b1a1a1a</v>
      </c>
      <c r="M5913" s="89" t="s">
        <v>9278</v>
      </c>
      <c r="N5913" s="89" t="s">
        <v>9279</v>
      </c>
      <c r="O5913" s="92">
        <v>1.7687741E7</v>
      </c>
      <c r="P5913" s="92">
        <v>1.5575861E7</v>
      </c>
      <c r="Q5913" s="89" t="s">
        <v>802</v>
      </c>
      <c r="AF5913" s="1"/>
      <c r="AG5913" s="1"/>
    </row>
    <row r="5914" ht="15.75" customHeight="1">
      <c r="A5914" s="1"/>
      <c r="B5914" s="1"/>
      <c r="C5914" s="1"/>
      <c r="D5914" s="1"/>
      <c r="E5914" s="1"/>
      <c r="F5914" s="1"/>
      <c r="G5914" s="1"/>
      <c r="H5914" s="1"/>
      <c r="I5914" s="1"/>
      <c r="J5914" s="1"/>
      <c r="K5914" s="89" t="s">
        <v>9280</v>
      </c>
      <c r="L5914" s="89" t="str">
        <f>I266</f>
        <v>C2b1a1a1a</v>
      </c>
      <c r="M5914" s="89" t="s">
        <v>9281</v>
      </c>
      <c r="N5914" s="89" t="s">
        <v>9279</v>
      </c>
      <c r="O5914" s="92">
        <v>1.7687741E7</v>
      </c>
      <c r="P5914" s="92">
        <v>1.5575861E7</v>
      </c>
      <c r="Q5914" s="89" t="s">
        <v>802</v>
      </c>
      <c r="AF5914" s="1"/>
      <c r="AG5914" s="1"/>
    </row>
    <row r="5915" ht="15.75" customHeight="1">
      <c r="A5915" s="1"/>
      <c r="B5915" s="1"/>
      <c r="C5915" s="1"/>
      <c r="D5915" s="1"/>
      <c r="E5915" s="1"/>
      <c r="F5915" s="1"/>
      <c r="G5915" s="1"/>
      <c r="H5915" s="1"/>
      <c r="I5915" s="1"/>
      <c r="J5915" s="1"/>
      <c r="K5915" s="89" t="s">
        <v>9282</v>
      </c>
      <c r="L5915" s="89" t="str">
        <f>I266</f>
        <v>C2b1a1a1a</v>
      </c>
      <c r="M5915" s="89" t="s">
        <v>9283</v>
      </c>
      <c r="N5915" s="89" t="s">
        <v>9279</v>
      </c>
      <c r="O5915" s="92">
        <v>1.7687741E7</v>
      </c>
      <c r="P5915" s="92">
        <v>1.5575861E7</v>
      </c>
      <c r="Q5915" s="89" t="s">
        <v>802</v>
      </c>
      <c r="AF5915" s="1"/>
      <c r="AG5915" s="1"/>
    </row>
    <row r="5916" ht="15.75" customHeight="1">
      <c r="A5916" s="1"/>
      <c r="B5916" s="1"/>
      <c r="C5916" s="1"/>
      <c r="D5916" s="1"/>
      <c r="E5916" s="1"/>
      <c r="F5916" s="1"/>
      <c r="G5916" s="1"/>
      <c r="H5916" s="1"/>
      <c r="I5916" s="1"/>
      <c r="J5916" s="1"/>
      <c r="K5916" s="89" t="s">
        <v>9284</v>
      </c>
      <c r="L5916" s="89" t="str">
        <f>I266</f>
        <v>C2b1a1a1a</v>
      </c>
      <c r="M5916" s="89" t="s">
        <v>9285</v>
      </c>
      <c r="N5916" s="89" t="s">
        <v>9286</v>
      </c>
      <c r="O5916" s="92">
        <v>1.779114E7</v>
      </c>
      <c r="P5916" s="92">
        <v>1.567926E7</v>
      </c>
      <c r="Q5916" s="89" t="s">
        <v>813</v>
      </c>
      <c r="AF5916" s="1"/>
      <c r="AG5916" s="1"/>
    </row>
    <row r="5917" ht="15.75" customHeight="1">
      <c r="A5917" s="1"/>
      <c r="B5917" s="1"/>
      <c r="C5917" s="1"/>
      <c r="D5917" s="1"/>
      <c r="E5917" s="1"/>
      <c r="F5917" s="1"/>
      <c r="G5917" s="1"/>
      <c r="H5917" s="1"/>
      <c r="I5917" s="1"/>
      <c r="J5917" s="1"/>
      <c r="K5917" s="89" t="s">
        <v>9287</v>
      </c>
      <c r="L5917" s="89" t="str">
        <f>I266</f>
        <v>C2b1a1a1a</v>
      </c>
      <c r="M5917" s="89" t="s">
        <v>9288</v>
      </c>
      <c r="N5917" s="89" t="s">
        <v>9286</v>
      </c>
      <c r="O5917" s="92">
        <v>1.779114E7</v>
      </c>
      <c r="P5917" s="92">
        <v>1.567926E7</v>
      </c>
      <c r="Q5917" s="89" t="s">
        <v>813</v>
      </c>
      <c r="AF5917" s="1"/>
      <c r="AG5917" s="1"/>
    </row>
    <row r="5918" ht="15.75" customHeight="1">
      <c r="A5918" s="1"/>
      <c r="B5918" s="1"/>
      <c r="C5918" s="1"/>
      <c r="D5918" s="1"/>
      <c r="E5918" s="1"/>
      <c r="F5918" s="1"/>
      <c r="G5918" s="1"/>
      <c r="H5918" s="1"/>
      <c r="I5918" s="1"/>
      <c r="J5918" s="1"/>
      <c r="K5918" s="89" t="s">
        <v>9289</v>
      </c>
      <c r="L5918" s="89" t="str">
        <f>I266</f>
        <v>C2b1a1a1a</v>
      </c>
      <c r="M5918" s="89" t="s">
        <v>9290</v>
      </c>
      <c r="N5918" s="89" t="s">
        <v>9286</v>
      </c>
      <c r="O5918" s="92">
        <v>1.779114E7</v>
      </c>
      <c r="P5918" s="92">
        <v>1.567926E7</v>
      </c>
      <c r="Q5918" s="89" t="s">
        <v>813</v>
      </c>
      <c r="AF5918" s="1"/>
      <c r="AG5918" s="1"/>
    </row>
    <row r="5919" ht="15.75" customHeight="1">
      <c r="A5919" s="1"/>
      <c r="B5919" s="1"/>
      <c r="C5919" s="1"/>
      <c r="D5919" s="1"/>
      <c r="E5919" s="1"/>
      <c r="F5919" s="1"/>
      <c r="G5919" s="1"/>
      <c r="H5919" s="1"/>
      <c r="I5919" s="1"/>
      <c r="J5919" s="1"/>
      <c r="K5919" s="89" t="s">
        <v>9291</v>
      </c>
      <c r="L5919" s="89" t="str">
        <f>I266</f>
        <v>C2b1a1a1a</v>
      </c>
      <c r="M5919" s="89" t="s">
        <v>9292</v>
      </c>
      <c r="N5919" s="89" t="s">
        <v>9293</v>
      </c>
      <c r="O5919" s="92">
        <v>2.1432591E7</v>
      </c>
      <c r="P5919" s="92">
        <v>1.9270705E7</v>
      </c>
      <c r="Q5919" s="89" t="s">
        <v>822</v>
      </c>
      <c r="AF5919" s="1"/>
      <c r="AG5919" s="1"/>
    </row>
    <row r="5920" ht="15.75" customHeight="1">
      <c r="A5920" s="1"/>
      <c r="B5920" s="1"/>
      <c r="C5920" s="1"/>
      <c r="D5920" s="1"/>
      <c r="E5920" s="1"/>
      <c r="F5920" s="1"/>
      <c r="G5920" s="1"/>
      <c r="H5920" s="1"/>
      <c r="I5920" s="1"/>
      <c r="J5920" s="1"/>
      <c r="K5920" s="89" t="s">
        <v>9294</v>
      </c>
      <c r="L5920" s="89" t="str">
        <f>I266</f>
        <v>C2b1a1a1a</v>
      </c>
      <c r="M5920" s="89" t="s">
        <v>9295</v>
      </c>
      <c r="N5920" s="89" t="s">
        <v>9293</v>
      </c>
      <c r="O5920" s="92">
        <v>2.1432591E7</v>
      </c>
      <c r="P5920" s="92">
        <v>1.9270705E7</v>
      </c>
      <c r="Q5920" s="89" t="s">
        <v>822</v>
      </c>
      <c r="AF5920" s="1"/>
      <c r="AG5920" s="1"/>
    </row>
    <row r="5921" ht="15.75" customHeight="1">
      <c r="A5921" s="1"/>
      <c r="B5921" s="1"/>
      <c r="C5921" s="1"/>
      <c r="D5921" s="1"/>
      <c r="E5921" s="1"/>
      <c r="F5921" s="1"/>
      <c r="G5921" s="1"/>
      <c r="H5921" s="1"/>
      <c r="I5921" s="1"/>
      <c r="J5921" s="1"/>
      <c r="K5921" s="89" t="s">
        <v>9296</v>
      </c>
      <c r="L5921" s="89" t="str">
        <f>I266</f>
        <v>C2b1a1a1a</v>
      </c>
      <c r="M5921" s="89" t="s">
        <v>9297</v>
      </c>
      <c r="N5921" s="89" t="s">
        <v>9293</v>
      </c>
      <c r="O5921" s="92">
        <v>2.1432591E7</v>
      </c>
      <c r="P5921" s="92">
        <v>1.9270705E7</v>
      </c>
      <c r="Q5921" s="89" t="s">
        <v>822</v>
      </c>
      <c r="AF5921" s="1"/>
      <c r="AG5921" s="1"/>
    </row>
    <row r="5922" ht="15.75" customHeight="1">
      <c r="A5922" s="1"/>
      <c r="B5922" s="1"/>
      <c r="C5922" s="1"/>
      <c r="D5922" s="1"/>
      <c r="E5922" s="1"/>
      <c r="F5922" s="1"/>
      <c r="G5922" s="1"/>
      <c r="H5922" s="1"/>
      <c r="I5922" s="1"/>
      <c r="J5922" s="1"/>
      <c r="K5922" s="89" t="s">
        <v>9298</v>
      </c>
      <c r="L5922" s="89" t="str">
        <f>I266</f>
        <v>C2b1a1a1a</v>
      </c>
      <c r="M5922" s="89" t="s">
        <v>9299</v>
      </c>
      <c r="N5922" s="89"/>
      <c r="O5922" s="92">
        <v>2.2020795E7</v>
      </c>
      <c r="P5922" s="92">
        <v>1.9858909E7</v>
      </c>
      <c r="Q5922" s="89" t="s">
        <v>864</v>
      </c>
      <c r="AF5922" s="1"/>
      <c r="AG5922" s="1"/>
    </row>
    <row r="5923" ht="15.75" customHeight="1">
      <c r="A5923" s="1"/>
      <c r="B5923" s="1"/>
      <c r="C5923" s="1"/>
      <c r="D5923" s="1"/>
      <c r="E5923" s="1"/>
      <c r="F5923" s="1"/>
      <c r="G5923" s="1"/>
      <c r="H5923" s="1"/>
      <c r="I5923" s="1"/>
      <c r="J5923" s="1"/>
      <c r="K5923" s="89" t="s">
        <v>9299</v>
      </c>
      <c r="L5923" s="89" t="str">
        <f>I266</f>
        <v>C2b1a1a1a</v>
      </c>
      <c r="M5923" s="89" t="s">
        <v>9298</v>
      </c>
      <c r="N5923" s="89"/>
      <c r="O5923" s="92">
        <v>2.2020795E7</v>
      </c>
      <c r="P5923" s="92">
        <v>1.9858909E7</v>
      </c>
      <c r="Q5923" s="89" t="s">
        <v>864</v>
      </c>
      <c r="AF5923" s="1"/>
      <c r="AG5923" s="1"/>
    </row>
    <row r="5924" ht="15.75" customHeight="1">
      <c r="A5924" s="1"/>
      <c r="B5924" s="1"/>
      <c r="C5924" s="1"/>
      <c r="D5924" s="1"/>
      <c r="E5924" s="1"/>
      <c r="F5924" s="1"/>
      <c r="G5924" s="1"/>
      <c r="H5924" s="1"/>
      <c r="I5924" s="1"/>
      <c r="J5924" s="1"/>
      <c r="K5924" s="89" t="s">
        <v>9300</v>
      </c>
      <c r="L5924" s="89" t="str">
        <f>I266</f>
        <v>C2b1a1a1a</v>
      </c>
      <c r="M5924" s="89"/>
      <c r="N5924" s="89" t="s">
        <v>9301</v>
      </c>
      <c r="O5924" s="92">
        <v>2.2746189E7</v>
      </c>
      <c r="P5924" s="92">
        <v>2.0584303E7</v>
      </c>
      <c r="Q5924" s="89" t="s">
        <v>838</v>
      </c>
      <c r="AF5924" s="1"/>
      <c r="AG5924" s="1"/>
    </row>
    <row r="5925" ht="15.75" customHeight="1">
      <c r="A5925" s="1"/>
      <c r="B5925" s="1"/>
      <c r="C5925" s="1"/>
      <c r="D5925" s="1"/>
      <c r="E5925" s="1"/>
      <c r="F5925" s="1"/>
      <c r="G5925" s="1"/>
      <c r="H5925" s="1"/>
      <c r="I5925" s="1"/>
      <c r="J5925" s="1"/>
      <c r="K5925" s="89" t="s">
        <v>9302</v>
      </c>
      <c r="L5925" s="89" t="str">
        <f>I266</f>
        <v>C2b1a1a1a</v>
      </c>
      <c r="M5925" s="89" t="s">
        <v>9303</v>
      </c>
      <c r="N5925" s="89" t="s">
        <v>9304</v>
      </c>
      <c r="O5925" s="92">
        <v>2.2771827E7</v>
      </c>
      <c r="P5925" s="92">
        <v>2.0609941E7</v>
      </c>
      <c r="Q5925" s="89" t="s">
        <v>813</v>
      </c>
      <c r="AF5925" s="1"/>
      <c r="AG5925" s="1"/>
    </row>
    <row r="5926" ht="15.75" customHeight="1">
      <c r="A5926" s="1"/>
      <c r="B5926" s="1"/>
      <c r="C5926" s="1"/>
      <c r="D5926" s="1"/>
      <c r="E5926" s="1"/>
      <c r="F5926" s="1"/>
      <c r="G5926" s="1"/>
      <c r="H5926" s="1"/>
      <c r="I5926" s="1"/>
      <c r="J5926" s="1"/>
      <c r="K5926" s="89" t="s">
        <v>9305</v>
      </c>
      <c r="L5926" s="89" t="str">
        <f>I266</f>
        <v>C2b1a1a1a</v>
      </c>
      <c r="M5926" s="89" t="s">
        <v>9306</v>
      </c>
      <c r="N5926" s="89" t="s">
        <v>9304</v>
      </c>
      <c r="O5926" s="92">
        <v>2.2771827E7</v>
      </c>
      <c r="P5926" s="92">
        <v>2.0609941E7</v>
      </c>
      <c r="Q5926" s="89" t="s">
        <v>813</v>
      </c>
      <c r="AF5926" s="1"/>
      <c r="AG5926" s="1"/>
    </row>
    <row r="5927" ht="15.75" customHeight="1">
      <c r="A5927" s="1"/>
      <c r="B5927" s="1"/>
      <c r="C5927" s="1"/>
      <c r="D5927" s="1"/>
      <c r="E5927" s="1"/>
      <c r="F5927" s="1"/>
      <c r="G5927" s="1"/>
      <c r="H5927" s="1"/>
      <c r="I5927" s="1"/>
      <c r="J5927" s="1"/>
      <c r="K5927" s="89" t="s">
        <v>9307</v>
      </c>
      <c r="L5927" s="89" t="str">
        <f>I266</f>
        <v>C2b1a1a1a</v>
      </c>
      <c r="M5927" s="89" t="s">
        <v>9308</v>
      </c>
      <c r="N5927" s="89" t="s">
        <v>9304</v>
      </c>
      <c r="O5927" s="92">
        <v>2.2771827E7</v>
      </c>
      <c r="P5927" s="92">
        <v>2.0609941E7</v>
      </c>
      <c r="Q5927" s="89" t="s">
        <v>813</v>
      </c>
      <c r="AF5927" s="1"/>
      <c r="AG5927" s="1"/>
    </row>
    <row r="5928" ht="15.75" customHeight="1">
      <c r="A5928" s="1"/>
      <c r="B5928" s="1"/>
      <c r="C5928" s="1"/>
      <c r="D5928" s="1"/>
      <c r="E5928" s="1"/>
      <c r="F5928" s="1"/>
      <c r="G5928" s="1"/>
      <c r="H5928" s="1"/>
      <c r="I5928" s="1"/>
      <c r="J5928" s="1"/>
      <c r="K5928" s="89" t="s">
        <v>9309</v>
      </c>
      <c r="L5928" s="89" t="str">
        <f>I266</f>
        <v>C2b1a1a1a</v>
      </c>
      <c r="M5928" s="89" t="s">
        <v>9310</v>
      </c>
      <c r="N5928" s="89" t="s">
        <v>9311</v>
      </c>
      <c r="O5928" s="92">
        <v>2.2818009E7</v>
      </c>
      <c r="P5928" s="92">
        <v>2.0656123E7</v>
      </c>
      <c r="Q5928" s="89" t="s">
        <v>810</v>
      </c>
      <c r="AF5928" s="1"/>
      <c r="AG5928" s="1"/>
    </row>
    <row r="5929" ht="15.75" customHeight="1">
      <c r="A5929" s="1"/>
      <c r="B5929" s="1"/>
      <c r="C5929" s="1"/>
      <c r="D5929" s="1"/>
      <c r="E5929" s="1"/>
      <c r="F5929" s="1"/>
      <c r="G5929" s="1"/>
      <c r="H5929" s="1"/>
      <c r="I5929" s="1"/>
      <c r="J5929" s="1"/>
      <c r="K5929" s="89" t="s">
        <v>9312</v>
      </c>
      <c r="L5929" s="89" t="str">
        <f>I266</f>
        <v>C2b1a1a1a</v>
      </c>
      <c r="M5929" s="89" t="s">
        <v>9313</v>
      </c>
      <c r="N5929" s="89" t="s">
        <v>9311</v>
      </c>
      <c r="O5929" s="92">
        <v>2.2818009E7</v>
      </c>
      <c r="P5929" s="92">
        <v>2.0656123E7</v>
      </c>
      <c r="Q5929" s="89" t="s">
        <v>810</v>
      </c>
      <c r="AF5929" s="1"/>
      <c r="AG5929" s="1"/>
    </row>
    <row r="5930" ht="15.75" customHeight="1">
      <c r="A5930" s="1"/>
      <c r="B5930" s="1"/>
      <c r="C5930" s="1"/>
      <c r="D5930" s="1"/>
      <c r="E5930" s="1"/>
      <c r="F5930" s="1"/>
      <c r="G5930" s="1"/>
      <c r="H5930" s="1"/>
      <c r="I5930" s="1"/>
      <c r="J5930" s="1"/>
      <c r="K5930" s="89" t="s">
        <v>9314</v>
      </c>
      <c r="L5930" s="89" t="str">
        <f>I266</f>
        <v>C2b1a1a1a</v>
      </c>
      <c r="M5930" s="89" t="s">
        <v>9315</v>
      </c>
      <c r="N5930" s="89" t="s">
        <v>9311</v>
      </c>
      <c r="O5930" s="92">
        <v>2.2818009E7</v>
      </c>
      <c r="P5930" s="92">
        <v>2.0656123E7</v>
      </c>
      <c r="Q5930" s="89" t="s">
        <v>810</v>
      </c>
      <c r="AF5930" s="1"/>
      <c r="AG5930" s="1"/>
    </row>
    <row r="5931" ht="15.75" customHeight="1">
      <c r="A5931" s="1"/>
      <c r="B5931" s="1"/>
      <c r="C5931" s="1"/>
      <c r="D5931" s="1"/>
      <c r="E5931" s="1"/>
      <c r="F5931" s="1"/>
      <c r="G5931" s="1"/>
      <c r="H5931" s="1"/>
      <c r="I5931" s="1"/>
      <c r="J5931" s="1"/>
      <c r="K5931" s="89" t="s">
        <v>9316</v>
      </c>
      <c r="L5931" s="89" t="str">
        <f>I266</f>
        <v>C2b1a1a1a</v>
      </c>
      <c r="M5931" s="89" t="s">
        <v>9317</v>
      </c>
      <c r="N5931" s="89"/>
      <c r="O5931" s="92">
        <v>1.5784387E7</v>
      </c>
      <c r="P5931" s="92">
        <v>1.3672507E7</v>
      </c>
      <c r="Q5931" s="89" t="s">
        <v>802</v>
      </c>
      <c r="AF5931" s="1"/>
      <c r="AG5931" s="1"/>
    </row>
    <row r="5932" ht="15.75" customHeight="1">
      <c r="A5932" s="1"/>
      <c r="B5932" s="1"/>
      <c r="C5932" s="1"/>
      <c r="D5932" s="1"/>
      <c r="E5932" s="1"/>
      <c r="F5932" s="1"/>
      <c r="G5932" s="1"/>
      <c r="H5932" s="1"/>
      <c r="I5932" s="1"/>
      <c r="J5932" s="1"/>
      <c r="K5932" s="89" t="s">
        <v>9317</v>
      </c>
      <c r="L5932" s="89" t="str">
        <f>I266</f>
        <v>C2b1a1a1a</v>
      </c>
      <c r="M5932" s="89" t="s">
        <v>9316</v>
      </c>
      <c r="N5932" s="89"/>
      <c r="O5932" s="92">
        <v>1.5784387E7</v>
      </c>
      <c r="P5932" s="92">
        <v>1.3672507E7</v>
      </c>
      <c r="Q5932" s="89" t="s">
        <v>802</v>
      </c>
      <c r="AF5932" s="1"/>
      <c r="AG5932" s="1"/>
    </row>
    <row r="5933" ht="15.75" customHeight="1">
      <c r="A5933" s="1"/>
      <c r="B5933" s="1"/>
      <c r="C5933" s="1"/>
      <c r="D5933" s="1"/>
      <c r="E5933" s="1"/>
      <c r="F5933" s="1"/>
      <c r="G5933" s="1"/>
      <c r="H5933" s="1"/>
      <c r="I5933" s="1"/>
      <c r="J5933" s="1"/>
      <c r="K5933" s="89" t="s">
        <v>9318</v>
      </c>
      <c r="L5933" s="89" t="str">
        <f>I266</f>
        <v>C2b1a1a1a</v>
      </c>
      <c r="M5933" s="89" t="s">
        <v>9319</v>
      </c>
      <c r="N5933" s="89"/>
      <c r="O5933" s="92">
        <v>2.2576525E7</v>
      </c>
      <c r="P5933" s="92">
        <v>2.0414639E7</v>
      </c>
      <c r="Q5933" s="89" t="s">
        <v>838</v>
      </c>
      <c r="AF5933" s="1"/>
      <c r="AG5933" s="1"/>
    </row>
    <row r="5934" ht="15.75" customHeight="1">
      <c r="A5934" s="1"/>
      <c r="B5934" s="1"/>
      <c r="C5934" s="1"/>
      <c r="D5934" s="1"/>
      <c r="E5934" s="1"/>
      <c r="F5934" s="1"/>
      <c r="G5934" s="1"/>
      <c r="H5934" s="1"/>
      <c r="I5934" s="1"/>
      <c r="J5934" s="1"/>
      <c r="K5934" s="89" t="s">
        <v>9319</v>
      </c>
      <c r="L5934" s="89" t="str">
        <f>I266</f>
        <v>C2b1a1a1a</v>
      </c>
      <c r="M5934" s="89" t="s">
        <v>9318</v>
      </c>
      <c r="N5934" s="89"/>
      <c r="O5934" s="92">
        <v>2.2576525E7</v>
      </c>
      <c r="P5934" s="92">
        <v>2.0414639E7</v>
      </c>
      <c r="Q5934" s="89" t="s">
        <v>838</v>
      </c>
      <c r="AF5934" s="1"/>
      <c r="AG5934" s="1"/>
    </row>
    <row r="5935" ht="15.75" customHeight="1">
      <c r="A5935" s="1"/>
      <c r="B5935" s="1"/>
      <c r="C5935" s="1"/>
      <c r="D5935" s="1"/>
      <c r="E5935" s="1"/>
      <c r="F5935" s="1"/>
      <c r="G5935" s="1"/>
      <c r="H5935" s="1"/>
      <c r="I5935" s="1"/>
      <c r="J5935" s="1"/>
      <c r="K5935" s="89" t="s">
        <v>9320</v>
      </c>
      <c r="L5935" s="89" t="str">
        <f>I266</f>
        <v>C2b1a1a1a</v>
      </c>
      <c r="M5935" s="89" t="s">
        <v>9321</v>
      </c>
      <c r="N5935" s="89" t="s">
        <v>9322</v>
      </c>
      <c r="O5935" s="92">
        <v>1.4814713E7</v>
      </c>
      <c r="P5935" s="92">
        <v>1.2702784E7</v>
      </c>
      <c r="Q5935" s="89" t="s">
        <v>822</v>
      </c>
      <c r="AF5935" s="1"/>
      <c r="AG5935" s="1"/>
    </row>
    <row r="5936" ht="15.75" customHeight="1">
      <c r="A5936" s="1"/>
      <c r="B5936" s="1"/>
      <c r="C5936" s="1"/>
      <c r="D5936" s="1"/>
      <c r="E5936" s="1"/>
      <c r="F5936" s="1"/>
      <c r="G5936" s="1"/>
      <c r="H5936" s="1"/>
      <c r="I5936" s="1"/>
      <c r="J5936" s="1"/>
      <c r="K5936" s="89" t="s">
        <v>9321</v>
      </c>
      <c r="L5936" s="89" t="str">
        <f>I266</f>
        <v>C2b1a1a1a</v>
      </c>
      <c r="M5936" s="89" t="s">
        <v>9320</v>
      </c>
      <c r="N5936" s="89" t="s">
        <v>9322</v>
      </c>
      <c r="O5936" s="92">
        <v>1.4814713E7</v>
      </c>
      <c r="P5936" s="92">
        <v>1.2702784E7</v>
      </c>
      <c r="Q5936" s="89" t="s">
        <v>822</v>
      </c>
      <c r="AF5936" s="1"/>
      <c r="AG5936" s="1"/>
    </row>
    <row r="5937" ht="15.75" customHeight="1">
      <c r="A5937" s="1"/>
      <c r="B5937" s="1"/>
      <c r="C5937" s="1"/>
      <c r="D5937" s="1"/>
      <c r="E5937" s="1"/>
      <c r="F5937" s="1"/>
      <c r="G5937" s="1"/>
      <c r="H5937" s="1"/>
      <c r="I5937" s="1"/>
      <c r="J5937" s="1"/>
      <c r="K5937" s="89" t="s">
        <v>9323</v>
      </c>
      <c r="L5937" s="89" t="str">
        <f>I266</f>
        <v>C2b1a1a1a</v>
      </c>
      <c r="M5937" s="89"/>
      <c r="N5937" s="89" t="s">
        <v>9324</v>
      </c>
      <c r="O5937" s="92">
        <v>8103496.0</v>
      </c>
      <c r="P5937" s="92">
        <v>8235455.0</v>
      </c>
      <c r="Q5937" s="89" t="s">
        <v>845</v>
      </c>
      <c r="AF5937" s="1"/>
      <c r="AG5937" s="1"/>
    </row>
    <row r="5938" ht="15.75" customHeight="1">
      <c r="A5938" s="1"/>
      <c r="B5938" s="1"/>
      <c r="C5938" s="1"/>
      <c r="D5938" s="1"/>
      <c r="E5938" s="1"/>
      <c r="F5938" s="1"/>
      <c r="G5938" s="1"/>
      <c r="H5938" s="1"/>
      <c r="I5938" s="1"/>
      <c r="J5938" s="1"/>
      <c r="K5938" s="89" t="s">
        <v>494</v>
      </c>
      <c r="L5938" s="89" t="str">
        <f>J267</f>
        <v>C2b1a1a1a1</v>
      </c>
      <c r="M5938" s="89"/>
      <c r="N5938" s="89" t="s">
        <v>9325</v>
      </c>
      <c r="O5938" s="92">
        <v>7402264.0</v>
      </c>
      <c r="P5938" s="92">
        <v>7534223.0</v>
      </c>
      <c r="Q5938" s="89" t="s">
        <v>879</v>
      </c>
      <c r="AF5938" s="1"/>
      <c r="AG5938" s="1"/>
    </row>
    <row r="5939" ht="15.75" customHeight="1">
      <c r="A5939" s="1"/>
      <c r="B5939" s="1"/>
      <c r="C5939" s="1"/>
      <c r="D5939" s="1"/>
      <c r="E5939" s="1"/>
      <c r="F5939" s="1"/>
      <c r="G5939" s="1"/>
      <c r="H5939" s="1"/>
      <c r="I5939" s="1"/>
      <c r="J5939" s="1"/>
      <c r="K5939" s="89" t="s">
        <v>9326</v>
      </c>
      <c r="L5939" s="89" t="str">
        <f>K268</f>
        <v>C2b1a1a1a1a</v>
      </c>
      <c r="M5939" s="89"/>
      <c r="N5939" s="89"/>
      <c r="O5939" s="92">
        <v>8473873.0</v>
      </c>
      <c r="P5939" s="92">
        <v>8605832.0</v>
      </c>
      <c r="Q5939" s="89" t="s">
        <v>802</v>
      </c>
      <c r="AF5939" s="1"/>
      <c r="AG5939" s="1"/>
    </row>
    <row r="5940" ht="15.75" customHeight="1">
      <c r="A5940" s="1"/>
      <c r="B5940" s="1"/>
      <c r="C5940" s="1"/>
      <c r="D5940" s="1"/>
      <c r="E5940" s="1"/>
      <c r="F5940" s="1"/>
      <c r="G5940" s="1"/>
      <c r="H5940" s="1"/>
      <c r="I5940" s="1"/>
      <c r="J5940" s="1"/>
      <c r="K5940" s="89" t="s">
        <v>9327</v>
      </c>
      <c r="L5940" s="89" t="str">
        <f>K268</f>
        <v>C2b1a1a1a1a</v>
      </c>
      <c r="M5940" s="89"/>
      <c r="N5940" s="89"/>
      <c r="O5940" s="92">
        <v>2.2096145E7</v>
      </c>
      <c r="P5940" s="92">
        <v>1.9934259E7</v>
      </c>
      <c r="Q5940" s="89" t="s">
        <v>838</v>
      </c>
      <c r="AF5940" s="1"/>
      <c r="AG5940" s="1"/>
    </row>
    <row r="5941" ht="15.75" customHeight="1">
      <c r="A5941" s="1"/>
      <c r="B5941" s="1"/>
      <c r="C5941" s="1"/>
      <c r="D5941" s="1"/>
      <c r="E5941" s="1"/>
      <c r="F5941" s="1"/>
      <c r="G5941" s="1"/>
      <c r="H5941" s="1"/>
      <c r="I5941" s="1"/>
      <c r="J5941" s="1"/>
      <c r="K5941" s="89" t="s">
        <v>9328</v>
      </c>
      <c r="L5941" s="89" t="str">
        <f>L269</f>
        <v>C2b1a1a1a1a1~</v>
      </c>
      <c r="M5941" s="89"/>
      <c r="N5941" s="89"/>
      <c r="O5941" s="92">
        <v>1.662512E7</v>
      </c>
      <c r="P5941" s="92">
        <v>1.451324E7</v>
      </c>
      <c r="Q5941" s="89" t="s">
        <v>802</v>
      </c>
      <c r="AF5941" s="1"/>
      <c r="AG5941" s="1"/>
    </row>
    <row r="5942" ht="15.75" customHeight="1">
      <c r="A5942" s="1"/>
      <c r="B5942" s="1"/>
      <c r="C5942" s="1"/>
      <c r="D5942" s="1"/>
      <c r="E5942" s="1"/>
      <c r="F5942" s="1"/>
      <c r="G5942" s="1"/>
      <c r="H5942" s="1"/>
      <c r="I5942" s="1"/>
      <c r="J5942" s="1"/>
      <c r="K5942" s="89" t="s">
        <v>9329</v>
      </c>
      <c r="L5942" s="89" t="str">
        <f t="shared" ref="L5942:L5943" si="63">L269</f>
        <v>C2b1a1a1a1a1~</v>
      </c>
      <c r="M5942" s="89"/>
      <c r="N5942" s="89"/>
      <c r="O5942" s="92">
        <v>1.557452E7</v>
      </c>
      <c r="P5942" s="92">
        <v>1.346264E7</v>
      </c>
      <c r="Q5942" s="89" t="s">
        <v>917</v>
      </c>
      <c r="AF5942" s="1"/>
      <c r="AG5942" s="1"/>
    </row>
    <row r="5943" ht="15.75" customHeight="1">
      <c r="A5943" s="1"/>
      <c r="B5943" s="1"/>
      <c r="C5943" s="1"/>
      <c r="D5943" s="1"/>
      <c r="E5943" s="1"/>
      <c r="F5943" s="1"/>
      <c r="G5943" s="1"/>
      <c r="H5943" s="1"/>
      <c r="I5943" s="1"/>
      <c r="J5943" s="1"/>
      <c r="K5943" s="89" t="s">
        <v>9330</v>
      </c>
      <c r="L5943" s="89" t="str">
        <f t="shared" si="63"/>
        <v>C2b1a1a1a1a2~</v>
      </c>
      <c r="M5943" s="89"/>
      <c r="N5943" s="89"/>
      <c r="O5943" s="92">
        <v>8280407.0</v>
      </c>
      <c r="P5943" s="92">
        <v>8412366.0</v>
      </c>
      <c r="Q5943" s="89" t="s">
        <v>912</v>
      </c>
      <c r="AF5943" s="1"/>
      <c r="AG5943" s="1"/>
    </row>
    <row r="5944" ht="15.75" customHeight="1">
      <c r="A5944" s="1"/>
      <c r="B5944" s="1"/>
      <c r="C5944" s="1"/>
      <c r="D5944" s="1"/>
      <c r="E5944" s="1"/>
      <c r="F5944" s="1"/>
      <c r="G5944" s="1"/>
      <c r="H5944" s="1"/>
      <c r="I5944" s="1"/>
      <c r="J5944" s="1"/>
      <c r="K5944" s="89" t="s">
        <v>9331</v>
      </c>
      <c r="L5944" s="89" t="str">
        <f>L270</f>
        <v>C2b1a1a1a1a2~</v>
      </c>
      <c r="M5944" s="89"/>
      <c r="N5944" s="89"/>
      <c r="O5944" s="92">
        <v>1.5898764E7</v>
      </c>
      <c r="P5944" s="92">
        <v>1.3786884E7</v>
      </c>
      <c r="Q5944" s="89" t="s">
        <v>810</v>
      </c>
      <c r="AF5944" s="1"/>
      <c r="AG5944" s="1"/>
    </row>
    <row r="5945" ht="15.75" customHeight="1">
      <c r="A5945" s="1"/>
      <c r="B5945" s="1"/>
      <c r="C5945" s="1"/>
      <c r="D5945" s="1"/>
      <c r="E5945" s="1"/>
      <c r="F5945" s="1"/>
      <c r="G5945" s="1"/>
      <c r="H5945" s="1"/>
      <c r="I5945" s="1"/>
      <c r="J5945" s="1"/>
      <c r="K5945" s="89" t="s">
        <v>9332</v>
      </c>
      <c r="L5945" s="89" t="str">
        <f>L270</f>
        <v>C2b1a1a1a1a2~</v>
      </c>
      <c r="M5945" s="89"/>
      <c r="N5945" s="89"/>
      <c r="O5945" s="92">
        <v>1.8982322E7</v>
      </c>
      <c r="P5945" s="92">
        <v>1.6870442E7</v>
      </c>
      <c r="Q5945" s="89" t="s">
        <v>912</v>
      </c>
      <c r="AF5945" s="1"/>
      <c r="AG5945" s="1"/>
    </row>
    <row r="5946" ht="15.75" customHeight="1">
      <c r="A5946" s="1"/>
      <c r="B5946" s="1"/>
      <c r="C5946" s="1"/>
      <c r="D5946" s="1"/>
      <c r="E5946" s="1"/>
      <c r="F5946" s="1"/>
      <c r="G5946" s="1"/>
      <c r="H5946" s="1"/>
      <c r="I5946" s="1"/>
      <c r="J5946" s="1"/>
      <c r="K5946" s="89" t="s">
        <v>9333</v>
      </c>
      <c r="L5946" s="89" t="str">
        <f t="shared" ref="L5946:L5947" si="64">L270</f>
        <v>C2b1a1a1a1a2~</v>
      </c>
      <c r="M5946" s="89"/>
      <c r="N5946" s="89"/>
      <c r="O5946" s="92">
        <v>2.2587716E7</v>
      </c>
      <c r="P5946" s="92">
        <v>2.042583E7</v>
      </c>
      <c r="Q5946" s="89" t="s">
        <v>802</v>
      </c>
      <c r="AF5946" s="1"/>
      <c r="AG5946" s="1"/>
    </row>
    <row r="5947" ht="15.75" customHeight="1">
      <c r="A5947" s="1"/>
      <c r="B5947" s="1"/>
      <c r="C5947" s="1"/>
      <c r="D5947" s="1"/>
      <c r="E5947" s="1"/>
      <c r="F5947" s="1"/>
      <c r="G5947" s="1"/>
      <c r="H5947" s="1"/>
      <c r="I5947" s="1"/>
      <c r="J5947" s="1"/>
      <c r="K5947" s="89" t="s">
        <v>9334</v>
      </c>
      <c r="L5947" s="89" t="str">
        <f t="shared" si="64"/>
        <v>C2b1a1a1a1a3~</v>
      </c>
      <c r="M5947" s="89"/>
      <c r="N5947" s="89"/>
      <c r="O5947" s="92">
        <v>1.5769561E7</v>
      </c>
      <c r="P5947" s="92">
        <v>1.3657681E7</v>
      </c>
      <c r="Q5947" s="89" t="s">
        <v>810</v>
      </c>
      <c r="AF5947" s="1"/>
      <c r="AG5947" s="1"/>
    </row>
    <row r="5948" ht="15.75" customHeight="1">
      <c r="A5948" s="1"/>
      <c r="B5948" s="1"/>
      <c r="C5948" s="1"/>
      <c r="D5948" s="1"/>
      <c r="E5948" s="1"/>
      <c r="F5948" s="1"/>
      <c r="G5948" s="1"/>
      <c r="H5948" s="1"/>
      <c r="I5948" s="1"/>
      <c r="J5948" s="1"/>
      <c r="K5948" s="89" t="s">
        <v>9335</v>
      </c>
      <c r="L5948" s="89" t="str">
        <f>L271</f>
        <v>C2b1a1a1a1a3~</v>
      </c>
      <c r="M5948" s="89"/>
      <c r="N5948" s="89"/>
      <c r="O5948" s="92">
        <v>1.6371927E7</v>
      </c>
      <c r="P5948" s="92">
        <v>1.4260047E7</v>
      </c>
      <c r="Q5948" s="89" t="s">
        <v>917</v>
      </c>
      <c r="AF5948" s="1"/>
      <c r="AG5948" s="1"/>
    </row>
    <row r="5949" ht="15.75" customHeight="1">
      <c r="A5949" s="1"/>
      <c r="B5949" s="1"/>
      <c r="C5949" s="1"/>
      <c r="D5949" s="1"/>
      <c r="E5949" s="1"/>
      <c r="F5949" s="1"/>
      <c r="G5949" s="1"/>
      <c r="H5949" s="1"/>
      <c r="I5949" s="1"/>
      <c r="J5949" s="1"/>
      <c r="K5949" s="89" t="s">
        <v>9336</v>
      </c>
      <c r="L5949" s="89" t="str">
        <f>L271</f>
        <v>C2b1a1a1a1a3~</v>
      </c>
      <c r="M5949" s="89"/>
      <c r="N5949" s="89"/>
      <c r="O5949" s="92">
        <v>1.7977596E7</v>
      </c>
      <c r="P5949" s="92">
        <v>1.5865716E7</v>
      </c>
      <c r="Q5949" s="89" t="s">
        <v>838</v>
      </c>
      <c r="AF5949" s="1"/>
      <c r="AG5949" s="1"/>
    </row>
    <row r="5950" ht="15.75" customHeight="1">
      <c r="A5950" s="1"/>
      <c r="B5950" s="1"/>
      <c r="C5950" s="1"/>
      <c r="D5950" s="1"/>
      <c r="E5950" s="1"/>
      <c r="F5950" s="1"/>
      <c r="G5950" s="1"/>
      <c r="H5950" s="1"/>
      <c r="I5950" s="1"/>
      <c r="J5950" s="1"/>
      <c r="K5950" s="89" t="s">
        <v>9337</v>
      </c>
      <c r="L5950" s="89" t="str">
        <f t="shared" ref="L5950:L5951" si="65">L271</f>
        <v>C2b1a1a1a1a3~</v>
      </c>
      <c r="M5950" s="89"/>
      <c r="N5950" s="89"/>
      <c r="O5950" s="92">
        <v>2.1746518E7</v>
      </c>
      <c r="P5950" s="92">
        <v>1.9584632E7</v>
      </c>
      <c r="Q5950" s="89" t="s">
        <v>810</v>
      </c>
      <c r="AF5950" s="1"/>
      <c r="AG5950" s="1"/>
    </row>
    <row r="5951" ht="15.75" customHeight="1">
      <c r="A5951" s="1"/>
      <c r="B5951" s="1"/>
      <c r="C5951" s="1"/>
      <c r="D5951" s="1"/>
      <c r="E5951" s="1"/>
      <c r="F5951" s="1"/>
      <c r="G5951" s="1"/>
      <c r="H5951" s="1"/>
      <c r="I5951" s="1"/>
      <c r="J5951" s="1"/>
      <c r="K5951" s="89" t="s">
        <v>9338</v>
      </c>
      <c r="L5951" s="89" t="str">
        <f t="shared" si="65"/>
        <v>C2b1a1a1a1a4~</v>
      </c>
      <c r="M5951" s="89"/>
      <c r="N5951" s="89"/>
      <c r="O5951" s="92">
        <v>9808624.0</v>
      </c>
      <c r="P5951" s="92">
        <v>9971015.0</v>
      </c>
      <c r="Q5951" s="89" t="s">
        <v>810</v>
      </c>
      <c r="AF5951" s="1"/>
      <c r="AG5951" s="1"/>
    </row>
    <row r="5952" ht="15.75" customHeight="1">
      <c r="A5952" s="1"/>
      <c r="B5952" s="1"/>
      <c r="C5952" s="1"/>
      <c r="D5952" s="1"/>
      <c r="E5952" s="1"/>
      <c r="F5952" s="1"/>
      <c r="G5952" s="1"/>
      <c r="H5952" s="1"/>
      <c r="I5952" s="1"/>
      <c r="J5952" s="1"/>
      <c r="K5952" s="89" t="s">
        <v>9339</v>
      </c>
      <c r="L5952" s="89" t="str">
        <f>L272</f>
        <v>C2b1a1a1a1a4~</v>
      </c>
      <c r="M5952" s="89"/>
      <c r="N5952" s="89"/>
      <c r="O5952" s="92">
        <v>1.4245873E7</v>
      </c>
      <c r="P5952" s="92">
        <v>1.2125167E7</v>
      </c>
      <c r="Q5952" s="89" t="s">
        <v>802</v>
      </c>
      <c r="AF5952" s="1"/>
      <c r="AG5952" s="1"/>
    </row>
    <row r="5953" ht="15.75" customHeight="1">
      <c r="A5953" s="1"/>
      <c r="B5953" s="1"/>
      <c r="C5953" s="1"/>
      <c r="D5953" s="1"/>
      <c r="E5953" s="1"/>
      <c r="F5953" s="1"/>
      <c r="G5953" s="1"/>
      <c r="H5953" s="1"/>
      <c r="I5953" s="1"/>
      <c r="J5953" s="1"/>
      <c r="K5953" s="89" t="s">
        <v>9340</v>
      </c>
      <c r="L5953" s="89" t="str">
        <f>L272</f>
        <v>C2b1a1a1a1a4~</v>
      </c>
      <c r="M5953" s="89"/>
      <c r="N5953" s="89"/>
      <c r="O5953" s="92">
        <v>1.4652065E7</v>
      </c>
      <c r="P5953" s="92">
        <v>1.254013E7</v>
      </c>
      <c r="Q5953" s="89" t="s">
        <v>822</v>
      </c>
      <c r="AF5953" s="1"/>
      <c r="AG5953" s="1"/>
    </row>
    <row r="5954" ht="15.75" customHeight="1">
      <c r="A5954" s="1"/>
      <c r="B5954" s="1"/>
      <c r="C5954" s="1"/>
      <c r="D5954" s="1"/>
      <c r="E5954" s="1"/>
      <c r="F5954" s="1"/>
      <c r="G5954" s="1"/>
      <c r="H5954" s="1"/>
      <c r="I5954" s="1"/>
      <c r="J5954" s="1"/>
      <c r="K5954" s="89" t="s">
        <v>9341</v>
      </c>
      <c r="L5954" s="89" t="str">
        <f>L272</f>
        <v>C2b1a1a1a1a4~</v>
      </c>
      <c r="M5954" s="89"/>
      <c r="N5954" s="89"/>
      <c r="O5954" s="92">
        <v>1.6204377E7</v>
      </c>
      <c r="P5954" s="92">
        <v>1.4092497E7</v>
      </c>
      <c r="Q5954" s="89" t="s">
        <v>822</v>
      </c>
      <c r="AF5954" s="1"/>
      <c r="AG5954" s="1"/>
    </row>
    <row r="5955" ht="15.75" customHeight="1">
      <c r="A5955" s="1"/>
      <c r="B5955" s="1"/>
      <c r="C5955" s="1"/>
      <c r="D5955" s="1"/>
      <c r="E5955" s="1"/>
      <c r="F5955" s="1"/>
      <c r="G5955" s="1"/>
      <c r="H5955" s="1"/>
      <c r="I5955" s="1"/>
      <c r="J5955" s="1"/>
      <c r="K5955" s="89" t="s">
        <v>9342</v>
      </c>
      <c r="L5955" s="89" t="str">
        <f t="shared" ref="L5955:L5956" si="66">L272</f>
        <v>C2b1a1a1a1a4~</v>
      </c>
      <c r="M5955" s="89"/>
      <c r="N5955" s="89"/>
      <c r="O5955" s="92">
        <v>1.6786731E7</v>
      </c>
      <c r="P5955" s="92">
        <v>1.4674851E7</v>
      </c>
      <c r="Q5955" s="89" t="s">
        <v>838</v>
      </c>
      <c r="AF5955" s="1"/>
      <c r="AG5955" s="1"/>
    </row>
    <row r="5956" ht="15.75" customHeight="1">
      <c r="A5956" s="1"/>
      <c r="B5956" s="1"/>
      <c r="C5956" s="1"/>
      <c r="D5956" s="1"/>
      <c r="E5956" s="1"/>
      <c r="F5956" s="1"/>
      <c r="G5956" s="1"/>
      <c r="H5956" s="1"/>
      <c r="I5956" s="1"/>
      <c r="J5956" s="1"/>
      <c r="K5956" s="89" t="s">
        <v>506</v>
      </c>
      <c r="L5956" s="89" t="str">
        <f t="shared" si="66"/>
        <v>C2b1a1a1a1a5</v>
      </c>
      <c r="M5956" s="89"/>
      <c r="N5956" s="89"/>
      <c r="O5956" s="92">
        <v>8179898.0</v>
      </c>
      <c r="P5956" s="92">
        <v>8311857.0</v>
      </c>
      <c r="Q5956" s="89" t="s">
        <v>912</v>
      </c>
      <c r="AF5956" s="1"/>
      <c r="AG5956" s="1"/>
    </row>
    <row r="5957" ht="15.75" customHeight="1">
      <c r="A5957" s="1"/>
      <c r="B5957" s="1"/>
      <c r="C5957" s="1"/>
      <c r="D5957" s="1"/>
      <c r="E5957" s="1"/>
      <c r="F5957" s="1"/>
      <c r="G5957" s="1"/>
      <c r="H5957" s="1"/>
      <c r="I5957" s="1"/>
      <c r="J5957" s="1"/>
      <c r="K5957" s="89" t="s">
        <v>9343</v>
      </c>
      <c r="L5957" s="89" t="str">
        <f>M274</f>
        <v>C2b1a1a1a1a5a~</v>
      </c>
      <c r="M5957" s="89"/>
      <c r="N5957" s="89"/>
      <c r="O5957" s="92">
        <v>1.4153835E7</v>
      </c>
      <c r="P5957" s="92">
        <v>1.2033129E7</v>
      </c>
      <c r="Q5957" s="89" t="s">
        <v>912</v>
      </c>
      <c r="AF5957" s="1"/>
      <c r="AG5957" s="1"/>
    </row>
    <row r="5958" ht="15.75" customHeight="1">
      <c r="A5958" s="1"/>
      <c r="B5958" s="1"/>
      <c r="C5958" s="1"/>
      <c r="D5958" s="1"/>
      <c r="E5958" s="1"/>
      <c r="F5958" s="1"/>
      <c r="G5958" s="1"/>
      <c r="H5958" s="1"/>
      <c r="I5958" s="1"/>
      <c r="J5958" s="1"/>
      <c r="K5958" s="89" t="s">
        <v>9344</v>
      </c>
      <c r="L5958" s="89" t="str">
        <f>M274</f>
        <v>C2b1a1a1a1a5a~</v>
      </c>
      <c r="M5958" s="89"/>
      <c r="N5958" s="89"/>
      <c r="O5958" s="92">
        <v>1.4373813E7</v>
      </c>
      <c r="P5958" s="92">
        <v>1.2253109E7</v>
      </c>
      <c r="Q5958" s="89" t="s">
        <v>802</v>
      </c>
      <c r="AF5958" s="1"/>
      <c r="AG5958" s="1"/>
    </row>
    <row r="5959" ht="15.75" customHeight="1">
      <c r="A5959" s="1"/>
      <c r="B5959" s="1"/>
      <c r="C5959" s="1"/>
      <c r="D5959" s="1"/>
      <c r="E5959" s="1"/>
      <c r="F5959" s="1"/>
      <c r="G5959" s="1"/>
      <c r="H5959" s="1"/>
      <c r="I5959" s="1"/>
      <c r="J5959" s="1"/>
      <c r="K5959" s="89" t="s">
        <v>9345</v>
      </c>
      <c r="L5959" s="89" t="str">
        <f t="shared" ref="L5959:L5960" si="67">M274</f>
        <v>C2b1a1a1a1a5a~</v>
      </c>
      <c r="M5959" s="89"/>
      <c r="N5959" s="89"/>
      <c r="O5959" s="92">
        <v>2.2087105E7</v>
      </c>
      <c r="P5959" s="92">
        <v>1.9925219E7</v>
      </c>
      <c r="Q5959" s="89" t="s">
        <v>822</v>
      </c>
      <c r="AF5959" s="1"/>
      <c r="AG5959" s="1"/>
    </row>
    <row r="5960" ht="15.75" customHeight="1">
      <c r="A5960" s="1"/>
      <c r="B5960" s="1"/>
      <c r="C5960" s="1"/>
      <c r="D5960" s="1"/>
      <c r="E5960" s="1"/>
      <c r="F5960" s="1"/>
      <c r="G5960" s="1"/>
      <c r="H5960" s="1"/>
      <c r="I5960" s="1"/>
      <c r="J5960" s="1"/>
      <c r="K5960" s="89" t="s">
        <v>9346</v>
      </c>
      <c r="L5960" s="89" t="str">
        <f t="shared" si="67"/>
        <v>C2b1a1a1a1a5b~</v>
      </c>
      <c r="M5960" s="89"/>
      <c r="N5960" s="89"/>
      <c r="O5960" s="92">
        <v>1.5984162E7</v>
      </c>
      <c r="P5960" s="92">
        <v>1.3872282E7</v>
      </c>
      <c r="Q5960" s="89" t="s">
        <v>822</v>
      </c>
      <c r="AF5960" s="1"/>
      <c r="AG5960" s="1"/>
    </row>
    <row r="5961" ht="15.75" customHeight="1">
      <c r="A5961" s="1"/>
      <c r="B5961" s="1"/>
      <c r="C5961" s="1"/>
      <c r="D5961" s="1"/>
      <c r="E5961" s="1"/>
      <c r="F5961" s="1"/>
      <c r="G5961" s="1"/>
      <c r="H5961" s="1"/>
      <c r="I5961" s="1"/>
      <c r="J5961" s="1"/>
      <c r="K5961" s="89" t="s">
        <v>9347</v>
      </c>
      <c r="L5961" s="89" t="str">
        <f>M275</f>
        <v>C2b1a1a1a1a5b~</v>
      </c>
      <c r="M5961" s="89"/>
      <c r="N5961" s="89"/>
      <c r="O5961" s="92">
        <v>1.6975622E7</v>
      </c>
      <c r="P5961" s="92">
        <v>1.4863742E7</v>
      </c>
      <c r="Q5961" s="89" t="s">
        <v>822</v>
      </c>
      <c r="AF5961" s="1"/>
      <c r="AG5961" s="1"/>
    </row>
    <row r="5962" ht="15.75" customHeight="1">
      <c r="A5962" s="1"/>
      <c r="B5962" s="1"/>
      <c r="C5962" s="1"/>
      <c r="D5962" s="1"/>
      <c r="E5962" s="1"/>
      <c r="F5962" s="1"/>
      <c r="G5962" s="1"/>
      <c r="H5962" s="1"/>
      <c r="I5962" s="1"/>
      <c r="J5962" s="1"/>
      <c r="K5962" s="89" t="s">
        <v>9348</v>
      </c>
      <c r="L5962" s="89" t="str">
        <f>M275</f>
        <v>C2b1a1a1a1a5b~</v>
      </c>
      <c r="M5962" s="89"/>
      <c r="N5962" s="89"/>
      <c r="O5962" s="92">
        <v>1.7503337E7</v>
      </c>
      <c r="P5962" s="92">
        <v>1.5391457E7</v>
      </c>
      <c r="Q5962" s="89" t="s">
        <v>810</v>
      </c>
      <c r="AF5962" s="1"/>
      <c r="AG5962" s="1"/>
    </row>
    <row r="5963" ht="15.75" customHeight="1">
      <c r="A5963" s="1"/>
      <c r="B5963" s="1"/>
      <c r="C5963" s="1"/>
      <c r="D5963" s="1"/>
      <c r="E5963" s="1"/>
      <c r="F5963" s="1"/>
      <c r="G5963" s="1"/>
      <c r="H5963" s="1"/>
      <c r="I5963" s="1"/>
      <c r="J5963" s="1"/>
      <c r="K5963" s="89" t="s">
        <v>9349</v>
      </c>
      <c r="L5963" s="89" t="str">
        <f>M275</f>
        <v>C2b1a1a1a1a5b~</v>
      </c>
      <c r="M5963" s="89"/>
      <c r="N5963" s="89"/>
      <c r="O5963" s="92">
        <v>2.1264317E7</v>
      </c>
      <c r="P5963" s="92">
        <v>1.9102431E7</v>
      </c>
      <c r="Q5963" s="89" t="s">
        <v>822</v>
      </c>
      <c r="AF5963" s="1"/>
      <c r="AG5963" s="1"/>
    </row>
    <row r="5964" ht="15.75" customHeight="1">
      <c r="A5964" s="1"/>
      <c r="B5964" s="1"/>
      <c r="C5964" s="1"/>
      <c r="D5964" s="1"/>
      <c r="E5964" s="1"/>
      <c r="F5964" s="1"/>
      <c r="G5964" s="1"/>
      <c r="H5964" s="1"/>
      <c r="I5964" s="1"/>
      <c r="J5964" s="1"/>
      <c r="K5964" s="89" t="s">
        <v>9350</v>
      </c>
      <c r="L5964" s="89" t="str">
        <f>K276</f>
        <v>C2b1a1a1a1b~</v>
      </c>
      <c r="M5964" s="89"/>
      <c r="N5964" s="89"/>
      <c r="O5964" s="92">
        <v>1.679307E7</v>
      </c>
      <c r="P5964" s="92">
        <v>1.468119E7</v>
      </c>
      <c r="Q5964" s="89" t="s">
        <v>838</v>
      </c>
      <c r="AF5964" s="1"/>
      <c r="AG5964" s="1"/>
    </row>
    <row r="5965" ht="15.75" customHeight="1">
      <c r="A5965" s="1"/>
      <c r="B5965" s="1"/>
      <c r="C5965" s="1"/>
      <c r="D5965" s="1"/>
      <c r="E5965" s="1"/>
      <c r="F5965" s="1"/>
      <c r="G5965" s="1"/>
      <c r="H5965" s="1"/>
      <c r="I5965" s="1"/>
      <c r="J5965" s="1"/>
      <c r="K5965" s="89" t="s">
        <v>9351</v>
      </c>
      <c r="L5965" s="89" t="str">
        <f>K276</f>
        <v>C2b1a1a1a1b~</v>
      </c>
      <c r="M5965" s="89"/>
      <c r="N5965" s="89" t="s">
        <v>9352</v>
      </c>
      <c r="O5965" s="92">
        <v>2.1127022E7</v>
      </c>
      <c r="P5965" s="92">
        <v>1.8965136E7</v>
      </c>
      <c r="Q5965" s="89" t="s">
        <v>810</v>
      </c>
      <c r="AF5965" s="1"/>
      <c r="AG5965" s="1"/>
    </row>
    <row r="5966" ht="15.75" customHeight="1">
      <c r="A5966" s="1"/>
      <c r="B5966" s="1"/>
      <c r="C5966" s="1"/>
      <c r="D5966" s="1"/>
      <c r="E5966" s="1"/>
      <c r="F5966" s="1"/>
      <c r="G5966" s="1"/>
      <c r="H5966" s="1"/>
      <c r="I5966" s="1"/>
      <c r="J5966" s="1"/>
      <c r="K5966" s="89" t="s">
        <v>9353</v>
      </c>
      <c r="L5966" s="89" t="str">
        <f>K276</f>
        <v>C2b1a1a1a1b~</v>
      </c>
      <c r="M5966" s="89"/>
      <c r="N5966" s="89" t="s">
        <v>9354</v>
      </c>
      <c r="O5966" s="92">
        <v>1.7144364E7</v>
      </c>
      <c r="P5966" s="92">
        <v>1.5032484E7</v>
      </c>
      <c r="Q5966" s="89" t="s">
        <v>802</v>
      </c>
      <c r="AF5966" s="1"/>
      <c r="AG5966" s="1"/>
    </row>
    <row r="5967" ht="15.75" customHeight="1">
      <c r="A5967" s="1"/>
      <c r="B5967" s="1"/>
      <c r="C5967" s="1"/>
      <c r="D5967" s="1"/>
      <c r="E5967" s="1"/>
      <c r="F5967" s="1"/>
      <c r="G5967" s="1"/>
      <c r="H5967" s="1"/>
      <c r="I5967" s="1"/>
      <c r="J5967" s="1"/>
      <c r="K5967" s="89" t="s">
        <v>9355</v>
      </c>
      <c r="L5967" s="89" t="str">
        <f>K276</f>
        <v>C2b1a1a1a1b~</v>
      </c>
      <c r="M5967" s="89"/>
      <c r="N5967" s="89"/>
      <c r="O5967" s="92">
        <v>1.8719192E7</v>
      </c>
      <c r="P5967" s="92">
        <v>1.6607312E7</v>
      </c>
      <c r="Q5967" s="89" t="s">
        <v>838</v>
      </c>
      <c r="AF5967" s="1"/>
      <c r="AG5967" s="1"/>
    </row>
    <row r="5968" ht="15.75" customHeight="1">
      <c r="A5968" s="1"/>
      <c r="B5968" s="1"/>
      <c r="C5968" s="1"/>
      <c r="D5968" s="1"/>
      <c r="E5968" s="1"/>
      <c r="F5968" s="1"/>
      <c r="G5968" s="1"/>
      <c r="H5968" s="1"/>
      <c r="I5968" s="1"/>
      <c r="J5968" s="1"/>
      <c r="K5968" s="89" t="s">
        <v>9356</v>
      </c>
      <c r="L5968" s="89" t="str">
        <f t="shared" ref="L5968:L5969" si="68">K276</f>
        <v>C2b1a1a1a1b~</v>
      </c>
      <c r="M5968" s="89"/>
      <c r="N5968" s="89"/>
      <c r="O5968" s="92">
        <v>2.1818261E7</v>
      </c>
      <c r="P5968" s="92">
        <v>1.9656375E7</v>
      </c>
      <c r="Q5968" s="89" t="s">
        <v>810</v>
      </c>
      <c r="AF5968" s="1"/>
      <c r="AG5968" s="1"/>
    </row>
    <row r="5969" ht="15.75" customHeight="1">
      <c r="A5969" s="1"/>
      <c r="B5969" s="1"/>
      <c r="C5969" s="1"/>
      <c r="D5969" s="1"/>
      <c r="E5969" s="1"/>
      <c r="F5969" s="1"/>
      <c r="G5969" s="1"/>
      <c r="H5969" s="1"/>
      <c r="I5969" s="1"/>
      <c r="J5969" s="1"/>
      <c r="K5969" s="89" t="s">
        <v>9357</v>
      </c>
      <c r="L5969" s="89" t="str">
        <f t="shared" si="68"/>
        <v>C2b1a1a1a1c~</v>
      </c>
      <c r="M5969" s="89"/>
      <c r="N5969" s="89"/>
      <c r="O5969" s="92">
        <v>7146171.0</v>
      </c>
      <c r="P5969" s="92">
        <v>7278130.0</v>
      </c>
      <c r="Q5969" s="89" t="s">
        <v>810</v>
      </c>
      <c r="AF5969" s="1"/>
      <c r="AG5969" s="1"/>
    </row>
    <row r="5970" ht="15.75" customHeight="1">
      <c r="A5970" s="1"/>
      <c r="B5970" s="1"/>
      <c r="C5970" s="1"/>
      <c r="D5970" s="1"/>
      <c r="E5970" s="1"/>
      <c r="F5970" s="1"/>
      <c r="G5970" s="1"/>
      <c r="H5970" s="1"/>
      <c r="I5970" s="1"/>
      <c r="J5970" s="1"/>
      <c r="K5970" s="89" t="s">
        <v>9358</v>
      </c>
      <c r="L5970" s="89" t="str">
        <f>K277</f>
        <v>C2b1a1a1a1c~</v>
      </c>
      <c r="M5970" s="89"/>
      <c r="N5970" s="89"/>
      <c r="O5970" s="92">
        <v>7407537.0</v>
      </c>
      <c r="P5970" s="92">
        <v>7539496.0</v>
      </c>
      <c r="Q5970" s="89" t="s">
        <v>879</v>
      </c>
      <c r="AF5970" s="1"/>
      <c r="AG5970" s="1"/>
    </row>
    <row r="5971" ht="15.75" customHeight="1">
      <c r="A5971" s="1"/>
      <c r="B5971" s="1"/>
      <c r="C5971" s="1"/>
      <c r="D5971" s="1"/>
      <c r="E5971" s="1"/>
      <c r="F5971" s="1"/>
      <c r="G5971" s="1"/>
      <c r="H5971" s="1"/>
      <c r="I5971" s="1"/>
      <c r="J5971" s="1"/>
      <c r="K5971" s="89" t="s">
        <v>9359</v>
      </c>
      <c r="L5971" s="89" t="str">
        <f>K277</f>
        <v>C2b1a1a1a1c~</v>
      </c>
      <c r="M5971" s="89"/>
      <c r="N5971" s="89"/>
      <c r="O5971" s="92">
        <v>1.4203147E7</v>
      </c>
      <c r="P5971" s="92">
        <v>1.2082441E7</v>
      </c>
      <c r="Q5971" s="89" t="s">
        <v>879</v>
      </c>
      <c r="AF5971" s="1"/>
      <c r="AG5971" s="1"/>
    </row>
    <row r="5972" ht="15.75" customHeight="1">
      <c r="A5972" s="1"/>
      <c r="B5972" s="1"/>
      <c r="C5972" s="1"/>
      <c r="D5972" s="1"/>
      <c r="E5972" s="1"/>
      <c r="F5972" s="1"/>
      <c r="G5972" s="1"/>
      <c r="H5972" s="1"/>
      <c r="I5972" s="1"/>
      <c r="J5972" s="1"/>
      <c r="K5972" s="89" t="s">
        <v>9360</v>
      </c>
      <c r="L5972" s="89" t="str">
        <f>K277</f>
        <v>C2b1a1a1a1c~</v>
      </c>
      <c r="M5972" s="89"/>
      <c r="N5972" s="89"/>
      <c r="O5972" s="92">
        <v>1.478888E7</v>
      </c>
      <c r="P5972" s="92">
        <v>1.2676951E7</v>
      </c>
      <c r="Q5972" s="89" t="s">
        <v>802</v>
      </c>
      <c r="AF5972" s="1"/>
      <c r="AG5972" s="1"/>
    </row>
    <row r="5973" ht="15.75" customHeight="1">
      <c r="A5973" s="1"/>
      <c r="B5973" s="1"/>
      <c r="C5973" s="1"/>
      <c r="D5973" s="1"/>
      <c r="E5973" s="1"/>
      <c r="F5973" s="1"/>
      <c r="G5973" s="1"/>
      <c r="H5973" s="1"/>
      <c r="I5973" s="1"/>
      <c r="J5973" s="1"/>
      <c r="K5973" s="89" t="s">
        <v>9361</v>
      </c>
      <c r="L5973" s="89" t="str">
        <f t="shared" ref="L5973:L5974" si="69">K277</f>
        <v>C2b1a1a1a1c~</v>
      </c>
      <c r="M5973" s="89"/>
      <c r="N5973" s="89"/>
      <c r="O5973" s="92">
        <v>1.6892877E7</v>
      </c>
      <c r="P5973" s="92">
        <v>1.4780997E7</v>
      </c>
      <c r="Q5973" s="89" t="s">
        <v>912</v>
      </c>
      <c r="AF5973" s="1"/>
      <c r="AG5973" s="1"/>
    </row>
    <row r="5974" ht="15.75" customHeight="1">
      <c r="A5974" s="1"/>
      <c r="B5974" s="1"/>
      <c r="C5974" s="1"/>
      <c r="D5974" s="1"/>
      <c r="E5974" s="1"/>
      <c r="F5974" s="1"/>
      <c r="G5974" s="1"/>
      <c r="H5974" s="1"/>
      <c r="I5974" s="1"/>
      <c r="J5974" s="1"/>
      <c r="K5974" s="89" t="s">
        <v>9362</v>
      </c>
      <c r="L5974" s="89" t="str">
        <f t="shared" si="69"/>
        <v>C2b1a1a1a1d~</v>
      </c>
      <c r="M5974" s="89"/>
      <c r="N5974" s="89" t="s">
        <v>9363</v>
      </c>
      <c r="O5974" s="92">
        <v>1.4348251E7</v>
      </c>
      <c r="P5974" s="92">
        <v>1.2227546E7</v>
      </c>
      <c r="Q5974" s="89" t="s">
        <v>810</v>
      </c>
      <c r="AF5974" s="1"/>
      <c r="AG5974" s="1"/>
    </row>
    <row r="5975" ht="15.75" customHeight="1">
      <c r="A5975" s="1"/>
      <c r="B5975" s="1"/>
      <c r="C5975" s="1"/>
      <c r="D5975" s="1"/>
      <c r="E5975" s="1"/>
      <c r="F5975" s="1"/>
      <c r="G5975" s="1"/>
      <c r="H5975" s="1"/>
      <c r="I5975" s="1"/>
      <c r="J5975" s="1"/>
      <c r="K5975" s="89" t="s">
        <v>9364</v>
      </c>
      <c r="L5975" s="89" t="str">
        <f>K278</f>
        <v>C2b1a1a1a1d~</v>
      </c>
      <c r="M5975" s="89"/>
      <c r="N5975" s="89" t="s">
        <v>9365</v>
      </c>
      <c r="O5975" s="92">
        <v>7770836.0</v>
      </c>
      <c r="P5975" s="92">
        <v>7902795.0</v>
      </c>
      <c r="Q5975" s="89" t="s">
        <v>838</v>
      </c>
      <c r="AF5975" s="1"/>
      <c r="AG5975" s="1"/>
    </row>
    <row r="5976" ht="15.75" customHeight="1">
      <c r="A5976" s="1"/>
      <c r="B5976" s="1"/>
      <c r="C5976" s="1"/>
      <c r="D5976" s="1"/>
      <c r="E5976" s="1"/>
      <c r="F5976" s="1"/>
      <c r="G5976" s="1"/>
      <c r="H5976" s="1"/>
      <c r="I5976" s="1"/>
      <c r="J5976" s="1"/>
      <c r="K5976" s="89" t="s">
        <v>9366</v>
      </c>
      <c r="L5976" s="89" t="str">
        <f>K278</f>
        <v>C2b1a1a1a1d~</v>
      </c>
      <c r="M5976" s="89"/>
      <c r="N5976" s="89" t="s">
        <v>9367</v>
      </c>
      <c r="O5976" s="92">
        <v>7888548.0</v>
      </c>
      <c r="P5976" s="92">
        <v>8020507.0</v>
      </c>
      <c r="Q5976" s="89" t="s">
        <v>822</v>
      </c>
      <c r="AF5976" s="1"/>
      <c r="AG5976" s="1"/>
    </row>
    <row r="5977" ht="15.75" customHeight="1">
      <c r="A5977" s="1"/>
      <c r="B5977" s="1"/>
      <c r="C5977" s="1"/>
      <c r="D5977" s="1"/>
      <c r="E5977" s="1"/>
      <c r="F5977" s="1"/>
      <c r="G5977" s="1"/>
      <c r="H5977" s="1"/>
      <c r="I5977" s="1"/>
      <c r="J5977" s="1"/>
      <c r="K5977" s="89" t="s">
        <v>9368</v>
      </c>
      <c r="L5977" s="89" t="str">
        <f>K278</f>
        <v>C2b1a1a1a1d~</v>
      </c>
      <c r="M5977" s="89"/>
      <c r="N5977" s="89" t="s">
        <v>9369</v>
      </c>
      <c r="O5977" s="92">
        <v>8166923.0</v>
      </c>
      <c r="P5977" s="92">
        <v>8298882.0</v>
      </c>
      <c r="Q5977" s="89" t="s">
        <v>879</v>
      </c>
      <c r="AF5977" s="1"/>
      <c r="AG5977" s="1"/>
    </row>
    <row r="5978" ht="15.75" customHeight="1">
      <c r="A5978" s="1"/>
      <c r="B5978" s="1"/>
      <c r="C5978" s="1"/>
      <c r="D5978" s="1"/>
      <c r="E5978" s="1"/>
      <c r="F5978" s="1"/>
      <c r="G5978" s="1"/>
      <c r="H5978" s="1"/>
      <c r="I5978" s="1"/>
      <c r="J5978" s="1"/>
      <c r="K5978" s="93" t="s">
        <v>9370</v>
      </c>
      <c r="L5978" s="89" t="str">
        <f>K278</f>
        <v>C2b1a1a1a1d~</v>
      </c>
      <c r="M5978" s="89"/>
      <c r="N5978" s="93" t="s">
        <v>23</v>
      </c>
      <c r="O5978" s="113">
        <v>7190198.0</v>
      </c>
      <c r="P5978" s="114">
        <v>7322157.0</v>
      </c>
      <c r="Q5978" s="93" t="s">
        <v>838</v>
      </c>
      <c r="AF5978" s="1"/>
      <c r="AG5978" s="1"/>
    </row>
    <row r="5979" ht="15.75" customHeight="1">
      <c r="A5979" s="1"/>
      <c r="B5979" s="1"/>
      <c r="C5979" s="1"/>
      <c r="D5979" s="1"/>
      <c r="E5979" s="1"/>
      <c r="F5979" s="1"/>
      <c r="G5979" s="1"/>
      <c r="H5979" s="1"/>
      <c r="I5979" s="1"/>
      <c r="J5979" s="1"/>
      <c r="K5979" s="89" t="s">
        <v>9371</v>
      </c>
      <c r="L5979" s="89" t="str">
        <f>J279</f>
        <v>C2b1a1a1a2~</v>
      </c>
      <c r="M5979" s="89"/>
      <c r="N5979" s="89"/>
      <c r="O5979" s="92">
        <v>2694018.0</v>
      </c>
      <c r="P5979" s="92">
        <v>2825977.0</v>
      </c>
      <c r="Q5979" s="89" t="s">
        <v>822</v>
      </c>
      <c r="AF5979" s="1"/>
      <c r="AG5979" s="1"/>
    </row>
    <row r="5980" ht="15.75" customHeight="1">
      <c r="A5980" s="1"/>
      <c r="B5980" s="1"/>
      <c r="C5980" s="1"/>
      <c r="D5980" s="1"/>
      <c r="E5980" s="1"/>
      <c r="F5980" s="1"/>
      <c r="G5980" s="1"/>
      <c r="H5980" s="1"/>
      <c r="I5980" s="1"/>
      <c r="J5980" s="1"/>
      <c r="K5980" s="89" t="s">
        <v>9372</v>
      </c>
      <c r="L5980" s="89" t="str">
        <f>J279</f>
        <v>C2b1a1a1a2~</v>
      </c>
      <c r="M5980" s="89"/>
      <c r="N5980" s="89"/>
      <c r="O5980" s="92">
        <v>7333306.0</v>
      </c>
      <c r="P5980" s="92">
        <v>7465265.0</v>
      </c>
      <c r="Q5980" s="89" t="s">
        <v>802</v>
      </c>
      <c r="AF5980" s="1"/>
      <c r="AG5980" s="1"/>
    </row>
    <row r="5981" ht="15.75" customHeight="1">
      <c r="A5981" s="1"/>
      <c r="B5981" s="1"/>
      <c r="C5981" s="1"/>
      <c r="D5981" s="1"/>
      <c r="E5981" s="1"/>
      <c r="F5981" s="1"/>
      <c r="G5981" s="1"/>
      <c r="H5981" s="1"/>
      <c r="I5981" s="1"/>
      <c r="J5981" s="1"/>
      <c r="K5981" s="89" t="s">
        <v>9373</v>
      </c>
      <c r="L5981" s="89" t="str">
        <f>J279</f>
        <v>C2b1a1a1a2~</v>
      </c>
      <c r="M5981" s="89"/>
      <c r="N5981" s="89"/>
      <c r="O5981" s="92">
        <v>7404466.0</v>
      </c>
      <c r="P5981" s="92">
        <v>7536425.0</v>
      </c>
      <c r="Q5981" s="89" t="s">
        <v>802</v>
      </c>
      <c r="AF5981" s="1"/>
      <c r="AG5981" s="1"/>
    </row>
    <row r="5982" ht="15.75" customHeight="1">
      <c r="A5982" s="1"/>
      <c r="B5982" s="1"/>
      <c r="C5982" s="1"/>
      <c r="D5982" s="1"/>
      <c r="E5982" s="1"/>
      <c r="F5982" s="1"/>
      <c r="G5982" s="1"/>
      <c r="H5982" s="1"/>
      <c r="I5982" s="1"/>
      <c r="J5982" s="1"/>
      <c r="K5982" s="89" t="s">
        <v>9374</v>
      </c>
      <c r="L5982" s="89" t="str">
        <f>J279</f>
        <v>C2b1a1a1a2~</v>
      </c>
      <c r="M5982" s="89"/>
      <c r="N5982" s="89"/>
      <c r="O5982" s="92">
        <v>7854776.0</v>
      </c>
      <c r="P5982" s="92">
        <v>7986735.0</v>
      </c>
      <c r="Q5982" s="89" t="s">
        <v>879</v>
      </c>
      <c r="AF5982" s="1"/>
      <c r="AG5982" s="1"/>
    </row>
    <row r="5983" ht="15.75" customHeight="1">
      <c r="A5983" s="1"/>
      <c r="B5983" s="1"/>
      <c r="C5983" s="1"/>
      <c r="D5983" s="1"/>
      <c r="E5983" s="1"/>
      <c r="F5983" s="1"/>
      <c r="G5983" s="1"/>
      <c r="H5983" s="1"/>
      <c r="I5983" s="1"/>
      <c r="J5983" s="1"/>
      <c r="K5983" s="89" t="s">
        <v>9375</v>
      </c>
      <c r="L5983" s="89" t="str">
        <f>J279</f>
        <v>C2b1a1a1a2~</v>
      </c>
      <c r="M5983" s="89"/>
      <c r="N5983" s="89" t="s">
        <v>9376</v>
      </c>
      <c r="O5983" s="92">
        <v>8273488.0</v>
      </c>
      <c r="P5983" s="92">
        <v>8405447.0</v>
      </c>
      <c r="Q5983" s="89" t="s">
        <v>802</v>
      </c>
      <c r="AF5983" s="1"/>
      <c r="AG5983" s="1"/>
    </row>
    <row r="5984" ht="15.75" customHeight="1">
      <c r="A5984" s="1"/>
      <c r="B5984" s="1"/>
      <c r="C5984" s="1"/>
      <c r="D5984" s="1"/>
      <c r="E5984" s="1"/>
      <c r="F5984" s="1"/>
      <c r="G5984" s="1"/>
      <c r="H5984" s="1"/>
      <c r="I5984" s="1"/>
      <c r="J5984" s="1"/>
      <c r="K5984" s="89" t="s">
        <v>9377</v>
      </c>
      <c r="L5984" s="89" t="str">
        <f>I280</f>
        <v>C2b1a1a1b~</v>
      </c>
      <c r="M5984" s="89"/>
      <c r="N5984" s="89" t="s">
        <v>9378</v>
      </c>
      <c r="O5984" s="108">
        <v>7136442.0</v>
      </c>
      <c r="P5984" s="89">
        <v>7268401.0</v>
      </c>
      <c r="Q5984" s="89" t="s">
        <v>917</v>
      </c>
      <c r="AF5984" s="1"/>
      <c r="AG5984" s="1"/>
    </row>
    <row r="5985" ht="15.75" customHeight="1">
      <c r="A5985" s="1"/>
      <c r="B5985" s="1"/>
      <c r="C5985" s="1"/>
      <c r="D5985" s="1"/>
      <c r="E5985" s="1"/>
      <c r="F5985" s="1"/>
      <c r="G5985" s="1"/>
      <c r="H5985" s="1"/>
      <c r="I5985" s="1"/>
      <c r="J5985" s="1"/>
      <c r="K5985" s="89" t="s">
        <v>9379</v>
      </c>
      <c r="L5985" s="89" t="str">
        <f>I280</f>
        <v>C2b1a1a1b~</v>
      </c>
      <c r="M5985" s="89"/>
      <c r="N5985" s="89" t="s">
        <v>9380</v>
      </c>
      <c r="O5985" s="92">
        <v>1.5006089E7</v>
      </c>
      <c r="P5985" s="92">
        <v>1.2894174E7</v>
      </c>
      <c r="Q5985" s="89" t="s">
        <v>802</v>
      </c>
      <c r="AF5985" s="1"/>
      <c r="AG5985" s="1"/>
    </row>
    <row r="5986" ht="15.75" customHeight="1">
      <c r="A5986" s="1"/>
      <c r="B5986" s="1"/>
      <c r="C5986" s="1"/>
      <c r="D5986" s="1"/>
      <c r="E5986" s="1"/>
      <c r="F5986" s="1"/>
      <c r="G5986" s="1"/>
      <c r="H5986" s="1"/>
      <c r="I5986" s="1"/>
      <c r="J5986" s="1"/>
      <c r="K5986" s="89" t="s">
        <v>9381</v>
      </c>
      <c r="L5986" s="89" t="str">
        <f>I280</f>
        <v>C2b1a1a1b~</v>
      </c>
      <c r="M5986" s="89"/>
      <c r="N5986" s="89"/>
      <c r="O5986" s="92">
        <v>1.5286052E7</v>
      </c>
      <c r="P5986" s="92">
        <v>1.3174151E7</v>
      </c>
      <c r="Q5986" s="89" t="s">
        <v>917</v>
      </c>
      <c r="AF5986" s="1"/>
      <c r="AG5986" s="1"/>
    </row>
    <row r="5987" ht="15.75" customHeight="1">
      <c r="A5987" s="1"/>
      <c r="B5987" s="1"/>
      <c r="C5987" s="1"/>
      <c r="D5987" s="1"/>
      <c r="E5987" s="1"/>
      <c r="F5987" s="1"/>
      <c r="G5987" s="1"/>
      <c r="H5987" s="1"/>
      <c r="I5987" s="1"/>
      <c r="J5987" s="1"/>
      <c r="K5987" s="89" t="s">
        <v>9382</v>
      </c>
      <c r="L5987" s="89" t="str">
        <f>I280</f>
        <v>C2b1a1a1b~</v>
      </c>
      <c r="M5987" s="89"/>
      <c r="N5987" s="89" t="s">
        <v>9383</v>
      </c>
      <c r="O5987" s="92">
        <v>1.5653926E7</v>
      </c>
      <c r="P5987" s="92">
        <v>1.3542046E7</v>
      </c>
      <c r="Q5987" s="89" t="s">
        <v>879</v>
      </c>
      <c r="AF5987" s="1"/>
      <c r="AG5987" s="1"/>
    </row>
    <row r="5988" ht="15.75" customHeight="1">
      <c r="A5988" s="1"/>
      <c r="B5988" s="1"/>
      <c r="C5988" s="1"/>
      <c r="D5988" s="1"/>
      <c r="E5988" s="1"/>
      <c r="F5988" s="1"/>
      <c r="G5988" s="1"/>
      <c r="H5988" s="1"/>
      <c r="I5988" s="1"/>
      <c r="J5988" s="1"/>
      <c r="K5988" s="89" t="s">
        <v>9384</v>
      </c>
      <c r="L5988" s="89" t="str">
        <f>I280</f>
        <v>C2b1a1a1b~</v>
      </c>
      <c r="M5988" s="89"/>
      <c r="N5988" s="89" t="s">
        <v>9385</v>
      </c>
      <c r="O5988" s="92">
        <v>1.8117772E7</v>
      </c>
      <c r="P5988" s="92">
        <v>1.6005892E7</v>
      </c>
      <c r="Q5988" s="89" t="s">
        <v>879</v>
      </c>
      <c r="AF5988" s="1"/>
      <c r="AG5988" s="1"/>
    </row>
    <row r="5989" ht="15.75" customHeight="1">
      <c r="A5989" s="1"/>
      <c r="B5989" s="1"/>
      <c r="C5989" s="1"/>
      <c r="D5989" s="1"/>
      <c r="E5989" s="1"/>
      <c r="F5989" s="1"/>
      <c r="G5989" s="1"/>
      <c r="H5989" s="1"/>
      <c r="I5989" s="1"/>
      <c r="J5989" s="1"/>
      <c r="K5989" s="89" t="s">
        <v>9386</v>
      </c>
      <c r="L5989" s="89" t="str">
        <f>H281</f>
        <v>C2b1a1a2</v>
      </c>
      <c r="M5989" s="89"/>
      <c r="N5989" s="89" t="s">
        <v>9387</v>
      </c>
      <c r="O5989" s="92">
        <v>7064369.0</v>
      </c>
      <c r="P5989" s="92">
        <v>7196328.0</v>
      </c>
      <c r="Q5989" s="89" t="s">
        <v>838</v>
      </c>
      <c r="AF5989" s="1"/>
      <c r="AG5989" s="1"/>
    </row>
    <row r="5990" ht="15.75" customHeight="1">
      <c r="A5990" s="1"/>
      <c r="B5990" s="1"/>
      <c r="C5990" s="1"/>
      <c r="D5990" s="1"/>
      <c r="E5990" s="1"/>
      <c r="F5990" s="1"/>
      <c r="G5990" s="1"/>
      <c r="H5990" s="1"/>
      <c r="I5990" s="1"/>
      <c r="J5990" s="1"/>
      <c r="K5990" s="106" t="s">
        <v>9388</v>
      </c>
      <c r="L5990" t="str">
        <f>H281</f>
        <v>C2b1a1a2</v>
      </c>
      <c r="N5990" s="106" t="s">
        <v>9389</v>
      </c>
      <c r="O5990" s="106">
        <v>9420009.0</v>
      </c>
      <c r="P5990" s="106">
        <v>9582400.0</v>
      </c>
      <c r="Q5990" s="106" t="s">
        <v>813</v>
      </c>
      <c r="AF5990" s="1"/>
      <c r="AG5990" s="1"/>
    </row>
    <row r="5991" ht="15.75" customHeight="1">
      <c r="A5991" s="1"/>
      <c r="B5991" s="1"/>
      <c r="C5991" s="1"/>
      <c r="D5991" s="1"/>
      <c r="E5991" s="1"/>
      <c r="F5991" s="1"/>
      <c r="G5991" s="1"/>
      <c r="H5991" s="1"/>
      <c r="I5991" s="1"/>
      <c r="J5991" s="1"/>
      <c r="K5991" s="106" t="s">
        <v>9390</v>
      </c>
      <c r="L5991" t="str">
        <f>H281</f>
        <v>C2b1a1a2</v>
      </c>
      <c r="N5991" s="106" t="s">
        <v>9391</v>
      </c>
      <c r="O5991" s="106">
        <v>1.4094567E7</v>
      </c>
      <c r="P5991" s="106">
        <v>1.1973861E7</v>
      </c>
      <c r="Q5991" s="106" t="s">
        <v>810</v>
      </c>
      <c r="AF5991" s="1"/>
      <c r="AG5991" s="1"/>
    </row>
    <row r="5992" ht="15.75" customHeight="1">
      <c r="A5992" s="1"/>
      <c r="B5992" s="1"/>
      <c r="C5992" s="1"/>
      <c r="D5992" s="1"/>
      <c r="E5992" s="1"/>
      <c r="F5992" s="1"/>
      <c r="G5992" s="1"/>
      <c r="H5992" s="1"/>
      <c r="I5992" s="1"/>
      <c r="J5992" s="1"/>
      <c r="K5992" s="106" t="s">
        <v>9392</v>
      </c>
      <c r="L5992" t="str">
        <f>H281</f>
        <v>C2b1a1a2</v>
      </c>
      <c r="N5992" s="106" t="s">
        <v>9393</v>
      </c>
      <c r="O5992" s="106">
        <v>1.4335821E7</v>
      </c>
      <c r="P5992" s="106">
        <v>1.2215116E7</v>
      </c>
      <c r="Q5992" s="106" t="s">
        <v>879</v>
      </c>
      <c r="AF5992" s="1"/>
      <c r="AG5992" s="1"/>
    </row>
    <row r="5993" ht="15.75" customHeight="1">
      <c r="A5993" s="1"/>
      <c r="B5993" s="1"/>
      <c r="C5993" s="1"/>
      <c r="D5993" s="1"/>
      <c r="E5993" s="1"/>
      <c r="F5993" s="1"/>
      <c r="G5993" s="1"/>
      <c r="H5993" s="1"/>
      <c r="I5993" s="1"/>
      <c r="J5993" s="1"/>
      <c r="K5993" s="106" t="s">
        <v>9394</v>
      </c>
      <c r="L5993" t="str">
        <f>H281</f>
        <v>C2b1a1a2</v>
      </c>
      <c r="N5993" s="106" t="s">
        <v>9395</v>
      </c>
      <c r="O5993" s="106">
        <v>1.4663964E7</v>
      </c>
      <c r="P5993" s="106">
        <v>1.2552029E7</v>
      </c>
      <c r="Q5993" s="106" t="s">
        <v>822</v>
      </c>
      <c r="AF5993" s="1"/>
      <c r="AG5993" s="1"/>
    </row>
    <row r="5994" ht="15.75" customHeight="1">
      <c r="A5994" s="1"/>
      <c r="B5994" s="1"/>
      <c r="C5994" s="1"/>
      <c r="D5994" s="1"/>
      <c r="E5994" s="1"/>
      <c r="F5994" s="1"/>
      <c r="G5994" s="1"/>
      <c r="H5994" s="1"/>
      <c r="I5994" s="1"/>
      <c r="J5994" s="1"/>
      <c r="K5994" s="106" t="s">
        <v>9396</v>
      </c>
      <c r="L5994" t="str">
        <f>H281</f>
        <v>C2b1a1a2</v>
      </c>
      <c r="N5994" s="106" t="s">
        <v>9397</v>
      </c>
      <c r="O5994" s="106">
        <v>1.5823207E7</v>
      </c>
      <c r="P5994" s="106">
        <v>1.3711327E7</v>
      </c>
      <c r="Q5994" s="106" t="s">
        <v>838</v>
      </c>
      <c r="AF5994" s="1"/>
      <c r="AG5994" s="1"/>
    </row>
    <row r="5995" ht="15.75" customHeight="1">
      <c r="A5995" s="1"/>
      <c r="B5995" s="1"/>
      <c r="C5995" s="1"/>
      <c r="D5995" s="1"/>
      <c r="E5995" s="1"/>
      <c r="F5995" s="1"/>
      <c r="G5995" s="1"/>
      <c r="H5995" s="1"/>
      <c r="I5995" s="1"/>
      <c r="J5995" s="1"/>
      <c r="K5995" s="106" t="s">
        <v>9398</v>
      </c>
      <c r="L5995" t="str">
        <f>H281</f>
        <v>C2b1a1a2</v>
      </c>
      <c r="N5995" s="106" t="s">
        <v>9399</v>
      </c>
      <c r="O5995" s="106">
        <v>1.7011575E7</v>
      </c>
      <c r="P5995" s="106">
        <v>1.4899695E7</v>
      </c>
      <c r="Q5995" s="106" t="s">
        <v>838</v>
      </c>
      <c r="AF5995" s="1"/>
      <c r="AG5995" s="1"/>
    </row>
    <row r="5996" ht="15.75" customHeight="1">
      <c r="A5996" s="1"/>
      <c r="B5996" s="1"/>
      <c r="C5996" s="1"/>
      <c r="D5996" s="1"/>
      <c r="E5996" s="1"/>
      <c r="F5996" s="1"/>
      <c r="G5996" s="1"/>
      <c r="H5996" s="1"/>
      <c r="I5996" s="1"/>
      <c r="J5996" s="1"/>
      <c r="K5996" s="106" t="s">
        <v>9400</v>
      </c>
      <c r="L5996" t="str">
        <f>H281</f>
        <v>C2b1a1a2</v>
      </c>
      <c r="N5996" s="106" t="s">
        <v>9401</v>
      </c>
      <c r="O5996" s="106">
        <v>1.7667733E7</v>
      </c>
      <c r="P5996" s="106">
        <v>1.5555853E7</v>
      </c>
      <c r="Q5996" s="106" t="s">
        <v>810</v>
      </c>
      <c r="AF5996" s="1"/>
      <c r="AG5996" s="1"/>
    </row>
    <row r="5997" ht="15.75" customHeight="1">
      <c r="A5997" s="1"/>
      <c r="B5997" s="1"/>
      <c r="C5997" s="1"/>
      <c r="D5997" s="1"/>
      <c r="E5997" s="1"/>
      <c r="F5997" s="1"/>
      <c r="G5997" s="1"/>
      <c r="H5997" s="1"/>
      <c r="I5997" s="1"/>
      <c r="J5997" s="1"/>
      <c r="K5997" s="106" t="s">
        <v>9402</v>
      </c>
      <c r="L5997" t="str">
        <f>H281</f>
        <v>C2b1a1a2</v>
      </c>
      <c r="N5997" s="106" t="s">
        <v>9403</v>
      </c>
      <c r="O5997" s="106">
        <v>1.7674674E7</v>
      </c>
      <c r="P5997" s="106">
        <v>1.5562794E7</v>
      </c>
      <c r="Q5997" s="106" t="s">
        <v>917</v>
      </c>
      <c r="AF5997" s="1"/>
      <c r="AG5997" s="1"/>
    </row>
    <row r="5998" ht="15.75" customHeight="1">
      <c r="A5998" s="1"/>
      <c r="B5998" s="1"/>
      <c r="C5998" s="1"/>
      <c r="D5998" s="1"/>
      <c r="E5998" s="1"/>
      <c r="F5998" s="1"/>
      <c r="G5998" s="1"/>
      <c r="H5998" s="1"/>
      <c r="I5998" s="1"/>
      <c r="J5998" s="1"/>
      <c r="K5998" s="106" t="s">
        <v>9404</v>
      </c>
      <c r="L5998" t="str">
        <f>H281</f>
        <v>C2b1a1a2</v>
      </c>
      <c r="N5998" s="106" t="s">
        <v>9405</v>
      </c>
      <c r="O5998" s="106">
        <v>1.769159E7</v>
      </c>
      <c r="P5998" s="106">
        <v>1.557971E7</v>
      </c>
      <c r="Q5998" s="106" t="s">
        <v>831</v>
      </c>
      <c r="AF5998" s="1"/>
      <c r="AG5998" s="1"/>
    </row>
    <row r="5999" ht="15.75" customHeight="1">
      <c r="A5999" s="1"/>
      <c r="B5999" s="1"/>
      <c r="C5999" s="1"/>
      <c r="D5999" s="1"/>
      <c r="E5999" s="1"/>
      <c r="F5999" s="1"/>
      <c r="G5999" s="1"/>
      <c r="H5999" s="1"/>
      <c r="I5999" s="1"/>
      <c r="J5999" s="1"/>
      <c r="K5999" s="106" t="s">
        <v>9406</v>
      </c>
      <c r="L5999" t="str">
        <f>H281</f>
        <v>C2b1a1a2</v>
      </c>
      <c r="N5999" s="106" t="s">
        <v>9407</v>
      </c>
      <c r="O5999" s="106">
        <v>1.8654054E7</v>
      </c>
      <c r="P5999" s="106">
        <v>1.6542174E7</v>
      </c>
      <c r="Q5999" s="106" t="s">
        <v>845</v>
      </c>
      <c r="AF5999" s="1"/>
      <c r="AG5999" s="1"/>
    </row>
    <row r="6000" ht="15.75" customHeight="1">
      <c r="A6000" s="1"/>
      <c r="B6000" s="1"/>
      <c r="C6000" s="1"/>
      <c r="D6000" s="1"/>
      <c r="E6000" s="1"/>
      <c r="F6000" s="1"/>
      <c r="G6000" s="1"/>
      <c r="H6000" s="1"/>
      <c r="I6000" s="1"/>
      <c r="J6000" s="1"/>
      <c r="K6000" s="106" t="s">
        <v>9408</v>
      </c>
      <c r="L6000" t="str">
        <f>H281</f>
        <v>C2b1a1a2</v>
      </c>
      <c r="N6000" s="106" t="s">
        <v>9409</v>
      </c>
      <c r="O6000" s="106">
        <v>2.291919E7</v>
      </c>
      <c r="P6000" s="106">
        <v>2.0757304E7</v>
      </c>
      <c r="Q6000" s="106" t="s">
        <v>912</v>
      </c>
      <c r="AF6000" s="1"/>
      <c r="AG6000" s="1"/>
    </row>
    <row r="6001" ht="15.75" customHeight="1">
      <c r="A6001" s="1"/>
      <c r="B6001" s="1"/>
      <c r="C6001" s="1"/>
      <c r="D6001" s="1"/>
      <c r="E6001" s="1"/>
      <c r="F6001" s="1"/>
      <c r="G6001" s="1"/>
      <c r="H6001" s="1"/>
      <c r="I6001" s="1"/>
      <c r="J6001" s="1"/>
      <c r="K6001" s="106" t="s">
        <v>9410</v>
      </c>
      <c r="L6001" t="str">
        <f>H281</f>
        <v>C2b1a1a2</v>
      </c>
      <c r="N6001" s="106" t="s">
        <v>9411</v>
      </c>
      <c r="O6001" s="106">
        <v>1.664266E7</v>
      </c>
      <c r="P6001" s="106">
        <v>1.453078E7</v>
      </c>
      <c r="Q6001" s="106" t="s">
        <v>831</v>
      </c>
      <c r="AF6001" s="1"/>
      <c r="AG6001" s="1"/>
    </row>
    <row r="6002" ht="15.75" customHeight="1">
      <c r="A6002" s="1"/>
      <c r="B6002" s="1"/>
      <c r="C6002" s="1"/>
      <c r="D6002" s="1"/>
      <c r="E6002" s="1"/>
      <c r="F6002" s="1"/>
      <c r="G6002" s="1"/>
      <c r="H6002" s="1"/>
      <c r="I6002" s="1"/>
      <c r="J6002" s="1"/>
      <c r="K6002" s="106" t="s">
        <v>9412</v>
      </c>
      <c r="L6002" t="str">
        <f>H281</f>
        <v>C2b1a1a2</v>
      </c>
      <c r="N6002" s="106" t="s">
        <v>9413</v>
      </c>
      <c r="O6002" s="106">
        <v>1.4181424E7</v>
      </c>
      <c r="P6002" s="106">
        <v>1.2060718E7</v>
      </c>
      <c r="Q6002" s="106" t="s">
        <v>845</v>
      </c>
      <c r="AF6002" s="1"/>
      <c r="AG6002" s="1"/>
    </row>
    <row r="6003" ht="15.75" customHeight="1">
      <c r="A6003" s="1"/>
      <c r="B6003" s="1"/>
      <c r="C6003" s="1"/>
      <c r="D6003" s="1"/>
      <c r="E6003" s="1"/>
      <c r="F6003" s="1"/>
      <c r="G6003" s="1"/>
      <c r="H6003" s="1"/>
      <c r="I6003" s="1"/>
      <c r="J6003" s="1"/>
      <c r="K6003" s="106" t="s">
        <v>9414</v>
      </c>
      <c r="L6003" t="str">
        <f>H281</f>
        <v>C2b1a1a2</v>
      </c>
      <c r="N6003" s="106" t="s">
        <v>9415</v>
      </c>
      <c r="O6003" s="106">
        <v>1.2770508E7</v>
      </c>
      <c r="P6003" s="106">
        <v>1.4882442E7</v>
      </c>
      <c r="Q6003" s="106" t="s">
        <v>831</v>
      </c>
      <c r="AF6003" s="1"/>
      <c r="AG6003" s="1"/>
    </row>
    <row r="6004" ht="15.75" customHeight="1">
      <c r="A6004" s="1"/>
      <c r="B6004" s="1"/>
      <c r="C6004" s="1"/>
      <c r="D6004" s="1"/>
      <c r="E6004" s="1"/>
      <c r="F6004" s="1"/>
      <c r="G6004" s="1"/>
      <c r="H6004" s="1"/>
      <c r="I6004" s="1"/>
      <c r="J6004" s="1"/>
      <c r="K6004" s="106" t="s">
        <v>9416</v>
      </c>
      <c r="L6004" t="str">
        <f>H281</f>
        <v>C2b1a1a2</v>
      </c>
      <c r="N6004" s="106" t="s">
        <v>9417</v>
      </c>
      <c r="O6004" s="106">
        <v>1.7383724E7</v>
      </c>
      <c r="P6004" s="106">
        <v>1.5271844E7</v>
      </c>
      <c r="Q6004" s="106" t="s">
        <v>831</v>
      </c>
      <c r="AF6004" s="1"/>
      <c r="AG6004" s="1"/>
    </row>
    <row r="6005" ht="15.75" customHeight="1">
      <c r="A6005" s="1"/>
      <c r="B6005" s="1"/>
      <c r="C6005" s="1"/>
      <c r="D6005" s="1"/>
      <c r="E6005" s="1"/>
      <c r="F6005" s="1"/>
      <c r="G6005" s="1"/>
      <c r="H6005" s="1"/>
      <c r="I6005" s="1"/>
      <c r="J6005" s="1"/>
      <c r="K6005" s="106" t="s">
        <v>9418</v>
      </c>
      <c r="L6005" t="str">
        <f>H281</f>
        <v>C2b1a1a2</v>
      </c>
      <c r="N6005" s="106" t="s">
        <v>9419</v>
      </c>
      <c r="O6005" s="106">
        <v>1.9143309E7</v>
      </c>
      <c r="P6005" s="106">
        <v>1.7031429E7</v>
      </c>
      <c r="Q6005" s="106" t="s">
        <v>822</v>
      </c>
      <c r="AF6005" s="1"/>
      <c r="AG6005" s="1"/>
    </row>
    <row r="6006" ht="15.75" customHeight="1">
      <c r="A6006" s="1"/>
      <c r="B6006" s="1"/>
      <c r="C6006" s="1"/>
      <c r="D6006" s="1"/>
      <c r="E6006" s="1"/>
      <c r="F6006" s="1"/>
      <c r="G6006" s="1"/>
      <c r="H6006" s="1"/>
      <c r="I6006" s="1"/>
      <c r="J6006" s="1"/>
      <c r="K6006" s="106" t="s">
        <v>9420</v>
      </c>
      <c r="L6006" t="str">
        <f>H281</f>
        <v>C2b1a1a2</v>
      </c>
      <c r="N6006" s="106" t="s">
        <v>9421</v>
      </c>
      <c r="O6006" s="106">
        <v>2.2159297E7</v>
      </c>
      <c r="P6006" s="106">
        <v>1.9997411E7</v>
      </c>
      <c r="Q6006" s="106" t="s">
        <v>912</v>
      </c>
      <c r="AF6006" s="1"/>
      <c r="AG6006" s="1"/>
    </row>
    <row r="6007" ht="15.75" customHeight="1">
      <c r="A6007" s="1"/>
      <c r="B6007" s="1"/>
      <c r="C6007" s="1"/>
      <c r="D6007" s="1"/>
      <c r="E6007" s="1"/>
      <c r="F6007" s="1"/>
      <c r="G6007" s="1"/>
      <c r="H6007" s="1"/>
      <c r="I6007" s="1"/>
      <c r="J6007" s="1"/>
      <c r="K6007" s="106" t="s">
        <v>9422</v>
      </c>
      <c r="L6007" t="str">
        <f>H281</f>
        <v>C2b1a1a2</v>
      </c>
      <c r="N6007" s="106" t="s">
        <v>9423</v>
      </c>
      <c r="O6007" s="106">
        <v>2.3641779E7</v>
      </c>
      <c r="P6007" s="106">
        <v>2.1479893E7</v>
      </c>
      <c r="Q6007" s="106" t="s">
        <v>802</v>
      </c>
      <c r="AF6007" s="1"/>
      <c r="AG6007" s="1"/>
    </row>
    <row r="6008" ht="15.75" customHeight="1">
      <c r="A6008" s="1"/>
      <c r="B6008" s="1"/>
      <c r="C6008" s="1"/>
      <c r="D6008" s="1"/>
      <c r="E6008" s="1"/>
      <c r="F6008" s="1"/>
      <c r="G6008" s="1"/>
      <c r="H6008" s="1"/>
      <c r="I6008" s="1"/>
      <c r="J6008" s="1"/>
      <c r="K6008" s="106" t="s">
        <v>9424</v>
      </c>
      <c r="L6008" t="str">
        <f>H281</f>
        <v>C2b1a1a2</v>
      </c>
      <c r="N6008" s="106" t="s">
        <v>9425</v>
      </c>
      <c r="O6008" s="106">
        <v>2.3641811E7</v>
      </c>
      <c r="P6008" s="106">
        <v>2.1479925E7</v>
      </c>
      <c r="Q6008" s="106" t="s">
        <v>831</v>
      </c>
      <c r="AF6008" s="1"/>
      <c r="AG6008" s="1"/>
    </row>
    <row r="6009" ht="15.75" customHeight="1">
      <c r="A6009" s="1"/>
      <c r="B6009" s="1"/>
      <c r="C6009" s="1"/>
      <c r="D6009" s="1"/>
      <c r="E6009" s="1"/>
      <c r="F6009" s="1"/>
      <c r="G6009" s="1"/>
      <c r="H6009" s="1"/>
      <c r="I6009" s="1"/>
      <c r="J6009" s="1"/>
      <c r="K6009" s="106" t="s">
        <v>9426</v>
      </c>
      <c r="L6009" t="str">
        <f>H281</f>
        <v>C2b1a1a2</v>
      </c>
      <c r="N6009" s="106" t="s">
        <v>9427</v>
      </c>
      <c r="O6009" s="106">
        <v>2.4504725E7</v>
      </c>
      <c r="P6009" s="106">
        <v>2.2358578E7</v>
      </c>
      <c r="Q6009" s="106" t="s">
        <v>810</v>
      </c>
      <c r="AF6009" s="1"/>
      <c r="AG6009" s="1"/>
    </row>
    <row r="6010" ht="15.75" customHeight="1">
      <c r="A6010" s="1"/>
      <c r="B6010" s="1"/>
      <c r="C6010" s="1"/>
      <c r="D6010" s="1"/>
      <c r="E6010" s="1"/>
      <c r="F6010" s="1"/>
      <c r="G6010" s="1"/>
      <c r="H6010" s="1"/>
      <c r="I6010" s="1"/>
      <c r="J6010" s="1"/>
      <c r="K6010" t="s">
        <v>9428</v>
      </c>
      <c r="L6010" t="str">
        <f>H281</f>
        <v>C2b1a1a2</v>
      </c>
      <c r="N6010" t="s">
        <v>9429</v>
      </c>
      <c r="O6010">
        <v>8455100.0</v>
      </c>
      <c r="P6010">
        <v>8587059.0</v>
      </c>
      <c r="Q6010" t="s">
        <v>845</v>
      </c>
      <c r="AF6010" s="1"/>
      <c r="AG6010" s="1"/>
    </row>
    <row r="6011" ht="15.75" customHeight="1">
      <c r="A6011" s="1"/>
      <c r="B6011" s="1"/>
      <c r="C6011" s="1"/>
      <c r="D6011" s="1"/>
      <c r="E6011" s="1"/>
      <c r="F6011" s="1"/>
      <c r="G6011" s="1"/>
      <c r="H6011" s="1"/>
      <c r="I6011" s="1"/>
      <c r="J6011" s="1"/>
      <c r="K6011" s="106" t="s">
        <v>7498</v>
      </c>
      <c r="L6011" t="str">
        <f>H281</f>
        <v>C2b1a1a2</v>
      </c>
      <c r="N6011" s="106" t="s">
        <v>9430</v>
      </c>
      <c r="O6011" s="106">
        <v>8908840.0</v>
      </c>
      <c r="P6011" s="106">
        <v>9040799.0</v>
      </c>
      <c r="Q6011" s="106" t="s">
        <v>822</v>
      </c>
      <c r="AF6011" s="1"/>
      <c r="AG6011" s="1"/>
    </row>
    <row r="6012" ht="15.75" customHeight="1">
      <c r="A6012" s="1"/>
      <c r="B6012" s="1"/>
      <c r="C6012" s="1"/>
      <c r="D6012" s="1"/>
      <c r="E6012" s="1"/>
      <c r="F6012" s="1"/>
      <c r="G6012" s="1"/>
      <c r="H6012" s="1"/>
      <c r="I6012" s="1"/>
      <c r="J6012" s="1"/>
      <c r="K6012" t="s">
        <v>9431</v>
      </c>
      <c r="L6012" t="str">
        <f>H281</f>
        <v>C2b1a1a2</v>
      </c>
      <c r="N6012" t="s">
        <v>9432</v>
      </c>
      <c r="O6012">
        <v>8113269.0</v>
      </c>
      <c r="P6012">
        <v>8245228.0</v>
      </c>
      <c r="Q6012" t="s">
        <v>802</v>
      </c>
      <c r="AF6012" s="1"/>
      <c r="AG6012" s="1"/>
    </row>
    <row r="6013" ht="15.75" customHeight="1">
      <c r="A6013" s="1"/>
      <c r="B6013" s="1"/>
      <c r="C6013" s="1"/>
      <c r="D6013" s="1"/>
      <c r="E6013" s="1"/>
      <c r="F6013" s="1"/>
      <c r="G6013" s="1"/>
      <c r="H6013" s="1"/>
      <c r="I6013" s="1"/>
      <c r="J6013" s="1"/>
      <c r="K6013" t="s">
        <v>9433</v>
      </c>
      <c r="L6013" t="str">
        <f>I282</f>
        <v>C2b1a1a2a~</v>
      </c>
      <c r="O6013">
        <v>7644959.0</v>
      </c>
      <c r="P6013">
        <v>7776918.0</v>
      </c>
      <c r="Q6013" t="s">
        <v>831</v>
      </c>
      <c r="AF6013" s="1"/>
      <c r="AG6013" s="1"/>
    </row>
    <row r="6014" ht="15.75" customHeight="1">
      <c r="A6014" s="1"/>
      <c r="B6014" s="1"/>
      <c r="C6014" s="1"/>
      <c r="D6014" s="1"/>
      <c r="E6014" s="1"/>
      <c r="F6014" s="1"/>
      <c r="G6014" s="1"/>
      <c r="H6014" s="1"/>
      <c r="I6014" s="1"/>
      <c r="J6014" s="1"/>
      <c r="K6014" t="s">
        <v>9434</v>
      </c>
      <c r="L6014" t="str">
        <f t="shared" ref="L6014:L6015" si="70">I282</f>
        <v>C2b1a1a2a~</v>
      </c>
      <c r="O6014">
        <v>8357682.0</v>
      </c>
      <c r="P6014">
        <v>8489641.0</v>
      </c>
      <c r="Q6014" t="s">
        <v>879</v>
      </c>
      <c r="AF6014" s="1"/>
      <c r="AG6014" s="1"/>
    </row>
    <row r="6015" ht="15.75" customHeight="1">
      <c r="A6015" s="1"/>
      <c r="B6015" s="1"/>
      <c r="C6015" s="1"/>
      <c r="D6015" s="1"/>
      <c r="E6015" s="1"/>
      <c r="F6015" s="1"/>
      <c r="G6015" s="1"/>
      <c r="H6015" s="1"/>
      <c r="I6015" s="1"/>
      <c r="J6015" s="1"/>
      <c r="K6015" s="106" t="s">
        <v>9435</v>
      </c>
      <c r="L6015" s="89" t="str">
        <f t="shared" si="70"/>
        <v>C2b1a1a2b~</v>
      </c>
      <c r="M6015" s="89"/>
      <c r="N6015" s="89"/>
      <c r="O6015" s="97">
        <v>1.4888959E7</v>
      </c>
      <c r="P6015" s="98">
        <v>1.2777025E7</v>
      </c>
      <c r="Q6015" s="93" t="s">
        <v>822</v>
      </c>
      <c r="AF6015" s="1"/>
      <c r="AG6015" s="1"/>
    </row>
    <row r="6016" ht="15.75" customHeight="1">
      <c r="A6016" s="1"/>
      <c r="B6016" s="1"/>
      <c r="C6016" s="1"/>
      <c r="D6016" s="1"/>
      <c r="E6016" s="1"/>
      <c r="F6016" s="1"/>
      <c r="G6016" s="1"/>
      <c r="H6016" s="1"/>
      <c r="I6016" s="1"/>
      <c r="J6016" s="1"/>
      <c r="K6016" s="106" t="s">
        <v>9436</v>
      </c>
      <c r="L6016" s="89" t="str">
        <f>I283</f>
        <v>C2b1a1a2b~</v>
      </c>
      <c r="M6016" s="89"/>
      <c r="N6016" s="89"/>
      <c r="O6016" s="97">
        <v>1.497707E7</v>
      </c>
      <c r="P6016" s="98">
        <v>1.2865145E7</v>
      </c>
      <c r="Q6016" s="93" t="s">
        <v>802</v>
      </c>
      <c r="AF6016" s="1"/>
      <c r="AG6016" s="1"/>
    </row>
    <row r="6017" ht="15.75" customHeight="1">
      <c r="A6017" s="1"/>
      <c r="B6017" s="1"/>
      <c r="C6017" s="1"/>
      <c r="D6017" s="1"/>
      <c r="E6017" s="1"/>
      <c r="F6017" s="1"/>
      <c r="G6017" s="1"/>
      <c r="H6017" s="1"/>
      <c r="I6017" s="1"/>
      <c r="J6017" s="1"/>
      <c r="K6017" s="106" t="s">
        <v>9437</v>
      </c>
      <c r="L6017" s="89" t="str">
        <f>I283</f>
        <v>C2b1a1a2b~</v>
      </c>
      <c r="M6017" s="89"/>
      <c r="N6017" s="89"/>
      <c r="O6017" s="97">
        <v>1.478297E7</v>
      </c>
      <c r="P6017" s="98">
        <v>1.267104E7</v>
      </c>
      <c r="Q6017" s="93" t="s">
        <v>864</v>
      </c>
      <c r="AF6017" s="1"/>
      <c r="AG6017" s="1"/>
    </row>
    <row r="6018" ht="15.75" customHeight="1">
      <c r="A6018" s="1"/>
      <c r="B6018" s="1"/>
      <c r="C6018" s="1"/>
      <c r="D6018" s="1"/>
      <c r="E6018" s="1"/>
      <c r="F6018" s="1"/>
      <c r="G6018" s="1"/>
      <c r="H6018" s="1"/>
      <c r="I6018" s="1"/>
      <c r="J6018" s="1"/>
      <c r="K6018" s="106" t="s">
        <v>9438</v>
      </c>
      <c r="L6018" s="89" t="str">
        <f>I283</f>
        <v>C2b1a1a2b~</v>
      </c>
      <c r="M6018" s="89"/>
      <c r="N6018" s="89"/>
      <c r="O6018" s="97">
        <v>7422083.0</v>
      </c>
      <c r="P6018" s="98">
        <v>7554042.0</v>
      </c>
      <c r="Q6018" s="39" t="s">
        <v>886</v>
      </c>
      <c r="AF6018" s="1"/>
      <c r="AG6018" s="1"/>
    </row>
    <row r="6019" ht="15.75" customHeight="1">
      <c r="A6019" s="1"/>
      <c r="B6019" s="1"/>
      <c r="C6019" s="1"/>
      <c r="D6019" s="1"/>
      <c r="E6019" s="1"/>
      <c r="F6019" s="1"/>
      <c r="G6019" s="1"/>
      <c r="H6019" s="1"/>
      <c r="I6019" s="1"/>
      <c r="J6019" s="1"/>
      <c r="K6019" s="106" t="s">
        <v>9439</v>
      </c>
      <c r="L6019" s="89" t="str">
        <f>I283</f>
        <v>C2b1a1a2b~</v>
      </c>
      <c r="M6019" s="89"/>
      <c r="N6019" s="89"/>
      <c r="O6019" s="97">
        <v>1.4644503E7</v>
      </c>
      <c r="P6019" s="98">
        <v>1.2532572E7</v>
      </c>
      <c r="Q6019" s="93" t="s">
        <v>802</v>
      </c>
      <c r="AF6019" s="1"/>
      <c r="AG6019" s="1"/>
    </row>
    <row r="6020" ht="15.75" customHeight="1">
      <c r="A6020" s="1"/>
      <c r="B6020" s="1"/>
      <c r="C6020" s="1"/>
      <c r="D6020" s="1"/>
      <c r="E6020" s="1"/>
      <c r="F6020" s="1"/>
      <c r="G6020" s="1"/>
      <c r="H6020" s="1"/>
      <c r="I6020" s="1"/>
      <c r="J6020" s="1"/>
      <c r="K6020" s="89" t="s">
        <v>9440</v>
      </c>
      <c r="L6020" s="89" t="str">
        <f>F284</f>
        <v>C2b1a2</v>
      </c>
      <c r="M6020" s="89" t="s">
        <v>9441</v>
      </c>
      <c r="N6020" s="89" t="s">
        <v>9442</v>
      </c>
      <c r="O6020" s="92">
        <v>2.373923E7</v>
      </c>
      <c r="P6020" s="92">
        <v>2.1577344E7</v>
      </c>
      <c r="Q6020" s="89" t="s">
        <v>810</v>
      </c>
      <c r="AF6020" s="1"/>
      <c r="AG6020" s="1"/>
    </row>
    <row r="6021" ht="15.75" customHeight="1">
      <c r="A6021" s="1"/>
      <c r="B6021" s="1"/>
      <c r="C6021" s="1"/>
      <c r="D6021" s="1"/>
      <c r="E6021" s="1"/>
      <c r="F6021" s="1"/>
      <c r="G6021" s="1"/>
      <c r="H6021" s="1"/>
      <c r="I6021" s="1"/>
      <c r="J6021" s="1"/>
      <c r="K6021" s="89" t="s">
        <v>9441</v>
      </c>
      <c r="L6021" s="89" t="str">
        <f>F284</f>
        <v>C2b1a2</v>
      </c>
      <c r="M6021" s="89" t="s">
        <v>9440</v>
      </c>
      <c r="N6021" s="89" t="s">
        <v>9442</v>
      </c>
      <c r="O6021" s="92">
        <v>2.373923E7</v>
      </c>
      <c r="P6021" s="92">
        <v>2.1577344E7</v>
      </c>
      <c r="Q6021" s="89" t="s">
        <v>810</v>
      </c>
      <c r="AF6021" s="1"/>
      <c r="AG6021" s="1"/>
    </row>
    <row r="6022" ht="15.75" customHeight="1">
      <c r="A6022" s="1"/>
      <c r="B6022" s="1"/>
      <c r="C6022" s="1"/>
      <c r="D6022" s="1"/>
      <c r="E6022" s="1"/>
      <c r="F6022" s="1"/>
      <c r="G6022" s="1"/>
      <c r="H6022" s="1"/>
      <c r="I6022" s="1"/>
      <c r="J6022" s="1"/>
      <c r="K6022" s="89" t="s">
        <v>9443</v>
      </c>
      <c r="L6022" s="89" t="str">
        <f>F284</f>
        <v>C2b1a2</v>
      </c>
      <c r="M6022" s="89"/>
      <c r="N6022" s="89" t="s">
        <v>9444</v>
      </c>
      <c r="O6022" s="92">
        <v>8804321.0</v>
      </c>
      <c r="P6022" s="92">
        <v>8936280.0</v>
      </c>
      <c r="Q6022" s="89" t="s">
        <v>845</v>
      </c>
      <c r="AF6022" s="1"/>
      <c r="AG6022" s="1"/>
    </row>
    <row r="6023" ht="15.75" customHeight="1">
      <c r="A6023" s="1"/>
      <c r="B6023" s="1"/>
      <c r="C6023" s="1"/>
      <c r="D6023" s="1"/>
      <c r="E6023" s="1"/>
      <c r="F6023" s="1"/>
      <c r="G6023" s="1"/>
      <c r="H6023" s="1"/>
      <c r="I6023" s="1"/>
      <c r="J6023" s="1"/>
      <c r="K6023" s="89" t="s">
        <v>9445</v>
      </c>
      <c r="L6023" s="89" t="str">
        <f>G285</f>
        <v>C2b1a2a</v>
      </c>
      <c r="M6023" s="93" t="s">
        <v>23</v>
      </c>
      <c r="N6023" s="89" t="s">
        <v>9446</v>
      </c>
      <c r="O6023" s="92">
        <v>8571457.0</v>
      </c>
      <c r="P6023" s="92">
        <v>8703416.0</v>
      </c>
      <c r="Q6023" s="89" t="s">
        <v>802</v>
      </c>
      <c r="AF6023" s="1"/>
      <c r="AG6023" s="1"/>
    </row>
    <row r="6024" ht="15.75" customHeight="1">
      <c r="A6024" s="1"/>
      <c r="B6024" s="1"/>
      <c r="C6024" s="1"/>
      <c r="D6024" s="1"/>
      <c r="E6024" s="1"/>
      <c r="F6024" s="1"/>
      <c r="G6024" s="1"/>
      <c r="H6024" s="1"/>
      <c r="I6024" s="1"/>
      <c r="J6024" s="1"/>
      <c r="K6024" s="89" t="s">
        <v>9447</v>
      </c>
      <c r="L6024" s="89" t="str">
        <f>G285</f>
        <v>C2b1a2a</v>
      </c>
      <c r="M6024" s="89"/>
      <c r="N6024" s="89" t="s">
        <v>9448</v>
      </c>
      <c r="O6024" s="92">
        <v>1.4027732E7</v>
      </c>
      <c r="P6024" s="92">
        <v>1.1907026E7</v>
      </c>
      <c r="Q6024" s="89" t="s">
        <v>802</v>
      </c>
      <c r="AF6024" s="1"/>
      <c r="AG6024" s="1"/>
    </row>
    <row r="6025" ht="15.75" customHeight="1">
      <c r="A6025" s="1"/>
      <c r="B6025" s="1"/>
      <c r="C6025" s="1"/>
      <c r="D6025" s="1"/>
      <c r="E6025" s="1"/>
      <c r="F6025" s="1"/>
      <c r="G6025" s="1"/>
      <c r="H6025" s="1"/>
      <c r="I6025" s="1"/>
      <c r="J6025" s="1"/>
      <c r="K6025" s="89" t="s">
        <v>9449</v>
      </c>
      <c r="L6025" s="89" t="str">
        <f>G285</f>
        <v>C2b1a2a</v>
      </c>
      <c r="M6025" s="89"/>
      <c r="N6025" s="89" t="s">
        <v>9450</v>
      </c>
      <c r="O6025" s="92">
        <v>1.9165365E7</v>
      </c>
      <c r="P6025" s="92">
        <v>1.7053485E7</v>
      </c>
      <c r="Q6025" s="89" t="s">
        <v>822</v>
      </c>
      <c r="AF6025" s="1"/>
      <c r="AG6025" s="1"/>
    </row>
    <row r="6026" ht="15.75" customHeight="1">
      <c r="A6026" s="1"/>
      <c r="B6026" s="1"/>
      <c r="C6026" s="1"/>
      <c r="D6026" s="1"/>
      <c r="E6026" s="1"/>
      <c r="F6026" s="1"/>
      <c r="G6026" s="1"/>
      <c r="H6026" s="1"/>
      <c r="I6026" s="1"/>
      <c r="J6026" s="1"/>
      <c r="K6026" s="89" t="s">
        <v>9451</v>
      </c>
      <c r="L6026" s="89" t="str">
        <f>G285</f>
        <v>C2b1a2a</v>
      </c>
      <c r="M6026" s="89"/>
      <c r="N6026" s="89" t="s">
        <v>9452</v>
      </c>
      <c r="O6026" s="92">
        <v>1.7728914E7</v>
      </c>
      <c r="P6026" s="92">
        <v>1.5617034E7</v>
      </c>
      <c r="Q6026" s="89" t="s">
        <v>845</v>
      </c>
      <c r="AF6026" s="1"/>
      <c r="AG6026" s="1"/>
    </row>
    <row r="6027" ht="15.75" customHeight="1">
      <c r="A6027" s="1"/>
      <c r="B6027" s="1"/>
      <c r="C6027" s="1"/>
      <c r="D6027" s="1"/>
      <c r="E6027" s="1"/>
      <c r="F6027" s="1"/>
      <c r="G6027" s="1"/>
      <c r="H6027" s="1"/>
      <c r="I6027" s="1"/>
      <c r="J6027" s="1"/>
      <c r="K6027" s="89" t="s">
        <v>9453</v>
      </c>
      <c r="L6027" s="89" t="str">
        <f>G285</f>
        <v>C2b1a2a</v>
      </c>
      <c r="M6027" s="89"/>
      <c r="N6027" s="89" t="s">
        <v>9454</v>
      </c>
      <c r="O6027" s="92">
        <v>2.2807927E7</v>
      </c>
      <c r="P6027" s="92">
        <v>2.0646041E7</v>
      </c>
      <c r="Q6027" s="89" t="s">
        <v>810</v>
      </c>
      <c r="AF6027" s="1"/>
      <c r="AG6027" s="1"/>
    </row>
    <row r="6028" ht="15.75" customHeight="1">
      <c r="A6028" s="1"/>
      <c r="B6028" s="1"/>
      <c r="C6028" s="1"/>
      <c r="D6028" s="1"/>
      <c r="E6028" s="1"/>
      <c r="F6028" s="1"/>
      <c r="G6028" s="1"/>
      <c r="H6028" s="1"/>
      <c r="I6028" s="1"/>
      <c r="J6028" s="1"/>
      <c r="K6028" s="89" t="s">
        <v>9455</v>
      </c>
      <c r="L6028" s="89" t="str">
        <f>G285</f>
        <v>C2b1a2a</v>
      </c>
      <c r="M6028" s="89"/>
      <c r="N6028" s="89" t="s">
        <v>9456</v>
      </c>
      <c r="O6028" s="89">
        <v>2.3138203E7</v>
      </c>
      <c r="P6028" s="89">
        <v>2.0976317E7</v>
      </c>
      <c r="Q6028" s="89" t="s">
        <v>886</v>
      </c>
      <c r="AF6028" s="1"/>
      <c r="AG6028" s="1"/>
    </row>
    <row r="6029" ht="15.75" customHeight="1">
      <c r="A6029" s="1"/>
      <c r="B6029" s="1"/>
      <c r="C6029" s="1"/>
      <c r="D6029" s="1"/>
      <c r="E6029" s="1"/>
      <c r="F6029" s="1"/>
      <c r="G6029" s="1"/>
      <c r="H6029" s="1"/>
      <c r="I6029" s="1"/>
      <c r="J6029" s="1"/>
      <c r="K6029" s="89" t="s">
        <v>9457</v>
      </c>
      <c r="L6029" s="89" t="str">
        <f>G285</f>
        <v>C2b1a2a</v>
      </c>
      <c r="M6029" s="89"/>
      <c r="N6029" s="89" t="s">
        <v>9458</v>
      </c>
      <c r="O6029" s="89">
        <v>9765914.0</v>
      </c>
      <c r="P6029" s="89">
        <v>9928305.0</v>
      </c>
      <c r="Q6029" s="89" t="s">
        <v>845</v>
      </c>
      <c r="AF6029" s="1"/>
      <c r="AG6029" s="1"/>
    </row>
    <row r="6030" ht="15.75" customHeight="1">
      <c r="A6030" s="1"/>
      <c r="B6030" s="1"/>
      <c r="C6030" s="1"/>
      <c r="D6030" s="1"/>
      <c r="E6030" s="1"/>
      <c r="F6030" s="1"/>
      <c r="G6030" s="1"/>
      <c r="H6030" s="1"/>
      <c r="I6030" s="1"/>
      <c r="J6030" s="1"/>
      <c r="K6030" s="89" t="s">
        <v>9459</v>
      </c>
      <c r="L6030" s="89" t="str">
        <f>G285</f>
        <v>C2b1a2a</v>
      </c>
      <c r="M6030" s="89"/>
      <c r="N6030" s="89" t="s">
        <v>9460</v>
      </c>
      <c r="O6030" s="92">
        <v>2.284615E7</v>
      </c>
      <c r="P6030" s="92">
        <v>2.0684264E7</v>
      </c>
      <c r="Q6030" s="89" t="s">
        <v>838</v>
      </c>
      <c r="AF6030" s="1"/>
      <c r="AG6030" s="1"/>
    </row>
    <row r="6031" ht="15.75" customHeight="1">
      <c r="A6031" s="1"/>
      <c r="B6031" s="1"/>
      <c r="C6031" s="1"/>
      <c r="D6031" s="1"/>
      <c r="E6031" s="1"/>
      <c r="F6031" s="1"/>
      <c r="G6031" s="1"/>
      <c r="H6031" s="1"/>
      <c r="I6031" s="1"/>
      <c r="J6031" s="1"/>
      <c r="K6031" s="89" t="s">
        <v>9461</v>
      </c>
      <c r="L6031" s="89" t="str">
        <f>G285</f>
        <v>C2b1a2a</v>
      </c>
      <c r="M6031" s="89"/>
      <c r="N6031" s="89" t="s">
        <v>9462</v>
      </c>
      <c r="O6031" s="92">
        <v>1.8097147E7</v>
      </c>
      <c r="P6031" s="92">
        <v>1.5985267E7</v>
      </c>
      <c r="Q6031" s="89" t="s">
        <v>810</v>
      </c>
      <c r="AF6031" s="1"/>
      <c r="AG6031" s="1"/>
    </row>
    <row r="6032" ht="15.75" customHeight="1">
      <c r="A6032" s="1"/>
      <c r="B6032" s="1"/>
      <c r="C6032" s="1"/>
      <c r="D6032" s="1"/>
      <c r="E6032" s="1"/>
      <c r="F6032" s="1"/>
      <c r="G6032" s="1"/>
      <c r="H6032" s="1"/>
      <c r="I6032" s="1"/>
      <c r="J6032" s="1"/>
      <c r="K6032" s="89" t="s">
        <v>9463</v>
      </c>
      <c r="L6032" s="89" t="str">
        <f>H286</f>
        <v>C2b1a2a1</v>
      </c>
      <c r="M6032" s="89"/>
      <c r="N6032" s="89" t="s">
        <v>9464</v>
      </c>
      <c r="O6032" s="92">
        <v>1.6262392E7</v>
      </c>
      <c r="P6032" s="92">
        <v>1.4150512E7</v>
      </c>
      <c r="Q6032" s="89" t="s">
        <v>845</v>
      </c>
      <c r="AF6032" s="1"/>
      <c r="AG6032" s="1"/>
    </row>
    <row r="6033" ht="15.75" customHeight="1">
      <c r="A6033" s="1"/>
      <c r="B6033" s="1"/>
      <c r="C6033" s="1"/>
      <c r="D6033" s="1"/>
      <c r="E6033" s="1"/>
      <c r="F6033" s="1"/>
      <c r="G6033" s="1"/>
      <c r="H6033" s="1"/>
      <c r="I6033" s="1"/>
      <c r="J6033" s="1"/>
      <c r="K6033" s="89" t="s">
        <v>9465</v>
      </c>
      <c r="L6033" s="89" t="str">
        <f>H286</f>
        <v>C2b1a2a1</v>
      </c>
      <c r="M6033" s="89" t="s">
        <v>9466</v>
      </c>
      <c r="N6033" s="89" t="s">
        <v>9467</v>
      </c>
      <c r="O6033" s="92">
        <v>1.8666927E7</v>
      </c>
      <c r="P6033" s="92">
        <v>1.6555047E7</v>
      </c>
      <c r="Q6033" s="89" t="s">
        <v>810</v>
      </c>
      <c r="AF6033" s="1"/>
      <c r="AG6033" s="1"/>
    </row>
    <row r="6034" ht="15.75" customHeight="1">
      <c r="A6034" s="1"/>
      <c r="B6034" s="1"/>
      <c r="C6034" s="1"/>
      <c r="D6034" s="1"/>
      <c r="E6034" s="1"/>
      <c r="F6034" s="1"/>
      <c r="G6034" s="1"/>
      <c r="H6034" s="1"/>
      <c r="I6034" s="1"/>
      <c r="J6034" s="1"/>
      <c r="K6034" s="89" t="s">
        <v>9466</v>
      </c>
      <c r="L6034" s="89" t="str">
        <f>H286</f>
        <v>C2b1a2a1</v>
      </c>
      <c r="M6034" s="89" t="s">
        <v>9465</v>
      </c>
      <c r="N6034" s="89" t="s">
        <v>9467</v>
      </c>
      <c r="O6034" s="92">
        <v>1.8666927E7</v>
      </c>
      <c r="P6034" s="92">
        <v>1.6555047E7</v>
      </c>
      <c r="Q6034" s="89" t="s">
        <v>810</v>
      </c>
      <c r="AF6034" s="1"/>
      <c r="AG6034" s="1"/>
    </row>
    <row r="6035" ht="15.75" customHeight="1">
      <c r="A6035" s="1"/>
      <c r="B6035" s="1"/>
      <c r="C6035" s="1"/>
      <c r="D6035" s="1"/>
      <c r="E6035" s="1"/>
      <c r="F6035" s="1"/>
      <c r="G6035" s="1"/>
      <c r="H6035" s="1"/>
      <c r="I6035" s="1"/>
      <c r="J6035" s="1"/>
      <c r="K6035" s="89" t="s">
        <v>9468</v>
      </c>
      <c r="L6035" s="89" t="str">
        <f>I287</f>
        <v>C2b1a2a1a</v>
      </c>
      <c r="M6035" s="89"/>
      <c r="N6035" s="89" t="s">
        <v>9469</v>
      </c>
      <c r="O6035" s="92">
        <v>7800917.0</v>
      </c>
      <c r="P6035" s="92">
        <v>7932876.0</v>
      </c>
      <c r="Q6035" s="89" t="s">
        <v>822</v>
      </c>
      <c r="AF6035" s="1"/>
      <c r="AG6035" s="1"/>
    </row>
    <row r="6036" ht="15.75" customHeight="1">
      <c r="A6036" s="1"/>
      <c r="B6036" s="1"/>
      <c r="C6036" s="1"/>
      <c r="D6036" s="1"/>
      <c r="E6036" s="1"/>
      <c r="F6036" s="1"/>
      <c r="G6036" s="1"/>
      <c r="H6036" s="1"/>
      <c r="I6036" s="1"/>
      <c r="J6036" s="1"/>
      <c r="K6036" s="89" t="s">
        <v>9470</v>
      </c>
      <c r="L6036" s="89" t="str">
        <f>I287</f>
        <v>C2b1a2a1a</v>
      </c>
      <c r="M6036" s="89"/>
      <c r="N6036" s="89"/>
      <c r="O6036" s="92">
        <v>1.3922146E7</v>
      </c>
      <c r="P6036" s="92">
        <v>1.180144E7</v>
      </c>
      <c r="Q6036" s="89" t="s">
        <v>879</v>
      </c>
      <c r="AF6036" s="1"/>
      <c r="AG6036" s="1"/>
    </row>
    <row r="6037" ht="15.75" customHeight="1">
      <c r="A6037" s="1"/>
      <c r="B6037" s="1"/>
      <c r="C6037" s="1"/>
      <c r="D6037" s="1"/>
      <c r="E6037" s="1"/>
      <c r="F6037" s="1"/>
      <c r="G6037" s="1"/>
      <c r="H6037" s="1"/>
      <c r="I6037" s="1"/>
      <c r="J6037" s="1"/>
      <c r="K6037" s="89" t="s">
        <v>9471</v>
      </c>
      <c r="L6037" s="89" t="str">
        <f>J288</f>
        <v>C2b1a2a1a1</v>
      </c>
      <c r="M6037" s="89"/>
      <c r="N6037" s="89" t="s">
        <v>9472</v>
      </c>
      <c r="O6037" s="92">
        <v>8616847.0</v>
      </c>
      <c r="P6037" s="92">
        <v>8748806.0</v>
      </c>
      <c r="Q6037" s="89" t="s">
        <v>912</v>
      </c>
      <c r="AF6037" s="1"/>
      <c r="AG6037" s="1"/>
    </row>
    <row r="6038" ht="15.75" customHeight="1">
      <c r="A6038" s="1"/>
      <c r="B6038" s="1"/>
      <c r="C6038" s="1"/>
      <c r="D6038" s="1"/>
      <c r="E6038" s="1"/>
      <c r="F6038" s="1"/>
      <c r="G6038" s="1"/>
      <c r="H6038" s="1"/>
      <c r="I6038" s="1"/>
      <c r="J6038" s="1"/>
      <c r="K6038" s="89" t="s">
        <v>9473</v>
      </c>
      <c r="L6038" s="89" t="str">
        <f>J288</f>
        <v>C2b1a2a1a1</v>
      </c>
      <c r="M6038" s="89" t="s">
        <v>9474</v>
      </c>
      <c r="N6038" s="89" t="s">
        <v>9475</v>
      </c>
      <c r="O6038" s="92">
        <v>8765851.0</v>
      </c>
      <c r="P6038" s="92">
        <v>8897810.0</v>
      </c>
      <c r="Q6038" s="89" t="s">
        <v>810</v>
      </c>
      <c r="AF6038" s="1"/>
      <c r="AG6038" s="1"/>
    </row>
    <row r="6039" ht="15.75" customHeight="1">
      <c r="A6039" s="1"/>
      <c r="B6039" s="1"/>
      <c r="C6039" s="1"/>
      <c r="D6039" s="1"/>
      <c r="E6039" s="1"/>
      <c r="F6039" s="1"/>
      <c r="G6039" s="1"/>
      <c r="H6039" s="1"/>
      <c r="I6039" s="1"/>
      <c r="J6039" s="1"/>
      <c r="K6039" s="89" t="s">
        <v>9474</v>
      </c>
      <c r="L6039" s="89" t="str">
        <f>J288</f>
        <v>C2b1a2a1a1</v>
      </c>
      <c r="M6039" s="89" t="s">
        <v>9473</v>
      </c>
      <c r="N6039" s="89" t="s">
        <v>9475</v>
      </c>
      <c r="O6039" s="92">
        <v>8765851.0</v>
      </c>
      <c r="P6039" s="92">
        <v>8897810.0</v>
      </c>
      <c r="Q6039" s="89" t="s">
        <v>810</v>
      </c>
      <c r="AF6039" s="1"/>
      <c r="AG6039" s="1"/>
    </row>
    <row r="6040" ht="15.75" customHeight="1">
      <c r="A6040" s="1"/>
      <c r="B6040" s="1"/>
      <c r="C6040" s="1"/>
      <c r="D6040" s="1"/>
      <c r="E6040" s="1"/>
      <c r="F6040" s="1"/>
      <c r="G6040" s="1"/>
      <c r="H6040" s="1"/>
      <c r="I6040" s="1"/>
      <c r="J6040" s="1"/>
      <c r="K6040" s="89" t="s">
        <v>9476</v>
      </c>
      <c r="L6040" s="89" t="str">
        <f t="shared" ref="L6040:L6041" si="71">J288</f>
        <v>C2b1a2a1a1</v>
      </c>
      <c r="M6040" s="89"/>
      <c r="N6040" s="89" t="s">
        <v>9477</v>
      </c>
      <c r="O6040" s="92">
        <v>2.1423003E7</v>
      </c>
      <c r="P6040" s="92">
        <v>1.9261117E7</v>
      </c>
      <c r="Q6040" s="89" t="s">
        <v>917</v>
      </c>
      <c r="AF6040" s="1"/>
      <c r="AG6040" s="1"/>
    </row>
    <row r="6041" ht="15.75" customHeight="1">
      <c r="A6041" s="1"/>
      <c r="B6041" s="1"/>
      <c r="C6041" s="1"/>
      <c r="D6041" s="1"/>
      <c r="E6041" s="1"/>
      <c r="F6041" s="1"/>
      <c r="G6041" s="1"/>
      <c r="H6041" s="1"/>
      <c r="I6041" s="1"/>
      <c r="J6041" s="1"/>
      <c r="K6041" s="89" t="s">
        <v>9478</v>
      </c>
      <c r="L6041" s="89" t="str">
        <f t="shared" si="71"/>
        <v>C2b1a2a1a2~</v>
      </c>
      <c r="M6041" s="89" t="s">
        <v>9479</v>
      </c>
      <c r="N6041" s="89"/>
      <c r="O6041" s="92">
        <v>6895734.0</v>
      </c>
      <c r="P6041" s="92">
        <v>7027693.0</v>
      </c>
      <c r="Q6041" s="93" t="s">
        <v>886</v>
      </c>
      <c r="AF6041" s="1"/>
      <c r="AG6041" s="1"/>
    </row>
    <row r="6042" ht="15.75" customHeight="1">
      <c r="A6042" s="1"/>
      <c r="B6042" s="1"/>
      <c r="C6042" s="1"/>
      <c r="D6042" s="1"/>
      <c r="E6042" s="1"/>
      <c r="F6042" s="1"/>
      <c r="G6042" s="1"/>
      <c r="H6042" s="1"/>
      <c r="I6042" s="1"/>
      <c r="J6042" s="1"/>
      <c r="K6042" s="89" t="s">
        <v>9479</v>
      </c>
      <c r="L6042" s="89" t="str">
        <f>J289</f>
        <v>C2b1a2a1a2~</v>
      </c>
      <c r="M6042" s="89" t="s">
        <v>9478</v>
      </c>
      <c r="N6042" s="89"/>
      <c r="O6042" s="92">
        <v>6895734.0</v>
      </c>
      <c r="P6042" s="92">
        <v>7027693.0</v>
      </c>
      <c r="Q6042" s="93" t="s">
        <v>886</v>
      </c>
      <c r="AF6042" s="1"/>
      <c r="AG6042" s="1"/>
    </row>
    <row r="6043" ht="15.75" customHeight="1">
      <c r="A6043" s="1"/>
      <c r="B6043" s="1"/>
      <c r="C6043" s="1"/>
      <c r="D6043" s="1"/>
      <c r="E6043" s="1"/>
      <c r="F6043" s="1"/>
      <c r="G6043" s="1"/>
      <c r="H6043" s="1"/>
      <c r="I6043" s="1"/>
      <c r="J6043" s="1"/>
      <c r="K6043" s="89" t="s">
        <v>9480</v>
      </c>
      <c r="L6043" s="89" t="str">
        <f>J289</f>
        <v>C2b1a2a1a2~</v>
      </c>
      <c r="M6043" s="89"/>
      <c r="N6043" s="89"/>
      <c r="O6043" s="92">
        <v>2666309.0</v>
      </c>
      <c r="P6043" s="92">
        <v>2798268.0</v>
      </c>
      <c r="Q6043" s="89" t="s">
        <v>822</v>
      </c>
      <c r="AF6043" s="1"/>
      <c r="AG6043" s="1"/>
    </row>
    <row r="6044" ht="15.75" customHeight="1">
      <c r="A6044" s="1"/>
      <c r="B6044" s="1"/>
      <c r="C6044" s="1"/>
      <c r="D6044" s="1"/>
      <c r="E6044" s="1"/>
      <c r="F6044" s="1"/>
      <c r="G6044" s="1"/>
      <c r="H6044" s="1"/>
      <c r="I6044" s="1"/>
      <c r="J6044" s="1"/>
      <c r="K6044" s="89" t="s">
        <v>9481</v>
      </c>
      <c r="L6044" s="89" t="str">
        <f>J289</f>
        <v>C2b1a2a1a2~</v>
      </c>
      <c r="M6044" s="89"/>
      <c r="N6044" s="89"/>
      <c r="O6044" s="92">
        <v>6679771.0</v>
      </c>
      <c r="P6044" s="92">
        <v>6811730.0</v>
      </c>
      <c r="Q6044" s="89" t="s">
        <v>838</v>
      </c>
      <c r="AF6044" s="1"/>
      <c r="AG6044" s="1"/>
    </row>
    <row r="6045" ht="15.75" customHeight="1">
      <c r="A6045" s="1"/>
      <c r="B6045" s="1"/>
      <c r="C6045" s="1"/>
      <c r="D6045" s="1"/>
      <c r="E6045" s="1"/>
      <c r="F6045" s="1"/>
      <c r="G6045" s="1"/>
      <c r="H6045" s="1"/>
      <c r="I6045" s="1"/>
      <c r="J6045" s="1"/>
      <c r="K6045" s="89" t="s">
        <v>9482</v>
      </c>
      <c r="L6045" s="89" t="str">
        <f>J289</f>
        <v>C2b1a2a1a2~</v>
      </c>
      <c r="M6045" s="89"/>
      <c r="N6045" s="89"/>
      <c r="O6045" s="92">
        <v>7741181.0</v>
      </c>
      <c r="P6045" s="92">
        <v>7873140.0</v>
      </c>
      <c r="Q6045" s="89" t="s">
        <v>802</v>
      </c>
      <c r="AF6045" s="1"/>
      <c r="AG6045" s="1"/>
    </row>
    <row r="6046" ht="15.75" customHeight="1">
      <c r="A6046" s="1"/>
      <c r="B6046" s="1"/>
      <c r="C6046" s="1"/>
      <c r="D6046" s="1"/>
      <c r="E6046" s="1"/>
      <c r="F6046" s="1"/>
      <c r="G6046" s="1"/>
      <c r="H6046" s="1"/>
      <c r="I6046" s="1"/>
      <c r="J6046" s="1"/>
      <c r="K6046" s="89" t="s">
        <v>9483</v>
      </c>
      <c r="L6046" s="89" t="str">
        <f>J289</f>
        <v>C2b1a2a1a2~</v>
      </c>
      <c r="M6046" s="89"/>
      <c r="N6046" s="89"/>
      <c r="O6046" s="92">
        <v>7749183.0</v>
      </c>
      <c r="P6046" s="92">
        <v>7881142.0</v>
      </c>
      <c r="Q6046" s="89" t="s">
        <v>879</v>
      </c>
      <c r="AF6046" s="1"/>
      <c r="AG6046" s="1"/>
    </row>
    <row r="6047" ht="15.75" customHeight="1">
      <c r="A6047" s="1"/>
      <c r="B6047" s="1"/>
      <c r="C6047" s="1"/>
      <c r="D6047" s="1"/>
      <c r="E6047" s="1"/>
      <c r="F6047" s="1"/>
      <c r="G6047" s="1"/>
      <c r="H6047" s="1"/>
      <c r="I6047" s="1"/>
      <c r="J6047" s="1"/>
      <c r="K6047" s="89" t="s">
        <v>9484</v>
      </c>
      <c r="L6047" s="89" t="str">
        <f>I290</f>
        <v>C2b1a2a1b~</v>
      </c>
      <c r="M6047" s="89" t="s">
        <v>9485</v>
      </c>
      <c r="N6047" s="89" t="s">
        <v>9486</v>
      </c>
      <c r="O6047" s="92">
        <v>1.7415212E7</v>
      </c>
      <c r="P6047" s="92">
        <v>1.5303332E7</v>
      </c>
      <c r="Q6047" s="89" t="s">
        <v>838</v>
      </c>
      <c r="AF6047" s="1"/>
      <c r="AG6047" s="1"/>
    </row>
    <row r="6048" ht="15.75" customHeight="1">
      <c r="A6048" s="1"/>
      <c r="B6048" s="1"/>
      <c r="C6048" s="1"/>
      <c r="D6048" s="1"/>
      <c r="E6048" s="1"/>
      <c r="F6048" s="1"/>
      <c r="G6048" s="1"/>
      <c r="H6048" s="1"/>
      <c r="I6048" s="1"/>
      <c r="J6048" s="1"/>
      <c r="K6048" s="89" t="s">
        <v>9485</v>
      </c>
      <c r="L6048" s="89" t="str">
        <f>I290</f>
        <v>C2b1a2a1b~</v>
      </c>
      <c r="M6048" s="89" t="s">
        <v>9484</v>
      </c>
      <c r="N6048" s="89" t="s">
        <v>9486</v>
      </c>
      <c r="O6048" s="92">
        <v>1.7415212E7</v>
      </c>
      <c r="P6048" s="92">
        <v>1.5303332E7</v>
      </c>
      <c r="Q6048" s="89" t="s">
        <v>838</v>
      </c>
      <c r="AF6048" s="1"/>
      <c r="AG6048" s="1"/>
    </row>
    <row r="6049" ht="15.75" customHeight="1">
      <c r="A6049" s="1"/>
      <c r="B6049" s="1"/>
      <c r="C6049" s="1"/>
      <c r="D6049" s="1"/>
      <c r="E6049" s="1"/>
      <c r="F6049" s="1"/>
      <c r="G6049" s="1"/>
      <c r="H6049" s="1"/>
      <c r="I6049" s="1"/>
      <c r="J6049" s="1"/>
      <c r="K6049" s="89" t="s">
        <v>9487</v>
      </c>
      <c r="L6049" s="89" t="str">
        <f>I290</f>
        <v>C2b1a2a1b~</v>
      </c>
      <c r="M6049" s="89"/>
      <c r="N6049" s="89" t="s">
        <v>9488</v>
      </c>
      <c r="O6049" s="92">
        <v>8710683.0</v>
      </c>
      <c r="P6049" s="92">
        <v>8842642.0</v>
      </c>
      <c r="Q6049" s="89" t="s">
        <v>802</v>
      </c>
      <c r="AF6049" s="1"/>
      <c r="AG6049" s="1"/>
    </row>
    <row r="6050" ht="15.75" customHeight="1">
      <c r="A6050" s="1"/>
      <c r="B6050" s="1"/>
      <c r="C6050" s="1"/>
      <c r="D6050" s="1"/>
      <c r="E6050" s="1"/>
      <c r="F6050" s="1"/>
      <c r="G6050" s="1"/>
      <c r="H6050" s="1"/>
      <c r="I6050" s="1"/>
      <c r="J6050" s="1"/>
      <c r="K6050" s="89" t="s">
        <v>9489</v>
      </c>
      <c r="L6050" s="89" t="str">
        <f>I290</f>
        <v>C2b1a2a1b~</v>
      </c>
      <c r="M6050" s="89"/>
      <c r="N6050" s="89" t="s">
        <v>9490</v>
      </c>
      <c r="O6050" s="89">
        <v>6815848.0</v>
      </c>
      <c r="P6050" s="89">
        <v>6947807.0</v>
      </c>
      <c r="Q6050" s="89" t="s">
        <v>845</v>
      </c>
      <c r="AF6050" s="1"/>
      <c r="AG6050" s="1"/>
    </row>
    <row r="6051" ht="15.75" customHeight="1">
      <c r="A6051" s="1"/>
      <c r="B6051" s="1"/>
      <c r="C6051" s="1"/>
      <c r="D6051" s="1"/>
      <c r="E6051" s="1"/>
      <c r="F6051" s="1"/>
      <c r="G6051" s="1"/>
      <c r="H6051" s="1"/>
      <c r="I6051" s="1"/>
      <c r="J6051" s="1"/>
      <c r="K6051" s="89" t="s">
        <v>9491</v>
      </c>
      <c r="L6051" s="89" t="str">
        <f>I290</f>
        <v>C2b1a2a1b~</v>
      </c>
      <c r="M6051" s="89"/>
      <c r="N6051" s="89" t="s">
        <v>9492</v>
      </c>
      <c r="O6051" s="89">
        <v>6909517.0</v>
      </c>
      <c r="P6051" s="89">
        <v>7041476.0</v>
      </c>
      <c r="Q6051" s="89" t="s">
        <v>845</v>
      </c>
      <c r="AF6051" s="1"/>
      <c r="AG6051" s="1"/>
    </row>
    <row r="6052" ht="15.75" customHeight="1">
      <c r="A6052" s="1"/>
      <c r="B6052" s="1"/>
      <c r="C6052" s="1"/>
      <c r="D6052" s="1"/>
      <c r="E6052" s="1"/>
      <c r="F6052" s="1"/>
      <c r="G6052" s="1"/>
      <c r="H6052" s="1"/>
      <c r="I6052" s="1"/>
      <c r="J6052" s="1"/>
      <c r="K6052" s="89" t="s">
        <v>9493</v>
      </c>
      <c r="L6052" s="89" t="str">
        <f>I290</f>
        <v>C2b1a2a1b~</v>
      </c>
      <c r="M6052" s="89"/>
      <c r="N6052" s="89"/>
      <c r="O6052" s="89">
        <v>7029242.0</v>
      </c>
      <c r="P6052" s="89">
        <v>7161201.0</v>
      </c>
      <c r="Q6052" s="89" t="s">
        <v>822</v>
      </c>
      <c r="AF6052" s="1"/>
      <c r="AG6052" s="1"/>
    </row>
    <row r="6053" ht="15.75" customHeight="1">
      <c r="A6053" s="1"/>
      <c r="B6053" s="1"/>
      <c r="C6053" s="1"/>
      <c r="D6053" s="1"/>
      <c r="E6053" s="1"/>
      <c r="F6053" s="1"/>
      <c r="G6053" s="1"/>
      <c r="H6053" s="1"/>
      <c r="I6053" s="1"/>
      <c r="J6053" s="1"/>
      <c r="K6053" s="89" t="s">
        <v>9494</v>
      </c>
      <c r="L6053" s="89" t="str">
        <f>H291</f>
        <v>C2b1a2a2</v>
      </c>
      <c r="M6053" s="89" t="s">
        <v>9495</v>
      </c>
      <c r="N6053" s="89" t="s">
        <v>9496</v>
      </c>
      <c r="O6053" s="92">
        <v>8185543.0</v>
      </c>
      <c r="P6053" s="92">
        <v>8317502.0</v>
      </c>
      <c r="Q6053" s="89" t="s">
        <v>802</v>
      </c>
      <c r="AF6053" s="1"/>
      <c r="AG6053" s="1"/>
    </row>
    <row r="6054" ht="15.75" customHeight="1">
      <c r="A6054" s="1"/>
      <c r="B6054" s="1"/>
      <c r="C6054" s="1"/>
      <c r="D6054" s="1"/>
      <c r="E6054" s="1"/>
      <c r="F6054" s="1"/>
      <c r="G6054" s="1"/>
      <c r="H6054" s="1"/>
      <c r="I6054" s="1"/>
      <c r="J6054" s="1"/>
      <c r="K6054" s="89" t="s">
        <v>9495</v>
      </c>
      <c r="L6054" s="89" t="str">
        <f>H291</f>
        <v>C2b1a2a2</v>
      </c>
      <c r="M6054" s="89" t="s">
        <v>9494</v>
      </c>
      <c r="N6054" s="89" t="s">
        <v>9496</v>
      </c>
      <c r="O6054" s="92">
        <v>8185543.0</v>
      </c>
      <c r="P6054" s="92">
        <v>8317502.0</v>
      </c>
      <c r="Q6054" s="89" t="s">
        <v>802</v>
      </c>
      <c r="AF6054" s="1"/>
      <c r="AG6054" s="1"/>
    </row>
    <row r="6055" ht="15.75" customHeight="1">
      <c r="A6055" s="1"/>
      <c r="B6055" s="1"/>
      <c r="C6055" s="1"/>
      <c r="D6055" s="1"/>
      <c r="E6055" s="1"/>
      <c r="F6055" s="1"/>
      <c r="G6055" s="1"/>
      <c r="H6055" s="1"/>
      <c r="I6055" s="1"/>
      <c r="J6055" s="1"/>
      <c r="K6055" s="89" t="s">
        <v>9497</v>
      </c>
      <c r="L6055" s="89" t="str">
        <f>H291</f>
        <v>C2b1a2a2</v>
      </c>
      <c r="M6055" s="89"/>
      <c r="N6055" s="89" t="s">
        <v>9498</v>
      </c>
      <c r="O6055" s="89">
        <v>7009456.0</v>
      </c>
      <c r="P6055" s="89">
        <v>7141415.0</v>
      </c>
      <c r="Q6055" s="89" t="s">
        <v>810</v>
      </c>
      <c r="AF6055" s="1"/>
      <c r="AG6055" s="1"/>
    </row>
    <row r="6056" ht="15.75" customHeight="1">
      <c r="A6056" s="1"/>
      <c r="B6056" s="1"/>
      <c r="C6056" s="1"/>
      <c r="D6056" s="1"/>
      <c r="E6056" s="1"/>
      <c r="F6056" s="1"/>
      <c r="G6056" s="1"/>
      <c r="H6056" s="1"/>
      <c r="I6056" s="1"/>
      <c r="J6056" s="1"/>
      <c r="K6056" s="89" t="s">
        <v>9499</v>
      </c>
      <c r="L6056" s="89" t="str">
        <f>H291</f>
        <v>C2b1a2a2</v>
      </c>
      <c r="M6056" s="89"/>
      <c r="N6056" s="89" t="s">
        <v>9500</v>
      </c>
      <c r="O6056" s="92">
        <v>7693334.0</v>
      </c>
      <c r="P6056" s="92">
        <v>7825293.0</v>
      </c>
      <c r="Q6056" s="89" t="s">
        <v>813</v>
      </c>
      <c r="AF6056" s="1"/>
      <c r="AG6056" s="1"/>
    </row>
    <row r="6057" ht="15.75" customHeight="1">
      <c r="A6057" s="1"/>
      <c r="B6057" s="1"/>
      <c r="C6057" s="1"/>
      <c r="D6057" s="1"/>
      <c r="E6057" s="1"/>
      <c r="F6057" s="1"/>
      <c r="G6057" s="1"/>
      <c r="H6057" s="1"/>
      <c r="I6057" s="1"/>
      <c r="J6057" s="1"/>
      <c r="K6057" s="89" t="s">
        <v>9501</v>
      </c>
      <c r="L6057" s="89" t="str">
        <f>H291</f>
        <v>C2b1a2a2</v>
      </c>
      <c r="M6057" s="89"/>
      <c r="N6057" s="89" t="s">
        <v>9502</v>
      </c>
      <c r="O6057" s="92">
        <v>1.4754256E7</v>
      </c>
      <c r="P6057" s="92">
        <v>1.2642325E7</v>
      </c>
      <c r="Q6057" s="89" t="s">
        <v>838</v>
      </c>
      <c r="AF6057" s="1"/>
      <c r="AG6057" s="1"/>
    </row>
    <row r="6058" ht="15.75" customHeight="1">
      <c r="A6058" s="1"/>
      <c r="B6058" s="1"/>
      <c r="C6058" s="1"/>
      <c r="D6058" s="1"/>
      <c r="E6058" s="1"/>
      <c r="F6058" s="1"/>
      <c r="G6058" s="1"/>
      <c r="H6058" s="1"/>
      <c r="I6058" s="1"/>
      <c r="J6058" s="1"/>
      <c r="K6058" s="89" t="s">
        <v>9503</v>
      </c>
      <c r="L6058" s="89" t="str">
        <f>H291</f>
        <v>C2b1a2a2</v>
      </c>
      <c r="M6058" s="89"/>
      <c r="N6058" s="89" t="s">
        <v>9504</v>
      </c>
      <c r="O6058" s="92">
        <v>1.5387471E7</v>
      </c>
      <c r="P6058" s="92">
        <v>1.3275591E7</v>
      </c>
      <c r="Q6058" s="89" t="s">
        <v>810</v>
      </c>
      <c r="AF6058" s="1"/>
      <c r="AG6058" s="1"/>
    </row>
    <row r="6059" ht="15.75" customHeight="1">
      <c r="A6059" s="1"/>
      <c r="B6059" s="1"/>
      <c r="C6059" s="1"/>
      <c r="D6059" s="1"/>
      <c r="E6059" s="1"/>
      <c r="F6059" s="1"/>
      <c r="G6059" s="1"/>
      <c r="H6059" s="1"/>
      <c r="I6059" s="1"/>
      <c r="J6059" s="1"/>
      <c r="K6059" s="89" t="s">
        <v>9505</v>
      </c>
      <c r="L6059" s="89" t="str">
        <f>H291</f>
        <v>C2b1a2a2</v>
      </c>
      <c r="M6059" s="89"/>
      <c r="N6059" s="89" t="s">
        <v>9506</v>
      </c>
      <c r="O6059" s="92">
        <v>1.7510109E7</v>
      </c>
      <c r="P6059" s="92">
        <v>1.5398229E7</v>
      </c>
      <c r="Q6059" s="89" t="s">
        <v>912</v>
      </c>
      <c r="AF6059" s="1"/>
      <c r="AG6059" s="1"/>
    </row>
    <row r="6060" ht="15.75" customHeight="1">
      <c r="A6060" s="1"/>
      <c r="B6060" s="1"/>
      <c r="C6060" s="1"/>
      <c r="D6060" s="1"/>
      <c r="E6060" s="1"/>
      <c r="F6060" s="1"/>
      <c r="G6060" s="1"/>
      <c r="H6060" s="1"/>
      <c r="I6060" s="1"/>
      <c r="J6060" s="1"/>
      <c r="K6060" s="89" t="s">
        <v>9507</v>
      </c>
      <c r="L6060" s="89" t="str">
        <f>H291</f>
        <v>C2b1a2a2</v>
      </c>
      <c r="M6060" s="89"/>
      <c r="N6060" s="89" t="s">
        <v>9508</v>
      </c>
      <c r="O6060" s="92">
        <v>2.1945561E7</v>
      </c>
      <c r="P6060" s="92">
        <v>1.9783675E7</v>
      </c>
      <c r="Q6060" s="89" t="s">
        <v>879</v>
      </c>
      <c r="AF6060" s="1"/>
      <c r="AG6060" s="1"/>
    </row>
    <row r="6061" ht="15.75" customHeight="1">
      <c r="A6061" s="1"/>
      <c r="B6061" s="1"/>
      <c r="C6061" s="1"/>
      <c r="D6061" s="1"/>
      <c r="E6061" s="1"/>
      <c r="F6061" s="1"/>
      <c r="G6061" s="1"/>
      <c r="H6061" s="1"/>
      <c r="I6061" s="1"/>
      <c r="J6061" s="1"/>
      <c r="K6061" s="89" t="s">
        <v>9509</v>
      </c>
      <c r="L6061" s="89" t="str">
        <f>I292</f>
        <v>C2b1a2a2a~</v>
      </c>
      <c r="M6061" s="89" t="s">
        <v>9510</v>
      </c>
      <c r="N6061" s="89" t="s">
        <v>9511</v>
      </c>
      <c r="O6061" s="89">
        <v>6777643.0</v>
      </c>
      <c r="P6061" s="89">
        <v>6909602.0</v>
      </c>
      <c r="Q6061" s="89" t="s">
        <v>822</v>
      </c>
      <c r="AF6061" s="1"/>
      <c r="AG6061" s="1"/>
    </row>
    <row r="6062" ht="15.75" customHeight="1">
      <c r="A6062" s="1"/>
      <c r="B6062" s="1"/>
      <c r="C6062" s="1"/>
      <c r="D6062" s="1"/>
      <c r="E6062" s="1"/>
      <c r="F6062" s="1"/>
      <c r="G6062" s="1"/>
      <c r="H6062" s="1"/>
      <c r="I6062" s="1"/>
      <c r="J6062" s="1"/>
      <c r="K6062" s="89" t="s">
        <v>9510</v>
      </c>
      <c r="L6062" s="89" t="str">
        <f>I292</f>
        <v>C2b1a2a2a~</v>
      </c>
      <c r="M6062" s="89" t="s">
        <v>9509</v>
      </c>
      <c r="N6062" s="89" t="s">
        <v>9511</v>
      </c>
      <c r="O6062" s="89">
        <v>6777643.0</v>
      </c>
      <c r="P6062" s="89">
        <v>6909602.0</v>
      </c>
      <c r="Q6062" s="89" t="s">
        <v>822</v>
      </c>
      <c r="AF6062" s="1"/>
      <c r="AG6062" s="1"/>
    </row>
    <row r="6063" ht="15.75" customHeight="1">
      <c r="A6063" s="1"/>
      <c r="B6063" s="1"/>
      <c r="C6063" s="1"/>
      <c r="D6063" s="1"/>
      <c r="E6063" s="1"/>
      <c r="F6063" s="1"/>
      <c r="G6063" s="1"/>
      <c r="H6063" s="1"/>
      <c r="I6063" s="1"/>
      <c r="J6063" s="1"/>
      <c r="K6063" s="89" t="s">
        <v>9512</v>
      </c>
      <c r="L6063" s="89" t="str">
        <f>I292</f>
        <v>C2b1a2a2a~</v>
      </c>
      <c r="M6063" s="89"/>
      <c r="N6063" s="89"/>
      <c r="O6063" s="89">
        <v>2692016.0</v>
      </c>
      <c r="P6063" s="89">
        <v>2823975.0</v>
      </c>
      <c r="Q6063" s="89" t="s">
        <v>802</v>
      </c>
      <c r="AF6063" s="1"/>
      <c r="AG6063" s="1"/>
    </row>
    <row r="6064" ht="15.75" customHeight="1">
      <c r="A6064" s="1"/>
      <c r="B6064" s="1"/>
      <c r="C6064" s="1"/>
      <c r="D6064" s="1"/>
      <c r="E6064" s="1"/>
      <c r="F6064" s="1"/>
      <c r="G6064" s="1"/>
      <c r="H6064" s="1"/>
      <c r="I6064" s="1"/>
      <c r="J6064" s="1"/>
      <c r="K6064" s="89" t="s">
        <v>9513</v>
      </c>
      <c r="L6064" s="89" t="str">
        <f>I292</f>
        <v>C2b1a2a2a~</v>
      </c>
      <c r="M6064" s="89"/>
      <c r="N6064" s="89"/>
      <c r="O6064" s="89">
        <v>2774405.0</v>
      </c>
      <c r="P6064" s="89">
        <v>2906364.0</v>
      </c>
      <c r="Q6064" s="89" t="s">
        <v>802</v>
      </c>
      <c r="AF6064" s="1"/>
      <c r="AG6064" s="1"/>
    </row>
    <row r="6065" ht="15.75" customHeight="1">
      <c r="A6065" s="1"/>
      <c r="B6065" s="1"/>
      <c r="C6065" s="1"/>
      <c r="D6065" s="1"/>
      <c r="E6065" s="1"/>
      <c r="F6065" s="1"/>
      <c r="G6065" s="1"/>
      <c r="H6065" s="1"/>
      <c r="I6065" s="1"/>
      <c r="J6065" s="1"/>
      <c r="K6065" s="89" t="s">
        <v>9514</v>
      </c>
      <c r="L6065" s="89" t="str">
        <f t="shared" ref="L6065:L6066" si="72">I292</f>
        <v>C2b1a2a2a~</v>
      </c>
      <c r="M6065" s="89"/>
      <c r="N6065" s="89"/>
      <c r="O6065" s="89">
        <v>8287067.0</v>
      </c>
      <c r="P6065" s="89">
        <v>8419026.0</v>
      </c>
      <c r="Q6065" s="89" t="s">
        <v>912</v>
      </c>
      <c r="AF6065" s="1"/>
      <c r="AG6065" s="1"/>
    </row>
    <row r="6066" ht="15.75" customHeight="1">
      <c r="A6066" s="1"/>
      <c r="B6066" s="1"/>
      <c r="C6066" s="1"/>
      <c r="D6066" s="1"/>
      <c r="E6066" s="1"/>
      <c r="F6066" s="1"/>
      <c r="G6066" s="1"/>
      <c r="H6066" s="1"/>
      <c r="I6066" s="1"/>
      <c r="J6066" s="1"/>
      <c r="K6066" s="89" t="s">
        <v>9515</v>
      </c>
      <c r="L6066" s="89" t="str">
        <f t="shared" si="72"/>
        <v>C2b1a2a2b</v>
      </c>
      <c r="M6066" s="89"/>
      <c r="N6066" s="89"/>
      <c r="O6066" s="92">
        <v>2.3806749E7</v>
      </c>
      <c r="P6066" s="92">
        <v>2.1644863E7</v>
      </c>
      <c r="Q6066" s="89" t="s">
        <v>886</v>
      </c>
      <c r="AF6066" s="1"/>
      <c r="AG6066" s="1"/>
    </row>
    <row r="6067" ht="15.75" customHeight="1">
      <c r="A6067" s="1"/>
      <c r="B6067" s="1"/>
      <c r="C6067" s="1"/>
      <c r="D6067" s="1"/>
      <c r="E6067" s="1"/>
      <c r="F6067" s="1"/>
      <c r="G6067" s="1"/>
      <c r="H6067" s="1"/>
      <c r="I6067" s="1"/>
      <c r="J6067" s="1"/>
      <c r="K6067" s="95" t="s">
        <v>9516</v>
      </c>
      <c r="L6067" s="89" t="str">
        <f>I293</f>
        <v>C2b1a2a2b</v>
      </c>
      <c r="M6067" s="89"/>
      <c r="N6067" s="89"/>
      <c r="O6067" s="106">
        <v>7556679.0</v>
      </c>
      <c r="P6067" s="110">
        <v>7688638.0</v>
      </c>
      <c r="Q6067" s="93" t="s">
        <v>810</v>
      </c>
      <c r="AF6067" s="1"/>
      <c r="AG6067" s="1"/>
    </row>
    <row r="6068" ht="15.75" customHeight="1">
      <c r="A6068" s="1"/>
      <c r="B6068" s="1"/>
      <c r="C6068" s="1"/>
      <c r="D6068" s="1"/>
      <c r="E6068" s="1"/>
      <c r="F6068" s="1"/>
      <c r="G6068" s="1"/>
      <c r="H6068" s="1"/>
      <c r="I6068" s="1"/>
      <c r="J6068" s="1"/>
      <c r="K6068" s="95" t="s">
        <v>9517</v>
      </c>
      <c r="L6068" s="89" t="str">
        <f>I293</f>
        <v>C2b1a2a2b</v>
      </c>
      <c r="M6068" s="89"/>
      <c r="N6068" s="89"/>
      <c r="O6068" s="106">
        <v>1.4284935E7</v>
      </c>
      <c r="P6068" s="110">
        <v>1.2164229E7</v>
      </c>
      <c r="Q6068" s="93" t="s">
        <v>810</v>
      </c>
      <c r="AF6068" s="1"/>
      <c r="AG6068" s="1"/>
    </row>
    <row r="6069" ht="15.75" customHeight="1">
      <c r="A6069" s="1"/>
      <c r="B6069" s="1"/>
      <c r="C6069" s="1"/>
      <c r="D6069" s="1"/>
      <c r="E6069" s="1"/>
      <c r="F6069" s="1"/>
      <c r="G6069" s="1"/>
      <c r="H6069" s="1"/>
      <c r="I6069" s="1"/>
      <c r="J6069" s="1"/>
      <c r="K6069" s="95" t="s">
        <v>9518</v>
      </c>
      <c r="L6069" s="89" t="str">
        <f>I293</f>
        <v>C2b1a2a2b</v>
      </c>
      <c r="M6069" s="89"/>
      <c r="N6069" s="89"/>
      <c r="O6069" s="106">
        <v>1.7237537E7</v>
      </c>
      <c r="P6069" s="110">
        <v>1.5125657E7</v>
      </c>
      <c r="Q6069" s="93" t="s">
        <v>822</v>
      </c>
      <c r="AF6069" s="1"/>
      <c r="AG6069" s="1"/>
    </row>
    <row r="6070" ht="15.75" customHeight="1">
      <c r="A6070" s="1"/>
      <c r="B6070" s="1"/>
      <c r="C6070" s="1"/>
      <c r="D6070" s="1"/>
      <c r="E6070" s="1"/>
      <c r="F6070" s="1"/>
      <c r="G6070" s="1"/>
      <c r="H6070" s="1"/>
      <c r="I6070" s="1"/>
      <c r="J6070" s="1"/>
      <c r="K6070" s="95" t="s">
        <v>9519</v>
      </c>
      <c r="L6070" s="89" t="str">
        <f>I293</f>
        <v>C2b1a2a2b</v>
      </c>
      <c r="M6070" s="93" t="s">
        <v>9520</v>
      </c>
      <c r="N6070" s="89"/>
      <c r="O6070" s="106">
        <v>1.8881281E7</v>
      </c>
      <c r="P6070" s="110">
        <v>1.6769401E7</v>
      </c>
      <c r="Q6070" s="93" t="s">
        <v>810</v>
      </c>
      <c r="AF6070" s="1"/>
      <c r="AG6070" s="1"/>
    </row>
    <row r="6071" ht="15.75" customHeight="1">
      <c r="A6071" s="1"/>
      <c r="B6071" s="1"/>
      <c r="C6071" s="1"/>
      <c r="D6071" s="1"/>
      <c r="E6071" s="1"/>
      <c r="F6071" s="1"/>
      <c r="G6071" s="1"/>
      <c r="H6071" s="1"/>
      <c r="I6071" s="1"/>
      <c r="J6071" s="1"/>
      <c r="K6071" s="95" t="s">
        <v>9520</v>
      </c>
      <c r="L6071" s="89" t="str">
        <f>I293</f>
        <v>C2b1a2a2b</v>
      </c>
      <c r="M6071" s="93" t="s">
        <v>9519</v>
      </c>
      <c r="N6071" s="89"/>
      <c r="O6071" s="106">
        <v>1.8881281E7</v>
      </c>
      <c r="P6071" s="110">
        <v>1.6769401E7</v>
      </c>
      <c r="Q6071" s="93" t="s">
        <v>810</v>
      </c>
      <c r="AF6071" s="1"/>
      <c r="AG6071" s="1"/>
    </row>
    <row r="6072" ht="15.75" customHeight="1">
      <c r="A6072" s="1"/>
      <c r="B6072" s="1"/>
      <c r="C6072" s="1"/>
      <c r="D6072" s="1"/>
      <c r="E6072" s="1"/>
      <c r="F6072" s="1"/>
      <c r="G6072" s="1"/>
      <c r="H6072" s="1"/>
      <c r="I6072" s="1"/>
      <c r="J6072" s="1"/>
      <c r="K6072" s="95" t="s">
        <v>9521</v>
      </c>
      <c r="L6072" s="89" t="str">
        <f>I293</f>
        <v>C2b1a2a2b</v>
      </c>
      <c r="M6072" s="89"/>
      <c r="N6072" s="89"/>
      <c r="O6072" s="98">
        <v>1.9087612E7</v>
      </c>
      <c r="P6072" s="110">
        <v>1.6975732E7</v>
      </c>
      <c r="Q6072" s="93" t="s">
        <v>822</v>
      </c>
      <c r="AF6072" s="1"/>
      <c r="AG6072" s="1"/>
    </row>
    <row r="6073" ht="15.75" customHeight="1">
      <c r="A6073" s="1"/>
      <c r="B6073" s="1"/>
      <c r="C6073" s="1"/>
      <c r="D6073" s="1"/>
      <c r="E6073" s="1"/>
      <c r="F6073" s="1"/>
      <c r="G6073" s="1"/>
      <c r="H6073" s="1"/>
      <c r="I6073" s="1"/>
      <c r="J6073" s="1"/>
      <c r="K6073" s="95" t="s">
        <v>9522</v>
      </c>
      <c r="L6073" s="89" t="str">
        <f>I293</f>
        <v>C2b1a2a2b</v>
      </c>
      <c r="M6073" s="89"/>
      <c r="N6073" s="89"/>
      <c r="O6073" s="98">
        <v>2.1034336E7</v>
      </c>
      <c r="P6073" s="110">
        <v>1.887245E7</v>
      </c>
      <c r="Q6073" s="93" t="s">
        <v>810</v>
      </c>
      <c r="AF6073" s="1"/>
      <c r="AG6073" s="1"/>
    </row>
    <row r="6074" ht="15.75" customHeight="1">
      <c r="A6074" s="1"/>
      <c r="B6074" s="1"/>
      <c r="C6074" s="1"/>
      <c r="D6074" s="1"/>
      <c r="E6074" s="1"/>
      <c r="F6074" s="1"/>
      <c r="G6074" s="1"/>
      <c r="H6074" s="1"/>
      <c r="I6074" s="1"/>
      <c r="J6074" s="1"/>
      <c r="K6074" s="95" t="s">
        <v>9523</v>
      </c>
      <c r="L6074" s="89" t="str">
        <f t="shared" ref="L6074:L6075" si="73">I293</f>
        <v>C2b1a2a2b</v>
      </c>
      <c r="M6074" s="89"/>
      <c r="N6074" s="89"/>
      <c r="O6074" s="98">
        <v>2.2891103E7</v>
      </c>
      <c r="P6074" s="110">
        <v>2.0729217E7</v>
      </c>
      <c r="Q6074" s="93" t="s">
        <v>831</v>
      </c>
      <c r="AF6074" s="1"/>
      <c r="AG6074" s="1"/>
    </row>
    <row r="6075" ht="15.75" customHeight="1">
      <c r="A6075" s="1"/>
      <c r="B6075" s="1"/>
      <c r="C6075" s="1"/>
      <c r="D6075" s="1"/>
      <c r="E6075" s="1"/>
      <c r="F6075" s="1"/>
      <c r="G6075" s="1"/>
      <c r="H6075" s="1"/>
      <c r="I6075" s="1"/>
      <c r="J6075" s="1"/>
      <c r="K6075" s="95" t="s">
        <v>9524</v>
      </c>
      <c r="L6075" s="89" t="str">
        <f t="shared" si="73"/>
        <v>C2b1a2a2b~</v>
      </c>
      <c r="M6075" s="89"/>
      <c r="N6075" s="89"/>
      <c r="O6075" s="98">
        <v>1.7269743E7</v>
      </c>
      <c r="P6075" s="97">
        <v>1.5157863E7</v>
      </c>
      <c r="Q6075" s="93" t="s">
        <v>810</v>
      </c>
      <c r="AF6075" s="1"/>
      <c r="AG6075" s="1"/>
    </row>
    <row r="6076" ht="15.75" customHeight="1">
      <c r="A6076" s="1"/>
      <c r="B6076" s="1"/>
      <c r="C6076" s="1"/>
      <c r="D6076" s="1"/>
      <c r="E6076" s="1"/>
      <c r="F6076" s="1"/>
      <c r="G6076" s="1"/>
      <c r="H6076" s="1"/>
      <c r="I6076" s="1"/>
      <c r="J6076" s="1"/>
      <c r="K6076" s="95" t="s">
        <v>9525</v>
      </c>
      <c r="L6076" s="89" t="str">
        <f>I294</f>
        <v>C2b1a2a2b~</v>
      </c>
      <c r="M6076" s="89"/>
      <c r="N6076" s="89"/>
      <c r="O6076" s="98">
        <v>2.8495857E7</v>
      </c>
      <c r="P6076" s="97">
        <v>2.634971E7</v>
      </c>
      <c r="Q6076" s="93" t="s">
        <v>917</v>
      </c>
      <c r="AF6076" s="1"/>
      <c r="AG6076" s="1"/>
    </row>
    <row r="6077" ht="15.75" customHeight="1">
      <c r="A6077" s="1"/>
      <c r="B6077" s="1"/>
      <c r="C6077" s="1"/>
      <c r="D6077" s="1"/>
      <c r="E6077" s="1"/>
      <c r="F6077" s="1"/>
      <c r="G6077" s="1"/>
      <c r="H6077" s="1"/>
      <c r="I6077" s="1"/>
      <c r="J6077" s="1"/>
      <c r="K6077" s="95" t="s">
        <v>9526</v>
      </c>
      <c r="L6077" s="89" t="str">
        <f>J295</f>
        <v>C2b1a2a2b1~</v>
      </c>
      <c r="M6077" s="89"/>
      <c r="N6077" s="89"/>
      <c r="O6077" s="106">
        <v>8116849.0</v>
      </c>
      <c r="P6077" s="106">
        <v>8248808.0</v>
      </c>
      <c r="Q6077" s="93" t="s">
        <v>802</v>
      </c>
      <c r="AF6077" s="1"/>
      <c r="AG6077" s="1"/>
    </row>
    <row r="6078" ht="15.75" customHeight="1">
      <c r="A6078" s="1"/>
      <c r="B6078" s="1"/>
      <c r="C6078" s="1"/>
      <c r="D6078" s="1"/>
      <c r="E6078" s="1"/>
      <c r="F6078" s="1"/>
      <c r="G6078" s="1"/>
      <c r="H6078" s="1"/>
      <c r="I6078" s="1"/>
      <c r="J6078" s="1"/>
      <c r="K6078" s="95" t="s">
        <v>9527</v>
      </c>
      <c r="L6078" s="89" t="str">
        <f>J295</f>
        <v>C2b1a2a2b1~</v>
      </c>
      <c r="M6078" s="89"/>
      <c r="N6078" s="89"/>
      <c r="O6078" s="106">
        <v>9790902.0</v>
      </c>
      <c r="P6078" s="106">
        <v>9953293.0</v>
      </c>
      <c r="Q6078" s="93" t="s">
        <v>845</v>
      </c>
      <c r="AF6078" s="1"/>
      <c r="AG6078" s="1"/>
    </row>
    <row r="6079" ht="15.75" customHeight="1">
      <c r="A6079" s="1"/>
      <c r="B6079" s="1"/>
      <c r="C6079" s="1"/>
      <c r="D6079" s="1"/>
      <c r="E6079" s="1"/>
      <c r="F6079" s="1"/>
      <c r="G6079" s="1"/>
      <c r="H6079" s="1"/>
      <c r="I6079" s="1"/>
      <c r="J6079" s="1"/>
      <c r="K6079" s="95" t="s">
        <v>9528</v>
      </c>
      <c r="L6079" s="89" t="str">
        <f>J295</f>
        <v>C2b1a2a2b1~</v>
      </c>
      <c r="M6079" s="89"/>
      <c r="N6079" s="89"/>
      <c r="O6079" s="106">
        <v>9972180.0</v>
      </c>
      <c r="P6079" s="106">
        <v>1.0134571E7</v>
      </c>
      <c r="Q6079" s="93" t="s">
        <v>864</v>
      </c>
      <c r="AF6079" s="1"/>
      <c r="AG6079" s="1"/>
    </row>
    <row r="6080" ht="15.75" customHeight="1">
      <c r="A6080" s="1"/>
      <c r="B6080" s="1"/>
      <c r="C6080" s="1"/>
      <c r="D6080" s="1"/>
      <c r="E6080" s="1"/>
      <c r="F6080" s="1"/>
      <c r="G6080" s="1"/>
      <c r="H6080" s="1"/>
      <c r="I6080" s="1"/>
      <c r="J6080" s="1"/>
      <c r="K6080" s="95" t="s">
        <v>9529</v>
      </c>
      <c r="L6080" s="89" t="str">
        <f>J295</f>
        <v>C2b1a2a2b1~</v>
      </c>
      <c r="M6080" s="89"/>
      <c r="N6080" s="89"/>
      <c r="O6080" s="106">
        <v>1.4915981E7</v>
      </c>
      <c r="P6080" s="106">
        <v>1.2804048E7</v>
      </c>
      <c r="Q6080" s="93" t="s">
        <v>838</v>
      </c>
      <c r="AF6080" s="1"/>
      <c r="AG6080" s="1"/>
    </row>
    <row r="6081" ht="15.75" customHeight="1">
      <c r="A6081" s="1"/>
      <c r="B6081" s="1"/>
      <c r="C6081" s="1"/>
      <c r="D6081" s="1"/>
      <c r="E6081" s="1"/>
      <c r="F6081" s="1"/>
      <c r="G6081" s="1"/>
      <c r="H6081" s="1"/>
      <c r="I6081" s="1"/>
      <c r="J6081" s="1"/>
      <c r="K6081" s="95" t="s">
        <v>9530</v>
      </c>
      <c r="L6081" s="89" t="str">
        <f>J295</f>
        <v>C2b1a2a2b1~</v>
      </c>
      <c r="M6081" s="89"/>
      <c r="N6081" s="89"/>
      <c r="O6081" s="106">
        <v>1.494015E7</v>
      </c>
      <c r="P6081" s="106">
        <v>1.2828224E7</v>
      </c>
      <c r="Q6081" s="93" t="s">
        <v>822</v>
      </c>
      <c r="AF6081" s="1"/>
      <c r="AG6081" s="1"/>
    </row>
    <row r="6082" ht="15.75" customHeight="1">
      <c r="A6082" s="1"/>
      <c r="B6082" s="1"/>
      <c r="C6082" s="1"/>
      <c r="D6082" s="1"/>
      <c r="E6082" s="1"/>
      <c r="F6082" s="1"/>
      <c r="G6082" s="1"/>
      <c r="H6082" s="1"/>
      <c r="I6082" s="1"/>
      <c r="J6082" s="1"/>
      <c r="K6082" s="95" t="s">
        <v>9531</v>
      </c>
      <c r="L6082" s="89" t="str">
        <f>J295</f>
        <v>C2b1a2a2b1~</v>
      </c>
      <c r="M6082" s="89"/>
      <c r="N6082" s="89"/>
      <c r="O6082" s="106">
        <v>1.9404199E7</v>
      </c>
      <c r="P6082" s="106">
        <v>1.7292319E7</v>
      </c>
      <c r="Q6082" s="93" t="s">
        <v>838</v>
      </c>
      <c r="AF6082" s="1"/>
      <c r="AG6082" s="1"/>
    </row>
    <row r="6083" ht="15.75" customHeight="1">
      <c r="A6083" s="1"/>
      <c r="B6083" s="1"/>
      <c r="C6083" s="1"/>
      <c r="D6083" s="1"/>
      <c r="E6083" s="1"/>
      <c r="F6083" s="1"/>
      <c r="G6083" s="1"/>
      <c r="H6083" s="1"/>
      <c r="I6083" s="1"/>
      <c r="J6083" s="1"/>
      <c r="K6083" s="95" t="s">
        <v>9532</v>
      </c>
      <c r="L6083" s="89" t="str">
        <f>J295</f>
        <v>C2b1a2a2b1~</v>
      </c>
      <c r="M6083" s="89"/>
      <c r="N6083" s="89"/>
      <c r="O6083" s="106">
        <v>2.1222811E7</v>
      </c>
      <c r="P6083" s="106">
        <v>1.9060925E7</v>
      </c>
      <c r="Q6083" s="93" t="s">
        <v>802</v>
      </c>
      <c r="AF6083" s="1"/>
      <c r="AG6083" s="1"/>
    </row>
    <row r="6084" ht="15.75" customHeight="1">
      <c r="A6084" s="1"/>
      <c r="B6084" s="1"/>
      <c r="C6084" s="1"/>
      <c r="D6084" s="1"/>
      <c r="E6084" s="1"/>
      <c r="F6084" s="1"/>
      <c r="G6084" s="1"/>
      <c r="H6084" s="1"/>
      <c r="I6084" s="1"/>
      <c r="J6084" s="1"/>
      <c r="K6084" s="95" t="s">
        <v>9533</v>
      </c>
      <c r="L6084" s="89" t="str">
        <f>J295</f>
        <v>C2b1a2a2b1~</v>
      </c>
      <c r="M6084" s="89"/>
      <c r="N6084" s="89"/>
      <c r="O6084" s="106">
        <v>2.1319697E7</v>
      </c>
      <c r="P6084" s="106">
        <v>1.9157811E7</v>
      </c>
      <c r="Q6084" s="93" t="s">
        <v>912</v>
      </c>
      <c r="AF6084" s="1"/>
      <c r="AG6084" s="1"/>
    </row>
    <row r="6085" ht="15.75" customHeight="1">
      <c r="A6085" s="1"/>
      <c r="B6085" s="1"/>
      <c r="C6085" s="1"/>
      <c r="D6085" s="1"/>
      <c r="E6085" s="1"/>
      <c r="F6085" s="1"/>
      <c r="G6085" s="1"/>
      <c r="H6085" s="1"/>
      <c r="I6085" s="1"/>
      <c r="J6085" s="1"/>
      <c r="K6085" s="95" t="s">
        <v>9534</v>
      </c>
      <c r="L6085" s="89" t="str">
        <f>J295</f>
        <v>C2b1a2a2b1~</v>
      </c>
      <c r="M6085" s="89"/>
      <c r="N6085" s="89"/>
      <c r="O6085" s="106">
        <v>2.438243E7</v>
      </c>
      <c r="P6085" s="106">
        <v>2.2236283E7</v>
      </c>
      <c r="Q6085" s="93" t="s">
        <v>864</v>
      </c>
      <c r="AF6085" s="1"/>
      <c r="AG6085" s="1"/>
    </row>
    <row r="6086" ht="15.75" customHeight="1">
      <c r="A6086" s="1"/>
      <c r="B6086" s="1"/>
      <c r="C6086" s="1"/>
      <c r="D6086" s="1"/>
      <c r="E6086" s="1"/>
      <c r="F6086" s="1"/>
      <c r="G6086" s="1"/>
      <c r="H6086" s="1"/>
      <c r="I6086" s="1"/>
      <c r="J6086" s="1"/>
      <c r="K6086" s="95" t="s">
        <v>9535</v>
      </c>
      <c r="L6086" s="89" t="str">
        <f>J295</f>
        <v>C2b1a2a2b1~</v>
      </c>
      <c r="M6086" s="89"/>
      <c r="N6086" s="89"/>
      <c r="O6086" s="106">
        <v>2.2328573E7</v>
      </c>
      <c r="P6086" s="106">
        <v>2.447472E7</v>
      </c>
      <c r="Q6086" s="93" t="s">
        <v>802</v>
      </c>
      <c r="AF6086" s="1"/>
      <c r="AG6086" s="1"/>
    </row>
    <row r="6087" ht="15.75" customHeight="1">
      <c r="A6087" s="1"/>
      <c r="B6087" s="1"/>
      <c r="C6087" s="1"/>
      <c r="D6087" s="1"/>
      <c r="E6087" s="1"/>
      <c r="F6087" s="1"/>
      <c r="G6087" s="1"/>
      <c r="H6087" s="1"/>
      <c r="I6087" s="1"/>
      <c r="J6087" s="1"/>
      <c r="K6087" s="89" t="s">
        <v>9536</v>
      </c>
      <c r="L6087" s="89" t="str">
        <f>J295</f>
        <v>C2b1a2a2b1~</v>
      </c>
      <c r="M6087" s="93" t="s">
        <v>23</v>
      </c>
      <c r="N6087" s="89"/>
      <c r="O6087" s="92">
        <v>2801297.0</v>
      </c>
      <c r="P6087" s="92">
        <v>2669338.0</v>
      </c>
      <c r="Q6087" s="89" t="s">
        <v>845</v>
      </c>
      <c r="AF6087" s="1"/>
      <c r="AG6087" s="1"/>
    </row>
    <row r="6088" ht="15.75" customHeight="1">
      <c r="A6088" s="1"/>
      <c r="B6088" s="1"/>
      <c r="C6088" s="1"/>
      <c r="D6088" s="1"/>
      <c r="E6088" s="1"/>
      <c r="F6088" s="1"/>
      <c r="G6088" s="1"/>
      <c r="H6088" s="1"/>
      <c r="I6088" s="1"/>
      <c r="J6088" s="1"/>
      <c r="K6088" s="89" t="s">
        <v>9537</v>
      </c>
      <c r="L6088" s="89" t="str">
        <f>K296</f>
        <v>C2b1a2a2b1a~</v>
      </c>
      <c r="M6088" s="89"/>
      <c r="N6088" s="89"/>
      <c r="O6088" s="92">
        <v>6742244.0</v>
      </c>
      <c r="P6088" s="92">
        <v>6742244.0</v>
      </c>
      <c r="Q6088" s="89" t="s">
        <v>879</v>
      </c>
      <c r="AF6088" s="1"/>
      <c r="AG6088" s="1"/>
    </row>
    <row r="6089" ht="15.75" customHeight="1">
      <c r="A6089" s="1"/>
      <c r="B6089" s="1"/>
      <c r="C6089" s="1"/>
      <c r="D6089" s="1"/>
      <c r="E6089" s="1"/>
      <c r="F6089" s="1"/>
      <c r="G6089" s="1"/>
      <c r="H6089" s="1"/>
      <c r="I6089" s="1"/>
      <c r="J6089" s="1"/>
      <c r="K6089" s="89" t="s">
        <v>9538</v>
      </c>
      <c r="L6089" s="89" t="str">
        <f>K296</f>
        <v>C2b1a2a2b1a~</v>
      </c>
      <c r="M6089" s="89"/>
      <c r="N6089" s="89"/>
      <c r="O6089" s="92">
        <v>7881124.0</v>
      </c>
      <c r="P6089" s="92">
        <v>7881124.0</v>
      </c>
      <c r="Q6089" s="89" t="s">
        <v>810</v>
      </c>
      <c r="AF6089" s="1"/>
      <c r="AG6089" s="1"/>
    </row>
    <row r="6090" ht="15.75" customHeight="1">
      <c r="A6090" s="1"/>
      <c r="B6090" s="1"/>
      <c r="C6090" s="1"/>
      <c r="D6090" s="1"/>
      <c r="E6090" s="1"/>
      <c r="F6090" s="1"/>
      <c r="G6090" s="1"/>
      <c r="H6090" s="1"/>
      <c r="I6090" s="1"/>
      <c r="J6090" s="1"/>
      <c r="K6090" s="89" t="s">
        <v>9539</v>
      </c>
      <c r="L6090" s="89" t="str">
        <f>K296</f>
        <v>C2b1a2a2b1a~</v>
      </c>
      <c r="M6090" s="89"/>
      <c r="N6090" s="89"/>
      <c r="O6090" s="92">
        <v>8081576.0</v>
      </c>
      <c r="P6090" s="92">
        <v>8081576.0</v>
      </c>
      <c r="Q6090" s="89" t="s">
        <v>912</v>
      </c>
      <c r="AF6090" s="1"/>
      <c r="AG6090" s="1"/>
    </row>
    <row r="6091" ht="15.75" customHeight="1">
      <c r="A6091" s="1"/>
      <c r="B6091" s="1"/>
      <c r="C6091" s="1"/>
      <c r="D6091" s="1"/>
      <c r="E6091" s="1"/>
      <c r="F6091" s="1"/>
      <c r="G6091" s="1"/>
      <c r="H6091" s="1"/>
      <c r="I6091" s="1"/>
      <c r="J6091" s="1"/>
      <c r="K6091" s="89" t="s">
        <v>9540</v>
      </c>
      <c r="L6091" s="89" t="str">
        <f>K296</f>
        <v>C2b1a2a2b1a~</v>
      </c>
      <c r="M6091" s="89"/>
      <c r="N6091" s="89"/>
      <c r="O6091" s="92">
        <v>1.5357786E7</v>
      </c>
      <c r="P6091" s="92">
        <v>1.5357786E7</v>
      </c>
      <c r="Q6091" s="89" t="s">
        <v>845</v>
      </c>
      <c r="AF6091" s="1"/>
      <c r="AG6091" s="1"/>
    </row>
    <row r="6092" ht="15.75" customHeight="1">
      <c r="A6092" s="1"/>
      <c r="B6092" s="1"/>
      <c r="C6092" s="1"/>
      <c r="D6092" s="1"/>
      <c r="E6092" s="1"/>
      <c r="F6092" s="1"/>
      <c r="G6092" s="1"/>
      <c r="H6092" s="1"/>
      <c r="I6092" s="1"/>
      <c r="J6092" s="1"/>
      <c r="K6092" s="89" t="s">
        <v>9541</v>
      </c>
      <c r="L6092" s="89" t="str">
        <f t="shared" ref="L6092:L6093" si="74">K296</f>
        <v>C2b1a2a2b1a~</v>
      </c>
      <c r="M6092" s="89"/>
      <c r="N6092" s="89"/>
      <c r="O6092" s="92">
        <v>1.9130012E7</v>
      </c>
      <c r="P6092" s="92">
        <v>1.9130012E7</v>
      </c>
      <c r="Q6092" s="89" t="s">
        <v>810</v>
      </c>
      <c r="AF6092" s="1"/>
      <c r="AG6092" s="1"/>
    </row>
    <row r="6093" ht="15.75" customHeight="1">
      <c r="A6093" s="1"/>
      <c r="B6093" s="1"/>
      <c r="C6093" s="1"/>
      <c r="D6093" s="1"/>
      <c r="E6093" s="1"/>
      <c r="F6093" s="1"/>
      <c r="G6093" s="1"/>
      <c r="H6093" s="1"/>
      <c r="I6093" s="1"/>
      <c r="J6093" s="1"/>
      <c r="K6093" s="39" t="s">
        <v>9542</v>
      </c>
      <c r="L6093" t="str">
        <f t="shared" si="74"/>
        <v>C2b1a2a2b1b~</v>
      </c>
      <c r="O6093" s="98">
        <v>1.5983209E7</v>
      </c>
      <c r="P6093" s="97">
        <v>1.3871329E7</v>
      </c>
      <c r="Q6093" s="39" t="s">
        <v>864</v>
      </c>
      <c r="AF6093" s="1"/>
      <c r="AG6093" s="1"/>
    </row>
    <row r="6094" ht="15.75" customHeight="1">
      <c r="A6094" s="1"/>
      <c r="B6094" s="1"/>
      <c r="C6094" s="1"/>
      <c r="D6094" s="1"/>
      <c r="E6094" s="1"/>
      <c r="F6094" s="1"/>
      <c r="G6094" s="1"/>
      <c r="H6094" s="1"/>
      <c r="I6094" s="1"/>
      <c r="J6094" s="1"/>
      <c r="K6094" s="39" t="s">
        <v>9543</v>
      </c>
      <c r="L6094" t="str">
        <f>K297</f>
        <v>C2b1a2a2b1b~</v>
      </c>
      <c r="O6094" s="98">
        <v>2.1193464E7</v>
      </c>
      <c r="P6094" s="97">
        <v>1.9031578E7</v>
      </c>
      <c r="Q6094" s="39" t="s">
        <v>838</v>
      </c>
      <c r="AF6094" s="1"/>
      <c r="AG6094" s="1"/>
    </row>
    <row r="6095" ht="15.75" customHeight="1">
      <c r="A6095" s="1"/>
      <c r="B6095" s="1"/>
      <c r="C6095" s="1"/>
      <c r="D6095" s="1"/>
      <c r="E6095" s="1"/>
      <c r="F6095" s="1"/>
      <c r="G6095" s="1"/>
      <c r="H6095" s="1"/>
      <c r="I6095" s="1"/>
      <c r="J6095" s="1"/>
      <c r="K6095" s="39" t="s">
        <v>9544</v>
      </c>
      <c r="L6095" t="str">
        <f>K297</f>
        <v>C2b1a2a2b1b~</v>
      </c>
      <c r="O6095" s="98">
        <v>2.3069738E7</v>
      </c>
      <c r="P6095" s="97">
        <v>2.0907852E7</v>
      </c>
      <c r="Q6095" s="39" t="s">
        <v>802</v>
      </c>
      <c r="AF6095" s="1"/>
      <c r="AG6095" s="1"/>
    </row>
    <row r="6096" ht="15.75" customHeight="1">
      <c r="A6096" s="1"/>
      <c r="B6096" s="1"/>
      <c r="C6096" s="1"/>
      <c r="D6096" s="1"/>
      <c r="E6096" s="1"/>
      <c r="F6096" s="1"/>
      <c r="G6096" s="1"/>
      <c r="H6096" s="1"/>
      <c r="I6096" s="1"/>
      <c r="J6096" s="1"/>
      <c r="K6096" s="39" t="s">
        <v>9545</v>
      </c>
      <c r="L6096" t="str">
        <f>K297</f>
        <v>C2b1a2a2b1b~</v>
      </c>
      <c r="O6096" s="98">
        <v>2.8765741E7</v>
      </c>
      <c r="P6096" s="97">
        <v>2.6619594E7</v>
      </c>
      <c r="Q6096" s="39" t="s">
        <v>810</v>
      </c>
      <c r="AF6096" s="1"/>
      <c r="AG6096" s="1"/>
    </row>
    <row r="6097" ht="15.75" customHeight="1">
      <c r="A6097" s="1"/>
      <c r="B6097" s="1"/>
      <c r="C6097" s="1"/>
      <c r="D6097" s="1"/>
      <c r="E6097" s="1"/>
      <c r="F6097" s="1"/>
      <c r="G6097" s="1"/>
      <c r="H6097" s="1"/>
      <c r="I6097" s="1"/>
      <c r="J6097" s="1"/>
      <c r="K6097" s="89" t="s">
        <v>9546</v>
      </c>
      <c r="L6097" s="89" t="str">
        <f>K297</f>
        <v>C2b1a2a2b1b~</v>
      </c>
      <c r="M6097" s="89"/>
      <c r="N6097" s="89"/>
      <c r="O6097" s="92">
        <v>7152357.0</v>
      </c>
      <c r="P6097" s="92">
        <v>7020398.0</v>
      </c>
      <c r="Q6097" s="89" t="s">
        <v>810</v>
      </c>
      <c r="AF6097" s="1"/>
      <c r="AG6097" s="1"/>
    </row>
    <row r="6098" ht="15.75" customHeight="1">
      <c r="A6098" s="1"/>
      <c r="B6098" s="1"/>
      <c r="C6098" s="1"/>
      <c r="D6098" s="1"/>
      <c r="E6098" s="1"/>
      <c r="F6098" s="1"/>
      <c r="G6098" s="1"/>
      <c r="H6098" s="1"/>
      <c r="I6098" s="1"/>
      <c r="J6098" s="1"/>
      <c r="K6098" s="89" t="s">
        <v>9547</v>
      </c>
      <c r="L6098" s="89" t="str">
        <f>K297</f>
        <v>C2b1a2a2b1b~</v>
      </c>
      <c r="M6098" s="89"/>
      <c r="N6098" s="89"/>
      <c r="O6098" s="92">
        <v>8437513.0</v>
      </c>
      <c r="P6098" s="92">
        <v>8305554.0</v>
      </c>
      <c r="Q6098" s="89" t="s">
        <v>886</v>
      </c>
      <c r="AF6098" s="1"/>
      <c r="AG6098" s="1"/>
    </row>
    <row r="6099" ht="15.75" customHeight="1">
      <c r="A6099" s="1"/>
      <c r="B6099" s="1"/>
      <c r="C6099" s="1"/>
      <c r="D6099" s="1"/>
      <c r="E6099" s="1"/>
      <c r="F6099" s="1"/>
      <c r="G6099" s="1"/>
      <c r="H6099" s="1"/>
      <c r="I6099" s="1"/>
      <c r="J6099" s="1"/>
      <c r="K6099" s="89" t="s">
        <v>9548</v>
      </c>
      <c r="L6099" s="89" t="str">
        <f>K297</f>
        <v>C2b1a2a2b1b~</v>
      </c>
      <c r="M6099" s="89"/>
      <c r="N6099" s="89"/>
      <c r="O6099" s="92">
        <v>8547561.0</v>
      </c>
      <c r="P6099" s="92">
        <v>8415602.0</v>
      </c>
      <c r="Q6099" s="89" t="s">
        <v>802</v>
      </c>
      <c r="AF6099" s="1"/>
      <c r="AG6099" s="1"/>
    </row>
    <row r="6100" ht="15.75" customHeight="1">
      <c r="A6100" s="1"/>
      <c r="B6100" s="1"/>
      <c r="C6100" s="1"/>
      <c r="D6100" s="1"/>
      <c r="E6100" s="1"/>
      <c r="F6100" s="1"/>
      <c r="G6100" s="1"/>
      <c r="H6100" s="1"/>
      <c r="I6100" s="1"/>
      <c r="J6100" s="1"/>
      <c r="K6100" s="93" t="s">
        <v>9549</v>
      </c>
      <c r="L6100" s="89" t="str">
        <f>L298</f>
        <v>C2b1a2a2b1b1~</v>
      </c>
      <c r="M6100" s="93"/>
      <c r="N6100" s="89"/>
      <c r="O6100" s="98">
        <v>1.7310498E7</v>
      </c>
      <c r="P6100" s="97">
        <v>1.5198618E7</v>
      </c>
      <c r="Q6100" s="93" t="s">
        <v>813</v>
      </c>
      <c r="AF6100" s="1"/>
      <c r="AG6100" s="1"/>
    </row>
    <row r="6101" ht="15.75" customHeight="1">
      <c r="A6101" s="1"/>
      <c r="B6101" s="1"/>
      <c r="C6101" s="1"/>
      <c r="D6101" s="1"/>
      <c r="E6101" s="1"/>
      <c r="F6101" s="1"/>
      <c r="G6101" s="1"/>
      <c r="H6101" s="1"/>
      <c r="I6101" s="1"/>
      <c r="J6101" s="1"/>
      <c r="K6101" s="93" t="s">
        <v>9550</v>
      </c>
      <c r="L6101" s="89" t="str">
        <f>L298</f>
        <v>C2b1a2a2b1b1~</v>
      </c>
      <c r="M6101" s="93"/>
      <c r="N6101" s="89"/>
      <c r="O6101" s="98">
        <v>2.1193464E7</v>
      </c>
      <c r="P6101" s="97">
        <v>1.9031578E7</v>
      </c>
      <c r="Q6101" s="93" t="s">
        <v>912</v>
      </c>
      <c r="AF6101" s="1"/>
      <c r="AG6101" s="1"/>
    </row>
    <row r="6102" ht="15.75" customHeight="1">
      <c r="A6102" s="1"/>
      <c r="B6102" s="1"/>
      <c r="C6102" s="1"/>
      <c r="D6102" s="1"/>
      <c r="E6102" s="1"/>
      <c r="F6102" s="1"/>
      <c r="G6102" s="1"/>
      <c r="H6102" s="1"/>
      <c r="I6102" s="1"/>
      <c r="J6102" s="1"/>
      <c r="K6102" s="93" t="s">
        <v>9551</v>
      </c>
      <c r="L6102" s="89" t="str">
        <f>L298</f>
        <v>C2b1a2a2b1b1~</v>
      </c>
      <c r="M6102" s="93"/>
      <c r="N6102" s="89"/>
      <c r="O6102" s="98">
        <v>2.3780592E7</v>
      </c>
      <c r="P6102" s="97">
        <v>2.1618706E7</v>
      </c>
      <c r="Q6102" s="93" t="s">
        <v>802</v>
      </c>
      <c r="AF6102" s="1"/>
      <c r="AG6102" s="1"/>
    </row>
    <row r="6103" ht="15.75" customHeight="1">
      <c r="A6103" s="1"/>
      <c r="B6103" s="1"/>
      <c r="C6103" s="1"/>
      <c r="D6103" s="1"/>
      <c r="E6103" s="1"/>
      <c r="F6103" s="1"/>
      <c r="G6103" s="1"/>
      <c r="H6103" s="1"/>
      <c r="I6103" s="1"/>
      <c r="J6103" s="1"/>
      <c r="K6103" s="89" t="s">
        <v>9552</v>
      </c>
      <c r="L6103" s="89" t="str">
        <f>L298</f>
        <v>C2b1a2a2b1b1~</v>
      </c>
      <c r="M6103" s="93" t="s">
        <v>23</v>
      </c>
      <c r="N6103" s="89"/>
      <c r="O6103" s="92">
        <v>8870318.0</v>
      </c>
      <c r="P6103" s="92">
        <v>8738359.0</v>
      </c>
      <c r="Q6103" s="89" t="s">
        <v>917</v>
      </c>
      <c r="AF6103" s="1"/>
      <c r="AG6103" s="1"/>
    </row>
    <row r="6104" ht="15.75" customHeight="1">
      <c r="A6104" s="1"/>
      <c r="B6104" s="1"/>
      <c r="C6104" s="1"/>
      <c r="D6104" s="1"/>
      <c r="E6104" s="1"/>
      <c r="F6104" s="1"/>
      <c r="G6104" s="1"/>
      <c r="H6104" s="1"/>
      <c r="I6104" s="1"/>
      <c r="J6104" s="1"/>
      <c r="K6104" s="89" t="s">
        <v>9553</v>
      </c>
      <c r="L6104" s="89" t="str">
        <f>J299</f>
        <v>C2b1a2a2b2~</v>
      </c>
      <c r="M6104" s="89"/>
      <c r="N6104" s="89"/>
      <c r="O6104" s="92">
        <v>2740350.0</v>
      </c>
      <c r="P6104" s="92">
        <v>2872309.0</v>
      </c>
      <c r="Q6104" s="89" t="s">
        <v>838</v>
      </c>
      <c r="AF6104" s="1"/>
      <c r="AG6104" s="1"/>
    </row>
    <row r="6105" ht="15.75" customHeight="1">
      <c r="A6105" s="1"/>
      <c r="B6105" s="1"/>
      <c r="C6105" s="1"/>
      <c r="D6105" s="1"/>
      <c r="E6105" s="1"/>
      <c r="F6105" s="1"/>
      <c r="G6105" s="1"/>
      <c r="H6105" s="1"/>
      <c r="I6105" s="1"/>
      <c r="J6105" s="1"/>
      <c r="K6105" s="89" t="s">
        <v>9554</v>
      </c>
      <c r="L6105" s="89" t="str">
        <f>J299</f>
        <v>C2b1a2a2b2~</v>
      </c>
      <c r="M6105" s="89"/>
      <c r="N6105" s="89"/>
      <c r="O6105" s="92">
        <v>2876865.0</v>
      </c>
      <c r="P6105" s="92">
        <v>3008824.0</v>
      </c>
      <c r="Q6105" s="89" t="s">
        <v>912</v>
      </c>
      <c r="AF6105" s="1"/>
      <c r="AG6105" s="1"/>
    </row>
    <row r="6106" ht="15.75" customHeight="1">
      <c r="A6106" s="1"/>
      <c r="B6106" s="1"/>
      <c r="C6106" s="1"/>
      <c r="D6106" s="1"/>
      <c r="E6106" s="1"/>
      <c r="F6106" s="1"/>
      <c r="G6106" s="1"/>
      <c r="H6106" s="1"/>
      <c r="I6106" s="1"/>
      <c r="J6106" s="1"/>
      <c r="K6106" s="89" t="s">
        <v>9555</v>
      </c>
      <c r="L6106" s="89" t="str">
        <f>J299</f>
        <v>C2b1a2a2b2~</v>
      </c>
      <c r="M6106" s="89"/>
      <c r="N6106" s="89"/>
      <c r="O6106" s="92">
        <v>2892037.0</v>
      </c>
      <c r="P6106" s="92">
        <v>3023996.0</v>
      </c>
      <c r="Q6106" s="89" t="s">
        <v>802</v>
      </c>
      <c r="AF6106" s="1"/>
      <c r="AG6106" s="1"/>
    </row>
    <row r="6107" ht="15.75" customHeight="1">
      <c r="A6107" s="1"/>
      <c r="B6107" s="1"/>
      <c r="C6107" s="1"/>
      <c r="D6107" s="1"/>
      <c r="E6107" s="1"/>
      <c r="F6107" s="1"/>
      <c r="G6107" s="1"/>
      <c r="H6107" s="1"/>
      <c r="I6107" s="1"/>
      <c r="J6107" s="1"/>
      <c r="K6107" s="89" t="s">
        <v>9556</v>
      </c>
      <c r="L6107" s="89" t="str">
        <f>J299</f>
        <v>C2b1a2a2b2~</v>
      </c>
      <c r="M6107" s="89"/>
      <c r="N6107" s="89"/>
      <c r="O6107" s="92">
        <v>6855097.0</v>
      </c>
      <c r="P6107" s="92">
        <v>6987056.0</v>
      </c>
      <c r="Q6107" s="89" t="s">
        <v>838</v>
      </c>
      <c r="AF6107" s="1"/>
      <c r="AG6107" s="1"/>
    </row>
    <row r="6108" ht="15.75" customHeight="1">
      <c r="A6108" s="1"/>
      <c r="B6108" s="1"/>
      <c r="C6108" s="1"/>
      <c r="D6108" s="1"/>
      <c r="E6108" s="1"/>
      <c r="F6108" s="1"/>
      <c r="G6108" s="1"/>
      <c r="H6108" s="1"/>
      <c r="I6108" s="1"/>
      <c r="J6108" s="1"/>
      <c r="K6108" s="89" t="s">
        <v>9557</v>
      </c>
      <c r="L6108" s="89" t="str">
        <f>J299</f>
        <v>C2b1a2a2b2~</v>
      </c>
      <c r="M6108" s="89"/>
      <c r="N6108" s="89"/>
      <c r="O6108" s="92">
        <v>7425471.0</v>
      </c>
      <c r="P6108" s="92">
        <v>7557430.0</v>
      </c>
      <c r="Q6108" s="89" t="s">
        <v>845</v>
      </c>
      <c r="AF6108" s="1"/>
      <c r="AG6108" s="1"/>
    </row>
    <row r="6109" ht="15.75" customHeight="1">
      <c r="A6109" s="1"/>
      <c r="B6109" s="1"/>
      <c r="C6109" s="1"/>
      <c r="D6109" s="1"/>
      <c r="E6109" s="1"/>
      <c r="F6109" s="1"/>
      <c r="G6109" s="1"/>
      <c r="H6109" s="1"/>
      <c r="I6109" s="1"/>
      <c r="J6109" s="1"/>
      <c r="K6109" s="89" t="s">
        <v>9558</v>
      </c>
      <c r="L6109" s="89" t="str">
        <f>G300</f>
        <v>C2b1a2b</v>
      </c>
      <c r="M6109" s="89"/>
      <c r="N6109" s="89" t="s">
        <v>9559</v>
      </c>
      <c r="O6109" s="92">
        <v>1.4884838E7</v>
      </c>
      <c r="P6109" s="92">
        <v>1.2772904E7</v>
      </c>
      <c r="Q6109" s="89" t="s">
        <v>813</v>
      </c>
      <c r="AF6109" s="1"/>
      <c r="AG6109" s="1"/>
    </row>
    <row r="6110" ht="15.75" customHeight="1">
      <c r="A6110" s="1"/>
      <c r="B6110" s="1"/>
      <c r="C6110" s="1"/>
      <c r="D6110" s="1"/>
      <c r="E6110" s="1"/>
      <c r="F6110" s="1"/>
      <c r="G6110" s="1"/>
      <c r="H6110" s="1"/>
      <c r="I6110" s="1"/>
      <c r="J6110" s="1"/>
      <c r="K6110" s="89" t="s">
        <v>9560</v>
      </c>
      <c r="L6110" s="89" t="str">
        <f>G300</f>
        <v>C2b1a2b</v>
      </c>
      <c r="M6110" s="89"/>
      <c r="N6110" s="89" t="s">
        <v>9561</v>
      </c>
      <c r="O6110" s="92">
        <v>1.4313081E7</v>
      </c>
      <c r="P6110" s="92">
        <v>1.2192375E7</v>
      </c>
      <c r="Q6110" s="89" t="s">
        <v>802</v>
      </c>
      <c r="AF6110" s="1"/>
      <c r="AG6110" s="1"/>
    </row>
    <row r="6111" ht="15.75" customHeight="1">
      <c r="A6111" s="1"/>
      <c r="B6111" s="1"/>
      <c r="C6111" s="1"/>
      <c r="D6111" s="1"/>
      <c r="E6111" s="1"/>
      <c r="F6111" s="1"/>
      <c r="G6111" s="1"/>
      <c r="H6111" s="1"/>
      <c r="I6111" s="1"/>
      <c r="J6111" s="1"/>
      <c r="K6111" s="89" t="s">
        <v>9562</v>
      </c>
      <c r="L6111" s="89" t="str">
        <f>G300</f>
        <v>C2b1a2b</v>
      </c>
      <c r="M6111" s="89"/>
      <c r="N6111" s="89" t="s">
        <v>9563</v>
      </c>
      <c r="O6111" s="92">
        <v>2.2874654E7</v>
      </c>
      <c r="P6111" s="92">
        <v>2.0712768E7</v>
      </c>
      <c r="Q6111" s="89" t="s">
        <v>810</v>
      </c>
      <c r="AF6111" s="1"/>
      <c r="AG6111" s="1"/>
    </row>
    <row r="6112" ht="15.75" customHeight="1">
      <c r="A6112" s="1"/>
      <c r="B6112" s="1"/>
      <c r="C6112" s="1"/>
      <c r="D6112" s="1"/>
      <c r="E6112" s="1"/>
      <c r="F6112" s="1"/>
      <c r="G6112" s="1"/>
      <c r="H6112" s="1"/>
      <c r="I6112" s="1"/>
      <c r="J6112" s="1"/>
      <c r="K6112" s="89" t="s">
        <v>9564</v>
      </c>
      <c r="L6112" s="89" t="str">
        <f>G300</f>
        <v>C2b1a2b</v>
      </c>
      <c r="M6112" s="89" t="s">
        <v>9565</v>
      </c>
      <c r="N6112" s="89" t="s">
        <v>9566</v>
      </c>
      <c r="O6112" s="92">
        <v>7742460.0</v>
      </c>
      <c r="P6112" s="92">
        <v>7874419.0</v>
      </c>
      <c r="Q6112" s="89" t="s">
        <v>912</v>
      </c>
      <c r="AF6112" s="1"/>
      <c r="AG6112" s="1"/>
    </row>
    <row r="6113" ht="15.75" customHeight="1">
      <c r="A6113" s="1"/>
      <c r="B6113" s="1"/>
      <c r="C6113" s="1"/>
      <c r="D6113" s="1"/>
      <c r="E6113" s="1"/>
      <c r="F6113" s="1"/>
      <c r="G6113" s="1"/>
      <c r="H6113" s="1"/>
      <c r="I6113" s="1"/>
      <c r="J6113" s="1"/>
      <c r="K6113" s="89" t="s">
        <v>9565</v>
      </c>
      <c r="L6113" s="89" t="str">
        <f>G300</f>
        <v>C2b1a2b</v>
      </c>
      <c r="M6113" s="89" t="s">
        <v>9564</v>
      </c>
      <c r="N6113" s="89" t="s">
        <v>9566</v>
      </c>
      <c r="O6113" s="92">
        <v>7742460.0</v>
      </c>
      <c r="P6113" s="92">
        <v>7874419.0</v>
      </c>
      <c r="Q6113" s="89" t="s">
        <v>912</v>
      </c>
      <c r="AF6113" s="1"/>
      <c r="AG6113" s="1"/>
    </row>
    <row r="6114" ht="15.75" customHeight="1">
      <c r="A6114" s="1"/>
      <c r="B6114" s="1"/>
      <c r="C6114" s="1"/>
      <c r="D6114" s="1"/>
      <c r="E6114" s="1"/>
      <c r="F6114" s="1"/>
      <c r="G6114" s="1"/>
      <c r="H6114" s="1"/>
      <c r="I6114" s="1"/>
      <c r="J6114" s="1"/>
      <c r="K6114" s="89" t="s">
        <v>9567</v>
      </c>
      <c r="L6114" s="89" t="str">
        <f>G300</f>
        <v>C2b1a2b</v>
      </c>
      <c r="M6114" s="89" t="s">
        <v>9568</v>
      </c>
      <c r="N6114" s="89" t="s">
        <v>9569</v>
      </c>
      <c r="O6114" s="92">
        <v>7961051.0</v>
      </c>
      <c r="P6114" s="92">
        <v>8093010.0</v>
      </c>
      <c r="Q6114" s="89" t="s">
        <v>879</v>
      </c>
      <c r="AF6114" s="1"/>
      <c r="AG6114" s="1"/>
    </row>
    <row r="6115" ht="15.75" customHeight="1">
      <c r="A6115" s="1"/>
      <c r="B6115" s="1"/>
      <c r="C6115" s="1"/>
      <c r="D6115" s="1"/>
      <c r="E6115" s="1"/>
      <c r="F6115" s="1"/>
      <c r="G6115" s="1"/>
      <c r="H6115" s="1"/>
      <c r="I6115" s="1"/>
      <c r="J6115" s="1"/>
      <c r="K6115" s="89" t="s">
        <v>9568</v>
      </c>
      <c r="L6115" s="89" t="str">
        <f>G300</f>
        <v>C2b1a2b</v>
      </c>
      <c r="M6115" s="89" t="s">
        <v>9567</v>
      </c>
      <c r="N6115" s="89" t="s">
        <v>9569</v>
      </c>
      <c r="O6115" s="92">
        <v>7961051.0</v>
      </c>
      <c r="P6115" s="92">
        <v>8093010.0</v>
      </c>
      <c r="Q6115" s="89" t="s">
        <v>879</v>
      </c>
      <c r="AF6115" s="1"/>
      <c r="AG6115" s="1"/>
    </row>
    <row r="6116" ht="15.75" customHeight="1">
      <c r="A6116" s="1"/>
      <c r="B6116" s="1"/>
      <c r="C6116" s="1"/>
      <c r="D6116" s="1"/>
      <c r="E6116" s="1"/>
      <c r="F6116" s="1"/>
      <c r="G6116" s="1"/>
      <c r="H6116" s="1"/>
      <c r="I6116" s="1"/>
      <c r="J6116" s="1"/>
      <c r="K6116" s="89" t="s">
        <v>9570</v>
      </c>
      <c r="L6116" s="89" t="str">
        <f>G300</f>
        <v>C2b1a2b</v>
      </c>
      <c r="M6116" s="89" t="s">
        <v>9571</v>
      </c>
      <c r="N6116" s="89" t="s">
        <v>9572</v>
      </c>
      <c r="O6116" s="92">
        <v>8545183.0</v>
      </c>
      <c r="P6116" s="92">
        <v>8677142.0</v>
      </c>
      <c r="Q6116" s="89" t="s">
        <v>802</v>
      </c>
      <c r="AF6116" s="1"/>
      <c r="AG6116" s="1"/>
    </row>
    <row r="6117" ht="15.75" customHeight="1">
      <c r="A6117" s="1"/>
      <c r="B6117" s="1"/>
      <c r="C6117" s="1"/>
      <c r="D6117" s="1"/>
      <c r="E6117" s="1"/>
      <c r="F6117" s="1"/>
      <c r="G6117" s="1"/>
      <c r="H6117" s="1"/>
      <c r="I6117" s="1"/>
      <c r="J6117" s="1"/>
      <c r="K6117" s="89" t="s">
        <v>9571</v>
      </c>
      <c r="L6117" s="89" t="str">
        <f>G300</f>
        <v>C2b1a2b</v>
      </c>
      <c r="M6117" s="89" t="s">
        <v>9570</v>
      </c>
      <c r="N6117" s="89" t="s">
        <v>9572</v>
      </c>
      <c r="O6117" s="92">
        <v>8545183.0</v>
      </c>
      <c r="P6117" s="92">
        <v>8677142.0</v>
      </c>
      <c r="Q6117" s="89" t="s">
        <v>802</v>
      </c>
      <c r="AF6117" s="1"/>
      <c r="AG6117" s="1"/>
    </row>
    <row r="6118" ht="15.75" customHeight="1">
      <c r="A6118" s="1"/>
      <c r="B6118" s="1"/>
      <c r="C6118" s="1"/>
      <c r="D6118" s="1"/>
      <c r="E6118" s="1"/>
      <c r="F6118" s="1"/>
      <c r="G6118" s="1"/>
      <c r="H6118" s="1"/>
      <c r="I6118" s="1"/>
      <c r="J6118" s="1"/>
      <c r="K6118" s="89" t="s">
        <v>9573</v>
      </c>
      <c r="L6118" s="89" t="str">
        <f>G300</f>
        <v>C2b1a2b</v>
      </c>
      <c r="M6118" s="89" t="s">
        <v>9574</v>
      </c>
      <c r="N6118" s="89" t="s">
        <v>9575</v>
      </c>
      <c r="O6118" s="92">
        <v>1.8060147E7</v>
      </c>
      <c r="P6118" s="92">
        <v>1.5948267E7</v>
      </c>
      <c r="Q6118" s="89" t="s">
        <v>802</v>
      </c>
      <c r="AF6118" s="1"/>
      <c r="AG6118" s="1"/>
    </row>
    <row r="6119" ht="15.75" customHeight="1">
      <c r="A6119" s="1"/>
      <c r="B6119" s="1"/>
      <c r="C6119" s="1"/>
      <c r="D6119" s="1"/>
      <c r="E6119" s="1"/>
      <c r="F6119" s="1"/>
      <c r="G6119" s="1"/>
      <c r="H6119" s="1"/>
      <c r="I6119" s="1"/>
      <c r="J6119" s="1"/>
      <c r="K6119" s="89" t="s">
        <v>9574</v>
      </c>
      <c r="L6119" s="89" t="str">
        <f>G300</f>
        <v>C2b1a2b</v>
      </c>
      <c r="M6119" s="89" t="s">
        <v>9573</v>
      </c>
      <c r="N6119" s="89" t="s">
        <v>9575</v>
      </c>
      <c r="O6119" s="92">
        <v>1.8060147E7</v>
      </c>
      <c r="P6119" s="92">
        <v>1.5948267E7</v>
      </c>
      <c r="Q6119" s="89" t="s">
        <v>802</v>
      </c>
      <c r="AF6119" s="1"/>
      <c r="AG6119" s="1"/>
    </row>
    <row r="6120" ht="15.75" customHeight="1">
      <c r="A6120" s="1"/>
      <c r="B6120" s="1"/>
      <c r="C6120" s="1"/>
      <c r="D6120" s="1"/>
      <c r="E6120" s="1"/>
      <c r="F6120" s="1"/>
      <c r="G6120" s="1"/>
      <c r="H6120" s="1"/>
      <c r="I6120" s="1"/>
      <c r="J6120" s="1"/>
      <c r="K6120" s="89" t="s">
        <v>9576</v>
      </c>
      <c r="L6120" s="89" t="str">
        <f>G300</f>
        <v>C2b1a2b</v>
      </c>
      <c r="M6120" s="89" t="s">
        <v>9577</v>
      </c>
      <c r="N6120" s="89" t="s">
        <v>9578</v>
      </c>
      <c r="O6120" s="92">
        <v>1.8103043E7</v>
      </c>
      <c r="P6120" s="92">
        <v>1.5991163E7</v>
      </c>
      <c r="Q6120" s="89" t="s">
        <v>838</v>
      </c>
      <c r="AF6120" s="1"/>
      <c r="AG6120" s="1"/>
    </row>
    <row r="6121" ht="15.75" customHeight="1">
      <c r="A6121" s="1"/>
      <c r="B6121" s="1"/>
      <c r="C6121" s="1"/>
      <c r="D6121" s="1"/>
      <c r="E6121" s="1"/>
      <c r="F6121" s="1"/>
      <c r="G6121" s="1"/>
      <c r="H6121" s="1"/>
      <c r="I6121" s="1"/>
      <c r="J6121" s="1"/>
      <c r="K6121" s="89" t="s">
        <v>9577</v>
      </c>
      <c r="L6121" s="89" t="str">
        <f>G300</f>
        <v>C2b1a2b</v>
      </c>
      <c r="M6121" s="89" t="s">
        <v>9576</v>
      </c>
      <c r="N6121" s="89" t="s">
        <v>9578</v>
      </c>
      <c r="O6121" s="92">
        <v>1.8103043E7</v>
      </c>
      <c r="P6121" s="92">
        <v>1.5991163E7</v>
      </c>
      <c r="Q6121" s="89" t="s">
        <v>838</v>
      </c>
      <c r="AF6121" s="1"/>
      <c r="AG6121" s="1"/>
    </row>
    <row r="6122" ht="15.75" customHeight="1">
      <c r="A6122" s="1"/>
      <c r="B6122" s="1"/>
      <c r="C6122" s="1"/>
      <c r="D6122" s="1"/>
      <c r="E6122" s="1"/>
      <c r="F6122" s="1"/>
      <c r="G6122" s="1"/>
      <c r="H6122" s="1"/>
      <c r="I6122" s="1"/>
      <c r="J6122" s="1"/>
      <c r="K6122" s="89" t="s">
        <v>9579</v>
      </c>
      <c r="L6122" s="89" t="str">
        <f>G300</f>
        <v>C2b1a2b</v>
      </c>
      <c r="M6122" s="89" t="s">
        <v>9580</v>
      </c>
      <c r="N6122" s="89" t="s">
        <v>9581</v>
      </c>
      <c r="O6122" s="92">
        <v>1.8713612E7</v>
      </c>
      <c r="P6122" s="92">
        <v>1.6601732E7</v>
      </c>
      <c r="Q6122" s="89" t="s">
        <v>802</v>
      </c>
      <c r="AF6122" s="1"/>
      <c r="AG6122" s="1"/>
    </row>
    <row r="6123" ht="15.75" customHeight="1">
      <c r="A6123" s="1"/>
      <c r="B6123" s="1"/>
      <c r="C6123" s="1"/>
      <c r="D6123" s="1"/>
      <c r="E6123" s="1"/>
      <c r="F6123" s="1"/>
      <c r="G6123" s="1"/>
      <c r="H6123" s="1"/>
      <c r="I6123" s="1"/>
      <c r="J6123" s="1"/>
      <c r="K6123" s="89" t="s">
        <v>9580</v>
      </c>
      <c r="L6123" s="89" t="str">
        <f>G300</f>
        <v>C2b1a2b</v>
      </c>
      <c r="M6123" s="89" t="s">
        <v>9579</v>
      </c>
      <c r="N6123" s="89" t="s">
        <v>9581</v>
      </c>
      <c r="O6123" s="92">
        <v>1.8713612E7</v>
      </c>
      <c r="P6123" s="92">
        <v>1.6601732E7</v>
      </c>
      <c r="Q6123" s="89" t="s">
        <v>802</v>
      </c>
      <c r="AF6123" s="1"/>
      <c r="AG6123" s="1"/>
    </row>
    <row r="6124" ht="15.75" customHeight="1">
      <c r="A6124" s="1"/>
      <c r="B6124" s="1"/>
      <c r="C6124" s="1"/>
      <c r="D6124" s="1"/>
      <c r="E6124" s="1"/>
      <c r="F6124" s="1"/>
      <c r="G6124" s="1"/>
      <c r="H6124" s="1"/>
      <c r="I6124" s="1"/>
      <c r="J6124" s="1"/>
      <c r="K6124" s="93" t="s">
        <v>9582</v>
      </c>
      <c r="L6124" s="89" t="str">
        <f>G300</f>
        <v>C2b1a2b</v>
      </c>
      <c r="M6124" s="89" t="s">
        <v>9583</v>
      </c>
      <c r="N6124" s="89" t="s">
        <v>9584</v>
      </c>
      <c r="O6124" s="92">
        <v>1.8943811E7</v>
      </c>
      <c r="P6124" s="92">
        <v>1.6831931E7</v>
      </c>
      <c r="Q6124" s="89" t="s">
        <v>912</v>
      </c>
      <c r="AF6124" s="1"/>
      <c r="AG6124" s="1"/>
    </row>
    <row r="6125" ht="15.75" customHeight="1">
      <c r="A6125" s="1"/>
      <c r="B6125" s="1"/>
      <c r="C6125" s="1"/>
      <c r="D6125" s="1"/>
      <c r="E6125" s="1"/>
      <c r="F6125" s="1"/>
      <c r="G6125" s="1"/>
      <c r="H6125" s="1"/>
      <c r="I6125" s="1"/>
      <c r="J6125" s="1"/>
      <c r="K6125" s="89" t="s">
        <v>9583</v>
      </c>
      <c r="L6125" s="89" t="str">
        <f>G300</f>
        <v>C2b1a2b</v>
      </c>
      <c r="M6125" s="93" t="s">
        <v>9582</v>
      </c>
      <c r="N6125" s="89" t="s">
        <v>9584</v>
      </c>
      <c r="O6125" s="92">
        <v>1.8943811E7</v>
      </c>
      <c r="P6125" s="92">
        <v>1.6831931E7</v>
      </c>
      <c r="Q6125" s="89" t="s">
        <v>912</v>
      </c>
      <c r="AF6125" s="1"/>
      <c r="AG6125" s="1"/>
    </row>
    <row r="6126" ht="15.75" customHeight="1">
      <c r="A6126" s="1"/>
      <c r="B6126" s="1"/>
      <c r="C6126" s="1"/>
      <c r="D6126" s="1"/>
      <c r="E6126" s="1"/>
      <c r="F6126" s="1"/>
      <c r="G6126" s="1"/>
      <c r="H6126" s="1"/>
      <c r="I6126" s="1"/>
      <c r="J6126" s="1"/>
      <c r="K6126" s="89" t="s">
        <v>9585</v>
      </c>
      <c r="L6126" s="89" t="str">
        <f>G300</f>
        <v>C2b1a2b</v>
      </c>
      <c r="M6126" s="89" t="s">
        <v>9586</v>
      </c>
      <c r="N6126" s="89" t="s">
        <v>9587</v>
      </c>
      <c r="O6126" s="89">
        <v>2.1353808E7</v>
      </c>
      <c r="P6126" s="89">
        <v>1.9191922E7</v>
      </c>
      <c r="Q6126" s="89" t="s">
        <v>822</v>
      </c>
      <c r="AF6126" s="1"/>
      <c r="AG6126" s="1"/>
    </row>
    <row r="6127" ht="15.75" customHeight="1">
      <c r="A6127" s="1"/>
      <c r="B6127" s="1"/>
      <c r="C6127" s="1"/>
      <c r="D6127" s="1"/>
      <c r="E6127" s="1"/>
      <c r="F6127" s="1"/>
      <c r="G6127" s="1"/>
      <c r="H6127" s="1"/>
      <c r="I6127" s="1"/>
      <c r="J6127" s="1"/>
      <c r="K6127" s="89" t="s">
        <v>9586</v>
      </c>
      <c r="L6127" s="89" t="str">
        <f>G300</f>
        <v>C2b1a2b</v>
      </c>
      <c r="M6127" s="89" t="s">
        <v>9585</v>
      </c>
      <c r="N6127" s="89" t="s">
        <v>9587</v>
      </c>
      <c r="O6127" s="89">
        <v>2.1353808E7</v>
      </c>
      <c r="P6127" s="89">
        <v>1.9191922E7</v>
      </c>
      <c r="Q6127" s="89" t="s">
        <v>822</v>
      </c>
      <c r="AF6127" s="1"/>
      <c r="AG6127" s="1"/>
    </row>
    <row r="6128" ht="15.75" customHeight="1">
      <c r="A6128" s="1"/>
      <c r="B6128" s="1"/>
      <c r="C6128" s="1"/>
      <c r="D6128" s="1"/>
      <c r="E6128" s="1"/>
      <c r="F6128" s="1"/>
      <c r="G6128" s="1"/>
      <c r="H6128" s="1"/>
      <c r="I6128" s="1"/>
      <c r="J6128" s="1"/>
      <c r="K6128" s="89" t="s">
        <v>9588</v>
      </c>
      <c r="L6128" s="89" t="str">
        <f>G300</f>
        <v>C2b1a2b</v>
      </c>
      <c r="M6128" s="89" t="s">
        <v>9589</v>
      </c>
      <c r="N6128" s="89" t="s">
        <v>9590</v>
      </c>
      <c r="O6128" s="92">
        <v>2.1893184E7</v>
      </c>
      <c r="P6128" s="92">
        <v>1.9731298E7</v>
      </c>
      <c r="Q6128" s="89" t="s">
        <v>864</v>
      </c>
      <c r="AF6128" s="1"/>
      <c r="AG6128" s="1"/>
    </row>
    <row r="6129" ht="15.75" customHeight="1">
      <c r="A6129" s="1"/>
      <c r="B6129" s="1"/>
      <c r="C6129" s="1"/>
      <c r="D6129" s="1"/>
      <c r="E6129" s="1"/>
      <c r="F6129" s="1"/>
      <c r="G6129" s="1"/>
      <c r="H6129" s="1"/>
      <c r="I6129" s="1"/>
      <c r="J6129" s="1"/>
      <c r="K6129" s="89" t="s">
        <v>9589</v>
      </c>
      <c r="L6129" s="89" t="str">
        <f>G300</f>
        <v>C2b1a2b</v>
      </c>
      <c r="M6129" s="89" t="s">
        <v>9588</v>
      </c>
      <c r="N6129" s="89" t="s">
        <v>9590</v>
      </c>
      <c r="O6129" s="92">
        <v>2.1893184E7</v>
      </c>
      <c r="P6129" s="92">
        <v>1.9731298E7</v>
      </c>
      <c r="Q6129" s="89" t="s">
        <v>864</v>
      </c>
      <c r="AF6129" s="1"/>
      <c r="AG6129" s="1"/>
    </row>
    <row r="6130" ht="15.75" customHeight="1">
      <c r="A6130" s="1"/>
      <c r="B6130" s="1"/>
      <c r="C6130" s="1"/>
      <c r="D6130" s="1"/>
      <c r="E6130" s="1"/>
      <c r="F6130" s="1"/>
      <c r="G6130" s="1"/>
      <c r="H6130" s="1"/>
      <c r="I6130" s="1"/>
      <c r="J6130" s="1"/>
      <c r="K6130" s="89" t="s">
        <v>9591</v>
      </c>
      <c r="L6130" s="89" t="str">
        <f>G300</f>
        <v>C2b1a2b</v>
      </c>
      <c r="M6130" s="89" t="s">
        <v>9592</v>
      </c>
      <c r="N6130" s="89" t="s">
        <v>9593</v>
      </c>
      <c r="O6130" s="92">
        <v>2.2091718E7</v>
      </c>
      <c r="P6130" s="92">
        <v>1.9929832E7</v>
      </c>
      <c r="Q6130" s="89" t="s">
        <v>822</v>
      </c>
      <c r="AF6130" s="1"/>
      <c r="AG6130" s="1"/>
    </row>
    <row r="6131" ht="15.75" customHeight="1">
      <c r="A6131" s="1"/>
      <c r="B6131" s="1"/>
      <c r="C6131" s="1"/>
      <c r="D6131" s="1"/>
      <c r="E6131" s="1"/>
      <c r="F6131" s="1"/>
      <c r="G6131" s="1"/>
      <c r="H6131" s="1"/>
      <c r="I6131" s="1"/>
      <c r="J6131" s="1"/>
      <c r="K6131" s="89" t="s">
        <v>9592</v>
      </c>
      <c r="L6131" s="89" t="str">
        <f>G300</f>
        <v>C2b1a2b</v>
      </c>
      <c r="M6131" s="89" t="s">
        <v>9591</v>
      </c>
      <c r="N6131" s="89" t="s">
        <v>9593</v>
      </c>
      <c r="O6131" s="92">
        <v>2.2091718E7</v>
      </c>
      <c r="P6131" s="92">
        <v>1.9929832E7</v>
      </c>
      <c r="Q6131" s="89" t="s">
        <v>822</v>
      </c>
      <c r="AF6131" s="1"/>
      <c r="AG6131" s="1"/>
    </row>
    <row r="6132" ht="15.75" customHeight="1">
      <c r="A6132" s="1"/>
      <c r="B6132" s="1"/>
      <c r="C6132" s="1"/>
      <c r="D6132" s="1"/>
      <c r="E6132" s="1"/>
      <c r="F6132" s="1"/>
      <c r="G6132" s="1"/>
      <c r="H6132" s="1"/>
      <c r="I6132" s="1"/>
      <c r="J6132" s="1"/>
      <c r="K6132" s="89" t="s">
        <v>9594</v>
      </c>
      <c r="L6132" s="89" t="str">
        <f>G300</f>
        <v>C2b1a2b</v>
      </c>
      <c r="M6132" s="89" t="s">
        <v>9595</v>
      </c>
      <c r="N6132" s="89" t="s">
        <v>9596</v>
      </c>
      <c r="O6132" s="92">
        <v>2.8768557E7</v>
      </c>
      <c r="P6132" s="92">
        <v>2.662241E7</v>
      </c>
      <c r="Q6132" s="89" t="s">
        <v>802</v>
      </c>
      <c r="AF6132" s="1"/>
      <c r="AG6132" s="1"/>
    </row>
    <row r="6133" ht="15.75" customHeight="1">
      <c r="A6133" s="1"/>
      <c r="B6133" s="1"/>
      <c r="C6133" s="1"/>
      <c r="D6133" s="1"/>
      <c r="E6133" s="1"/>
      <c r="F6133" s="1"/>
      <c r="G6133" s="1"/>
      <c r="H6133" s="1"/>
      <c r="I6133" s="1"/>
      <c r="J6133" s="1"/>
      <c r="K6133" s="89" t="s">
        <v>9595</v>
      </c>
      <c r="L6133" s="89" t="str">
        <f>G300</f>
        <v>C2b1a2b</v>
      </c>
      <c r="M6133" s="89" t="s">
        <v>9594</v>
      </c>
      <c r="N6133" s="89" t="s">
        <v>9596</v>
      </c>
      <c r="O6133" s="92">
        <v>2.8768557E7</v>
      </c>
      <c r="P6133" s="92">
        <v>2.662241E7</v>
      </c>
      <c r="Q6133" s="89" t="s">
        <v>802</v>
      </c>
      <c r="AF6133" s="1"/>
      <c r="AG6133" s="1"/>
    </row>
    <row r="6134" ht="15.75" customHeight="1">
      <c r="A6134" s="1"/>
      <c r="B6134" s="1"/>
      <c r="C6134" s="1"/>
      <c r="D6134" s="1"/>
      <c r="E6134" s="1"/>
      <c r="F6134" s="1"/>
      <c r="G6134" s="1"/>
      <c r="H6134" s="1"/>
      <c r="I6134" s="1"/>
      <c r="J6134" s="1"/>
      <c r="K6134" s="89" t="s">
        <v>9597</v>
      </c>
      <c r="L6134" s="89" t="str">
        <f>G300</f>
        <v>C2b1a2b</v>
      </c>
      <c r="M6134" s="89"/>
      <c r="N6134" s="89" t="s">
        <v>9598</v>
      </c>
      <c r="O6134" s="92">
        <v>2.1666671E7</v>
      </c>
      <c r="P6134" s="92">
        <v>1.9504785E7</v>
      </c>
      <c r="Q6134" s="89" t="s">
        <v>831</v>
      </c>
      <c r="AF6134" s="1"/>
      <c r="AG6134" s="1"/>
    </row>
    <row r="6135" ht="15.75" customHeight="1">
      <c r="A6135" s="1"/>
      <c r="B6135" s="1"/>
      <c r="C6135" s="1"/>
      <c r="D6135" s="1"/>
      <c r="E6135" s="1"/>
      <c r="F6135" s="1"/>
      <c r="G6135" s="1"/>
      <c r="H6135" s="1"/>
      <c r="I6135" s="1"/>
      <c r="J6135" s="1"/>
      <c r="K6135" s="89" t="s">
        <v>9599</v>
      </c>
      <c r="L6135" s="89" t="str">
        <f>G300</f>
        <v>C2b1a2b</v>
      </c>
      <c r="M6135" s="89"/>
      <c r="N6135" s="89" t="s">
        <v>9600</v>
      </c>
      <c r="O6135" s="92">
        <v>1.6282232E7</v>
      </c>
      <c r="P6135" s="92">
        <v>1.4170352E7</v>
      </c>
      <c r="Q6135" s="89" t="s">
        <v>802</v>
      </c>
      <c r="AF6135" s="1"/>
      <c r="AG6135" s="1"/>
    </row>
    <row r="6136" ht="15.75" customHeight="1">
      <c r="A6136" s="1"/>
      <c r="B6136" s="1"/>
      <c r="C6136" s="1"/>
      <c r="D6136" s="1"/>
      <c r="E6136" s="1"/>
      <c r="F6136" s="1"/>
      <c r="G6136" s="1"/>
      <c r="H6136" s="1"/>
      <c r="I6136" s="1"/>
      <c r="J6136" s="1"/>
      <c r="K6136" s="89" t="s">
        <v>9601</v>
      </c>
      <c r="L6136" s="89" t="str">
        <f>H301</f>
        <v>C2b1a2b1~</v>
      </c>
      <c r="M6136" s="89" t="s">
        <v>9602</v>
      </c>
      <c r="N6136" s="89"/>
      <c r="O6136" s="92">
        <v>8528351.0</v>
      </c>
      <c r="P6136" s="92">
        <v>8660310.0</v>
      </c>
      <c r="Q6136" s="89" t="s">
        <v>810</v>
      </c>
      <c r="AF6136" s="1"/>
      <c r="AG6136" s="1"/>
    </row>
    <row r="6137" ht="15.75" customHeight="1">
      <c r="A6137" s="1"/>
      <c r="B6137" s="1"/>
      <c r="C6137" s="1"/>
      <c r="D6137" s="1"/>
      <c r="E6137" s="1"/>
      <c r="F6137" s="1"/>
      <c r="G6137" s="1"/>
      <c r="H6137" s="1"/>
      <c r="I6137" s="1"/>
      <c r="J6137" s="1"/>
      <c r="K6137" s="89" t="s">
        <v>9602</v>
      </c>
      <c r="L6137" s="89" t="str">
        <f>H301</f>
        <v>C2b1a2b1~</v>
      </c>
      <c r="M6137" s="89" t="s">
        <v>9601</v>
      </c>
      <c r="N6137" s="89"/>
      <c r="O6137" s="92">
        <v>8528351.0</v>
      </c>
      <c r="P6137" s="92">
        <v>8660310.0</v>
      </c>
      <c r="Q6137" s="89" t="s">
        <v>810</v>
      </c>
      <c r="AF6137" s="1"/>
      <c r="AG6137" s="1"/>
    </row>
    <row r="6138" ht="15.75" customHeight="1">
      <c r="A6138" s="1"/>
      <c r="B6138" s="1"/>
      <c r="C6138" s="1"/>
      <c r="D6138" s="1"/>
      <c r="E6138" s="1"/>
      <c r="F6138" s="1"/>
      <c r="G6138" s="1"/>
      <c r="H6138" s="1"/>
      <c r="I6138" s="1"/>
      <c r="J6138" s="1"/>
      <c r="K6138" s="89" t="s">
        <v>9603</v>
      </c>
      <c r="L6138" s="89" t="str">
        <f>H301</f>
        <v>C2b1a2b1~</v>
      </c>
      <c r="M6138" s="89"/>
      <c r="N6138" s="89"/>
      <c r="O6138" s="92">
        <v>7664773.0</v>
      </c>
      <c r="P6138" s="92">
        <v>7796732.0</v>
      </c>
      <c r="Q6138" s="89" t="s">
        <v>879</v>
      </c>
      <c r="AF6138" s="1"/>
      <c r="AG6138" s="1"/>
    </row>
    <row r="6139" ht="15.75" customHeight="1">
      <c r="A6139" s="1"/>
      <c r="B6139" s="1"/>
      <c r="C6139" s="1"/>
      <c r="D6139" s="1"/>
      <c r="E6139" s="1"/>
      <c r="F6139" s="1"/>
      <c r="G6139" s="1"/>
      <c r="H6139" s="1"/>
      <c r="I6139" s="1"/>
      <c r="J6139" s="1"/>
      <c r="K6139" s="89" t="s">
        <v>9604</v>
      </c>
      <c r="L6139" s="89" t="str">
        <f>H301</f>
        <v>C2b1a2b1~</v>
      </c>
      <c r="M6139" s="89"/>
      <c r="N6139" s="89"/>
      <c r="O6139" s="92">
        <v>8246301.0</v>
      </c>
      <c r="P6139" s="92">
        <v>8378260.0</v>
      </c>
      <c r="Q6139" s="89" t="s">
        <v>802</v>
      </c>
      <c r="AF6139" s="1"/>
      <c r="AG6139" s="1"/>
    </row>
    <row r="6140" ht="15.75" customHeight="1">
      <c r="A6140" s="1"/>
      <c r="B6140" s="1"/>
      <c r="C6140" s="1"/>
      <c r="D6140" s="1"/>
      <c r="E6140" s="1"/>
      <c r="F6140" s="1"/>
      <c r="G6140" s="1"/>
      <c r="H6140" s="1"/>
      <c r="I6140" s="1"/>
      <c r="J6140" s="1"/>
      <c r="K6140" s="89" t="s">
        <v>9605</v>
      </c>
      <c r="L6140" s="89" t="str">
        <f t="shared" ref="L6140:L6141" si="75">H301</f>
        <v>C2b1a2b1~</v>
      </c>
      <c r="M6140" s="89"/>
      <c r="N6140" s="89"/>
      <c r="O6140" s="92">
        <v>8482114.0</v>
      </c>
      <c r="P6140" s="92">
        <v>8614073.0</v>
      </c>
      <c r="Q6140" s="93" t="s">
        <v>802</v>
      </c>
      <c r="AF6140" s="1"/>
      <c r="AG6140" s="1"/>
    </row>
    <row r="6141" ht="15.75" customHeight="1">
      <c r="A6141" s="1"/>
      <c r="B6141" s="1"/>
      <c r="C6141" s="1"/>
      <c r="D6141" s="1"/>
      <c r="E6141" s="1"/>
      <c r="F6141" s="1"/>
      <c r="G6141" s="1"/>
      <c r="H6141" s="1"/>
      <c r="I6141" s="1"/>
      <c r="J6141" s="1"/>
      <c r="K6141" s="89" t="s">
        <v>9606</v>
      </c>
      <c r="L6141" s="89" t="str">
        <f t="shared" si="75"/>
        <v>C2b1a2b2</v>
      </c>
      <c r="M6141" s="89"/>
      <c r="N6141" s="89" t="s">
        <v>9607</v>
      </c>
      <c r="O6141" s="92">
        <v>8131816.0</v>
      </c>
      <c r="P6141" s="92">
        <v>8263775.0</v>
      </c>
      <c r="Q6141" s="89" t="s">
        <v>838</v>
      </c>
      <c r="AF6141" s="1"/>
      <c r="AG6141" s="1"/>
    </row>
    <row r="6142" ht="15.75" customHeight="1">
      <c r="A6142" s="1"/>
      <c r="B6142" s="1"/>
      <c r="C6142" s="1"/>
      <c r="D6142" s="1"/>
      <c r="E6142" s="1"/>
      <c r="F6142" s="1"/>
      <c r="G6142" s="1"/>
      <c r="H6142" s="1"/>
      <c r="I6142" s="1"/>
      <c r="J6142" s="1"/>
      <c r="K6142" s="89" t="s">
        <v>9608</v>
      </c>
      <c r="L6142" s="89" t="str">
        <f>H302</f>
        <v>C2b1a2b2</v>
      </c>
      <c r="M6142" s="89"/>
      <c r="N6142" s="89" t="s">
        <v>9609</v>
      </c>
      <c r="O6142" s="92">
        <v>7739238.0</v>
      </c>
      <c r="P6142" s="92">
        <v>7871197.0</v>
      </c>
      <c r="Q6142" s="89" t="s">
        <v>810</v>
      </c>
      <c r="AF6142" s="1"/>
      <c r="AG6142" s="1"/>
    </row>
    <row r="6143" ht="15.75" customHeight="1">
      <c r="A6143" s="1"/>
      <c r="B6143" s="1"/>
      <c r="C6143" s="1"/>
      <c r="D6143" s="1"/>
      <c r="E6143" s="1"/>
      <c r="F6143" s="1"/>
      <c r="G6143" s="1"/>
      <c r="H6143" s="1"/>
      <c r="I6143" s="1"/>
      <c r="J6143" s="1"/>
      <c r="K6143" s="89" t="s">
        <v>9610</v>
      </c>
      <c r="L6143" s="89" t="str">
        <f>H302</f>
        <v>C2b1a2b2</v>
      </c>
      <c r="M6143" s="89"/>
      <c r="N6143" s="89"/>
      <c r="O6143" s="89">
        <v>1.9545799E7</v>
      </c>
      <c r="P6143" s="89">
        <v>1.7433919E7</v>
      </c>
      <c r="Q6143" s="89" t="s">
        <v>810</v>
      </c>
      <c r="AF6143" s="1"/>
      <c r="AG6143" s="1"/>
    </row>
    <row r="6144" ht="15.75" customHeight="1">
      <c r="A6144" s="1"/>
      <c r="B6144" s="1"/>
      <c r="C6144" s="1"/>
      <c r="D6144" s="1"/>
      <c r="E6144" s="1"/>
      <c r="F6144" s="1"/>
      <c r="G6144" s="1"/>
      <c r="H6144" s="1"/>
      <c r="I6144" s="1"/>
      <c r="J6144" s="1"/>
      <c r="K6144" s="89" t="s">
        <v>9611</v>
      </c>
      <c r="L6144" s="89" t="str">
        <f>H302</f>
        <v>C2b1a2b2</v>
      </c>
      <c r="M6144" s="89"/>
      <c r="N6144" s="89"/>
      <c r="O6144" s="92">
        <v>1.473446E7</v>
      </c>
      <c r="P6144" s="92">
        <v>1.2622528E7</v>
      </c>
      <c r="Q6144" s="89" t="s">
        <v>822</v>
      </c>
      <c r="AF6144" s="1"/>
      <c r="AG6144" s="1"/>
    </row>
    <row r="6145" ht="15.75" customHeight="1">
      <c r="A6145" s="1"/>
      <c r="B6145" s="1"/>
      <c r="C6145" s="1"/>
      <c r="D6145" s="1"/>
      <c r="E6145" s="1"/>
      <c r="F6145" s="1"/>
      <c r="G6145" s="1"/>
      <c r="H6145" s="1"/>
      <c r="I6145" s="1"/>
      <c r="J6145" s="1"/>
      <c r="K6145" s="89" t="s">
        <v>9612</v>
      </c>
      <c r="L6145" s="89" t="str">
        <f>H302</f>
        <v>C2b1a2b2</v>
      </c>
      <c r="M6145" s="89"/>
      <c r="N6145" s="89"/>
      <c r="O6145" s="92">
        <v>2.200768E7</v>
      </c>
      <c r="P6145" s="92">
        <v>1.9845794E7</v>
      </c>
      <c r="Q6145" s="89" t="s">
        <v>831</v>
      </c>
      <c r="AF6145" s="1"/>
      <c r="AG6145" s="1"/>
    </row>
    <row r="6146" ht="15.75" customHeight="1">
      <c r="A6146" s="1"/>
      <c r="B6146" s="1"/>
      <c r="C6146" s="1"/>
      <c r="D6146" s="1"/>
      <c r="E6146" s="1"/>
      <c r="F6146" s="1"/>
      <c r="G6146" s="1"/>
      <c r="H6146" s="1"/>
      <c r="I6146" s="1"/>
      <c r="J6146" s="1"/>
      <c r="K6146" s="89" t="s">
        <v>9613</v>
      </c>
      <c r="L6146" s="89" t="str">
        <f>H302</f>
        <v>C2b1a2b2</v>
      </c>
      <c r="M6146" s="89"/>
      <c r="N6146" s="89" t="s">
        <v>9614</v>
      </c>
      <c r="O6146" s="92">
        <v>2.33824E7</v>
      </c>
      <c r="P6146" s="92">
        <v>2.1220514E7</v>
      </c>
      <c r="Q6146" s="89" t="s">
        <v>810</v>
      </c>
      <c r="AF6146" s="1"/>
      <c r="AG6146" s="1"/>
    </row>
    <row r="6147" ht="15.75" customHeight="1">
      <c r="A6147" s="1"/>
      <c r="B6147" s="1"/>
      <c r="C6147" s="1"/>
      <c r="D6147" s="1"/>
      <c r="E6147" s="1"/>
      <c r="F6147" s="1"/>
      <c r="G6147" s="1"/>
      <c r="H6147" s="1"/>
      <c r="I6147" s="1"/>
      <c r="J6147" s="1"/>
      <c r="K6147" s="89" t="s">
        <v>9615</v>
      </c>
      <c r="L6147" s="89" t="str">
        <f>H302</f>
        <v>C2b1a2b2</v>
      </c>
      <c r="M6147" s="89"/>
      <c r="N6147" s="89" t="s">
        <v>9616</v>
      </c>
      <c r="O6147" s="92">
        <v>1.4312438E7</v>
      </c>
      <c r="P6147" s="92">
        <v>1.2191732E7</v>
      </c>
      <c r="Q6147" s="89" t="s">
        <v>802</v>
      </c>
      <c r="AF6147" s="1"/>
      <c r="AG6147" s="1"/>
    </row>
    <row r="6148" ht="15.75" customHeight="1">
      <c r="A6148" s="1"/>
      <c r="B6148" s="1"/>
      <c r="C6148" s="1"/>
      <c r="D6148" s="1"/>
      <c r="E6148" s="1"/>
      <c r="F6148" s="1"/>
      <c r="G6148" s="1"/>
      <c r="H6148" s="1"/>
      <c r="I6148" s="1"/>
      <c r="J6148" s="1"/>
      <c r="K6148" s="89" t="s">
        <v>9617</v>
      </c>
      <c r="L6148" s="89" t="str">
        <f>H302</f>
        <v>C2b1a2b2</v>
      </c>
      <c r="M6148" s="89"/>
      <c r="N6148" s="89" t="s">
        <v>9618</v>
      </c>
      <c r="O6148" s="92">
        <v>1.5940435E7</v>
      </c>
      <c r="P6148" s="92">
        <v>1.3828555E7</v>
      </c>
      <c r="Q6148" s="89" t="s">
        <v>864</v>
      </c>
      <c r="AF6148" s="1"/>
      <c r="AG6148" s="1"/>
    </row>
    <row r="6149" ht="15.75" customHeight="1">
      <c r="A6149" s="1"/>
      <c r="B6149" s="1"/>
      <c r="C6149" s="1"/>
      <c r="D6149" s="1"/>
      <c r="E6149" s="1"/>
      <c r="F6149" s="1"/>
      <c r="G6149" s="1"/>
      <c r="H6149" s="1"/>
      <c r="I6149" s="1"/>
      <c r="J6149" s="1"/>
      <c r="K6149" s="89" t="s">
        <v>9619</v>
      </c>
      <c r="L6149" s="89" t="str">
        <f>H302</f>
        <v>C2b1a2b2</v>
      </c>
      <c r="M6149" s="89"/>
      <c r="N6149" s="89" t="s">
        <v>9620</v>
      </c>
      <c r="O6149" s="92">
        <v>1.6337272E7</v>
      </c>
      <c r="P6149" s="92">
        <v>1.4225392E7</v>
      </c>
      <c r="Q6149" s="89" t="s">
        <v>917</v>
      </c>
      <c r="AF6149" s="1"/>
      <c r="AG6149" s="1"/>
    </row>
    <row r="6150" ht="15.75" customHeight="1">
      <c r="A6150" s="1"/>
      <c r="B6150" s="1"/>
      <c r="C6150" s="1"/>
      <c r="D6150" s="1"/>
      <c r="E6150" s="1"/>
      <c r="F6150" s="1"/>
      <c r="G6150" s="1"/>
      <c r="H6150" s="1"/>
      <c r="I6150" s="1"/>
      <c r="J6150" s="1"/>
      <c r="K6150" s="89" t="s">
        <v>9621</v>
      </c>
      <c r="L6150" s="89" t="str">
        <f>H302</f>
        <v>C2b1a2b2</v>
      </c>
      <c r="M6150" s="89"/>
      <c r="N6150" s="89" t="s">
        <v>9622</v>
      </c>
      <c r="O6150" s="92">
        <v>1.9402962E7</v>
      </c>
      <c r="P6150" s="92">
        <v>1.7291082E7</v>
      </c>
      <c r="Q6150" s="89" t="s">
        <v>838</v>
      </c>
      <c r="AF6150" s="1"/>
      <c r="AG6150" s="1"/>
    </row>
    <row r="6151" ht="15.75" customHeight="1">
      <c r="A6151" s="1"/>
      <c r="B6151" s="1"/>
      <c r="C6151" s="1"/>
      <c r="D6151" s="1"/>
      <c r="E6151" s="1"/>
      <c r="F6151" s="1"/>
      <c r="G6151" s="1"/>
      <c r="H6151" s="1"/>
      <c r="I6151" s="1"/>
      <c r="J6151" s="1"/>
      <c r="K6151" s="89" t="s">
        <v>9623</v>
      </c>
      <c r="L6151" s="89" t="str">
        <f>H302</f>
        <v>C2b1a2b2</v>
      </c>
      <c r="M6151" s="89"/>
      <c r="N6151" s="89"/>
      <c r="O6151" s="92">
        <v>2.8778595E7</v>
      </c>
      <c r="P6151" s="92">
        <v>2.6632448E7</v>
      </c>
      <c r="Q6151" s="89" t="s">
        <v>810</v>
      </c>
      <c r="AF6151" s="1"/>
      <c r="AG6151" s="1"/>
    </row>
    <row r="6152" ht="15.75" customHeight="1">
      <c r="A6152" s="1"/>
      <c r="B6152" s="1"/>
      <c r="C6152" s="1"/>
      <c r="D6152" s="1"/>
      <c r="E6152" s="1"/>
      <c r="F6152" s="1"/>
      <c r="G6152" s="1"/>
      <c r="H6152" s="1"/>
      <c r="I6152" s="1"/>
      <c r="J6152" s="1"/>
      <c r="K6152" s="89" t="s">
        <v>9624</v>
      </c>
      <c r="L6152" s="89" t="str">
        <f>H302</f>
        <v>C2b1a2b2</v>
      </c>
      <c r="M6152" s="89"/>
      <c r="N6152" s="89" t="s">
        <v>9625</v>
      </c>
      <c r="O6152" s="92">
        <v>9051877.0</v>
      </c>
      <c r="P6152" s="92">
        <v>9214268.0</v>
      </c>
      <c r="Q6152" s="89" t="s">
        <v>813</v>
      </c>
      <c r="AF6152" s="1"/>
      <c r="AG6152" s="1"/>
    </row>
    <row r="6153" ht="15.75" customHeight="1">
      <c r="A6153" s="1"/>
      <c r="B6153" s="1"/>
      <c r="C6153" s="1"/>
      <c r="D6153" s="1"/>
      <c r="E6153" s="1"/>
      <c r="F6153" s="1"/>
      <c r="G6153" s="1"/>
      <c r="H6153" s="1"/>
      <c r="I6153" s="1"/>
      <c r="J6153" s="1"/>
      <c r="K6153" s="89" t="s">
        <v>9626</v>
      </c>
      <c r="L6153" s="89" t="str">
        <f>I303</f>
        <v>C2b1a2b2a~</v>
      </c>
      <c r="M6153" s="89"/>
      <c r="N6153" s="89" t="s">
        <v>9627</v>
      </c>
      <c r="O6153" s="89">
        <v>7056501.0</v>
      </c>
      <c r="P6153" s="89">
        <v>7188460.0</v>
      </c>
      <c r="Q6153" s="89" t="s">
        <v>802</v>
      </c>
      <c r="AF6153" s="1"/>
      <c r="AG6153" s="1"/>
    </row>
    <row r="6154" ht="15.75" customHeight="1">
      <c r="A6154" s="1"/>
      <c r="B6154" s="1"/>
      <c r="C6154" s="1"/>
      <c r="D6154" s="1"/>
      <c r="E6154" s="1"/>
      <c r="F6154" s="1"/>
      <c r="G6154" s="1"/>
      <c r="H6154" s="1"/>
      <c r="I6154" s="1"/>
      <c r="J6154" s="1"/>
      <c r="K6154" s="89" t="s">
        <v>9628</v>
      </c>
      <c r="L6154" s="89" t="str">
        <f>I303</f>
        <v>C2b1a2b2a~</v>
      </c>
      <c r="M6154" s="89"/>
      <c r="N6154" s="89"/>
      <c r="O6154" s="92">
        <v>8399738.0</v>
      </c>
      <c r="P6154" s="92">
        <v>8531697.0</v>
      </c>
      <c r="Q6154" s="89" t="s">
        <v>879</v>
      </c>
      <c r="AF6154" s="1"/>
      <c r="AG6154" s="1"/>
    </row>
    <row r="6155" ht="15.75" customHeight="1">
      <c r="A6155" s="1"/>
      <c r="B6155" s="1"/>
      <c r="C6155" s="1"/>
      <c r="D6155" s="1"/>
      <c r="E6155" s="1"/>
      <c r="F6155" s="1"/>
      <c r="G6155" s="1"/>
      <c r="H6155" s="1"/>
      <c r="I6155" s="1"/>
      <c r="J6155" s="1"/>
      <c r="K6155" s="89" t="s">
        <v>9629</v>
      </c>
      <c r="L6155" s="89" t="str">
        <f t="shared" ref="L6155:L6156" si="76">I303</f>
        <v>C2b1a2b2a~</v>
      </c>
      <c r="M6155" s="89"/>
      <c r="N6155" s="89" t="s">
        <v>9630</v>
      </c>
      <c r="O6155" s="89">
        <v>2815306.0</v>
      </c>
      <c r="P6155" s="89">
        <v>2947265.0</v>
      </c>
      <c r="Q6155" s="89" t="s">
        <v>831</v>
      </c>
      <c r="AF6155" s="1"/>
      <c r="AG6155" s="1"/>
    </row>
    <row r="6156" ht="15.75" customHeight="1">
      <c r="A6156" s="1"/>
      <c r="B6156" s="1"/>
      <c r="C6156" s="1"/>
      <c r="D6156" s="1"/>
      <c r="E6156" s="1"/>
      <c r="F6156" s="1"/>
      <c r="G6156" s="1"/>
      <c r="H6156" s="1"/>
      <c r="I6156" s="1"/>
      <c r="J6156" s="1"/>
      <c r="K6156" s="89" t="s">
        <v>9631</v>
      </c>
      <c r="L6156" s="89" t="str">
        <f t="shared" si="76"/>
        <v>C2b1a2b2b~</v>
      </c>
      <c r="M6156" s="89"/>
      <c r="N6156" s="89"/>
      <c r="O6156" s="92">
        <v>7126834.0</v>
      </c>
      <c r="P6156" s="92">
        <v>7258793.0</v>
      </c>
      <c r="Q6156" s="89" t="s">
        <v>831</v>
      </c>
      <c r="AF6156" s="1"/>
      <c r="AG6156" s="1"/>
    </row>
    <row r="6157" ht="15.75" customHeight="1">
      <c r="A6157" s="1"/>
      <c r="B6157" s="1"/>
      <c r="C6157" s="1"/>
      <c r="D6157" s="1"/>
      <c r="E6157" s="1"/>
      <c r="F6157" s="1"/>
      <c r="G6157" s="1"/>
      <c r="H6157" s="1"/>
      <c r="I6157" s="1"/>
      <c r="J6157" s="1"/>
      <c r="K6157" s="89" t="s">
        <v>9632</v>
      </c>
      <c r="L6157" s="89" t="str">
        <f>I304</f>
        <v>C2b1a2b2b~</v>
      </c>
      <c r="M6157" s="89"/>
      <c r="N6157" s="89"/>
      <c r="O6157" s="92">
        <v>7267405.0</v>
      </c>
      <c r="P6157" s="92">
        <v>7399364.0</v>
      </c>
      <c r="Q6157" s="89" t="s">
        <v>864</v>
      </c>
      <c r="AF6157" s="1"/>
      <c r="AG6157" s="1"/>
    </row>
    <row r="6158" ht="15.75" customHeight="1">
      <c r="A6158" s="1"/>
      <c r="B6158" s="1"/>
      <c r="C6158" s="1"/>
      <c r="D6158" s="1"/>
      <c r="E6158" s="1"/>
      <c r="F6158" s="1"/>
      <c r="G6158" s="1"/>
      <c r="H6158" s="1"/>
      <c r="I6158" s="1"/>
      <c r="J6158" s="1"/>
      <c r="K6158" s="89" t="s">
        <v>9633</v>
      </c>
      <c r="L6158" s="89" t="str">
        <f>I304</f>
        <v>C2b1a2b2b~</v>
      </c>
      <c r="M6158" s="89"/>
      <c r="N6158" s="89"/>
      <c r="O6158" s="92">
        <v>7352364.0</v>
      </c>
      <c r="P6158" s="92">
        <v>7484323.0</v>
      </c>
      <c r="Q6158" s="89" t="s">
        <v>822</v>
      </c>
      <c r="AF6158" s="1"/>
      <c r="AG6158" s="1"/>
    </row>
    <row r="6159" ht="15.75" customHeight="1">
      <c r="A6159" s="1"/>
      <c r="B6159" s="1"/>
      <c r="C6159" s="1"/>
      <c r="D6159" s="1"/>
      <c r="E6159" s="1"/>
      <c r="F6159" s="1"/>
      <c r="G6159" s="1"/>
      <c r="H6159" s="1"/>
      <c r="I6159" s="1"/>
      <c r="J6159" s="1"/>
      <c r="K6159" s="89" t="s">
        <v>9634</v>
      </c>
      <c r="L6159" s="89" t="str">
        <f>I304</f>
        <v>C2b1a2b2b~</v>
      </c>
      <c r="M6159" s="89"/>
      <c r="N6159" s="89"/>
      <c r="O6159" s="92">
        <v>7616819.0</v>
      </c>
      <c r="P6159" s="92">
        <v>7748778.0</v>
      </c>
      <c r="Q6159" s="89" t="s">
        <v>802</v>
      </c>
      <c r="AF6159" s="1"/>
      <c r="AG6159" s="1"/>
    </row>
    <row r="6160" ht="15.75" customHeight="1">
      <c r="A6160" s="1"/>
      <c r="B6160" s="1"/>
      <c r="C6160" s="1"/>
      <c r="D6160" s="1"/>
      <c r="E6160" s="1"/>
      <c r="F6160" s="1"/>
      <c r="G6160" s="1"/>
      <c r="H6160" s="1"/>
      <c r="I6160" s="1"/>
      <c r="J6160" s="1"/>
      <c r="K6160" s="89" t="s">
        <v>9635</v>
      </c>
      <c r="L6160" s="89" t="str">
        <f>I304</f>
        <v>C2b1a2b2b~</v>
      </c>
      <c r="M6160" s="89"/>
      <c r="N6160" s="89"/>
      <c r="O6160" s="92">
        <v>7734496.0</v>
      </c>
      <c r="P6160" s="92">
        <v>7866455.0</v>
      </c>
      <c r="Q6160" s="89" t="s">
        <v>802</v>
      </c>
      <c r="AF6160" s="1"/>
      <c r="AG6160" s="1"/>
    </row>
    <row r="6161" ht="15.75" customHeight="1">
      <c r="A6161" s="1"/>
      <c r="B6161" s="1"/>
      <c r="C6161" s="1"/>
      <c r="D6161" s="1"/>
      <c r="E6161" s="1"/>
      <c r="F6161" s="1"/>
      <c r="G6161" s="1"/>
      <c r="H6161" s="1"/>
      <c r="I6161" s="1"/>
      <c r="J6161" s="1"/>
      <c r="K6161" s="89" t="s">
        <v>9636</v>
      </c>
      <c r="L6161" s="89" t="str">
        <f>E305</f>
        <v>C2b1b</v>
      </c>
      <c r="M6161" s="89"/>
      <c r="N6161" s="89" t="s">
        <v>9637</v>
      </c>
      <c r="O6161" s="92">
        <v>6875257.0</v>
      </c>
      <c r="P6161" s="92">
        <v>7007216.0</v>
      </c>
      <c r="Q6161" s="89" t="s">
        <v>864</v>
      </c>
      <c r="AF6161" s="1"/>
      <c r="AG6161" s="1"/>
    </row>
    <row r="6162" ht="15.75" customHeight="1">
      <c r="A6162" s="1"/>
      <c r="B6162" s="1"/>
      <c r="C6162" s="1"/>
      <c r="D6162" s="1"/>
      <c r="E6162" s="1"/>
      <c r="F6162" s="1"/>
      <c r="G6162" s="1"/>
      <c r="H6162" s="1"/>
      <c r="I6162" s="1"/>
      <c r="J6162" s="1"/>
      <c r="K6162" s="89" t="s">
        <v>9638</v>
      </c>
      <c r="L6162" s="89" t="str">
        <f>E305</f>
        <v>C2b1b</v>
      </c>
      <c r="M6162" s="89"/>
      <c r="N6162" s="89" t="s">
        <v>9639</v>
      </c>
      <c r="O6162" s="92">
        <v>2.8754648E7</v>
      </c>
      <c r="P6162" s="92">
        <v>2.6608501E7</v>
      </c>
      <c r="Q6162" s="89" t="s">
        <v>810</v>
      </c>
      <c r="AF6162" s="1"/>
      <c r="AG6162" s="1"/>
    </row>
    <row r="6163" ht="15.75" customHeight="1">
      <c r="A6163" s="1"/>
      <c r="B6163" s="1"/>
      <c r="C6163" s="1"/>
      <c r="D6163" s="1"/>
      <c r="E6163" s="1"/>
      <c r="F6163" s="1"/>
      <c r="G6163" s="1"/>
      <c r="H6163" s="1"/>
      <c r="I6163" s="1"/>
      <c r="J6163" s="1"/>
      <c r="K6163" s="89" t="s">
        <v>9640</v>
      </c>
      <c r="L6163" s="89" t="str">
        <f>E305</f>
        <v>C2b1b</v>
      </c>
      <c r="M6163" s="89" t="s">
        <v>9641</v>
      </c>
      <c r="N6163" s="89" t="s">
        <v>9642</v>
      </c>
      <c r="O6163" s="92">
        <v>2.2626218E7</v>
      </c>
      <c r="P6163" s="92">
        <v>2.0464332E7</v>
      </c>
      <c r="Q6163" s="89" t="s">
        <v>810</v>
      </c>
      <c r="AF6163" s="1"/>
      <c r="AG6163" s="1"/>
    </row>
    <row r="6164" ht="15.75" customHeight="1">
      <c r="A6164" s="1"/>
      <c r="B6164" s="1"/>
      <c r="C6164" s="1"/>
      <c r="D6164" s="1"/>
      <c r="E6164" s="1"/>
      <c r="F6164" s="1"/>
      <c r="G6164" s="1"/>
      <c r="H6164" s="1"/>
      <c r="I6164" s="1"/>
      <c r="J6164" s="1"/>
      <c r="K6164" s="89" t="s">
        <v>9641</v>
      </c>
      <c r="L6164" s="89" t="str">
        <f>E305</f>
        <v>C2b1b</v>
      </c>
      <c r="M6164" s="89" t="s">
        <v>9640</v>
      </c>
      <c r="N6164" s="89" t="s">
        <v>9642</v>
      </c>
      <c r="O6164" s="92">
        <v>2.2626218E7</v>
      </c>
      <c r="P6164" s="92">
        <v>2.0464332E7</v>
      </c>
      <c r="Q6164" s="89" t="s">
        <v>810</v>
      </c>
      <c r="AF6164" s="1"/>
      <c r="AG6164" s="1"/>
    </row>
    <row r="6165" ht="15.75" customHeight="1">
      <c r="A6165" s="1"/>
      <c r="B6165" s="1"/>
      <c r="C6165" s="1"/>
      <c r="D6165" s="1"/>
      <c r="E6165" s="1"/>
      <c r="F6165" s="1"/>
      <c r="G6165" s="1"/>
      <c r="H6165" s="1"/>
      <c r="I6165" s="1"/>
      <c r="J6165" s="1"/>
      <c r="K6165" s="89" t="s">
        <v>9643</v>
      </c>
      <c r="L6165" s="89" t="str">
        <f>E305</f>
        <v>C2b1b</v>
      </c>
      <c r="M6165" s="89"/>
      <c r="N6165" s="89" t="s">
        <v>9644</v>
      </c>
      <c r="O6165" s="92">
        <v>1.8559802E7</v>
      </c>
      <c r="P6165" s="92">
        <v>1.6447922E7</v>
      </c>
      <c r="Q6165" s="89" t="s">
        <v>845</v>
      </c>
      <c r="AF6165" s="1"/>
      <c r="AG6165" s="1"/>
    </row>
    <row r="6166" ht="15.75" customHeight="1">
      <c r="A6166" s="1"/>
      <c r="B6166" s="1"/>
      <c r="C6166" s="1"/>
      <c r="D6166" s="1"/>
      <c r="E6166" s="1"/>
      <c r="F6166" s="1"/>
      <c r="G6166" s="1"/>
      <c r="H6166" s="1"/>
      <c r="I6166" s="1"/>
      <c r="J6166" s="1"/>
      <c r="K6166" s="89" t="s">
        <v>9645</v>
      </c>
      <c r="L6166" s="89" t="str">
        <f>E305</f>
        <v>C2b1b</v>
      </c>
      <c r="M6166" s="89"/>
      <c r="N6166" s="89" t="s">
        <v>9646</v>
      </c>
      <c r="O6166" s="92">
        <v>7746826.0</v>
      </c>
      <c r="P6166" s="92">
        <v>7878785.0</v>
      </c>
      <c r="Q6166" s="89" t="s">
        <v>822</v>
      </c>
      <c r="AF6166" s="1"/>
      <c r="AG6166" s="1"/>
    </row>
    <row r="6167" ht="15.75" customHeight="1">
      <c r="A6167" s="1"/>
      <c r="B6167" s="1"/>
      <c r="C6167" s="1"/>
      <c r="D6167" s="1"/>
      <c r="E6167" s="1"/>
      <c r="F6167" s="1"/>
      <c r="G6167" s="1"/>
      <c r="H6167" s="1"/>
      <c r="I6167" s="1"/>
      <c r="J6167" s="1"/>
      <c r="K6167" s="89" t="s">
        <v>9647</v>
      </c>
      <c r="L6167" s="89" t="str">
        <f>E305</f>
        <v>C2b1b</v>
      </c>
      <c r="M6167" s="89"/>
      <c r="N6167" s="89" t="s">
        <v>9648</v>
      </c>
      <c r="O6167" s="92">
        <v>8187444.0</v>
      </c>
      <c r="P6167" s="92">
        <v>8319403.0</v>
      </c>
      <c r="Q6167" s="89" t="s">
        <v>813</v>
      </c>
      <c r="AF6167" s="1"/>
      <c r="AG6167" s="1"/>
    </row>
    <row r="6168" ht="15.75" customHeight="1">
      <c r="A6168" s="1"/>
      <c r="B6168" s="1"/>
      <c r="C6168" s="1"/>
      <c r="D6168" s="1"/>
      <c r="E6168" s="1"/>
      <c r="F6168" s="1"/>
      <c r="G6168" s="1"/>
      <c r="H6168" s="1"/>
      <c r="I6168" s="1"/>
      <c r="J6168" s="1"/>
      <c r="K6168" s="89" t="s">
        <v>9649</v>
      </c>
      <c r="L6168" s="89" t="str">
        <f>E305</f>
        <v>C2b1b</v>
      </c>
      <c r="M6168" s="89"/>
      <c r="N6168" s="89" t="s">
        <v>9650</v>
      </c>
      <c r="O6168" s="92">
        <v>1.5192965E7</v>
      </c>
      <c r="P6168" s="92">
        <v>1.3081051E7</v>
      </c>
      <c r="Q6168" s="89" t="s">
        <v>810</v>
      </c>
      <c r="AF6168" s="1"/>
      <c r="AG6168" s="1"/>
    </row>
    <row r="6169" ht="15.75" customHeight="1">
      <c r="A6169" s="1"/>
      <c r="B6169" s="1"/>
      <c r="C6169" s="1"/>
      <c r="D6169" s="1"/>
      <c r="E6169" s="1"/>
      <c r="F6169" s="1"/>
      <c r="G6169" s="1"/>
      <c r="H6169" s="1"/>
      <c r="I6169" s="1"/>
      <c r="J6169" s="1"/>
      <c r="K6169" s="89" t="s">
        <v>9651</v>
      </c>
      <c r="L6169" s="89" t="str">
        <f>E305</f>
        <v>C2b1b</v>
      </c>
      <c r="M6169" s="89"/>
      <c r="N6169" s="89" t="s">
        <v>9652</v>
      </c>
      <c r="O6169" s="92">
        <v>1.8643213E7</v>
      </c>
      <c r="P6169" s="92">
        <v>1.6531333E7</v>
      </c>
      <c r="Q6169" s="89" t="s">
        <v>838</v>
      </c>
      <c r="AF6169" s="1"/>
      <c r="AG6169" s="1"/>
    </row>
    <row r="6170" ht="15.75" customHeight="1">
      <c r="A6170" s="1"/>
      <c r="B6170" s="1"/>
      <c r="C6170" s="1"/>
      <c r="D6170" s="1"/>
      <c r="E6170" s="1"/>
      <c r="F6170" s="1"/>
      <c r="G6170" s="1"/>
      <c r="H6170" s="1"/>
      <c r="I6170" s="1"/>
      <c r="J6170" s="1"/>
      <c r="K6170" s="89" t="s">
        <v>9653</v>
      </c>
      <c r="L6170" s="89" t="str">
        <f>E305</f>
        <v>C2b1b</v>
      </c>
      <c r="M6170" s="89"/>
      <c r="N6170" s="89" t="s">
        <v>9654</v>
      </c>
      <c r="O6170" s="92">
        <v>1.9418963E7</v>
      </c>
      <c r="P6170" s="92">
        <v>1.7307083E7</v>
      </c>
      <c r="Q6170" s="89" t="s">
        <v>810</v>
      </c>
      <c r="AF6170" s="1"/>
      <c r="AG6170" s="1"/>
    </row>
    <row r="6171" ht="15.75" customHeight="1">
      <c r="A6171" s="1"/>
      <c r="B6171" s="1"/>
      <c r="C6171" s="1"/>
      <c r="D6171" s="1"/>
      <c r="E6171" s="1"/>
      <c r="F6171" s="1"/>
      <c r="G6171" s="1"/>
      <c r="H6171" s="1"/>
      <c r="I6171" s="1"/>
      <c r="J6171" s="1"/>
      <c r="K6171" s="89" t="s">
        <v>9655</v>
      </c>
      <c r="L6171" s="89" t="str">
        <f>E305</f>
        <v>C2b1b</v>
      </c>
      <c r="M6171" s="89"/>
      <c r="N6171" s="89" t="s">
        <v>9656</v>
      </c>
      <c r="O6171" s="92">
        <v>1.5912208E7</v>
      </c>
      <c r="P6171" s="92">
        <v>1.3800328E7</v>
      </c>
      <c r="Q6171" s="89" t="s">
        <v>802</v>
      </c>
      <c r="AF6171" s="1"/>
      <c r="AG6171" s="1"/>
    </row>
    <row r="6172" ht="15.75" customHeight="1">
      <c r="A6172" s="1"/>
      <c r="B6172" s="1"/>
      <c r="C6172" s="1"/>
      <c r="D6172" s="1"/>
      <c r="E6172" s="1"/>
      <c r="F6172" s="1"/>
      <c r="G6172" s="1"/>
      <c r="H6172" s="1"/>
      <c r="I6172" s="1"/>
      <c r="J6172" s="1"/>
      <c r="K6172" s="89" t="s">
        <v>9657</v>
      </c>
      <c r="L6172" s="89" t="str">
        <f>E305</f>
        <v>C2b1b</v>
      </c>
      <c r="M6172" s="89"/>
      <c r="N6172" s="89" t="s">
        <v>9658</v>
      </c>
      <c r="O6172" s="92">
        <v>8667582.0</v>
      </c>
      <c r="P6172" s="92">
        <v>8799541.0</v>
      </c>
      <c r="Q6172" s="89" t="s">
        <v>838</v>
      </c>
      <c r="AF6172" s="1"/>
      <c r="AG6172" s="1"/>
    </row>
    <row r="6173" ht="15.75" customHeight="1">
      <c r="A6173" s="1"/>
      <c r="B6173" s="1"/>
      <c r="C6173" s="1"/>
      <c r="D6173" s="1"/>
      <c r="E6173" s="1"/>
      <c r="F6173" s="1"/>
      <c r="G6173" s="1"/>
      <c r="H6173" s="1"/>
      <c r="I6173" s="1"/>
      <c r="J6173" s="1"/>
      <c r="K6173" s="89" t="s">
        <v>9659</v>
      </c>
      <c r="L6173" s="89" t="str">
        <f>E305</f>
        <v>C2b1b</v>
      </c>
      <c r="M6173" s="89"/>
      <c r="N6173" s="89" t="s">
        <v>9660</v>
      </c>
      <c r="O6173" s="92">
        <v>8770161.0</v>
      </c>
      <c r="P6173" s="92">
        <v>8902120.0</v>
      </c>
      <c r="Q6173" s="89" t="s">
        <v>810</v>
      </c>
      <c r="AF6173" s="1"/>
      <c r="AG6173" s="1"/>
    </row>
    <row r="6174" ht="15.75" customHeight="1">
      <c r="A6174" s="1"/>
      <c r="B6174" s="1"/>
      <c r="C6174" s="1"/>
      <c r="D6174" s="1"/>
      <c r="E6174" s="1"/>
      <c r="F6174" s="1"/>
      <c r="G6174" s="1"/>
      <c r="H6174" s="1"/>
      <c r="I6174" s="1"/>
      <c r="J6174" s="1"/>
      <c r="K6174" s="89" t="s">
        <v>9661</v>
      </c>
      <c r="L6174" s="89" t="str">
        <f>E305</f>
        <v>C2b1b</v>
      </c>
      <c r="M6174" s="89"/>
      <c r="N6174" s="89" t="s">
        <v>9662</v>
      </c>
      <c r="O6174" s="92">
        <v>1.8982815E7</v>
      </c>
      <c r="P6174" s="92">
        <v>1.6870935E7</v>
      </c>
      <c r="Q6174" s="89" t="s">
        <v>838</v>
      </c>
      <c r="AF6174" s="1"/>
      <c r="AG6174" s="1"/>
    </row>
    <row r="6175" ht="15.75" customHeight="1">
      <c r="A6175" s="1"/>
      <c r="B6175" s="1"/>
      <c r="C6175" s="1"/>
      <c r="D6175" s="1"/>
      <c r="E6175" s="1"/>
      <c r="F6175" s="1"/>
      <c r="G6175" s="1"/>
      <c r="H6175" s="1"/>
      <c r="I6175" s="1"/>
      <c r="J6175" s="1"/>
      <c r="K6175" s="89" t="s">
        <v>9663</v>
      </c>
      <c r="L6175" s="89" t="str">
        <f>E305</f>
        <v>C2b1b</v>
      </c>
      <c r="M6175" s="89"/>
      <c r="N6175" s="89" t="s">
        <v>9664</v>
      </c>
      <c r="O6175" s="92">
        <v>1.9266426E7</v>
      </c>
      <c r="P6175" s="92">
        <v>1.7154546E7</v>
      </c>
      <c r="Q6175" s="89" t="s">
        <v>802</v>
      </c>
      <c r="AF6175" s="1"/>
      <c r="AG6175" s="1"/>
    </row>
    <row r="6176" ht="15.75" customHeight="1">
      <c r="A6176" s="1"/>
      <c r="B6176" s="1"/>
      <c r="C6176" s="1"/>
      <c r="D6176" s="1"/>
      <c r="E6176" s="1"/>
      <c r="F6176" s="1"/>
      <c r="G6176" s="1"/>
      <c r="H6176" s="1"/>
      <c r="I6176" s="1"/>
      <c r="J6176" s="1"/>
      <c r="K6176" s="89" t="s">
        <v>9665</v>
      </c>
      <c r="L6176" s="89" t="str">
        <f t="shared" ref="L6176:L6177" si="77">E305</f>
        <v>C2b1b</v>
      </c>
      <c r="M6176" s="89"/>
      <c r="N6176" s="89" t="s">
        <v>9666</v>
      </c>
      <c r="O6176" s="92">
        <v>2.192812E7</v>
      </c>
      <c r="P6176" s="92">
        <v>1.9766234E7</v>
      </c>
      <c r="Q6176" s="89" t="s">
        <v>802</v>
      </c>
      <c r="AF6176" s="1"/>
      <c r="AG6176" s="1"/>
    </row>
    <row r="6177" ht="15.75" customHeight="1">
      <c r="A6177" s="1"/>
      <c r="B6177" s="1"/>
      <c r="C6177" s="1"/>
      <c r="D6177" s="1"/>
      <c r="E6177" s="1"/>
      <c r="F6177" s="1"/>
      <c r="G6177" s="1"/>
      <c r="H6177" s="1"/>
      <c r="I6177" s="1"/>
      <c r="J6177" s="1"/>
      <c r="K6177" s="89" t="s">
        <v>9667</v>
      </c>
      <c r="L6177" s="89" t="str">
        <f t="shared" si="77"/>
        <v>C2b1b~</v>
      </c>
      <c r="M6177" s="89" t="s">
        <v>9668</v>
      </c>
      <c r="N6177" s="89" t="s">
        <v>9669</v>
      </c>
      <c r="O6177" s="92">
        <v>1.706499E7</v>
      </c>
      <c r="P6177" s="92">
        <v>1.495311E7</v>
      </c>
      <c r="Q6177" s="89" t="s">
        <v>810</v>
      </c>
      <c r="AF6177" s="1"/>
      <c r="AG6177" s="1"/>
    </row>
    <row r="6178" ht="15.75" customHeight="1">
      <c r="A6178" s="1"/>
      <c r="B6178" s="1"/>
      <c r="C6178" s="1"/>
      <c r="D6178" s="1"/>
      <c r="E6178" s="1"/>
      <c r="F6178" s="1"/>
      <c r="G6178" s="1"/>
      <c r="H6178" s="1"/>
      <c r="I6178" s="1"/>
      <c r="J6178" s="1"/>
      <c r="K6178" s="89" t="s">
        <v>9670</v>
      </c>
      <c r="L6178" s="89" t="str">
        <f>E306</f>
        <v>C2b1b~</v>
      </c>
      <c r="M6178" s="89" t="s">
        <v>9671</v>
      </c>
      <c r="N6178" s="89" t="s">
        <v>9669</v>
      </c>
      <c r="O6178" s="92">
        <v>1.706499E7</v>
      </c>
      <c r="P6178" s="92">
        <v>1.495311E7</v>
      </c>
      <c r="Q6178" s="89" t="s">
        <v>810</v>
      </c>
      <c r="AF6178" s="1"/>
      <c r="AG6178" s="1"/>
    </row>
    <row r="6179" ht="15.75" customHeight="1">
      <c r="A6179" s="1"/>
      <c r="B6179" s="1"/>
      <c r="C6179" s="1"/>
      <c r="D6179" s="1"/>
      <c r="E6179" s="1"/>
      <c r="F6179" s="1"/>
      <c r="G6179" s="1"/>
      <c r="H6179" s="1"/>
      <c r="I6179" s="1"/>
      <c r="J6179" s="1"/>
      <c r="K6179" s="89" t="s">
        <v>9672</v>
      </c>
      <c r="L6179" s="89" t="str">
        <f>E306</f>
        <v>C2b1b~</v>
      </c>
      <c r="M6179" s="89" t="s">
        <v>9673</v>
      </c>
      <c r="N6179" s="89" t="s">
        <v>9669</v>
      </c>
      <c r="O6179" s="92">
        <v>1.706499E7</v>
      </c>
      <c r="P6179" s="92">
        <v>1.495311E7</v>
      </c>
      <c r="Q6179" s="89" t="s">
        <v>810</v>
      </c>
      <c r="AF6179" s="1"/>
      <c r="AG6179" s="1"/>
    </row>
    <row r="6180" ht="15.75" customHeight="1">
      <c r="A6180" s="1"/>
      <c r="B6180" s="1"/>
      <c r="C6180" s="1"/>
      <c r="D6180" s="1"/>
      <c r="E6180" s="1"/>
      <c r="F6180" s="1"/>
      <c r="G6180" s="1"/>
      <c r="H6180" s="1"/>
      <c r="I6180" s="1"/>
      <c r="J6180" s="1"/>
      <c r="K6180" s="89" t="s">
        <v>9674</v>
      </c>
      <c r="L6180" s="89" t="str">
        <f>E306</f>
        <v>C2b1b~</v>
      </c>
      <c r="M6180" s="89"/>
      <c r="N6180" s="89" t="s">
        <v>9675</v>
      </c>
      <c r="O6180" s="92">
        <v>1.5287865E7</v>
      </c>
      <c r="P6180" s="92">
        <v>1.3175964E7</v>
      </c>
      <c r="Q6180" s="89" t="s">
        <v>822</v>
      </c>
      <c r="AF6180" s="1"/>
      <c r="AG6180" s="1"/>
    </row>
    <row r="6181" ht="15.75" customHeight="1">
      <c r="A6181" s="1"/>
      <c r="B6181" s="1"/>
      <c r="C6181" s="1"/>
      <c r="D6181" s="1"/>
      <c r="E6181" s="1"/>
      <c r="F6181" s="1"/>
      <c r="G6181" s="1"/>
      <c r="H6181" s="1"/>
      <c r="I6181" s="1"/>
      <c r="J6181" s="1"/>
      <c r="K6181" s="93" t="s">
        <v>9676</v>
      </c>
      <c r="L6181" s="89" t="str">
        <f>E306</f>
        <v>C2b1b~</v>
      </c>
      <c r="M6181" s="89"/>
      <c r="N6181" s="89" t="s">
        <v>9677</v>
      </c>
      <c r="O6181" s="89">
        <v>2.3148807E7</v>
      </c>
      <c r="P6181" s="89">
        <v>2.0986921E7</v>
      </c>
      <c r="Q6181" s="89" t="s">
        <v>802</v>
      </c>
      <c r="AF6181" s="1"/>
      <c r="AG6181" s="1"/>
    </row>
    <row r="6182" ht="15.75" customHeight="1">
      <c r="A6182" s="1"/>
      <c r="B6182" s="1"/>
      <c r="C6182" s="1"/>
      <c r="D6182" s="1"/>
      <c r="E6182" s="1"/>
      <c r="F6182" s="1"/>
      <c r="G6182" s="1"/>
      <c r="H6182" s="1"/>
      <c r="I6182" s="1"/>
      <c r="J6182" s="1"/>
      <c r="K6182" s="89" t="s">
        <v>9678</v>
      </c>
      <c r="L6182" s="89" t="str">
        <f>E306</f>
        <v>C2b1b~</v>
      </c>
      <c r="M6182" s="89"/>
      <c r="N6182" s="89" t="s">
        <v>9679</v>
      </c>
      <c r="O6182" s="92">
        <v>1.6705762E7</v>
      </c>
      <c r="P6182" s="92">
        <v>1.4593882E7</v>
      </c>
      <c r="Q6182" s="89" t="s">
        <v>810</v>
      </c>
      <c r="AF6182" s="1"/>
      <c r="AG6182" s="1"/>
    </row>
    <row r="6183" ht="15.75" customHeight="1">
      <c r="A6183" s="1"/>
      <c r="B6183" s="1"/>
      <c r="C6183" s="1"/>
      <c r="D6183" s="1"/>
      <c r="E6183" s="1"/>
      <c r="F6183" s="1"/>
      <c r="G6183" s="1"/>
      <c r="H6183" s="1"/>
      <c r="I6183" s="1"/>
      <c r="J6183" s="1"/>
      <c r="K6183" s="89" t="s">
        <v>9680</v>
      </c>
      <c r="L6183" s="89" t="str">
        <f>E306</f>
        <v>C2b1b~</v>
      </c>
      <c r="M6183" s="89"/>
      <c r="N6183" s="89" t="s">
        <v>9681</v>
      </c>
      <c r="O6183" s="92">
        <v>2.1262641E7</v>
      </c>
      <c r="P6183" s="92">
        <v>1.9100755E7</v>
      </c>
      <c r="Q6183" s="89" t="s">
        <v>879</v>
      </c>
      <c r="AF6183" s="1"/>
      <c r="AG6183" s="1"/>
    </row>
    <row r="6184" ht="15.75" customHeight="1">
      <c r="A6184" s="1"/>
      <c r="B6184" s="1"/>
      <c r="C6184" s="1"/>
      <c r="D6184" s="1"/>
      <c r="E6184" s="1"/>
      <c r="F6184" s="1"/>
      <c r="G6184" s="1"/>
      <c r="H6184" s="1"/>
      <c r="I6184" s="1"/>
      <c r="J6184" s="1"/>
      <c r="K6184" s="89" t="s">
        <v>9682</v>
      </c>
      <c r="L6184" s="89" t="str">
        <f>E306</f>
        <v>C2b1b~</v>
      </c>
      <c r="M6184" s="89"/>
      <c r="N6184" s="89" t="s">
        <v>9683</v>
      </c>
      <c r="O6184" s="92">
        <v>1.3512873E7</v>
      </c>
      <c r="P6184" s="92">
        <v>1.1357197E7</v>
      </c>
      <c r="Q6184" s="89" t="s">
        <v>810</v>
      </c>
      <c r="AF6184" s="1"/>
      <c r="AG6184" s="1"/>
    </row>
    <row r="6185" ht="15.75" customHeight="1">
      <c r="A6185" s="1"/>
      <c r="B6185" s="1"/>
      <c r="C6185" s="1"/>
      <c r="D6185" s="1"/>
      <c r="E6185" s="1"/>
      <c r="F6185" s="1"/>
      <c r="G6185" s="1"/>
      <c r="H6185" s="1"/>
      <c r="I6185" s="1"/>
      <c r="J6185" s="1"/>
      <c r="K6185" s="89" t="s">
        <v>9684</v>
      </c>
      <c r="L6185" s="89" t="str">
        <f>F307</f>
        <v>C2b1b1</v>
      </c>
      <c r="M6185" s="89"/>
      <c r="N6185" s="89" t="s">
        <v>9685</v>
      </c>
      <c r="O6185" s="92">
        <v>2.2836292E7</v>
      </c>
      <c r="P6185" s="92">
        <v>2.0674406E7</v>
      </c>
      <c r="Q6185" s="89" t="s">
        <v>845</v>
      </c>
      <c r="AF6185" s="1"/>
      <c r="AG6185" s="1"/>
    </row>
    <row r="6186" ht="15.75" customHeight="1">
      <c r="A6186" s="1"/>
      <c r="B6186" s="1"/>
      <c r="C6186" s="1"/>
      <c r="D6186" s="1"/>
      <c r="E6186" s="1"/>
      <c r="F6186" s="1"/>
      <c r="G6186" s="1"/>
      <c r="H6186" s="1"/>
      <c r="I6186" s="1"/>
      <c r="J6186" s="1"/>
      <c r="K6186" s="89" t="s">
        <v>9686</v>
      </c>
      <c r="L6186" s="89" t="str">
        <f>F307</f>
        <v>C2b1b1</v>
      </c>
      <c r="M6186" s="89"/>
      <c r="N6186" s="89" t="s">
        <v>9687</v>
      </c>
      <c r="O6186" s="92">
        <v>1.6734196E7</v>
      </c>
      <c r="P6186" s="92">
        <v>1.4622316E7</v>
      </c>
      <c r="Q6186" s="89" t="s">
        <v>838</v>
      </c>
      <c r="AF6186" s="1"/>
      <c r="AG6186" s="1"/>
    </row>
    <row r="6187" ht="15.75" customHeight="1">
      <c r="A6187" s="1"/>
      <c r="B6187" s="1"/>
      <c r="C6187" s="1"/>
      <c r="D6187" s="1"/>
      <c r="E6187" s="1"/>
      <c r="F6187" s="1"/>
      <c r="G6187" s="1"/>
      <c r="H6187" s="1"/>
      <c r="I6187" s="1"/>
      <c r="J6187" s="1"/>
      <c r="K6187" s="89" t="s">
        <v>9688</v>
      </c>
      <c r="L6187" s="89" t="str">
        <f>F307</f>
        <v>C2b1b1</v>
      </c>
      <c r="M6187" s="89" t="s">
        <v>9689</v>
      </c>
      <c r="N6187" s="89" t="s">
        <v>9690</v>
      </c>
      <c r="O6187" s="92">
        <v>2.3634149E7</v>
      </c>
      <c r="P6187" s="92">
        <v>2.1472263E7</v>
      </c>
      <c r="Q6187" s="89" t="s">
        <v>912</v>
      </c>
      <c r="AF6187" s="1"/>
      <c r="AG6187" s="1"/>
    </row>
    <row r="6188" ht="15.75" customHeight="1">
      <c r="A6188" s="1"/>
      <c r="B6188" s="1"/>
      <c r="C6188" s="1"/>
      <c r="D6188" s="1"/>
      <c r="E6188" s="1"/>
      <c r="F6188" s="1"/>
      <c r="G6188" s="1"/>
      <c r="H6188" s="1"/>
      <c r="I6188" s="1"/>
      <c r="J6188" s="1"/>
      <c r="K6188" s="89" t="s">
        <v>9689</v>
      </c>
      <c r="L6188" s="89" t="str">
        <f>F307</f>
        <v>C2b1b1</v>
      </c>
      <c r="M6188" s="89" t="s">
        <v>9688</v>
      </c>
      <c r="N6188" s="89" t="s">
        <v>9690</v>
      </c>
      <c r="O6188" s="92">
        <v>2.3634149E7</v>
      </c>
      <c r="P6188" s="92">
        <v>2.1472263E7</v>
      </c>
      <c r="Q6188" s="89" t="s">
        <v>912</v>
      </c>
      <c r="AF6188" s="1"/>
      <c r="AG6188" s="1"/>
    </row>
    <row r="6189" ht="15.75" customHeight="1">
      <c r="A6189" s="1"/>
      <c r="B6189" s="1"/>
      <c r="C6189" s="1"/>
      <c r="D6189" s="1"/>
      <c r="E6189" s="1"/>
      <c r="F6189" s="1"/>
      <c r="G6189" s="1"/>
      <c r="H6189" s="1"/>
      <c r="I6189" s="1"/>
      <c r="J6189" s="1"/>
      <c r="K6189" s="89" t="s">
        <v>9691</v>
      </c>
      <c r="L6189" s="89" t="str">
        <f>F307</f>
        <v>C2b1b1</v>
      </c>
      <c r="M6189" s="89"/>
      <c r="N6189" s="89" t="s">
        <v>9692</v>
      </c>
      <c r="O6189" s="92">
        <v>2.2662799E7</v>
      </c>
      <c r="P6189" s="92">
        <v>2.0500913E7</v>
      </c>
      <c r="Q6189" s="89" t="s">
        <v>912</v>
      </c>
      <c r="AF6189" s="1"/>
      <c r="AG6189" s="1"/>
    </row>
    <row r="6190" ht="15.75" customHeight="1">
      <c r="A6190" s="1"/>
      <c r="B6190" s="1"/>
      <c r="C6190" s="1"/>
      <c r="D6190" s="1"/>
      <c r="E6190" s="1"/>
      <c r="F6190" s="1"/>
      <c r="G6190" s="1"/>
      <c r="H6190" s="1"/>
      <c r="I6190" s="1"/>
      <c r="J6190" s="1"/>
      <c r="K6190" s="89" t="s">
        <v>9693</v>
      </c>
      <c r="L6190" s="89" t="str">
        <f>F307</f>
        <v>C2b1b1</v>
      </c>
      <c r="M6190" s="89"/>
      <c r="N6190" s="89" t="s">
        <v>9694</v>
      </c>
      <c r="O6190" s="92">
        <v>2.35153E7</v>
      </c>
      <c r="P6190" s="92">
        <v>2.1353414E7</v>
      </c>
      <c r="Q6190" s="89" t="s">
        <v>917</v>
      </c>
      <c r="AF6190" s="1"/>
      <c r="AG6190" s="1"/>
    </row>
    <row r="6191" ht="15.75" customHeight="1">
      <c r="A6191" s="1"/>
      <c r="B6191" s="1"/>
      <c r="C6191" s="1"/>
      <c r="D6191" s="1"/>
      <c r="E6191" s="1"/>
      <c r="F6191" s="1"/>
      <c r="G6191" s="1"/>
      <c r="H6191" s="1"/>
      <c r="I6191" s="1"/>
      <c r="J6191" s="1"/>
      <c r="K6191" s="89" t="s">
        <v>9695</v>
      </c>
      <c r="L6191" s="89" t="str">
        <f t="shared" ref="L6191:L6192" si="78">F307</f>
        <v>C2b1b1</v>
      </c>
      <c r="M6191" s="89"/>
      <c r="N6191" s="89" t="s">
        <v>9696</v>
      </c>
      <c r="O6191" s="92">
        <v>1.8255114E7</v>
      </c>
      <c r="P6191" s="92">
        <v>1.6143234E7</v>
      </c>
      <c r="Q6191" s="89" t="s">
        <v>810</v>
      </c>
      <c r="AF6191" s="1"/>
      <c r="AG6191" s="1"/>
    </row>
    <row r="6192" ht="15.75" customHeight="1">
      <c r="A6192" s="1"/>
      <c r="B6192" s="1"/>
      <c r="C6192" s="1"/>
      <c r="D6192" s="1"/>
      <c r="E6192" s="1"/>
      <c r="F6192" s="1"/>
      <c r="G6192" s="1"/>
      <c r="H6192" s="1"/>
      <c r="I6192" s="1"/>
      <c r="J6192" s="1"/>
      <c r="K6192" s="89" t="s">
        <v>9697</v>
      </c>
      <c r="L6192" s="89" t="str">
        <f t="shared" si="78"/>
        <v>C2b1b1~</v>
      </c>
      <c r="M6192" s="89"/>
      <c r="N6192" s="89" t="s">
        <v>9698</v>
      </c>
      <c r="O6192" s="92">
        <v>1.7231335E7</v>
      </c>
      <c r="P6192" s="92">
        <v>1.5119455E7</v>
      </c>
      <c r="Q6192" s="89" t="s">
        <v>822</v>
      </c>
      <c r="AF6192" s="1"/>
      <c r="AG6192" s="1"/>
    </row>
    <row r="6193" ht="15.75" customHeight="1">
      <c r="A6193" s="1"/>
      <c r="B6193" s="1"/>
      <c r="C6193" s="1"/>
      <c r="D6193" s="1"/>
      <c r="E6193" s="1"/>
      <c r="F6193" s="1"/>
      <c r="G6193" s="1"/>
      <c r="H6193" s="1"/>
      <c r="I6193" s="1"/>
      <c r="J6193" s="1"/>
      <c r="K6193" s="89" t="s">
        <v>9699</v>
      </c>
      <c r="L6193" s="89" t="str">
        <f>F308</f>
        <v>C2b1b1~</v>
      </c>
      <c r="M6193" s="89"/>
      <c r="N6193" s="89" t="s">
        <v>9700</v>
      </c>
      <c r="O6193" s="92">
        <v>1.8165571E7</v>
      </c>
      <c r="P6193" s="92">
        <v>1.6053691E7</v>
      </c>
      <c r="Q6193" s="89" t="s">
        <v>802</v>
      </c>
      <c r="AF6193" s="1"/>
      <c r="AG6193" s="1"/>
    </row>
    <row r="6194" ht="15.75" customHeight="1">
      <c r="A6194" s="1"/>
      <c r="B6194" s="1"/>
      <c r="C6194" s="1"/>
      <c r="D6194" s="1"/>
      <c r="E6194" s="1"/>
      <c r="F6194" s="1"/>
      <c r="G6194" s="1"/>
      <c r="H6194" s="1"/>
      <c r="I6194" s="1"/>
      <c r="J6194" s="1"/>
      <c r="K6194" s="89" t="s">
        <v>578</v>
      </c>
      <c r="L6194" s="89" t="str">
        <f>G309</f>
        <v>C2b1b1a</v>
      </c>
      <c r="M6194" s="89"/>
      <c r="N6194" s="89" t="s">
        <v>9701</v>
      </c>
      <c r="O6194" s="92">
        <v>7654384.0</v>
      </c>
      <c r="P6194" s="92">
        <v>7786343.0</v>
      </c>
      <c r="Q6194" s="89" t="s">
        <v>810</v>
      </c>
      <c r="AF6194" s="1"/>
      <c r="AG6194" s="1"/>
    </row>
    <row r="6195" ht="15.75" customHeight="1">
      <c r="A6195" s="1"/>
      <c r="B6195" s="1"/>
      <c r="C6195" s="1"/>
      <c r="D6195" s="1"/>
      <c r="E6195" s="1"/>
      <c r="F6195" s="1"/>
      <c r="G6195" s="1"/>
      <c r="H6195" s="1"/>
      <c r="I6195" s="1"/>
      <c r="J6195" s="1"/>
      <c r="K6195" s="89" t="s">
        <v>9702</v>
      </c>
      <c r="L6195" s="89" t="str">
        <f>H310</f>
        <v>C2b1b1a1</v>
      </c>
      <c r="M6195" s="89"/>
      <c r="N6195" s="89" t="s">
        <v>9703</v>
      </c>
      <c r="O6195" s="92">
        <v>6825606.0</v>
      </c>
      <c r="P6195" s="92">
        <v>6957565.0</v>
      </c>
      <c r="Q6195" s="89" t="s">
        <v>802</v>
      </c>
      <c r="AF6195" s="1"/>
      <c r="AG6195" s="1"/>
    </row>
    <row r="6196" ht="15.75" customHeight="1">
      <c r="A6196" s="1"/>
      <c r="B6196" s="1"/>
      <c r="C6196" s="1"/>
      <c r="D6196" s="1"/>
      <c r="E6196" s="1"/>
      <c r="F6196" s="1"/>
      <c r="G6196" s="1"/>
      <c r="H6196" s="1"/>
      <c r="I6196" s="1"/>
      <c r="J6196" s="1"/>
      <c r="K6196" s="89" t="s">
        <v>9704</v>
      </c>
      <c r="L6196" s="89" t="str">
        <f>H310</f>
        <v>C2b1b1a1</v>
      </c>
      <c r="M6196" s="89"/>
      <c r="N6196" s="89" t="s">
        <v>9705</v>
      </c>
      <c r="O6196" s="92">
        <v>1.4301686E7</v>
      </c>
      <c r="P6196" s="92">
        <v>1.218098E7</v>
      </c>
      <c r="Q6196" s="89" t="s">
        <v>810</v>
      </c>
      <c r="AF6196" s="1"/>
      <c r="AG6196" s="1"/>
    </row>
    <row r="6197" ht="15.75" customHeight="1">
      <c r="A6197" s="1"/>
      <c r="B6197" s="1"/>
      <c r="C6197" s="1"/>
      <c r="D6197" s="1"/>
      <c r="E6197" s="1"/>
      <c r="F6197" s="1"/>
      <c r="G6197" s="1"/>
      <c r="H6197" s="1"/>
      <c r="I6197" s="1"/>
      <c r="J6197" s="1"/>
      <c r="K6197" s="89" t="s">
        <v>9706</v>
      </c>
      <c r="L6197" s="89" t="str">
        <f>H310</f>
        <v>C2b1b1a1</v>
      </c>
      <c r="M6197" s="89"/>
      <c r="N6197" s="89" t="s">
        <v>9707</v>
      </c>
      <c r="O6197" s="89">
        <v>7084354.0</v>
      </c>
      <c r="P6197" s="89">
        <v>7216313.0</v>
      </c>
      <c r="Q6197" s="89" t="s">
        <v>838</v>
      </c>
      <c r="AF6197" s="1"/>
      <c r="AG6197" s="1"/>
    </row>
    <row r="6198" ht="15.75" customHeight="1">
      <c r="A6198" s="1"/>
      <c r="B6198" s="1"/>
      <c r="C6198" s="1"/>
      <c r="D6198" s="1"/>
      <c r="E6198" s="1"/>
      <c r="F6198" s="1"/>
      <c r="G6198" s="1"/>
      <c r="H6198" s="1"/>
      <c r="I6198" s="1"/>
      <c r="J6198" s="1"/>
      <c r="K6198" s="89" t="s">
        <v>9708</v>
      </c>
      <c r="L6198" s="89" t="str">
        <f>H310</f>
        <v>C2b1b1a1</v>
      </c>
      <c r="M6198" s="89"/>
      <c r="N6198" s="89" t="s">
        <v>9709</v>
      </c>
      <c r="O6198" s="89">
        <v>7209724.0</v>
      </c>
      <c r="P6198" s="89">
        <v>7341683.0</v>
      </c>
      <c r="Q6198" s="89" t="s">
        <v>813</v>
      </c>
      <c r="AF6198" s="1"/>
      <c r="AG6198" s="1"/>
    </row>
    <row r="6199" ht="15.75" customHeight="1">
      <c r="A6199" s="1"/>
      <c r="B6199" s="1"/>
      <c r="C6199" s="1"/>
      <c r="D6199" s="1"/>
      <c r="E6199" s="1"/>
      <c r="F6199" s="1"/>
      <c r="G6199" s="1"/>
      <c r="H6199" s="1"/>
      <c r="I6199" s="1"/>
      <c r="J6199" s="1"/>
      <c r="K6199" s="89" t="s">
        <v>9710</v>
      </c>
      <c r="L6199" s="89" t="str">
        <f>H310</f>
        <v>C2b1b1a1</v>
      </c>
      <c r="M6199" s="89"/>
      <c r="N6199" s="89" t="s">
        <v>9711</v>
      </c>
      <c r="O6199" s="89">
        <v>8041911.0</v>
      </c>
      <c r="P6199" s="89">
        <v>8173870.0</v>
      </c>
      <c r="Q6199" s="89" t="s">
        <v>810</v>
      </c>
      <c r="AF6199" s="1"/>
      <c r="AG6199" s="1"/>
    </row>
    <row r="6200" ht="15.75" customHeight="1">
      <c r="A6200" s="1"/>
      <c r="B6200" s="1"/>
      <c r="C6200" s="1"/>
      <c r="D6200" s="1"/>
      <c r="E6200" s="1"/>
      <c r="F6200" s="1"/>
      <c r="G6200" s="1"/>
      <c r="H6200" s="1"/>
      <c r="I6200" s="1"/>
      <c r="J6200" s="1"/>
      <c r="K6200" s="89" t="s">
        <v>9712</v>
      </c>
      <c r="L6200" s="89" t="str">
        <f>H310</f>
        <v>C2b1b1a1</v>
      </c>
      <c r="M6200" s="89"/>
      <c r="N6200" s="89" t="s">
        <v>9713</v>
      </c>
      <c r="O6200" s="89">
        <v>8478404.0</v>
      </c>
      <c r="P6200" s="89">
        <v>8610363.0</v>
      </c>
      <c r="Q6200" s="89" t="s">
        <v>802</v>
      </c>
      <c r="AF6200" s="1"/>
      <c r="AG6200" s="1"/>
    </row>
    <row r="6201" ht="15.75" customHeight="1">
      <c r="A6201" s="1"/>
      <c r="B6201" s="1"/>
      <c r="C6201" s="1"/>
      <c r="D6201" s="1"/>
      <c r="E6201" s="1"/>
      <c r="F6201" s="1"/>
      <c r="G6201" s="1"/>
      <c r="H6201" s="1"/>
      <c r="I6201" s="1"/>
      <c r="J6201" s="1"/>
      <c r="K6201" s="89" t="s">
        <v>9714</v>
      </c>
      <c r="L6201" s="89" t="str">
        <f>H310</f>
        <v>C2b1b1a1</v>
      </c>
      <c r="M6201" s="89"/>
      <c r="N6201" s="89" t="s">
        <v>9715</v>
      </c>
      <c r="O6201" s="89">
        <v>8827855.0</v>
      </c>
      <c r="P6201" s="89">
        <v>8959814.0</v>
      </c>
      <c r="Q6201" s="89" t="s">
        <v>864</v>
      </c>
      <c r="AF6201" s="1"/>
      <c r="AG6201" s="1"/>
    </row>
    <row r="6202" ht="15.75" customHeight="1">
      <c r="A6202" s="1"/>
      <c r="B6202" s="1"/>
      <c r="C6202" s="1"/>
      <c r="D6202" s="1"/>
      <c r="E6202" s="1"/>
      <c r="F6202" s="1"/>
      <c r="G6202" s="1"/>
      <c r="H6202" s="1"/>
      <c r="I6202" s="1"/>
      <c r="J6202" s="1"/>
      <c r="K6202" s="89" t="s">
        <v>9716</v>
      </c>
      <c r="L6202" s="89" t="str">
        <f>H310</f>
        <v>C2b1b1a1</v>
      </c>
      <c r="M6202" s="89" t="s">
        <v>9717</v>
      </c>
      <c r="N6202" s="89" t="s">
        <v>9718</v>
      </c>
      <c r="O6202" s="89">
        <v>8843110.0</v>
      </c>
      <c r="P6202" s="89">
        <v>8975069.0</v>
      </c>
      <c r="Q6202" s="89" t="s">
        <v>822</v>
      </c>
      <c r="AF6202" s="1"/>
      <c r="AG6202" s="1"/>
    </row>
    <row r="6203" ht="15.75" customHeight="1">
      <c r="A6203" s="1"/>
      <c r="B6203" s="1"/>
      <c r="C6203" s="1"/>
      <c r="D6203" s="1"/>
      <c r="E6203" s="1"/>
      <c r="F6203" s="1"/>
      <c r="G6203" s="1"/>
      <c r="H6203" s="1"/>
      <c r="I6203" s="1"/>
      <c r="J6203" s="1"/>
      <c r="K6203" s="89" t="s">
        <v>9717</v>
      </c>
      <c r="L6203" s="89" t="str">
        <f>H310</f>
        <v>C2b1b1a1</v>
      </c>
      <c r="M6203" s="89" t="s">
        <v>9716</v>
      </c>
      <c r="N6203" s="89" t="s">
        <v>9718</v>
      </c>
      <c r="O6203" s="89">
        <v>8843110.0</v>
      </c>
      <c r="P6203" s="89">
        <v>8975069.0</v>
      </c>
      <c r="Q6203" s="89" t="s">
        <v>822</v>
      </c>
      <c r="AF6203" s="1"/>
      <c r="AG6203" s="1"/>
    </row>
    <row r="6204" ht="15.75" customHeight="1">
      <c r="A6204" s="1"/>
      <c r="B6204" s="1"/>
      <c r="C6204" s="1"/>
      <c r="D6204" s="1"/>
      <c r="E6204" s="1"/>
      <c r="F6204" s="1"/>
      <c r="G6204" s="1"/>
      <c r="H6204" s="1"/>
      <c r="I6204" s="1"/>
      <c r="J6204" s="1"/>
      <c r="K6204" s="89" t="s">
        <v>9719</v>
      </c>
      <c r="L6204" s="89" t="str">
        <f>H310</f>
        <v>C2b1b1a1</v>
      </c>
      <c r="M6204" s="89"/>
      <c r="N6204" s="89" t="s">
        <v>9720</v>
      </c>
      <c r="O6204" s="89">
        <v>9840833.0</v>
      </c>
      <c r="P6204" s="89">
        <v>1.0003224E7</v>
      </c>
      <c r="Q6204" s="89" t="s">
        <v>802</v>
      </c>
      <c r="AF6204" s="1"/>
      <c r="AG6204" s="1"/>
    </row>
    <row r="6205" ht="15.75" customHeight="1">
      <c r="A6205" s="1"/>
      <c r="B6205" s="1"/>
      <c r="C6205" s="1"/>
      <c r="D6205" s="1"/>
      <c r="E6205" s="1"/>
      <c r="F6205" s="1"/>
      <c r="G6205" s="1"/>
      <c r="H6205" s="1"/>
      <c r="I6205" s="1"/>
      <c r="J6205" s="1"/>
      <c r="K6205" s="89" t="s">
        <v>9721</v>
      </c>
      <c r="L6205" s="89" t="str">
        <f>H310</f>
        <v>C2b1b1a1</v>
      </c>
      <c r="M6205" s="89"/>
      <c r="N6205" s="89"/>
      <c r="O6205" s="89">
        <v>1.3839918E7</v>
      </c>
      <c r="P6205" s="89">
        <v>1.1719212E7</v>
      </c>
      <c r="Q6205" s="89" t="s">
        <v>886</v>
      </c>
      <c r="AF6205" s="1"/>
      <c r="AG6205" s="1"/>
    </row>
    <row r="6206" ht="15.75" customHeight="1">
      <c r="A6206" s="1"/>
      <c r="B6206" s="1"/>
      <c r="C6206" s="1"/>
      <c r="D6206" s="1"/>
      <c r="E6206" s="1"/>
      <c r="F6206" s="1"/>
      <c r="G6206" s="1"/>
      <c r="H6206" s="1"/>
      <c r="I6206" s="1"/>
      <c r="J6206" s="1"/>
      <c r="K6206" s="89" t="s">
        <v>9722</v>
      </c>
      <c r="L6206" s="89" t="str">
        <f>H310</f>
        <v>C2b1b1a1</v>
      </c>
      <c r="M6206" s="89"/>
      <c r="N6206" s="89" t="s">
        <v>9723</v>
      </c>
      <c r="O6206" s="89">
        <v>1.3991587E7</v>
      </c>
      <c r="P6206" s="89">
        <v>1.1870881E7</v>
      </c>
      <c r="Q6206" s="89" t="s">
        <v>879</v>
      </c>
      <c r="AF6206" s="1"/>
      <c r="AG6206" s="1"/>
    </row>
    <row r="6207" ht="15.75" customHeight="1">
      <c r="A6207" s="1"/>
      <c r="B6207" s="1"/>
      <c r="C6207" s="1"/>
      <c r="D6207" s="1"/>
      <c r="E6207" s="1"/>
      <c r="F6207" s="1"/>
      <c r="G6207" s="1"/>
      <c r="H6207" s="1"/>
      <c r="I6207" s="1"/>
      <c r="J6207" s="1"/>
      <c r="K6207" s="89" t="s">
        <v>9724</v>
      </c>
      <c r="L6207" s="89" t="str">
        <f>H310</f>
        <v>C2b1b1a1</v>
      </c>
      <c r="M6207" s="89"/>
      <c r="N6207" s="89" t="s">
        <v>9725</v>
      </c>
      <c r="O6207" s="89">
        <v>1.4475098E7</v>
      </c>
      <c r="P6207" s="89">
        <v>1.2354367E7</v>
      </c>
      <c r="Q6207" s="89" t="s">
        <v>886</v>
      </c>
      <c r="AF6207" s="1"/>
      <c r="AG6207" s="1"/>
    </row>
    <row r="6208" ht="15.75" customHeight="1">
      <c r="A6208" s="1"/>
      <c r="B6208" s="1"/>
      <c r="C6208" s="1"/>
      <c r="D6208" s="1"/>
      <c r="E6208" s="1"/>
      <c r="F6208" s="1"/>
      <c r="G6208" s="1"/>
      <c r="H6208" s="1"/>
      <c r="I6208" s="1"/>
      <c r="J6208" s="1"/>
      <c r="K6208" s="89" t="s">
        <v>9726</v>
      </c>
      <c r="L6208" s="89" t="str">
        <f>H310</f>
        <v>C2b1b1a1</v>
      </c>
      <c r="M6208" s="89"/>
      <c r="N6208" s="89" t="s">
        <v>9727</v>
      </c>
      <c r="O6208" s="92">
        <v>1.4973332E7</v>
      </c>
      <c r="P6208" s="92">
        <v>1.2861407E7</v>
      </c>
      <c r="Q6208" s="89" t="s">
        <v>822</v>
      </c>
      <c r="AF6208" s="1"/>
      <c r="AG6208" s="1"/>
    </row>
    <row r="6209" ht="15.75" customHeight="1">
      <c r="A6209" s="1"/>
      <c r="B6209" s="1"/>
      <c r="C6209" s="1"/>
      <c r="D6209" s="1"/>
      <c r="E6209" s="1"/>
      <c r="F6209" s="1"/>
      <c r="G6209" s="1"/>
      <c r="H6209" s="1"/>
      <c r="I6209" s="1"/>
      <c r="J6209" s="1"/>
      <c r="K6209" s="89" t="s">
        <v>9728</v>
      </c>
      <c r="L6209" s="89" t="str">
        <f>H310</f>
        <v>C2b1b1a1</v>
      </c>
      <c r="M6209" s="89"/>
      <c r="N6209" s="89" t="s">
        <v>9729</v>
      </c>
      <c r="O6209" s="89">
        <v>1.5316433E7</v>
      </c>
      <c r="P6209" s="89">
        <v>1.3204539E7</v>
      </c>
      <c r="Q6209" s="89" t="s">
        <v>810</v>
      </c>
      <c r="AF6209" s="1"/>
      <c r="AG6209" s="1"/>
    </row>
    <row r="6210" ht="15.75" customHeight="1">
      <c r="A6210" s="1"/>
      <c r="B6210" s="1"/>
      <c r="C6210" s="1"/>
      <c r="D6210" s="1"/>
      <c r="E6210" s="1"/>
      <c r="F6210" s="1"/>
      <c r="G6210" s="1"/>
      <c r="H6210" s="1"/>
      <c r="I6210" s="1"/>
      <c r="J6210" s="1"/>
      <c r="K6210" s="89" t="s">
        <v>9730</v>
      </c>
      <c r="L6210" s="89" t="str">
        <f>H310</f>
        <v>C2b1b1a1</v>
      </c>
      <c r="M6210" s="89"/>
      <c r="N6210" s="89" t="s">
        <v>9731</v>
      </c>
      <c r="O6210" s="89">
        <v>1.5861168E7</v>
      </c>
      <c r="P6210" s="89">
        <v>1.3749288E7</v>
      </c>
      <c r="Q6210" s="89" t="s">
        <v>813</v>
      </c>
      <c r="AF6210" s="1"/>
      <c r="AG6210" s="1"/>
    </row>
    <row r="6211" ht="15.75" customHeight="1">
      <c r="A6211" s="1"/>
      <c r="B6211" s="1"/>
      <c r="C6211" s="1"/>
      <c r="D6211" s="1"/>
      <c r="E6211" s="1"/>
      <c r="F6211" s="1"/>
      <c r="G6211" s="1"/>
      <c r="H6211" s="1"/>
      <c r="I6211" s="1"/>
      <c r="J6211" s="1"/>
      <c r="K6211" s="89" t="s">
        <v>9732</v>
      </c>
      <c r="L6211" s="89" t="str">
        <f>H310</f>
        <v>C2b1b1a1</v>
      </c>
      <c r="M6211" s="89"/>
      <c r="N6211" s="89" t="s">
        <v>9733</v>
      </c>
      <c r="O6211" s="89">
        <v>1.5861451E7</v>
      </c>
      <c r="P6211" s="89">
        <v>1.3749571E7</v>
      </c>
      <c r="Q6211" s="89" t="s">
        <v>813</v>
      </c>
      <c r="AF6211" s="1"/>
      <c r="AG6211" s="1"/>
    </row>
    <row r="6212" ht="15.75" customHeight="1">
      <c r="A6212" s="1"/>
      <c r="B6212" s="1"/>
      <c r="C6212" s="1"/>
      <c r="D6212" s="1"/>
      <c r="E6212" s="1"/>
      <c r="F6212" s="1"/>
      <c r="G6212" s="1"/>
      <c r="H6212" s="1"/>
      <c r="I6212" s="1"/>
      <c r="J6212" s="1"/>
      <c r="K6212" s="89" t="s">
        <v>9734</v>
      </c>
      <c r="L6212" s="89" t="str">
        <f>H310</f>
        <v>C2b1b1a1</v>
      </c>
      <c r="M6212" s="89"/>
      <c r="N6212" s="89" t="s">
        <v>9735</v>
      </c>
      <c r="O6212" s="89">
        <v>1.6193219E7</v>
      </c>
      <c r="P6212" s="89">
        <v>1.4081339E7</v>
      </c>
      <c r="Q6212" s="89" t="s">
        <v>838</v>
      </c>
      <c r="AF6212" s="1"/>
      <c r="AG6212" s="1"/>
    </row>
    <row r="6213" ht="15.75" customHeight="1">
      <c r="A6213" s="1"/>
      <c r="B6213" s="1"/>
      <c r="C6213" s="1"/>
      <c r="D6213" s="1"/>
      <c r="E6213" s="1"/>
      <c r="F6213" s="1"/>
      <c r="G6213" s="1"/>
      <c r="H6213" s="1"/>
      <c r="I6213" s="1"/>
      <c r="J6213" s="1"/>
      <c r="K6213" s="89" t="s">
        <v>9736</v>
      </c>
      <c r="L6213" s="89" t="str">
        <f>H310</f>
        <v>C2b1b1a1</v>
      </c>
      <c r="M6213" s="89"/>
      <c r="N6213" s="89" t="s">
        <v>9737</v>
      </c>
      <c r="O6213" s="92">
        <v>1.7205462E7</v>
      </c>
      <c r="P6213" s="92">
        <v>1.5093582E7</v>
      </c>
      <c r="Q6213" s="89" t="s">
        <v>822</v>
      </c>
      <c r="AF6213" s="1"/>
      <c r="AG6213" s="1"/>
    </row>
    <row r="6214" ht="15.75" customHeight="1">
      <c r="A6214" s="1"/>
      <c r="B6214" s="1"/>
      <c r="C6214" s="1"/>
      <c r="D6214" s="1"/>
      <c r="E6214" s="1"/>
      <c r="F6214" s="1"/>
      <c r="G6214" s="1"/>
      <c r="H6214" s="1"/>
      <c r="I6214" s="1"/>
      <c r="J6214" s="1"/>
      <c r="K6214" s="89" t="s">
        <v>9738</v>
      </c>
      <c r="L6214" s="89" t="str">
        <f>H310</f>
        <v>C2b1b1a1</v>
      </c>
      <c r="M6214" s="89"/>
      <c r="N6214" s="89" t="s">
        <v>9739</v>
      </c>
      <c r="O6214" s="89">
        <v>1.7910192E7</v>
      </c>
      <c r="P6214" s="89">
        <v>1.5798312E7</v>
      </c>
      <c r="Q6214" s="89" t="s">
        <v>879</v>
      </c>
      <c r="AF6214" s="1"/>
      <c r="AG6214" s="1"/>
    </row>
    <row r="6215" ht="15.75" customHeight="1">
      <c r="A6215" s="1"/>
      <c r="B6215" s="1"/>
      <c r="C6215" s="1"/>
      <c r="D6215" s="1"/>
      <c r="E6215" s="1"/>
      <c r="F6215" s="1"/>
      <c r="G6215" s="1"/>
      <c r="H6215" s="1"/>
      <c r="I6215" s="1"/>
      <c r="J6215" s="1"/>
      <c r="K6215" s="89" t="s">
        <v>9740</v>
      </c>
      <c r="L6215" s="89" t="str">
        <f>H310</f>
        <v>C2b1b1a1</v>
      </c>
      <c r="M6215" s="89"/>
      <c r="N6215" s="89" t="s">
        <v>9741</v>
      </c>
      <c r="O6215" s="92">
        <v>1.9530751E7</v>
      </c>
      <c r="P6215" s="92">
        <v>1.7418871E7</v>
      </c>
      <c r="Q6215" s="89" t="s">
        <v>810</v>
      </c>
      <c r="AF6215" s="1"/>
      <c r="AG6215" s="1"/>
    </row>
    <row r="6216" ht="15.75" customHeight="1">
      <c r="A6216" s="1"/>
      <c r="B6216" s="1"/>
      <c r="C6216" s="1"/>
      <c r="D6216" s="1"/>
      <c r="E6216" s="1"/>
      <c r="F6216" s="1"/>
      <c r="G6216" s="1"/>
      <c r="H6216" s="1"/>
      <c r="I6216" s="1"/>
      <c r="J6216" s="1"/>
      <c r="K6216" s="89" t="s">
        <v>9742</v>
      </c>
      <c r="L6216" s="89" t="str">
        <f>H310</f>
        <v>C2b1b1a1</v>
      </c>
      <c r="M6216" s="89"/>
      <c r="N6216" s="89" t="s">
        <v>9743</v>
      </c>
      <c r="O6216" s="89">
        <v>2691258.0</v>
      </c>
      <c r="P6216" s="89">
        <v>2823217.0</v>
      </c>
      <c r="Q6216" s="89" t="s">
        <v>838</v>
      </c>
      <c r="AF6216" s="1"/>
      <c r="AG6216" s="1"/>
    </row>
    <row r="6217" ht="15.75" customHeight="1">
      <c r="A6217" s="1"/>
      <c r="B6217" s="1"/>
      <c r="C6217" s="1"/>
      <c r="D6217" s="1"/>
      <c r="E6217" s="1"/>
      <c r="F6217" s="1"/>
      <c r="G6217" s="1"/>
      <c r="H6217" s="1"/>
      <c r="I6217" s="1"/>
      <c r="J6217" s="1"/>
      <c r="K6217" s="89" t="s">
        <v>9744</v>
      </c>
      <c r="L6217" s="89" t="str">
        <f>H310</f>
        <v>C2b1b1a1</v>
      </c>
      <c r="M6217" s="89"/>
      <c r="N6217" s="89" t="s">
        <v>9745</v>
      </c>
      <c r="O6217" s="89">
        <v>1.8948516E7</v>
      </c>
      <c r="P6217" s="89">
        <v>1.6836636E7</v>
      </c>
      <c r="Q6217" s="89" t="s">
        <v>838</v>
      </c>
      <c r="AF6217" s="1"/>
      <c r="AG6217" s="1"/>
    </row>
    <row r="6218" ht="15.75" customHeight="1">
      <c r="A6218" s="1"/>
      <c r="B6218" s="1"/>
      <c r="C6218" s="1"/>
      <c r="D6218" s="1"/>
      <c r="E6218" s="1"/>
      <c r="F6218" s="1"/>
      <c r="G6218" s="1"/>
      <c r="H6218" s="1"/>
      <c r="I6218" s="1"/>
      <c r="J6218" s="1"/>
      <c r="K6218" s="89" t="s">
        <v>9746</v>
      </c>
      <c r="L6218" s="89" t="str">
        <f>H310</f>
        <v>C2b1b1a1</v>
      </c>
      <c r="M6218" s="89"/>
      <c r="N6218" s="89" t="s">
        <v>9747</v>
      </c>
      <c r="O6218" s="89">
        <v>6655854.0</v>
      </c>
      <c r="P6218" s="89">
        <v>6787813.0</v>
      </c>
      <c r="Q6218" s="89" t="s">
        <v>810</v>
      </c>
      <c r="AF6218" s="1"/>
      <c r="AG6218" s="1"/>
    </row>
    <row r="6219" ht="15.75" customHeight="1">
      <c r="A6219" s="1"/>
      <c r="B6219" s="1"/>
      <c r="C6219" s="1"/>
      <c r="D6219" s="1"/>
      <c r="E6219" s="1"/>
      <c r="F6219" s="1"/>
      <c r="G6219" s="1"/>
      <c r="H6219" s="1"/>
      <c r="I6219" s="1"/>
      <c r="J6219" s="1"/>
      <c r="K6219" s="89" t="s">
        <v>9748</v>
      </c>
      <c r="L6219" s="89" t="str">
        <f>H310</f>
        <v>C2b1b1a1</v>
      </c>
      <c r="M6219" s="89"/>
      <c r="N6219" s="89"/>
      <c r="O6219" s="89">
        <v>7775885.0</v>
      </c>
      <c r="P6219" s="89">
        <v>7907844.0</v>
      </c>
      <c r="Q6219" s="89" t="s">
        <v>864</v>
      </c>
      <c r="AF6219" s="1"/>
      <c r="AG6219" s="1"/>
    </row>
    <row r="6220" ht="15.75" customHeight="1">
      <c r="A6220" s="1"/>
      <c r="B6220" s="1"/>
      <c r="C6220" s="1"/>
      <c r="D6220" s="1"/>
      <c r="E6220" s="1"/>
      <c r="F6220" s="1"/>
      <c r="G6220" s="1"/>
      <c r="H6220" s="1"/>
      <c r="I6220" s="1"/>
      <c r="J6220" s="1"/>
      <c r="K6220" s="89" t="s">
        <v>9749</v>
      </c>
      <c r="L6220" s="89" t="str">
        <f>H310</f>
        <v>C2b1b1a1</v>
      </c>
      <c r="M6220" s="89"/>
      <c r="N6220" s="89"/>
      <c r="O6220" s="89">
        <v>1.3811773E7</v>
      </c>
      <c r="P6220" s="89">
        <v>1.1691067E7</v>
      </c>
      <c r="Q6220" s="89" t="s">
        <v>810</v>
      </c>
      <c r="AF6220" s="1"/>
      <c r="AG6220" s="1"/>
    </row>
    <row r="6221" ht="15.75" customHeight="1">
      <c r="A6221" s="1"/>
      <c r="B6221" s="1"/>
      <c r="C6221" s="1"/>
      <c r="D6221" s="1"/>
      <c r="E6221" s="1"/>
      <c r="F6221" s="1"/>
      <c r="G6221" s="1"/>
      <c r="H6221" s="1"/>
      <c r="I6221" s="1"/>
      <c r="J6221" s="1"/>
      <c r="K6221" s="89" t="s">
        <v>9750</v>
      </c>
      <c r="L6221" s="89" t="str">
        <f>H310</f>
        <v>C2b1b1a1</v>
      </c>
      <c r="M6221" s="89"/>
      <c r="N6221" s="89" t="s">
        <v>9751</v>
      </c>
      <c r="O6221" s="89">
        <v>1.4495229E7</v>
      </c>
      <c r="P6221" s="89">
        <v>1.2383426E7</v>
      </c>
      <c r="Q6221" s="89" t="s">
        <v>864</v>
      </c>
      <c r="AF6221" s="1"/>
      <c r="AG6221" s="1"/>
    </row>
    <row r="6222" ht="15.75" customHeight="1">
      <c r="A6222" s="1"/>
      <c r="B6222" s="1"/>
      <c r="C6222" s="1"/>
      <c r="D6222" s="1"/>
      <c r="E6222" s="1"/>
      <c r="F6222" s="1"/>
      <c r="G6222" s="1"/>
      <c r="H6222" s="1"/>
      <c r="I6222" s="1"/>
      <c r="J6222" s="1"/>
      <c r="K6222" s="89" t="s">
        <v>9752</v>
      </c>
      <c r="L6222" s="89" t="str">
        <f>H310</f>
        <v>C2b1b1a1</v>
      </c>
      <c r="M6222" s="89"/>
      <c r="N6222" s="89"/>
      <c r="O6222" s="89">
        <v>1.4807311E7</v>
      </c>
      <c r="P6222" s="89">
        <v>1.2695382E7</v>
      </c>
      <c r="Q6222" s="89" t="s">
        <v>802</v>
      </c>
      <c r="AF6222" s="1"/>
      <c r="AG6222" s="1"/>
    </row>
    <row r="6223" ht="15.75" customHeight="1">
      <c r="A6223" s="1"/>
      <c r="B6223" s="1"/>
      <c r="C6223" s="1"/>
      <c r="D6223" s="1"/>
      <c r="E6223" s="1"/>
      <c r="F6223" s="1"/>
      <c r="G6223" s="1"/>
      <c r="H6223" s="1"/>
      <c r="I6223" s="1"/>
      <c r="J6223" s="1"/>
      <c r="K6223" s="89" t="s">
        <v>9753</v>
      </c>
      <c r="L6223" s="89" t="str">
        <f>H310</f>
        <v>C2b1b1a1</v>
      </c>
      <c r="M6223" s="89"/>
      <c r="N6223" s="89"/>
      <c r="O6223" s="89">
        <v>1.482355E7</v>
      </c>
      <c r="P6223" s="89">
        <v>1.2711617E7</v>
      </c>
      <c r="Q6223" s="89" t="s">
        <v>864</v>
      </c>
      <c r="AF6223" s="1"/>
      <c r="AG6223" s="1"/>
    </row>
    <row r="6224" ht="15.75" customHeight="1">
      <c r="A6224" s="1"/>
      <c r="B6224" s="1"/>
      <c r="C6224" s="1"/>
      <c r="D6224" s="1"/>
      <c r="E6224" s="1"/>
      <c r="F6224" s="1"/>
      <c r="G6224" s="1"/>
      <c r="H6224" s="1"/>
      <c r="I6224" s="1"/>
      <c r="J6224" s="1"/>
      <c r="K6224" s="89" t="s">
        <v>9754</v>
      </c>
      <c r="L6224" s="89" t="str">
        <f>H310</f>
        <v>C2b1b1a1</v>
      </c>
      <c r="M6224" s="89"/>
      <c r="N6224" s="89" t="s">
        <v>9755</v>
      </c>
      <c r="O6224" s="89">
        <v>1.4952498E7</v>
      </c>
      <c r="P6224" s="89">
        <v>1.2840572E7</v>
      </c>
      <c r="Q6224" s="89" t="s">
        <v>845</v>
      </c>
      <c r="AF6224" s="1"/>
      <c r="AG6224" s="1"/>
    </row>
    <row r="6225" ht="15.75" customHeight="1">
      <c r="A6225" s="1"/>
      <c r="B6225" s="1"/>
      <c r="C6225" s="1"/>
      <c r="D6225" s="1"/>
      <c r="E6225" s="1"/>
      <c r="F6225" s="1"/>
      <c r="G6225" s="1"/>
      <c r="H6225" s="1"/>
      <c r="I6225" s="1"/>
      <c r="J6225" s="1"/>
      <c r="K6225" s="89" t="s">
        <v>9756</v>
      </c>
      <c r="L6225" s="89" t="str">
        <f>H310</f>
        <v>C2b1b1a1</v>
      </c>
      <c r="M6225" s="89"/>
      <c r="N6225" s="89" t="s">
        <v>9757</v>
      </c>
      <c r="O6225" s="89">
        <v>1.506771E7</v>
      </c>
      <c r="P6225" s="89">
        <v>1.2955801E7</v>
      </c>
      <c r="Q6225" s="89" t="s">
        <v>879</v>
      </c>
      <c r="AF6225" s="1"/>
      <c r="AG6225" s="1"/>
    </row>
    <row r="6226" ht="15.75" customHeight="1">
      <c r="A6226" s="1"/>
      <c r="B6226" s="1"/>
      <c r="C6226" s="1"/>
      <c r="D6226" s="1"/>
      <c r="E6226" s="1"/>
      <c r="F6226" s="1"/>
      <c r="G6226" s="1"/>
      <c r="H6226" s="1"/>
      <c r="I6226" s="1"/>
      <c r="J6226" s="1"/>
      <c r="K6226" s="89" t="s">
        <v>9758</v>
      </c>
      <c r="L6226" s="89" t="str">
        <f>H310</f>
        <v>C2b1b1a1</v>
      </c>
      <c r="M6226" s="89"/>
      <c r="N6226" s="89" t="s">
        <v>9759</v>
      </c>
      <c r="O6226" s="89">
        <v>1.6720464E7</v>
      </c>
      <c r="P6226" s="89">
        <v>1.4608584E7</v>
      </c>
      <c r="Q6226" s="89" t="s">
        <v>802</v>
      </c>
      <c r="AF6226" s="1"/>
      <c r="AG6226" s="1"/>
    </row>
    <row r="6227" ht="15.75" customHeight="1">
      <c r="A6227" s="1"/>
      <c r="B6227" s="1"/>
      <c r="C6227" s="1"/>
      <c r="D6227" s="1"/>
      <c r="E6227" s="1"/>
      <c r="F6227" s="1"/>
      <c r="G6227" s="1"/>
      <c r="H6227" s="1"/>
      <c r="I6227" s="1"/>
      <c r="J6227" s="1"/>
      <c r="K6227" s="89" t="s">
        <v>9760</v>
      </c>
      <c r="L6227" s="89" t="str">
        <f>H310</f>
        <v>C2b1b1a1</v>
      </c>
      <c r="M6227" s="89"/>
      <c r="N6227" s="89" t="s">
        <v>9761</v>
      </c>
      <c r="O6227" s="89">
        <v>1.6741765E7</v>
      </c>
      <c r="P6227" s="89">
        <v>1.4629885E7</v>
      </c>
      <c r="Q6227" s="89" t="s">
        <v>831</v>
      </c>
      <c r="AF6227" s="1"/>
      <c r="AG6227" s="1"/>
    </row>
    <row r="6228" ht="15.75" customHeight="1">
      <c r="A6228" s="1"/>
      <c r="B6228" s="1"/>
      <c r="C6228" s="1"/>
      <c r="D6228" s="1"/>
      <c r="E6228" s="1"/>
      <c r="F6228" s="1"/>
      <c r="G6228" s="1"/>
      <c r="H6228" s="1"/>
      <c r="I6228" s="1"/>
      <c r="J6228" s="1"/>
      <c r="K6228" s="89" t="s">
        <v>9762</v>
      </c>
      <c r="L6228" s="89" t="str">
        <f>H310</f>
        <v>C2b1b1a1</v>
      </c>
      <c r="M6228" s="89"/>
      <c r="N6228" s="89" t="s">
        <v>9763</v>
      </c>
      <c r="O6228" s="89">
        <v>1.7417515E7</v>
      </c>
      <c r="P6228" s="89">
        <v>1.5305635E7</v>
      </c>
      <c r="Q6228" s="89" t="s">
        <v>917</v>
      </c>
      <c r="AF6228" s="1"/>
      <c r="AG6228" s="1"/>
    </row>
    <row r="6229" ht="15.75" customHeight="1">
      <c r="A6229" s="1"/>
      <c r="B6229" s="1"/>
      <c r="C6229" s="1"/>
      <c r="D6229" s="1"/>
      <c r="E6229" s="1"/>
      <c r="F6229" s="1"/>
      <c r="G6229" s="1"/>
      <c r="H6229" s="1"/>
      <c r="I6229" s="1"/>
      <c r="J6229" s="1"/>
      <c r="K6229" s="89" t="s">
        <v>9764</v>
      </c>
      <c r="L6229" s="89" t="str">
        <f>H310</f>
        <v>C2b1b1a1</v>
      </c>
      <c r="M6229" s="89"/>
      <c r="N6229" s="89" t="s">
        <v>9765</v>
      </c>
      <c r="O6229" s="92">
        <v>2.1141987E7</v>
      </c>
      <c r="P6229" s="92">
        <v>1.8980101E7</v>
      </c>
      <c r="Q6229" s="89" t="s">
        <v>864</v>
      </c>
      <c r="AF6229" s="1"/>
      <c r="AG6229" s="1"/>
    </row>
    <row r="6230" ht="15.75" customHeight="1">
      <c r="A6230" s="1"/>
      <c r="B6230" s="1"/>
      <c r="C6230" s="1"/>
      <c r="D6230" s="1"/>
      <c r="E6230" s="1"/>
      <c r="F6230" s="1"/>
      <c r="G6230" s="1"/>
      <c r="H6230" s="1"/>
      <c r="I6230" s="1"/>
      <c r="J6230" s="1"/>
      <c r="K6230" s="89" t="s">
        <v>9766</v>
      </c>
      <c r="L6230" s="89" t="str">
        <f>H310</f>
        <v>C2b1b1a1</v>
      </c>
      <c r="M6230" s="89"/>
      <c r="N6230" s="89" t="s">
        <v>9767</v>
      </c>
      <c r="O6230" s="89">
        <v>2.14521E7</v>
      </c>
      <c r="P6230" s="89">
        <v>1.9290214E7</v>
      </c>
      <c r="Q6230" s="89" t="s">
        <v>864</v>
      </c>
      <c r="AF6230" s="1"/>
      <c r="AG6230" s="1"/>
    </row>
    <row r="6231" ht="15.75" customHeight="1">
      <c r="A6231" s="1"/>
      <c r="B6231" s="1"/>
      <c r="C6231" s="1"/>
      <c r="D6231" s="1"/>
      <c r="E6231" s="1"/>
      <c r="F6231" s="1"/>
      <c r="G6231" s="1"/>
      <c r="H6231" s="1"/>
      <c r="I6231" s="1"/>
      <c r="J6231" s="1"/>
      <c r="K6231" s="89" t="s">
        <v>9768</v>
      </c>
      <c r="L6231" s="89" t="str">
        <f>H310</f>
        <v>C2b1b1a1</v>
      </c>
      <c r="M6231" s="89"/>
      <c r="N6231" s="89" t="s">
        <v>9769</v>
      </c>
      <c r="O6231" s="89">
        <v>2.1533983E7</v>
      </c>
      <c r="P6231" s="89">
        <v>1.9372097E7</v>
      </c>
      <c r="Q6231" s="89" t="s">
        <v>822</v>
      </c>
      <c r="AF6231" s="1"/>
      <c r="AG6231" s="1"/>
    </row>
    <row r="6232" ht="15.75" customHeight="1">
      <c r="A6232" s="1"/>
      <c r="B6232" s="1"/>
      <c r="C6232" s="1"/>
      <c r="D6232" s="1"/>
      <c r="E6232" s="1"/>
      <c r="F6232" s="1"/>
      <c r="G6232" s="1"/>
      <c r="H6232" s="1"/>
      <c r="I6232" s="1"/>
      <c r="J6232" s="1"/>
      <c r="K6232" s="89" t="s">
        <v>9770</v>
      </c>
      <c r="L6232" s="89" t="str">
        <f>H310</f>
        <v>C2b1b1a1</v>
      </c>
      <c r="M6232" s="89"/>
      <c r="N6232" s="89" t="s">
        <v>9771</v>
      </c>
      <c r="O6232" s="89">
        <v>2.1881111E7</v>
      </c>
      <c r="P6232" s="89">
        <v>1.9719225E7</v>
      </c>
      <c r="Q6232" s="89" t="s">
        <v>822</v>
      </c>
      <c r="AF6232" s="1"/>
      <c r="AG6232" s="1"/>
    </row>
    <row r="6233" ht="15.75" customHeight="1">
      <c r="A6233" s="1"/>
      <c r="B6233" s="1"/>
      <c r="C6233" s="1"/>
      <c r="D6233" s="1"/>
      <c r="E6233" s="1"/>
      <c r="F6233" s="1"/>
      <c r="G6233" s="1"/>
      <c r="H6233" s="1"/>
      <c r="I6233" s="1"/>
      <c r="J6233" s="1"/>
      <c r="K6233" s="89" t="s">
        <v>9772</v>
      </c>
      <c r="L6233" s="89" t="str">
        <f>H310</f>
        <v>C2b1b1a1</v>
      </c>
      <c r="M6233" s="89"/>
      <c r="N6233" s="89"/>
      <c r="O6233" s="89">
        <v>2.2113476E7</v>
      </c>
      <c r="P6233" s="89">
        <v>1.995159E7</v>
      </c>
      <c r="Q6233" s="89" t="s">
        <v>845</v>
      </c>
      <c r="AF6233" s="1"/>
      <c r="AG6233" s="1"/>
    </row>
    <row r="6234" ht="15.75" customHeight="1">
      <c r="A6234" s="1"/>
      <c r="B6234" s="1"/>
      <c r="C6234" s="1"/>
      <c r="D6234" s="1"/>
      <c r="E6234" s="1"/>
      <c r="F6234" s="1"/>
      <c r="G6234" s="1"/>
      <c r="H6234" s="1"/>
      <c r="I6234" s="1"/>
      <c r="J6234" s="1"/>
      <c r="K6234" s="89" t="s">
        <v>9773</v>
      </c>
      <c r="L6234" s="89" t="str">
        <f>H310</f>
        <v>C2b1b1a1</v>
      </c>
      <c r="M6234" s="89"/>
      <c r="N6234" s="89"/>
      <c r="O6234" s="92">
        <v>2.263008E7</v>
      </c>
      <c r="P6234" s="92">
        <v>2.0468194E7</v>
      </c>
      <c r="Q6234" s="89" t="s">
        <v>810</v>
      </c>
      <c r="AF6234" s="1"/>
      <c r="AG6234" s="1"/>
    </row>
    <row r="6235" ht="15.75" customHeight="1">
      <c r="A6235" s="1"/>
      <c r="B6235" s="1"/>
      <c r="C6235" s="1"/>
      <c r="D6235" s="1"/>
      <c r="E6235" s="1"/>
      <c r="F6235" s="1"/>
      <c r="G6235" s="1"/>
      <c r="H6235" s="1"/>
      <c r="I6235" s="1"/>
      <c r="J6235" s="1"/>
      <c r="K6235" s="89" t="s">
        <v>9774</v>
      </c>
      <c r="L6235" s="89" t="str">
        <f>H310</f>
        <v>C2b1b1a1</v>
      </c>
      <c r="M6235" s="89"/>
      <c r="N6235" s="89" t="s">
        <v>9775</v>
      </c>
      <c r="O6235" s="89">
        <v>2.2823973E7</v>
      </c>
      <c r="P6235" s="89">
        <v>2.0662087E7</v>
      </c>
      <c r="Q6235" s="89" t="s">
        <v>802</v>
      </c>
      <c r="AF6235" s="1"/>
      <c r="AG6235" s="1"/>
    </row>
    <row r="6236" ht="15.75" customHeight="1">
      <c r="A6236" s="1"/>
      <c r="B6236" s="1"/>
      <c r="C6236" s="1"/>
      <c r="D6236" s="1"/>
      <c r="E6236" s="1"/>
      <c r="F6236" s="1"/>
      <c r="G6236" s="1"/>
      <c r="H6236" s="1"/>
      <c r="I6236" s="1"/>
      <c r="J6236" s="1"/>
      <c r="K6236" s="89" t="s">
        <v>9776</v>
      </c>
      <c r="L6236" s="89" t="str">
        <f>H310</f>
        <v>C2b1b1a1</v>
      </c>
      <c r="M6236" s="89"/>
      <c r="N6236" s="89"/>
      <c r="O6236" s="89">
        <v>2.3259377E7</v>
      </c>
      <c r="P6236" s="89">
        <v>2.1097491E7</v>
      </c>
      <c r="Q6236" s="89" t="s">
        <v>831</v>
      </c>
      <c r="AF6236" s="1"/>
      <c r="AG6236" s="1"/>
    </row>
    <row r="6237" ht="15.75" customHeight="1">
      <c r="A6237" s="1"/>
      <c r="B6237" s="1"/>
      <c r="C6237" s="1"/>
      <c r="D6237" s="1"/>
      <c r="E6237" s="1"/>
      <c r="F6237" s="1"/>
      <c r="G6237" s="1"/>
      <c r="H6237" s="1"/>
      <c r="I6237" s="1"/>
      <c r="J6237" s="1"/>
      <c r="K6237" s="89" t="s">
        <v>9777</v>
      </c>
      <c r="L6237" s="89" t="str">
        <f>H310</f>
        <v>C2b1b1a1</v>
      </c>
      <c r="M6237" s="89"/>
      <c r="N6237" s="89" t="s">
        <v>9778</v>
      </c>
      <c r="O6237" s="89">
        <v>2.3447013E7</v>
      </c>
      <c r="P6237" s="89">
        <v>2.1285127E7</v>
      </c>
      <c r="Q6237" s="89" t="s">
        <v>845</v>
      </c>
      <c r="AF6237" s="1"/>
      <c r="AG6237" s="1"/>
    </row>
    <row r="6238" ht="15.75" customHeight="1">
      <c r="A6238" s="1"/>
      <c r="B6238" s="1"/>
      <c r="C6238" s="1"/>
      <c r="D6238" s="1"/>
      <c r="E6238" s="1"/>
      <c r="F6238" s="1"/>
      <c r="G6238" s="1"/>
      <c r="H6238" s="1"/>
      <c r="I6238" s="1"/>
      <c r="J6238" s="1"/>
      <c r="K6238" s="89" t="s">
        <v>9779</v>
      </c>
      <c r="L6238" s="89" t="str">
        <f>H310</f>
        <v>C2b1b1a1</v>
      </c>
      <c r="M6238" s="89"/>
      <c r="N6238" s="89" t="s">
        <v>9780</v>
      </c>
      <c r="O6238" s="89">
        <v>2.3488997E7</v>
      </c>
      <c r="P6238" s="89">
        <v>2.1327111E7</v>
      </c>
      <c r="Q6238" s="89" t="s">
        <v>810</v>
      </c>
      <c r="AF6238" s="1"/>
      <c r="AG6238" s="1"/>
    </row>
    <row r="6239" ht="15.75" customHeight="1">
      <c r="A6239" s="1"/>
      <c r="B6239" s="1"/>
      <c r="C6239" s="1"/>
      <c r="D6239" s="1"/>
      <c r="E6239" s="1"/>
      <c r="F6239" s="1"/>
      <c r="G6239" s="1"/>
      <c r="H6239" s="1"/>
      <c r="I6239" s="1"/>
      <c r="J6239" s="1"/>
      <c r="K6239" s="89" t="s">
        <v>9781</v>
      </c>
      <c r="L6239" s="89" t="str">
        <f>H310</f>
        <v>C2b1b1a1</v>
      </c>
      <c r="M6239" s="89"/>
      <c r="N6239" s="89" t="s">
        <v>9782</v>
      </c>
      <c r="O6239" s="89">
        <v>2.3499486E7</v>
      </c>
      <c r="P6239" s="89">
        <v>2.13376E7</v>
      </c>
      <c r="Q6239" s="89" t="s">
        <v>879</v>
      </c>
      <c r="AF6239" s="1"/>
      <c r="AG6239" s="1"/>
    </row>
    <row r="6240" ht="15.75" customHeight="1">
      <c r="A6240" s="1"/>
      <c r="B6240" s="1"/>
      <c r="C6240" s="1"/>
      <c r="D6240" s="1"/>
      <c r="E6240" s="1"/>
      <c r="F6240" s="1"/>
      <c r="G6240" s="1"/>
      <c r="H6240" s="1"/>
      <c r="I6240" s="1"/>
      <c r="J6240" s="1"/>
      <c r="K6240" s="89" t="s">
        <v>9783</v>
      </c>
      <c r="L6240" s="89" t="str">
        <f t="shared" ref="L6240:L6241" si="79">H310</f>
        <v>C2b1b1a1</v>
      </c>
      <c r="M6240" s="89"/>
      <c r="N6240" s="89" t="s">
        <v>9784</v>
      </c>
      <c r="O6240" s="89">
        <v>2.3547786E7</v>
      </c>
      <c r="P6240" s="89">
        <v>2.13859E7</v>
      </c>
      <c r="Q6240" s="89" t="s">
        <v>838</v>
      </c>
      <c r="AF6240" s="1"/>
      <c r="AG6240" s="1"/>
    </row>
    <row r="6241" ht="15.75" customHeight="1">
      <c r="A6241" s="1"/>
      <c r="B6241" s="1"/>
      <c r="C6241" s="1"/>
      <c r="D6241" s="1"/>
      <c r="E6241" s="1"/>
      <c r="F6241" s="1"/>
      <c r="G6241" s="1"/>
      <c r="H6241" s="1"/>
      <c r="I6241" s="1"/>
      <c r="J6241" s="1"/>
      <c r="K6241" s="89" t="s">
        <v>9785</v>
      </c>
      <c r="L6241" s="89" t="str">
        <f t="shared" si="79"/>
        <v>C2b1b1a1~</v>
      </c>
      <c r="M6241" s="89"/>
      <c r="N6241" s="89" t="s">
        <v>9786</v>
      </c>
      <c r="O6241" s="89">
        <v>1.5796011E7</v>
      </c>
      <c r="P6241" s="89">
        <v>1.3684131E7</v>
      </c>
      <c r="Q6241" s="89" t="s">
        <v>810</v>
      </c>
      <c r="AF6241" s="1"/>
      <c r="AG6241" s="1"/>
    </row>
    <row r="6242" ht="15.75" customHeight="1">
      <c r="A6242" s="1"/>
      <c r="B6242" s="1"/>
      <c r="C6242" s="1"/>
      <c r="D6242" s="1"/>
      <c r="E6242" s="1"/>
      <c r="F6242" s="1"/>
      <c r="G6242" s="1"/>
      <c r="H6242" s="1"/>
      <c r="I6242" s="1"/>
      <c r="J6242" s="1"/>
      <c r="K6242" s="89" t="s">
        <v>9787</v>
      </c>
      <c r="L6242" s="89" t="str">
        <f>H311</f>
        <v>C2b1b1a1~</v>
      </c>
      <c r="M6242" s="89"/>
      <c r="N6242" s="89" t="s">
        <v>9788</v>
      </c>
      <c r="O6242" s="89">
        <v>1.8156175E7</v>
      </c>
      <c r="P6242" s="89">
        <v>1.6044295E7</v>
      </c>
      <c r="Q6242" s="89" t="s">
        <v>917</v>
      </c>
      <c r="AF6242" s="1"/>
      <c r="AG6242" s="1"/>
    </row>
    <row r="6243" ht="15.75" customHeight="1">
      <c r="A6243" s="1"/>
      <c r="B6243" s="1"/>
      <c r="C6243" s="1"/>
      <c r="D6243" s="1"/>
      <c r="E6243" s="1"/>
      <c r="F6243" s="1"/>
      <c r="G6243" s="1"/>
      <c r="H6243" s="1"/>
      <c r="I6243" s="1"/>
      <c r="J6243" s="1"/>
      <c r="K6243" s="89" t="s">
        <v>9789</v>
      </c>
      <c r="L6243" s="89" t="str">
        <f>H311</f>
        <v>C2b1b1a1~</v>
      </c>
      <c r="M6243" s="89"/>
      <c r="N6243" s="89" t="s">
        <v>9790</v>
      </c>
      <c r="O6243" s="92">
        <v>1.4665014E7</v>
      </c>
      <c r="P6243" s="92">
        <v>1.255308E7</v>
      </c>
      <c r="Q6243" s="89" t="s">
        <v>810</v>
      </c>
      <c r="AF6243" s="1"/>
      <c r="AG6243" s="1"/>
    </row>
    <row r="6244" ht="15.75" customHeight="1">
      <c r="A6244" s="1"/>
      <c r="B6244" s="1"/>
      <c r="C6244" s="1"/>
      <c r="D6244" s="1"/>
      <c r="E6244" s="1"/>
      <c r="F6244" s="1"/>
      <c r="G6244" s="1"/>
      <c r="H6244" s="1"/>
      <c r="I6244" s="1"/>
      <c r="J6244" s="1"/>
      <c r="K6244" s="89" t="s">
        <v>9791</v>
      </c>
      <c r="L6244" s="89" t="str">
        <f>H311</f>
        <v>C2b1b1a1~</v>
      </c>
      <c r="M6244" s="89"/>
      <c r="N6244" s="89" t="s">
        <v>9792</v>
      </c>
      <c r="O6244" s="89">
        <v>1.4807456E7</v>
      </c>
      <c r="P6244" s="89">
        <v>1.2695527E7</v>
      </c>
      <c r="Q6244" s="89" t="s">
        <v>822</v>
      </c>
      <c r="AF6244" s="1"/>
      <c r="AG6244" s="1"/>
    </row>
    <row r="6245" ht="15.75" customHeight="1">
      <c r="A6245" s="1"/>
      <c r="B6245" s="1"/>
      <c r="C6245" s="1"/>
      <c r="D6245" s="1"/>
      <c r="E6245" s="1"/>
      <c r="F6245" s="1"/>
      <c r="G6245" s="1"/>
      <c r="H6245" s="1"/>
      <c r="I6245" s="1"/>
      <c r="J6245" s="1"/>
      <c r="K6245" s="89" t="s">
        <v>9793</v>
      </c>
      <c r="L6245" s="89" t="str">
        <f>H311</f>
        <v>C2b1b1a1~</v>
      </c>
      <c r="M6245" s="89"/>
      <c r="N6245" s="89" t="s">
        <v>9794</v>
      </c>
      <c r="O6245" s="89">
        <v>1.5683047E7</v>
      </c>
      <c r="P6245" s="89">
        <v>1.3571167E7</v>
      </c>
      <c r="Q6245" s="89" t="s">
        <v>845</v>
      </c>
      <c r="AF6245" s="1"/>
      <c r="AG6245" s="1"/>
    </row>
    <row r="6246" ht="15.75" customHeight="1">
      <c r="A6246" s="1"/>
      <c r="B6246" s="1"/>
      <c r="C6246" s="1"/>
      <c r="D6246" s="1"/>
      <c r="E6246" s="1"/>
      <c r="F6246" s="1"/>
      <c r="G6246" s="1"/>
      <c r="H6246" s="1"/>
      <c r="I6246" s="1"/>
      <c r="J6246" s="1"/>
      <c r="K6246" s="89" t="s">
        <v>9795</v>
      </c>
      <c r="L6246" s="89" t="str">
        <f>H311</f>
        <v>C2b1b1a1~</v>
      </c>
      <c r="M6246" s="89"/>
      <c r="N6246" s="89" t="s">
        <v>9796</v>
      </c>
      <c r="O6246" s="89">
        <v>1.896982E7</v>
      </c>
      <c r="P6246" s="89">
        <v>1.685794E7</v>
      </c>
      <c r="Q6246" s="89" t="s">
        <v>822</v>
      </c>
      <c r="AF6246" s="1"/>
      <c r="AG6246" s="1"/>
    </row>
    <row r="6247" ht="15.75" customHeight="1">
      <c r="A6247" s="1"/>
      <c r="B6247" s="1"/>
      <c r="C6247" s="1"/>
      <c r="D6247" s="1"/>
      <c r="E6247" s="1"/>
      <c r="F6247" s="1"/>
      <c r="G6247" s="1"/>
      <c r="H6247" s="1"/>
      <c r="I6247" s="1"/>
      <c r="J6247" s="1"/>
      <c r="K6247" s="89" t="s">
        <v>9797</v>
      </c>
      <c r="L6247" s="89" t="str">
        <f>H311</f>
        <v>C2b1b1a1~</v>
      </c>
      <c r="M6247" s="89"/>
      <c r="N6247" s="89" t="s">
        <v>9798</v>
      </c>
      <c r="O6247" s="89">
        <v>1.9325073E7</v>
      </c>
      <c r="P6247" s="89">
        <v>1.7213193E7</v>
      </c>
      <c r="Q6247" s="89" t="s">
        <v>802</v>
      </c>
      <c r="AF6247" s="1"/>
      <c r="AG6247" s="1"/>
    </row>
    <row r="6248" ht="15.75" customHeight="1">
      <c r="A6248" s="1"/>
      <c r="B6248" s="1"/>
      <c r="C6248" s="1"/>
      <c r="D6248" s="1"/>
      <c r="E6248" s="1"/>
      <c r="F6248" s="1"/>
      <c r="G6248" s="1"/>
      <c r="H6248" s="1"/>
      <c r="I6248" s="1"/>
      <c r="J6248" s="1"/>
      <c r="K6248" s="89" t="s">
        <v>9799</v>
      </c>
      <c r="L6248" s="89" t="str">
        <f>H311</f>
        <v>C2b1b1a1~</v>
      </c>
      <c r="M6248" s="89"/>
      <c r="N6248" s="89" t="s">
        <v>9800</v>
      </c>
      <c r="O6248" s="92">
        <v>2.3018908E7</v>
      </c>
      <c r="P6248" s="92">
        <v>2.0857022E7</v>
      </c>
      <c r="Q6248" s="89" t="s">
        <v>886</v>
      </c>
      <c r="AF6248" s="1"/>
      <c r="AG6248" s="1"/>
    </row>
    <row r="6249" ht="15.75" customHeight="1">
      <c r="A6249" s="1"/>
      <c r="B6249" s="1"/>
      <c r="C6249" s="1"/>
      <c r="D6249" s="1"/>
      <c r="E6249" s="1"/>
      <c r="F6249" s="1"/>
      <c r="G6249" s="1"/>
      <c r="H6249" s="1"/>
      <c r="I6249" s="1"/>
      <c r="J6249" s="1"/>
      <c r="K6249" s="89" t="s">
        <v>9801</v>
      </c>
      <c r="L6249" s="89" t="str">
        <f>H311</f>
        <v>C2b1b1a1~</v>
      </c>
      <c r="M6249" s="89"/>
      <c r="N6249" s="89" t="s">
        <v>9802</v>
      </c>
      <c r="O6249" s="89">
        <v>2.8748874E7</v>
      </c>
      <c r="P6249" s="89">
        <v>2.6602727E7</v>
      </c>
      <c r="Q6249" s="89" t="s">
        <v>813</v>
      </c>
      <c r="AF6249" s="1"/>
      <c r="AG6249" s="1"/>
    </row>
    <row r="6250" ht="15.75" customHeight="1">
      <c r="A6250" s="1"/>
      <c r="B6250" s="1"/>
      <c r="C6250" s="1"/>
      <c r="D6250" s="1"/>
      <c r="E6250" s="1"/>
      <c r="F6250" s="1"/>
      <c r="G6250" s="1"/>
      <c r="H6250" s="1"/>
      <c r="I6250" s="1"/>
      <c r="J6250" s="1"/>
      <c r="K6250" s="89" t="s">
        <v>9803</v>
      </c>
      <c r="L6250" s="89" t="str">
        <f>I312</f>
        <v>C2b1b1a1a~</v>
      </c>
      <c r="M6250" s="89"/>
      <c r="N6250" s="89"/>
      <c r="O6250" s="89">
        <v>1.8644573E7</v>
      </c>
      <c r="P6250" s="89">
        <v>1.6532693E7</v>
      </c>
      <c r="Q6250" s="89" t="s">
        <v>912</v>
      </c>
      <c r="AF6250" s="1"/>
      <c r="AG6250" s="1"/>
    </row>
    <row r="6251" ht="15.75" customHeight="1">
      <c r="A6251" s="1"/>
      <c r="B6251" s="1"/>
      <c r="C6251" s="1"/>
      <c r="D6251" s="1"/>
      <c r="E6251" s="1"/>
      <c r="F6251" s="1"/>
      <c r="G6251" s="1"/>
      <c r="H6251" s="1"/>
      <c r="I6251" s="1"/>
      <c r="J6251" s="1"/>
      <c r="K6251" s="89" t="s">
        <v>9804</v>
      </c>
      <c r="L6251" s="89" t="str">
        <f t="shared" ref="L6251:L6252" si="80">I312</f>
        <v>C2b1b1a1a~</v>
      </c>
      <c r="M6251" s="89"/>
      <c r="N6251" s="89"/>
      <c r="O6251" s="89">
        <v>2.3399909E7</v>
      </c>
      <c r="P6251" s="89">
        <v>2.1238023E7</v>
      </c>
      <c r="Q6251" s="89" t="s">
        <v>810</v>
      </c>
      <c r="AF6251" s="1"/>
      <c r="AG6251" s="1"/>
    </row>
    <row r="6252" ht="15.75" customHeight="1">
      <c r="A6252" s="1"/>
      <c r="B6252" s="1"/>
      <c r="C6252" s="1"/>
      <c r="D6252" s="1"/>
      <c r="E6252" s="1"/>
      <c r="F6252" s="1"/>
      <c r="G6252" s="1"/>
      <c r="H6252" s="1"/>
      <c r="I6252" s="1"/>
      <c r="J6252" s="1"/>
      <c r="K6252" s="89" t="s">
        <v>9805</v>
      </c>
      <c r="L6252" s="89" t="str">
        <f t="shared" si="80"/>
        <v>C2b1b1a1b~</v>
      </c>
      <c r="M6252" s="89" t="s">
        <v>9806</v>
      </c>
      <c r="N6252" s="89" t="s">
        <v>9807</v>
      </c>
      <c r="O6252" s="92">
        <v>2.1132869E7</v>
      </c>
      <c r="P6252" s="92">
        <v>1.8970983E7</v>
      </c>
      <c r="Q6252" s="89" t="s">
        <v>822</v>
      </c>
      <c r="AF6252" s="1"/>
      <c r="AG6252" s="1"/>
    </row>
    <row r="6253" ht="15.75" customHeight="1">
      <c r="A6253" s="1"/>
      <c r="B6253" s="1"/>
      <c r="C6253" s="1"/>
      <c r="D6253" s="1"/>
      <c r="E6253" s="1"/>
      <c r="F6253" s="1"/>
      <c r="G6253" s="1"/>
      <c r="H6253" s="1"/>
      <c r="I6253" s="1"/>
      <c r="J6253" s="1"/>
      <c r="K6253" s="89" t="s">
        <v>9806</v>
      </c>
      <c r="L6253" s="89" t="str">
        <f>I313</f>
        <v>C2b1b1a1b~</v>
      </c>
      <c r="M6253" s="89" t="s">
        <v>9805</v>
      </c>
      <c r="N6253" s="89" t="s">
        <v>9807</v>
      </c>
      <c r="O6253" s="92">
        <v>2.1132869E7</v>
      </c>
      <c r="P6253" s="92">
        <v>1.8970983E7</v>
      </c>
      <c r="Q6253" s="89" t="s">
        <v>822</v>
      </c>
      <c r="AF6253" s="1"/>
      <c r="AG6253" s="1"/>
    </row>
    <row r="6254" ht="15.75" customHeight="1">
      <c r="A6254" s="1"/>
      <c r="B6254" s="1"/>
      <c r="C6254" s="1"/>
      <c r="D6254" s="1"/>
      <c r="E6254" s="1"/>
      <c r="F6254" s="1"/>
      <c r="G6254" s="1"/>
      <c r="H6254" s="1"/>
      <c r="I6254" s="1"/>
      <c r="J6254" s="1"/>
      <c r="K6254" s="89" t="s">
        <v>9808</v>
      </c>
      <c r="L6254" s="89" t="str">
        <f>I313</f>
        <v>C2b1b1a1b~</v>
      </c>
      <c r="M6254" s="89"/>
      <c r="N6254" s="89"/>
      <c r="O6254" s="92">
        <v>8013890.0</v>
      </c>
      <c r="P6254" s="92">
        <v>8145849.0</v>
      </c>
      <c r="Q6254" s="89" t="s">
        <v>831</v>
      </c>
      <c r="AF6254" s="1"/>
      <c r="AG6254" s="1"/>
    </row>
    <row r="6255" ht="15.75" customHeight="1">
      <c r="A6255" s="1"/>
      <c r="B6255" s="1"/>
      <c r="C6255" s="1"/>
      <c r="D6255" s="1"/>
      <c r="E6255" s="1"/>
      <c r="F6255" s="1"/>
      <c r="G6255" s="1"/>
      <c r="H6255" s="1"/>
      <c r="I6255" s="1"/>
      <c r="J6255" s="1"/>
      <c r="K6255" s="89" t="s">
        <v>9809</v>
      </c>
      <c r="L6255" s="89" t="str">
        <f>I313</f>
        <v>C2b1b1a1b~</v>
      </c>
      <c r="M6255" s="89"/>
      <c r="N6255" s="89"/>
      <c r="O6255" s="89">
        <v>2.3433493E7</v>
      </c>
      <c r="P6255" s="89">
        <v>2.1271607E7</v>
      </c>
      <c r="Q6255" s="89" t="s">
        <v>917</v>
      </c>
      <c r="AF6255" s="1"/>
      <c r="AG6255" s="1"/>
    </row>
    <row r="6256" ht="15.75" customHeight="1">
      <c r="A6256" s="1"/>
      <c r="B6256" s="1"/>
      <c r="C6256" s="1"/>
      <c r="D6256" s="1"/>
      <c r="E6256" s="1"/>
      <c r="F6256" s="1"/>
      <c r="G6256" s="1"/>
      <c r="H6256" s="1"/>
      <c r="I6256" s="1"/>
      <c r="J6256" s="1"/>
      <c r="K6256" s="89" t="s">
        <v>9810</v>
      </c>
      <c r="L6256" s="89" t="str">
        <f>G314</f>
        <v>C2b1b1b</v>
      </c>
      <c r="M6256" s="89" t="s">
        <v>9811</v>
      </c>
      <c r="N6256" s="89" t="s">
        <v>9812</v>
      </c>
      <c r="O6256" s="92">
        <v>6780556.0</v>
      </c>
      <c r="P6256" s="92">
        <v>6912515.0</v>
      </c>
      <c r="Q6256" s="89" t="s">
        <v>810</v>
      </c>
      <c r="AF6256" s="1"/>
      <c r="AG6256" s="1"/>
    </row>
    <row r="6257" ht="15.75" customHeight="1">
      <c r="A6257" s="1"/>
      <c r="B6257" s="1"/>
      <c r="C6257" s="1"/>
      <c r="D6257" s="1"/>
      <c r="E6257" s="1"/>
      <c r="F6257" s="1"/>
      <c r="G6257" s="1"/>
      <c r="H6257" s="1"/>
      <c r="I6257" s="1"/>
      <c r="J6257" s="1"/>
      <c r="K6257" s="89" t="s">
        <v>9811</v>
      </c>
      <c r="L6257" s="89" t="str">
        <f>G314</f>
        <v>C2b1b1b</v>
      </c>
      <c r="M6257" s="89" t="s">
        <v>9810</v>
      </c>
      <c r="N6257" s="89" t="s">
        <v>9812</v>
      </c>
      <c r="O6257" s="92">
        <v>6780556.0</v>
      </c>
      <c r="P6257" s="92">
        <v>6912515.0</v>
      </c>
      <c r="Q6257" s="89" t="s">
        <v>810</v>
      </c>
      <c r="AF6257" s="1"/>
      <c r="AG6257" s="1"/>
    </row>
    <row r="6258" ht="15.75" customHeight="1">
      <c r="A6258" s="1"/>
      <c r="B6258" s="1"/>
      <c r="C6258" s="1"/>
      <c r="D6258" s="1"/>
      <c r="E6258" s="1"/>
      <c r="F6258" s="1"/>
      <c r="G6258" s="1"/>
      <c r="H6258" s="1"/>
      <c r="I6258" s="1"/>
      <c r="J6258" s="1"/>
      <c r="K6258" s="89" t="s">
        <v>9813</v>
      </c>
      <c r="L6258" s="89" t="str">
        <f>H315</f>
        <v>C2b1b1b1~</v>
      </c>
      <c r="M6258" s="89"/>
      <c r="N6258" s="89" t="s">
        <v>9814</v>
      </c>
      <c r="O6258" s="92">
        <v>1.4500749E7</v>
      </c>
      <c r="P6258" s="92">
        <v>1.2388954E7</v>
      </c>
      <c r="Q6258" s="89" t="s">
        <v>822</v>
      </c>
      <c r="AF6258" s="1"/>
      <c r="AG6258" s="1"/>
    </row>
    <row r="6259" ht="15.75" customHeight="1">
      <c r="A6259" s="1"/>
      <c r="B6259" s="1"/>
      <c r="C6259" s="1"/>
      <c r="D6259" s="1"/>
      <c r="E6259" s="1"/>
      <c r="F6259" s="1"/>
      <c r="G6259" s="1"/>
      <c r="H6259" s="1"/>
      <c r="I6259" s="1"/>
      <c r="J6259" s="1"/>
      <c r="K6259" s="89" t="s">
        <v>9815</v>
      </c>
      <c r="L6259" s="89" t="str">
        <f>H315</f>
        <v>C2b1b1b1~</v>
      </c>
      <c r="M6259" s="89"/>
      <c r="N6259" s="89" t="s">
        <v>9816</v>
      </c>
      <c r="O6259" s="92">
        <v>7217535.0</v>
      </c>
      <c r="P6259" s="92">
        <v>7349494.0</v>
      </c>
      <c r="Q6259" s="89" t="s">
        <v>802</v>
      </c>
      <c r="AF6259" s="1"/>
      <c r="AG6259" s="1"/>
    </row>
    <row r="6260" ht="15.75" customHeight="1">
      <c r="A6260" s="1"/>
      <c r="B6260" s="1"/>
      <c r="C6260" s="1"/>
      <c r="D6260" s="1"/>
      <c r="E6260" s="1"/>
      <c r="F6260" s="1"/>
      <c r="G6260" s="1"/>
      <c r="H6260" s="1"/>
      <c r="I6260" s="1"/>
      <c r="J6260" s="1"/>
      <c r="K6260" s="89" t="s">
        <v>9817</v>
      </c>
      <c r="L6260" s="89" t="str">
        <f>H315</f>
        <v>C2b1b1b1~</v>
      </c>
      <c r="M6260" s="89"/>
      <c r="N6260" s="89" t="s">
        <v>9818</v>
      </c>
      <c r="O6260" s="92">
        <v>1.7791862E7</v>
      </c>
      <c r="P6260" s="92">
        <v>1.5679982E7</v>
      </c>
      <c r="Q6260" s="89" t="s">
        <v>912</v>
      </c>
      <c r="AF6260" s="1"/>
      <c r="AG6260" s="1"/>
    </row>
    <row r="6261" ht="15.75" customHeight="1">
      <c r="A6261" s="1"/>
      <c r="B6261" s="1"/>
      <c r="C6261" s="1"/>
      <c r="D6261" s="1"/>
      <c r="E6261" s="1"/>
      <c r="F6261" s="1"/>
      <c r="G6261" s="1"/>
      <c r="H6261" s="1"/>
      <c r="I6261" s="1"/>
      <c r="J6261" s="1"/>
      <c r="K6261" s="89" t="s">
        <v>9819</v>
      </c>
      <c r="L6261" s="89" t="str">
        <f>H315</f>
        <v>C2b1b1b1~</v>
      </c>
      <c r="M6261" s="89"/>
      <c r="N6261" s="89" t="s">
        <v>9820</v>
      </c>
      <c r="O6261" s="92">
        <v>7990318.0</v>
      </c>
      <c r="P6261" s="92">
        <v>8122277.0</v>
      </c>
      <c r="Q6261" s="89" t="s">
        <v>810</v>
      </c>
      <c r="AF6261" s="1"/>
      <c r="AG6261" s="1"/>
    </row>
    <row r="6262" ht="15.75" customHeight="1">
      <c r="A6262" s="1"/>
      <c r="B6262" s="1"/>
      <c r="C6262" s="1"/>
      <c r="D6262" s="1"/>
      <c r="E6262" s="1"/>
      <c r="F6262" s="1"/>
      <c r="G6262" s="1"/>
      <c r="H6262" s="1"/>
      <c r="I6262" s="1"/>
      <c r="J6262" s="1"/>
      <c r="K6262" s="89" t="s">
        <v>9821</v>
      </c>
      <c r="L6262" s="89" t="str">
        <f t="shared" ref="L6262:L6263" si="81">H315</f>
        <v>C2b1b1b1~</v>
      </c>
      <c r="M6262" s="89"/>
      <c r="N6262" s="89" t="s">
        <v>9822</v>
      </c>
      <c r="O6262" s="92">
        <v>1.3662343E7</v>
      </c>
      <c r="P6262" s="92">
        <v>1.1506667E7</v>
      </c>
      <c r="Q6262" s="89" t="s">
        <v>810</v>
      </c>
      <c r="AF6262" s="1"/>
      <c r="AG6262" s="1"/>
    </row>
    <row r="6263" ht="15.75" customHeight="1">
      <c r="A6263" s="1"/>
      <c r="B6263" s="1"/>
      <c r="C6263" s="1"/>
      <c r="D6263" s="1"/>
      <c r="E6263" s="1"/>
      <c r="F6263" s="1"/>
      <c r="G6263" s="1"/>
      <c r="H6263" s="1"/>
      <c r="I6263" s="1"/>
      <c r="J6263" s="1"/>
      <c r="K6263" s="89" t="s">
        <v>9823</v>
      </c>
      <c r="L6263" s="89" t="str">
        <f t="shared" si="81"/>
        <v>C2b1b1b2</v>
      </c>
      <c r="M6263" s="89"/>
      <c r="N6263" s="89" t="s">
        <v>9824</v>
      </c>
      <c r="O6263" s="92">
        <v>8588985.0</v>
      </c>
      <c r="P6263" s="92">
        <v>8720944.0</v>
      </c>
      <c r="Q6263" s="89" t="s">
        <v>810</v>
      </c>
      <c r="AF6263" s="1"/>
      <c r="AG6263" s="1"/>
    </row>
    <row r="6264" ht="15.75" customHeight="1">
      <c r="A6264" s="1"/>
      <c r="B6264" s="1"/>
      <c r="C6264" s="1"/>
      <c r="D6264" s="1"/>
      <c r="E6264" s="1"/>
      <c r="F6264" s="1"/>
      <c r="G6264" s="1"/>
      <c r="H6264" s="1"/>
      <c r="I6264" s="1"/>
      <c r="J6264" s="1"/>
      <c r="K6264" s="89" t="s">
        <v>9825</v>
      </c>
      <c r="L6264" s="89" t="str">
        <f>H316</f>
        <v>C2b1b1b2</v>
      </c>
      <c r="M6264" s="89"/>
      <c r="N6264" s="89" t="s">
        <v>9826</v>
      </c>
      <c r="O6264" s="92">
        <v>8665425.0</v>
      </c>
      <c r="P6264" s="92">
        <v>8797384.0</v>
      </c>
      <c r="Q6264" s="89" t="s">
        <v>879</v>
      </c>
      <c r="AF6264" s="1"/>
      <c r="AG6264" s="1"/>
    </row>
    <row r="6265" ht="15.75" customHeight="1">
      <c r="A6265" s="1"/>
      <c r="B6265" s="1"/>
      <c r="C6265" s="1"/>
      <c r="D6265" s="1"/>
      <c r="E6265" s="1"/>
      <c r="F6265" s="1"/>
      <c r="G6265" s="1"/>
      <c r="H6265" s="1"/>
      <c r="I6265" s="1"/>
      <c r="J6265" s="1"/>
      <c r="K6265" s="89" t="s">
        <v>9827</v>
      </c>
      <c r="L6265" s="89" t="str">
        <f>H316</f>
        <v>C2b1b1b2</v>
      </c>
      <c r="M6265" s="89"/>
      <c r="N6265" s="89" t="s">
        <v>9828</v>
      </c>
      <c r="O6265" s="92">
        <v>8883238.0</v>
      </c>
      <c r="P6265" s="92">
        <v>9015197.0</v>
      </c>
      <c r="Q6265" s="89" t="s">
        <v>810</v>
      </c>
      <c r="AF6265" s="1"/>
      <c r="AG6265" s="1"/>
    </row>
    <row r="6266" ht="15.75" customHeight="1">
      <c r="A6266" s="1"/>
      <c r="B6266" s="1"/>
      <c r="C6266" s="1"/>
      <c r="D6266" s="1"/>
      <c r="E6266" s="1"/>
      <c r="F6266" s="1"/>
      <c r="G6266" s="1"/>
      <c r="H6266" s="1"/>
      <c r="I6266" s="1"/>
      <c r="J6266" s="1"/>
      <c r="K6266" s="89" t="s">
        <v>9829</v>
      </c>
      <c r="L6266" s="89" t="str">
        <f>H316</f>
        <v>C2b1b1b2</v>
      </c>
      <c r="M6266" s="89"/>
      <c r="N6266" s="89" t="s">
        <v>9830</v>
      </c>
      <c r="O6266" s="92">
        <v>9775449.0</v>
      </c>
      <c r="P6266" s="92">
        <v>9937840.0</v>
      </c>
      <c r="Q6266" s="89" t="s">
        <v>831</v>
      </c>
      <c r="AF6266" s="1"/>
      <c r="AG6266" s="1"/>
    </row>
    <row r="6267" ht="15.75" customHeight="1">
      <c r="A6267" s="1"/>
      <c r="B6267" s="1"/>
      <c r="C6267" s="1"/>
      <c r="D6267" s="1"/>
      <c r="E6267" s="1"/>
      <c r="F6267" s="1"/>
      <c r="G6267" s="1"/>
      <c r="H6267" s="1"/>
      <c r="I6267" s="1"/>
      <c r="J6267" s="1"/>
      <c r="K6267" s="89" t="s">
        <v>9831</v>
      </c>
      <c r="L6267" s="89" t="str">
        <f>H316</f>
        <v>C2b1b1b2</v>
      </c>
      <c r="M6267" s="89"/>
      <c r="N6267" s="89" t="s">
        <v>9832</v>
      </c>
      <c r="O6267" s="92">
        <v>1.4025311E7</v>
      </c>
      <c r="P6267" s="92">
        <v>1.1904605E7</v>
      </c>
      <c r="Q6267" s="89" t="s">
        <v>810</v>
      </c>
      <c r="AF6267" s="1"/>
      <c r="AG6267" s="1"/>
    </row>
    <row r="6268" ht="15.75" customHeight="1">
      <c r="A6268" s="1"/>
      <c r="B6268" s="1"/>
      <c r="C6268" s="1"/>
      <c r="D6268" s="1"/>
      <c r="E6268" s="1"/>
      <c r="F6268" s="1"/>
      <c r="G6268" s="1"/>
      <c r="H6268" s="1"/>
      <c r="I6268" s="1"/>
      <c r="J6268" s="1"/>
      <c r="K6268" s="89" t="s">
        <v>9833</v>
      </c>
      <c r="L6268" s="89" t="str">
        <f>H316</f>
        <v>C2b1b1b2</v>
      </c>
      <c r="M6268" s="89" t="s">
        <v>9834</v>
      </c>
      <c r="N6268" s="89" t="s">
        <v>9835</v>
      </c>
      <c r="O6268" s="92">
        <v>1.4595532E7</v>
      </c>
      <c r="P6268" s="92">
        <v>1.2483732E7</v>
      </c>
      <c r="Q6268" s="89" t="s">
        <v>802</v>
      </c>
      <c r="AF6268" s="1"/>
      <c r="AG6268" s="1"/>
    </row>
    <row r="6269" ht="15.75" customHeight="1">
      <c r="A6269" s="1"/>
      <c r="B6269" s="1"/>
      <c r="C6269" s="1"/>
      <c r="D6269" s="1"/>
      <c r="E6269" s="1"/>
      <c r="F6269" s="1"/>
      <c r="G6269" s="1"/>
      <c r="H6269" s="1"/>
      <c r="I6269" s="1"/>
      <c r="J6269" s="1"/>
      <c r="K6269" s="89" t="s">
        <v>9834</v>
      </c>
      <c r="L6269" s="89" t="str">
        <f>H316</f>
        <v>C2b1b1b2</v>
      </c>
      <c r="M6269" s="89" t="s">
        <v>9833</v>
      </c>
      <c r="N6269" s="89" t="s">
        <v>9835</v>
      </c>
      <c r="O6269" s="92">
        <v>1.4595532E7</v>
      </c>
      <c r="P6269" s="92">
        <v>1.2483732E7</v>
      </c>
      <c r="Q6269" s="89" t="s">
        <v>802</v>
      </c>
      <c r="AF6269" s="1"/>
      <c r="AG6269" s="1"/>
    </row>
    <row r="6270" ht="15.75" customHeight="1">
      <c r="A6270" s="1"/>
      <c r="B6270" s="1"/>
      <c r="C6270" s="1"/>
      <c r="D6270" s="1"/>
      <c r="E6270" s="1"/>
      <c r="F6270" s="1"/>
      <c r="G6270" s="1"/>
      <c r="H6270" s="1"/>
      <c r="I6270" s="1"/>
      <c r="J6270" s="1"/>
      <c r="K6270" s="89" t="s">
        <v>9836</v>
      </c>
      <c r="L6270" s="89" t="str">
        <f>H316</f>
        <v>C2b1b1b2</v>
      </c>
      <c r="M6270" s="89"/>
      <c r="N6270" s="89" t="s">
        <v>9837</v>
      </c>
      <c r="O6270" s="92">
        <v>1.4630365E7</v>
      </c>
      <c r="P6270" s="92">
        <v>1.2518434E7</v>
      </c>
      <c r="Q6270" s="89" t="s">
        <v>802</v>
      </c>
      <c r="AF6270" s="1"/>
      <c r="AG6270" s="1"/>
    </row>
    <row r="6271" ht="15.75" customHeight="1">
      <c r="A6271" s="1"/>
      <c r="B6271" s="1"/>
      <c r="C6271" s="1"/>
      <c r="D6271" s="1"/>
      <c r="E6271" s="1"/>
      <c r="F6271" s="1"/>
      <c r="G6271" s="1"/>
      <c r="H6271" s="1"/>
      <c r="I6271" s="1"/>
      <c r="J6271" s="1"/>
      <c r="K6271" s="89" t="s">
        <v>9838</v>
      </c>
      <c r="L6271" s="89" t="str">
        <f>H316</f>
        <v>C2b1b1b2</v>
      </c>
      <c r="M6271" s="89"/>
      <c r="N6271" s="89" t="s">
        <v>9839</v>
      </c>
      <c r="O6271" s="92">
        <v>1.6233762E7</v>
      </c>
      <c r="P6271" s="92">
        <v>1.4121882E7</v>
      </c>
      <c r="Q6271" s="89" t="s">
        <v>831</v>
      </c>
      <c r="AF6271" s="1"/>
      <c r="AG6271" s="1"/>
    </row>
    <row r="6272" ht="15.75" customHeight="1">
      <c r="A6272" s="1"/>
      <c r="B6272" s="1"/>
      <c r="C6272" s="1"/>
      <c r="D6272" s="1"/>
      <c r="E6272" s="1"/>
      <c r="F6272" s="1"/>
      <c r="G6272" s="1"/>
      <c r="H6272" s="1"/>
      <c r="I6272" s="1"/>
      <c r="J6272" s="1"/>
      <c r="K6272" s="89" t="s">
        <v>9840</v>
      </c>
      <c r="L6272" s="89" t="str">
        <f>H316</f>
        <v>C2b1b1b2</v>
      </c>
      <c r="M6272" s="89"/>
      <c r="N6272" s="89" t="s">
        <v>9841</v>
      </c>
      <c r="O6272" s="92">
        <v>1.6668197E7</v>
      </c>
      <c r="P6272" s="92">
        <v>1.4556317E7</v>
      </c>
      <c r="Q6272" s="89" t="s">
        <v>810</v>
      </c>
      <c r="AF6272" s="1"/>
      <c r="AG6272" s="1"/>
    </row>
    <row r="6273" ht="15.75" customHeight="1">
      <c r="A6273" s="1"/>
      <c r="B6273" s="1"/>
      <c r="C6273" s="1"/>
      <c r="D6273" s="1"/>
      <c r="E6273" s="1"/>
      <c r="F6273" s="1"/>
      <c r="G6273" s="1"/>
      <c r="H6273" s="1"/>
      <c r="I6273" s="1"/>
      <c r="J6273" s="1"/>
      <c r="K6273" s="89" t="s">
        <v>9842</v>
      </c>
      <c r="L6273" s="89" t="str">
        <f>H316</f>
        <v>C2b1b1b2</v>
      </c>
      <c r="M6273" s="89"/>
      <c r="N6273" s="89" t="s">
        <v>9843</v>
      </c>
      <c r="O6273" s="92">
        <v>1.8692345E7</v>
      </c>
      <c r="P6273" s="92">
        <v>1.6580465E7</v>
      </c>
      <c r="Q6273" s="89" t="s">
        <v>879</v>
      </c>
      <c r="AF6273" s="1"/>
      <c r="AG6273" s="1"/>
    </row>
    <row r="6274" ht="15.75" customHeight="1">
      <c r="A6274" s="1"/>
      <c r="B6274" s="1"/>
      <c r="C6274" s="1"/>
      <c r="D6274" s="1"/>
      <c r="E6274" s="1"/>
      <c r="F6274" s="1"/>
      <c r="G6274" s="1"/>
      <c r="H6274" s="1"/>
      <c r="I6274" s="1"/>
      <c r="J6274" s="1"/>
      <c r="K6274" s="89" t="s">
        <v>9844</v>
      </c>
      <c r="L6274" s="89" t="str">
        <f>H316</f>
        <v>C2b1b1b2</v>
      </c>
      <c r="M6274" s="89"/>
      <c r="N6274" s="89" t="s">
        <v>9845</v>
      </c>
      <c r="O6274" s="92">
        <v>1.8916797E7</v>
      </c>
      <c r="P6274" s="92">
        <v>1.6804917E7</v>
      </c>
      <c r="Q6274" s="89" t="s">
        <v>810</v>
      </c>
      <c r="AF6274" s="1"/>
      <c r="AG6274" s="1"/>
    </row>
    <row r="6275" ht="15.75" customHeight="1">
      <c r="A6275" s="1"/>
      <c r="B6275" s="1"/>
      <c r="C6275" s="1"/>
      <c r="D6275" s="1"/>
      <c r="E6275" s="1"/>
      <c r="F6275" s="1"/>
      <c r="G6275" s="1"/>
      <c r="H6275" s="1"/>
      <c r="I6275" s="1"/>
      <c r="J6275" s="1"/>
      <c r="K6275" s="89" t="s">
        <v>9846</v>
      </c>
      <c r="L6275" s="89" t="str">
        <f>H316</f>
        <v>C2b1b1b2</v>
      </c>
      <c r="M6275" s="89"/>
      <c r="N6275" s="89" t="s">
        <v>9847</v>
      </c>
      <c r="O6275" s="92">
        <v>1.9008742E7</v>
      </c>
      <c r="P6275" s="92">
        <v>1.6896862E7</v>
      </c>
      <c r="Q6275" s="89" t="s">
        <v>802</v>
      </c>
      <c r="AF6275" s="1"/>
      <c r="AG6275" s="1"/>
    </row>
    <row r="6276" ht="15.75" customHeight="1">
      <c r="A6276" s="1"/>
      <c r="B6276" s="1"/>
      <c r="C6276" s="1"/>
      <c r="D6276" s="1"/>
      <c r="E6276" s="1"/>
      <c r="F6276" s="1"/>
      <c r="G6276" s="1"/>
      <c r="H6276" s="1"/>
      <c r="I6276" s="1"/>
      <c r="J6276" s="1"/>
      <c r="K6276" s="89" t="s">
        <v>9848</v>
      </c>
      <c r="L6276" s="89" t="str">
        <f>H316</f>
        <v>C2b1b1b2</v>
      </c>
      <c r="M6276" s="89" t="s">
        <v>9849</v>
      </c>
      <c r="N6276" s="89" t="s">
        <v>9850</v>
      </c>
      <c r="O6276" s="92">
        <v>2.2626822E7</v>
      </c>
      <c r="P6276" s="92">
        <v>2.0464936E7</v>
      </c>
      <c r="Q6276" s="89" t="s">
        <v>810</v>
      </c>
      <c r="AF6276" s="1"/>
      <c r="AG6276" s="1"/>
    </row>
    <row r="6277" ht="15.75" customHeight="1">
      <c r="A6277" s="1"/>
      <c r="B6277" s="1"/>
      <c r="C6277" s="1"/>
      <c r="D6277" s="1"/>
      <c r="E6277" s="1"/>
      <c r="F6277" s="1"/>
      <c r="G6277" s="1"/>
      <c r="H6277" s="1"/>
      <c r="I6277" s="1"/>
      <c r="J6277" s="1"/>
      <c r="K6277" s="89" t="s">
        <v>9849</v>
      </c>
      <c r="L6277" s="89" t="str">
        <f>H316</f>
        <v>C2b1b1b2</v>
      </c>
      <c r="M6277" s="89" t="s">
        <v>9848</v>
      </c>
      <c r="N6277" s="89" t="s">
        <v>9850</v>
      </c>
      <c r="O6277" s="92">
        <v>2.2626822E7</v>
      </c>
      <c r="P6277" s="92">
        <v>2.0464936E7</v>
      </c>
      <c r="Q6277" s="89" t="s">
        <v>810</v>
      </c>
      <c r="AF6277" s="1"/>
      <c r="AG6277" s="1"/>
    </row>
    <row r="6278" ht="15.75" customHeight="1">
      <c r="A6278" s="1"/>
      <c r="B6278" s="1"/>
      <c r="C6278" s="1"/>
      <c r="D6278" s="1"/>
      <c r="E6278" s="1"/>
      <c r="F6278" s="1"/>
      <c r="G6278" s="1"/>
      <c r="H6278" s="1"/>
      <c r="I6278" s="1"/>
      <c r="J6278" s="1"/>
      <c r="K6278" s="89" t="s">
        <v>9851</v>
      </c>
      <c r="L6278" s="89" t="str">
        <f>H316</f>
        <v>C2b1b1b2</v>
      </c>
      <c r="M6278" s="89"/>
      <c r="N6278" s="89" t="s">
        <v>9852</v>
      </c>
      <c r="O6278" s="92">
        <v>2.2741052E7</v>
      </c>
      <c r="P6278" s="92">
        <v>2.0579166E7</v>
      </c>
      <c r="Q6278" s="89" t="s">
        <v>886</v>
      </c>
      <c r="AF6278" s="1"/>
      <c r="AG6278" s="1"/>
    </row>
    <row r="6279" ht="15.75" customHeight="1">
      <c r="A6279" s="1"/>
      <c r="B6279" s="1"/>
      <c r="C6279" s="1"/>
      <c r="D6279" s="1"/>
      <c r="E6279" s="1"/>
      <c r="F6279" s="1"/>
      <c r="G6279" s="1"/>
      <c r="H6279" s="1"/>
      <c r="I6279" s="1"/>
      <c r="J6279" s="1"/>
      <c r="K6279" s="89" t="s">
        <v>9853</v>
      </c>
      <c r="L6279" s="89" t="str">
        <f>H316</f>
        <v>C2b1b1b2</v>
      </c>
      <c r="M6279" s="89"/>
      <c r="N6279" s="89" t="s">
        <v>9854</v>
      </c>
      <c r="O6279" s="92">
        <v>2.3527575E7</v>
      </c>
      <c r="P6279" s="92">
        <v>2.1365689E7</v>
      </c>
      <c r="Q6279" s="89" t="s">
        <v>822</v>
      </c>
      <c r="AF6279" s="1"/>
      <c r="AG6279" s="1"/>
    </row>
    <row r="6280" ht="15.75" customHeight="1">
      <c r="A6280" s="1"/>
      <c r="B6280" s="1"/>
      <c r="C6280" s="1"/>
      <c r="D6280" s="1"/>
      <c r="E6280" s="1"/>
      <c r="F6280" s="1"/>
      <c r="G6280" s="1"/>
      <c r="H6280" s="1"/>
      <c r="I6280" s="1"/>
      <c r="J6280" s="1"/>
      <c r="K6280" s="89" t="s">
        <v>9855</v>
      </c>
      <c r="L6280" s="89" t="str">
        <f>H316</f>
        <v>C2b1b1b2</v>
      </c>
      <c r="M6280" s="89"/>
      <c r="N6280" s="89" t="s">
        <v>9856</v>
      </c>
      <c r="O6280" s="92">
        <v>9774980.0</v>
      </c>
      <c r="P6280" s="92">
        <v>9937371.0</v>
      </c>
      <c r="Q6280" s="89" t="s">
        <v>879</v>
      </c>
      <c r="AF6280" s="1"/>
      <c r="AG6280" s="1"/>
    </row>
    <row r="6281" ht="15.75" customHeight="1">
      <c r="A6281" s="1"/>
      <c r="B6281" s="1"/>
      <c r="C6281" s="1"/>
      <c r="D6281" s="1"/>
      <c r="E6281" s="1"/>
      <c r="F6281" s="1"/>
      <c r="G6281" s="1"/>
      <c r="H6281" s="1"/>
      <c r="I6281" s="1"/>
      <c r="J6281" s="1"/>
      <c r="K6281" s="89" t="s">
        <v>9857</v>
      </c>
      <c r="L6281" s="89" t="str">
        <f>H316</f>
        <v>C2b1b1b2</v>
      </c>
      <c r="M6281" s="89"/>
      <c r="N6281" s="89" t="s">
        <v>9858</v>
      </c>
      <c r="O6281" s="92">
        <v>2.1654931E7</v>
      </c>
      <c r="P6281" s="92">
        <v>1.9493045E7</v>
      </c>
      <c r="Q6281" s="89" t="s">
        <v>838</v>
      </c>
      <c r="AF6281" s="1"/>
      <c r="AG6281" s="1"/>
    </row>
    <row r="6282" ht="15.75" customHeight="1">
      <c r="A6282" s="1"/>
      <c r="B6282" s="1"/>
      <c r="C6282" s="1"/>
      <c r="D6282" s="1"/>
      <c r="E6282" s="1"/>
      <c r="F6282" s="1"/>
      <c r="G6282" s="1"/>
      <c r="H6282" s="1"/>
      <c r="I6282" s="1"/>
      <c r="J6282" s="1"/>
      <c r="K6282" s="89" t="s">
        <v>9859</v>
      </c>
      <c r="L6282" s="89" t="str">
        <f>H316</f>
        <v>C2b1b1b2</v>
      </c>
      <c r="M6282" s="89"/>
      <c r="N6282" s="89" t="s">
        <v>9860</v>
      </c>
      <c r="O6282" s="92">
        <v>1.8044701E7</v>
      </c>
      <c r="P6282" s="92">
        <v>1.5932821E7</v>
      </c>
      <c r="Q6282" s="89" t="s">
        <v>886</v>
      </c>
      <c r="AF6282" s="1"/>
      <c r="AG6282" s="1"/>
    </row>
    <row r="6283" ht="15.75" customHeight="1">
      <c r="A6283" s="1"/>
      <c r="B6283" s="1"/>
      <c r="C6283" s="1"/>
      <c r="D6283" s="1"/>
      <c r="E6283" s="1"/>
      <c r="F6283" s="1"/>
      <c r="G6283" s="1"/>
      <c r="H6283" s="1"/>
      <c r="I6283" s="1"/>
      <c r="J6283" s="1"/>
      <c r="K6283" s="89" t="s">
        <v>594</v>
      </c>
      <c r="L6283" s="89" t="str">
        <f>I317</f>
        <v>C2b1b1b2a</v>
      </c>
      <c r="M6283" s="89"/>
      <c r="N6283" s="89" t="s">
        <v>9861</v>
      </c>
      <c r="O6283" s="92">
        <v>1.8423059E7</v>
      </c>
      <c r="P6283" s="92">
        <v>1.6311179E7</v>
      </c>
      <c r="Q6283" s="89" t="s">
        <v>831</v>
      </c>
      <c r="AF6283" s="1"/>
      <c r="AG6283" s="1"/>
    </row>
    <row r="6284" ht="15.75" customHeight="1">
      <c r="A6284" s="1"/>
      <c r="B6284" s="1"/>
      <c r="C6284" s="1"/>
      <c r="D6284" s="1"/>
      <c r="E6284" s="1"/>
      <c r="F6284" s="1"/>
      <c r="G6284" s="1"/>
      <c r="H6284" s="1"/>
      <c r="I6284" s="1"/>
      <c r="J6284" s="1"/>
      <c r="K6284" s="89" t="s">
        <v>9862</v>
      </c>
      <c r="L6284" s="89" t="str">
        <f>J318</f>
        <v>C2b1b1b2a1</v>
      </c>
      <c r="M6284" s="89"/>
      <c r="N6284" s="89"/>
      <c r="O6284" s="92">
        <v>8482232.0</v>
      </c>
      <c r="P6284" s="92">
        <v>8614191.0</v>
      </c>
      <c r="Q6284" s="89" t="s">
        <v>813</v>
      </c>
      <c r="AF6284" s="1"/>
      <c r="AG6284" s="1"/>
    </row>
    <row r="6285" ht="15.75" customHeight="1">
      <c r="A6285" s="1"/>
      <c r="B6285" s="1"/>
      <c r="C6285" s="1"/>
      <c r="D6285" s="1"/>
      <c r="E6285" s="1"/>
      <c r="F6285" s="1"/>
      <c r="G6285" s="1"/>
      <c r="H6285" s="1"/>
      <c r="I6285" s="1"/>
      <c r="J6285" s="1"/>
      <c r="K6285" s="89" t="s">
        <v>9863</v>
      </c>
      <c r="L6285" s="89" t="str">
        <f>J318</f>
        <v>C2b1b1b2a1</v>
      </c>
      <c r="M6285" s="89"/>
      <c r="N6285" s="89"/>
      <c r="O6285" s="92">
        <v>9109855.0</v>
      </c>
      <c r="P6285" s="92">
        <v>9272246.0</v>
      </c>
      <c r="Q6285" s="89" t="s">
        <v>802</v>
      </c>
      <c r="AF6285" s="1"/>
      <c r="AG6285" s="1"/>
    </row>
    <row r="6286" ht="15.75" customHeight="1">
      <c r="A6286" s="1"/>
      <c r="B6286" s="1"/>
      <c r="C6286" s="1"/>
      <c r="D6286" s="1"/>
      <c r="E6286" s="1"/>
      <c r="F6286" s="1"/>
      <c r="G6286" s="1"/>
      <c r="H6286" s="1"/>
      <c r="I6286" s="1"/>
      <c r="J6286" s="1"/>
      <c r="K6286" s="89" t="s">
        <v>9864</v>
      </c>
      <c r="L6286" s="89" t="str">
        <f>J318</f>
        <v>C2b1b1b2a1</v>
      </c>
      <c r="M6286" s="89"/>
      <c r="N6286" s="89"/>
      <c r="O6286" s="92">
        <v>1.4054031E7</v>
      </c>
      <c r="P6286" s="92">
        <v>1.1933325E7</v>
      </c>
      <c r="Q6286" s="89" t="s">
        <v>912</v>
      </c>
      <c r="AF6286" s="1"/>
      <c r="AG6286" s="1"/>
    </row>
    <row r="6287" ht="15.75" customHeight="1">
      <c r="A6287" s="1"/>
      <c r="B6287" s="1"/>
      <c r="C6287" s="1"/>
      <c r="D6287" s="1"/>
      <c r="E6287" s="1"/>
      <c r="F6287" s="1"/>
      <c r="G6287" s="1"/>
      <c r="H6287" s="1"/>
      <c r="I6287" s="1"/>
      <c r="J6287" s="1"/>
      <c r="K6287" s="89" t="s">
        <v>9865</v>
      </c>
      <c r="L6287" s="89" t="str">
        <f>J318</f>
        <v>C2b1b1b2a1</v>
      </c>
      <c r="M6287" s="89"/>
      <c r="N6287" s="89"/>
      <c r="O6287" s="92">
        <v>1.4940684E7</v>
      </c>
      <c r="P6287" s="92">
        <v>1.2828758E7</v>
      </c>
      <c r="Q6287" s="89" t="s">
        <v>864</v>
      </c>
      <c r="AF6287" s="1"/>
      <c r="AG6287" s="1"/>
    </row>
    <row r="6288" ht="15.75" customHeight="1">
      <c r="A6288" s="1"/>
      <c r="B6288" s="1"/>
      <c r="C6288" s="1"/>
      <c r="D6288" s="1"/>
      <c r="E6288" s="1"/>
      <c r="F6288" s="1"/>
      <c r="G6288" s="1"/>
      <c r="H6288" s="1"/>
      <c r="I6288" s="1"/>
      <c r="J6288" s="1"/>
      <c r="K6288" s="89" t="s">
        <v>9866</v>
      </c>
      <c r="L6288" s="89" t="str">
        <f>J318</f>
        <v>C2b1b1b2a1</v>
      </c>
      <c r="M6288" s="89"/>
      <c r="N6288" s="89"/>
      <c r="O6288" s="92">
        <v>1.6411378E7</v>
      </c>
      <c r="P6288" s="92">
        <v>1.4299498E7</v>
      </c>
      <c r="Q6288" s="89" t="s">
        <v>822</v>
      </c>
      <c r="AF6288" s="1"/>
      <c r="AG6288" s="1"/>
    </row>
    <row r="6289" ht="15.75" customHeight="1">
      <c r="A6289" s="1"/>
      <c r="B6289" s="1"/>
      <c r="C6289" s="1"/>
      <c r="D6289" s="1"/>
      <c r="E6289" s="1"/>
      <c r="F6289" s="1"/>
      <c r="G6289" s="1"/>
      <c r="H6289" s="1"/>
      <c r="I6289" s="1"/>
      <c r="J6289" s="1"/>
      <c r="K6289" s="89" t="s">
        <v>9867</v>
      </c>
      <c r="L6289" s="89" t="str">
        <f>J318</f>
        <v>C2b1b1b2a1</v>
      </c>
      <c r="M6289" s="89"/>
      <c r="N6289" s="89"/>
      <c r="O6289" s="92">
        <v>1.7656094E7</v>
      </c>
      <c r="P6289" s="92">
        <v>1.5544214E7</v>
      </c>
      <c r="Q6289" s="89" t="s">
        <v>813</v>
      </c>
      <c r="AF6289" s="1"/>
      <c r="AG6289" s="1"/>
    </row>
    <row r="6290" ht="15.75" customHeight="1">
      <c r="A6290" s="1"/>
      <c r="B6290" s="1"/>
      <c r="C6290" s="1"/>
      <c r="D6290" s="1"/>
      <c r="E6290" s="1"/>
      <c r="F6290" s="1"/>
      <c r="G6290" s="1"/>
      <c r="H6290" s="1"/>
      <c r="I6290" s="1"/>
      <c r="J6290" s="1"/>
      <c r="K6290" s="89" t="s">
        <v>9868</v>
      </c>
      <c r="L6290" s="89" t="str">
        <f>J318</f>
        <v>C2b1b1b2a1</v>
      </c>
      <c r="M6290" s="89"/>
      <c r="N6290" s="89"/>
      <c r="O6290" s="92">
        <v>1.9024604E7</v>
      </c>
      <c r="P6290" s="92">
        <v>1.6912724E7</v>
      </c>
      <c r="Q6290" s="89" t="s">
        <v>838</v>
      </c>
      <c r="AF6290" s="1"/>
      <c r="AG6290" s="1"/>
    </row>
    <row r="6291" ht="15.75" customHeight="1">
      <c r="A6291" s="1"/>
      <c r="B6291" s="1"/>
      <c r="C6291" s="1"/>
      <c r="D6291" s="1"/>
      <c r="E6291" s="1"/>
      <c r="F6291" s="1"/>
      <c r="G6291" s="1"/>
      <c r="H6291" s="1"/>
      <c r="I6291" s="1"/>
      <c r="J6291" s="1"/>
      <c r="K6291" s="89" t="s">
        <v>9869</v>
      </c>
      <c r="L6291" s="89" t="str">
        <f>J318</f>
        <v>C2b1b1b2a1</v>
      </c>
      <c r="M6291" s="89"/>
      <c r="N6291" s="89"/>
      <c r="O6291" s="92">
        <v>2.2625237E7</v>
      </c>
      <c r="P6291" s="92">
        <v>2.0463351E7</v>
      </c>
      <c r="Q6291" s="89" t="s">
        <v>810</v>
      </c>
      <c r="AF6291" s="1"/>
      <c r="AG6291" s="1"/>
    </row>
    <row r="6292" ht="15.75" customHeight="1">
      <c r="A6292" s="1"/>
      <c r="B6292" s="1"/>
      <c r="C6292" s="1"/>
      <c r="D6292" s="1"/>
      <c r="E6292" s="1"/>
      <c r="F6292" s="1"/>
      <c r="G6292" s="1"/>
      <c r="H6292" s="1"/>
      <c r="I6292" s="1"/>
      <c r="J6292" s="1"/>
      <c r="K6292" s="89" t="s">
        <v>9870</v>
      </c>
      <c r="L6292" s="89" t="str">
        <f>K319</f>
        <v>C2b1b1b2a1a~</v>
      </c>
      <c r="M6292" s="89"/>
      <c r="N6292" s="89"/>
      <c r="O6292" s="92">
        <v>7529360.0</v>
      </c>
      <c r="P6292" s="92">
        <v>7661319.0</v>
      </c>
      <c r="Q6292" s="89" t="s">
        <v>838</v>
      </c>
      <c r="AF6292" s="1"/>
      <c r="AG6292" s="1"/>
    </row>
    <row r="6293" ht="15.75" customHeight="1">
      <c r="A6293" s="1"/>
      <c r="B6293" s="1"/>
      <c r="C6293" s="1"/>
      <c r="D6293" s="1"/>
      <c r="E6293" s="1"/>
      <c r="F6293" s="1"/>
      <c r="G6293" s="1"/>
      <c r="H6293" s="1"/>
      <c r="I6293" s="1"/>
      <c r="J6293" s="1"/>
      <c r="K6293" s="89" t="s">
        <v>9871</v>
      </c>
      <c r="L6293" s="89" t="str">
        <f>K319</f>
        <v>C2b1b1b2a1a~</v>
      </c>
      <c r="M6293" s="89"/>
      <c r="N6293" s="89"/>
      <c r="O6293" s="92">
        <v>7744402.0</v>
      </c>
      <c r="P6293" s="92">
        <v>7876361.0</v>
      </c>
      <c r="Q6293" s="89" t="s">
        <v>802</v>
      </c>
      <c r="AF6293" s="1"/>
      <c r="AG6293" s="1"/>
    </row>
    <row r="6294" ht="15.75" customHeight="1">
      <c r="A6294" s="1"/>
      <c r="B6294" s="1"/>
      <c r="C6294" s="1"/>
      <c r="D6294" s="1"/>
      <c r="E6294" s="1"/>
      <c r="F6294" s="1"/>
      <c r="G6294" s="1"/>
      <c r="H6294" s="1"/>
      <c r="I6294" s="1"/>
      <c r="J6294" s="1"/>
      <c r="K6294" s="89" t="s">
        <v>9872</v>
      </c>
      <c r="L6294" s="89" t="str">
        <f>K319</f>
        <v>C2b1b1b2a1a~</v>
      </c>
      <c r="M6294" s="89"/>
      <c r="N6294" s="89"/>
      <c r="O6294" s="92">
        <v>8262488.0</v>
      </c>
      <c r="P6294" s="92">
        <v>8394447.0</v>
      </c>
      <c r="Q6294" s="89" t="s">
        <v>802</v>
      </c>
      <c r="AF6294" s="1"/>
      <c r="AG6294" s="1"/>
    </row>
    <row r="6295" ht="15.75" customHeight="1">
      <c r="A6295" s="1"/>
      <c r="B6295" s="1"/>
      <c r="C6295" s="1"/>
      <c r="D6295" s="1"/>
      <c r="E6295" s="1"/>
      <c r="F6295" s="1"/>
      <c r="G6295" s="1"/>
      <c r="H6295" s="1"/>
      <c r="I6295" s="1"/>
      <c r="J6295" s="1"/>
      <c r="K6295" s="89" t="s">
        <v>9873</v>
      </c>
      <c r="L6295" s="89" t="str">
        <f>K319</f>
        <v>C2b1b1b2a1a~</v>
      </c>
      <c r="M6295" s="89"/>
      <c r="N6295" s="89"/>
      <c r="O6295" s="92">
        <v>8590647.0</v>
      </c>
      <c r="P6295" s="92">
        <v>8722606.0</v>
      </c>
      <c r="Q6295" s="89" t="s">
        <v>886</v>
      </c>
      <c r="AF6295" s="1"/>
      <c r="AG6295" s="1"/>
    </row>
    <row r="6296" ht="15.75" customHeight="1">
      <c r="A6296" s="1"/>
      <c r="B6296" s="1"/>
      <c r="C6296" s="1"/>
      <c r="D6296" s="1"/>
      <c r="E6296" s="1"/>
      <c r="F6296" s="1"/>
      <c r="G6296" s="1"/>
      <c r="H6296" s="1"/>
      <c r="I6296" s="1"/>
      <c r="J6296" s="1"/>
      <c r="K6296" s="89" t="s">
        <v>9874</v>
      </c>
      <c r="L6296" s="89" t="str">
        <f t="shared" ref="L6296:L6297" si="82">K319</f>
        <v>C2b1b1b2a1a~</v>
      </c>
      <c r="M6296" s="89"/>
      <c r="N6296" s="89" t="s">
        <v>9875</v>
      </c>
      <c r="O6296" s="92">
        <v>8700552.0</v>
      </c>
      <c r="P6296" s="92">
        <v>8832511.0</v>
      </c>
      <c r="Q6296" s="89" t="s">
        <v>810</v>
      </c>
      <c r="AF6296" s="1"/>
      <c r="AG6296" s="1"/>
    </row>
    <row r="6297" ht="15.75" customHeight="1">
      <c r="A6297" s="1"/>
      <c r="B6297" s="1"/>
      <c r="C6297" s="1"/>
      <c r="D6297" s="1"/>
      <c r="E6297" s="1"/>
      <c r="F6297" s="1"/>
      <c r="G6297" s="1"/>
      <c r="H6297" s="1"/>
      <c r="I6297" s="1"/>
      <c r="J6297" s="1"/>
      <c r="K6297" s="89" t="s">
        <v>9876</v>
      </c>
      <c r="L6297" s="89" t="str">
        <f t="shared" si="82"/>
        <v>C2b1b1b2a1b~</v>
      </c>
      <c r="M6297" s="89"/>
      <c r="N6297" s="89"/>
      <c r="O6297" s="92">
        <v>7066986.0</v>
      </c>
      <c r="P6297" s="92">
        <v>7198945.0</v>
      </c>
      <c r="Q6297" s="89" t="s">
        <v>810</v>
      </c>
      <c r="AF6297" s="1"/>
      <c r="AG6297" s="1"/>
    </row>
    <row r="6298" ht="15.75" customHeight="1">
      <c r="A6298" s="1"/>
      <c r="B6298" s="1"/>
      <c r="C6298" s="1"/>
      <c r="D6298" s="1"/>
      <c r="E6298" s="1"/>
      <c r="F6298" s="1"/>
      <c r="G6298" s="1"/>
      <c r="H6298" s="1"/>
      <c r="I6298" s="1"/>
      <c r="J6298" s="1"/>
      <c r="K6298" s="89" t="s">
        <v>9877</v>
      </c>
      <c r="L6298" s="89" t="str">
        <f>K320</f>
        <v>C2b1b1b2a1b~</v>
      </c>
      <c r="M6298" s="89"/>
      <c r="N6298" s="89"/>
      <c r="O6298" s="92">
        <v>7929064.0</v>
      </c>
      <c r="P6298" s="92">
        <v>8061023.0</v>
      </c>
      <c r="Q6298" s="89" t="s">
        <v>822</v>
      </c>
      <c r="AF6298" s="1"/>
      <c r="AG6298" s="1"/>
    </row>
    <row r="6299" ht="15.75" customHeight="1">
      <c r="A6299" s="1"/>
      <c r="B6299" s="1"/>
      <c r="C6299" s="1"/>
      <c r="D6299" s="1"/>
      <c r="E6299" s="1"/>
      <c r="F6299" s="1"/>
      <c r="G6299" s="1"/>
      <c r="H6299" s="1"/>
      <c r="I6299" s="1"/>
      <c r="J6299" s="1"/>
      <c r="K6299" s="89" t="s">
        <v>9878</v>
      </c>
      <c r="L6299" s="89" t="str">
        <f>K320</f>
        <v>C2b1b1b2a1b~</v>
      </c>
      <c r="M6299" s="89"/>
      <c r="N6299" s="89"/>
      <c r="O6299" s="92">
        <v>8156528.0</v>
      </c>
      <c r="P6299" s="92">
        <v>8288487.0</v>
      </c>
      <c r="Q6299" s="89" t="s">
        <v>838</v>
      </c>
      <c r="AF6299" s="1"/>
      <c r="AG6299" s="1"/>
    </row>
    <row r="6300" ht="15.75" customHeight="1">
      <c r="A6300" s="1"/>
      <c r="B6300" s="1"/>
      <c r="C6300" s="1"/>
      <c r="D6300" s="1"/>
      <c r="E6300" s="1"/>
      <c r="F6300" s="1"/>
      <c r="G6300" s="1"/>
      <c r="H6300" s="1"/>
      <c r="I6300" s="1"/>
      <c r="J6300" s="1"/>
      <c r="K6300" s="89" t="s">
        <v>9879</v>
      </c>
      <c r="L6300" s="89" t="str">
        <f>K320</f>
        <v>C2b1b1b2a1b~</v>
      </c>
      <c r="M6300" s="89"/>
      <c r="N6300" s="89"/>
      <c r="O6300" s="92">
        <v>8535084.0</v>
      </c>
      <c r="P6300" s="92">
        <v>8667043.0</v>
      </c>
      <c r="Q6300" s="89" t="s">
        <v>802</v>
      </c>
      <c r="AF6300" s="1"/>
      <c r="AG6300" s="1"/>
    </row>
    <row r="6301" ht="15.75" customHeight="1">
      <c r="A6301" s="1"/>
      <c r="B6301" s="1"/>
      <c r="C6301" s="1"/>
      <c r="D6301" s="1"/>
      <c r="E6301" s="1"/>
      <c r="F6301" s="1"/>
      <c r="G6301" s="1"/>
      <c r="H6301" s="1"/>
      <c r="I6301" s="1"/>
      <c r="J6301" s="1"/>
      <c r="K6301" s="89" t="s">
        <v>9880</v>
      </c>
      <c r="L6301" s="89" t="str">
        <f>K320</f>
        <v>C2b1b1b2a1b~</v>
      </c>
      <c r="M6301" s="89"/>
      <c r="N6301" s="89"/>
      <c r="O6301" s="92">
        <v>1.6559903E7</v>
      </c>
      <c r="P6301" s="92">
        <v>1.4448023E7</v>
      </c>
      <c r="Q6301" s="89" t="s">
        <v>912</v>
      </c>
      <c r="AF6301" s="1"/>
      <c r="AG6301" s="1"/>
    </row>
    <row r="6302" ht="15.75" customHeight="1">
      <c r="A6302" s="1"/>
      <c r="B6302" s="1"/>
      <c r="C6302" s="1"/>
      <c r="D6302" s="1"/>
      <c r="E6302" s="1"/>
      <c r="F6302" s="1"/>
      <c r="G6302" s="1"/>
      <c r="H6302" s="1"/>
      <c r="I6302" s="1"/>
      <c r="J6302" s="1"/>
      <c r="K6302" s="89" t="s">
        <v>9881</v>
      </c>
      <c r="L6302" s="89" t="str">
        <f>J321</f>
        <v>C2b1b1b2a2~</v>
      </c>
      <c r="M6302" s="89"/>
      <c r="N6302" s="89" t="s">
        <v>9882</v>
      </c>
      <c r="O6302" s="92">
        <v>7370316.0</v>
      </c>
      <c r="P6302" s="92">
        <v>7502275.0</v>
      </c>
      <c r="Q6302" s="89" t="s">
        <v>838</v>
      </c>
      <c r="AF6302" s="1"/>
      <c r="AG6302" s="1"/>
    </row>
    <row r="6303" ht="15.75" customHeight="1">
      <c r="A6303" s="1"/>
      <c r="B6303" s="1"/>
      <c r="C6303" s="1"/>
      <c r="D6303" s="1"/>
      <c r="E6303" s="1"/>
      <c r="F6303" s="1"/>
      <c r="G6303" s="1"/>
      <c r="H6303" s="1"/>
      <c r="I6303" s="1"/>
      <c r="J6303" s="1"/>
      <c r="K6303" s="89" t="s">
        <v>9883</v>
      </c>
      <c r="L6303" s="89" t="str">
        <f>J321</f>
        <v>C2b1b1b2a2~</v>
      </c>
      <c r="M6303" s="89"/>
      <c r="N6303" s="89" t="s">
        <v>9884</v>
      </c>
      <c r="O6303" s="92">
        <v>2818097.0</v>
      </c>
      <c r="P6303" s="92">
        <v>2950056.0</v>
      </c>
      <c r="Q6303" s="89" t="s">
        <v>864</v>
      </c>
      <c r="AF6303" s="1"/>
      <c r="AG6303" s="1"/>
    </row>
    <row r="6304" ht="15.75" customHeight="1">
      <c r="A6304" s="1"/>
      <c r="B6304" s="1"/>
      <c r="C6304" s="1"/>
      <c r="D6304" s="1"/>
      <c r="E6304" s="1"/>
      <c r="F6304" s="1"/>
      <c r="G6304" s="1"/>
      <c r="H6304" s="1"/>
      <c r="I6304" s="1"/>
      <c r="J6304" s="1"/>
      <c r="K6304" s="89" t="s">
        <v>9885</v>
      </c>
      <c r="L6304" s="89" t="str">
        <f>J321</f>
        <v>C2b1b1b2a2~</v>
      </c>
      <c r="M6304" s="89"/>
      <c r="N6304" s="89" t="s">
        <v>9886</v>
      </c>
      <c r="O6304" s="92">
        <v>7047052.0</v>
      </c>
      <c r="P6304" s="92">
        <v>7179011.0</v>
      </c>
      <c r="Q6304" s="89" t="s">
        <v>813</v>
      </c>
      <c r="AF6304" s="1"/>
      <c r="AG6304" s="1"/>
    </row>
    <row r="6305" ht="15.75" customHeight="1">
      <c r="A6305" s="1"/>
      <c r="B6305" s="1"/>
      <c r="C6305" s="1"/>
      <c r="D6305" s="1"/>
      <c r="E6305" s="1"/>
      <c r="F6305" s="1"/>
      <c r="G6305" s="1"/>
      <c r="H6305" s="1"/>
      <c r="I6305" s="1"/>
      <c r="J6305" s="1"/>
      <c r="K6305" s="89" t="s">
        <v>9887</v>
      </c>
      <c r="L6305" s="89" t="str">
        <f>J321</f>
        <v>C2b1b1b2a2~</v>
      </c>
      <c r="M6305" s="89"/>
      <c r="N6305" s="89" t="s">
        <v>9888</v>
      </c>
      <c r="O6305" s="92">
        <v>7550917.0</v>
      </c>
      <c r="P6305" s="92">
        <v>7682876.0</v>
      </c>
      <c r="Q6305" s="89" t="s">
        <v>810</v>
      </c>
      <c r="AF6305" s="1"/>
      <c r="AG6305" s="1"/>
    </row>
    <row r="6306" ht="15.75" customHeight="1">
      <c r="A6306" s="1"/>
      <c r="B6306" s="1"/>
      <c r="C6306" s="1"/>
      <c r="D6306" s="1"/>
      <c r="E6306" s="1"/>
      <c r="F6306" s="1"/>
      <c r="G6306" s="1"/>
      <c r="H6306" s="1"/>
      <c r="I6306" s="1"/>
      <c r="J6306" s="1"/>
      <c r="K6306" s="89" t="s">
        <v>9889</v>
      </c>
      <c r="L6306" s="89" t="str">
        <f>J321</f>
        <v>C2b1b1b2a2~</v>
      </c>
      <c r="M6306" s="89"/>
      <c r="N6306" s="89" t="s">
        <v>9890</v>
      </c>
      <c r="O6306" s="92">
        <v>7603195.0</v>
      </c>
      <c r="P6306" s="92">
        <v>7735154.0</v>
      </c>
      <c r="Q6306" s="89" t="s">
        <v>810</v>
      </c>
      <c r="AF6306" s="1"/>
      <c r="AG6306" s="1"/>
    </row>
    <row r="6307" ht="15.75" customHeight="1">
      <c r="A6307" s="1"/>
      <c r="B6307" s="1"/>
      <c r="C6307" s="1"/>
      <c r="D6307" s="1"/>
      <c r="E6307" s="1"/>
      <c r="F6307" s="1"/>
      <c r="G6307" s="1"/>
      <c r="H6307" s="1"/>
      <c r="I6307" s="1"/>
      <c r="J6307" s="1"/>
      <c r="K6307" s="89" t="s">
        <v>9891</v>
      </c>
      <c r="L6307" s="89" t="str">
        <f>H322</f>
        <v>C2b1b1b3~</v>
      </c>
      <c r="M6307" s="89"/>
      <c r="N6307" s="89"/>
      <c r="O6307" s="92">
        <v>6704181.0</v>
      </c>
      <c r="P6307" s="92">
        <v>6836140.0</v>
      </c>
      <c r="Q6307" s="89" t="s">
        <v>810</v>
      </c>
      <c r="AF6307" s="1"/>
      <c r="AG6307" s="1"/>
    </row>
    <row r="6308" ht="15.75" customHeight="1">
      <c r="A6308" s="1"/>
      <c r="B6308" s="1"/>
      <c r="C6308" s="1"/>
      <c r="D6308" s="1"/>
      <c r="E6308" s="1"/>
      <c r="F6308" s="1"/>
      <c r="G6308" s="1"/>
      <c r="H6308" s="1"/>
      <c r="I6308" s="1"/>
      <c r="J6308" s="1"/>
      <c r="K6308" s="89" t="s">
        <v>9892</v>
      </c>
      <c r="L6308" s="89" t="str">
        <f>H322</f>
        <v>C2b1b1b3~</v>
      </c>
      <c r="M6308" s="89"/>
      <c r="N6308" s="89"/>
      <c r="O6308" s="92">
        <v>7663046.0</v>
      </c>
      <c r="P6308" s="92">
        <v>7795005.0</v>
      </c>
      <c r="Q6308" s="89" t="s">
        <v>802</v>
      </c>
      <c r="AF6308" s="1"/>
      <c r="AG6308" s="1"/>
    </row>
    <row r="6309" ht="15.75" customHeight="1">
      <c r="A6309" s="1"/>
      <c r="B6309" s="1"/>
      <c r="C6309" s="1"/>
      <c r="D6309" s="1"/>
      <c r="E6309" s="1"/>
      <c r="F6309" s="1"/>
      <c r="G6309" s="1"/>
      <c r="H6309" s="1"/>
      <c r="I6309" s="1"/>
      <c r="J6309" s="1"/>
      <c r="K6309" s="89" t="s">
        <v>9893</v>
      </c>
      <c r="L6309" s="89" t="str">
        <f>H322</f>
        <v>C2b1b1b3~</v>
      </c>
      <c r="M6309" s="89"/>
      <c r="N6309" s="89"/>
      <c r="O6309" s="92">
        <v>7850132.0</v>
      </c>
      <c r="P6309" s="92">
        <v>7982091.0</v>
      </c>
      <c r="Q6309" s="89" t="s">
        <v>838</v>
      </c>
      <c r="AF6309" s="1"/>
      <c r="AG6309" s="1"/>
    </row>
    <row r="6310" ht="15.75" customHeight="1">
      <c r="A6310" s="1"/>
      <c r="B6310" s="1"/>
      <c r="C6310" s="1"/>
      <c r="D6310" s="1"/>
      <c r="E6310" s="1"/>
      <c r="F6310" s="1"/>
      <c r="G6310" s="1"/>
      <c r="H6310" s="1"/>
      <c r="I6310" s="1"/>
      <c r="J6310" s="1"/>
      <c r="K6310" s="89" t="s">
        <v>9894</v>
      </c>
      <c r="L6310" s="89" t="str">
        <f>H322</f>
        <v>C2b1b1b3~</v>
      </c>
      <c r="M6310" s="89"/>
      <c r="N6310" s="89"/>
      <c r="O6310" s="92">
        <v>7977640.0</v>
      </c>
      <c r="P6310" s="92">
        <v>8109599.0</v>
      </c>
      <c r="Q6310" s="89" t="s">
        <v>831</v>
      </c>
      <c r="AF6310" s="1"/>
      <c r="AG6310" s="1"/>
    </row>
    <row r="6311" ht="15.75" customHeight="1">
      <c r="A6311" s="1"/>
      <c r="B6311" s="1"/>
      <c r="C6311" s="1"/>
      <c r="D6311" s="1"/>
      <c r="E6311" s="1"/>
      <c r="F6311" s="1"/>
      <c r="G6311" s="1"/>
      <c r="H6311" s="1"/>
      <c r="I6311" s="1"/>
      <c r="J6311" s="1"/>
      <c r="K6311" s="89" t="s">
        <v>9895</v>
      </c>
      <c r="L6311" s="89" t="str">
        <f t="shared" ref="L6311:L6312" si="83">H322</f>
        <v>C2b1b1b3~</v>
      </c>
      <c r="M6311" s="89"/>
      <c r="N6311" s="89"/>
      <c r="O6311" s="92">
        <v>8445415.0</v>
      </c>
      <c r="P6311" s="92">
        <v>8577374.0</v>
      </c>
      <c r="Q6311" s="89" t="s">
        <v>838</v>
      </c>
      <c r="AF6311" s="1"/>
      <c r="AG6311" s="1"/>
    </row>
    <row r="6312" ht="15.75" customHeight="1">
      <c r="A6312" s="1"/>
      <c r="B6312" s="1"/>
      <c r="C6312" s="1"/>
      <c r="D6312" s="1"/>
      <c r="E6312" s="1"/>
      <c r="F6312" s="1"/>
      <c r="G6312" s="1"/>
      <c r="H6312" s="1"/>
      <c r="I6312" s="1"/>
      <c r="J6312" s="1"/>
      <c r="K6312" s="89" t="s">
        <v>606</v>
      </c>
      <c r="L6312" s="89" t="str">
        <f t="shared" si="83"/>
        <v>C2b1b1b4~</v>
      </c>
      <c r="M6312" s="89"/>
      <c r="N6312" s="89" t="s">
        <v>9896</v>
      </c>
      <c r="O6312" s="92">
        <v>2.1902505E7</v>
      </c>
      <c r="P6312" s="92">
        <v>1.9740619E7</v>
      </c>
      <c r="Q6312" s="89" t="s">
        <v>802</v>
      </c>
      <c r="AF6312" s="1"/>
      <c r="AG6312" s="1"/>
    </row>
    <row r="6313" ht="15.75" customHeight="1">
      <c r="A6313" s="1"/>
      <c r="B6313" s="1"/>
      <c r="C6313" s="1"/>
      <c r="D6313" s="1"/>
      <c r="E6313" s="1"/>
      <c r="F6313" s="1"/>
      <c r="G6313" s="1"/>
      <c r="H6313" s="1"/>
      <c r="I6313" s="1"/>
      <c r="J6313" s="1"/>
      <c r="K6313" s="89" t="s">
        <v>9897</v>
      </c>
      <c r="L6313" s="89" t="str">
        <f>G324</f>
        <v>C2b1b1c~</v>
      </c>
      <c r="M6313" s="89"/>
      <c r="N6313" s="89" t="s">
        <v>9898</v>
      </c>
      <c r="O6313" s="92">
        <v>1.5460054E7</v>
      </c>
      <c r="P6313" s="92">
        <v>1.3348174E7</v>
      </c>
      <c r="Q6313" s="89" t="s">
        <v>838</v>
      </c>
      <c r="AF6313" s="1"/>
      <c r="AG6313" s="1"/>
    </row>
    <row r="6314" ht="15.75" customHeight="1">
      <c r="A6314" s="1"/>
      <c r="B6314" s="1"/>
      <c r="C6314" s="1"/>
      <c r="D6314" s="1"/>
      <c r="E6314" s="1"/>
      <c r="F6314" s="1"/>
      <c r="G6314" s="1"/>
      <c r="H6314" s="1"/>
      <c r="I6314" s="1"/>
      <c r="J6314" s="1"/>
      <c r="K6314" s="89" t="s">
        <v>9899</v>
      </c>
      <c r="L6314" s="89" t="str">
        <f>G324</f>
        <v>C2b1b1c~</v>
      </c>
      <c r="M6314" s="89" t="s">
        <v>9900</v>
      </c>
      <c r="N6314" s="89" t="s">
        <v>9901</v>
      </c>
      <c r="O6314" s="92">
        <v>1.9469571E7</v>
      </c>
      <c r="P6314" s="92">
        <v>1.7357691E7</v>
      </c>
      <c r="Q6314" s="89" t="s">
        <v>838</v>
      </c>
      <c r="AF6314" s="1"/>
      <c r="AG6314" s="1"/>
    </row>
    <row r="6315" ht="15.75" customHeight="1">
      <c r="A6315" s="1"/>
      <c r="B6315" s="1"/>
      <c r="C6315" s="1"/>
      <c r="D6315" s="1"/>
      <c r="E6315" s="1"/>
      <c r="F6315" s="1"/>
      <c r="G6315" s="1"/>
      <c r="H6315" s="1"/>
      <c r="I6315" s="1"/>
      <c r="J6315" s="1"/>
      <c r="K6315" s="89" t="s">
        <v>9900</v>
      </c>
      <c r="L6315" s="89" t="str">
        <f>G324</f>
        <v>C2b1b1c~</v>
      </c>
      <c r="M6315" s="89" t="s">
        <v>9899</v>
      </c>
      <c r="N6315" s="89" t="s">
        <v>9901</v>
      </c>
      <c r="O6315" s="92">
        <v>1.9469571E7</v>
      </c>
      <c r="P6315" s="92">
        <v>1.7357691E7</v>
      </c>
      <c r="Q6315" s="89" t="s">
        <v>838</v>
      </c>
      <c r="AF6315" s="1"/>
      <c r="AG6315" s="1"/>
    </row>
    <row r="6316" ht="15.75" customHeight="1">
      <c r="A6316" s="1"/>
      <c r="B6316" s="1"/>
      <c r="C6316" s="1"/>
      <c r="D6316" s="1"/>
      <c r="E6316" s="1"/>
      <c r="F6316" s="1"/>
      <c r="G6316" s="1"/>
      <c r="H6316" s="1"/>
      <c r="I6316" s="1"/>
      <c r="J6316" s="1"/>
      <c r="K6316" s="89" t="s">
        <v>9902</v>
      </c>
      <c r="L6316" s="89" t="str">
        <f>G324</f>
        <v>C2b1b1c~</v>
      </c>
      <c r="M6316" s="89" t="s">
        <v>9903</v>
      </c>
      <c r="N6316" s="89" t="s">
        <v>9904</v>
      </c>
      <c r="O6316" s="89">
        <v>2.1252467E7</v>
      </c>
      <c r="P6316" s="89">
        <v>1.9090581E7</v>
      </c>
      <c r="Q6316" s="89" t="s">
        <v>802</v>
      </c>
      <c r="AF6316" s="1"/>
      <c r="AG6316" s="1"/>
    </row>
    <row r="6317" ht="15.75" customHeight="1">
      <c r="A6317" s="1"/>
      <c r="B6317" s="1"/>
      <c r="C6317" s="1"/>
      <c r="D6317" s="1"/>
      <c r="E6317" s="1"/>
      <c r="F6317" s="1"/>
      <c r="G6317" s="1"/>
      <c r="H6317" s="1"/>
      <c r="I6317" s="1"/>
      <c r="J6317" s="1"/>
      <c r="K6317" s="89" t="s">
        <v>9903</v>
      </c>
      <c r="L6317" s="89" t="str">
        <f>G324</f>
        <v>C2b1b1c~</v>
      </c>
      <c r="M6317" s="89" t="s">
        <v>9902</v>
      </c>
      <c r="N6317" s="89" t="s">
        <v>9904</v>
      </c>
      <c r="O6317" s="89">
        <v>2.1252467E7</v>
      </c>
      <c r="P6317" s="89">
        <v>1.9090581E7</v>
      </c>
      <c r="Q6317" s="89" t="s">
        <v>802</v>
      </c>
      <c r="AF6317" s="1"/>
      <c r="AG6317" s="1"/>
    </row>
    <row r="6318" ht="15.75" customHeight="1">
      <c r="A6318" s="1"/>
      <c r="B6318" s="1"/>
      <c r="C6318" s="1"/>
      <c r="D6318" s="1"/>
      <c r="E6318" s="1"/>
      <c r="F6318" s="1"/>
      <c r="G6318" s="1"/>
      <c r="H6318" s="1"/>
      <c r="I6318" s="1"/>
      <c r="J6318" s="1"/>
      <c r="K6318" s="89" t="s">
        <v>9905</v>
      </c>
      <c r="L6318" s="89" t="str">
        <f>G324</f>
        <v>C2b1b1c~</v>
      </c>
      <c r="M6318" s="89" t="s">
        <v>9906</v>
      </c>
      <c r="N6318" s="89" t="s">
        <v>9907</v>
      </c>
      <c r="O6318" s="89">
        <v>2.1507523E7</v>
      </c>
      <c r="P6318" s="89">
        <v>1.9345637E7</v>
      </c>
      <c r="Q6318" s="89" t="s">
        <v>838</v>
      </c>
      <c r="AF6318" s="1"/>
      <c r="AG6318" s="1"/>
    </row>
    <row r="6319" ht="15.75" customHeight="1">
      <c r="A6319" s="1"/>
      <c r="B6319" s="1"/>
      <c r="C6319" s="1"/>
      <c r="D6319" s="1"/>
      <c r="E6319" s="1"/>
      <c r="F6319" s="1"/>
      <c r="G6319" s="1"/>
      <c r="H6319" s="1"/>
      <c r="I6319" s="1"/>
      <c r="J6319" s="1"/>
      <c r="K6319" s="89" t="s">
        <v>9906</v>
      </c>
      <c r="L6319" s="89" t="str">
        <f>G324</f>
        <v>C2b1b1c~</v>
      </c>
      <c r="M6319" s="89" t="s">
        <v>9905</v>
      </c>
      <c r="N6319" s="89" t="s">
        <v>9907</v>
      </c>
      <c r="O6319" s="89">
        <v>2.1507523E7</v>
      </c>
      <c r="P6319" s="89">
        <v>1.9345637E7</v>
      </c>
      <c r="Q6319" s="89" t="s">
        <v>838</v>
      </c>
      <c r="AF6319" s="1"/>
      <c r="AG6319" s="1"/>
    </row>
    <row r="6320" ht="15.75" customHeight="1">
      <c r="A6320" s="1"/>
      <c r="B6320" s="1"/>
      <c r="C6320" s="1"/>
      <c r="D6320" s="1"/>
      <c r="E6320" s="1"/>
      <c r="F6320" s="1"/>
      <c r="G6320" s="1"/>
      <c r="H6320" s="1"/>
      <c r="I6320" s="1"/>
      <c r="J6320" s="1"/>
      <c r="K6320" s="89" t="s">
        <v>9908</v>
      </c>
      <c r="L6320" s="89" t="str">
        <f>G324</f>
        <v>C2b1b1c~</v>
      </c>
      <c r="M6320" s="89" t="s">
        <v>9909</v>
      </c>
      <c r="N6320" s="89"/>
      <c r="O6320" s="89">
        <v>2.32781E7</v>
      </c>
      <c r="P6320" s="89">
        <v>2.1116214E7</v>
      </c>
      <c r="Q6320" s="89" t="s">
        <v>831</v>
      </c>
      <c r="AF6320" s="1"/>
      <c r="AG6320" s="1"/>
    </row>
    <row r="6321" ht="15.75" customHeight="1">
      <c r="A6321" s="1"/>
      <c r="B6321" s="1"/>
      <c r="C6321" s="1"/>
      <c r="D6321" s="1"/>
      <c r="E6321" s="1"/>
      <c r="F6321" s="1"/>
      <c r="G6321" s="1"/>
      <c r="H6321" s="1"/>
      <c r="I6321" s="1"/>
      <c r="J6321" s="1"/>
      <c r="K6321" s="89" t="s">
        <v>9909</v>
      </c>
      <c r="L6321" s="89" t="str">
        <f t="shared" ref="L6321:L6322" si="84">G324</f>
        <v>C2b1b1c~</v>
      </c>
      <c r="M6321" s="89" t="s">
        <v>9908</v>
      </c>
      <c r="N6321" s="89"/>
      <c r="O6321" s="89">
        <v>2.32781E7</v>
      </c>
      <c r="P6321" s="89">
        <v>2.1116214E7</v>
      </c>
      <c r="Q6321" s="89" t="s">
        <v>831</v>
      </c>
      <c r="AF6321" s="1"/>
      <c r="AG6321" s="1"/>
    </row>
    <row r="6322" ht="15.75" customHeight="1">
      <c r="A6322" s="1"/>
      <c r="B6322" s="1"/>
      <c r="C6322" s="1"/>
      <c r="D6322" s="1"/>
      <c r="E6322" s="1"/>
      <c r="F6322" s="1"/>
      <c r="G6322" s="1"/>
      <c r="H6322" s="1"/>
      <c r="I6322" s="1"/>
      <c r="J6322" s="1"/>
      <c r="K6322" s="89" t="s">
        <v>9910</v>
      </c>
      <c r="L6322" s="89" t="str">
        <f t="shared" si="84"/>
        <v>C2b1b1d</v>
      </c>
      <c r="M6322" s="89"/>
      <c r="N6322" s="89"/>
      <c r="O6322" s="92">
        <v>8551374.0</v>
      </c>
      <c r="P6322" s="92">
        <v>8683333.0</v>
      </c>
      <c r="Q6322" s="89" t="s">
        <v>802</v>
      </c>
      <c r="AF6322" s="1"/>
      <c r="AG6322" s="1"/>
    </row>
    <row r="6323" ht="15.75" customHeight="1">
      <c r="A6323" s="1"/>
      <c r="B6323" s="1"/>
      <c r="C6323" s="1"/>
      <c r="D6323" s="1"/>
      <c r="E6323" s="1"/>
      <c r="F6323" s="1"/>
      <c r="G6323" s="1"/>
      <c r="H6323" s="1"/>
      <c r="I6323" s="1"/>
      <c r="J6323" s="1"/>
      <c r="K6323" s="89" t="s">
        <v>9911</v>
      </c>
      <c r="L6323" s="89" t="str">
        <f>G325</f>
        <v>C2b1b1d</v>
      </c>
      <c r="M6323" s="89"/>
      <c r="N6323" s="89"/>
      <c r="O6323" s="92">
        <v>1.4594423E7</v>
      </c>
      <c r="P6323" s="92">
        <v>1.2482623E7</v>
      </c>
      <c r="Q6323" s="89" t="s">
        <v>802</v>
      </c>
      <c r="AF6323" s="1"/>
      <c r="AG6323" s="1"/>
    </row>
    <row r="6324" ht="15.75" customHeight="1">
      <c r="A6324" s="1"/>
      <c r="B6324" s="1"/>
      <c r="C6324" s="1"/>
      <c r="D6324" s="1"/>
      <c r="E6324" s="1"/>
      <c r="F6324" s="1"/>
      <c r="G6324" s="1"/>
      <c r="H6324" s="1"/>
      <c r="I6324" s="1"/>
      <c r="J6324" s="1"/>
      <c r="K6324" s="89" t="s">
        <v>9912</v>
      </c>
      <c r="L6324" s="89" t="str">
        <f>G325</f>
        <v>C2b1b1d</v>
      </c>
      <c r="M6324" s="89"/>
      <c r="N6324" s="89"/>
      <c r="O6324" s="92">
        <v>1.478328E7</v>
      </c>
      <c r="P6324" s="92">
        <v>1.267135E7</v>
      </c>
      <c r="Q6324" s="89" t="s">
        <v>813</v>
      </c>
      <c r="AF6324" s="1"/>
      <c r="AG6324" s="1"/>
    </row>
    <row r="6325" ht="15.75" customHeight="1">
      <c r="A6325" s="1"/>
      <c r="B6325" s="1"/>
      <c r="C6325" s="1"/>
      <c r="D6325" s="1"/>
      <c r="E6325" s="1"/>
      <c r="F6325" s="1"/>
      <c r="G6325" s="1"/>
      <c r="H6325" s="1"/>
      <c r="I6325" s="1"/>
      <c r="J6325" s="1"/>
      <c r="K6325" s="89" t="s">
        <v>9913</v>
      </c>
      <c r="L6325" s="89" t="str">
        <f>G325</f>
        <v>C2b1b1d</v>
      </c>
      <c r="M6325" s="89"/>
      <c r="N6325" s="89"/>
      <c r="O6325" s="92">
        <v>1.8911754E7</v>
      </c>
      <c r="P6325" s="92">
        <v>1.6799874E7</v>
      </c>
      <c r="Q6325" s="89" t="s">
        <v>912</v>
      </c>
      <c r="AF6325" s="1"/>
      <c r="AG6325" s="1"/>
    </row>
    <row r="6326" ht="15.75" customHeight="1">
      <c r="A6326" s="1"/>
      <c r="B6326" s="1"/>
      <c r="C6326" s="1"/>
      <c r="D6326" s="1"/>
      <c r="E6326" s="1"/>
      <c r="F6326" s="1"/>
      <c r="G6326" s="1"/>
      <c r="H6326" s="1"/>
      <c r="I6326" s="1"/>
      <c r="J6326" s="1"/>
      <c r="K6326" s="89" t="s">
        <v>9914</v>
      </c>
      <c r="L6326" s="89" t="str">
        <f>G325</f>
        <v>C2b1b1d</v>
      </c>
      <c r="M6326" s="89"/>
      <c r="N6326" s="89"/>
      <c r="O6326" s="92">
        <v>1.9192031E7</v>
      </c>
      <c r="P6326" s="92">
        <v>1.7080151E7</v>
      </c>
      <c r="Q6326" s="89" t="s">
        <v>845</v>
      </c>
      <c r="AF6326" s="1"/>
      <c r="AG6326" s="1"/>
    </row>
    <row r="6327" ht="15.75" customHeight="1">
      <c r="A6327" s="1"/>
      <c r="B6327" s="1"/>
      <c r="C6327" s="1"/>
      <c r="D6327" s="1"/>
      <c r="E6327" s="1"/>
      <c r="F6327" s="1"/>
      <c r="G6327" s="1"/>
      <c r="H6327" s="1"/>
      <c r="I6327" s="1"/>
      <c r="J6327" s="1"/>
      <c r="K6327" s="89" t="s">
        <v>9915</v>
      </c>
      <c r="L6327" s="89" t="str">
        <f>G325</f>
        <v>C2b1b1d</v>
      </c>
      <c r="M6327" s="89"/>
      <c r="N6327" s="89"/>
      <c r="O6327" s="92">
        <v>1.9466191E7</v>
      </c>
      <c r="P6327" s="92">
        <v>1.7354311E7</v>
      </c>
      <c r="Q6327" s="89" t="s">
        <v>912</v>
      </c>
      <c r="AF6327" s="1"/>
      <c r="AG6327" s="1"/>
    </row>
    <row r="6328" ht="15.75" customHeight="1">
      <c r="A6328" s="1"/>
      <c r="B6328" s="1"/>
      <c r="C6328" s="1"/>
      <c r="D6328" s="1"/>
      <c r="E6328" s="1"/>
      <c r="F6328" s="1"/>
      <c r="G6328" s="1"/>
      <c r="H6328" s="1"/>
      <c r="I6328" s="1"/>
      <c r="J6328" s="1"/>
      <c r="K6328" s="89" t="s">
        <v>9916</v>
      </c>
      <c r="L6328" s="89" t="str">
        <f>H326</f>
        <v>C2b1b1d1~</v>
      </c>
      <c r="M6328" s="89"/>
      <c r="N6328" s="89"/>
      <c r="O6328" s="92">
        <v>1.5871744E7</v>
      </c>
      <c r="P6328" s="92">
        <v>1.3759864E7</v>
      </c>
      <c r="Q6328" s="89" t="s">
        <v>822</v>
      </c>
      <c r="AF6328" s="1"/>
      <c r="AG6328" s="1"/>
    </row>
    <row r="6329" ht="15.75" customHeight="1">
      <c r="A6329" s="1"/>
      <c r="B6329" s="1"/>
      <c r="C6329" s="1"/>
      <c r="D6329" s="1"/>
      <c r="E6329" s="1"/>
      <c r="F6329" s="1"/>
      <c r="G6329" s="1"/>
      <c r="H6329" s="1"/>
      <c r="I6329" s="1"/>
      <c r="J6329" s="1"/>
      <c r="K6329" s="89" t="s">
        <v>9917</v>
      </c>
      <c r="L6329" s="89" t="str">
        <f>H326</f>
        <v>C2b1b1d1~</v>
      </c>
      <c r="M6329" s="89"/>
      <c r="N6329" s="89"/>
      <c r="O6329" s="92">
        <v>1.7333429E7</v>
      </c>
      <c r="P6329" s="92">
        <v>1.5221549E7</v>
      </c>
      <c r="Q6329" s="89" t="s">
        <v>838</v>
      </c>
      <c r="AF6329" s="1"/>
      <c r="AG6329" s="1"/>
    </row>
    <row r="6330" ht="15.75" customHeight="1">
      <c r="A6330" s="1"/>
      <c r="B6330" s="1"/>
      <c r="C6330" s="1"/>
      <c r="D6330" s="1"/>
      <c r="E6330" s="1"/>
      <c r="F6330" s="1"/>
      <c r="G6330" s="1"/>
      <c r="H6330" s="1"/>
      <c r="I6330" s="1"/>
      <c r="J6330" s="1"/>
      <c r="K6330" s="89" t="s">
        <v>9918</v>
      </c>
      <c r="L6330" s="89" t="str">
        <f>H326</f>
        <v>C2b1b1d1~</v>
      </c>
      <c r="M6330" s="89"/>
      <c r="N6330" s="89"/>
      <c r="O6330" s="92">
        <v>2.2755217E7</v>
      </c>
      <c r="P6330" s="92">
        <v>2.0593331E7</v>
      </c>
      <c r="Q6330" s="89" t="s">
        <v>802</v>
      </c>
      <c r="AF6330" s="1"/>
      <c r="AG6330" s="1"/>
    </row>
    <row r="6331" ht="15.75" customHeight="1">
      <c r="A6331" s="1"/>
      <c r="B6331" s="1"/>
      <c r="C6331" s="1"/>
      <c r="D6331" s="1"/>
      <c r="E6331" s="1"/>
      <c r="F6331" s="1"/>
      <c r="G6331" s="1"/>
      <c r="H6331" s="1"/>
      <c r="I6331" s="1"/>
      <c r="J6331" s="1"/>
      <c r="K6331" s="89" t="s">
        <v>9919</v>
      </c>
      <c r="L6331" s="89" t="str">
        <f>H326</f>
        <v>C2b1b1d1~</v>
      </c>
      <c r="M6331" s="89"/>
      <c r="N6331" s="89"/>
      <c r="O6331" s="92">
        <v>1.4386211E7</v>
      </c>
      <c r="P6331" s="92">
        <v>1.2265507E7</v>
      </c>
      <c r="Q6331" s="89" t="s">
        <v>917</v>
      </c>
      <c r="AF6331" s="1"/>
      <c r="AG6331" s="1"/>
    </row>
    <row r="6332" ht="15.75" customHeight="1">
      <c r="A6332" s="1"/>
      <c r="B6332" s="1"/>
      <c r="C6332" s="1"/>
      <c r="D6332" s="1"/>
      <c r="E6332" s="1"/>
      <c r="F6332" s="1"/>
      <c r="G6332" s="1"/>
      <c r="H6332" s="1"/>
      <c r="I6332" s="1"/>
      <c r="J6332" s="1"/>
      <c r="K6332" s="89" t="s">
        <v>9920</v>
      </c>
      <c r="L6332" s="89" t="str">
        <f>H326</f>
        <v>C2b1b1d1~</v>
      </c>
      <c r="M6332" s="89"/>
      <c r="N6332" s="89"/>
      <c r="O6332" s="92">
        <v>2.2051833E7</v>
      </c>
      <c r="P6332" s="92">
        <v>1.9889947E7</v>
      </c>
      <c r="Q6332" s="89" t="s">
        <v>886</v>
      </c>
      <c r="AF6332" s="1"/>
      <c r="AG6332" s="1"/>
    </row>
    <row r="6333" ht="15.75" customHeight="1">
      <c r="A6333" s="1"/>
      <c r="B6333" s="1"/>
      <c r="C6333" s="1"/>
      <c r="D6333" s="1"/>
      <c r="E6333" s="1"/>
      <c r="F6333" s="1"/>
      <c r="G6333" s="1"/>
      <c r="H6333" s="1"/>
      <c r="I6333" s="1"/>
      <c r="J6333" s="1"/>
      <c r="K6333" s="89" t="s">
        <v>9921</v>
      </c>
      <c r="L6333" s="89" t="str">
        <f>I327</f>
        <v>C2b1b1d1a~</v>
      </c>
      <c r="M6333" s="89" t="s">
        <v>9922</v>
      </c>
      <c r="N6333" s="89"/>
      <c r="O6333" s="92">
        <v>6874329.0</v>
      </c>
      <c r="P6333" s="92">
        <v>7006288.0</v>
      </c>
      <c r="Q6333" s="89" t="s">
        <v>838</v>
      </c>
      <c r="AF6333" s="1"/>
      <c r="AG6333" s="1"/>
    </row>
    <row r="6334" ht="15.75" customHeight="1">
      <c r="A6334" s="1"/>
      <c r="B6334" s="1"/>
      <c r="C6334" s="1"/>
      <c r="D6334" s="1"/>
      <c r="E6334" s="1"/>
      <c r="F6334" s="1"/>
      <c r="G6334" s="1"/>
      <c r="H6334" s="1"/>
      <c r="I6334" s="1"/>
      <c r="J6334" s="1"/>
      <c r="K6334" s="89" t="s">
        <v>9922</v>
      </c>
      <c r="L6334" s="89" t="str">
        <f>I327</f>
        <v>C2b1b1d1a~</v>
      </c>
      <c r="M6334" s="89" t="s">
        <v>9921</v>
      </c>
      <c r="N6334" s="89"/>
      <c r="O6334" s="92">
        <v>6874329.0</v>
      </c>
      <c r="P6334" s="92">
        <v>7006288.0</v>
      </c>
      <c r="Q6334" s="89" t="s">
        <v>838</v>
      </c>
      <c r="AF6334" s="1"/>
      <c r="AG6334" s="1"/>
    </row>
    <row r="6335" ht="15.75" customHeight="1">
      <c r="A6335" s="1"/>
      <c r="B6335" s="1"/>
      <c r="C6335" s="1"/>
      <c r="D6335" s="1"/>
      <c r="E6335" s="1"/>
      <c r="F6335" s="1"/>
      <c r="G6335" s="1"/>
      <c r="H6335" s="1"/>
      <c r="I6335" s="1"/>
      <c r="J6335" s="1"/>
      <c r="K6335" s="89" t="s">
        <v>9923</v>
      </c>
      <c r="L6335" s="89" t="str">
        <f>I327</f>
        <v>C2b1b1d1a~</v>
      </c>
      <c r="M6335" s="89" t="s">
        <v>9924</v>
      </c>
      <c r="N6335" s="89"/>
      <c r="O6335" s="92">
        <v>6957383.0</v>
      </c>
      <c r="P6335" s="92">
        <v>7089342.0</v>
      </c>
      <c r="Q6335" s="89" t="s">
        <v>802</v>
      </c>
      <c r="AF6335" s="1"/>
      <c r="AG6335" s="1"/>
    </row>
    <row r="6336" ht="15.75" customHeight="1">
      <c r="A6336" s="1"/>
      <c r="B6336" s="1"/>
      <c r="C6336" s="1"/>
      <c r="D6336" s="1"/>
      <c r="E6336" s="1"/>
      <c r="F6336" s="1"/>
      <c r="G6336" s="1"/>
      <c r="H6336" s="1"/>
      <c r="I6336" s="1"/>
      <c r="J6336" s="1"/>
      <c r="K6336" s="89" t="s">
        <v>9924</v>
      </c>
      <c r="L6336" s="89" t="str">
        <f>I327</f>
        <v>C2b1b1d1a~</v>
      </c>
      <c r="M6336" s="89" t="s">
        <v>9923</v>
      </c>
      <c r="N6336" s="89"/>
      <c r="O6336" s="92">
        <v>6957383.0</v>
      </c>
      <c r="P6336" s="92">
        <v>7089342.0</v>
      </c>
      <c r="Q6336" s="89" t="s">
        <v>802</v>
      </c>
      <c r="AF6336" s="1"/>
      <c r="AG6336" s="1"/>
    </row>
    <row r="6337" ht="15.75" customHeight="1">
      <c r="A6337" s="1"/>
      <c r="B6337" s="1"/>
      <c r="C6337" s="1"/>
      <c r="D6337" s="1"/>
      <c r="E6337" s="1"/>
      <c r="F6337" s="1"/>
      <c r="G6337" s="1"/>
      <c r="H6337" s="1"/>
      <c r="I6337" s="1"/>
      <c r="J6337" s="1"/>
      <c r="K6337" s="89" t="s">
        <v>9925</v>
      </c>
      <c r="L6337" s="89" t="str">
        <f>I327</f>
        <v>C2b1b1d1a~</v>
      </c>
      <c r="M6337" s="89" t="s">
        <v>9926</v>
      </c>
      <c r="N6337" s="89"/>
      <c r="O6337" s="92">
        <v>7031433.0</v>
      </c>
      <c r="P6337" s="92">
        <v>7163392.0</v>
      </c>
      <c r="Q6337" s="89" t="s">
        <v>838</v>
      </c>
      <c r="AF6337" s="1"/>
      <c r="AG6337" s="1"/>
    </row>
    <row r="6338" ht="15.75" customHeight="1">
      <c r="A6338" s="1"/>
      <c r="B6338" s="1"/>
      <c r="C6338" s="1"/>
      <c r="D6338" s="1"/>
      <c r="E6338" s="1"/>
      <c r="F6338" s="1"/>
      <c r="G6338" s="1"/>
      <c r="H6338" s="1"/>
      <c r="I6338" s="1"/>
      <c r="J6338" s="1"/>
      <c r="K6338" s="89" t="s">
        <v>9926</v>
      </c>
      <c r="L6338" s="89" t="str">
        <f>I327</f>
        <v>C2b1b1d1a~</v>
      </c>
      <c r="M6338" s="89" t="s">
        <v>9925</v>
      </c>
      <c r="N6338" s="89"/>
      <c r="O6338" s="92">
        <v>7031433.0</v>
      </c>
      <c r="P6338" s="92">
        <v>7163392.0</v>
      </c>
      <c r="Q6338" s="89" t="s">
        <v>838</v>
      </c>
      <c r="AF6338" s="1"/>
      <c r="AG6338" s="1"/>
    </row>
    <row r="6339" ht="15.75" customHeight="1">
      <c r="A6339" s="1"/>
      <c r="B6339" s="1"/>
      <c r="C6339" s="1"/>
      <c r="D6339" s="1"/>
      <c r="E6339" s="1"/>
      <c r="F6339" s="1"/>
      <c r="G6339" s="1"/>
      <c r="H6339" s="1"/>
      <c r="I6339" s="1"/>
      <c r="J6339" s="1"/>
      <c r="K6339" s="89" t="s">
        <v>9927</v>
      </c>
      <c r="L6339" s="89" t="str">
        <f>I327</f>
        <v>C2b1b1d1a~</v>
      </c>
      <c r="M6339" s="89" t="s">
        <v>9928</v>
      </c>
      <c r="N6339" s="89"/>
      <c r="O6339" s="92">
        <v>7912501.0</v>
      </c>
      <c r="P6339" s="92">
        <v>8044460.0</v>
      </c>
      <c r="Q6339" s="89" t="s">
        <v>879</v>
      </c>
      <c r="AF6339" s="1"/>
      <c r="AG6339" s="1"/>
    </row>
    <row r="6340" ht="15.75" customHeight="1">
      <c r="A6340" s="1"/>
      <c r="B6340" s="1"/>
      <c r="C6340" s="1"/>
      <c r="D6340" s="1"/>
      <c r="E6340" s="1"/>
      <c r="F6340" s="1"/>
      <c r="G6340" s="1"/>
      <c r="H6340" s="1"/>
      <c r="I6340" s="1"/>
      <c r="J6340" s="1"/>
      <c r="K6340" s="89" t="s">
        <v>9928</v>
      </c>
      <c r="L6340" s="89" t="str">
        <f>I327</f>
        <v>C2b1b1d1a~</v>
      </c>
      <c r="M6340" s="89" t="s">
        <v>9927</v>
      </c>
      <c r="N6340" s="89"/>
      <c r="O6340" s="92">
        <v>7912501.0</v>
      </c>
      <c r="P6340" s="92">
        <v>8044460.0</v>
      </c>
      <c r="Q6340" s="89" t="s">
        <v>879</v>
      </c>
      <c r="AF6340" s="1"/>
      <c r="AG6340" s="1"/>
    </row>
    <row r="6341" ht="15.75" customHeight="1">
      <c r="A6341" s="1"/>
      <c r="B6341" s="1"/>
      <c r="C6341" s="1"/>
      <c r="D6341" s="1"/>
      <c r="E6341" s="1"/>
      <c r="F6341" s="1"/>
      <c r="G6341" s="1"/>
      <c r="H6341" s="1"/>
      <c r="I6341" s="1"/>
      <c r="J6341" s="1"/>
      <c r="K6341" s="89" t="s">
        <v>9929</v>
      </c>
      <c r="L6341" s="89" t="str">
        <f t="shared" ref="L6341:L6342" si="85">I327</f>
        <v>C2b1b1d1a~</v>
      </c>
      <c r="M6341" s="89"/>
      <c r="N6341" s="89"/>
      <c r="O6341" s="92">
        <v>7198888.0</v>
      </c>
      <c r="P6341" s="92">
        <v>7330847.0</v>
      </c>
      <c r="Q6341" s="89" t="s">
        <v>810</v>
      </c>
      <c r="AF6341" s="1"/>
      <c r="AG6341" s="1"/>
    </row>
    <row r="6342" ht="15.75" customHeight="1">
      <c r="A6342" s="1"/>
      <c r="B6342" s="1"/>
      <c r="C6342" s="1"/>
      <c r="D6342" s="1"/>
      <c r="E6342" s="1"/>
      <c r="F6342" s="1"/>
      <c r="G6342" s="1"/>
      <c r="H6342" s="1"/>
      <c r="I6342" s="1"/>
      <c r="J6342" s="1"/>
      <c r="K6342" s="89" t="s">
        <v>9930</v>
      </c>
      <c r="L6342" s="89" t="str">
        <f t="shared" si="85"/>
        <v>C2b1b1d1b~</v>
      </c>
      <c r="M6342" s="89"/>
      <c r="N6342" s="89"/>
      <c r="O6342" s="89">
        <v>6777296.0</v>
      </c>
      <c r="P6342" s="89">
        <v>6909255.0</v>
      </c>
      <c r="Q6342" s="89" t="s">
        <v>831</v>
      </c>
      <c r="AF6342" s="1"/>
      <c r="AG6342" s="1"/>
    </row>
    <row r="6343" ht="15.75" customHeight="1">
      <c r="A6343" s="1"/>
      <c r="B6343" s="1"/>
      <c r="C6343" s="1"/>
      <c r="D6343" s="1"/>
      <c r="E6343" s="1"/>
      <c r="F6343" s="1"/>
      <c r="G6343" s="1"/>
      <c r="H6343" s="1"/>
      <c r="I6343" s="1"/>
      <c r="J6343" s="1"/>
      <c r="K6343" s="89" t="s">
        <v>9931</v>
      </c>
      <c r="L6343" s="89" t="str">
        <f>I328</f>
        <v>C2b1b1d1b~</v>
      </c>
      <c r="M6343" s="89"/>
      <c r="N6343" s="89"/>
      <c r="O6343" s="89">
        <v>6822793.0</v>
      </c>
      <c r="P6343" s="89">
        <v>6954752.0</v>
      </c>
      <c r="Q6343" s="89" t="s">
        <v>802</v>
      </c>
      <c r="AF6343" s="1"/>
      <c r="AG6343" s="1"/>
    </row>
    <row r="6344" ht="15.75" customHeight="1">
      <c r="A6344" s="1"/>
      <c r="B6344" s="1"/>
      <c r="C6344" s="1"/>
      <c r="D6344" s="1"/>
      <c r="E6344" s="1"/>
      <c r="F6344" s="1"/>
      <c r="G6344" s="1"/>
      <c r="H6344" s="1"/>
      <c r="I6344" s="1"/>
      <c r="J6344" s="1"/>
      <c r="K6344" s="89" t="s">
        <v>9932</v>
      </c>
      <c r="L6344" s="89" t="str">
        <f>I328</f>
        <v>C2b1b1d1b~</v>
      </c>
      <c r="M6344" s="89"/>
      <c r="N6344" s="89"/>
      <c r="O6344" s="89">
        <v>7607020.0</v>
      </c>
      <c r="P6344" s="89">
        <v>7738979.0</v>
      </c>
      <c r="Q6344" s="89" t="s">
        <v>802</v>
      </c>
      <c r="AF6344" s="1"/>
      <c r="AG6344" s="1"/>
    </row>
    <row r="6345" ht="15.75" customHeight="1">
      <c r="A6345" s="1"/>
      <c r="B6345" s="1"/>
      <c r="C6345" s="1"/>
      <c r="D6345" s="1"/>
      <c r="E6345" s="1"/>
      <c r="F6345" s="1"/>
      <c r="G6345" s="1"/>
      <c r="H6345" s="1"/>
      <c r="I6345" s="1"/>
      <c r="J6345" s="1"/>
      <c r="K6345" s="89" t="s">
        <v>9933</v>
      </c>
      <c r="L6345" s="89" t="str">
        <f>I328</f>
        <v>C2b1b1d1b~</v>
      </c>
      <c r="M6345" s="89"/>
      <c r="N6345" s="89"/>
      <c r="O6345" s="89">
        <v>7815889.0</v>
      </c>
      <c r="P6345" s="89">
        <v>7947848.0</v>
      </c>
      <c r="Q6345" s="89" t="s">
        <v>810</v>
      </c>
      <c r="AF6345" s="1"/>
      <c r="AG6345" s="1"/>
    </row>
    <row r="6346" ht="15.75" customHeight="1">
      <c r="A6346" s="1"/>
      <c r="B6346" s="1"/>
      <c r="C6346" s="1"/>
      <c r="D6346" s="1"/>
      <c r="E6346" s="1"/>
      <c r="F6346" s="1"/>
      <c r="G6346" s="1"/>
      <c r="H6346" s="1"/>
      <c r="I6346" s="1"/>
      <c r="J6346" s="1"/>
      <c r="K6346" s="89" t="s">
        <v>9934</v>
      </c>
      <c r="L6346" s="89" t="str">
        <f t="shared" ref="L6346:L6347" si="86">I328</f>
        <v>C2b1b1d1b~</v>
      </c>
      <c r="M6346" s="89"/>
      <c r="N6346" s="89"/>
      <c r="O6346" s="89">
        <v>8437642.0</v>
      </c>
      <c r="P6346" s="89">
        <v>8569601.0</v>
      </c>
      <c r="Q6346" s="89" t="s">
        <v>802</v>
      </c>
      <c r="AF6346" s="1"/>
      <c r="AG6346" s="1"/>
    </row>
    <row r="6347" ht="15.75" customHeight="1">
      <c r="A6347" s="1"/>
      <c r="B6347" s="1"/>
      <c r="C6347" s="1"/>
      <c r="D6347" s="1"/>
      <c r="E6347" s="1"/>
      <c r="F6347" s="1"/>
      <c r="G6347" s="1"/>
      <c r="H6347" s="1"/>
      <c r="I6347" s="1"/>
      <c r="J6347" s="1"/>
      <c r="K6347" s="89" t="s">
        <v>9935</v>
      </c>
      <c r="L6347" s="89" t="str">
        <f t="shared" si="86"/>
        <v>C2b1b1d1c~</v>
      </c>
      <c r="M6347" s="89"/>
      <c r="N6347" s="89"/>
      <c r="O6347" s="92">
        <v>7843568.0</v>
      </c>
      <c r="P6347" s="92">
        <v>7975527.0</v>
      </c>
      <c r="Q6347" s="89" t="s">
        <v>802</v>
      </c>
      <c r="AF6347" s="1"/>
      <c r="AG6347" s="1"/>
    </row>
    <row r="6348" ht="15.75" customHeight="1">
      <c r="A6348" s="1"/>
      <c r="B6348" s="1"/>
      <c r="C6348" s="1"/>
      <c r="D6348" s="1"/>
      <c r="E6348" s="1"/>
      <c r="F6348" s="1"/>
      <c r="G6348" s="1"/>
      <c r="H6348" s="1"/>
      <c r="I6348" s="1"/>
      <c r="J6348" s="1"/>
      <c r="K6348" s="89" t="s">
        <v>9936</v>
      </c>
      <c r="L6348" s="89" t="str">
        <f>I329</f>
        <v>C2b1b1d1c~</v>
      </c>
      <c r="M6348" s="89"/>
      <c r="N6348" s="89"/>
      <c r="O6348" s="92">
        <v>8537238.0</v>
      </c>
      <c r="P6348" s="92">
        <v>8669197.0</v>
      </c>
      <c r="Q6348" s="89" t="s">
        <v>802</v>
      </c>
      <c r="AF6348" s="1"/>
      <c r="AG6348" s="1"/>
    </row>
    <row r="6349" ht="15.75" customHeight="1">
      <c r="A6349" s="1"/>
      <c r="B6349" s="1"/>
      <c r="C6349" s="1"/>
      <c r="D6349" s="1"/>
      <c r="E6349" s="1"/>
      <c r="F6349" s="1"/>
      <c r="G6349" s="1"/>
      <c r="H6349" s="1"/>
      <c r="I6349" s="1"/>
      <c r="J6349" s="1"/>
      <c r="K6349" s="89" t="s">
        <v>9937</v>
      </c>
      <c r="L6349" s="89" t="str">
        <f>I329</f>
        <v>C2b1b1d1c~</v>
      </c>
      <c r="M6349" s="89"/>
      <c r="N6349" s="89"/>
      <c r="O6349" s="92">
        <v>8666248.0</v>
      </c>
      <c r="P6349" s="92">
        <v>8798207.0</v>
      </c>
      <c r="Q6349" s="89" t="s">
        <v>864</v>
      </c>
      <c r="AF6349" s="1"/>
      <c r="AG6349" s="1"/>
    </row>
    <row r="6350" ht="15.75" customHeight="1">
      <c r="A6350" s="1"/>
      <c r="B6350" s="1"/>
      <c r="C6350" s="1"/>
      <c r="D6350" s="1"/>
      <c r="E6350" s="1"/>
      <c r="F6350" s="1"/>
      <c r="G6350" s="1"/>
      <c r="H6350" s="1"/>
      <c r="I6350" s="1"/>
      <c r="J6350" s="1"/>
      <c r="K6350" s="89" t="s">
        <v>9938</v>
      </c>
      <c r="L6350" s="89" t="str">
        <f t="shared" ref="L6350:L6351" si="87">I329</f>
        <v>C2b1b1d1c~</v>
      </c>
      <c r="M6350" s="89"/>
      <c r="N6350" s="89"/>
      <c r="O6350" s="92">
        <v>1.4210559E7</v>
      </c>
      <c r="P6350" s="92">
        <v>1.2089853E7</v>
      </c>
      <c r="Q6350" s="89" t="s">
        <v>822</v>
      </c>
      <c r="AF6350" s="1"/>
      <c r="AG6350" s="1"/>
    </row>
    <row r="6351" ht="15.75" customHeight="1">
      <c r="A6351" s="1"/>
      <c r="B6351" s="1"/>
      <c r="C6351" s="1"/>
      <c r="D6351" s="1"/>
      <c r="E6351" s="1"/>
      <c r="F6351" s="1"/>
      <c r="G6351" s="1"/>
      <c r="H6351" s="1"/>
      <c r="I6351" s="1"/>
      <c r="J6351" s="1"/>
      <c r="K6351" s="93" t="s">
        <v>9939</v>
      </c>
      <c r="L6351" t="str">
        <f t="shared" si="87"/>
        <v>C2b1b1d1d~</v>
      </c>
      <c r="M6351" s="93" t="s">
        <v>9940</v>
      </c>
      <c r="N6351" s="89"/>
      <c r="O6351" s="108">
        <v>7918722.0</v>
      </c>
      <c r="P6351" s="108">
        <v>8050681.0</v>
      </c>
      <c r="Q6351" s="93" t="s">
        <v>886</v>
      </c>
      <c r="AF6351" s="1"/>
      <c r="AG6351" s="1"/>
    </row>
    <row r="6352" ht="15.75" customHeight="1">
      <c r="A6352" s="1"/>
      <c r="B6352" s="1"/>
      <c r="C6352" s="1"/>
      <c r="D6352" s="1"/>
      <c r="E6352" s="1"/>
      <c r="F6352" s="1"/>
      <c r="G6352" s="1"/>
      <c r="H6352" s="1"/>
      <c r="I6352" s="1"/>
      <c r="J6352" s="1"/>
      <c r="K6352" s="93" t="s">
        <v>9940</v>
      </c>
      <c r="L6352" s="93" t="str">
        <f>I330</f>
        <v>C2b1b1d1d~</v>
      </c>
      <c r="M6352" s="93" t="s">
        <v>9939</v>
      </c>
      <c r="N6352" s="89"/>
      <c r="O6352" s="108">
        <v>7918722.0</v>
      </c>
      <c r="P6352" s="108">
        <v>8050681.0</v>
      </c>
      <c r="Q6352" s="93" t="s">
        <v>886</v>
      </c>
      <c r="AF6352" s="1"/>
      <c r="AG6352" s="1"/>
    </row>
    <row r="6353" ht="15.75" customHeight="1">
      <c r="A6353" s="1"/>
      <c r="B6353" s="1"/>
      <c r="C6353" s="1"/>
      <c r="D6353" s="1"/>
      <c r="E6353" s="1"/>
      <c r="F6353" s="1"/>
      <c r="G6353" s="1"/>
      <c r="H6353" s="1"/>
      <c r="I6353" s="1"/>
      <c r="J6353" s="1"/>
      <c r="K6353" s="93" t="s">
        <v>9941</v>
      </c>
      <c r="L6353" t="str">
        <f>I330</f>
        <v>C2b1b1d1d~</v>
      </c>
      <c r="M6353" s="93" t="s">
        <v>9942</v>
      </c>
      <c r="N6353" s="89"/>
      <c r="O6353" s="108">
        <v>1.4694397E7</v>
      </c>
      <c r="P6353" s="108">
        <v>1.2582463E7</v>
      </c>
      <c r="Q6353" s="93" t="s">
        <v>802</v>
      </c>
      <c r="AF6353" s="1"/>
      <c r="AG6353" s="1"/>
    </row>
    <row r="6354" ht="15.75" customHeight="1">
      <c r="A6354" s="1"/>
      <c r="B6354" s="1"/>
      <c r="C6354" s="1"/>
      <c r="D6354" s="1"/>
      <c r="E6354" s="1"/>
      <c r="F6354" s="1"/>
      <c r="G6354" s="1"/>
      <c r="H6354" s="1"/>
      <c r="I6354" s="1"/>
      <c r="J6354" s="1"/>
      <c r="K6354" s="93" t="s">
        <v>9942</v>
      </c>
      <c r="L6354" t="str">
        <f>I330</f>
        <v>C2b1b1d1d~</v>
      </c>
      <c r="M6354" s="93" t="s">
        <v>9941</v>
      </c>
      <c r="N6354" s="89"/>
      <c r="O6354" s="108">
        <v>1.4694397E7</v>
      </c>
      <c r="P6354" s="108">
        <v>1.2582463E7</v>
      </c>
      <c r="Q6354" s="93" t="s">
        <v>802</v>
      </c>
      <c r="AF6354" s="1"/>
      <c r="AG6354" s="1"/>
    </row>
    <row r="6355" ht="15.75" customHeight="1">
      <c r="A6355" s="1"/>
      <c r="B6355" s="1"/>
      <c r="C6355" s="1"/>
      <c r="D6355" s="1"/>
      <c r="E6355" s="1"/>
      <c r="F6355" s="1"/>
      <c r="G6355" s="1"/>
      <c r="H6355" s="1"/>
      <c r="I6355" s="1"/>
      <c r="J6355" s="1"/>
      <c r="K6355" s="93" t="s">
        <v>9943</v>
      </c>
      <c r="L6355" t="str">
        <f>I330</f>
        <v>C2b1b1d1d~</v>
      </c>
      <c r="M6355" s="93" t="s">
        <v>9944</v>
      </c>
      <c r="N6355" s="89"/>
      <c r="O6355" s="108">
        <v>1.4755032E7</v>
      </c>
      <c r="P6355" s="108">
        <v>1.2643101E7</v>
      </c>
      <c r="Q6355" s="93" t="s">
        <v>9945</v>
      </c>
      <c r="AF6355" s="1"/>
      <c r="AG6355" s="1"/>
    </row>
    <row r="6356" ht="15.75" customHeight="1">
      <c r="A6356" s="1"/>
      <c r="B6356" s="1"/>
      <c r="C6356" s="1"/>
      <c r="D6356" s="1"/>
      <c r="E6356" s="1"/>
      <c r="F6356" s="1"/>
      <c r="G6356" s="1"/>
      <c r="H6356" s="1"/>
      <c r="I6356" s="1"/>
      <c r="J6356" s="1"/>
      <c r="K6356" s="93" t="s">
        <v>9944</v>
      </c>
      <c r="L6356" t="str">
        <f>I330</f>
        <v>C2b1b1d1d~</v>
      </c>
      <c r="M6356" s="93" t="s">
        <v>9943</v>
      </c>
      <c r="N6356" s="89"/>
      <c r="O6356" s="108">
        <v>1.4755032E7</v>
      </c>
      <c r="P6356" s="108">
        <v>1.2643101E7</v>
      </c>
      <c r="Q6356" s="93" t="s">
        <v>9945</v>
      </c>
      <c r="AF6356" s="1"/>
      <c r="AG6356" s="1"/>
    </row>
    <row r="6357" ht="15.75" customHeight="1">
      <c r="A6357" s="1"/>
      <c r="B6357" s="1"/>
      <c r="C6357" s="1"/>
      <c r="D6357" s="1"/>
      <c r="E6357" s="1"/>
      <c r="F6357" s="1"/>
      <c r="G6357" s="1"/>
      <c r="H6357" s="1"/>
      <c r="I6357" s="1"/>
      <c r="J6357" s="1"/>
      <c r="K6357" s="93" t="s">
        <v>9946</v>
      </c>
      <c r="L6357" t="str">
        <f>I330</f>
        <v>C2b1b1d1d~</v>
      </c>
      <c r="M6357" s="93" t="s">
        <v>9947</v>
      </c>
      <c r="N6357" s="89"/>
      <c r="O6357" s="108">
        <v>1.5691582E7</v>
      </c>
      <c r="P6357" s="108">
        <v>1.3579702E7</v>
      </c>
      <c r="Q6357" s="93" t="s">
        <v>813</v>
      </c>
      <c r="AF6357" s="1"/>
      <c r="AG6357" s="1"/>
    </row>
    <row r="6358" ht="15.75" customHeight="1">
      <c r="A6358" s="1"/>
      <c r="B6358" s="1"/>
      <c r="C6358" s="1"/>
      <c r="D6358" s="1"/>
      <c r="E6358" s="1"/>
      <c r="F6358" s="1"/>
      <c r="G6358" s="1"/>
      <c r="H6358" s="1"/>
      <c r="I6358" s="1"/>
      <c r="J6358" s="1"/>
      <c r="K6358" s="93" t="s">
        <v>9947</v>
      </c>
      <c r="L6358" t="str">
        <f>I330</f>
        <v>C2b1b1d1d~</v>
      </c>
      <c r="M6358" s="93" t="s">
        <v>9946</v>
      </c>
      <c r="N6358" s="89"/>
      <c r="O6358" s="108">
        <v>1.5691582E7</v>
      </c>
      <c r="P6358" s="108">
        <v>1.3579702E7</v>
      </c>
      <c r="Q6358" s="93" t="s">
        <v>813</v>
      </c>
      <c r="AF6358" s="1"/>
      <c r="AG6358" s="1"/>
    </row>
    <row r="6359" ht="15.75" customHeight="1">
      <c r="A6359" s="1"/>
      <c r="B6359" s="1"/>
      <c r="C6359" s="1"/>
      <c r="D6359" s="1"/>
      <c r="E6359" s="1"/>
      <c r="F6359" s="1"/>
      <c r="G6359" s="1"/>
      <c r="H6359" s="1"/>
      <c r="I6359" s="1"/>
      <c r="J6359" s="1"/>
      <c r="K6359" s="93" t="s">
        <v>9948</v>
      </c>
      <c r="L6359" t="str">
        <f>I330</f>
        <v>C2b1b1d1d~</v>
      </c>
      <c r="M6359" s="93" t="s">
        <v>9949</v>
      </c>
      <c r="N6359" s="89"/>
      <c r="O6359" s="108">
        <v>1.6844913E7</v>
      </c>
      <c r="P6359" s="108">
        <v>1.4733033E7</v>
      </c>
      <c r="Q6359" s="93" t="s">
        <v>802</v>
      </c>
      <c r="AF6359" s="1"/>
      <c r="AG6359" s="1"/>
    </row>
    <row r="6360" ht="15.75" customHeight="1">
      <c r="A6360" s="1"/>
      <c r="B6360" s="1"/>
      <c r="C6360" s="1"/>
      <c r="D6360" s="1"/>
      <c r="E6360" s="1"/>
      <c r="F6360" s="1"/>
      <c r="G6360" s="1"/>
      <c r="H6360" s="1"/>
      <c r="I6360" s="1"/>
      <c r="J6360" s="1"/>
      <c r="K6360" s="93" t="s">
        <v>9949</v>
      </c>
      <c r="L6360" s="89" t="str">
        <f>I330</f>
        <v>C2b1b1d1d~</v>
      </c>
      <c r="M6360" s="93" t="s">
        <v>9948</v>
      </c>
      <c r="N6360" s="89"/>
      <c r="O6360" s="108">
        <v>1.6844913E7</v>
      </c>
      <c r="P6360" s="108">
        <v>1.4733033E7</v>
      </c>
      <c r="Q6360" s="93" t="s">
        <v>802</v>
      </c>
      <c r="AF6360" s="1"/>
      <c r="AG6360" s="1"/>
    </row>
    <row r="6361" ht="15.75" customHeight="1">
      <c r="A6361" s="1"/>
      <c r="B6361" s="1"/>
      <c r="C6361" s="1"/>
      <c r="D6361" s="1"/>
      <c r="E6361" s="1"/>
      <c r="F6361" s="1"/>
      <c r="G6361" s="1"/>
      <c r="H6361" s="1"/>
      <c r="I6361" s="1"/>
      <c r="J6361" s="1"/>
      <c r="K6361" s="89" t="s">
        <v>9950</v>
      </c>
      <c r="L6361" s="89" t="str">
        <f>H331</f>
        <v>C2b1b1d2~</v>
      </c>
      <c r="M6361" s="89"/>
      <c r="N6361" s="89"/>
      <c r="O6361" s="92">
        <v>7722329.0</v>
      </c>
      <c r="P6361" s="92">
        <v>7854288.0</v>
      </c>
      <c r="Q6361" s="89" t="s">
        <v>886</v>
      </c>
      <c r="AF6361" s="1"/>
      <c r="AG6361" s="1"/>
    </row>
    <row r="6362" ht="15.75" customHeight="1">
      <c r="A6362" s="1"/>
      <c r="B6362" s="1"/>
      <c r="C6362" s="1"/>
      <c r="D6362" s="1"/>
      <c r="E6362" s="1"/>
      <c r="F6362" s="1"/>
      <c r="G6362" s="1"/>
      <c r="H6362" s="1"/>
      <c r="I6362" s="1"/>
      <c r="J6362" s="1"/>
      <c r="K6362" s="89" t="s">
        <v>9951</v>
      </c>
      <c r="L6362" s="89" t="str">
        <f>H331</f>
        <v>C2b1b1d2~</v>
      </c>
      <c r="M6362" s="89"/>
      <c r="N6362" s="89"/>
      <c r="O6362" s="92">
        <v>1.4293321E7</v>
      </c>
      <c r="P6362" s="92">
        <v>1.2172615E7</v>
      </c>
      <c r="Q6362" s="89" t="s">
        <v>912</v>
      </c>
      <c r="AF6362" s="1"/>
      <c r="AG6362" s="1"/>
    </row>
    <row r="6363" ht="15.75" customHeight="1">
      <c r="A6363" s="1"/>
      <c r="B6363" s="1"/>
      <c r="C6363" s="1"/>
      <c r="D6363" s="1"/>
      <c r="E6363" s="1"/>
      <c r="F6363" s="1"/>
      <c r="G6363" s="1"/>
      <c r="H6363" s="1"/>
      <c r="I6363" s="1"/>
      <c r="J6363" s="1"/>
      <c r="K6363" s="89" t="s">
        <v>9952</v>
      </c>
      <c r="L6363" s="89" t="str">
        <f>H331</f>
        <v>C2b1b1d2~</v>
      </c>
      <c r="M6363" s="89"/>
      <c r="N6363" s="89" t="s">
        <v>9953</v>
      </c>
      <c r="O6363" s="92">
        <v>1.5661837E7</v>
      </c>
      <c r="P6363" s="92">
        <v>1.3549957E7</v>
      </c>
      <c r="Q6363" s="89" t="s">
        <v>912</v>
      </c>
      <c r="AF6363" s="1"/>
      <c r="AG6363" s="1"/>
    </row>
    <row r="6364" ht="15.75" customHeight="1">
      <c r="A6364" s="1"/>
      <c r="B6364" s="1"/>
      <c r="C6364" s="1"/>
      <c r="D6364" s="1"/>
      <c r="E6364" s="1"/>
      <c r="F6364" s="1"/>
      <c r="G6364" s="1"/>
      <c r="H6364" s="1"/>
      <c r="I6364" s="1"/>
      <c r="J6364" s="1"/>
      <c r="K6364" s="89" t="s">
        <v>9954</v>
      </c>
      <c r="L6364" s="89" t="str">
        <f>H331</f>
        <v>C2b1b1d2~</v>
      </c>
      <c r="M6364" s="89"/>
      <c r="N6364" s="89"/>
      <c r="O6364" s="92">
        <v>1.5663761E7</v>
      </c>
      <c r="P6364" s="92">
        <v>1.3551881E7</v>
      </c>
      <c r="Q6364" s="89" t="s">
        <v>810</v>
      </c>
      <c r="AF6364" s="1"/>
      <c r="AG6364" s="1"/>
    </row>
    <row r="6365" ht="15.75" customHeight="1">
      <c r="A6365" s="1"/>
      <c r="B6365" s="1"/>
      <c r="C6365" s="1"/>
      <c r="D6365" s="1"/>
      <c r="E6365" s="1"/>
      <c r="F6365" s="1"/>
      <c r="G6365" s="1"/>
      <c r="H6365" s="1"/>
      <c r="I6365" s="1"/>
      <c r="J6365" s="1"/>
      <c r="K6365" s="89" t="s">
        <v>9955</v>
      </c>
      <c r="L6365" s="89" t="str">
        <f>H331</f>
        <v>C2b1b1d2~</v>
      </c>
      <c r="M6365" s="89"/>
      <c r="N6365" s="89"/>
      <c r="O6365" s="92">
        <v>1.640191E7</v>
      </c>
      <c r="P6365" s="92">
        <v>1.429003E7</v>
      </c>
      <c r="Q6365" s="89" t="s">
        <v>810</v>
      </c>
      <c r="AF6365" s="1"/>
      <c r="AG6365" s="1"/>
    </row>
    <row r="6366" ht="15.75" customHeight="1">
      <c r="A6366" s="1"/>
      <c r="B6366" s="1"/>
      <c r="C6366" s="1"/>
      <c r="D6366" s="1"/>
      <c r="E6366" s="1"/>
      <c r="F6366" s="1"/>
      <c r="G6366" s="1"/>
      <c r="H6366" s="1"/>
      <c r="I6366" s="1"/>
      <c r="J6366" s="1"/>
      <c r="K6366" s="89" t="s">
        <v>9956</v>
      </c>
      <c r="L6366" s="89" t="str">
        <f>G332</f>
        <v>C2b1b1e~</v>
      </c>
      <c r="M6366" s="89" t="s">
        <v>9957</v>
      </c>
      <c r="N6366" s="89"/>
      <c r="O6366" s="92">
        <v>1.418974E7</v>
      </c>
      <c r="P6366" s="92">
        <v>1.2069034E7</v>
      </c>
      <c r="Q6366" s="89" t="s">
        <v>912</v>
      </c>
      <c r="AF6366" s="1"/>
      <c r="AG6366" s="1"/>
    </row>
    <row r="6367" ht="15.75" customHeight="1">
      <c r="A6367" s="1"/>
      <c r="B6367" s="1"/>
      <c r="C6367" s="1"/>
      <c r="D6367" s="1"/>
      <c r="E6367" s="1"/>
      <c r="F6367" s="1"/>
      <c r="G6367" s="1"/>
      <c r="H6367" s="1"/>
      <c r="I6367" s="1"/>
      <c r="J6367" s="1"/>
      <c r="K6367" s="89" t="s">
        <v>9957</v>
      </c>
      <c r="L6367" s="89" t="str">
        <f t="shared" ref="L6367:L6368" si="88">G332</f>
        <v>C2b1b1e~</v>
      </c>
      <c r="M6367" s="89" t="s">
        <v>9956</v>
      </c>
      <c r="N6367" s="89"/>
      <c r="O6367" s="92">
        <v>1.418974E7</v>
      </c>
      <c r="P6367" s="92">
        <v>1.2069034E7</v>
      </c>
      <c r="Q6367" s="89" t="s">
        <v>912</v>
      </c>
      <c r="AF6367" s="1"/>
      <c r="AG6367" s="1"/>
    </row>
    <row r="6368" ht="15.75" customHeight="1">
      <c r="A6368" s="1"/>
      <c r="B6368" s="1"/>
      <c r="C6368" s="1"/>
      <c r="D6368" s="1"/>
      <c r="E6368" s="1"/>
      <c r="F6368" s="1"/>
      <c r="G6368" s="1"/>
      <c r="H6368" s="1"/>
      <c r="I6368" s="1"/>
      <c r="J6368" s="1"/>
      <c r="K6368" s="89" t="s">
        <v>9958</v>
      </c>
      <c r="L6368" s="89" t="str">
        <f t="shared" si="88"/>
        <v>C2b1b1f~</v>
      </c>
      <c r="M6368" s="89"/>
      <c r="N6368" s="89" t="s">
        <v>9959</v>
      </c>
      <c r="O6368" s="92">
        <v>2816484.0</v>
      </c>
      <c r="P6368" s="92">
        <v>2948443.0</v>
      </c>
      <c r="Q6368" s="89" t="s">
        <v>822</v>
      </c>
      <c r="AF6368" s="1"/>
      <c r="AG6368" s="1"/>
    </row>
    <row r="6369" ht="15.75" customHeight="1">
      <c r="A6369" s="1"/>
      <c r="B6369" s="1"/>
      <c r="C6369" s="1"/>
      <c r="D6369" s="1"/>
      <c r="E6369" s="1"/>
      <c r="F6369" s="1"/>
      <c r="G6369" s="1"/>
      <c r="H6369" s="1"/>
      <c r="I6369" s="1"/>
      <c r="J6369" s="1"/>
      <c r="K6369" s="89" t="s">
        <v>9960</v>
      </c>
      <c r="L6369" s="89" t="str">
        <f>G333</f>
        <v>C2b1b1f~</v>
      </c>
      <c r="M6369" s="89"/>
      <c r="N6369" s="89" t="s">
        <v>9961</v>
      </c>
      <c r="O6369" s="92">
        <v>2848363.0</v>
      </c>
      <c r="P6369" s="92">
        <v>2980322.0</v>
      </c>
      <c r="Q6369" s="89" t="s">
        <v>838</v>
      </c>
      <c r="AF6369" s="1"/>
      <c r="AG6369" s="1"/>
    </row>
    <row r="6370" ht="15.75" customHeight="1">
      <c r="A6370" s="1"/>
      <c r="B6370" s="1"/>
      <c r="C6370" s="1"/>
      <c r="D6370" s="1"/>
      <c r="E6370" s="1"/>
      <c r="F6370" s="1"/>
      <c r="G6370" s="1"/>
      <c r="H6370" s="1"/>
      <c r="I6370" s="1"/>
      <c r="J6370" s="1"/>
      <c r="K6370" s="89" t="s">
        <v>9962</v>
      </c>
      <c r="L6370" s="89" t="str">
        <f>G333</f>
        <v>C2b1b1f~</v>
      </c>
      <c r="M6370" s="89"/>
      <c r="N6370" s="89" t="s">
        <v>9963</v>
      </c>
      <c r="O6370" s="92">
        <v>7058291.0</v>
      </c>
      <c r="P6370" s="92">
        <v>7190250.0</v>
      </c>
      <c r="Q6370" s="89" t="s">
        <v>917</v>
      </c>
      <c r="AF6370" s="1"/>
      <c r="AG6370" s="1"/>
    </row>
    <row r="6371" ht="15.75" customHeight="1">
      <c r="A6371" s="1"/>
      <c r="B6371" s="1"/>
      <c r="C6371" s="1"/>
      <c r="D6371" s="1"/>
      <c r="E6371" s="1"/>
      <c r="F6371" s="1"/>
      <c r="G6371" s="1"/>
      <c r="H6371" s="1"/>
      <c r="I6371" s="1"/>
      <c r="J6371" s="1"/>
      <c r="K6371" s="89" t="s">
        <v>9964</v>
      </c>
      <c r="L6371" s="89" t="str">
        <f>G333</f>
        <v>C2b1b1f~</v>
      </c>
      <c r="M6371" s="89"/>
      <c r="N6371" s="89" t="s">
        <v>9965</v>
      </c>
      <c r="O6371" s="92">
        <v>7395254.0</v>
      </c>
      <c r="P6371" s="92">
        <v>7527213.0</v>
      </c>
      <c r="Q6371" s="89" t="s">
        <v>810</v>
      </c>
      <c r="AF6371" s="1"/>
      <c r="AG6371" s="1"/>
    </row>
    <row r="6372" ht="15.75" customHeight="1">
      <c r="A6372" s="1"/>
      <c r="B6372" s="1"/>
      <c r="C6372" s="1"/>
      <c r="D6372" s="1"/>
      <c r="E6372" s="1"/>
      <c r="F6372" s="1"/>
      <c r="G6372" s="1"/>
      <c r="H6372" s="1"/>
      <c r="I6372" s="1"/>
      <c r="J6372" s="1"/>
      <c r="K6372" s="89" t="s">
        <v>9966</v>
      </c>
      <c r="L6372" s="89" t="str">
        <f t="shared" ref="L6372:L6373" si="89">G333</f>
        <v>C2b1b1f~</v>
      </c>
      <c r="M6372" s="89"/>
      <c r="N6372" s="89" t="s">
        <v>9967</v>
      </c>
      <c r="O6372" s="92">
        <v>7836578.0</v>
      </c>
      <c r="P6372" s="92">
        <v>7968537.0</v>
      </c>
      <c r="Q6372" s="89" t="s">
        <v>810</v>
      </c>
      <c r="AF6372" s="1"/>
      <c r="AG6372" s="1"/>
    </row>
    <row r="6373" ht="15.75" customHeight="1">
      <c r="A6373" s="1"/>
      <c r="B6373" s="1"/>
      <c r="C6373" s="1"/>
      <c r="D6373" s="1"/>
      <c r="E6373" s="1"/>
      <c r="F6373" s="1"/>
      <c r="G6373" s="1"/>
      <c r="H6373" s="1"/>
      <c r="I6373" s="1"/>
      <c r="J6373" s="1"/>
      <c r="K6373" s="89" t="s">
        <v>9968</v>
      </c>
      <c r="L6373" s="89" t="str">
        <f t="shared" si="89"/>
        <v>C2b1b1g</v>
      </c>
      <c r="M6373" s="89"/>
      <c r="N6373" s="89"/>
      <c r="O6373" s="92">
        <v>6653699.0</v>
      </c>
      <c r="P6373" s="92">
        <v>6785658.0</v>
      </c>
      <c r="Q6373" s="89" t="s">
        <v>802</v>
      </c>
      <c r="AF6373" s="1"/>
      <c r="AG6373" s="1"/>
    </row>
    <row r="6374" ht="15.75" customHeight="1">
      <c r="A6374" s="1"/>
      <c r="B6374" s="1"/>
      <c r="C6374" s="1"/>
      <c r="D6374" s="1"/>
      <c r="E6374" s="1"/>
      <c r="F6374" s="1"/>
      <c r="G6374" s="1"/>
      <c r="H6374" s="1"/>
      <c r="I6374" s="1"/>
      <c r="J6374" s="1"/>
      <c r="K6374" s="89" t="s">
        <v>9969</v>
      </c>
      <c r="L6374" s="89" t="str">
        <f>G334</f>
        <v>C2b1b1g</v>
      </c>
      <c r="M6374" s="89"/>
      <c r="N6374" s="89"/>
      <c r="O6374" s="92">
        <v>8170417.0</v>
      </c>
      <c r="P6374" s="92">
        <v>8302376.0</v>
      </c>
      <c r="Q6374" s="89" t="s">
        <v>845</v>
      </c>
      <c r="AF6374" s="1"/>
      <c r="AG6374" s="1"/>
    </row>
    <row r="6375" ht="15.75" customHeight="1">
      <c r="A6375" s="1"/>
      <c r="B6375" s="1"/>
      <c r="C6375" s="1"/>
      <c r="D6375" s="1"/>
      <c r="E6375" s="1"/>
      <c r="F6375" s="1"/>
      <c r="G6375" s="1"/>
      <c r="H6375" s="1"/>
      <c r="I6375" s="1"/>
      <c r="J6375" s="1"/>
      <c r="K6375" s="89" t="s">
        <v>9970</v>
      </c>
      <c r="L6375" s="89" t="str">
        <f>G334</f>
        <v>C2b1b1g</v>
      </c>
      <c r="M6375" s="89"/>
      <c r="N6375" s="89"/>
      <c r="O6375" s="92">
        <v>8335347.0</v>
      </c>
      <c r="P6375" s="92">
        <v>8467306.0</v>
      </c>
      <c r="Q6375" s="89" t="s">
        <v>822</v>
      </c>
      <c r="AF6375" s="1"/>
      <c r="AG6375" s="1"/>
    </row>
    <row r="6376" ht="15.75" customHeight="1">
      <c r="A6376" s="1"/>
      <c r="B6376" s="1"/>
      <c r="C6376" s="1"/>
      <c r="D6376" s="1"/>
      <c r="E6376" s="1"/>
      <c r="F6376" s="1"/>
      <c r="G6376" s="1"/>
      <c r="H6376" s="1"/>
      <c r="I6376" s="1"/>
      <c r="J6376" s="1"/>
      <c r="K6376" s="89" t="s">
        <v>9971</v>
      </c>
      <c r="L6376" s="89" t="str">
        <f>G334</f>
        <v>C2b1b1g</v>
      </c>
      <c r="M6376" s="89"/>
      <c r="N6376" s="89"/>
      <c r="O6376" s="92">
        <v>1.3991483E7</v>
      </c>
      <c r="P6376" s="92">
        <v>1.1870777E7</v>
      </c>
      <c r="Q6376" s="89" t="s">
        <v>886</v>
      </c>
      <c r="AF6376" s="1"/>
      <c r="AG6376" s="1"/>
    </row>
    <row r="6377" ht="15.75" customHeight="1">
      <c r="A6377" s="1"/>
      <c r="B6377" s="1"/>
      <c r="C6377" s="1"/>
      <c r="D6377" s="1"/>
      <c r="E6377" s="1"/>
      <c r="F6377" s="1"/>
      <c r="G6377" s="1"/>
      <c r="H6377" s="1"/>
      <c r="I6377" s="1"/>
      <c r="J6377" s="1"/>
      <c r="K6377" s="89" t="s">
        <v>9972</v>
      </c>
      <c r="L6377" s="89" t="str">
        <f>G334</f>
        <v>C2b1b1g</v>
      </c>
      <c r="M6377" s="89"/>
      <c r="N6377" s="89"/>
      <c r="O6377" s="92">
        <v>1.4192817E7</v>
      </c>
      <c r="P6377" s="92">
        <v>1.2072111E7</v>
      </c>
      <c r="Q6377" s="89" t="s">
        <v>810</v>
      </c>
      <c r="AF6377" s="1"/>
      <c r="AG6377" s="1"/>
    </row>
    <row r="6378" ht="15.75" customHeight="1">
      <c r="A6378" s="1"/>
      <c r="B6378" s="1"/>
      <c r="C6378" s="1"/>
      <c r="D6378" s="1"/>
      <c r="E6378" s="1"/>
      <c r="F6378" s="1"/>
      <c r="G6378" s="1"/>
      <c r="H6378" s="1"/>
      <c r="I6378" s="1"/>
      <c r="J6378" s="1"/>
      <c r="K6378" s="89" t="s">
        <v>9973</v>
      </c>
      <c r="L6378" s="89" t="str">
        <f>G334</f>
        <v>C2b1b1g</v>
      </c>
      <c r="M6378" s="89"/>
      <c r="N6378" s="89"/>
      <c r="O6378" s="92">
        <v>1.3232812E7</v>
      </c>
      <c r="P6378" s="92">
        <v>1.1077136E7</v>
      </c>
      <c r="Q6378" s="89" t="s">
        <v>879</v>
      </c>
      <c r="AF6378" s="1"/>
      <c r="AG6378" s="1"/>
    </row>
    <row r="6379" ht="15.75" customHeight="1">
      <c r="A6379" s="1"/>
      <c r="B6379" s="1"/>
      <c r="C6379" s="1"/>
      <c r="D6379" s="1"/>
      <c r="E6379" s="1"/>
      <c r="F6379" s="1"/>
      <c r="G6379" s="1"/>
      <c r="H6379" s="1"/>
      <c r="I6379" s="1"/>
      <c r="J6379" s="1"/>
      <c r="K6379" s="89" t="s">
        <v>9974</v>
      </c>
      <c r="L6379" s="89" t="str">
        <f>G334</f>
        <v>C2b1b1g</v>
      </c>
      <c r="M6379" s="89"/>
      <c r="N6379" s="89"/>
      <c r="O6379" s="92">
        <v>1.8170466E7</v>
      </c>
      <c r="P6379" s="92">
        <v>1.6058586E7</v>
      </c>
      <c r="Q6379" s="89" t="s">
        <v>802</v>
      </c>
      <c r="AF6379" s="1"/>
      <c r="AG6379" s="1"/>
    </row>
    <row r="6380" ht="15.75" customHeight="1">
      <c r="A6380" s="1"/>
      <c r="B6380" s="1"/>
      <c r="C6380" s="1"/>
      <c r="D6380" s="1"/>
      <c r="E6380" s="1"/>
      <c r="F6380" s="1"/>
      <c r="G6380" s="1"/>
      <c r="H6380" s="1"/>
      <c r="I6380" s="1"/>
      <c r="J6380" s="1"/>
      <c r="K6380" s="89" t="s">
        <v>9975</v>
      </c>
      <c r="L6380" s="89" t="str">
        <f>G334</f>
        <v>C2b1b1g</v>
      </c>
      <c r="M6380" s="89"/>
      <c r="N6380" s="89"/>
      <c r="O6380" s="92">
        <v>2.4414176E7</v>
      </c>
      <c r="P6380" s="92">
        <v>2.2268029E7</v>
      </c>
      <c r="Q6380" s="89" t="s">
        <v>917</v>
      </c>
      <c r="AF6380" s="1"/>
      <c r="AG6380" s="1"/>
    </row>
    <row r="6381" ht="15.75" customHeight="1">
      <c r="A6381" s="1"/>
      <c r="B6381" s="1"/>
      <c r="C6381" s="1"/>
      <c r="D6381" s="1"/>
      <c r="E6381" s="1"/>
      <c r="F6381" s="1"/>
      <c r="G6381" s="1"/>
      <c r="H6381" s="1"/>
      <c r="I6381" s="1"/>
      <c r="J6381" s="1"/>
      <c r="K6381" s="89" t="s">
        <v>9976</v>
      </c>
      <c r="L6381" s="89" t="str">
        <f>H335</f>
        <v>C2b1b1g1~</v>
      </c>
      <c r="M6381" s="89"/>
      <c r="N6381" s="89"/>
      <c r="O6381" s="92">
        <v>6837763.0</v>
      </c>
      <c r="P6381" s="92">
        <v>6969722.0</v>
      </c>
      <c r="Q6381" s="89" t="s">
        <v>822</v>
      </c>
      <c r="AF6381" s="1"/>
      <c r="AG6381" s="1"/>
    </row>
    <row r="6382" ht="15.75" customHeight="1">
      <c r="A6382" s="1"/>
      <c r="B6382" s="1"/>
      <c r="C6382" s="1"/>
      <c r="D6382" s="1"/>
      <c r="E6382" s="1"/>
      <c r="F6382" s="1"/>
      <c r="G6382" s="1"/>
      <c r="H6382" s="1"/>
      <c r="I6382" s="1"/>
      <c r="J6382" s="1"/>
      <c r="K6382" s="89" t="s">
        <v>9977</v>
      </c>
      <c r="L6382" s="89" t="str">
        <f>H335</f>
        <v>C2b1b1g1~</v>
      </c>
      <c r="M6382" s="89"/>
      <c r="N6382" s="89"/>
      <c r="O6382" s="92">
        <v>7611790.0</v>
      </c>
      <c r="P6382" s="92">
        <v>7743749.0</v>
      </c>
      <c r="Q6382" s="89" t="s">
        <v>810</v>
      </c>
      <c r="AF6382" s="1"/>
      <c r="AG6382" s="1"/>
    </row>
    <row r="6383" ht="15.75" customHeight="1">
      <c r="A6383" s="1"/>
      <c r="B6383" s="1"/>
      <c r="C6383" s="1"/>
      <c r="D6383" s="1"/>
      <c r="E6383" s="1"/>
      <c r="F6383" s="1"/>
      <c r="G6383" s="1"/>
      <c r="H6383" s="1"/>
      <c r="I6383" s="1"/>
      <c r="J6383" s="1"/>
      <c r="K6383" s="89" t="s">
        <v>9978</v>
      </c>
      <c r="L6383" s="89" t="str">
        <f t="shared" ref="L6383:L6384" si="90">H335</f>
        <v>C2b1b1g1~</v>
      </c>
      <c r="M6383" s="89"/>
      <c r="N6383" s="89"/>
      <c r="O6383" s="92">
        <v>7728065.0</v>
      </c>
      <c r="P6383" s="92">
        <v>7860024.0</v>
      </c>
      <c r="Q6383" s="89" t="s">
        <v>838</v>
      </c>
      <c r="AF6383" s="1"/>
      <c r="AG6383" s="1"/>
    </row>
    <row r="6384" ht="15.75" customHeight="1">
      <c r="A6384" s="1"/>
      <c r="B6384" s="1"/>
      <c r="C6384" s="1"/>
      <c r="D6384" s="1"/>
      <c r="E6384" s="1"/>
      <c r="F6384" s="1"/>
      <c r="G6384" s="1"/>
      <c r="H6384" s="1"/>
      <c r="I6384" s="1"/>
      <c r="J6384" s="1"/>
      <c r="K6384" s="89" t="s">
        <v>9979</v>
      </c>
      <c r="L6384" s="89" t="str">
        <f t="shared" si="90"/>
        <v>C2b1b1g2~</v>
      </c>
      <c r="M6384" s="89"/>
      <c r="N6384" s="89"/>
      <c r="O6384" s="92">
        <v>2776497.0</v>
      </c>
      <c r="P6384" s="92">
        <v>2908456.0</v>
      </c>
      <c r="Q6384" s="89" t="s">
        <v>917</v>
      </c>
      <c r="AF6384" s="1"/>
      <c r="AG6384" s="1"/>
    </row>
    <row r="6385" ht="15.75" customHeight="1">
      <c r="A6385" s="1"/>
      <c r="B6385" s="1"/>
      <c r="C6385" s="1"/>
      <c r="D6385" s="1"/>
      <c r="E6385" s="1"/>
      <c r="F6385" s="1"/>
      <c r="G6385" s="1"/>
      <c r="H6385" s="1"/>
      <c r="I6385" s="1"/>
      <c r="J6385" s="1"/>
      <c r="K6385" s="89" t="s">
        <v>9980</v>
      </c>
      <c r="L6385" s="89" t="str">
        <f>H336</f>
        <v>C2b1b1g2~</v>
      </c>
      <c r="M6385" s="89"/>
      <c r="N6385" s="89"/>
      <c r="O6385" s="92">
        <v>2803485.0</v>
      </c>
      <c r="P6385" s="92">
        <v>2935444.0</v>
      </c>
      <c r="Q6385" s="89" t="s">
        <v>802</v>
      </c>
      <c r="AF6385" s="1"/>
      <c r="AG6385" s="1"/>
    </row>
    <row r="6386" ht="15.75" customHeight="1">
      <c r="A6386" s="1"/>
      <c r="B6386" s="1"/>
      <c r="C6386" s="1"/>
      <c r="D6386" s="1"/>
      <c r="E6386" s="1"/>
      <c r="F6386" s="1"/>
      <c r="G6386" s="1"/>
      <c r="H6386" s="1"/>
      <c r="I6386" s="1"/>
      <c r="J6386" s="1"/>
      <c r="K6386" s="89" t="s">
        <v>9981</v>
      </c>
      <c r="L6386" s="89" t="str">
        <f>H336</f>
        <v>C2b1b1g2~</v>
      </c>
      <c r="M6386" s="89"/>
      <c r="N6386" s="89"/>
      <c r="O6386" s="92">
        <v>7011741.0</v>
      </c>
      <c r="P6386" s="92">
        <v>7143700.0</v>
      </c>
      <c r="Q6386" s="89" t="s">
        <v>813</v>
      </c>
      <c r="AF6386" s="1"/>
      <c r="AG6386" s="1"/>
    </row>
    <row r="6387" ht="15.75" customHeight="1">
      <c r="A6387" s="1"/>
      <c r="B6387" s="1"/>
      <c r="C6387" s="1"/>
      <c r="D6387" s="1"/>
      <c r="E6387" s="1"/>
      <c r="F6387" s="1"/>
      <c r="G6387" s="1"/>
      <c r="H6387" s="1"/>
      <c r="I6387" s="1"/>
      <c r="J6387" s="1"/>
      <c r="K6387" s="89" t="s">
        <v>9982</v>
      </c>
      <c r="L6387" s="89" t="str">
        <f>H336</f>
        <v>C2b1b1g2~</v>
      </c>
      <c r="M6387" s="89"/>
      <c r="N6387" s="89"/>
      <c r="O6387" s="92">
        <v>7944946.0</v>
      </c>
      <c r="P6387" s="92">
        <v>8076905.0</v>
      </c>
      <c r="Q6387" s="89" t="s">
        <v>810</v>
      </c>
      <c r="AF6387" s="1"/>
      <c r="AG6387" s="1"/>
    </row>
    <row r="6388" ht="15.75" customHeight="1">
      <c r="A6388" s="1"/>
      <c r="B6388" s="1"/>
      <c r="C6388" s="1"/>
      <c r="D6388" s="1"/>
      <c r="E6388" s="1"/>
      <c r="F6388" s="1"/>
      <c r="G6388" s="1"/>
      <c r="H6388" s="1"/>
      <c r="I6388" s="1"/>
      <c r="J6388" s="1"/>
      <c r="K6388" s="89" t="s">
        <v>9983</v>
      </c>
      <c r="L6388" s="89" t="str">
        <f>H336</f>
        <v>C2b1b1g2~</v>
      </c>
      <c r="M6388" s="89"/>
      <c r="N6388" s="89"/>
      <c r="O6388" s="92">
        <v>7866274.0</v>
      </c>
      <c r="P6388" s="92">
        <v>7998233.0</v>
      </c>
      <c r="Q6388" s="89" t="s">
        <v>879</v>
      </c>
      <c r="AF6388" s="1"/>
      <c r="AG6388" s="1"/>
    </row>
    <row r="6389" ht="15.75" customHeight="1">
      <c r="A6389" s="1"/>
      <c r="B6389" s="1"/>
      <c r="C6389" s="1"/>
      <c r="D6389" s="1"/>
      <c r="E6389" s="1"/>
      <c r="F6389" s="1"/>
      <c r="G6389" s="1"/>
      <c r="H6389" s="1"/>
      <c r="I6389" s="1"/>
      <c r="J6389" s="1"/>
      <c r="K6389" s="89" t="s">
        <v>9984</v>
      </c>
      <c r="L6389" s="89" t="str">
        <f>G337</f>
        <v>C2b1b1h~</v>
      </c>
      <c r="M6389" s="89"/>
      <c r="N6389" s="89" t="s">
        <v>9985</v>
      </c>
      <c r="O6389" s="92">
        <v>2736832.0</v>
      </c>
      <c r="P6389" s="92">
        <v>2868791.0</v>
      </c>
      <c r="Q6389" s="89" t="s">
        <v>810</v>
      </c>
      <c r="AF6389" s="1"/>
      <c r="AG6389" s="1"/>
    </row>
    <row r="6390" ht="15.75" customHeight="1">
      <c r="A6390" s="1"/>
      <c r="B6390" s="1"/>
      <c r="C6390" s="1"/>
      <c r="D6390" s="1"/>
      <c r="E6390" s="1"/>
      <c r="F6390" s="1"/>
      <c r="G6390" s="1"/>
      <c r="H6390" s="1"/>
      <c r="I6390" s="1"/>
      <c r="J6390" s="1"/>
      <c r="K6390" s="89" t="s">
        <v>9986</v>
      </c>
      <c r="L6390" s="89" t="str">
        <f>G337</f>
        <v>C2b1b1h~</v>
      </c>
      <c r="M6390" s="89"/>
      <c r="N6390" s="89"/>
      <c r="O6390" s="92">
        <v>2873654.0</v>
      </c>
      <c r="P6390" s="92">
        <v>3005613.0</v>
      </c>
      <c r="Q6390" s="89" t="s">
        <v>886</v>
      </c>
      <c r="AF6390" s="1"/>
      <c r="AG6390" s="1"/>
    </row>
    <row r="6391" ht="15.75" customHeight="1">
      <c r="A6391" s="1"/>
      <c r="B6391" s="1"/>
      <c r="C6391" s="1"/>
      <c r="D6391" s="1"/>
      <c r="E6391" s="1"/>
      <c r="F6391" s="1"/>
      <c r="G6391" s="1"/>
      <c r="H6391" s="1"/>
      <c r="I6391" s="1"/>
      <c r="J6391" s="1"/>
      <c r="K6391" s="89" t="s">
        <v>9987</v>
      </c>
      <c r="L6391" s="89" t="str">
        <f>G337</f>
        <v>C2b1b1h~</v>
      </c>
      <c r="M6391" s="89"/>
      <c r="N6391" s="89"/>
      <c r="O6391" s="92">
        <v>7552594.0</v>
      </c>
      <c r="P6391" s="92">
        <v>7684553.0</v>
      </c>
      <c r="Q6391" s="89" t="s">
        <v>864</v>
      </c>
      <c r="AF6391" s="1"/>
      <c r="AG6391" s="1"/>
    </row>
    <row r="6392" ht="15.75" customHeight="1">
      <c r="A6392" s="1"/>
      <c r="B6392" s="1"/>
      <c r="C6392" s="1"/>
      <c r="D6392" s="1"/>
      <c r="E6392" s="1"/>
      <c r="F6392" s="1"/>
      <c r="G6392" s="1"/>
      <c r="H6392" s="1"/>
      <c r="I6392" s="1"/>
      <c r="J6392" s="1"/>
      <c r="K6392" s="89" t="s">
        <v>9988</v>
      </c>
      <c r="L6392" s="89" t="str">
        <f>G337</f>
        <v>C2b1b1h~</v>
      </c>
      <c r="M6392" s="89"/>
      <c r="N6392" s="89"/>
      <c r="O6392" s="92">
        <v>7824870.0</v>
      </c>
      <c r="P6392" s="92">
        <v>7956829.0</v>
      </c>
      <c r="Q6392" s="89" t="s">
        <v>810</v>
      </c>
      <c r="AF6392" s="1"/>
      <c r="AG6392" s="1"/>
    </row>
    <row r="6393" ht="15.75" customHeight="1">
      <c r="A6393" s="1"/>
      <c r="B6393" s="1"/>
      <c r="C6393" s="1"/>
      <c r="D6393" s="1"/>
      <c r="E6393" s="1"/>
      <c r="F6393" s="1"/>
      <c r="G6393" s="1"/>
      <c r="H6393" s="1"/>
      <c r="I6393" s="1"/>
      <c r="J6393" s="1"/>
      <c r="K6393" s="89" t="s">
        <v>9989</v>
      </c>
      <c r="L6393" s="89" t="str">
        <f t="shared" ref="L6393:L6394" si="91">G337</f>
        <v>C2b1b1h~</v>
      </c>
      <c r="M6393" s="89"/>
      <c r="N6393" s="89"/>
      <c r="O6393" s="92">
        <v>8010381.0</v>
      </c>
      <c r="P6393" s="92">
        <v>8142340.0</v>
      </c>
      <c r="Q6393" s="89" t="s">
        <v>838</v>
      </c>
      <c r="AF6393" s="1"/>
      <c r="AG6393" s="1"/>
    </row>
    <row r="6394" ht="15.75" customHeight="1">
      <c r="A6394" s="1"/>
      <c r="B6394" s="1"/>
      <c r="C6394" s="1"/>
      <c r="D6394" s="1"/>
      <c r="E6394" s="1"/>
      <c r="F6394" s="1"/>
      <c r="G6394" s="1"/>
      <c r="H6394" s="1"/>
      <c r="I6394" s="1"/>
      <c r="J6394" s="1"/>
      <c r="K6394" s="89" t="s">
        <v>9990</v>
      </c>
      <c r="L6394" s="89" t="str">
        <f t="shared" si="91"/>
        <v>C2b1b1i~</v>
      </c>
      <c r="M6394" s="89"/>
      <c r="N6394" s="89"/>
      <c r="O6394" s="92">
        <v>2794218.0</v>
      </c>
      <c r="P6394" s="92">
        <v>2926177.0</v>
      </c>
      <c r="Q6394" s="89" t="s">
        <v>838</v>
      </c>
      <c r="AF6394" s="1"/>
      <c r="AG6394" s="1"/>
    </row>
    <row r="6395" ht="15.75" customHeight="1">
      <c r="A6395" s="1"/>
      <c r="B6395" s="1"/>
      <c r="C6395" s="1"/>
      <c r="D6395" s="1"/>
      <c r="E6395" s="1"/>
      <c r="F6395" s="1"/>
      <c r="G6395" s="1"/>
      <c r="H6395" s="1"/>
      <c r="I6395" s="1"/>
      <c r="J6395" s="1"/>
      <c r="K6395" s="89" t="s">
        <v>9991</v>
      </c>
      <c r="L6395" s="89" t="str">
        <f>G338</f>
        <v>C2b1b1i~</v>
      </c>
      <c r="M6395" s="89"/>
      <c r="N6395" s="89"/>
      <c r="O6395" s="92">
        <v>2816386.0</v>
      </c>
      <c r="P6395" s="92">
        <v>2948345.0</v>
      </c>
      <c r="Q6395" s="89" t="s">
        <v>822</v>
      </c>
      <c r="AF6395" s="1"/>
      <c r="AG6395" s="1"/>
    </row>
    <row r="6396" ht="15.75" customHeight="1">
      <c r="A6396" s="1"/>
      <c r="B6396" s="1"/>
      <c r="C6396" s="1"/>
      <c r="D6396" s="1"/>
      <c r="E6396" s="1"/>
      <c r="F6396" s="1"/>
      <c r="G6396" s="1"/>
      <c r="H6396" s="1"/>
      <c r="I6396" s="1"/>
      <c r="J6396" s="1"/>
      <c r="K6396" s="89" t="s">
        <v>9992</v>
      </c>
      <c r="L6396" s="89" t="str">
        <f>G338</f>
        <v>C2b1b1i~</v>
      </c>
      <c r="M6396" s="89"/>
      <c r="N6396" s="89"/>
      <c r="O6396" s="92">
        <v>6777348.0</v>
      </c>
      <c r="P6396" s="92">
        <v>6909307.0</v>
      </c>
      <c r="Q6396" s="89" t="s">
        <v>822</v>
      </c>
      <c r="AF6396" s="1"/>
      <c r="AG6396" s="1"/>
    </row>
    <row r="6397" ht="15.75" customHeight="1">
      <c r="A6397" s="1"/>
      <c r="B6397" s="1"/>
      <c r="C6397" s="1"/>
      <c r="D6397" s="1"/>
      <c r="E6397" s="1"/>
      <c r="F6397" s="1"/>
      <c r="G6397" s="1"/>
      <c r="H6397" s="1"/>
      <c r="I6397" s="1"/>
      <c r="J6397" s="1"/>
      <c r="K6397" s="89" t="s">
        <v>9993</v>
      </c>
      <c r="L6397" s="89" t="str">
        <f>G338</f>
        <v>C2b1b1i~</v>
      </c>
      <c r="M6397" s="89"/>
      <c r="N6397" s="89"/>
      <c r="O6397" s="92">
        <v>7783118.0</v>
      </c>
      <c r="P6397" s="92">
        <v>7915077.0</v>
      </c>
      <c r="Q6397" s="89" t="s">
        <v>810</v>
      </c>
      <c r="AF6397" s="1"/>
      <c r="AG6397" s="1"/>
    </row>
    <row r="6398" ht="15.75" customHeight="1">
      <c r="A6398" s="1"/>
      <c r="B6398" s="1"/>
      <c r="C6398" s="1"/>
      <c r="D6398" s="1"/>
      <c r="E6398" s="1"/>
      <c r="F6398" s="1"/>
      <c r="G6398" s="1"/>
      <c r="H6398" s="1"/>
      <c r="I6398" s="1"/>
      <c r="J6398" s="1"/>
      <c r="K6398" s="89" t="s">
        <v>9994</v>
      </c>
      <c r="L6398" s="89" t="str">
        <f t="shared" ref="L6398:L6399" si="92">G338</f>
        <v>C2b1b1i~</v>
      </c>
      <c r="M6398" s="89"/>
      <c r="N6398" s="89"/>
      <c r="O6398" s="92">
        <v>7882721.0</v>
      </c>
      <c r="P6398" s="92">
        <v>8014680.0</v>
      </c>
      <c r="Q6398" s="89" t="s">
        <v>822</v>
      </c>
      <c r="AF6398" s="1"/>
      <c r="AG6398" s="1"/>
    </row>
    <row r="6399" ht="15.75" customHeight="1">
      <c r="A6399" s="1"/>
      <c r="B6399" s="1"/>
      <c r="C6399" s="1"/>
      <c r="D6399" s="1"/>
      <c r="E6399" s="1"/>
      <c r="F6399" s="1"/>
      <c r="G6399" s="1"/>
      <c r="H6399" s="1"/>
      <c r="I6399" s="1"/>
      <c r="J6399" s="1"/>
      <c r="K6399" s="89" t="s">
        <v>9995</v>
      </c>
      <c r="L6399" s="89" t="str">
        <f t="shared" si="92"/>
        <v>C2b1b1j~</v>
      </c>
      <c r="M6399" s="89"/>
      <c r="N6399" s="89"/>
      <c r="O6399" s="89">
        <v>2852271.0</v>
      </c>
      <c r="P6399" s="89">
        <v>2984230.0</v>
      </c>
      <c r="Q6399" s="89" t="s">
        <v>822</v>
      </c>
      <c r="AF6399" s="1"/>
      <c r="AG6399" s="1"/>
    </row>
    <row r="6400" ht="15.75" customHeight="1">
      <c r="A6400" s="1"/>
      <c r="B6400" s="1"/>
      <c r="C6400" s="1"/>
      <c r="D6400" s="1"/>
      <c r="E6400" s="1"/>
      <c r="F6400" s="1"/>
      <c r="G6400" s="1"/>
      <c r="H6400" s="1"/>
      <c r="I6400" s="1"/>
      <c r="J6400" s="1"/>
      <c r="K6400" s="89" t="s">
        <v>9996</v>
      </c>
      <c r="L6400" s="89" t="str">
        <f>G339</f>
        <v>C2b1b1j~</v>
      </c>
      <c r="M6400" s="89"/>
      <c r="N6400" s="89"/>
      <c r="O6400" s="89">
        <v>7215765.0</v>
      </c>
      <c r="P6400" s="89">
        <v>7347724.0</v>
      </c>
      <c r="Q6400" s="89" t="s">
        <v>838</v>
      </c>
      <c r="AF6400" s="1"/>
      <c r="AG6400" s="1"/>
    </row>
    <row r="6401" ht="15.75" customHeight="1">
      <c r="A6401" s="1"/>
      <c r="B6401" s="1"/>
      <c r="C6401" s="1"/>
      <c r="D6401" s="1"/>
      <c r="E6401" s="1"/>
      <c r="F6401" s="1"/>
      <c r="G6401" s="1"/>
      <c r="H6401" s="1"/>
      <c r="I6401" s="1"/>
      <c r="J6401" s="1"/>
      <c r="K6401" t="s">
        <v>9997</v>
      </c>
      <c r="L6401" s="89" t="str">
        <f>G339</f>
        <v>C2b1b1j~</v>
      </c>
      <c r="M6401" s="89"/>
      <c r="N6401" s="89"/>
      <c r="O6401" s="106">
        <v>6777190.0</v>
      </c>
      <c r="P6401" s="89">
        <v>6909149.0</v>
      </c>
      <c r="Q6401" s="89" t="s">
        <v>831</v>
      </c>
      <c r="AF6401" s="1"/>
      <c r="AG6401" s="1"/>
    </row>
    <row r="6402" ht="15.75" customHeight="1">
      <c r="A6402" s="1"/>
      <c r="B6402" s="1"/>
      <c r="C6402" s="1"/>
      <c r="D6402" s="1"/>
      <c r="E6402" s="1"/>
      <c r="F6402" s="1"/>
      <c r="G6402" s="1"/>
      <c r="H6402" s="1"/>
      <c r="I6402" s="1"/>
      <c r="J6402" s="1"/>
      <c r="K6402" t="s">
        <v>9998</v>
      </c>
      <c r="L6402" s="89" t="str">
        <f>G339</f>
        <v>C2b1b1j~</v>
      </c>
      <c r="M6402" s="89"/>
      <c r="N6402" s="89"/>
      <c r="O6402" s="106">
        <v>6788469.0</v>
      </c>
      <c r="P6402" s="89">
        <v>6920428.0</v>
      </c>
      <c r="Q6402" s="89" t="s">
        <v>810</v>
      </c>
      <c r="AF6402" s="1"/>
      <c r="AG6402" s="1"/>
    </row>
    <row r="6403" ht="15.75" customHeight="1">
      <c r="A6403" s="1"/>
      <c r="B6403" s="1"/>
      <c r="C6403" s="1"/>
      <c r="D6403" s="1"/>
      <c r="E6403" s="1"/>
      <c r="F6403" s="1"/>
      <c r="G6403" s="1"/>
      <c r="H6403" s="1"/>
      <c r="I6403" s="1"/>
      <c r="J6403" s="1"/>
      <c r="K6403" t="s">
        <v>9999</v>
      </c>
      <c r="L6403" s="89" t="str">
        <f>G339</f>
        <v>C2b1b1j~</v>
      </c>
      <c r="M6403" s="89"/>
      <c r="N6403" s="89"/>
      <c r="O6403" s="106">
        <v>7717137.0</v>
      </c>
      <c r="P6403" s="89">
        <v>7849096.0</v>
      </c>
      <c r="Q6403" s="89" t="s">
        <v>802</v>
      </c>
      <c r="AF6403" s="1"/>
      <c r="AG6403" s="1"/>
    </row>
    <row r="6404" ht="15.75" customHeight="1">
      <c r="A6404" s="1"/>
      <c r="B6404" s="1"/>
      <c r="C6404" s="1"/>
      <c r="D6404" s="1"/>
      <c r="E6404" s="1"/>
      <c r="F6404" s="1"/>
      <c r="G6404" s="1"/>
      <c r="H6404" s="1"/>
      <c r="I6404" s="1"/>
      <c r="J6404" s="1"/>
      <c r="K6404" s="39" t="s">
        <v>10000</v>
      </c>
      <c r="L6404" s="89" t="str">
        <f>F340</f>
        <v>C2b1b2</v>
      </c>
      <c r="M6404" s="89"/>
      <c r="N6404" s="89"/>
      <c r="O6404" s="101">
        <v>7068894.0</v>
      </c>
      <c r="P6404" s="98">
        <v>7200853.0</v>
      </c>
      <c r="Q6404" s="93" t="s">
        <v>831</v>
      </c>
      <c r="AF6404" s="1"/>
      <c r="AG6404" s="1"/>
    </row>
    <row r="6405" ht="15.75" customHeight="1">
      <c r="A6405" s="1"/>
      <c r="B6405" s="1"/>
      <c r="C6405" s="1"/>
      <c r="D6405" s="1"/>
      <c r="E6405" s="1"/>
      <c r="F6405" s="1"/>
      <c r="G6405" s="1"/>
      <c r="H6405" s="1"/>
      <c r="I6405" s="1"/>
      <c r="J6405" s="1"/>
      <c r="K6405" s="95" t="s">
        <v>10001</v>
      </c>
      <c r="L6405" s="89" t="str">
        <f>F340</f>
        <v>C2b1b2</v>
      </c>
      <c r="M6405" s="89"/>
      <c r="N6405" s="89"/>
      <c r="O6405" s="101">
        <v>1.6274452E7</v>
      </c>
      <c r="P6405" s="98">
        <v>1.4162572E7</v>
      </c>
      <c r="Q6405" s="93" t="s">
        <v>802</v>
      </c>
      <c r="AF6405" s="1"/>
      <c r="AG6405" s="1"/>
    </row>
    <row r="6406" ht="15.75" customHeight="1">
      <c r="A6406" s="1"/>
      <c r="B6406" s="1"/>
      <c r="C6406" s="1"/>
      <c r="D6406" s="1"/>
      <c r="E6406" s="1"/>
      <c r="F6406" s="1"/>
      <c r="G6406" s="1"/>
      <c r="H6406" s="1"/>
      <c r="I6406" s="1"/>
      <c r="J6406" s="1"/>
      <c r="K6406" s="95" t="s">
        <v>10002</v>
      </c>
      <c r="L6406" s="89" t="str">
        <f>F340</f>
        <v>C2b1b2</v>
      </c>
      <c r="M6406" s="89"/>
      <c r="N6406" s="89"/>
      <c r="O6406" s="101">
        <v>1.9000362E7</v>
      </c>
      <c r="P6406" s="98">
        <v>1.6888482E7</v>
      </c>
      <c r="Q6406" s="93" t="s">
        <v>838</v>
      </c>
      <c r="AF6406" s="1"/>
      <c r="AG6406" s="1"/>
    </row>
    <row r="6407" ht="15.75" customHeight="1">
      <c r="A6407" s="1"/>
      <c r="B6407" s="1"/>
      <c r="C6407" s="1"/>
      <c r="D6407" s="1"/>
      <c r="E6407" s="1"/>
      <c r="F6407" s="1"/>
      <c r="G6407" s="1"/>
      <c r="H6407" s="1"/>
      <c r="I6407" s="1"/>
      <c r="J6407" s="1"/>
      <c r="K6407" s="39" t="s">
        <v>10003</v>
      </c>
      <c r="L6407" s="89" t="str">
        <f>F340</f>
        <v>C2b1b2</v>
      </c>
      <c r="M6407" s="89"/>
      <c r="N6407" s="89"/>
      <c r="O6407" s="101">
        <v>1.4207603E7</v>
      </c>
      <c r="P6407" s="98">
        <v>1.2086897E7</v>
      </c>
      <c r="Q6407" s="93" t="s">
        <v>810</v>
      </c>
      <c r="AF6407" s="1"/>
      <c r="AG6407" s="1"/>
    </row>
    <row r="6408" ht="15.75" customHeight="1">
      <c r="A6408" s="1"/>
      <c r="B6408" s="1"/>
      <c r="C6408" s="1"/>
      <c r="D6408" s="1"/>
      <c r="E6408" s="1"/>
      <c r="F6408" s="1"/>
      <c r="G6408" s="1"/>
      <c r="H6408" s="1"/>
      <c r="I6408" s="1"/>
      <c r="J6408" s="1"/>
      <c r="K6408" s="39" t="s">
        <v>10004</v>
      </c>
      <c r="L6408" s="89" t="str">
        <f>F340</f>
        <v>C2b1b2</v>
      </c>
      <c r="M6408" s="89"/>
      <c r="N6408" s="89"/>
      <c r="O6408" s="101">
        <v>1.4539908E7</v>
      </c>
      <c r="P6408" s="98">
        <v>1.2428109E7</v>
      </c>
      <c r="Q6408" s="93" t="s">
        <v>813</v>
      </c>
      <c r="AF6408" s="1"/>
      <c r="AG6408" s="1"/>
    </row>
    <row r="6409" ht="15.75" customHeight="1">
      <c r="A6409" s="1"/>
      <c r="B6409" s="1"/>
      <c r="C6409" s="1"/>
      <c r="D6409" s="1"/>
      <c r="E6409" s="1"/>
      <c r="F6409" s="1"/>
      <c r="G6409" s="1"/>
      <c r="H6409" s="1"/>
      <c r="I6409" s="1"/>
      <c r="J6409" s="1"/>
      <c r="K6409" s="39" t="s">
        <v>10005</v>
      </c>
      <c r="L6409" s="89" t="str">
        <f>F340</f>
        <v>C2b1b2</v>
      </c>
      <c r="M6409" s="89"/>
      <c r="N6409" s="89"/>
      <c r="O6409" s="101">
        <v>1.4825326E7</v>
      </c>
      <c r="P6409" s="98">
        <v>1.2713393E7</v>
      </c>
      <c r="Q6409" s="93" t="s">
        <v>912</v>
      </c>
      <c r="AF6409" s="1"/>
      <c r="AG6409" s="1"/>
    </row>
    <row r="6410" ht="15.75" customHeight="1">
      <c r="A6410" s="1"/>
      <c r="B6410" s="1"/>
      <c r="C6410" s="1"/>
      <c r="D6410" s="1"/>
      <c r="E6410" s="1"/>
      <c r="F6410" s="1"/>
      <c r="G6410" s="1"/>
      <c r="H6410" s="1"/>
      <c r="I6410" s="1"/>
      <c r="J6410" s="1"/>
      <c r="K6410" s="39" t="s">
        <v>10006</v>
      </c>
      <c r="L6410" s="89" t="str">
        <f>F340</f>
        <v>C2b1b2</v>
      </c>
      <c r="M6410" s="89"/>
      <c r="N6410" s="89"/>
      <c r="O6410" s="101">
        <v>1.6286083E7</v>
      </c>
      <c r="P6410" s="98">
        <v>1.4174203E7</v>
      </c>
      <c r="Q6410" s="93" t="s">
        <v>879</v>
      </c>
      <c r="AF6410" s="1"/>
      <c r="AG6410" s="1"/>
    </row>
    <row r="6411" ht="15.75" customHeight="1">
      <c r="A6411" s="1"/>
      <c r="B6411" s="1"/>
      <c r="C6411" s="1"/>
      <c r="D6411" s="1"/>
      <c r="E6411" s="1"/>
      <c r="F6411" s="1"/>
      <c r="G6411" s="1"/>
      <c r="H6411" s="1"/>
      <c r="I6411" s="1"/>
      <c r="J6411" s="1"/>
      <c r="K6411" s="39" t="s">
        <v>10007</v>
      </c>
      <c r="L6411" s="89" t="str">
        <f>F340</f>
        <v>C2b1b2</v>
      </c>
      <c r="M6411" s="89"/>
      <c r="N6411" s="89"/>
      <c r="O6411" s="101">
        <v>1.8065042E7</v>
      </c>
      <c r="P6411" s="98">
        <v>1.5953162E7</v>
      </c>
      <c r="Q6411" s="93" t="s">
        <v>912</v>
      </c>
      <c r="AF6411" s="1"/>
      <c r="AG6411" s="1"/>
    </row>
    <row r="6412" ht="15.75" customHeight="1">
      <c r="A6412" s="1"/>
      <c r="B6412" s="1"/>
      <c r="C6412" s="1"/>
      <c r="D6412" s="1"/>
      <c r="E6412" s="1"/>
      <c r="F6412" s="1"/>
      <c r="G6412" s="1"/>
      <c r="H6412" s="1"/>
      <c r="I6412" s="1"/>
      <c r="J6412" s="1"/>
      <c r="K6412" s="39" t="s">
        <v>10008</v>
      </c>
      <c r="L6412" s="89" t="str">
        <f>F340</f>
        <v>C2b1b2</v>
      </c>
      <c r="M6412" s="89"/>
      <c r="N6412" s="89"/>
      <c r="O6412" s="101">
        <v>1.9142924E7</v>
      </c>
      <c r="P6412" s="98">
        <v>1.7031044E7</v>
      </c>
      <c r="Q6412" s="93" t="s">
        <v>838</v>
      </c>
      <c r="AF6412" s="1"/>
      <c r="AG6412" s="1"/>
    </row>
    <row r="6413" ht="15.75" customHeight="1">
      <c r="A6413" s="1"/>
      <c r="B6413" s="1"/>
      <c r="C6413" s="1"/>
      <c r="D6413" s="1"/>
      <c r="E6413" s="1"/>
      <c r="F6413" s="1"/>
      <c r="G6413" s="1"/>
      <c r="H6413" s="1"/>
      <c r="I6413" s="1"/>
      <c r="J6413" s="1"/>
      <c r="K6413" s="39" t="s">
        <v>10009</v>
      </c>
      <c r="L6413" s="89" t="str">
        <f>F340</f>
        <v>C2b1b2</v>
      </c>
      <c r="M6413" s="89"/>
      <c r="N6413" s="89"/>
      <c r="O6413" s="101">
        <v>2.1533542E7</v>
      </c>
      <c r="P6413" s="98">
        <v>1.9371656E7</v>
      </c>
      <c r="Q6413" s="93" t="s">
        <v>917</v>
      </c>
      <c r="AF6413" s="1"/>
      <c r="AG6413" s="1"/>
    </row>
    <row r="6414" ht="15.75" customHeight="1">
      <c r="A6414" s="1"/>
      <c r="B6414" s="1"/>
      <c r="C6414" s="1"/>
      <c r="D6414" s="1"/>
      <c r="E6414" s="1"/>
      <c r="F6414" s="1"/>
      <c r="G6414" s="1"/>
      <c r="H6414" s="1"/>
      <c r="I6414" s="1"/>
      <c r="J6414" s="1"/>
      <c r="K6414" s="39" t="s">
        <v>10010</v>
      </c>
      <c r="L6414" s="89" t="str">
        <f>F340</f>
        <v>C2b1b2</v>
      </c>
      <c r="M6414" s="89"/>
      <c r="N6414" s="89"/>
      <c r="O6414" s="101">
        <v>2.2675912E7</v>
      </c>
      <c r="P6414" s="98">
        <v>2.0514026E7</v>
      </c>
      <c r="Q6414" s="93" t="s">
        <v>802</v>
      </c>
      <c r="AF6414" s="1"/>
      <c r="AG6414" s="1"/>
    </row>
    <row r="6415" ht="15.75" customHeight="1">
      <c r="A6415" s="1"/>
      <c r="B6415" s="1"/>
      <c r="C6415" s="1"/>
      <c r="D6415" s="1"/>
      <c r="E6415" s="1"/>
      <c r="F6415" s="1"/>
      <c r="G6415" s="1"/>
      <c r="H6415" s="1"/>
      <c r="I6415" s="1"/>
      <c r="J6415" s="1"/>
      <c r="K6415" s="39" t="s">
        <v>10011</v>
      </c>
      <c r="L6415" s="89" t="str">
        <f>F340</f>
        <v>C2b1b2</v>
      </c>
      <c r="M6415" s="89"/>
      <c r="N6415" s="89"/>
      <c r="O6415" s="101">
        <v>1.4749838E7</v>
      </c>
      <c r="P6415" s="98">
        <v>1.2637907E7</v>
      </c>
      <c r="Q6415" s="93" t="s">
        <v>917</v>
      </c>
      <c r="AF6415" s="1"/>
      <c r="AG6415" s="1"/>
    </row>
    <row r="6416" ht="15.75" customHeight="1">
      <c r="A6416" s="1"/>
      <c r="B6416" s="1"/>
      <c r="C6416" s="1"/>
      <c r="D6416" s="1"/>
      <c r="E6416" s="1"/>
      <c r="F6416" s="1"/>
      <c r="G6416" s="1"/>
      <c r="H6416" s="1"/>
      <c r="I6416" s="1"/>
      <c r="J6416" s="1"/>
      <c r="K6416" s="39" t="s">
        <v>10012</v>
      </c>
      <c r="L6416" s="89" t="str">
        <f>F340</f>
        <v>C2b1b2</v>
      </c>
      <c r="M6416" s="89"/>
      <c r="N6416" s="89"/>
      <c r="O6416" s="101">
        <v>1.4779275E7</v>
      </c>
      <c r="P6416" s="98">
        <v>1.2667345E7</v>
      </c>
      <c r="Q6416" s="93" t="s">
        <v>822</v>
      </c>
      <c r="AF6416" s="1"/>
      <c r="AG6416" s="1"/>
    </row>
    <row r="6417" ht="15.75" customHeight="1">
      <c r="A6417" s="1"/>
      <c r="B6417" s="1"/>
      <c r="C6417" s="1"/>
      <c r="D6417" s="1"/>
      <c r="E6417" s="1"/>
      <c r="F6417" s="1"/>
      <c r="G6417" s="1"/>
      <c r="H6417" s="1"/>
      <c r="I6417" s="1"/>
      <c r="J6417" s="1"/>
      <c r="K6417" s="39" t="s">
        <v>10013</v>
      </c>
      <c r="L6417" s="89" t="str">
        <f>F340</f>
        <v>C2b1b2</v>
      </c>
      <c r="M6417" s="89"/>
      <c r="N6417" s="89"/>
      <c r="O6417" s="101">
        <v>8505639.0</v>
      </c>
      <c r="P6417" s="98">
        <v>8637598.0</v>
      </c>
      <c r="Q6417" s="93" t="s">
        <v>838</v>
      </c>
      <c r="AF6417" s="1"/>
      <c r="AG6417" s="1"/>
    </row>
    <row r="6418" ht="15.75" customHeight="1">
      <c r="A6418" s="1"/>
      <c r="B6418" s="1"/>
      <c r="C6418" s="1"/>
      <c r="D6418" s="1"/>
      <c r="E6418" s="1"/>
      <c r="F6418" s="1"/>
      <c r="G6418" s="1"/>
      <c r="H6418" s="1"/>
      <c r="I6418" s="1"/>
      <c r="J6418" s="1"/>
      <c r="K6418" s="106" t="s">
        <v>10014</v>
      </c>
      <c r="L6418" s="89" t="str">
        <f>G341</f>
        <v>C2b1b2a~</v>
      </c>
      <c r="M6418" s="89"/>
      <c r="N6418" s="89"/>
      <c r="O6418" s="101">
        <v>6759828.0</v>
      </c>
      <c r="P6418" s="98">
        <v>6891787.0</v>
      </c>
      <c r="Q6418" s="93" t="s">
        <v>802</v>
      </c>
      <c r="AF6418" s="1"/>
      <c r="AG6418" s="1"/>
    </row>
    <row r="6419" ht="15.75" customHeight="1">
      <c r="A6419" s="1"/>
      <c r="B6419" s="1"/>
      <c r="C6419" s="1"/>
      <c r="D6419" s="1"/>
      <c r="E6419" s="1"/>
      <c r="F6419" s="1"/>
      <c r="G6419" s="1"/>
      <c r="H6419" s="1"/>
      <c r="I6419" s="1"/>
      <c r="J6419" s="1"/>
      <c r="K6419" s="106" t="s">
        <v>10015</v>
      </c>
      <c r="L6419" s="89" t="str">
        <f>G341</f>
        <v>C2b1b2a~</v>
      </c>
      <c r="M6419" s="89"/>
      <c r="N6419" s="89"/>
      <c r="O6419" s="101">
        <v>7657892.0</v>
      </c>
      <c r="P6419" s="98">
        <v>7789851.0</v>
      </c>
      <c r="Q6419" s="93" t="s">
        <v>912</v>
      </c>
      <c r="AF6419" s="1"/>
      <c r="AG6419" s="1"/>
    </row>
    <row r="6420" ht="15.75" customHeight="1">
      <c r="A6420" s="1"/>
      <c r="B6420" s="1"/>
      <c r="C6420" s="1"/>
      <c r="D6420" s="1"/>
      <c r="E6420" s="1"/>
      <c r="F6420" s="1"/>
      <c r="G6420" s="1"/>
      <c r="H6420" s="1"/>
      <c r="I6420" s="1"/>
      <c r="J6420" s="1"/>
      <c r="K6420" s="106" t="s">
        <v>10016</v>
      </c>
      <c r="L6420" s="89" t="str">
        <f>G341</f>
        <v>C2b1b2a~</v>
      </c>
      <c r="M6420" s="89"/>
      <c r="N6420" s="89"/>
      <c r="O6420" s="101">
        <v>7765073.0</v>
      </c>
      <c r="P6420" s="98">
        <v>7897032.0</v>
      </c>
      <c r="Q6420" s="93" t="s">
        <v>838</v>
      </c>
      <c r="AF6420" s="1"/>
      <c r="AG6420" s="1"/>
    </row>
    <row r="6421" ht="15.75" customHeight="1">
      <c r="A6421" s="1"/>
      <c r="B6421" s="1"/>
      <c r="C6421" s="1"/>
      <c r="D6421" s="1"/>
      <c r="E6421" s="1"/>
      <c r="F6421" s="1"/>
      <c r="G6421" s="1"/>
      <c r="H6421" s="1"/>
      <c r="I6421" s="1"/>
      <c r="J6421" s="1"/>
      <c r="K6421" s="95" t="s">
        <v>10017</v>
      </c>
      <c r="L6421" s="89" t="str">
        <f>G341</f>
        <v>C2b1b2a~</v>
      </c>
      <c r="M6421" s="89"/>
      <c r="N6421" s="89"/>
      <c r="O6421" s="101">
        <v>8109129.0</v>
      </c>
      <c r="P6421" s="98">
        <v>8241088.0</v>
      </c>
      <c r="Q6421" s="93" t="s">
        <v>879</v>
      </c>
      <c r="AF6421" s="1"/>
      <c r="AG6421" s="1"/>
    </row>
    <row r="6422" ht="15.75" customHeight="1">
      <c r="A6422" s="1"/>
      <c r="B6422" s="1"/>
      <c r="C6422" s="1"/>
      <c r="D6422" s="1"/>
      <c r="E6422" s="1"/>
      <c r="F6422" s="1"/>
      <c r="G6422" s="1"/>
      <c r="H6422" s="1"/>
      <c r="I6422" s="1"/>
      <c r="J6422" s="1"/>
      <c r="K6422" s="89" t="s">
        <v>10018</v>
      </c>
      <c r="L6422" s="89" t="str">
        <f>D342</f>
        <v>C2b2</v>
      </c>
      <c r="M6422" s="89"/>
      <c r="N6422" s="89" t="s">
        <v>10019</v>
      </c>
      <c r="O6422" s="89">
        <v>1.575736E7</v>
      </c>
      <c r="P6422" s="89">
        <v>1.364548E7</v>
      </c>
      <c r="Q6422" s="89" t="s">
        <v>917</v>
      </c>
      <c r="AF6422" s="1"/>
      <c r="AG6422" s="1"/>
    </row>
    <row r="6423" ht="15.75" customHeight="1">
      <c r="A6423" s="1"/>
      <c r="B6423" s="1"/>
      <c r="C6423" s="1"/>
      <c r="D6423" s="1"/>
      <c r="E6423" s="1"/>
      <c r="F6423" s="1"/>
      <c r="G6423" s="1"/>
      <c r="H6423" s="1"/>
      <c r="I6423" s="1"/>
      <c r="J6423" s="1"/>
      <c r="K6423" s="89" t="s">
        <v>10020</v>
      </c>
      <c r="L6423" s="89" t="str">
        <f>D342</f>
        <v>C2b2</v>
      </c>
      <c r="M6423" s="89"/>
      <c r="N6423" s="89" t="s">
        <v>10021</v>
      </c>
      <c r="O6423" s="89">
        <v>1.8095902E7</v>
      </c>
      <c r="P6423" s="89">
        <v>1.5984022E7</v>
      </c>
      <c r="Q6423" s="89" t="s">
        <v>813</v>
      </c>
      <c r="AF6423" s="1"/>
      <c r="AG6423" s="1"/>
    </row>
    <row r="6424" ht="15.75" customHeight="1">
      <c r="A6424" s="1"/>
      <c r="B6424" s="1"/>
      <c r="C6424" s="1"/>
      <c r="D6424" s="1"/>
      <c r="E6424" s="1"/>
      <c r="F6424" s="1"/>
      <c r="G6424" s="1"/>
      <c r="H6424" s="1"/>
      <c r="I6424" s="1"/>
      <c r="J6424" s="1"/>
      <c r="K6424" s="89" t="s">
        <v>10022</v>
      </c>
      <c r="L6424" s="89" t="str">
        <f t="shared" ref="L6424:L6425" si="93">D342</f>
        <v>C2b2</v>
      </c>
      <c r="M6424" s="89"/>
      <c r="N6424" s="89" t="s">
        <v>10023</v>
      </c>
      <c r="O6424" s="89">
        <v>1.8248829E7</v>
      </c>
      <c r="P6424" s="89">
        <v>1.6136949E7</v>
      </c>
      <c r="Q6424" s="89" t="s">
        <v>912</v>
      </c>
      <c r="AF6424" s="1"/>
      <c r="AG6424" s="1"/>
    </row>
    <row r="6425" ht="15.75" customHeight="1">
      <c r="A6425" s="1"/>
      <c r="B6425" s="1"/>
      <c r="C6425" s="1"/>
      <c r="D6425" s="1"/>
      <c r="E6425" s="1"/>
      <c r="F6425" s="1"/>
      <c r="G6425" s="1"/>
      <c r="H6425" s="1"/>
      <c r="I6425" s="1"/>
      <c r="J6425" s="1"/>
      <c r="K6425" s="89" t="s">
        <v>10024</v>
      </c>
      <c r="L6425" s="89" t="str">
        <f t="shared" si="93"/>
        <v>C2b2~</v>
      </c>
      <c r="M6425" s="89"/>
      <c r="N6425" s="89" t="s">
        <v>10025</v>
      </c>
      <c r="O6425" s="89">
        <v>2.2910819E7</v>
      </c>
      <c r="P6425" s="89">
        <v>2.0748933E7</v>
      </c>
      <c r="Q6425" s="89" t="s">
        <v>802</v>
      </c>
      <c r="AF6425" s="1"/>
      <c r="AG6425" s="1"/>
    </row>
    <row r="6426" ht="15.75" customHeight="1">
      <c r="A6426" s="1"/>
      <c r="B6426" s="1"/>
      <c r="C6426" s="1"/>
      <c r="D6426" s="1"/>
      <c r="E6426" s="1"/>
      <c r="F6426" s="1"/>
      <c r="G6426" s="1"/>
      <c r="H6426" s="1"/>
      <c r="I6426" s="1"/>
      <c r="J6426" s="1"/>
      <c r="K6426" s="89" t="s">
        <v>10026</v>
      </c>
      <c r="L6426" s="89" t="str">
        <f>D343</f>
        <v>C2b2~</v>
      </c>
      <c r="M6426" s="89"/>
      <c r="N6426" s="89" t="s">
        <v>10027</v>
      </c>
      <c r="O6426" s="89">
        <v>1.5696222E7</v>
      </c>
      <c r="P6426" s="89">
        <v>1.3584342E7</v>
      </c>
      <c r="Q6426" s="89" t="s">
        <v>917</v>
      </c>
      <c r="AF6426" s="1"/>
      <c r="AG6426" s="1"/>
    </row>
    <row r="6427" ht="15.75" customHeight="1">
      <c r="A6427" s="1"/>
      <c r="B6427" s="1"/>
      <c r="C6427" s="1"/>
      <c r="D6427" s="1"/>
      <c r="E6427" s="1"/>
      <c r="F6427" s="1"/>
      <c r="G6427" s="1"/>
      <c r="H6427" s="1"/>
      <c r="I6427" s="1"/>
      <c r="J6427" s="1"/>
      <c r="K6427" s="89" t="s">
        <v>10028</v>
      </c>
      <c r="L6427" s="89" t="str">
        <f>D343</f>
        <v>C2b2~</v>
      </c>
      <c r="M6427" s="89"/>
      <c r="N6427" s="89" t="s">
        <v>10029</v>
      </c>
      <c r="O6427" s="89">
        <v>1.7329732E7</v>
      </c>
      <c r="P6427" s="89">
        <v>1.5217852E7</v>
      </c>
      <c r="Q6427" s="89" t="s">
        <v>864</v>
      </c>
      <c r="AF6427" s="1"/>
      <c r="AG6427" s="1"/>
    </row>
    <row r="6428" ht="15.75" customHeight="1">
      <c r="A6428" s="1"/>
      <c r="B6428" s="1"/>
      <c r="C6428" s="1"/>
      <c r="D6428" s="1"/>
      <c r="E6428" s="1"/>
      <c r="F6428" s="1"/>
      <c r="G6428" s="1"/>
      <c r="H6428" s="1"/>
      <c r="I6428" s="1"/>
      <c r="J6428" s="1"/>
      <c r="K6428" s="89" t="s">
        <v>10030</v>
      </c>
      <c r="L6428" s="89" t="str">
        <f>D343</f>
        <v>C2b2~</v>
      </c>
      <c r="M6428" s="89"/>
      <c r="N6428" s="89"/>
      <c r="O6428" s="89">
        <v>2.3163135E7</v>
      </c>
      <c r="P6428" s="89">
        <v>2.1001249E7</v>
      </c>
      <c r="Q6428" s="89" t="s">
        <v>802</v>
      </c>
      <c r="AF6428" s="1"/>
      <c r="AG6428" s="1"/>
    </row>
    <row r="6429" ht="15.75" customHeight="1">
      <c r="A6429" s="1"/>
      <c r="B6429" s="1"/>
      <c r="C6429" s="1"/>
      <c r="D6429" s="1"/>
      <c r="E6429" s="1"/>
      <c r="F6429" s="1"/>
      <c r="G6429" s="1"/>
      <c r="H6429" s="1"/>
      <c r="I6429" s="1"/>
      <c r="J6429" s="1"/>
      <c r="K6429" s="89" t="s">
        <v>10031</v>
      </c>
      <c r="L6429" s="89" t="str">
        <f>D343</f>
        <v>C2b2~</v>
      </c>
      <c r="M6429" s="89"/>
      <c r="N6429" s="89" t="s">
        <v>10032</v>
      </c>
      <c r="O6429" s="89">
        <v>1.3561429E7</v>
      </c>
      <c r="P6429" s="89">
        <v>1.1405753E7</v>
      </c>
      <c r="Q6429" s="89" t="s">
        <v>912</v>
      </c>
      <c r="AF6429" s="1"/>
      <c r="AG6429" s="1"/>
    </row>
  </sheetData>
  <autoFilter ref="$K$503:$Z$6429"/>
  <mergeCells count="67">
    <mergeCell ref="E258:N258"/>
    <mergeCell ref="E259:N259"/>
    <mergeCell ref="H264:P264"/>
    <mergeCell ref="I265:P265"/>
    <mergeCell ref="J266:P266"/>
    <mergeCell ref="I281:O281"/>
    <mergeCell ref="J293:O293"/>
    <mergeCell ref="A354:K354"/>
    <mergeCell ref="A357:K357"/>
    <mergeCell ref="A358:K358"/>
    <mergeCell ref="A360:K360"/>
    <mergeCell ref="H300:O300"/>
    <mergeCell ref="I302:O302"/>
    <mergeCell ref="F305:N305"/>
    <mergeCell ref="I310:P310"/>
    <mergeCell ref="I316:P316"/>
    <mergeCell ref="H324:O324"/>
    <mergeCell ref="G340:M340"/>
    <mergeCell ref="C1:L1"/>
    <mergeCell ref="C4:L4"/>
    <mergeCell ref="B22:L22"/>
    <mergeCell ref="B23:L23"/>
    <mergeCell ref="B24:L24"/>
    <mergeCell ref="B30:M30"/>
    <mergeCell ref="D33:N33"/>
    <mergeCell ref="E35:N35"/>
    <mergeCell ref="H41:O41"/>
    <mergeCell ref="E46:N46"/>
    <mergeCell ref="F48:O48"/>
    <mergeCell ref="G49:P49"/>
    <mergeCell ref="G59:P59"/>
    <mergeCell ref="F62:O62"/>
    <mergeCell ref="F67:P67"/>
    <mergeCell ref="G68:P68"/>
    <mergeCell ref="H70:Q70"/>
    <mergeCell ref="I71:Q71"/>
    <mergeCell ref="L74:R74"/>
    <mergeCell ref="H95:O95"/>
    <mergeCell ref="J99:P99"/>
    <mergeCell ref="H105:O105"/>
    <mergeCell ref="H108:P108"/>
    <mergeCell ref="J110:P110"/>
    <mergeCell ref="E116:L116"/>
    <mergeCell ref="E119:M119"/>
    <mergeCell ref="F120:N120"/>
    <mergeCell ref="H126:O126"/>
    <mergeCell ref="I132:P132"/>
    <mergeCell ref="F136:N136"/>
    <mergeCell ref="C144:M144"/>
    <mergeCell ref="D146:N146"/>
    <mergeCell ref="H150:P150"/>
    <mergeCell ref="I151:P151"/>
    <mergeCell ref="J165:P165"/>
    <mergeCell ref="M169:R169"/>
    <mergeCell ref="K174:Q174"/>
    <mergeCell ref="H178:O178"/>
    <mergeCell ref="I179:P179"/>
    <mergeCell ref="I180:P180"/>
    <mergeCell ref="J197:O197"/>
    <mergeCell ref="K198:O198"/>
    <mergeCell ref="L203:P203"/>
    <mergeCell ref="I204:P204"/>
    <mergeCell ref="K207:Q207"/>
    <mergeCell ref="H214:P214"/>
    <mergeCell ref="I215:P215"/>
    <mergeCell ref="H248:P248"/>
    <mergeCell ref="I249:Q249"/>
  </mergeCells>
  <hyperlinks>
    <hyperlink r:id="rId1" ref="H7"/>
    <hyperlink r:id="rId2" ref="K11"/>
    <hyperlink r:id="rId3" ref="H27"/>
    <hyperlink r:id="rId4" ref="A369"/>
    <hyperlink r:id="rId5" ref="A370"/>
    <hyperlink r:id="rId6" ref="A371"/>
    <hyperlink r:id="rId7" ref="A372"/>
    <hyperlink r:id="rId8" ref="A373"/>
    <hyperlink r:id="rId9" ref="A374"/>
    <hyperlink r:id="rId10" ref="A375"/>
    <hyperlink r:id="rId11" ref="A376"/>
    <hyperlink r:id="rId12" ref="A377"/>
    <hyperlink r:id="rId13" ref="A378"/>
    <hyperlink r:id="rId14" ref="A379"/>
    <hyperlink r:id="rId15" ref="A380"/>
    <hyperlink r:id="rId16" ref="A381"/>
    <hyperlink r:id="rId17" ref="A382"/>
    <hyperlink r:id="rId18" ref="A383"/>
    <hyperlink r:id="rId19" ref="A384"/>
    <hyperlink r:id="rId20" ref="A385"/>
    <hyperlink r:id="rId21" ref="A386"/>
    <hyperlink r:id="rId22" ref="A387"/>
    <hyperlink r:id="rId23" ref="A388"/>
    <hyperlink r:id="rId24" ref="A389"/>
    <hyperlink r:id="rId25" ref="A390"/>
    <hyperlink r:id="rId26" ref="A391"/>
    <hyperlink r:id="rId27" ref="A393"/>
    <hyperlink r:id="rId28" ref="A394"/>
    <hyperlink r:id="rId29" ref="A395"/>
    <hyperlink r:id="rId30" ref="A396"/>
    <hyperlink r:id="rId31" ref="A397"/>
    <hyperlink r:id="rId32" ref="A398"/>
    <hyperlink r:id="rId33" ref="A399"/>
    <hyperlink r:id="rId34" ref="A400"/>
    <hyperlink r:id="rId35" ref="A401"/>
    <hyperlink r:id="rId36" ref="A402"/>
    <hyperlink r:id="rId37" ref="A403"/>
    <hyperlink r:id="rId38" ref="A404"/>
    <hyperlink r:id="rId39" ref="A405"/>
    <hyperlink r:id="rId40" ref="A406"/>
    <hyperlink r:id="rId41" ref="A407"/>
    <hyperlink r:id="rId42" ref="A408"/>
    <hyperlink r:id="rId43" ref="A409"/>
    <hyperlink r:id="rId44" ref="A410"/>
    <hyperlink r:id="rId45" ref="A411"/>
    <hyperlink r:id="rId46" ref="A412"/>
    <hyperlink r:id="rId47" ref="A413"/>
    <hyperlink r:id="rId48" ref="A414"/>
    <hyperlink r:id="rId49" ref="A415"/>
    <hyperlink r:id="rId50" ref="A416"/>
    <hyperlink r:id="rId51" ref="A417"/>
    <hyperlink r:id="rId52" ref="A418"/>
    <hyperlink r:id="rId53" ref="A419"/>
    <hyperlink r:id="rId54" ref="A420"/>
    <hyperlink r:id="rId55" ref="A423"/>
    <hyperlink r:id="rId56" ref="A424"/>
    <hyperlink r:id="rId57" ref="A425"/>
    <hyperlink r:id="rId58" ref="A426"/>
  </hyperlinks>
  <drawing r:id="rId59"/>
</worksheet>
</file>