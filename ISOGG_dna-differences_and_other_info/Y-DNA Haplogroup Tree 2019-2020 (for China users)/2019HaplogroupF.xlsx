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<sst xmlns="http://schemas.openxmlformats.org/spreadsheetml/2006/main" count="814" uniqueCount="465">
  <si>
    <t>Y-DNA Haplogroup F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</si>
  <si>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</si>
  <si>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</si>
  <si>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</si>
  <si>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</si>
  <si>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</si>
  <si>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</si>
  <si>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</si>
  <si>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</si>
  <si>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</si>
  <si>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</si>
  <si>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</si>
  <si>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</si>
  <si>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</si>
  <si>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</si>
  <si>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</si>
  <si>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</si>
  <si>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</si>
  <si>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</si>
  <si>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</si>
  <si>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</si>
  <si>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</si>
  <si>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</si>
  <si>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SNPs listed below in</t>
    </r>
    <r>
      <rPr>
        <i/>
      </rPr>
      <t xml:space="preserve"> 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</si>
  <si>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</si>
  <si>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F</t>
  </si>
  <si>
    <r>
      <rPr>
        <b/>
      </rPr>
      <t>M89/PF2746</t>
    </r>
    <r>
      <t xml:space="preserve">, CTS3536/M3688/PF2666, CTS3654/M3689/PF2667, CTS3996/M3692/PF2671, CTS4443/M3696/PF2677, CTS6135/M3708/PF2693, CTS12632/M3771/PF2775, F719/IMS-JST00305/M3636/S8235, F1046/M3646/PF2610/YSC0001295, F1209/M3654/YSC0001297, F1320/M3657/PF2621, F1329/M3658/PF2622/YSC0001299, F1704/M3675/PF2651, F1714/M3677/PF2653, F1753/M3681/PF2658, F1767/M3683/PF2660, F2048/M3701/PF2683/V3268, F2075/PF2685, F2142/PF2688, F2155/M3704/PF2690, F2402/M3714/PF2700, F2587/M3719/PF2709/YSC0001308, F2688/M3722/PF2716, F2837/M3726/PF2722, F2985/M3736/PF2731, F2993/M3737/PF2732/V3940, F3111/M3740/PF2736, F3136/M3741/PF2737, F3335/M3754/PF2758, F3692/M3650, L132.1, L468/M3703/PF2689, L470/M3735/PF2730, L882/M3749/PF2745, </t>
    </r>
    <r>
      <rPr/>
      <t xml:space="preserve">M213/P137/Page38/PF2673, M235/Page80/PF2665, </t>
    </r>
    <r>
      <t>M3637/PF2589/V186, M3638/PF2590/V205, M3639/PF2591, M3647/PF2611, M3652/PF2615, M3750/PF2747, M3751/PF2748, M3752/PF2749</t>
    </r>
    <r>
      <rPr/>
      <t>, P14/PF2704, P134/PF2606, P135/PF2741, P136/PF2762, P138/PF2655, P139/PF2698, P140/PF2703, P141/PF2602, P145/PF2617, P146/PF2623, P148/PF2734, P149/PF2720, P151/PF2625, P157/PF2771, P158/PF2706, P159/PF2717, P160/PF2618, P161/PF2719, P163/PF2696, P166/PF2702, P187/PF2632, P316/PF2696</t>
    </r>
    <r>
      <t>, PF2608, PF2669</t>
    </r>
  </si>
  <si>
    <t>F1</t>
  </si>
  <si>
    <r>
      <rPr>
        <b/>
      </rPr>
      <t>P91</t>
    </r>
    <r>
      <t>, P104</t>
    </r>
  </si>
  <si>
    <t>F2</t>
  </si>
  <si>
    <r>
      <rPr>
        <b/>
      </rPr>
      <t>M427</t>
    </r>
    <r>
      <t>, M428</t>
    </r>
  </si>
  <si>
    <t>F3</t>
  </si>
  <si>
    <t>M481</t>
  </si>
  <si>
    <t>F4~</t>
  </si>
  <si>
    <t>Z40733, Z40734, Z40735, Z40736, Z40737</t>
  </si>
  <si>
    <t>GHIJK</t>
  </si>
  <si>
    <t xml:space="preserve"> F1329/M3658/PF2622/YSC0001299  etc.</t>
  </si>
  <si>
    <t xml:space="preserve">* The listed F1 &amp; F3 subgroups here are from rare samples that have never been subjected to full Y next-generation sequencing to determine if they might instead share some of the newer mutations discovered downstream of F. </t>
  </si>
  <si>
    <t>MUTATION INFORMATION AT VERY BOTTOM HERE</t>
  </si>
  <si>
    <t>NOTES:</t>
  </si>
  <si>
    <t>Identical SNPs that were discovered separately are listed in alphabetical order, not necessarily in the order of discovery, and separated by "/". Example: M213/P137.</t>
  </si>
  <si>
    <t>The SNPs defining F3 (L279, L281, L284, L285, L286, M282, P96) were moved to H2 on 24 February 2014. See Magoon et al (2013).</t>
  </si>
  <si>
    <t>Mutations previously on tree but found so far only in one man or in closely related men:</t>
  </si>
  <si>
    <t>S86 is downstream from M89.</t>
  </si>
  <si>
    <r>
      <rPr>
        <b/>
      </rPr>
      <t>Geographical distribution</t>
    </r>
    <r>
      <t xml:space="preserve"> so far of haplogroup F subgroups (not complete): 
F1 - P91
       Sri Lanka
F2 - M427
       China (Lahu, Yi), s.e. Asia
F3 - M481
       s.e. India
F4 - Z40733
       Vietnam</t>
    </r>
  </si>
  <si>
    <t>References:</t>
  </si>
  <si>
    <t>Alonso et al, The Place of the Basques in the European Y-chromosome Diversity Landscape. (available by subscription) European Journal of Human Genetics, 13:1293-1302, 2005.</t>
  </si>
  <si>
    <t>Behar et al, Contrasting Patterns of Y Chromosome Variation in Ashkenazi Jewish and Host Non-Jewish European populations. (pdf) Hum Genet 114:354-365, 2004.</t>
  </si>
  <si>
    <t>Behar et al, Genome-Wide Structure of the Jewish People. Nature, 446:238-42, 2010.</t>
  </si>
  <si>
    <t>Biro et al, A Y-Chromosomal Comparison of the Madjars (Kazakhstan) and the Magyars (Hungary), American Journal of Physical Anthropology, 139(3): 305-10, 2009. (abstract)</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</si>
  <si>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</si>
  <si>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</si>
  <si>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</si>
  <si>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</si>
  <si>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Fornarino et al, Mitochondrial and Y-chromosome Diversity of the Tharus (Nepal): A Reservoir of Genetic Variation. BMC Evol Biol. 2009; 9: 154. Published online 2009 July 2. doi: 10.1186/1471-2148-9-154, 2009.</t>
  </si>
  <si>
    <t>Francalacci et al, Low-Pass DNA Sequencing of 1200 Sardinians Reconstructs European Y-Chromosome Phylogeny. Science: Vol. 341 no. 6145, pp. 565-569, DOI: 10.1126/science.1237947, 2 August 2013.</t>
  </si>
  <si>
    <t>Hudajashov et al, Revealing the Prehistoric Settlement of Australia by Y chromosome and mtDNA Analysis. PNAS, 104:21, 2007.</t>
  </si>
  <si>
    <t>Karafet et al, New Binary Polymorphisms Reshape and Increase Resolution of the Human Y-Chromosomal Haplogroup Tree. Abstract. Genome Research, published online April 2, 2008. Supplementary Material.</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</si>
  <si>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</si>
  <si>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</si>
  <si>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</si>
  <si>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</si>
  <si>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</si>
  <si>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</si>
  <si>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</si>
  <si>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</si>
  <si>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</si>
  <si>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</si>
  <si>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t>
  </si>
  <si>
    <t>Underhill et al, Use of Y Chromosome and Mitochondrial DNA Population Structure in Tracing Human Migrations. (abstract) Annual Review Genetics, 41:539-564, December 1, 2007(a).</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</si>
  <si>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</si>
  <si>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</si>
  <si>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Additional Resources:</t>
  </si>
  <si>
    <t>ISOGG Wiki</t>
  </si>
  <si>
    <t>What you need to know about Genetic Genealogy.</t>
  </si>
  <si>
    <t>The Haplogroup F Y-DNA Project,</t>
  </si>
  <si>
    <t>Garland Boyette.</t>
  </si>
  <si>
    <t>Corrections/Additions made since 1 January 2019:</t>
  </si>
  <si>
    <t>Corrected mutation information for Z40733-37 on 15 September 2019.</t>
  </si>
  <si>
    <t>Corrected one F4 item mutation information on 1 October 2019.</t>
  </si>
  <si>
    <t>Back to:</t>
  </si>
  <si>
    <t>MUTATION INFORMATION --&gt;&gt;</t>
  </si>
  <si>
    <t xml:space="preserve"> </t>
  </si>
  <si>
    <t>If copying this section just below, choose Paste Special, then Values, otherwise the haplogroup contents will not copy</t>
  </si>
  <si>
    <t>Name</t>
  </si>
  <si>
    <t>Haplogroup</t>
  </si>
  <si>
    <t>Other Names</t>
  </si>
  <si>
    <t>rs #</t>
  </si>
  <si>
    <t>Build 37 #</t>
  </si>
  <si>
    <t>Build 38 #</t>
  </si>
  <si>
    <t>Mutation info</t>
  </si>
  <si>
    <t>M89</t>
  </si>
  <si>
    <t>PF2746</t>
  </si>
  <si>
    <t>rs2032652</t>
  </si>
  <si>
    <t>C-&gt;T</t>
  </si>
  <si>
    <t>CTS3536</t>
  </si>
  <si>
    <t>M3688; PF2666</t>
  </si>
  <si>
    <t>rs73621765</t>
  </si>
  <si>
    <t>A-&gt;G</t>
  </si>
  <si>
    <t>M3688</t>
  </si>
  <si>
    <t>CTS3536; PF2666</t>
  </si>
  <si>
    <t>PF2666</t>
  </si>
  <si>
    <t>CTS3536; M3688</t>
  </si>
  <si>
    <t>CTS3654</t>
  </si>
  <si>
    <t>M3689; PF2667</t>
  </si>
  <si>
    <t>rs9785670</t>
  </si>
  <si>
    <t>M3689</t>
  </si>
  <si>
    <t>CTS3654; PF2667</t>
  </si>
  <si>
    <t>PF2667</t>
  </si>
  <si>
    <t>CTS3654; M3689</t>
  </si>
  <si>
    <t>CTS3996</t>
  </si>
  <si>
    <t>M3692; PF2671</t>
  </si>
  <si>
    <t>rs73621771</t>
  </si>
  <si>
    <t>M3692</t>
  </si>
  <si>
    <t>CTS3996; PF2671</t>
  </si>
  <si>
    <t>PF2671</t>
  </si>
  <si>
    <t>M3692; CTS3996</t>
  </si>
  <si>
    <t>CTS4443</t>
  </si>
  <si>
    <t>M3696; PF2677</t>
  </si>
  <si>
    <t>rs9785935</t>
  </si>
  <si>
    <t>A-&gt;T</t>
  </si>
  <si>
    <t>M3696</t>
  </si>
  <si>
    <t>CTS4443; PF2677</t>
  </si>
  <si>
    <t>PF2677</t>
  </si>
  <si>
    <t>CTS4443; M3696</t>
  </si>
  <si>
    <t>CTS6135</t>
  </si>
  <si>
    <t>M3708; PF2693</t>
  </si>
  <si>
    <t>rs9786236</t>
  </si>
  <si>
    <t>T-&gt;C</t>
  </si>
  <si>
    <t>M3708</t>
  </si>
  <si>
    <t>CTS6135; PF2693</t>
  </si>
  <si>
    <t>PF2693</t>
  </si>
  <si>
    <t>CTS6135; M3708</t>
  </si>
  <si>
    <t>CTS12632</t>
  </si>
  <si>
    <t>M3771; PF2775</t>
  </si>
  <si>
    <t>rs9786795</t>
  </si>
  <si>
    <t>C-&gt;G</t>
  </si>
  <si>
    <t>M3771</t>
  </si>
  <si>
    <t>CTS12632; PF2775</t>
  </si>
  <si>
    <t>PF2775</t>
  </si>
  <si>
    <t>CTS12632; M3771</t>
  </si>
  <si>
    <t>F719</t>
  </si>
  <si>
    <t>IMS-JST00305; M3636; S8235</t>
  </si>
  <si>
    <t>rs2075640</t>
  </si>
  <si>
    <t>G-&gt;A</t>
  </si>
  <si>
    <t>IMS-JST00305</t>
  </si>
  <si>
    <t>F719; M3636; S8235</t>
  </si>
  <si>
    <t>M3636</t>
  </si>
  <si>
    <t>F719; IMS-JST00305; S8235</t>
  </si>
  <si>
    <t>S8235</t>
  </si>
  <si>
    <t>F719; IMS-JST00305; M3636</t>
  </si>
  <si>
    <t>F1046</t>
  </si>
  <si>
    <t>M3646; PF2610; YSC0001295</t>
  </si>
  <si>
    <t>rs55825011</t>
  </si>
  <si>
    <t>M3646</t>
  </si>
  <si>
    <t>F1046; PF2610; YSC0001295</t>
  </si>
  <si>
    <t>PF2610</t>
  </si>
  <si>
    <t>F1046; M3646; YSC0001295</t>
  </si>
  <si>
    <t>YSC0001295</t>
  </si>
  <si>
    <t>F1046; M3646; PF2610</t>
  </si>
  <si>
    <t>F1209</t>
  </si>
  <si>
    <t>M3654; YSC0001297</t>
  </si>
  <si>
    <t>rs9786897</t>
  </si>
  <si>
    <t>M3654</t>
  </si>
  <si>
    <t>F1209; YSC0001297</t>
  </si>
  <si>
    <t>YSC0001297</t>
  </si>
  <si>
    <t>F1209; M3654</t>
  </si>
  <si>
    <t>F1320</t>
  </si>
  <si>
    <t>M3657; PF2621</t>
  </si>
  <si>
    <t>rs73614831</t>
  </si>
  <si>
    <t>M3657</t>
  </si>
  <si>
    <t>F1320; PF2621</t>
  </si>
  <si>
    <t>PF2621</t>
  </si>
  <si>
    <t>M3657; F1320</t>
  </si>
  <si>
    <t>F1329</t>
  </si>
  <si>
    <t>M3658; PF2622; YSC0001299</t>
  </si>
  <si>
    <t>rs9786482</t>
  </si>
  <si>
    <t>M3658</t>
  </si>
  <si>
    <t>PF2622; F1329; YSC0001299</t>
  </si>
  <si>
    <t>PF2622</t>
  </si>
  <si>
    <t>M3658; F1329; YSC0001299</t>
  </si>
  <si>
    <t>YSC0001299</t>
  </si>
  <si>
    <t>M3658; F1329; PF2622</t>
  </si>
  <si>
    <t>F1704</t>
  </si>
  <si>
    <t>M3675; PF2651</t>
  </si>
  <si>
    <t>rs9786325</t>
  </si>
  <si>
    <t>M3675</t>
  </si>
  <si>
    <t>F1704; PF2651</t>
  </si>
  <si>
    <t>PF2651</t>
  </si>
  <si>
    <t>F1704; M3675</t>
  </si>
  <si>
    <t>F1714</t>
  </si>
  <si>
    <t>M3677; PF2653</t>
  </si>
  <si>
    <t>rs9786290</t>
  </si>
  <si>
    <t>PF2653</t>
  </si>
  <si>
    <t>F1714; M3677</t>
  </si>
  <si>
    <t>M3677</t>
  </si>
  <si>
    <t>PF2653; F1714</t>
  </si>
  <si>
    <t>F1753</t>
  </si>
  <si>
    <t>M3681; PF2658</t>
  </si>
  <si>
    <t>rs9786181</t>
  </si>
  <si>
    <t>T-&gt;G</t>
  </si>
  <si>
    <t>M3681</t>
  </si>
  <si>
    <t>F1753; PF2658</t>
  </si>
  <si>
    <t>PF2658</t>
  </si>
  <si>
    <t>F1753; M3681</t>
  </si>
  <si>
    <t>F1767</t>
  </si>
  <si>
    <t>M3683; PF2660</t>
  </si>
  <si>
    <t>rs9786475</t>
  </si>
  <si>
    <t>G-&gt;T</t>
  </si>
  <si>
    <t>M3683</t>
  </si>
  <si>
    <t>F1767; PF2660</t>
  </si>
  <si>
    <t>PF2660</t>
  </si>
  <si>
    <t>F1767; M3683</t>
  </si>
  <si>
    <t>F2048</t>
  </si>
  <si>
    <t>M3701; PF2683; V3268</t>
  </si>
  <si>
    <t>rs9786303</t>
  </si>
  <si>
    <t>M3701</t>
  </si>
  <si>
    <t>F2048; PF2683; V3268</t>
  </si>
  <si>
    <t>PF2683</t>
  </si>
  <si>
    <t>F2048; M3701; V3268</t>
  </si>
  <si>
    <t>V3268</t>
  </si>
  <si>
    <t>F2048; M3701; PF2683</t>
  </si>
  <si>
    <t>F2075</t>
  </si>
  <si>
    <t>PF2685</t>
  </si>
  <si>
    <t>rs7067308</t>
  </si>
  <si>
    <t>F2142</t>
  </si>
  <si>
    <t>PF2688</t>
  </si>
  <si>
    <t>rs73621788</t>
  </si>
  <si>
    <t>C-&gt;A</t>
  </si>
  <si>
    <t>F2155</t>
  </si>
  <si>
    <t>M3704; PF2690</t>
  </si>
  <si>
    <t>rs12116413</t>
  </si>
  <si>
    <t>M3704</t>
  </si>
  <si>
    <t>F2155; PF2690</t>
  </si>
  <si>
    <t>PF2690</t>
  </si>
  <si>
    <t>F2155; M3704</t>
  </si>
  <si>
    <t>F2402</t>
  </si>
  <si>
    <t>M3714; PF2700</t>
  </si>
  <si>
    <t>rs9785853</t>
  </si>
  <si>
    <t>M3714</t>
  </si>
  <si>
    <t>F2402; PF2700</t>
  </si>
  <si>
    <t>PF2700</t>
  </si>
  <si>
    <t>F2402; M3714</t>
  </si>
  <si>
    <t>F2587</t>
  </si>
  <si>
    <t>M3719; PF2709; YSC0001308</t>
  </si>
  <si>
    <t>rs2191902</t>
  </si>
  <si>
    <t>M3719</t>
  </si>
  <si>
    <t>F2587; PF2709; YSC0001308</t>
  </si>
  <si>
    <t>PF2709</t>
  </si>
  <si>
    <t>M3719; F2587; YSC0001308</t>
  </si>
  <si>
    <t>YSC0001308</t>
  </si>
  <si>
    <t>M3719; F2587; PF2709</t>
  </si>
  <si>
    <t>F2688</t>
  </si>
  <si>
    <t>M3722; PF2716</t>
  </si>
  <si>
    <t>rs9786315</t>
  </si>
  <si>
    <t>M3722</t>
  </si>
  <si>
    <t>F2688; PF2716</t>
  </si>
  <si>
    <t>PF2716</t>
  </si>
  <si>
    <t>F2688; M3722</t>
  </si>
  <si>
    <t>F2837</t>
  </si>
  <si>
    <t>M3726; PF2722</t>
  </si>
  <si>
    <t>rs9786082</t>
  </si>
  <si>
    <t>M3726</t>
  </si>
  <si>
    <t>F2837; PF2722</t>
  </si>
  <si>
    <t>PF2722</t>
  </si>
  <si>
    <t>F2837; M3726</t>
  </si>
  <si>
    <t>F2985</t>
  </si>
  <si>
    <t>M3736; PF2731</t>
  </si>
  <si>
    <t>rs73626917</t>
  </si>
  <si>
    <t>M3736</t>
  </si>
  <si>
    <t>F2985; PF2731</t>
  </si>
  <si>
    <t>PF2731</t>
  </si>
  <si>
    <t>F2985; M3736</t>
  </si>
  <si>
    <t>F2993</t>
  </si>
  <si>
    <t>M3737; PF2732; V3940</t>
  </si>
  <si>
    <t>rs73626919</t>
  </si>
  <si>
    <t>M3737</t>
  </si>
  <si>
    <t>F2993; PF2732; V3940</t>
  </si>
  <si>
    <t>PF2732</t>
  </si>
  <si>
    <t>F2993; M3737; V3940</t>
  </si>
  <si>
    <t>V3940</t>
  </si>
  <si>
    <t>F2993; M3737; PF2732</t>
  </si>
  <si>
    <t>F3111</t>
  </si>
  <si>
    <t>M3740; PF2736</t>
  </si>
  <si>
    <t>rs9786247</t>
  </si>
  <si>
    <t>M3740</t>
  </si>
  <si>
    <t>F3111; PF2736</t>
  </si>
  <si>
    <t>PF2736</t>
  </si>
  <si>
    <t>F3111; M3740</t>
  </si>
  <si>
    <t>F3136</t>
  </si>
  <si>
    <t>M3741; PF2737</t>
  </si>
  <si>
    <t>rs35249440</t>
  </si>
  <si>
    <t>M3741</t>
  </si>
  <si>
    <t>F3136; PF2737</t>
  </si>
  <si>
    <t>PF2737</t>
  </si>
  <si>
    <t>F3136; M3741</t>
  </si>
  <si>
    <t>F3335</t>
  </si>
  <si>
    <t>M3754; PF2758</t>
  </si>
  <si>
    <t>rs73626976</t>
  </si>
  <si>
    <t>M3754</t>
  </si>
  <si>
    <t>F3335; PF2658</t>
  </si>
  <si>
    <t>PF2758</t>
  </si>
  <si>
    <t>F3335; M3754</t>
  </si>
  <si>
    <t>F3692</t>
  </si>
  <si>
    <t>M3650</t>
  </si>
  <si>
    <t>rs9785858</t>
  </si>
  <si>
    <t>L132.1</t>
  </si>
  <si>
    <t>rs7893044</t>
  </si>
  <si>
    <t>L468</t>
  </si>
  <si>
    <t>M3703; PF2689</t>
  </si>
  <si>
    <t>rs9786510</t>
  </si>
  <si>
    <t>M3703</t>
  </si>
  <si>
    <t>L468; PF2689</t>
  </si>
  <si>
    <t>PF2689</t>
  </si>
  <si>
    <t>L468; M3703</t>
  </si>
  <si>
    <t>L470</t>
  </si>
  <si>
    <t>M3735; PF2730</t>
  </si>
  <si>
    <t>rs9786293</t>
  </si>
  <si>
    <t>M3735</t>
  </si>
  <si>
    <t>L470; PF2730</t>
  </si>
  <si>
    <t>PF2730</t>
  </si>
  <si>
    <t>L470; M3735</t>
  </si>
  <si>
    <t>L882</t>
  </si>
  <si>
    <t>M3749; PF2745</t>
  </si>
  <si>
    <t>rs9786158</t>
  </si>
  <si>
    <t>M3749</t>
  </si>
  <si>
    <t>L882; PF2745</t>
  </si>
  <si>
    <t>PF2745</t>
  </si>
  <si>
    <t>L882; M3749</t>
  </si>
  <si>
    <t>M213</t>
  </si>
  <si>
    <t>P137; Page38; PF2673</t>
  </si>
  <si>
    <t>rs2032665</t>
  </si>
  <si>
    <t>P137</t>
  </si>
  <si>
    <t>M213; Page38; PF2673</t>
  </si>
  <si>
    <t>Page38</t>
  </si>
  <si>
    <t>M213; P137; PF2673</t>
  </si>
  <si>
    <t>PF2673</t>
  </si>
  <si>
    <t>M213; P137; Page38</t>
  </si>
  <si>
    <t>M235</t>
  </si>
  <si>
    <t>Page80; PF2665</t>
  </si>
  <si>
    <t>rs7067496</t>
  </si>
  <si>
    <t>Page80</t>
  </si>
  <si>
    <t>M235; PF2665</t>
  </si>
  <si>
    <t>PF2665</t>
  </si>
  <si>
    <t>Page80; M235</t>
  </si>
  <si>
    <t>M3637</t>
  </si>
  <si>
    <t>PF2589; V186</t>
  </si>
  <si>
    <t>rs9785784</t>
  </si>
  <si>
    <t>PF2589</t>
  </si>
  <si>
    <t>M3637; V186</t>
  </si>
  <si>
    <t>V186</t>
  </si>
  <si>
    <t>M3637; PF2589</t>
  </si>
  <si>
    <t>M3638</t>
  </si>
  <si>
    <t>PF2590; V205</t>
  </si>
  <si>
    <t>rs7892924</t>
  </si>
  <si>
    <t>PF2590</t>
  </si>
  <si>
    <t>M3638; V205</t>
  </si>
  <si>
    <t>V205</t>
  </si>
  <si>
    <t>M3638; PF2590</t>
  </si>
  <si>
    <t>M3639</t>
  </si>
  <si>
    <t>PF2591</t>
  </si>
  <si>
    <t>rs9786491</t>
  </si>
  <si>
    <t>M3647</t>
  </si>
  <si>
    <t>PF2611</t>
  </si>
  <si>
    <t>rs73614817</t>
  </si>
  <si>
    <t>M3652</t>
  </si>
  <si>
    <t>PF2615</t>
  </si>
  <si>
    <t>rs9786433</t>
  </si>
  <si>
    <t>M3750</t>
  </si>
  <si>
    <t>PF2747</t>
  </si>
  <si>
    <t>rs9785880</t>
  </si>
  <si>
    <t>M3751</t>
  </si>
  <si>
    <t>PF2748</t>
  </si>
  <si>
    <t>rs9786884</t>
  </si>
  <si>
    <t>M3752</t>
  </si>
  <si>
    <t>PF2749</t>
  </si>
  <si>
    <t>rs9785864</t>
  </si>
  <si>
    <t>P14</t>
  </si>
  <si>
    <t>PF2704</t>
  </si>
  <si>
    <t>rs9786420</t>
  </si>
  <si>
    <t>P134</t>
  </si>
  <si>
    <t>PF2606</t>
  </si>
  <si>
    <t>rs9786877</t>
  </si>
  <si>
    <t>P135</t>
  </si>
  <si>
    <t>PF2741</t>
  </si>
  <si>
    <t>rs9786502</t>
  </si>
  <si>
    <t>P136</t>
  </si>
  <si>
    <t>PF2762</t>
  </si>
  <si>
    <t>rs9785908</t>
  </si>
  <si>
    <t>P138</t>
  </si>
  <si>
    <t>PF2655</t>
  </si>
  <si>
    <t>rs16980478</t>
  </si>
  <si>
    <t>P139</t>
  </si>
  <si>
    <t>PF2698</t>
  </si>
  <si>
    <t>rs16980459</t>
  </si>
  <si>
    <t>P140</t>
  </si>
  <si>
    <t>PF2703</t>
  </si>
  <si>
    <t>rs9786636</t>
  </si>
  <si>
    <t>G-&gt;C</t>
  </si>
  <si>
    <t>P141</t>
  </si>
  <si>
    <t>PF2602</t>
  </si>
  <si>
    <t>rs9306845</t>
  </si>
  <si>
    <t>P145</t>
  </si>
  <si>
    <t>PF2617</t>
  </si>
  <si>
    <t>rs17842387</t>
  </si>
  <si>
    <t>P146</t>
  </si>
  <si>
    <t>PF2623</t>
  </si>
  <si>
    <t>rs16981340</t>
  </si>
  <si>
    <t>P148</t>
  </si>
  <si>
    <t>PF2734</t>
  </si>
  <si>
    <t>rs16980396</t>
  </si>
  <si>
    <t>P149</t>
  </si>
  <si>
    <t>PF2720</t>
  </si>
  <si>
    <t>rs16980391</t>
  </si>
  <si>
    <t>P151</t>
  </si>
  <si>
    <t>PF2625</t>
  </si>
  <si>
    <t>rs9786707</t>
  </si>
  <si>
    <t>P157</t>
  </si>
  <si>
    <t>PF2771</t>
  </si>
  <si>
    <t>rs9786095</t>
  </si>
  <si>
    <t>P158</t>
  </si>
  <si>
    <t>PF2706</t>
  </si>
  <si>
    <t>rs9785913</t>
  </si>
  <si>
    <t>P159</t>
  </si>
  <si>
    <t>PF2717</t>
  </si>
  <si>
    <t>rs9785905</t>
  </si>
  <si>
    <t>P160</t>
  </si>
  <si>
    <t>PF2618</t>
  </si>
  <si>
    <t>rs9306848</t>
  </si>
  <si>
    <t>A-&gt;C</t>
  </si>
  <si>
    <t>P161</t>
  </si>
  <si>
    <t>PF2719</t>
  </si>
  <si>
    <t>rs16980495</t>
  </si>
  <si>
    <t>P163</t>
  </si>
  <si>
    <t>PF2686</t>
  </si>
  <si>
    <t>rs4589047</t>
  </si>
  <si>
    <t>P166</t>
  </si>
  <si>
    <t>PF2702</t>
  </si>
  <si>
    <t>rs16980499</t>
  </si>
  <si>
    <t>P187</t>
  </si>
  <si>
    <t>PF2632</t>
  </si>
  <si>
    <t>rs17174528</t>
  </si>
  <si>
    <t>P316</t>
  </si>
  <si>
    <t>PF2696</t>
  </si>
  <si>
    <t>rs57194840</t>
  </si>
  <si>
    <t>PF2608</t>
  </si>
  <si>
    <t>rs9786664</t>
  </si>
  <si>
    <t>PF2669</t>
  </si>
  <si>
    <t>rs9786728</t>
  </si>
  <si>
    <t>P91</t>
  </si>
  <si>
    <t>P104</t>
  </si>
  <si>
    <t>rs796137944</t>
  </si>
  <si>
    <t>M427</t>
  </si>
  <si>
    <t>M428</t>
  </si>
  <si>
    <t>rs868549836</t>
  </si>
  <si>
    <t>rs867443824</t>
  </si>
  <si>
    <t>Z40733</t>
  </si>
  <si>
    <t>rs756108361</t>
  </si>
  <si>
    <t>Z40734</t>
  </si>
  <si>
    <t>rs751553098</t>
  </si>
  <si>
    <t>Z40735</t>
  </si>
  <si>
    <t>rs762929755</t>
  </si>
  <si>
    <t>Z40736</t>
  </si>
  <si>
    <t>Z40737</t>
  </si>
  <si>
    <t>GHIJK Mutations found in that section</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</si>
</sst>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b/>
    </font>
    <font>
      <b/>
      <sz val="10.0"/>
      <color rgb="FFFFFFFF"/>
      <name val="Arial"/>
    </font>
    <font>
      <color rgb="FF999999"/>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font>
    <font>
      <color rgb="FFCC0000"/>
    </font>
    <font>
      <sz val="12.0"/>
      <name val="Calibri"/>
    </font>
    <font>
      <color rgb="FF000000"/>
      <name val="Arial"/>
    </font>
    <font>
      <sz val="11.0"/>
      <color rgb="FF000000"/>
      <name val="Calibri"/>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1C232"/>
        <bgColor rgb="FFF1C232"/>
      </patternFill>
    </fill>
    <fill>
      <patternFill patternType="solid">
        <fgColor rgb="FFFFFFFF"/>
        <bgColor rgb="FFFFFFFF"/>
      </patternFill>
    </fill>
  </fills>
  <borders count="4">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shrinkToFit="0" vertical="bottom" wrapText="0"/>
    </xf>
    <xf borderId="0" fillId="3" fontId="7" numFmtId="0" xfId="0" applyAlignment="1" applyFont="1">
      <alignment shrinkToFit="0" vertical="bottom" wrapText="1"/>
    </xf>
    <xf borderId="0" fillId="4" fontId="16" numFmtId="0" xfId="0" applyAlignment="1" applyFill="1" applyFont="1">
      <alignment vertical="center"/>
    </xf>
    <xf borderId="0" fillId="0" fontId="17" numFmtId="0" xfId="0" applyAlignment="1" applyFont="1">
      <alignment shrinkToFit="0" vertical="bottom" wrapText="1"/>
    </xf>
    <xf borderId="0" fillId="0" fontId="18" numFmtId="0" xfId="0" applyFont="1"/>
    <xf borderId="0" fillId="5" fontId="19" numFmtId="0" xfId="0" applyAlignment="1" applyFill="1" applyFont="1">
      <alignment horizontal="left"/>
    </xf>
    <xf borderId="0" fillId="0" fontId="20" numFmtId="0" xfId="0" applyFont="1"/>
    <xf borderId="0" fillId="0" fontId="18" numFmtId="0" xfId="0" applyAlignment="1" applyFont="1">
      <alignment shrinkToFit="0" wrapText="1"/>
    </xf>
    <xf borderId="0" fillId="6" fontId="4" numFmtId="0" xfId="0" applyFill="1" applyFont="1"/>
    <xf borderId="0" fillId="0" fontId="21" numFmtId="0" xfId="0" applyAlignment="1" applyFont="1">
      <alignment horizontal="left"/>
    </xf>
    <xf borderId="0" fillId="0" fontId="22" numFmtId="0" xfId="0" applyAlignment="1" applyFont="1">
      <alignment horizontal="left" shrinkToFit="0" wrapText="1"/>
    </xf>
    <xf borderId="0" fillId="0" fontId="22" numFmtId="0" xfId="0" applyAlignment="1" applyFont="1">
      <alignment horizontal="left"/>
    </xf>
    <xf borderId="0" fillId="0" fontId="23" numFmtId="0" xfId="0" applyAlignment="1" applyFont="1">
      <alignment horizontal="left"/>
    </xf>
    <xf borderId="0" fillId="0" fontId="24" numFmtId="0" xfId="0" applyAlignment="1" applyFont="1">
      <alignment horizontal="left"/>
    </xf>
    <xf borderId="0" fillId="0" fontId="21" numFmtId="0" xfId="0" applyAlignment="1" applyFont="1">
      <alignment horizontal="left" readingOrder="0"/>
    </xf>
    <xf borderId="0" fillId="0" fontId="22" numFmtId="0" xfId="0" applyAlignment="1" applyFont="1">
      <alignment horizontal="left" readingOrder="0"/>
    </xf>
    <xf borderId="0" fillId="0" fontId="7" numFmtId="0" xfId="0" applyFont="1"/>
    <xf borderId="0" fillId="0" fontId="25" numFmtId="0" xfId="0" applyAlignment="1" applyFont="1">
      <alignment horizontal="left"/>
    </xf>
    <xf borderId="0" fillId="7" fontId="26" numFmtId="0" xfId="0" applyFill="1" applyFont="1"/>
    <xf borderId="0" fillId="0" fontId="27" numFmtId="0" xfId="0" applyFont="1"/>
    <xf borderId="0" fillId="0" fontId="28" numFmtId="0" xfId="0" applyFont="1"/>
    <xf borderId="0" fillId="0" fontId="29" numFmtId="0" xfId="0" applyAlignment="1" applyFont="1">
      <alignment horizontal="right"/>
    </xf>
    <xf borderId="0" fillId="8" fontId="4" numFmtId="0" xfId="0" applyFill="1" applyFont="1"/>
    <xf borderId="0" fillId="0" fontId="30" numFmtId="0" xfId="0" applyAlignment="1" applyFont="1">
      <alignment horizontal="right" vertical="bottom"/>
    </xf>
    <xf borderId="0" fillId="0" fontId="30" numFmtId="0" xfId="0" applyAlignment="1" applyFont="1">
      <alignment vertical="bottom"/>
    </xf>
    <xf borderId="0" fillId="8" fontId="30" numFmtId="0" xfId="0" applyAlignment="1" applyFont="1">
      <alignment horizontal="right" vertical="bottom"/>
    </xf>
    <xf borderId="0" fillId="8" fontId="31" numFmtId="0" xfId="0" applyAlignment="1" applyFont="1">
      <alignment vertical="top"/>
    </xf>
    <xf borderId="0" fillId="0" fontId="30" numFmtId="0" xfId="0" applyAlignment="1" applyFont="1">
      <alignment horizontal="right"/>
    </xf>
    <xf borderId="0" fillId="8" fontId="30" numFmtId="0" xfId="0" applyAlignment="1" applyFont="1">
      <alignment vertical="bottom"/>
    </xf>
    <xf borderId="0" fillId="8" fontId="31" numFmtId="0" xfId="0" applyFont="1"/>
    <xf borderId="0" fillId="8" fontId="29" numFmtId="0" xfId="0" applyAlignment="1" applyFont="1">
      <alignment horizontal="right"/>
    </xf>
    <xf borderId="0" fillId="0" fontId="28" numFmtId="0" xfId="0" applyAlignment="1" applyFont="1">
      <alignment vertical="bottom"/>
    </xf>
    <xf borderId="0" fillId="0" fontId="1" numFmtId="0" xfId="0" applyAlignment="1" applyFont="1">
      <alignment horizontal="right"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171450</xdr:colOff>
      <xdr:row>3</xdr:row>
      <xdr:rowOff>28575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3_v72_p313-332.pdf" TargetMode="External"/><Relationship Id="rId22" Type="http://schemas.openxmlformats.org/officeDocument/2006/relationships/hyperlink" Target="http://www.blackwell-synergy.com/doi/abs/10.1046/j.1529-8817.2005.00174.x" TargetMode="External"/><Relationship Id="rId21" Type="http://schemas.openxmlformats.org/officeDocument/2006/relationships/hyperlink" Target="http://www.ncbi.nlm.nih.gov/pmc/articles/PMC2408594/" TargetMode="External"/><Relationship Id="rId24" Type="http://schemas.openxmlformats.org/officeDocument/2006/relationships/hyperlink" Target="http://www.ncbi.nlm.nih.gov/pubmed/16770078" TargetMode="External"/><Relationship Id="rId23" Type="http://schemas.openxmlformats.org/officeDocument/2006/relationships/hyperlink" Target="http://www.familytreedna.com/pdf/Nasidze_2003.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familytreedna.com/pdf/Behar_contrasting.pdf" TargetMode="External"/><Relationship Id="rId26" Type="http://schemas.openxmlformats.org/officeDocument/2006/relationships/hyperlink" Target="http://hpgl.stanford.edu/publications/AJHG_2006_v78_p202-221.pdf" TargetMode="External"/><Relationship Id="rId25" Type="http://schemas.openxmlformats.org/officeDocument/2006/relationships/hyperlink" Target="http://hpgl.stanford.edu/publications/AJHG_2002_v70_p265-268.pdf" TargetMode="External"/><Relationship Id="rId28" Type="http://schemas.openxmlformats.org/officeDocument/2006/relationships/hyperlink" Target="http://hpgl.stanford.edu/publications/AJHG_1999_v65_p1718.pdf" TargetMode="External"/><Relationship Id="rId27" Type="http://schemas.openxmlformats.org/officeDocument/2006/relationships/hyperlink" Target="http://evolutsioon.ut.ee/publications/Shen2004.pdf"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mcdonald.cam.ac.uk/publications/monographs/new-titles/"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ubmed/16094307" TargetMode="External"/><Relationship Id="rId31" Type="http://schemas.openxmlformats.org/officeDocument/2006/relationships/hyperlink" Target="http://www.nature.com/ejhg/journal/v16/n6/pdf/5201998a.pdf" TargetMode="External"/><Relationship Id="rId30" Type="http://schemas.openxmlformats.org/officeDocument/2006/relationships/hyperlink" Target="http://dienekes.blogspot.com/2007/12/tracing-human-migrations-with-y.html" TargetMode="External"/><Relationship Id="rId11" Type="http://schemas.openxmlformats.org/officeDocument/2006/relationships/hyperlink" Target="http://onlinelibrary.wiley.com/doi/10.1002/ajpa.20984/abstract" TargetMode="External"/><Relationship Id="rId33" Type="http://schemas.openxmlformats.org/officeDocument/2006/relationships/hyperlink" Target="http://www.isogg.org/wiki/Wiki_Welcome_Page" TargetMode="External"/><Relationship Id="rId10" Type="http://schemas.openxmlformats.org/officeDocument/2006/relationships/hyperlink" Target="http://www.nature.com/nature/journal/v466/n7303/abs/nature09103.html" TargetMode="External"/><Relationship Id="rId32" Type="http://schemas.openxmlformats.org/officeDocument/2006/relationships/hyperlink" Target="http://www.ncbi.nlm.nih.gov/pubmed/19058044" TargetMode="External"/><Relationship Id="rId13" Type="http://schemas.openxmlformats.org/officeDocument/2006/relationships/hyperlink" Target="http://library.ibp.ac.cn/html/slwj/000222645600001.pdf" TargetMode="External"/><Relationship Id="rId35" Type="http://schemas.openxmlformats.org/officeDocument/2006/relationships/hyperlink" Target="http://www.isogg.org/tree/ISOGG_YDNA_SNP_Index.html" TargetMode="External"/><Relationship Id="rId12" Type="http://schemas.openxmlformats.org/officeDocument/2006/relationships/hyperlink" Target="http://www.ncbi.nlm.nih.gov/pubmed/11910562" TargetMode="External"/><Relationship Id="rId34" Type="http://schemas.openxmlformats.org/officeDocument/2006/relationships/hyperlink" Target="http://www.familytreedna.com/public/F-YDNA/default.aspx" TargetMode="External"/><Relationship Id="rId15" Type="http://schemas.openxmlformats.org/officeDocument/2006/relationships/hyperlink" Target="http://hpgl.stanford.edu/publications/EJHG_2004_v12_p855.pdf" TargetMode="External"/><Relationship Id="rId37" Type="http://schemas.openxmlformats.org/officeDocument/2006/relationships/hyperlink" Target="http://www.isogg.org/tree/ISOGG_Glossary.html" TargetMode="External"/><Relationship Id="rId14" Type="http://schemas.openxmlformats.org/officeDocument/2006/relationships/hyperlink" Target="http://www.nature.com/ejhg/journal/v18/n3/abs/ejhg2009168a.html" TargetMode="External"/><Relationship Id="rId36" Type="http://schemas.openxmlformats.org/officeDocument/2006/relationships/hyperlink" Target="http://www.isogg.org/tree/ISOGG_All_Papers.html" TargetMode="External"/><Relationship Id="rId17" Type="http://schemas.openxmlformats.org/officeDocument/2006/relationships/hyperlink" Target="http://www.sciencemag.org/content/341/6145/565" TargetMode="External"/><Relationship Id="rId16" Type="http://schemas.openxmlformats.org/officeDocument/2006/relationships/hyperlink" Target="http://www.ncbi.nlm.nih.gov/pubmed/19573232" TargetMode="External"/><Relationship Id="rId38" Type="http://schemas.openxmlformats.org/officeDocument/2006/relationships/drawing" Target="../drawings/drawing1.xml"/><Relationship Id="rId19" Type="http://schemas.openxmlformats.org/officeDocument/2006/relationships/hyperlink" Target="http://hpgl.stanford.edu/publications/AJHG_2003_v72_p281-302.pdf" TargetMode="External"/><Relationship Id="rId18" Type="http://schemas.openxmlformats.org/officeDocument/2006/relationships/hyperlink" Target="http://www.pnas.org/content/104/21/8726.ful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71"/>
    <col customWidth="1" min="2" max="2" width="6.14"/>
    <col customWidth="1" min="3" max="3" width="7.29"/>
    <col customWidth="1" min="4" max="4" width="6.57"/>
    <col customWidth="1" min="5" max="5" width="7.29"/>
    <col customWidth="1" min="6" max="6" width="8.86"/>
    <col customWidth="1" min="7" max="7" width="11.43"/>
    <col customWidth="1" min="8" max="8" width="13.29"/>
    <col customWidth="1" min="9" max="9" width="21.14"/>
    <col customWidth="1" min="10" max="10" width="13.29"/>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row>
    <row r="2" ht="15.75" customHeight="1">
      <c r="A2" s="1"/>
      <c r="B2" s="1"/>
      <c r="C2" s="2" t="s">
        <v>0</v>
      </c>
      <c r="M2" s="1"/>
      <c r="N2" s="1"/>
      <c r="O2" s="1"/>
      <c r="P2" s="1"/>
      <c r="Q2" s="1"/>
      <c r="R2" s="1"/>
      <c r="S2" s="1"/>
      <c r="T2" s="1"/>
      <c r="U2" s="1"/>
      <c r="V2" s="1"/>
      <c r="W2" s="1"/>
      <c r="X2" s="1"/>
      <c r="Y2" s="1"/>
      <c r="Z2" s="1"/>
      <c r="AA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row>
    <row r="4" ht="15.75" customHeight="1">
      <c r="A4" s="1"/>
      <c r="B4" s="1"/>
      <c r="C4" s="3"/>
      <c r="D4" s="3"/>
      <c r="E4" s="3"/>
      <c r="F4" s="3"/>
      <c r="G4" s="3"/>
      <c r="H4" s="3"/>
      <c r="I4" s="3"/>
      <c r="J4" s="3"/>
      <c r="K4" s="3"/>
      <c r="L4" s="3"/>
      <c r="M4" s="1"/>
      <c r="N4" s="1"/>
      <c r="O4" s="1"/>
      <c r="P4" s="1"/>
      <c r="Q4" s="1"/>
      <c r="R4" s="1"/>
      <c r="S4" s="1"/>
      <c r="T4" s="1"/>
      <c r="U4" s="1"/>
      <c r="V4" s="1"/>
      <c r="W4" s="1"/>
      <c r="X4" s="1"/>
      <c r="Y4" s="1"/>
      <c r="Z4" s="1"/>
      <c r="AA4" s="1"/>
    </row>
    <row r="5" ht="15.75" customHeight="1">
      <c r="A5" s="1"/>
      <c r="B5" s="4"/>
      <c r="C5" s="5" t="s">
        <v>1</v>
      </c>
      <c r="D5" s="6"/>
      <c r="E5" s="6"/>
      <c r="F5" s="6"/>
      <c r="G5" s="6"/>
      <c r="H5" s="6"/>
      <c r="I5" s="6"/>
      <c r="J5" s="6"/>
      <c r="K5" s="6"/>
      <c r="L5" s="7"/>
      <c r="M5" s="1"/>
      <c r="N5" s="1"/>
      <c r="O5" s="1"/>
      <c r="P5" s="1"/>
      <c r="Q5" s="1"/>
      <c r="R5" s="1"/>
      <c r="S5" s="1"/>
      <c r="T5" s="1"/>
      <c r="U5" s="1"/>
      <c r="V5" s="1"/>
      <c r="W5" s="1"/>
      <c r="X5" s="1"/>
      <c r="Y5" s="1"/>
      <c r="Z5" s="1"/>
      <c r="AA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row>
    <row r="7" ht="15.75" customHeight="1">
      <c r="A7" s="1"/>
      <c r="B7" s="1"/>
      <c r="C7" s="8" t="s">
        <v>2</v>
      </c>
      <c r="D7" s="1"/>
      <c r="E7" s="1"/>
      <c r="F7" s="1"/>
      <c r="G7" s="1"/>
      <c r="H7" s="1"/>
      <c r="I7" s="1"/>
      <c r="J7" s="9" t="s">
        <v>3</v>
      </c>
      <c r="K7" s="1"/>
      <c r="L7" s="1"/>
      <c r="M7" s="1"/>
      <c r="N7" s="1"/>
      <c r="O7" s="1"/>
      <c r="P7" s="1"/>
      <c r="Q7" s="1"/>
      <c r="R7" s="1"/>
      <c r="S7" s="1"/>
      <c r="T7" s="1"/>
      <c r="U7" s="1"/>
      <c r="V7" s="1"/>
      <c r="W7" s="1"/>
      <c r="X7" s="1"/>
      <c r="Y7" s="1"/>
      <c r="Z7" s="1"/>
      <c r="AA7" s="1"/>
    </row>
    <row r="8" ht="15.75" customHeight="1">
      <c r="A8" s="1"/>
      <c r="B8" s="1"/>
      <c r="C8" s="8" t="s">
        <v>4</v>
      </c>
      <c r="D8" s="1"/>
      <c r="E8" s="1"/>
      <c r="F8" s="1"/>
      <c r="G8" s="1"/>
      <c r="H8" s="9" t="s">
        <v>3</v>
      </c>
      <c r="I8" s="1"/>
      <c r="J8" s="1"/>
      <c r="K8" s="1"/>
      <c r="L8" s="1"/>
      <c r="M8" s="1"/>
      <c r="N8" s="1"/>
      <c r="O8" s="1"/>
      <c r="P8" s="1"/>
      <c r="Q8" s="1"/>
      <c r="R8" s="1"/>
      <c r="S8" s="1"/>
      <c r="T8" s="1"/>
      <c r="U8" s="1"/>
      <c r="V8" s="1"/>
      <c r="W8" s="1"/>
      <c r="X8" s="1"/>
      <c r="Y8" s="1"/>
      <c r="Z8" s="1"/>
      <c r="AA8" s="1"/>
    </row>
    <row r="9" ht="15.75" customHeight="1">
      <c r="A9" s="1"/>
      <c r="B9" s="1"/>
      <c r="C9" s="1"/>
      <c r="D9" s="1"/>
      <c r="E9" s="1"/>
      <c r="F9" s="10" t="s">
        <v>5</v>
      </c>
      <c r="G9" s="1"/>
      <c r="H9" s="11" t="s">
        <v>6</v>
      </c>
      <c r="I9" s="1"/>
      <c r="J9" s="1"/>
      <c r="K9" s="1"/>
      <c r="L9" s="1"/>
      <c r="M9" s="1"/>
      <c r="N9" s="1"/>
      <c r="O9" s="1"/>
      <c r="P9" s="1"/>
      <c r="Q9" s="1"/>
      <c r="R9" s="1"/>
      <c r="S9" s="1"/>
      <c r="T9" s="1"/>
      <c r="U9" s="1"/>
      <c r="V9" s="1"/>
      <c r="W9" s="1"/>
      <c r="X9" s="1"/>
      <c r="Y9" s="1"/>
      <c r="Z9" s="1"/>
      <c r="AA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ht="15.75" customHeight="1">
      <c r="A11" s="1"/>
      <c r="B11" s="12" t="s">
        <v>7</v>
      </c>
      <c r="M11" s="1"/>
      <c r="N11" s="1"/>
      <c r="O11" s="1"/>
      <c r="P11" s="1"/>
      <c r="Q11" s="1"/>
      <c r="R11" s="1"/>
      <c r="S11" s="1"/>
      <c r="T11" s="1"/>
      <c r="U11" s="1"/>
      <c r="V11" s="1"/>
      <c r="W11" s="1"/>
      <c r="X11" s="1"/>
      <c r="Y11" s="1"/>
      <c r="Z11" s="1"/>
      <c r="AA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ht="15.75" customHeight="1">
      <c r="A14" s="13" t="s">
        <v>8</v>
      </c>
      <c r="B14" s="1"/>
      <c r="C14" s="14" t="s">
        <v>3</v>
      </c>
      <c r="D14" s="1"/>
      <c r="E14" s="1"/>
      <c r="F14" s="15" t="str">
        <f>HYPERLINK("https://docs.google.com/spreadsheets/d/1yjXfo8_vfVNzp-yfYoBQLQK8gzqJg5nNtuTTD1RrFS4/edit#gid=0","Listing Criteria")</f>
        <v>Listing Criteria</v>
      </c>
      <c r="G14" s="1"/>
      <c r="H14" s="1"/>
      <c r="I14" s="16" t="s">
        <v>9</v>
      </c>
      <c r="J14" s="1"/>
      <c r="K14" s="15" t="str">
        <f>HYPERLINK("https://docs.google.com/spreadsheets/d/1Y0GXjhazYa46u0EpPA9b0Y0RVWuh5lDzww_o979mbjQ/edit#gid=1904113265","Y-DNA Tree Trunk")</f>
        <v>Y-DNA Tree Trunk</v>
      </c>
      <c r="L14" s="1"/>
      <c r="M14" s="1"/>
      <c r="N14" s="1"/>
      <c r="O14" s="1"/>
      <c r="P14" s="1"/>
      <c r="Q14" s="1"/>
      <c r="R14" s="1"/>
      <c r="S14" s="1"/>
      <c r="T14" s="1"/>
      <c r="U14" s="1"/>
      <c r="V14" s="1"/>
      <c r="W14" s="1"/>
      <c r="X14" s="1"/>
      <c r="Y14" s="1"/>
      <c r="Z14" s="1"/>
      <c r="AA14" s="1"/>
    </row>
    <row r="15" ht="15.75" customHeight="1">
      <c r="A15" s="1"/>
      <c r="B15" s="1"/>
      <c r="C15" s="1"/>
      <c r="D15" s="1"/>
      <c r="E15" s="1"/>
      <c r="F15" s="1"/>
      <c r="G15" s="17" t="s">
        <v>10</v>
      </c>
      <c r="H15" s="1"/>
      <c r="I15" s="17" t="s">
        <v>11</v>
      </c>
      <c r="J15" s="1"/>
      <c r="K15" s="1"/>
      <c r="L15" s="1"/>
      <c r="M15" s="18" t="s">
        <v>12</v>
      </c>
      <c r="N15" s="1"/>
      <c r="O15" s="1"/>
      <c r="P15" s="1"/>
      <c r="Q15" s="1"/>
      <c r="R15" s="1"/>
      <c r="S15" s="1"/>
      <c r="T15" s="1"/>
      <c r="U15" s="1"/>
      <c r="V15" s="1"/>
      <c r="W15" s="1"/>
      <c r="X15" s="1"/>
      <c r="Y15" s="1"/>
      <c r="Z15" s="1"/>
      <c r="AA15" s="1"/>
    </row>
    <row r="16" ht="15.75" customHeight="1">
      <c r="A16" s="1"/>
      <c r="B16" s="1"/>
      <c r="C16" s="1"/>
      <c r="D16" s="1"/>
      <c r="E16" s="1"/>
      <c r="F16" s="1"/>
      <c r="G16" s="1"/>
      <c r="H16" s="1"/>
      <c r="I16" s="1"/>
      <c r="J16" s="1"/>
      <c r="K16" s="1"/>
      <c r="L16" s="1"/>
      <c r="M16" s="1"/>
      <c r="N16" s="19" t="s">
        <v>13</v>
      </c>
      <c r="O16" s="1"/>
      <c r="P16" s="1"/>
      <c r="Q16" s="1"/>
      <c r="R16" s="1"/>
      <c r="S16" s="1"/>
      <c r="T16" s="1"/>
      <c r="U16" s="1"/>
      <c r="V16" s="1"/>
      <c r="W16" s="1"/>
      <c r="X16" s="1"/>
      <c r="Y16" s="1"/>
      <c r="Z16" s="1"/>
      <c r="AA16" s="1"/>
    </row>
    <row r="17" ht="15.75" customHeight="1">
      <c r="A17" s="13" t="s">
        <v>14</v>
      </c>
      <c r="B17" s="1"/>
      <c r="C17" s="1"/>
      <c r="D17" s="20" t="s">
        <v>15</v>
      </c>
      <c r="E17" s="1"/>
      <c r="F17" s="1"/>
      <c r="G17" s="1"/>
      <c r="H17" s="1"/>
      <c r="I17" s="21" t="s">
        <v>16</v>
      </c>
      <c r="J17" s="1"/>
      <c r="K17" s="22" t="s">
        <v>17</v>
      </c>
      <c r="L17" s="1"/>
      <c r="M17" s="1"/>
      <c r="N17" s="1"/>
      <c r="O17" s="1"/>
      <c r="P17" s="1"/>
      <c r="Q17" s="1"/>
      <c r="R17" s="1"/>
      <c r="S17" s="1"/>
      <c r="T17" s="1"/>
      <c r="U17" s="1"/>
      <c r="V17" s="1"/>
      <c r="W17" s="1"/>
      <c r="X17" s="1"/>
      <c r="Y17" s="1"/>
      <c r="Z17" s="1"/>
      <c r="AA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3" t="s">
        <v>18</v>
      </c>
      <c r="B19" s="1"/>
      <c r="C19" s="1"/>
      <c r="D19" s="8" t="s">
        <v>19</v>
      </c>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1"/>
      <c r="C20" s="1"/>
      <c r="D20" s="8" t="s">
        <v>20</v>
      </c>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8" t="s">
        <v>21</v>
      </c>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23" t="s">
        <v>22</v>
      </c>
      <c r="M23" s="1"/>
      <c r="N23" s="1"/>
      <c r="O23" s="1"/>
      <c r="P23" s="1"/>
      <c r="Q23" s="1"/>
      <c r="R23" s="1"/>
      <c r="S23" s="1"/>
      <c r="T23" s="1"/>
      <c r="U23" s="1"/>
      <c r="V23" s="1"/>
      <c r="W23" s="1"/>
      <c r="X23" s="1"/>
      <c r="Y23" s="1"/>
      <c r="Z23" s="1"/>
      <c r="AA23" s="1"/>
    </row>
    <row r="24" ht="15.75" customHeight="1">
      <c r="A24" s="1"/>
      <c r="B24" s="23" t="s">
        <v>23</v>
      </c>
      <c r="M24" s="1"/>
      <c r="N24" s="1"/>
      <c r="O24" s="1"/>
      <c r="P24" s="1"/>
      <c r="Q24" s="1"/>
      <c r="R24" s="1"/>
      <c r="S24" s="1"/>
      <c r="T24" s="1"/>
      <c r="U24" s="1"/>
      <c r="V24" s="1"/>
      <c r="W24" s="1"/>
      <c r="X24" s="1"/>
      <c r="Y24" s="1"/>
      <c r="Z24" s="1"/>
      <c r="AA24" s="1"/>
    </row>
    <row r="25" ht="15.75" customHeight="1">
      <c r="A25" s="1"/>
      <c r="B25" s="23" t="s">
        <v>24</v>
      </c>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24" t="s">
        <v>25</v>
      </c>
      <c r="B29" s="25" t="s">
        <v>26</v>
      </c>
      <c r="N29" s="1"/>
      <c r="O29" s="1"/>
      <c r="P29" s="1"/>
      <c r="Q29" s="1"/>
      <c r="R29" s="1"/>
      <c r="S29" s="1"/>
      <c r="T29" s="1"/>
      <c r="U29" s="1"/>
      <c r="V29" s="1"/>
      <c r="W29" s="1"/>
      <c r="X29" s="1"/>
      <c r="Y29" s="1"/>
      <c r="Z29" s="1"/>
      <c r="AA29" s="1"/>
    </row>
    <row r="30" ht="15.75" customHeight="1">
      <c r="B30" s="24" t="s">
        <v>27</v>
      </c>
      <c r="C30" t="s">
        <v>28</v>
      </c>
    </row>
    <row r="31" ht="15.75" customHeight="1">
      <c r="B31" s="24" t="s">
        <v>29</v>
      </c>
      <c r="C31" t="s">
        <v>30</v>
      </c>
    </row>
    <row r="32" ht="15.75" customHeight="1">
      <c r="B32" s="24" t="s">
        <v>31</v>
      </c>
      <c r="C32" s="26" t="s">
        <v>32</v>
      </c>
    </row>
    <row r="33" ht="15.75" customHeight="1">
      <c r="B33" s="27" t="s">
        <v>33</v>
      </c>
      <c r="C33" s="28" t="s">
        <v>34</v>
      </c>
    </row>
    <row r="34" ht="15.75" customHeight="1">
      <c r="B34" s="24" t="s">
        <v>35</v>
      </c>
      <c r="C34" s="26" t="s">
        <v>36</v>
      </c>
    </row>
    <row r="35" ht="15.75" customHeight="1"/>
    <row r="36" ht="15.75" customHeight="1">
      <c r="A36" s="29" t="s">
        <v>37</v>
      </c>
    </row>
    <row r="37" ht="15.75" customHeight="1"/>
    <row r="38" ht="15.75" customHeight="1">
      <c r="B38" s="30" t="s">
        <v>38</v>
      </c>
      <c r="C38" s="30"/>
      <c r="D38" s="30"/>
      <c r="E38" s="30"/>
      <c r="F38" s="30"/>
      <c r="G38" s="30"/>
    </row>
    <row r="39" ht="15.75" customHeight="1"/>
    <row r="40" ht="15.75" customHeight="1">
      <c r="A40" s="31" t="s">
        <v>39</v>
      </c>
    </row>
    <row r="41" ht="15.75" customHeight="1"/>
    <row r="42" ht="15.75" customHeight="1">
      <c r="A42" s="32" t="s">
        <v>40</v>
      </c>
    </row>
    <row r="43" ht="15.75" customHeight="1">
      <c r="A43" s="33" t="s">
        <v>41</v>
      </c>
    </row>
    <row r="44" ht="15.75" customHeight="1">
      <c r="A44" s="34" t="s">
        <v>42</v>
      </c>
    </row>
    <row r="45" ht="15.75" customHeight="1">
      <c r="B45" s="33" t="s">
        <v>43</v>
      </c>
    </row>
    <row r="46" ht="15.75" customHeight="1"/>
    <row r="47" ht="15.75" customHeight="1">
      <c r="A47" t="s">
        <v>44</v>
      </c>
    </row>
    <row r="48" ht="15.75" customHeight="1"/>
    <row r="49" ht="15.75" customHeight="1">
      <c r="A49" s="31" t="s">
        <v>45</v>
      </c>
    </row>
    <row r="50" ht="15.75" customHeight="1"/>
    <row r="51" ht="15.75" customHeight="1">
      <c r="A51" s="35" t="s">
        <v>46</v>
      </c>
    </row>
    <row r="52" ht="15.75" customHeight="1">
      <c r="A52" s="35" t="s">
        <v>47</v>
      </c>
    </row>
    <row r="53" ht="15.75" customHeight="1">
      <c r="A53" s="35" t="s">
        <v>48</v>
      </c>
    </row>
    <row r="54" ht="15.75" customHeight="1">
      <c r="A54" s="35" t="s">
        <v>49</v>
      </c>
    </row>
    <row r="55" ht="15.75" customHeight="1">
      <c r="A55" s="35" t="s">
        <v>50</v>
      </c>
    </row>
    <row r="56" ht="15.75" customHeight="1">
      <c r="A56" s="35" t="s">
        <v>51</v>
      </c>
    </row>
    <row r="57" ht="15.75" customHeight="1">
      <c r="A57" s="35" t="s">
        <v>52</v>
      </c>
    </row>
    <row r="58" ht="15.75" customHeight="1">
      <c r="A58" s="35" t="s">
        <v>53</v>
      </c>
    </row>
    <row r="59" ht="15.75" customHeight="1">
      <c r="A59" s="35" t="s">
        <v>54</v>
      </c>
    </row>
    <row r="60" ht="15.75" customHeight="1">
      <c r="A60" s="35" t="s">
        <v>55</v>
      </c>
    </row>
    <row r="61" ht="15.75" customHeight="1">
      <c r="A61" s="35" t="s">
        <v>56</v>
      </c>
    </row>
    <row r="62" ht="15.75" customHeight="1">
      <c r="A62" s="35" t="s">
        <v>57</v>
      </c>
    </row>
    <row r="63" ht="15.75" customHeight="1">
      <c r="A63" s="35" t="s">
        <v>58</v>
      </c>
    </row>
    <row r="64" ht="15.75" customHeight="1">
      <c r="A64" s="35" t="s">
        <v>59</v>
      </c>
    </row>
    <row r="65" ht="15.75" customHeight="1">
      <c r="A65" s="35" t="s">
        <v>60</v>
      </c>
    </row>
    <row r="66" ht="15.75" customHeight="1">
      <c r="A66" s="35" t="s">
        <v>61</v>
      </c>
    </row>
    <row r="67" ht="15.75" customHeight="1">
      <c r="A67" s="35" t="s">
        <v>62</v>
      </c>
    </row>
    <row r="68" ht="15.75" customHeight="1">
      <c r="A68" s="35" t="s">
        <v>63</v>
      </c>
    </row>
    <row r="69" ht="15.75" customHeight="1">
      <c r="A69" s="35" t="s">
        <v>64</v>
      </c>
    </row>
    <row r="70" ht="15.75" customHeight="1">
      <c r="A70" s="35" t="s">
        <v>65</v>
      </c>
    </row>
    <row r="71" ht="15.75" customHeight="1">
      <c r="A71" s="35" t="s">
        <v>66</v>
      </c>
    </row>
    <row r="72" ht="15.75" customHeight="1">
      <c r="A72" s="35" t="s">
        <v>67</v>
      </c>
    </row>
    <row r="73" ht="15.75" customHeight="1">
      <c r="A73" s="35" t="s">
        <v>68</v>
      </c>
    </row>
    <row r="74" ht="15.75" customHeight="1">
      <c r="A74" s="35" t="s">
        <v>69</v>
      </c>
    </row>
    <row r="75" ht="15.75" customHeight="1">
      <c r="A75" s="35" t="s">
        <v>70</v>
      </c>
    </row>
    <row r="76" ht="15.75" customHeight="1">
      <c r="A76" s="35" t="s">
        <v>71</v>
      </c>
    </row>
    <row r="77" ht="15.75" customHeight="1"/>
    <row r="78" ht="15.75" customHeight="1">
      <c r="A78" s="31" t="s">
        <v>72</v>
      </c>
    </row>
    <row r="79" ht="15.75" customHeight="1">
      <c r="A79" s="35" t="s">
        <v>73</v>
      </c>
      <c r="C79" s="33" t="s">
        <v>74</v>
      </c>
    </row>
    <row r="80" ht="15.75" customHeight="1">
      <c r="A80" s="35" t="s">
        <v>75</v>
      </c>
      <c r="F80" s="33" t="s">
        <v>76</v>
      </c>
    </row>
    <row r="81" ht="15.75" customHeight="1"/>
    <row r="82" ht="15.75" customHeight="1">
      <c r="A82" s="36" t="s">
        <v>77</v>
      </c>
    </row>
    <row r="83" ht="15.75" customHeight="1"/>
    <row r="84" ht="15.75" customHeight="1">
      <c r="A84" s="37" t="s">
        <v>78</v>
      </c>
    </row>
    <row r="85" ht="15.75" customHeight="1">
      <c r="A85" s="37" t="s">
        <v>79</v>
      </c>
    </row>
    <row r="86" ht="15.75" customHeight="1"/>
    <row r="87" ht="15.75" customHeight="1">
      <c r="A87" s="38" t="s">
        <v>80</v>
      </c>
    </row>
    <row r="88" ht="15.75" customHeight="1">
      <c r="B88" s="35" t="str">
        <f>HYPERLINK("https://docs.google.com/spreadsheets/d/1fyWMHOYKcR-t77kV-cN79A6B5-aBpQS8Y7W5juVKLV8/edit#gid=1904113265","Main Page")</f>
        <v>Main Page</v>
      </c>
    </row>
    <row r="89" ht="15.75" customHeight="1">
      <c r="B89" s="39" t="str">
        <f>HYPERLINK("https://docs.google.com/spreadsheets/d/1Y0GXjhazYa46u0EpPA9b0Y0RVWuh5lDzww_o979mbjQ/edit#gid=1904113265","Y-DNA Tree Trunk")</f>
        <v>Y-DNA Tree Trunk</v>
      </c>
    </row>
    <row r="90" ht="15.75" customHeight="1">
      <c r="B90" s="35" t="s">
        <v>11</v>
      </c>
    </row>
    <row r="91" ht="15.75" customHeight="1">
      <c r="B91" s="35" t="s">
        <v>9</v>
      </c>
    </row>
    <row r="92" ht="15.75" customHeight="1">
      <c r="B92" s="35" t="s">
        <v>10</v>
      </c>
    </row>
    <row r="93" ht="15.75" customHeight="1">
      <c r="B93" s="39" t="str">
        <f>HYPERLINK("https://docs.google.com/spreadsheets/d/1yjXfo8_vfVNzp-yfYoBQLQK8gzqJg5nNtuTTD1RrFS4/edit#gid=0","Listing Criteria")</f>
        <v>Listing Criteria</v>
      </c>
    </row>
    <row r="94" ht="15.75" customHeight="1"/>
    <row r="95" ht="15.75" customHeight="1"/>
    <row r="96" ht="15.75" customHeight="1">
      <c r="A96" s="40" t="s">
        <v>81</v>
      </c>
      <c r="B96" s="40"/>
      <c r="C96" s="40"/>
      <c r="D96" s="40"/>
      <c r="E96" s="40"/>
    </row>
    <row r="97" ht="15.75" customHeight="1"/>
    <row r="98" ht="15.75" customHeight="1">
      <c r="F98" s="41" t="s">
        <v>82</v>
      </c>
      <c r="G98" s="41" t="s">
        <v>83</v>
      </c>
    </row>
    <row r="99" ht="15.75" customHeight="1">
      <c r="G99" t="s">
        <v>84</v>
      </c>
      <c r="H99" t="s">
        <v>85</v>
      </c>
      <c r="I99" t="s">
        <v>86</v>
      </c>
      <c r="J99" t="s">
        <v>87</v>
      </c>
      <c r="K99" t="s">
        <v>88</v>
      </c>
      <c r="L99" t="s">
        <v>89</v>
      </c>
      <c r="M99" t="s">
        <v>90</v>
      </c>
    </row>
    <row r="100" ht="15.75" customHeight="1">
      <c r="G100" t="s">
        <v>91</v>
      </c>
      <c r="H100" s="42" t="str">
        <f>A29</f>
        <v>F</v>
      </c>
      <c r="I100" t="s">
        <v>92</v>
      </c>
      <c r="J100" t="s">
        <v>93</v>
      </c>
      <c r="K100">
        <v>2.1917313E7</v>
      </c>
      <c r="L100">
        <v>1.9755427E7</v>
      </c>
      <c r="M100" t="s">
        <v>94</v>
      </c>
    </row>
    <row r="101" ht="15.75" customHeight="1">
      <c r="G101" t="s">
        <v>92</v>
      </c>
      <c r="H101" s="42" t="str">
        <f>A29</f>
        <v>F</v>
      </c>
      <c r="I101" t="s">
        <v>91</v>
      </c>
      <c r="J101" t="s">
        <v>93</v>
      </c>
      <c r="K101">
        <v>2.1917313E7</v>
      </c>
      <c r="L101">
        <v>1.9755427E7</v>
      </c>
      <c r="M101" t="s">
        <v>94</v>
      </c>
    </row>
    <row r="102" ht="15.75" customHeight="1">
      <c r="G102" t="s">
        <v>95</v>
      </c>
      <c r="H102" s="42" t="str">
        <f>A29</f>
        <v>F</v>
      </c>
      <c r="I102" t="s">
        <v>96</v>
      </c>
      <c r="J102" s="1" t="s">
        <v>97</v>
      </c>
      <c r="K102">
        <v>1.499696E7</v>
      </c>
      <c r="L102">
        <v>1.2885045E7</v>
      </c>
      <c r="M102" t="s">
        <v>98</v>
      </c>
    </row>
    <row r="103" ht="15.75" customHeight="1">
      <c r="G103" t="s">
        <v>99</v>
      </c>
      <c r="H103" s="42" t="str">
        <f>A29</f>
        <v>F</v>
      </c>
      <c r="I103" t="s">
        <v>100</v>
      </c>
      <c r="J103" s="1" t="s">
        <v>97</v>
      </c>
      <c r="K103">
        <v>1.499696E7</v>
      </c>
      <c r="L103">
        <v>1.2885045E7</v>
      </c>
      <c r="M103" t="s">
        <v>98</v>
      </c>
    </row>
    <row r="104" ht="15.75" customHeight="1">
      <c r="G104" t="s">
        <v>101</v>
      </c>
      <c r="H104" s="42" t="str">
        <f>A29</f>
        <v>F</v>
      </c>
      <c r="I104" t="s">
        <v>102</v>
      </c>
      <c r="J104" s="1" t="s">
        <v>97</v>
      </c>
      <c r="K104">
        <v>1.499696E7</v>
      </c>
      <c r="L104">
        <v>1.2885045E7</v>
      </c>
      <c r="M104" t="s">
        <v>98</v>
      </c>
    </row>
    <row r="105" ht="15.75" customHeight="1">
      <c r="G105" t="s">
        <v>103</v>
      </c>
      <c r="H105" s="42" t="str">
        <f>A29</f>
        <v>F</v>
      </c>
      <c r="I105" t="s">
        <v>104</v>
      </c>
      <c r="J105" s="1" t="s">
        <v>105</v>
      </c>
      <c r="K105">
        <v>1.5095345E7</v>
      </c>
      <c r="L105">
        <v>1.2983433E7</v>
      </c>
      <c r="M105" t="s">
        <v>98</v>
      </c>
    </row>
    <row r="106" ht="15.75" customHeight="1">
      <c r="G106" t="s">
        <v>106</v>
      </c>
      <c r="H106" s="42" t="str">
        <f>A29</f>
        <v>F</v>
      </c>
      <c r="I106" t="s">
        <v>107</v>
      </c>
      <c r="J106" s="1" t="s">
        <v>105</v>
      </c>
      <c r="K106">
        <v>1.5095345E7</v>
      </c>
      <c r="L106">
        <v>1.2983433E7</v>
      </c>
      <c r="M106" t="s">
        <v>98</v>
      </c>
    </row>
    <row r="107" ht="15.75" customHeight="1">
      <c r="G107" t="s">
        <v>108</v>
      </c>
      <c r="H107" s="42" t="str">
        <f>A29</f>
        <v>F</v>
      </c>
      <c r="I107" t="s">
        <v>109</v>
      </c>
      <c r="J107" s="1" t="s">
        <v>105</v>
      </c>
      <c r="K107">
        <v>1.5095345E7</v>
      </c>
      <c r="L107">
        <v>1.2983433E7</v>
      </c>
      <c r="M107" t="s">
        <v>98</v>
      </c>
    </row>
    <row r="108" ht="15.75" customHeight="1">
      <c r="G108" t="s">
        <v>110</v>
      </c>
      <c r="H108" s="42" t="str">
        <f>A29</f>
        <v>F</v>
      </c>
      <c r="I108" t="s">
        <v>111</v>
      </c>
      <c r="J108" s="1" t="s">
        <v>112</v>
      </c>
      <c r="K108">
        <v>1.5323154E7</v>
      </c>
      <c r="L108">
        <v>1.3211272E7</v>
      </c>
      <c r="M108" t="s">
        <v>98</v>
      </c>
    </row>
    <row r="109" ht="15.75" customHeight="1">
      <c r="G109" t="s">
        <v>113</v>
      </c>
      <c r="H109" s="42" t="str">
        <f>A29</f>
        <v>F</v>
      </c>
      <c r="I109" t="s">
        <v>114</v>
      </c>
      <c r="J109" s="1" t="s">
        <v>112</v>
      </c>
      <c r="K109">
        <v>1.5323154E7</v>
      </c>
      <c r="L109">
        <v>1.3211272E7</v>
      </c>
      <c r="M109" t="s">
        <v>98</v>
      </c>
    </row>
    <row r="110" ht="15.75" customHeight="1">
      <c r="G110" t="s">
        <v>115</v>
      </c>
      <c r="H110" s="42" t="str">
        <f>A29</f>
        <v>F</v>
      </c>
      <c r="I110" t="s">
        <v>116</v>
      </c>
      <c r="J110" s="1" t="s">
        <v>112</v>
      </c>
      <c r="K110">
        <v>1.5323154E7</v>
      </c>
      <c r="L110">
        <v>1.3211272E7</v>
      </c>
      <c r="M110" t="s">
        <v>98</v>
      </c>
    </row>
    <row r="111" ht="15.75" customHeight="1">
      <c r="G111" t="s">
        <v>117</v>
      </c>
      <c r="H111" s="42" t="str">
        <f>A29</f>
        <v>F</v>
      </c>
      <c r="I111" t="s">
        <v>118</v>
      </c>
      <c r="J111" t="s">
        <v>119</v>
      </c>
      <c r="K111" s="43">
        <v>1.5651438E7</v>
      </c>
      <c r="L111">
        <v>1.3539558E7</v>
      </c>
      <c r="M111" t="s">
        <v>120</v>
      </c>
    </row>
    <row r="112" ht="15.75" customHeight="1">
      <c r="G112" s="44" t="s">
        <v>121</v>
      </c>
      <c r="H112" s="42" t="str">
        <f>A29</f>
        <v>F</v>
      </c>
      <c r="I112" t="s">
        <v>122</v>
      </c>
      <c r="J112" t="s">
        <v>119</v>
      </c>
      <c r="K112" s="43">
        <v>1.5651438E7</v>
      </c>
      <c r="L112">
        <v>1.3539558E7</v>
      </c>
      <c r="M112" t="s">
        <v>120</v>
      </c>
    </row>
    <row r="113" ht="15.75" customHeight="1">
      <c r="G113" t="s">
        <v>123</v>
      </c>
      <c r="H113" s="42" t="str">
        <f>A29</f>
        <v>F</v>
      </c>
      <c r="I113" t="s">
        <v>124</v>
      </c>
      <c r="J113" t="s">
        <v>119</v>
      </c>
      <c r="K113" s="43">
        <v>1.5651438E7</v>
      </c>
      <c r="L113">
        <v>1.3539558E7</v>
      </c>
      <c r="M113" t="s">
        <v>120</v>
      </c>
    </row>
    <row r="114" ht="15.75" customHeight="1">
      <c r="G114" t="s">
        <v>125</v>
      </c>
      <c r="H114" s="42" t="str">
        <f>A29</f>
        <v>F</v>
      </c>
      <c r="I114" t="s">
        <v>126</v>
      </c>
      <c r="J114" s="1" t="s">
        <v>127</v>
      </c>
      <c r="K114">
        <v>1.669078E7</v>
      </c>
      <c r="L114">
        <v>1.45789E7</v>
      </c>
      <c r="M114" t="s">
        <v>128</v>
      </c>
    </row>
    <row r="115" ht="15.75" customHeight="1">
      <c r="G115" t="s">
        <v>129</v>
      </c>
      <c r="H115" s="42" t="str">
        <f>A29</f>
        <v>F</v>
      </c>
      <c r="I115" t="s">
        <v>130</v>
      </c>
      <c r="J115" s="1" t="s">
        <v>127</v>
      </c>
      <c r="K115">
        <v>1.669078E7</v>
      </c>
      <c r="L115">
        <v>1.45789E7</v>
      </c>
      <c r="M115" t="s">
        <v>128</v>
      </c>
    </row>
    <row r="116" ht="15.75" customHeight="1">
      <c r="G116" t="s">
        <v>131</v>
      </c>
      <c r="H116" s="42" t="str">
        <f>A29</f>
        <v>F</v>
      </c>
      <c r="I116" t="s">
        <v>132</v>
      </c>
      <c r="J116" s="1" t="s">
        <v>127</v>
      </c>
      <c r="K116">
        <v>1.669078E7</v>
      </c>
      <c r="L116">
        <v>1.45789E7</v>
      </c>
      <c r="M116" t="s">
        <v>128</v>
      </c>
    </row>
    <row r="117" ht="15.75" customHeight="1">
      <c r="G117" t="s">
        <v>133</v>
      </c>
      <c r="H117" s="42" t="str">
        <f>A29</f>
        <v>F</v>
      </c>
      <c r="I117" t="s">
        <v>134</v>
      </c>
      <c r="J117" s="1" t="s">
        <v>135</v>
      </c>
      <c r="K117">
        <v>2.8650343E7</v>
      </c>
      <c r="L117">
        <v>2.6504196E7</v>
      </c>
      <c r="M117" t="s">
        <v>136</v>
      </c>
    </row>
    <row r="118" ht="15.75" customHeight="1">
      <c r="G118" t="s">
        <v>137</v>
      </c>
      <c r="H118" s="42" t="str">
        <f>A29</f>
        <v>F</v>
      </c>
      <c r="I118" t="s">
        <v>138</v>
      </c>
      <c r="J118" s="1" t="s">
        <v>135</v>
      </c>
      <c r="K118">
        <v>2.8650343E7</v>
      </c>
      <c r="L118">
        <v>2.6504196E7</v>
      </c>
      <c r="M118" t="s">
        <v>136</v>
      </c>
    </row>
    <row r="119" ht="15.75" customHeight="1">
      <c r="G119" t="s">
        <v>139</v>
      </c>
      <c r="H119" s="42" t="str">
        <f>A29</f>
        <v>F</v>
      </c>
      <c r="I119" t="s">
        <v>140</v>
      </c>
      <c r="J119" s="1" t="s">
        <v>135</v>
      </c>
      <c r="K119">
        <v>2.8650343E7</v>
      </c>
      <c r="L119">
        <v>2.6504196E7</v>
      </c>
      <c r="M119" t="s">
        <v>136</v>
      </c>
    </row>
    <row r="120" ht="15.75" customHeight="1">
      <c r="G120" t="s">
        <v>141</v>
      </c>
      <c r="H120" s="42" t="str">
        <f>A29</f>
        <v>F</v>
      </c>
      <c r="I120" t="s">
        <v>142</v>
      </c>
      <c r="J120" s="1" t="s">
        <v>143</v>
      </c>
      <c r="K120">
        <v>2722506.0</v>
      </c>
      <c r="L120">
        <v>2854465.0</v>
      </c>
      <c r="M120" t="s">
        <v>144</v>
      </c>
    </row>
    <row r="121" ht="15.75" customHeight="1">
      <c r="G121" t="s">
        <v>145</v>
      </c>
      <c r="H121" s="42" t="str">
        <f>A29</f>
        <v>F</v>
      </c>
      <c r="I121" t="s">
        <v>146</v>
      </c>
      <c r="J121" s="1" t="s">
        <v>143</v>
      </c>
      <c r="K121">
        <v>2722506.0</v>
      </c>
      <c r="L121">
        <v>2854465.0</v>
      </c>
      <c r="M121" t="s">
        <v>144</v>
      </c>
    </row>
    <row r="122" ht="15.75" customHeight="1">
      <c r="G122" t="s">
        <v>147</v>
      </c>
      <c r="H122" s="42" t="str">
        <f>A29</f>
        <v>F</v>
      </c>
      <c r="I122" t="s">
        <v>148</v>
      </c>
      <c r="J122" s="1" t="s">
        <v>143</v>
      </c>
      <c r="K122">
        <v>2722506.0</v>
      </c>
      <c r="L122">
        <v>2854465.0</v>
      </c>
      <c r="M122" t="s">
        <v>144</v>
      </c>
    </row>
    <row r="123" ht="15.75" customHeight="1">
      <c r="G123" t="s">
        <v>149</v>
      </c>
      <c r="H123" s="42" t="str">
        <f>A29</f>
        <v>F</v>
      </c>
      <c r="I123" t="s">
        <v>150</v>
      </c>
      <c r="J123" s="1" t="s">
        <v>143</v>
      </c>
      <c r="K123">
        <v>2722506.0</v>
      </c>
      <c r="L123">
        <v>2854465.0</v>
      </c>
      <c r="M123" t="s">
        <v>144</v>
      </c>
    </row>
    <row r="124" ht="15.75" customHeight="1">
      <c r="G124" t="s">
        <v>151</v>
      </c>
      <c r="H124" s="42" t="str">
        <f>A29</f>
        <v>F</v>
      </c>
      <c r="I124" t="s">
        <v>152</v>
      </c>
      <c r="J124" s="1" t="s">
        <v>153</v>
      </c>
      <c r="K124">
        <v>7671530.0</v>
      </c>
      <c r="L124">
        <v>7803489.0</v>
      </c>
      <c r="M124" t="s">
        <v>144</v>
      </c>
    </row>
    <row r="125" ht="15.75" customHeight="1">
      <c r="G125" t="s">
        <v>154</v>
      </c>
      <c r="H125" s="42" t="str">
        <f>A29</f>
        <v>F</v>
      </c>
      <c r="I125" t="s">
        <v>155</v>
      </c>
      <c r="J125" s="1" t="s">
        <v>153</v>
      </c>
      <c r="K125">
        <v>7671530.0</v>
      </c>
      <c r="L125">
        <v>7803489.0</v>
      </c>
      <c r="M125" t="s">
        <v>144</v>
      </c>
    </row>
    <row r="126" ht="15.75" customHeight="1">
      <c r="G126" t="s">
        <v>156</v>
      </c>
      <c r="H126" s="42" t="str">
        <f>A29</f>
        <v>F</v>
      </c>
      <c r="I126" t="s">
        <v>157</v>
      </c>
      <c r="J126" s="1" t="s">
        <v>153</v>
      </c>
      <c r="K126">
        <v>7671530.0</v>
      </c>
      <c r="L126">
        <v>7803489.0</v>
      </c>
      <c r="M126" t="s">
        <v>144</v>
      </c>
    </row>
    <row r="127" ht="15.75" customHeight="1">
      <c r="G127" t="s">
        <v>158</v>
      </c>
      <c r="H127" s="42" t="str">
        <f>A29</f>
        <v>F</v>
      </c>
      <c r="I127" t="s">
        <v>159</v>
      </c>
      <c r="J127" s="1" t="s">
        <v>153</v>
      </c>
      <c r="K127">
        <v>7671530.0</v>
      </c>
      <c r="L127">
        <v>7803489.0</v>
      </c>
      <c r="M127" t="s">
        <v>144</v>
      </c>
    </row>
    <row r="128" ht="15.75" customHeight="1">
      <c r="G128" t="s">
        <v>160</v>
      </c>
      <c r="H128" s="42" t="str">
        <f>A29</f>
        <v>F</v>
      </c>
      <c r="I128" t="s">
        <v>161</v>
      </c>
      <c r="J128" s="1" t="s">
        <v>162</v>
      </c>
      <c r="K128">
        <v>8442341.0</v>
      </c>
      <c r="L128">
        <v>8574300.0</v>
      </c>
      <c r="M128" t="s">
        <v>98</v>
      </c>
    </row>
    <row r="129" ht="15.75" customHeight="1">
      <c r="G129" t="s">
        <v>163</v>
      </c>
      <c r="H129" s="42" t="str">
        <f>A29</f>
        <v>F</v>
      </c>
      <c r="I129" t="s">
        <v>164</v>
      </c>
      <c r="J129" s="1" t="s">
        <v>162</v>
      </c>
      <c r="K129">
        <v>8442341.0</v>
      </c>
      <c r="L129">
        <v>8574300.0</v>
      </c>
      <c r="M129" t="s">
        <v>98</v>
      </c>
    </row>
    <row r="130" ht="15.75" customHeight="1">
      <c r="G130" t="s">
        <v>165</v>
      </c>
      <c r="H130" s="42" t="str">
        <f>A29</f>
        <v>F</v>
      </c>
      <c r="I130" t="s">
        <v>166</v>
      </c>
      <c r="J130" s="1" t="s">
        <v>162</v>
      </c>
      <c r="K130">
        <v>8442341.0</v>
      </c>
      <c r="L130">
        <v>8574300.0</v>
      </c>
      <c r="M130" t="s">
        <v>98</v>
      </c>
    </row>
    <row r="131" ht="15.75" customHeight="1">
      <c r="G131" t="s">
        <v>167</v>
      </c>
      <c r="H131" s="42" t="str">
        <f>A29</f>
        <v>F</v>
      </c>
      <c r="I131" t="s">
        <v>168</v>
      </c>
      <c r="J131" s="1" t="s">
        <v>169</v>
      </c>
      <c r="K131">
        <v>8572150.0</v>
      </c>
      <c r="L131">
        <v>8704109.0</v>
      </c>
      <c r="M131" t="s">
        <v>144</v>
      </c>
    </row>
    <row r="132" ht="15.75" customHeight="1">
      <c r="G132" t="s">
        <v>170</v>
      </c>
      <c r="H132" s="42" t="str">
        <f>A29</f>
        <v>F</v>
      </c>
      <c r="I132" t="s">
        <v>171</v>
      </c>
      <c r="J132" s="1" t="s">
        <v>169</v>
      </c>
      <c r="K132">
        <v>8572150.0</v>
      </c>
      <c r="L132">
        <v>8704109.0</v>
      </c>
      <c r="M132" t="s">
        <v>144</v>
      </c>
    </row>
    <row r="133" ht="15.75" customHeight="1">
      <c r="G133" t="s">
        <v>172</v>
      </c>
      <c r="H133" s="42" t="str">
        <f>A29</f>
        <v>F</v>
      </c>
      <c r="I133" t="s">
        <v>173</v>
      </c>
      <c r="J133" s="1" t="s">
        <v>169</v>
      </c>
      <c r="K133">
        <v>8572150.0</v>
      </c>
      <c r="L133">
        <v>8704109.0</v>
      </c>
      <c r="M133" t="s">
        <v>144</v>
      </c>
    </row>
    <row r="134" ht="15.75" customHeight="1">
      <c r="G134" t="s">
        <v>174</v>
      </c>
      <c r="H134" s="42" t="str">
        <f>A29</f>
        <v>F</v>
      </c>
      <c r="I134" t="s">
        <v>175</v>
      </c>
      <c r="J134" s="1" t="s">
        <v>176</v>
      </c>
      <c r="K134">
        <v>8589031.0</v>
      </c>
      <c r="L134">
        <v>8720990.0</v>
      </c>
      <c r="M134" t="s">
        <v>94</v>
      </c>
    </row>
    <row r="135" ht="15.75" customHeight="1">
      <c r="G135" t="s">
        <v>177</v>
      </c>
      <c r="H135" s="42" t="str">
        <f>A29</f>
        <v>F</v>
      </c>
      <c r="I135" t="s">
        <v>178</v>
      </c>
      <c r="J135" s="1" t="s">
        <v>176</v>
      </c>
      <c r="K135">
        <v>8589031.0</v>
      </c>
      <c r="L135">
        <v>8720990.0</v>
      </c>
      <c r="M135" t="s">
        <v>94</v>
      </c>
    </row>
    <row r="136" ht="15.75" customHeight="1">
      <c r="G136" t="s">
        <v>179</v>
      </c>
      <c r="H136" s="42" t="str">
        <f>A29</f>
        <v>F</v>
      </c>
      <c r="I136" t="s">
        <v>180</v>
      </c>
      <c r="J136" s="1" t="s">
        <v>176</v>
      </c>
      <c r="K136">
        <v>8589031.0</v>
      </c>
      <c r="L136">
        <v>8720990.0</v>
      </c>
      <c r="M136" t="s">
        <v>94</v>
      </c>
    </row>
    <row r="137" ht="15.75" customHeight="1">
      <c r="G137" t="s">
        <v>181</v>
      </c>
      <c r="H137" s="42" t="str">
        <f>A29</f>
        <v>F</v>
      </c>
      <c r="I137" t="s">
        <v>182</v>
      </c>
      <c r="J137" s="1" t="s">
        <v>176</v>
      </c>
      <c r="K137">
        <v>8589031.0</v>
      </c>
      <c r="L137">
        <v>8720990.0</v>
      </c>
      <c r="M137" t="s">
        <v>94</v>
      </c>
    </row>
    <row r="138" ht="15.75" customHeight="1">
      <c r="G138" t="s">
        <v>183</v>
      </c>
      <c r="H138" s="42" t="str">
        <f>A29</f>
        <v>F</v>
      </c>
      <c r="I138" t="s">
        <v>184</v>
      </c>
      <c r="J138" s="1" t="s">
        <v>185</v>
      </c>
      <c r="K138">
        <v>1.4149772E7</v>
      </c>
      <c r="L138">
        <v>1.2029066E7</v>
      </c>
      <c r="M138" t="s">
        <v>94</v>
      </c>
    </row>
    <row r="139" ht="15.75" customHeight="1">
      <c r="G139" t="s">
        <v>186</v>
      </c>
      <c r="H139" s="42" t="str">
        <f>A29</f>
        <v>F</v>
      </c>
      <c r="I139" t="s">
        <v>187</v>
      </c>
      <c r="J139" s="1" t="s">
        <v>185</v>
      </c>
      <c r="K139">
        <v>1.4149772E7</v>
      </c>
      <c r="L139">
        <v>1.2029066E7</v>
      </c>
      <c r="M139" t="s">
        <v>94</v>
      </c>
    </row>
    <row r="140" ht="15.75" customHeight="1">
      <c r="G140" t="s">
        <v>188</v>
      </c>
      <c r="H140" s="42" t="str">
        <f>A29</f>
        <v>F</v>
      </c>
      <c r="I140" t="s">
        <v>189</v>
      </c>
      <c r="J140" s="1" t="s">
        <v>185</v>
      </c>
      <c r="K140">
        <v>1.4149772E7</v>
      </c>
      <c r="L140">
        <v>1.2029066E7</v>
      </c>
      <c r="M140" t="s">
        <v>94</v>
      </c>
    </row>
    <row r="141" ht="15.75" customHeight="1">
      <c r="G141" t="s">
        <v>190</v>
      </c>
      <c r="H141" s="42" t="str">
        <f>A29</f>
        <v>F</v>
      </c>
      <c r="I141" t="s">
        <v>191</v>
      </c>
      <c r="J141" s="1" t="s">
        <v>192</v>
      </c>
      <c r="K141">
        <v>1.4171665E7</v>
      </c>
      <c r="L141">
        <v>1.2050959E7</v>
      </c>
      <c r="M141" t="s">
        <v>94</v>
      </c>
    </row>
    <row r="142" ht="15.75" customHeight="1">
      <c r="G142" t="s">
        <v>193</v>
      </c>
      <c r="H142" s="42" t="str">
        <f>A29</f>
        <v>F</v>
      </c>
      <c r="I142" t="s">
        <v>194</v>
      </c>
      <c r="J142" s="1" t="s">
        <v>192</v>
      </c>
      <c r="K142">
        <v>1.4171665E7</v>
      </c>
      <c r="L142">
        <v>1.2050959E7</v>
      </c>
      <c r="M142" t="s">
        <v>94</v>
      </c>
    </row>
    <row r="143" ht="15.75" customHeight="1">
      <c r="G143" t="s">
        <v>195</v>
      </c>
      <c r="H143" s="42" t="str">
        <f>A29</f>
        <v>F</v>
      </c>
      <c r="I143" t="s">
        <v>196</v>
      </c>
      <c r="J143" s="1" t="s">
        <v>192</v>
      </c>
      <c r="K143">
        <v>1.4171665E7</v>
      </c>
      <c r="L143">
        <v>1.2050959E7</v>
      </c>
      <c r="M143" t="s">
        <v>94</v>
      </c>
    </row>
    <row r="144" ht="15.75" customHeight="1">
      <c r="G144" t="s">
        <v>197</v>
      </c>
      <c r="H144" s="42" t="str">
        <f>A29</f>
        <v>F</v>
      </c>
      <c r="I144" t="s">
        <v>198</v>
      </c>
      <c r="J144" s="1" t="s">
        <v>199</v>
      </c>
      <c r="K144">
        <v>1.4294504E7</v>
      </c>
      <c r="L144">
        <v>1.2173798E7</v>
      </c>
      <c r="M144" t="s">
        <v>200</v>
      </c>
    </row>
    <row r="145" ht="15.75" customHeight="1">
      <c r="G145" t="s">
        <v>201</v>
      </c>
      <c r="H145" s="42" t="str">
        <f>A29</f>
        <v>F</v>
      </c>
      <c r="I145" t="s">
        <v>202</v>
      </c>
      <c r="J145" s="1" t="s">
        <v>199</v>
      </c>
      <c r="K145">
        <v>1.4294504E7</v>
      </c>
      <c r="L145">
        <v>1.2173798E7</v>
      </c>
      <c r="M145" t="s">
        <v>200</v>
      </c>
    </row>
    <row r="146" ht="15.75" customHeight="1">
      <c r="G146" t="s">
        <v>203</v>
      </c>
      <c r="H146" s="42" t="str">
        <f>A29</f>
        <v>F</v>
      </c>
      <c r="I146" t="s">
        <v>204</v>
      </c>
      <c r="J146" s="1" t="s">
        <v>199</v>
      </c>
      <c r="K146">
        <v>1.4294504E7</v>
      </c>
      <c r="L146">
        <v>1.2173798E7</v>
      </c>
      <c r="M146" t="s">
        <v>200</v>
      </c>
    </row>
    <row r="147" ht="15.75" customHeight="1">
      <c r="G147" t="s">
        <v>205</v>
      </c>
      <c r="H147" s="42" t="str">
        <f>A29</f>
        <v>F</v>
      </c>
      <c r="I147" t="s">
        <v>206</v>
      </c>
      <c r="J147" s="1" t="s">
        <v>207</v>
      </c>
      <c r="K147">
        <v>1.4334396E7</v>
      </c>
      <c r="L147">
        <v>1.2213691E7</v>
      </c>
      <c r="M147" t="s">
        <v>208</v>
      </c>
    </row>
    <row r="148" ht="15.75" customHeight="1">
      <c r="G148" t="s">
        <v>209</v>
      </c>
      <c r="H148" s="42" t="str">
        <f>A29</f>
        <v>F</v>
      </c>
      <c r="I148" t="s">
        <v>210</v>
      </c>
      <c r="J148" s="1" t="s">
        <v>207</v>
      </c>
      <c r="K148">
        <v>1.4334396E7</v>
      </c>
      <c r="L148">
        <v>1.2213691E7</v>
      </c>
      <c r="M148" t="s">
        <v>208</v>
      </c>
    </row>
    <row r="149" ht="15.75" customHeight="1">
      <c r="G149" t="s">
        <v>211</v>
      </c>
      <c r="H149" s="42" t="str">
        <f>A29</f>
        <v>F</v>
      </c>
      <c r="I149" t="s">
        <v>212</v>
      </c>
      <c r="J149" s="1" t="s">
        <v>207</v>
      </c>
      <c r="K149">
        <v>1.4334396E7</v>
      </c>
      <c r="L149">
        <v>1.2213691E7</v>
      </c>
      <c r="M149" t="s">
        <v>208</v>
      </c>
    </row>
    <row r="150" ht="15.75" customHeight="1">
      <c r="G150" t="s">
        <v>213</v>
      </c>
      <c r="H150" s="42" t="str">
        <f>A29</f>
        <v>F</v>
      </c>
      <c r="I150" t="s">
        <v>214</v>
      </c>
      <c r="J150" s="1" t="s">
        <v>215</v>
      </c>
      <c r="K150">
        <v>1.5955432E7</v>
      </c>
      <c r="L150">
        <v>1.3843552E7</v>
      </c>
      <c r="M150" t="s">
        <v>120</v>
      </c>
    </row>
    <row r="151" ht="15.75" customHeight="1">
      <c r="G151" t="s">
        <v>216</v>
      </c>
      <c r="H151" s="42" t="str">
        <f>A29</f>
        <v>F</v>
      </c>
      <c r="I151" t="s">
        <v>217</v>
      </c>
      <c r="J151" s="1" t="s">
        <v>215</v>
      </c>
      <c r="K151">
        <v>1.5955432E7</v>
      </c>
      <c r="L151">
        <v>1.3843552E7</v>
      </c>
      <c r="M151" t="s">
        <v>120</v>
      </c>
    </row>
    <row r="152" ht="15.75" customHeight="1">
      <c r="G152" t="s">
        <v>218</v>
      </c>
      <c r="H152" s="42" t="str">
        <f>A29</f>
        <v>F</v>
      </c>
      <c r="I152" t="s">
        <v>219</v>
      </c>
      <c r="J152" s="1" t="s">
        <v>215</v>
      </c>
      <c r="K152">
        <v>1.5955432E7</v>
      </c>
      <c r="L152">
        <v>1.3843552E7</v>
      </c>
      <c r="M152" t="s">
        <v>120</v>
      </c>
    </row>
    <row r="153" ht="15.75" customHeight="1">
      <c r="G153" t="s">
        <v>220</v>
      </c>
      <c r="H153" s="42" t="str">
        <f>A29</f>
        <v>F</v>
      </c>
      <c r="I153" t="s">
        <v>221</v>
      </c>
      <c r="J153" s="1" t="s">
        <v>215</v>
      </c>
      <c r="K153">
        <v>1.5955432E7</v>
      </c>
      <c r="L153">
        <v>1.3843552E7</v>
      </c>
      <c r="M153" t="s">
        <v>120</v>
      </c>
    </row>
    <row r="154" ht="15.75" customHeight="1">
      <c r="G154" t="s">
        <v>222</v>
      </c>
      <c r="H154" s="42" t="str">
        <f>A29</f>
        <v>F</v>
      </c>
      <c r="I154" t="s">
        <v>223</v>
      </c>
      <c r="J154" s="1" t="s">
        <v>224</v>
      </c>
      <c r="K154">
        <v>1.6178042E7</v>
      </c>
      <c r="L154">
        <v>1.4066162E7</v>
      </c>
      <c r="M154" t="s">
        <v>120</v>
      </c>
    </row>
    <row r="155" ht="15.75" customHeight="1">
      <c r="G155" t="s">
        <v>223</v>
      </c>
      <c r="H155" s="42" t="str">
        <f>A29</f>
        <v>F</v>
      </c>
      <c r="I155" t="s">
        <v>222</v>
      </c>
      <c r="J155" s="1" t="s">
        <v>224</v>
      </c>
      <c r="K155">
        <v>1.6178042E7</v>
      </c>
      <c r="L155">
        <v>1.4066162E7</v>
      </c>
      <c r="M155" t="s">
        <v>120</v>
      </c>
    </row>
    <row r="156" ht="15.75" customHeight="1">
      <c r="G156" t="s">
        <v>225</v>
      </c>
      <c r="H156" s="42" t="str">
        <f>A29</f>
        <v>F</v>
      </c>
      <c r="I156" t="s">
        <v>226</v>
      </c>
      <c r="J156" s="1" t="s">
        <v>227</v>
      </c>
      <c r="K156">
        <v>1.6364286E7</v>
      </c>
      <c r="L156">
        <v>1.4252406E7</v>
      </c>
      <c r="M156" t="s">
        <v>228</v>
      </c>
    </row>
    <row r="157" ht="15.75" customHeight="1">
      <c r="G157" t="s">
        <v>226</v>
      </c>
      <c r="H157" s="42" t="str">
        <f>A29</f>
        <v>F</v>
      </c>
      <c r="I157" t="s">
        <v>225</v>
      </c>
      <c r="J157" s="1" t="s">
        <v>227</v>
      </c>
      <c r="K157">
        <v>1.6364286E7</v>
      </c>
      <c r="L157">
        <v>1.4252406E7</v>
      </c>
      <c r="M157" t="s">
        <v>228</v>
      </c>
    </row>
    <row r="158" ht="15.75" customHeight="1">
      <c r="G158" t="s">
        <v>229</v>
      </c>
      <c r="H158" s="42" t="str">
        <f>A29</f>
        <v>F</v>
      </c>
      <c r="I158" t="s">
        <v>230</v>
      </c>
      <c r="J158" s="1" t="s">
        <v>231</v>
      </c>
      <c r="K158">
        <v>1.6401339E7</v>
      </c>
      <c r="L158">
        <v>1.4289459E7</v>
      </c>
      <c r="M158" t="s">
        <v>94</v>
      </c>
    </row>
    <row r="159" ht="15.75" customHeight="1">
      <c r="G159" t="s">
        <v>232</v>
      </c>
      <c r="H159" s="42" t="str">
        <f>A29</f>
        <v>F</v>
      </c>
      <c r="I159" t="s">
        <v>233</v>
      </c>
      <c r="J159" s="1" t="s">
        <v>231</v>
      </c>
      <c r="K159">
        <v>1.6401339E7</v>
      </c>
      <c r="L159">
        <v>1.4289459E7</v>
      </c>
      <c r="M159" t="s">
        <v>94</v>
      </c>
    </row>
    <row r="160" ht="15.75" customHeight="1">
      <c r="G160" t="s">
        <v>234</v>
      </c>
      <c r="H160" s="42" t="str">
        <f>A29</f>
        <v>F</v>
      </c>
      <c r="I160" t="s">
        <v>235</v>
      </c>
      <c r="J160" s="1" t="s">
        <v>231</v>
      </c>
      <c r="K160">
        <v>1.6401339E7</v>
      </c>
      <c r="L160">
        <v>1.4289459E7</v>
      </c>
      <c r="M160" t="s">
        <v>94</v>
      </c>
    </row>
    <row r="161" ht="15.75" customHeight="1">
      <c r="G161" t="s">
        <v>236</v>
      </c>
      <c r="H161" s="42" t="str">
        <f>A29</f>
        <v>F</v>
      </c>
      <c r="I161" t="s">
        <v>237</v>
      </c>
      <c r="J161" s="1" t="s">
        <v>238</v>
      </c>
      <c r="K161">
        <v>1.7152659E7</v>
      </c>
      <c r="L161">
        <v>1.5040779E7</v>
      </c>
      <c r="M161" t="s">
        <v>128</v>
      </c>
    </row>
    <row r="162" ht="15.75" customHeight="1">
      <c r="G162" t="s">
        <v>239</v>
      </c>
      <c r="H162" s="42" t="str">
        <f>A29</f>
        <v>F</v>
      </c>
      <c r="I162" t="s">
        <v>240</v>
      </c>
      <c r="J162" s="1" t="s">
        <v>238</v>
      </c>
      <c r="K162">
        <v>1.7152659E7</v>
      </c>
      <c r="L162">
        <v>1.5040779E7</v>
      </c>
      <c r="M162" t="s">
        <v>128</v>
      </c>
    </row>
    <row r="163" ht="15.75" customHeight="1">
      <c r="G163" t="s">
        <v>241</v>
      </c>
      <c r="H163" s="42" t="str">
        <f>A29</f>
        <v>F</v>
      </c>
      <c r="I163" t="s">
        <v>242</v>
      </c>
      <c r="J163" s="1" t="s">
        <v>238</v>
      </c>
      <c r="K163">
        <v>1.7152659E7</v>
      </c>
      <c r="L163">
        <v>1.5040779E7</v>
      </c>
      <c r="M163" t="s">
        <v>128</v>
      </c>
    </row>
    <row r="164" ht="15.75" customHeight="1">
      <c r="G164" t="s">
        <v>243</v>
      </c>
      <c r="H164" s="42" t="str">
        <f>A29</f>
        <v>F</v>
      </c>
      <c r="I164" t="s">
        <v>244</v>
      </c>
      <c r="J164" s="1" t="s">
        <v>245</v>
      </c>
      <c r="K164">
        <v>1.7762668E7</v>
      </c>
      <c r="L164">
        <v>1.5650788E7</v>
      </c>
      <c r="M164" t="s">
        <v>128</v>
      </c>
    </row>
    <row r="165" ht="15.75" customHeight="1">
      <c r="G165" t="s">
        <v>246</v>
      </c>
      <c r="H165" s="42" t="str">
        <f>A29</f>
        <v>F</v>
      </c>
      <c r="I165" t="s">
        <v>247</v>
      </c>
      <c r="J165" s="1" t="s">
        <v>245</v>
      </c>
      <c r="K165">
        <v>1.7762668E7</v>
      </c>
      <c r="L165">
        <v>1.5650788E7</v>
      </c>
      <c r="M165" t="s">
        <v>128</v>
      </c>
    </row>
    <row r="166" ht="15.75" customHeight="1">
      <c r="G166" t="s">
        <v>248</v>
      </c>
      <c r="H166" s="42" t="str">
        <f>A29</f>
        <v>F</v>
      </c>
      <c r="I166" t="s">
        <v>249</v>
      </c>
      <c r="J166" s="1" t="s">
        <v>245</v>
      </c>
      <c r="K166">
        <v>1.7762668E7</v>
      </c>
      <c r="L166">
        <v>1.5650788E7</v>
      </c>
      <c r="M166" t="s">
        <v>128</v>
      </c>
    </row>
    <row r="167" ht="15.75" customHeight="1">
      <c r="G167" t="s">
        <v>250</v>
      </c>
      <c r="H167" s="42" t="str">
        <f>A29</f>
        <v>F</v>
      </c>
      <c r="I167" t="s">
        <v>251</v>
      </c>
      <c r="J167" s="1" t="s">
        <v>245</v>
      </c>
      <c r="K167">
        <v>1.7762668E7</v>
      </c>
      <c r="L167">
        <v>1.5650788E7</v>
      </c>
      <c r="M167" t="s">
        <v>128</v>
      </c>
    </row>
    <row r="168" ht="15.75" customHeight="1">
      <c r="G168" t="s">
        <v>252</v>
      </c>
      <c r="H168" s="42" t="str">
        <f>A29</f>
        <v>F</v>
      </c>
      <c r="I168" t="s">
        <v>253</v>
      </c>
      <c r="J168" s="1" t="s">
        <v>254</v>
      </c>
      <c r="K168">
        <v>1.8051289E7</v>
      </c>
      <c r="L168">
        <v>1.5939409E7</v>
      </c>
      <c r="M168" t="s">
        <v>136</v>
      </c>
    </row>
    <row r="169" ht="15.75" customHeight="1">
      <c r="G169" t="s">
        <v>255</v>
      </c>
      <c r="H169" s="42" t="str">
        <f>A29</f>
        <v>F</v>
      </c>
      <c r="I169" t="s">
        <v>256</v>
      </c>
      <c r="J169" s="1" t="s">
        <v>254</v>
      </c>
      <c r="K169">
        <v>1.8051289E7</v>
      </c>
      <c r="L169">
        <v>1.5939409E7</v>
      </c>
      <c r="M169" t="s">
        <v>136</v>
      </c>
    </row>
    <row r="170" ht="15.75" customHeight="1">
      <c r="G170" t="s">
        <v>257</v>
      </c>
      <c r="H170" s="42" t="str">
        <f>A29</f>
        <v>F</v>
      </c>
      <c r="I170" t="s">
        <v>258</v>
      </c>
      <c r="J170" s="1" t="s">
        <v>254</v>
      </c>
      <c r="K170">
        <v>1.8051289E7</v>
      </c>
      <c r="L170">
        <v>1.5939409E7</v>
      </c>
      <c r="M170" t="s">
        <v>136</v>
      </c>
    </row>
    <row r="171" ht="15.75" customHeight="1">
      <c r="G171" t="s">
        <v>259</v>
      </c>
      <c r="H171" s="42" t="str">
        <f>A29</f>
        <v>F</v>
      </c>
      <c r="I171" t="s">
        <v>260</v>
      </c>
      <c r="J171" s="1" t="s">
        <v>261</v>
      </c>
      <c r="K171">
        <v>1.8765649E7</v>
      </c>
      <c r="L171">
        <v>1.6653769E7</v>
      </c>
      <c r="M171" t="s">
        <v>128</v>
      </c>
    </row>
    <row r="172" ht="15.75" customHeight="1">
      <c r="G172" t="s">
        <v>262</v>
      </c>
      <c r="H172" s="42" t="str">
        <f>A29</f>
        <v>F</v>
      </c>
      <c r="I172" t="s">
        <v>263</v>
      </c>
      <c r="J172" s="1" t="s">
        <v>261</v>
      </c>
      <c r="K172">
        <v>1.8765649E7</v>
      </c>
      <c r="L172">
        <v>1.6653769E7</v>
      </c>
      <c r="M172" t="s">
        <v>128</v>
      </c>
    </row>
    <row r="173" ht="15.75" customHeight="1">
      <c r="G173" t="s">
        <v>264</v>
      </c>
      <c r="H173" s="42" t="str">
        <f>A29</f>
        <v>F</v>
      </c>
      <c r="I173" t="s">
        <v>265</v>
      </c>
      <c r="J173" s="1" t="s">
        <v>261</v>
      </c>
      <c r="K173">
        <v>1.8765649E7</v>
      </c>
      <c r="L173">
        <v>1.6653769E7</v>
      </c>
      <c r="M173" t="s">
        <v>128</v>
      </c>
    </row>
    <row r="174" ht="15.75" customHeight="1">
      <c r="G174" t="s">
        <v>266</v>
      </c>
      <c r="H174" s="42" t="str">
        <f>A29</f>
        <v>F</v>
      </c>
      <c r="I174" t="s">
        <v>267</v>
      </c>
      <c r="J174" s="1" t="s">
        <v>268</v>
      </c>
      <c r="K174">
        <v>1.9220444E7</v>
      </c>
      <c r="L174">
        <v>1.7108564E7</v>
      </c>
      <c r="M174" t="s">
        <v>98</v>
      </c>
    </row>
    <row r="175" ht="15.75" customHeight="1">
      <c r="G175" t="s">
        <v>269</v>
      </c>
      <c r="H175" s="42" t="str">
        <f>A29</f>
        <v>F</v>
      </c>
      <c r="I175" t="s">
        <v>270</v>
      </c>
      <c r="J175" s="1" t="s">
        <v>268</v>
      </c>
      <c r="K175">
        <v>1.9220444E7</v>
      </c>
      <c r="L175">
        <v>1.7108564E7</v>
      </c>
      <c r="M175" t="s">
        <v>98</v>
      </c>
    </row>
    <row r="176" ht="15.75" customHeight="1">
      <c r="G176" t="s">
        <v>271</v>
      </c>
      <c r="H176" s="42" t="str">
        <f>A29</f>
        <v>F</v>
      </c>
      <c r="I176" t="s">
        <v>272</v>
      </c>
      <c r="J176" s="1" t="s">
        <v>268</v>
      </c>
      <c r="K176">
        <v>1.9220444E7</v>
      </c>
      <c r="L176">
        <v>1.7108564E7</v>
      </c>
      <c r="M176" t="s">
        <v>98</v>
      </c>
    </row>
    <row r="177" ht="15.75" customHeight="1">
      <c r="G177" t="s">
        <v>273</v>
      </c>
      <c r="H177" s="42" t="str">
        <f>A29</f>
        <v>F</v>
      </c>
      <c r="I177" t="s">
        <v>274</v>
      </c>
      <c r="J177" s="1" t="s">
        <v>275</v>
      </c>
      <c r="K177">
        <v>1.9237093E7</v>
      </c>
      <c r="L177">
        <v>1.7125213E7</v>
      </c>
      <c r="M177" t="s">
        <v>208</v>
      </c>
    </row>
    <row r="178" ht="15.75" customHeight="1">
      <c r="G178" t="s">
        <v>276</v>
      </c>
      <c r="H178" s="42" t="str">
        <f>A29</f>
        <v>F</v>
      </c>
      <c r="I178" t="s">
        <v>277</v>
      </c>
      <c r="J178" s="1" t="s">
        <v>275</v>
      </c>
      <c r="K178">
        <v>1.9237093E7</v>
      </c>
      <c r="L178">
        <v>1.7125213E7</v>
      </c>
      <c r="M178" t="s">
        <v>208</v>
      </c>
    </row>
    <row r="179" ht="15.75" customHeight="1">
      <c r="G179" t="s">
        <v>278</v>
      </c>
      <c r="H179" s="42" t="str">
        <f>A29</f>
        <v>F</v>
      </c>
      <c r="I179" t="s">
        <v>279</v>
      </c>
      <c r="J179" s="1" t="s">
        <v>275</v>
      </c>
      <c r="K179">
        <v>1.9237093E7</v>
      </c>
      <c r="L179">
        <v>1.7125213E7</v>
      </c>
      <c r="M179" t="s">
        <v>208</v>
      </c>
    </row>
    <row r="180" ht="15.75" customHeight="1">
      <c r="G180" t="s">
        <v>280</v>
      </c>
      <c r="H180" s="42" t="str">
        <f>A29</f>
        <v>F</v>
      </c>
      <c r="I180" t="s">
        <v>281</v>
      </c>
      <c r="J180" s="1" t="s">
        <v>275</v>
      </c>
      <c r="K180">
        <v>1.9237093E7</v>
      </c>
      <c r="L180">
        <v>1.7125213E7</v>
      </c>
      <c r="M180" t="s">
        <v>208</v>
      </c>
    </row>
    <row r="181" ht="15.75" customHeight="1">
      <c r="G181" t="s">
        <v>282</v>
      </c>
      <c r="H181" s="42" t="str">
        <f>A29</f>
        <v>F</v>
      </c>
      <c r="I181" t="s">
        <v>283</v>
      </c>
      <c r="J181" s="1" t="s">
        <v>284</v>
      </c>
      <c r="K181">
        <v>2.1080707E7</v>
      </c>
      <c r="L181">
        <v>1.8918821E7</v>
      </c>
      <c r="M181" t="s">
        <v>98</v>
      </c>
    </row>
    <row r="182" ht="15.75" customHeight="1">
      <c r="G182" t="s">
        <v>285</v>
      </c>
      <c r="H182" s="42" t="str">
        <f>A29</f>
        <v>F</v>
      </c>
      <c r="I182" t="s">
        <v>286</v>
      </c>
      <c r="J182" s="1" t="s">
        <v>284</v>
      </c>
      <c r="K182">
        <v>2.1080707E7</v>
      </c>
      <c r="L182">
        <v>1.8918821E7</v>
      </c>
      <c r="M182" t="s">
        <v>98</v>
      </c>
    </row>
    <row r="183" ht="15.75" customHeight="1">
      <c r="G183" t="s">
        <v>287</v>
      </c>
      <c r="H183" s="42" t="str">
        <f>A29</f>
        <v>F</v>
      </c>
      <c r="I183" t="s">
        <v>288</v>
      </c>
      <c r="J183" s="1" t="s">
        <v>284</v>
      </c>
      <c r="K183">
        <v>2.1080707E7</v>
      </c>
      <c r="L183">
        <v>1.8918821E7</v>
      </c>
      <c r="M183" t="s">
        <v>98</v>
      </c>
    </row>
    <row r="184" ht="15.75" customHeight="1">
      <c r="G184" t="s">
        <v>289</v>
      </c>
      <c r="H184" s="42" t="str">
        <f>A29</f>
        <v>F</v>
      </c>
      <c r="I184" t="s">
        <v>290</v>
      </c>
      <c r="J184" s="1" t="s">
        <v>291</v>
      </c>
      <c r="K184">
        <v>2.1147336E7</v>
      </c>
      <c r="L184">
        <v>1.898545E7</v>
      </c>
      <c r="M184" t="s">
        <v>128</v>
      </c>
    </row>
    <row r="185" ht="15.75" customHeight="1">
      <c r="G185" t="s">
        <v>292</v>
      </c>
      <c r="H185" s="42" t="str">
        <f>A29</f>
        <v>F</v>
      </c>
      <c r="I185" t="s">
        <v>293</v>
      </c>
      <c r="J185" s="1" t="s">
        <v>291</v>
      </c>
      <c r="K185">
        <v>2.1147336E7</v>
      </c>
      <c r="L185">
        <v>1.898545E7</v>
      </c>
      <c r="M185" t="s">
        <v>128</v>
      </c>
    </row>
    <row r="186" ht="15.75" customHeight="1">
      <c r="G186" t="s">
        <v>294</v>
      </c>
      <c r="H186" s="42" t="str">
        <f>A29</f>
        <v>F</v>
      </c>
      <c r="I186" t="s">
        <v>295</v>
      </c>
      <c r="J186" s="1" t="s">
        <v>291</v>
      </c>
      <c r="K186">
        <v>2.1147336E7</v>
      </c>
      <c r="L186">
        <v>1.898545E7</v>
      </c>
      <c r="M186" t="s">
        <v>128</v>
      </c>
    </row>
    <row r="187" ht="15.75" customHeight="1">
      <c r="G187" t="s">
        <v>296</v>
      </c>
      <c r="H187" s="42" t="str">
        <f>A29</f>
        <v>F</v>
      </c>
      <c r="I187" t="s">
        <v>297</v>
      </c>
      <c r="J187" s="1" t="s">
        <v>298</v>
      </c>
      <c r="K187">
        <v>2.2673903E7</v>
      </c>
      <c r="L187">
        <v>2.0512017E7</v>
      </c>
      <c r="M187" t="s">
        <v>200</v>
      </c>
    </row>
    <row r="188" ht="15.75" customHeight="1">
      <c r="G188" t="s">
        <v>299</v>
      </c>
      <c r="H188" s="42" t="str">
        <f>A29</f>
        <v>F</v>
      </c>
      <c r="I188" t="s">
        <v>300</v>
      </c>
      <c r="J188" s="1" t="s">
        <v>298</v>
      </c>
      <c r="K188">
        <v>2.2673903E7</v>
      </c>
      <c r="L188">
        <v>2.0512017E7</v>
      </c>
      <c r="M188" t="s">
        <v>200</v>
      </c>
    </row>
    <row r="189" ht="15.75" customHeight="1">
      <c r="G189" t="s">
        <v>301</v>
      </c>
      <c r="H189" s="42" t="str">
        <f>A29</f>
        <v>F</v>
      </c>
      <c r="I189" t="s">
        <v>302</v>
      </c>
      <c r="J189" s="1" t="s">
        <v>298</v>
      </c>
      <c r="K189">
        <v>2.2673903E7</v>
      </c>
      <c r="L189">
        <v>2.0512017E7</v>
      </c>
      <c r="M189" t="s">
        <v>200</v>
      </c>
    </row>
    <row r="190" ht="15.75" customHeight="1">
      <c r="G190" t="s">
        <v>303</v>
      </c>
      <c r="H190" s="42" t="str">
        <f>A29</f>
        <v>F</v>
      </c>
      <c r="I190" t="s">
        <v>304</v>
      </c>
      <c r="J190" s="1" t="s">
        <v>305</v>
      </c>
      <c r="K190">
        <v>8131538.0</v>
      </c>
      <c r="L190">
        <v>8263497.0</v>
      </c>
      <c r="M190" t="s">
        <v>208</v>
      </c>
    </row>
    <row r="191" ht="15.75" customHeight="1">
      <c r="G191" t="s">
        <v>304</v>
      </c>
      <c r="H191" s="42" t="str">
        <f>A29</f>
        <v>F</v>
      </c>
      <c r="I191" t="s">
        <v>303</v>
      </c>
      <c r="J191" s="1" t="s">
        <v>305</v>
      </c>
      <c r="K191">
        <v>8131538.0</v>
      </c>
      <c r="L191">
        <v>8263497.0</v>
      </c>
      <c r="M191" t="s">
        <v>208</v>
      </c>
    </row>
    <row r="192" ht="15.75" customHeight="1">
      <c r="G192" t="s">
        <v>306</v>
      </c>
      <c r="H192" s="42" t="str">
        <f>A29</f>
        <v>F</v>
      </c>
      <c r="J192" t="s">
        <v>307</v>
      </c>
      <c r="K192">
        <v>1.7464197E7</v>
      </c>
      <c r="L192">
        <v>1.5352317E7</v>
      </c>
      <c r="M192" t="s">
        <v>128</v>
      </c>
    </row>
    <row r="193" ht="15.75" customHeight="1">
      <c r="G193" t="s">
        <v>308</v>
      </c>
      <c r="H193" s="42" t="str">
        <f>A29</f>
        <v>F</v>
      </c>
      <c r="I193" t="s">
        <v>309</v>
      </c>
      <c r="J193" s="1" t="s">
        <v>310</v>
      </c>
      <c r="K193">
        <v>1.636831E7</v>
      </c>
      <c r="L193">
        <v>1.425643E7</v>
      </c>
      <c r="M193" t="s">
        <v>98</v>
      </c>
    </row>
    <row r="194" ht="15.75" customHeight="1">
      <c r="G194" t="s">
        <v>311</v>
      </c>
      <c r="H194" s="42" t="str">
        <f>A29</f>
        <v>F</v>
      </c>
      <c r="I194" t="s">
        <v>312</v>
      </c>
      <c r="J194" s="1" t="s">
        <v>310</v>
      </c>
      <c r="K194">
        <v>1.636831E7</v>
      </c>
      <c r="L194">
        <v>1.425643E7</v>
      </c>
      <c r="M194" t="s">
        <v>98</v>
      </c>
    </row>
    <row r="195" ht="15.75" customHeight="1">
      <c r="G195" t="s">
        <v>313</v>
      </c>
      <c r="H195" s="42" t="str">
        <f>A29</f>
        <v>F</v>
      </c>
      <c r="I195" t="s">
        <v>314</v>
      </c>
      <c r="J195" s="1" t="s">
        <v>310</v>
      </c>
      <c r="K195">
        <v>1.636831E7</v>
      </c>
      <c r="L195">
        <v>1.425643E7</v>
      </c>
      <c r="M195" t="s">
        <v>98</v>
      </c>
    </row>
    <row r="196" ht="15.75" customHeight="1">
      <c r="G196" t="s">
        <v>315</v>
      </c>
      <c r="H196" s="42" t="str">
        <f>A29</f>
        <v>F</v>
      </c>
      <c r="I196" t="s">
        <v>316</v>
      </c>
      <c r="J196" s="1" t="s">
        <v>317</v>
      </c>
      <c r="K196" s="45">
        <v>1.9205814E7</v>
      </c>
      <c r="L196" s="45">
        <v>1.7093934E7</v>
      </c>
      <c r="M196" s="46" t="s">
        <v>120</v>
      </c>
    </row>
    <row r="197" ht="15.75" customHeight="1">
      <c r="G197" t="s">
        <v>318</v>
      </c>
      <c r="H197" s="42" t="str">
        <f>A29</f>
        <v>F</v>
      </c>
      <c r="I197" t="s">
        <v>319</v>
      </c>
      <c r="J197" s="1" t="s">
        <v>317</v>
      </c>
      <c r="K197" s="45">
        <v>1.9205814E7</v>
      </c>
      <c r="L197" s="45">
        <v>1.7093934E7</v>
      </c>
      <c r="M197" s="46" t="s">
        <v>120</v>
      </c>
    </row>
    <row r="198" ht="15.75" customHeight="1">
      <c r="G198" t="s">
        <v>320</v>
      </c>
      <c r="H198" s="42" t="str">
        <f>A29</f>
        <v>F</v>
      </c>
      <c r="I198" t="s">
        <v>321</v>
      </c>
      <c r="J198" s="1" t="s">
        <v>317</v>
      </c>
      <c r="K198" s="45">
        <v>1.9205814E7</v>
      </c>
      <c r="L198" s="45">
        <v>1.7093934E7</v>
      </c>
      <c r="M198" s="46" t="s">
        <v>120</v>
      </c>
    </row>
    <row r="199" ht="15.75" customHeight="1">
      <c r="G199" t="s">
        <v>322</v>
      </c>
      <c r="H199" s="42" t="str">
        <f>A29</f>
        <v>F</v>
      </c>
      <c r="I199" t="s">
        <v>323</v>
      </c>
      <c r="J199" s="1" t="s">
        <v>324</v>
      </c>
      <c r="K199" s="45">
        <v>2.1811276E7</v>
      </c>
      <c r="L199" s="45">
        <v>1.964939E7</v>
      </c>
      <c r="M199" s="46" t="s">
        <v>94</v>
      </c>
    </row>
    <row r="200" ht="15.75" customHeight="1">
      <c r="G200" t="s">
        <v>325</v>
      </c>
      <c r="H200" s="42" t="str">
        <f>A29</f>
        <v>F</v>
      </c>
      <c r="I200" t="s">
        <v>326</v>
      </c>
      <c r="J200" s="1" t="s">
        <v>324</v>
      </c>
      <c r="K200" s="45">
        <v>2.1811276E7</v>
      </c>
      <c r="L200" s="45">
        <v>1.964939E7</v>
      </c>
      <c r="M200" s="46" t="s">
        <v>94</v>
      </c>
    </row>
    <row r="201" ht="15.75" customHeight="1">
      <c r="G201" t="s">
        <v>327</v>
      </c>
      <c r="H201" s="42" t="str">
        <f>A29</f>
        <v>F</v>
      </c>
      <c r="I201" t="s">
        <v>328</v>
      </c>
      <c r="J201" s="1" t="s">
        <v>324</v>
      </c>
      <c r="K201" s="45">
        <v>2.1811276E7</v>
      </c>
      <c r="L201" s="45">
        <v>1.964939E7</v>
      </c>
      <c r="M201" s="46" t="s">
        <v>94</v>
      </c>
    </row>
    <row r="202" ht="15.75" customHeight="1">
      <c r="G202" t="s">
        <v>329</v>
      </c>
      <c r="H202" s="42" t="str">
        <f>A29</f>
        <v>F</v>
      </c>
      <c r="I202" t="s">
        <v>330</v>
      </c>
      <c r="J202" s="46" t="s">
        <v>331</v>
      </c>
      <c r="K202" s="45">
        <v>1.5526751E7</v>
      </c>
      <c r="L202" s="45">
        <v>1.3414871E7</v>
      </c>
      <c r="M202" s="46" t="s">
        <v>128</v>
      </c>
    </row>
    <row r="203" ht="15.75" customHeight="1">
      <c r="G203" t="s">
        <v>332</v>
      </c>
      <c r="H203" s="42" t="str">
        <f>A29</f>
        <v>F</v>
      </c>
      <c r="I203" t="s">
        <v>333</v>
      </c>
      <c r="J203" s="46" t="s">
        <v>331</v>
      </c>
      <c r="K203" s="45">
        <v>1.5526751E7</v>
      </c>
      <c r="L203" s="45">
        <v>1.3414871E7</v>
      </c>
      <c r="M203" s="46" t="s">
        <v>128</v>
      </c>
    </row>
    <row r="204" ht="15.75" customHeight="1">
      <c r="G204" t="s">
        <v>334</v>
      </c>
      <c r="H204" s="42" t="str">
        <f>A29</f>
        <v>F</v>
      </c>
      <c r="I204" t="s">
        <v>335</v>
      </c>
      <c r="J204" s="46" t="s">
        <v>331</v>
      </c>
      <c r="K204" s="45">
        <v>1.5526751E7</v>
      </c>
      <c r="L204" s="45">
        <v>1.3414871E7</v>
      </c>
      <c r="M204" s="46" t="s">
        <v>128</v>
      </c>
    </row>
    <row r="205" ht="15.75" customHeight="1">
      <c r="G205" t="s">
        <v>336</v>
      </c>
      <c r="H205" s="42" t="str">
        <f>A29</f>
        <v>F</v>
      </c>
      <c r="I205" t="s">
        <v>337</v>
      </c>
      <c r="J205" s="46" t="s">
        <v>331</v>
      </c>
      <c r="K205" s="45">
        <v>1.5526751E7</v>
      </c>
      <c r="L205" s="45">
        <v>1.3414871E7</v>
      </c>
      <c r="M205" s="46" t="s">
        <v>128</v>
      </c>
    </row>
    <row r="206" ht="15.75" customHeight="1">
      <c r="G206" t="s">
        <v>338</v>
      </c>
      <c r="H206" s="42" t="str">
        <f>A29</f>
        <v>F</v>
      </c>
      <c r="I206" t="s">
        <v>339</v>
      </c>
      <c r="J206" s="46" t="s">
        <v>340</v>
      </c>
      <c r="K206" s="45">
        <v>1.483262E7</v>
      </c>
      <c r="L206" s="45">
        <v>1.2720687E7</v>
      </c>
      <c r="M206" s="46" t="s">
        <v>200</v>
      </c>
    </row>
    <row r="207" ht="15.75" customHeight="1">
      <c r="G207" t="s">
        <v>341</v>
      </c>
      <c r="H207" s="42" t="str">
        <f>A29</f>
        <v>F</v>
      </c>
      <c r="I207" t="s">
        <v>342</v>
      </c>
      <c r="J207" s="46" t="s">
        <v>340</v>
      </c>
      <c r="K207" s="45">
        <v>1.483262E7</v>
      </c>
      <c r="L207" s="45">
        <v>1.2720687E7</v>
      </c>
      <c r="M207" s="46" t="s">
        <v>200</v>
      </c>
    </row>
    <row r="208" ht="15.75" customHeight="1">
      <c r="G208" t="s">
        <v>343</v>
      </c>
      <c r="H208" s="42" t="str">
        <f>A29</f>
        <v>F</v>
      </c>
      <c r="I208" t="s">
        <v>344</v>
      </c>
      <c r="J208" s="46" t="s">
        <v>340</v>
      </c>
      <c r="K208" s="45">
        <v>1.483262E7</v>
      </c>
      <c r="L208" s="45">
        <v>1.2720687E7</v>
      </c>
      <c r="M208" s="46" t="s">
        <v>200</v>
      </c>
    </row>
    <row r="209" ht="15.75" customHeight="1">
      <c r="G209" t="s">
        <v>345</v>
      </c>
      <c r="H209" s="42" t="str">
        <f>A29</f>
        <v>F</v>
      </c>
      <c r="I209" t="s">
        <v>346</v>
      </c>
      <c r="J209" s="1" t="s">
        <v>347</v>
      </c>
      <c r="K209" s="45">
        <v>2756471.0</v>
      </c>
      <c r="L209" s="45">
        <v>2888430.0</v>
      </c>
      <c r="M209" s="46" t="s">
        <v>120</v>
      </c>
    </row>
    <row r="210" ht="15.75" customHeight="1">
      <c r="G210" t="s">
        <v>348</v>
      </c>
      <c r="H210" s="42" t="str">
        <f>A29</f>
        <v>F</v>
      </c>
      <c r="I210" t="s">
        <v>349</v>
      </c>
      <c r="J210" s="1" t="s">
        <v>347</v>
      </c>
      <c r="K210" s="45">
        <v>2756471.0</v>
      </c>
      <c r="L210" s="45">
        <v>2888430.0</v>
      </c>
      <c r="M210" s="46" t="s">
        <v>120</v>
      </c>
    </row>
    <row r="211" ht="15.75" customHeight="1">
      <c r="G211" t="s">
        <v>350</v>
      </c>
      <c r="H211" s="42" t="str">
        <f>A29</f>
        <v>F</v>
      </c>
      <c r="I211" t="s">
        <v>351</v>
      </c>
      <c r="J211" s="1" t="s">
        <v>347</v>
      </c>
      <c r="K211" s="45">
        <v>2756471.0</v>
      </c>
      <c r="L211" s="45">
        <v>2888430.0</v>
      </c>
      <c r="M211" s="46" t="s">
        <v>120</v>
      </c>
    </row>
    <row r="212" ht="15.75" customHeight="1">
      <c r="G212" t="s">
        <v>352</v>
      </c>
      <c r="H212" s="42" t="str">
        <f>A29</f>
        <v>F</v>
      </c>
      <c r="I212" t="s">
        <v>353</v>
      </c>
      <c r="J212" s="1" t="s">
        <v>354</v>
      </c>
      <c r="K212" s="47">
        <v>2863665.0</v>
      </c>
      <c r="L212" s="45">
        <v>2995624.0</v>
      </c>
      <c r="M212" s="46" t="s">
        <v>98</v>
      </c>
    </row>
    <row r="213" ht="15.75" customHeight="1">
      <c r="G213" t="s">
        <v>355</v>
      </c>
      <c r="H213" s="42" t="str">
        <f>A29</f>
        <v>F</v>
      </c>
      <c r="I213" t="s">
        <v>356</v>
      </c>
      <c r="J213" s="1" t="s">
        <v>354</v>
      </c>
      <c r="K213" s="47">
        <v>2863665.0</v>
      </c>
      <c r="L213" s="45">
        <v>2995624.0</v>
      </c>
      <c r="M213" s="46" t="s">
        <v>98</v>
      </c>
    </row>
    <row r="214" ht="15.75" customHeight="1">
      <c r="G214" t="s">
        <v>357</v>
      </c>
      <c r="H214" s="42" t="str">
        <f>A29</f>
        <v>F</v>
      </c>
      <c r="I214" t="s">
        <v>358</v>
      </c>
      <c r="J214" s="1" t="s">
        <v>354</v>
      </c>
      <c r="K214" s="47">
        <v>2863665.0</v>
      </c>
      <c r="L214" s="45">
        <v>2995624.0</v>
      </c>
      <c r="M214" s="46" t="s">
        <v>98</v>
      </c>
    </row>
    <row r="215" ht="15.75" customHeight="1">
      <c r="G215" t="s">
        <v>359</v>
      </c>
      <c r="H215" s="42" t="str">
        <f>A29</f>
        <v>F</v>
      </c>
      <c r="I215" t="s">
        <v>360</v>
      </c>
      <c r="J215" s="1" t="s">
        <v>361</v>
      </c>
      <c r="K215" s="47">
        <v>2912385.0</v>
      </c>
      <c r="L215" s="45">
        <v>3044344.0</v>
      </c>
      <c r="M215" s="46" t="s">
        <v>128</v>
      </c>
    </row>
    <row r="216" ht="15.75" customHeight="1">
      <c r="G216" t="s">
        <v>360</v>
      </c>
      <c r="H216" s="42" t="str">
        <f>A29</f>
        <v>F</v>
      </c>
      <c r="I216" t="s">
        <v>359</v>
      </c>
      <c r="J216" s="1" t="s">
        <v>361</v>
      </c>
      <c r="K216" s="47">
        <v>2912385.0</v>
      </c>
      <c r="L216" s="45">
        <v>3044344.0</v>
      </c>
      <c r="M216" s="46" t="s">
        <v>128</v>
      </c>
    </row>
    <row r="217" ht="15.75" customHeight="1">
      <c r="G217" t="s">
        <v>362</v>
      </c>
      <c r="H217" s="42" t="str">
        <f>A29</f>
        <v>F</v>
      </c>
      <c r="I217" t="s">
        <v>363</v>
      </c>
      <c r="J217" s="1" t="s">
        <v>364</v>
      </c>
      <c r="K217" s="47">
        <v>7726849.0</v>
      </c>
      <c r="L217" s="45">
        <v>7858808.0</v>
      </c>
      <c r="M217" s="46" t="s">
        <v>98</v>
      </c>
    </row>
    <row r="218" ht="15.75" customHeight="1">
      <c r="G218" t="s">
        <v>363</v>
      </c>
      <c r="H218" s="42" t="str">
        <f>A29</f>
        <v>F</v>
      </c>
      <c r="I218" t="s">
        <v>362</v>
      </c>
      <c r="J218" s="1" t="s">
        <v>364</v>
      </c>
      <c r="K218" s="47">
        <v>7726849.0</v>
      </c>
      <c r="L218" s="45">
        <v>7858808.0</v>
      </c>
      <c r="M218" s="46" t="s">
        <v>98</v>
      </c>
    </row>
    <row r="219" ht="15.75" customHeight="1">
      <c r="G219" t="s">
        <v>365</v>
      </c>
      <c r="H219" s="42" t="str">
        <f>A29</f>
        <v>F</v>
      </c>
      <c r="I219" t="s">
        <v>366</v>
      </c>
      <c r="J219" s="1" t="s">
        <v>367</v>
      </c>
      <c r="K219" s="47">
        <v>8227605.0</v>
      </c>
      <c r="L219" s="45">
        <v>8359564.0</v>
      </c>
      <c r="M219" s="46" t="s">
        <v>98</v>
      </c>
    </row>
    <row r="220" ht="15.75" customHeight="1">
      <c r="G220" t="s">
        <v>366</v>
      </c>
      <c r="H220" s="42" t="str">
        <f>A29</f>
        <v>F</v>
      </c>
      <c r="I220" t="s">
        <v>365</v>
      </c>
      <c r="J220" s="1" t="s">
        <v>367</v>
      </c>
      <c r="K220" s="47">
        <v>8227605.0</v>
      </c>
      <c r="L220" s="45">
        <v>8359564.0</v>
      </c>
      <c r="M220" s="46" t="s">
        <v>98</v>
      </c>
    </row>
    <row r="221" ht="15.75" customHeight="1">
      <c r="G221" t="s">
        <v>368</v>
      </c>
      <c r="H221" s="42" t="str">
        <f>A29</f>
        <v>F</v>
      </c>
      <c r="I221" t="s">
        <v>369</v>
      </c>
      <c r="J221" s="1" t="s">
        <v>370</v>
      </c>
      <c r="K221" s="47">
        <v>2.1937573E7</v>
      </c>
      <c r="L221" s="45">
        <v>1.9775687E7</v>
      </c>
      <c r="M221" s="46" t="s">
        <v>98</v>
      </c>
    </row>
    <row r="222" ht="15.75" customHeight="1">
      <c r="G222" t="s">
        <v>369</v>
      </c>
      <c r="H222" s="42" t="str">
        <f>A29</f>
        <v>F</v>
      </c>
      <c r="I222" t="s">
        <v>368</v>
      </c>
      <c r="J222" s="1" t="s">
        <v>370</v>
      </c>
      <c r="K222" s="47">
        <v>2.1937573E7</v>
      </c>
      <c r="L222" s="45">
        <v>1.9775687E7</v>
      </c>
      <c r="M222" s="46" t="s">
        <v>98</v>
      </c>
    </row>
    <row r="223" ht="15.75" customHeight="1">
      <c r="G223" s="44" t="s">
        <v>371</v>
      </c>
      <c r="H223" s="42" t="str">
        <f>A29</f>
        <v>F</v>
      </c>
      <c r="I223" t="s">
        <v>372</v>
      </c>
      <c r="J223" s="48" t="s">
        <v>373</v>
      </c>
      <c r="K223" s="47">
        <v>2.2108101E7</v>
      </c>
      <c r="L223" s="45">
        <v>1.9946215E7</v>
      </c>
      <c r="M223" s="46" t="s">
        <v>144</v>
      </c>
    </row>
    <row r="224" ht="15.75" customHeight="1">
      <c r="G224" t="s">
        <v>372</v>
      </c>
      <c r="H224" s="42" t="str">
        <f>A29</f>
        <v>F</v>
      </c>
      <c r="I224" t="s">
        <v>371</v>
      </c>
      <c r="J224" s="48" t="s">
        <v>373</v>
      </c>
      <c r="K224" s="47">
        <v>2.2108101E7</v>
      </c>
      <c r="L224" s="45">
        <v>1.9946215E7</v>
      </c>
      <c r="M224" s="46" t="s">
        <v>144</v>
      </c>
    </row>
    <row r="225" ht="15.75" customHeight="1">
      <c r="G225" t="s">
        <v>374</v>
      </c>
      <c r="H225" s="42" t="str">
        <f>A29</f>
        <v>F</v>
      </c>
      <c r="I225" t="s">
        <v>375</v>
      </c>
      <c r="J225" s="48" t="s">
        <v>376</v>
      </c>
      <c r="K225" s="49">
        <v>2.2156498E7</v>
      </c>
      <c r="L225" s="45">
        <v>1.9994612E7</v>
      </c>
      <c r="M225" s="46" t="s">
        <v>228</v>
      </c>
    </row>
    <row r="226" ht="15.75" customHeight="1">
      <c r="G226" t="s">
        <v>375</v>
      </c>
      <c r="H226" s="42" t="str">
        <f>A29</f>
        <v>F</v>
      </c>
      <c r="I226" t="s">
        <v>374</v>
      </c>
      <c r="J226" s="48" t="s">
        <v>376</v>
      </c>
      <c r="K226" s="49">
        <v>2.2156498E7</v>
      </c>
      <c r="L226" s="45">
        <v>1.9994612E7</v>
      </c>
      <c r="M226" s="46" t="s">
        <v>228</v>
      </c>
    </row>
    <row r="227" ht="15.75" customHeight="1">
      <c r="G227" t="s">
        <v>377</v>
      </c>
      <c r="H227" s="42" t="str">
        <f>A29</f>
        <v>F</v>
      </c>
      <c r="I227" t="s">
        <v>378</v>
      </c>
      <c r="J227" s="50" t="s">
        <v>379</v>
      </c>
      <c r="K227" s="45">
        <v>1.7398598E7</v>
      </c>
      <c r="L227" s="45">
        <v>1.5286718E7</v>
      </c>
      <c r="M227" s="46" t="s">
        <v>94</v>
      </c>
    </row>
    <row r="228" ht="15.75" customHeight="1">
      <c r="G228" t="s">
        <v>378</v>
      </c>
      <c r="H228" s="42" t="str">
        <f>A29</f>
        <v>F</v>
      </c>
      <c r="I228" t="s">
        <v>377</v>
      </c>
      <c r="J228" s="50" t="s">
        <v>379</v>
      </c>
      <c r="K228" s="45">
        <v>1.7398598E7</v>
      </c>
      <c r="L228" s="45">
        <v>1.5286718E7</v>
      </c>
      <c r="M228" s="46" t="s">
        <v>94</v>
      </c>
    </row>
    <row r="229" ht="15.75" customHeight="1">
      <c r="G229" t="s">
        <v>380</v>
      </c>
      <c r="H229" s="42" t="str">
        <f>A29</f>
        <v>F</v>
      </c>
      <c r="I229" t="s">
        <v>381</v>
      </c>
      <c r="J229" s="51" t="s">
        <v>382</v>
      </c>
      <c r="K229" s="52">
        <v>7395806.0</v>
      </c>
      <c r="L229" s="45">
        <v>7527765.0</v>
      </c>
      <c r="M229" s="46" t="s">
        <v>136</v>
      </c>
    </row>
    <row r="230" ht="15.75" customHeight="1">
      <c r="G230" t="s">
        <v>381</v>
      </c>
      <c r="H230" s="42" t="str">
        <f>A29</f>
        <v>F</v>
      </c>
      <c r="I230" t="s">
        <v>380</v>
      </c>
      <c r="J230" s="51" t="s">
        <v>382</v>
      </c>
      <c r="K230" s="52">
        <v>7395806.0</v>
      </c>
      <c r="L230" s="45">
        <v>7527765.0</v>
      </c>
      <c r="M230" s="46" t="s">
        <v>136</v>
      </c>
    </row>
    <row r="231" ht="15.75" customHeight="1">
      <c r="G231" t="s">
        <v>383</v>
      </c>
      <c r="H231" s="42" t="str">
        <f>A29</f>
        <v>F</v>
      </c>
      <c r="I231" t="s">
        <v>384</v>
      </c>
      <c r="J231" s="46" t="s">
        <v>385</v>
      </c>
      <c r="K231" s="47">
        <v>2.1618856E7</v>
      </c>
      <c r="L231" s="45">
        <v>1.945697E7</v>
      </c>
      <c r="M231" s="46" t="s">
        <v>94</v>
      </c>
    </row>
    <row r="232" ht="15.75" customHeight="1">
      <c r="G232" t="s">
        <v>384</v>
      </c>
      <c r="H232" s="42" t="str">
        <f>A29</f>
        <v>F</v>
      </c>
      <c r="I232" t="s">
        <v>383</v>
      </c>
      <c r="J232" s="46" t="s">
        <v>385</v>
      </c>
      <c r="K232" s="47">
        <v>2.1618856E7</v>
      </c>
      <c r="L232" s="45">
        <v>1.945697E7</v>
      </c>
      <c r="M232" s="46" t="s">
        <v>94</v>
      </c>
    </row>
    <row r="233" ht="15.75" customHeight="1">
      <c r="G233" t="s">
        <v>386</v>
      </c>
      <c r="H233" s="42" t="str">
        <f>A29</f>
        <v>F</v>
      </c>
      <c r="I233" t="s">
        <v>387</v>
      </c>
      <c r="J233" s="46" t="s">
        <v>388</v>
      </c>
      <c r="K233" s="47">
        <v>2.3040647E7</v>
      </c>
      <c r="L233" s="45">
        <v>2.0878761E7</v>
      </c>
      <c r="M233" s="46" t="s">
        <v>200</v>
      </c>
    </row>
    <row r="234" ht="15.75" customHeight="1">
      <c r="G234" t="s">
        <v>387</v>
      </c>
      <c r="H234" s="42" t="str">
        <f>A29</f>
        <v>F</v>
      </c>
      <c r="I234" t="s">
        <v>386</v>
      </c>
      <c r="J234" s="46" t="s">
        <v>388</v>
      </c>
      <c r="K234" s="47">
        <v>2.3040647E7</v>
      </c>
      <c r="L234" s="45">
        <v>2.0878761E7</v>
      </c>
      <c r="M234" s="46" t="s">
        <v>200</v>
      </c>
    </row>
    <row r="235" ht="15.75" customHeight="1">
      <c r="G235" t="s">
        <v>389</v>
      </c>
      <c r="H235" s="42" t="str">
        <f>A29</f>
        <v>F</v>
      </c>
      <c r="I235" t="s">
        <v>390</v>
      </c>
      <c r="J235" s="46" t="s">
        <v>391</v>
      </c>
      <c r="K235" s="47">
        <v>1.4199284E7</v>
      </c>
      <c r="L235" s="45">
        <v>1.2078578E7</v>
      </c>
      <c r="M235" s="46" t="s">
        <v>128</v>
      </c>
    </row>
    <row r="236" ht="15.75" customHeight="1">
      <c r="G236" t="s">
        <v>390</v>
      </c>
      <c r="H236" s="42" t="str">
        <f>A29</f>
        <v>F</v>
      </c>
      <c r="I236" t="s">
        <v>389</v>
      </c>
      <c r="J236" s="46" t="s">
        <v>391</v>
      </c>
      <c r="K236" s="47">
        <v>1.4199284E7</v>
      </c>
      <c r="L236" s="45">
        <v>1.2078578E7</v>
      </c>
      <c r="M236" s="46" t="s">
        <v>128</v>
      </c>
    </row>
    <row r="237" ht="15.75" customHeight="1">
      <c r="G237" t="s">
        <v>392</v>
      </c>
      <c r="H237" s="42" t="str">
        <f>A29</f>
        <v>F</v>
      </c>
      <c r="I237" t="s">
        <v>393</v>
      </c>
      <c r="J237" s="46" t="s">
        <v>394</v>
      </c>
      <c r="K237" s="47">
        <v>1.6906683E7</v>
      </c>
      <c r="L237" s="45">
        <v>1.4794803E7</v>
      </c>
      <c r="M237" s="46" t="s">
        <v>144</v>
      </c>
    </row>
    <row r="238" ht="15.75" customHeight="1">
      <c r="G238" t="s">
        <v>393</v>
      </c>
      <c r="H238" s="42" t="str">
        <f>A29</f>
        <v>F</v>
      </c>
      <c r="I238" t="s">
        <v>392</v>
      </c>
      <c r="J238" s="46" t="s">
        <v>394</v>
      </c>
      <c r="K238" s="47">
        <v>1.6906683E7</v>
      </c>
      <c r="L238" s="45">
        <v>1.4794803E7</v>
      </c>
      <c r="M238" s="46" t="s">
        <v>144</v>
      </c>
    </row>
    <row r="239" ht="15.75" customHeight="1">
      <c r="G239" t="s">
        <v>395</v>
      </c>
      <c r="H239" s="42" t="str">
        <f>A29</f>
        <v>F</v>
      </c>
      <c r="I239" t="s">
        <v>396</v>
      </c>
      <c r="J239" s="46" t="s">
        <v>397</v>
      </c>
      <c r="K239" s="47">
        <v>1.7311975E7</v>
      </c>
      <c r="L239" s="45">
        <v>1.5200095E7</v>
      </c>
      <c r="M239" s="46" t="s">
        <v>398</v>
      </c>
    </row>
    <row r="240" ht="15.75" customHeight="1">
      <c r="G240" t="s">
        <v>396</v>
      </c>
      <c r="H240" s="42" t="str">
        <f>A29</f>
        <v>F</v>
      </c>
      <c r="I240" t="s">
        <v>395</v>
      </c>
      <c r="J240" s="46" t="s">
        <v>397</v>
      </c>
      <c r="K240" s="47">
        <v>1.7311975E7</v>
      </c>
      <c r="L240" s="45">
        <v>1.5200095E7</v>
      </c>
      <c r="M240" s="46" t="s">
        <v>398</v>
      </c>
    </row>
    <row r="241" ht="15.75" customHeight="1">
      <c r="G241" t="s">
        <v>399</v>
      </c>
      <c r="H241" s="42" t="str">
        <f>A29</f>
        <v>F</v>
      </c>
      <c r="I241" t="s">
        <v>400</v>
      </c>
      <c r="J241" s="46" t="s">
        <v>401</v>
      </c>
      <c r="K241" s="47">
        <v>6941218.0</v>
      </c>
      <c r="L241" s="45">
        <v>7073177.0</v>
      </c>
      <c r="M241" s="46" t="s">
        <v>144</v>
      </c>
    </row>
    <row r="242" ht="15.75" customHeight="1">
      <c r="G242" t="s">
        <v>400</v>
      </c>
      <c r="H242" s="42" t="str">
        <f>A29</f>
        <v>F</v>
      </c>
      <c r="I242" t="s">
        <v>399</v>
      </c>
      <c r="J242" s="46" t="s">
        <v>401</v>
      </c>
      <c r="K242" s="47">
        <v>6941218.0</v>
      </c>
      <c r="L242" s="45">
        <v>7073177.0</v>
      </c>
      <c r="M242" s="46" t="s">
        <v>144</v>
      </c>
    </row>
    <row r="243" ht="15.75" customHeight="1">
      <c r="G243" t="s">
        <v>402</v>
      </c>
      <c r="H243" s="42" t="str">
        <f>A29</f>
        <v>F</v>
      </c>
      <c r="I243" t="s">
        <v>403</v>
      </c>
      <c r="J243" s="46" t="s">
        <v>404</v>
      </c>
      <c r="K243" s="47">
        <v>8424089.0</v>
      </c>
      <c r="L243" s="45">
        <v>8556048.0</v>
      </c>
      <c r="M243" s="46" t="s">
        <v>144</v>
      </c>
    </row>
    <row r="244" ht="15.75" customHeight="1">
      <c r="G244" t="s">
        <v>403</v>
      </c>
      <c r="H244" s="42" t="str">
        <f>A29</f>
        <v>F</v>
      </c>
      <c r="I244" t="s">
        <v>402</v>
      </c>
      <c r="J244" s="46" t="s">
        <v>404</v>
      </c>
      <c r="K244" s="47">
        <v>8424089.0</v>
      </c>
      <c r="L244" s="45">
        <v>8556048.0</v>
      </c>
      <c r="M244" s="46" t="s">
        <v>144</v>
      </c>
    </row>
    <row r="245" ht="15.75" customHeight="1">
      <c r="G245" t="s">
        <v>405</v>
      </c>
      <c r="H245" s="42" t="str">
        <f>A29</f>
        <v>F</v>
      </c>
      <c r="I245" t="s">
        <v>406</v>
      </c>
      <c r="J245" s="46" t="s">
        <v>407</v>
      </c>
      <c r="K245" s="47">
        <v>8602415.0</v>
      </c>
      <c r="L245" s="45">
        <v>8734374.0</v>
      </c>
      <c r="M245" s="46" t="s">
        <v>94</v>
      </c>
    </row>
    <row r="246" ht="15.75" customHeight="1">
      <c r="G246" t="s">
        <v>406</v>
      </c>
      <c r="H246" s="42" t="str">
        <f>A29</f>
        <v>F</v>
      </c>
      <c r="I246" t="s">
        <v>405</v>
      </c>
      <c r="J246" s="46" t="s">
        <v>407</v>
      </c>
      <c r="K246" s="47">
        <v>8602415.0</v>
      </c>
      <c r="L246" s="45">
        <v>8734374.0</v>
      </c>
      <c r="M246" s="46" t="s">
        <v>94</v>
      </c>
    </row>
    <row r="247" ht="15.75" customHeight="1">
      <c r="G247" t="s">
        <v>408</v>
      </c>
      <c r="H247" s="42" t="str">
        <f>A29</f>
        <v>F</v>
      </c>
      <c r="I247" t="s">
        <v>409</v>
      </c>
      <c r="J247" s="46" t="s">
        <v>410</v>
      </c>
      <c r="K247" s="47">
        <v>1.9349615E7</v>
      </c>
      <c r="L247" s="45">
        <v>1.7237735E7</v>
      </c>
      <c r="M247" s="46" t="s">
        <v>94</v>
      </c>
    </row>
    <row r="248" ht="15.75" customHeight="1">
      <c r="G248" t="s">
        <v>409</v>
      </c>
      <c r="H248" s="42" t="str">
        <f>A29</f>
        <v>F</v>
      </c>
      <c r="I248" t="s">
        <v>408</v>
      </c>
      <c r="J248" s="46" t="s">
        <v>410</v>
      </c>
      <c r="K248" s="47">
        <v>1.9349615E7</v>
      </c>
      <c r="L248" s="45">
        <v>1.7237735E7</v>
      </c>
      <c r="M248" s="46" t="s">
        <v>94</v>
      </c>
    </row>
    <row r="249" ht="15.75" customHeight="1">
      <c r="G249" t="s">
        <v>411</v>
      </c>
      <c r="H249" s="42" t="str">
        <f>A29</f>
        <v>F</v>
      </c>
      <c r="I249" t="s">
        <v>412</v>
      </c>
      <c r="J249" s="46" t="s">
        <v>413</v>
      </c>
      <c r="K249" s="47">
        <v>1.8578476E7</v>
      </c>
      <c r="L249" s="45">
        <v>1.6466596E7</v>
      </c>
      <c r="M249" s="46" t="s">
        <v>144</v>
      </c>
    </row>
    <row r="250" ht="15.75" customHeight="1">
      <c r="G250" t="s">
        <v>412</v>
      </c>
      <c r="H250" s="42" t="str">
        <f>A29</f>
        <v>F</v>
      </c>
      <c r="I250" t="s">
        <v>395</v>
      </c>
      <c r="J250" s="46" t="s">
        <v>413</v>
      </c>
      <c r="K250" s="47">
        <v>1.8578476E7</v>
      </c>
      <c r="L250" s="45">
        <v>1.6466596E7</v>
      </c>
      <c r="M250" s="46" t="s">
        <v>144</v>
      </c>
    </row>
    <row r="251" ht="15.75" customHeight="1">
      <c r="G251" t="s">
        <v>414</v>
      </c>
      <c r="H251" s="42" t="str">
        <f>A29</f>
        <v>F</v>
      </c>
      <c r="I251" t="s">
        <v>415</v>
      </c>
      <c r="J251" s="46" t="s">
        <v>416</v>
      </c>
      <c r="K251" s="47">
        <v>8680661.0</v>
      </c>
      <c r="L251" s="45">
        <v>8812620.0</v>
      </c>
      <c r="M251" s="46" t="s">
        <v>128</v>
      </c>
    </row>
    <row r="252" ht="15.75" customHeight="1">
      <c r="G252" t="s">
        <v>415</v>
      </c>
      <c r="H252" s="42" t="str">
        <f>A29</f>
        <v>F</v>
      </c>
      <c r="I252" t="s">
        <v>414</v>
      </c>
      <c r="J252" s="46" t="s">
        <v>416</v>
      </c>
      <c r="K252" s="47">
        <v>8680661.0</v>
      </c>
      <c r="L252" s="45">
        <v>8812620.0</v>
      </c>
      <c r="M252" s="46" t="s">
        <v>128</v>
      </c>
    </row>
    <row r="253" ht="15.75" customHeight="1">
      <c r="G253" t="s">
        <v>417</v>
      </c>
      <c r="H253" s="42" t="str">
        <f>A29</f>
        <v>F</v>
      </c>
      <c r="I253" t="s">
        <v>418</v>
      </c>
      <c r="J253" s="46" t="s">
        <v>419</v>
      </c>
      <c r="K253" s="47">
        <v>2.4359931E7</v>
      </c>
      <c r="L253" s="45">
        <v>2.2213784E7</v>
      </c>
      <c r="M253" s="46" t="s">
        <v>128</v>
      </c>
    </row>
    <row r="254" ht="15.75" customHeight="1">
      <c r="G254" t="s">
        <v>418</v>
      </c>
      <c r="H254" s="42" t="str">
        <f>A29</f>
        <v>F</v>
      </c>
      <c r="I254" t="s">
        <v>417</v>
      </c>
      <c r="J254" s="46" t="s">
        <v>419</v>
      </c>
      <c r="K254" s="47">
        <v>2.4359931E7</v>
      </c>
      <c r="L254" s="45">
        <v>2.2213784E7</v>
      </c>
      <c r="M254" s="46" t="s">
        <v>128</v>
      </c>
    </row>
    <row r="255" ht="15.75" customHeight="1">
      <c r="G255" t="s">
        <v>420</v>
      </c>
      <c r="H255" s="42" t="str">
        <f>A29</f>
        <v>F</v>
      </c>
      <c r="I255" t="s">
        <v>421</v>
      </c>
      <c r="J255" s="46" t="s">
        <v>422</v>
      </c>
      <c r="K255" s="47">
        <v>1.7493513E7</v>
      </c>
      <c r="L255" s="45">
        <v>1.5381633E7</v>
      </c>
      <c r="M255" s="46" t="s">
        <v>94</v>
      </c>
    </row>
    <row r="256" ht="15.75" customHeight="1">
      <c r="G256" t="s">
        <v>421</v>
      </c>
      <c r="H256" s="42" t="str">
        <f>A29</f>
        <v>F</v>
      </c>
      <c r="I256" t="s">
        <v>420</v>
      </c>
      <c r="J256" s="46" t="s">
        <v>422</v>
      </c>
      <c r="K256" s="47">
        <v>1.7493513E7</v>
      </c>
      <c r="L256" s="45">
        <v>1.5381633E7</v>
      </c>
      <c r="M256" s="46" t="s">
        <v>94</v>
      </c>
    </row>
    <row r="257" ht="15.75" customHeight="1">
      <c r="G257" t="s">
        <v>423</v>
      </c>
      <c r="H257" s="42" t="str">
        <f>A29</f>
        <v>F</v>
      </c>
      <c r="I257" t="s">
        <v>424</v>
      </c>
      <c r="J257" s="46" t="s">
        <v>425</v>
      </c>
      <c r="K257" s="47">
        <v>1.8097251E7</v>
      </c>
      <c r="L257" s="45">
        <v>1.5985371E7</v>
      </c>
      <c r="M257" s="46" t="s">
        <v>228</v>
      </c>
    </row>
    <row r="258" ht="15.75" customHeight="1">
      <c r="G258" t="s">
        <v>424</v>
      </c>
      <c r="H258" s="42" t="str">
        <f>A29</f>
        <v>F</v>
      </c>
      <c r="I258" t="s">
        <v>423</v>
      </c>
      <c r="J258" s="46" t="s">
        <v>425</v>
      </c>
      <c r="K258" s="47">
        <v>1.8097251E7</v>
      </c>
      <c r="L258" s="45">
        <v>1.5985371E7</v>
      </c>
      <c r="M258" s="46" t="s">
        <v>228</v>
      </c>
    </row>
    <row r="259" ht="15.75" customHeight="1">
      <c r="G259" t="s">
        <v>426</v>
      </c>
      <c r="H259" s="42" t="str">
        <f>A29</f>
        <v>F</v>
      </c>
      <c r="I259" t="s">
        <v>427</v>
      </c>
      <c r="J259" s="46" t="s">
        <v>428</v>
      </c>
      <c r="K259" s="47">
        <v>8474189.0</v>
      </c>
      <c r="L259" s="45">
        <v>8606148.0</v>
      </c>
      <c r="M259" s="46" t="s">
        <v>429</v>
      </c>
    </row>
    <row r="260" ht="15.75" customHeight="1">
      <c r="G260" t="s">
        <v>427</v>
      </c>
      <c r="H260" s="42" t="str">
        <f>A29</f>
        <v>F</v>
      </c>
      <c r="I260" t="s">
        <v>426</v>
      </c>
      <c r="J260" s="46" t="s">
        <v>428</v>
      </c>
      <c r="K260" s="47">
        <v>8474189.0</v>
      </c>
      <c r="L260" s="45">
        <v>8606148.0</v>
      </c>
      <c r="M260" s="46" t="s">
        <v>429</v>
      </c>
    </row>
    <row r="261" ht="15.75" customHeight="1">
      <c r="G261" t="s">
        <v>430</v>
      </c>
      <c r="H261" s="42" t="str">
        <f>A29</f>
        <v>F</v>
      </c>
      <c r="I261" t="s">
        <v>431</v>
      </c>
      <c r="J261" s="46" t="s">
        <v>432</v>
      </c>
      <c r="K261" s="47">
        <v>1.8178091E7</v>
      </c>
      <c r="L261" s="45">
        <v>1.6066211E7</v>
      </c>
      <c r="M261" s="46" t="s">
        <v>144</v>
      </c>
    </row>
    <row r="262" ht="15.75" customHeight="1">
      <c r="G262" t="s">
        <v>431</v>
      </c>
      <c r="H262" s="42" t="str">
        <f>A29</f>
        <v>F</v>
      </c>
      <c r="I262" t="s">
        <v>430</v>
      </c>
      <c r="J262" s="46" t="s">
        <v>432</v>
      </c>
      <c r="K262" s="47">
        <v>1.8178091E7</v>
      </c>
      <c r="L262" s="45">
        <v>1.6066211E7</v>
      </c>
      <c r="M262" s="46" t="s">
        <v>144</v>
      </c>
    </row>
    <row r="263" ht="15.75" customHeight="1">
      <c r="G263" t="s">
        <v>433</v>
      </c>
      <c r="H263" s="42" t="str">
        <f>A29</f>
        <v>F</v>
      </c>
      <c r="I263" t="s">
        <v>434</v>
      </c>
      <c r="J263" s="46" t="s">
        <v>435</v>
      </c>
      <c r="K263" s="47">
        <v>1.6242316E7</v>
      </c>
      <c r="L263" s="45">
        <v>1.4130436E7</v>
      </c>
      <c r="M263" s="46" t="s">
        <v>120</v>
      </c>
    </row>
    <row r="264" ht="15.75" customHeight="1">
      <c r="G264" t="s">
        <v>434</v>
      </c>
      <c r="H264" s="42" t="str">
        <f>A29</f>
        <v>F</v>
      </c>
      <c r="I264" t="s">
        <v>433</v>
      </c>
      <c r="J264" s="46" t="s">
        <v>435</v>
      </c>
      <c r="K264" s="47">
        <v>1.6242316E7</v>
      </c>
      <c r="L264" s="45">
        <v>1.4130436E7</v>
      </c>
      <c r="M264" s="46" t="s">
        <v>120</v>
      </c>
    </row>
    <row r="265" ht="15.75" customHeight="1">
      <c r="G265" t="s">
        <v>436</v>
      </c>
      <c r="H265" s="42" t="str">
        <f>A29</f>
        <v>F</v>
      </c>
      <c r="I265" t="s">
        <v>437</v>
      </c>
      <c r="J265" s="46" t="s">
        <v>438</v>
      </c>
      <c r="K265" s="47">
        <v>1.7256018E7</v>
      </c>
      <c r="L265" s="45">
        <v>1.5144138E7</v>
      </c>
      <c r="M265" s="46" t="s">
        <v>94</v>
      </c>
    </row>
    <row r="266" ht="15.75" customHeight="1">
      <c r="G266" t="s">
        <v>437</v>
      </c>
      <c r="H266" s="42" t="str">
        <f>A29</f>
        <v>F</v>
      </c>
      <c r="I266" t="s">
        <v>436</v>
      </c>
      <c r="J266" s="46" t="s">
        <v>438</v>
      </c>
      <c r="K266" s="47">
        <v>1.7256018E7</v>
      </c>
      <c r="L266" s="45">
        <v>1.5144138E7</v>
      </c>
      <c r="M266" s="46" t="s">
        <v>94</v>
      </c>
    </row>
    <row r="267" ht="15.75" customHeight="1">
      <c r="G267" t="s">
        <v>439</v>
      </c>
      <c r="H267" s="42" t="str">
        <f>A29</f>
        <v>F</v>
      </c>
      <c r="I267" t="s">
        <v>440</v>
      </c>
      <c r="J267" s="46" t="s">
        <v>441</v>
      </c>
      <c r="K267" s="45">
        <v>9108252.0</v>
      </c>
      <c r="L267" s="45">
        <v>9270643.0</v>
      </c>
      <c r="M267" s="46" t="s">
        <v>208</v>
      </c>
    </row>
    <row r="268" ht="15.75" customHeight="1">
      <c r="G268" t="s">
        <v>440</v>
      </c>
      <c r="H268" s="42" t="str">
        <f>A29</f>
        <v>F</v>
      </c>
      <c r="I268" t="s">
        <v>439</v>
      </c>
      <c r="J268" s="46" t="s">
        <v>441</v>
      </c>
      <c r="K268" s="45">
        <v>9108252.0</v>
      </c>
      <c r="L268" s="45">
        <v>9270643.0</v>
      </c>
      <c r="M268" s="46" t="s">
        <v>208</v>
      </c>
    </row>
    <row r="269" ht="15.75" customHeight="1">
      <c r="G269" t="s">
        <v>442</v>
      </c>
      <c r="H269" s="42" t="str">
        <f>A29</f>
        <v>F</v>
      </c>
      <c r="I269" t="s">
        <v>443</v>
      </c>
      <c r="J269" s="46" t="s">
        <v>444</v>
      </c>
      <c r="K269" s="45">
        <v>1.6839641E7</v>
      </c>
      <c r="L269" s="45">
        <v>1.4727761E7</v>
      </c>
      <c r="M269" s="46" t="s">
        <v>120</v>
      </c>
    </row>
    <row r="270" ht="15.75" customHeight="1">
      <c r="G270" t="s">
        <v>443</v>
      </c>
      <c r="H270" s="42" t="str">
        <f>A29</f>
        <v>F</v>
      </c>
      <c r="I270" t="s">
        <v>442</v>
      </c>
      <c r="J270" s="46" t="s">
        <v>444</v>
      </c>
      <c r="K270" s="45">
        <v>1.6839641E7</v>
      </c>
      <c r="L270" s="45">
        <v>1.4727761E7</v>
      </c>
      <c r="M270" s="46" t="s">
        <v>120</v>
      </c>
    </row>
    <row r="271" ht="15.75" customHeight="1">
      <c r="G271" t="s">
        <v>445</v>
      </c>
      <c r="H271" s="42" t="str">
        <f>A29</f>
        <v>F</v>
      </c>
      <c r="J271" t="s">
        <v>446</v>
      </c>
      <c r="K271" s="47">
        <v>7517055.0</v>
      </c>
      <c r="L271" s="45">
        <v>7649014.0</v>
      </c>
      <c r="M271" s="46" t="s">
        <v>398</v>
      </c>
    </row>
    <row r="272" ht="15.75" customHeight="1">
      <c r="G272" s="1" t="s">
        <v>447</v>
      </c>
      <c r="H272" s="53" t="str">
        <f>A29</f>
        <v>F</v>
      </c>
      <c r="I272" s="1"/>
      <c r="J272" s="1" t="s">
        <v>448</v>
      </c>
      <c r="K272" s="54">
        <v>1.523483E7</v>
      </c>
      <c r="L272" s="54">
        <v>1.3122916E7</v>
      </c>
      <c r="M272" s="1" t="s">
        <v>120</v>
      </c>
    </row>
    <row r="273" ht="15.75" customHeight="1">
      <c r="G273" t="s">
        <v>449</v>
      </c>
      <c r="H273" t="str">
        <f>B30</f>
        <v>F1</v>
      </c>
      <c r="K273" s="45">
        <v>1.4850599E7</v>
      </c>
      <c r="L273" s="45">
        <v>1.2738665E7</v>
      </c>
      <c r="M273" s="46" t="s">
        <v>94</v>
      </c>
    </row>
    <row r="274" ht="15.75" customHeight="1">
      <c r="G274" t="s">
        <v>450</v>
      </c>
      <c r="H274" t="str">
        <f t="shared" ref="H274:H275" si="1">B30</f>
        <v>F1</v>
      </c>
      <c r="J274" t="s">
        <v>451</v>
      </c>
      <c r="K274" s="45">
        <v>1.5477825E7</v>
      </c>
      <c r="L274" s="45">
        <v>1.3365945E7</v>
      </c>
      <c r="M274" s="46" t="s">
        <v>94</v>
      </c>
    </row>
    <row r="275" ht="15.75" customHeight="1">
      <c r="G275" t="s">
        <v>452</v>
      </c>
      <c r="H275" t="str">
        <f t="shared" si="1"/>
        <v>F2</v>
      </c>
      <c r="K275" s="47">
        <v>1.9092597E7</v>
      </c>
      <c r="L275" s="45">
        <v>1.6980717E7</v>
      </c>
      <c r="M275" s="46" t="s">
        <v>144</v>
      </c>
    </row>
    <row r="276" ht="15.75" customHeight="1">
      <c r="G276" t="s">
        <v>453</v>
      </c>
      <c r="H276" t="str">
        <f t="shared" ref="H276:H278" si="2">B31</f>
        <v>F2</v>
      </c>
      <c r="J276" s="1" t="s">
        <v>454</v>
      </c>
      <c r="K276" s="47">
        <v>1.9092559E7</v>
      </c>
      <c r="L276" s="45">
        <v>1.6980679E7</v>
      </c>
      <c r="M276" s="46" t="s">
        <v>94</v>
      </c>
    </row>
    <row r="277" ht="15.75" customHeight="1">
      <c r="G277" t="s">
        <v>32</v>
      </c>
      <c r="H277" t="str">
        <f t="shared" si="2"/>
        <v>F3</v>
      </c>
      <c r="J277" s="1" t="s">
        <v>455</v>
      </c>
      <c r="K277" s="45">
        <v>1.4496387E7</v>
      </c>
      <c r="L277" s="45">
        <v>1.2384592E7</v>
      </c>
      <c r="M277" s="46" t="s">
        <v>94</v>
      </c>
    </row>
    <row r="278" ht="15.75" customHeight="1">
      <c r="G278" t="s">
        <v>456</v>
      </c>
      <c r="H278" t="str">
        <f t="shared" si="2"/>
        <v>F4~</v>
      </c>
      <c r="J278" s="51" t="s">
        <v>457</v>
      </c>
      <c r="K278">
        <v>6826974.0</v>
      </c>
      <c r="L278" s="55">
        <v>6958933.0</v>
      </c>
      <c r="M278" t="s">
        <v>144</v>
      </c>
    </row>
    <row r="279" ht="15.75" customHeight="1">
      <c r="G279" t="s">
        <v>458</v>
      </c>
      <c r="H279" t="str">
        <f>B33</f>
        <v>F4~</v>
      </c>
      <c r="J279" s="55" t="s">
        <v>459</v>
      </c>
      <c r="K279" s="55">
        <v>7571995.0</v>
      </c>
      <c r="L279" s="55">
        <v>7703954.0</v>
      </c>
      <c r="M279" s="55" t="s">
        <v>144</v>
      </c>
    </row>
    <row r="280" ht="15.75" customHeight="1">
      <c r="G280" t="s">
        <v>460</v>
      </c>
      <c r="H280" t="str">
        <f>B33</f>
        <v>F4~</v>
      </c>
      <c r="J280" s="55" t="s">
        <v>461</v>
      </c>
      <c r="K280" s="55">
        <v>7581573.0</v>
      </c>
      <c r="L280" s="55">
        <v>7713532.0</v>
      </c>
      <c r="M280" s="55" t="s">
        <v>128</v>
      </c>
    </row>
    <row r="281" ht="15.75" customHeight="1">
      <c r="G281" t="s">
        <v>462</v>
      </c>
      <c r="H281" t="str">
        <f>B33</f>
        <v>F4~</v>
      </c>
      <c r="J281" s="55" t="s">
        <v>82</v>
      </c>
      <c r="K281" s="55">
        <v>7690342.0</v>
      </c>
      <c r="L281" s="55">
        <v>7822301.0</v>
      </c>
      <c r="M281" s="55" t="s">
        <v>94</v>
      </c>
    </row>
    <row r="282" ht="15.75" customHeight="1">
      <c r="G282" t="s">
        <v>463</v>
      </c>
      <c r="H282" t="str">
        <f>B33</f>
        <v>F4~</v>
      </c>
      <c r="J282" s="55" t="s">
        <v>82</v>
      </c>
      <c r="K282" s="55">
        <v>1.6250688E7</v>
      </c>
      <c r="L282" s="55">
        <v>1.4138808E7</v>
      </c>
      <c r="M282" s="55" t="s">
        <v>200</v>
      </c>
    </row>
    <row r="283" ht="15.75" customHeight="1"/>
    <row r="284" ht="15.75" customHeight="1">
      <c r="H284" t="s">
        <v>464</v>
      </c>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1">
    <mergeCell ref="A42:L42"/>
    <mergeCell ref="A36:J36"/>
    <mergeCell ref="A47:J47"/>
    <mergeCell ref="A97:C97"/>
    <mergeCell ref="B23:L23"/>
    <mergeCell ref="B24:L24"/>
    <mergeCell ref="B29:M29"/>
    <mergeCell ref="B25:L25"/>
    <mergeCell ref="C5:L5"/>
    <mergeCell ref="C2:L2"/>
    <mergeCell ref="B11:L11"/>
  </mergeCells>
  <hyperlinks>
    <hyperlink r:id="rId1" ref="J7"/>
    <hyperlink r:id="rId2" ref="H8"/>
    <hyperlink r:id="rId3" ref="F9"/>
    <hyperlink r:id="rId4" ref="C14"/>
    <hyperlink r:id="rId5" ref="I14"/>
    <hyperlink r:id="rId6" ref="G15"/>
    <hyperlink r:id="rId7" ref="I15"/>
    <hyperlink r:id="rId8" ref="A51"/>
    <hyperlink r:id="rId9" ref="A52"/>
    <hyperlink r:id="rId10" ref="A53"/>
    <hyperlink r:id="rId11" ref="A54"/>
    <hyperlink r:id="rId12" ref="A55"/>
    <hyperlink r:id="rId13" ref="A56"/>
    <hyperlink r:id="rId14" ref="A57"/>
    <hyperlink r:id="rId15" ref="A58"/>
    <hyperlink r:id="rId16" ref="A59"/>
    <hyperlink r:id="rId17" ref="A60"/>
    <hyperlink r:id="rId18" ref="A61"/>
    <hyperlink r:id="rId19" ref="A63"/>
    <hyperlink r:id="rId20" ref="A64"/>
    <hyperlink r:id="rId21" ref="A65"/>
    <hyperlink r:id="rId22" ref="A66"/>
    <hyperlink r:id="rId23" ref="A67"/>
    <hyperlink r:id="rId24" ref="A68"/>
    <hyperlink r:id="rId25" ref="A69"/>
    <hyperlink r:id="rId26" ref="A70"/>
    <hyperlink r:id="rId27" ref="A71"/>
    <hyperlink r:id="rId28" ref="A72"/>
    <hyperlink r:id="rId29" ref="A73"/>
    <hyperlink r:id="rId30" ref="A74"/>
    <hyperlink r:id="rId31" ref="A75"/>
    <hyperlink r:id="rId32" ref="A76"/>
    <hyperlink r:id="rId33" ref="A79"/>
    <hyperlink r:id="rId34" ref="A80"/>
    <hyperlink r:id="rId35" ref="B90"/>
    <hyperlink r:id="rId36" ref="B91"/>
    <hyperlink r:id="rId37" ref="B92"/>
  </hyperlinks>
  <drawing r:id="rId38"/>
</worksheet>
</file>