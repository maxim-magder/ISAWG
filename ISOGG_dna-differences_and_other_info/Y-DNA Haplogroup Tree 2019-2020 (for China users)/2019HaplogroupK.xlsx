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<sst xmlns="http://schemas.openxmlformats.org/spreadsheetml/2006/main" count="312" uniqueCount="224">
  <si>
    <t>Y-DNA Haplogroup K and its Subclades - 2019-2020</t>
  </si>
  <si>
    <t xml:space="preserve">       Downloading this spreadsheet as Excel retains format better than copying.  Links to other sites may not copy</t>
  </si>
  <si>
    <t>The entire work is identified by the Version Number and date given on the</t>
  </si>
  <si>
    <t xml:space="preserve"> </t>
  </si>
  <si>
    <t xml:space="preserve">Directions for citing the document are listed on the </t>
  </si>
  <si>
    <t>Version History</t>
  </si>
  <si>
    <t>Last revision date for this specific page: 1 January 2019</t>
  </si>
  <si>
    <t>Because of continuing research, the structure of the Y-DNA Haplogroup Tree changes and will be updated when possible.</t>
  </si>
  <si>
    <t>If the differences need clarification or if you find any broken links on this page, then please:</t>
  </si>
  <si>
    <t>Email Ray Banks</t>
  </si>
  <si>
    <t>LINKS:</t>
  </si>
  <si>
    <t>Glossary</t>
  </si>
  <si>
    <t>Main Page</t>
  </si>
  <si>
    <t>SNP Index</t>
  </si>
  <si>
    <t>Papers/Presentations Cited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</si>
  <si>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</si>
  <si>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</si>
  <si>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</si>
  <si>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</si>
  <si>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</si>
  <si>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</si>
  <si>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</si>
  <si>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</si>
  <si>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found in the area of the chromosome used in recent research studies.</t>
    </r>
  </si>
  <si>
    <r>
      <t>SNPs listed below in</t>
    </r>
    <r>
      <rPr>
        <i/>
      </rPr>
      <t xml:space="preserve"> 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</si>
  <si>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</si>
  <si>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K  </t>
  </si>
  <si>
    <t>M9/PF5506</t>
  </si>
  <si>
    <t>K~</t>
  </si>
  <si>
    <t>P128/PF5504, P131/PF5493, P132/PF5480</t>
  </si>
  <si>
    <t>LT or K1</t>
  </si>
  <si>
    <t>L298/P326, etc</t>
  </si>
  <si>
    <t>M20/PF5570</t>
  </si>
  <si>
    <t>M184/Page34/USP9Y+3178, etc.</t>
  </si>
  <si>
    <t xml:space="preserve">K2  </t>
  </si>
  <si>
    <t xml:space="preserve">M526/PF5979 </t>
  </si>
  <si>
    <t>&lt;--This was previously classified as K(xLT), etc.</t>
  </si>
  <si>
    <t xml:space="preserve">NO or K2a </t>
  </si>
  <si>
    <t>F549/M2335/S22380/V4208</t>
  </si>
  <si>
    <t>NO1 or K2a1</t>
  </si>
  <si>
    <t>M214/Page39 etc.</t>
  </si>
  <si>
    <t>M231/Page91 etc.</t>
  </si>
  <si>
    <t>M175</t>
  </si>
  <si>
    <t xml:space="preserve">K2b </t>
  </si>
  <si>
    <t>M1221/P331/PF5911</t>
  </si>
  <si>
    <t>K2b1</t>
  </si>
  <si>
    <r>
      <rPr>
        <b/>
      </rPr>
      <t>P399</t>
    </r>
    <r>
      <t xml:space="preserve">, </t>
    </r>
    <r>
      <rPr>
        <i/>
      </rPr>
      <t>P397^^, PR2099/Y25867, Z31091, Z31092, Z31109</t>
    </r>
  </si>
  <si>
    <r>
      <rPr>
        <b/>
        <i/>
      </rPr>
      <t>B254</t>
    </r>
    <r>
      <rPr>
        <i/>
      </rPr>
      <t>, Z33335</t>
    </r>
  </si>
  <si>
    <t>M or K2b1b</t>
  </si>
  <si>
    <t>P256, etc</t>
  </si>
  <si>
    <t>P or K2b2</t>
  </si>
  <si>
    <t>P295/PF5866/S8, etc</t>
  </si>
  <si>
    <t>K2c</t>
  </si>
  <si>
    <r>
      <rPr>
        <b/>
      </rPr>
      <t>P261</t>
    </r>
    <r>
      <t>, P263</t>
    </r>
  </si>
  <si>
    <t>K2d</t>
  </si>
  <si>
    <r>
      <rPr>
        <b/>
      </rPr>
      <t>P402</t>
    </r>
    <r>
      <t>, P403</t>
    </r>
  </si>
  <si>
    <t>K2e~</t>
  </si>
  <si>
    <t>M147</t>
  </si>
  <si>
    <t xml:space="preserve">      MUTATION INFORMATION AT VERY BOTTOM HERE</t>
  </si>
  <si>
    <t>NOTES:</t>
  </si>
  <si>
    <t>Identical SNPs that were discovered separately are listed in alphabetical order, not necessarily in the order of discovery,</t>
  </si>
  <si>
    <t>and separated by "/". Examples: M74/N12, M184/USP9Y+3178.</t>
  </si>
  <si>
    <t xml:space="preserve">The Karafet et al (2008) paper made a major change to Haplogroup K. The subgroups formerly known as K1 and K7 </t>
  </si>
  <si>
    <t>was moved to M2 and M3, respectively, and K2 and K5 became Haplogroups S and T, respectively.</t>
  </si>
  <si>
    <t xml:space="preserve">The 50f2(C) deletion in the AZFc region of the human Y chromosome has been observed in several different haplogroups </t>
  </si>
  <si>
    <t>and is not a unique event polymorphism. It is notable, however, that it has been detected at relatively high</t>
  </si>
  <si>
    <t>levels in subgroups of K in Melanesia - K* (21%), and K3 (14%).</t>
  </si>
  <si>
    <t>P299 appeared in earlier K trees, but was omitted in 2014 Karafet study so its placement is uncertain.</t>
  </si>
  <si>
    <t xml:space="preserve">The chromosome location for M-P256 shown in Karafet (2008) seems off by one chromosome position. All M samples </t>
  </si>
  <si>
    <t>from next-generation sequencing show the same mutation at adjacent chromosome position</t>
  </si>
  <si>
    <t>8685231. So this is the position tentatively listed in the ISOGG index. Listed 31 August 2016.</t>
  </si>
  <si>
    <t xml:space="preserve">Y-DNA haplogroup K  </t>
  </si>
  <si>
    <t xml:space="preserve">is an old lineage established approximately 40,000 thousand years ago whose origins were probably in </t>
  </si>
  <si>
    <t>southwestern Asia.  K's structure is interwoven with other haplogroups downstream (refer to the main tree at</t>
  </si>
  <si>
    <t>Y-DNA Haplogroup Tree)</t>
  </si>
  <si>
    <t>The subclades restricted to K itself are found at low frequencies in</t>
  </si>
  <si>
    <t>various parts of Africa, Eurasia, Australia and the South Pacific.</t>
  </si>
  <si>
    <t>Geographical Distribution of ancestry of men in Haplogroup K (not complete):</t>
  </si>
  <si>
    <t>K2c P261 Balinese Indonesia</t>
  </si>
  <si>
    <t>K2d P402 Javanese Indonesia</t>
  </si>
  <si>
    <t>K2e M147 India, Pakistan</t>
  </si>
  <si>
    <t>References:</t>
  </si>
  <si>
    <t>Alonso et al, The Place of the Basques in the European Y-chromosome Diversity Landscape. European Journal of Human Genetics, 13:1293-1302, 2005.</t>
  </si>
  <si>
    <t>Behar et al, Genome-Wide Structure of the Jewish People. Nature, 446:238-42, 2010.</t>
  </si>
  <si>
    <t>Bergstrom, et al, Deep Roots for Aboriginal Australian Y Chromosomes. (pdf) Current Biology, 26:809-813, (2016).</t>
  </si>
  <si>
    <t>Biro et al, A Y-Chromosomal Comparison of the Madjars (Kazakhstan) and the Magyars (Hungary), American Journal of Physical Anthropology, 139(3): 305-10, 2009. (abstract)</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</si>
  <si>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</si>
  <si>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</si>
  <si>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</si>
  <si>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Cox M P &amp; Lahr M M, Y-Chromosome Diversity Is Inversely Associated with Language Affiliation in Paired Austronesian- and Papuan-Speaking Communities from Solomon Islands. (pdf) American Journal of Human Biology, 18:35-50, 2006.</t>
  </si>
  <si>
    <t>Cruciani et al, A Back Migration from Asia to Sub-Saharan Africa Is Supported by High-Resolution Analysis of Human Y-Chromosome Haplotypes. American Journal of Human Genetics, 70:1197-1214, 2002.</t>
  </si>
  <si>
    <t>Delfin et al, The Y Chromosome Landscape of the Philippines: Extensive Heterogeneity and Varying Genetic Affinities of Negrito and Non-Negrito Groups. (abstract) European Journal of Human Genetics, 19:224-30, 2011.</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</si>
  <si>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</si>
  <si>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</si>
  <si>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</si>
  <si>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Karafet et al, Improved Phylogenetic Resolution and Rapid Diversification of Y-chromosome Haplogroup K-M526 in Southeast Asia. European Journal of Human Genetics, 1-5, 2014.</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</si>
  <si>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</si>
  <si>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</si>
  <si>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</si>
  <si>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</si>
  <si>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</si>
  <si>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</si>
  <si>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</si>
  <si>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Mona et al, Patterns of Y-chromosome Diversity Intersect with the Trans-New Guinea Hypothesis. Mol Biol Evol. 2007 Sep 10; [Epub ahead of print]</t>
  </si>
  <si>
    <t>Regueiro et al, Iran: Tricontinental Nexus for Y-Chromosome Driven Migration. (abstract) Human Heredity, Vol. 61, No 3, 132-143, 2006.</t>
  </si>
  <si>
    <t>Scheinfeldt et al, Unexpected NRY Chromosome Variation in Northern Island Melanesia. Society for Molecular Biology,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</si>
  <si>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</si>
  <si>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</si>
  <si>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</si>
  <si>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</si>
  <si>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</si>
  <si>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</si>
  <si>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</si>
  <si>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</si>
  <si>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</si>
  <si>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Corrections/Additions made since 1 January 2019:</t>
  </si>
  <si>
    <t>None</t>
  </si>
  <si>
    <t xml:space="preserve">Back to </t>
  </si>
  <si>
    <t>Copyright 2020,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</si>
  <si>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</si>
  <si>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</si>
  <si>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</si>
  <si>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</si>
  <si>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</si>
  <si>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</si>
  <si>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</si>
  <si>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</si>
  <si>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</si>
  <si>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M9</t>
  </si>
  <si>
    <t>PF5506</t>
  </si>
  <si>
    <t>rs3900</t>
  </si>
  <si>
    <t>C-&gt;G</t>
  </si>
  <si>
    <t>P128</t>
  </si>
  <si>
    <t>PF5504</t>
  </si>
  <si>
    <t>rs17250121</t>
  </si>
  <si>
    <t>C-&gt;T</t>
  </si>
  <si>
    <t>P131</t>
  </si>
  <si>
    <t>PF5493</t>
  </si>
  <si>
    <t>rs9786043</t>
  </si>
  <si>
    <t>P132</t>
  </si>
  <si>
    <t>PF5480</t>
  </si>
  <si>
    <t>rs3853054</t>
  </si>
  <si>
    <t>G-&gt;T</t>
  </si>
  <si>
    <t>L298</t>
  </si>
  <si>
    <t>P326</t>
  </si>
  <si>
    <t>rs372687543</t>
  </si>
  <si>
    <t>T-&gt;C</t>
  </si>
  <si>
    <t>M20</t>
  </si>
  <si>
    <t>PF5570</t>
  </si>
  <si>
    <t>rs3911</t>
  </si>
  <si>
    <t>A-&gt;G</t>
  </si>
  <si>
    <t>M184</t>
  </si>
  <si>
    <t xml:space="preserve">Page34; USP9Y+3178 </t>
  </si>
  <si>
    <t>rs20320</t>
  </si>
  <si>
    <t>G-&gt;A</t>
  </si>
  <si>
    <t>Page34</t>
  </si>
  <si>
    <t>M184; USP9Y+3178</t>
  </si>
  <si>
    <t>USP9Y+3178</t>
  </si>
  <si>
    <t>M184; Page34</t>
  </si>
  <si>
    <t>M526</t>
  </si>
  <si>
    <t>PF5979</t>
  </si>
  <si>
    <t>rs2033003</t>
  </si>
  <si>
    <t>A-&gt;C</t>
  </si>
  <si>
    <t>F549</t>
  </si>
  <si>
    <t>M2335; S22380; V4208</t>
  </si>
  <si>
    <t>rs72611690</t>
  </si>
  <si>
    <t>M2335</t>
  </si>
  <si>
    <t>F549; S22380; V4208</t>
  </si>
  <si>
    <t>S22380</t>
  </si>
  <si>
    <t>F549; M2335; V4208</t>
  </si>
  <si>
    <t>V4208</t>
  </si>
  <si>
    <t>F549; S22380; M2335</t>
  </si>
  <si>
    <t>M214</t>
  </si>
  <si>
    <t>Page39</t>
  </si>
  <si>
    <t>rs2032674</t>
  </si>
  <si>
    <t>M231</t>
  </si>
  <si>
    <t>Page91</t>
  </si>
  <si>
    <t>rs9341278</t>
  </si>
  <si>
    <t xml:space="preserve">M231 </t>
  </si>
  <si>
    <t>rs2032678</t>
  </si>
  <si>
    <t>15508706..15508710</t>
  </si>
  <si>
    <t>13396826..13396830</t>
  </si>
  <si>
    <t>ins-&gt;del -5 bp</t>
  </si>
  <si>
    <t>M1221</t>
  </si>
  <si>
    <t>P331; PF5911</t>
  </si>
  <si>
    <t>rs9785994</t>
  </si>
  <si>
    <t>P331</t>
  </si>
  <si>
    <t>M1221; PF5911</t>
  </si>
  <si>
    <t>PF5911</t>
  </si>
  <si>
    <t>M1221; P331</t>
  </si>
  <si>
    <t>P399</t>
  </si>
  <si>
    <t>rs866700638</t>
  </si>
  <si>
    <t>P397^^</t>
  </si>
  <si>
    <t>rs866575143</t>
  </si>
  <si>
    <t>PR2099</t>
  </si>
  <si>
    <t>Y25867</t>
  </si>
  <si>
    <t>rs369017623</t>
  </si>
  <si>
    <t>Z31091</t>
  </si>
  <si>
    <t>rs369036472</t>
  </si>
  <si>
    <t>Z31092</t>
  </si>
  <si>
    <t>rs372573865</t>
  </si>
  <si>
    <t>Z31109</t>
  </si>
  <si>
    <t>rs376075202</t>
  </si>
  <si>
    <t>T-&gt;G</t>
  </si>
  <si>
    <t>B254</t>
  </si>
  <si>
    <t>rs372295336</t>
  </si>
  <si>
    <t>C-&gt;A</t>
  </si>
  <si>
    <t>Z33335</t>
  </si>
  <si>
    <t>P256</t>
  </si>
  <si>
    <t>P295</t>
  </si>
  <si>
    <t>PF5866; S8</t>
  </si>
  <si>
    <t>rs895530</t>
  </si>
  <si>
    <t>PF5866</t>
  </si>
  <si>
    <t>P295; S8</t>
  </si>
  <si>
    <t>S8</t>
  </si>
  <si>
    <t>P295; PF5866</t>
  </si>
  <si>
    <t>P261</t>
  </si>
  <si>
    <t>P263</t>
  </si>
  <si>
    <t>rs796289797</t>
  </si>
  <si>
    <t>P402</t>
  </si>
  <si>
    <t>rs866806033</t>
  </si>
  <si>
    <t>P403</t>
  </si>
  <si>
    <t>rs1235125909</t>
  </si>
  <si>
    <t>del-&gt;T</t>
  </si>
</sst>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font>
    <font>
      <b/>
      <sz val="10.0"/>
      <name val="Arial"/>
    </font>
    <font>
      <sz val="10.0"/>
      <name val="Arial"/>
    </font>
    <font>
      <b/>
      <sz val="24.0"/>
      <color rgb="FF000000"/>
      <name val="Times New Roman"/>
    </font>
    <font>
      <b/>
      <sz val="10.0"/>
      <color rgb="FFE06666"/>
      <name val="Arial"/>
    </font>
    <font>
      <sz val="10.0"/>
      <color rgb="FFE06666"/>
      <name val="Arial"/>
    </font>
    <font>
      <i/>
      <sz val="10.0"/>
      <color rgb="FFCC0000"/>
      <name val="Arial"/>
    </font>
    <font>
      <sz val="12.0"/>
      <color rgb="FF000000"/>
      <name val="Times New Roman"/>
    </font>
    <font>
      <sz val="12.0"/>
      <color rgb="FF1C4587"/>
      <name val="Times New Roman"/>
    </font>
    <font>
      <u/>
      <sz val="12.0"/>
      <color rgb="FF0066CC"/>
      <name val="Times New Roman"/>
    </font>
    <font>
      <u/>
      <sz val="12.0"/>
      <color rgb="FF1C4587"/>
      <name val="Times New Roman"/>
    </font>
    <font/>
    <font>
      <sz val="12.0"/>
      <name val="Times New Roman"/>
    </font>
    <font>
      <u/>
      <sz val="12.0"/>
      <color rgb="FF0066CC"/>
      <name val="Times New Roman"/>
    </font>
    <font>
      <b/>
      <sz val="12.0"/>
      <color rgb="FF000000"/>
      <name val="Times New Roman"/>
    </font>
    <font>
      <u/>
      <sz val="12.0"/>
      <color rgb="FF0066CC"/>
      <name val="Times New Roman"/>
    </font>
    <font>
      <u/>
      <sz val="12.0"/>
      <color rgb="FF0066CC"/>
      <name val="Times New Roman"/>
    </font>
    <font>
      <sz val="12.0"/>
      <color rgb="FFCC0000"/>
      <name val="Times New Roman"/>
    </font>
    <font>
      <sz val="12.0"/>
      <color rgb="FF999999"/>
      <name val="Times New Roman"/>
    </font>
    <font>
      <sz val="10.0"/>
      <color rgb="FFFFFFFF"/>
      <name val="Arial"/>
    </font>
    <font>
      <sz val="10.0"/>
      <color rgb="FF999999"/>
      <name val="Arial"/>
    </font>
    <font>
      <u/>
      <sz val="10.0"/>
      <color rgb="FFFFFFFF"/>
      <name val="Arial"/>
    </font>
    <font>
      <b/>
      <sz val="10.0"/>
      <color rgb="FF000000"/>
      <name val="Arial"/>
    </font>
    <font>
      <u/>
      <sz val="10.0"/>
      <color rgb="FFFFFFFF"/>
      <name val="Arial"/>
    </font>
    <font>
      <b/>
      <i/>
      <sz val="10.0"/>
      <color rgb="FF000000"/>
      <name val="Arial"/>
    </font>
    <font>
      <u/>
      <sz val="10.0"/>
      <color rgb="FFFFFFFF"/>
      <name val="Arial"/>
    </font>
    <font>
      <sz val="10.0"/>
      <color rgb="FFB7B7B7"/>
      <name val="Arial"/>
    </font>
    <font>
      <sz val="11.0"/>
      <name val="Arial"/>
    </font>
    <font>
      <u/>
      <sz val="12.0"/>
      <color rgb="FF1C4587"/>
      <name val="Times New Roman"/>
    </font>
    <font>
      <color rgb="FF1C4587"/>
    </font>
    <font>
      <u/>
      <sz val="12.0"/>
      <color rgb="FF0066CC"/>
      <name val="Times New Roman"/>
    </font>
    <font>
      <name val="Arial"/>
    </font>
    <font>
      <sz val="10.0"/>
    </font>
    <font>
      <u/>
      <sz val="12.0"/>
      <color rgb="FF0066CC"/>
      <name val="Times New Roman"/>
    </font>
    <font>
      <u/>
      <sz val="12.0"/>
      <color rgb="FF0000FF"/>
      <name val="Times New Roman"/>
    </font>
    <font>
      <b/>
      <sz val="14.0"/>
    </font>
    <font>
      <sz val="14.0"/>
    </font>
    <font>
      <color rgb="FFCC0000"/>
    </font>
    <font>
      <b/>
    </font>
    <font>
      <sz val="11.0"/>
      <color rgb="FF000000"/>
      <name val="Calibri"/>
    </font>
    <font>
      <u/>
      <color rgb="FF0000FF"/>
    </font>
    <font>
      <sz val="11.0"/>
      <name val="Calibri"/>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B7B7B7"/>
        <bgColor rgb="FFB7B7B7"/>
      </patternFill>
    </fill>
    <fill>
      <patternFill patternType="solid">
        <fgColor rgb="FFFFF2CC"/>
        <bgColor rgb="FFFFF2CC"/>
      </patternFill>
    </fill>
    <fill>
      <patternFill patternType="solid">
        <fgColor rgb="FFC9DAF8"/>
        <bgColor rgb="FFC9DAF8"/>
      </patternFill>
    </fill>
  </fills>
  <borders count="9">
    <border/>
    <border>
      <left style="thin">
        <color rgb="FFCC0000"/>
      </left>
      <right style="thin">
        <color rgb="FFCC0000"/>
      </right>
      <top style="thin">
        <color rgb="FFCC0000"/>
      </top>
      <bottom style="thin">
        <color rgb="FFCC0000"/>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000000"/>
      </right>
    </border>
    <border>
      <right style="thin">
        <color rgb="FFEFEFEF"/>
      </right>
    </border>
    <border>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0" xfId="0" applyAlignment="1" applyFont="1">
      <alignment horizontal="center" readingOrder="0"/>
    </xf>
    <xf borderId="0" fillId="0" fontId="2" numFmtId="0" xfId="0" applyFont="1"/>
    <xf borderId="0" fillId="0" fontId="4" numFmtId="0" xfId="0" applyFont="1"/>
    <xf borderId="0" fillId="0" fontId="5" numFmtId="0" xfId="0" applyFont="1"/>
    <xf borderId="1" fillId="0" fontId="6" numFmtId="0" xfId="0" applyAlignment="1" applyBorder="1" applyFont="1">
      <alignment readingOrder="0"/>
    </xf>
    <xf borderId="1" fillId="0" fontId="5" numFmtId="0" xfId="0" applyBorder="1" applyFont="1"/>
    <xf borderId="0" fillId="0" fontId="7" numFmtId="0" xfId="0" applyAlignment="1" applyFont="1">
      <alignment horizontal="left" readingOrder="0"/>
    </xf>
    <xf borderId="0" fillId="0" fontId="8" numFmtId="0" xfId="0" applyAlignment="1" applyFont="1">
      <alignment horizontal="left" readingOrder="0"/>
    </xf>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readingOrder="0"/>
    </xf>
    <xf borderId="0" fillId="0" fontId="12" numFmtId="0" xfId="0" applyAlignment="1" applyFont="1">
      <alignment horizontal="right" readingOrder="0"/>
    </xf>
    <xf borderId="0" fillId="0" fontId="13" numFmtId="0" xfId="0" applyAlignment="1" applyFont="1">
      <alignment horizontal="center" readingOrder="0"/>
    </xf>
    <xf borderId="0" fillId="0" fontId="7" numFmtId="0" xfId="0" applyAlignment="1" applyFont="1">
      <alignment horizontal="center" readingOrder="0"/>
    </xf>
    <xf borderId="0" fillId="3" fontId="12" numFmtId="0" xfId="0" applyAlignment="1" applyFill="1" applyFont="1">
      <alignment readingOrder="0"/>
    </xf>
    <xf borderId="0" fillId="3" fontId="7" numFmtId="0" xfId="0" applyAlignment="1" applyFont="1">
      <alignment horizontal="left" readingOrder="0"/>
    </xf>
    <xf borderId="0" fillId="3" fontId="2" numFmtId="0" xfId="0" applyFont="1"/>
    <xf borderId="0" fillId="3" fontId="11" numFmtId="0" xfId="0" applyFont="1"/>
    <xf borderId="0" fillId="0" fontId="14" numFmtId="0" xfId="0" applyAlignment="1" applyFont="1">
      <alignment horizontal="center" readingOrder="0"/>
    </xf>
    <xf borderId="0" fillId="0" fontId="15" numFmtId="0" xfId="0" applyAlignment="1" applyFont="1">
      <alignment horizontal="center" readingOrder="0"/>
    </xf>
    <xf borderId="0" fillId="0" fontId="16" numFmtId="0" xfId="0" applyAlignment="1" applyFont="1">
      <alignment horizontal="right" readingOrder="0"/>
    </xf>
    <xf borderId="0" fillId="0" fontId="14" numFmtId="0" xfId="0" applyAlignment="1" applyFont="1">
      <alignment horizontal="left" readingOrder="0"/>
    </xf>
    <xf borderId="0" fillId="0" fontId="17" numFmtId="0" xfId="0" applyAlignment="1" applyFont="1">
      <alignment horizontal="center" readingOrder="0"/>
    </xf>
    <xf borderId="0" fillId="0" fontId="18" numFmtId="0" xfId="0" applyAlignment="1" applyFont="1">
      <alignment horizontal="center" readingOrder="0"/>
    </xf>
    <xf borderId="2" fillId="3" fontId="7" numFmtId="0" xfId="0" applyAlignment="1" applyBorder="1" applyFont="1">
      <alignment horizontal="left" readingOrder="0" shrinkToFit="0" wrapText="1"/>
    </xf>
    <xf borderId="3" fillId="0" fontId="11" numFmtId="0" xfId="0" applyBorder="1" applyFont="1"/>
    <xf borderId="4" fillId="0" fontId="11" numFmtId="0" xfId="0" applyBorder="1" applyFont="1"/>
    <xf borderId="5" fillId="4" fontId="2" numFmtId="0" xfId="0" applyBorder="1" applyFill="1" applyFont="1"/>
    <xf borderId="0" fillId="3" fontId="7" numFmtId="0" xfId="0" applyAlignment="1" applyFont="1">
      <alignment horizontal="left" readingOrder="0" shrinkToFit="0" wrapText="1"/>
    </xf>
    <xf borderId="0" fillId="4" fontId="2" numFmtId="0" xfId="0" applyFont="1"/>
    <xf borderId="0" fillId="5" fontId="19" numFmtId="0" xfId="0" applyAlignment="1" applyFill="1" applyFont="1">
      <alignment readingOrder="0"/>
    </xf>
    <xf borderId="0" fillId="6" fontId="19" numFmtId="0" xfId="0" applyAlignment="1" applyFill="1" applyFont="1">
      <alignment horizontal="left" readingOrder="0"/>
    </xf>
    <xf borderId="0" fillId="0" fontId="20" numFmtId="0" xfId="0" applyAlignment="1" applyFont="1">
      <alignment readingOrder="0"/>
    </xf>
    <xf borderId="0" fillId="5" fontId="21" numFmtId="0" xfId="0" applyAlignment="1" applyFont="1">
      <alignment horizontal="left" readingOrder="0"/>
    </xf>
    <xf borderId="0" fillId="0" fontId="22" numFmtId="0" xfId="0" applyAlignment="1" applyFont="1">
      <alignment horizontal="left" readingOrder="0"/>
    </xf>
    <xf borderId="0" fillId="5" fontId="23" numFmtId="0" xfId="0" applyAlignment="1" applyFont="1">
      <alignment readingOrder="0"/>
    </xf>
    <xf borderId="6" fillId="0" fontId="2" numFmtId="0" xfId="0" applyBorder="1" applyFont="1"/>
    <xf borderId="7" fillId="0" fontId="2" numFmtId="0" xfId="0" applyBorder="1" applyFont="1"/>
    <xf quotePrefix="1" borderId="6" fillId="4" fontId="0" numFmtId="0" xfId="0" applyAlignment="1" applyBorder="1" applyFont="1">
      <alignment readingOrder="0"/>
    </xf>
    <xf borderId="0" fillId="0" fontId="24" numFmtId="0" xfId="0" applyAlignment="1" applyFont="1">
      <alignment horizontal="left" readingOrder="0"/>
    </xf>
    <xf borderId="0" fillId="0" fontId="1" numFmtId="0" xfId="0" applyAlignment="1" applyFont="1">
      <alignment readingOrder="0"/>
    </xf>
    <xf borderId="0" fillId="0" fontId="2" numFmtId="0" xfId="0" applyAlignment="1" applyFont="1">
      <alignment readingOrder="0"/>
    </xf>
    <xf borderId="0" fillId="5" fontId="25" numFmtId="0" xfId="0" applyAlignment="1" applyFont="1">
      <alignment horizontal="left" readingOrder="0"/>
    </xf>
    <xf borderId="0" fillId="5" fontId="19" numFmtId="0" xfId="0" applyAlignment="1" applyFont="1">
      <alignment horizontal="left" readingOrder="0"/>
    </xf>
    <xf borderId="0" fillId="7" fontId="19" numFmtId="0" xfId="0" applyAlignment="1" applyFill="1" applyFont="1">
      <alignment horizontal="left" readingOrder="0"/>
    </xf>
    <xf borderId="0" fillId="0" fontId="26" numFmtId="0" xfId="0" applyAlignment="1" applyFont="1">
      <alignment horizontal="left" readingOrder="0"/>
    </xf>
    <xf borderId="8" fillId="8" fontId="14" numFmtId="0" xfId="0" applyAlignment="1" applyBorder="1" applyFill="1" applyFont="1">
      <alignment readingOrder="0" shrinkToFit="0" vertical="bottom" wrapText="0"/>
    </xf>
    <xf borderId="0" fillId="8" fontId="11" numFmtId="0" xfId="0" applyFont="1"/>
    <xf borderId="0" fillId="0" fontId="11" numFmtId="0" xfId="0" applyAlignment="1" applyFont="1">
      <alignment horizontal="left"/>
    </xf>
    <xf borderId="0" fillId="0" fontId="27" numFmtId="0" xfId="0" applyFont="1"/>
    <xf borderId="0" fillId="0" fontId="12" numFmtId="0" xfId="0" applyAlignment="1" applyFont="1">
      <alignment readingOrder="0"/>
    </xf>
    <xf borderId="0" fillId="0" fontId="12" numFmtId="0" xfId="0" applyFont="1"/>
    <xf borderId="0" fillId="0" fontId="28" numFmtId="0" xfId="0" applyAlignment="1" applyFont="1">
      <alignment horizontal="left" readingOrder="0"/>
    </xf>
    <xf borderId="0" fillId="0" fontId="29" numFmtId="0" xfId="0" applyFont="1"/>
    <xf borderId="8" fillId="0" fontId="30" numFmtId="0" xfId="0" applyAlignment="1" applyBorder="1" applyFont="1">
      <alignment shrinkToFit="0" vertical="bottom" wrapText="0"/>
    </xf>
    <xf borderId="0" fillId="0" fontId="31" numFmtId="0" xfId="0" applyAlignment="1" applyFont="1">
      <alignment vertical="bottom"/>
    </xf>
    <xf borderId="0" fillId="0" fontId="32" numFmtId="0" xfId="0" applyAlignment="1" applyFont="1">
      <alignment readingOrder="0"/>
    </xf>
    <xf borderId="0" fillId="0" fontId="32" numFmtId="0" xfId="0" applyFont="1"/>
    <xf borderId="0" fillId="0" fontId="33" numFmtId="0" xfId="0" applyAlignment="1" applyFont="1">
      <alignment horizontal="left" readingOrder="0"/>
    </xf>
    <xf borderId="0" fillId="0" fontId="34" numFmtId="0" xfId="0" applyAlignment="1" applyFont="1">
      <alignment readingOrder="0"/>
    </xf>
    <xf borderId="0" fillId="0" fontId="7" numFmtId="0" xfId="0" applyAlignment="1" applyFont="1">
      <alignment horizontal="left"/>
    </xf>
    <xf borderId="0" fillId="0" fontId="7" numFmtId="0" xfId="0" applyAlignment="1" applyFont="1">
      <alignment horizontal="left"/>
    </xf>
    <xf borderId="0" fillId="8" fontId="35" numFmtId="0" xfId="0" applyAlignment="1" applyFont="1">
      <alignment readingOrder="0"/>
    </xf>
    <xf borderId="0" fillId="8" fontId="35" numFmtId="0" xfId="0" applyFont="1"/>
    <xf borderId="0" fillId="8" fontId="36" numFmtId="0" xfId="0" applyFont="1"/>
    <xf borderId="0" fillId="0" fontId="37" numFmtId="0" xfId="0" applyAlignment="1" applyFont="1">
      <alignment readingOrder="0"/>
    </xf>
    <xf borderId="0" fillId="0" fontId="37" numFmtId="0" xfId="0" applyFont="1"/>
    <xf borderId="0" fillId="9" fontId="38" numFmtId="0" xfId="0" applyFill="1" applyFont="1"/>
    <xf borderId="0" fillId="9" fontId="38" numFmtId="0" xfId="0" applyAlignment="1" applyFont="1">
      <alignment readingOrder="0"/>
    </xf>
    <xf borderId="0" fillId="9" fontId="38" numFmtId="0" xfId="0" applyAlignment="1" applyFont="1">
      <alignment horizontal="center" readingOrder="0"/>
    </xf>
    <xf borderId="0" fillId="0" fontId="39" numFmtId="0" xfId="0" applyAlignment="1" applyFont="1">
      <alignment readingOrder="0" shrinkToFit="0" vertical="bottom" wrapText="0"/>
    </xf>
    <xf borderId="0" fillId="0" fontId="39" numFmtId="0" xfId="0" applyAlignment="1" applyFont="1">
      <alignment horizontal="right" readingOrder="0" shrinkToFit="0" vertical="bottom" wrapText="0"/>
    </xf>
    <xf borderId="0" fillId="0" fontId="39" numFmtId="0" xfId="0" applyAlignment="1" applyFont="1">
      <alignment readingOrder="0" shrinkToFit="0" vertical="bottom" wrapText="0"/>
    </xf>
    <xf borderId="0" fillId="0" fontId="40" numFmtId="0" xfId="0" applyFont="1"/>
    <xf borderId="0" fillId="4" fontId="41" numFmtId="0" xfId="0" applyAlignment="1" applyFont="1">
      <alignment vertical="bottom"/>
    </xf>
    <xf borderId="0" fillId="4" fontId="41" numFmtId="0" xfId="0" applyAlignment="1" applyFont="1">
      <alignment vertical="bottom"/>
    </xf>
    <xf borderId="0" fillId="4" fontId="41" numFmtId="0" xfId="0" applyAlignment="1" applyFont="1">
      <alignment readingOrder="0" vertical="bottom"/>
    </xf>
    <xf borderId="0" fillId="0" fontId="39" numFmtId="0" xfId="0" applyAlignment="1" applyFont="1">
      <alignment readingOrder="0" shrinkToFit="0" vertical="bottom" wrapText="1"/>
    </xf>
    <xf borderId="0" fillId="0" fontId="39" numFmtId="0" xfId="0" applyAlignment="1" applyFont="1">
      <alignment horizontal="right" readingOrder="0"/>
    </xf>
    <xf borderId="0" fillId="0" fontId="41" numFmtId="0" xfId="0" applyAlignment="1" applyFont="1">
      <alignment readingOrder="0"/>
    </xf>
    <xf borderId="0" fillId="0" fontId="41"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115</xdr:row>
      <xdr:rowOff>209550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isogg.org/tree/index.html" TargetMode="External"/><Relationship Id="rId20" Type="http://schemas.openxmlformats.org/officeDocument/2006/relationships/hyperlink" Target="http://library.ibp.ac.cn/html/slwj/000222645600001.pdf" TargetMode="External"/><Relationship Id="rId42" Type="http://schemas.openxmlformats.org/officeDocument/2006/relationships/hyperlink" Target="http://www.isogg.org/tree/ISOGG_Glossary.html" TargetMode="External"/><Relationship Id="rId41" Type="http://schemas.openxmlformats.org/officeDocument/2006/relationships/hyperlink" Target="http://www.isogg.org/tree/ISOGG_YDNA_SNP_Index.html" TargetMode="External"/><Relationship Id="rId22" Type="http://schemas.openxmlformats.org/officeDocument/2006/relationships/hyperlink" Target="http://hpgl.stanford.edu/publications/EJHG_2004_v12_p855.pdf" TargetMode="External"/><Relationship Id="rId21" Type="http://schemas.openxmlformats.org/officeDocument/2006/relationships/hyperlink" Target="http://www.nature.com/ejhg/journal/v18/n3/abs/ejhg2009168a.html" TargetMode="External"/><Relationship Id="rId43" Type="http://schemas.openxmlformats.org/officeDocument/2006/relationships/drawing" Target="../drawings/drawing1.xml"/><Relationship Id="rId24" Type="http://schemas.openxmlformats.org/officeDocument/2006/relationships/hyperlink" Target="http://genome.cshlp.org/content/early/2015/03/13/gr.186684.114.abstract" TargetMode="External"/><Relationship Id="rId23" Type="http://schemas.openxmlformats.org/officeDocument/2006/relationships/hyperlink" Target="http://www.nature.com/ejhg/journal/vaop/ncurrent/full/ejhg2014106a.html" TargetMode="External"/><Relationship Id="rId1" Type="http://schemas.openxmlformats.org/officeDocument/2006/relationships/hyperlink" Target="mailto:dnagrouper2@gmail.com" TargetMode="External"/><Relationship Id="rId2" Type="http://schemas.openxmlformats.org/officeDocument/2006/relationships/hyperlink" Target="http://www.isogg.org/tree/ISOGG_Glossary.html" TargetMode="External"/><Relationship Id="rId3" Type="http://schemas.openxmlformats.org/officeDocument/2006/relationships/hyperlink" Target="http://www.isogg.org/tree/index.html" TargetMode="External"/><Relationship Id="rId4" Type="http://schemas.openxmlformats.org/officeDocument/2006/relationships/hyperlink" Target="http://www.isogg.org/tree/ISOGG_YDNA_SNP_Index.html" TargetMode="External"/><Relationship Id="rId9" Type="http://schemas.openxmlformats.org/officeDocument/2006/relationships/hyperlink" Target="http://www.isogg.org/tree/ISOGG_YDNATreeTrunk.html" TargetMode="External"/><Relationship Id="rId26" Type="http://schemas.openxmlformats.org/officeDocument/2006/relationships/hyperlink" Target="http://hpgl.stanford.edu/publications/AJHG_2001_v68_p173-190.pdf" TargetMode="External"/><Relationship Id="rId25" Type="http://schemas.openxmlformats.org/officeDocument/2006/relationships/hyperlink" Target="http://mbe.oxfordjournals.org/content/25/7/1362.full.pdf" TargetMode="External"/><Relationship Id="rId28" Type="http://schemas.openxmlformats.org/officeDocument/2006/relationships/hyperlink" Target="http://hpgl.stanford.edu/publications/AJHG_2003_v72_p281-302.pdf" TargetMode="External"/><Relationship Id="rId27" Type="http://schemas.openxmlformats.org/officeDocument/2006/relationships/hyperlink" Target="http://mbe.oxfordjournals.org/cgi/content/full/23/11/2234"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YDNATreeTrunk.html" TargetMode="External"/><Relationship Id="rId29" Type="http://schemas.openxmlformats.org/officeDocument/2006/relationships/hyperlink" Target="http://hpgl.stanford.edu/publications/AJHG_2003_v72_p313-332.pdf" TargetMode="External"/><Relationship Id="rId7" Type="http://schemas.openxmlformats.org/officeDocument/2006/relationships/hyperlink" Target="http://www.isogg.org/tree/ISOGG_HapgrpM.html" TargetMode="External"/><Relationship Id="rId8" Type="http://schemas.openxmlformats.org/officeDocument/2006/relationships/hyperlink" Target="http://www.isogg.org/tree/ISOGG_HapgrpP.html" TargetMode="External"/><Relationship Id="rId31" Type="http://schemas.openxmlformats.org/officeDocument/2006/relationships/hyperlink" Target="http://mbe.oxfordjournals.org/cgi/content/abstract/msm187v1" TargetMode="External"/><Relationship Id="rId30" Type="http://schemas.openxmlformats.org/officeDocument/2006/relationships/hyperlink" Target="http://www.ncbi.nlm.nih.gov/pmc/articles/PMC2408594/" TargetMode="External"/><Relationship Id="rId11" Type="http://schemas.openxmlformats.org/officeDocument/2006/relationships/hyperlink" Target="http://www.nature.com/nature/journal/v466/n7303/abs/nature09103.html" TargetMode="External"/><Relationship Id="rId33" Type="http://schemas.openxmlformats.org/officeDocument/2006/relationships/hyperlink" Target="http://mbe.oxfordjournals.org/content/23/8/1628.full.pdf" TargetMode="External"/><Relationship Id="rId10" Type="http://schemas.openxmlformats.org/officeDocument/2006/relationships/hyperlink" Target="http://www.ncbi.nlm.nih.gov/pubmed/16094307" TargetMode="External"/><Relationship Id="rId32" Type="http://schemas.openxmlformats.org/officeDocument/2006/relationships/hyperlink" Target="http://www.ncbi.nlm.nih.gov/pubmed/16770078" TargetMode="External"/><Relationship Id="rId13" Type="http://schemas.openxmlformats.org/officeDocument/2006/relationships/hyperlink" Target="http://onlinelibrary.wiley.com/doi/10.1002/ajpa.20984/abstract" TargetMode="External"/><Relationship Id="rId35" Type="http://schemas.openxmlformats.org/officeDocument/2006/relationships/hyperlink" Target="http://hpgl.stanford.edu/publications/AJHG_2006_v78_p202-221.pdf" TargetMode="External"/><Relationship Id="rId12" Type="http://schemas.openxmlformats.org/officeDocument/2006/relationships/hyperlink" Target="http://www.cell.com/current-biology/pdf/S0960-9822%2816%2900078-6.pdf" TargetMode="External"/><Relationship Id="rId34" Type="http://schemas.openxmlformats.org/officeDocument/2006/relationships/hyperlink" Target="http://hpgl.stanford.edu/publications/AJHG_2002_v70_p265-268.pdf" TargetMode="External"/><Relationship Id="rId15" Type="http://schemas.openxmlformats.org/officeDocument/2006/relationships/hyperlink" Target="http://onlinelibrary.wiley.com/doi/10.1111/j.1469-1809.2005.00251.x/pdf" TargetMode="External"/><Relationship Id="rId37" Type="http://schemas.openxmlformats.org/officeDocument/2006/relationships/hyperlink" Target="http://hpgl.stanford.edu/publications/AJHG_1999_v65_p1718.pdf" TargetMode="External"/><Relationship Id="rId14" Type="http://schemas.openxmlformats.org/officeDocument/2006/relationships/hyperlink" Target="http://www.pubmedcentral.nih.gov/articlerender.fcgi?artid=1180678" TargetMode="External"/><Relationship Id="rId36" Type="http://schemas.openxmlformats.org/officeDocument/2006/relationships/hyperlink" Target="http://evolutsioon.ut.ee/publications/Shen2004.pdf" TargetMode="External"/><Relationship Id="rId17" Type="http://schemas.openxmlformats.org/officeDocument/2006/relationships/hyperlink" Target="http://hammerlab.biosci.arizona.edu/publications/Cox_2006_AmJHumBiol_v18_p35.pdf" TargetMode="External"/><Relationship Id="rId39" Type="http://schemas.openxmlformats.org/officeDocument/2006/relationships/hyperlink" Target="http://www.nature.com/ejhg/journal/v16/n6/pdf/5201998a.pdf" TargetMode="External"/><Relationship Id="rId16" Type="http://schemas.openxmlformats.org/officeDocument/2006/relationships/hyperlink" Target="http://hpgl.stanford.edu/publications/HG_2004_v114_p127-148.pdf" TargetMode="External"/><Relationship Id="rId38" Type="http://schemas.openxmlformats.org/officeDocument/2006/relationships/hyperlink" Target="http://hpgl.stanford.edu/publications/CB_2002_p1-18.pdf" TargetMode="External"/><Relationship Id="rId19" Type="http://schemas.openxmlformats.org/officeDocument/2006/relationships/hyperlink" Target="http://www.nature.com/ejhg/journal/v19/n2/full/ejhg2010162a.html" TargetMode="External"/><Relationship Id="rId18" Type="http://schemas.openxmlformats.org/officeDocument/2006/relationships/hyperlink" Target="http://www.ncbi.nlm.nih.gov/pubmed/119105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8.14"/>
    <col customWidth="1" min="2" max="2" width="11.29"/>
    <col customWidth="1" min="3" max="3" width="10.86"/>
    <col customWidth="1" min="4" max="4" width="21.0"/>
    <col customWidth="1" min="5" max="5" width="12.57"/>
    <col customWidth="1" min="6" max="6" width="10.14"/>
    <col customWidth="1" min="7" max="7" width="15.86"/>
  </cols>
  <sheetData>
    <row r="1">
      <c r="A1" s="1"/>
      <c r="B1" s="1"/>
      <c r="C1" s="2"/>
      <c r="D1" s="2"/>
      <c r="E1" s="2"/>
      <c r="F1" s="3" t="s">
        <v>0</v>
      </c>
      <c r="G1" s="2"/>
      <c r="H1" s="2"/>
      <c r="I1" s="2"/>
      <c r="K1" s="4"/>
      <c r="L1" s="4"/>
      <c r="M1" s="4"/>
      <c r="N1" s="4"/>
      <c r="O1" s="4"/>
      <c r="P1" s="4"/>
      <c r="Q1" s="4"/>
      <c r="R1" s="4"/>
      <c r="S1" s="4"/>
      <c r="T1" s="4"/>
      <c r="U1" s="4"/>
      <c r="V1" s="4"/>
      <c r="W1" s="4"/>
      <c r="X1" s="4"/>
      <c r="Y1" s="4"/>
      <c r="Z1" s="4"/>
    </row>
    <row r="2">
      <c r="B2" s="5"/>
      <c r="C2" s="6"/>
      <c r="D2" s="4"/>
      <c r="E2" s="4"/>
      <c r="F2" s="4"/>
      <c r="H2" s="4"/>
      <c r="I2" s="4"/>
      <c r="J2" s="4"/>
      <c r="K2" s="4"/>
      <c r="L2" s="4"/>
      <c r="M2" s="4"/>
      <c r="N2" s="4"/>
      <c r="O2" s="4"/>
      <c r="P2" s="4"/>
      <c r="Q2" s="4"/>
      <c r="R2" s="4"/>
      <c r="S2" s="4"/>
      <c r="T2" s="4"/>
      <c r="U2" s="4"/>
      <c r="V2" s="4"/>
      <c r="W2" s="4"/>
      <c r="X2" s="4"/>
      <c r="Y2" s="4"/>
      <c r="Z2" s="4"/>
    </row>
    <row r="3">
      <c r="B3" s="5"/>
      <c r="C3" s="6"/>
      <c r="D3" s="4"/>
      <c r="E3" s="4"/>
      <c r="F3" s="4"/>
      <c r="H3" s="4"/>
      <c r="I3" s="4"/>
      <c r="J3" s="4"/>
      <c r="K3" s="4"/>
      <c r="L3" s="4"/>
      <c r="M3" s="4"/>
      <c r="N3" s="4"/>
      <c r="O3" s="4"/>
      <c r="P3" s="4"/>
      <c r="Q3" s="4"/>
      <c r="R3" s="4"/>
      <c r="S3" s="4"/>
      <c r="T3" s="4"/>
      <c r="U3" s="4"/>
      <c r="V3" s="4"/>
      <c r="W3" s="4"/>
      <c r="X3" s="4"/>
      <c r="Y3" s="4"/>
      <c r="Z3" s="4"/>
    </row>
    <row r="4">
      <c r="B4" s="6"/>
      <c r="C4" s="7" t="s">
        <v>1</v>
      </c>
      <c r="D4" s="8"/>
      <c r="E4" s="8"/>
      <c r="F4" s="8"/>
      <c r="G4" s="8"/>
      <c r="H4" s="8"/>
      <c r="I4" s="8"/>
      <c r="J4" s="6"/>
      <c r="K4" s="4"/>
      <c r="L4" s="4"/>
      <c r="M4" s="4"/>
      <c r="N4" s="4"/>
      <c r="O4" s="4"/>
      <c r="P4" s="4"/>
      <c r="Q4" s="4"/>
      <c r="R4" s="4"/>
      <c r="S4" s="4"/>
      <c r="T4" s="4"/>
      <c r="U4" s="4"/>
      <c r="V4" s="4"/>
      <c r="W4" s="4"/>
      <c r="X4" s="4"/>
      <c r="Y4" s="4"/>
      <c r="Z4" s="4"/>
    </row>
    <row r="5">
      <c r="A5" s="1"/>
      <c r="B5" s="1"/>
      <c r="C5" s="9"/>
      <c r="D5" s="9"/>
      <c r="E5" s="9"/>
      <c r="F5" s="9"/>
      <c r="G5" s="9"/>
      <c r="H5" s="10"/>
      <c r="I5" s="11"/>
      <c r="J5" s="9"/>
      <c r="K5" s="4"/>
      <c r="L5" s="4"/>
      <c r="M5" s="4"/>
      <c r="N5" s="4"/>
      <c r="O5" s="4"/>
      <c r="P5" s="4"/>
      <c r="Q5" s="4"/>
      <c r="R5" s="4"/>
      <c r="S5" s="4"/>
      <c r="T5" s="4"/>
      <c r="U5" s="4"/>
      <c r="V5" s="4"/>
      <c r="W5" s="4"/>
      <c r="X5" s="4"/>
      <c r="Y5" s="4"/>
      <c r="Z5" s="4"/>
    </row>
    <row r="6">
      <c r="A6" s="1"/>
      <c r="B6" s="1"/>
      <c r="C6" s="9" t="s">
        <v>2</v>
      </c>
      <c r="D6" s="9"/>
      <c r="E6" s="9"/>
      <c r="F6" s="9"/>
      <c r="G6" s="9"/>
      <c r="H6" s="12" t="str">
        <f>HYPERLINK("https://isogg.org/tree/index.html","Main Page")</f>
        <v>Main Page</v>
      </c>
      <c r="I6" s="11"/>
      <c r="J6" s="9" t="s">
        <v>3</v>
      </c>
      <c r="K6" s="4"/>
      <c r="L6" s="4"/>
      <c r="M6" s="4"/>
      <c r="N6" s="4"/>
      <c r="O6" s="4"/>
      <c r="P6" s="4"/>
      <c r="Q6" s="4"/>
      <c r="R6" s="4"/>
      <c r="S6" s="4"/>
      <c r="T6" s="4"/>
      <c r="U6" s="4"/>
      <c r="V6" s="4"/>
      <c r="W6" s="4"/>
      <c r="X6" s="4"/>
      <c r="Y6" s="4"/>
      <c r="Z6" s="4"/>
    </row>
    <row r="7">
      <c r="A7" s="1"/>
      <c r="B7" s="1"/>
      <c r="C7" s="13" t="s">
        <v>4</v>
      </c>
      <c r="D7" s="14"/>
      <c r="E7" s="9"/>
      <c r="F7" s="12" t="str">
        <f>HYPERLINK("https://isogg.org/tree/index.html","Main Page")</f>
        <v>Main Page</v>
      </c>
      <c r="G7" s="11"/>
      <c r="H7" s="4"/>
      <c r="I7" s="4"/>
      <c r="J7" s="4"/>
      <c r="K7" s="4"/>
      <c r="L7" s="4"/>
      <c r="M7" s="4"/>
      <c r="N7" s="4"/>
      <c r="O7" s="4"/>
      <c r="P7" s="4"/>
      <c r="Q7" s="4"/>
      <c r="R7" s="4"/>
      <c r="S7" s="4"/>
      <c r="T7" s="4"/>
      <c r="U7" s="4"/>
      <c r="V7" s="4"/>
      <c r="W7" s="4"/>
      <c r="X7" s="4"/>
      <c r="Y7" s="4"/>
      <c r="Z7" s="4"/>
    </row>
    <row r="8">
      <c r="A8" s="1"/>
      <c r="B8" s="1"/>
      <c r="D8" s="4"/>
      <c r="E8" s="15" t="s">
        <v>5</v>
      </c>
      <c r="F8" s="4"/>
      <c r="G8" s="4"/>
      <c r="H8" s="16" t="s">
        <v>6</v>
      </c>
      <c r="I8" s="4"/>
      <c r="K8" s="4"/>
      <c r="L8" s="4"/>
      <c r="M8" s="4"/>
      <c r="N8" s="4"/>
      <c r="O8" s="4"/>
      <c r="P8" s="4"/>
      <c r="Q8" s="4"/>
      <c r="R8" s="4"/>
      <c r="S8" s="4"/>
      <c r="T8" s="4"/>
      <c r="U8" s="4"/>
      <c r="V8" s="4"/>
      <c r="W8" s="4"/>
      <c r="X8" s="4"/>
      <c r="Y8" s="4"/>
      <c r="Z8" s="4"/>
    </row>
    <row r="9">
      <c r="A9" s="1"/>
      <c r="B9" s="1"/>
      <c r="D9" s="4"/>
      <c r="E9" s="15"/>
      <c r="F9" s="4"/>
      <c r="G9" s="4"/>
      <c r="H9" s="16"/>
      <c r="I9" s="4"/>
      <c r="K9" s="4"/>
      <c r="L9" s="4"/>
      <c r="M9" s="4"/>
      <c r="N9" s="4"/>
      <c r="O9" s="4"/>
      <c r="P9" s="4"/>
      <c r="Q9" s="4"/>
      <c r="R9" s="4"/>
      <c r="S9" s="4"/>
      <c r="T9" s="4"/>
      <c r="U9" s="4"/>
      <c r="V9" s="4"/>
      <c r="W9" s="4"/>
      <c r="X9" s="4"/>
      <c r="Y9" s="4"/>
      <c r="Z9" s="4"/>
    </row>
    <row r="10">
      <c r="A10" s="1"/>
      <c r="B10" s="17" t="s">
        <v>7</v>
      </c>
      <c r="K10" s="4"/>
      <c r="L10" s="4"/>
      <c r="M10" s="4"/>
      <c r="N10" s="4"/>
      <c r="O10" s="4"/>
      <c r="P10" s="4"/>
      <c r="Q10" s="4"/>
      <c r="R10" s="4"/>
      <c r="S10" s="4"/>
      <c r="T10" s="4"/>
      <c r="U10" s="4"/>
      <c r="V10" s="4"/>
      <c r="W10" s="4"/>
      <c r="X10" s="4"/>
      <c r="Y10" s="4"/>
      <c r="Z10" s="4"/>
    </row>
    <row r="11">
      <c r="A11" s="1"/>
      <c r="B11" s="18" t="s">
        <v>8</v>
      </c>
      <c r="C11" s="19"/>
      <c r="D11" s="19"/>
      <c r="E11" s="19"/>
      <c r="F11" s="19"/>
      <c r="G11" s="20"/>
      <c r="H11" s="19"/>
      <c r="I11" s="11" t="s">
        <v>9</v>
      </c>
      <c r="J11" s="4"/>
      <c r="K11" s="4"/>
      <c r="L11" s="9"/>
      <c r="M11" s="4"/>
      <c r="N11" s="4"/>
      <c r="O11" s="4"/>
      <c r="P11" s="4"/>
      <c r="Q11" s="4"/>
      <c r="R11" s="4"/>
      <c r="S11" s="4"/>
      <c r="T11" s="4"/>
      <c r="U11" s="4"/>
      <c r="V11" s="4"/>
      <c r="W11" s="4"/>
      <c r="X11" s="4"/>
      <c r="Y11" s="4"/>
      <c r="Z11" s="4"/>
    </row>
    <row r="12">
      <c r="A12" s="1"/>
      <c r="B12" s="1"/>
      <c r="C12" s="4"/>
      <c r="D12" s="4"/>
      <c r="E12" s="4"/>
      <c r="F12" s="4"/>
      <c r="G12" s="21"/>
      <c r="H12" s="4"/>
      <c r="I12" s="4"/>
      <c r="J12" s="4"/>
      <c r="K12" s="4"/>
      <c r="L12" s="4"/>
      <c r="M12" s="4"/>
      <c r="N12" s="4"/>
      <c r="O12" s="4"/>
      <c r="P12" s="4"/>
      <c r="Q12" s="4"/>
      <c r="R12" s="4"/>
      <c r="S12" s="4"/>
      <c r="T12" s="4"/>
      <c r="U12" s="4"/>
      <c r="V12" s="4"/>
      <c r="W12" s="4"/>
      <c r="X12" s="4"/>
      <c r="Y12" s="4"/>
      <c r="Z12" s="4"/>
    </row>
    <row r="13">
      <c r="A13" s="21" t="s">
        <v>10</v>
      </c>
      <c r="B13" s="15" t="s">
        <v>11</v>
      </c>
      <c r="C13" s="15" t="s">
        <v>12</v>
      </c>
      <c r="D13" s="22" t="str">
        <f>HYPERLINK("https://docs.google.com/spreadsheets/d/1yjXfo8_vfVNzp-yfYoBQLQK8gzqJg5nNtuTTD1RrFS4/edit#gid=0","Listing Criteria")</f>
        <v>Listing Criteria</v>
      </c>
      <c r="E13" s="15" t="s">
        <v>13</v>
      </c>
      <c r="G13" s="23" t="str">
        <f>HYPERLINK("https://docs.google.com/spreadsheets/d/1Y0GXjhazYa46u0EpPA9b0Y0RVWuh5lDzww_o979mbjQ/edit#gid=1904113265","Y-DNA Tree Trunk")</f>
        <v>Y-DNA Tree Trunk</v>
      </c>
      <c r="I13" s="15" t="s">
        <v>14</v>
      </c>
      <c r="J13" s="1"/>
      <c r="L13" s="4"/>
      <c r="M13" s="4"/>
      <c r="N13" s="4"/>
      <c r="Q13" s="4"/>
      <c r="R13" s="4"/>
      <c r="S13" s="4"/>
      <c r="T13" s="4"/>
      <c r="U13" s="4"/>
      <c r="V13" s="4"/>
      <c r="W13" s="4"/>
      <c r="X13" s="4"/>
      <c r="Y13" s="4"/>
      <c r="Z13" s="4"/>
    </row>
    <row r="14">
      <c r="A14" s="1"/>
      <c r="B14" s="1"/>
      <c r="C14" s="1"/>
      <c r="D14" s="1"/>
      <c r="F14" s="1"/>
      <c r="I14" s="1"/>
      <c r="J14" s="1"/>
      <c r="K14" s="1"/>
      <c r="L14" s="4"/>
      <c r="M14" s="4"/>
      <c r="N14" s="4"/>
      <c r="O14" s="4"/>
      <c r="P14" s="4"/>
      <c r="Q14" s="4"/>
      <c r="R14" s="4"/>
      <c r="S14" s="4"/>
      <c r="T14" s="4"/>
      <c r="U14" s="4"/>
      <c r="V14" s="4"/>
      <c r="W14" s="4"/>
      <c r="X14" s="4"/>
      <c r="Y14" s="4"/>
      <c r="Z14" s="4"/>
    </row>
    <row r="15">
      <c r="A15" s="24" t="s">
        <v>15</v>
      </c>
      <c r="B15" s="1"/>
      <c r="C15" s="4"/>
      <c r="D15" s="25" t="s">
        <v>16</v>
      </c>
      <c r="G15" s="16" t="s">
        <v>17</v>
      </c>
      <c r="I15" s="26" t="s">
        <v>18</v>
      </c>
      <c r="K15" s="4"/>
      <c r="L15" s="4"/>
      <c r="M15" s="4"/>
      <c r="N15" s="4"/>
      <c r="O15" s="4"/>
      <c r="P15" s="4"/>
      <c r="Q15" s="4"/>
      <c r="R15" s="4"/>
      <c r="S15" s="4"/>
      <c r="T15" s="4"/>
      <c r="U15" s="4"/>
      <c r="V15" s="4"/>
      <c r="W15" s="4"/>
      <c r="X15" s="4"/>
      <c r="Y15" s="4"/>
      <c r="Z15" s="4"/>
    </row>
    <row r="16">
      <c r="A16" s="1"/>
      <c r="B16" s="1"/>
      <c r="C16" s="4"/>
      <c r="D16" s="4"/>
      <c r="E16" s="4"/>
      <c r="H16" s="4"/>
      <c r="I16" s="4"/>
      <c r="J16" s="4"/>
      <c r="K16" s="4"/>
      <c r="L16" s="4"/>
      <c r="M16" s="4"/>
      <c r="N16" s="4"/>
      <c r="O16" s="4"/>
      <c r="P16" s="4"/>
      <c r="Q16" s="4"/>
      <c r="R16" s="4"/>
      <c r="S16" s="4"/>
      <c r="T16" s="4"/>
      <c r="U16" s="4"/>
      <c r="V16" s="4"/>
      <c r="W16" s="4"/>
      <c r="X16" s="4"/>
      <c r="Y16" s="4"/>
      <c r="Z16" s="4"/>
    </row>
    <row r="17">
      <c r="A17" s="24" t="s">
        <v>19</v>
      </c>
      <c r="B17" s="1"/>
      <c r="C17" s="9" t="s">
        <v>20</v>
      </c>
      <c r="E17" s="4"/>
      <c r="F17" s="4"/>
      <c r="G17" s="4"/>
      <c r="K17" s="4"/>
      <c r="L17" s="4"/>
      <c r="M17" s="4"/>
      <c r="N17" s="4"/>
      <c r="O17" s="4"/>
      <c r="P17" s="4"/>
      <c r="Q17" s="4"/>
      <c r="R17" s="4"/>
      <c r="S17" s="4"/>
      <c r="T17" s="4"/>
      <c r="U17" s="4"/>
      <c r="V17" s="4"/>
      <c r="W17" s="4"/>
      <c r="X17" s="4"/>
      <c r="Y17" s="4"/>
      <c r="Z17" s="4"/>
    </row>
    <row r="18">
      <c r="A18" s="1"/>
      <c r="B18" s="1"/>
      <c r="C18" s="9" t="s">
        <v>21</v>
      </c>
      <c r="E18" s="4"/>
      <c r="F18" s="4"/>
      <c r="G18" s="4"/>
      <c r="K18" s="4"/>
      <c r="L18" s="4"/>
      <c r="M18" s="4"/>
      <c r="N18" s="4"/>
      <c r="O18" s="4"/>
      <c r="P18" s="4"/>
      <c r="Q18" s="4"/>
      <c r="R18" s="4"/>
      <c r="S18" s="4"/>
      <c r="T18" s="4"/>
      <c r="U18" s="4"/>
      <c r="V18" s="4"/>
      <c r="W18" s="4"/>
      <c r="X18" s="4"/>
      <c r="Y18" s="4"/>
      <c r="Z18" s="4"/>
    </row>
    <row r="19">
      <c r="A19" s="1"/>
      <c r="B19" s="1"/>
      <c r="C19" s="9" t="s">
        <v>22</v>
      </c>
      <c r="E19" s="4"/>
      <c r="F19" s="4"/>
      <c r="G19" s="4"/>
      <c r="K19" s="4"/>
      <c r="L19" s="4"/>
      <c r="M19" s="4"/>
      <c r="N19" s="4"/>
      <c r="O19" s="4"/>
      <c r="P19" s="4"/>
      <c r="Q19" s="4"/>
      <c r="R19" s="4"/>
      <c r="S19" s="4"/>
      <c r="T19" s="4"/>
      <c r="U19" s="4"/>
      <c r="V19" s="4"/>
      <c r="W19" s="4"/>
      <c r="X19" s="4"/>
      <c r="Y19" s="4"/>
      <c r="Z19" s="4"/>
    </row>
    <row r="20">
      <c r="A20" s="1"/>
      <c r="B20" s="1"/>
      <c r="C20" s="4"/>
      <c r="E20" s="4"/>
      <c r="F20" s="4"/>
      <c r="G20" s="4"/>
      <c r="K20" s="4"/>
      <c r="L20" s="4"/>
      <c r="M20" s="4"/>
      <c r="N20" s="4"/>
      <c r="O20" s="4"/>
      <c r="P20" s="4"/>
      <c r="Q20" s="4"/>
      <c r="R20" s="4"/>
      <c r="S20" s="4"/>
      <c r="T20" s="4"/>
      <c r="U20" s="4"/>
      <c r="V20" s="4"/>
      <c r="W20" s="4"/>
      <c r="X20" s="4"/>
      <c r="Y20" s="4"/>
      <c r="Z20" s="4"/>
    </row>
    <row r="21">
      <c r="A21" s="1"/>
      <c r="B21" s="27" t="s">
        <v>23</v>
      </c>
      <c r="C21" s="28"/>
      <c r="D21" s="28"/>
      <c r="E21" s="28"/>
      <c r="F21" s="28"/>
      <c r="G21" s="28"/>
      <c r="H21" s="28"/>
      <c r="I21" s="28"/>
      <c r="J21" s="29"/>
      <c r="K21" s="30"/>
      <c r="L21" s="4"/>
      <c r="M21" s="4"/>
      <c r="N21" s="4"/>
      <c r="O21" s="4"/>
      <c r="P21" s="4"/>
      <c r="Q21" s="4"/>
      <c r="R21" s="4"/>
      <c r="S21" s="4"/>
      <c r="T21" s="4"/>
      <c r="U21" s="4"/>
      <c r="V21" s="4"/>
      <c r="W21" s="4"/>
      <c r="X21" s="4"/>
      <c r="Y21" s="4"/>
      <c r="Z21" s="4"/>
    </row>
    <row r="22">
      <c r="A22" s="1"/>
      <c r="B22" s="27" t="s">
        <v>24</v>
      </c>
      <c r="C22" s="28"/>
      <c r="D22" s="28"/>
      <c r="E22" s="28"/>
      <c r="F22" s="28"/>
      <c r="G22" s="28"/>
      <c r="H22" s="28"/>
      <c r="I22" s="28"/>
      <c r="J22" s="29"/>
      <c r="K22" s="30"/>
      <c r="L22" s="4"/>
      <c r="M22" s="4"/>
      <c r="N22" s="4"/>
      <c r="O22" s="4"/>
      <c r="P22" s="4"/>
      <c r="Q22" s="4"/>
      <c r="R22" s="4"/>
      <c r="S22" s="4"/>
      <c r="T22" s="4"/>
      <c r="U22" s="4"/>
      <c r="V22" s="4"/>
      <c r="W22" s="4"/>
      <c r="X22" s="4"/>
      <c r="Y22" s="4"/>
      <c r="Z22" s="4"/>
    </row>
    <row r="23">
      <c r="A23" s="1"/>
      <c r="B23" s="31" t="s">
        <v>25</v>
      </c>
      <c r="K23" s="32"/>
      <c r="L23" s="4"/>
      <c r="M23" s="4"/>
      <c r="N23" s="4"/>
      <c r="O23" s="4"/>
      <c r="P23" s="4"/>
      <c r="Q23" s="4"/>
      <c r="R23" s="4"/>
      <c r="S23" s="4"/>
      <c r="T23" s="4"/>
      <c r="U23" s="4"/>
      <c r="V23" s="4"/>
      <c r="W23" s="4"/>
      <c r="X23" s="4"/>
      <c r="Y23" s="4"/>
      <c r="Z23" s="4"/>
    </row>
    <row r="24">
      <c r="A24" s="1"/>
      <c r="B24" s="1"/>
      <c r="C24" s="4"/>
      <c r="D24" s="4"/>
      <c r="E24" s="4"/>
      <c r="F24" s="4"/>
      <c r="H24" s="4"/>
      <c r="I24" s="4"/>
      <c r="J24" s="4"/>
      <c r="K24" s="4"/>
      <c r="L24" s="4"/>
      <c r="M24" s="4"/>
      <c r="N24" s="4"/>
      <c r="O24" s="4"/>
      <c r="P24" s="4"/>
      <c r="Q24" s="4"/>
      <c r="R24" s="4"/>
      <c r="S24" s="4"/>
      <c r="T24" s="4"/>
      <c r="U24" s="4"/>
      <c r="V24" s="4"/>
      <c r="W24" s="4"/>
      <c r="X24" s="4"/>
      <c r="Y24" s="4"/>
      <c r="Z24" s="4"/>
    </row>
    <row r="25">
      <c r="A25" s="1"/>
      <c r="B25" s="1"/>
      <c r="C25" s="4"/>
      <c r="D25" s="4"/>
      <c r="E25" s="4"/>
      <c r="F25" s="4"/>
      <c r="G25" s="4"/>
      <c r="H25" s="4"/>
      <c r="I25" s="4"/>
      <c r="J25" s="4"/>
      <c r="K25" s="4"/>
      <c r="L25" s="4"/>
      <c r="M25" s="4"/>
      <c r="N25" s="4"/>
      <c r="O25" s="4"/>
      <c r="P25" s="4"/>
      <c r="Q25" s="4"/>
      <c r="R25" s="4"/>
      <c r="S25" s="4"/>
      <c r="T25" s="4"/>
      <c r="U25" s="4"/>
      <c r="V25" s="4"/>
      <c r="W25" s="4"/>
      <c r="X25" s="4"/>
      <c r="Y25" s="4"/>
      <c r="Z25" s="4"/>
    </row>
    <row r="26">
      <c r="A26" s="33" t="s">
        <v>26</v>
      </c>
      <c r="B26" s="1" t="s">
        <v>27</v>
      </c>
      <c r="C26" s="4"/>
      <c r="D26" s="4"/>
      <c r="E26" s="4"/>
      <c r="F26" s="4"/>
      <c r="G26" s="4"/>
      <c r="H26" s="4"/>
      <c r="I26" s="4"/>
      <c r="J26" s="4"/>
      <c r="K26" s="4"/>
      <c r="L26" s="4"/>
      <c r="M26" s="4"/>
      <c r="N26" s="4"/>
      <c r="O26" s="4"/>
      <c r="P26" s="4"/>
      <c r="Q26" s="4"/>
      <c r="R26" s="4"/>
      <c r="S26" s="4"/>
      <c r="T26" s="4"/>
      <c r="U26" s="4"/>
      <c r="V26" s="4"/>
      <c r="W26" s="4"/>
      <c r="X26" s="4"/>
      <c r="Y26" s="4"/>
      <c r="Z26" s="4"/>
    </row>
    <row r="27">
      <c r="A27" s="34" t="s">
        <v>28</v>
      </c>
      <c r="B27" s="35" t="s">
        <v>29</v>
      </c>
      <c r="C27" s="4"/>
      <c r="D27" s="4"/>
      <c r="E27" s="4"/>
      <c r="F27" s="4"/>
      <c r="G27" s="4"/>
      <c r="H27" s="4"/>
      <c r="I27" s="4"/>
      <c r="J27" s="4"/>
      <c r="K27" s="4"/>
      <c r="L27" s="4"/>
      <c r="M27" s="4"/>
      <c r="N27" s="4"/>
      <c r="O27" s="4"/>
      <c r="P27" s="4"/>
      <c r="Q27" s="4"/>
      <c r="R27" s="4"/>
      <c r="S27" s="4"/>
      <c r="T27" s="4"/>
      <c r="U27" s="4"/>
      <c r="V27" s="4"/>
      <c r="W27" s="4"/>
      <c r="X27" s="4"/>
      <c r="Y27" s="4"/>
      <c r="Z27" s="4"/>
    </row>
    <row r="28">
      <c r="A28" s="4"/>
      <c r="B28" s="36" t="s">
        <v>30</v>
      </c>
      <c r="C28" s="37" t="s">
        <v>31</v>
      </c>
      <c r="D28" s="4"/>
      <c r="E28" s="4"/>
      <c r="F28" s="4"/>
      <c r="G28" s="4"/>
      <c r="H28" s="4"/>
      <c r="I28" s="4"/>
      <c r="J28" s="4"/>
      <c r="K28" s="4"/>
      <c r="L28" s="4"/>
      <c r="M28" s="4"/>
      <c r="N28" s="4"/>
      <c r="O28" s="4"/>
      <c r="P28" s="4"/>
      <c r="Q28" s="4"/>
      <c r="R28" s="4"/>
      <c r="S28" s="4"/>
      <c r="T28" s="4"/>
      <c r="U28" s="4"/>
      <c r="V28" s="4"/>
      <c r="W28" s="4"/>
      <c r="X28" s="4"/>
      <c r="Y28" s="4"/>
      <c r="Z28" s="4"/>
    </row>
    <row r="29">
      <c r="A29" s="4"/>
      <c r="B29" s="4"/>
      <c r="C29" s="38" t="str">
        <f>HYPERLINK("https://isogg.org/tree/ISOGG_HapgrpL.html","L or K1a  ")</f>
        <v>L or K1a  </v>
      </c>
      <c r="D29" s="37" t="s">
        <v>32</v>
      </c>
      <c r="E29" s="4"/>
      <c r="F29" s="4"/>
      <c r="G29" s="4"/>
      <c r="H29" s="4"/>
      <c r="I29" s="4"/>
      <c r="J29" s="4"/>
      <c r="K29" s="4"/>
      <c r="L29" s="4"/>
      <c r="M29" s="4"/>
      <c r="N29" s="4"/>
      <c r="O29" s="4"/>
      <c r="P29" s="4"/>
      <c r="Q29" s="4"/>
      <c r="R29" s="4"/>
      <c r="S29" s="4"/>
      <c r="T29" s="4"/>
      <c r="U29" s="4"/>
      <c r="V29" s="4"/>
      <c r="W29" s="4"/>
      <c r="X29" s="4"/>
      <c r="Y29" s="4"/>
      <c r="Z29" s="4"/>
    </row>
    <row r="30">
      <c r="A30" s="4"/>
      <c r="B30" s="4"/>
      <c r="C30" s="38" t="str">
        <f>HYPERLINK("https://isogg.org/tree/ISOGG_HapgrpT.html","T or K1b  ")</f>
        <v>T or K1b  </v>
      </c>
      <c r="D30" s="37" t="s">
        <v>33</v>
      </c>
      <c r="E30" s="39"/>
      <c r="F30" s="4"/>
      <c r="G30" s="4"/>
      <c r="H30" s="4"/>
      <c r="I30" s="4"/>
      <c r="J30" s="4"/>
      <c r="K30" s="4"/>
      <c r="L30" s="4"/>
      <c r="M30" s="4"/>
      <c r="N30" s="4"/>
      <c r="O30" s="4"/>
      <c r="P30" s="4"/>
      <c r="Q30" s="4"/>
      <c r="R30" s="4"/>
      <c r="S30" s="4"/>
      <c r="T30" s="4"/>
      <c r="U30" s="4"/>
      <c r="V30" s="4"/>
      <c r="W30" s="4"/>
      <c r="X30" s="4"/>
      <c r="Y30" s="4"/>
      <c r="Z30" s="4"/>
    </row>
    <row r="31">
      <c r="A31" s="4"/>
      <c r="B31" s="33" t="s">
        <v>34</v>
      </c>
      <c r="C31" s="37" t="s">
        <v>35</v>
      </c>
      <c r="D31" s="40"/>
      <c r="E31" s="41" t="s">
        <v>36</v>
      </c>
      <c r="F31" s="4"/>
      <c r="G31" s="4"/>
      <c r="H31" s="4"/>
      <c r="I31" s="4"/>
      <c r="J31" s="4"/>
      <c r="K31" s="4"/>
      <c r="L31" s="4"/>
      <c r="M31" s="4"/>
      <c r="N31" s="4"/>
      <c r="O31" s="4"/>
      <c r="P31" s="4"/>
      <c r="Q31" s="4"/>
      <c r="R31" s="4"/>
      <c r="S31" s="4"/>
      <c r="T31" s="4"/>
      <c r="U31" s="4"/>
      <c r="V31" s="4"/>
      <c r="W31" s="4"/>
      <c r="X31" s="4"/>
      <c r="Y31" s="4"/>
      <c r="Z31" s="4"/>
    </row>
    <row r="32">
      <c r="A32" s="4"/>
      <c r="B32" s="4"/>
      <c r="C32" s="33" t="s">
        <v>37</v>
      </c>
      <c r="D32" s="42" t="s">
        <v>38</v>
      </c>
      <c r="E32" s="4"/>
      <c r="F32" s="4"/>
      <c r="G32" s="4"/>
      <c r="H32" s="4"/>
      <c r="I32" s="4"/>
      <c r="J32" s="4"/>
      <c r="K32" s="4"/>
      <c r="L32" s="4"/>
      <c r="M32" s="4"/>
      <c r="N32" s="4"/>
      <c r="O32" s="4"/>
      <c r="P32" s="4"/>
      <c r="Q32" s="4"/>
      <c r="R32" s="4"/>
      <c r="S32" s="4"/>
      <c r="T32" s="4"/>
      <c r="U32" s="4"/>
      <c r="V32" s="4"/>
      <c r="W32" s="4"/>
      <c r="X32" s="4"/>
      <c r="Y32" s="4"/>
      <c r="Z32" s="4"/>
    </row>
    <row r="33">
      <c r="A33" s="4"/>
      <c r="B33" s="4"/>
      <c r="C33" s="4"/>
      <c r="D33" s="33" t="s">
        <v>39</v>
      </c>
      <c r="E33" s="37" t="s">
        <v>40</v>
      </c>
      <c r="F33" s="4"/>
      <c r="G33" s="4"/>
      <c r="H33" s="4"/>
      <c r="I33" s="4"/>
      <c r="J33" s="4"/>
      <c r="K33" s="4"/>
      <c r="L33" s="4"/>
      <c r="M33" s="4"/>
      <c r="N33" s="4"/>
      <c r="O33" s="4"/>
      <c r="P33" s="4"/>
      <c r="Q33" s="4"/>
      <c r="R33" s="4"/>
      <c r="S33" s="4"/>
      <c r="T33" s="4"/>
      <c r="U33" s="4"/>
      <c r="V33" s="4"/>
      <c r="W33" s="4"/>
      <c r="X33" s="4"/>
      <c r="Y33" s="4"/>
      <c r="Z33" s="4"/>
    </row>
    <row r="34">
      <c r="A34" s="4"/>
      <c r="B34" s="4"/>
      <c r="C34" s="4"/>
      <c r="D34" s="4"/>
      <c r="E34" s="38" t="str">
        <f>HYPERLINK("https://isogg.org/tree/ISOGG_HapgrpN.html","N or K2a1a")</f>
        <v>N or K2a1a</v>
      </c>
      <c r="F34" s="37" t="s">
        <v>41</v>
      </c>
      <c r="G34" s="4"/>
      <c r="H34" s="4"/>
      <c r="I34" s="4"/>
      <c r="J34" s="4"/>
      <c r="K34" s="4"/>
      <c r="L34" s="4"/>
      <c r="M34" s="4"/>
      <c r="N34" s="4"/>
      <c r="O34" s="4"/>
      <c r="P34" s="4"/>
      <c r="Q34" s="4"/>
      <c r="R34" s="4"/>
      <c r="S34" s="4"/>
      <c r="T34" s="4"/>
      <c r="U34" s="4"/>
      <c r="V34" s="4"/>
      <c r="W34" s="4"/>
      <c r="X34" s="4"/>
      <c r="Y34" s="4"/>
      <c r="Z34" s="4"/>
    </row>
    <row r="35">
      <c r="A35" s="4"/>
      <c r="B35" s="4"/>
      <c r="C35" s="4"/>
      <c r="D35" s="4"/>
      <c r="E35" s="38" t="str">
        <f>HYPERLINK("https://isogg.org/tree/ISOGG_HapgrpO.html","O or K2a1b ")</f>
        <v>O or K2a1b </v>
      </c>
      <c r="F35" s="43" t="s">
        <v>42</v>
      </c>
      <c r="G35" s="44" t="s">
        <v>3</v>
      </c>
      <c r="H35" s="4"/>
      <c r="I35" s="4"/>
      <c r="J35" s="4"/>
      <c r="K35" s="4"/>
      <c r="L35" s="4"/>
      <c r="M35" s="4"/>
      <c r="N35" s="4"/>
      <c r="O35" s="4"/>
      <c r="P35" s="4"/>
      <c r="Q35" s="4"/>
      <c r="R35" s="4"/>
      <c r="S35" s="4"/>
      <c r="T35" s="4"/>
      <c r="U35" s="4"/>
      <c r="V35" s="4"/>
      <c r="W35" s="4"/>
      <c r="X35" s="4"/>
      <c r="Y35" s="4"/>
      <c r="Z35" s="4"/>
    </row>
    <row r="36">
      <c r="A36" s="4"/>
      <c r="B36" s="4"/>
      <c r="C36" s="33" t="s">
        <v>43</v>
      </c>
      <c r="D36" s="43" t="s">
        <v>44</v>
      </c>
      <c r="E36" s="4"/>
      <c r="F36" s="4"/>
      <c r="G36" s="4"/>
      <c r="H36" s="4"/>
      <c r="I36" s="4"/>
      <c r="J36" s="4"/>
      <c r="K36" s="4"/>
      <c r="L36" s="4"/>
      <c r="M36" s="4"/>
      <c r="N36" s="4"/>
      <c r="O36" s="4"/>
      <c r="P36" s="4"/>
      <c r="Q36" s="4"/>
      <c r="R36" s="4"/>
      <c r="S36" s="4"/>
      <c r="T36" s="4"/>
      <c r="U36" s="4"/>
      <c r="V36" s="4"/>
      <c r="W36" s="4"/>
      <c r="X36" s="4"/>
      <c r="Y36" s="4"/>
      <c r="Z36" s="4"/>
    </row>
    <row r="37">
      <c r="A37" s="4"/>
      <c r="B37" s="4"/>
      <c r="C37" s="4"/>
      <c r="D37" s="33" t="s">
        <v>45</v>
      </c>
      <c r="E37" s="44" t="s">
        <v>46</v>
      </c>
      <c r="I37" s="4"/>
      <c r="J37" s="4"/>
      <c r="K37" s="4"/>
      <c r="L37" s="4"/>
      <c r="M37" s="4"/>
      <c r="N37" s="4"/>
      <c r="O37" s="4"/>
      <c r="P37" s="4"/>
      <c r="Q37" s="4"/>
      <c r="R37" s="4"/>
      <c r="S37" s="4"/>
      <c r="T37" s="4"/>
      <c r="U37" s="4"/>
      <c r="V37" s="4"/>
      <c r="W37" s="4"/>
      <c r="X37" s="4"/>
      <c r="Y37" s="4"/>
      <c r="Z37" s="4"/>
    </row>
    <row r="38">
      <c r="A38" s="4"/>
      <c r="B38" s="4"/>
      <c r="C38" s="4"/>
      <c r="D38" s="4"/>
      <c r="E38" s="45" t="str">
        <f>HYPERLINK("https://isogg.org/tree/ISOGG_HapgrpS.html","S or K2b1a")</f>
        <v>S or K2b1a</v>
      </c>
      <c r="F38" s="44" t="s">
        <v>47</v>
      </c>
      <c r="H38" s="4"/>
      <c r="I38" s="4"/>
      <c r="J38" s="4"/>
      <c r="K38" s="4"/>
      <c r="L38" s="4"/>
      <c r="M38" s="4"/>
      <c r="N38" s="4"/>
      <c r="O38" s="4"/>
      <c r="P38" s="4"/>
      <c r="Q38" s="4"/>
      <c r="R38" s="4"/>
      <c r="S38" s="4"/>
      <c r="T38" s="4"/>
      <c r="U38" s="4"/>
      <c r="V38" s="4"/>
      <c r="W38" s="4"/>
      <c r="X38" s="4"/>
      <c r="Y38" s="4"/>
      <c r="Z38" s="4"/>
    </row>
    <row r="39">
      <c r="A39" s="4"/>
      <c r="B39" s="4"/>
      <c r="C39" s="4"/>
      <c r="D39" s="4"/>
      <c r="E39" s="36" t="s">
        <v>48</v>
      </c>
      <c r="F39" s="43" t="s">
        <v>49</v>
      </c>
      <c r="G39" s="4"/>
      <c r="H39" s="4"/>
      <c r="I39" s="4"/>
      <c r="J39" s="4"/>
      <c r="K39" s="4"/>
      <c r="L39" s="4"/>
      <c r="M39" s="4"/>
      <c r="N39" s="4"/>
      <c r="O39" s="4"/>
      <c r="P39" s="4"/>
      <c r="Q39" s="4"/>
      <c r="R39" s="4"/>
      <c r="S39" s="4"/>
      <c r="T39" s="4"/>
      <c r="U39" s="4"/>
      <c r="V39" s="4"/>
      <c r="W39" s="4"/>
      <c r="X39" s="4"/>
      <c r="Y39" s="4"/>
      <c r="Z39" s="4"/>
    </row>
    <row r="40">
      <c r="A40" s="4"/>
      <c r="B40" s="4"/>
      <c r="C40" s="4"/>
      <c r="D40" s="36" t="s">
        <v>50</v>
      </c>
      <c r="E40" s="37" t="s">
        <v>51</v>
      </c>
      <c r="F40" s="4"/>
      <c r="G40" s="4"/>
      <c r="H40" s="4"/>
      <c r="I40" s="4"/>
      <c r="J40" s="4"/>
      <c r="K40" s="4"/>
      <c r="L40" s="4"/>
      <c r="M40" s="4"/>
      <c r="N40" s="4"/>
      <c r="O40" s="4"/>
      <c r="P40" s="4"/>
      <c r="Q40" s="4"/>
      <c r="R40" s="4"/>
      <c r="S40" s="4"/>
      <c r="T40" s="4"/>
      <c r="U40" s="4"/>
      <c r="V40" s="4"/>
      <c r="W40" s="4"/>
      <c r="X40" s="4"/>
      <c r="Y40" s="4"/>
      <c r="Z40" s="4"/>
    </row>
    <row r="41">
      <c r="A41" s="4"/>
      <c r="B41" s="4"/>
      <c r="C41" s="46" t="s">
        <v>52</v>
      </c>
      <c r="D41" s="44" t="s">
        <v>53</v>
      </c>
      <c r="F41" s="4"/>
      <c r="G41" s="4"/>
      <c r="H41" s="4"/>
      <c r="I41" s="4"/>
      <c r="J41" s="4"/>
      <c r="K41" s="4"/>
      <c r="L41" s="4"/>
      <c r="M41" s="4"/>
      <c r="N41" s="4"/>
      <c r="O41" s="4"/>
      <c r="P41" s="4"/>
      <c r="Q41" s="4"/>
      <c r="R41" s="4"/>
      <c r="S41" s="4"/>
      <c r="T41" s="4"/>
      <c r="U41" s="4"/>
      <c r="V41" s="4"/>
      <c r="W41" s="4"/>
      <c r="X41" s="4"/>
      <c r="Y41" s="4"/>
      <c r="Z41" s="4"/>
    </row>
    <row r="42">
      <c r="A42" s="4"/>
      <c r="B42" s="4"/>
      <c r="C42" s="46" t="s">
        <v>54</v>
      </c>
      <c r="D42" s="44" t="s">
        <v>55</v>
      </c>
      <c r="F42" s="4"/>
      <c r="G42" s="4"/>
      <c r="H42" s="4"/>
      <c r="I42" s="4"/>
      <c r="J42" s="4"/>
      <c r="K42" s="4"/>
      <c r="L42" s="4"/>
      <c r="M42" s="4"/>
      <c r="N42" s="4"/>
      <c r="O42" s="4"/>
      <c r="P42" s="4"/>
      <c r="Q42" s="4"/>
      <c r="R42" s="4"/>
      <c r="S42" s="4"/>
      <c r="T42" s="4"/>
      <c r="U42" s="4"/>
      <c r="V42" s="4"/>
      <c r="W42" s="4"/>
      <c r="X42" s="4"/>
      <c r="Y42" s="4"/>
      <c r="Z42" s="4"/>
    </row>
    <row r="43">
      <c r="A43" s="4"/>
      <c r="B43" s="4"/>
      <c r="C43" s="47" t="s">
        <v>56</v>
      </c>
      <c r="D43" s="48" t="s">
        <v>57</v>
      </c>
      <c r="E43" s="4"/>
      <c r="F43" s="44" t="s">
        <v>3</v>
      </c>
      <c r="G43" s="44" t="s">
        <v>3</v>
      </c>
      <c r="H43" s="4"/>
      <c r="I43" s="4"/>
      <c r="J43" s="4"/>
      <c r="K43" s="4"/>
      <c r="L43" s="4"/>
      <c r="M43" s="4"/>
      <c r="N43" s="4"/>
      <c r="O43" s="4"/>
      <c r="P43" s="4"/>
      <c r="Q43" s="4"/>
      <c r="R43" s="4"/>
      <c r="S43" s="4"/>
      <c r="T43" s="4"/>
      <c r="U43" s="4"/>
      <c r="V43" s="4"/>
      <c r="W43" s="4"/>
      <c r="X43" s="4"/>
      <c r="Y43" s="4"/>
      <c r="Z43" s="4"/>
    </row>
    <row r="45">
      <c r="B45" s="49" t="s">
        <v>58</v>
      </c>
      <c r="C45" s="50"/>
      <c r="D45" s="50"/>
      <c r="E45" s="50"/>
      <c r="F45" s="50"/>
    </row>
    <row r="47">
      <c r="A47" s="24" t="s">
        <v>59</v>
      </c>
    </row>
    <row r="49">
      <c r="A49" s="9" t="s">
        <v>60</v>
      </c>
    </row>
    <row r="50">
      <c r="A50" s="9"/>
      <c r="B50" s="9" t="s">
        <v>61</v>
      </c>
    </row>
    <row r="51">
      <c r="A51" s="9" t="s">
        <v>62</v>
      </c>
    </row>
    <row r="52">
      <c r="A52" s="9"/>
      <c r="B52" s="9" t="s">
        <v>63</v>
      </c>
    </row>
    <row r="53">
      <c r="A53" s="9" t="s">
        <v>64</v>
      </c>
    </row>
    <row r="54">
      <c r="A54" s="9"/>
      <c r="B54" s="9" t="s">
        <v>65</v>
      </c>
    </row>
    <row r="55">
      <c r="A55" s="9"/>
      <c r="B55" s="9" t="s">
        <v>66</v>
      </c>
    </row>
    <row r="56">
      <c r="A56" s="9" t="s">
        <v>67</v>
      </c>
    </row>
    <row r="57">
      <c r="A57" s="9" t="s">
        <v>68</v>
      </c>
    </row>
    <row r="58">
      <c r="B58" s="9" t="s">
        <v>69</v>
      </c>
    </row>
    <row r="59">
      <c r="B59" s="9" t="s">
        <v>70</v>
      </c>
    </row>
    <row r="61">
      <c r="A61" s="24" t="s">
        <v>71</v>
      </c>
      <c r="B61" s="51"/>
      <c r="C61" s="51"/>
    </row>
    <row r="62">
      <c r="A62" s="52"/>
      <c r="B62" s="52"/>
      <c r="C62" s="53" t="s">
        <v>72</v>
      </c>
      <c r="D62" s="54"/>
      <c r="E62" s="54"/>
      <c r="F62" s="54"/>
      <c r="G62" s="54"/>
      <c r="H62" s="52"/>
      <c r="I62" s="52"/>
      <c r="J62" s="52"/>
      <c r="K62" s="52"/>
      <c r="L62" s="52"/>
      <c r="M62" s="52"/>
      <c r="N62" s="52"/>
      <c r="O62" s="52"/>
      <c r="P62" s="52"/>
      <c r="Q62" s="52"/>
      <c r="R62" s="52"/>
      <c r="S62" s="52"/>
      <c r="T62" s="52"/>
      <c r="U62" s="52"/>
      <c r="V62" s="52"/>
      <c r="W62" s="52"/>
      <c r="X62" s="52"/>
      <c r="Y62" s="52"/>
      <c r="Z62" s="52"/>
    </row>
    <row r="63">
      <c r="A63" s="52"/>
      <c r="B63" s="52"/>
      <c r="C63" s="9" t="s">
        <v>73</v>
      </c>
      <c r="D63" s="54"/>
      <c r="E63" s="54"/>
      <c r="F63" s="54"/>
      <c r="G63" s="54"/>
      <c r="H63" s="52"/>
      <c r="I63" s="52"/>
      <c r="J63" s="52"/>
      <c r="K63" s="52"/>
      <c r="L63" s="52"/>
      <c r="M63" s="52"/>
      <c r="N63" s="52"/>
      <c r="O63" s="52"/>
      <c r="P63" s="52"/>
      <c r="Q63" s="52"/>
      <c r="R63" s="52"/>
      <c r="S63" s="52"/>
      <c r="T63" s="52"/>
      <c r="U63" s="52"/>
      <c r="V63" s="52"/>
      <c r="W63" s="52"/>
      <c r="X63" s="52"/>
      <c r="Y63" s="52"/>
      <c r="Z63" s="52"/>
    </row>
    <row r="64">
      <c r="A64" s="52"/>
      <c r="B64" s="52"/>
      <c r="C64" s="11" t="s">
        <v>74</v>
      </c>
      <c r="D64" s="54"/>
      <c r="E64" s="9" t="s">
        <v>75</v>
      </c>
      <c r="F64" s="54"/>
      <c r="G64" s="52"/>
      <c r="H64" s="52"/>
      <c r="I64" s="52"/>
      <c r="K64" s="52"/>
      <c r="L64" s="52"/>
      <c r="M64" s="52"/>
      <c r="N64" s="52"/>
      <c r="O64" s="52"/>
      <c r="P64" s="52"/>
      <c r="Q64" s="52"/>
      <c r="R64" s="52"/>
      <c r="S64" s="52"/>
      <c r="T64" s="52"/>
      <c r="U64" s="52"/>
      <c r="V64" s="52"/>
      <c r="W64" s="52"/>
      <c r="X64" s="52"/>
      <c r="Y64" s="52"/>
      <c r="Z64" s="52"/>
    </row>
    <row r="65">
      <c r="A65" s="52"/>
      <c r="B65" s="52"/>
      <c r="C65" s="9" t="s">
        <v>76</v>
      </c>
      <c r="D65" s="54"/>
      <c r="E65" s="54"/>
      <c r="F65" s="54"/>
      <c r="G65" s="54"/>
      <c r="H65" s="52"/>
      <c r="I65" s="52"/>
      <c r="J65" s="52"/>
      <c r="K65" s="52"/>
      <c r="L65" s="52"/>
      <c r="M65" s="52"/>
      <c r="N65" s="52"/>
      <c r="O65" s="52"/>
      <c r="P65" s="52"/>
      <c r="Q65" s="52"/>
      <c r="R65" s="52"/>
      <c r="S65" s="52"/>
      <c r="T65" s="52"/>
      <c r="U65" s="52"/>
      <c r="V65" s="52"/>
      <c r="W65" s="52"/>
      <c r="X65" s="52"/>
      <c r="Y65" s="52"/>
      <c r="Z65" s="52"/>
    </row>
    <row r="67">
      <c r="A67" s="24" t="s">
        <v>77</v>
      </c>
    </row>
    <row r="69">
      <c r="A69" s="9" t="s">
        <v>78</v>
      </c>
    </row>
    <row r="70">
      <c r="A70" s="9" t="s">
        <v>79</v>
      </c>
    </row>
    <row r="71">
      <c r="A71" s="9" t="s">
        <v>80</v>
      </c>
    </row>
    <row r="73">
      <c r="A73" s="24" t="s">
        <v>81</v>
      </c>
    </row>
    <row r="75">
      <c r="A75" s="55" t="s">
        <v>82</v>
      </c>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5" t="s">
        <v>83</v>
      </c>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5" t="s">
        <v>84</v>
      </c>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5" t="s">
        <v>85</v>
      </c>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5" t="s">
        <v>86</v>
      </c>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5" t="s">
        <v>87</v>
      </c>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5" t="s">
        <v>88</v>
      </c>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5" t="s">
        <v>89</v>
      </c>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5" t="s">
        <v>90</v>
      </c>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5" t="s">
        <v>91</v>
      </c>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5" t="s">
        <v>92</v>
      </c>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5" t="s">
        <v>93</v>
      </c>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5" t="s">
        <v>94</v>
      </c>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12"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5" t="s">
        <v>95</v>
      </c>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5" t="s">
        <v>96</v>
      </c>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5" t="s">
        <v>97</v>
      </c>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5" t="s">
        <v>98</v>
      </c>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5" t="s">
        <v>99</v>
      </c>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5" t="s">
        <v>100</v>
      </c>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5" t="s">
        <v>101</v>
      </c>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5" t="s">
        <v>102</v>
      </c>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5" t="s">
        <v>103</v>
      </c>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5" t="s">
        <v>104</v>
      </c>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5" t="s">
        <v>105</v>
      </c>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5" t="s">
        <v>106</v>
      </c>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5" t="s">
        <v>107</v>
      </c>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5" t="s">
        <v>108</v>
      </c>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5" t="s">
        <v>109</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5" t="s">
        <v>110</v>
      </c>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5" t="s">
        <v>111</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7">
      <c r="A107" s="24" t="s">
        <v>112</v>
      </c>
    </row>
    <row r="108">
      <c r="A108" s="57" t="s">
        <v>113</v>
      </c>
      <c r="B108" s="58"/>
      <c r="C108" s="59" t="s">
        <v>114</v>
      </c>
      <c r="D108" s="60"/>
      <c r="E108" s="60"/>
      <c r="F108" s="60"/>
      <c r="G108" s="60"/>
    </row>
    <row r="109">
      <c r="A109" s="58"/>
      <c r="B109" s="58"/>
    </row>
    <row r="110">
      <c r="A110" s="24" t="s">
        <v>115</v>
      </c>
    </row>
    <row r="112">
      <c r="C112" s="9" t="s">
        <v>116</v>
      </c>
    </row>
    <row r="113">
      <c r="A113" s="9"/>
    </row>
    <row r="114">
      <c r="A114" s="9" t="s">
        <v>117</v>
      </c>
      <c r="D114" s="13" t="s">
        <v>3</v>
      </c>
    </row>
    <row r="115">
      <c r="A115" s="9"/>
      <c r="B115" s="11" t="s">
        <v>12</v>
      </c>
    </row>
    <row r="116">
      <c r="A116" s="9"/>
      <c r="B116" s="61" t="str">
        <f>HYPERLINK("https://docs.google.com/spreadsheets/d/1Y0GXjhazYa46u0EpPA9b0Y0RVWuh5lDzww_o979mbjQ/edit#gid=1904113265","Y-DNA Tree Trunk")</f>
        <v>Y-DNA Tree Trunk</v>
      </c>
    </row>
    <row r="117">
      <c r="A117" s="9"/>
      <c r="B117" s="11" t="s">
        <v>13</v>
      </c>
    </row>
    <row r="118">
      <c r="A118" s="9"/>
      <c r="B118" s="62" t="str">
        <f>HYPERLINK("https://isogg.org/tree/ISOGG_All_Papers.html","Papers/Prentations Cited")</f>
        <v>Papers/Prentations Cited</v>
      </c>
    </row>
    <row r="119">
      <c r="A119" s="9"/>
      <c r="B119" s="11" t="s">
        <v>11</v>
      </c>
    </row>
    <row r="120">
      <c r="A120" s="9"/>
      <c r="B120" s="61" t="str">
        <f>HYPERLINK("https://docs.google.com/spreadsheets/d/1yjXfo8_vfVNzp-yfYoBQLQK8gzqJg5nNtuTTD1RrFS4/edit#gid=0","Listing Criteria")</f>
        <v>Listing Criteria</v>
      </c>
    </row>
    <row r="121">
      <c r="A121" s="63"/>
      <c r="B121" s="64"/>
    </row>
    <row r="122">
      <c r="A122" s="9" t="s">
        <v>118</v>
      </c>
      <c r="B122" s="64"/>
    </row>
    <row r="124">
      <c r="E124" s="13" t="s">
        <v>3</v>
      </c>
    </row>
    <row r="127">
      <c r="E127" s="65" t="s">
        <v>119</v>
      </c>
      <c r="F127" s="66"/>
      <c r="G127" s="67"/>
    </row>
    <row r="129">
      <c r="A129" s="68" t="s">
        <v>120</v>
      </c>
      <c r="C129" s="69"/>
      <c r="D129" s="69"/>
      <c r="E129" s="69"/>
      <c r="F129" s="69"/>
      <c r="G129" s="69"/>
      <c r="H129" s="69"/>
      <c r="I129" s="69"/>
    </row>
    <row r="130">
      <c r="A130" s="70"/>
      <c r="B130" s="71" t="s">
        <v>121</v>
      </c>
      <c r="C130" s="71" t="s">
        <v>122</v>
      </c>
      <c r="D130" s="71" t="s">
        <v>123</v>
      </c>
      <c r="E130" s="71" t="s">
        <v>124</v>
      </c>
      <c r="F130" s="72" t="s">
        <v>125</v>
      </c>
      <c r="G130" s="72" t="s">
        <v>126</v>
      </c>
      <c r="H130" s="71" t="s">
        <v>127</v>
      </c>
      <c r="I130" s="70"/>
      <c r="J130" s="70"/>
      <c r="K130" s="70"/>
      <c r="L130" s="70"/>
      <c r="M130" s="70"/>
      <c r="N130" s="70"/>
      <c r="O130" s="70"/>
      <c r="P130" s="70"/>
      <c r="Q130" s="70"/>
      <c r="R130" s="70"/>
      <c r="S130" s="70"/>
      <c r="T130" s="70"/>
      <c r="U130" s="70"/>
      <c r="V130" s="70"/>
      <c r="W130" s="70"/>
      <c r="X130" s="70"/>
      <c r="Y130" s="70"/>
      <c r="Z130" s="70"/>
    </row>
    <row r="131">
      <c r="B131" s="13" t="s">
        <v>128</v>
      </c>
      <c r="C131" t="str">
        <f>A26</f>
        <v>K  </v>
      </c>
      <c r="D131" s="13" t="s">
        <v>129</v>
      </c>
      <c r="E131" s="73" t="s">
        <v>130</v>
      </c>
      <c r="F131" s="74">
        <v>2.1730257E7</v>
      </c>
      <c r="G131" s="74">
        <v>1.9568371E7</v>
      </c>
      <c r="H131" s="75" t="s">
        <v>131</v>
      </c>
    </row>
    <row r="132">
      <c r="B132" s="13" t="s">
        <v>129</v>
      </c>
      <c r="C132" t="str">
        <f t="shared" ref="C132:C133" si="1">A26</f>
        <v>K  </v>
      </c>
      <c r="D132" s="13" t="s">
        <v>128</v>
      </c>
      <c r="E132" s="73" t="s">
        <v>130</v>
      </c>
      <c r="F132" s="74">
        <v>2.1730257E7</v>
      </c>
      <c r="G132" s="74">
        <v>1.9568371E7</v>
      </c>
      <c r="H132" s="75" t="s">
        <v>131</v>
      </c>
    </row>
    <row r="133">
      <c r="B133" s="13" t="s">
        <v>132</v>
      </c>
      <c r="C133" t="str">
        <f t="shared" si="1"/>
        <v>K~</v>
      </c>
      <c r="D133" s="13" t="s">
        <v>133</v>
      </c>
      <c r="E133" s="73" t="s">
        <v>134</v>
      </c>
      <c r="F133" s="74">
        <v>2.0837553E7</v>
      </c>
      <c r="G133" s="74">
        <v>1.8675667E7</v>
      </c>
      <c r="H133" s="75" t="s">
        <v>135</v>
      </c>
    </row>
    <row r="134">
      <c r="B134" s="13" t="s">
        <v>133</v>
      </c>
      <c r="C134" t="str">
        <f>A27</f>
        <v>K~</v>
      </c>
      <c r="D134" s="13" t="s">
        <v>132</v>
      </c>
      <c r="E134" s="73" t="s">
        <v>134</v>
      </c>
      <c r="F134" s="74">
        <v>2.0837553E7</v>
      </c>
      <c r="G134" s="74">
        <v>1.8675667E7</v>
      </c>
      <c r="H134" s="75" t="s">
        <v>135</v>
      </c>
    </row>
    <row r="135">
      <c r="B135" s="13" t="s">
        <v>136</v>
      </c>
      <c r="C135" t="str">
        <f>A27</f>
        <v>K~</v>
      </c>
      <c r="D135" s="13" t="s">
        <v>137</v>
      </c>
      <c r="E135" s="73" t="s">
        <v>138</v>
      </c>
      <c r="F135" s="74">
        <v>1.5472863E7</v>
      </c>
      <c r="G135" s="74">
        <v>1.3360983E7</v>
      </c>
      <c r="H135" s="75" t="s">
        <v>135</v>
      </c>
    </row>
    <row r="136">
      <c r="B136" s="13" t="s">
        <v>137</v>
      </c>
      <c r="C136" t="str">
        <f>A27</f>
        <v>K~</v>
      </c>
      <c r="D136" s="13" t="s">
        <v>136</v>
      </c>
      <c r="E136" s="73" t="s">
        <v>138</v>
      </c>
      <c r="F136" s="74">
        <v>1.5472863E7</v>
      </c>
      <c r="G136" s="74">
        <v>1.3360983E7</v>
      </c>
      <c r="H136" s="75" t="s">
        <v>135</v>
      </c>
    </row>
    <row r="137">
      <c r="B137" s="13" t="s">
        <v>139</v>
      </c>
      <c r="C137" t="str">
        <f>A27</f>
        <v>K~</v>
      </c>
      <c r="D137" s="13" t="s">
        <v>140</v>
      </c>
      <c r="E137" s="73" t="s">
        <v>141</v>
      </c>
      <c r="F137" s="74">
        <v>8679843.0</v>
      </c>
      <c r="G137" s="74">
        <v>8811802.0</v>
      </c>
      <c r="H137" s="75" t="s">
        <v>142</v>
      </c>
    </row>
    <row r="138">
      <c r="B138" s="13" t="s">
        <v>140</v>
      </c>
      <c r="C138" t="str">
        <f>A27</f>
        <v>K~</v>
      </c>
      <c r="D138" s="13" t="s">
        <v>139</v>
      </c>
      <c r="E138" s="73" t="s">
        <v>141</v>
      </c>
      <c r="F138" s="74">
        <v>8679843.0</v>
      </c>
      <c r="G138" s="74">
        <v>8811802.0</v>
      </c>
      <c r="H138" s="75" t="s">
        <v>142</v>
      </c>
    </row>
    <row r="139">
      <c r="B139" s="13" t="s">
        <v>143</v>
      </c>
      <c r="C139" s="76" t="str">
        <f>B28</f>
        <v>LT or K1</v>
      </c>
      <c r="D139" s="13" t="s">
        <v>144</v>
      </c>
      <c r="E139" s="77" t="s">
        <v>145</v>
      </c>
      <c r="F139" s="74">
        <v>8467290.0</v>
      </c>
      <c r="G139" s="74">
        <v>8599249.0</v>
      </c>
      <c r="H139" s="75" t="s">
        <v>146</v>
      </c>
    </row>
    <row r="140">
      <c r="B140" s="13" t="s">
        <v>144</v>
      </c>
      <c r="C140" s="76" t="str">
        <f>B28</f>
        <v>LT or K1</v>
      </c>
      <c r="D140" s="13" t="s">
        <v>143</v>
      </c>
      <c r="E140" s="78" t="s">
        <v>145</v>
      </c>
      <c r="F140" s="74">
        <v>8467290.0</v>
      </c>
      <c r="G140" s="74">
        <v>8599249.0</v>
      </c>
      <c r="H140" s="75" t="s">
        <v>146</v>
      </c>
    </row>
    <row r="141">
      <c r="B141" s="13" t="s">
        <v>147</v>
      </c>
      <c r="C141" s="76" t="str">
        <f>C29</f>
        <v>L or K1a  </v>
      </c>
      <c r="D141" s="13" t="s">
        <v>148</v>
      </c>
      <c r="E141" s="73" t="s">
        <v>149</v>
      </c>
      <c r="F141" s="74">
        <v>2.1733454E7</v>
      </c>
      <c r="G141" s="74">
        <v>1.9571568E7</v>
      </c>
      <c r="H141" s="75" t="s">
        <v>150</v>
      </c>
    </row>
    <row r="142">
      <c r="B142" s="13" t="s">
        <v>148</v>
      </c>
      <c r="C142" s="76" t="str">
        <f t="shared" ref="C142:C143" si="2">C29</f>
        <v>L or K1a  </v>
      </c>
      <c r="D142" s="13" t="s">
        <v>147</v>
      </c>
      <c r="E142" s="73" t="s">
        <v>149</v>
      </c>
      <c r="F142" s="74">
        <v>2.1733454E7</v>
      </c>
      <c r="G142" s="74">
        <v>1.9571568E7</v>
      </c>
      <c r="H142" s="75" t="s">
        <v>150</v>
      </c>
    </row>
    <row r="143">
      <c r="B143" s="13" t="s">
        <v>151</v>
      </c>
      <c r="C143" s="76" t="str">
        <f t="shared" si="2"/>
        <v>T or K1b  </v>
      </c>
      <c r="D143" s="13" t="s">
        <v>152</v>
      </c>
      <c r="E143" s="73" t="s">
        <v>153</v>
      </c>
      <c r="F143" s="74">
        <v>1.4898163E7</v>
      </c>
      <c r="G143" s="74">
        <v>1.2786229E7</v>
      </c>
      <c r="H143" s="75" t="s">
        <v>154</v>
      </c>
    </row>
    <row r="144">
      <c r="B144" s="13" t="s">
        <v>155</v>
      </c>
      <c r="C144" s="76" t="str">
        <f>C30</f>
        <v>T or K1b  </v>
      </c>
      <c r="D144" s="13" t="s">
        <v>156</v>
      </c>
      <c r="E144" s="73" t="s">
        <v>153</v>
      </c>
      <c r="F144" s="74">
        <v>1.4898163E7</v>
      </c>
      <c r="G144" s="74">
        <v>1.2786229E7</v>
      </c>
      <c r="H144" s="75" t="s">
        <v>154</v>
      </c>
    </row>
    <row r="145">
      <c r="B145" s="13" t="s">
        <v>157</v>
      </c>
      <c r="C145" s="76" t="str">
        <f>C30</f>
        <v>T or K1b  </v>
      </c>
      <c r="D145" s="13" t="s">
        <v>158</v>
      </c>
      <c r="E145" s="73" t="s">
        <v>153</v>
      </c>
      <c r="F145" s="74">
        <v>1.4898163E7</v>
      </c>
      <c r="G145" s="74">
        <v>1.2786229E7</v>
      </c>
      <c r="H145" s="75" t="s">
        <v>154</v>
      </c>
    </row>
    <row r="146">
      <c r="B146" s="13" t="s">
        <v>159</v>
      </c>
      <c r="C146" t="str">
        <f>B31</f>
        <v>K2  </v>
      </c>
      <c r="D146" s="13" t="s">
        <v>160</v>
      </c>
      <c r="E146" s="73" t="s">
        <v>161</v>
      </c>
      <c r="F146" s="74">
        <v>2.3550924E7</v>
      </c>
      <c r="G146" s="74">
        <v>2.1389038E7</v>
      </c>
      <c r="H146" s="75" t="s">
        <v>162</v>
      </c>
    </row>
    <row r="147">
      <c r="B147" s="13" t="s">
        <v>160</v>
      </c>
      <c r="C147" t="str">
        <f>B31</f>
        <v>K2  </v>
      </c>
      <c r="D147" s="13" t="s">
        <v>159</v>
      </c>
      <c r="E147" s="73" t="s">
        <v>161</v>
      </c>
      <c r="F147" s="74">
        <v>2.3550924E7</v>
      </c>
      <c r="G147" s="74">
        <v>2.1389038E7</v>
      </c>
      <c r="H147" s="75" t="s">
        <v>162</v>
      </c>
    </row>
    <row r="148">
      <c r="B148" s="13" t="s">
        <v>163</v>
      </c>
      <c r="C148" t="str">
        <f>C32</f>
        <v>NO or K2a </v>
      </c>
      <c r="D148" s="13" t="s">
        <v>164</v>
      </c>
      <c r="E148" s="79" t="s">
        <v>165</v>
      </c>
      <c r="F148" s="74">
        <v>1.951307E7</v>
      </c>
      <c r="G148" s="74">
        <v>1.740119E7</v>
      </c>
      <c r="H148" s="75" t="s">
        <v>135</v>
      </c>
    </row>
    <row r="149">
      <c r="B149" s="13" t="s">
        <v>166</v>
      </c>
      <c r="C149" t="str">
        <f>C32</f>
        <v>NO or K2a </v>
      </c>
      <c r="D149" s="13" t="s">
        <v>167</v>
      </c>
      <c r="E149" s="79" t="s">
        <v>165</v>
      </c>
      <c r="F149" s="74">
        <v>1.951307E7</v>
      </c>
      <c r="G149" s="74">
        <v>1.740119E7</v>
      </c>
      <c r="H149" s="75" t="s">
        <v>135</v>
      </c>
    </row>
    <row r="150">
      <c r="B150" s="13" t="s">
        <v>168</v>
      </c>
      <c r="C150" t="str">
        <f>C32</f>
        <v>NO or K2a </v>
      </c>
      <c r="D150" s="13" t="s">
        <v>169</v>
      </c>
      <c r="E150" s="79" t="s">
        <v>165</v>
      </c>
      <c r="F150" s="74">
        <v>1.951307E7</v>
      </c>
      <c r="G150" s="74">
        <v>1.740119E7</v>
      </c>
      <c r="H150" s="75" t="s">
        <v>135</v>
      </c>
    </row>
    <row r="151">
      <c r="B151" s="13" t="s">
        <v>170</v>
      </c>
      <c r="C151" t="str">
        <f>C32</f>
        <v>NO or K2a </v>
      </c>
      <c r="D151" s="13" t="s">
        <v>171</v>
      </c>
      <c r="E151" s="79" t="s">
        <v>165</v>
      </c>
      <c r="F151" s="74">
        <v>1.951307E7</v>
      </c>
      <c r="G151" s="74">
        <v>1.740119E7</v>
      </c>
      <c r="H151" s="75" t="s">
        <v>135</v>
      </c>
    </row>
    <row r="152">
      <c r="B152" s="13" t="s">
        <v>172</v>
      </c>
      <c r="C152" t="str">
        <f>D33</f>
        <v>NO1 or K2a1</v>
      </c>
      <c r="D152" s="13" t="s">
        <v>173</v>
      </c>
      <c r="E152" s="73" t="s">
        <v>174</v>
      </c>
      <c r="F152" s="74">
        <v>1.5471925E7</v>
      </c>
      <c r="G152" s="74">
        <v>1.3360045E7</v>
      </c>
      <c r="H152" s="75" t="s">
        <v>146</v>
      </c>
    </row>
    <row r="153">
      <c r="B153" s="13" t="s">
        <v>173</v>
      </c>
      <c r="C153" t="str">
        <f>D33</f>
        <v>NO1 or K2a1</v>
      </c>
      <c r="D153" s="13" t="s">
        <v>172</v>
      </c>
      <c r="E153" s="73" t="s">
        <v>174</v>
      </c>
      <c r="F153" s="74">
        <v>1.5471925E7</v>
      </c>
      <c r="G153" s="74">
        <v>1.3360045E7</v>
      </c>
      <c r="H153" s="75" t="s">
        <v>146</v>
      </c>
    </row>
    <row r="154">
      <c r="B154" s="13" t="s">
        <v>175</v>
      </c>
      <c r="C154" s="76" t="str">
        <f>E34</f>
        <v>N or K2a1a</v>
      </c>
      <c r="D154" s="13" t="s">
        <v>176</v>
      </c>
      <c r="E154" s="73" t="s">
        <v>177</v>
      </c>
      <c r="F154" s="74">
        <v>1.5469724E7</v>
      </c>
      <c r="G154" s="74">
        <v>1.3357844E7</v>
      </c>
      <c r="H154" s="75" t="s">
        <v>154</v>
      </c>
    </row>
    <row r="155">
      <c r="B155" s="13" t="s">
        <v>176</v>
      </c>
      <c r="C155" s="76" t="str">
        <f t="shared" ref="C155:C156" si="3">E34</f>
        <v>N or K2a1a</v>
      </c>
      <c r="D155" s="13" t="s">
        <v>178</v>
      </c>
      <c r="E155" s="73" t="s">
        <v>177</v>
      </c>
      <c r="F155" s="74">
        <v>1.5469724E7</v>
      </c>
      <c r="G155" s="74">
        <v>1.3357844E7</v>
      </c>
      <c r="H155" s="75" t="s">
        <v>154</v>
      </c>
    </row>
    <row r="156">
      <c r="B156" s="13" t="s">
        <v>42</v>
      </c>
      <c r="C156" s="76" t="str">
        <f t="shared" si="3"/>
        <v>O or K2a1b </v>
      </c>
      <c r="E156" s="73" t="s">
        <v>179</v>
      </c>
      <c r="F156" s="80" t="s">
        <v>180</v>
      </c>
      <c r="G156" s="80" t="s">
        <v>181</v>
      </c>
      <c r="H156" s="75" t="s">
        <v>182</v>
      </c>
    </row>
    <row r="157">
      <c r="B157" s="13" t="s">
        <v>183</v>
      </c>
      <c r="C157" t="str">
        <f>C36</f>
        <v>K2b </v>
      </c>
      <c r="D157" s="13" t="s">
        <v>184</v>
      </c>
      <c r="E157" s="73" t="s">
        <v>185</v>
      </c>
      <c r="F157" s="74">
        <v>1.6222561E7</v>
      </c>
      <c r="G157" s="74">
        <v>1.4110681E7</v>
      </c>
      <c r="H157" s="75" t="s">
        <v>135</v>
      </c>
    </row>
    <row r="158">
      <c r="B158" s="13" t="s">
        <v>186</v>
      </c>
      <c r="C158" t="str">
        <f>C36</f>
        <v>K2b </v>
      </c>
      <c r="D158" s="13" t="s">
        <v>187</v>
      </c>
      <c r="E158" s="73" t="s">
        <v>185</v>
      </c>
      <c r="F158" s="74">
        <v>1.6222561E7</v>
      </c>
      <c r="G158" s="74">
        <v>1.4110681E7</v>
      </c>
      <c r="H158" s="75" t="s">
        <v>135</v>
      </c>
    </row>
    <row r="159">
      <c r="B159" s="13" t="s">
        <v>188</v>
      </c>
      <c r="C159" t="str">
        <f>C36</f>
        <v>K2b </v>
      </c>
      <c r="D159" s="13" t="s">
        <v>189</v>
      </c>
      <c r="E159" s="73" t="s">
        <v>185</v>
      </c>
      <c r="F159" s="74">
        <v>1.6222561E7</v>
      </c>
      <c r="G159" s="74">
        <v>1.4110681E7</v>
      </c>
      <c r="H159" s="75" t="s">
        <v>135</v>
      </c>
    </row>
    <row r="160">
      <c r="B160" s="13" t="s">
        <v>190</v>
      </c>
      <c r="C160" t="str">
        <f>D37</f>
        <v>K2b1</v>
      </c>
      <c r="E160" s="79" t="s">
        <v>191</v>
      </c>
      <c r="F160" s="74">
        <v>1.3563083E7</v>
      </c>
      <c r="G160" s="74">
        <v>1.1407407E7</v>
      </c>
      <c r="H160" s="75" t="s">
        <v>135</v>
      </c>
    </row>
    <row r="161">
      <c r="B161" s="13" t="s">
        <v>192</v>
      </c>
      <c r="C161" t="str">
        <f>D37</f>
        <v>K2b1</v>
      </c>
      <c r="E161" s="79" t="s">
        <v>193</v>
      </c>
      <c r="F161" s="74">
        <v>2.8759645E7</v>
      </c>
      <c r="G161" s="74">
        <v>2.6613498E7</v>
      </c>
      <c r="H161" s="75" t="s">
        <v>135</v>
      </c>
    </row>
    <row r="162">
      <c r="B162" s="13" t="s">
        <v>194</v>
      </c>
      <c r="C162" t="str">
        <f>D37</f>
        <v>K2b1</v>
      </c>
      <c r="D162" s="13" t="s">
        <v>195</v>
      </c>
      <c r="E162" s="78" t="s">
        <v>196</v>
      </c>
      <c r="F162" s="74">
        <v>1.6328755E7</v>
      </c>
      <c r="G162" s="74">
        <v>1.4216875E7</v>
      </c>
      <c r="H162" s="75" t="s">
        <v>135</v>
      </c>
    </row>
    <row r="163">
      <c r="B163" s="13" t="s">
        <v>195</v>
      </c>
      <c r="C163" t="str">
        <f>D37</f>
        <v>K2b1</v>
      </c>
      <c r="D163" s="13" t="s">
        <v>194</v>
      </c>
      <c r="E163" s="78" t="s">
        <v>196</v>
      </c>
      <c r="F163" s="74">
        <v>1.6328755E7</v>
      </c>
      <c r="G163" s="74">
        <v>1.4216875E7</v>
      </c>
      <c r="H163" s="75" t="s">
        <v>135</v>
      </c>
    </row>
    <row r="164">
      <c r="B164" s="13" t="s">
        <v>197</v>
      </c>
      <c r="C164" t="str">
        <f>D37</f>
        <v>K2b1</v>
      </c>
      <c r="E164" s="78" t="s">
        <v>198</v>
      </c>
      <c r="F164" s="74">
        <v>2.1263408E7</v>
      </c>
      <c r="G164" s="74">
        <v>1.9101522E7</v>
      </c>
      <c r="H164" s="75" t="s">
        <v>142</v>
      </c>
    </row>
    <row r="165">
      <c r="B165" s="13" t="s">
        <v>199</v>
      </c>
      <c r="C165" t="str">
        <f>D37</f>
        <v>K2b1</v>
      </c>
      <c r="E165" s="78" t="s">
        <v>200</v>
      </c>
      <c r="F165" s="74">
        <v>2.1263471E7</v>
      </c>
      <c r="G165" s="74">
        <v>1.9101585E7</v>
      </c>
      <c r="H165" s="75" t="s">
        <v>135</v>
      </c>
    </row>
    <row r="166">
      <c r="B166" s="13" t="s">
        <v>201</v>
      </c>
      <c r="C166" t="str">
        <f>D37</f>
        <v>K2b1</v>
      </c>
      <c r="E166" s="78" t="s">
        <v>202</v>
      </c>
      <c r="F166" s="74">
        <v>2.1948766E7</v>
      </c>
      <c r="G166" s="74">
        <v>1.978688E7</v>
      </c>
      <c r="H166" s="75" t="s">
        <v>203</v>
      </c>
    </row>
    <row r="167">
      <c r="B167" s="13" t="s">
        <v>204</v>
      </c>
      <c r="C167" s="76" t="str">
        <f>E38</f>
        <v>S or K2b1a</v>
      </c>
      <c r="E167" s="78" t="s">
        <v>205</v>
      </c>
      <c r="F167" s="81">
        <v>1.410258E7</v>
      </c>
      <c r="G167" s="82">
        <v>1.1981874E7</v>
      </c>
      <c r="H167" s="13" t="s">
        <v>206</v>
      </c>
      <c r="I167" s="13" t="s">
        <v>3</v>
      </c>
    </row>
    <row r="168">
      <c r="B168" s="13" t="s">
        <v>207</v>
      </c>
      <c r="C168" s="76" t="str">
        <f t="shared" ref="C168:C169" si="4">E38</f>
        <v>S or K2b1a</v>
      </c>
      <c r="E168" s="83"/>
      <c r="F168" s="74">
        <v>1.7847656E7</v>
      </c>
      <c r="G168" s="74">
        <v>1.5735776E7</v>
      </c>
      <c r="H168" s="75" t="s">
        <v>154</v>
      </c>
      <c r="I168" s="13" t="s">
        <v>3</v>
      </c>
    </row>
    <row r="169">
      <c r="B169" s="13" t="s">
        <v>208</v>
      </c>
      <c r="C169" s="76" t="str">
        <f t="shared" si="4"/>
        <v>M or K2b1b</v>
      </c>
      <c r="E169" s="83"/>
      <c r="F169" s="74">
        <v>8685231.0</v>
      </c>
      <c r="G169" s="74">
        <v>8817190.0</v>
      </c>
      <c r="H169" s="75" t="s">
        <v>154</v>
      </c>
      <c r="I169" s="13" t="s">
        <v>3</v>
      </c>
    </row>
    <row r="170">
      <c r="B170" s="13" t="s">
        <v>209</v>
      </c>
      <c r="C170" s="76" t="str">
        <f>D40</f>
        <v>P or K2b2</v>
      </c>
      <c r="D170" s="13" t="s">
        <v>210</v>
      </c>
      <c r="E170" s="73" t="s">
        <v>211</v>
      </c>
      <c r="F170" s="74">
        <v>7963031.0</v>
      </c>
      <c r="G170" s="74">
        <v>8094990.0</v>
      </c>
      <c r="H170" s="75" t="s">
        <v>203</v>
      </c>
    </row>
    <row r="171">
      <c r="B171" s="13" t="s">
        <v>212</v>
      </c>
      <c r="C171" s="76" t="str">
        <f>D40</f>
        <v>P or K2b2</v>
      </c>
      <c r="D171" s="13" t="s">
        <v>213</v>
      </c>
      <c r="E171" s="73" t="s">
        <v>211</v>
      </c>
      <c r="F171" s="74">
        <v>7963031.0</v>
      </c>
      <c r="G171" s="74">
        <v>8094990.0</v>
      </c>
      <c r="H171" s="75" t="s">
        <v>203</v>
      </c>
    </row>
    <row r="172">
      <c r="B172" s="13" t="s">
        <v>214</v>
      </c>
      <c r="C172" s="76" t="str">
        <f>D40</f>
        <v>P or K2b2</v>
      </c>
      <c r="D172" s="13" t="s">
        <v>215</v>
      </c>
      <c r="E172" s="73" t="s">
        <v>211</v>
      </c>
      <c r="F172" s="74">
        <v>7963031.0</v>
      </c>
      <c r="G172" s="74">
        <v>8094990.0</v>
      </c>
      <c r="H172" s="75" t="s">
        <v>203</v>
      </c>
    </row>
    <row r="173">
      <c r="B173" s="13" t="s">
        <v>216</v>
      </c>
      <c r="C173" t="str">
        <f>C41</f>
        <v>K2c</v>
      </c>
      <c r="E173" s="83"/>
      <c r="F173" s="74">
        <v>1.3992279E7</v>
      </c>
      <c r="G173" s="74">
        <v>1.1871573E7</v>
      </c>
      <c r="H173" s="75" t="s">
        <v>154</v>
      </c>
    </row>
    <row r="174">
      <c r="B174" s="13" t="s">
        <v>217</v>
      </c>
      <c r="C174" t="str">
        <f t="shared" ref="C174:C175" si="5">C41</f>
        <v>K2c</v>
      </c>
      <c r="E174" s="78" t="s">
        <v>218</v>
      </c>
      <c r="F174" s="74">
        <v>2.1165969E7</v>
      </c>
      <c r="G174" s="74">
        <v>1.9004083E7</v>
      </c>
      <c r="H174" s="75" t="s">
        <v>162</v>
      </c>
    </row>
    <row r="175">
      <c r="B175" s="13" t="s">
        <v>219</v>
      </c>
      <c r="C175" t="str">
        <f t="shared" si="5"/>
        <v>K2d</v>
      </c>
      <c r="E175" s="84" t="s">
        <v>220</v>
      </c>
      <c r="F175" s="74">
        <v>1.9279781E7</v>
      </c>
      <c r="G175" s="74">
        <v>1.7167901E7</v>
      </c>
      <c r="H175" s="75" t="s">
        <v>146</v>
      </c>
    </row>
    <row r="176">
      <c r="B176" s="13" t="s">
        <v>221</v>
      </c>
      <c r="C176" t="str">
        <f t="shared" ref="C176:C177" si="6">C42</f>
        <v>K2d</v>
      </c>
      <c r="E176" s="78" t="s">
        <v>220</v>
      </c>
      <c r="F176" s="74">
        <v>2.221448E7</v>
      </c>
      <c r="G176" s="74">
        <v>2.0052594E7</v>
      </c>
      <c r="H176" s="75" t="s">
        <v>150</v>
      </c>
    </row>
    <row r="177">
      <c r="B177" s="13" t="s">
        <v>57</v>
      </c>
      <c r="C177" t="str">
        <f t="shared" si="6"/>
        <v>K2e~</v>
      </c>
      <c r="E177" s="78" t="s">
        <v>222</v>
      </c>
      <c r="F177" s="74">
        <v>2.1762081E7</v>
      </c>
      <c r="G177" s="74">
        <v>1.9600195E7</v>
      </c>
      <c r="H177" s="75" t="s">
        <v>223</v>
      </c>
    </row>
  </sheetData>
  <mergeCells count="9">
    <mergeCell ref="B21:J21"/>
    <mergeCell ref="B10:J10"/>
    <mergeCell ref="B22:J22"/>
    <mergeCell ref="B23:J23"/>
    <mergeCell ref="F38:G38"/>
    <mergeCell ref="H156:I156"/>
    <mergeCell ref="E37:H37"/>
    <mergeCell ref="D42:E42"/>
    <mergeCell ref="D41:E41"/>
  </mergeCells>
  <hyperlinks>
    <hyperlink r:id="rId1" ref="I11"/>
    <hyperlink r:id="rId2" ref="B13"/>
    <hyperlink r:id="rId3" ref="C13"/>
    <hyperlink r:id="rId4" ref="E13"/>
    <hyperlink r:id="rId5" ref="I13"/>
    <hyperlink r:id="rId6" ref="B28"/>
    <hyperlink r:id="rId7" ref="E39"/>
    <hyperlink r:id="rId8" ref="D40"/>
    <hyperlink r:id="rId9" ref="C64"/>
    <hyperlink r:id="rId10" ref="A75"/>
    <hyperlink r:id="rId11" ref="A76"/>
    <hyperlink r:id="rId12" ref="A77"/>
    <hyperlink r:id="rId13" ref="A78"/>
    <hyperlink r:id="rId14" ref="A79"/>
    <hyperlink r:id="rId15" ref="A80"/>
    <hyperlink r:id="rId16" ref="A81"/>
    <hyperlink r:id="rId17" ref="A82"/>
    <hyperlink r:id="rId18" ref="A83"/>
    <hyperlink r:id="rId19" ref="A84"/>
    <hyperlink r:id="rId20" ref="A85"/>
    <hyperlink r:id="rId21" ref="A86"/>
    <hyperlink r:id="rId22" ref="A87"/>
    <hyperlink r:id="rId23" ref="A89"/>
    <hyperlink r:id="rId24" ref="A90"/>
    <hyperlink r:id="rId25" ref="A91"/>
    <hyperlink r:id="rId26" ref="A92"/>
    <hyperlink r:id="rId27" ref="A93"/>
    <hyperlink r:id="rId28" ref="A94"/>
    <hyperlink r:id="rId29" ref="A95"/>
    <hyperlink r:id="rId30" ref="A96"/>
    <hyperlink r:id="rId31" ref="A97"/>
    <hyperlink r:id="rId32" ref="A98"/>
    <hyperlink r:id="rId33" ref="A99"/>
    <hyperlink r:id="rId34" ref="A100"/>
    <hyperlink r:id="rId35" ref="A101"/>
    <hyperlink r:id="rId36" ref="A102"/>
    <hyperlink r:id="rId37" ref="A103"/>
    <hyperlink r:id="rId38" ref="A104"/>
    <hyperlink r:id="rId39" ref="A105"/>
    <hyperlink r:id="rId40" ref="B115"/>
    <hyperlink r:id="rId41" ref="B117"/>
    <hyperlink r:id="rId42" ref="B119"/>
  </hyperlinks>
  <drawing r:id="rId43"/>
</worksheet>
</file>